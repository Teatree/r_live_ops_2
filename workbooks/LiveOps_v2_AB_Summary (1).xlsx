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Bucket" sheetId="1" r:id="rId5"/>
    <sheet state="visible" name="Overall" sheetId="2" r:id="rId6"/>
    <sheet state="visible" name="Overall (new users)" sheetId="3" r:id="rId7"/>
    <sheet state="visible" name="Overall (old players)" sheetId="4" r:id="rId8"/>
    <sheet state="visible" name="Daily" sheetId="5" r:id="rId9"/>
    <sheet state="visible" name="PerSource" sheetId="6" r:id="rId10"/>
    <sheet state="visible" name="NS_Config_Change_Est" sheetId="7" r:id="rId11"/>
    <sheet state="visible" name="Raw_Data_Daily" sheetId="8" r:id="rId12"/>
    <sheet state="visible" name="Raw_Data_Period" sheetId="9" r:id="rId13"/>
    <sheet state="visible" name="Raw_Data_Period_new_users" sheetId="10" r:id="rId14"/>
    <sheet state="visible" name="Raw_Data_Period_old_users" sheetId="11" r:id="rId15"/>
  </sheets>
  <definedNames/>
  <calcPr/>
</workbook>
</file>

<file path=xl/sharedStrings.xml><?xml version="1.0" encoding="utf-8"?>
<sst xmlns="http://schemas.openxmlformats.org/spreadsheetml/2006/main" count="2068" uniqueCount="340">
  <si>
    <t>A/B Test Summary - Overall (across all buckets)</t>
  </si>
  <si>
    <t>A/B Test Summary By 7d Completion Bucket</t>
  </si>
  <si>
    <t>Category</t>
  </si>
  <si>
    <t>Metric</t>
  </si>
  <si>
    <t>Control</t>
  </si>
  <si>
    <t>Variant</t>
  </si>
  <si>
    <t>Δ Abs</t>
  </si>
  <si>
    <t>Δ %</t>
  </si>
  <si>
    <t>Players</t>
  </si>
  <si>
    <t>Players (sum)</t>
  </si>
  <si>
    <t xml:space="preserve"> 1-9</t>
  </si>
  <si>
    <t xml:space="preserve"> 10-19</t>
  </si>
  <si>
    <t xml:space="preserve"> 20-39</t>
  </si>
  <si>
    <t xml:space="preserve"> 40-99</t>
  </si>
  <si>
    <t xml:space="preserve"> 100+</t>
  </si>
  <si>
    <t>Revenue</t>
  </si>
  <si>
    <t>Total revenue</t>
  </si>
  <si>
    <t>ARPDAU</t>
  </si>
  <si>
    <t>ARPPU</t>
  </si>
  <si>
    <t>Engagement</t>
  </si>
  <si>
    <t>Time spent (mins)</t>
  </si>
  <si>
    <t>Level attempts / player</t>
  </si>
  <si>
    <t>Level completes / player</t>
  </si>
  <si>
    <t>Daily Streak</t>
  </si>
  <si>
    <t>Avg daily streak</t>
  </si>
  <si>
    <t>P25 daily streak</t>
  </si>
  <si>
    <t>P50 daily streak</t>
  </si>
  <si>
    <t>P75 daily streak</t>
  </si>
  <si>
    <t>P90 daily streak</t>
  </si>
  <si>
    <t>P99 daily streak</t>
  </si>
  <si>
    <t>Difficulty</t>
  </si>
  <si>
    <t>Pass rate</t>
  </si>
  <si>
    <t>OOM rate</t>
  </si>
  <si>
    <t>First-try OOM rate</t>
  </si>
  <si>
    <t>Attempts per completion</t>
  </si>
  <si>
    <t>HC Economy</t>
  </si>
  <si>
    <t>HC gain total / player</t>
  </si>
  <si>
    <t>HC gain (ex-saga) / player</t>
  </si>
  <si>
    <t>HC gain from saga / player</t>
  </si>
  <si>
    <t>HC gain PAID / player</t>
  </si>
  <si>
    <t>HC gain FREE / player</t>
  </si>
  <si>
    <t>HC spent / player</t>
  </si>
  <si>
    <t>HC net (gain - spend) / player</t>
  </si>
  <si>
    <t>HC spent / attempt</t>
  </si>
  <si>
    <t>Paid % of total HC gain</t>
  </si>
  <si>
    <t>HC Economy - Sources</t>
  </si>
  <si>
    <t>HC gain / player (CORE)</t>
  </si>
  <si>
    <t>HC gain / player (META)</t>
  </si>
  <si>
    <t>AVG Payer day (%)</t>
  </si>
  <si>
    <t>HC gain / player (AD)</t>
  </si>
  <si>
    <t>HC gain / player (PURCHASE)</t>
  </si>
  <si>
    <t>HC gain / player (OTHER)</t>
  </si>
  <si>
    <t>HC Balance</t>
  </si>
  <si>
    <t>P50 HC balance</t>
  </si>
  <si>
    <t>P75 HC balance</t>
  </si>
  <si>
    <t>P90 HC balance</t>
  </si>
  <si>
    <t>P99 HC balance</t>
  </si>
  <si>
    <t>Performance</t>
  </si>
  <si>
    <t>Avg player performance</t>
  </si>
  <si>
    <t>Avg PR (last 50 lvls)</t>
  </si>
  <si>
    <t>NS Round Pass %</t>
  </si>
  <si>
    <t>R1 pass rate (%)</t>
  </si>
  <si>
    <t>R2 pass rate (%)</t>
  </si>
  <si>
    <t>R3 pass rate (%)</t>
  </si>
  <si>
    <t>Retention</t>
  </si>
  <si>
    <t>D1 churn rate</t>
  </si>
  <si>
    <t>NS Actual Completions</t>
  </si>
  <si>
    <t>NS active rate (%)</t>
  </si>
  <si>
    <t>R1 finished (%) [claims]</t>
  </si>
  <si>
    <t>R2 finished (%) [claims]</t>
  </si>
  <si>
    <t>R3 finished (%) [claims]</t>
  </si>
  <si>
    <t>Boosters</t>
  </si>
  <si>
    <t>Booster gain total / player</t>
  </si>
  <si>
    <t>Booster gain PAID / player</t>
  </si>
  <si>
    <t>Booster gain FREE / player</t>
  </si>
  <si>
    <t>Booster spent / player</t>
  </si>
  <si>
    <t>Booster NET (gain - spend) / player</t>
  </si>
  <si>
    <t>Booster spent / attempt</t>
  </si>
  <si>
    <t>Red</t>
  </si>
  <si>
    <t>Red gain total / player</t>
  </si>
  <si>
    <t>Red gain PAID / player</t>
  </si>
  <si>
    <t>Red gain FREE / player</t>
  </si>
  <si>
    <t>Red spent / player</t>
  </si>
  <si>
    <t>Red NET (gain - spend) / player</t>
  </si>
  <si>
    <t>Chuck</t>
  </si>
  <si>
    <t>Chuck gain total / player</t>
  </si>
  <si>
    <t>Chuck gain PAID / player</t>
  </si>
  <si>
    <t>Chuck gain FREE / player</t>
  </si>
  <si>
    <t>Chuck spent / player</t>
  </si>
  <si>
    <t>Chuck NET (gain - spend) / player</t>
  </si>
  <si>
    <t>Bomb</t>
  </si>
  <si>
    <t>Bomb gain total / player</t>
  </si>
  <si>
    <t>Bomb gain PAID / player</t>
  </si>
  <si>
    <t>Bomb gain FREE / player</t>
  </si>
  <si>
    <t>Bomb spent / player</t>
  </si>
  <si>
    <t>Bomb NET (gain - spend) / player</t>
  </si>
  <si>
    <t>Slingshot</t>
  </si>
  <si>
    <t>Slingshot gain total / player</t>
  </si>
  <si>
    <t>Slingshot gain PAID / player</t>
  </si>
  <si>
    <t>Slingshot gain FREE / player</t>
  </si>
  <si>
    <t>Slingshot spent / player</t>
  </si>
  <si>
    <t>Slingshot NET (gain - spend) / player</t>
  </si>
  <si>
    <t>Shuffle</t>
  </si>
  <si>
    <t>Shuffle gain total / player</t>
  </si>
  <si>
    <t>Shuffle gain PAID / player</t>
  </si>
  <si>
    <t>Shuffle gain FREE / player</t>
  </si>
  <si>
    <t>Shuffle spent / player</t>
  </si>
  <si>
    <t>Shuffle NET (gain - spend) / player</t>
  </si>
  <si>
    <t>Star</t>
  </si>
  <si>
    <t>Star gain total / player</t>
  </si>
  <si>
    <t>Star gain PAID / player</t>
  </si>
  <si>
    <t>Star gain FREE / player</t>
  </si>
  <si>
    <t>Star spent / player</t>
  </si>
  <si>
    <t>Star NET (gain - spend) / player</t>
  </si>
  <si>
    <t>SPT</t>
  </si>
  <si>
    <t/>
  </si>
  <si>
    <t>SPT gain total / player</t>
  </si>
  <si>
    <t>SPT gainer rate (%)</t>
  </si>
  <si>
    <t>SPT gain / gainer</t>
  </si>
  <si>
    <t>SPT gain / player (CORE)</t>
  </si>
  <si>
    <t>SPT gain / player (RAINBOW)</t>
  </si>
  <si>
    <t>SPT gain / player (OFFER)</t>
  </si>
  <si>
    <t>SPT gain / player (EVENT)</t>
  </si>
  <si>
    <t>SPT gain / player (OTHER)</t>
  </si>
  <si>
    <t>A/B Test Summary - Daily Trend (selected segment)</t>
  </si>
  <si>
    <t>Simulated</t>
  </si>
  <si>
    <t>0-9</t>
  </si>
  <si>
    <t>0-9 Segment - Over Time Period  (uses 1-9 gains data)</t>
  </si>
  <si>
    <t>Source</t>
  </si>
  <si>
    <t>HC</t>
  </si>
  <si>
    <t>Comet</t>
  </si>
  <si>
    <t>UL Bomb</t>
  </si>
  <si>
    <t>UL Chuck</t>
  </si>
  <si>
    <t>UL Red</t>
  </si>
  <si>
    <t>Unlimited Lives</t>
  </si>
  <si>
    <t>SPTx2</t>
  </si>
  <si>
    <t>Ads</t>
  </si>
  <si>
    <t>Segment:</t>
  </si>
  <si>
    <t>Bomb Challenge</t>
  </si>
  <si>
    <t>40-99</t>
  </si>
  <si>
    <t>Night Sky New Coin Rewards</t>
  </si>
  <si>
    <t>Block</t>
  </si>
  <si>
    <t>1-9</t>
  </si>
  <si>
    <t>10-19</t>
  </si>
  <si>
    <t>Bomb's Ballet</t>
  </si>
  <si>
    <t>20-39</t>
  </si>
  <si>
    <t>100+</t>
  </si>
  <si>
    <t>B. 1-9</t>
  </si>
  <si>
    <t>C. 10-19</t>
  </si>
  <si>
    <t>D. 20-39</t>
  </si>
  <si>
    <t>E. 40-99</t>
  </si>
  <si>
    <t>F. 100+</t>
  </si>
  <si>
    <t>NS CONFIG</t>
  </si>
  <si>
    <t>Cum streak req - R1</t>
  </si>
  <si>
    <t>Cum streak req - R2</t>
  </si>
  <si>
    <t>Cum streak req - R3</t>
  </si>
  <si>
    <t>Chuck Challenge</t>
  </si>
  <si>
    <t>Current HC reward - R1</t>
  </si>
  <si>
    <t>Current HC reward - R2</t>
  </si>
  <si>
    <t>Current HC reward - R3</t>
  </si>
  <si>
    <t>Date</t>
  </si>
  <si>
    <t>NEW HC reward - R1</t>
  </si>
  <si>
    <t>% of DAU</t>
  </si>
  <si>
    <t>NEW HC reward - R2</t>
  </si>
  <si>
    <t>Payer rate (%)</t>
  </si>
  <si>
    <t>NEW HC reward - R3</t>
  </si>
  <si>
    <t>Core</t>
  </si>
  <si>
    <t>Diff HC - R1</t>
  </si>
  <si>
    <t>HC net (gain − spend) / player</t>
  </si>
  <si>
    <t>Diff HC - R2</t>
  </si>
  <si>
    <t>Daily Gift</t>
  </si>
  <si>
    <t>Diff HC - R3</t>
  </si>
  <si>
    <t>VARIANT DATA</t>
  </si>
  <si>
    <t>Claim rate / player-day - R1 (%)</t>
  </si>
  <si>
    <t>R1 finished (%) [actual]</t>
  </si>
  <si>
    <t>R2 finished (%) [actual]</t>
  </si>
  <si>
    <t>Daily Night Sky Prize</t>
  </si>
  <si>
    <t>R3 finished (%) [actual]</t>
  </si>
  <si>
    <t>Δ%</t>
  </si>
  <si>
    <t>Flock Flurry</t>
  </si>
  <si>
    <t>Hatchling Hideaway</t>
  </si>
  <si>
    <t>Claim rate / player-day - R2 (%)</t>
  </si>
  <si>
    <t>Jigsaw</t>
  </si>
  <si>
    <t>Kite Festival</t>
  </si>
  <si>
    <t>Claim rate / player-day - R3 (%)</t>
  </si>
  <si>
    <t>Level Race</t>
  </si>
  <si>
    <t>Other</t>
  </si>
  <si>
    <t>Daily streak p50</t>
  </si>
  <si>
    <t>Photoshoot</t>
  </si>
  <si>
    <t>Red Challenge</t>
  </si>
  <si>
    <t>Daily streak p75</t>
  </si>
  <si>
    <t>River Rush</t>
  </si>
  <si>
    <t>Saga</t>
  </si>
  <si>
    <t>Daily streak p90</t>
  </si>
  <si>
    <t>Season Pass (Free)</t>
  </si>
  <si>
    <t>Target Day</t>
  </si>
  <si>
    <t>NS HC PER PLAYER-DAY</t>
  </si>
  <si>
    <t>NS HC gain per Player NOW (est)</t>
  </si>
  <si>
    <t>NS HC with new Config</t>
  </si>
  <si>
    <t>Team Event</t>
  </si>
  <si>
    <t>Diff NS HC / player-day</t>
  </si>
  <si>
    <t>Team Race</t>
  </si>
  <si>
    <t>NS uplift %</t>
  </si>
  <si>
    <t>TOTAL HC GAIN / PLAYER</t>
  </si>
  <si>
    <t>Flash Race</t>
  </si>
  <si>
    <t>FlowerCoop</t>
  </si>
  <si>
    <t>Variant (as tested)</t>
  </si>
  <si>
    <t>Rainbow Maker</t>
  </si>
  <si>
    <t>IAPs</t>
  </si>
  <si>
    <t>Variant + proposal</t>
  </si>
  <si>
    <t>NS share of HC gain (now)</t>
  </si>
  <si>
    <t>HC Change % Control vs Variant (Current)</t>
  </si>
  <si>
    <t>HC Change % Control vs NEW Estimate</t>
  </si>
  <si>
    <t>event_date</t>
  </si>
  <si>
    <t>ab_group</t>
  </si>
  <si>
    <t>avg_completions_7d_bucket</t>
  </si>
  <si>
    <t>players</t>
  </si>
  <si>
    <t>pct_of_dau</t>
  </si>
  <si>
    <t>total_revenue</t>
  </si>
  <si>
    <t>arpdau</t>
  </si>
  <si>
    <t>payer_rate_pct</t>
  </si>
  <si>
    <t>arppu</t>
  </si>
  <si>
    <t>avg_time_spent_mins</t>
  </si>
  <si>
    <t>avg_level_attempts</t>
  </si>
  <si>
    <t>avg_level_completes</t>
  </si>
  <si>
    <t>pass_rate</t>
  </si>
  <si>
    <t>oom_rate</t>
  </si>
  <si>
    <t>foom_rate</t>
  </si>
  <si>
    <t>avg_apc</t>
  </si>
  <si>
    <t>avg_hc_gain_total</t>
  </si>
  <si>
    <t>avg_hc_gain_total_minus_saga</t>
  </si>
  <si>
    <t>avg_hc_gain_saga</t>
  </si>
  <si>
    <t>avg_hc_gain_paid</t>
  </si>
  <si>
    <t>avg_hc_gain_free</t>
  </si>
  <si>
    <t>avg_hc_spent</t>
  </si>
  <si>
    <t>hc_spent_per_attempt</t>
  </si>
  <si>
    <t>paid_pct_of_total_gain</t>
  </si>
  <si>
    <t>p50_hc_balance</t>
  </si>
  <si>
    <t>p75_hc_balance</t>
  </si>
  <si>
    <t>p90_hc_balance</t>
  </si>
  <si>
    <t>avg_player_performance</t>
  </si>
  <si>
    <t>avg_pr_last_50_levels</t>
  </si>
  <si>
    <t>avg_daily_streak</t>
  </si>
  <si>
    <t>p25_daily_streak</t>
  </si>
  <si>
    <t>p50_daily_streak</t>
  </si>
  <si>
    <t>p75_daily_streak</t>
  </si>
  <si>
    <t>p90_daily_streak</t>
  </si>
  <si>
    <t>pct_player_days_passed_R1</t>
  </si>
  <si>
    <t>pct_player_days_passed_R2</t>
  </si>
  <si>
    <t>pct_player_days_passed_R3</t>
  </si>
  <si>
    <t>d1_churn_rate</t>
  </si>
  <si>
    <t>actual_liveops_active_rate_pct</t>
  </si>
  <si>
    <t>actual_pct_finished_R1</t>
  </si>
  <si>
    <t>actual_pct_finished_R2</t>
  </si>
  <si>
    <t>actual_pct_finished_R3</t>
  </si>
  <si>
    <t>avg_booster_gain_total</t>
  </si>
  <si>
    <t>avg_booster_gain_paid</t>
  </si>
  <si>
    <t>avg_booster_gain_free</t>
  </si>
  <si>
    <t>avg_booster_spend</t>
  </si>
  <si>
    <t>booster_spend_per_attempt</t>
  </si>
  <si>
    <t>hc_clean_players</t>
  </si>
  <si>
    <t>hc_excluded_players</t>
  </si>
  <si>
    <t>avg_hc_gain_CORE</t>
  </si>
  <si>
    <t>avg_hc_gain_META</t>
  </si>
  <si>
    <t>avg_hc_gain_ADS</t>
  </si>
  <si>
    <t>avg_hc_gain_PURCHASE</t>
  </si>
  <si>
    <t>avg_hc_gain_OTHER</t>
  </si>
  <si>
    <t>p99_daily_streak</t>
  </si>
  <si>
    <t>p99_hc_balance</t>
  </si>
  <si>
    <t>avg_prelevel_gain_total</t>
  </si>
  <si>
    <t>avg_prelevel_gain_paid</t>
  </si>
  <si>
    <t>avg_prelevel_gain_free</t>
  </si>
  <si>
    <t>avg_prelevel_spend</t>
  </si>
  <si>
    <t>prelevel_spend_per_attempt</t>
  </si>
  <si>
    <t>avg_ingame_gain_total</t>
  </si>
  <si>
    <t>avg_ingame_gain_paid</t>
  </si>
  <si>
    <t>avg_ingame_gain_free</t>
  </si>
  <si>
    <t>avg_ingame_spend</t>
  </si>
  <si>
    <t>ingame_spend_per_attempt</t>
  </si>
  <si>
    <t>avg_red_gain_total</t>
  </si>
  <si>
    <t>avg_red_gain_paid</t>
  </si>
  <si>
    <t>avg_red_gain_free</t>
  </si>
  <si>
    <t>avg_red_spend</t>
  </si>
  <si>
    <t>avg_chuck_gain_total</t>
  </si>
  <si>
    <t>avg_chuck_gain_paid</t>
  </si>
  <si>
    <t>avg_chuck_gain_free</t>
  </si>
  <si>
    <t>avg_chuck_spend</t>
  </si>
  <si>
    <t>avg_bomb_gain_total</t>
  </si>
  <si>
    <t>avg_bomb_gain_paid</t>
  </si>
  <si>
    <t>avg_bomb_gain_free</t>
  </si>
  <si>
    <t>avg_bomb_spend</t>
  </si>
  <si>
    <t>avg_star_gain_total</t>
  </si>
  <si>
    <t>avg_star_gain_paid</t>
  </si>
  <si>
    <t>avg_star_gain_free</t>
  </si>
  <si>
    <t>avg_star_spend</t>
  </si>
  <si>
    <t>avg_slingshot_gain_total</t>
  </si>
  <si>
    <t>avg_slingshot_gain_paid</t>
  </si>
  <si>
    <t>avg_slingshot_gain_free</t>
  </si>
  <si>
    <t>avg_slingshot_spend</t>
  </si>
  <si>
    <t>avg_shuffle_gain_total</t>
  </si>
  <si>
    <t>avg_shuffle_gain_paid</t>
  </si>
  <si>
    <t>avg_shuffle_gain_free</t>
  </si>
  <si>
    <t>avg_shuffle_spend</t>
  </si>
  <si>
    <t>avg_spt_gain_total</t>
  </si>
  <si>
    <t>spt_gainer_rate_pct</t>
  </si>
  <si>
    <t>avg_spt_gain_per_gainer</t>
  </si>
  <si>
    <t>avg_spt_gain_CORE</t>
  </si>
  <si>
    <t>avg_spt_gain_RAINBOW</t>
  </si>
  <si>
    <t>avg_spt_gain_OFFER</t>
  </si>
  <si>
    <t>avg_spt_gain_EVENT</t>
  </si>
  <si>
    <t>avg_spt_gain_OTHER</t>
  </si>
  <si>
    <t>hc_players_over_config</t>
  </si>
  <si>
    <t>avg_hc_excess_removed</t>
  </si>
  <si>
    <t>avg_hc_gain_total_uncorrected</t>
  </si>
  <si>
    <t>avg_spt_excess_removed</t>
  </si>
  <si>
    <t>avg_spt_gain_RAINBOW_uncorrected</t>
  </si>
  <si>
    <t>A. 0</t>
  </si>
  <si>
    <t>todo</t>
  </si>
  <si>
    <t>x</t>
  </si>
  <si>
    <t>NS reward increase (careful wiht 100+)</t>
  </si>
  <si>
    <t>look into 100+ net</t>
  </si>
  <si>
    <t>Booster analysis</t>
  </si>
  <si>
    <t>ulbs</t>
  </si>
  <si>
    <t>SPTs</t>
  </si>
  <si>
    <t>HC NET (gain - spend) / player</t>
  </si>
  <si>
    <t>is_total</t>
  </si>
  <si>
    <t>player_days</t>
  </si>
  <si>
    <t>period_start</t>
  </si>
  <si>
    <t>period_end</t>
  </si>
  <si>
    <t>active_dates</t>
  </si>
  <si>
    <t>payers_distinct</t>
  </si>
  <si>
    <t>revenue_per_player_period</t>
  </si>
  <si>
    <t>p50_min_hc_balance</t>
  </si>
  <si>
    <t>p50_max_hc_balance</t>
  </si>
  <si>
    <t>hc_player_days_over_config</t>
  </si>
  <si>
    <t>hc_gain_total_period_per_player</t>
  </si>
  <si>
    <t>spt_gain_total_period_per_player</t>
  </si>
  <si>
    <t>ALL</t>
  </si>
  <si>
    <t>Previous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</si>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</sst>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\+0.00%;\-0.00%;0.00%"/>
    <numFmt numFmtId="165" formatCode="\$#,##0"/>
    <numFmt numFmtId="166" formatCode="[$$]#,##0.00"/>
    <numFmt numFmtId="167" formatCode="\$0.0000"/>
    <numFmt numFmtId="168" formatCode="0.0000"/>
    <numFmt numFmtId="169" formatCode="0.000"/>
    <numFmt numFmtId="170" formatCode="0.00\%"/>
    <numFmt numFmtId="171" formatCode="#,##0.00;[Red]-#,##0.00"/>
    <numFmt numFmtId="172" formatCode="yyyy\-mm\-dd"/>
    <numFmt numFmtId="173" formatCode="+0.00%;-0.00%;0.00%"/>
    <numFmt numFmtId="174" formatCode="0.0%"/>
    <numFmt numFmtId="175" formatCode="yyyy-mm-dd"/>
  </numFmts>
  <fonts count="33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0.0"/>
      <color rgb="FF1F3864"/>
      <name val="Arial"/>
    </font>
    <font>
      <color theme="1"/>
      <name val="Calibri"/>
      <scheme val="minor"/>
    </font>
    <font>
      <sz val="10.0"/>
      <color theme="1"/>
      <name val="Arial"/>
    </font>
    <font/>
    <font>
      <b/>
      <sz val="10.0"/>
      <color rgb="FFFFFFFF"/>
      <name val="Arial"/>
    </font>
    <font>
      <b/>
      <sz val="10.0"/>
      <color rgb="FF3F3F3F"/>
      <name val="Arial"/>
    </font>
    <font>
      <b/>
      <sz val="10.0"/>
      <color rgb="FF980000"/>
      <name val="Arial"/>
    </font>
    <font>
      <b/>
      <sz val="10.0"/>
      <color rgb="FF9C0006"/>
      <name val="Arial"/>
    </font>
    <font>
      <b/>
      <sz val="10.0"/>
      <color rgb="FF006100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sz val="9.0"/>
      <color theme="1"/>
      <name val="Arial"/>
    </font>
    <font>
      <color theme="1"/>
      <name val="Calibri"/>
    </font>
    <font>
      <b/>
      <sz val="11.0"/>
      <color theme="1"/>
      <name val="Arial"/>
    </font>
    <font>
      <i/>
      <sz val="11.0"/>
      <color rgb="FF808080"/>
      <name val="Arial"/>
    </font>
    <font>
      <sz val="8.0"/>
      <color rgb="FF7F7F7F"/>
      <name val="Arial"/>
    </font>
    <font>
      <sz val="10.0"/>
      <color rgb="FFFF0000"/>
      <name val="Arial"/>
    </font>
    <font>
      <sz val="10.0"/>
      <color rgb="FF000000"/>
      <name val="Arial"/>
    </font>
    <font>
      <i/>
      <sz val="9.0"/>
      <color rgb="FF7F7F7F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b/>
      <color rgb="FFFFFFFF"/>
      <name val="Arial"/>
    </font>
    <font>
      <sz val="11.0"/>
      <color theme="1"/>
      <name val="Arial"/>
    </font>
    <font>
      <b/>
      <sz val="11.0"/>
      <color rgb="FF3F3F3F"/>
      <name val="Arial"/>
    </font>
    <font>
      <b/>
      <sz val="11.0"/>
      <color rgb="FF006100"/>
      <name val="Arial"/>
    </font>
    <font>
      <b/>
      <sz val="11.0"/>
      <color rgb="FF9C0006"/>
      <name val="Arial"/>
    </font>
    <font>
      <b/>
      <color theme="1"/>
      <name val="Calibri"/>
      <scheme val="minor"/>
    </font>
    <font>
      <color rgb="FFFF0000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CF2FD"/>
        <bgColor rgb="FFECF2FD"/>
      </patternFill>
    </fill>
  </fills>
  <borders count="2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000000"/>
      </right>
      <top style="thin">
        <color rgb="FFBFBFBF"/>
      </top>
      <bottom/>
    </border>
    <border>
      <left/>
      <right style="thin">
        <color rgb="FF000000"/>
      </right>
      <top/>
      <bottom/>
    </border>
    <border>
      <left style="thin">
        <color rgb="FFBFBFBF"/>
      </left>
      <right style="thin">
        <color rgb="FF000000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000000"/>
      </top>
      <bottom style="thin">
        <color rgb="FFBFBFBF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1" fillId="3" fontId="4" numFmtId="0" xfId="0" applyBorder="1" applyFill="1" applyFont="1"/>
    <xf borderId="3" fillId="0" fontId="3" numFmtId="0" xfId="0" applyBorder="1" applyFont="1"/>
    <xf borderId="1" fillId="3" fontId="3" numFmtId="0" xfId="0" applyBorder="1" applyFont="1"/>
    <xf borderId="2" fillId="0" fontId="5" numFmtId="0" xfId="0" applyBorder="1" applyFont="1"/>
    <xf borderId="1" fillId="4" fontId="3" numFmtId="0" xfId="0" applyBorder="1" applyFill="1" applyFont="1"/>
    <xf borderId="4" fillId="2" fontId="2" numFmtId="0" xfId="0" applyAlignment="1" applyBorder="1" applyFont="1">
      <alignment horizontal="center" vertical="center"/>
    </xf>
    <xf borderId="1" fillId="4" fontId="6" numFmtId="0" xfId="0" applyBorder="1" applyFont="1"/>
    <xf borderId="5" fillId="2" fontId="2" numFmtId="0" xfId="0" applyAlignment="1" applyBorder="1" applyFont="1">
      <alignment horizontal="center" vertical="center"/>
    </xf>
    <xf borderId="6" fillId="5" fontId="2" numFmtId="0" xfId="0" applyAlignment="1" applyBorder="1" applyFill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" fillId="4" fontId="6" numFmtId="3" xfId="0" applyAlignment="1" applyBorder="1" applyFont="1" applyNumberFormat="1">
      <alignment horizontal="right"/>
    </xf>
    <xf borderId="10" fillId="5" fontId="2" numFmtId="0" xfId="0" applyAlignment="1" applyBorder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13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6" fontId="9" numFmtId="3" xfId="0" applyAlignment="1" applyBorder="1" applyFill="1" applyFont="1" applyNumberFormat="1">
      <alignment horizontal="right"/>
    </xf>
    <xf borderId="14" fillId="2" fontId="8" numFmtId="0" xfId="0" applyAlignment="1" applyBorder="1" applyFont="1">
      <alignment horizontal="center"/>
    </xf>
    <xf borderId="15" fillId="2" fontId="8" numFmtId="0" xfId="0" applyAlignment="1" applyBorder="1" applyFont="1">
      <alignment horizontal="center"/>
    </xf>
    <xf borderId="16" fillId="2" fontId="8" numFmtId="0" xfId="0" applyAlignment="1" applyBorder="1" applyFont="1">
      <alignment horizontal="center"/>
    </xf>
    <xf borderId="1" fillId="6" fontId="9" numFmtId="164" xfId="0" applyAlignment="1" applyBorder="1" applyFont="1" applyNumberFormat="1">
      <alignment horizontal="right"/>
    </xf>
    <xf borderId="1" fillId="3" fontId="4" numFmtId="0" xfId="0" applyAlignment="1" applyBorder="1" applyFont="1">
      <alignment vertical="center"/>
    </xf>
    <xf borderId="16" fillId="3" fontId="3" numFmtId="0" xfId="0" applyBorder="1" applyFont="1"/>
    <xf borderId="13" fillId="3" fontId="3" numFmtId="0" xfId="0" applyBorder="1" applyFont="1"/>
    <xf borderId="14" fillId="3" fontId="3" numFmtId="0" xfId="0" applyBorder="1" applyFont="1"/>
    <xf borderId="1" fillId="4" fontId="6" numFmtId="165" xfId="0" applyAlignment="1" applyBorder="1" applyFont="1" applyNumberFormat="1">
      <alignment horizontal="right"/>
    </xf>
    <xf borderId="15" fillId="3" fontId="3" numFmtId="0" xfId="0" applyBorder="1" applyFont="1"/>
    <xf borderId="16" fillId="4" fontId="6" numFmtId="0" xfId="0" applyBorder="1" applyFont="1"/>
    <xf borderId="1" fillId="7" fontId="10" numFmtId="166" xfId="0" applyAlignment="1" applyBorder="1" applyFill="1" applyFont="1" applyNumberFormat="1">
      <alignment horizontal="right"/>
    </xf>
    <xf borderId="1" fillId="8" fontId="11" numFmtId="164" xfId="0" applyAlignment="1" applyBorder="1" applyFill="1" applyFont="1" applyNumberFormat="1">
      <alignment horizontal="right"/>
    </xf>
    <xf borderId="1" fillId="4" fontId="6" numFmtId="167" xfId="0" applyAlignment="1" applyBorder="1" applyFont="1" applyNumberFormat="1">
      <alignment horizontal="right"/>
    </xf>
    <xf borderId="13" fillId="4" fontId="6" numFmtId="3" xfId="0" applyAlignment="1" applyBorder="1" applyFont="1" applyNumberFormat="1">
      <alignment horizontal="right"/>
    </xf>
    <xf borderId="14" fillId="6" fontId="9" numFmtId="164" xfId="0" applyAlignment="1" applyBorder="1" applyFont="1" applyNumberFormat="1">
      <alignment horizontal="right"/>
    </xf>
    <xf borderId="15" fillId="4" fontId="6" numFmtId="3" xfId="0" applyAlignment="1" applyBorder="1" applyFont="1" applyNumberFormat="1">
      <alignment horizontal="right"/>
    </xf>
    <xf borderId="1" fillId="4" fontId="6" numFmtId="2" xfId="0" applyAlignment="1" applyBorder="1" applyFont="1" applyNumberFormat="1">
      <alignment horizontal="right"/>
    </xf>
    <xf borderId="1" fillId="9" fontId="12" numFmtId="2" xfId="0" applyAlignment="1" applyBorder="1" applyFill="1" applyFont="1" applyNumberFormat="1">
      <alignment horizontal="right"/>
    </xf>
    <xf borderId="16" fillId="6" fontId="9" numFmtId="164" xfId="0" applyAlignment="1" applyBorder="1" applyFont="1" applyNumberFormat="1">
      <alignment horizontal="right"/>
    </xf>
    <xf borderId="1" fillId="9" fontId="12" numFmtId="164" xfId="0" applyAlignment="1" applyBorder="1" applyFont="1" applyNumberFormat="1">
      <alignment horizontal="right"/>
    </xf>
    <xf borderId="13" fillId="4" fontId="6" numFmtId="165" xfId="0" applyAlignment="1" applyBorder="1" applyFont="1" applyNumberFormat="1">
      <alignment horizontal="right"/>
    </xf>
    <xf borderId="1" fillId="4" fontId="6" numFmtId="0" xfId="0" applyAlignment="1" applyBorder="1" applyFont="1">
      <alignment readingOrder="0"/>
    </xf>
    <xf borderId="14" fillId="9" fontId="12" numFmtId="164" xfId="0" applyAlignment="1" applyBorder="1" applyFont="1" applyNumberFormat="1">
      <alignment horizontal="right"/>
    </xf>
    <xf borderId="15" fillId="4" fontId="6" numFmtId="165" xfId="0" applyAlignment="1" applyBorder="1" applyFont="1" applyNumberFormat="1">
      <alignment horizontal="right"/>
    </xf>
    <xf borderId="1" fillId="4" fontId="6" numFmtId="168" xfId="0" applyAlignment="1" applyBorder="1" applyFont="1" applyNumberFormat="1">
      <alignment horizontal="right"/>
    </xf>
    <xf borderId="16" fillId="9" fontId="12" numFmtId="164" xfId="0" applyAlignment="1" applyBorder="1" applyFont="1" applyNumberFormat="1">
      <alignment horizontal="right"/>
    </xf>
    <xf borderId="1" fillId="6" fontId="9" numFmtId="168" xfId="0" applyAlignment="1" applyBorder="1" applyFont="1" applyNumberFormat="1">
      <alignment horizontal="right"/>
    </xf>
    <xf borderId="14" fillId="8" fontId="11" numFmtId="164" xfId="0" applyAlignment="1" applyBorder="1" applyFont="1" applyNumberFormat="1">
      <alignment horizontal="right"/>
    </xf>
    <xf borderId="1" fillId="6" fontId="9" numFmtId="2" xfId="0" applyAlignment="1" applyBorder="1" applyFont="1" applyNumberFormat="1">
      <alignment horizontal="right"/>
    </xf>
    <xf borderId="1" fillId="4" fontId="13" numFmtId="0" xfId="0" applyBorder="1" applyFont="1"/>
    <xf borderId="16" fillId="8" fontId="11" numFmtId="164" xfId="0" applyAlignment="1" applyBorder="1" applyFont="1" applyNumberFormat="1">
      <alignment horizontal="right"/>
    </xf>
    <xf borderId="1" fillId="8" fontId="11" numFmtId="169" xfId="0" applyAlignment="1" applyBorder="1" applyFont="1" applyNumberFormat="1">
      <alignment horizontal="right"/>
    </xf>
    <xf borderId="0" fillId="0" fontId="5" numFmtId="10" xfId="0" applyFont="1" applyNumberFormat="1"/>
    <xf borderId="13" fillId="4" fontId="6" numFmtId="167" xfId="0" applyAlignment="1" applyBorder="1" applyFont="1" applyNumberFormat="1">
      <alignment horizontal="right"/>
    </xf>
    <xf borderId="15" fillId="4" fontId="6" numFmtId="167" xfId="0" applyAlignment="1" applyBorder="1" applyFont="1" applyNumberFormat="1">
      <alignment horizontal="right"/>
    </xf>
    <xf borderId="1" fillId="8" fontId="11" numFmtId="2" xfId="0" applyAlignment="1" applyBorder="1" applyFont="1" applyNumberFormat="1">
      <alignment horizontal="right"/>
    </xf>
    <xf borderId="1" fillId="4" fontId="6" numFmtId="0" xfId="0" applyBorder="1" applyFont="1"/>
    <xf borderId="13" fillId="4" fontId="6" numFmtId="170" xfId="0" applyAlignment="1" applyBorder="1" applyFont="1" applyNumberFormat="1">
      <alignment horizontal="right"/>
    </xf>
    <xf borderId="1" fillId="4" fontId="6" numFmtId="170" xfId="0" applyAlignment="1" applyBorder="1" applyFont="1" applyNumberFormat="1">
      <alignment horizontal="right"/>
    </xf>
    <xf borderId="15" fillId="4" fontId="6" numFmtId="170" xfId="0" applyAlignment="1" applyBorder="1" applyFont="1" applyNumberFormat="1">
      <alignment horizontal="right"/>
    </xf>
    <xf borderId="1" fillId="8" fontId="11" numFmtId="170" xfId="0" applyAlignment="1" applyBorder="1" applyFont="1" applyNumberFormat="1">
      <alignment horizontal="right"/>
    </xf>
    <xf borderId="1" fillId="9" fontId="12" numFmtId="170" xfId="0" applyAlignment="1" applyBorder="1" applyFont="1" applyNumberFormat="1">
      <alignment horizontal="right"/>
    </xf>
    <xf borderId="1" fillId="9" fontId="12" numFmtId="168" xfId="0" applyAlignment="1" applyBorder="1" applyFont="1" applyNumberFormat="1">
      <alignment horizontal="right"/>
    </xf>
    <xf borderId="1" fillId="4" fontId="6" numFmtId="0" xfId="0" applyAlignment="1" applyBorder="1" applyFont="1">
      <alignment readingOrder="0"/>
    </xf>
    <xf borderId="1" fillId="9" fontId="12" numFmtId="169" xfId="0" applyAlignment="1" applyBorder="1" applyFont="1" applyNumberFormat="1">
      <alignment horizontal="right"/>
    </xf>
    <xf borderId="1" fillId="3" fontId="4" numFmtId="0" xfId="0" applyAlignment="1" applyBorder="1" applyFont="1">
      <alignment readingOrder="0"/>
    </xf>
    <xf borderId="1" fillId="4" fontId="13" numFmtId="0" xfId="0" applyAlignment="1" applyBorder="1" applyFont="1">
      <alignment readingOrder="0"/>
    </xf>
    <xf borderId="13" fillId="4" fontId="6" numFmtId="2" xfId="0" applyAlignment="1" applyBorder="1" applyFont="1" applyNumberFormat="1">
      <alignment horizontal="right"/>
    </xf>
    <xf borderId="15" fillId="4" fontId="6" numFmtId="2" xfId="0" applyAlignment="1" applyBorder="1" applyFont="1" applyNumberFormat="1">
      <alignment horizontal="right"/>
    </xf>
    <xf borderId="1" fillId="3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17" fillId="10" fontId="14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17" fillId="11" fontId="2" numFmtId="0" xfId="0" applyAlignment="1" applyBorder="1" applyFill="1" applyFont="1">
      <alignment vertical="bottom"/>
    </xf>
    <xf borderId="17" fillId="11" fontId="15" numFmtId="0" xfId="0" applyAlignment="1" applyBorder="1" applyFont="1">
      <alignment vertical="bottom"/>
    </xf>
    <xf borderId="18" fillId="12" fontId="16" numFmtId="0" xfId="0" applyAlignment="1" applyBorder="1" applyFill="1" applyFont="1">
      <alignment horizontal="center" textRotation="0" vertical="bottom"/>
    </xf>
    <xf borderId="18" fillId="12" fontId="16" numFmtId="0" xfId="0" applyAlignment="1" applyBorder="1" applyFont="1">
      <alignment horizontal="center" textRotation="180" vertical="bottom"/>
    </xf>
    <xf borderId="18" fillId="0" fontId="16" numFmtId="0" xfId="0" applyAlignment="1" applyBorder="1" applyFont="1">
      <alignment vertical="bottom"/>
    </xf>
    <xf borderId="18" fillId="13" fontId="17" numFmtId="171" xfId="0" applyAlignment="1" applyBorder="1" applyFill="1" applyFont="1" applyNumberFormat="1">
      <alignment horizontal="center" vertical="bottom"/>
    </xf>
    <xf borderId="18" fillId="13" fontId="15" numFmtId="171" xfId="0" applyAlignment="1" applyBorder="1" applyFont="1" applyNumberFormat="1">
      <alignment horizontal="center" vertical="bottom"/>
    </xf>
    <xf borderId="0" fillId="0" fontId="5" numFmtId="10" xfId="0" applyFont="1" applyNumberFormat="1"/>
    <xf borderId="0" fillId="0" fontId="18" numFmtId="0" xfId="0" applyAlignment="1" applyFont="1">
      <alignment horizontal="right" vertical="bottom"/>
    </xf>
    <xf borderId="18" fillId="14" fontId="16" numFmtId="0" xfId="0" applyAlignment="1" applyBorder="1" applyFill="1" applyFont="1">
      <alignment vertical="bottom"/>
    </xf>
    <xf borderId="19" fillId="15" fontId="18" numFmtId="0" xfId="0" applyAlignment="1" applyBorder="1" applyFill="1" applyFont="1">
      <alignment horizontal="center" readingOrder="0" vertical="bottom"/>
    </xf>
    <xf borderId="18" fillId="16" fontId="15" numFmtId="171" xfId="0" applyAlignment="1" applyBorder="1" applyFill="1" applyFont="1" applyNumberFormat="1">
      <alignment horizontal="center" vertical="bottom"/>
    </xf>
    <xf borderId="0" fillId="0" fontId="19" numFmtId="0" xfId="0" applyAlignment="1" applyFont="1">
      <alignment vertical="bottom"/>
    </xf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6" fontId="6" numFmtId="0" xfId="0" applyBorder="1" applyFont="1"/>
    <xf borderId="1" fillId="6" fontId="20" numFmtId="0" xfId="0" applyBorder="1" applyFont="1"/>
    <xf borderId="1" fillId="6" fontId="20" numFmtId="0" xfId="0" applyAlignment="1" applyBorder="1" applyFont="1">
      <alignment horizontal="center"/>
    </xf>
    <xf borderId="1" fillId="3" fontId="6" numFmtId="0" xfId="0" applyBorder="1" applyFont="1"/>
    <xf borderId="1" fillId="15" fontId="21" numFmtId="0" xfId="0" applyBorder="1" applyFont="1"/>
    <xf borderId="0" fillId="0" fontId="3" numFmtId="0" xfId="0" applyAlignment="1" applyFont="1">
      <alignment readingOrder="0" vertical="bottom"/>
    </xf>
    <xf borderId="1" fillId="15" fontId="22" numFmtId="0" xfId="0" applyBorder="1" applyFont="1"/>
    <xf borderId="1" fillId="15" fontId="22" numFmtId="3" xfId="0" applyAlignment="1" applyBorder="1" applyFont="1" applyNumberFormat="1">
      <alignment horizontal="right"/>
    </xf>
    <xf borderId="0" fillId="0" fontId="23" numFmtId="0" xfId="0" applyFont="1"/>
    <xf borderId="4" fillId="15" fontId="22" numFmtId="3" xfId="0" applyAlignment="1" applyBorder="1" applyFont="1" applyNumberFormat="1">
      <alignment horizontal="right"/>
    </xf>
    <xf borderId="20" fillId="15" fontId="22" numFmtId="3" xfId="0" applyAlignment="1" applyBorder="1" applyFont="1" applyNumberFormat="1">
      <alignment horizontal="right"/>
    </xf>
    <xf borderId="4" fillId="2" fontId="2" numFmtId="0" xfId="0" applyAlignment="1" applyBorder="1" applyFont="1">
      <alignment horizontal="center"/>
    </xf>
    <xf borderId="1" fillId="15" fontId="24" numFmtId="0" xfId="0" applyAlignment="1" applyBorder="1" applyFont="1">
      <alignment readingOrder="0"/>
    </xf>
    <xf borderId="20" fillId="15" fontId="24" numFmtId="3" xfId="0" applyAlignment="1" applyBorder="1" applyFont="1" applyNumberFormat="1">
      <alignment horizontal="right"/>
    </xf>
    <xf borderId="21" fillId="5" fontId="2" numFmtId="0" xfId="0" applyAlignment="1" applyBorder="1" applyFont="1">
      <alignment horizontal="center"/>
    </xf>
    <xf borderId="20" fillId="15" fontId="24" numFmtId="3" xfId="0" applyAlignment="1" applyBorder="1" applyFont="1" applyNumberFormat="1">
      <alignment horizontal="right" readingOrder="0"/>
    </xf>
    <xf borderId="22" fillId="0" fontId="7" numFmtId="0" xfId="0" applyBorder="1" applyFont="1"/>
    <xf borderId="23" fillId="0" fontId="7" numFmtId="0" xfId="0" applyBorder="1" applyFont="1"/>
    <xf borderId="20" fillId="15" fontId="25" numFmtId="3" xfId="0" applyAlignment="1" applyBorder="1" applyFont="1" applyNumberFormat="1">
      <alignment horizontal="right" readingOrder="0"/>
    </xf>
    <xf borderId="1" fillId="15" fontId="24" numFmtId="3" xfId="0" applyAlignment="1" applyBorder="1" applyFont="1" applyNumberFormat="1">
      <alignment horizontal="right" readingOrder="0"/>
    </xf>
    <xf borderId="1" fillId="15" fontId="25" numFmtId="3" xfId="0" applyAlignment="1" applyBorder="1" applyFont="1" applyNumberFormat="1">
      <alignment horizontal="right" readingOrder="0"/>
    </xf>
    <xf borderId="4" fillId="15" fontId="24" numFmtId="3" xfId="0" applyAlignment="1" applyBorder="1" applyFont="1" applyNumberFormat="1">
      <alignment horizontal="right" readingOrder="0"/>
    </xf>
    <xf borderId="4" fillId="15" fontId="25" numFmtId="3" xfId="0" applyAlignment="1" applyBorder="1" applyFont="1" applyNumberFormat="1">
      <alignment horizontal="right" readingOrder="0"/>
    </xf>
    <xf borderId="1" fillId="4" fontId="21" numFmtId="0" xfId="0" applyBorder="1" applyFont="1"/>
    <xf borderId="6" fillId="4" fontId="22" numFmtId="0" xfId="0" applyAlignment="1" applyBorder="1" applyFont="1">
      <alignment readingOrder="0"/>
    </xf>
    <xf borderId="20" fillId="4" fontId="6" numFmtId="1" xfId="0" applyAlignment="1" applyBorder="1" applyFont="1" applyNumberFormat="1">
      <alignment horizontal="right"/>
    </xf>
    <xf borderId="20" fillId="4" fontId="6" numFmtId="2" xfId="0" applyAlignment="1" applyBorder="1" applyFont="1" applyNumberFormat="1">
      <alignment horizontal="right"/>
    </xf>
    <xf borderId="11" fillId="3" fontId="6" numFmtId="0" xfId="0" applyBorder="1" applyFont="1"/>
    <xf borderId="1" fillId="2" fontId="26" numFmtId="0" xfId="0" applyAlignment="1" applyBorder="1" applyFont="1">
      <alignment horizontal="center" vertical="bottom"/>
    </xf>
    <xf borderId="1" fillId="0" fontId="27" numFmtId="172" xfId="0" applyAlignment="1" applyBorder="1" applyFont="1" applyNumberFormat="1">
      <alignment horizontal="right" vertical="bottom"/>
    </xf>
    <xf borderId="1" fillId="0" fontId="27" numFmtId="3" xfId="0" applyAlignment="1" applyBorder="1" applyFont="1" applyNumberFormat="1">
      <alignment horizontal="right" vertical="bottom"/>
    </xf>
    <xf borderId="1" fillId="6" fontId="28" numFmtId="164" xfId="0" applyAlignment="1" applyBorder="1" applyFont="1" applyNumberFormat="1">
      <alignment horizontal="right" vertical="bottom"/>
    </xf>
    <xf borderId="1" fillId="0" fontId="27" numFmtId="170" xfId="0" applyAlignment="1" applyBorder="1" applyFont="1" applyNumberFormat="1">
      <alignment horizontal="right" vertical="bottom"/>
    </xf>
    <xf borderId="1" fillId="0" fontId="27" numFmtId="165" xfId="0" applyAlignment="1" applyBorder="1" applyFont="1" applyNumberFormat="1">
      <alignment horizontal="right" vertical="bottom"/>
    </xf>
    <xf borderId="1" fillId="9" fontId="29" numFmtId="164" xfId="0" applyAlignment="1" applyBorder="1" applyFont="1" applyNumberFormat="1">
      <alignment horizontal="right" vertical="bottom"/>
    </xf>
    <xf borderId="1" fillId="0" fontId="27" numFmtId="167" xfId="0" applyAlignment="1" applyBorder="1" applyFont="1" applyNumberFormat="1">
      <alignment horizontal="right" vertical="bottom"/>
    </xf>
    <xf borderId="1" fillId="0" fontId="27" numFmtId="2" xfId="0" applyAlignment="1" applyBorder="1" applyFont="1" applyNumberFormat="1">
      <alignment horizontal="right" vertical="bottom"/>
    </xf>
    <xf borderId="1" fillId="4" fontId="6" numFmtId="4" xfId="0" applyAlignment="1" applyBorder="1" applyFont="1" applyNumberFormat="1">
      <alignment horizontal="right"/>
    </xf>
    <xf borderId="24" fillId="9" fontId="12" numFmtId="164" xfId="0" applyAlignment="1" applyBorder="1" applyFont="1" applyNumberFormat="1">
      <alignment horizontal="right"/>
    </xf>
    <xf borderId="16" fillId="4" fontId="6" numFmtId="0" xfId="0" applyAlignment="1" applyBorder="1" applyFont="1">
      <alignment readingOrder="0"/>
    </xf>
    <xf borderId="1" fillId="4" fontId="13" numFmtId="4" xfId="0" applyAlignment="1" applyBorder="1" applyFont="1" applyNumberFormat="1">
      <alignment horizontal="right"/>
    </xf>
    <xf borderId="1" fillId="0" fontId="27" numFmtId="168" xfId="0" applyAlignment="1" applyBorder="1" applyFont="1" applyNumberFormat="1">
      <alignment horizontal="right" vertical="bottom"/>
    </xf>
    <xf borderId="1" fillId="4" fontId="6" numFmtId="173" xfId="0" applyAlignment="1" applyBorder="1" applyFont="1" applyNumberFormat="1">
      <alignment horizontal="right"/>
    </xf>
    <xf borderId="1" fillId="8" fontId="30" numFmtId="164" xfId="0" applyAlignment="1" applyBorder="1" applyFont="1" applyNumberFormat="1">
      <alignment horizontal="right" vertical="bottom"/>
    </xf>
    <xf borderId="18" fillId="16" fontId="17" numFmtId="171" xfId="0" applyAlignment="1" applyBorder="1" applyFont="1" applyNumberFormat="1">
      <alignment horizontal="center" vertical="bottom"/>
    </xf>
    <xf borderId="0" fillId="0" fontId="15" numFmtId="0" xfId="0" applyAlignment="1" applyFont="1">
      <alignment vertical="bottom"/>
    </xf>
    <xf borderId="1" fillId="4" fontId="6" numFmtId="174" xfId="0" applyAlignment="1" applyBorder="1" applyFont="1" applyNumberFormat="1">
      <alignment horizontal="right"/>
    </xf>
    <xf borderId="25" fillId="3" fontId="3" numFmtId="0" xfId="0" applyBorder="1" applyFont="1"/>
    <xf borderId="1" fillId="17" fontId="13" numFmtId="173" xfId="0" applyAlignment="1" applyBorder="1" applyFill="1" applyFont="1" applyNumberFormat="1">
      <alignment horizontal="right"/>
    </xf>
    <xf borderId="13" fillId="4" fontId="6" numFmtId="168" xfId="0" applyAlignment="1" applyBorder="1" applyFont="1" applyNumberFormat="1">
      <alignment horizontal="right"/>
    </xf>
    <xf borderId="15" fillId="4" fontId="6" numFmtId="168" xfId="0" applyAlignment="1" applyBorder="1" applyFont="1" applyNumberFormat="1">
      <alignment horizontal="right"/>
    </xf>
    <xf borderId="0" fillId="0" fontId="15" numFmtId="0" xfId="0" applyAlignment="1" applyFont="1">
      <alignment horizontal="right" vertical="bottom"/>
    </xf>
    <xf borderId="1" fillId="2" fontId="2" numFmtId="0" xfId="0" applyAlignment="1" applyBorder="1" applyFont="1">
      <alignment horizontal="center" readingOrder="0"/>
    </xf>
    <xf borderId="14" fillId="4" fontId="6" numFmtId="168" xfId="0" applyAlignment="1" applyBorder="1" applyFont="1" applyNumberFormat="1">
      <alignment horizontal="right"/>
    </xf>
    <xf borderId="0" fillId="2" fontId="2" numFmtId="0" xfId="0" applyAlignment="1" applyFont="1">
      <alignment horizontal="center" readingOrder="0"/>
    </xf>
    <xf borderId="1" fillId="0" fontId="6" numFmtId="175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0" fillId="0" fontId="31" numFmtId="0" xfId="0" applyAlignment="1" applyFont="1">
      <alignment readingOrder="0"/>
    </xf>
    <xf borderId="14" fillId="4" fontId="6" numFmtId="2" xfId="0" applyAlignment="1" applyBorder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32" numFmtId="0" xfId="0" applyAlignment="1" applyFont="1">
      <alignment readingOrder="0"/>
    </xf>
    <xf borderId="16" fillId="4" fontId="13" numFmtId="0" xfId="0" applyBorder="1" applyFont="1"/>
    <xf borderId="1" fillId="0" fontId="3" numFmtId="170" xfId="0" applyAlignment="1" applyBorder="1" applyFont="1" applyNumberFormat="1">
      <alignment vertical="bottom"/>
    </xf>
    <xf borderId="1" fillId="8" fontId="3" numFmtId="164" xfId="0" applyAlignment="1" applyBorder="1" applyFont="1" applyNumberFormat="1">
      <alignment vertical="bottom"/>
    </xf>
    <xf borderId="1" fillId="9" fontId="3" numFmtId="164" xfId="0" applyAlignment="1" applyBorder="1" applyFont="1" applyNumberFormat="1">
      <alignment horizontal="right" vertical="bottom"/>
    </xf>
    <xf borderId="1" fillId="8" fontId="3" numFmtId="164" xfId="0" applyAlignment="1" applyBorder="1" applyFont="1" applyNumberFormat="1">
      <alignment horizontal="right" vertical="bottom"/>
    </xf>
    <xf borderId="26" fillId="8" fontId="11" numFmtId="164" xfId="0" applyAlignment="1" applyBorder="1" applyFont="1" applyNumberFormat="1">
      <alignment horizontal="right"/>
    </xf>
    <xf borderId="0" fillId="0" fontId="5" numFmtId="175" xfId="0" applyAlignment="1" applyFont="1" applyNumberFormat="1">
      <alignment readingOrder="0"/>
    </xf>
    <xf borderId="1" fillId="3" fontId="4" numFmtId="0" xfId="0" applyAlignment="1" applyBorder="1" applyFont="1">
      <alignment readingOrder="0" vertical="center"/>
    </xf>
    <xf borderId="16" fillId="4" fontId="6" numFmtId="0" xfId="0" applyAlignment="1" applyBorder="1" applyFont="1">
      <alignment readingOrder="0"/>
    </xf>
    <xf borderId="18" fillId="15" fontId="16" numFmtId="0" xfId="0" applyAlignment="1" applyBorder="1" applyFont="1">
      <alignment vertical="bottom"/>
    </xf>
    <xf borderId="18" fillId="7" fontId="16" numFmtId="0" xfId="0" applyAlignment="1" applyBorder="1" applyFont="1">
      <alignment vertical="bottom"/>
    </xf>
    <xf borderId="25" fillId="9" fontId="12" numFmtId="164" xfId="0" applyAlignment="1" applyBorder="1" applyFont="1" applyNumberFormat="1">
      <alignment horizontal="right"/>
    </xf>
    <xf borderId="1" fillId="18" fontId="6" numFmtId="0" xfId="0" applyAlignment="1" applyBorder="1" applyFill="1" applyFont="1">
      <alignment readingOrder="0"/>
    </xf>
    <xf borderId="16" fillId="4" fontId="21" numFmtId="0" xfId="0" applyBorder="1" applyFont="1"/>
    <xf borderId="1" fillId="19" fontId="4" numFmtId="0" xfId="0" applyAlignment="1" applyBorder="1" applyFill="1" applyFont="1">
      <alignment horizontal="center" vertical="center"/>
    </xf>
    <xf borderId="16" fillId="19" fontId="4" numFmtId="0" xfId="0" applyAlignment="1" applyBorder="1" applyFont="1">
      <alignment horizontal="center" vertical="center"/>
    </xf>
    <xf borderId="8" fillId="19" fontId="4" numFmtId="0" xfId="0" applyAlignment="1" applyBorder="1" applyFont="1">
      <alignment horizontal="center" vertical="center"/>
    </xf>
    <xf borderId="4" fillId="19" fontId="4" numFmtId="0" xfId="0" applyAlignment="1" applyBorder="1" applyFont="1">
      <alignment horizontal="center" vertical="center"/>
    </xf>
    <xf borderId="6" fillId="4" fontId="6" numFmtId="170" xfId="0" applyAlignment="1" applyBorder="1" applyFont="1" applyNumberFormat="1">
      <alignment horizontal="right"/>
    </xf>
    <xf borderId="1" fillId="18" fontId="27" numFmtId="172" xfId="0" applyAlignment="1" applyBorder="1" applyFont="1" applyNumberFormat="1">
      <alignment horizontal="right" vertical="bottom"/>
    </xf>
    <xf borderId="1" fillId="18" fontId="27" numFmtId="3" xfId="0" applyAlignment="1" applyBorder="1" applyFont="1" applyNumberFormat="1">
      <alignment horizontal="right" vertical="bottom"/>
    </xf>
    <xf borderId="1" fillId="18" fontId="28" numFmtId="164" xfId="0" applyAlignment="1" applyBorder="1" applyFont="1" applyNumberFormat="1">
      <alignment horizontal="right" vertical="bottom"/>
    </xf>
    <xf borderId="1" fillId="18" fontId="27" numFmtId="170" xfId="0" applyAlignment="1" applyBorder="1" applyFont="1" applyNumberFormat="1">
      <alignment horizontal="right" vertical="bottom"/>
    </xf>
    <xf borderId="16" fillId="4" fontId="13" numFmtId="0" xfId="0" applyAlignment="1" applyBorder="1" applyFont="1">
      <alignment readingOrder="0"/>
    </xf>
    <xf borderId="1" fillId="18" fontId="27" numFmtId="165" xfId="0" applyAlignment="1" applyBorder="1" applyFont="1" applyNumberFormat="1">
      <alignment horizontal="right" vertical="bottom"/>
    </xf>
    <xf borderId="1" fillId="18" fontId="29" numFmtId="164" xfId="0" applyAlignment="1" applyBorder="1" applyFont="1" applyNumberFormat="1">
      <alignment horizontal="right" vertical="bottom"/>
    </xf>
    <xf borderId="1" fillId="18" fontId="27" numFmtId="167" xfId="0" applyAlignment="1" applyBorder="1" applyFont="1" applyNumberFormat="1">
      <alignment horizontal="right" vertical="bottom"/>
    </xf>
    <xf borderId="1" fillId="18" fontId="27" numFmtId="2" xfId="0" applyAlignment="1" applyBorder="1" applyFont="1" applyNumberFormat="1">
      <alignment horizontal="right" vertical="bottom"/>
    </xf>
    <xf borderId="1" fillId="18" fontId="27" numFmtId="168" xfId="0" applyAlignment="1" applyBorder="1" applyFont="1" applyNumberFormat="1">
      <alignment horizontal="right" vertical="bottom"/>
    </xf>
    <xf borderId="1" fillId="18" fontId="30" numFmtId="164" xfId="0" applyAlignment="1" applyBorder="1" applyFont="1" applyNumberFormat="1">
      <alignment horizontal="right" vertical="bottom"/>
    </xf>
    <xf borderId="1" fillId="18" fontId="3" numFmtId="170" xfId="0" applyAlignment="1" applyBorder="1" applyFont="1" applyNumberFormat="1">
      <alignment vertical="bottom"/>
    </xf>
    <xf borderId="1" fillId="18" fontId="3" numFmtId="164" xfId="0" applyAlignment="1" applyBorder="1" applyFont="1" applyNumberFormat="1">
      <alignment vertical="bottom"/>
    </xf>
    <xf borderId="1" fillId="18" fontId="3" numFmtId="164" xfId="0" applyAlignment="1" applyBorder="1" applyFont="1" applyNumberFormat="1">
      <alignment horizontal="right" vertical="bottom"/>
    </xf>
    <xf borderId="16" fillId="3" fontId="3" numFmtId="0" xfId="0" applyAlignment="1" applyBorder="1" applyFont="1">
      <alignment readingOrder="0"/>
    </xf>
    <xf borderId="4" fillId="0" fontId="27" numFmtId="172" xfId="0" applyAlignment="1" applyBorder="1" applyFont="1" applyNumberFormat="1">
      <alignment horizontal="right" vertical="bottom"/>
    </xf>
    <xf borderId="4" fillId="0" fontId="27" numFmtId="3" xfId="0" applyAlignment="1" applyBorder="1" applyFont="1" applyNumberFormat="1">
      <alignment horizontal="right" vertical="bottom"/>
    </xf>
    <xf borderId="4" fillId="6" fontId="28" numFmtId="164" xfId="0" applyAlignment="1" applyBorder="1" applyFont="1" applyNumberFormat="1">
      <alignment horizontal="right" vertical="bottom"/>
    </xf>
    <xf borderId="4" fillId="0" fontId="27" numFmtId="170" xfId="0" applyAlignment="1" applyBorder="1" applyFont="1" applyNumberFormat="1">
      <alignment horizontal="right" vertical="bottom"/>
    </xf>
    <xf borderId="4" fillId="0" fontId="27" numFmtId="165" xfId="0" applyAlignment="1" applyBorder="1" applyFont="1" applyNumberFormat="1">
      <alignment horizontal="right" vertical="bottom"/>
    </xf>
    <xf borderId="4" fillId="9" fontId="29" numFmtId="164" xfId="0" applyAlignment="1" applyBorder="1" applyFont="1" applyNumberFormat="1">
      <alignment horizontal="right" vertical="bottom"/>
    </xf>
    <xf borderId="4" fillId="0" fontId="27" numFmtId="167" xfId="0" applyAlignment="1" applyBorder="1" applyFont="1" applyNumberFormat="1">
      <alignment horizontal="right" vertical="bottom"/>
    </xf>
    <xf borderId="4" fillId="0" fontId="27" numFmtId="2" xfId="0" applyAlignment="1" applyBorder="1" applyFont="1" applyNumberFormat="1">
      <alignment horizontal="right" vertical="bottom"/>
    </xf>
    <xf borderId="4" fillId="0" fontId="27" numFmtId="168" xfId="0" applyAlignment="1" applyBorder="1" applyFont="1" applyNumberFormat="1">
      <alignment horizontal="right" vertical="bottom"/>
    </xf>
    <xf borderId="4" fillId="8" fontId="30" numFmtId="164" xfId="0" applyAlignment="1" applyBorder="1" applyFont="1" applyNumberFormat="1">
      <alignment horizontal="right" vertical="bottom"/>
    </xf>
    <xf borderId="4" fillId="0" fontId="3" numFmtId="170" xfId="0" applyAlignment="1" applyBorder="1" applyFont="1" applyNumberFormat="1">
      <alignment vertical="bottom"/>
    </xf>
    <xf borderId="4" fillId="8" fontId="3" numFmtId="164" xfId="0" applyAlignment="1" applyBorder="1" applyFont="1" applyNumberFormat="1">
      <alignment vertical="bottom"/>
    </xf>
    <xf borderId="4" fillId="9" fontId="3" numFmtId="164" xfId="0" applyAlignment="1" applyBorder="1" applyFont="1" applyNumberFormat="1">
      <alignment horizontal="right" vertical="bottom"/>
    </xf>
    <xf borderId="4" fillId="8" fontId="3" numFmtId="164" xfId="0" applyAlignment="1" applyBorder="1" applyFont="1" applyNumberFormat="1">
      <alignment horizontal="right" vertical="bottom"/>
    </xf>
    <xf borderId="27" fillId="0" fontId="27" numFmtId="172" xfId="0" applyAlignment="1" applyBorder="1" applyFont="1" applyNumberFormat="1">
      <alignment horizontal="right" vertical="bottom"/>
    </xf>
    <xf borderId="27" fillId="0" fontId="27" numFmtId="3" xfId="0" applyAlignment="1" applyBorder="1" applyFont="1" applyNumberFormat="1">
      <alignment horizontal="right" vertical="bottom"/>
    </xf>
    <xf borderId="27" fillId="6" fontId="28" numFmtId="164" xfId="0" applyAlignment="1" applyBorder="1" applyFont="1" applyNumberFormat="1">
      <alignment horizontal="right" vertical="bottom"/>
    </xf>
    <xf borderId="27" fillId="0" fontId="27" numFmtId="170" xfId="0" applyAlignment="1" applyBorder="1" applyFont="1" applyNumberFormat="1">
      <alignment horizontal="right" vertical="bottom"/>
    </xf>
    <xf borderId="27" fillId="0" fontId="27" numFmtId="165" xfId="0" applyAlignment="1" applyBorder="1" applyFont="1" applyNumberFormat="1">
      <alignment horizontal="right" vertical="bottom"/>
    </xf>
    <xf borderId="27" fillId="9" fontId="29" numFmtId="164" xfId="0" applyAlignment="1" applyBorder="1" applyFont="1" applyNumberFormat="1">
      <alignment horizontal="right" vertical="bottom"/>
    </xf>
    <xf borderId="27" fillId="0" fontId="27" numFmtId="167" xfId="0" applyAlignment="1" applyBorder="1" applyFont="1" applyNumberFormat="1">
      <alignment horizontal="right" vertical="bottom"/>
    </xf>
    <xf borderId="27" fillId="0" fontId="27" numFmtId="2" xfId="0" applyAlignment="1" applyBorder="1" applyFont="1" applyNumberFormat="1">
      <alignment horizontal="right" vertical="bottom"/>
    </xf>
    <xf borderId="27" fillId="0" fontId="27" numFmtId="168" xfId="0" applyAlignment="1" applyBorder="1" applyFont="1" applyNumberFormat="1">
      <alignment horizontal="right" vertical="bottom"/>
    </xf>
    <xf borderId="27" fillId="8" fontId="30" numFmtId="164" xfId="0" applyAlignment="1" applyBorder="1" applyFont="1" applyNumberFormat="1">
      <alignment horizontal="right" vertical="bottom"/>
    </xf>
    <xf borderId="27" fillId="0" fontId="3" numFmtId="170" xfId="0" applyAlignment="1" applyBorder="1" applyFont="1" applyNumberFormat="1">
      <alignment vertical="bottom"/>
    </xf>
    <xf borderId="27" fillId="8" fontId="3" numFmtId="164" xfId="0" applyAlignment="1" applyBorder="1" applyFont="1" applyNumberFormat="1">
      <alignment vertical="bottom"/>
    </xf>
    <xf borderId="27" fillId="9" fontId="3" numFmtId="164" xfId="0" applyAlignment="1" applyBorder="1" applyFont="1" applyNumberFormat="1">
      <alignment horizontal="right" vertical="bottom"/>
    </xf>
    <xf borderId="27" fillId="8" fontId="3" numFmtId="164" xfId="0" applyAlignment="1" applyBorder="1" applyFont="1" applyNumberFormat="1">
      <alignment horizontal="right" vertical="bottom"/>
    </xf>
    <xf borderId="4" fillId="18" fontId="27" numFmtId="172" xfId="0" applyAlignment="1" applyBorder="1" applyFont="1" applyNumberFormat="1">
      <alignment horizontal="right" vertical="bottom"/>
    </xf>
    <xf borderId="4" fillId="18" fontId="27" numFmtId="3" xfId="0" applyAlignment="1" applyBorder="1" applyFont="1" applyNumberFormat="1">
      <alignment horizontal="right" vertical="bottom"/>
    </xf>
    <xf borderId="4" fillId="18" fontId="28" numFmtId="164" xfId="0" applyAlignment="1" applyBorder="1" applyFont="1" applyNumberFormat="1">
      <alignment horizontal="right" vertical="bottom"/>
    </xf>
    <xf borderId="4" fillId="18" fontId="27" numFmtId="170" xfId="0" applyAlignment="1" applyBorder="1" applyFont="1" applyNumberFormat="1">
      <alignment horizontal="right" vertical="bottom"/>
    </xf>
    <xf borderId="4" fillId="18" fontId="27" numFmtId="165" xfId="0" applyAlignment="1" applyBorder="1" applyFont="1" applyNumberFormat="1">
      <alignment horizontal="right" vertical="bottom"/>
    </xf>
    <xf borderId="4" fillId="18" fontId="29" numFmtId="164" xfId="0" applyAlignment="1" applyBorder="1" applyFont="1" applyNumberFormat="1">
      <alignment horizontal="right" vertical="bottom"/>
    </xf>
    <xf borderId="4" fillId="18" fontId="27" numFmtId="167" xfId="0" applyAlignment="1" applyBorder="1" applyFont="1" applyNumberFormat="1">
      <alignment horizontal="right" vertical="bottom"/>
    </xf>
    <xf borderId="4" fillId="18" fontId="27" numFmtId="2" xfId="0" applyAlignment="1" applyBorder="1" applyFont="1" applyNumberFormat="1">
      <alignment horizontal="right" vertical="bottom"/>
    </xf>
    <xf borderId="4" fillId="18" fontId="27" numFmtId="168" xfId="0" applyAlignment="1" applyBorder="1" applyFont="1" applyNumberFormat="1">
      <alignment horizontal="right" vertical="bottom"/>
    </xf>
    <xf borderId="4" fillId="18" fontId="30" numFmtId="164" xfId="0" applyAlignment="1" applyBorder="1" applyFont="1" applyNumberFormat="1">
      <alignment horizontal="right" vertical="bottom"/>
    </xf>
    <xf borderId="4" fillId="18" fontId="3" numFmtId="170" xfId="0" applyAlignment="1" applyBorder="1" applyFont="1" applyNumberFormat="1">
      <alignment vertical="bottom"/>
    </xf>
    <xf borderId="4" fillId="18" fontId="3" numFmtId="164" xfId="0" applyAlignment="1" applyBorder="1" applyFont="1" applyNumberFormat="1">
      <alignment vertical="bottom"/>
    </xf>
    <xf borderId="4" fillId="18" fontId="3" numFmtId="164" xfId="0" applyAlignment="1" applyBorder="1" applyFont="1" applyNumberFormat="1">
      <alignment horizontal="right" vertical="bottom"/>
    </xf>
    <xf borderId="27" fillId="18" fontId="27" numFmtId="172" xfId="0" applyAlignment="1" applyBorder="1" applyFont="1" applyNumberFormat="1">
      <alignment horizontal="right" vertical="bottom"/>
    </xf>
    <xf borderId="27" fillId="18" fontId="27" numFmtId="3" xfId="0" applyAlignment="1" applyBorder="1" applyFont="1" applyNumberFormat="1">
      <alignment horizontal="right" vertical="bottom"/>
    </xf>
    <xf borderId="27" fillId="18" fontId="28" numFmtId="164" xfId="0" applyAlignment="1" applyBorder="1" applyFont="1" applyNumberFormat="1">
      <alignment horizontal="right" vertical="bottom"/>
    </xf>
    <xf borderId="27" fillId="18" fontId="27" numFmtId="170" xfId="0" applyAlignment="1" applyBorder="1" applyFont="1" applyNumberFormat="1">
      <alignment horizontal="right" vertical="bottom"/>
    </xf>
    <xf borderId="27" fillId="18" fontId="27" numFmtId="165" xfId="0" applyAlignment="1" applyBorder="1" applyFont="1" applyNumberFormat="1">
      <alignment horizontal="right" vertical="bottom"/>
    </xf>
    <xf borderId="27" fillId="18" fontId="29" numFmtId="164" xfId="0" applyAlignment="1" applyBorder="1" applyFont="1" applyNumberFormat="1">
      <alignment horizontal="right" vertical="bottom"/>
    </xf>
    <xf borderId="27" fillId="18" fontId="27" numFmtId="167" xfId="0" applyAlignment="1" applyBorder="1" applyFont="1" applyNumberFormat="1">
      <alignment horizontal="right" vertical="bottom"/>
    </xf>
    <xf borderId="27" fillId="18" fontId="27" numFmtId="2" xfId="0" applyAlignment="1" applyBorder="1" applyFont="1" applyNumberFormat="1">
      <alignment horizontal="right" vertical="bottom"/>
    </xf>
    <xf borderId="27" fillId="18" fontId="27" numFmtId="168" xfId="0" applyAlignment="1" applyBorder="1" applyFont="1" applyNumberFormat="1">
      <alignment horizontal="right" vertical="bottom"/>
    </xf>
    <xf borderId="27" fillId="18" fontId="30" numFmtId="164" xfId="0" applyAlignment="1" applyBorder="1" applyFont="1" applyNumberFormat="1">
      <alignment horizontal="right" vertical="bottom"/>
    </xf>
    <xf borderId="27" fillId="18" fontId="3" numFmtId="170" xfId="0" applyAlignment="1" applyBorder="1" applyFont="1" applyNumberFormat="1">
      <alignment vertical="bottom"/>
    </xf>
    <xf borderId="27" fillId="18" fontId="3" numFmtId="164" xfId="0" applyAlignment="1" applyBorder="1" applyFont="1" applyNumberFormat="1">
      <alignment vertical="bottom"/>
    </xf>
    <xf borderId="27" fillId="18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6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57"/>
    <col customWidth="1" min="2" max="2" width="31.0"/>
    <col customWidth="1" hidden="1" min="3" max="4" width="11.0"/>
    <col customWidth="1" hidden="1" min="5" max="5" width="10.0"/>
    <col customWidth="1" min="6" max="7" width="11.0"/>
    <col customWidth="1" min="8" max="8" width="10.0"/>
    <col customWidth="1" min="9" max="10" width="11.0"/>
    <col customWidth="1" min="11" max="11" width="10.0"/>
    <col customWidth="1" min="12" max="13" width="11.0"/>
    <col customWidth="1" min="14" max="14" width="10.0"/>
    <col customWidth="1" min="15" max="16" width="11.0"/>
    <col customWidth="1" min="17" max="17" width="10.0"/>
    <col customWidth="1" min="18" max="19" width="11.0"/>
    <col customWidth="1" min="20" max="20" width="10.0"/>
    <col hidden="1" min="21" max="22" width="14.43"/>
  </cols>
  <sheetData>
    <row r="1">
      <c r="A1" s="1" t="s">
        <v>1</v>
      </c>
    </row>
    <row r="2">
      <c r="B2" s="3"/>
      <c r="F2" s="5"/>
      <c r="H2" s="3"/>
      <c r="L2" s="5"/>
      <c r="N2" s="3"/>
      <c r="R2" s="5"/>
      <c r="T2" s="7"/>
    </row>
    <row r="3" ht="21.75" customHeight="1">
      <c r="A3" s="9" t="s">
        <v>2</v>
      </c>
      <c r="B3" s="11" t="s">
        <v>3</v>
      </c>
      <c r="C3" s="12">
        <v>0.0</v>
      </c>
      <c r="D3" s="13"/>
      <c r="E3" s="14"/>
      <c r="F3" s="12" t="s">
        <v>10</v>
      </c>
      <c r="G3" s="13"/>
      <c r="H3" s="15"/>
      <c r="I3" s="12" t="s">
        <v>11</v>
      </c>
      <c r="J3" s="13"/>
      <c r="K3" s="14"/>
      <c r="L3" s="17" t="s">
        <v>12</v>
      </c>
      <c r="M3" s="13"/>
      <c r="N3" s="15"/>
      <c r="O3" s="12" t="s">
        <v>13</v>
      </c>
      <c r="P3" s="13"/>
      <c r="Q3" s="14"/>
      <c r="R3" s="12" t="s">
        <v>14</v>
      </c>
      <c r="S3" s="13"/>
      <c r="T3" s="15"/>
    </row>
    <row r="4" ht="18.0" customHeight="1">
      <c r="A4" s="18"/>
      <c r="B4" s="19"/>
      <c r="C4" s="20" t="s">
        <v>4</v>
      </c>
      <c r="D4" s="21" t="s">
        <v>5</v>
      </c>
      <c r="E4" s="23" t="s">
        <v>7</v>
      </c>
      <c r="F4" s="24" t="s">
        <v>4</v>
      </c>
      <c r="G4" s="21" t="s">
        <v>5</v>
      </c>
      <c r="H4" s="25" t="s">
        <v>7</v>
      </c>
      <c r="I4" s="20" t="s">
        <v>4</v>
      </c>
      <c r="J4" s="21" t="s">
        <v>5</v>
      </c>
      <c r="K4" s="23" t="s">
        <v>7</v>
      </c>
      <c r="L4" s="24" t="s">
        <v>4</v>
      </c>
      <c r="M4" s="21" t="s">
        <v>5</v>
      </c>
      <c r="N4" s="25" t="s">
        <v>7</v>
      </c>
      <c r="O4" s="20" t="s">
        <v>4</v>
      </c>
      <c r="P4" s="21" t="s">
        <v>5</v>
      </c>
      <c r="Q4" s="23" t="s">
        <v>7</v>
      </c>
      <c r="R4" s="24" t="s">
        <v>4</v>
      </c>
      <c r="S4" s="21" t="s">
        <v>5</v>
      </c>
      <c r="T4" s="25" t="s">
        <v>7</v>
      </c>
    </row>
    <row r="5">
      <c r="A5" s="27" t="s">
        <v>8</v>
      </c>
      <c r="B5" s="28"/>
      <c r="C5" s="29"/>
      <c r="D5" s="6"/>
      <c r="E5" s="30"/>
      <c r="F5" s="32"/>
      <c r="G5" s="6"/>
      <c r="H5" s="28"/>
      <c r="I5" s="29"/>
      <c r="J5" s="6"/>
      <c r="K5" s="30"/>
      <c r="L5" s="32"/>
      <c r="M5" s="6"/>
      <c r="N5" s="28"/>
      <c r="O5" s="29"/>
      <c r="P5" s="6"/>
      <c r="Q5" s="30"/>
      <c r="R5" s="32"/>
      <c r="S5" s="6"/>
      <c r="T5" s="28"/>
    </row>
    <row r="6">
      <c r="A6" s="8"/>
      <c r="B6" s="33" t="s">
        <v>9</v>
      </c>
      <c r="C6" s="37">
        <f>SUMIFS(Raw_Data_Daily!$D:$D, Raw_Data_Daily!$B:$B, "Control", Raw_Data_Daily!$C:$C, "A. 0")</f>
        <v>102894</v>
      </c>
      <c r="D6" s="16">
        <f>SUMIFS(Raw_Data_Daily!$D:$D, Raw_Data_Daily!$B:$B, "Variant", Raw_Data_Daily!$C:$C, "A. 0")</f>
        <v>103236</v>
      </c>
      <c r="E6" s="38">
        <f>IFERROR((D6-C6)/ABS(C6),"")</f>
        <v>0.003323808968</v>
      </c>
      <c r="F6" s="39">
        <f>SUMIFS(Raw_Data_Daily!$D:$D, Raw_Data_Daily!$B:$B, "Control", Raw_Data_Daily!$C:$C, "B. 1-9")</f>
        <v>157641</v>
      </c>
      <c r="G6" s="16">
        <f>SUMIFS(Raw_Data_Daily!$D:$D, Raw_Data_Daily!$B:$B, "Variant", Raw_Data_Daily!$C:$C, "B. 1-9")</f>
        <v>154944</v>
      </c>
      <c r="H6" s="42">
        <f>IFERROR((G6-F6)/ABS(F6),"")</f>
        <v>-0.01710849335</v>
      </c>
      <c r="I6" s="37">
        <f>SUMIFS(Raw_Data_Daily!$D:$D, Raw_Data_Daily!$B:$B, "Control", Raw_Data_Daily!$C:$C, "C. 10-19")</f>
        <v>122073</v>
      </c>
      <c r="J6" s="16">
        <f>SUMIFS(Raw_Data_Daily!$D:$D, Raw_Data_Daily!$B:$B, "Variant", Raw_Data_Daily!$C:$C, "C. 10-19")</f>
        <v>121963</v>
      </c>
      <c r="K6" s="38">
        <f>IFERROR((J6-I6)/ABS(I6),"")</f>
        <v>-0.0009011001614</v>
      </c>
      <c r="L6" s="39">
        <f>SUMIFS(Raw_Data_Daily!$D:$D, Raw_Data_Daily!$B:$B, "Control", Raw_Data_Daily!$C:$C, "D. 20-39")</f>
        <v>101078</v>
      </c>
      <c r="M6" s="16">
        <f>SUMIFS(Raw_Data_Daily!$D:$D, Raw_Data_Daily!$B:$B, "Variant", Raw_Data_Daily!$C:$C, "D. 20-39")</f>
        <v>102900</v>
      </c>
      <c r="N6" s="42">
        <f>IFERROR((M6-L6)/ABS(L6),"")</f>
        <v>0.01802568314</v>
      </c>
      <c r="O6" s="37">
        <f>SUMIFS(Raw_Data_Daily!$D:$D, Raw_Data_Daily!$B:$B, "Control", Raw_Data_Daily!$C:$C, "E. 40-99")</f>
        <v>65813</v>
      </c>
      <c r="P6" s="16">
        <f>SUMIFS(Raw_Data_Daily!$D:$D, Raw_Data_Daily!$B:$B, "Variant", Raw_Data_Daily!$C:$C, "E. 40-99")</f>
        <v>62772</v>
      </c>
      <c r="Q6" s="38">
        <f>IFERROR((P6-O6)/ABS(O6),"")</f>
        <v>-0.04620667649</v>
      </c>
      <c r="R6" s="39">
        <f>SUMIFS(Raw_Data_Daily!$D:$D, Raw_Data_Daily!$B:$B, "Control", Raw_Data_Daily!$C:$C, "F. 100+")</f>
        <v>9596</v>
      </c>
      <c r="S6" s="16">
        <f>SUMIFS(Raw_Data_Daily!$D:$D, Raw_Data_Daily!$B:$B, "Variant", Raw_Data_Daily!$C:$C, "F. 100+")</f>
        <v>9017</v>
      </c>
      <c r="T6" s="42">
        <f>IFERROR((S6-R6)/ABS(R6),"")</f>
        <v>-0.06033764068</v>
      </c>
    </row>
    <row r="7">
      <c r="A7" s="27" t="s">
        <v>15</v>
      </c>
      <c r="B7" s="28"/>
      <c r="C7" s="29"/>
      <c r="D7" s="6"/>
      <c r="E7" s="30"/>
      <c r="F7" s="32"/>
      <c r="G7" s="6"/>
      <c r="H7" s="28"/>
      <c r="I7" s="29"/>
      <c r="J7" s="6"/>
      <c r="K7" s="30"/>
      <c r="L7" s="32"/>
      <c r="M7" s="6"/>
      <c r="N7" s="28"/>
      <c r="O7" s="29"/>
      <c r="P7" s="6"/>
      <c r="Q7" s="30"/>
      <c r="R7" s="32"/>
      <c r="S7" s="6"/>
      <c r="T7" s="28"/>
    </row>
    <row r="8">
      <c r="A8" s="8"/>
      <c r="B8" s="33" t="s">
        <v>16</v>
      </c>
      <c r="C8" s="44">
        <f>SUMIFS(Raw_Data_Daily!$F:$F, Raw_Data_Daily!$B:$B, "Control", Raw_Data_Daily!$C:$C, "A. 0")</f>
        <v>8193.45</v>
      </c>
      <c r="D8" s="31">
        <f>SUMIFS(Raw_Data_Daily!$F:$F, Raw_Data_Daily!$B:$B, "Variant", Raw_Data_Daily!$C:$C, "A. 0")</f>
        <v>6330.06</v>
      </c>
      <c r="E8" s="46">
        <f t="shared" ref="E8:E11" si="1">IFERROR((D8-C8)/ABS(C8),"")</f>
        <v>-0.2274243451</v>
      </c>
      <c r="F8" s="47">
        <f>SUMIFS(Raw_Data_Daily!$F:$F, Raw_Data_Daily!$B:$B, "Control", Raw_Data_Daily!$C:$C, "B. 1-9")</f>
        <v>2646.07</v>
      </c>
      <c r="G8" s="31">
        <f>SUMIFS(Raw_Data_Daily!$F:$F, Raw_Data_Daily!$B:$B, "Variant", Raw_Data_Daily!$C:$C, "B. 1-9")</f>
        <v>2614.16</v>
      </c>
      <c r="H8" s="49">
        <f t="shared" ref="H8:H11" si="2">IFERROR((G8-F8)/ABS(F8),"")</f>
        <v>-0.01205939374</v>
      </c>
      <c r="I8" s="44">
        <f>SUMIFS(Raw_Data_Daily!$F:$F, Raw_Data_Daily!$B:$B, "Control", Raw_Data_Daily!$C:$C, "C. 10-19")</f>
        <v>7313.33</v>
      </c>
      <c r="J8" s="31">
        <f>SUMIFS(Raw_Data_Daily!$F:$F, Raw_Data_Daily!$B:$B, "Variant", Raw_Data_Daily!$C:$C, "C. 10-19")</f>
        <v>8034.94</v>
      </c>
      <c r="K8" s="46">
        <f t="shared" ref="K8:K11" si="3">IFERROR((J8-I8)/ABS(I8),"")</f>
        <v>0.09867050988</v>
      </c>
      <c r="L8" s="47">
        <f>SUMIFS(Raw_Data_Daily!$F:$F, Raw_Data_Daily!$B:$B, "Control", Raw_Data_Daily!$C:$C, "D. 20-39")</f>
        <v>12223.99</v>
      </c>
      <c r="M8" s="31">
        <f>SUMIFS(Raw_Data_Daily!$F:$F, Raw_Data_Daily!$B:$B, "Variant", Raw_Data_Daily!$C:$C, "D. 20-39")</f>
        <v>12474.94</v>
      </c>
      <c r="N8" s="49">
        <f t="shared" ref="N8:N11" si="4">IFERROR((M8-L8)/ABS(L8),"")</f>
        <v>0.02052930344</v>
      </c>
      <c r="O8" s="44">
        <f>SUMIFS(Raw_Data_Daily!$F:$F, Raw_Data_Daily!$B:$B, "Control", Raw_Data_Daily!$C:$C, "E. 40-99")</f>
        <v>15152.74</v>
      </c>
      <c r="P8" s="31">
        <f>SUMIFS(Raw_Data_Daily!$F:$F, Raw_Data_Daily!$B:$B, "Variant", Raw_Data_Daily!$C:$C, "E. 40-99")</f>
        <v>13041.14</v>
      </c>
      <c r="Q8" s="51">
        <f t="shared" ref="Q8:Q11" si="5">IFERROR((P8-O8)/ABS(O8),"")</f>
        <v>-0.1393543346</v>
      </c>
      <c r="R8" s="47">
        <f>SUMIFS(Raw_Data_Daily!$F:$F, Raw_Data_Daily!$B:$B, "Control", Raw_Data_Daily!$C:$C, "F. 100+")</f>
        <v>4974.31</v>
      </c>
      <c r="S8" s="31">
        <f>SUMIFS(Raw_Data_Daily!$F:$F, Raw_Data_Daily!$B:$B, "Variant", Raw_Data_Daily!$C:$C, "F. 100+")</f>
        <v>3434.25</v>
      </c>
      <c r="T8" s="54">
        <f t="shared" ref="T8:T11" si="6">IFERROR((S8-R8)/ABS(R8),"")</f>
        <v>-0.3096027389</v>
      </c>
      <c r="V8" s="56"/>
    </row>
    <row r="9">
      <c r="A9" s="8"/>
      <c r="B9" s="33" t="s">
        <v>17</v>
      </c>
      <c r="C9" s="57">
        <f>IFERROR(SUMIFS(Raw_Data_Daily!$F:$F, Raw_Data_Daily!$B:$B, "Control", Raw_Data_Daily!$C:$C, "A. 0")/SUMIFS(Raw_Data_Daily!$D:$D, Raw_Data_Daily!$B:$B, "Control", Raw_Data_Daily!$C:$C, "A. 0"),"")</f>
        <v>0.07963000758</v>
      </c>
      <c r="D9" s="36">
        <f>IFERROR(SUMIFS(Raw_Data_Daily!$F:$F, Raw_Data_Daily!$B:$B, "Variant", Raw_Data_Daily!$C:$C, "A. 0")/SUMIFS(Raw_Data_Daily!$D:$D, Raw_Data_Daily!$B:$B, "Variant", Raw_Data_Daily!$C:$C, "A. 0"),"")</f>
        <v>0.06131640126</v>
      </c>
      <c r="E9" s="46">
        <f t="shared" si="1"/>
        <v>-0.229983732</v>
      </c>
      <c r="F9" s="58">
        <f>IFERROR(SUMIFS(Raw_Data_Daily!$F:$F, Raw_Data_Daily!$B:$B, "Control", Raw_Data_Daily!$C:$C, "B. 1-9")/SUMIFS(Raw_Data_Daily!$D:$D, Raw_Data_Daily!$B:$B, "Control", Raw_Data_Daily!$C:$C, "B. 1-9"),"")</f>
        <v>0.0167854175</v>
      </c>
      <c r="G9" s="36">
        <f>IFERROR(SUMIFS(Raw_Data_Daily!$F:$F, Raw_Data_Daily!$B:$B, "Variant", Raw_Data_Daily!$C:$C, "B. 1-9")/SUMIFS(Raw_Data_Daily!$D:$D, Raw_Data_Daily!$B:$B, "Variant", Raw_Data_Daily!$C:$C, "B. 1-9"),"")</f>
        <v>0.01687164395</v>
      </c>
      <c r="H9" s="49">
        <f t="shared" si="2"/>
        <v>0.005136985692</v>
      </c>
      <c r="I9" s="57">
        <f>IFERROR(SUMIFS(Raw_Data_Daily!$F:$F, Raw_Data_Daily!$B:$B, "Control", Raw_Data_Daily!$C:$C, "C. 10-19")/SUMIFS(Raw_Data_Daily!$D:$D, Raw_Data_Daily!$B:$B, "Control", Raw_Data_Daily!$C:$C, "C. 10-19"),"")</f>
        <v>0.05990948039</v>
      </c>
      <c r="J9" s="36">
        <f>IFERROR(SUMIFS(Raw_Data_Daily!$F:$F, Raw_Data_Daily!$B:$B, "Variant", Raw_Data_Daily!$C:$C, "C. 10-19")/SUMIFS(Raw_Data_Daily!$D:$D, Raw_Data_Daily!$B:$B, "Variant", Raw_Data_Daily!$C:$C, "C. 10-19"),"")</f>
        <v>0.06588014398</v>
      </c>
      <c r="K9" s="46">
        <f t="shared" si="3"/>
        <v>0.09966141496</v>
      </c>
      <c r="L9" s="58">
        <f>IFERROR(SUMIFS(Raw_Data_Daily!$F:$F, Raw_Data_Daily!$B:$B, "Control", Raw_Data_Daily!$C:$C, "D. 20-39")/SUMIFS(Raw_Data_Daily!$D:$D, Raw_Data_Daily!$B:$B, "Control", Raw_Data_Daily!$C:$C, "D. 20-39"),"")</f>
        <v>0.1209362077</v>
      </c>
      <c r="M9" s="36">
        <f>IFERROR(SUMIFS(Raw_Data_Daily!$F:$F, Raw_Data_Daily!$B:$B, "Variant", Raw_Data_Daily!$C:$C, "D. 20-39")/SUMIFS(Raw_Data_Daily!$D:$D, Raw_Data_Daily!$B:$B, "Variant", Raw_Data_Daily!$C:$C, "D. 20-39"),"")</f>
        <v>0.1212336249</v>
      </c>
      <c r="N9" s="49">
        <f t="shared" si="4"/>
        <v>0.002459289927</v>
      </c>
      <c r="O9" s="57">
        <f>IFERROR(SUMIFS(Raw_Data_Daily!$F:$F, Raw_Data_Daily!$B:$B, "Control", Raw_Data_Daily!$C:$C, "E. 40-99")/SUMIFS(Raw_Data_Daily!$D:$D, Raw_Data_Daily!$B:$B, "Control", Raw_Data_Daily!$C:$C, "E. 40-99"),"")</f>
        <v>0.2302393144</v>
      </c>
      <c r="P9" s="36">
        <f>IFERROR(SUMIFS(Raw_Data_Daily!$F:$F, Raw_Data_Daily!$B:$B, "Variant", Raw_Data_Daily!$C:$C, "E. 40-99")/SUMIFS(Raw_Data_Daily!$D:$D, Raw_Data_Daily!$B:$B, "Variant", Raw_Data_Daily!$C:$C, "E. 40-99"),"")</f>
        <v>0.2077540942</v>
      </c>
      <c r="Q9" s="51">
        <f t="shared" si="5"/>
        <v>-0.09766021192</v>
      </c>
      <c r="R9" s="58">
        <f>IFERROR(SUMIFS(Raw_Data_Daily!$F:$F, Raw_Data_Daily!$B:$B, "Control", Raw_Data_Daily!$C:$C, "F. 100+")/SUMIFS(Raw_Data_Daily!$D:$D, Raw_Data_Daily!$B:$B, "Control", Raw_Data_Daily!$C:$C, "F. 100+"),"")</f>
        <v>0.5183732805</v>
      </c>
      <c r="S9" s="36">
        <f>IFERROR(SUMIFS(Raw_Data_Daily!$F:$F, Raw_Data_Daily!$B:$B, "Variant", Raw_Data_Daily!$C:$C, "F. 100+")/SUMIFS(Raw_Data_Daily!$D:$D, Raw_Data_Daily!$B:$B, "Variant", Raw_Data_Daily!$C:$C, "F. 100+"),"")</f>
        <v>0.3808639237</v>
      </c>
      <c r="T9" s="54">
        <f t="shared" si="6"/>
        <v>-0.2652709196</v>
      </c>
    </row>
    <row r="10">
      <c r="A10" s="8"/>
      <c r="B10" s="33" t="s">
        <v>48</v>
      </c>
      <c r="C10" s="61">
        <f>IFERROR(SUMPRODUCT((Raw_Data_Daily!$B$2:$B$9999="Control")*(Raw_Data_Daily!$C$2:$C$9999="A. 0")*Raw_Data_Daily!$D$2:$D$9999*Raw_Data_Daily!$H$2:$H$9999/100)/SUMIFS(Raw_Data_Daily!$D:$D, Raw_Data_Daily!$B:$B, "Control", Raw_Data_Daily!$C:$C, "A. 0")*100,"")</f>
        <v>1.055459308</v>
      </c>
      <c r="D10" s="62">
        <f>IFERROR(SUMPRODUCT((Raw_Data_Daily!$B$2:$B$9999="Variant")*(Raw_Data_Daily!$C$2:$C$9999="A. 0")*Raw_Data_Daily!$D$2:$D$9999*Raw_Data_Daily!$H$2:$H$9999/100)/SUMIFS(Raw_Data_Daily!$D:$D, Raw_Data_Daily!$B:$B, "Variant", Raw_Data_Daily!$C:$C, "A. 0")*100,"")</f>
        <v>0.9388007091</v>
      </c>
      <c r="E10" s="46">
        <f t="shared" si="1"/>
        <v>-0.1105287506</v>
      </c>
      <c r="F10" s="63">
        <f>IFERROR(SUMPRODUCT((Raw_Data_Daily!$B$2:$B$9999="Control")*(Raw_Data_Daily!$C$2:$C$9999="B. 1-9")*Raw_Data_Daily!$D$2:$D$9999*Raw_Data_Daily!$H$2:$H$9999/100)/SUMIFS(Raw_Data_Daily!$D:$D, Raw_Data_Daily!$B:$B, "Control", Raw_Data_Daily!$C:$C, "B. 1-9")*100,"")</f>
        <v>0.7122686991</v>
      </c>
      <c r="G10" s="62">
        <f>IFERROR(SUMPRODUCT((Raw_Data_Daily!$B$2:$B$9999="Variant")*(Raw_Data_Daily!$C$2:$C$9999="B. 1-9")*Raw_Data_Daily!$D$2:$D$9999*Raw_Data_Daily!$H$2:$H$9999/100)/SUMIFS(Raw_Data_Daily!$D:$D, Raw_Data_Daily!$B:$B, "Variant", Raw_Data_Daily!$C:$C, "B. 1-9")*100,"")</f>
        <v>0.7184289163</v>
      </c>
      <c r="H10" s="54">
        <f t="shared" si="2"/>
        <v>0.008648726426</v>
      </c>
      <c r="I10" s="61">
        <f>IFERROR(SUMPRODUCT((Raw_Data_Daily!$B$2:$B$9999="Control")*(Raw_Data_Daily!$C$2:$C$9999="C. 10-19")*Raw_Data_Daily!$D$2:$D$9999*Raw_Data_Daily!$H$2:$H$9999/100)/SUMIFS(Raw_Data_Daily!$D:$D, Raw_Data_Daily!$B:$B, "Control", Raw_Data_Daily!$C:$C, "C. 10-19")*100,"")</f>
        <v>1.875155112</v>
      </c>
      <c r="J10" s="62">
        <f>IFERROR(SUMPRODUCT((Raw_Data_Daily!$B$2:$B$9999="Variant")*(Raw_Data_Daily!$C$2:$C$9999="C. 10-19")*Raw_Data_Daily!$D$2:$D$9999*Raw_Data_Daily!$H$2:$H$9999/100)/SUMIFS(Raw_Data_Daily!$D:$D, Raw_Data_Daily!$B:$B, "Variant", Raw_Data_Daily!$C:$C, "C. 10-19")*100,"")</f>
        <v>1.971916155</v>
      </c>
      <c r="K10" s="51">
        <f t="shared" si="3"/>
        <v>0.05160162067</v>
      </c>
      <c r="L10" s="63">
        <f>IFERROR(SUMPRODUCT((Raw_Data_Daily!$B$2:$B$9999="Control")*(Raw_Data_Daily!$C$2:$C$9999="D. 20-39")*Raw_Data_Daily!$D$2:$D$9999*Raw_Data_Daily!$H$2:$H$9999/100)/SUMIFS(Raw_Data_Daily!$D:$D, Raw_Data_Daily!$B:$B, "Control", Raw_Data_Daily!$C:$C, "D. 20-39")*100,"")</f>
        <v>2.599491482</v>
      </c>
      <c r="M10" s="62">
        <f>IFERROR(SUMPRODUCT((Raw_Data_Daily!$B$2:$B$9999="Variant")*(Raw_Data_Daily!$C$2:$C$9999="D. 20-39")*Raw_Data_Daily!$D$2:$D$9999*Raw_Data_Daily!$H$2:$H$9999/100)/SUMIFS(Raw_Data_Daily!$D:$D, Raw_Data_Daily!$B:$B, "Variant", Raw_Data_Daily!$C:$C, "D. 20-39")*100,"")</f>
        <v>2.647935569</v>
      </c>
      <c r="N10" s="49">
        <f t="shared" si="4"/>
        <v>0.01863598593</v>
      </c>
      <c r="O10" s="61">
        <f>IFERROR(SUMPRODUCT((Raw_Data_Daily!$B$2:$B$9999="Control")*(Raw_Data_Daily!$C$2:$C$9999="E. 40-99")*Raw_Data_Daily!$D$2:$D$9999*Raw_Data_Daily!$H$2:$H$9999/100)/SUMIFS(Raw_Data_Daily!$D:$D, Raw_Data_Daily!$B:$B, "Control", Raw_Data_Daily!$C:$C, "E. 40-99")*100,"")</f>
        <v>3.840133256</v>
      </c>
      <c r="P10" s="62">
        <f>IFERROR(SUMPRODUCT((Raw_Data_Daily!$B$2:$B$9999="Variant")*(Raw_Data_Daily!$C$2:$C$9999="E. 40-99")*Raw_Data_Daily!$D$2:$D$9999*Raw_Data_Daily!$H$2:$H$9999/100)/SUMIFS(Raw_Data_Daily!$D:$D, Raw_Data_Daily!$B:$B, "Variant", Raw_Data_Daily!$C:$C, "E. 40-99")*100,"")</f>
        <v>3.746562639</v>
      </c>
      <c r="Q10" s="51">
        <f t="shared" si="5"/>
        <v>-0.02436650259</v>
      </c>
      <c r="R10" s="63">
        <f>IFERROR(SUMPRODUCT((Raw_Data_Daily!$B$2:$B$9999="Control")*(Raw_Data_Daily!$C$2:$C$9999="F. 100+")*Raw_Data_Daily!$D$2:$D$9999*Raw_Data_Daily!$H$2:$H$9999/100)/SUMIFS(Raw_Data_Daily!$D:$D, Raw_Data_Daily!$B:$B, "Control", Raw_Data_Daily!$C:$C, "F. 100+")*100,"")</f>
        <v>6.595564819</v>
      </c>
      <c r="S10" s="62">
        <f>IFERROR(SUMPRODUCT((Raw_Data_Daily!$B$2:$B$9999="Variant")*(Raw_Data_Daily!$C$2:$C$9999="F. 100+")*Raw_Data_Daily!$D$2:$D$9999*Raw_Data_Daily!$H$2:$H$9999/100)/SUMIFS(Raw_Data_Daily!$D:$D, Raw_Data_Daily!$B:$B, "Variant", Raw_Data_Daily!$C:$C, "F. 100+")*100,"")</f>
        <v>5.86697904</v>
      </c>
      <c r="T10" s="54">
        <f t="shared" si="6"/>
        <v>-0.1104660176</v>
      </c>
    </row>
    <row r="11">
      <c r="A11" s="8"/>
      <c r="B11" s="33" t="s">
        <v>18</v>
      </c>
      <c r="C11" s="57">
        <f>IFERROR(SUMIFS(Raw_Data_Daily!$F:$F, Raw_Data_Daily!$B:$B, "Control", Raw_Data_Daily!$C:$C, "A. 0")/SUMPRODUCT((Raw_Data_Daily!$B$2:$B$9999="Control")*(Raw_Data_Daily!$C$2:$C$9999="A. 0")*Raw_Data_Daily!$D$2:$D$9999*Raw_Data_Daily!$H$2:$H$9999/100),"")</f>
        <v>7.544583387</v>
      </c>
      <c r="D11" s="36">
        <f>IFERROR(SUMIFS(Raw_Data_Daily!$F:$F, Raw_Data_Daily!$B:$B, "Variant", Raw_Data_Daily!$C:$C, "A. 0")/SUMPRODUCT((Raw_Data_Daily!$B$2:$B$9999="Variant")*(Raw_Data_Daily!$C$2:$C$9999="A. 0")*Raw_Data_Daily!$D$2:$D$9999*Raw_Data_Daily!$H$2:$H$9999/100),"")</f>
        <v>6.531354383</v>
      </c>
      <c r="E11" s="46">
        <f t="shared" si="1"/>
        <v>-0.1342988675</v>
      </c>
      <c r="F11" s="58">
        <f>IFERROR(SUMIFS(Raw_Data_Daily!$F:$F, Raw_Data_Daily!$B:$B, "Control", Raw_Data_Daily!$C:$C, "B. 1-9")/SUMPRODUCT((Raw_Data_Daily!$B$2:$B$9999="Control")*(Raw_Data_Daily!$C$2:$C$9999="B. 1-9")*Raw_Data_Daily!$D$2:$D$9999*Raw_Data_Daily!$H$2:$H$9999/100),"")</f>
        <v>2.356613104</v>
      </c>
      <c r="G11" s="36">
        <f>IFERROR(SUMIFS(Raw_Data_Daily!$F:$F, Raw_Data_Daily!$B:$B, "Variant", Raw_Data_Daily!$C:$C, "B. 1-9")/SUMPRODUCT((Raw_Data_Daily!$B$2:$B$9999="Variant")*(Raw_Data_Daily!$C$2:$C$9999="B. 1-9")*Raw_Data_Daily!$D$2:$D$9999*Raw_Data_Daily!$H$2:$H$9999/100),"")</f>
        <v>2.348408251</v>
      </c>
      <c r="H11" s="49">
        <f t="shared" si="2"/>
        <v>-0.003481629077</v>
      </c>
      <c r="I11" s="57">
        <f>IFERROR(SUMIFS(Raw_Data_Daily!$F:$F, Raw_Data_Daily!$B:$B, "Control", Raw_Data_Daily!$C:$C, "C. 10-19")/SUMPRODUCT((Raw_Data_Daily!$B$2:$B$9999="Control")*(Raw_Data_Daily!$C$2:$C$9999="C. 10-19")*Raw_Data_Daily!$D$2:$D$9999*Raw_Data_Daily!$H$2:$H$9999/100),"")</f>
        <v>3.194907984</v>
      </c>
      <c r="J11" s="36">
        <f>IFERROR(SUMIFS(Raw_Data_Daily!$F:$F, Raw_Data_Daily!$B:$B, "Variant", Raw_Data_Daily!$C:$C, "C. 10-19")/SUMPRODUCT((Raw_Data_Daily!$B$2:$B$9999="Variant")*(Raw_Data_Daily!$C$2:$C$9999="C. 10-19")*Raw_Data_Daily!$D$2:$D$9999*Raw_Data_Daily!$H$2:$H$9999/100),"")</f>
        <v>3.340920141</v>
      </c>
      <c r="K11" s="46">
        <f t="shared" si="3"/>
        <v>0.0457015217</v>
      </c>
      <c r="L11" s="58">
        <f>IFERROR(SUMIFS(Raw_Data_Daily!$F:$F, Raw_Data_Daily!$B:$B, "Control", Raw_Data_Daily!$C:$C, "D. 20-39")/SUMPRODUCT((Raw_Data_Daily!$B$2:$B$9999="Control")*(Raw_Data_Daily!$C$2:$C$9999="D. 20-39")*Raw_Data_Daily!$D$2:$D$9999*Raw_Data_Daily!$H$2:$H$9999/100),"")</f>
        <v>4.652302519</v>
      </c>
      <c r="M11" s="36">
        <f>IFERROR(SUMIFS(Raw_Data_Daily!$F:$F, Raw_Data_Daily!$B:$B, "Variant", Raw_Data_Daily!$C:$C, "D. 20-39")/SUMPRODUCT((Raw_Data_Daily!$B$2:$B$9999="Variant")*(Raw_Data_Daily!$C$2:$C$9999="D. 20-39")*Raw_Data_Daily!$D$2:$D$9999*Raw_Data_Daily!$H$2:$H$9999/100),"")</f>
        <v>4.578420499</v>
      </c>
      <c r="N11" s="54">
        <f t="shared" si="4"/>
        <v>-0.01588074271</v>
      </c>
      <c r="O11" s="57">
        <f>IFERROR(SUMIFS(Raw_Data_Daily!$F:$F, Raw_Data_Daily!$B:$B, "Control", Raw_Data_Daily!$C:$C, "E. 40-99")/SUMPRODUCT((Raw_Data_Daily!$B$2:$B$9999="Control")*(Raw_Data_Daily!$C$2:$C$9999="E. 40-99")*Raw_Data_Daily!$D$2:$D$9999*Raw_Data_Daily!$H$2:$H$9999/100),"")</f>
        <v>5.995607419</v>
      </c>
      <c r="P11" s="36">
        <f>IFERROR(SUMIFS(Raw_Data_Daily!$F:$F, Raw_Data_Daily!$B:$B, "Variant", Raw_Data_Daily!$C:$C, "E. 40-99")/SUMPRODUCT((Raw_Data_Daily!$B$2:$B$9999="Variant")*(Raw_Data_Daily!$C$2:$C$9999="E. 40-99")*Raw_Data_Daily!$D$2:$D$9999*Raw_Data_Daily!$H$2:$H$9999/100),"")</f>
        <v>5.545192065</v>
      </c>
      <c r="Q11" s="51">
        <f t="shared" si="5"/>
        <v>-0.07512422392</v>
      </c>
      <c r="R11" s="58">
        <f>IFERROR(SUMIFS(Raw_Data_Daily!$F:$F, Raw_Data_Daily!$B:$B, "Control", Raw_Data_Daily!$C:$C, "F. 100+")/SUMPRODUCT((Raw_Data_Daily!$B$2:$B$9999="Control")*(Raw_Data_Daily!$C$2:$C$9999="F. 100+")*Raw_Data_Daily!$D$2:$D$9999*Raw_Data_Daily!$H$2:$H$9999/100),"")</f>
        <v>7.859422124</v>
      </c>
      <c r="S11" s="36">
        <f>IFERROR(SUMIFS(Raw_Data_Daily!$F:$F, Raw_Data_Daily!$B:$B, "Variant", Raw_Data_Daily!$C:$C, "F. 100+")/SUMPRODUCT((Raw_Data_Daily!$B$2:$B$9999="Variant")*(Raw_Data_Daily!$C$2:$C$9999="F. 100+")*Raw_Data_Daily!$D$2:$D$9999*Raw_Data_Daily!$H$2:$H$9999/100),"")</f>
        <v>6.491653049</v>
      </c>
      <c r="T11" s="54">
        <f t="shared" si="6"/>
        <v>-0.1740292166</v>
      </c>
    </row>
    <row r="12">
      <c r="A12" s="27" t="s">
        <v>19</v>
      </c>
      <c r="B12" s="28"/>
      <c r="C12" s="29"/>
      <c r="D12" s="6"/>
      <c r="E12" s="30"/>
      <c r="F12" s="32"/>
      <c r="G12" s="6"/>
      <c r="H12" s="28"/>
      <c r="I12" s="29"/>
      <c r="J12" s="6"/>
      <c r="K12" s="30"/>
      <c r="L12" s="32"/>
      <c r="M12" s="6"/>
      <c r="N12" s="28"/>
      <c r="O12" s="29"/>
      <c r="P12" s="6"/>
      <c r="Q12" s="30"/>
      <c r="R12" s="32"/>
      <c r="S12" s="6"/>
      <c r="T12" s="28"/>
    </row>
    <row r="13">
      <c r="A13" s="8"/>
      <c r="B13" s="33" t="s">
        <v>20</v>
      </c>
      <c r="C13" s="71">
        <f>IFERROR(SUMPRODUCT((Raw_Data_Daily!$B$2:$B$9999="Control")*(Raw_Data_Daily!$C$2:$C$9999="A. 0")*Raw_Data_Daily!$D$2:$D$9999*Raw_Data_Daily!$J$2:$J$9999)/SUMIFS(Raw_Data_Daily!$D:$D, Raw_Data_Daily!$B:$B, "Control", Raw_Data_Daily!$C:$C, "A. 0"),"")</f>
        <v>18.36816189</v>
      </c>
      <c r="D13" s="40">
        <f>IFERROR(SUMPRODUCT((Raw_Data_Daily!$B$2:$B$9999="Variant")*(Raw_Data_Daily!$C$2:$C$9999="A. 0")*Raw_Data_Daily!$D$2:$D$9999*Raw_Data_Daily!$J$2:$J$9999)/SUMIFS(Raw_Data_Daily!$D:$D, Raw_Data_Daily!$B:$B, "Variant", Raw_Data_Daily!$C:$C, "A. 0"),"")</f>
        <v>19.62300835</v>
      </c>
      <c r="E13" s="51">
        <f t="shared" ref="E13:E15" si="7">IFERROR((D13-C13)/ABS(C13),"")</f>
        <v>0.06831638692</v>
      </c>
      <c r="F13" s="72">
        <f>IFERROR(SUMPRODUCT((Raw_Data_Daily!$B$2:$B$9999="Control")*(Raw_Data_Daily!$C$2:$C$9999="B. 1-9")*Raw_Data_Daily!$D$2:$D$9999*Raw_Data_Daily!$J$2:$J$9999)/SUMIFS(Raw_Data_Daily!$D:$D, Raw_Data_Daily!$B:$B, "Control", Raw_Data_Daily!$C:$C, "B. 1-9"),"")</f>
        <v>20.56870586</v>
      </c>
      <c r="G13" s="40">
        <f>IFERROR(SUMPRODUCT((Raw_Data_Daily!$B$2:$B$9999="Variant")*(Raw_Data_Daily!$C$2:$C$9999="B. 1-9")*Raw_Data_Daily!$D$2:$D$9999*Raw_Data_Daily!$J$2:$J$9999)/SUMIFS(Raw_Data_Daily!$D:$D, Raw_Data_Daily!$B:$B, "Variant", Raw_Data_Daily!$C:$C, "B. 1-9"),"")</f>
        <v>20.66597338</v>
      </c>
      <c r="H13" s="49">
        <f t="shared" ref="H13:H15" si="8">IFERROR((G13-F13)/ABS(F13),"")</f>
        <v>0.004728908451</v>
      </c>
      <c r="I13" s="71">
        <f>IFERROR(SUMPRODUCT((Raw_Data_Daily!$B$2:$B$9999="Control")*(Raw_Data_Daily!$C$2:$C$9999="C. 10-19")*Raw_Data_Daily!$D$2:$D$9999*Raw_Data_Daily!$J$2:$J$9999)/SUMIFS(Raw_Data_Daily!$D:$D, Raw_Data_Daily!$B:$B, "Control", Raw_Data_Daily!$C:$C, "C. 10-19"),"")</f>
        <v>39.44283019</v>
      </c>
      <c r="J13" s="40">
        <f>IFERROR(SUMPRODUCT((Raw_Data_Daily!$B$2:$B$9999="Variant")*(Raw_Data_Daily!$C$2:$C$9999="C. 10-19")*Raw_Data_Daily!$D$2:$D$9999*Raw_Data_Daily!$J$2:$J$9999)/SUMIFS(Raw_Data_Daily!$D:$D, Raw_Data_Daily!$B:$B, "Variant", Raw_Data_Daily!$C:$C, "C. 10-19"),"")</f>
        <v>41.29237162</v>
      </c>
      <c r="K13" s="46">
        <f t="shared" ref="K13:K15" si="9">IFERROR((J13-I13)/ABS(I13),"")</f>
        <v>0.04689170174</v>
      </c>
      <c r="L13" s="72">
        <f>IFERROR(SUMPRODUCT((Raw_Data_Daily!$B$2:$B$9999="Control")*(Raw_Data_Daily!$C$2:$C$9999="D. 20-39")*Raw_Data_Daily!$D$2:$D$9999*Raw_Data_Daily!$J$2:$J$9999)/SUMIFS(Raw_Data_Daily!$D:$D, Raw_Data_Daily!$B:$B, "Control", Raw_Data_Daily!$C:$C, "D. 20-39"),"")</f>
        <v>60.46091761</v>
      </c>
      <c r="M13" s="40">
        <f>IFERROR(SUMPRODUCT((Raw_Data_Daily!$B$2:$B$9999="Variant")*(Raw_Data_Daily!$C$2:$C$9999="D. 20-39")*Raw_Data_Daily!$D$2:$D$9999*Raw_Data_Daily!$J$2:$J$9999)/SUMIFS(Raw_Data_Daily!$D:$D, Raw_Data_Daily!$B:$B, "Variant", Raw_Data_Daily!$C:$C, "D. 20-39"),"")</f>
        <v>63.21944023</v>
      </c>
      <c r="N13" s="49">
        <f t="shared" ref="N13:N15" si="10">IFERROR((M13-L13)/ABS(L13),"")</f>
        <v>0.04562488851</v>
      </c>
      <c r="O13" s="71">
        <f>IFERROR(SUMPRODUCT((Raw_Data_Daily!$B$2:$B$9999="Control")*(Raw_Data_Daily!$C$2:$C$9999="E. 40-99")*Raw_Data_Daily!$D$2:$D$9999*Raw_Data_Daily!$J$2:$J$9999)/SUMIFS(Raw_Data_Daily!$D:$D, Raw_Data_Daily!$B:$B, "Control", Raw_Data_Daily!$C:$C, "E. 40-99"),"")</f>
        <v>111.6204344</v>
      </c>
      <c r="P13" s="40">
        <f>IFERROR(SUMPRODUCT((Raw_Data_Daily!$B$2:$B$9999="Variant")*(Raw_Data_Daily!$C$2:$C$9999="E. 40-99")*Raw_Data_Daily!$D$2:$D$9999*Raw_Data_Daily!$J$2:$J$9999)/SUMIFS(Raw_Data_Daily!$D:$D, Raw_Data_Daily!$B:$B, "Variant", Raw_Data_Daily!$C:$C, "E. 40-99"),"")</f>
        <v>114.5254921</v>
      </c>
      <c r="Q13" s="46">
        <f t="shared" ref="Q13:Q15" si="11">IFERROR((P13-O13)/ABS(O13),"")</f>
        <v>0.02602621734</v>
      </c>
      <c r="R13" s="72">
        <f>IFERROR(SUMPRODUCT((Raw_Data_Daily!$B$2:$B$9999="Control")*(Raw_Data_Daily!$C$2:$C$9999="F. 100+")*Raw_Data_Daily!$D$2:$D$9999*Raw_Data_Daily!$J$2:$J$9999)/SUMIFS(Raw_Data_Daily!$D:$D, Raw_Data_Daily!$B:$B, "Control", Raw_Data_Daily!$C:$C, "F. 100+"),"")</f>
        <v>234.9485515</v>
      </c>
      <c r="S13" s="40">
        <f>IFERROR(SUMPRODUCT((Raw_Data_Daily!$B$2:$B$9999="Variant")*(Raw_Data_Daily!$C$2:$C$9999="F. 100+")*Raw_Data_Daily!$D$2:$D$9999*Raw_Data_Daily!$J$2:$J$9999)/SUMIFS(Raw_Data_Daily!$D:$D, Raw_Data_Daily!$B:$B, "Variant", Raw_Data_Daily!$C:$C, "F. 100+"),"")</f>
        <v>240.2017689</v>
      </c>
      <c r="T13" s="54">
        <f t="shared" ref="T13:T15" si="12">IFERROR((S13-R13)/ABS(R13),"")</f>
        <v>0.02235901166</v>
      </c>
    </row>
    <row r="14">
      <c r="A14" s="8"/>
      <c r="B14" s="33" t="s">
        <v>21</v>
      </c>
      <c r="C14" s="71">
        <f>IFERROR(SUMPRODUCT((Raw_Data_Daily!$B$2:$B$9999="Control")*(Raw_Data_Daily!$C$2:$C$9999="A. 0")*Raw_Data_Daily!$D$2:$D$9999*Raw_Data_Daily!$K$2:$K$9999)/SUMIFS(Raw_Data_Daily!$D:$D, Raw_Data_Daily!$B:$B, "Control", Raw_Data_Daily!$C:$C, "A. 0"),"")</f>
        <v>10.07246914</v>
      </c>
      <c r="D14" s="40">
        <f>IFERROR(SUMPRODUCT((Raw_Data_Daily!$B$2:$B$9999="Variant")*(Raw_Data_Daily!$C$2:$C$9999="A. 0")*Raw_Data_Daily!$D$2:$D$9999*Raw_Data_Daily!$K$2:$K$9999)/SUMIFS(Raw_Data_Daily!$D:$D, Raw_Data_Daily!$B:$B, "Variant", Raw_Data_Daily!$C:$C, "A. 0"),"")</f>
        <v>10.54421171</v>
      </c>
      <c r="E14" s="51">
        <f t="shared" si="7"/>
        <v>0.04683484848</v>
      </c>
      <c r="F14" s="72">
        <f>IFERROR(SUMPRODUCT((Raw_Data_Daily!$B$2:$B$9999="Control")*(Raw_Data_Daily!$C$2:$C$9999="B. 1-9")*Raw_Data_Daily!$D$2:$D$9999*Raw_Data_Daily!$K$2:$K$9999)/SUMIFS(Raw_Data_Daily!$D:$D, Raw_Data_Daily!$B:$B, "Control", Raw_Data_Daily!$C:$C, "B. 1-9"),"")</f>
        <v>10.85044614</v>
      </c>
      <c r="G14" s="40">
        <f>IFERROR(SUMPRODUCT((Raw_Data_Daily!$B$2:$B$9999="Variant")*(Raw_Data_Daily!$C$2:$C$9999="B. 1-9")*Raw_Data_Daily!$D$2:$D$9999*Raw_Data_Daily!$K$2:$K$9999)/SUMIFS(Raw_Data_Daily!$D:$D, Raw_Data_Daily!$B:$B, "Variant", Raw_Data_Daily!$C:$C, "B. 1-9"),"")</f>
        <v>10.67788562</v>
      </c>
      <c r="H14" s="49">
        <f t="shared" si="8"/>
        <v>-0.01590354119</v>
      </c>
      <c r="I14" s="71">
        <f>IFERROR(SUMPRODUCT((Raw_Data_Daily!$B$2:$B$9999="Control")*(Raw_Data_Daily!$C$2:$C$9999="C. 10-19")*Raw_Data_Daily!$D$2:$D$9999*Raw_Data_Daily!$K$2:$K$9999)/SUMIFS(Raw_Data_Daily!$D:$D, Raw_Data_Daily!$B:$B, "Control", Raw_Data_Daily!$C:$C, "C. 10-19"),"")</f>
        <v>21.88878868</v>
      </c>
      <c r="J14" s="40">
        <f>IFERROR(SUMPRODUCT((Raw_Data_Daily!$B$2:$B$9999="Variant")*(Raw_Data_Daily!$C$2:$C$9999="C. 10-19")*Raw_Data_Daily!$D$2:$D$9999*Raw_Data_Daily!$K$2:$K$9999)/SUMIFS(Raw_Data_Daily!$D:$D, Raw_Data_Daily!$B:$B, "Variant", Raw_Data_Daily!$C:$C, "C. 10-19"),"")</f>
        <v>22.36165722</v>
      </c>
      <c r="K14" s="51">
        <f t="shared" si="9"/>
        <v>0.02160323055</v>
      </c>
      <c r="L14" s="72">
        <f>IFERROR(SUMPRODUCT((Raw_Data_Daily!$B$2:$B$9999="Control")*(Raw_Data_Daily!$C$2:$C$9999="D. 20-39")*Raw_Data_Daily!$D$2:$D$9999*Raw_Data_Daily!$K$2:$K$9999)/SUMIFS(Raw_Data_Daily!$D:$D, Raw_Data_Daily!$B:$B, "Control", Raw_Data_Daily!$C:$C, "D. 20-39"),"")</f>
        <v>35.61645056</v>
      </c>
      <c r="M14" s="40">
        <f>IFERROR(SUMPRODUCT((Raw_Data_Daily!$B$2:$B$9999="Variant")*(Raw_Data_Daily!$C$2:$C$9999="D. 20-39")*Raw_Data_Daily!$D$2:$D$9999*Raw_Data_Daily!$K$2:$K$9999)/SUMIFS(Raw_Data_Daily!$D:$D, Raw_Data_Daily!$B:$B, "Variant", Raw_Data_Daily!$C:$C, "D. 20-39"),"")</f>
        <v>36.29197609</v>
      </c>
      <c r="N14" s="49">
        <f t="shared" si="10"/>
        <v>0.01896667185</v>
      </c>
      <c r="O14" s="71">
        <f>IFERROR(SUMPRODUCT((Raw_Data_Daily!$B$2:$B$9999="Control")*(Raw_Data_Daily!$C$2:$C$9999="E. 40-99")*Raw_Data_Daily!$D$2:$D$9999*Raw_Data_Daily!$K$2:$K$9999)/SUMIFS(Raw_Data_Daily!$D:$D, Raw_Data_Daily!$B:$B, "Control", Raw_Data_Daily!$C:$C, "E. 40-99"),"")</f>
        <v>70.00077371</v>
      </c>
      <c r="P14" s="40">
        <f>IFERROR(SUMPRODUCT((Raw_Data_Daily!$B$2:$B$9999="Variant")*(Raw_Data_Daily!$C$2:$C$9999="E. 40-99")*Raw_Data_Daily!$D$2:$D$9999*Raw_Data_Daily!$K$2:$K$9999)/SUMIFS(Raw_Data_Daily!$D:$D, Raw_Data_Daily!$B:$B, "Variant", Raw_Data_Daily!$C:$C, "E. 40-99"),"")</f>
        <v>71.08263637</v>
      </c>
      <c r="Q14" s="46">
        <f t="shared" si="11"/>
        <v>0.01545501002</v>
      </c>
      <c r="R14" s="72">
        <f>IFERROR(SUMPRODUCT((Raw_Data_Daily!$B$2:$B$9999="Control")*(Raw_Data_Daily!$C$2:$C$9999="F. 100+")*Raw_Data_Daily!$D$2:$D$9999*Raw_Data_Daily!$K$2:$K$9999)/SUMIFS(Raw_Data_Daily!$D:$D, Raw_Data_Daily!$B:$B, "Control", Raw_Data_Daily!$C:$C, "F. 100+"),"")</f>
        <v>162.461436</v>
      </c>
      <c r="S14" s="40">
        <f>IFERROR(SUMPRODUCT((Raw_Data_Daily!$B$2:$B$9999="Variant")*(Raw_Data_Daily!$C$2:$C$9999="F. 100+")*Raw_Data_Daily!$D$2:$D$9999*Raw_Data_Daily!$K$2:$K$9999)/SUMIFS(Raw_Data_Daily!$D:$D, Raw_Data_Daily!$B:$B, "Variant", Raw_Data_Daily!$C:$C, "F. 100+"),"")</f>
        <v>166.4476334</v>
      </c>
      <c r="T14" s="49">
        <f t="shared" si="12"/>
        <v>0.02453626806</v>
      </c>
    </row>
    <row r="15">
      <c r="A15" s="8"/>
      <c r="B15" s="33" t="s">
        <v>22</v>
      </c>
      <c r="C15" s="71">
        <f>IFERROR(SUMPRODUCT((Raw_Data_Daily!$B$2:$B$9999="Control")*(Raw_Data_Daily!$C$2:$C$9999="A. 0")*Raw_Data_Daily!$D$2:$D$9999*Raw_Data_Daily!$L$2:$L$9999)/SUMIFS(Raw_Data_Daily!$D:$D, Raw_Data_Daily!$B:$B, "Control", Raw_Data_Daily!$C:$C, "A. 0"),"")</f>
        <v>6.767520458</v>
      </c>
      <c r="D15" s="40">
        <f>IFERROR(SUMPRODUCT((Raw_Data_Daily!$B$2:$B$9999="Variant")*(Raw_Data_Daily!$C$2:$C$9999="A. 0")*Raw_Data_Daily!$D$2:$D$9999*Raw_Data_Daily!$L$2:$L$9999)/SUMIFS(Raw_Data_Daily!$D:$D, Raw_Data_Daily!$B:$B, "Variant", Raw_Data_Daily!$C:$C, "A. 0"),"")</f>
        <v>7.175298249</v>
      </c>
      <c r="E15" s="38">
        <f t="shared" si="7"/>
        <v>0.06025512494</v>
      </c>
      <c r="F15" s="72">
        <f>IFERROR(SUMPRODUCT((Raw_Data_Daily!$B$2:$B$9999="Control")*(Raw_Data_Daily!$C$2:$C$9999="B. 1-9")*Raw_Data_Daily!$D$2:$D$9999*Raw_Data_Daily!$L$2:$L$9999)/SUMIFS(Raw_Data_Daily!$D:$D, Raw_Data_Daily!$B:$B, "Control", Raw_Data_Daily!$C:$C, "B. 1-9"),"")</f>
        <v>5.145923205</v>
      </c>
      <c r="G15" s="40">
        <f>IFERROR(SUMPRODUCT((Raw_Data_Daily!$B$2:$B$9999="Variant")*(Raw_Data_Daily!$C$2:$C$9999="B. 1-9")*Raw_Data_Daily!$D$2:$D$9999*Raw_Data_Daily!$L$2:$L$9999)/SUMIFS(Raw_Data_Daily!$D:$D, Raw_Data_Daily!$B:$B, "Variant", Raw_Data_Daily!$C:$C, "B. 1-9"),"")</f>
        <v>5.103403875</v>
      </c>
      <c r="H15" s="49">
        <f t="shared" si="8"/>
        <v>-0.008262721501</v>
      </c>
      <c r="I15" s="71">
        <f>IFERROR(SUMPRODUCT((Raw_Data_Daily!$B$2:$B$9999="Control")*(Raw_Data_Daily!$C$2:$C$9999="C. 10-19")*Raw_Data_Daily!$D$2:$D$9999*Raw_Data_Daily!$L$2:$L$9999)/SUMIFS(Raw_Data_Daily!$D:$D, Raw_Data_Daily!$B:$B, "Control", Raw_Data_Daily!$C:$C, "C. 10-19"),"")</f>
        <v>13.53220049</v>
      </c>
      <c r="J15" s="40">
        <f>IFERROR(SUMPRODUCT((Raw_Data_Daily!$B$2:$B$9999="Variant")*(Raw_Data_Daily!$C$2:$C$9999="C. 10-19")*Raw_Data_Daily!$D$2:$D$9999*Raw_Data_Daily!$L$2:$L$9999)/SUMIFS(Raw_Data_Daily!$D:$D, Raw_Data_Daily!$B:$B, "Variant", Raw_Data_Daily!$C:$C, "C. 10-19"),"")</f>
        <v>13.36378574</v>
      </c>
      <c r="K15" s="46">
        <f t="shared" si="9"/>
        <v>-0.01244548131</v>
      </c>
      <c r="L15" s="72">
        <f>IFERROR(SUMPRODUCT((Raw_Data_Daily!$B$2:$B$9999="Control")*(Raw_Data_Daily!$C$2:$C$9999="D. 20-39")*Raw_Data_Daily!$D$2:$D$9999*Raw_Data_Daily!$L$2:$L$9999)/SUMIFS(Raw_Data_Daily!$D:$D, Raw_Data_Daily!$B:$B, "Control", Raw_Data_Daily!$C:$C, "D. 20-39"),"")</f>
        <v>25.54155108</v>
      </c>
      <c r="M15" s="40">
        <f>IFERROR(SUMPRODUCT((Raw_Data_Daily!$B$2:$B$9999="Variant")*(Raw_Data_Daily!$C$2:$C$9999="D. 20-39")*Raw_Data_Daily!$D$2:$D$9999*Raw_Data_Daily!$L$2:$L$9999)/SUMIFS(Raw_Data_Daily!$D:$D, Raw_Data_Daily!$B:$B, "Variant", Raw_Data_Daily!$C:$C, "D. 20-39"),"")</f>
        <v>25.34897221</v>
      </c>
      <c r="N15" s="49">
        <f t="shared" si="10"/>
        <v>-0.007539826878</v>
      </c>
      <c r="O15" s="71">
        <f>IFERROR(SUMPRODUCT((Raw_Data_Daily!$B$2:$B$9999="Control")*(Raw_Data_Daily!$C$2:$C$9999="E. 40-99")*Raw_Data_Daily!$D$2:$D$9999*Raw_Data_Daily!$L$2:$L$9999)/SUMIFS(Raw_Data_Daily!$D:$D, Raw_Data_Daily!$B:$B, "Control", Raw_Data_Daily!$C:$C, "E. 40-99"),"")</f>
        <v>52.48362877</v>
      </c>
      <c r="P15" s="40">
        <f>IFERROR(SUMPRODUCT((Raw_Data_Daily!$B$2:$B$9999="Variant")*(Raw_Data_Daily!$C$2:$C$9999="E. 40-99")*Raw_Data_Daily!$D$2:$D$9999*Raw_Data_Daily!$L$2:$L$9999)/SUMIFS(Raw_Data_Daily!$D:$D, Raw_Data_Daily!$B:$B, "Variant", Raw_Data_Daily!$C:$C, "E. 40-99"),"")</f>
        <v>52.10015102</v>
      </c>
      <c r="Q15" s="46">
        <f t="shared" si="11"/>
        <v>-0.007306616418</v>
      </c>
      <c r="R15" s="72">
        <f>IFERROR(SUMPRODUCT((Raw_Data_Daily!$B$2:$B$9999="Control")*(Raw_Data_Daily!$C$2:$C$9999="F. 100+")*Raw_Data_Daily!$D$2:$D$9999*Raw_Data_Daily!$L$2:$L$9999)/SUMIFS(Raw_Data_Daily!$D:$D, Raw_Data_Daily!$B:$B, "Control", Raw_Data_Daily!$C:$C, "F. 100+"),"")</f>
        <v>124.9003595</v>
      </c>
      <c r="S15" s="40">
        <f>IFERROR(SUMPRODUCT((Raw_Data_Daily!$B$2:$B$9999="Variant")*(Raw_Data_Daily!$C$2:$C$9999="F. 100+")*Raw_Data_Daily!$D$2:$D$9999*Raw_Data_Daily!$L$2:$L$9999)/SUMIFS(Raw_Data_Daily!$D:$D, Raw_Data_Daily!$B:$B, "Variant", Raw_Data_Daily!$C:$C, "F. 100+"),"")</f>
        <v>123.6631784</v>
      </c>
      <c r="T15" s="49">
        <f t="shared" si="12"/>
        <v>-0.009905344458</v>
      </c>
    </row>
    <row r="16" ht="15.75" customHeight="1">
      <c r="A16" s="27" t="s">
        <v>23</v>
      </c>
      <c r="B16" s="28"/>
      <c r="C16" s="29"/>
      <c r="D16" s="6"/>
      <c r="E16" s="30"/>
      <c r="F16" s="32"/>
      <c r="G16" s="6"/>
      <c r="H16" s="28"/>
      <c r="I16" s="29"/>
      <c r="J16" s="6"/>
      <c r="K16" s="30"/>
      <c r="L16" s="32"/>
      <c r="M16" s="6"/>
      <c r="N16" s="28"/>
      <c r="O16" s="29"/>
      <c r="P16" s="6"/>
      <c r="Q16" s="30"/>
      <c r="R16" s="32"/>
      <c r="S16" s="6"/>
      <c r="T16" s="28"/>
    </row>
    <row r="17" ht="15.75" customHeight="1">
      <c r="A17" s="8"/>
      <c r="B17" s="33" t="s">
        <v>24</v>
      </c>
      <c r="C17" s="71">
        <f>IFERROR(SUMPRODUCT((Raw_Data_Daily!$B$2:$B$9999="Control")*(Raw_Data_Daily!$C$2:$C$9999="A. 0")*Raw_Data_Daily!$D$2:$D$9999*Raw_Data_Daily!$AD$2:$AD$9999)/SUMIFS(Raw_Data_Daily!$D:$D, Raw_Data_Daily!$B:$B, "Control", Raw_Data_Daily!$C:$C, "A. 0"),"")</f>
        <v>0</v>
      </c>
      <c r="D17" s="40">
        <f>IFERROR(SUMPRODUCT((Raw_Data_Daily!$B$2:$B$9999="Variant")*(Raw_Data_Daily!$C$2:$C$9999="A. 0")*Raw_Data_Daily!$D$2:$D$9999*Raw_Data_Daily!$AD$2:$AD$9999)/SUMIFS(Raw_Data_Daily!$D:$D, Raw_Data_Daily!$B:$B, "Variant", Raw_Data_Daily!$C:$C, "A. 0"),"")</f>
        <v>0</v>
      </c>
      <c r="E17" s="38" t="str">
        <f t="shared" ref="E17:E22" si="13">IFERROR((D17-C17)/ABS(C17),"")</f>
        <v/>
      </c>
      <c r="F17" s="72">
        <f>IFERROR(SUMPRODUCT((Raw_Data_Daily!$B$2:$B$9999="Control")*(Raw_Data_Daily!$C$2:$C$9999="B. 1-9")*Raw_Data_Daily!$D$2:$D$9999*Raw_Data_Daily!$AD$2:$AD$9999)/SUMIFS(Raw_Data_Daily!$D:$D, Raw_Data_Daily!$B:$B, "Control", Raw_Data_Daily!$C:$C, "B. 1-9"),"")</f>
        <v>3.980856947</v>
      </c>
      <c r="G17" s="40">
        <f>IFERROR(SUMPRODUCT((Raw_Data_Daily!$B$2:$B$9999="Variant")*(Raw_Data_Daily!$C$2:$C$9999="B. 1-9")*Raw_Data_Daily!$D$2:$D$9999*Raw_Data_Daily!$AD$2:$AD$9999)/SUMIFS(Raw_Data_Daily!$D:$D, Raw_Data_Daily!$B:$B, "Variant", Raw_Data_Daily!$C:$C, "B. 1-9"),"")</f>
        <v>3.989355896</v>
      </c>
      <c r="H17" s="49">
        <f t="shared" ref="H17:H22" si="14">IFERROR((G17-F17)/ABS(F17),"")</f>
        <v>0.00213495469</v>
      </c>
      <c r="I17" s="71">
        <f>IFERROR(SUMPRODUCT((Raw_Data_Daily!$B$2:$B$9999="Control")*(Raw_Data_Daily!$C$2:$C$9999="C. 10-19")*Raw_Data_Daily!$D$2:$D$9999*Raw_Data_Daily!$AD$2:$AD$9999)/SUMIFS(Raw_Data_Daily!$D:$D, Raw_Data_Daily!$B:$B, "Control", Raw_Data_Daily!$C:$C, "C. 10-19"),"")</f>
        <v>9.594718816</v>
      </c>
      <c r="J17" s="40">
        <f>IFERROR(SUMPRODUCT((Raw_Data_Daily!$B$2:$B$9999="Variant")*(Raw_Data_Daily!$C$2:$C$9999="C. 10-19")*Raw_Data_Daily!$D$2:$D$9999*Raw_Data_Daily!$AD$2:$AD$9999)/SUMIFS(Raw_Data_Daily!$D:$D, Raw_Data_Daily!$B:$B, "Variant", Raw_Data_Daily!$C:$C, "C. 10-19"),"")</f>
        <v>9.433428335</v>
      </c>
      <c r="K17" s="46">
        <f t="shared" ref="K17:K22" si="15">IFERROR((J17-I17)/ABS(I17),"")</f>
        <v>-0.01681033953</v>
      </c>
      <c r="L17" s="72">
        <f>IFERROR(SUMPRODUCT((Raw_Data_Daily!$B$2:$B$9999="Control")*(Raw_Data_Daily!$C$2:$C$9999="D. 20-39")*Raw_Data_Daily!$D$2:$D$9999*Raw_Data_Daily!$AD$2:$AD$9999)/SUMIFS(Raw_Data_Daily!$D:$D, Raw_Data_Daily!$B:$B, "Control", Raw_Data_Daily!$C:$C, "D. 20-39"),"")</f>
        <v>16.4734605</v>
      </c>
      <c r="M17" s="40">
        <f>IFERROR(SUMPRODUCT((Raw_Data_Daily!$B$2:$B$9999="Variant")*(Raw_Data_Daily!$C$2:$C$9999="D. 20-39")*Raw_Data_Daily!$D$2:$D$9999*Raw_Data_Daily!$AD$2:$AD$9999)/SUMIFS(Raw_Data_Daily!$D:$D, Raw_Data_Daily!$B:$B, "Variant", Raw_Data_Daily!$C:$C, "D. 20-39"),"")</f>
        <v>16.13256871</v>
      </c>
      <c r="N17" s="49">
        <f t="shared" ref="N17:N22" si="16">IFERROR((M17-L17)/ABS(L17),"")</f>
        <v>-0.02069339277</v>
      </c>
      <c r="O17" s="71">
        <f>IFERROR(SUMPRODUCT((Raw_Data_Daily!$B$2:$B$9999="Control")*(Raw_Data_Daily!$C$2:$C$9999="E. 40-99")*Raw_Data_Daily!$D$2:$D$9999*Raw_Data_Daily!$AD$2:$AD$9999)/SUMIFS(Raw_Data_Daily!$D:$D, Raw_Data_Daily!$B:$B, "Control", Raw_Data_Daily!$C:$C, "E. 40-99"),"")</f>
        <v>29.21516767</v>
      </c>
      <c r="P17" s="40">
        <f>IFERROR(SUMPRODUCT((Raw_Data_Daily!$B$2:$B$9999="Variant")*(Raw_Data_Daily!$C$2:$C$9999="E. 40-99")*Raw_Data_Daily!$D$2:$D$9999*Raw_Data_Daily!$AD$2:$AD$9999)/SUMIFS(Raw_Data_Daily!$D:$D, Raw_Data_Daily!$B:$B, "Variant", Raw_Data_Daily!$C:$C, "E. 40-99"),"")</f>
        <v>27.80775027</v>
      </c>
      <c r="Q17" s="46">
        <f t="shared" ref="Q17:Q22" si="17">IFERROR((P17-O17)/ABS(O17),"")</f>
        <v>-0.04817420242</v>
      </c>
      <c r="R17" s="72">
        <f>IFERROR(SUMPRODUCT((Raw_Data_Daily!$B$2:$B$9999="Control")*(Raw_Data_Daily!$C$2:$C$9999="F. 100+")*Raw_Data_Daily!$D$2:$D$9999*Raw_Data_Daily!$AD$2:$AD$9999)/SUMIFS(Raw_Data_Daily!$D:$D, Raw_Data_Daily!$B:$B, "Control", Raw_Data_Daily!$C:$C, "F. 100+"),"")</f>
        <v>55.63673301</v>
      </c>
      <c r="S17" s="40">
        <f>IFERROR(SUMPRODUCT((Raw_Data_Daily!$B$2:$B$9999="Variant")*(Raw_Data_Daily!$C$2:$C$9999="F. 100+")*Raw_Data_Daily!$D$2:$D$9999*Raw_Data_Daily!$AD$2:$AD$9999)/SUMIFS(Raw_Data_Daily!$D:$D, Raw_Data_Daily!$B:$B, "Variant", Raw_Data_Daily!$C:$C, "F. 100+"),"")</f>
        <v>50.14864256</v>
      </c>
      <c r="T17" s="54">
        <f t="shared" ref="T17:T22" si="18">IFERROR((S17-R17)/ABS(R17),"")</f>
        <v>-0.09864149371</v>
      </c>
      <c r="V17" s="56"/>
    </row>
    <row r="18" ht="15.75" customHeight="1">
      <c r="A18" s="8"/>
      <c r="B18" s="33" t="s">
        <v>25</v>
      </c>
      <c r="C18" s="71">
        <f>IFERROR(SUMPRODUCT((Raw_Data_Daily!$B$2:$B$9999="Control")*(Raw_Data_Daily!$C$2:$C$9999="A. 0")*Raw_Data_Daily!$D$2:$D$9999*Raw_Data_Daily!$AE$2:$AE$9999)/SUMIFS(Raw_Data_Daily!$D:$D, Raw_Data_Daily!$B:$B, "Control", Raw_Data_Daily!$C:$C, "A. 0"),"")</f>
        <v>0</v>
      </c>
      <c r="D18" s="40">
        <f>IFERROR(SUMPRODUCT((Raw_Data_Daily!$B$2:$B$9999="Variant")*(Raw_Data_Daily!$C$2:$C$9999="A. 0")*Raw_Data_Daily!$D$2:$D$9999*Raw_Data_Daily!$AE$2:$AE$9999)/SUMIFS(Raw_Data_Daily!$D:$D, Raw_Data_Daily!$B:$B, "Variant", Raw_Data_Daily!$C:$C, "A. 0"),"")</f>
        <v>0</v>
      </c>
      <c r="E18" s="38" t="str">
        <f t="shared" si="13"/>
        <v/>
      </c>
      <c r="F18" s="72">
        <f>IFERROR(SUMPRODUCT((Raw_Data_Daily!$B$2:$B$9999="Control")*(Raw_Data_Daily!$C$2:$C$9999="B. 1-9")*Raw_Data_Daily!$D$2:$D$9999*Raw_Data_Daily!$AE$2:$AE$9999)/SUMIFS(Raw_Data_Daily!$D:$D, Raw_Data_Daily!$B:$B, "Control", Raw_Data_Daily!$C:$C, "B. 1-9"),"")</f>
        <v>1.57688038</v>
      </c>
      <c r="G18" s="40">
        <f>IFERROR(SUMPRODUCT((Raw_Data_Daily!$B$2:$B$9999="Variant")*(Raw_Data_Daily!$C$2:$C$9999="B. 1-9")*Raw_Data_Daily!$D$2:$D$9999*Raw_Data_Daily!$AE$2:$AE$9999)/SUMIFS(Raw_Data_Daily!$D:$D, Raw_Data_Daily!$B:$B, "Variant", Raw_Data_Daily!$C:$C, "B. 1-9"),"")</f>
        <v>1.48458798</v>
      </c>
      <c r="H18" s="42">
        <f t="shared" si="14"/>
        <v>-0.05852847248</v>
      </c>
      <c r="I18" s="71">
        <f>IFERROR(SUMPRODUCT((Raw_Data_Daily!$B$2:$B$9999="Control")*(Raw_Data_Daily!$C$2:$C$9999="C. 10-19")*Raw_Data_Daily!$D$2:$D$9999*Raw_Data_Daily!$AE$2:$AE$9999)/SUMIFS(Raw_Data_Daily!$D:$D, Raw_Data_Daily!$B:$B, "Control", Raw_Data_Daily!$C:$C, "C. 10-19"),"")</f>
        <v>4.046210055</v>
      </c>
      <c r="J18" s="40">
        <f>IFERROR(SUMPRODUCT((Raw_Data_Daily!$B$2:$B$9999="Variant")*(Raw_Data_Daily!$C$2:$C$9999="C. 10-19")*Raw_Data_Daily!$D$2:$D$9999*Raw_Data_Daily!$AE$2:$AE$9999)/SUMIFS(Raw_Data_Daily!$D:$D, Raw_Data_Daily!$B:$B, "Variant", Raw_Data_Daily!$C:$C, "C. 10-19"),"")</f>
        <v>4.051122062</v>
      </c>
      <c r="K18" s="46">
        <f t="shared" si="15"/>
        <v>0.001213977254</v>
      </c>
      <c r="L18" s="72">
        <f>IFERROR(SUMPRODUCT((Raw_Data_Daily!$B$2:$B$9999="Control")*(Raw_Data_Daily!$C$2:$C$9999="D. 20-39")*Raw_Data_Daily!$D$2:$D$9999*Raw_Data_Daily!$AE$2:$AE$9999)/SUMIFS(Raw_Data_Daily!$D:$D, Raw_Data_Daily!$B:$B, "Control", Raw_Data_Daily!$C:$C, "D. 20-39"),"")</f>
        <v>6.956182354</v>
      </c>
      <c r="M18" s="40">
        <f>IFERROR(SUMPRODUCT((Raw_Data_Daily!$B$2:$B$9999="Variant")*(Raw_Data_Daily!$C$2:$C$9999="D. 20-39")*Raw_Data_Daily!$D$2:$D$9999*Raw_Data_Daily!$AE$2:$AE$9999)/SUMIFS(Raw_Data_Daily!$D:$D, Raw_Data_Daily!$B:$B, "Variant", Raw_Data_Daily!$C:$C, "D. 20-39"),"")</f>
        <v>6.826919339</v>
      </c>
      <c r="N18" s="54">
        <f t="shared" si="16"/>
        <v>-0.01858246499</v>
      </c>
      <c r="O18" s="71">
        <f>IFERROR(SUMPRODUCT((Raw_Data_Daily!$B$2:$B$9999="Control")*(Raw_Data_Daily!$C$2:$C$9999="E. 40-99")*Raw_Data_Daily!$D$2:$D$9999*Raw_Data_Daily!$AE$2:$AE$9999)/SUMIFS(Raw_Data_Daily!$D:$D, Raw_Data_Daily!$B:$B, "Control", Raw_Data_Daily!$C:$C, "E. 40-99"),"")</f>
        <v>11.04954948</v>
      </c>
      <c r="P18" s="40">
        <f>IFERROR(SUMPRODUCT((Raw_Data_Daily!$B$2:$B$9999="Variant")*(Raw_Data_Daily!$C$2:$C$9999="E. 40-99")*Raw_Data_Daily!$D$2:$D$9999*Raw_Data_Daily!$AE$2:$AE$9999)/SUMIFS(Raw_Data_Daily!$D:$D, Raw_Data_Daily!$B:$B, "Variant", Raw_Data_Daily!$C:$C, "E. 40-99"),"")</f>
        <v>10.48668196</v>
      </c>
      <c r="Q18" s="46">
        <f t="shared" si="17"/>
        <v>-0.05094031408</v>
      </c>
      <c r="R18" s="72">
        <f>IFERROR(SUMPRODUCT((Raw_Data_Daily!$B$2:$B$9999="Control")*(Raw_Data_Daily!$C$2:$C$9999="F. 100+")*Raw_Data_Daily!$D$2:$D$9999*Raw_Data_Daily!$AE$2:$AE$9999)/SUMIFS(Raw_Data_Daily!$D:$D, Raw_Data_Daily!$B:$B, "Control", Raw_Data_Daily!$C:$C, "F. 100+"),"")</f>
        <v>20.69758233</v>
      </c>
      <c r="S18" s="40">
        <f>IFERROR(SUMPRODUCT((Raw_Data_Daily!$B$2:$B$9999="Variant")*(Raw_Data_Daily!$C$2:$C$9999="F. 100+")*Raw_Data_Daily!$D$2:$D$9999*Raw_Data_Daily!$AE$2:$AE$9999)/SUMIFS(Raw_Data_Daily!$D:$D, Raw_Data_Daily!$B:$B, "Variant", Raw_Data_Daily!$C:$C, "F. 100+"),"")</f>
        <v>19.571587</v>
      </c>
      <c r="T18" s="54">
        <f t="shared" si="18"/>
        <v>-0.05440226331</v>
      </c>
    </row>
    <row r="19" ht="15.75" customHeight="1">
      <c r="A19" s="8"/>
      <c r="B19" s="33" t="s">
        <v>26</v>
      </c>
      <c r="C19" s="71">
        <f>IFERROR(SUMPRODUCT((Raw_Data_Daily!$B$2:$B$9999="Control")*(Raw_Data_Daily!$C$2:$C$9999="A. 0")*Raw_Data_Daily!$D$2:$D$9999*Raw_Data_Daily!$AF$2:$AF$9999)/SUMIFS(Raw_Data_Daily!$D:$D, Raw_Data_Daily!$B:$B, "Control", Raw_Data_Daily!$C:$C, "A. 0"),"")</f>
        <v>0</v>
      </c>
      <c r="D19" s="40">
        <f>IFERROR(SUMPRODUCT((Raw_Data_Daily!$B$2:$B$9999="Variant")*(Raw_Data_Daily!$C$2:$C$9999="A. 0")*Raw_Data_Daily!$D$2:$D$9999*Raw_Data_Daily!$AF$2:$AF$9999)/SUMIFS(Raw_Data_Daily!$D:$D, Raw_Data_Daily!$B:$B, "Variant", Raw_Data_Daily!$C:$C, "A. 0"),"")</f>
        <v>0</v>
      </c>
      <c r="E19" s="38" t="str">
        <f t="shared" si="13"/>
        <v/>
      </c>
      <c r="F19" s="72">
        <f>IFERROR(SUMPRODUCT((Raw_Data_Daily!$B$2:$B$9999="Control")*(Raw_Data_Daily!$C$2:$C$9999="B. 1-9")*Raw_Data_Daily!$D$2:$D$9999*Raw_Data_Daily!$AF$2:$AF$9999)/SUMIFS(Raw_Data_Daily!$D:$D, Raw_Data_Daily!$B:$B, "Control", Raw_Data_Daily!$C:$C, "B. 1-9"),"")</f>
        <v>3</v>
      </c>
      <c r="G19" s="40">
        <f>IFERROR(SUMPRODUCT((Raw_Data_Daily!$B$2:$B$9999="Variant")*(Raw_Data_Daily!$C$2:$C$9999="B. 1-9")*Raw_Data_Daily!$D$2:$D$9999*Raw_Data_Daily!$AF$2:$AF$9999)/SUMIFS(Raw_Data_Daily!$D:$D, Raw_Data_Daily!$B:$B, "Variant", Raw_Data_Daily!$C:$C, "B. 1-9"),"")</f>
        <v>3</v>
      </c>
      <c r="H19" s="42">
        <f t="shared" si="14"/>
        <v>0</v>
      </c>
      <c r="I19" s="71">
        <f>IFERROR(SUMPRODUCT((Raw_Data_Daily!$B$2:$B$9999="Control")*(Raw_Data_Daily!$C$2:$C$9999="C. 10-19")*Raw_Data_Daily!$D$2:$D$9999*Raw_Data_Daily!$AF$2:$AF$9999)/SUMIFS(Raw_Data_Daily!$D:$D, Raw_Data_Daily!$B:$B, "Control", Raw_Data_Daily!$C:$C, "C. 10-19"),"")</f>
        <v>8.424991603</v>
      </c>
      <c r="J19" s="40">
        <f>IFERROR(SUMPRODUCT((Raw_Data_Daily!$B$2:$B$9999="Variant")*(Raw_Data_Daily!$C$2:$C$9999="C. 10-19")*Raw_Data_Daily!$D$2:$D$9999*Raw_Data_Daily!$AF$2:$AF$9999)/SUMIFS(Raw_Data_Daily!$D:$D, Raw_Data_Daily!$B:$B, "Variant", Raw_Data_Daily!$C:$C, "C. 10-19"),"")</f>
        <v>8.154628863</v>
      </c>
      <c r="K19" s="46">
        <f t="shared" si="15"/>
        <v>-0.03209056498</v>
      </c>
      <c r="L19" s="72">
        <f>IFERROR(SUMPRODUCT((Raw_Data_Daily!$B$2:$B$9999="Control")*(Raw_Data_Daily!$C$2:$C$9999="D. 20-39")*Raw_Data_Daily!$D$2:$D$9999*Raw_Data_Daily!$AF$2:$AF$9999)/SUMIFS(Raw_Data_Daily!$D:$D, Raw_Data_Daily!$B:$B, "Control", Raw_Data_Daily!$C:$C, "D. 20-39"),"")</f>
        <v>13.14494747</v>
      </c>
      <c r="M19" s="40">
        <f>IFERROR(SUMPRODUCT((Raw_Data_Daily!$B$2:$B$9999="Variant")*(Raw_Data_Daily!$C$2:$C$9999="D. 20-39")*Raw_Data_Daily!$D$2:$D$9999*Raw_Data_Daily!$AF$2:$AF$9999)/SUMIFS(Raw_Data_Daily!$D:$D, Raw_Data_Daily!$B:$B, "Variant", Raw_Data_Daily!$C:$C, "D. 20-39"),"")</f>
        <v>12.67275996</v>
      </c>
      <c r="N19" s="54">
        <f t="shared" si="16"/>
        <v>-0.03592159698</v>
      </c>
      <c r="O19" s="71">
        <f>IFERROR(SUMPRODUCT((Raw_Data_Daily!$B$2:$B$9999="Control")*(Raw_Data_Daily!$C$2:$C$9999="E. 40-99")*Raw_Data_Daily!$D$2:$D$9999*Raw_Data_Daily!$AF$2:$AF$9999)/SUMIFS(Raw_Data_Daily!$D:$D, Raw_Data_Daily!$B:$B, "Control", Raw_Data_Daily!$C:$C, "E. 40-99"),"")</f>
        <v>21.47557473</v>
      </c>
      <c r="P19" s="40">
        <f>IFERROR(SUMPRODUCT((Raw_Data_Daily!$B$2:$B$9999="Variant")*(Raw_Data_Daily!$C$2:$C$9999="E. 40-99")*Raw_Data_Daily!$D$2:$D$9999*Raw_Data_Daily!$AF$2:$AF$9999)/SUMIFS(Raw_Data_Daily!$D:$D, Raw_Data_Daily!$B:$B, "Variant", Raw_Data_Daily!$C:$C, "E. 40-99"),"")</f>
        <v>20.145909</v>
      </c>
      <c r="Q19" s="46">
        <f t="shared" si="17"/>
        <v>-0.06191525707</v>
      </c>
      <c r="R19" s="72">
        <f>IFERROR(SUMPRODUCT((Raw_Data_Daily!$B$2:$B$9999="Control")*(Raw_Data_Daily!$C$2:$C$9999="F. 100+")*Raw_Data_Daily!$D$2:$D$9999*Raw_Data_Daily!$AF$2:$AF$9999)/SUMIFS(Raw_Data_Daily!$D:$D, Raw_Data_Daily!$B:$B, "Control", Raw_Data_Daily!$C:$C, "F. 100+"),"")</f>
        <v>39.2344727</v>
      </c>
      <c r="S19" s="40">
        <f>IFERROR(SUMPRODUCT((Raw_Data_Daily!$B$2:$B$9999="Variant")*(Raw_Data_Daily!$C$2:$C$9999="F. 100+")*Raw_Data_Daily!$D$2:$D$9999*Raw_Data_Daily!$AF$2:$AF$9999)/SUMIFS(Raw_Data_Daily!$D:$D, Raw_Data_Daily!$B:$B, "Variant", Raw_Data_Daily!$C:$C, "F. 100+"),"")</f>
        <v>35.58323167</v>
      </c>
      <c r="T19" s="54">
        <f t="shared" si="18"/>
        <v>-0.09306206437</v>
      </c>
    </row>
    <row r="20" ht="15.75" customHeight="1">
      <c r="A20" s="8"/>
      <c r="B20" s="33" t="s">
        <v>27</v>
      </c>
      <c r="C20" s="71">
        <f>IFERROR(SUMPRODUCT((Raw_Data_Daily!$B$2:$B$9999="Control")*(Raw_Data_Daily!$C$2:$C$9999="A. 0")*Raw_Data_Daily!$D$2:$D$9999*Raw_Data_Daily!$AG$2:$AG$9999)/SUMIFS(Raw_Data_Daily!$D:$D, Raw_Data_Daily!$B:$B, "Control", Raw_Data_Daily!$C:$C, "A. 0"),"")</f>
        <v>0</v>
      </c>
      <c r="D20" s="40">
        <f>IFERROR(SUMPRODUCT((Raw_Data_Daily!$B$2:$B$9999="Variant")*(Raw_Data_Daily!$C$2:$C$9999="A. 0")*Raw_Data_Daily!$D$2:$D$9999*Raw_Data_Daily!$AG$2:$AG$9999)/SUMIFS(Raw_Data_Daily!$D:$D, Raw_Data_Daily!$B:$B, "Variant", Raw_Data_Daily!$C:$C, "A. 0"),"")</f>
        <v>0</v>
      </c>
      <c r="E20" s="38" t="str">
        <f t="shared" si="13"/>
        <v/>
      </c>
      <c r="F20" s="72">
        <f>IFERROR(SUMPRODUCT((Raw_Data_Daily!$B$2:$B$9999="Control")*(Raw_Data_Daily!$C$2:$C$9999="B. 1-9")*Raw_Data_Daily!$D$2:$D$9999*Raw_Data_Daily!$AG$2:$AG$9999)/SUMIFS(Raw_Data_Daily!$D:$D, Raw_Data_Daily!$B:$B, "Control", Raw_Data_Daily!$C:$C, "B. 1-9"),"")</f>
        <v>5.145076471</v>
      </c>
      <c r="G20" s="40">
        <f>IFERROR(SUMPRODUCT((Raw_Data_Daily!$B$2:$B$9999="Variant")*(Raw_Data_Daily!$C$2:$C$9999="B. 1-9")*Raw_Data_Daily!$D$2:$D$9999*Raw_Data_Daily!$AG$2:$AG$9999)/SUMIFS(Raw_Data_Daily!$D:$D, Raw_Data_Daily!$B:$B, "Variant", Raw_Data_Daily!$C:$C, "B. 1-9"),"")</f>
        <v>5.28445761</v>
      </c>
      <c r="H20" s="42">
        <f t="shared" si="14"/>
        <v>0.02709019779</v>
      </c>
      <c r="I20" s="71">
        <f>IFERROR(SUMPRODUCT((Raw_Data_Daily!$B$2:$B$9999="Control")*(Raw_Data_Daily!$C$2:$C$9999="C. 10-19")*Raw_Data_Daily!$D$2:$D$9999*Raw_Data_Daily!$AG$2:$AG$9999)/SUMIFS(Raw_Data_Daily!$D:$D, Raw_Data_Daily!$B:$B, "Control", Raw_Data_Daily!$C:$C, "C. 10-19"),"")</f>
        <v>13</v>
      </c>
      <c r="J20" s="40">
        <f>IFERROR(SUMPRODUCT((Raw_Data_Daily!$B$2:$B$9999="Variant")*(Raw_Data_Daily!$C$2:$C$9999="C. 10-19")*Raw_Data_Daily!$D$2:$D$9999*Raw_Data_Daily!$AG$2:$AG$9999)/SUMIFS(Raw_Data_Daily!$D:$D, Raw_Data_Daily!$B:$B, "Variant", Raw_Data_Daily!$C:$C, "C. 10-19"),"")</f>
        <v>12.96530095</v>
      </c>
      <c r="K20" s="46">
        <f t="shared" si="15"/>
        <v>-0.002669157544</v>
      </c>
      <c r="L20" s="72">
        <f>IFERROR(SUMPRODUCT((Raw_Data_Daily!$B$2:$B$9999="Control")*(Raw_Data_Daily!$C$2:$C$9999="D. 20-39")*Raw_Data_Daily!$D$2:$D$9999*Raw_Data_Daily!$AG$2:$AG$9999)/SUMIFS(Raw_Data_Daily!$D:$D, Raw_Data_Daily!$B:$B, "Control", Raw_Data_Daily!$C:$C, "D. 20-39"),"")</f>
        <v>23.04883357</v>
      </c>
      <c r="M20" s="40">
        <f>IFERROR(SUMPRODUCT((Raw_Data_Daily!$B$2:$B$9999="Variant")*(Raw_Data_Daily!$C$2:$C$9999="D. 20-39")*Raw_Data_Daily!$D$2:$D$9999*Raw_Data_Daily!$AG$2:$AG$9999)/SUMIFS(Raw_Data_Daily!$D:$D, Raw_Data_Daily!$B:$B, "Variant", Raw_Data_Daily!$C:$C, "D. 20-39"),"")</f>
        <v>22.38708455</v>
      </c>
      <c r="N20" s="49">
        <f t="shared" si="16"/>
        <v>-0.02871073817</v>
      </c>
      <c r="O20" s="71">
        <f>IFERROR(SUMPRODUCT((Raw_Data_Daily!$B$2:$B$9999="Control")*(Raw_Data_Daily!$C$2:$C$9999="E. 40-99")*Raw_Data_Daily!$D$2:$D$9999*Raw_Data_Daily!$AG$2:$AG$9999)/SUMIFS(Raw_Data_Daily!$D:$D, Raw_Data_Daily!$B:$B, "Control", Raw_Data_Daily!$C:$C, "E. 40-99"),"")</f>
        <v>40.58534028</v>
      </c>
      <c r="P20" s="40">
        <f>IFERROR(SUMPRODUCT((Raw_Data_Daily!$B$2:$B$9999="Variant")*(Raw_Data_Daily!$C$2:$C$9999="E. 40-99")*Raw_Data_Daily!$D$2:$D$9999*Raw_Data_Daily!$AG$2:$AG$9999)/SUMIFS(Raw_Data_Daily!$D:$D, Raw_Data_Daily!$B:$B, "Variant", Raw_Data_Daily!$C:$C, "E. 40-99"),"")</f>
        <v>38.59235009</v>
      </c>
      <c r="Q20" s="46">
        <f t="shared" si="17"/>
        <v>-0.04910615942</v>
      </c>
      <c r="R20" s="72">
        <f>IFERROR(SUMPRODUCT((Raw_Data_Daily!$B$2:$B$9999="Control")*(Raw_Data_Daily!$C$2:$C$9999="F. 100+")*Raw_Data_Daily!$D$2:$D$9999*Raw_Data_Daily!$AG$2:$AG$9999)/SUMIFS(Raw_Data_Daily!$D:$D, Raw_Data_Daily!$B:$B, "Control", Raw_Data_Daily!$C:$C, "F. 100+"),"")</f>
        <v>74.59774906</v>
      </c>
      <c r="S20" s="40">
        <f>IFERROR(SUMPRODUCT((Raw_Data_Daily!$B$2:$B$9999="Variant")*(Raw_Data_Daily!$C$2:$C$9999="F. 100+")*Raw_Data_Daily!$D$2:$D$9999*Raw_Data_Daily!$AG$2:$AG$9999)/SUMIFS(Raw_Data_Daily!$D:$D, Raw_Data_Daily!$B:$B, "Variant", Raw_Data_Daily!$C:$C, "F. 100+"),"")</f>
        <v>64.22590662</v>
      </c>
      <c r="T20" s="54">
        <f t="shared" si="18"/>
        <v>-0.1390369357</v>
      </c>
    </row>
    <row r="21" ht="15.75" customHeight="1">
      <c r="A21" s="8"/>
      <c r="B21" s="33" t="s">
        <v>28</v>
      </c>
      <c r="C21" s="71">
        <f>IFERROR(SUMPRODUCT((Raw_Data_Daily!$B$2:$B$9999="Control")*(Raw_Data_Daily!$C$2:$C$9999="A. 0")*Raw_Data_Daily!$D$2:$D$9999*Raw_Data_Daily!$AH$2:$AH$9999)/SUMIFS(Raw_Data_Daily!$D:$D, Raw_Data_Daily!$B:$B, "Control", Raw_Data_Daily!$C:$C, "A. 0"),"")</f>
        <v>0</v>
      </c>
      <c r="D21" s="40">
        <f>IFERROR(SUMPRODUCT((Raw_Data_Daily!$B$2:$B$9999="Variant")*(Raw_Data_Daily!$C$2:$C$9999="A. 0")*Raw_Data_Daily!$D$2:$D$9999*Raw_Data_Daily!$AH$2:$AH$9999)/SUMIFS(Raw_Data_Daily!$D:$D, Raw_Data_Daily!$B:$B, "Variant", Raw_Data_Daily!$C:$C, "A. 0"),"")</f>
        <v>0</v>
      </c>
      <c r="E21" s="38" t="str">
        <f t="shared" si="13"/>
        <v/>
      </c>
      <c r="F21" s="72">
        <f>IFERROR(SUMPRODUCT((Raw_Data_Daily!$B$2:$B$9999="Control")*(Raw_Data_Daily!$C$2:$C$9999="B. 1-9")*Raw_Data_Daily!$D$2:$D$9999*Raw_Data_Daily!$AH$2:$AH$9999)/SUMIFS(Raw_Data_Daily!$D:$D, Raw_Data_Daily!$B:$B, "Control", Raw_Data_Daily!$C:$C, "B. 1-9"),"")</f>
        <v>8.139595664</v>
      </c>
      <c r="G21" s="40">
        <f>IFERROR(SUMPRODUCT((Raw_Data_Daily!$B$2:$B$9999="Variant")*(Raw_Data_Daily!$C$2:$C$9999="B. 1-9")*Raw_Data_Daily!$D$2:$D$9999*Raw_Data_Daily!$AH$2:$AH$9999)/SUMIFS(Raw_Data_Daily!$D:$D, Raw_Data_Daily!$B:$B, "Variant", Raw_Data_Daily!$C:$C, "B. 1-9"),"")</f>
        <v>8.188280927</v>
      </c>
      <c r="H21" s="54">
        <f t="shared" si="14"/>
        <v>0.005981287738</v>
      </c>
      <c r="I21" s="71">
        <f>IFERROR(SUMPRODUCT((Raw_Data_Daily!$B$2:$B$9999="Control")*(Raw_Data_Daily!$C$2:$C$9999="C. 10-19")*Raw_Data_Daily!$D$2:$D$9999*Raw_Data_Daily!$AH$2:$AH$9999)/SUMIFS(Raw_Data_Daily!$D:$D, Raw_Data_Daily!$B:$B, "Control", Raw_Data_Daily!$C:$C, "C. 10-19"),"")</f>
        <v>18.51910742</v>
      </c>
      <c r="J21" s="40">
        <f>IFERROR(SUMPRODUCT((Raw_Data_Daily!$B$2:$B$9999="Variant")*(Raw_Data_Daily!$C$2:$C$9999="C. 10-19")*Raw_Data_Daily!$D$2:$D$9999*Raw_Data_Daily!$AH$2:$AH$9999)/SUMIFS(Raw_Data_Daily!$D:$D, Raw_Data_Daily!$B:$B, "Variant", Raw_Data_Daily!$C:$C, "C. 10-19"),"")</f>
        <v>18.30106672</v>
      </c>
      <c r="K21" s="51">
        <f t="shared" si="15"/>
        <v>-0.01177382351</v>
      </c>
      <c r="L21" s="72">
        <f>IFERROR(SUMPRODUCT((Raw_Data_Daily!$B$2:$B$9999="Control")*(Raw_Data_Daily!$C$2:$C$9999="D. 20-39")*Raw_Data_Daily!$D$2:$D$9999*Raw_Data_Daily!$AH$2:$AH$9999)/SUMIFS(Raw_Data_Daily!$D:$D, Raw_Data_Daily!$B:$B, "Control", Raw_Data_Daily!$C:$C, "D. 20-39"),"")</f>
        <v>33.22962465</v>
      </c>
      <c r="M21" s="40">
        <f>IFERROR(SUMPRODUCT((Raw_Data_Daily!$B$2:$B$9999="Variant")*(Raw_Data_Daily!$C$2:$C$9999="D. 20-39")*Raw_Data_Daily!$D$2:$D$9999*Raw_Data_Daily!$AH$2:$AH$9999)/SUMIFS(Raw_Data_Daily!$D:$D, Raw_Data_Daily!$B:$B, "Variant", Raw_Data_Daily!$C:$C, "D. 20-39"),"")</f>
        <v>32.57253644</v>
      </c>
      <c r="N21" s="49">
        <f t="shared" si="16"/>
        <v>-0.01977416869</v>
      </c>
      <c r="O21" s="71">
        <f>IFERROR(SUMPRODUCT((Raw_Data_Daily!$B$2:$B$9999="Control")*(Raw_Data_Daily!$C$2:$C$9999="E. 40-99")*Raw_Data_Daily!$D$2:$D$9999*Raw_Data_Daily!$AH$2:$AH$9999)/SUMIFS(Raw_Data_Daily!$D:$D, Raw_Data_Daily!$B:$B, "Control", Raw_Data_Daily!$C:$C, "E. 40-99"),"")</f>
        <v>61.75749472</v>
      </c>
      <c r="P21" s="40">
        <f>IFERROR(SUMPRODUCT((Raw_Data_Daily!$B$2:$B$9999="Variant")*(Raw_Data_Daily!$C$2:$C$9999="E. 40-99")*Raw_Data_Daily!$D$2:$D$9999*Raw_Data_Daily!$AH$2:$AH$9999)/SUMIFS(Raw_Data_Daily!$D:$D, Raw_Data_Daily!$B:$B, "Variant", Raw_Data_Daily!$C:$C, "E. 40-99"),"")</f>
        <v>58.50669088</v>
      </c>
      <c r="Q21" s="46">
        <f t="shared" si="17"/>
        <v>-0.05263820777</v>
      </c>
      <c r="R21" s="72">
        <f>IFERROR(SUMPRODUCT((Raw_Data_Daily!$B$2:$B$9999="Control")*(Raw_Data_Daily!$C$2:$C$9999="F. 100+")*Raw_Data_Daily!$D$2:$D$9999*Raw_Data_Daily!$AH$2:$AH$9999)/SUMIFS(Raw_Data_Daily!$D:$D, Raw_Data_Daily!$B:$B, "Control", Raw_Data_Daily!$C:$C, "F. 100+"),"")</f>
        <v>123.2464569</v>
      </c>
      <c r="S21" s="40">
        <f>IFERROR(SUMPRODUCT((Raw_Data_Daily!$B$2:$B$9999="Variant")*(Raw_Data_Daily!$C$2:$C$9999="F. 100+")*Raw_Data_Daily!$D$2:$D$9999*Raw_Data_Daily!$AH$2:$AH$9999)/SUMIFS(Raw_Data_Daily!$D:$D, Raw_Data_Daily!$B:$B, "Variant", Raw_Data_Daily!$C:$C, "F. 100+"),"")</f>
        <v>110.2813574</v>
      </c>
      <c r="T21" s="134">
        <f t="shared" si="18"/>
        <v>-0.1051965286</v>
      </c>
    </row>
    <row r="22" ht="15.75" customHeight="1">
      <c r="A22" s="8"/>
      <c r="B22" s="135" t="s">
        <v>29</v>
      </c>
      <c r="C22" s="71">
        <f>IFERROR(SUMPRODUCT((Raw_Data_Daily!$B$2:$B$9999="Control")*(Raw_Data_Daily!$C$2:$C$9999="A. 0")*Raw_Data_Daily!$D$2:$D$9999*Raw_Data_Daily!$BC$2:$BC$9999)/SUMIFS(Raw_Data_Daily!$D:$D, Raw_Data_Daily!$B:$B, "Control", Raw_Data_Daily!$C:$C, "A. 0"),"")</f>
        <v>0</v>
      </c>
      <c r="D22" s="40">
        <f>IFERROR(SUMPRODUCT((Raw_Data_Daily!$B$2:$B$9999="Variant")*(Raw_Data_Daily!$C$2:$C$9999="A. 0")*Raw_Data_Daily!$D$2:$D$9999*Raw_Data_Daily!$BC$2:$BC$9999)/SUMIFS(Raw_Data_Daily!$D:$D, Raw_Data_Daily!$B:$B, "Variant", Raw_Data_Daily!$C:$C, "A. 0"),"")</f>
        <v>0</v>
      </c>
      <c r="E22" s="38" t="str">
        <f t="shared" si="13"/>
        <v/>
      </c>
      <c r="F22" s="72">
        <f>IFERROR(SUMPRODUCT((Raw_Data_Daily!$B$2:$B$9999="Control")*(Raw_Data_Daily!$C$2:$C$9999="B. 1-9")*Raw_Data_Daily!$D$2:$D$9999*Raw_Data_Daily!$BC$2:$BC$9999)/SUMIFS(Raw_Data_Daily!$D:$D, Raw_Data_Daily!$B:$B, "Control", Raw_Data_Daily!$C:$C, "B. 1-9"),"")</f>
        <v>16.31546996</v>
      </c>
      <c r="G22" s="40">
        <f>IFERROR(SUMPRODUCT((Raw_Data_Daily!$B$2:$B$9999="Variant")*(Raw_Data_Daily!$C$2:$C$9999="B. 1-9")*Raw_Data_Daily!$D$2:$D$9999*Raw_Data_Daily!$BC$2:$BC$9999)/SUMIFS(Raw_Data_Daily!$D:$D, Raw_Data_Daily!$B:$B, "Variant", Raw_Data_Daily!$C:$C, "B. 1-9"),"")</f>
        <v>16.32971267</v>
      </c>
      <c r="H22" s="54">
        <f t="shared" si="14"/>
        <v>0.0008729573952</v>
      </c>
      <c r="I22" s="71">
        <f>IFERROR(SUMPRODUCT((Raw_Data_Daily!$B$2:$B$9999="Control")*(Raw_Data_Daily!$C$2:$C$9999="C. 10-19")*Raw_Data_Daily!$D$2:$D$9999*Raw_Data_Daily!$BC$2:$BC$9999)/SUMIFS(Raw_Data_Daily!$D:$D, Raw_Data_Daily!$B:$B, "Control", Raw_Data_Daily!$C:$C, "C. 10-19"),"")</f>
        <v>34.26503813</v>
      </c>
      <c r="J22" s="40">
        <f>IFERROR(SUMPRODUCT((Raw_Data_Daily!$B$2:$B$9999="Variant")*(Raw_Data_Daily!$C$2:$C$9999="C. 10-19")*Raw_Data_Daily!$D$2:$D$9999*Raw_Data_Daily!$BC$2:$BC$9999)/SUMIFS(Raw_Data_Daily!$D:$D, Raw_Data_Daily!$B:$B, "Variant", Raw_Data_Daily!$C:$C, "C. 10-19"),"")</f>
        <v>33.53740069</v>
      </c>
      <c r="K22" s="51">
        <f t="shared" si="15"/>
        <v>-0.02123556504</v>
      </c>
      <c r="L22" s="72">
        <f>IFERROR(SUMPRODUCT((Raw_Data_Daily!$B$2:$B$9999="Control")*(Raw_Data_Daily!$C$2:$C$9999="D. 20-39")*Raw_Data_Daily!$D$2:$D$9999*Raw_Data_Daily!$BC$2:$BC$9999)/SUMIFS(Raw_Data_Daily!$D:$D, Raw_Data_Daily!$B:$B, "Control", Raw_Data_Daily!$C:$C, "D. 20-39"),"")</f>
        <v>61.4299254</v>
      </c>
      <c r="M22" s="40">
        <f>IFERROR(SUMPRODUCT((Raw_Data_Daily!$B$2:$B$9999="Variant")*(Raw_Data_Daily!$C$2:$C$9999="D. 20-39")*Raw_Data_Daily!$D$2:$D$9999*Raw_Data_Daily!$BC$2:$BC$9999)/SUMIFS(Raw_Data_Daily!$D:$D, Raw_Data_Daily!$B:$B, "Variant", Raw_Data_Daily!$C:$C, "D. 20-39"),"")</f>
        <v>59.98436346</v>
      </c>
      <c r="N22" s="49">
        <f t="shared" si="16"/>
        <v>-0.02353188507</v>
      </c>
      <c r="O22" s="71">
        <f>IFERROR(SUMPRODUCT((Raw_Data_Daily!$B$2:$B$9999="Control")*(Raw_Data_Daily!$C$2:$C$9999="E. 40-99")*Raw_Data_Daily!$D$2:$D$9999*Raw_Data_Daily!$BC$2:$BC$9999)/SUMIFS(Raw_Data_Daily!$D:$D, Raw_Data_Daily!$B:$B, "Control", Raw_Data_Daily!$C:$C, "E. 40-99"),"")</f>
        <v>121.5950496</v>
      </c>
      <c r="P22" s="40">
        <f>IFERROR(SUMPRODUCT((Raw_Data_Daily!$B$2:$B$9999="Variant")*(Raw_Data_Daily!$C$2:$C$9999="E. 40-99")*Raw_Data_Daily!$D$2:$D$9999*Raw_Data_Daily!$BC$2:$BC$9999)/SUMIFS(Raw_Data_Daily!$D:$D, Raw_Data_Daily!$B:$B, "Variant", Raw_Data_Daily!$C:$C, "E. 40-99"),"")</f>
        <v>117.5033614</v>
      </c>
      <c r="Q22" s="46">
        <f t="shared" si="17"/>
        <v>-0.03365012188</v>
      </c>
      <c r="R22" s="72">
        <f>IFERROR(SUMPRODUCT((Raw_Data_Daily!$B$2:$B$9999="Control")*(Raw_Data_Daily!$C$2:$C$9999="F. 100+")*Raw_Data_Daily!$D$2:$D$9999*Raw_Data_Daily!$BC$2:$BC$9999)/SUMIFS(Raw_Data_Daily!$D:$D, Raw_Data_Daily!$B:$B, "Control", Raw_Data_Daily!$C:$C, "F. 100+"),"")</f>
        <v>239.8520217</v>
      </c>
      <c r="S22" s="40">
        <f>IFERROR(SUMPRODUCT((Raw_Data_Daily!$B$2:$B$9999="Variant")*(Raw_Data_Daily!$C$2:$C$9999="F. 100+")*Raw_Data_Daily!$D$2:$D$9999*Raw_Data_Daily!$BC$2:$BC$9999)/SUMIFS(Raw_Data_Daily!$D:$D, Raw_Data_Daily!$B:$B, "Variant", Raw_Data_Daily!$C:$C, "F. 100+"),"")</f>
        <v>222.5522901</v>
      </c>
      <c r="T22" s="134">
        <f t="shared" si="18"/>
        <v>-0.07212668643</v>
      </c>
    </row>
    <row r="23" ht="15.75" customHeight="1">
      <c r="A23" s="27" t="s">
        <v>30</v>
      </c>
      <c r="B23" s="28"/>
      <c r="C23" s="29"/>
      <c r="D23" s="6"/>
      <c r="E23" s="30"/>
      <c r="F23" s="32"/>
      <c r="G23" s="6"/>
      <c r="H23" s="28"/>
      <c r="I23" s="29"/>
      <c r="J23" s="6"/>
      <c r="K23" s="30"/>
      <c r="L23" s="32"/>
      <c r="M23" s="6"/>
      <c r="N23" s="28"/>
      <c r="O23" s="29"/>
      <c r="P23" s="6"/>
      <c r="Q23" s="30"/>
      <c r="R23" s="32"/>
      <c r="S23" s="30"/>
      <c r="T23" s="143"/>
    </row>
    <row r="24" ht="15.75" customHeight="1">
      <c r="A24" s="8"/>
      <c r="B24" s="33" t="s">
        <v>31</v>
      </c>
      <c r="C24" s="145">
        <f>IFERROR(SUMPRODUCT((Raw_Data_Daily!$B$2:$B$9999="Control")*(Raw_Data_Daily!$C$2:$C$9999="A. 0")*Raw_Data_Daily!$D$2:$D$9999*Raw_Data_Daily!$M$2:$M$9999)/SUMIFS(Raw_Data_Daily!$D:$D, Raw_Data_Daily!$B:$B, "Control", Raw_Data_Daily!$C:$C, "A. 0"),"")</f>
        <v>0.6088053677</v>
      </c>
      <c r="D24" s="48">
        <f>IFERROR(SUMPRODUCT((Raw_Data_Daily!$B$2:$B$9999="Variant")*(Raw_Data_Daily!$C$2:$C$9999="A. 0")*Raw_Data_Daily!$D$2:$D$9999*Raw_Data_Daily!$M$2:$M$9999)/SUMIFS(Raw_Data_Daily!$D:$D, Raw_Data_Daily!$B:$B, "Variant", Raw_Data_Daily!$C:$C, "A. 0"),"")</f>
        <v>0.6142706604</v>
      </c>
      <c r="E24" s="42">
        <f t="shared" ref="E24:E27" si="19">IFERROR((D24-C24)/ABS(C24),"")</f>
        <v>0.008977077173</v>
      </c>
      <c r="F24" s="146">
        <f>IFERROR(SUMPRODUCT((Raw_Data_Daily!$B$2:$B$9999="Control")*(Raw_Data_Daily!$C$2:$C$9999="B. 1-9")*Raw_Data_Daily!$D$2:$D$9999*Raw_Data_Daily!$M$2:$M$9999)/SUMIFS(Raw_Data_Daily!$D:$D, Raw_Data_Daily!$B:$B, "Control", Raw_Data_Daily!$C:$C, "B. 1-9"),"")</f>
        <v>0.4757881173</v>
      </c>
      <c r="G24" s="48">
        <f>IFERROR(SUMPRODUCT((Raw_Data_Daily!$B$2:$B$9999="Variant")*(Raw_Data_Daily!$C$2:$C$9999="B. 1-9")*Raw_Data_Daily!$D$2:$D$9999*Raw_Data_Daily!$M$2:$M$9999)/SUMIFS(Raw_Data_Daily!$D:$D, Raw_Data_Daily!$B:$B, "Variant", Raw_Data_Daily!$C:$C, "B. 1-9"),"")</f>
        <v>0.4786552103</v>
      </c>
      <c r="H24" s="42">
        <f t="shared" ref="H24:H27" si="20">IFERROR((G24-F24)/ABS(F24),"")</f>
        <v>0.006025986906</v>
      </c>
      <c r="I24" s="145">
        <f>IFERROR(SUMPRODUCT((Raw_Data_Daily!$B$2:$B$9999="Control")*(Raw_Data_Daily!$C$2:$C$9999="C. 10-19")*Raw_Data_Daily!$D$2:$D$9999*Raw_Data_Daily!$M$2:$M$9999)/SUMIFS(Raw_Data_Daily!$D:$D, Raw_Data_Daily!$B:$B, "Control", Raw_Data_Daily!$C:$C, "C. 10-19"),"")</f>
        <v>0.6189899527</v>
      </c>
      <c r="J24" s="48">
        <f>IFERROR(SUMPRODUCT((Raw_Data_Daily!$B$2:$B$9999="Variant")*(Raw_Data_Daily!$C$2:$C$9999="C. 10-19")*Raw_Data_Daily!$D$2:$D$9999*Raw_Data_Daily!$M$2:$M$9999)/SUMIFS(Raw_Data_Daily!$D:$D, Raw_Data_Daily!$B:$B, "Variant", Raw_Data_Daily!$C:$C, "C. 10-19"),"")</f>
        <v>0.5980175676</v>
      </c>
      <c r="K24" s="42">
        <f t="shared" ref="K24:K27" si="21">IFERROR((J24-I24)/ABS(I24),"")</f>
        <v>-0.03388162444</v>
      </c>
      <c r="L24" s="146">
        <f>IFERROR(SUMPRODUCT((Raw_Data_Daily!$B$2:$B$9999="Control")*(Raw_Data_Daily!$C$2:$C$9999="D. 20-39")*Raw_Data_Daily!$D$2:$D$9999*Raw_Data_Daily!$M$2:$M$9999)/SUMIFS(Raw_Data_Daily!$D:$D, Raw_Data_Daily!$B:$B, "Control", Raw_Data_Daily!$C:$C, "D. 20-39"),"")</f>
        <v>0.7173245632</v>
      </c>
      <c r="M24" s="48">
        <f>IFERROR(SUMPRODUCT((Raw_Data_Daily!$B$2:$B$9999="Variant")*(Raw_Data_Daily!$C$2:$C$9999="D. 20-39")*Raw_Data_Daily!$D$2:$D$9999*Raw_Data_Daily!$M$2:$M$9999)/SUMIFS(Raw_Data_Daily!$D:$D, Raw_Data_Daily!$B:$B, "Variant", Raw_Data_Daily!$C:$C, "D. 20-39"),"")</f>
        <v>0.698502346</v>
      </c>
      <c r="N24" s="42">
        <f t="shared" ref="N24:N27" si="22">IFERROR((M24-L24)/ABS(L24),"")</f>
        <v>-0.02623947123</v>
      </c>
      <c r="O24" s="145">
        <f>IFERROR(SUMPRODUCT((Raw_Data_Daily!$B$2:$B$9999="Control")*(Raw_Data_Daily!$C$2:$C$9999="E. 40-99")*Raw_Data_Daily!$D$2:$D$9999*Raw_Data_Daily!$M$2:$M$9999)/SUMIFS(Raw_Data_Daily!$D:$D, Raw_Data_Daily!$B:$B, "Control", Raw_Data_Daily!$C:$C, "E. 40-99"),"")</f>
        <v>0.7498111422</v>
      </c>
      <c r="P24" s="48">
        <f>IFERROR(SUMPRODUCT((Raw_Data_Daily!$B$2:$B$9999="Variant")*(Raw_Data_Daily!$C$2:$C$9999="E. 40-99")*Raw_Data_Daily!$D$2:$D$9999*Raw_Data_Daily!$M$2:$M$9999)/SUMIFS(Raw_Data_Daily!$D:$D, Raw_Data_Daily!$B:$B, "Variant", Raw_Data_Daily!$C:$C, "E. 40-99"),"")</f>
        <v>0.7326979434</v>
      </c>
      <c r="Q24" s="42">
        <f t="shared" ref="Q24:Q27" si="23">IFERROR((P24-O24)/ABS(O24),"")</f>
        <v>-0.02282334559</v>
      </c>
      <c r="R24" s="146">
        <f>IFERROR(SUMPRODUCT((Raw_Data_Daily!$B$2:$B$9999="Control")*(Raw_Data_Daily!$C$2:$C$9999="F. 100+")*Raw_Data_Daily!$D$2:$D$9999*Raw_Data_Daily!$M$2:$M$9999)/SUMIFS(Raw_Data_Daily!$D:$D, Raw_Data_Daily!$B:$B, "Control", Raw_Data_Daily!$C:$C, "F. 100+"),"")</f>
        <v>0.7688965819</v>
      </c>
      <c r="S24" s="149">
        <f>IFERROR(SUMPRODUCT((Raw_Data_Daily!$B$2:$B$9999="Variant")*(Raw_Data_Daily!$C$2:$C$9999="F. 100+")*Raw_Data_Daily!$D$2:$D$9999*Raw_Data_Daily!$M$2:$M$9999)/SUMIFS(Raw_Data_Daily!$D:$D, Raw_Data_Daily!$B:$B, "Variant", Raw_Data_Daily!$C:$C, "F. 100+"),"")</f>
        <v>0.7429221581</v>
      </c>
      <c r="T24" s="42">
        <f t="shared" ref="T24:T27" si="24">IFERROR((S24-R24)/ABS(R24),"")</f>
        <v>-0.03378142701</v>
      </c>
    </row>
    <row r="25" ht="15.75" customHeight="1">
      <c r="A25" s="8"/>
      <c r="B25" s="33" t="s">
        <v>32</v>
      </c>
      <c r="C25" s="145">
        <f>IFERROR(SUMPRODUCT((Raw_Data_Daily!$B$2:$B$9999="Control")*(Raw_Data_Daily!$C$2:$C$9999="A. 0")*Raw_Data_Daily!$D$2:$D$9999*Raw_Data_Daily!$N$2:$N$9999)/SUMIFS(Raw_Data_Daily!$D:$D, Raw_Data_Daily!$B:$B, "Control", Raw_Data_Daily!$C:$C, "A. 0"),"")</f>
        <v>0.4912837512</v>
      </c>
      <c r="D25" s="48">
        <f>IFERROR(SUMPRODUCT((Raw_Data_Daily!$B$2:$B$9999="Variant")*(Raw_Data_Daily!$C$2:$C$9999="A. 0")*Raw_Data_Daily!$D$2:$D$9999*Raw_Data_Daily!$N$2:$N$9999)/SUMIFS(Raw_Data_Daily!$D:$D, Raw_Data_Daily!$B:$B, "Variant", Raw_Data_Daily!$C:$C, "A. 0"),"")</f>
        <v>0.4916545391</v>
      </c>
      <c r="E25" s="42">
        <f t="shared" si="19"/>
        <v>0.0007547326249</v>
      </c>
      <c r="F25" s="146">
        <f>IFERROR(SUMPRODUCT((Raw_Data_Daily!$B$2:$B$9999="Control")*(Raw_Data_Daily!$C$2:$C$9999="B. 1-9")*Raw_Data_Daily!$D$2:$D$9999*Raw_Data_Daily!$N$2:$N$9999)/SUMIFS(Raw_Data_Daily!$D:$D, Raw_Data_Daily!$B:$B, "Control", Raw_Data_Daily!$C:$C, "B. 1-9"),"")</f>
        <v>0.6313484043</v>
      </c>
      <c r="G25" s="48">
        <f>IFERROR(SUMPRODUCT((Raw_Data_Daily!$B$2:$B$9999="Variant")*(Raw_Data_Daily!$C$2:$C$9999="B. 1-9")*Raw_Data_Daily!$D$2:$D$9999*Raw_Data_Daily!$N$2:$N$9999)/SUMIFS(Raw_Data_Daily!$D:$D, Raw_Data_Daily!$B:$B, "Variant", Raw_Data_Daily!$C:$C, "B. 1-9"),"")</f>
        <v>0.6245656695</v>
      </c>
      <c r="H25" s="42">
        <f t="shared" si="20"/>
        <v>-0.0107432516</v>
      </c>
      <c r="I25" s="145">
        <f>IFERROR(SUMPRODUCT((Raw_Data_Daily!$B$2:$B$9999="Control")*(Raw_Data_Daily!$C$2:$C$9999="C. 10-19")*Raw_Data_Daily!$D$2:$D$9999*Raw_Data_Daily!$N$2:$N$9999)/SUMIFS(Raw_Data_Daily!$D:$D, Raw_Data_Daily!$B:$B, "Control", Raw_Data_Daily!$C:$C, "C. 10-19"),"")</f>
        <v>0.5043449665</v>
      </c>
      <c r="J25" s="48">
        <f>IFERROR(SUMPRODUCT((Raw_Data_Daily!$B$2:$B$9999="Variant")*(Raw_Data_Daily!$C$2:$C$9999="C. 10-19")*Raw_Data_Daily!$D$2:$D$9999*Raw_Data_Daily!$N$2:$N$9999)/SUMIFS(Raw_Data_Daily!$D:$D, Raw_Data_Daily!$B:$B, "Variant", Raw_Data_Daily!$C:$C, "C. 10-19"),"")</f>
        <v>0.521829873</v>
      </c>
      <c r="K25" s="42">
        <f t="shared" si="21"/>
        <v>0.03466854557</v>
      </c>
      <c r="L25" s="146">
        <f>IFERROR(SUMPRODUCT((Raw_Data_Daily!$B$2:$B$9999="Control")*(Raw_Data_Daily!$C$2:$C$9999="D. 20-39")*Raw_Data_Daily!$D$2:$D$9999*Raw_Data_Daily!$N$2:$N$9999)/SUMIFS(Raw_Data_Daily!$D:$D, Raw_Data_Daily!$B:$B, "Control", Raw_Data_Daily!$C:$C, "D. 20-39"),"")</f>
        <v>0.4056742169</v>
      </c>
      <c r="M25" s="48">
        <f>IFERROR(SUMPRODUCT((Raw_Data_Daily!$B$2:$B$9999="Variant")*(Raw_Data_Daily!$C$2:$C$9999="D. 20-39")*Raw_Data_Daily!$D$2:$D$9999*Raw_Data_Daily!$N$2:$N$9999)/SUMIFS(Raw_Data_Daily!$D:$D, Raw_Data_Daily!$B:$B, "Variant", Raw_Data_Daily!$C:$C, "D. 20-39"),"")</f>
        <v>0.4226573158</v>
      </c>
      <c r="N25" s="42">
        <f t="shared" si="22"/>
        <v>0.04186388533</v>
      </c>
      <c r="O25" s="145">
        <f>IFERROR(SUMPRODUCT((Raw_Data_Daily!$B$2:$B$9999="Control")*(Raw_Data_Daily!$C$2:$C$9999="E. 40-99")*Raw_Data_Daily!$D$2:$D$9999*Raw_Data_Daily!$N$2:$N$9999)/SUMIFS(Raw_Data_Daily!$D:$D, Raw_Data_Daily!$B:$B, "Control", Raw_Data_Daily!$C:$C, "E. 40-99"),"")</f>
        <v>0.3618011882</v>
      </c>
      <c r="P25" s="48">
        <f>IFERROR(SUMPRODUCT((Raw_Data_Daily!$B$2:$B$9999="Variant")*(Raw_Data_Daily!$C$2:$C$9999="E. 40-99")*Raw_Data_Daily!$D$2:$D$9999*Raw_Data_Daily!$N$2:$N$9999)/SUMIFS(Raw_Data_Daily!$D:$D, Raw_Data_Daily!$B:$B, "Variant", Raw_Data_Daily!$C:$C, "E. 40-99"),"")</f>
        <v>0.3742933043</v>
      </c>
      <c r="Q25" s="42">
        <f t="shared" si="23"/>
        <v>0.03452757075</v>
      </c>
      <c r="R25" s="146">
        <f>IFERROR(SUMPRODUCT((Raw_Data_Daily!$B$2:$B$9999="Control")*(Raw_Data_Daily!$C$2:$C$9999="F. 100+")*Raw_Data_Daily!$D$2:$D$9999*Raw_Data_Daily!$N$2:$N$9999)/SUMIFS(Raw_Data_Daily!$D:$D, Raw_Data_Daily!$B:$B, "Control", Raw_Data_Daily!$C:$C, "F. 100+"),"")</f>
        <v>0.3159744685</v>
      </c>
      <c r="S25" s="149">
        <f>IFERROR(SUMPRODUCT((Raw_Data_Daily!$B$2:$B$9999="Variant")*(Raw_Data_Daily!$C$2:$C$9999="F. 100+")*Raw_Data_Daily!$D$2:$D$9999*Raw_Data_Daily!$N$2:$N$9999)/SUMIFS(Raw_Data_Daily!$D:$D, Raw_Data_Daily!$B:$B, "Variant", Raw_Data_Daily!$C:$C, "F. 100+"),"")</f>
        <v>0.3333690917</v>
      </c>
      <c r="T25" s="42">
        <f t="shared" si="24"/>
        <v>0.05505072378</v>
      </c>
    </row>
    <row r="26" ht="15.75" customHeight="1">
      <c r="A26" s="8"/>
      <c r="B26" s="33" t="s">
        <v>33</v>
      </c>
      <c r="C26" s="145">
        <f>IFERROR(SUMPRODUCT((Raw_Data_Daily!$B$2:$B$9999="Control")*(Raw_Data_Daily!$C$2:$C$9999="A. 0")*Raw_Data_Daily!$D$2:$D$9999*Raw_Data_Daily!$O$2:$O$9999)/SUMIFS(Raw_Data_Daily!$D:$D, Raw_Data_Daily!$B:$B, "Control", Raw_Data_Daily!$C:$C, "A. 0"),"")</f>
        <v>0.2536367786</v>
      </c>
      <c r="D26" s="48">
        <f>IFERROR(SUMPRODUCT((Raw_Data_Daily!$B$2:$B$9999="Variant")*(Raw_Data_Daily!$C$2:$C$9999="A. 0")*Raw_Data_Daily!$D$2:$D$9999*Raw_Data_Daily!$O$2:$O$9999)/SUMIFS(Raw_Data_Daily!$D:$D, Raw_Data_Daily!$B:$B, "Variant", Raw_Data_Daily!$C:$C, "A. 0"),"")</f>
        <v>0.2628907397</v>
      </c>
      <c r="E26" s="42">
        <f t="shared" si="19"/>
        <v>0.03648509135</v>
      </c>
      <c r="F26" s="146">
        <f>IFERROR(SUMPRODUCT((Raw_Data_Daily!$B$2:$B$9999="Control")*(Raw_Data_Daily!$C$2:$C$9999="B. 1-9")*Raw_Data_Daily!$D$2:$D$9999*Raw_Data_Daily!$O$2:$O$9999)/SUMIFS(Raw_Data_Daily!$D:$D, Raw_Data_Daily!$B:$B, "Control", Raw_Data_Daily!$C:$C, "B. 1-9"),"")</f>
        <v>0.3819483891</v>
      </c>
      <c r="G26" s="48">
        <f>IFERROR(SUMPRODUCT((Raw_Data_Daily!$B$2:$B$9999="Variant")*(Raw_Data_Daily!$C$2:$C$9999="B. 1-9")*Raw_Data_Daily!$D$2:$D$9999*Raw_Data_Daily!$O$2:$O$9999)/SUMIFS(Raw_Data_Daily!$D:$D, Raw_Data_Daily!$B:$B, "Variant", Raw_Data_Daily!$C:$C, "B. 1-9"),"")</f>
        <v>0.3696530282</v>
      </c>
      <c r="H26" s="42">
        <f t="shared" si="20"/>
        <v>-0.03219115782</v>
      </c>
      <c r="I26" s="145">
        <f>IFERROR(SUMPRODUCT((Raw_Data_Daily!$B$2:$B$9999="Control")*(Raw_Data_Daily!$C$2:$C$9999="C. 10-19")*Raw_Data_Daily!$D$2:$D$9999*Raw_Data_Daily!$O$2:$O$9999)/SUMIFS(Raw_Data_Daily!$D:$D, Raw_Data_Daily!$B:$B, "Control", Raw_Data_Daily!$C:$C, "C. 10-19"),"")</f>
        <v>0.3078352215</v>
      </c>
      <c r="J26" s="48">
        <f>IFERROR(SUMPRODUCT((Raw_Data_Daily!$B$2:$B$9999="Variant")*(Raw_Data_Daily!$C$2:$C$9999="C. 10-19")*Raw_Data_Daily!$D$2:$D$9999*Raw_Data_Daily!$O$2:$O$9999)/SUMIFS(Raw_Data_Daily!$D:$D, Raw_Data_Daily!$B:$B, "Variant", Raw_Data_Daily!$C:$C, "C. 10-19"),"")</f>
        <v>0.3122151603</v>
      </c>
      <c r="K26" s="42">
        <f t="shared" si="21"/>
        <v>0.01422819249</v>
      </c>
      <c r="L26" s="146">
        <f>IFERROR(SUMPRODUCT((Raw_Data_Daily!$B$2:$B$9999="Control")*(Raw_Data_Daily!$C$2:$C$9999="D. 20-39")*Raw_Data_Daily!$D$2:$D$9999*Raw_Data_Daily!$O$2:$O$9999)/SUMIFS(Raw_Data_Daily!$D:$D, Raw_Data_Daily!$B:$B, "Control", Raw_Data_Daily!$C:$C, "D. 20-39"),"")</f>
        <v>0.2629584113</v>
      </c>
      <c r="M26" s="48">
        <f>IFERROR(SUMPRODUCT((Raw_Data_Daily!$B$2:$B$9999="Variant")*(Raw_Data_Daily!$C$2:$C$9999="D. 20-39")*Raw_Data_Daily!$D$2:$D$9999*Raw_Data_Daily!$O$2:$O$9999)/SUMIFS(Raw_Data_Daily!$D:$D, Raw_Data_Daily!$B:$B, "Variant", Raw_Data_Daily!$C:$C, "D. 20-39"),"")</f>
        <v>0.2675180739</v>
      </c>
      <c r="N26" s="42">
        <f t="shared" si="22"/>
        <v>0.01733986188</v>
      </c>
      <c r="O26" s="145">
        <f>IFERROR(SUMPRODUCT((Raw_Data_Daily!$B$2:$B$9999="Control")*(Raw_Data_Daily!$C$2:$C$9999="E. 40-99")*Raw_Data_Daily!$D$2:$D$9999*Raw_Data_Daily!$O$2:$O$9999)/SUMIFS(Raw_Data_Daily!$D:$D, Raw_Data_Daily!$B:$B, "Control", Raw_Data_Daily!$C:$C, "E. 40-99"),"")</f>
        <v>0.2380696367</v>
      </c>
      <c r="P26" s="48">
        <f>IFERROR(SUMPRODUCT((Raw_Data_Daily!$B$2:$B$9999="Variant")*(Raw_Data_Daily!$C$2:$C$9999="E. 40-99")*Raw_Data_Daily!$D$2:$D$9999*Raw_Data_Daily!$O$2:$O$9999)/SUMIFS(Raw_Data_Daily!$D:$D, Raw_Data_Daily!$B:$B, "Variant", Raw_Data_Daily!$C:$C, "E. 40-99"),"")</f>
        <v>0.2408797266</v>
      </c>
      <c r="Q26" s="42">
        <f t="shared" si="23"/>
        <v>0.01180364691</v>
      </c>
      <c r="R26" s="146">
        <f>IFERROR(SUMPRODUCT((Raw_Data_Daily!$B$2:$B$9999="Control")*(Raw_Data_Daily!$C$2:$C$9999="F. 100+")*Raw_Data_Daily!$D$2:$D$9999*Raw_Data_Daily!$O$2:$O$9999)/SUMIFS(Raw_Data_Daily!$D:$D, Raw_Data_Daily!$B:$B, "Control", Raw_Data_Daily!$C:$C, "F. 100+"),"")</f>
        <v>0.2053518237</v>
      </c>
      <c r="S26" s="149">
        <f>IFERROR(SUMPRODUCT((Raw_Data_Daily!$B$2:$B$9999="Variant")*(Raw_Data_Daily!$C$2:$C$9999="F. 100+")*Raw_Data_Daily!$D$2:$D$9999*Raw_Data_Daily!$O$2:$O$9999)/SUMIFS(Raw_Data_Daily!$D:$D, Raw_Data_Daily!$B:$B, "Variant", Raw_Data_Daily!$C:$C, "F. 100+"),"")</f>
        <v>0.2125826772</v>
      </c>
      <c r="T26" s="42">
        <f t="shared" si="24"/>
        <v>0.03521202471</v>
      </c>
      <c r="V26" s="154" t="s">
        <v>317</v>
      </c>
    </row>
    <row r="27" ht="15.75" customHeight="1">
      <c r="A27" s="8"/>
      <c r="B27" s="33" t="s">
        <v>34</v>
      </c>
      <c r="C27" s="71">
        <f>IFERROR(SUMPRODUCT((Raw_Data_Daily!$B$2:$B$9999="Control")*(Raw_Data_Daily!$C$2:$C$9999="A. 0")*Raw_Data_Daily!$D$2:$D$9999*Raw_Data_Daily!$P$2:$P$9999)/SUMIFS(Raw_Data_Daily!$D:$D, Raw_Data_Daily!$B:$B, "Control", Raw_Data_Daily!$C:$C, "A. 0"),"")</f>
        <v>2.587385868</v>
      </c>
      <c r="D27" s="40">
        <f>IFERROR(SUMPRODUCT((Raw_Data_Daily!$B$2:$B$9999="Variant")*(Raw_Data_Daily!$C$2:$C$9999="A. 0")*Raw_Data_Daily!$D$2:$D$9999*Raw_Data_Daily!$P$2:$P$9999)/SUMIFS(Raw_Data_Daily!$D:$D, Raw_Data_Daily!$B:$B, "Variant", Raw_Data_Daily!$C:$C, "A. 0"),"")</f>
        <v>2.997712688</v>
      </c>
      <c r="E27" s="42">
        <f t="shared" si="19"/>
        <v>0.1585874088</v>
      </c>
      <c r="F27" s="72">
        <f>IFERROR(SUMPRODUCT((Raw_Data_Daily!$B$2:$B$9999="Control")*(Raw_Data_Daily!$C$2:$C$9999="B. 1-9")*Raw_Data_Daily!$D$2:$D$9999*Raw_Data_Daily!$P$2:$P$9999)/SUMIFS(Raw_Data_Daily!$D:$D, Raw_Data_Daily!$B:$B, "Control", Raw_Data_Daily!$C:$C, "B. 1-9"),"")</f>
        <v>2.106721418</v>
      </c>
      <c r="G27" s="40">
        <f>IFERROR(SUMPRODUCT((Raw_Data_Daily!$B$2:$B$9999="Variant")*(Raw_Data_Daily!$C$2:$C$9999="B. 1-9")*Raw_Data_Daily!$D$2:$D$9999*Raw_Data_Daily!$P$2:$P$9999)/SUMIFS(Raw_Data_Daily!$D:$D, Raw_Data_Daily!$B:$B, "Variant", Raw_Data_Daily!$C:$C, "B. 1-9"),"")</f>
        <v>2.091233561</v>
      </c>
      <c r="H27" s="42">
        <f t="shared" si="20"/>
        <v>-0.007351639856</v>
      </c>
      <c r="I27" s="71">
        <f>IFERROR(SUMPRODUCT((Raw_Data_Daily!$B$2:$B$9999="Control")*(Raw_Data_Daily!$C$2:$C$9999="C. 10-19")*Raw_Data_Daily!$D$2:$D$9999*Raw_Data_Daily!$P$2:$P$9999)/SUMIFS(Raw_Data_Daily!$D:$D, Raw_Data_Daily!$B:$B, "Control", Raw_Data_Daily!$C:$C, "C. 10-19"),"")</f>
        <v>1.61713112</v>
      </c>
      <c r="J27" s="40">
        <f>IFERROR(SUMPRODUCT((Raw_Data_Daily!$B$2:$B$9999="Variant")*(Raw_Data_Daily!$C$2:$C$9999="C. 10-19")*Raw_Data_Daily!$D$2:$D$9999*Raw_Data_Daily!$P$2:$P$9999)/SUMIFS(Raw_Data_Daily!$D:$D, Raw_Data_Daily!$B:$B, "Variant", Raw_Data_Daily!$C:$C, "C. 10-19"),"")</f>
        <v>1.673374593</v>
      </c>
      <c r="K27" s="42">
        <f t="shared" si="21"/>
        <v>0.03477978534</v>
      </c>
      <c r="L27" s="72">
        <f>IFERROR(SUMPRODUCT((Raw_Data_Daily!$B$2:$B$9999="Control")*(Raw_Data_Daily!$C$2:$C$9999="D. 20-39")*Raw_Data_Daily!$D$2:$D$9999*Raw_Data_Daily!$P$2:$P$9999)/SUMIFS(Raw_Data_Daily!$D:$D, Raw_Data_Daily!$B:$B, "Control", Raw_Data_Daily!$C:$C, "D. 20-39"),"")</f>
        <v>1.394713868</v>
      </c>
      <c r="M27" s="40">
        <f>IFERROR(SUMPRODUCT((Raw_Data_Daily!$B$2:$B$9999="Variant")*(Raw_Data_Daily!$C$2:$C$9999="D. 20-39")*Raw_Data_Daily!$D$2:$D$9999*Raw_Data_Daily!$P$2:$P$9999)/SUMIFS(Raw_Data_Daily!$D:$D, Raw_Data_Daily!$B:$B, "Variant", Raw_Data_Daily!$C:$C, "D. 20-39"),"")</f>
        <v>1.432154634</v>
      </c>
      <c r="N27" s="42">
        <f t="shared" si="22"/>
        <v>0.02684476434</v>
      </c>
      <c r="O27" s="71">
        <f>IFERROR(SUMPRODUCT((Raw_Data_Daily!$B$2:$B$9999="Control")*(Raw_Data_Daily!$C$2:$C$9999="E. 40-99")*Raw_Data_Daily!$D$2:$D$9999*Raw_Data_Daily!$P$2:$P$9999)/SUMIFS(Raw_Data_Daily!$D:$D, Raw_Data_Daily!$B:$B, "Control", Raw_Data_Daily!$C:$C, "E. 40-99"),"")</f>
        <v>1.334243464</v>
      </c>
      <c r="P27" s="40">
        <f>IFERROR(SUMPRODUCT((Raw_Data_Daily!$B$2:$B$9999="Variant")*(Raw_Data_Daily!$C$2:$C$9999="E. 40-99")*Raw_Data_Daily!$D$2:$D$9999*Raw_Data_Daily!$P$2:$P$9999)/SUMIFS(Raw_Data_Daily!$D:$D, Raw_Data_Daily!$B:$B, "Variant", Raw_Data_Daily!$C:$C, "E. 40-99"),"")</f>
        <v>1.365190246</v>
      </c>
      <c r="Q27" s="42">
        <f t="shared" si="23"/>
        <v>0.02319425384</v>
      </c>
      <c r="R27" s="72">
        <f>IFERROR(SUMPRODUCT((Raw_Data_Daily!$B$2:$B$9999="Control")*(Raw_Data_Daily!$C$2:$C$9999="F. 100+")*Raw_Data_Daily!$D$2:$D$9999*Raw_Data_Daily!$P$2:$P$9999)/SUMIFS(Raw_Data_Daily!$D:$D, Raw_Data_Daily!$B:$B, "Control", Raw_Data_Daily!$C:$C, "F. 100+"),"")</f>
        <v>1.301098802</v>
      </c>
      <c r="S27" s="155">
        <f>IFERROR(SUMPRODUCT((Raw_Data_Daily!$B$2:$B$9999="Variant")*(Raw_Data_Daily!$C$2:$C$9999="F. 100+")*Raw_Data_Daily!$D$2:$D$9999*Raw_Data_Daily!$P$2:$P$9999)/SUMIFS(Raw_Data_Daily!$D:$D, Raw_Data_Daily!$B:$B, "Variant", Raw_Data_Daily!$C:$C, "F. 100+"),"")</f>
        <v>1.346629478</v>
      </c>
      <c r="T27" s="42">
        <f t="shared" si="24"/>
        <v>0.03499401891</v>
      </c>
      <c r="U27" s="156" t="s">
        <v>318</v>
      </c>
      <c r="V27" s="157" t="s">
        <v>319</v>
      </c>
    </row>
    <row r="28" ht="15.75" customHeight="1">
      <c r="A28" s="27" t="s">
        <v>35</v>
      </c>
      <c r="B28" s="28"/>
      <c r="C28" s="29"/>
      <c r="D28" s="6"/>
      <c r="E28" s="30"/>
      <c r="F28" s="32"/>
      <c r="G28" s="6"/>
      <c r="H28" s="28"/>
      <c r="I28" s="29"/>
      <c r="J28" s="6"/>
      <c r="K28" s="30"/>
      <c r="L28" s="32"/>
      <c r="M28" s="6"/>
      <c r="N28" s="28"/>
      <c r="O28" s="29"/>
      <c r="P28" s="6"/>
      <c r="Q28" s="30"/>
      <c r="R28" s="32"/>
      <c r="S28" s="30"/>
      <c r="T28" s="143"/>
      <c r="U28" s="156" t="s">
        <v>318</v>
      </c>
      <c r="V28" s="76" t="s">
        <v>320</v>
      </c>
    </row>
    <row r="29" ht="15.75" customHeight="1">
      <c r="A29" s="8"/>
      <c r="B29" s="158" t="s">
        <v>36</v>
      </c>
      <c r="C29" s="71">
        <f>IFERROR(SUMPRODUCT((Raw_Data_Daily!$B$2:$B$9999="Control")*(Raw_Data_Daily!$C$2:$C$9999="A. 0")*Raw_Data_Daily!$D$2:$D$9999*Raw_Data_Daily!$Q$2:$Q$9999)/SUMIFS(Raw_Data_Daily!$D:$D, Raw_Data_Daily!$B:$B, "Control", Raw_Data_Daily!$C:$C, "A. 0"),"")</f>
        <v>47.81090005</v>
      </c>
      <c r="D29" s="40">
        <f>IFERROR(SUMPRODUCT((Raw_Data_Daily!$B$2:$B$9999="Variant")*(Raw_Data_Daily!$C$2:$C$9999="A. 0")*Raw_Data_Daily!$D$2:$D$9999*Raw_Data_Daily!$Q$2:$Q$9999)/SUMIFS(Raw_Data_Daily!$D:$D, Raw_Data_Daily!$B:$B, "Variant", Raw_Data_Daily!$C:$C, "A. 0"),"")</f>
        <v>48.85727469</v>
      </c>
      <c r="E29" s="46">
        <f t="shared" ref="E29:E35" si="25">IFERROR((D29-C29)/ABS(C29),"")</f>
        <v>0.02188569212</v>
      </c>
      <c r="F29" s="72">
        <f>IFERROR(SUMPRODUCT((Raw_Data_Daily!$B$2:$B$9999="Control")*(Raw_Data_Daily!$C$2:$C$9999="B. 1-9")*Raw_Data_Daily!$D$2:$D$9999*Raw_Data_Daily!$Q$2:$Q$9999)/SUMIFS(Raw_Data_Daily!$D:$D, Raw_Data_Daily!$B:$B, "Control", Raw_Data_Daily!$C:$C, "B. 1-9"),"")</f>
        <v>47.21371756</v>
      </c>
      <c r="G29" s="40">
        <f>IFERROR(SUMPRODUCT((Raw_Data_Daily!$B$2:$B$9999="Variant")*(Raw_Data_Daily!$C$2:$C$9999="B. 1-9")*Raw_Data_Daily!$D$2:$D$9999*Raw_Data_Daily!$Q$2:$Q$9999)/SUMIFS(Raw_Data_Daily!$D:$D, Raw_Data_Daily!$B:$B, "Variant", Raw_Data_Daily!$C:$C, "B. 1-9"),"")</f>
        <v>40.32115958</v>
      </c>
      <c r="H29" s="54">
        <f t="shared" ref="H29:H35" si="26">IFERROR((G29-F29)/ABS(F29),"")</f>
        <v>-0.1459863433</v>
      </c>
      <c r="I29" s="71">
        <f>IFERROR(SUMPRODUCT((Raw_Data_Daily!$B$2:$B$9999="Control")*(Raw_Data_Daily!$C$2:$C$9999="C. 10-19")*Raw_Data_Daily!$D$2:$D$9999*Raw_Data_Daily!$Q$2:$Q$9999)/SUMIFS(Raw_Data_Daily!$D:$D, Raw_Data_Daily!$B:$B, "Control", Raw_Data_Daily!$C:$C, "C. 10-19"),"")</f>
        <v>98.0588162</v>
      </c>
      <c r="J29" s="40">
        <f>IFERROR(SUMPRODUCT((Raw_Data_Daily!$B$2:$B$9999="Variant")*(Raw_Data_Daily!$C$2:$C$9999="C. 10-19")*Raw_Data_Daily!$D$2:$D$9999*Raw_Data_Daily!$Q$2:$Q$9999)/SUMIFS(Raw_Data_Daily!$D:$D, Raw_Data_Daily!$B:$B, "Variant", Raw_Data_Daily!$C:$C, "C. 10-19"),"")</f>
        <v>84.74901364</v>
      </c>
      <c r="K29" s="51">
        <f t="shared" ref="K29:K35" si="27">IFERROR((J29-I29)/ABS(I29),"")</f>
        <v>-0.1357328497</v>
      </c>
      <c r="L29" s="72">
        <f>IFERROR(SUMPRODUCT((Raw_Data_Daily!$B$2:$B$9999="Control")*(Raw_Data_Daily!$C$2:$C$9999="D. 20-39")*Raw_Data_Daily!$D$2:$D$9999*Raw_Data_Daily!$Q$2:$Q$9999)/SUMIFS(Raw_Data_Daily!$D:$D, Raw_Data_Daily!$B:$B, "Control", Raw_Data_Daily!$C:$C, "D. 20-39"),"")</f>
        <v>169.2485786</v>
      </c>
      <c r="M29" s="40">
        <f>IFERROR(SUMPRODUCT((Raw_Data_Daily!$B$2:$B$9999="Variant")*(Raw_Data_Daily!$C$2:$C$9999="D. 20-39")*Raw_Data_Daily!$D$2:$D$9999*Raw_Data_Daily!$Q$2:$Q$9999)/SUMIFS(Raw_Data_Daily!$D:$D, Raw_Data_Daily!$B:$B, "Variant", Raw_Data_Daily!$C:$C, "D. 20-39"),"")</f>
        <v>146.5085842</v>
      </c>
      <c r="N29" s="54">
        <f t="shared" ref="N29:N35" si="28">IFERROR((M29-L29)/ABS(L29),"")</f>
        <v>-0.134358555</v>
      </c>
      <c r="O29" s="71">
        <f>IFERROR(SUMPRODUCT((Raw_Data_Daily!$B$2:$B$9999="Control")*(Raw_Data_Daily!$C$2:$C$9999="E. 40-99")*Raw_Data_Daily!$D$2:$D$9999*Raw_Data_Daily!$Q$2:$Q$9999)/SUMIFS(Raw_Data_Daily!$D:$D, Raw_Data_Daily!$B:$B, "Control", Raw_Data_Daily!$C:$C, "E. 40-99"),"")</f>
        <v>320.7932965</v>
      </c>
      <c r="P29" s="40">
        <f>IFERROR(SUMPRODUCT((Raw_Data_Daily!$B$2:$B$9999="Variant")*(Raw_Data_Daily!$C$2:$C$9999="E. 40-99")*Raw_Data_Daily!$D$2:$D$9999*Raw_Data_Daily!$Q$2:$Q$9999)/SUMIFS(Raw_Data_Daily!$D:$D, Raw_Data_Daily!$B:$B, "Variant", Raw_Data_Daily!$C:$C, "E. 40-99"),"")</f>
        <v>276.659755</v>
      </c>
      <c r="Q29" s="51">
        <f t="shared" ref="Q29:Q35" si="29">IFERROR((P29-O29)/ABS(O29),"")</f>
        <v>-0.1375762585</v>
      </c>
      <c r="R29" s="72">
        <f>IFERROR(SUMPRODUCT((Raw_Data_Daily!$B$2:$B$9999="Control")*(Raw_Data_Daily!$C$2:$C$9999="F. 100+")*Raw_Data_Daily!$D$2:$D$9999*Raw_Data_Daily!$Q$2:$Q$9999)/SUMIFS(Raw_Data_Daily!$D:$D, Raw_Data_Daily!$B:$B, "Control", Raw_Data_Daily!$C:$C, "F. 100+"),"")</f>
        <v>670.49958</v>
      </c>
      <c r="S29" s="155">
        <f>IFERROR(SUMPRODUCT((Raw_Data_Daily!$B$2:$B$9999="Variant")*(Raw_Data_Daily!$C$2:$C$9999="F. 100+")*Raw_Data_Daily!$D$2:$D$9999*Raw_Data_Daily!$Q$2:$Q$9999)/SUMIFS(Raw_Data_Daily!$D:$D, Raw_Data_Daily!$B:$B, "Variant", Raw_Data_Daily!$C:$C, "F. 100+"),"")</f>
        <v>547.0506632</v>
      </c>
      <c r="T29" s="54">
        <f t="shared" ref="T29:T35" si="30">IFERROR((S29-R29)/ABS(R29),"")</f>
        <v>-0.184114831</v>
      </c>
      <c r="U29" s="156" t="s">
        <v>318</v>
      </c>
      <c r="V29" s="76" t="s">
        <v>321</v>
      </c>
    </row>
    <row r="30" ht="15.75" customHeight="1">
      <c r="A30" s="8"/>
      <c r="B30" s="158" t="s">
        <v>39</v>
      </c>
      <c r="C30" s="71">
        <f>IFERROR(SUMPRODUCT((Raw_Data_Daily!$B$2:$B$9999="Control")*(Raw_Data_Daily!$C$2:$C$9999="A. 0")*Raw_Data_Daily!$D$2:$D$9999*Raw_Data_Daily!$T$2:$T$9999)/SUMIFS(Raw_Data_Daily!$D:$D, Raw_Data_Daily!$B:$B, "Control", Raw_Data_Daily!$C:$C, "A. 0"),"")</f>
        <v>6.643123214</v>
      </c>
      <c r="D30" s="40">
        <f>IFERROR(SUMPRODUCT((Raw_Data_Daily!$B$2:$B$9999="Variant")*(Raw_Data_Daily!$C$2:$C$9999="A. 0")*Raw_Data_Daily!$D$2:$D$9999*Raw_Data_Daily!$T$2:$T$9999)/SUMIFS(Raw_Data_Daily!$D:$D, Raw_Data_Daily!$B:$B, "Variant", Raw_Data_Daily!$C:$C, "A. 0"),"")</f>
        <v>5.329525456</v>
      </c>
      <c r="E30" s="46">
        <f t="shared" si="25"/>
        <v>-0.1977379789</v>
      </c>
      <c r="F30" s="72">
        <f>IFERROR(SUMPRODUCT((Raw_Data_Daily!$B$2:$B$9999="Control")*(Raw_Data_Daily!$C$2:$C$9999="B. 1-9")*Raw_Data_Daily!$D$2:$D$9999*Raw_Data_Daily!$T$2:$T$9999)/SUMIFS(Raw_Data_Daily!$D:$D, Raw_Data_Daily!$B:$B, "Control", Raw_Data_Daily!$C:$C, "B. 1-9"),"")</f>
        <v>1.601961609</v>
      </c>
      <c r="G30" s="40">
        <f>IFERROR(SUMPRODUCT((Raw_Data_Daily!$B$2:$B$9999="Variant")*(Raw_Data_Daily!$C$2:$C$9999="B. 1-9")*Raw_Data_Daily!$D$2:$D$9999*Raw_Data_Daily!$T$2:$T$9999)/SUMIFS(Raw_Data_Daily!$D:$D, Raw_Data_Daily!$B:$B, "Variant", Raw_Data_Daily!$C:$C, "B. 1-9"),"")</f>
        <v>1.519991287</v>
      </c>
      <c r="H30" s="49">
        <f t="shared" si="26"/>
        <v>-0.05116871799</v>
      </c>
      <c r="I30" s="71">
        <f>IFERROR(SUMPRODUCT((Raw_Data_Daily!$B$2:$B$9999="Control")*(Raw_Data_Daily!$C$2:$C$9999="C. 10-19")*Raw_Data_Daily!$D$2:$D$9999*Raw_Data_Daily!$T$2:$T$9999)/SUMIFS(Raw_Data_Daily!$D:$D, Raw_Data_Daily!$B:$B, "Control", Raw_Data_Daily!$C:$C, "C. 10-19"),"")</f>
        <v>5.021596176</v>
      </c>
      <c r="J30" s="40">
        <f>IFERROR(SUMPRODUCT((Raw_Data_Daily!$B$2:$B$9999="Variant")*(Raw_Data_Daily!$C$2:$C$9999="C. 10-19")*Raw_Data_Daily!$D$2:$D$9999*Raw_Data_Daily!$T$2:$T$9999)/SUMIFS(Raw_Data_Daily!$D:$D, Raw_Data_Daily!$B:$B, "Variant", Raw_Data_Daily!$C:$C, "C. 10-19"),"")</f>
        <v>5.696945877</v>
      </c>
      <c r="K30" s="46">
        <f t="shared" si="27"/>
        <v>0.1344890504</v>
      </c>
      <c r="L30" s="72">
        <f>IFERROR(SUMPRODUCT((Raw_Data_Daily!$B$2:$B$9999="Control")*(Raw_Data_Daily!$C$2:$C$9999="D. 20-39")*Raw_Data_Daily!$D$2:$D$9999*Raw_Data_Daily!$T$2:$T$9999)/SUMIFS(Raw_Data_Daily!$D:$D, Raw_Data_Daily!$B:$B, "Control", Raw_Data_Daily!$C:$C, "D. 20-39"),"")</f>
        <v>10.09636973</v>
      </c>
      <c r="M30" s="40">
        <f>IFERROR(SUMPRODUCT((Raw_Data_Daily!$B$2:$B$9999="Variant")*(Raw_Data_Daily!$C$2:$C$9999="D. 20-39")*Raw_Data_Daily!$D$2:$D$9999*Raw_Data_Daily!$T$2:$T$9999)/SUMIFS(Raw_Data_Daily!$D:$D, Raw_Data_Daily!$B:$B, "Variant", Raw_Data_Daily!$C:$C, "D. 20-39"),"")</f>
        <v>10.32807813</v>
      </c>
      <c r="N30" s="49">
        <f t="shared" si="28"/>
        <v>0.02294967458</v>
      </c>
      <c r="O30" s="71">
        <f>IFERROR(SUMPRODUCT((Raw_Data_Daily!$B$2:$B$9999="Control")*(Raw_Data_Daily!$C$2:$C$9999="E. 40-99")*Raw_Data_Daily!$D$2:$D$9999*Raw_Data_Daily!$T$2:$T$9999)/SUMIFS(Raw_Data_Daily!$D:$D, Raw_Data_Daily!$B:$B, "Control", Raw_Data_Daily!$C:$C, "E. 40-99"),"")</f>
        <v>20.87065534</v>
      </c>
      <c r="P30" s="40">
        <f>IFERROR(SUMPRODUCT((Raw_Data_Daily!$B$2:$B$9999="Variant")*(Raw_Data_Daily!$C$2:$C$9999="E. 40-99")*Raw_Data_Daily!$D$2:$D$9999*Raw_Data_Daily!$T$2:$T$9999)/SUMIFS(Raw_Data_Daily!$D:$D, Raw_Data_Daily!$B:$B, "Variant", Raw_Data_Daily!$C:$C, "E. 40-99"),"")</f>
        <v>19.4868298</v>
      </c>
      <c r="Q30" s="51">
        <f t="shared" si="29"/>
        <v>-0.06630484392</v>
      </c>
      <c r="R30" s="72">
        <f>IFERROR(SUMPRODUCT((Raw_Data_Daily!$B$2:$B$9999="Control")*(Raw_Data_Daily!$C$2:$C$9999="F. 100+")*Raw_Data_Daily!$D$2:$D$9999*Raw_Data_Daily!$T$2:$T$9999)/SUMIFS(Raw_Data_Daily!$D:$D, Raw_Data_Daily!$B:$B, "Control", Raw_Data_Daily!$C:$C, "F. 100+"),"")</f>
        <v>50.06914027</v>
      </c>
      <c r="S30" s="40">
        <f>IFERROR(SUMPRODUCT((Raw_Data_Daily!$B$2:$B$9999="Variant")*(Raw_Data_Daily!$C$2:$C$9999="F. 100+")*Raw_Data_Daily!$D$2:$D$9999*Raw_Data_Daily!$T$2:$T$9999)/SUMIFS(Raw_Data_Daily!$D:$D, Raw_Data_Daily!$B:$B, "Variant", Raw_Data_Daily!$C:$C, "F. 100+"),"")</f>
        <v>36.39787734</v>
      </c>
      <c r="T30" s="163">
        <f t="shared" si="30"/>
        <v>-0.2730476867</v>
      </c>
      <c r="U30" s="156"/>
      <c r="V30" s="76" t="s">
        <v>322</v>
      </c>
    </row>
    <row r="31" ht="15.75" customHeight="1">
      <c r="A31" s="8"/>
      <c r="B31" s="158" t="s">
        <v>40</v>
      </c>
      <c r="C31" s="71">
        <f>IFERROR(SUMPRODUCT((Raw_Data_Daily!$B$2:$B$9999="Control")*(Raw_Data_Daily!$C$2:$C$9999="A. 0")*Raw_Data_Daily!$D$2:$D$9999*Raw_Data_Daily!$U$2:$U$9999)/SUMIFS(Raw_Data_Daily!$D:$D, Raw_Data_Daily!$B:$B, "Control", Raw_Data_Daily!$C:$C, "A. 0"),"")</f>
        <v>41.16669553</v>
      </c>
      <c r="D31" s="40">
        <f>IFERROR(SUMPRODUCT((Raw_Data_Daily!$B$2:$B$9999="Variant")*(Raw_Data_Daily!$C$2:$C$9999="A. 0")*Raw_Data_Daily!$D$2:$D$9999*Raw_Data_Daily!$U$2:$U$9999)/SUMIFS(Raw_Data_Daily!$D:$D, Raw_Data_Daily!$B:$B, "Variant", Raw_Data_Daily!$C:$C, "A. 0"),"")</f>
        <v>43.52659886</v>
      </c>
      <c r="E31" s="46">
        <f t="shared" si="25"/>
        <v>0.05732554676</v>
      </c>
      <c r="F31" s="72">
        <f>IFERROR(SUMPRODUCT((Raw_Data_Daily!$B$2:$B$9999="Control")*(Raw_Data_Daily!$C$2:$C$9999="B. 1-9")*Raw_Data_Daily!$D$2:$D$9999*Raw_Data_Daily!$U$2:$U$9999)/SUMIFS(Raw_Data_Daily!$D:$D, Raw_Data_Daily!$B:$B, "Control", Raw_Data_Daily!$C:$C, "B. 1-9"),"")</f>
        <v>45.611734</v>
      </c>
      <c r="G31" s="40">
        <f>IFERROR(SUMPRODUCT((Raw_Data_Daily!$B$2:$B$9999="Variant")*(Raw_Data_Daily!$C$2:$C$9999="B. 1-9")*Raw_Data_Daily!$D$2:$D$9999*Raw_Data_Daily!$U$2:$U$9999)/SUMIFS(Raw_Data_Daily!$D:$D, Raw_Data_Daily!$B:$B, "Variant", Raw_Data_Daily!$C:$C, "B. 1-9"),"")</f>
        <v>38.80065992</v>
      </c>
      <c r="H31" s="54">
        <f t="shared" si="26"/>
        <v>-0.1493272342</v>
      </c>
      <c r="I31" s="71">
        <f>IFERROR(SUMPRODUCT((Raw_Data_Daily!$B$2:$B$9999="Control")*(Raw_Data_Daily!$C$2:$C$9999="C. 10-19")*Raw_Data_Daily!$D$2:$D$9999*Raw_Data_Daily!$U$2:$U$9999)/SUMIFS(Raw_Data_Daily!$D:$D, Raw_Data_Daily!$B:$B, "Control", Raw_Data_Daily!$C:$C, "C. 10-19"),"")</f>
        <v>93.0372713</v>
      </c>
      <c r="J31" s="40">
        <f>IFERROR(SUMPRODUCT((Raw_Data_Daily!$B$2:$B$9999="Variant")*(Raw_Data_Daily!$C$2:$C$9999="C. 10-19")*Raw_Data_Daily!$D$2:$D$9999*Raw_Data_Daily!$U$2:$U$9999)/SUMIFS(Raw_Data_Daily!$D:$D, Raw_Data_Daily!$B:$B, "Variant", Raw_Data_Daily!$C:$C, "C. 10-19"),"")</f>
        <v>79.05300657</v>
      </c>
      <c r="K31" s="51">
        <f t="shared" si="27"/>
        <v>-0.1503081995</v>
      </c>
      <c r="L31" s="72">
        <f>IFERROR(SUMPRODUCT((Raw_Data_Daily!$B$2:$B$9999="Control")*(Raw_Data_Daily!$C$2:$C$9999="D. 20-39")*Raw_Data_Daily!$D$2:$D$9999*Raw_Data_Daily!$U$2:$U$9999)/SUMIFS(Raw_Data_Daily!$D:$D, Raw_Data_Daily!$B:$B, "Control", Raw_Data_Daily!$C:$C, "D. 20-39"),"")</f>
        <v>159.1545662</v>
      </c>
      <c r="M31" s="40">
        <f>IFERROR(SUMPRODUCT((Raw_Data_Daily!$B$2:$B$9999="Variant")*(Raw_Data_Daily!$C$2:$C$9999="D. 20-39")*Raw_Data_Daily!$D$2:$D$9999*Raw_Data_Daily!$U$2:$U$9999)/SUMIFS(Raw_Data_Daily!$D:$D, Raw_Data_Daily!$B:$B, "Variant", Raw_Data_Daily!$C:$C, "D. 20-39"),"")</f>
        <v>136.1825287</v>
      </c>
      <c r="N31" s="54">
        <f t="shared" si="28"/>
        <v>-0.1443379104</v>
      </c>
      <c r="O31" s="71">
        <f>IFERROR(SUMPRODUCT((Raw_Data_Daily!$B$2:$B$9999="Control")*(Raw_Data_Daily!$C$2:$C$9999="E. 40-99")*Raw_Data_Daily!$D$2:$D$9999*Raw_Data_Daily!$U$2:$U$9999)/SUMIFS(Raw_Data_Daily!$D:$D, Raw_Data_Daily!$B:$B, "Control", Raw_Data_Daily!$C:$C, "E. 40-99"),"")</f>
        <v>299.9216984</v>
      </c>
      <c r="P31" s="40">
        <f>IFERROR(SUMPRODUCT((Raw_Data_Daily!$B$2:$B$9999="Variant")*(Raw_Data_Daily!$C$2:$C$9999="E. 40-99")*Raw_Data_Daily!$D$2:$D$9999*Raw_Data_Daily!$U$2:$U$9999)/SUMIFS(Raw_Data_Daily!$D:$D, Raw_Data_Daily!$B:$B, "Variant", Raw_Data_Daily!$C:$C, "E. 40-99"),"")</f>
        <v>257.1734138</v>
      </c>
      <c r="Q31" s="51">
        <f t="shared" si="29"/>
        <v>-0.1425314837</v>
      </c>
      <c r="R31" s="72">
        <f>IFERROR(SUMPRODUCT((Raw_Data_Daily!$B$2:$B$9999="Control")*(Raw_Data_Daily!$C$2:$C$9999="F. 100+")*Raw_Data_Daily!$D$2:$D$9999*Raw_Data_Daily!$U$2:$U$9999)/SUMIFS(Raw_Data_Daily!$D:$D, Raw_Data_Daily!$B:$B, "Control", Raw_Data_Daily!$C:$C, "F. 100+"),"")</f>
        <v>620.4330273</v>
      </c>
      <c r="S31" s="40">
        <f>IFERROR(SUMPRODUCT((Raw_Data_Daily!$B$2:$B$9999="Variant")*(Raw_Data_Daily!$C$2:$C$9999="F. 100+")*Raw_Data_Daily!$D$2:$D$9999*Raw_Data_Daily!$U$2:$U$9999)/SUMIFS(Raw_Data_Daily!$D:$D, Raw_Data_Daily!$B:$B, "Variant", Raw_Data_Daily!$C:$C, "F. 100+"),"")</f>
        <v>510.6523256</v>
      </c>
      <c r="T31" s="54">
        <f t="shared" si="30"/>
        <v>-0.176942066</v>
      </c>
      <c r="U31" s="156" t="s">
        <v>318</v>
      </c>
      <c r="V31" s="76" t="s">
        <v>323</v>
      </c>
    </row>
    <row r="32" ht="15.75" customHeight="1">
      <c r="A32" s="8"/>
      <c r="B32" s="158" t="s">
        <v>41</v>
      </c>
      <c r="C32" s="71">
        <f>IFERROR(SUMPRODUCT((Raw_Data_Daily!$B$2:$B$9999="Control")*(Raw_Data_Daily!$C$2:$C$9999="A. 0")*Raw_Data_Daily!$D$2:$D$9999*Raw_Data_Daily!$V$2:$V$9999)/SUMIFS(Raw_Data_Daily!$D:$D, Raw_Data_Daily!$B:$B, "Control", Raw_Data_Daily!$C:$C, "A. 0"),"")</f>
        <v>31.98664538</v>
      </c>
      <c r="D32" s="40">
        <f>IFERROR(SUMPRODUCT((Raw_Data_Daily!$B$2:$B$9999="Variant")*(Raw_Data_Daily!$C$2:$C$9999="A. 0")*Raw_Data_Daily!$D$2:$D$9999*Raw_Data_Daily!$V$2:$V$9999)/SUMIFS(Raw_Data_Daily!$D:$D, Raw_Data_Daily!$B:$B, "Variant", Raw_Data_Daily!$C:$C, "A. 0"),"")</f>
        <v>35.32511062</v>
      </c>
      <c r="E32" s="38">
        <f t="shared" si="25"/>
        <v>0.1043705958</v>
      </c>
      <c r="F32" s="72">
        <f>IFERROR(SUMPRODUCT((Raw_Data_Daily!$B$2:$B$9999="Control")*(Raw_Data_Daily!$C$2:$C$9999="B. 1-9")*Raw_Data_Daily!$D$2:$D$9999*Raw_Data_Daily!$V$2:$V$9999)/SUMIFS(Raw_Data_Daily!$D:$D, Raw_Data_Daily!$B:$B, "Control", Raw_Data_Daily!$C:$C, "B. 1-9"),"")</f>
        <v>42.99407895</v>
      </c>
      <c r="G32" s="40">
        <f>IFERROR(SUMPRODUCT((Raw_Data_Daily!$B$2:$B$9999="Variant")*(Raw_Data_Daily!$C$2:$C$9999="B. 1-9")*Raw_Data_Daily!$D$2:$D$9999*Raw_Data_Daily!$V$2:$V$9999)/SUMIFS(Raw_Data_Daily!$D:$D, Raw_Data_Daily!$B:$B, "Variant", Raw_Data_Daily!$C:$C, "B. 1-9"),"")</f>
        <v>38.05522841</v>
      </c>
      <c r="H32" s="49">
        <f t="shared" si="26"/>
        <v>-0.1148728073</v>
      </c>
      <c r="I32" s="71">
        <f>IFERROR(SUMPRODUCT((Raw_Data_Daily!$B$2:$B$9999="Control")*(Raw_Data_Daily!$C$2:$C$9999="C. 10-19")*Raw_Data_Daily!$D$2:$D$9999*Raw_Data_Daily!$V$2:$V$9999)/SUMIFS(Raw_Data_Daily!$D:$D, Raw_Data_Daily!$B:$B, "Control", Raw_Data_Daily!$C:$C, "C. 10-19"),"")</f>
        <v>91.67218943</v>
      </c>
      <c r="J32" s="40">
        <f>IFERROR(SUMPRODUCT((Raw_Data_Daily!$B$2:$B$9999="Variant")*(Raw_Data_Daily!$C$2:$C$9999="C. 10-19")*Raw_Data_Daily!$D$2:$D$9999*Raw_Data_Daily!$V$2:$V$9999)/SUMIFS(Raw_Data_Daily!$D:$D, Raw_Data_Daily!$B:$B, "Variant", Raw_Data_Daily!$C:$C, "C. 10-19"),"")</f>
        <v>81.79600051</v>
      </c>
      <c r="K32" s="49">
        <f t="shared" si="27"/>
        <v>-0.107733752</v>
      </c>
      <c r="L32" s="72">
        <f>IFERROR(SUMPRODUCT((Raw_Data_Daily!$B$2:$B$9999="Control")*(Raw_Data_Daily!$C$2:$C$9999="D. 20-39")*Raw_Data_Daily!$D$2:$D$9999*Raw_Data_Daily!$V$2:$V$9999)/SUMIFS(Raw_Data_Daily!$D:$D, Raw_Data_Daily!$B:$B, "Control", Raw_Data_Daily!$C:$C, "D. 20-39"),"")</f>
        <v>162.1058297</v>
      </c>
      <c r="M32" s="40">
        <f>IFERROR(SUMPRODUCT((Raw_Data_Daily!$B$2:$B$9999="Variant")*(Raw_Data_Daily!$C$2:$C$9999="D. 20-39")*Raw_Data_Daily!$D$2:$D$9999*Raw_Data_Daily!$V$2:$V$9999)/SUMIFS(Raw_Data_Daily!$D:$D, Raw_Data_Daily!$B:$B, "Variant", Raw_Data_Daily!$C:$C, "D. 20-39"),"")</f>
        <v>144.2016753</v>
      </c>
      <c r="N32" s="49">
        <f t="shared" si="28"/>
        <v>-0.1104473194</v>
      </c>
      <c r="O32" s="71">
        <f>IFERROR(SUMPRODUCT((Raw_Data_Daily!$B$2:$B$9999="Control")*(Raw_Data_Daily!$C$2:$C$9999="E. 40-99")*Raw_Data_Daily!$D$2:$D$9999*Raw_Data_Daily!$V$2:$V$9999)/SUMIFS(Raw_Data_Daily!$D:$D, Raw_Data_Daily!$B:$B, "Control", Raw_Data_Daily!$C:$C, "E. 40-99"),"")</f>
        <v>314.2641574</v>
      </c>
      <c r="P32" s="40">
        <f>IFERROR(SUMPRODUCT((Raw_Data_Daily!$B$2:$B$9999="Variant")*(Raw_Data_Daily!$C$2:$C$9999="E. 40-99")*Raw_Data_Daily!$D$2:$D$9999*Raw_Data_Daily!$V$2:$V$9999)/SUMIFS(Raw_Data_Daily!$D:$D, Raw_Data_Daily!$B:$B, "Variant", Raw_Data_Daily!$C:$C, "E. 40-99"),"")</f>
        <v>272.5789304</v>
      </c>
      <c r="Q32" s="49">
        <f t="shared" si="29"/>
        <v>-0.1326439112</v>
      </c>
      <c r="R32" s="72">
        <f>IFERROR(SUMPRODUCT((Raw_Data_Daily!$B$2:$B$9999="Control")*(Raw_Data_Daily!$C$2:$C$9999="F. 100+")*Raw_Data_Daily!$D$2:$D$9999*Raw_Data_Daily!$V$2:$V$9999)/SUMIFS(Raw_Data_Daily!$D:$D, Raw_Data_Daily!$B:$B, "Control", Raw_Data_Daily!$C:$C, "F. 100+"),"")</f>
        <v>648.6349854</v>
      </c>
      <c r="S32" s="40">
        <f>IFERROR(SUMPRODUCT((Raw_Data_Daily!$B$2:$B$9999="Variant")*(Raw_Data_Daily!$C$2:$C$9999="F. 100+")*Raw_Data_Daily!$D$2:$D$9999*Raw_Data_Daily!$V$2:$V$9999)/SUMIFS(Raw_Data_Daily!$D:$D, Raw_Data_Daily!$B:$B, "Variant", Raw_Data_Daily!$C:$C, "F. 100+"),"")</f>
        <v>530.9584973</v>
      </c>
      <c r="T32" s="54">
        <f t="shared" si="30"/>
        <v>-0.1814217407</v>
      </c>
    </row>
    <row r="33" ht="15.75" customHeight="1">
      <c r="A33" s="8"/>
      <c r="B33" s="158" t="s">
        <v>324</v>
      </c>
      <c r="C33" s="71">
        <f>IFERROR(SUMPRODUCT((Raw_Data_Daily!$B$2:$B$9999="Control")*(Raw_Data_Daily!$C$2:$C$9999="A. 0")*Raw_Data_Daily!$D$2:$D$9999*(Raw_Data_Daily!$Q$2:$Q$9999-Raw_Data_Daily!$V$2:$V$9999))/SUMIFS(Raw_Data_Daily!$D:$D, Raw_Data_Daily!$B:$B, "Control", Raw_Data_Daily!$C:$C, "A. 0"),"")</f>
        <v>15.82425467</v>
      </c>
      <c r="D33" s="40">
        <f>IFERROR(SUMPRODUCT((Raw_Data_Daily!$B$2:$B$9999="Variant")*(Raw_Data_Daily!$C$2:$C$9999="A. 0")*Raw_Data_Daily!$D$2:$D$9999*(Raw_Data_Daily!$Q$2:$Q$9999-Raw_Data_Daily!$V$2:$V$9999))/SUMIFS(Raw_Data_Daily!$D:$D, Raw_Data_Daily!$B:$B, "Variant", Raw_Data_Daily!$C:$C, "A. 0"),"")</f>
        <v>13.53216407</v>
      </c>
      <c r="E33" s="38">
        <f t="shared" si="25"/>
        <v>-0.1448466703</v>
      </c>
      <c r="F33" s="72">
        <f>IFERROR(SUMPRODUCT((Raw_Data_Daily!$B$2:$B$9999="Control")*(Raw_Data_Daily!$C$2:$C$9999="B. 1-9")*Raw_Data_Daily!$D$2:$D$9999*(Raw_Data_Daily!$Q$2:$Q$9999-Raw_Data_Daily!$V$2:$V$9999))/SUMIFS(Raw_Data_Daily!$D:$D, Raw_Data_Daily!$B:$B, "Control", Raw_Data_Daily!$C:$C, "B. 1-9"),"")</f>
        <v>4.219638609</v>
      </c>
      <c r="G33" s="40">
        <f>IFERROR(SUMPRODUCT((Raw_Data_Daily!$B$2:$B$9999="Variant")*(Raw_Data_Daily!$C$2:$C$9999="B. 1-9")*Raw_Data_Daily!$D$2:$D$9999*(Raw_Data_Daily!$Q$2:$Q$9999-Raw_Data_Daily!$V$2:$V$9999))/SUMIFS(Raw_Data_Daily!$D:$D, Raw_Data_Daily!$B:$B, "Variant", Raw_Data_Daily!$C:$C, "B. 1-9"),"")</f>
        <v>2.265931175</v>
      </c>
      <c r="H33" s="54">
        <f t="shared" si="26"/>
        <v>-0.4630034975</v>
      </c>
      <c r="I33" s="71">
        <f>IFERROR(SUMPRODUCT((Raw_Data_Daily!$B$2:$B$9999="Control")*(Raw_Data_Daily!$C$2:$C$9999="C. 10-19")*Raw_Data_Daily!$D$2:$D$9999*(Raw_Data_Daily!$Q$2:$Q$9999-Raw_Data_Daily!$V$2:$V$9999))/SUMIFS(Raw_Data_Daily!$D:$D, Raw_Data_Daily!$B:$B, "Control", Raw_Data_Daily!$C:$C, "C. 10-19"),"")</f>
        <v>6.386626773</v>
      </c>
      <c r="J33" s="40">
        <f>IFERROR(SUMPRODUCT((Raw_Data_Daily!$B$2:$B$9999="Variant")*(Raw_Data_Daily!$C$2:$C$9999="C. 10-19")*Raw_Data_Daily!$D$2:$D$9999*(Raw_Data_Daily!$Q$2:$Q$9999-Raw_Data_Daily!$V$2:$V$9999))/SUMIFS(Raw_Data_Daily!$D:$D, Raw_Data_Daily!$B:$B, "Variant", Raw_Data_Daily!$C:$C, "C. 10-19"),"")</f>
        <v>2.953013127</v>
      </c>
      <c r="K33" s="51">
        <f t="shared" si="27"/>
        <v>-0.5376255366</v>
      </c>
      <c r="L33" s="72">
        <f>IFERROR(SUMPRODUCT((Raw_Data_Daily!$B$2:$B$9999="Control")*(Raw_Data_Daily!$C$2:$C$9999="D. 20-39")*Raw_Data_Daily!$D$2:$D$9999*(Raw_Data_Daily!$Q$2:$Q$9999-Raw_Data_Daily!$V$2:$V$9999))/SUMIFS(Raw_Data_Daily!$D:$D, Raw_Data_Daily!$B:$B, "Control", Raw_Data_Daily!$C:$C, "D. 20-39"),"")</f>
        <v>7.142748966</v>
      </c>
      <c r="M33" s="40">
        <f>IFERROR(SUMPRODUCT((Raw_Data_Daily!$B$2:$B$9999="Variant")*(Raw_Data_Daily!$C$2:$C$9999="D. 20-39")*Raw_Data_Daily!$D$2:$D$9999*(Raw_Data_Daily!$Q$2:$Q$9999-Raw_Data_Daily!$V$2:$V$9999))/SUMIFS(Raw_Data_Daily!$D:$D, Raw_Data_Daily!$B:$B, "Variant", Raw_Data_Daily!$C:$C, "D. 20-39"),"")</f>
        <v>2.306908844</v>
      </c>
      <c r="N33" s="54">
        <f t="shared" si="28"/>
        <v>-0.6770278706</v>
      </c>
      <c r="O33" s="71">
        <f>IFERROR(SUMPRODUCT((Raw_Data_Daily!$B$2:$B$9999="Control")*(Raw_Data_Daily!$C$2:$C$9999="E. 40-99")*Raw_Data_Daily!$D$2:$D$9999*(Raw_Data_Daily!$Q$2:$Q$9999-Raw_Data_Daily!$V$2:$V$9999))/SUMIFS(Raw_Data_Daily!$D:$D, Raw_Data_Daily!$B:$B, "Control", Raw_Data_Daily!$C:$C, "E. 40-99"),"")</f>
        <v>6.529139076</v>
      </c>
      <c r="P33" s="40">
        <f>IFERROR(SUMPRODUCT((Raw_Data_Daily!$B$2:$B$9999="Variant")*(Raw_Data_Daily!$C$2:$C$9999="E. 40-99")*Raw_Data_Daily!$D$2:$D$9999*(Raw_Data_Daily!$Q$2:$Q$9999-Raw_Data_Daily!$V$2:$V$9999))/SUMIFS(Raw_Data_Daily!$D:$D, Raw_Data_Daily!$B:$B, "Variant", Raw_Data_Daily!$C:$C, "E. 40-99"),"")</f>
        <v>4.080824571</v>
      </c>
      <c r="Q33" s="51">
        <f t="shared" si="29"/>
        <v>-0.3749827467</v>
      </c>
      <c r="R33" s="72">
        <f>IFERROR(SUMPRODUCT((Raw_Data_Daily!$B$2:$B$9999="Control")*(Raw_Data_Daily!$C$2:$C$9999="F. 100+")*Raw_Data_Daily!$D$2:$D$9999*(Raw_Data_Daily!$Q$2:$Q$9999-Raw_Data_Daily!$V$2:$V$9999))/SUMIFS(Raw_Data_Daily!$D:$D, Raw_Data_Daily!$B:$B, "Control", Raw_Data_Daily!$C:$C, "F. 100+"),"")</f>
        <v>21.86459462</v>
      </c>
      <c r="S33" s="40">
        <f>IFERROR(SUMPRODUCT((Raw_Data_Daily!$B$2:$B$9999="Variant")*(Raw_Data_Daily!$C$2:$C$9999="F. 100+")*Raw_Data_Daily!$D$2:$D$9999*(Raw_Data_Daily!$Q$2:$Q$9999-Raw_Data_Daily!$V$2:$V$9999))/SUMIFS(Raw_Data_Daily!$D:$D, Raw_Data_Daily!$B:$B, "Variant", Raw_Data_Daily!$C:$C, "F. 100+"),"")</f>
        <v>16.09216591</v>
      </c>
      <c r="T33" s="54">
        <f t="shared" si="30"/>
        <v>-0.2640080374</v>
      </c>
      <c r="V33" s="56"/>
    </row>
    <row r="34" ht="15.75" customHeight="1">
      <c r="A34" s="8"/>
      <c r="B34" s="33" t="s">
        <v>43</v>
      </c>
      <c r="C34" s="71">
        <f>IFERROR(SUMPRODUCT((Raw_Data_Daily!$B$2:$B$9999="Control")*(Raw_Data_Daily!$C$2:$C$9999="A. 0")*Raw_Data_Daily!$D$2:$D$9999*Raw_Data_Daily!$W$2:$W$9999)/SUMIFS(Raw_Data_Daily!$D:$D, Raw_Data_Daily!$B:$B, "Control", Raw_Data_Daily!$C:$C, "A. 0"),"")</f>
        <v>3.039130329</v>
      </c>
      <c r="D34" s="40">
        <f>IFERROR(SUMPRODUCT((Raw_Data_Daily!$B$2:$B$9999="Variant")*(Raw_Data_Daily!$C$2:$C$9999="A. 0")*Raw_Data_Daily!$D$2:$D$9999*Raw_Data_Daily!$W$2:$W$9999)/SUMIFS(Raw_Data_Daily!$D:$D, Raw_Data_Daily!$B:$B, "Variant", Raw_Data_Daily!$C:$C, "A. 0"),"")</f>
        <v>3.151422366</v>
      </c>
      <c r="E34" s="38">
        <f t="shared" si="25"/>
        <v>0.0369487402</v>
      </c>
      <c r="F34" s="72">
        <f>IFERROR(SUMPRODUCT((Raw_Data_Daily!$B$2:$B$9999="Control")*(Raw_Data_Daily!$C$2:$C$9999="B. 1-9")*Raw_Data_Daily!$D$2:$D$9999*Raw_Data_Daily!$W$2:$W$9999)/SUMIFS(Raw_Data_Daily!$D:$D, Raw_Data_Daily!$B:$B, "Control", Raw_Data_Daily!$C:$C, "B. 1-9"),"")</f>
        <v>3.968016678</v>
      </c>
      <c r="G34" s="40">
        <f>IFERROR(SUMPRODUCT((Raw_Data_Daily!$B$2:$B$9999="Variant")*(Raw_Data_Daily!$C$2:$C$9999="B. 1-9")*Raw_Data_Daily!$D$2:$D$9999*Raw_Data_Daily!$W$2:$W$9999)/SUMIFS(Raw_Data_Daily!$D:$D, Raw_Data_Daily!$B:$B, "Variant", Raw_Data_Daily!$C:$C, "B. 1-9"),"")</f>
        <v>3.565164474</v>
      </c>
      <c r="H34" s="42">
        <f t="shared" si="26"/>
        <v>-0.1015248265</v>
      </c>
      <c r="I34" s="71">
        <f>IFERROR(SUMPRODUCT((Raw_Data_Daily!$B$2:$B$9999="Control")*(Raw_Data_Daily!$C$2:$C$9999="C. 10-19")*Raw_Data_Daily!$D$2:$D$9999*Raw_Data_Daily!$W$2:$W$9999)/SUMIFS(Raw_Data_Daily!$D:$D, Raw_Data_Daily!$B:$B, "Control", Raw_Data_Daily!$C:$C, "C. 10-19"),"")</f>
        <v>4.193408996</v>
      </c>
      <c r="J34" s="40">
        <f>IFERROR(SUMPRODUCT((Raw_Data_Daily!$B$2:$B$9999="Variant")*(Raw_Data_Daily!$C$2:$C$9999="C. 10-19")*Raw_Data_Daily!$D$2:$D$9999*Raw_Data_Daily!$W$2:$W$9999)/SUMIFS(Raw_Data_Daily!$D:$D, Raw_Data_Daily!$B:$B, "Variant", Raw_Data_Daily!$C:$C, "C. 10-19"),"")</f>
        <v>3.659438639</v>
      </c>
      <c r="K34" s="38">
        <f t="shared" si="27"/>
        <v>-0.1273356255</v>
      </c>
      <c r="L34" s="72">
        <f>IFERROR(SUMPRODUCT((Raw_Data_Daily!$B$2:$B$9999="Control")*(Raw_Data_Daily!$C$2:$C$9999="D. 20-39")*Raw_Data_Daily!$D$2:$D$9999*Raw_Data_Daily!$W$2:$W$9999)/SUMIFS(Raw_Data_Daily!$D:$D, Raw_Data_Daily!$B:$B, "Control", Raw_Data_Daily!$C:$C, "D. 20-39"),"")</f>
        <v>4.552751682</v>
      </c>
      <c r="M34" s="40">
        <f>IFERROR(SUMPRODUCT((Raw_Data_Daily!$B$2:$B$9999="Variant")*(Raw_Data_Daily!$C$2:$C$9999="D. 20-39")*Raw_Data_Daily!$D$2:$D$9999*Raw_Data_Daily!$W$2:$W$9999)/SUMIFS(Raw_Data_Daily!$D:$D, Raw_Data_Daily!$B:$B, "Variant", Raw_Data_Daily!$C:$C, "D. 20-39"),"")</f>
        <v>3.971237652</v>
      </c>
      <c r="N34" s="42">
        <f t="shared" si="28"/>
        <v>-0.1277280358</v>
      </c>
      <c r="O34" s="71">
        <f>IFERROR(SUMPRODUCT((Raw_Data_Daily!$B$2:$B$9999="Control")*(Raw_Data_Daily!$C$2:$C$9999="E. 40-99")*Raw_Data_Daily!$D$2:$D$9999*Raw_Data_Daily!$W$2:$W$9999)/SUMIFS(Raw_Data_Daily!$D:$D, Raw_Data_Daily!$B:$B, "Control", Raw_Data_Daily!$C:$C, "E. 40-99"),"")</f>
        <v>4.489173326</v>
      </c>
      <c r="P34" s="40">
        <f>IFERROR(SUMPRODUCT((Raw_Data_Daily!$B$2:$B$9999="Variant")*(Raw_Data_Daily!$C$2:$C$9999="E. 40-99")*Raw_Data_Daily!$D$2:$D$9999*Raw_Data_Daily!$W$2:$W$9999)/SUMIFS(Raw_Data_Daily!$D:$D, Raw_Data_Daily!$B:$B, "Variant", Raw_Data_Daily!$C:$C, "E. 40-99"),"")</f>
        <v>3.830422457</v>
      </c>
      <c r="Q34" s="38">
        <f t="shared" si="29"/>
        <v>-0.1467421328</v>
      </c>
      <c r="R34" s="72">
        <f>IFERROR(SUMPRODUCT((Raw_Data_Daily!$B$2:$B$9999="Control")*(Raw_Data_Daily!$C$2:$C$9999="F. 100+")*Raw_Data_Daily!$D$2:$D$9999*Raw_Data_Daily!$W$2:$W$9999)/SUMIFS(Raw_Data_Daily!$D:$D, Raw_Data_Daily!$B:$B, "Control", Raw_Data_Daily!$C:$C, "F. 100+"),"")</f>
        <v>3.995303981</v>
      </c>
      <c r="S34" s="40">
        <f>IFERROR(SUMPRODUCT((Raw_Data_Daily!$B$2:$B$9999="Variant")*(Raw_Data_Daily!$C$2:$C$9999="F. 100+")*Raw_Data_Daily!$D$2:$D$9999*Raw_Data_Daily!$W$2:$W$9999)/SUMIFS(Raw_Data_Daily!$D:$D, Raw_Data_Daily!$B:$B, "Variant", Raw_Data_Daily!$C:$C, "F. 100+"),"")</f>
        <v>3.189292403</v>
      </c>
      <c r="T34" s="42">
        <f t="shared" si="30"/>
        <v>-0.2017397378</v>
      </c>
    </row>
    <row r="35" ht="15.75" customHeight="1">
      <c r="A35" s="8"/>
      <c r="B35" s="33" t="s">
        <v>44</v>
      </c>
      <c r="C35" s="145">
        <f>IFERROR(SUMPRODUCT((Raw_Data_Daily!$B$2:$B$9999="Control")*(Raw_Data_Daily!$C$2:$C$9999="A. 0")*Raw_Data_Daily!$D$2:$D$9999*Raw_Data_Daily!$X$2:$X$9999)/SUMIFS(Raw_Data_Daily!$D:$D, Raw_Data_Daily!$B:$B, "Control", Raw_Data_Daily!$C:$C, "A. 0"),"")</f>
        <v>13.76866863</v>
      </c>
      <c r="D35" s="48">
        <f>IFERROR(SUMPRODUCT((Raw_Data_Daily!$B$2:$B$9999="Variant")*(Raw_Data_Daily!$C$2:$C$9999="A. 0")*Raw_Data_Daily!$D$2:$D$9999*Raw_Data_Daily!$X$2:$X$9999)/SUMIFS(Raw_Data_Daily!$D:$D, Raw_Data_Daily!$B:$B, "Variant", Raw_Data_Daily!$C:$C, "A. 0"),"")</f>
        <v>11.07001046</v>
      </c>
      <c r="E35" s="46">
        <f t="shared" si="25"/>
        <v>-0.1959999359</v>
      </c>
      <c r="F35" s="146">
        <f>IFERROR(SUMPRODUCT((Raw_Data_Daily!$B$2:$B$9999="Control")*(Raw_Data_Daily!$C$2:$C$9999="B. 1-9")*Raw_Data_Daily!$D$2:$D$9999*Raw_Data_Daily!$X$2:$X$9999)/SUMIFS(Raw_Data_Daily!$D:$D, Raw_Data_Daily!$B:$B, "Control", Raw_Data_Daily!$C:$C, "B. 1-9"),"")</f>
        <v>3.512162699</v>
      </c>
      <c r="G35" s="48">
        <f>IFERROR(SUMPRODUCT((Raw_Data_Daily!$B$2:$B$9999="Variant")*(Raw_Data_Daily!$C$2:$C$9999="B. 1-9")*Raw_Data_Daily!$D$2:$D$9999*Raw_Data_Daily!$X$2:$X$9999)/SUMIFS(Raw_Data_Daily!$D:$D, Raw_Data_Daily!$B:$B, "Variant", Raw_Data_Daily!$C:$C, "B. 1-9"),"")</f>
        <v>3.909206681</v>
      </c>
      <c r="H35" s="54">
        <f t="shared" si="26"/>
        <v>0.1130482886</v>
      </c>
      <c r="I35" s="145">
        <f>IFERROR(SUMPRODUCT((Raw_Data_Daily!$B$2:$B$9999="Control")*(Raw_Data_Daily!$C$2:$C$9999="C. 10-19")*Raw_Data_Daily!$D$2:$D$9999*Raw_Data_Daily!$X$2:$X$9999)/SUMIFS(Raw_Data_Daily!$D:$D, Raw_Data_Daily!$B:$B, "Control", Raw_Data_Daily!$C:$C, "C. 10-19"),"")</f>
        <v>5.239708207</v>
      </c>
      <c r="J35" s="48">
        <f>IFERROR(SUMPRODUCT((Raw_Data_Daily!$B$2:$B$9999="Variant")*(Raw_Data_Daily!$C$2:$C$9999="C. 10-19")*Raw_Data_Daily!$D$2:$D$9999*Raw_Data_Daily!$X$2:$X$9999)/SUMIFS(Raw_Data_Daily!$D:$D, Raw_Data_Daily!$B:$B, "Variant", Raw_Data_Daily!$C:$C, "C. 10-19"),"")</f>
        <v>6.956180317</v>
      </c>
      <c r="K35" s="51">
        <f t="shared" si="27"/>
        <v>0.3275892553</v>
      </c>
      <c r="L35" s="146">
        <f>IFERROR(SUMPRODUCT((Raw_Data_Daily!$B$2:$B$9999="Control")*(Raw_Data_Daily!$C$2:$C$9999="D. 20-39")*Raw_Data_Daily!$D$2:$D$9999*Raw_Data_Daily!$X$2:$X$9999)/SUMIFS(Raw_Data_Daily!$D:$D, Raw_Data_Daily!$B:$B, "Control", Raw_Data_Daily!$C:$C, "D. 20-39"),"")</f>
        <v>6.001430776</v>
      </c>
      <c r="M35" s="48">
        <f>IFERROR(SUMPRODUCT((Raw_Data_Daily!$B$2:$B$9999="Variant")*(Raw_Data_Daily!$C$2:$C$9999="D. 20-39")*Raw_Data_Daily!$D$2:$D$9999*Raw_Data_Daily!$X$2:$X$9999)/SUMIFS(Raw_Data_Daily!$D:$D, Raw_Data_Daily!$B:$B, "Variant", Raw_Data_Daily!$C:$C, "D. 20-39"),"")</f>
        <v>7.236757532</v>
      </c>
      <c r="N35" s="54">
        <f t="shared" si="28"/>
        <v>0.2058387077</v>
      </c>
      <c r="O35" s="145">
        <f>IFERROR(SUMPRODUCT((Raw_Data_Daily!$B$2:$B$9999="Control")*(Raw_Data_Daily!$C$2:$C$9999="E. 40-99")*Raw_Data_Daily!$D$2:$D$9999*Raw_Data_Daily!$X$2:$X$9999)/SUMIFS(Raw_Data_Daily!$D:$D, Raw_Data_Daily!$B:$B, "Control", Raw_Data_Daily!$C:$C, "E. 40-99"),"")</f>
        <v>6.649364867</v>
      </c>
      <c r="P35" s="48">
        <f>IFERROR(SUMPRODUCT((Raw_Data_Daily!$B$2:$B$9999="Variant")*(Raw_Data_Daily!$C$2:$C$9999="E. 40-99")*Raw_Data_Daily!$D$2:$D$9999*Raw_Data_Daily!$X$2:$X$9999)/SUMIFS(Raw_Data_Daily!$D:$D, Raw_Data_Daily!$B:$B, "Variant", Raw_Data_Daily!$C:$C, "E. 40-99"),"")</f>
        <v>7.272103804</v>
      </c>
      <c r="Q35" s="51">
        <f t="shared" si="29"/>
        <v>0.09365389771</v>
      </c>
      <c r="R35" s="146">
        <f>IFERROR(SUMPRODUCT((Raw_Data_Daily!$B$2:$B$9999="Control")*(Raw_Data_Daily!$C$2:$C$9999="F. 100+")*Raw_Data_Daily!$D$2:$D$9999*Raw_Data_Daily!$X$2:$X$9999)/SUMIFS(Raw_Data_Daily!$D:$D, Raw_Data_Daily!$B:$B, "Control", Raw_Data_Daily!$C:$C, "F. 100+"),"")</f>
        <v>7.696480825</v>
      </c>
      <c r="S35" s="48">
        <f>IFERROR(SUMPRODUCT((Raw_Data_Daily!$B$2:$B$9999="Variant")*(Raw_Data_Daily!$C$2:$C$9999="F. 100+")*Raw_Data_Daily!$D$2:$D$9999*Raw_Data_Daily!$X$2:$X$9999)/SUMIFS(Raw_Data_Daily!$D:$D, Raw_Data_Daily!$B:$B, "Variant", Raw_Data_Daily!$C:$C, "F. 100+"),"")</f>
        <v>6.73950427</v>
      </c>
      <c r="T35" s="54">
        <f t="shared" si="30"/>
        <v>-0.1243394971</v>
      </c>
    </row>
    <row r="36" ht="15.75" customHeight="1">
      <c r="A36" s="165" t="s">
        <v>45</v>
      </c>
      <c r="B36" s="28"/>
      <c r="C36" s="29"/>
      <c r="D36" s="6"/>
      <c r="E36" s="30"/>
      <c r="F36" s="32"/>
      <c r="G36" s="6"/>
      <c r="H36" s="28"/>
      <c r="I36" s="29"/>
      <c r="J36" s="6"/>
      <c r="K36" s="30"/>
      <c r="L36" s="32"/>
      <c r="M36" s="6"/>
      <c r="N36" s="28"/>
      <c r="O36" s="29"/>
      <c r="P36" s="6"/>
      <c r="Q36" s="30"/>
      <c r="R36" s="32"/>
      <c r="S36" s="6"/>
      <c r="T36" s="28"/>
    </row>
    <row r="37" ht="15.75" customHeight="1">
      <c r="A37" s="8"/>
      <c r="B37" s="166" t="s">
        <v>46</v>
      </c>
      <c r="C37" s="37">
        <f>IFERROR(SUMPRODUCT((Raw_Data_Daily!$B$2:$B$9999="Control")*(Raw_Data_Daily!$C$2:$C$9999="A. 0")*Raw_Data_Daily!$D$2:$D$9999*Raw_Data_Daily!$AX$2:$AX$9999)/SUMIFS(Raw_Data_Daily!$D:$D, Raw_Data_Daily!$B:$B, "Control", Raw_Data_Daily!$C:$C, "A. 0"),"")</f>
        <v>12.60145169</v>
      </c>
      <c r="D37" s="16">
        <f>IFERROR(SUMPRODUCT((Raw_Data_Daily!$B$2:$B$9999="Variant")*(Raw_Data_Daily!$C$2:$C$9999="A. 0")*Raw_Data_Daily!$D$2:$D$9999*Raw_Data_Daily!$AX$2:$AX$9999)/SUMIFS(Raw_Data_Daily!$D:$D, Raw_Data_Daily!$B:$B, "Variant", Raw_Data_Daily!$C:$C, "A. 0"),"")</f>
        <v>9.106629277</v>
      </c>
      <c r="E37" s="38">
        <f t="shared" ref="E37:E41" si="31">IFERROR((D37-C37)/ABS(C37),"")</f>
        <v>-0.2773349054</v>
      </c>
      <c r="F37" s="39">
        <f>IFERROR(SUMPRODUCT((Raw_Data_Daily!$B$2:$B$9999="Control")*(Raw_Data_Daily!$C$2:$C$9999="B. 1-9")*Raw_Data_Daily!$D$2:$D$9999*Raw_Data_Daily!$AX$2:$AX$9999)/SUMIFS(Raw_Data_Daily!$D:$D, Raw_Data_Daily!$B:$B, "Control", Raw_Data_Daily!$C:$C, "B. 1-9"),"")</f>
        <v>27.01727457</v>
      </c>
      <c r="G37" s="16">
        <f>IFERROR(SUMPRODUCT((Raw_Data_Daily!$B$2:$B$9999="Variant")*(Raw_Data_Daily!$C$2:$C$9999="B. 1-9")*Raw_Data_Daily!$D$2:$D$9999*Raw_Data_Daily!$AX$2:$AX$9999)/SUMIFS(Raw_Data_Daily!$D:$D, Raw_Data_Daily!$B:$B, "Variant", Raw_Data_Daily!$C:$C, "B. 1-9"),"")</f>
        <v>17.46956262</v>
      </c>
      <c r="H37" s="42">
        <f t="shared" ref="H37:H41" si="32">IFERROR((G37-F37)/ABS(F37),"")</f>
        <v>-0.3533928608</v>
      </c>
      <c r="I37" s="37">
        <f>IFERROR(SUMPRODUCT((Raw_Data_Daily!$B$2:$B$9999="Control")*(Raw_Data_Daily!$C$2:$C$9999="C. 10-19")*Raw_Data_Daily!$D$2:$D$9999*Raw_Data_Daily!$AX$2:$AX$9999)/SUMIFS(Raw_Data_Daily!$D:$D, Raw_Data_Daily!$B:$B, "Control", Raw_Data_Daily!$C:$C, "C. 10-19"),"")</f>
        <v>55.39683345</v>
      </c>
      <c r="J37" s="16">
        <f>IFERROR(SUMPRODUCT((Raw_Data_Daily!$B$2:$B$9999="Variant")*(Raw_Data_Daily!$C$2:$C$9999="C. 10-19")*Raw_Data_Daily!$D$2:$D$9999*Raw_Data_Daily!$AX$2:$AX$9999)/SUMIFS(Raw_Data_Daily!$D:$D, Raw_Data_Daily!$B:$B, "Variant", Raw_Data_Daily!$C:$C, "C. 10-19"),"")</f>
        <v>35.34530308</v>
      </c>
      <c r="K37" s="38">
        <f t="shared" ref="K37:K41" si="33">IFERROR((J37-I37)/ABS(I37),"")</f>
        <v>-0.3619616703</v>
      </c>
      <c r="L37" s="39">
        <f>IFERROR(SUMPRODUCT((Raw_Data_Daily!$B$2:$B$9999="Control")*(Raw_Data_Daily!$C$2:$C$9999="D. 20-39")*Raw_Data_Daily!$D$2:$D$9999*Raw_Data_Daily!$AX$2:$AX$9999)/SUMIFS(Raw_Data_Daily!$D:$D, Raw_Data_Daily!$B:$B, "Control", Raw_Data_Daily!$C:$C, "D. 20-39"),"")</f>
        <v>95.78314816</v>
      </c>
      <c r="M37" s="16">
        <f>IFERROR(SUMPRODUCT((Raw_Data_Daily!$B$2:$B$9999="Variant")*(Raw_Data_Daily!$C$2:$C$9999="D. 20-39")*Raw_Data_Daily!$D$2:$D$9999*Raw_Data_Daily!$AX$2:$AX$9999)/SUMIFS(Raw_Data_Daily!$D:$D, Raw_Data_Daily!$B:$B, "Variant", Raw_Data_Daily!$C:$C, "D. 20-39"),"")</f>
        <v>60.97675326</v>
      </c>
      <c r="N37" s="42">
        <f t="shared" ref="N37:N41" si="34">IFERROR((M37-L37)/ABS(L37),"")</f>
        <v>-0.3633874598</v>
      </c>
      <c r="O37" s="37">
        <f>IFERROR(SUMPRODUCT((Raw_Data_Daily!$B$2:$B$9999="Control")*(Raw_Data_Daily!$C$2:$C$9999="E. 40-99")*Raw_Data_Daily!$D$2:$D$9999*Raw_Data_Daily!$AX$2:$AX$9999)/SUMIFS(Raw_Data_Daily!$D:$D, Raw_Data_Daily!$B:$B, "Control", Raw_Data_Daily!$C:$C, "E. 40-99"),"")</f>
        <v>182.3146398</v>
      </c>
      <c r="P37" s="16">
        <f>IFERROR(SUMPRODUCT((Raw_Data_Daily!$B$2:$B$9999="Variant")*(Raw_Data_Daily!$C$2:$C$9999="E. 40-99")*Raw_Data_Daily!$D$2:$D$9999*Raw_Data_Daily!$AX$2:$AX$9999)/SUMIFS(Raw_Data_Daily!$D:$D, Raw_Data_Daily!$B:$B, "Variant", Raw_Data_Daily!$C:$C, "E. 40-99"),"")</f>
        <v>115.4561526</v>
      </c>
      <c r="Q37" s="38">
        <f t="shared" ref="Q37:Q41" si="35">IFERROR((P37-O37)/ABS(O37),"")</f>
        <v>-0.3667203429</v>
      </c>
      <c r="R37" s="39">
        <f>IFERROR(SUMPRODUCT((Raw_Data_Daily!$B$2:$B$9999="Control")*(Raw_Data_Daily!$C$2:$C$9999="F. 100+")*Raw_Data_Daily!$D$2:$D$9999*Raw_Data_Daily!$AX$2:$AX$9999)/SUMIFS(Raw_Data_Daily!$D:$D, Raw_Data_Daily!$B:$B, "Control", Raw_Data_Daily!$C:$C, "F. 100+"),"")</f>
        <v>413.5547124</v>
      </c>
      <c r="S37" s="16">
        <f>IFERROR(SUMPRODUCT((Raw_Data_Daily!$B$2:$B$9999="Variant")*(Raw_Data_Daily!$C$2:$C$9999="F. 100+")*Raw_Data_Daily!$D$2:$D$9999*Raw_Data_Daily!$AX$2:$AX$9999)/SUMIFS(Raw_Data_Daily!$D:$D, Raw_Data_Daily!$B:$B, "Variant", Raw_Data_Daily!$C:$C, "F. 100+"),"")</f>
        <v>255.8835588</v>
      </c>
      <c r="T37" s="42">
        <f t="shared" ref="T37:T41" si="36">IFERROR((S37-R37)/ABS(R37),"")</f>
        <v>-0.3812582684</v>
      </c>
    </row>
    <row r="38" ht="15.75" customHeight="1">
      <c r="A38" s="8"/>
      <c r="B38" s="166" t="s">
        <v>47</v>
      </c>
      <c r="C38" s="37">
        <f>IFERROR(SUMPRODUCT((Raw_Data_Daily!$B$2:$B$9999="Control")*(Raw_Data_Daily!$C$2:$C$9999="A. 0")*Raw_Data_Daily!$D$2:$D$9999*Raw_Data_Daily!$AY$2:$AY$9999)/SUMIFS(Raw_Data_Daily!$D:$D, Raw_Data_Daily!$B:$B, "Control", Raw_Data_Daily!$C:$C, "A. 0"),"")</f>
        <v>26.00513188</v>
      </c>
      <c r="D38" s="16">
        <f>IFERROR(SUMPRODUCT((Raw_Data_Daily!$B$2:$B$9999="Variant")*(Raw_Data_Daily!$C$2:$C$9999="A. 0")*Raw_Data_Daily!$D$2:$D$9999*Raw_Data_Daily!$AY$2:$AY$9999)/SUMIFS(Raw_Data_Daily!$D:$D, Raw_Data_Daily!$B:$B, "Variant", Raw_Data_Daily!$C:$C, "A. 0"),"")</f>
        <v>31.78195639</v>
      </c>
      <c r="E38" s="38">
        <f t="shared" si="31"/>
        <v>0.2221417116</v>
      </c>
      <c r="F38" s="39">
        <f>IFERROR(SUMPRODUCT((Raw_Data_Daily!$B$2:$B$9999="Control")*(Raw_Data_Daily!$C$2:$C$9999="B. 1-9")*Raw_Data_Daily!$D$2:$D$9999*Raw_Data_Daily!$AY$2:$AY$9999)/SUMIFS(Raw_Data_Daily!$D:$D, Raw_Data_Daily!$B:$B, "Control", Raw_Data_Daily!$C:$C, "B. 1-9"),"")</f>
        <v>16.00960968</v>
      </c>
      <c r="G38" s="16">
        <f>IFERROR(SUMPRODUCT((Raw_Data_Daily!$B$2:$B$9999="Variant")*(Raw_Data_Daily!$C$2:$C$9999="B. 1-9")*Raw_Data_Daily!$D$2:$D$9999*Raw_Data_Daily!$AY$2:$AY$9999)/SUMIFS(Raw_Data_Daily!$D:$D, Raw_Data_Daily!$B:$B, "Variant", Raw_Data_Daily!$C:$C, "B. 1-9"),"")</f>
        <v>18.95752633</v>
      </c>
      <c r="H38" s="42">
        <f t="shared" si="32"/>
        <v>0.1841341986</v>
      </c>
      <c r="I38" s="37">
        <f>IFERROR(SUMPRODUCT((Raw_Data_Daily!$B$2:$B$9999="Control")*(Raw_Data_Daily!$C$2:$C$9999="C. 10-19")*Raw_Data_Daily!$D$2:$D$9999*Raw_Data_Daily!$AY$2:$AY$9999)/SUMIFS(Raw_Data_Daily!$D:$D, Raw_Data_Daily!$B:$B, "Control", Raw_Data_Daily!$C:$C, "C. 10-19"),"")</f>
        <v>33.79612224</v>
      </c>
      <c r="J38" s="16">
        <f>IFERROR(SUMPRODUCT((Raw_Data_Daily!$B$2:$B$9999="Variant")*(Raw_Data_Daily!$C$2:$C$9999="C. 10-19")*Raw_Data_Daily!$D$2:$D$9999*Raw_Data_Daily!$AY$2:$AY$9999)/SUMIFS(Raw_Data_Daily!$D:$D, Raw_Data_Daily!$B:$B, "Variant", Raw_Data_Daily!$C:$C, "C. 10-19"),"")</f>
        <v>39.96055566</v>
      </c>
      <c r="K38" s="38">
        <f t="shared" si="33"/>
        <v>0.1824006133</v>
      </c>
      <c r="L38" s="39">
        <f>IFERROR(SUMPRODUCT((Raw_Data_Daily!$B$2:$B$9999="Control")*(Raw_Data_Daily!$C$2:$C$9999="D. 20-39")*Raw_Data_Daily!$D$2:$D$9999*Raw_Data_Daily!$AY$2:$AY$9999)/SUMIFS(Raw_Data_Daily!$D:$D, Raw_Data_Daily!$B:$B, "Control", Raw_Data_Daily!$C:$C, "D. 20-39"),"")</f>
        <v>58.59191723</v>
      </c>
      <c r="M38" s="16">
        <f>IFERROR(SUMPRODUCT((Raw_Data_Daily!$B$2:$B$9999="Variant")*(Raw_Data_Daily!$C$2:$C$9999="D. 20-39")*Raw_Data_Daily!$D$2:$D$9999*Raw_Data_Daily!$AY$2:$AY$9999)/SUMIFS(Raw_Data_Daily!$D:$D, Raw_Data_Daily!$B:$B, "Variant", Raw_Data_Daily!$C:$C, "D. 20-39"),"")</f>
        <v>70.2641174</v>
      </c>
      <c r="N38" s="42">
        <f t="shared" si="34"/>
        <v>0.1992117806</v>
      </c>
      <c r="O38" s="37">
        <f>IFERROR(SUMPRODUCT((Raw_Data_Daily!$B$2:$B$9999="Control")*(Raw_Data_Daily!$C$2:$C$9999="E. 40-99")*Raw_Data_Daily!$D$2:$D$9999*Raw_Data_Daily!$AY$2:$AY$9999)/SUMIFS(Raw_Data_Daily!$D:$D, Raw_Data_Daily!$B:$B, "Control", Raw_Data_Daily!$C:$C, "E. 40-99"),"")</f>
        <v>109.3233211</v>
      </c>
      <c r="P38" s="16">
        <f>IFERROR(SUMPRODUCT((Raw_Data_Daily!$B$2:$B$9999="Variant")*(Raw_Data_Daily!$C$2:$C$9999="E. 40-99")*Raw_Data_Daily!$D$2:$D$9999*Raw_Data_Daily!$AY$2:$AY$9999)/SUMIFS(Raw_Data_Daily!$D:$D, Raw_Data_Daily!$B:$B, "Variant", Raw_Data_Daily!$C:$C, "E. 40-99"),"")</f>
        <v>133.7198678</v>
      </c>
      <c r="Q38" s="38">
        <f t="shared" si="35"/>
        <v>0.2231595826</v>
      </c>
      <c r="R38" s="39">
        <f>IFERROR(SUMPRODUCT((Raw_Data_Daily!$B$2:$B$9999="Control")*(Raw_Data_Daily!$C$2:$C$9999="F. 100+")*Raw_Data_Daily!$D$2:$D$9999*Raw_Data_Daily!$AY$2:$AY$9999)/SUMIFS(Raw_Data_Daily!$D:$D, Raw_Data_Daily!$B:$B, "Control", Raw_Data_Daily!$C:$C, "F. 100+"),"")</f>
        <v>188.5981263</v>
      </c>
      <c r="S38" s="16">
        <f>IFERROR(SUMPRODUCT((Raw_Data_Daily!$B$2:$B$9999="Variant")*(Raw_Data_Daily!$C$2:$C$9999="F. 100+")*Raw_Data_Daily!$D$2:$D$9999*Raw_Data_Daily!$AY$2:$AY$9999)/SUMIFS(Raw_Data_Daily!$D:$D, Raw_Data_Daily!$B:$B, "Variant", Raw_Data_Daily!$C:$C, "F. 100+"),"")</f>
        <v>237.134578</v>
      </c>
      <c r="T38" s="42">
        <f t="shared" si="36"/>
        <v>0.2573538384</v>
      </c>
    </row>
    <row r="39" ht="15.75" customHeight="1">
      <c r="A39" s="8"/>
      <c r="B39" s="166" t="s">
        <v>49</v>
      </c>
      <c r="C39" s="37">
        <f>IFERROR(SUMPRODUCT((Raw_Data_Daily!$B$2:$B$9999="Control")*(Raw_Data_Daily!$C$2:$C$9999="A. 0")*Raw_Data_Daily!$D$2:$D$9999*Raw_Data_Daily!$AZ$2:$AZ$9999)/SUMIFS(Raw_Data_Daily!$D:$D, Raw_Data_Daily!$B:$B, "Control", Raw_Data_Daily!$C:$C, "A. 0"),"")</f>
        <v>2.352440861</v>
      </c>
      <c r="D39" s="16">
        <f>IFERROR(SUMPRODUCT((Raw_Data_Daily!$B$2:$B$9999="Variant")*(Raw_Data_Daily!$C$2:$C$9999="A. 0")*Raw_Data_Daily!$D$2:$D$9999*Raw_Data_Daily!$AZ$2:$AZ$9999)/SUMIFS(Raw_Data_Daily!$D:$D, Raw_Data_Daily!$B:$B, "Variant", Raw_Data_Daily!$C:$C, "A. 0"),"")</f>
        <v>2.408504301</v>
      </c>
      <c r="E39" s="38">
        <f t="shared" si="31"/>
        <v>0.02383202922</v>
      </c>
      <c r="F39" s="39">
        <f>IFERROR(SUMPRODUCT((Raw_Data_Daily!$B$2:$B$9999="Control")*(Raw_Data_Daily!$C$2:$C$9999="B. 1-9")*Raw_Data_Daily!$D$2:$D$9999*Raw_Data_Daily!$AZ$2:$AZ$9999)/SUMIFS(Raw_Data_Daily!$D:$D, Raw_Data_Daily!$B:$B, "Control", Raw_Data_Daily!$C:$C, "B. 1-9"),"")</f>
        <v>2.024005367</v>
      </c>
      <c r="G39" s="16">
        <f>IFERROR(SUMPRODUCT((Raw_Data_Daily!$B$2:$B$9999="Variant")*(Raw_Data_Daily!$C$2:$C$9999="B. 1-9")*Raw_Data_Daily!$D$2:$D$9999*Raw_Data_Daily!$AZ$2:$AZ$9999)/SUMIFS(Raw_Data_Daily!$D:$D, Raw_Data_Daily!$B:$B, "Variant", Raw_Data_Daily!$C:$C, "B. 1-9"),"")</f>
        <v>1.832804174</v>
      </c>
      <c r="H39" s="42">
        <f t="shared" si="32"/>
        <v>-0.09446674172</v>
      </c>
      <c r="I39" s="37">
        <f>IFERROR(SUMPRODUCT((Raw_Data_Daily!$B$2:$B$9999="Control")*(Raw_Data_Daily!$C$2:$C$9999="C. 10-19")*Raw_Data_Daily!$D$2:$D$9999*Raw_Data_Daily!$AZ$2:$AZ$9999)/SUMIFS(Raw_Data_Daily!$D:$D, Raw_Data_Daily!$B:$B, "Control", Raw_Data_Daily!$C:$C, "C. 10-19"),"")</f>
        <v>2.65362103</v>
      </c>
      <c r="J39" s="16">
        <f>IFERROR(SUMPRODUCT((Raw_Data_Daily!$B$2:$B$9999="Variant")*(Raw_Data_Daily!$C$2:$C$9999="C. 10-19")*Raw_Data_Daily!$D$2:$D$9999*Raw_Data_Daily!$AZ$2:$AZ$9999)/SUMIFS(Raw_Data_Daily!$D:$D, Raw_Data_Daily!$B:$B, "Variant", Raw_Data_Daily!$C:$C, "C. 10-19"),"")</f>
        <v>2.594976837</v>
      </c>
      <c r="K39" s="42">
        <f t="shared" si="33"/>
        <v>-0.02209968648</v>
      </c>
      <c r="L39" s="39">
        <f>IFERROR(SUMPRODUCT((Raw_Data_Daily!$B$2:$B$9999="Control")*(Raw_Data_Daily!$C$2:$C$9999="D. 20-39")*Raw_Data_Daily!$D$2:$D$9999*Raw_Data_Daily!$AZ$2:$AZ$9999)/SUMIFS(Raw_Data_Daily!$D:$D, Raw_Data_Daily!$B:$B, "Control", Raw_Data_Daily!$C:$C, "D. 20-39"),"")</f>
        <v>2.597340272</v>
      </c>
      <c r="M39" s="16">
        <f>IFERROR(SUMPRODUCT((Raw_Data_Daily!$B$2:$B$9999="Variant")*(Raw_Data_Daily!$C$2:$C$9999="D. 20-39")*Raw_Data_Daily!$D$2:$D$9999*Raw_Data_Daily!$AZ$2:$AZ$9999)/SUMIFS(Raw_Data_Daily!$D:$D, Raw_Data_Daily!$B:$B, "Variant", Raw_Data_Daily!$C:$C, "D. 20-39"),"")</f>
        <v>2.795103304</v>
      </c>
      <c r="N39" s="42">
        <f t="shared" si="34"/>
        <v>0.07614059446</v>
      </c>
      <c r="O39" s="37">
        <f>IFERROR(SUMPRODUCT((Raw_Data_Daily!$B$2:$B$9999="Control")*(Raw_Data_Daily!$C$2:$C$9999="E. 40-99")*Raw_Data_Daily!$D$2:$D$9999*Raw_Data_Daily!$AZ$2:$AZ$9999)/SUMIFS(Raw_Data_Daily!$D:$D, Raw_Data_Daily!$B:$B, "Control", Raw_Data_Daily!$C:$C, "E. 40-99"),"")</f>
        <v>3.652065397</v>
      </c>
      <c r="P39" s="16">
        <f>IFERROR(SUMPRODUCT((Raw_Data_Daily!$B$2:$B$9999="Variant")*(Raw_Data_Daily!$C$2:$C$9999="E. 40-99")*Raw_Data_Daily!$D$2:$D$9999*Raw_Data_Daily!$AZ$2:$AZ$9999)/SUMIFS(Raw_Data_Daily!$D:$D, Raw_Data_Daily!$B:$B, "Variant", Raw_Data_Daily!$C:$C, "E. 40-99"),"")</f>
        <v>3.519879883</v>
      </c>
      <c r="Q39" s="42">
        <f t="shared" si="35"/>
        <v>-0.03619472826</v>
      </c>
      <c r="R39" s="39">
        <f>IFERROR(SUMPRODUCT((Raw_Data_Daily!$B$2:$B$9999="Control")*(Raw_Data_Daily!$C$2:$C$9999="F. 100+")*Raw_Data_Daily!$D$2:$D$9999*Raw_Data_Daily!$AZ$2:$AZ$9999)/SUMIFS(Raw_Data_Daily!$D:$D, Raw_Data_Daily!$B:$B, "Control", Raw_Data_Daily!$C:$C, "F. 100+"),"")</f>
        <v>5.478545227</v>
      </c>
      <c r="S39" s="16">
        <f>IFERROR(SUMPRODUCT((Raw_Data_Daily!$B$2:$B$9999="Variant")*(Raw_Data_Daily!$C$2:$C$9999="F. 100+")*Raw_Data_Daily!$D$2:$D$9999*Raw_Data_Daily!$AZ$2:$AZ$9999)/SUMIFS(Raw_Data_Daily!$D:$D, Raw_Data_Daily!$B:$B, "Variant", Raw_Data_Daily!$C:$C, "F. 100+"),"")</f>
        <v>5.115780193</v>
      </c>
      <c r="T39" s="42">
        <f t="shared" si="36"/>
        <v>-0.06621557716</v>
      </c>
    </row>
    <row r="40" ht="15.75" customHeight="1">
      <c r="A40" s="8"/>
      <c r="B40" s="166" t="s">
        <v>50</v>
      </c>
      <c r="C40" s="37">
        <f>IFERROR(SUMPRODUCT((Raw_Data_Daily!$B$2:$B$9999="Control")*(Raw_Data_Daily!$C$2:$C$9999="A. 0")*Raw_Data_Daily!$D$2:$D$9999*Raw_Data_Daily!$BA$2:$BA$9999)/SUMIFS(Raw_Data_Daily!$D:$D, Raw_Data_Daily!$B:$B, "Control", Raw_Data_Daily!$C:$C, "A. 0"),"")</f>
        <v>6.642113437</v>
      </c>
      <c r="D40" s="16">
        <f>IFERROR(SUMPRODUCT((Raw_Data_Daily!$B$2:$B$9999="Variant")*(Raw_Data_Daily!$C$2:$C$9999="A. 0")*Raw_Data_Daily!$D$2:$D$9999*Raw_Data_Daily!$BA$2:$BA$9999)/SUMIFS(Raw_Data_Daily!$D:$D, Raw_Data_Daily!$B:$B, "Variant", Raw_Data_Daily!$C:$C, "A. 0"),"")</f>
        <v>5.329525456</v>
      </c>
      <c r="E40" s="38">
        <f t="shared" si="31"/>
        <v>-0.1976160138</v>
      </c>
      <c r="F40" s="39">
        <f>IFERROR(SUMPRODUCT((Raw_Data_Daily!$B$2:$B$9999="Control")*(Raw_Data_Daily!$C$2:$C$9999="B. 1-9")*Raw_Data_Daily!$D$2:$D$9999*Raw_Data_Daily!$BA$2:$BA$9999)/SUMIFS(Raw_Data_Daily!$D:$D, Raw_Data_Daily!$B:$B, "Control", Raw_Data_Daily!$C:$C, "B. 1-9"),"")</f>
        <v>1.601961609</v>
      </c>
      <c r="G40" s="16">
        <f>IFERROR(SUMPRODUCT((Raw_Data_Daily!$B$2:$B$9999="Variant")*(Raw_Data_Daily!$C$2:$C$9999="B. 1-9")*Raw_Data_Daily!$D$2:$D$9999*Raw_Data_Daily!$BA$2:$BA$9999)/SUMIFS(Raw_Data_Daily!$D:$D, Raw_Data_Daily!$B:$B, "Variant", Raw_Data_Daily!$C:$C, "B. 1-9"),"")</f>
        <v>1.519991287</v>
      </c>
      <c r="H40" s="42">
        <f t="shared" si="32"/>
        <v>-0.05116871799</v>
      </c>
      <c r="I40" s="37">
        <f>IFERROR(SUMPRODUCT((Raw_Data_Daily!$B$2:$B$9999="Control")*(Raw_Data_Daily!$C$2:$C$9999="C. 10-19")*Raw_Data_Daily!$D$2:$D$9999*Raw_Data_Daily!$BA$2:$BA$9999)/SUMIFS(Raw_Data_Daily!$D:$D, Raw_Data_Daily!$B:$B, "Control", Raw_Data_Daily!$C:$C, "C. 10-19"),"")</f>
        <v>5.019645704</v>
      </c>
      <c r="J40" s="16">
        <f>IFERROR(SUMPRODUCT((Raw_Data_Daily!$B$2:$B$9999="Variant")*(Raw_Data_Daily!$C$2:$C$9999="C. 10-19")*Raw_Data_Daily!$D$2:$D$9999*Raw_Data_Daily!$BA$2:$BA$9999)/SUMIFS(Raw_Data_Daily!$D:$D, Raw_Data_Daily!$B:$B, "Variant", Raw_Data_Daily!$C:$C, "C. 10-19"),"")</f>
        <v>5.696945877</v>
      </c>
      <c r="K40" s="42">
        <f t="shared" si="33"/>
        <v>0.1349298762</v>
      </c>
      <c r="L40" s="39">
        <f>IFERROR(SUMPRODUCT((Raw_Data_Daily!$B$2:$B$9999="Control")*(Raw_Data_Daily!$C$2:$C$9999="D. 20-39")*Raw_Data_Daily!$D$2:$D$9999*Raw_Data_Daily!$BA$2:$BA$9999)/SUMIFS(Raw_Data_Daily!$D:$D, Raw_Data_Daily!$B:$B, "Control", Raw_Data_Daily!$C:$C, "D. 20-39"),"")</f>
        <v>10.09543551</v>
      </c>
      <c r="M40" s="16">
        <f>IFERROR(SUMPRODUCT((Raw_Data_Daily!$B$2:$B$9999="Variant")*(Raw_Data_Daily!$C$2:$C$9999="D. 20-39")*Raw_Data_Daily!$D$2:$D$9999*Raw_Data_Daily!$BA$2:$BA$9999)/SUMIFS(Raw_Data_Daily!$D:$D, Raw_Data_Daily!$B:$B, "Variant", Raw_Data_Daily!$C:$C, "D. 20-39"),"")</f>
        <v>10.32310554</v>
      </c>
      <c r="N40" s="42">
        <f t="shared" si="34"/>
        <v>0.02255177936</v>
      </c>
      <c r="O40" s="37">
        <f>IFERROR(SUMPRODUCT((Raw_Data_Daily!$B$2:$B$9999="Control")*(Raw_Data_Daily!$C$2:$C$9999="E. 40-99")*Raw_Data_Daily!$D$2:$D$9999*Raw_Data_Daily!$BA$2:$BA$9999)/SUMIFS(Raw_Data_Daily!$D:$D, Raw_Data_Daily!$B:$B, "Control", Raw_Data_Daily!$C:$C, "E. 40-99"),"")</f>
        <v>20.86153678</v>
      </c>
      <c r="P40" s="16">
        <f>IFERROR(SUMPRODUCT((Raw_Data_Daily!$B$2:$B$9999="Variant")*(Raw_Data_Daily!$C$2:$C$9999="E. 40-99")*Raw_Data_Daily!$D$2:$D$9999*Raw_Data_Daily!$BA$2:$BA$9999)/SUMIFS(Raw_Data_Daily!$D:$D, Raw_Data_Daily!$B:$B, "Variant", Raw_Data_Daily!$C:$C, "E. 40-99"),"")</f>
        <v>19.47975276</v>
      </c>
      <c r="Q40" s="42">
        <f t="shared" si="35"/>
        <v>-0.06623596512</v>
      </c>
      <c r="R40" s="39">
        <f>IFERROR(SUMPRODUCT((Raw_Data_Daily!$B$2:$B$9999="Control")*(Raw_Data_Daily!$C$2:$C$9999="F. 100+")*Raw_Data_Daily!$D$2:$D$9999*Raw_Data_Daily!$BA$2:$BA$9999)/SUMIFS(Raw_Data_Daily!$D:$D, Raw_Data_Daily!$B:$B, "Control", Raw_Data_Daily!$C:$C, "F. 100+"),"")</f>
        <v>50.06914027</v>
      </c>
      <c r="S40" s="16">
        <f>IFERROR(SUMPRODUCT((Raw_Data_Daily!$B$2:$B$9999="Variant")*(Raw_Data_Daily!$C$2:$C$9999="F. 100+")*Raw_Data_Daily!$D$2:$D$9999*Raw_Data_Daily!$BA$2:$BA$9999)/SUMIFS(Raw_Data_Daily!$D:$D, Raw_Data_Daily!$B:$B, "Variant", Raw_Data_Daily!$C:$C, "F. 100+"),"")</f>
        <v>36.38083731</v>
      </c>
      <c r="T40" s="42">
        <f t="shared" si="36"/>
        <v>-0.2733880168</v>
      </c>
    </row>
    <row r="41" ht="15.75" customHeight="1">
      <c r="A41" s="8"/>
      <c r="B41" s="166" t="s">
        <v>51</v>
      </c>
      <c r="C41" s="37">
        <f>IFERROR(SUMPRODUCT((Raw_Data_Daily!$B$2:$B$9999="Control")*(Raw_Data_Daily!$C$2:$C$9999="A. 0")*Raw_Data_Daily!$D$2:$D$9999*Raw_Data_Daily!$BB$2:$BB$9999)/SUMIFS(Raw_Data_Daily!$D:$D, Raw_Data_Daily!$B:$B, "Control", Raw_Data_Daily!$C:$C, "A. 0"),"")</f>
        <v>0.2096403094</v>
      </c>
      <c r="D41" s="16">
        <f>IFERROR(SUMPRODUCT((Raw_Data_Daily!$B$2:$B$9999="Variant")*(Raw_Data_Daily!$C$2:$C$9999="A. 0")*Raw_Data_Daily!$D$2:$D$9999*Raw_Data_Daily!$BB$2:$BB$9999)/SUMIFS(Raw_Data_Daily!$D:$D, Raw_Data_Daily!$B:$B, "Variant", Raw_Data_Daily!$C:$C, "A. 0"),"")</f>
        <v>0.2291314076</v>
      </c>
      <c r="E41" s="38">
        <f t="shared" si="31"/>
        <v>0.09297400035</v>
      </c>
      <c r="F41" s="39">
        <f>IFERROR(SUMPRODUCT((Raw_Data_Daily!$B$2:$B$9999="Control")*(Raw_Data_Daily!$C$2:$C$9999="B. 1-9")*Raw_Data_Daily!$D$2:$D$9999*Raw_Data_Daily!$BB$2:$BB$9999)/SUMIFS(Raw_Data_Daily!$D:$D, Raw_Data_Daily!$B:$B, "Control", Raw_Data_Daily!$C:$C, "B. 1-9"),"")</f>
        <v>0.5603559988</v>
      </c>
      <c r="G41" s="16">
        <f>IFERROR(SUMPRODUCT((Raw_Data_Daily!$B$2:$B$9999="Variant")*(Raw_Data_Daily!$C$2:$C$9999="B. 1-9")*Raw_Data_Daily!$D$2:$D$9999*Raw_Data_Daily!$BB$2:$BB$9999)/SUMIFS(Raw_Data_Daily!$D:$D, Raw_Data_Daily!$B:$B, "Variant", Raw_Data_Daily!$C:$C, "B. 1-9"),"")</f>
        <v>0.5426721912</v>
      </c>
      <c r="H41" s="42">
        <f t="shared" si="32"/>
        <v>-0.0315581658</v>
      </c>
      <c r="I41" s="37">
        <f>IFERROR(SUMPRODUCT((Raw_Data_Daily!$B$2:$B$9999="Control")*(Raw_Data_Daily!$C$2:$C$9999="C. 10-19")*Raw_Data_Daily!$D$2:$D$9999*Raw_Data_Daily!$BB$2:$BB$9999)/SUMIFS(Raw_Data_Daily!$D:$D, Raw_Data_Daily!$B:$B, "Control", Raw_Data_Daily!$C:$C, "C. 10-19"),"")</f>
        <v>1.193046538</v>
      </c>
      <c r="J41" s="16">
        <f>IFERROR(SUMPRODUCT((Raw_Data_Daily!$B$2:$B$9999="Variant")*(Raw_Data_Daily!$C$2:$C$9999="C. 10-19")*Raw_Data_Daily!$D$2:$D$9999*Raw_Data_Daily!$BB$2:$BB$9999)/SUMIFS(Raw_Data_Daily!$D:$D, Raw_Data_Daily!$B:$B, "Variant", Raw_Data_Daily!$C:$C, "C. 10-19"),"")</f>
        <v>1.153501554</v>
      </c>
      <c r="K41" s="38">
        <f t="shared" si="33"/>
        <v>-0.03314622081</v>
      </c>
      <c r="L41" s="39">
        <f>IFERROR(SUMPRODUCT((Raw_Data_Daily!$B$2:$B$9999="Control")*(Raw_Data_Daily!$C$2:$C$9999="D. 20-39")*Raw_Data_Daily!$D$2:$D$9999*Raw_Data_Daily!$BB$2:$BB$9999)/SUMIFS(Raw_Data_Daily!$D:$D, Raw_Data_Daily!$B:$B, "Control", Raw_Data_Daily!$C:$C, "D. 20-39"),"")</f>
        <v>2.181166426</v>
      </c>
      <c r="M41" s="16">
        <f>IFERROR(SUMPRODUCT((Raw_Data_Daily!$B$2:$B$9999="Variant")*(Raw_Data_Daily!$C$2:$C$9999="D. 20-39")*Raw_Data_Daily!$D$2:$D$9999*Raw_Data_Daily!$BB$2:$BB$9999)/SUMIFS(Raw_Data_Daily!$D:$D, Raw_Data_Daily!$B:$B, "Variant", Raw_Data_Daily!$C:$C, "D. 20-39"),"")</f>
        <v>2.150755685</v>
      </c>
      <c r="N41" s="42">
        <f t="shared" si="34"/>
        <v>-0.0139424211</v>
      </c>
      <c r="O41" s="37">
        <f>IFERROR(SUMPRODUCT((Raw_Data_Daily!$B$2:$B$9999="Control")*(Raw_Data_Daily!$C$2:$C$9999="E. 40-99")*Raw_Data_Daily!$D$2:$D$9999*Raw_Data_Daily!$BB$2:$BB$9999)/SUMIFS(Raw_Data_Daily!$D:$D, Raw_Data_Daily!$B:$B, "Control", Raw_Data_Daily!$C:$C, "E. 40-99"),"")</f>
        <v>4.639896373</v>
      </c>
      <c r="P41" s="16">
        <f>IFERROR(SUMPRODUCT((Raw_Data_Daily!$B$2:$B$9999="Variant")*(Raw_Data_Daily!$C$2:$C$9999="E. 40-99")*Raw_Data_Daily!$D$2:$D$9999*Raw_Data_Daily!$BB$2:$BB$9999)/SUMIFS(Raw_Data_Daily!$D:$D, Raw_Data_Daily!$B:$B, "Variant", Raw_Data_Daily!$C:$C, "E. 40-99"),"")</f>
        <v>4.484550755</v>
      </c>
      <c r="Q41" s="38">
        <f t="shared" si="35"/>
        <v>-0.03348040677</v>
      </c>
      <c r="R41" s="39">
        <f>IFERROR(SUMPRODUCT((Raw_Data_Daily!$B$2:$B$9999="Control")*(Raw_Data_Daily!$C$2:$C$9999="F. 100+")*Raw_Data_Daily!$D$2:$D$9999*Raw_Data_Daily!$BB$2:$BB$9999)/SUMIFS(Raw_Data_Daily!$D:$D, Raw_Data_Daily!$B:$B, "Control", Raw_Data_Daily!$C:$C, "F. 100+"),"")</f>
        <v>12.80180909</v>
      </c>
      <c r="S41" s="16">
        <f>IFERROR(SUMPRODUCT((Raw_Data_Daily!$B$2:$B$9999="Variant")*(Raw_Data_Daily!$C$2:$C$9999="F. 100+")*Raw_Data_Daily!$D$2:$D$9999*Raw_Data_Daily!$BB$2:$BB$9999)/SUMIFS(Raw_Data_Daily!$D:$D, Raw_Data_Daily!$B:$B, "Variant", Raw_Data_Daily!$C:$C, "F. 100+"),"")</f>
        <v>12.53548963</v>
      </c>
      <c r="T41" s="42">
        <f t="shared" si="36"/>
        <v>-0.0208032673</v>
      </c>
    </row>
    <row r="42" ht="15.75" customHeight="1">
      <c r="A42" s="27" t="s">
        <v>52</v>
      </c>
      <c r="B42" s="28"/>
      <c r="C42" s="29"/>
      <c r="D42" s="6"/>
      <c r="E42" s="30"/>
      <c r="F42" s="32"/>
      <c r="G42" s="6"/>
      <c r="H42" s="28"/>
      <c r="I42" s="29"/>
      <c r="J42" s="6"/>
      <c r="K42" s="30"/>
      <c r="L42" s="32"/>
      <c r="M42" s="6"/>
      <c r="N42" s="28"/>
      <c r="O42" s="29"/>
      <c r="P42" s="6"/>
      <c r="Q42" s="30"/>
      <c r="R42" s="32"/>
      <c r="S42" s="6"/>
      <c r="T42" s="28"/>
    </row>
    <row r="43" ht="15.75" customHeight="1">
      <c r="A43" s="8"/>
      <c r="B43" s="33" t="s">
        <v>53</v>
      </c>
      <c r="C43" s="37">
        <f>IFERROR(SUMPRODUCT((Raw_Data_Daily!$B$2:$B$9999="Control")*(Raw_Data_Daily!$C$2:$C$9999="A. 0")*Raw_Data_Daily!$D$2:$D$9999*Raw_Data_Daily!$Y$2:$Y$9999)/SUMIFS(Raw_Data_Daily!$D:$D, Raw_Data_Daily!$B:$B, "Control", Raw_Data_Daily!$C:$C, "A. 0"),"")</f>
        <v>201.6543141</v>
      </c>
      <c r="D43" s="16">
        <f>IFERROR(SUMPRODUCT((Raw_Data_Daily!$B$2:$B$9999="Variant")*(Raw_Data_Daily!$C$2:$C$9999="A. 0")*Raw_Data_Daily!$D$2:$D$9999*Raw_Data_Daily!$Y$2:$Y$9999)/SUMIFS(Raw_Data_Daily!$D:$D, Raw_Data_Daily!$B:$B, "Variant", Raw_Data_Daily!$C:$C, "A. 0"),"")</f>
        <v>199.0998489</v>
      </c>
      <c r="E43" s="38">
        <f t="shared" ref="E43:E46" si="37">IFERROR((D43-C43)/ABS(C43),"")</f>
        <v>-0.01266754579</v>
      </c>
      <c r="F43" s="39">
        <f>IFERROR(SUMPRODUCT((Raw_Data_Daily!$B$2:$B$9999="Control")*(Raw_Data_Daily!$C$2:$C$9999="B. 1-9")*Raw_Data_Daily!$D$2:$D$9999*Raw_Data_Daily!$Y$2:$Y$9999)/SUMIFS(Raw_Data_Daily!$D:$D, Raw_Data_Daily!$B:$B, "Control", Raw_Data_Daily!$C:$C, "B. 1-9"),"")</f>
        <v>201.6912225</v>
      </c>
      <c r="G43" s="16">
        <f>IFERROR(SUMPRODUCT((Raw_Data_Daily!$B$2:$B$9999="Variant")*(Raw_Data_Daily!$C$2:$C$9999="B. 1-9")*Raw_Data_Daily!$D$2:$D$9999*Raw_Data_Daily!$Y$2:$Y$9999)/SUMIFS(Raw_Data_Daily!$D:$D, Raw_Data_Daily!$B:$B, "Variant", Raw_Data_Daily!$C:$C, "B. 1-9"),"")</f>
        <v>199.9518019</v>
      </c>
      <c r="H43" s="42">
        <f t="shared" ref="H43:H46" si="38">IFERROR((G43-F43)/ABS(F43),"")</f>
        <v>-0.008624175602</v>
      </c>
      <c r="I43" s="37">
        <f>IFERROR(SUMPRODUCT((Raw_Data_Daily!$B$2:$B$9999="Control")*(Raw_Data_Daily!$C$2:$C$9999="C. 10-19")*Raw_Data_Daily!$D$2:$D$9999*Raw_Data_Daily!$Y$2:$Y$9999)/SUMIFS(Raw_Data_Daily!$D:$D, Raw_Data_Daily!$B:$B, "Control", Raw_Data_Daily!$C:$C, "C. 10-19"),"")</f>
        <v>241.8967749</v>
      </c>
      <c r="J43" s="16">
        <f>IFERROR(SUMPRODUCT((Raw_Data_Daily!$B$2:$B$9999="Variant")*(Raw_Data_Daily!$C$2:$C$9999="C. 10-19")*Raw_Data_Daily!$D$2:$D$9999*Raw_Data_Daily!$Y$2:$Y$9999)/SUMIFS(Raw_Data_Daily!$D:$D, Raw_Data_Daily!$B:$B, "Variant", Raw_Data_Daily!$C:$C, "C. 10-19"),"")</f>
        <v>220.6407271</v>
      </c>
      <c r="K43" s="38">
        <f t="shared" ref="K43:K46" si="39">IFERROR((J43-I43)/ABS(I43),"")</f>
        <v>-0.08787239014</v>
      </c>
      <c r="L43" s="39">
        <f>IFERROR(SUMPRODUCT((Raw_Data_Daily!$B$2:$B$9999="Control")*(Raw_Data_Daily!$C$2:$C$9999="D. 20-39")*Raw_Data_Daily!$D$2:$D$9999*Raw_Data_Daily!$Y$2:$Y$9999)/SUMIFS(Raw_Data_Daily!$D:$D, Raw_Data_Daily!$B:$B, "Control", Raw_Data_Daily!$C:$C, "D. 20-39"),"")</f>
        <v>285.9977839</v>
      </c>
      <c r="M43" s="16">
        <f>IFERROR(SUMPRODUCT((Raw_Data_Daily!$B$2:$B$9999="Variant")*(Raw_Data_Daily!$C$2:$C$9999="D. 20-39")*Raw_Data_Daily!$D$2:$D$9999*Raw_Data_Daily!$Y$2:$Y$9999)/SUMIFS(Raw_Data_Daily!$D:$D, Raw_Data_Daily!$B:$B, "Variant", Raw_Data_Daily!$C:$C, "D. 20-39"),"")</f>
        <v>253.6657532</v>
      </c>
      <c r="N43" s="42">
        <f t="shared" ref="N43:N46" si="40">IFERROR((M43-L43)/ABS(L43),"")</f>
        <v>-0.1130499345</v>
      </c>
      <c r="O43" s="37">
        <f>IFERROR(SUMPRODUCT((Raw_Data_Daily!$B$2:$B$9999="Control")*(Raw_Data_Daily!$C$2:$C$9999="E. 40-99")*Raw_Data_Daily!$D$2:$D$9999*Raw_Data_Daily!$Y$2:$Y$9999)/SUMIFS(Raw_Data_Daily!$D:$D, Raw_Data_Daily!$B:$B, "Control", Raw_Data_Daily!$C:$C, "E. 40-99"),"")</f>
        <v>355.3730266</v>
      </c>
      <c r="P43" s="16">
        <f>IFERROR(SUMPRODUCT((Raw_Data_Daily!$B$2:$B$9999="Variant")*(Raw_Data_Daily!$C$2:$C$9999="E. 40-99")*Raw_Data_Daily!$D$2:$D$9999*Raw_Data_Daily!$Y$2:$Y$9999)/SUMIFS(Raw_Data_Daily!$D:$D, Raw_Data_Daily!$B:$B, "Variant", Raw_Data_Daily!$C:$C, "E. 40-99"),"")</f>
        <v>314.2875167</v>
      </c>
      <c r="Q43" s="38">
        <f t="shared" ref="Q43:Q46" si="41">IFERROR((P43-O43)/ABS(O43),"")</f>
        <v>-0.1156123476</v>
      </c>
      <c r="R43" s="39">
        <f>IFERROR(SUMPRODUCT((Raw_Data_Daily!$B$2:$B$9999="Control")*(Raw_Data_Daily!$C$2:$C$9999="F. 100+")*Raw_Data_Daily!$D$2:$D$9999*Raw_Data_Daily!$Y$2:$Y$9999)/SUMIFS(Raw_Data_Daily!$D:$D, Raw_Data_Daily!$B:$B, "Control", Raw_Data_Daily!$C:$C, "F. 100+"),"")</f>
        <v>472.9969779</v>
      </c>
      <c r="S43" s="16">
        <f>IFERROR(SUMPRODUCT((Raw_Data_Daily!$B$2:$B$9999="Variant")*(Raw_Data_Daily!$C$2:$C$9999="F. 100+")*Raw_Data_Daily!$D$2:$D$9999*Raw_Data_Daily!$Y$2:$Y$9999)/SUMIFS(Raw_Data_Daily!$D:$D, Raw_Data_Daily!$B:$B, "Variant", Raw_Data_Daily!$C:$C, "F. 100+"),"")</f>
        <v>412.6991239</v>
      </c>
      <c r="T43" s="42">
        <f t="shared" ref="T43:T46" si="42">IFERROR((S43-R43)/ABS(R43),"")</f>
        <v>-0.1274804213</v>
      </c>
    </row>
    <row r="44" ht="15.75" customHeight="1">
      <c r="A44" s="8"/>
      <c r="B44" s="33" t="s">
        <v>54</v>
      </c>
      <c r="C44" s="37">
        <f>IFERROR(SUMPRODUCT((Raw_Data_Daily!$B$2:$B$9999="Control")*(Raw_Data_Daily!$C$2:$C$9999="A. 0")*Raw_Data_Daily!$D$2:$D$9999*Raw_Data_Daily!$Z$2:$Z$9999)/SUMIFS(Raw_Data_Daily!$D:$D, Raw_Data_Daily!$B:$B, "Control", Raw_Data_Daily!$C:$C, "A. 0"),"")</f>
        <v>497.9915544</v>
      </c>
      <c r="D44" s="16">
        <f>IFERROR(SUMPRODUCT((Raw_Data_Daily!$B$2:$B$9999="Variant")*(Raw_Data_Daily!$C$2:$C$9999="A. 0")*Raw_Data_Daily!$D$2:$D$9999*Raw_Data_Daily!$Z$2:$Z$9999)/SUMIFS(Raw_Data_Daily!$D:$D, Raw_Data_Daily!$B:$B, "Variant", Raw_Data_Daily!$C:$C, "A. 0"),"")</f>
        <v>418.599752</v>
      </c>
      <c r="E44" s="38">
        <f t="shared" si="37"/>
        <v>-0.1594239936</v>
      </c>
      <c r="F44" s="39">
        <f>IFERROR(SUMPRODUCT((Raw_Data_Daily!$B$2:$B$9999="Control")*(Raw_Data_Daily!$C$2:$C$9999="B. 1-9")*Raw_Data_Daily!$D$2:$D$9999*Raw_Data_Daily!$Z$2:$Z$9999)/SUMIFS(Raw_Data_Daily!$D:$D, Raw_Data_Daily!$B:$B, "Control", Raw_Data_Daily!$C:$C, "B. 1-9"),"")</f>
        <v>351.6611859</v>
      </c>
      <c r="G44" s="16">
        <f>IFERROR(SUMPRODUCT((Raw_Data_Daily!$B$2:$B$9999="Variant")*(Raw_Data_Daily!$C$2:$C$9999="B. 1-9")*Raw_Data_Daily!$D$2:$D$9999*Raw_Data_Daily!$Z$2:$Z$9999)/SUMIFS(Raw_Data_Daily!$D:$D, Raw_Data_Daily!$B:$B, "Variant", Raw_Data_Daily!$C:$C, "B. 1-9"),"")</f>
        <v>315.148189</v>
      </c>
      <c r="H44" s="42">
        <f t="shared" si="38"/>
        <v>-0.1038300452</v>
      </c>
      <c r="I44" s="37">
        <f>IFERROR(SUMPRODUCT((Raw_Data_Daily!$B$2:$B$9999="Control")*(Raw_Data_Daily!$C$2:$C$9999="C. 10-19")*Raw_Data_Daily!$D$2:$D$9999*Raw_Data_Daily!$Z$2:$Z$9999)/SUMIFS(Raw_Data_Daily!$D:$D, Raw_Data_Daily!$B:$B, "Control", Raw_Data_Daily!$C:$C, "C. 10-19"),"")</f>
        <v>425.9021241</v>
      </c>
      <c r="J44" s="16">
        <f>IFERROR(SUMPRODUCT((Raw_Data_Daily!$B$2:$B$9999="Variant")*(Raw_Data_Daily!$C$2:$C$9999="C. 10-19")*Raw_Data_Daily!$D$2:$D$9999*Raw_Data_Daily!$Z$2:$Z$9999)/SUMIFS(Raw_Data_Daily!$D:$D, Raw_Data_Daily!$B:$B, "Variant", Raw_Data_Daily!$C:$C, "C. 10-19"),"")</f>
        <v>366.9052254</v>
      </c>
      <c r="K44" s="38">
        <f t="shared" si="39"/>
        <v>-0.138522199</v>
      </c>
      <c r="L44" s="39">
        <f>IFERROR(SUMPRODUCT((Raw_Data_Daily!$B$2:$B$9999="Control")*(Raw_Data_Daily!$C$2:$C$9999="D. 20-39")*Raw_Data_Daily!$D$2:$D$9999*Raw_Data_Daily!$Z$2:$Z$9999)/SUMIFS(Raw_Data_Daily!$D:$D, Raw_Data_Daily!$B:$B, "Control", Raw_Data_Daily!$C:$C, "D. 20-39"),"")</f>
        <v>509.282</v>
      </c>
      <c r="M44" s="16">
        <f>IFERROR(SUMPRODUCT((Raw_Data_Daily!$B$2:$B$9999="Variant")*(Raw_Data_Daily!$C$2:$C$9999="D. 20-39")*Raw_Data_Daily!$D$2:$D$9999*Raw_Data_Daily!$Z$2:$Z$9999)/SUMIFS(Raw_Data_Daily!$D:$D, Raw_Data_Daily!$B:$B, "Variant", Raw_Data_Daily!$C:$C, "D. 20-39"),"")</f>
        <v>431.3037609</v>
      </c>
      <c r="N44" s="42">
        <f t="shared" si="40"/>
        <v>-0.1531140686</v>
      </c>
      <c r="O44" s="37">
        <f>IFERROR(SUMPRODUCT((Raw_Data_Daily!$B$2:$B$9999="Control")*(Raw_Data_Daily!$C$2:$C$9999="E. 40-99")*Raw_Data_Daily!$D$2:$D$9999*Raw_Data_Daily!$Z$2:$Z$9999)/SUMIFS(Raw_Data_Daily!$D:$D, Raw_Data_Daily!$B:$B, "Control", Raw_Data_Daily!$C:$C, "E. 40-99"),"")</f>
        <v>657.1909805</v>
      </c>
      <c r="P44" s="16">
        <f>IFERROR(SUMPRODUCT((Raw_Data_Daily!$B$2:$B$9999="Variant")*(Raw_Data_Daily!$C$2:$C$9999="E. 40-99")*Raw_Data_Daily!$D$2:$D$9999*Raw_Data_Daily!$Z$2:$Z$9999)/SUMIFS(Raw_Data_Daily!$D:$D, Raw_Data_Daily!$B:$B, "Variant", Raw_Data_Daily!$C:$C, "E. 40-99"),"")</f>
        <v>549.5814694</v>
      </c>
      <c r="Q44" s="38">
        <f t="shared" si="41"/>
        <v>-0.1637416128</v>
      </c>
      <c r="R44" s="39">
        <f>IFERROR(SUMPRODUCT((Raw_Data_Daily!$B$2:$B$9999="Control")*(Raw_Data_Daily!$C$2:$C$9999="F. 100+")*Raw_Data_Daily!$D$2:$D$9999*Raw_Data_Daily!$Z$2:$Z$9999)/SUMIFS(Raw_Data_Daily!$D:$D, Raw_Data_Daily!$B:$B, "Control", Raw_Data_Daily!$C:$C, "F. 100+"),"")</f>
        <v>898.2608378</v>
      </c>
      <c r="S44" s="16">
        <f>IFERROR(SUMPRODUCT((Raw_Data_Daily!$B$2:$B$9999="Variant")*(Raw_Data_Daily!$C$2:$C$9999="F. 100+")*Raw_Data_Daily!$D$2:$D$9999*Raw_Data_Daily!$Z$2:$Z$9999)/SUMIFS(Raw_Data_Daily!$D:$D, Raw_Data_Daily!$B:$B, "Variant", Raw_Data_Daily!$C:$C, "F. 100+"),"")</f>
        <v>750.5469668</v>
      </c>
      <c r="T44" s="42">
        <f t="shared" si="42"/>
        <v>-0.1644442959</v>
      </c>
    </row>
    <row r="45" ht="15.75" customHeight="1">
      <c r="A45" s="8"/>
      <c r="B45" s="33" t="s">
        <v>55</v>
      </c>
      <c r="C45" s="37">
        <f>IFERROR(SUMPRODUCT((Raw_Data_Daily!$B$2:$B$9999="Control")*(Raw_Data_Daily!$C$2:$C$9999="A. 0")*Raw_Data_Daily!$D$2:$D$9999*Raw_Data_Daily!$AA$2:$AA$9999)/SUMIFS(Raw_Data_Daily!$D:$D, Raw_Data_Daily!$B:$B, "Control", Raw_Data_Daily!$C:$C, "A. 0"),"")</f>
        <v>3481.460649</v>
      </c>
      <c r="D45" s="16">
        <f>IFERROR(SUMPRODUCT((Raw_Data_Daily!$B$2:$B$9999="Variant")*(Raw_Data_Daily!$C$2:$C$9999="A. 0")*Raw_Data_Daily!$D$2:$D$9999*Raw_Data_Daily!$AA$2:$AA$9999)/SUMIFS(Raw_Data_Daily!$D:$D, Raw_Data_Daily!$B:$B, "Variant", Raw_Data_Daily!$C:$C, "A. 0"),"")</f>
        <v>2863.911727</v>
      </c>
      <c r="E45" s="38">
        <f t="shared" si="37"/>
        <v>-0.1773821349</v>
      </c>
      <c r="F45" s="39">
        <f>IFERROR(SUMPRODUCT((Raw_Data_Daily!$B$2:$B$9999="Control")*(Raw_Data_Daily!$C$2:$C$9999="B. 1-9")*Raw_Data_Daily!$D$2:$D$9999*Raw_Data_Daily!$AA$2:$AA$9999)/SUMIFS(Raw_Data_Daily!$D:$D, Raw_Data_Daily!$B:$B, "Control", Raw_Data_Daily!$C:$C, "B. 1-9"),"")</f>
        <v>1255.753332</v>
      </c>
      <c r="G45" s="16">
        <f>IFERROR(SUMPRODUCT((Raw_Data_Daily!$B$2:$B$9999="Variant")*(Raw_Data_Daily!$C$2:$C$9999="B. 1-9")*Raw_Data_Daily!$D$2:$D$9999*Raw_Data_Daily!$AA$2:$AA$9999)/SUMIFS(Raw_Data_Daily!$D:$D, Raw_Data_Daily!$B:$B, "Variant", Raw_Data_Daily!$C:$C, "B. 1-9"),"")</f>
        <v>1136.542131</v>
      </c>
      <c r="H45" s="42">
        <f t="shared" si="38"/>
        <v>-0.09493202013</v>
      </c>
      <c r="I45" s="37">
        <f>IFERROR(SUMPRODUCT((Raw_Data_Daily!$B$2:$B$9999="Control")*(Raw_Data_Daily!$C$2:$C$9999="C. 10-19")*Raw_Data_Daily!$D$2:$D$9999*Raw_Data_Daily!$AA$2:$AA$9999)/SUMIFS(Raw_Data_Daily!$D:$D, Raw_Data_Daily!$B:$B, "Control", Raw_Data_Daily!$C:$C, "C. 10-19"),"")</f>
        <v>1291.040509</v>
      </c>
      <c r="J45" s="16">
        <f>IFERROR(SUMPRODUCT((Raw_Data_Daily!$B$2:$B$9999="Variant")*(Raw_Data_Daily!$C$2:$C$9999="C. 10-19")*Raw_Data_Daily!$D$2:$D$9999*Raw_Data_Daily!$AA$2:$AA$9999)/SUMIFS(Raw_Data_Daily!$D:$D, Raw_Data_Daily!$B:$B, "Variant", Raw_Data_Daily!$C:$C, "C. 10-19"),"")</f>
        <v>1049.24145</v>
      </c>
      <c r="K45" s="38">
        <f t="shared" si="39"/>
        <v>-0.1872900631</v>
      </c>
      <c r="L45" s="39">
        <f>IFERROR(SUMPRODUCT((Raw_Data_Daily!$B$2:$B$9999="Control")*(Raw_Data_Daily!$C$2:$C$9999="D. 20-39")*Raw_Data_Daily!$D$2:$D$9999*Raw_Data_Daily!$AA$2:$AA$9999)/SUMIFS(Raw_Data_Daily!$D:$D, Raw_Data_Daily!$B:$B, "Control", Raw_Data_Daily!$C:$C, "D. 20-39"),"")</f>
        <v>1220.560607</v>
      </c>
      <c r="M45" s="16">
        <f>IFERROR(SUMPRODUCT((Raw_Data_Daily!$B$2:$B$9999="Variant")*(Raw_Data_Daily!$C$2:$C$9999="D. 20-39")*Raw_Data_Daily!$D$2:$D$9999*Raw_Data_Daily!$AA$2:$AA$9999)/SUMIFS(Raw_Data_Daily!$D:$D, Raw_Data_Daily!$B:$B, "Variant", Raw_Data_Daily!$C:$C, "D. 20-39"),"")</f>
        <v>1042.19207</v>
      </c>
      <c r="N45" s="42">
        <f t="shared" si="40"/>
        <v>-0.1461365668</v>
      </c>
      <c r="O45" s="37">
        <f>IFERROR(SUMPRODUCT((Raw_Data_Daily!$B$2:$B$9999="Control")*(Raw_Data_Daily!$C$2:$C$9999="E. 40-99")*Raw_Data_Daily!$D$2:$D$9999*Raw_Data_Daily!$AA$2:$AA$9999)/SUMIFS(Raw_Data_Daily!$D:$D, Raw_Data_Daily!$B:$B, "Control", Raw_Data_Daily!$C:$C, "E. 40-99"),"")</f>
        <v>1544.65209</v>
      </c>
      <c r="P45" s="16">
        <f>IFERROR(SUMPRODUCT((Raw_Data_Daily!$B$2:$B$9999="Variant")*(Raw_Data_Daily!$C$2:$C$9999="E. 40-99")*Raw_Data_Daily!$D$2:$D$9999*Raw_Data_Daily!$AA$2:$AA$9999)/SUMIFS(Raw_Data_Daily!$D:$D, Raw_Data_Daily!$B:$B, "Variant", Raw_Data_Daily!$C:$C, "E. 40-99"),"")</f>
        <v>1245.808163</v>
      </c>
      <c r="Q45" s="38">
        <f t="shared" si="41"/>
        <v>-0.1934700565</v>
      </c>
      <c r="R45" s="39">
        <f>IFERROR(SUMPRODUCT((Raw_Data_Daily!$B$2:$B$9999="Control")*(Raw_Data_Daily!$C$2:$C$9999="F. 100+")*Raw_Data_Daily!$D$2:$D$9999*Raw_Data_Daily!$AA$2:$AA$9999)/SUMIFS(Raw_Data_Daily!$D:$D, Raw_Data_Daily!$B:$B, "Control", Raw_Data_Daily!$C:$C, "F. 100+"),"")</f>
        <v>1777.498228</v>
      </c>
      <c r="S45" s="16">
        <f>IFERROR(SUMPRODUCT((Raw_Data_Daily!$B$2:$B$9999="Variant")*(Raw_Data_Daily!$C$2:$C$9999="F. 100+")*Raw_Data_Daily!$D$2:$D$9999*Raw_Data_Daily!$AA$2:$AA$9999)/SUMIFS(Raw_Data_Daily!$D:$D, Raw_Data_Daily!$B:$B, "Variant", Raw_Data_Daily!$C:$C, "F. 100+"),"")</f>
        <v>1495.809027</v>
      </c>
      <c r="T45" s="42">
        <f t="shared" si="42"/>
        <v>-0.1584750952</v>
      </c>
    </row>
    <row r="46" ht="15.75" customHeight="1">
      <c r="A46" s="8"/>
      <c r="B46" s="135" t="s">
        <v>56</v>
      </c>
      <c r="C46" s="37">
        <f>IFERROR(SUMPRODUCT((Raw_Data_Daily!$B$2:$B$9999="Control")*(Raw_Data_Daily!$C$2:$C$9999="A. 0")*Raw_Data_Daily!$D$2:$D$9999*Raw_Data_Daily!$BD$2:$BD$9999)/SUMIFS(Raw_Data_Daily!$D:$D, Raw_Data_Daily!$B:$B, "Control", Raw_Data_Daily!$C:$C, "A. 0"),"")</f>
        <v>28566.28624</v>
      </c>
      <c r="D46" s="16">
        <f>IFERROR(SUMPRODUCT((Raw_Data_Daily!$B$2:$B$9999="Variant")*(Raw_Data_Daily!$C$2:$C$9999="A. 0")*Raw_Data_Daily!$D$2:$D$9999*Raw_Data_Daily!$BD$2:$BD$9999)/SUMIFS(Raw_Data_Daily!$D:$D, Raw_Data_Daily!$B:$B, "Variant", Raw_Data_Daily!$C:$C, "A. 0"),"")</f>
        <v>26453.84666</v>
      </c>
      <c r="E46" s="38">
        <f t="shared" si="37"/>
        <v>-0.07394869451</v>
      </c>
      <c r="F46" s="39">
        <f>IFERROR(SUMPRODUCT((Raw_Data_Daily!$B$2:$B$9999="Control")*(Raw_Data_Daily!$C$2:$C$9999="B. 1-9")*Raw_Data_Daily!$D$2:$D$9999*Raw_Data_Daily!$BD$2:$BD$9999)/SUMIFS(Raw_Data_Daily!$D:$D, Raw_Data_Daily!$B:$B, "Control", Raw_Data_Daily!$C:$C, "B. 1-9"),"")</f>
        <v>18991.03835</v>
      </c>
      <c r="G46" s="16">
        <f>IFERROR(SUMPRODUCT((Raw_Data_Daily!$B$2:$B$9999="Variant")*(Raw_Data_Daily!$C$2:$C$9999="B. 1-9")*Raw_Data_Daily!$D$2:$D$9999*Raw_Data_Daily!$BD$2:$BD$9999)/SUMIFS(Raw_Data_Daily!$D:$D, Raw_Data_Daily!$B:$B, "Variant", Raw_Data_Daily!$C:$C, "B. 1-9"),"")</f>
        <v>17674.10355</v>
      </c>
      <c r="H46" s="42">
        <f t="shared" si="38"/>
        <v>-0.06934506555</v>
      </c>
      <c r="I46" s="37">
        <f>IFERROR(SUMPRODUCT((Raw_Data_Daily!$B$2:$B$9999="Control")*(Raw_Data_Daily!$C$2:$C$9999="C. 10-19")*Raw_Data_Daily!$D$2:$D$9999*Raw_Data_Daily!$BD$2:$BD$9999)/SUMIFS(Raw_Data_Daily!$D:$D, Raw_Data_Daily!$B:$B, "Control", Raw_Data_Daily!$C:$C, "C. 10-19"),"")</f>
        <v>19747.41831</v>
      </c>
      <c r="J46" s="16">
        <f>IFERROR(SUMPRODUCT((Raw_Data_Daily!$B$2:$B$9999="Variant")*(Raw_Data_Daily!$C$2:$C$9999="C. 10-19")*Raw_Data_Daily!$D$2:$D$9999*Raw_Data_Daily!$BD$2:$BD$9999)/SUMIFS(Raw_Data_Daily!$D:$D, Raw_Data_Daily!$B:$B, "Variant", Raw_Data_Daily!$C:$C, "C. 10-19"),"")</f>
        <v>17755.92019</v>
      </c>
      <c r="K46" s="38">
        <f t="shared" si="39"/>
        <v>-0.1008485305</v>
      </c>
      <c r="L46" s="39">
        <f>IFERROR(SUMPRODUCT((Raw_Data_Daily!$B$2:$B$9999="Control")*(Raw_Data_Daily!$C$2:$C$9999="D. 20-39")*Raw_Data_Daily!$D$2:$D$9999*Raw_Data_Daily!$BD$2:$BD$9999)/SUMIFS(Raw_Data_Daily!$D:$D, Raw_Data_Daily!$B:$B, "Control", Raw_Data_Daily!$C:$C, "D. 20-39"),"")</f>
        <v>17159.43547</v>
      </c>
      <c r="M46" s="16">
        <f>IFERROR(SUMPRODUCT((Raw_Data_Daily!$B$2:$B$9999="Variant")*(Raw_Data_Daily!$C$2:$C$9999="D. 20-39")*Raw_Data_Daily!$D$2:$D$9999*Raw_Data_Daily!$BD$2:$BD$9999)/SUMIFS(Raw_Data_Daily!$D:$D, Raw_Data_Daily!$B:$B, "Variant", Raw_Data_Daily!$C:$C, "D. 20-39"),"")</f>
        <v>15187.47792</v>
      </c>
      <c r="N46" s="42">
        <f t="shared" si="40"/>
        <v>-0.1149197215</v>
      </c>
      <c r="O46" s="37">
        <f>IFERROR(SUMPRODUCT((Raw_Data_Daily!$B$2:$B$9999="Control")*(Raw_Data_Daily!$C$2:$C$9999="E. 40-99")*Raw_Data_Daily!$D$2:$D$9999*Raw_Data_Daily!$BD$2:$BD$9999)/SUMIFS(Raw_Data_Daily!$D:$D, Raw_Data_Daily!$B:$B, "Control", Raw_Data_Daily!$C:$C, "E. 40-99"),"")</f>
        <v>15181.72408</v>
      </c>
      <c r="P46" s="16">
        <f>IFERROR(SUMPRODUCT((Raw_Data_Daily!$B$2:$B$9999="Variant")*(Raw_Data_Daily!$C$2:$C$9999="E. 40-99")*Raw_Data_Daily!$D$2:$D$9999*Raw_Data_Daily!$BD$2:$BD$9999)/SUMIFS(Raw_Data_Daily!$D:$D, Raw_Data_Daily!$B:$B, "Variant", Raw_Data_Daily!$C:$C, "E. 40-99"),"")</f>
        <v>14360.92911</v>
      </c>
      <c r="Q46" s="38">
        <f t="shared" si="41"/>
        <v>-0.05406467467</v>
      </c>
      <c r="R46" s="39">
        <f>IFERROR(SUMPRODUCT((Raw_Data_Daily!$B$2:$B$9999="Control")*(Raw_Data_Daily!$C$2:$C$9999="F. 100+")*Raw_Data_Daily!$D$2:$D$9999*Raw_Data_Daily!$BD$2:$BD$9999)/SUMIFS(Raw_Data_Daily!$D:$D, Raw_Data_Daily!$B:$B, "Control", Raw_Data_Daily!$C:$C, "F. 100+"),"")</f>
        <v>14338.22343</v>
      </c>
      <c r="S46" s="16">
        <f>IFERROR(SUMPRODUCT((Raw_Data_Daily!$B$2:$B$9999="Variant")*(Raw_Data_Daily!$C$2:$C$9999="F. 100+")*Raw_Data_Daily!$D$2:$D$9999*Raw_Data_Daily!$BD$2:$BD$9999)/SUMIFS(Raw_Data_Daily!$D:$D, Raw_Data_Daily!$B:$B, "Variant", Raw_Data_Daily!$C:$C, "F. 100+"),"")</f>
        <v>11896.04979</v>
      </c>
      <c r="T46" s="42">
        <f t="shared" si="42"/>
        <v>-0.1703260968</v>
      </c>
    </row>
    <row r="47" ht="15.75" customHeight="1">
      <c r="A47" s="27" t="s">
        <v>71</v>
      </c>
      <c r="B47" s="28"/>
      <c r="C47" s="29"/>
      <c r="D47" s="6"/>
      <c r="E47" s="30"/>
      <c r="F47" s="32"/>
      <c r="G47" s="6"/>
      <c r="H47" s="28"/>
      <c r="I47" s="29"/>
      <c r="J47" s="6"/>
      <c r="K47" s="30"/>
      <c r="L47" s="32"/>
      <c r="M47" s="6"/>
      <c r="N47" s="28"/>
      <c r="O47" s="29"/>
      <c r="P47" s="6"/>
      <c r="Q47" s="30"/>
      <c r="R47" s="32"/>
      <c r="S47" s="6"/>
      <c r="T47" s="28"/>
    </row>
    <row r="48" ht="15.75" customHeight="1">
      <c r="A48" s="8"/>
      <c r="B48" s="158" t="s">
        <v>72</v>
      </c>
      <c r="C48" s="145">
        <f>IFERROR(SUMPRODUCT((Raw_Data_Daily!$B$2:$B$9999="Control")*(Raw_Data_Daily!$C$2:$C$9999="A. 0")*Raw_Data_Daily!$D$2:$D$9999*Raw_Data_Daily!$AQ$2:$AQ$9999)/SUMIFS(Raw_Data_Daily!$D:$D, Raw_Data_Daily!$B:$B, "Control", Raw_Data_Daily!$C:$C, "A. 0"),"")</f>
        <v>1.577049608</v>
      </c>
      <c r="D48" s="48">
        <f>IFERROR(SUMPRODUCT((Raw_Data_Daily!$B$2:$B$9999="Variant")*(Raw_Data_Daily!$C$2:$C$9999="A. 0")*Raw_Data_Daily!$D$2:$D$9999*Raw_Data_Daily!$AQ$2:$AQ$9999)/SUMIFS(Raw_Data_Daily!$D:$D, Raw_Data_Daily!$B:$B, "Variant", Raw_Data_Daily!$C:$C, "A. 0"),"")</f>
        <v>2.306662254</v>
      </c>
      <c r="E48" s="46">
        <f t="shared" ref="E48:E53" si="43">IFERROR((D48-C48)/ABS(C48),"")</f>
        <v>0.4626440679</v>
      </c>
      <c r="F48" s="146">
        <f>IFERROR(SUMPRODUCT((Raw_Data_Daily!$B$2:$B$9999="Control")*(Raw_Data_Daily!$C$2:$C$9999="B. 1-9")*Raw_Data_Daily!$D$2:$D$9999*Raw_Data_Daily!$AQ$2:$AQ$9999)/SUMIFS(Raw_Data_Daily!$D:$D, Raw_Data_Daily!$B:$B, "Control", Raw_Data_Daily!$C:$C, "B. 1-9"),"")</f>
        <v>2.706658485</v>
      </c>
      <c r="G48" s="48">
        <f>IFERROR(SUMPRODUCT((Raw_Data_Daily!$B$2:$B$9999="Variant")*(Raw_Data_Daily!$C$2:$C$9999="B. 1-9")*Raw_Data_Daily!$D$2:$D$9999*Raw_Data_Daily!$AQ$2:$AQ$9999)/SUMIFS(Raw_Data_Daily!$D:$D, Raw_Data_Daily!$B:$B, "Variant", Raw_Data_Daily!$C:$C, "B. 1-9"),"")</f>
        <v>2.950977786</v>
      </c>
      <c r="H48" s="54">
        <f t="shared" ref="H48:H53" si="44">IFERROR((G48-F48)/ABS(F48),"")</f>
        <v>0.09026602411</v>
      </c>
      <c r="I48" s="145">
        <f>IFERROR(SUMPRODUCT((Raw_Data_Daily!$B$2:$B$9999="Control")*(Raw_Data_Daily!$C$2:$C$9999="C. 10-19")*Raw_Data_Daily!$D$2:$D$9999*Raw_Data_Daily!$AQ$2:$AQ$9999)/SUMIFS(Raw_Data_Daily!$D:$D, Raw_Data_Daily!$B:$B, "Control", Raw_Data_Daily!$C:$C, "C. 10-19"),"")</f>
        <v>5.702384262</v>
      </c>
      <c r="J48" s="48">
        <f>IFERROR(SUMPRODUCT((Raw_Data_Daily!$B$2:$B$9999="Variant")*(Raw_Data_Daily!$C$2:$C$9999="C. 10-19")*Raw_Data_Daily!$D$2:$D$9999*Raw_Data_Daily!$AQ$2:$AQ$9999)/SUMIFS(Raw_Data_Daily!$D:$D, Raw_Data_Daily!$B:$B, "Variant", Raw_Data_Daily!$C:$C, "C. 10-19"),"")</f>
        <v>5.762695089</v>
      </c>
      <c r="K48" s="51">
        <f t="shared" ref="K48:K53" si="45">IFERROR((J48-I48)/ABS(I48),"")</f>
        <v>0.01057642278</v>
      </c>
      <c r="L48" s="146">
        <f>IFERROR(SUMPRODUCT((Raw_Data_Daily!$B$2:$B$9999="Control")*(Raw_Data_Daily!$C$2:$C$9999="D. 20-39")*Raw_Data_Daily!$D$2:$D$9999*Raw_Data_Daily!$AQ$2:$AQ$9999)/SUMIFS(Raw_Data_Daily!$D:$D, Raw_Data_Daily!$B:$B, "Control", Raw_Data_Daily!$C:$C, "D. 20-39"),"")</f>
        <v>9.277318314</v>
      </c>
      <c r="M48" s="48">
        <f>IFERROR(SUMPRODUCT((Raw_Data_Daily!$B$2:$B$9999="Variant")*(Raw_Data_Daily!$C$2:$C$9999="D. 20-39")*Raw_Data_Daily!$D$2:$D$9999*Raw_Data_Daily!$AQ$2:$AQ$9999)/SUMIFS(Raw_Data_Daily!$D:$D, Raw_Data_Daily!$B:$B, "Variant", Raw_Data_Daily!$C:$C, "D. 20-39"),"")</f>
        <v>8.653409837</v>
      </c>
      <c r="N48" s="54">
        <f t="shared" ref="N48:N53" si="46">IFERROR((M48-L48)/ABS(L48),"")</f>
        <v>-0.06725095073</v>
      </c>
      <c r="O48" s="145">
        <f>IFERROR(SUMPRODUCT((Raw_Data_Daily!$B$2:$B$9999="Control")*(Raw_Data_Daily!$C$2:$C$9999="E. 40-99")*Raw_Data_Daily!$D$2:$D$9999*Raw_Data_Daily!$AQ$2:$AQ$9999)/SUMIFS(Raw_Data_Daily!$D:$D, Raw_Data_Daily!$B:$B, "Control", Raw_Data_Daily!$C:$C, "E. 40-99"),"")</f>
        <v>16.34493706</v>
      </c>
      <c r="P48" s="48">
        <f>IFERROR(SUMPRODUCT((Raw_Data_Daily!$B$2:$B$9999="Variant")*(Raw_Data_Daily!$C$2:$C$9999="E. 40-99")*Raw_Data_Daily!$D$2:$D$9999*Raw_Data_Daily!$AQ$2:$AQ$9999)/SUMIFS(Raw_Data_Daily!$D:$D, Raw_Data_Daily!$B:$B, "Variant", Raw_Data_Daily!$C:$C, "E. 40-99"),"")</f>
        <v>13.96317436</v>
      </c>
      <c r="Q48" s="51">
        <f t="shared" ref="Q48:Q53" si="47">IFERROR((P48-O48)/ABS(O48),"")</f>
        <v>-0.1457186828</v>
      </c>
      <c r="R48" s="146">
        <f>IFERROR(SUMPRODUCT((Raw_Data_Daily!$B$2:$B$9999="Control")*(Raw_Data_Daily!$C$2:$C$9999="F. 100+")*Raw_Data_Daily!$D$2:$D$9999*Raw_Data_Daily!$AQ$2:$AQ$9999)/SUMIFS(Raw_Data_Daily!$D:$D, Raw_Data_Daily!$B:$B, "Control", Raw_Data_Daily!$C:$C, "F. 100+"),"")</f>
        <v>34.44736903</v>
      </c>
      <c r="S48" s="149">
        <f>IFERROR(SUMPRODUCT((Raw_Data_Daily!$B$2:$B$9999="Variant")*(Raw_Data_Daily!$C$2:$C$9999="F. 100+")*Raw_Data_Daily!$D$2:$D$9999*Raw_Data_Daily!$AQ$2:$AQ$9999)/SUMIFS(Raw_Data_Daily!$D:$D, Raw_Data_Daily!$B:$B, "Variant", Raw_Data_Daily!$C:$C, "F. 100+"),"")</f>
        <v>31.10746115</v>
      </c>
      <c r="T48" s="169">
        <f t="shared" ref="T48:T53" si="48">IFERROR((S48-R48)/ABS(R48),"")</f>
        <v>-0.09695683507</v>
      </c>
    </row>
    <row r="49" ht="15.75" customHeight="1">
      <c r="A49" s="8"/>
      <c r="B49" s="158" t="s">
        <v>73</v>
      </c>
      <c r="C49" s="145">
        <f>IFERROR(SUMPRODUCT((Raw_Data_Daily!$B$2:$B$9999="Control")*(Raw_Data_Daily!$C$2:$C$9999="A. 0")*Raw_Data_Daily!$D$2:$D$9999*Raw_Data_Daily!$AR$2:$AR$9999)/SUMIFS(Raw_Data_Daily!$D:$D, Raw_Data_Daily!$B:$B, "Control", Raw_Data_Daily!$C:$C, "A. 0"),"")</f>
        <v>0.06807223356</v>
      </c>
      <c r="D49" s="48">
        <f>IFERROR(SUMPRODUCT((Raw_Data_Daily!$B$2:$B$9999="Variant")*(Raw_Data_Daily!$C$2:$C$9999="A. 0")*Raw_Data_Daily!$D$2:$D$9999*Raw_Data_Daily!$AR$2:$AR$9999)/SUMIFS(Raw_Data_Daily!$D:$D, Raw_Data_Daily!$B:$B, "Variant", Raw_Data_Daily!$C:$C, "A. 0"),"")</f>
        <v>0.06433538785</v>
      </c>
      <c r="E49" s="46">
        <f t="shared" si="43"/>
        <v>-0.05489530042</v>
      </c>
      <c r="F49" s="146">
        <f>IFERROR(SUMPRODUCT((Raw_Data_Daily!$B$2:$B$9999="Control")*(Raw_Data_Daily!$C$2:$C$9999="B. 1-9")*Raw_Data_Daily!$D$2:$D$9999*Raw_Data_Daily!$AR$2:$AR$9999)/SUMIFS(Raw_Data_Daily!$D:$D, Raw_Data_Daily!$B:$B, "Control", Raw_Data_Daily!$C:$C, "B. 1-9"),"")</f>
        <v>0.04016500149</v>
      </c>
      <c r="G49" s="48">
        <f>IFERROR(SUMPRODUCT((Raw_Data_Daily!$B$2:$B$9999="Variant")*(Raw_Data_Daily!$C$2:$C$9999="B. 1-9")*Raw_Data_Daily!$D$2:$D$9999*Raw_Data_Daily!$AR$2:$AR$9999)/SUMIFS(Raw_Data_Daily!$D:$D, Raw_Data_Daily!$B:$B, "Variant", Raw_Data_Daily!$C:$C, "B. 1-9"),"")</f>
        <v>0.0389233678</v>
      </c>
      <c r="H49" s="54">
        <f t="shared" si="44"/>
        <v>-0.03091332372</v>
      </c>
      <c r="I49" s="145">
        <f>IFERROR(SUMPRODUCT((Raw_Data_Daily!$B$2:$B$9999="Control")*(Raw_Data_Daily!$C$2:$C$9999="C. 10-19")*Raw_Data_Daily!$D$2:$D$9999*Raw_Data_Daily!$AR$2:$AR$9999)/SUMIFS(Raw_Data_Daily!$D:$D, Raw_Data_Daily!$B:$B, "Control", Raw_Data_Daily!$C:$C, "C. 10-19"),"")</f>
        <v>0.108692946</v>
      </c>
      <c r="J49" s="48">
        <f>IFERROR(SUMPRODUCT((Raw_Data_Daily!$B$2:$B$9999="Variant")*(Raw_Data_Daily!$C$2:$C$9999="C. 10-19")*Raw_Data_Daily!$D$2:$D$9999*Raw_Data_Daily!$AR$2:$AR$9999)/SUMIFS(Raw_Data_Daily!$D:$D, Raw_Data_Daily!$B:$B, "Variant", Raw_Data_Daily!$C:$C, "C. 10-19"),"")</f>
        <v>0.1097913687</v>
      </c>
      <c r="K49" s="51">
        <f t="shared" si="45"/>
        <v>0.01010574016</v>
      </c>
      <c r="L49" s="146">
        <f>IFERROR(SUMPRODUCT((Raw_Data_Daily!$B$2:$B$9999="Control")*(Raw_Data_Daily!$C$2:$C$9999="D. 20-39")*Raw_Data_Daily!$D$2:$D$9999*Raw_Data_Daily!$AR$2:$AR$9999)/SUMIFS(Raw_Data_Daily!$D:$D, Raw_Data_Daily!$B:$B, "Control", Raw_Data_Daily!$C:$C, "D. 20-39"),"")</f>
        <v>0.2057746433</v>
      </c>
      <c r="M49" s="48">
        <f>IFERROR(SUMPRODUCT((Raw_Data_Daily!$B$2:$B$9999="Variant")*(Raw_Data_Daily!$C$2:$C$9999="D. 20-39")*Raw_Data_Daily!$D$2:$D$9999*Raw_Data_Daily!$AR$2:$AR$9999)/SUMIFS(Raw_Data_Daily!$D:$D, Raw_Data_Daily!$B:$B, "Variant", Raw_Data_Daily!$C:$C, "D. 20-39"),"")</f>
        <v>0.1814058299</v>
      </c>
      <c r="N49" s="54">
        <f t="shared" si="46"/>
        <v>-0.1184247632</v>
      </c>
      <c r="O49" s="145">
        <f>IFERROR(SUMPRODUCT((Raw_Data_Daily!$B$2:$B$9999="Control")*(Raw_Data_Daily!$C$2:$C$9999="E. 40-99")*Raw_Data_Daily!$D$2:$D$9999*Raw_Data_Daily!$AR$2:$AR$9999)/SUMIFS(Raw_Data_Daily!$D:$D, Raw_Data_Daily!$B:$B, "Control", Raw_Data_Daily!$C:$C, "E. 40-99"),"")</f>
        <v>0.4077369866</v>
      </c>
      <c r="P49" s="48">
        <f>IFERROR(SUMPRODUCT((Raw_Data_Daily!$B$2:$B$9999="Variant")*(Raw_Data_Daily!$C$2:$C$9999="E. 40-99")*Raw_Data_Daily!$D$2:$D$9999*Raw_Data_Daily!$AR$2:$AR$9999)/SUMIFS(Raw_Data_Daily!$D:$D, Raw_Data_Daily!$B:$B, "Variant", Raw_Data_Daily!$C:$C, "E. 40-99"),"")</f>
        <v>0.3412604505</v>
      </c>
      <c r="Q49" s="51">
        <f t="shared" si="47"/>
        <v>-0.1630377873</v>
      </c>
      <c r="R49" s="146">
        <f>IFERROR(SUMPRODUCT((Raw_Data_Daily!$B$2:$B$9999="Control")*(Raw_Data_Daily!$C$2:$C$9999="F. 100+")*Raw_Data_Daily!$D$2:$D$9999*Raw_Data_Daily!$AR$2:$AR$9999)/SUMIFS(Raw_Data_Daily!$D:$D, Raw_Data_Daily!$B:$B, "Control", Raw_Data_Daily!$C:$C, "F. 100+"),"")</f>
        <v>0.8189897145</v>
      </c>
      <c r="S49" s="149">
        <f>IFERROR(SUMPRODUCT((Raw_Data_Daily!$B$2:$B$9999="Variant")*(Raw_Data_Daily!$C$2:$C$9999="F. 100+")*Raw_Data_Daily!$D$2:$D$9999*Raw_Data_Daily!$AR$2:$AR$9999)/SUMIFS(Raw_Data_Daily!$D:$D, Raw_Data_Daily!$B:$B, "Variant", Raw_Data_Daily!$C:$C, "F. 100+"),"")</f>
        <v>0.4959560053</v>
      </c>
      <c r="T49" s="169">
        <f t="shared" si="48"/>
        <v>-0.3944295068</v>
      </c>
    </row>
    <row r="50" ht="15.75" customHeight="1">
      <c r="A50" s="8"/>
      <c r="B50" s="158" t="s">
        <v>74</v>
      </c>
      <c r="C50" s="145">
        <f>IFERROR(SUMPRODUCT((Raw_Data_Daily!$B$2:$B$9999="Control")*(Raw_Data_Daily!$C$2:$C$9999="A. 0")*Raw_Data_Daily!$D$2:$D$9999*Raw_Data_Daily!$AS$2:$AS$9999)/SUMIFS(Raw_Data_Daily!$D:$D, Raw_Data_Daily!$B:$B, "Control", Raw_Data_Daily!$C:$C, "A. 0"),"")</f>
        <v>1.508982136</v>
      </c>
      <c r="D50" s="48">
        <f>IFERROR(SUMPRODUCT((Raw_Data_Daily!$B$2:$B$9999="Variant")*(Raw_Data_Daily!$C$2:$C$9999="A. 0")*Raw_Data_Daily!$D$2:$D$9999*Raw_Data_Daily!$AS$2:$AS$9999)/SUMIFS(Raw_Data_Daily!$D:$D, Raw_Data_Daily!$B:$B, "Variant", Raw_Data_Daily!$C:$C, "A. 0"),"")</f>
        <v>2.242322142</v>
      </c>
      <c r="E50" s="46">
        <f t="shared" si="43"/>
        <v>0.4859832254</v>
      </c>
      <c r="F50" s="146">
        <f>IFERROR(SUMPRODUCT((Raw_Data_Daily!$B$2:$B$9999="Control")*(Raw_Data_Daily!$C$2:$C$9999="B. 1-9")*Raw_Data_Daily!$D$2:$D$9999*Raw_Data_Daily!$AS$2:$AS$9999)/SUMIFS(Raw_Data_Daily!$D:$D, Raw_Data_Daily!$B:$B, "Control", Raw_Data_Daily!$C:$C, "B. 1-9"),"")</f>
        <v>2.666488799</v>
      </c>
      <c r="G50" s="48">
        <f>IFERROR(SUMPRODUCT((Raw_Data_Daily!$B$2:$B$9999="Variant")*(Raw_Data_Daily!$C$2:$C$9999="B. 1-9")*Raw_Data_Daily!$D$2:$D$9999*Raw_Data_Daily!$AS$2:$AS$9999)/SUMIFS(Raw_Data_Daily!$D:$D, Raw_Data_Daily!$B:$B, "Variant", Raw_Data_Daily!$C:$C, "B. 1-9"),"")</f>
        <v>2.912050063</v>
      </c>
      <c r="H50" s="54">
        <f t="shared" si="44"/>
        <v>0.09209161654</v>
      </c>
      <c r="I50" s="145">
        <f>IFERROR(SUMPRODUCT((Raw_Data_Daily!$B$2:$B$9999="Control")*(Raw_Data_Daily!$C$2:$C$9999="C. 10-19")*Raw_Data_Daily!$D$2:$D$9999*Raw_Data_Daily!$AS$2:$AS$9999)/SUMIFS(Raw_Data_Daily!$D:$D, Raw_Data_Daily!$B:$B, "Control", Raw_Data_Daily!$C:$C, "C. 10-19"),"")</f>
        <v>5.593667483</v>
      </c>
      <c r="J50" s="48">
        <f>IFERROR(SUMPRODUCT((Raw_Data_Daily!$B$2:$B$9999="Variant")*(Raw_Data_Daily!$C$2:$C$9999="C. 10-19")*Raw_Data_Daily!$D$2:$D$9999*Raw_Data_Daily!$AS$2:$AS$9999)/SUMIFS(Raw_Data_Daily!$D:$D, Raw_Data_Daily!$B:$B, "Variant", Raw_Data_Daily!$C:$C, "C. 10-19"),"")</f>
        <v>5.652913258</v>
      </c>
      <c r="K50" s="51">
        <f t="shared" si="45"/>
        <v>0.01059157966</v>
      </c>
      <c r="L50" s="146">
        <f>IFERROR(SUMPRODUCT((Raw_Data_Daily!$B$2:$B$9999="Control")*(Raw_Data_Daily!$C$2:$C$9999="D. 20-39")*Raw_Data_Daily!$D$2:$D$9999*Raw_Data_Daily!$AS$2:$AS$9999)/SUMIFS(Raw_Data_Daily!$D:$D, Raw_Data_Daily!$B:$B, "Control", Raw_Data_Daily!$C:$C, "D. 20-39"),"")</f>
        <v>9.071553385</v>
      </c>
      <c r="M50" s="48">
        <f>IFERROR(SUMPRODUCT((Raw_Data_Daily!$B$2:$B$9999="Variant")*(Raw_Data_Daily!$C$2:$C$9999="D. 20-39")*Raw_Data_Daily!$D$2:$D$9999*Raw_Data_Daily!$AS$2:$AS$9999)/SUMIFS(Raw_Data_Daily!$D:$D, Raw_Data_Daily!$B:$B, "Variant", Raw_Data_Daily!$C:$C, "D. 20-39"),"")</f>
        <v>8.471981355</v>
      </c>
      <c r="N50" s="54">
        <f t="shared" si="46"/>
        <v>-0.06609364509</v>
      </c>
      <c r="O50" s="145">
        <f>IFERROR(SUMPRODUCT((Raw_Data_Daily!$B$2:$B$9999="Control")*(Raw_Data_Daily!$C$2:$C$9999="E. 40-99")*Raw_Data_Daily!$D$2:$D$9999*Raw_Data_Daily!$AS$2:$AS$9999)/SUMIFS(Raw_Data_Daily!$D:$D, Raw_Data_Daily!$B:$B, "Control", Raw_Data_Daily!$C:$C, "E. 40-99"),"")</f>
        <v>15.93722011</v>
      </c>
      <c r="P50" s="48">
        <f>IFERROR(SUMPRODUCT((Raw_Data_Daily!$B$2:$B$9999="Variant")*(Raw_Data_Daily!$C$2:$C$9999="E. 40-99")*Raw_Data_Daily!$D$2:$D$9999*Raw_Data_Daily!$AS$2:$AS$9999)/SUMIFS(Raw_Data_Daily!$D:$D, Raw_Data_Daily!$B:$B, "Variant", Raw_Data_Daily!$C:$C, "E. 40-99"),"")</f>
        <v>13.62192273</v>
      </c>
      <c r="Q50" s="51">
        <f t="shared" si="47"/>
        <v>-0.1452761122</v>
      </c>
      <c r="R50" s="146">
        <f>IFERROR(SUMPRODUCT((Raw_Data_Daily!$B$2:$B$9999="Control")*(Raw_Data_Daily!$C$2:$C$9999="F. 100+")*Raw_Data_Daily!$D$2:$D$9999*Raw_Data_Daily!$AS$2:$AS$9999)/SUMIFS(Raw_Data_Daily!$D:$D, Raw_Data_Daily!$B:$B, "Control", Raw_Data_Daily!$C:$C, "F. 100+"),"")</f>
        <v>33.62839234</v>
      </c>
      <c r="S50" s="149">
        <f>IFERROR(SUMPRODUCT((Raw_Data_Daily!$B$2:$B$9999="Variant")*(Raw_Data_Daily!$C$2:$C$9999="F. 100+")*Raw_Data_Daily!$D$2:$D$9999*Raw_Data_Daily!$AS$2:$AS$9999)/SUMIFS(Raw_Data_Daily!$D:$D, Raw_Data_Daily!$B:$B, "Variant", Raw_Data_Daily!$C:$C, "F. 100+"),"")</f>
        <v>30.61151603</v>
      </c>
      <c r="T50" s="169">
        <f t="shared" si="48"/>
        <v>-0.08971217787</v>
      </c>
    </row>
    <row r="51" ht="15.75" customHeight="1">
      <c r="A51" s="8"/>
      <c r="B51" s="158" t="s">
        <v>75</v>
      </c>
      <c r="C51" s="145">
        <f>IFERROR(SUMPRODUCT((Raw_Data_Daily!$B$2:$B$9999="Control")*(Raw_Data_Daily!$C$2:$C$9999="A. 0")*Raw_Data_Daily!$D$2:$D$9999*Raw_Data_Daily!$AT$2:$AT$9999)/SUMIFS(Raw_Data_Daily!$D:$D, Raw_Data_Daily!$B:$B, "Control", Raw_Data_Daily!$C:$C, "A. 0"),"")</f>
        <v>1.167452854</v>
      </c>
      <c r="D51" s="48">
        <f>IFERROR(SUMPRODUCT((Raw_Data_Daily!$B$2:$B$9999="Variant")*(Raw_Data_Daily!$C$2:$C$9999="A. 0")*Raw_Data_Daily!$D$2:$D$9999*Raw_Data_Daily!$AT$2:$AT$9999)/SUMIFS(Raw_Data_Daily!$D:$D, Raw_Data_Daily!$B:$B, "Variant", Raw_Data_Daily!$C:$C, "A. 0"),"")</f>
        <v>1.470068451</v>
      </c>
      <c r="E51" s="46">
        <f t="shared" si="43"/>
        <v>0.2592101218</v>
      </c>
      <c r="F51" s="146">
        <f>IFERROR(SUMPRODUCT((Raw_Data_Daily!$B$2:$B$9999="Control")*(Raw_Data_Daily!$C$2:$C$9999="B. 1-9")*Raw_Data_Daily!$D$2:$D$9999*Raw_Data_Daily!$AT$2:$AT$9999)/SUMIFS(Raw_Data_Daily!$D:$D, Raw_Data_Daily!$B:$B, "Control", Raw_Data_Daily!$C:$C, "B. 1-9"),"")</f>
        <v>2.324311117</v>
      </c>
      <c r="G51" s="48">
        <f>IFERROR(SUMPRODUCT((Raw_Data_Daily!$B$2:$B$9999="Variant")*(Raw_Data_Daily!$C$2:$C$9999="B. 1-9")*Raw_Data_Daily!$D$2:$D$9999*Raw_Data_Daily!$AT$2:$AT$9999)/SUMIFS(Raw_Data_Daily!$D:$D, Raw_Data_Daily!$B:$B, "Variant", Raw_Data_Daily!$C:$C, "B. 1-9"),"")</f>
        <v>2.414225514</v>
      </c>
      <c r="H51" s="54">
        <f t="shared" si="44"/>
        <v>0.03868432072</v>
      </c>
      <c r="I51" s="145">
        <f>IFERROR(SUMPRODUCT((Raw_Data_Daily!$B$2:$B$9999="Control")*(Raw_Data_Daily!$C$2:$C$9999="C. 10-19")*Raw_Data_Daily!$D$2:$D$9999*Raw_Data_Daily!$AT$2:$AT$9999)/SUMIFS(Raw_Data_Daily!$D:$D, Raw_Data_Daily!$B:$B, "Control", Raw_Data_Daily!$C:$C, "C. 10-19"),"")</f>
        <v>4.70179898</v>
      </c>
      <c r="J51" s="48">
        <f>IFERROR(SUMPRODUCT((Raw_Data_Daily!$B$2:$B$9999="Variant")*(Raw_Data_Daily!$C$2:$C$9999="C. 10-19")*Raw_Data_Daily!$D$2:$D$9999*Raw_Data_Daily!$AT$2:$AT$9999)/SUMIFS(Raw_Data_Daily!$D:$D, Raw_Data_Daily!$B:$B, "Variant", Raw_Data_Daily!$C:$C, "C. 10-19"),"")</f>
        <v>4.828870277</v>
      </c>
      <c r="K51" s="51">
        <f t="shared" si="45"/>
        <v>0.0270261016</v>
      </c>
      <c r="L51" s="146">
        <f>IFERROR(SUMPRODUCT((Raw_Data_Daily!$B$2:$B$9999="Control")*(Raw_Data_Daily!$C$2:$C$9999="D. 20-39")*Raw_Data_Daily!$D$2:$D$9999*Raw_Data_Daily!$AT$2:$AT$9999)/SUMIFS(Raw_Data_Daily!$D:$D, Raw_Data_Daily!$B:$B, "Control", Raw_Data_Daily!$C:$C, "D. 20-39"),"")</f>
        <v>7.479036986</v>
      </c>
      <c r="M51" s="48">
        <f>IFERROR(SUMPRODUCT((Raw_Data_Daily!$B$2:$B$9999="Variant")*(Raw_Data_Daily!$C$2:$C$9999="D. 20-39")*Raw_Data_Daily!$D$2:$D$9999*Raw_Data_Daily!$AT$2:$AT$9999)/SUMIFS(Raw_Data_Daily!$D:$D, Raw_Data_Daily!$B:$B, "Variant", Raw_Data_Daily!$C:$C, "D. 20-39"),"")</f>
        <v>7.244448896</v>
      </c>
      <c r="N51" s="54">
        <f t="shared" si="46"/>
        <v>-0.03136608238</v>
      </c>
      <c r="O51" s="145">
        <f>IFERROR(SUMPRODUCT((Raw_Data_Daily!$B$2:$B$9999="Control")*(Raw_Data_Daily!$C$2:$C$9999="E. 40-99")*Raw_Data_Daily!$D$2:$D$9999*Raw_Data_Daily!$AT$2:$AT$9999)/SUMIFS(Raw_Data_Daily!$D:$D, Raw_Data_Daily!$B:$B, "Control", Raw_Data_Daily!$C:$C, "E. 40-99"),"")</f>
        <v>13.75752889</v>
      </c>
      <c r="P51" s="48">
        <f>IFERROR(SUMPRODUCT((Raw_Data_Daily!$B$2:$B$9999="Variant")*(Raw_Data_Daily!$C$2:$C$9999="E. 40-99")*Raw_Data_Daily!$D$2:$D$9999*Raw_Data_Daily!$AT$2:$AT$9999)/SUMIFS(Raw_Data_Daily!$D:$D, Raw_Data_Daily!$B:$B, "Variant", Raw_Data_Daily!$C:$C, "E. 40-99"),"")</f>
        <v>12.01620252</v>
      </c>
      <c r="Q51" s="51">
        <f t="shared" si="47"/>
        <v>-0.1265726124</v>
      </c>
      <c r="R51" s="146">
        <f>IFERROR(SUMPRODUCT((Raw_Data_Daily!$B$2:$B$9999="Control")*(Raw_Data_Daily!$C$2:$C$9999="F. 100+")*Raw_Data_Daily!$D$2:$D$9999*Raw_Data_Daily!$AT$2:$AT$9999)/SUMIFS(Raw_Data_Daily!$D:$D, Raw_Data_Daily!$B:$B, "Control", Raw_Data_Daily!$C:$C, "F. 100+"),"")</f>
        <v>31.35598503</v>
      </c>
      <c r="S51" s="149">
        <f>IFERROR(SUMPRODUCT((Raw_Data_Daily!$B$2:$B$9999="Variant")*(Raw_Data_Daily!$C$2:$C$9999="F. 100+")*Raw_Data_Daily!$D$2:$D$9999*Raw_Data_Daily!$AT$2:$AT$9999)/SUMIFS(Raw_Data_Daily!$D:$D, Raw_Data_Daily!$B:$B, "Variant", Raw_Data_Daily!$C:$C, "F. 100+"),"")</f>
        <v>26.39325587</v>
      </c>
      <c r="T51" s="169">
        <f t="shared" si="48"/>
        <v>-0.158270555</v>
      </c>
    </row>
    <row r="52" ht="15.75" customHeight="1">
      <c r="A52" s="8"/>
      <c r="B52" s="158" t="s">
        <v>76</v>
      </c>
      <c r="C52" s="145">
        <f>IFERROR(SUMPRODUCT((Raw_Data_Daily!$B$2:$B$9999="Control")*(Raw_Data_Daily!$C$2:$C$9999="A. 0")*Raw_Data_Daily!$D$2:$D$9999*(Raw_Data_Daily!$AQ$2:$AQ$9999-Raw_Data_Daily!$AT$2:$AT$9999))/SUMIFS(Raw_Data_Daily!$D:$D, Raw_Data_Daily!$B:$B, "Control", Raw_Data_Daily!$C:$C, "A. 0"),"")</f>
        <v>0.4095967539</v>
      </c>
      <c r="D52" s="48">
        <f>IFERROR(SUMPRODUCT((Raw_Data_Daily!$B$2:$B$9999="Variant")*(Raw_Data_Daily!$C$2:$C$9999="A. 0")*Raw_Data_Daily!$D$2:$D$9999*(Raw_Data_Daily!$AQ$2:$AQ$9999-Raw_Data_Daily!$AT$2:$AT$9999))/SUMIFS(Raw_Data_Daily!$D:$D, Raw_Data_Daily!$B:$B, "Variant", Raw_Data_Daily!$C:$C, "A. 0"),"")</f>
        <v>0.8365938035</v>
      </c>
      <c r="E52" s="38">
        <f t="shared" si="43"/>
        <v>1.042481527</v>
      </c>
      <c r="F52" s="146">
        <f>IFERROR(SUMPRODUCT((Raw_Data_Daily!$B$2:$B$9999="Control")*(Raw_Data_Daily!$C$2:$C$9999="B. 1-9")*Raw_Data_Daily!$D$2:$D$9999*(Raw_Data_Daily!$AQ$2:$AQ$9999-Raw_Data_Daily!$AT$2:$AT$9999))/SUMIFS(Raw_Data_Daily!$D:$D, Raw_Data_Daily!$B:$B, "Control", Raw_Data_Daily!$C:$C, "B. 1-9"),"")</f>
        <v>0.3823473684</v>
      </c>
      <c r="G52" s="48">
        <f>IFERROR(SUMPRODUCT((Raw_Data_Daily!$B$2:$B$9999="Variant")*(Raw_Data_Daily!$C$2:$C$9999="B. 1-9")*Raw_Data_Daily!$D$2:$D$9999*(Raw_Data_Daily!$AQ$2:$AQ$9999-Raw_Data_Daily!$AT$2:$AT$9999))/SUMIFS(Raw_Data_Daily!$D:$D, Raw_Data_Daily!$B:$B, "Variant", Raw_Data_Daily!$C:$C, "B. 1-9"),"")</f>
        <v>0.5367522718</v>
      </c>
      <c r="H52" s="54">
        <f t="shared" si="44"/>
        <v>0.4038340948</v>
      </c>
      <c r="I52" s="145">
        <f>IFERROR(SUMPRODUCT((Raw_Data_Daily!$B$2:$B$9999="Control")*(Raw_Data_Daily!$C$2:$C$9999="C. 10-19")*Raw_Data_Daily!$D$2:$D$9999*(Raw_Data_Daily!$AQ$2:$AQ$9999-Raw_Data_Daily!$AT$2:$AT$9999))/SUMIFS(Raw_Data_Daily!$D:$D, Raw_Data_Daily!$B:$B, "Control", Raw_Data_Daily!$C:$C, "C. 10-19"),"")</f>
        <v>1.000585282</v>
      </c>
      <c r="J52" s="48">
        <f>IFERROR(SUMPRODUCT((Raw_Data_Daily!$B$2:$B$9999="Variant")*(Raw_Data_Daily!$C$2:$C$9999="C. 10-19")*Raw_Data_Daily!$D$2:$D$9999*(Raw_Data_Daily!$AQ$2:$AQ$9999-Raw_Data_Daily!$AT$2:$AT$9999))/SUMIFS(Raw_Data_Daily!$D:$D, Raw_Data_Daily!$B:$B, "Variant", Raw_Data_Daily!$C:$C, "C. 10-19"),"")</f>
        <v>0.9338248116</v>
      </c>
      <c r="K52" s="51">
        <f t="shared" si="45"/>
        <v>-0.0667214193</v>
      </c>
      <c r="L52" s="146">
        <f>IFERROR(SUMPRODUCT((Raw_Data_Daily!$B$2:$B$9999="Control")*(Raw_Data_Daily!$C$2:$C$9999="D. 20-39")*Raw_Data_Daily!$D$2:$D$9999*(Raw_Data_Daily!$AQ$2:$AQ$9999-Raw_Data_Daily!$AT$2:$AT$9999))/SUMIFS(Raw_Data_Daily!$D:$D, Raw_Data_Daily!$B:$B, "Control", Raw_Data_Daily!$C:$C, "D. 20-39"),"")</f>
        <v>1.798281327</v>
      </c>
      <c r="M52" s="48">
        <f>IFERROR(SUMPRODUCT((Raw_Data_Daily!$B$2:$B$9999="Variant")*(Raw_Data_Daily!$C$2:$C$9999="D. 20-39")*Raw_Data_Daily!$D$2:$D$9999*(Raw_Data_Daily!$AQ$2:$AQ$9999-Raw_Data_Daily!$AT$2:$AT$9999))/SUMIFS(Raw_Data_Daily!$D:$D, Raw_Data_Daily!$B:$B, "Variant", Raw_Data_Daily!$C:$C, "D. 20-39"),"")</f>
        <v>1.408960941</v>
      </c>
      <c r="N52" s="54">
        <f t="shared" si="46"/>
        <v>-0.2164958178</v>
      </c>
      <c r="O52" s="145">
        <f>IFERROR(SUMPRODUCT((Raw_Data_Daily!$B$2:$B$9999="Control")*(Raw_Data_Daily!$C$2:$C$9999="E. 40-99")*Raw_Data_Daily!$D$2:$D$9999*(Raw_Data_Daily!$AQ$2:$AQ$9999-Raw_Data_Daily!$AT$2:$AT$9999))/SUMIFS(Raw_Data_Daily!$D:$D, Raw_Data_Daily!$B:$B, "Control", Raw_Data_Daily!$C:$C, "E. 40-99"),"")</f>
        <v>2.587408164</v>
      </c>
      <c r="P52" s="48">
        <f>IFERROR(SUMPRODUCT((Raw_Data_Daily!$B$2:$B$9999="Variant")*(Raw_Data_Daily!$C$2:$C$9999="E. 40-99")*Raw_Data_Daily!$D$2:$D$9999*(Raw_Data_Daily!$AQ$2:$AQ$9999-Raw_Data_Daily!$AT$2:$AT$9999))/SUMIFS(Raw_Data_Daily!$D:$D, Raw_Data_Daily!$B:$B, "Variant", Raw_Data_Daily!$C:$C, "E. 40-99"),"")</f>
        <v>1.946971838</v>
      </c>
      <c r="Q52" s="51">
        <f t="shared" si="47"/>
        <v>-0.2475204087</v>
      </c>
      <c r="R52" s="146">
        <f>IFERROR(SUMPRODUCT((Raw_Data_Daily!$B$2:$B$9999="Control")*(Raw_Data_Daily!$C$2:$C$9999="F. 100+")*Raw_Data_Daily!$D$2:$D$9999*(Raw_Data_Daily!$AQ$2:$AQ$9999-Raw_Data_Daily!$AT$2:$AT$9999))/SUMIFS(Raw_Data_Daily!$D:$D, Raw_Data_Daily!$B:$B, "Control", Raw_Data_Daily!$C:$C, "F. 100+"),"")</f>
        <v>3.091384004</v>
      </c>
      <c r="S52" s="48">
        <f>IFERROR(SUMPRODUCT((Raw_Data_Daily!$B$2:$B$9999="Variant")*(Raw_Data_Daily!$C$2:$C$9999="F. 100+")*Raw_Data_Daily!$D$2:$D$9999*(Raw_Data_Daily!$AQ$2:$AQ$9999-Raw_Data_Daily!$AT$2:$AT$9999))/SUMIFS(Raw_Data_Daily!$D:$D, Raw_Data_Daily!$B:$B, "Variant", Raw_Data_Daily!$C:$C, "F. 100+"),"")</f>
        <v>4.714205279</v>
      </c>
      <c r="T52" s="54">
        <f t="shared" si="48"/>
        <v>0.5249497549</v>
      </c>
      <c r="V52" s="56"/>
    </row>
    <row r="53" ht="15.75" customHeight="1">
      <c r="A53" s="8"/>
      <c r="B53" s="33" t="s">
        <v>77</v>
      </c>
      <c r="C53" s="145">
        <f>IFERROR(SUMPRODUCT((Raw_Data_Daily!$B$2:$B$9999="Control")*(Raw_Data_Daily!$C$2:$C$9999="A. 0")*Raw_Data_Daily!$D$2:$D$9999*Raw_Data_Daily!$AU$2:$AU$9999)/SUMIFS(Raw_Data_Daily!$D:$D, Raw_Data_Daily!$B:$B, "Control", Raw_Data_Daily!$C:$C, "A. 0"),"")</f>
        <v>0.1221215727</v>
      </c>
      <c r="D53" s="48">
        <f>IFERROR(SUMPRODUCT((Raw_Data_Daily!$B$2:$B$9999="Variant")*(Raw_Data_Daily!$C$2:$C$9999="A. 0")*Raw_Data_Daily!$D$2:$D$9999*Raw_Data_Daily!$AU$2:$AU$9999)/SUMIFS(Raw_Data_Daily!$D:$D, Raw_Data_Daily!$B:$B, "Variant", Raw_Data_Daily!$C:$C, "A. 0"),"")</f>
        <v>0.1447177244</v>
      </c>
      <c r="E53" s="38">
        <f t="shared" si="43"/>
        <v>0.1850299767</v>
      </c>
      <c r="F53" s="146">
        <f>IFERROR(SUMPRODUCT((Raw_Data_Daily!$B$2:$B$9999="Control")*(Raw_Data_Daily!$C$2:$C$9999="B. 1-9")*Raw_Data_Daily!$D$2:$D$9999*Raw_Data_Daily!$AU$2:$AU$9999)/SUMIFS(Raw_Data_Daily!$D:$D, Raw_Data_Daily!$B:$B, "Control", Raw_Data_Daily!$C:$C, "B. 1-9"),"")</f>
        <v>0.2142019893</v>
      </c>
      <c r="G53" s="48">
        <f>IFERROR(SUMPRODUCT((Raw_Data_Daily!$B$2:$B$9999="Variant")*(Raw_Data_Daily!$C$2:$C$9999="B. 1-9")*Raw_Data_Daily!$D$2:$D$9999*Raw_Data_Daily!$AU$2:$AU$9999)/SUMIFS(Raw_Data_Daily!$D:$D, Raw_Data_Daily!$B:$B, "Variant", Raw_Data_Daily!$C:$C, "B. 1-9"),"")</f>
        <v>0.2260709521</v>
      </c>
      <c r="H53" s="42">
        <f t="shared" si="44"/>
        <v>0.05541014251</v>
      </c>
      <c r="I53" s="145">
        <f>IFERROR(SUMPRODUCT((Raw_Data_Daily!$B$2:$B$9999="Control")*(Raw_Data_Daily!$C$2:$C$9999="C. 10-19")*Raw_Data_Daily!$D$2:$D$9999*Raw_Data_Daily!$AU$2:$AU$9999)/SUMIFS(Raw_Data_Daily!$D:$D, Raw_Data_Daily!$B:$B, "Control", Raw_Data_Daily!$C:$C, "C. 10-19"),"")</f>
        <v>0.2149159896</v>
      </c>
      <c r="J53" s="48">
        <f>IFERROR(SUMPRODUCT((Raw_Data_Daily!$B$2:$B$9999="Variant")*(Raw_Data_Daily!$C$2:$C$9999="C. 10-19")*Raw_Data_Daily!$D$2:$D$9999*Raw_Data_Daily!$AU$2:$AU$9999)/SUMIFS(Raw_Data_Daily!$D:$D, Raw_Data_Daily!$B:$B, "Variant", Raw_Data_Daily!$C:$C, "C. 10-19"),"")</f>
        <v>0.2158613334</v>
      </c>
      <c r="K53" s="38">
        <f t="shared" si="45"/>
        <v>0.0043986664</v>
      </c>
      <c r="L53" s="146">
        <f>IFERROR(SUMPRODUCT((Raw_Data_Daily!$B$2:$B$9999="Control")*(Raw_Data_Daily!$C$2:$C$9999="D. 20-39")*Raw_Data_Daily!$D$2:$D$9999*Raw_Data_Daily!$AU$2:$AU$9999)/SUMIFS(Raw_Data_Daily!$D:$D, Raw_Data_Daily!$B:$B, "Control", Raw_Data_Daily!$C:$C, "D. 20-39"),"")</f>
        <v>0.2099390342</v>
      </c>
      <c r="M53" s="48">
        <f>IFERROR(SUMPRODUCT((Raw_Data_Daily!$B$2:$B$9999="Variant")*(Raw_Data_Daily!$C$2:$C$9999="D. 20-39")*Raw_Data_Daily!$D$2:$D$9999*Raw_Data_Daily!$AU$2:$AU$9999)/SUMIFS(Raw_Data_Daily!$D:$D, Raw_Data_Daily!$B:$B, "Variant", Raw_Data_Daily!$C:$C, "D. 20-39"),"")</f>
        <v>0.1993528465</v>
      </c>
      <c r="N53" s="42">
        <f t="shared" si="46"/>
        <v>-0.05042505696</v>
      </c>
      <c r="O53" s="145">
        <f>IFERROR(SUMPRODUCT((Raw_Data_Daily!$B$2:$B$9999="Control")*(Raw_Data_Daily!$C$2:$C$9999="E. 40-99")*Raw_Data_Daily!$D$2:$D$9999*Raw_Data_Daily!$AU$2:$AU$9999)/SUMIFS(Raw_Data_Daily!$D:$D, Raw_Data_Daily!$B:$B, "Control", Raw_Data_Daily!$C:$C, "E. 40-99"),"")</f>
        <v>0.1964968882</v>
      </c>
      <c r="P53" s="48">
        <f>IFERROR(SUMPRODUCT((Raw_Data_Daily!$B$2:$B$9999="Variant")*(Raw_Data_Daily!$C$2:$C$9999="E. 40-99")*Raw_Data_Daily!$D$2:$D$9999*Raw_Data_Daily!$AU$2:$AU$9999)/SUMIFS(Raw_Data_Daily!$D:$D, Raw_Data_Daily!$B:$B, "Variant", Raw_Data_Daily!$C:$C, "E. 40-99"),"")</f>
        <v>0.168777388</v>
      </c>
      <c r="Q53" s="38">
        <f t="shared" si="47"/>
        <v>-0.1410683925</v>
      </c>
      <c r="R53" s="146">
        <f>IFERROR(SUMPRODUCT((Raw_Data_Daily!$B$2:$B$9999="Control")*(Raw_Data_Daily!$C$2:$C$9999="F. 100+")*Raw_Data_Daily!$D$2:$D$9999*Raw_Data_Daily!$AU$2:$AU$9999)/SUMIFS(Raw_Data_Daily!$D:$D, Raw_Data_Daily!$B:$B, "Control", Raw_Data_Daily!$C:$C, "F. 100+"),"")</f>
        <v>0.1931297103</v>
      </c>
      <c r="S53" s="48">
        <f>IFERROR(SUMPRODUCT((Raw_Data_Daily!$B$2:$B$9999="Variant")*(Raw_Data_Daily!$C$2:$C$9999="F. 100+")*Raw_Data_Daily!$D$2:$D$9999*Raw_Data_Daily!$AU$2:$AU$9999)/SUMIFS(Raw_Data_Daily!$D:$D, Raw_Data_Daily!$B:$B, "Variant", Raw_Data_Daily!$C:$C, "F. 100+"),"")</f>
        <v>0.1584731618</v>
      </c>
      <c r="T53" s="42">
        <f t="shared" si="48"/>
        <v>-0.1794470071</v>
      </c>
    </row>
    <row r="54" ht="15.75" hidden="1" customHeight="1">
      <c r="B54" s="7"/>
      <c r="H54" s="7"/>
      <c r="K54" s="7"/>
      <c r="N54" s="7"/>
      <c r="Q54" s="7"/>
    </row>
    <row r="55" ht="15.75" hidden="1" customHeight="1">
      <c r="A55" s="27" t="s">
        <v>66</v>
      </c>
      <c r="B55" s="28"/>
      <c r="C55" s="29"/>
      <c r="D55" s="6"/>
      <c r="E55" s="30"/>
      <c r="F55" s="32"/>
      <c r="G55" s="6"/>
      <c r="H55" s="28"/>
      <c r="I55" s="29"/>
      <c r="J55" s="6"/>
      <c r="K55" s="30"/>
      <c r="L55" s="32"/>
      <c r="M55" s="6"/>
      <c r="N55" s="28"/>
      <c r="O55" s="29"/>
      <c r="P55" s="6"/>
      <c r="Q55" s="30"/>
      <c r="R55" s="32"/>
      <c r="S55" s="6"/>
      <c r="T55" s="6"/>
    </row>
    <row r="56" ht="15.75" hidden="1" customHeight="1">
      <c r="A56" s="8"/>
      <c r="B56" s="171"/>
      <c r="C56" s="61"/>
      <c r="D56" s="62"/>
      <c r="E56" s="38"/>
      <c r="F56" s="172" t="s">
        <v>338</v>
      </c>
      <c r="G56" s="172" t="s">
        <v>339</v>
      </c>
      <c r="H56" s="173" t="s">
        <v>7</v>
      </c>
      <c r="I56" s="174" t="s">
        <v>338</v>
      </c>
      <c r="J56" s="172" t="s">
        <v>339</v>
      </c>
      <c r="K56" s="173" t="s">
        <v>7</v>
      </c>
      <c r="L56" s="174" t="s">
        <v>338</v>
      </c>
      <c r="M56" s="172" t="s">
        <v>339</v>
      </c>
      <c r="N56" s="173" t="s">
        <v>7</v>
      </c>
      <c r="O56" s="174" t="s">
        <v>338</v>
      </c>
      <c r="P56" s="172" t="s">
        <v>339</v>
      </c>
      <c r="Q56" s="173" t="s">
        <v>7</v>
      </c>
      <c r="R56" s="174" t="s">
        <v>338</v>
      </c>
      <c r="S56" s="172" t="s">
        <v>339</v>
      </c>
      <c r="T56" s="175" t="s">
        <v>7</v>
      </c>
    </row>
    <row r="57" ht="15.75" hidden="1" customHeight="1">
      <c r="A57" s="8"/>
      <c r="B57" s="33" t="s">
        <v>67</v>
      </c>
      <c r="C57" s="61"/>
      <c r="D57" s="62">
        <f>IFERROR(SUMPRODUCT((Raw_Data_Daily!$B$2:$B$9999="Variant")*(Raw_Data_Daily!$C$2:$C$9999="A. 0")*Raw_Data_Daily!$D$2:$D$9999*Raw_Data_Daily!$AM$2:$AM$9999)/SUMIFS(Raw_Data_Daily!$D:$D, Raw_Data_Daily!$B:$B, "Variant", Raw_Data_Daily!$C:$C, "A. 0"),"")</f>
        <v>7.940977469</v>
      </c>
      <c r="E57" s="38"/>
      <c r="F57" s="63">
        <v>42.64714275913684</v>
      </c>
      <c r="G57" s="62">
        <f>IFERROR(SUMPRODUCT((Raw_Data_Daily!$B$2:$B$9999="Variant")*(Raw_Data_Daily!$C$2:$C$9999="B. 1-9")*Raw_Data_Daily!$D$2:$D$9999*Raw_Data_Daily!$AM$2:$AM$9999)/SUMIFS(Raw_Data_Daily!$D:$D, Raw_Data_Daily!$B:$B, "Variant", Raw_Data_Daily!$C:$C, "B. 1-9"),"")</f>
        <v>34.56510055</v>
      </c>
      <c r="H57" s="38">
        <f t="shared" ref="H57:H60" si="49">IFERROR((G57-F57)/ABS(F57),"")</f>
        <v>-0.1895095822</v>
      </c>
      <c r="I57" s="63">
        <v>64.2180393913231</v>
      </c>
      <c r="J57" s="62">
        <f>IFERROR(SUMPRODUCT((Raw_Data_Daily!$B$2:$B$9999="Variant")*(Raw_Data_Daily!$C$2:$C$9999="C. 10-19")*Raw_Data_Daily!$D$2:$D$9999*Raw_Data_Daily!$AM$2:$AM$9999)/SUMIFS(Raw_Data_Daily!$D:$D, Raw_Data_Daily!$B:$B, "Variant", Raw_Data_Daily!$C:$C, "C. 10-19"),"")</f>
        <v>39.99269073</v>
      </c>
      <c r="K57" s="38">
        <f t="shared" ref="K57:K60" si="50">IFERROR((J57-I57)/ABS(I57),"")</f>
        <v>-0.3772358809</v>
      </c>
      <c r="L57" s="63">
        <v>67.13105330341149</v>
      </c>
      <c r="M57" s="62">
        <f>IFERROR(SUMPRODUCT((Raw_Data_Daily!$B$2:$B$9999="Variant")*(Raw_Data_Daily!$C$2:$C$9999="D. 20-39")*Raw_Data_Daily!$D$2:$D$9999*Raw_Data_Daily!$AM$2:$AM$9999)/SUMIFS(Raw_Data_Daily!$D:$D, Raw_Data_Daily!$B:$B, "Variant", Raw_Data_Daily!$C:$C, "D. 20-39"),"")</f>
        <v>39.98595753</v>
      </c>
      <c r="N57" s="38">
        <f t="shared" ref="N57:N60" si="51">IFERROR((M57-L57)/ABS(L57),"")</f>
        <v>-0.4043597476</v>
      </c>
      <c r="O57" s="63">
        <v>69.47695179730147</v>
      </c>
      <c r="P57" s="62">
        <f>IFERROR(SUMPRODUCT((Raw_Data_Daily!$B$2:$B$9999="Variant")*(Raw_Data_Daily!$C$2:$C$9999="E. 40-99")*Raw_Data_Daily!$D$2:$D$9999*Raw_Data_Daily!$AM$2:$AM$9999)/SUMIFS(Raw_Data_Daily!$D:$D, Raw_Data_Daily!$B:$B, "Variant", Raw_Data_Daily!$C:$C, "E. 40-99"),"")</f>
        <v>42.1344566</v>
      </c>
      <c r="Q57" s="38">
        <f t="shared" ref="Q57:Q60" si="52">IFERROR((P57-O57)/ABS(O57),"")</f>
        <v>-0.3935477088</v>
      </c>
      <c r="R57" s="63">
        <v>69.55612235067437</v>
      </c>
      <c r="S57" s="176">
        <f>IFERROR(SUMPRODUCT((Raw_Data_Daily!$B$2:$B$9999="Variant")*(Raw_Data_Daily!$C$2:$C$9999="F. 100+")*Raw_Data_Daily!$D$2:$D$9999*Raw_Data_Daily!$AM$2:$AM$9999)/SUMIFS(Raw_Data_Daily!$D:$D, Raw_Data_Daily!$B:$B, "Variant", Raw_Data_Daily!$C:$C, "F. 100+"),"")</f>
        <v>63.11434402</v>
      </c>
      <c r="T57" s="26">
        <f t="shared" ref="T57:T60" si="53">IFERROR((S57-R57)/ABS(R57),"")</f>
        <v>-0.09261267184</v>
      </c>
    </row>
    <row r="58" ht="15.75" hidden="1" customHeight="1">
      <c r="A58" s="8"/>
      <c r="B58" s="33" t="s">
        <v>174</v>
      </c>
      <c r="C58" s="61"/>
      <c r="D58" s="62">
        <f>IFERROR(SUMPRODUCT((Raw_Data_Daily!$B$2:$B$9999="Variant")*(Raw_Data_Daily!$C$2:$C$9999="A. 0")*Raw_Data_Daily!$D$2:$D$9999*Raw_Data_Daily!$AN$2:$AN$9999)/SUMIFS(Raw_Data_Daily!$D:$D, Raw_Data_Daily!$B:$B, "Variant", Raw_Data_Daily!$C:$C, "A. 0"),"")</f>
        <v>7.940977469</v>
      </c>
      <c r="E58" s="38"/>
      <c r="F58" s="63">
        <v>42.64714275913684</v>
      </c>
      <c r="G58" s="62">
        <f>IFERROR(SUMPRODUCT((Raw_Data_Daily!$B$2:$B$9999="Variant")*(Raw_Data_Daily!$C$2:$C$9999="B. 1-9")*Raw_Data_Daily!$D$2:$D$9999*Raw_Data_Daily!$AN$2:$AN$9999)/SUMIFS(Raw_Data_Daily!$D:$D, Raw_Data_Daily!$B:$B, "Variant", Raw_Data_Daily!$C:$C, "B. 1-9"),"")</f>
        <v>34.56461296</v>
      </c>
      <c r="H58" s="38">
        <f t="shared" si="49"/>
        <v>-0.1895210155</v>
      </c>
      <c r="I58" s="63">
        <v>64.2180393913231</v>
      </c>
      <c r="J58" s="62">
        <f>IFERROR(SUMPRODUCT((Raw_Data_Daily!$B$2:$B$9999="Variant")*(Raw_Data_Daily!$C$2:$C$9999="C. 10-19")*Raw_Data_Daily!$D$2:$D$9999*Raw_Data_Daily!$AN$2:$AN$9999)/SUMIFS(Raw_Data_Daily!$D:$D, Raw_Data_Daily!$B:$B, "Variant", Raw_Data_Daily!$C:$C, "C. 10-19"),"")</f>
        <v>39.99269073</v>
      </c>
      <c r="K58" s="38">
        <f t="shared" si="50"/>
        <v>-0.3772358809</v>
      </c>
      <c r="L58" s="63">
        <v>67.13105330341149</v>
      </c>
      <c r="M58" s="62">
        <f>IFERROR(SUMPRODUCT((Raw_Data_Daily!$B$2:$B$9999="Variant")*(Raw_Data_Daily!$C$2:$C$9999="D. 20-39")*Raw_Data_Daily!$D$2:$D$9999*Raw_Data_Daily!$AN$2:$AN$9999)/SUMIFS(Raw_Data_Daily!$D:$D, Raw_Data_Daily!$B:$B, "Variant", Raw_Data_Daily!$C:$C, "D. 20-39"),"")</f>
        <v>39.98595753</v>
      </c>
      <c r="N58" s="38">
        <f t="shared" si="51"/>
        <v>-0.4043597476</v>
      </c>
      <c r="O58" s="63">
        <v>69.47695179730147</v>
      </c>
      <c r="P58" s="62">
        <f>IFERROR(SUMPRODUCT((Raw_Data_Daily!$B$2:$B$9999="Variant")*(Raw_Data_Daily!$C$2:$C$9999="E. 40-99")*Raw_Data_Daily!$D$2:$D$9999*Raw_Data_Daily!$AN$2:$AN$9999)/SUMIFS(Raw_Data_Daily!$D:$D, Raw_Data_Daily!$B:$B, "Variant", Raw_Data_Daily!$C:$C, "E. 40-99"),"")</f>
        <v>42.1344566</v>
      </c>
      <c r="Q58" s="38">
        <f t="shared" si="52"/>
        <v>-0.3935477088</v>
      </c>
      <c r="R58" s="63">
        <v>69.55612235067437</v>
      </c>
      <c r="S58" s="176">
        <f>IFERROR(SUMPRODUCT((Raw_Data_Daily!$B$2:$B$9999="Variant")*(Raw_Data_Daily!$C$2:$C$9999="F. 100+")*Raw_Data_Daily!$D$2:$D$9999*Raw_Data_Daily!$AN$2:$AN$9999)/SUMIFS(Raw_Data_Daily!$D:$D, Raw_Data_Daily!$B:$B, "Variant", Raw_Data_Daily!$C:$C, "F. 100+"),"")</f>
        <v>63.11434402</v>
      </c>
      <c r="T58" s="26">
        <f t="shared" si="53"/>
        <v>-0.09261267184</v>
      </c>
    </row>
    <row r="59" ht="15.75" hidden="1" customHeight="1">
      <c r="A59" s="8"/>
      <c r="B59" s="33" t="s">
        <v>175</v>
      </c>
      <c r="C59" s="61"/>
      <c r="D59" s="62">
        <f>IFERROR(SUMPRODUCT((Raw_Data_Daily!$B$2:$B$9999="Variant")*(Raw_Data_Daily!$C$2:$C$9999="A. 0")*Raw_Data_Daily!$D$2:$D$9999*Raw_Data_Daily!$AO$2:$AO$9999)/SUMIFS(Raw_Data_Daily!$D:$D, Raw_Data_Daily!$B:$B, "Variant", Raw_Data_Daily!$C:$C, "A. 0"),"")</f>
        <v>4.749817118</v>
      </c>
      <c r="E59" s="38"/>
      <c r="F59" s="63">
        <v>20.758437882000745</v>
      </c>
      <c r="G59" s="62">
        <f>IFERROR(SUMPRODUCT((Raw_Data_Daily!$B$2:$B$9999="Variant")*(Raw_Data_Daily!$C$2:$C$9999="B. 1-9")*Raw_Data_Daily!$D$2:$D$9999*Raw_Data_Daily!$AO$2:$AO$9999)/SUMIFS(Raw_Data_Daily!$D:$D, Raw_Data_Daily!$B:$B, "Variant", Raw_Data_Daily!$C:$C, "B. 1-9"),"")</f>
        <v>16.05432737</v>
      </c>
      <c r="H59" s="38">
        <f t="shared" si="49"/>
        <v>-0.2266119705</v>
      </c>
      <c r="I59" s="63">
        <v>44.857285344269364</v>
      </c>
      <c r="J59" s="62">
        <f>IFERROR(SUMPRODUCT((Raw_Data_Daily!$B$2:$B$9999="Variant")*(Raw_Data_Daily!$C$2:$C$9999="C. 10-19")*Raw_Data_Daily!$D$2:$D$9999*Raw_Data_Daily!$AO$2:$AO$9999)/SUMIFS(Raw_Data_Daily!$D:$D, Raw_Data_Daily!$B:$B, "Variant", Raw_Data_Daily!$C:$C, "C. 10-19"),"")</f>
        <v>23.19614859</v>
      </c>
      <c r="K59" s="38">
        <f t="shared" si="50"/>
        <v>-0.4828900499</v>
      </c>
      <c r="L59" s="63">
        <v>44.82143398324103</v>
      </c>
      <c r="M59" s="62">
        <f>IFERROR(SUMPRODUCT((Raw_Data_Daily!$B$2:$B$9999="Variant")*(Raw_Data_Daily!$C$2:$C$9999="D. 20-39")*Raw_Data_Daily!$D$2:$D$9999*Raw_Data_Daily!$AO$2:$AO$9999)/SUMIFS(Raw_Data_Daily!$D:$D, Raw_Data_Daily!$B:$B, "Variant", Raw_Data_Daily!$C:$C, "D. 20-39"),"")</f>
        <v>21.74041176</v>
      </c>
      <c r="N59" s="38">
        <f t="shared" si="51"/>
        <v>-0.5149550153</v>
      </c>
      <c r="O59" s="63">
        <v>49.47428880420229</v>
      </c>
      <c r="P59" s="62">
        <f>IFERROR(SUMPRODUCT((Raw_Data_Daily!$B$2:$B$9999="Variant")*(Raw_Data_Daily!$C$2:$C$9999="E. 40-99")*Raw_Data_Daily!$D$2:$D$9999*Raw_Data_Daily!$AO$2:$AO$9999)/SUMIFS(Raw_Data_Daily!$D:$D, Raw_Data_Daily!$B:$B, "Variant", Raw_Data_Daily!$C:$C, "E. 40-99"),"")</f>
        <v>25.62311413</v>
      </c>
      <c r="Q59" s="38">
        <f t="shared" si="52"/>
        <v>-0.4820923201</v>
      </c>
      <c r="R59" s="63">
        <v>49.613294797687864</v>
      </c>
      <c r="S59" s="176">
        <f>IFERROR(SUMPRODUCT((Raw_Data_Daily!$B$2:$B$9999="Variant")*(Raw_Data_Daily!$C$2:$C$9999="F. 100+")*Raw_Data_Daily!$D$2:$D$9999*Raw_Data_Daily!$AO$2:$AO$9999)/SUMIFS(Raw_Data_Daily!$D:$D, Raw_Data_Daily!$B:$B, "Variant", Raw_Data_Daily!$C:$C, "F. 100+"),"")</f>
        <v>49.53941888</v>
      </c>
      <c r="T59" s="26">
        <f t="shared" si="53"/>
        <v>-0.001489034795</v>
      </c>
    </row>
    <row r="60" ht="15.75" hidden="1" customHeight="1">
      <c r="A60" s="8"/>
      <c r="B60" s="33" t="s">
        <v>177</v>
      </c>
      <c r="C60" s="61"/>
      <c r="D60" s="62">
        <f>IFERROR(SUMPRODUCT((Raw_Data_Daily!$B$2:$B$9999="Variant")*(Raw_Data_Daily!$C$2:$C$9999="A. 0")*Raw_Data_Daily!$D$2:$D$9999*Raw_Data_Daily!$AP$2:$AP$9999)/SUMIFS(Raw_Data_Daily!$D:$D, Raw_Data_Daily!$B:$B, "Variant", Raw_Data_Daily!$C:$C, "A. 0"),"")</f>
        <v>2.506071913</v>
      </c>
      <c r="E60" s="38"/>
      <c r="F60" s="63">
        <v>8.35851789946364</v>
      </c>
      <c r="G60" s="62">
        <f>IFERROR(SUMPRODUCT((Raw_Data_Daily!$B$2:$B$9999="Variant")*(Raw_Data_Daily!$C$2:$C$9999="B. 1-9")*Raw_Data_Daily!$D$2:$D$9999*Raw_Data_Daily!$AP$2:$AP$9999)/SUMIFS(Raw_Data_Daily!$D:$D, Raw_Data_Daily!$B:$B, "Variant", Raw_Data_Daily!$C:$C, "B. 1-9"),"")</f>
        <v>4.909500852</v>
      </c>
      <c r="H60" s="38">
        <f t="shared" si="49"/>
        <v>-0.4126350017</v>
      </c>
      <c r="I60" s="63">
        <v>25.564667601985754</v>
      </c>
      <c r="J60" s="62">
        <f>IFERROR(SUMPRODUCT((Raw_Data_Daily!$B$2:$B$9999="Variant")*(Raw_Data_Daily!$C$2:$C$9999="C. 10-19")*Raw_Data_Daily!$D$2:$D$9999*Raw_Data_Daily!$AP$2:$AP$9999)/SUMIFS(Raw_Data_Daily!$D:$D, Raw_Data_Daily!$B:$B, "Variant", Raw_Data_Daily!$C:$C, "C. 10-19"),"")</f>
        <v>10.91307601</v>
      </c>
      <c r="K60" s="38">
        <f t="shared" si="50"/>
        <v>-0.5731187988</v>
      </c>
      <c r="L60" s="63">
        <v>29.76296452615758</v>
      </c>
      <c r="M60" s="62">
        <f>IFERROR(SUMPRODUCT((Raw_Data_Daily!$B$2:$B$9999="Variant")*(Raw_Data_Daily!$C$2:$C$9999="D. 20-39")*Raw_Data_Daily!$D$2:$D$9999*Raw_Data_Daily!$AP$2:$AP$9999)/SUMIFS(Raw_Data_Daily!$D:$D, Raw_Data_Daily!$B:$B, "Variant", Raw_Data_Daily!$C:$C, "D. 20-39"),"")</f>
        <v>11.15763907</v>
      </c>
      <c r="N60" s="38">
        <f t="shared" si="51"/>
        <v>-0.6251166762</v>
      </c>
      <c r="O60" s="63">
        <v>34.037131012462666</v>
      </c>
      <c r="P60" s="62">
        <f>IFERROR(SUMPRODUCT((Raw_Data_Daily!$B$2:$B$9999="Variant")*(Raw_Data_Daily!$C$2:$C$9999="E. 40-99")*Raw_Data_Daily!$D$2:$D$9999*Raw_Data_Daily!$AP$2:$AP$9999)/SUMIFS(Raw_Data_Daily!$D:$D, Raw_Data_Daily!$B:$B, "Variant", Raw_Data_Daily!$C:$C, "E. 40-99"),"")</f>
        <v>15.93503919</v>
      </c>
      <c r="Q60" s="38">
        <f t="shared" si="52"/>
        <v>-0.5318336559</v>
      </c>
      <c r="R60" s="63">
        <v>36.70592485549133</v>
      </c>
      <c r="S60" s="176">
        <f>IFERROR(SUMPRODUCT((Raw_Data_Daily!$B$2:$B$9999="Variant")*(Raw_Data_Daily!$C$2:$C$9999="F. 100+")*Raw_Data_Daily!$D$2:$D$9999*Raw_Data_Daily!$AP$2:$AP$9999)/SUMIFS(Raw_Data_Daily!$D:$D, Raw_Data_Daily!$B:$B, "Variant", Raw_Data_Daily!$C:$C, "F. 100+"),"")</f>
        <v>42.35367417</v>
      </c>
      <c r="T60" s="26">
        <f t="shared" si="53"/>
        <v>0.1538647872</v>
      </c>
    </row>
    <row r="61" ht="15.75" customHeight="1">
      <c r="B61" s="3"/>
      <c r="F61" s="5"/>
    </row>
    <row r="62" ht="15.75" customHeight="1">
      <c r="A62" s="165" t="s">
        <v>78</v>
      </c>
      <c r="B62" s="28"/>
      <c r="C62" s="29"/>
      <c r="D62" s="6"/>
      <c r="E62" s="30"/>
      <c r="F62" s="32"/>
      <c r="G62" s="6"/>
      <c r="H62" s="28"/>
      <c r="I62" s="29"/>
      <c r="J62" s="6"/>
      <c r="K62" s="30"/>
      <c r="L62" s="32"/>
      <c r="M62" s="6"/>
      <c r="N62" s="28"/>
      <c r="O62" s="29"/>
      <c r="P62" s="6"/>
      <c r="Q62" s="30"/>
      <c r="R62" s="32"/>
      <c r="S62" s="6"/>
      <c r="T62" s="28"/>
    </row>
    <row r="63" ht="15.75" customHeight="1">
      <c r="A63" s="8"/>
      <c r="B63" s="181" t="s">
        <v>79</v>
      </c>
      <c r="C63" s="145">
        <f>IFERROR(SUMPRODUCT((Raw_Data_Daily!$B$2:$B$9999="Control")*(Raw_Data_Daily!$C$2:$C$9999="A. 0")*Raw_Data_Daily!$D$2:$D$9999*Raw_Data_Daily!$BO$2:$BO$9999)/SUMIFS(Raw_Data_Daily!$D:$D, Raw_Data_Daily!$B:$B, "Control", Raw_Data_Daily!$C:$C, "A. 0"),"")</f>
        <v>0.2277155597</v>
      </c>
      <c r="D63" s="48">
        <f>IFERROR(SUMPRODUCT((Raw_Data_Daily!$B$2:$B$9999="Variant")*(Raw_Data_Daily!$C$2:$C$9999="A. 0")*Raw_Data_Daily!$D$2:$D$9999*Raw_Data_Daily!$BO$2:$BO$9999)/SUMIFS(Raw_Data_Daily!$D:$D, Raw_Data_Daily!$B:$B, "Variant", Raw_Data_Daily!$C:$C, "A. 0"),"")</f>
        <v>0.2891811277</v>
      </c>
      <c r="E63" s="46">
        <f t="shared" ref="E63:E67" si="54">IFERROR((D63-C63)/ABS(C63),"")</f>
        <v>0.2699225652</v>
      </c>
      <c r="F63" s="146">
        <f>IFERROR(SUMPRODUCT((Raw_Data_Daily!$B$2:$B$9999="Control")*(Raw_Data_Daily!$C$2:$C$9999="B. 1-9")*Raw_Data_Daily!$D$2:$D$9999*Raw_Data_Daily!$BO$2:$BO$9999)/SUMIFS(Raw_Data_Daily!$D:$D, Raw_Data_Daily!$B:$B, "Control", Raw_Data_Daily!$C:$C, "B. 1-9"),"")</f>
        <v>0.596937279</v>
      </c>
      <c r="G63" s="48">
        <f>IFERROR(SUMPRODUCT((Raw_Data_Daily!$B$2:$B$9999="Variant")*(Raw_Data_Daily!$C$2:$C$9999="B. 1-9")*Raw_Data_Daily!$D$2:$D$9999*Raw_Data_Daily!$BO$2:$BO$9999)/SUMIFS(Raw_Data_Daily!$D:$D, Raw_Data_Daily!$B:$B, "Variant", Raw_Data_Daily!$C:$C, "B. 1-9"),"")</f>
        <v>0.795541475</v>
      </c>
      <c r="H63" s="54">
        <f t="shared" ref="H63:H67" si="55">IFERROR((G63-F63)/ABS(F63),"")</f>
        <v>0.3327052991</v>
      </c>
      <c r="I63" s="145">
        <f>IFERROR(SUMPRODUCT((Raw_Data_Daily!$B$2:$B$9999="Control")*(Raw_Data_Daily!$C$2:$C$9999="C. 10-19")*Raw_Data_Daily!$D$2:$D$9999*Raw_Data_Daily!$BO$2:$BO$9999)/SUMIFS(Raw_Data_Daily!$D:$D, Raw_Data_Daily!$B:$B, "Control", Raw_Data_Daily!$C:$C, "C. 10-19"),"")</f>
        <v>1.286622086</v>
      </c>
      <c r="J63" s="48">
        <f>IFERROR(SUMPRODUCT((Raw_Data_Daily!$B$2:$B$9999="Variant")*(Raw_Data_Daily!$C$2:$C$9999="C. 10-19")*Raw_Data_Daily!$D$2:$D$9999*Raw_Data_Daily!$BO$2:$BO$9999)/SUMIFS(Raw_Data_Daily!$D:$D, Raw_Data_Daily!$B:$B, "Variant", Raw_Data_Daily!$C:$C, "C. 10-19"),"")</f>
        <v>1.294314956</v>
      </c>
      <c r="K63" s="51">
        <f t="shared" ref="K63:K67" si="56">IFERROR((J63-I63)/ABS(I63),"")</f>
        <v>0.005979121837</v>
      </c>
      <c r="L63" s="146">
        <f>IFERROR(SUMPRODUCT((Raw_Data_Daily!$B$2:$B$9999="Control")*(Raw_Data_Daily!$C$2:$C$9999="D. 20-39")*Raw_Data_Daily!$D$2:$D$9999*Raw_Data_Daily!$BO$2:$BO$9999)/SUMIFS(Raw_Data_Daily!$D:$D, Raw_Data_Daily!$B:$B, "Control", Raw_Data_Daily!$C:$C, "D. 20-39"),"")</f>
        <v>2.035746575</v>
      </c>
      <c r="M63" s="48">
        <f>IFERROR(SUMPRODUCT((Raw_Data_Daily!$B$2:$B$9999="Variant")*(Raw_Data_Daily!$C$2:$C$9999="D. 20-39")*Raw_Data_Daily!$D$2:$D$9999*Raw_Data_Daily!$BO$2:$BO$9999)/SUMIFS(Raw_Data_Daily!$D:$D, Raw_Data_Daily!$B:$B, "Variant", Raw_Data_Daily!$C:$C, "D. 20-39"),"")</f>
        <v>1.74526922</v>
      </c>
      <c r="N63" s="54">
        <f t="shared" ref="N63:N67" si="57">IFERROR((M63-L63)/ABS(L63),"")</f>
        <v>-0.1426883674</v>
      </c>
      <c r="O63" s="145">
        <f>IFERROR(SUMPRODUCT((Raw_Data_Daily!$B$2:$B$9999="Control")*(Raw_Data_Daily!$C$2:$C$9999="E. 40-99")*Raw_Data_Daily!$D$2:$D$9999*Raw_Data_Daily!$BO$2:$BO$9999)/SUMIFS(Raw_Data_Daily!$D:$D, Raw_Data_Daily!$B:$B, "Control", Raw_Data_Daily!$C:$C, "E. 40-99"),"")</f>
        <v>3.627299726</v>
      </c>
      <c r="P63" s="48">
        <f>IFERROR(SUMPRODUCT((Raw_Data_Daily!$B$2:$B$9999="Variant")*(Raw_Data_Daily!$C$2:$C$9999="E. 40-99")*Raw_Data_Daily!$D$2:$D$9999*Raw_Data_Daily!$BO$2:$BO$9999)/SUMIFS(Raw_Data_Daily!$D:$D, Raw_Data_Daily!$B:$B, "Variant", Raw_Data_Daily!$C:$C, "E. 40-99"),"")</f>
        <v>2.651821003</v>
      </c>
      <c r="Q63" s="51">
        <f t="shared" ref="Q63:Q67" si="58">IFERROR((P63-O63)/ABS(O63),"")</f>
        <v>-0.2689269697</v>
      </c>
      <c r="R63" s="146">
        <f>IFERROR(SUMPRODUCT((Raw_Data_Daily!$B$2:$B$9999="Control")*(Raw_Data_Daily!$C$2:$C$9999="F. 100+")*Raw_Data_Daily!$D$2:$D$9999*Raw_Data_Daily!$BO$2:$BO$9999)/SUMIFS(Raw_Data_Daily!$D:$D, Raw_Data_Daily!$B:$B, "Control", Raw_Data_Daily!$C:$C, "F. 100+"),"")</f>
        <v>7.580039631</v>
      </c>
      <c r="S63" s="149">
        <f>IFERROR(SUMPRODUCT((Raw_Data_Daily!$B$2:$B$9999="Variant")*(Raw_Data_Daily!$C$2:$C$9999="F. 100+")*Raw_Data_Daily!$D$2:$D$9999*Raw_Data_Daily!$BO$2:$BO$9999)/SUMIFS(Raw_Data_Daily!$D:$D, Raw_Data_Daily!$B:$B, "Variant", Raw_Data_Daily!$C:$C, "F. 100+"),"")</f>
        <v>4.803700433</v>
      </c>
      <c r="T63" s="169">
        <f t="shared" ref="T63:T67" si="59">IFERROR((S63-R63)/ABS(R63),"")</f>
        <v>-0.3662697471</v>
      </c>
    </row>
    <row r="64" ht="15.75" customHeight="1">
      <c r="A64" s="8"/>
      <c r="B64" s="181" t="s">
        <v>80</v>
      </c>
      <c r="C64" s="145">
        <f>IFERROR(SUMPRODUCT((Raw_Data_Daily!$B$2:$B$9999="Control")*(Raw_Data_Daily!$C$2:$C$9999="A. 0")*Raw_Data_Daily!$D$2:$D$9999*Raw_Data_Daily!$BP$2:$BP$9999)/SUMIFS(Raw_Data_Daily!$D:$D, Raw_Data_Daily!$B:$B, "Control", Raw_Data_Daily!$C:$C, "A. 0"),"")</f>
        <v>0.009769926332</v>
      </c>
      <c r="D64" s="48">
        <f>IFERROR(SUMPRODUCT((Raw_Data_Daily!$B$2:$B$9999="Variant")*(Raw_Data_Daily!$C$2:$C$9999="A. 0")*Raw_Data_Daily!$D$2:$D$9999*Raw_Data_Daily!$BP$2:$BP$9999)/SUMIFS(Raw_Data_Daily!$D:$D, Raw_Data_Daily!$B:$B, "Variant", Raw_Data_Daily!$C:$C, "A. 0"),"")</f>
        <v>0.009557719206</v>
      </c>
      <c r="E64" s="46">
        <f t="shared" si="54"/>
        <v>-0.02172044274</v>
      </c>
      <c r="F64" s="146">
        <f>IFERROR(SUMPRODUCT((Raw_Data_Daily!$B$2:$B$9999="Control")*(Raw_Data_Daily!$C$2:$C$9999="B. 1-9")*Raw_Data_Daily!$D$2:$D$9999*Raw_Data_Daily!$BP$2:$BP$9999)/SUMIFS(Raw_Data_Daily!$D:$D, Raw_Data_Daily!$B:$B, "Control", Raw_Data_Daily!$C:$C, "B. 1-9"),"")</f>
        <v>0.009751900838</v>
      </c>
      <c r="G64" s="48">
        <f>IFERROR(SUMPRODUCT((Raw_Data_Daily!$B$2:$B$9999="Variant")*(Raw_Data_Daily!$C$2:$C$9999="B. 1-9")*Raw_Data_Daily!$D$2:$D$9999*Raw_Data_Daily!$BP$2:$BP$9999)/SUMIFS(Raw_Data_Daily!$D:$D, Raw_Data_Daily!$B:$B, "Variant", Raw_Data_Daily!$C:$C, "B. 1-9"),"")</f>
        <v>0.009908576647</v>
      </c>
      <c r="H64" s="54">
        <f t="shared" si="55"/>
        <v>0.01606618152</v>
      </c>
      <c r="I64" s="145">
        <f>IFERROR(SUMPRODUCT((Raw_Data_Daily!$B$2:$B$9999="Control")*(Raw_Data_Daily!$C$2:$C$9999="C. 10-19")*Raw_Data_Daily!$D$2:$D$9999*Raw_Data_Daily!$BP$2:$BP$9999)/SUMIFS(Raw_Data_Daily!$D:$D, Raw_Data_Daily!$B:$B, "Control", Raw_Data_Daily!$C:$C, "C. 10-19"),"")</f>
        <v>0.02271895177</v>
      </c>
      <c r="J64" s="48">
        <f>IFERROR(SUMPRODUCT((Raw_Data_Daily!$B$2:$B$9999="Variant")*(Raw_Data_Daily!$C$2:$C$9999="C. 10-19")*Raw_Data_Daily!$D$2:$D$9999*Raw_Data_Daily!$BP$2:$BP$9999)/SUMIFS(Raw_Data_Daily!$D:$D, Raw_Data_Daily!$B:$B, "Variant", Raw_Data_Daily!$C:$C, "C. 10-19"),"")</f>
        <v>0.0258416364</v>
      </c>
      <c r="K64" s="51">
        <f t="shared" si="56"/>
        <v>0.1374484463</v>
      </c>
      <c r="L64" s="146">
        <f>IFERROR(SUMPRODUCT((Raw_Data_Daily!$B$2:$B$9999="Control")*(Raw_Data_Daily!$C$2:$C$9999="D. 20-39")*Raw_Data_Daily!$D$2:$D$9999*Raw_Data_Daily!$BP$2:$BP$9999)/SUMIFS(Raw_Data_Daily!$D:$D, Raw_Data_Daily!$B:$B, "Control", Raw_Data_Daily!$C:$C, "D. 20-39"),"")</f>
        <v>0.04091231128</v>
      </c>
      <c r="M64" s="48">
        <f>IFERROR(SUMPRODUCT((Raw_Data_Daily!$B$2:$B$9999="Variant")*(Raw_Data_Daily!$C$2:$C$9999="D. 20-39")*Raw_Data_Daily!$D$2:$D$9999*Raw_Data_Daily!$BP$2:$BP$9999)/SUMIFS(Raw_Data_Daily!$D:$D, Raw_Data_Daily!$B:$B, "Variant", Raw_Data_Daily!$C:$C, "D. 20-39"),"")</f>
        <v>0.03427123518</v>
      </c>
      <c r="N64" s="54">
        <f t="shared" si="57"/>
        <v>-0.1623246376</v>
      </c>
      <c r="O64" s="145">
        <f>IFERROR(SUMPRODUCT((Raw_Data_Daily!$B$2:$B$9999="Control")*(Raw_Data_Daily!$C$2:$C$9999="E. 40-99")*Raw_Data_Daily!$D$2:$D$9999*Raw_Data_Daily!$BP$2:$BP$9999)/SUMIFS(Raw_Data_Daily!$D:$D, Raw_Data_Daily!$B:$B, "Control", Raw_Data_Daily!$C:$C, "E. 40-99"),"")</f>
        <v>0.07114508076</v>
      </c>
      <c r="P64" s="48">
        <f>IFERROR(SUMPRODUCT((Raw_Data_Daily!$B$2:$B$9999="Variant")*(Raw_Data_Daily!$C$2:$C$9999="E. 40-99")*Raw_Data_Daily!$D$2:$D$9999*Raw_Data_Daily!$BP$2:$BP$9999)/SUMIFS(Raw_Data_Daily!$D:$D, Raw_Data_Daily!$B:$B, "Variant", Raw_Data_Daily!$C:$C, "E. 40-99"),"")</f>
        <v>0.05828462212</v>
      </c>
      <c r="Q64" s="51">
        <f t="shared" si="58"/>
        <v>-0.180763849</v>
      </c>
      <c r="R64" s="146">
        <f>IFERROR(SUMPRODUCT((Raw_Data_Daily!$B$2:$B$9999="Control")*(Raw_Data_Daily!$C$2:$C$9999="F. 100+")*Raw_Data_Daily!$D$2:$D$9999*Raw_Data_Daily!$BP$2:$BP$9999)/SUMIFS(Raw_Data_Daily!$D:$D, Raw_Data_Daily!$B:$B, "Control", Raw_Data_Daily!$C:$C, "F. 100+"),"")</f>
        <v>0.1192273447</v>
      </c>
      <c r="S64" s="149">
        <f>IFERROR(SUMPRODUCT((Raw_Data_Daily!$B$2:$B$9999="Variant")*(Raw_Data_Daily!$C$2:$C$9999="F. 100+")*Raw_Data_Daily!$D$2:$D$9999*Raw_Data_Daily!$BP$2:$BP$9999)/SUMIFS(Raw_Data_Daily!$D:$D, Raw_Data_Daily!$B:$B, "Variant", Raw_Data_Daily!$C:$C, "F. 100+"),"")</f>
        <v>0.0702022513</v>
      </c>
      <c r="T64" s="169">
        <f t="shared" si="59"/>
        <v>-0.411190013</v>
      </c>
    </row>
    <row r="65" ht="15.75" customHeight="1">
      <c r="A65" s="8"/>
      <c r="B65" s="181" t="s">
        <v>81</v>
      </c>
      <c r="C65" s="145">
        <f>IFERROR(SUMPRODUCT((Raw_Data_Daily!$B$2:$B$9999="Control")*(Raw_Data_Daily!$C$2:$C$9999="A. 0")*Raw_Data_Daily!$D$2:$D$9999*Raw_Data_Daily!$BQ$2:$BQ$9999)/SUMIFS(Raw_Data_Daily!$D:$D, Raw_Data_Daily!$B:$B, "Control", Raw_Data_Daily!$C:$C, "A. 0"),"")</f>
        <v>0.2179405417</v>
      </c>
      <c r="D65" s="48">
        <f>IFERROR(SUMPRODUCT((Raw_Data_Daily!$B$2:$B$9999="Variant")*(Raw_Data_Daily!$C$2:$C$9999="A. 0")*Raw_Data_Daily!$D$2:$D$9999*Raw_Data_Daily!$BQ$2:$BQ$9999)/SUMIFS(Raw_Data_Daily!$D:$D, Raw_Data_Daily!$B:$B, "Variant", Raw_Data_Daily!$C:$C, "A. 0"),"")</f>
        <v>0.2796274643</v>
      </c>
      <c r="E65" s="46">
        <f t="shared" si="54"/>
        <v>0.2830447334</v>
      </c>
      <c r="F65" s="146">
        <f>IFERROR(SUMPRODUCT((Raw_Data_Daily!$B$2:$B$9999="Control")*(Raw_Data_Daily!$C$2:$C$9999="B. 1-9")*Raw_Data_Daily!$D$2:$D$9999*Raw_Data_Daily!$BQ$2:$BQ$9999)/SUMIFS(Raw_Data_Daily!$D:$D, Raw_Data_Daily!$B:$B, "Control", Raw_Data_Daily!$C:$C, "B. 1-9"),"")</f>
        <v>0.5871995877</v>
      </c>
      <c r="G65" s="48">
        <f>IFERROR(SUMPRODUCT((Raw_Data_Daily!$B$2:$B$9999="Variant")*(Raw_Data_Daily!$C$2:$C$9999="B. 1-9")*Raw_Data_Daily!$D$2:$D$9999*Raw_Data_Daily!$BQ$2:$BQ$9999)/SUMIFS(Raw_Data_Daily!$D:$D, Raw_Data_Daily!$B:$B, "Variant", Raw_Data_Daily!$C:$C, "B. 1-9"),"")</f>
        <v>0.7855988583</v>
      </c>
      <c r="H65" s="54">
        <f t="shared" si="55"/>
        <v>0.3378736545</v>
      </c>
      <c r="I65" s="145">
        <f>IFERROR(SUMPRODUCT((Raw_Data_Daily!$B$2:$B$9999="Control")*(Raw_Data_Daily!$C$2:$C$9999="C. 10-19")*Raw_Data_Daily!$D$2:$D$9999*Raw_Data_Daily!$BQ$2:$BQ$9999)/SUMIFS(Raw_Data_Daily!$D:$D, Raw_Data_Daily!$B:$B, "Control", Raw_Data_Daily!$C:$C, "C. 10-19"),"")</f>
        <v>1.263903487</v>
      </c>
      <c r="J65" s="48">
        <f>IFERROR(SUMPRODUCT((Raw_Data_Daily!$B$2:$B$9999="Variant")*(Raw_Data_Daily!$C$2:$C$9999="C. 10-19")*Raw_Data_Daily!$D$2:$D$9999*Raw_Data_Daily!$BQ$2:$BQ$9999)/SUMIFS(Raw_Data_Daily!$D:$D, Raw_Data_Daily!$B:$B, "Variant", Raw_Data_Daily!$C:$C, "C. 10-19"),"")</f>
        <v>1.268473066</v>
      </c>
      <c r="K65" s="51">
        <f t="shared" si="56"/>
        <v>0.003615449447</v>
      </c>
      <c r="L65" s="146">
        <f>IFERROR(SUMPRODUCT((Raw_Data_Daily!$B$2:$B$9999="Control")*(Raw_Data_Daily!$C$2:$C$9999="D. 20-39")*Raw_Data_Daily!$D$2:$D$9999*Raw_Data_Daily!$BQ$2:$BQ$9999)/SUMIFS(Raw_Data_Daily!$D:$D, Raw_Data_Daily!$B:$B, "Control", Raw_Data_Daily!$C:$C, "D. 20-39"),"")</f>
        <v>1.994834552</v>
      </c>
      <c r="M65" s="48">
        <f>IFERROR(SUMPRODUCT((Raw_Data_Daily!$B$2:$B$9999="Variant")*(Raw_Data_Daily!$C$2:$C$9999="D. 20-39")*Raw_Data_Daily!$D$2:$D$9999*Raw_Data_Daily!$BQ$2:$BQ$9999)/SUMIFS(Raw_Data_Daily!$D:$D, Raw_Data_Daily!$B:$B, "Variant", Raw_Data_Daily!$C:$C, "D. 20-39"),"")</f>
        <v>1.711012011</v>
      </c>
      <c r="N65" s="54">
        <f t="shared" si="57"/>
        <v>-0.1422787372</v>
      </c>
      <c r="O65" s="145">
        <f>IFERROR(SUMPRODUCT((Raw_Data_Daily!$B$2:$B$9999="Control")*(Raw_Data_Daily!$C$2:$C$9999="E. 40-99")*Raw_Data_Daily!$D$2:$D$9999*Raw_Data_Daily!$BQ$2:$BQ$9999)/SUMIFS(Raw_Data_Daily!$D:$D, Raw_Data_Daily!$B:$B, "Control", Raw_Data_Daily!$C:$C, "E. 40-99"),"")</f>
        <v>3.556164577</v>
      </c>
      <c r="P65" s="48">
        <f>IFERROR(SUMPRODUCT((Raw_Data_Daily!$B$2:$B$9999="Variant")*(Raw_Data_Daily!$C$2:$C$9999="E. 40-99")*Raw_Data_Daily!$D$2:$D$9999*Raw_Data_Daily!$BQ$2:$BQ$9999)/SUMIFS(Raw_Data_Daily!$D:$D, Raw_Data_Daily!$B:$B, "Variant", Raw_Data_Daily!$C:$C, "E. 40-99"),"")</f>
        <v>2.593556023</v>
      </c>
      <c r="Q65" s="51">
        <f t="shared" si="58"/>
        <v>-0.2706872904</v>
      </c>
      <c r="R65" s="146">
        <f>IFERROR(SUMPRODUCT((Raw_Data_Daily!$B$2:$B$9999="Control")*(Raw_Data_Daily!$C$2:$C$9999="F. 100+")*Raw_Data_Daily!$D$2:$D$9999*Raw_Data_Daily!$BQ$2:$BQ$9999)/SUMIFS(Raw_Data_Daily!$D:$D, Raw_Data_Daily!$B:$B, "Control", Raw_Data_Daily!$C:$C, "F. 100+"),"")</f>
        <v>7.460802595</v>
      </c>
      <c r="S65" s="149">
        <f>IFERROR(SUMPRODUCT((Raw_Data_Daily!$B$2:$B$9999="Variant")*(Raw_Data_Daily!$C$2:$C$9999="F. 100+")*Raw_Data_Daily!$D$2:$D$9999*Raw_Data_Daily!$BQ$2:$BQ$9999)/SUMIFS(Raw_Data_Daily!$D:$D, Raw_Data_Daily!$B:$B, "Variant", Raw_Data_Daily!$C:$C, "F. 100+"),"")</f>
        <v>4.733514406</v>
      </c>
      <c r="T65" s="169">
        <f t="shared" si="59"/>
        <v>-0.3655489009</v>
      </c>
    </row>
    <row r="66" ht="15.75" customHeight="1">
      <c r="A66" s="8"/>
      <c r="B66" s="181" t="s">
        <v>82</v>
      </c>
      <c r="C66" s="145">
        <f>IFERROR(SUMPRODUCT((Raw_Data_Daily!$B$2:$B$9999="Control")*(Raw_Data_Daily!$C$2:$C$9999="A. 0")*Raw_Data_Daily!$D$2:$D$9999*Raw_Data_Daily!$BR$2:$BR$9999)/SUMIFS(Raw_Data_Daily!$D:$D, Raw_Data_Daily!$B:$B, "Control", Raw_Data_Daily!$C:$C, "A. 0"),"")</f>
        <v>0.2027301456</v>
      </c>
      <c r="D66" s="48">
        <f>IFERROR(SUMPRODUCT((Raw_Data_Daily!$B$2:$B$9999="Variant")*(Raw_Data_Daily!$C$2:$C$9999="A. 0")*Raw_Data_Daily!$D$2:$D$9999*Raw_Data_Daily!$BR$2:$BR$9999)/SUMIFS(Raw_Data_Daily!$D:$D, Raw_Data_Daily!$B:$B, "Variant", Raw_Data_Daily!$C:$C, "A. 0"),"")</f>
        <v>0.2695564222</v>
      </c>
      <c r="E66" s="46">
        <f t="shared" si="54"/>
        <v>0.3296316707</v>
      </c>
      <c r="F66" s="146">
        <f>IFERROR(SUMPRODUCT((Raw_Data_Daily!$B$2:$B$9999="Control")*(Raw_Data_Daily!$C$2:$C$9999="B. 1-9")*Raw_Data_Daily!$D$2:$D$9999*Raw_Data_Daily!$BR$2:$BR$9999)/SUMIFS(Raw_Data_Daily!$D:$D, Raw_Data_Daily!$B:$B, "Control", Raw_Data_Daily!$C:$C, "B. 1-9"),"")</f>
        <v>0.5104118123</v>
      </c>
      <c r="G66" s="48">
        <f>IFERROR(SUMPRODUCT((Raw_Data_Daily!$B$2:$B$9999="Variant")*(Raw_Data_Daily!$C$2:$C$9999="B. 1-9")*Raw_Data_Daily!$D$2:$D$9999*Raw_Data_Daily!$BR$2:$BR$9999)/SUMIFS(Raw_Data_Daily!$D:$D, Raw_Data_Daily!$B:$B, "Variant", Raw_Data_Daily!$C:$C, "B. 1-9"),"")</f>
        <v>0.5919754808</v>
      </c>
      <c r="H66" s="54">
        <f t="shared" si="55"/>
        <v>0.1597997275</v>
      </c>
      <c r="I66" s="145">
        <f>IFERROR(SUMPRODUCT((Raw_Data_Daily!$B$2:$B$9999="Control")*(Raw_Data_Daily!$C$2:$C$9999="C. 10-19")*Raw_Data_Daily!$D$2:$D$9999*Raw_Data_Daily!$BR$2:$BR$9999)/SUMIFS(Raw_Data_Daily!$D:$D, Raw_Data_Daily!$B:$B, "Control", Raw_Data_Daily!$C:$C, "C. 10-19"),"")</f>
        <v>0.9838687933</v>
      </c>
      <c r="J66" s="48">
        <f>IFERROR(SUMPRODUCT((Raw_Data_Daily!$B$2:$B$9999="Variant")*(Raw_Data_Daily!$C$2:$C$9999="C. 10-19")*Raw_Data_Daily!$D$2:$D$9999*Raw_Data_Daily!$BR$2:$BR$9999)/SUMIFS(Raw_Data_Daily!$D:$D, Raw_Data_Daily!$B:$B, "Variant", Raw_Data_Daily!$C:$C, "C. 10-19"),"")</f>
        <v>1.034177145</v>
      </c>
      <c r="K66" s="51">
        <f t="shared" si="56"/>
        <v>0.05113319153</v>
      </c>
      <c r="L66" s="146">
        <f>IFERROR(SUMPRODUCT((Raw_Data_Daily!$B$2:$B$9999="Control")*(Raw_Data_Daily!$C$2:$C$9999="D. 20-39")*Raw_Data_Daily!$D$2:$D$9999*Raw_Data_Daily!$BR$2:$BR$9999)/SUMIFS(Raw_Data_Daily!$D:$D, Raw_Data_Daily!$B:$B, "Control", Raw_Data_Daily!$C:$C, "D. 20-39"),"")</f>
        <v>1.467322529</v>
      </c>
      <c r="M66" s="48">
        <f>IFERROR(SUMPRODUCT((Raw_Data_Daily!$B$2:$B$9999="Variant")*(Raw_Data_Daily!$C$2:$C$9999="D. 20-39")*Raw_Data_Daily!$D$2:$D$9999*Raw_Data_Daily!$BR$2:$BR$9999)/SUMIFS(Raw_Data_Daily!$D:$D, Raw_Data_Daily!$B:$B, "Variant", Raw_Data_Daily!$C:$C, "D. 20-39"),"")</f>
        <v>1.349316776</v>
      </c>
      <c r="N66" s="54">
        <f t="shared" si="57"/>
        <v>-0.08042250513</v>
      </c>
      <c r="O66" s="145">
        <f>IFERROR(SUMPRODUCT((Raw_Data_Daily!$B$2:$B$9999="Control")*(Raw_Data_Daily!$C$2:$C$9999="E. 40-99")*Raw_Data_Daily!$D$2:$D$9999*Raw_Data_Daily!$BR$2:$BR$9999)/SUMIFS(Raw_Data_Daily!$D:$D, Raw_Data_Daily!$B:$B, "Control", Raw_Data_Daily!$C:$C, "E. 40-99"),"")</f>
        <v>2.637078723</v>
      </c>
      <c r="P66" s="48">
        <f>IFERROR(SUMPRODUCT((Raw_Data_Daily!$B$2:$B$9999="Variant")*(Raw_Data_Daily!$C$2:$C$9999="E. 40-99")*Raw_Data_Daily!$D$2:$D$9999*Raw_Data_Daily!$BR$2:$BR$9999)/SUMIFS(Raw_Data_Daily!$D:$D, Raw_Data_Daily!$B:$B, "Variant", Raw_Data_Daily!$C:$C, "E. 40-99"),"")</f>
        <v>2.069960537</v>
      </c>
      <c r="Q66" s="51">
        <f t="shared" si="58"/>
        <v>-0.2150554633</v>
      </c>
      <c r="R66" s="146">
        <f>IFERROR(SUMPRODUCT((Raw_Data_Daily!$B$2:$B$9999="Control")*(Raw_Data_Daily!$C$2:$C$9999="F. 100+")*Raw_Data_Daily!$D$2:$D$9999*Raw_Data_Daily!$BR$2:$BR$9999)/SUMIFS(Raw_Data_Daily!$D:$D, Raw_Data_Daily!$B:$B, "Control", Raw_Data_Daily!$C:$C, "F. 100+"),"")</f>
        <v>5.752495165</v>
      </c>
      <c r="S66" s="149">
        <f>IFERROR(SUMPRODUCT((Raw_Data_Daily!$B$2:$B$9999="Variant")*(Raw_Data_Daily!$C$2:$C$9999="F. 100+")*Raw_Data_Daily!$D$2:$D$9999*Raw_Data_Daily!$BR$2:$BR$9999)/SUMIFS(Raw_Data_Daily!$D:$D, Raw_Data_Daily!$B:$B, "Variant", Raw_Data_Daily!$C:$C, "F. 100+"),"")</f>
        <v>3.854613364</v>
      </c>
      <c r="T66" s="169">
        <f t="shared" si="59"/>
        <v>-0.3299232327</v>
      </c>
    </row>
    <row r="67" ht="15.75" customHeight="1">
      <c r="A67" s="8"/>
      <c r="B67" s="181" t="s">
        <v>83</v>
      </c>
      <c r="C67" s="145">
        <f>IFERROR(SUMPRODUCT((Raw_Data_Daily!$B$2:$B$9999="Control")*(Raw_Data_Daily!$C$2:$C$9999="A. 0")*Raw_Data_Daily!$D$2:$D$9999*(Raw_Data_Daily!$BO$2:$BO$9999-Raw_Data_Daily!$BR$2:$BR$9999))/SUMIFS(Raw_Data_Daily!$D:$D, Raw_Data_Daily!$B:$B, "Control", Raw_Data_Daily!$C:$C, "A. 0"),"")</f>
        <v>0.02498541412</v>
      </c>
      <c r="D67" s="48">
        <f>IFERROR(SUMPRODUCT((Raw_Data_Daily!$B$2:$B$9999="Variant")*(Raw_Data_Daily!$C$2:$C$9999="A. 0")*Raw_Data_Daily!$D$2:$D$9999*(Raw_Data_Daily!$BO$2:$BO$9999-Raw_Data_Daily!$BR$2:$BR$9999))/SUMIFS(Raw_Data_Daily!$D:$D, Raw_Data_Daily!$B:$B, "Variant", Raw_Data_Daily!$C:$C, "A. 0"),"")</f>
        <v>0.01962470553</v>
      </c>
      <c r="E67" s="38">
        <f t="shared" si="54"/>
        <v>-0.2145535216</v>
      </c>
      <c r="F67" s="146">
        <f>IFERROR(SUMPRODUCT((Raw_Data_Daily!$B$2:$B$9999="Control")*(Raw_Data_Daily!$C$2:$C$9999="B. 1-9")*Raw_Data_Daily!$D$2:$D$9999*(Raw_Data_Daily!$BO$2:$BO$9999-Raw_Data_Daily!$BR$2:$BR$9999))/SUMIFS(Raw_Data_Daily!$D:$D, Raw_Data_Daily!$B:$B, "Control", Raw_Data_Daily!$C:$C, "B. 1-9"),"")</f>
        <v>0.08652546673</v>
      </c>
      <c r="G67" s="48">
        <f>IFERROR(SUMPRODUCT((Raw_Data_Daily!$B$2:$B$9999="Variant")*(Raw_Data_Daily!$C$2:$C$9999="B. 1-9")*Raw_Data_Daily!$D$2:$D$9999*(Raw_Data_Daily!$BO$2:$BO$9999-Raw_Data_Daily!$BR$2:$BR$9999))/SUMIFS(Raw_Data_Daily!$D:$D, Raw_Data_Daily!$B:$B, "Variant", Raw_Data_Daily!$C:$C, "B. 1-9"),"")</f>
        <v>0.2035659942</v>
      </c>
      <c r="H67" s="54">
        <f t="shared" si="55"/>
        <v>1.352671437</v>
      </c>
      <c r="I67" s="145">
        <f>IFERROR(SUMPRODUCT((Raw_Data_Daily!$B$2:$B$9999="Control")*(Raw_Data_Daily!$C$2:$C$9999="C. 10-19")*Raw_Data_Daily!$D$2:$D$9999*(Raw_Data_Daily!$BO$2:$BO$9999-Raw_Data_Daily!$BR$2:$BR$9999))/SUMIFS(Raw_Data_Daily!$D:$D, Raw_Data_Daily!$B:$B, "Control", Raw_Data_Daily!$C:$C, "C. 10-19"),"")</f>
        <v>0.3027532927</v>
      </c>
      <c r="J67" s="48">
        <f>IFERROR(SUMPRODUCT((Raw_Data_Daily!$B$2:$B$9999="Variant")*(Raw_Data_Daily!$C$2:$C$9999="C. 10-19")*Raw_Data_Daily!$D$2:$D$9999*(Raw_Data_Daily!$BO$2:$BO$9999-Raw_Data_Daily!$BR$2:$BR$9999))/SUMIFS(Raw_Data_Daily!$D:$D, Raw_Data_Daily!$B:$B, "Variant", Raw_Data_Daily!$C:$C, "C. 10-19"),"")</f>
        <v>0.2601378115</v>
      </c>
      <c r="K67" s="51">
        <f t="shared" si="56"/>
        <v>-0.1407597614</v>
      </c>
      <c r="L67" s="146">
        <f>IFERROR(SUMPRODUCT((Raw_Data_Daily!$B$2:$B$9999="Control")*(Raw_Data_Daily!$C$2:$C$9999="D. 20-39")*Raw_Data_Daily!$D$2:$D$9999*(Raw_Data_Daily!$BO$2:$BO$9999-Raw_Data_Daily!$BR$2:$BR$9999))/SUMIFS(Raw_Data_Daily!$D:$D, Raw_Data_Daily!$B:$B, "Control", Raw_Data_Daily!$C:$C, "D. 20-39"),"")</f>
        <v>0.5684240458</v>
      </c>
      <c r="M67" s="48">
        <f>IFERROR(SUMPRODUCT((Raw_Data_Daily!$B$2:$B$9999="Variant")*(Raw_Data_Daily!$C$2:$C$9999="D. 20-39")*Raw_Data_Daily!$D$2:$D$9999*(Raw_Data_Daily!$BO$2:$BO$9999-Raw_Data_Daily!$BR$2:$BR$9999))/SUMIFS(Raw_Data_Daily!$D:$D, Raw_Data_Daily!$B:$B, "Variant", Raw_Data_Daily!$C:$C, "D. 20-39"),"")</f>
        <v>0.3959524441</v>
      </c>
      <c r="N67" s="54">
        <f t="shared" si="57"/>
        <v>-0.3034206645</v>
      </c>
      <c r="O67" s="145">
        <f>IFERROR(SUMPRODUCT((Raw_Data_Daily!$B$2:$B$9999="Control")*(Raw_Data_Daily!$C$2:$C$9999="E. 40-99")*Raw_Data_Daily!$D$2:$D$9999*(Raw_Data_Daily!$BO$2:$BO$9999-Raw_Data_Daily!$BR$2:$BR$9999))/SUMIFS(Raw_Data_Daily!$D:$D, Raw_Data_Daily!$B:$B, "Control", Raw_Data_Daily!$C:$C, "E. 40-99"),"")</f>
        <v>0.9902210034</v>
      </c>
      <c r="P67" s="48">
        <f>IFERROR(SUMPRODUCT((Raw_Data_Daily!$B$2:$B$9999="Variant")*(Raw_Data_Daily!$C$2:$C$9999="E. 40-99")*Raw_Data_Daily!$D$2:$D$9999*(Raw_Data_Daily!$BO$2:$BO$9999-Raw_Data_Daily!$BR$2:$BR$9999))/SUMIFS(Raw_Data_Daily!$D:$D, Raw_Data_Daily!$B:$B, "Variant", Raw_Data_Daily!$C:$C, "E. 40-99"),"")</f>
        <v>0.5818604665</v>
      </c>
      <c r="Q67" s="51">
        <f t="shared" si="58"/>
        <v>-0.41239333</v>
      </c>
      <c r="R67" s="146">
        <f>IFERROR(SUMPRODUCT((Raw_Data_Daily!$B$2:$B$9999="Control")*(Raw_Data_Daily!$C$2:$C$9999="F. 100+")*Raw_Data_Daily!$D$2:$D$9999*(Raw_Data_Daily!$BO$2:$BO$9999-Raw_Data_Daily!$BR$2:$BR$9999))/SUMIFS(Raw_Data_Daily!$D:$D, Raw_Data_Daily!$B:$B, "Control", Raw_Data_Daily!$C:$C, "F. 100+"),"")</f>
        <v>1.827544466</v>
      </c>
      <c r="S67" s="48">
        <f>IFERROR(SUMPRODUCT((Raw_Data_Daily!$B$2:$B$9999="Variant")*(Raw_Data_Daily!$C$2:$C$9999="F. 100+")*Raw_Data_Daily!$D$2:$D$9999*(Raw_Data_Daily!$BO$2:$BO$9999-Raw_Data_Daily!$BR$2:$BR$9999))/SUMIFS(Raw_Data_Daily!$D:$D, Raw_Data_Daily!$B:$B, "Variant", Raw_Data_Daily!$C:$C, "F. 100+"),"")</f>
        <v>0.9490870689</v>
      </c>
      <c r="T67" s="54">
        <f t="shared" si="59"/>
        <v>-0.4806763467</v>
      </c>
    </row>
    <row r="68" ht="15.75" customHeight="1">
      <c r="A68" s="165" t="s">
        <v>84</v>
      </c>
      <c r="B68" s="28"/>
      <c r="C68" s="29"/>
      <c r="D68" s="6"/>
      <c r="E68" s="30"/>
      <c r="F68" s="32"/>
      <c r="G68" s="6"/>
      <c r="H68" s="28"/>
      <c r="I68" s="29"/>
      <c r="J68" s="6"/>
      <c r="K68" s="30"/>
      <c r="L68" s="32"/>
      <c r="M68" s="6"/>
      <c r="N68" s="28"/>
      <c r="O68" s="29"/>
      <c r="P68" s="6"/>
      <c r="Q68" s="30"/>
      <c r="R68" s="32"/>
      <c r="S68" s="6"/>
      <c r="T68" s="28"/>
    </row>
    <row r="69" ht="15.75" customHeight="1">
      <c r="A69" s="8"/>
      <c r="B69" s="181" t="s">
        <v>85</v>
      </c>
      <c r="C69" s="145">
        <f>IFERROR(SUMPRODUCT((Raw_Data_Daily!$B$2:$B$9999="Control")*(Raw_Data_Daily!$C$2:$C$9999="A. 0")*Raw_Data_Daily!$D$2:$D$9999*Raw_Data_Daily!$BS$2:$BS$9999)/SUMIFS(Raw_Data_Daily!$D:$D, Raw_Data_Daily!$B:$B, "Control", Raw_Data_Daily!$C:$C, "A. 0"),"")</f>
        <v>0.2417979085</v>
      </c>
      <c r="D69" s="48">
        <f>IFERROR(SUMPRODUCT((Raw_Data_Daily!$B$2:$B$9999="Variant")*(Raw_Data_Daily!$C$2:$C$9999="A. 0")*Raw_Data_Daily!$D$2:$D$9999*Raw_Data_Daily!$BS$2:$BS$9999)/SUMIFS(Raw_Data_Daily!$D:$D, Raw_Data_Daily!$B:$B, "Variant", Raw_Data_Daily!$C:$C, "A. 0"),"")</f>
        <v>0.2772025631</v>
      </c>
      <c r="E69" s="46">
        <f t="shared" ref="E69:E73" si="60">IFERROR((D69-C69)/ABS(C69),"")</f>
        <v>0.1464225011</v>
      </c>
      <c r="F69" s="146">
        <f>IFERROR(SUMPRODUCT((Raw_Data_Daily!$B$2:$B$9999="Control")*(Raw_Data_Daily!$C$2:$C$9999="B. 1-9")*Raw_Data_Daily!$D$2:$D$9999*Raw_Data_Daily!$BS$2:$BS$9999)/SUMIFS(Raw_Data_Daily!$D:$D, Raw_Data_Daily!$B:$B, "Control", Raw_Data_Daily!$C:$C, "B. 1-9"),"")</f>
        <v>0.6933919938</v>
      </c>
      <c r="G69" s="48">
        <f>IFERROR(SUMPRODUCT((Raw_Data_Daily!$B$2:$B$9999="Variant")*(Raw_Data_Daily!$C$2:$C$9999="B. 1-9")*Raw_Data_Daily!$D$2:$D$9999*Raw_Data_Daily!$BS$2:$BS$9999)/SUMIFS(Raw_Data_Daily!$D:$D, Raw_Data_Daily!$B:$B, "Variant", Raw_Data_Daily!$C:$C, "B. 1-9"),"")</f>
        <v>0.7181604257</v>
      </c>
      <c r="H69" s="54">
        <f t="shared" ref="H69:H73" si="61">IFERROR((G69-F69)/ABS(F69),"")</f>
        <v>0.03572067761</v>
      </c>
      <c r="I69" s="145">
        <f>IFERROR(SUMPRODUCT((Raw_Data_Daily!$B$2:$B$9999="Control")*(Raw_Data_Daily!$C$2:$C$9999="C. 10-19")*Raw_Data_Daily!$D$2:$D$9999*Raw_Data_Daily!$BS$2:$BS$9999)/SUMIFS(Raw_Data_Daily!$D:$D, Raw_Data_Daily!$B:$B, "Control", Raw_Data_Daily!$C:$C, "C. 10-19"),"")</f>
        <v>1.467916965</v>
      </c>
      <c r="J69" s="48">
        <f>IFERROR(SUMPRODUCT((Raw_Data_Daily!$B$2:$B$9999="Variant")*(Raw_Data_Daily!$C$2:$C$9999="C. 10-19")*Raw_Data_Daily!$D$2:$D$9999*Raw_Data_Daily!$BS$2:$BS$9999)/SUMIFS(Raw_Data_Daily!$D:$D, Raw_Data_Daily!$B:$B, "Variant", Raw_Data_Daily!$C:$C, "C. 10-19"),"")</f>
        <v>1.337831878</v>
      </c>
      <c r="K69" s="51">
        <f t="shared" ref="K69:K73" si="62">IFERROR((J69-I69)/ABS(I69),"")</f>
        <v>-0.08861883242</v>
      </c>
      <c r="L69" s="146">
        <f>IFERROR(SUMPRODUCT((Raw_Data_Daily!$B$2:$B$9999="Control")*(Raw_Data_Daily!$C$2:$C$9999="D. 20-39")*Raw_Data_Daily!$D$2:$D$9999*Raw_Data_Daily!$BS$2:$BS$9999)/SUMIFS(Raw_Data_Daily!$D:$D, Raw_Data_Daily!$B:$B, "Control", Raw_Data_Daily!$C:$C, "D. 20-39"),"")</f>
        <v>2.314940175</v>
      </c>
      <c r="M69" s="48">
        <f>IFERROR(SUMPRODUCT((Raw_Data_Daily!$B$2:$B$9999="Variant")*(Raw_Data_Daily!$C$2:$C$9999="D. 20-39")*Raw_Data_Daily!$D$2:$D$9999*Raw_Data_Daily!$BS$2:$BS$9999)/SUMIFS(Raw_Data_Daily!$D:$D, Raw_Data_Daily!$B:$B, "Variant", Raw_Data_Daily!$C:$C, "D. 20-39"),"")</f>
        <v>1.874658386</v>
      </c>
      <c r="N69" s="54">
        <f t="shared" ref="N69:N73" si="63">IFERROR((M69-L69)/ABS(L69),"")</f>
        <v>-0.190191433</v>
      </c>
      <c r="O69" s="145">
        <f>IFERROR(SUMPRODUCT((Raw_Data_Daily!$B$2:$B$9999="Control")*(Raw_Data_Daily!$C$2:$C$9999="E. 40-99")*Raw_Data_Daily!$D$2:$D$9999*Raw_Data_Daily!$BS$2:$BS$9999)/SUMIFS(Raw_Data_Daily!$D:$D, Raw_Data_Daily!$B:$B, "Control", Raw_Data_Daily!$C:$C, "E. 40-99"),"")</f>
        <v>3.859170883</v>
      </c>
      <c r="P69" s="48">
        <f>IFERROR(SUMPRODUCT((Raw_Data_Daily!$B$2:$B$9999="Variant")*(Raw_Data_Daily!$C$2:$C$9999="E. 40-99")*Raw_Data_Daily!$D$2:$D$9999*Raw_Data_Daily!$BS$2:$BS$9999)/SUMIFS(Raw_Data_Daily!$D:$D, Raw_Data_Daily!$B:$B, "Variant", Raw_Data_Daily!$C:$C, "E. 40-99"),"")</f>
        <v>2.860555711</v>
      </c>
      <c r="Q69" s="51">
        <f t="shared" ref="Q69:Q73" si="64">IFERROR((P69-O69)/ABS(O69),"")</f>
        <v>-0.2587641755</v>
      </c>
      <c r="R69" s="146">
        <f>IFERROR(SUMPRODUCT((Raw_Data_Daily!$B$2:$B$9999="Control")*(Raw_Data_Daily!$C$2:$C$9999="F. 100+")*Raw_Data_Daily!$D$2:$D$9999*Raw_Data_Daily!$BS$2:$BS$9999)/SUMIFS(Raw_Data_Daily!$D:$D, Raw_Data_Daily!$B:$B, "Control", Raw_Data_Daily!$C:$C, "F. 100+"),"")</f>
        <v>8.283443716</v>
      </c>
      <c r="S69" s="149">
        <f>IFERROR(SUMPRODUCT((Raw_Data_Daily!$B$2:$B$9999="Variant")*(Raw_Data_Daily!$C$2:$C$9999="F. 100+")*Raw_Data_Daily!$D$2:$D$9999*Raw_Data_Daily!$BS$2:$BS$9999)/SUMIFS(Raw_Data_Daily!$D:$D, Raw_Data_Daily!$B:$B, "Variant", Raw_Data_Daily!$C:$C, "F. 100+"),"")</f>
        <v>5.326940945</v>
      </c>
      <c r="T69" s="169">
        <f t="shared" ref="T69:T73" si="65">IFERROR((S69-R69)/ABS(R69),"")</f>
        <v>-0.3569171075</v>
      </c>
    </row>
    <row r="70" ht="15.75" customHeight="1">
      <c r="A70" s="8"/>
      <c r="B70" s="181" t="s">
        <v>86</v>
      </c>
      <c r="C70" s="145">
        <f>IFERROR(SUMPRODUCT((Raw_Data_Daily!$B$2:$B$9999="Control")*(Raw_Data_Daily!$C$2:$C$9999="A. 0")*Raw_Data_Daily!$D$2:$D$9999*Raw_Data_Daily!$BT$2:$BT$9999)/SUMIFS(Raw_Data_Daily!$D:$D, Raw_Data_Daily!$B:$B, "Control", Raw_Data_Daily!$C:$C, "A. 0"),"")</f>
        <v>0.008951010749</v>
      </c>
      <c r="D70" s="48">
        <f>IFERROR(SUMPRODUCT((Raw_Data_Daily!$B$2:$B$9999="Variant")*(Raw_Data_Daily!$C$2:$C$9999="A. 0")*Raw_Data_Daily!$D$2:$D$9999*Raw_Data_Daily!$BT$2:$BT$9999)/SUMIFS(Raw_Data_Daily!$D:$D, Raw_Data_Daily!$B:$B, "Variant", Raw_Data_Daily!$C:$C, "A. 0"),"")</f>
        <v>0.008693555543</v>
      </c>
      <c r="E70" s="46">
        <f t="shared" si="60"/>
        <v>-0.02876269658</v>
      </c>
      <c r="F70" s="146">
        <f>IFERROR(SUMPRODUCT((Raw_Data_Daily!$B$2:$B$9999="Control")*(Raw_Data_Daily!$C$2:$C$9999="B. 1-9")*Raw_Data_Daily!$D$2:$D$9999*Raw_Data_Daily!$BT$2:$BT$9999)/SUMIFS(Raw_Data_Daily!$D:$D, Raw_Data_Daily!$B:$B, "Control", Raw_Data_Daily!$C:$C, "B. 1-9"),"")</f>
        <v>0.005276250468</v>
      </c>
      <c r="G70" s="48">
        <f>IFERROR(SUMPRODUCT((Raw_Data_Daily!$B$2:$B$9999="Variant")*(Raw_Data_Daily!$C$2:$C$9999="B. 1-9")*Raw_Data_Daily!$D$2:$D$9999*Raw_Data_Daily!$BT$2:$BT$9999)/SUMIFS(Raw_Data_Daily!$D:$D, Raw_Data_Daily!$B:$B, "Variant", Raw_Data_Daily!$C:$C, "B. 1-9"),"")</f>
        <v>0.005363200253</v>
      </c>
      <c r="H70" s="54">
        <f t="shared" si="61"/>
        <v>0.01647946505</v>
      </c>
      <c r="I70" s="145">
        <f>IFERROR(SUMPRODUCT((Raw_Data_Daily!$B$2:$B$9999="Control")*(Raw_Data_Daily!$C$2:$C$9999="C. 10-19")*Raw_Data_Daily!$D$2:$D$9999*Raw_Data_Daily!$BT$2:$BT$9999)/SUMIFS(Raw_Data_Daily!$D:$D, Raw_Data_Daily!$B:$B, "Control", Raw_Data_Daily!$C:$C, "C. 10-19"),"")</f>
        <v>0.0175757899</v>
      </c>
      <c r="J70" s="48">
        <f>IFERROR(SUMPRODUCT((Raw_Data_Daily!$B$2:$B$9999="Variant")*(Raw_Data_Daily!$C$2:$C$9999="C. 10-19")*Raw_Data_Daily!$D$2:$D$9999*Raw_Data_Daily!$BT$2:$BT$9999)/SUMIFS(Raw_Data_Daily!$D:$D, Raw_Data_Daily!$B:$B, "Variant", Raw_Data_Daily!$C:$C, "C. 10-19"),"")</f>
        <v>0.01772669006</v>
      </c>
      <c r="K70" s="51">
        <f t="shared" si="62"/>
        <v>0.008585683285</v>
      </c>
      <c r="L70" s="146">
        <f>IFERROR(SUMPRODUCT((Raw_Data_Daily!$B$2:$B$9999="Control")*(Raw_Data_Daily!$C$2:$C$9999="D. 20-39")*Raw_Data_Daily!$D$2:$D$9999*Raw_Data_Daily!$BT$2:$BT$9999)/SUMIFS(Raw_Data_Daily!$D:$D, Raw_Data_Daily!$B:$B, "Control", Raw_Data_Daily!$C:$C, "D. 20-39"),"")</f>
        <v>0.03951304339</v>
      </c>
      <c r="M70" s="48">
        <f>IFERROR(SUMPRODUCT((Raw_Data_Daily!$B$2:$B$9999="Variant")*(Raw_Data_Daily!$C$2:$C$9999="D. 20-39")*Raw_Data_Daily!$D$2:$D$9999*Raw_Data_Daily!$BT$2:$BT$9999)/SUMIFS(Raw_Data_Daily!$D:$D, Raw_Data_Daily!$B:$B, "Variant", Raw_Data_Daily!$C:$C, "D. 20-39"),"")</f>
        <v>0.03260085811</v>
      </c>
      <c r="N70" s="54">
        <f t="shared" si="63"/>
        <v>-0.1749342669</v>
      </c>
      <c r="O70" s="145">
        <f>IFERROR(SUMPRODUCT((Raw_Data_Daily!$B$2:$B$9999="Control")*(Raw_Data_Daily!$C$2:$C$9999="E. 40-99")*Raw_Data_Daily!$D$2:$D$9999*Raw_Data_Daily!$BT$2:$BT$9999)/SUMIFS(Raw_Data_Daily!$D:$D, Raw_Data_Daily!$B:$B, "Control", Raw_Data_Daily!$C:$C, "E. 40-99"),"")</f>
        <v>0.07606813699</v>
      </c>
      <c r="P70" s="48">
        <f>IFERROR(SUMPRODUCT((Raw_Data_Daily!$B$2:$B$9999="Variant")*(Raw_Data_Daily!$C$2:$C$9999="E. 40-99")*Raw_Data_Daily!$D$2:$D$9999*Raw_Data_Daily!$BT$2:$BT$9999)/SUMIFS(Raw_Data_Daily!$D:$D, Raw_Data_Daily!$B:$B, "Variant", Raw_Data_Daily!$C:$C, "E. 40-99"),"")</f>
        <v>0.06367823393</v>
      </c>
      <c r="Q70" s="51">
        <f t="shared" si="64"/>
        <v>-0.1628790129</v>
      </c>
      <c r="R70" s="146">
        <f>IFERROR(SUMPRODUCT((Raw_Data_Daily!$B$2:$B$9999="Control")*(Raw_Data_Daily!$C$2:$C$9999="F. 100+")*Raw_Data_Daily!$D$2:$D$9999*Raw_Data_Daily!$BT$2:$BT$9999)/SUMIFS(Raw_Data_Daily!$D:$D, Raw_Data_Daily!$B:$B, "Control", Raw_Data_Daily!$C:$C, "F. 100+"),"")</f>
        <v>0.1423565652</v>
      </c>
      <c r="S70" s="149">
        <f>IFERROR(SUMPRODUCT((Raw_Data_Daily!$B$2:$B$9999="Variant")*(Raw_Data_Daily!$C$2:$C$9999="F. 100+")*Raw_Data_Daily!$D$2:$D$9999*Raw_Data_Daily!$BT$2:$BT$9999)/SUMIFS(Raw_Data_Daily!$D:$D, Raw_Data_Daily!$B:$B, "Variant", Raw_Data_Daily!$C:$C, "F. 100+"),"")</f>
        <v>0.06587831873</v>
      </c>
      <c r="T70" s="169">
        <f t="shared" si="65"/>
        <v>-0.5372302035</v>
      </c>
    </row>
    <row r="71" ht="15.75" customHeight="1">
      <c r="A71" s="8"/>
      <c r="B71" s="181" t="s">
        <v>87</v>
      </c>
      <c r="C71" s="145">
        <f>IFERROR(SUMPRODUCT((Raw_Data_Daily!$B$2:$B$9999="Control")*(Raw_Data_Daily!$C$2:$C$9999="A. 0")*Raw_Data_Daily!$D$2:$D$9999*Raw_Data_Daily!$BU$2:$BU$9999)/SUMIFS(Raw_Data_Daily!$D:$D, Raw_Data_Daily!$B:$B, "Control", Raw_Data_Daily!$C:$C, "A. 0"),"")</f>
        <v>0.2328479736</v>
      </c>
      <c r="D71" s="48">
        <f>IFERROR(SUMPRODUCT((Raw_Data_Daily!$B$2:$B$9999="Variant")*(Raw_Data_Daily!$C$2:$C$9999="A. 0")*Raw_Data_Daily!$D$2:$D$9999*Raw_Data_Daily!$BU$2:$BU$9999)/SUMIFS(Raw_Data_Daily!$D:$D, Raw_Data_Daily!$B:$B, "Variant", Raw_Data_Daily!$C:$C, "A. 0"),"")</f>
        <v>0.2685096914</v>
      </c>
      <c r="E71" s="46">
        <f t="shared" si="60"/>
        <v>0.1531545119</v>
      </c>
      <c r="F71" s="146">
        <f>IFERROR(SUMPRODUCT((Raw_Data_Daily!$B$2:$B$9999="Control")*(Raw_Data_Daily!$C$2:$C$9999="B. 1-9")*Raw_Data_Daily!$D$2:$D$9999*Raw_Data_Daily!$BU$2:$BU$9999)/SUMIFS(Raw_Data_Daily!$D:$D, Raw_Data_Daily!$B:$B, "Control", Raw_Data_Daily!$C:$C, "B. 1-9"),"")</f>
        <v>0.688115508</v>
      </c>
      <c r="G71" s="48">
        <f>IFERROR(SUMPRODUCT((Raw_Data_Daily!$B$2:$B$9999="Variant")*(Raw_Data_Daily!$C$2:$C$9999="B. 1-9")*Raw_Data_Daily!$D$2:$D$9999*Raw_Data_Daily!$BU$2:$BU$9999)/SUMIFS(Raw_Data_Daily!$D:$D, Raw_Data_Daily!$B:$B, "Variant", Raw_Data_Daily!$C:$C, "B. 1-9"),"")</f>
        <v>0.7127878653</v>
      </c>
      <c r="H71" s="54">
        <f t="shared" si="61"/>
        <v>0.03585496473</v>
      </c>
      <c r="I71" s="145">
        <f>IFERROR(SUMPRODUCT((Raw_Data_Daily!$B$2:$B$9999="Control")*(Raw_Data_Daily!$C$2:$C$9999="C. 10-19")*Raw_Data_Daily!$D$2:$D$9999*Raw_Data_Daily!$BU$2:$BU$9999)/SUMIFS(Raw_Data_Daily!$D:$D, Raw_Data_Daily!$B:$B, "Control", Raw_Data_Daily!$C:$C, "C. 10-19"),"")</f>
        <v>1.450346145</v>
      </c>
      <c r="J71" s="48">
        <f>IFERROR(SUMPRODUCT((Raw_Data_Daily!$B$2:$B$9999="Variant")*(Raw_Data_Daily!$C$2:$C$9999="C. 10-19")*Raw_Data_Daily!$D$2:$D$9999*Raw_Data_Daily!$BU$2:$BU$9999)/SUMIFS(Raw_Data_Daily!$D:$D, Raw_Data_Daily!$B:$B, "Variant", Raw_Data_Daily!$C:$C, "C. 10-19"),"")</f>
        <v>1.320096911</v>
      </c>
      <c r="K71" s="51">
        <f t="shared" si="62"/>
        <v>-0.08980561949</v>
      </c>
      <c r="L71" s="146">
        <f>IFERROR(SUMPRODUCT((Raw_Data_Daily!$B$2:$B$9999="Control")*(Raw_Data_Daily!$C$2:$C$9999="D. 20-39")*Raw_Data_Daily!$D$2:$D$9999*Raw_Data_Daily!$BU$2:$BU$9999)/SUMIFS(Raw_Data_Daily!$D:$D, Raw_Data_Daily!$B:$B, "Control", Raw_Data_Daily!$C:$C, "D. 20-39"),"")</f>
        <v>2.275432243</v>
      </c>
      <c r="M71" s="48">
        <f>IFERROR(SUMPRODUCT((Raw_Data_Daily!$B$2:$B$9999="Variant")*(Raw_Data_Daily!$C$2:$C$9999="D. 20-39")*Raw_Data_Daily!$D$2:$D$9999*Raw_Data_Daily!$BU$2:$BU$9999)/SUMIFS(Raw_Data_Daily!$D:$D, Raw_Data_Daily!$B:$B, "Variant", Raw_Data_Daily!$C:$C, "D. 20-39"),"")</f>
        <v>1.842038772</v>
      </c>
      <c r="N71" s="54">
        <f t="shared" si="63"/>
        <v>-0.1904664369</v>
      </c>
      <c r="O71" s="145">
        <f>IFERROR(SUMPRODUCT((Raw_Data_Daily!$B$2:$B$9999="Control")*(Raw_Data_Daily!$C$2:$C$9999="E. 40-99")*Raw_Data_Daily!$D$2:$D$9999*Raw_Data_Daily!$BU$2:$BU$9999)/SUMIFS(Raw_Data_Daily!$D:$D, Raw_Data_Daily!$B:$B, "Control", Raw_Data_Daily!$C:$C, "E. 40-99"),"")</f>
        <v>3.78310358</v>
      </c>
      <c r="P71" s="48">
        <f>IFERROR(SUMPRODUCT((Raw_Data_Daily!$B$2:$B$9999="Variant")*(Raw_Data_Daily!$C$2:$C$9999="E. 40-99")*Raw_Data_Daily!$D$2:$D$9999*Raw_Data_Daily!$BU$2:$BU$9999)/SUMIFS(Raw_Data_Daily!$D:$D, Raw_Data_Daily!$B:$B, "Variant", Raw_Data_Daily!$C:$C, "E. 40-99"),"")</f>
        <v>2.796882828</v>
      </c>
      <c r="Q71" s="51">
        <f t="shared" si="64"/>
        <v>-0.2606909197</v>
      </c>
      <c r="R71" s="146">
        <f>IFERROR(SUMPRODUCT((Raw_Data_Daily!$B$2:$B$9999="Control")*(Raw_Data_Daily!$C$2:$C$9999="F. 100+")*Raw_Data_Daily!$D$2:$D$9999*Raw_Data_Daily!$BU$2:$BU$9999)/SUMIFS(Raw_Data_Daily!$D:$D, Raw_Data_Daily!$B:$B, "Control", Raw_Data_Daily!$C:$C, "F. 100+"),"")</f>
        <v>8.141097176</v>
      </c>
      <c r="S71" s="149">
        <f>IFERROR(SUMPRODUCT((Raw_Data_Daily!$B$2:$B$9999="Variant")*(Raw_Data_Daily!$C$2:$C$9999="F. 100+")*Raw_Data_Daily!$D$2:$D$9999*Raw_Data_Daily!$BU$2:$BU$9999)/SUMIFS(Raw_Data_Daily!$D:$D, Raw_Data_Daily!$B:$B, "Variant", Raw_Data_Daily!$C:$C, "F. 100+"),"")</f>
        <v>5.261068648</v>
      </c>
      <c r="T71" s="169">
        <f t="shared" si="65"/>
        <v>-0.3537641752</v>
      </c>
    </row>
    <row r="72" ht="15.75" customHeight="1">
      <c r="A72" s="8"/>
      <c r="B72" s="181" t="s">
        <v>88</v>
      </c>
      <c r="C72" s="145">
        <f>IFERROR(SUMPRODUCT((Raw_Data_Daily!$B$2:$B$9999="Control")*(Raw_Data_Daily!$C$2:$C$9999="A. 0")*Raw_Data_Daily!$D$2:$D$9999*Raw_Data_Daily!$BV$2:$BV$9999)/SUMIFS(Raw_Data_Daily!$D:$D, Raw_Data_Daily!$B:$B, "Control", Raw_Data_Daily!$C:$C, "A. 0"),"")</f>
        <v>0.1933192655</v>
      </c>
      <c r="D72" s="48">
        <f>IFERROR(SUMPRODUCT((Raw_Data_Daily!$B$2:$B$9999="Variant")*(Raw_Data_Daily!$C$2:$C$9999="A. 0")*Raw_Data_Daily!$D$2:$D$9999*Raw_Data_Daily!$BV$2:$BV$9999)/SUMIFS(Raw_Data_Daily!$D:$D, Raw_Data_Daily!$B:$B, "Variant", Raw_Data_Daily!$C:$C, "A. 0"),"")</f>
        <v>0.2397361996</v>
      </c>
      <c r="E72" s="46">
        <f t="shared" si="60"/>
        <v>0.2401050615</v>
      </c>
      <c r="F72" s="146">
        <f>IFERROR(SUMPRODUCT((Raw_Data_Daily!$B$2:$B$9999="Control")*(Raw_Data_Daily!$C$2:$C$9999="B. 1-9")*Raw_Data_Daily!$D$2:$D$9999*Raw_Data_Daily!$BV$2:$BV$9999)/SUMIFS(Raw_Data_Daily!$D:$D, Raw_Data_Daily!$B:$B, "Control", Raw_Data_Daily!$C:$C, "B. 1-9"),"")</f>
        <v>0.5063668456</v>
      </c>
      <c r="G72" s="48">
        <f>IFERROR(SUMPRODUCT((Raw_Data_Daily!$B$2:$B$9999="Variant")*(Raw_Data_Daily!$C$2:$C$9999="B. 1-9")*Raw_Data_Daily!$D$2:$D$9999*Raw_Data_Daily!$BV$2:$BV$9999)/SUMIFS(Raw_Data_Daily!$D:$D, Raw_Data_Daily!$B:$B, "Variant", Raw_Data_Daily!$C:$C, "B. 1-9"),"")</f>
        <v>0.5089469989</v>
      </c>
      <c r="H72" s="54">
        <f t="shared" si="61"/>
        <v>0.005095423178</v>
      </c>
      <c r="I72" s="145">
        <f>IFERROR(SUMPRODUCT((Raw_Data_Daily!$B$2:$B$9999="Control")*(Raw_Data_Daily!$C$2:$C$9999="C. 10-19")*Raw_Data_Daily!$D$2:$D$9999*Raw_Data_Daily!$BV$2:$BV$9999)/SUMIFS(Raw_Data_Daily!$D:$D, Raw_Data_Daily!$B:$B, "Control", Raw_Data_Daily!$C:$C, "C. 10-19"),"")</f>
        <v>1.005087442</v>
      </c>
      <c r="J72" s="48">
        <f>IFERROR(SUMPRODUCT((Raw_Data_Daily!$B$2:$B$9999="Variant")*(Raw_Data_Daily!$C$2:$C$9999="C. 10-19")*Raw_Data_Daily!$D$2:$D$9999*Raw_Data_Daily!$BV$2:$BV$9999)/SUMIFS(Raw_Data_Daily!$D:$D, Raw_Data_Daily!$B:$B, "Variant", Raw_Data_Daily!$C:$C, "C. 10-19"),"")</f>
        <v>0.9721181809</v>
      </c>
      <c r="K72" s="51">
        <f t="shared" si="62"/>
        <v>-0.03280238081</v>
      </c>
      <c r="L72" s="146">
        <f>IFERROR(SUMPRODUCT((Raw_Data_Daily!$B$2:$B$9999="Control")*(Raw_Data_Daily!$C$2:$C$9999="D. 20-39")*Raw_Data_Daily!$D$2:$D$9999*Raw_Data_Daily!$BV$2:$BV$9999)/SUMIFS(Raw_Data_Daily!$D:$D, Raw_Data_Daily!$B:$B, "Control", Raw_Data_Daily!$C:$C, "D. 20-39"),"")</f>
        <v>1.542946063</v>
      </c>
      <c r="M72" s="48">
        <f>IFERROR(SUMPRODUCT((Raw_Data_Daily!$B$2:$B$9999="Variant")*(Raw_Data_Daily!$C$2:$C$9999="D. 20-39")*Raw_Data_Daily!$D$2:$D$9999*Raw_Data_Daily!$BV$2:$BV$9999)/SUMIFS(Raw_Data_Daily!$D:$D, Raw_Data_Daily!$B:$B, "Variant", Raw_Data_Daily!$C:$C, "D. 20-39"),"")</f>
        <v>1.352579638</v>
      </c>
      <c r="N72" s="54">
        <f t="shared" si="63"/>
        <v>-0.123378535</v>
      </c>
      <c r="O72" s="145">
        <f>IFERROR(SUMPRODUCT((Raw_Data_Daily!$B$2:$B$9999="Control")*(Raw_Data_Daily!$C$2:$C$9999="E. 40-99")*Raw_Data_Daily!$D$2:$D$9999*Raw_Data_Daily!$BV$2:$BV$9999)/SUMIFS(Raw_Data_Daily!$D:$D, Raw_Data_Daily!$B:$B, "Control", Raw_Data_Daily!$C:$C, "E. 40-99"),"")</f>
        <v>2.769870282</v>
      </c>
      <c r="P72" s="48">
        <f>IFERROR(SUMPRODUCT((Raw_Data_Daily!$B$2:$B$9999="Variant")*(Raw_Data_Daily!$C$2:$C$9999="E. 40-99")*Raw_Data_Daily!$D$2:$D$9999*Raw_Data_Daily!$BV$2:$BV$9999)/SUMIFS(Raw_Data_Daily!$D:$D, Raw_Data_Daily!$B:$B, "Variant", Raw_Data_Daily!$C:$C, "E. 40-99"),"")</f>
        <v>2.133850315</v>
      </c>
      <c r="Q72" s="51">
        <f t="shared" si="64"/>
        <v>-0.2296208494</v>
      </c>
      <c r="R72" s="146">
        <f>IFERROR(SUMPRODUCT((Raw_Data_Daily!$B$2:$B$9999="Control")*(Raw_Data_Daily!$C$2:$C$9999="F. 100+")*Raw_Data_Daily!$D$2:$D$9999*Raw_Data_Daily!$BV$2:$BV$9999)/SUMIFS(Raw_Data_Daily!$D:$D, Raw_Data_Daily!$B:$B, "Control", Raw_Data_Daily!$C:$C, "F. 100+"),"")</f>
        <v>6.158819706</v>
      </c>
      <c r="S72" s="149">
        <f>IFERROR(SUMPRODUCT((Raw_Data_Daily!$B$2:$B$9999="Variant")*(Raw_Data_Daily!$C$2:$C$9999="F. 100+")*Raw_Data_Daily!$D$2:$D$9999*Raw_Data_Daily!$BV$2:$BV$9999)/SUMIFS(Raw_Data_Daily!$D:$D, Raw_Data_Daily!$B:$B, "Variant", Raw_Data_Daily!$C:$C, "F. 100+"),"")</f>
        <v>4.161799534</v>
      </c>
      <c r="T72" s="169">
        <f t="shared" si="65"/>
        <v>-0.3242537154</v>
      </c>
    </row>
    <row r="73" ht="15.75" customHeight="1">
      <c r="A73" s="8"/>
      <c r="B73" s="181" t="s">
        <v>89</v>
      </c>
      <c r="C73" s="145">
        <f>IFERROR(SUMPRODUCT((Raw_Data_Daily!$B$2:$B$9999="Control")*(Raw_Data_Daily!$C$2:$C$9999="A. 0")*Raw_Data_Daily!$D$2:$D$9999*(Raw_Data_Daily!$BS$2:$BS$9999-Raw_Data_Daily!$BV$2:$BV$9999))/SUMIFS(Raw_Data_Daily!$D:$D, Raw_Data_Daily!$B:$B, "Control", Raw_Data_Daily!$C:$C, "A. 0"),"")</f>
        <v>0.04847864307</v>
      </c>
      <c r="D73" s="48">
        <f>IFERROR(SUMPRODUCT((Raw_Data_Daily!$B$2:$B$9999="Variant")*(Raw_Data_Daily!$C$2:$C$9999="A. 0")*Raw_Data_Daily!$D$2:$D$9999*(Raw_Data_Daily!$BS$2:$BS$9999-Raw_Data_Daily!$BV$2:$BV$9999))/SUMIFS(Raw_Data_Daily!$D:$D, Raw_Data_Daily!$B:$B, "Variant", Raw_Data_Daily!$C:$C, "A. 0"),"")</f>
        <v>0.03746636348</v>
      </c>
      <c r="E73" s="38">
        <f t="shared" si="60"/>
        <v>-0.2271573397</v>
      </c>
      <c r="F73" s="146">
        <f>IFERROR(SUMPRODUCT((Raw_Data_Daily!$B$2:$B$9999="Control")*(Raw_Data_Daily!$C$2:$C$9999="B. 1-9")*Raw_Data_Daily!$D$2:$D$9999*(Raw_Data_Daily!$BS$2:$BS$9999-Raw_Data_Daily!$BV$2:$BV$9999))/SUMIFS(Raw_Data_Daily!$D:$D, Raw_Data_Daily!$B:$B, "Control", Raw_Data_Daily!$C:$C, "B. 1-9"),"")</f>
        <v>0.1870251483</v>
      </c>
      <c r="G73" s="48">
        <f>IFERROR(SUMPRODUCT((Raw_Data_Daily!$B$2:$B$9999="Variant")*(Raw_Data_Daily!$C$2:$C$9999="B. 1-9")*Raw_Data_Daily!$D$2:$D$9999*(Raw_Data_Daily!$BS$2:$BS$9999-Raw_Data_Daily!$BV$2:$BV$9999))/SUMIFS(Raw_Data_Daily!$D:$D, Raw_Data_Daily!$B:$B, "Variant", Raw_Data_Daily!$C:$C, "B. 1-9"),"")</f>
        <v>0.2092134268</v>
      </c>
      <c r="H73" s="54">
        <f t="shared" si="61"/>
        <v>0.118637941</v>
      </c>
      <c r="I73" s="145">
        <f>IFERROR(SUMPRODUCT((Raw_Data_Daily!$B$2:$B$9999="Control")*(Raw_Data_Daily!$C$2:$C$9999="C. 10-19")*Raw_Data_Daily!$D$2:$D$9999*(Raw_Data_Daily!$BS$2:$BS$9999-Raw_Data_Daily!$BV$2:$BV$9999))/SUMIFS(Raw_Data_Daily!$D:$D, Raw_Data_Daily!$B:$B, "Control", Raw_Data_Daily!$C:$C, "C. 10-19"),"")</f>
        <v>0.4628295233</v>
      </c>
      <c r="J73" s="48">
        <f>IFERROR(SUMPRODUCT((Raw_Data_Daily!$B$2:$B$9999="Variant")*(Raw_Data_Daily!$C$2:$C$9999="C. 10-19")*Raw_Data_Daily!$D$2:$D$9999*(Raw_Data_Daily!$BS$2:$BS$9999-Raw_Data_Daily!$BV$2:$BV$9999))/SUMIFS(Raw_Data_Daily!$D:$D, Raw_Data_Daily!$B:$B, "Variant", Raw_Data_Daily!$C:$C, "C. 10-19"),"")</f>
        <v>0.3657136968</v>
      </c>
      <c r="K73" s="51">
        <f t="shared" si="62"/>
        <v>-0.2098306647</v>
      </c>
      <c r="L73" s="146">
        <f>IFERROR(SUMPRODUCT((Raw_Data_Daily!$B$2:$B$9999="Control")*(Raw_Data_Daily!$C$2:$C$9999="D. 20-39")*Raw_Data_Daily!$D$2:$D$9999*(Raw_Data_Daily!$BS$2:$BS$9999-Raw_Data_Daily!$BV$2:$BV$9999))/SUMIFS(Raw_Data_Daily!$D:$D, Raw_Data_Daily!$B:$B, "Control", Raw_Data_Daily!$C:$C, "D. 20-39"),"")</f>
        <v>0.7719941115</v>
      </c>
      <c r="M73" s="48">
        <f>IFERROR(SUMPRODUCT((Raw_Data_Daily!$B$2:$B$9999="Variant")*(Raw_Data_Daily!$C$2:$C$9999="D. 20-39")*Raw_Data_Daily!$D$2:$D$9999*(Raw_Data_Daily!$BS$2:$BS$9999-Raw_Data_Daily!$BV$2:$BV$9999))/SUMIFS(Raw_Data_Daily!$D:$D, Raw_Data_Daily!$B:$B, "Variant", Raw_Data_Daily!$C:$C, "D. 20-39"),"")</f>
        <v>0.5220787473</v>
      </c>
      <c r="N73" s="54">
        <f t="shared" si="63"/>
        <v>-0.3237270342</v>
      </c>
      <c r="O73" s="145">
        <f>IFERROR(SUMPRODUCT((Raw_Data_Daily!$B$2:$B$9999="Control")*(Raw_Data_Daily!$C$2:$C$9999="E. 40-99")*Raw_Data_Daily!$D$2:$D$9999*(Raw_Data_Daily!$BS$2:$BS$9999-Raw_Data_Daily!$BV$2:$BV$9999))/SUMIFS(Raw_Data_Daily!$D:$D, Raw_Data_Daily!$B:$B, "Control", Raw_Data_Daily!$C:$C, "E. 40-99"),"")</f>
        <v>1.0893006</v>
      </c>
      <c r="P73" s="48">
        <f>IFERROR(SUMPRODUCT((Raw_Data_Daily!$B$2:$B$9999="Variant")*(Raw_Data_Daily!$C$2:$C$9999="E. 40-99")*Raw_Data_Daily!$D$2:$D$9999*(Raw_Data_Daily!$BS$2:$BS$9999-Raw_Data_Daily!$BV$2:$BV$9999))/SUMIFS(Raw_Data_Daily!$D:$D, Raw_Data_Daily!$B:$B, "Variant", Raw_Data_Daily!$C:$C, "E. 40-99"),"")</f>
        <v>0.7267053957</v>
      </c>
      <c r="Q73" s="51">
        <f t="shared" si="64"/>
        <v>-0.3328697372</v>
      </c>
      <c r="R73" s="146">
        <f>IFERROR(SUMPRODUCT((Raw_Data_Daily!$B$2:$B$9999="Control")*(Raw_Data_Daily!$C$2:$C$9999="F. 100+")*Raw_Data_Daily!$D$2:$D$9999*(Raw_Data_Daily!$BS$2:$BS$9999-Raw_Data_Daily!$BV$2:$BV$9999))/SUMIFS(Raw_Data_Daily!$D:$D, Raw_Data_Daily!$B:$B, "Control", Raw_Data_Daily!$C:$C, "F. 100+"),"")</f>
        <v>2.12462401</v>
      </c>
      <c r="S73" s="48">
        <f>IFERROR(SUMPRODUCT((Raw_Data_Daily!$B$2:$B$9999="Variant")*(Raw_Data_Daily!$C$2:$C$9999="F. 100+")*Raw_Data_Daily!$D$2:$D$9999*(Raw_Data_Daily!$BS$2:$BS$9999-Raw_Data_Daily!$BV$2:$BV$9999))/SUMIFS(Raw_Data_Daily!$D:$D, Raw_Data_Daily!$B:$B, "Variant", Raw_Data_Daily!$C:$C, "F. 100+"),"")</f>
        <v>1.165141411</v>
      </c>
      <c r="T73" s="54">
        <f t="shared" si="65"/>
        <v>-0.4516011279</v>
      </c>
    </row>
    <row r="74" ht="15.75" customHeight="1">
      <c r="A74" s="165" t="s">
        <v>90</v>
      </c>
      <c r="B74" s="28"/>
      <c r="C74" s="29"/>
      <c r="D74" s="6"/>
      <c r="E74" s="30"/>
      <c r="F74" s="32"/>
      <c r="G74" s="6"/>
      <c r="H74" s="28"/>
      <c r="I74" s="29"/>
      <c r="J74" s="6"/>
      <c r="K74" s="30"/>
      <c r="L74" s="32"/>
      <c r="M74" s="6"/>
      <c r="N74" s="28"/>
      <c r="O74" s="29"/>
      <c r="P74" s="6"/>
      <c r="Q74" s="30"/>
      <c r="R74" s="32"/>
      <c r="S74" s="6"/>
      <c r="T74" s="28"/>
    </row>
    <row r="75" ht="15.75" customHeight="1">
      <c r="A75" s="8"/>
      <c r="B75" s="181" t="s">
        <v>91</v>
      </c>
      <c r="C75" s="145">
        <f>IFERROR(SUMPRODUCT((Raw_Data_Daily!$B$2:$B$9999="Control")*(Raw_Data_Daily!$C$2:$C$9999="A. 0")*Raw_Data_Daily!$D$2:$D$9999*Raw_Data_Daily!$BW$2:$BW$9999)/SUMIFS(Raw_Data_Daily!$D:$D, Raw_Data_Daily!$B:$B, "Control", Raw_Data_Daily!$C:$C, "A. 0"),"")</f>
        <v>0.1868772727</v>
      </c>
      <c r="D75" s="48">
        <f>IFERROR(SUMPRODUCT((Raw_Data_Daily!$B$2:$B$9999="Variant")*(Raw_Data_Daily!$C$2:$C$9999="A. 0")*Raw_Data_Daily!$D$2:$D$9999*Raw_Data_Daily!$BW$2:$BW$9999)/SUMIFS(Raw_Data_Daily!$D:$D, Raw_Data_Daily!$B:$B, "Variant", Raw_Data_Daily!$C:$C, "A. 0"),"")</f>
        <v>0.1977541972</v>
      </c>
      <c r="E75" s="46">
        <f t="shared" ref="E75:E79" si="66">IFERROR((D75-C75)/ABS(C75),"")</f>
        <v>0.05820357015</v>
      </c>
      <c r="F75" s="146">
        <f>IFERROR(SUMPRODUCT((Raw_Data_Daily!$B$2:$B$9999="Control")*(Raw_Data_Daily!$C$2:$C$9999="B. 1-9")*Raw_Data_Daily!$D$2:$D$9999*Raw_Data_Daily!$BW$2:$BW$9999)/SUMIFS(Raw_Data_Daily!$D:$D, Raw_Data_Daily!$B:$B, "Control", Raw_Data_Daily!$C:$C, "B. 1-9"),"")</f>
        <v>0.3246725503</v>
      </c>
      <c r="G75" s="48">
        <f>IFERROR(SUMPRODUCT((Raw_Data_Daily!$B$2:$B$9999="Variant")*(Raw_Data_Daily!$C$2:$C$9999="B. 1-9")*Raw_Data_Daily!$D$2:$D$9999*Raw_Data_Daily!$BW$2:$BW$9999)/SUMIFS(Raw_Data_Daily!$D:$D, Raw_Data_Daily!$B:$B, "Variant", Raw_Data_Daily!$C:$C, "B. 1-9"),"")</f>
        <v>0.2984929465</v>
      </c>
      <c r="H75" s="54">
        <f t="shared" ref="H75:H79" si="67">IFERROR((G75-F75)/ABS(F75),"")</f>
        <v>-0.08063386874</v>
      </c>
      <c r="I75" s="145">
        <f>IFERROR(SUMPRODUCT((Raw_Data_Daily!$B$2:$B$9999="Control")*(Raw_Data_Daily!$C$2:$C$9999="C. 10-19")*Raw_Data_Daily!$D$2:$D$9999*Raw_Data_Daily!$BW$2:$BW$9999)/SUMIFS(Raw_Data_Daily!$D:$D, Raw_Data_Daily!$B:$B, "Control", Raw_Data_Daily!$C:$C, "C. 10-19"),"")</f>
        <v>0.6937842316</v>
      </c>
      <c r="J75" s="48">
        <f>IFERROR(SUMPRODUCT((Raw_Data_Daily!$B$2:$B$9999="Variant")*(Raw_Data_Daily!$C$2:$C$9999="C. 10-19")*Raw_Data_Daily!$D$2:$D$9999*Raw_Data_Daily!$BW$2:$BW$9999)/SUMIFS(Raw_Data_Daily!$D:$D, Raw_Data_Daily!$B:$B, "Variant", Raw_Data_Daily!$C:$C, "C. 10-19"),"")</f>
        <v>0.6766023228</v>
      </c>
      <c r="K75" s="51">
        <f t="shared" ref="K75:K79" si="68">IFERROR((J75-I75)/ABS(I75),"")</f>
        <v>-0.02476549329</v>
      </c>
      <c r="L75" s="146">
        <f>IFERROR(SUMPRODUCT((Raw_Data_Daily!$B$2:$B$9999="Control")*(Raw_Data_Daily!$C$2:$C$9999="D. 20-39")*Raw_Data_Daily!$D$2:$D$9999*Raw_Data_Daily!$BW$2:$BW$9999)/SUMIFS(Raw_Data_Daily!$D:$D, Raw_Data_Daily!$B:$B, "Control", Raw_Data_Daily!$C:$C, "D. 20-39"),"")</f>
        <v>1.174262892</v>
      </c>
      <c r="M75" s="48">
        <f>IFERROR(SUMPRODUCT((Raw_Data_Daily!$B$2:$B$9999="Variant")*(Raw_Data_Daily!$C$2:$C$9999="D. 20-39")*Raw_Data_Daily!$D$2:$D$9999*Raw_Data_Daily!$BW$2:$BW$9999)/SUMIFS(Raw_Data_Daily!$D:$D, Raw_Data_Daily!$B:$B, "Variant", Raw_Data_Daily!$C:$C, "D. 20-39"),"")</f>
        <v>1.178360183</v>
      </c>
      <c r="N75" s="54">
        <f t="shared" ref="N75:N79" si="69">IFERROR((M75-L75)/ABS(L75),"")</f>
        <v>0.00348924479</v>
      </c>
      <c r="O75" s="145">
        <f>IFERROR(SUMPRODUCT((Raw_Data_Daily!$B$2:$B$9999="Control")*(Raw_Data_Daily!$C$2:$C$9999="E. 40-99")*Raw_Data_Daily!$D$2:$D$9999*Raw_Data_Daily!$BW$2:$BW$9999)/SUMIFS(Raw_Data_Daily!$D:$D, Raw_Data_Daily!$B:$B, "Control", Raw_Data_Daily!$C:$C, "E. 40-99"),"")</f>
        <v>2.012752432</v>
      </c>
      <c r="P75" s="48">
        <f>IFERROR(SUMPRODUCT((Raw_Data_Daily!$B$2:$B$9999="Variant")*(Raw_Data_Daily!$C$2:$C$9999="E. 40-99")*Raw_Data_Daily!$D$2:$D$9999*Raw_Data_Daily!$BW$2:$BW$9999)/SUMIFS(Raw_Data_Daily!$D:$D, Raw_Data_Daily!$B:$B, "Variant", Raw_Data_Daily!$C:$C, "E. 40-99"),"")</f>
        <v>1.982336249</v>
      </c>
      <c r="Q75" s="51">
        <f t="shared" ref="Q75:Q79" si="70">IFERROR((P75-O75)/ABS(O75),"")</f>
        <v>-0.01511173593</v>
      </c>
      <c r="R75" s="146">
        <f>IFERROR(SUMPRODUCT((Raw_Data_Daily!$B$2:$B$9999="Control")*(Raw_Data_Daily!$C$2:$C$9999="F. 100+")*Raw_Data_Daily!$D$2:$D$9999*Raw_Data_Daily!$BW$2:$BW$9999)/SUMIFS(Raw_Data_Daily!$D:$D, Raw_Data_Daily!$B:$B, "Control", Raw_Data_Daily!$C:$C, "F. 100+"),"")</f>
        <v>4.2217661</v>
      </c>
      <c r="S75" s="149">
        <f>IFERROR(SUMPRODUCT((Raw_Data_Daily!$B$2:$B$9999="Variant")*(Raw_Data_Daily!$C$2:$C$9999="F. 100+")*Raw_Data_Daily!$D$2:$D$9999*Raw_Data_Daily!$BW$2:$BW$9999)/SUMIFS(Raw_Data_Daily!$D:$D, Raw_Data_Daily!$B:$B, "Variant", Raw_Data_Daily!$C:$C, "F. 100+"),"")</f>
        <v>4.038266696</v>
      </c>
      <c r="T75" s="169">
        <f t="shared" ref="T75:T79" si="71">IFERROR((S75-R75)/ABS(R75),"")</f>
        <v>-0.04346508069</v>
      </c>
    </row>
    <row r="76" ht="15.75" customHeight="1">
      <c r="A76" s="8"/>
      <c r="B76" s="181" t="s">
        <v>92</v>
      </c>
      <c r="C76" s="145">
        <f>IFERROR(SUMPRODUCT((Raw_Data_Daily!$B$2:$B$9999="Control")*(Raw_Data_Daily!$C$2:$C$9999="A. 0")*Raw_Data_Daily!$D$2:$D$9999*Raw_Data_Daily!$BX$2:$BX$9999)/SUMIFS(Raw_Data_Daily!$D:$D, Raw_Data_Daily!$B:$B, "Control", Raw_Data_Daily!$C:$C, "A. 0"),"")</f>
        <v>0.008964048438</v>
      </c>
      <c r="D76" s="48">
        <f>IFERROR(SUMPRODUCT((Raw_Data_Daily!$B$2:$B$9999="Variant")*(Raw_Data_Daily!$C$2:$C$9999="A. 0")*Raw_Data_Daily!$D$2:$D$9999*Raw_Data_Daily!$BX$2:$BX$9999)/SUMIFS(Raw_Data_Daily!$D:$D, Raw_Data_Daily!$B:$B, "Variant", Raw_Data_Daily!$C:$C, "A. 0"),"")</f>
        <v>0.008908711109</v>
      </c>
      <c r="E76" s="46">
        <f t="shared" si="66"/>
        <v>-0.006173251969</v>
      </c>
      <c r="F76" s="146">
        <f>IFERROR(SUMPRODUCT((Raw_Data_Daily!$B$2:$B$9999="Control")*(Raw_Data_Daily!$C$2:$C$9999="B. 1-9")*Raw_Data_Daily!$D$2:$D$9999*Raw_Data_Daily!$BX$2:$BX$9999)/SUMIFS(Raw_Data_Daily!$D:$D, Raw_Data_Daily!$B:$B, "Control", Raw_Data_Daily!$C:$C, "B. 1-9"),"")</f>
        <v>0.009002503156</v>
      </c>
      <c r="G76" s="48">
        <f>IFERROR(SUMPRODUCT((Raw_Data_Daily!$B$2:$B$9999="Variant")*(Raw_Data_Daily!$C$2:$C$9999="B. 1-9")*Raw_Data_Daily!$D$2:$D$9999*Raw_Data_Daily!$BX$2:$BX$9999)/SUMIFS(Raw_Data_Daily!$D:$D, Raw_Data_Daily!$B:$B, "Variant", Raw_Data_Daily!$C:$C, "B. 1-9"),"")</f>
        <v>0.008094650325</v>
      </c>
      <c r="H76" s="54">
        <f t="shared" si="67"/>
        <v>-0.100844489</v>
      </c>
      <c r="I76" s="145">
        <f>IFERROR(SUMPRODUCT((Raw_Data_Daily!$B$2:$B$9999="Control")*(Raw_Data_Daily!$C$2:$C$9999="C. 10-19")*Raw_Data_Daily!$D$2:$D$9999*Raw_Data_Daily!$BX$2:$BX$9999)/SUMIFS(Raw_Data_Daily!$D:$D, Raw_Data_Daily!$B:$B, "Control", Raw_Data_Daily!$C:$C, "C. 10-19"),"")</f>
        <v>0.02947247303</v>
      </c>
      <c r="J76" s="48">
        <f>IFERROR(SUMPRODUCT((Raw_Data_Daily!$B$2:$B$9999="Variant")*(Raw_Data_Daily!$C$2:$C$9999="C. 10-19")*Raw_Data_Daily!$D$2:$D$9999*Raw_Data_Daily!$BX$2:$BX$9999)/SUMIFS(Raw_Data_Daily!$D:$D, Raw_Data_Daily!$B:$B, "Variant", Raw_Data_Daily!$C:$C, "C. 10-19"),"")</f>
        <v>0.02399876028</v>
      </c>
      <c r="K76" s="51">
        <f t="shared" si="68"/>
        <v>-0.185722886</v>
      </c>
      <c r="L76" s="146">
        <f>IFERROR(SUMPRODUCT((Raw_Data_Daily!$B$2:$B$9999="Control")*(Raw_Data_Daily!$C$2:$C$9999="D. 20-39")*Raw_Data_Daily!$D$2:$D$9999*Raw_Data_Daily!$BX$2:$BX$9999)/SUMIFS(Raw_Data_Daily!$D:$D, Raw_Data_Daily!$B:$B, "Control", Raw_Data_Daily!$C:$C, "D. 20-39"),"")</f>
        <v>0.0499091276</v>
      </c>
      <c r="M76" s="48">
        <f>IFERROR(SUMPRODUCT((Raw_Data_Daily!$B$2:$B$9999="Variant")*(Raw_Data_Daily!$C$2:$C$9999="D. 20-39")*Raw_Data_Daily!$D$2:$D$9999*Raw_Data_Daily!$BX$2:$BX$9999)/SUMIFS(Raw_Data_Daily!$D:$D, Raw_Data_Daily!$B:$B, "Variant", Raw_Data_Daily!$C:$C, "D. 20-39"),"")</f>
        <v>0.03845748397</v>
      </c>
      <c r="N76" s="54">
        <f t="shared" si="69"/>
        <v>-0.229449886</v>
      </c>
      <c r="O76" s="145">
        <f>IFERROR(SUMPRODUCT((Raw_Data_Daily!$B$2:$B$9999="Control")*(Raw_Data_Daily!$C$2:$C$9999="E. 40-99")*Raw_Data_Daily!$D$2:$D$9999*Raw_Data_Daily!$BX$2:$BX$9999)/SUMIFS(Raw_Data_Daily!$D:$D, Raw_Data_Daily!$B:$B, "Control", Raw_Data_Daily!$C:$C, "E. 40-99"),"")</f>
        <v>0.09010476957</v>
      </c>
      <c r="P76" s="48">
        <f>IFERROR(SUMPRODUCT((Raw_Data_Daily!$B$2:$B$9999="Variant")*(Raw_Data_Daily!$C$2:$C$9999="E. 40-99")*Raw_Data_Daily!$D$2:$D$9999*Raw_Data_Daily!$BX$2:$BX$9999)/SUMIFS(Raw_Data_Daily!$D:$D, Raw_Data_Daily!$B:$B, "Variant", Raw_Data_Daily!$C:$C, "E. 40-99"),"")</f>
        <v>0.0697500239</v>
      </c>
      <c r="Q76" s="51">
        <f t="shared" si="70"/>
        <v>-0.2259008682</v>
      </c>
      <c r="R76" s="146">
        <f>IFERROR(SUMPRODUCT((Raw_Data_Daily!$B$2:$B$9999="Control")*(Raw_Data_Daily!$C$2:$C$9999="F. 100+")*Raw_Data_Daily!$D$2:$D$9999*Raw_Data_Daily!$BX$2:$BX$9999)/SUMIFS(Raw_Data_Daily!$D:$D, Raw_Data_Daily!$B:$B, "Control", Raw_Data_Daily!$C:$C, "F. 100+"),"")</f>
        <v>0.1873796895</v>
      </c>
      <c r="S76" s="149">
        <f>IFERROR(SUMPRODUCT((Raw_Data_Daily!$B$2:$B$9999="Variant")*(Raw_Data_Daily!$C$2:$C$9999="F. 100+")*Raw_Data_Daily!$D$2:$D$9999*Raw_Data_Daily!$BX$2:$BX$9999)/SUMIFS(Raw_Data_Daily!$D:$D, Raw_Data_Daily!$B:$B, "Variant", Raw_Data_Daily!$C:$C, "F. 100+"),"")</f>
        <v>0.08185125873</v>
      </c>
      <c r="T76" s="169">
        <f t="shared" si="71"/>
        <v>-0.5631796649</v>
      </c>
    </row>
    <row r="77" ht="15.75" customHeight="1">
      <c r="A77" s="8"/>
      <c r="B77" s="181" t="s">
        <v>93</v>
      </c>
      <c r="C77" s="145">
        <f>IFERROR(SUMPRODUCT((Raw_Data_Daily!$B$2:$B$9999="Control")*(Raw_Data_Daily!$C$2:$C$9999="A. 0")*Raw_Data_Daily!$D$2:$D$9999*Raw_Data_Daily!$BY$2:$BY$9999)/SUMIFS(Raw_Data_Daily!$D:$D, Raw_Data_Daily!$B:$B, "Control", Raw_Data_Daily!$C:$C, "A. 0"),"")</f>
        <v>0.1779086487</v>
      </c>
      <c r="D77" s="48">
        <f>IFERROR(SUMPRODUCT((Raw_Data_Daily!$B$2:$B$9999="Variant")*(Raw_Data_Daily!$C$2:$C$9999="A. 0")*Raw_Data_Daily!$D$2:$D$9999*Raw_Data_Daily!$BY$2:$BY$9999)/SUMIFS(Raw_Data_Daily!$D:$D, Raw_Data_Daily!$B:$B, "Variant", Raw_Data_Daily!$C:$C, "A. 0"),"")</f>
        <v>0.1888648504</v>
      </c>
      <c r="E77" s="46">
        <f t="shared" si="66"/>
        <v>0.06158330027</v>
      </c>
      <c r="F77" s="146">
        <f>IFERROR(SUMPRODUCT((Raw_Data_Daily!$B$2:$B$9999="Control")*(Raw_Data_Daily!$C$2:$C$9999="B. 1-9")*Raw_Data_Daily!$D$2:$D$9999*Raw_Data_Daily!$BY$2:$BY$9999)/SUMIFS(Raw_Data_Daily!$D:$D, Raw_Data_Daily!$B:$B, "Control", Raw_Data_Daily!$C:$C, "B. 1-9"),"")</f>
        <v>0.3156603066</v>
      </c>
      <c r="G77" s="48">
        <f>IFERROR(SUMPRODUCT((Raw_Data_Daily!$B$2:$B$9999="Variant")*(Raw_Data_Daily!$C$2:$C$9999="B. 1-9")*Raw_Data_Daily!$D$2:$D$9999*Raw_Data_Daily!$BY$2:$BY$9999)/SUMIFS(Raw_Data_Daily!$D:$D, Raw_Data_Daily!$B:$B, "Variant", Raw_Data_Daily!$C:$C, "B. 1-9"),"")</f>
        <v>0.2904079945</v>
      </c>
      <c r="H77" s="54">
        <f t="shared" si="67"/>
        <v>-0.07999837678</v>
      </c>
      <c r="I77" s="145">
        <f>IFERROR(SUMPRODUCT((Raw_Data_Daily!$B$2:$B$9999="Control")*(Raw_Data_Daily!$C$2:$C$9999="C. 10-19")*Raw_Data_Daily!$D$2:$D$9999*Raw_Data_Daily!$BY$2:$BY$9999)/SUMIFS(Raw_Data_Daily!$D:$D, Raw_Data_Daily!$B:$B, "Control", Raw_Data_Daily!$C:$C, "C. 10-19"),"")</f>
        <v>0.6643027393</v>
      </c>
      <c r="J77" s="48">
        <f>IFERROR(SUMPRODUCT((Raw_Data_Daily!$B$2:$B$9999="Variant")*(Raw_Data_Daily!$C$2:$C$9999="C. 10-19")*Raw_Data_Daily!$D$2:$D$9999*Raw_Data_Daily!$BY$2:$BY$9999)/SUMIFS(Raw_Data_Daily!$D:$D, Raw_Data_Daily!$B:$B, "Variant", Raw_Data_Daily!$C:$C, "C. 10-19"),"")</f>
        <v>0.6526079336</v>
      </c>
      <c r="K77" s="51">
        <f t="shared" si="68"/>
        <v>-0.01760463279</v>
      </c>
      <c r="L77" s="146">
        <f>IFERROR(SUMPRODUCT((Raw_Data_Daily!$B$2:$B$9999="Control")*(Raw_Data_Daily!$C$2:$C$9999="D. 20-39")*Raw_Data_Daily!$D$2:$D$9999*Raw_Data_Daily!$BY$2:$BY$9999)/SUMIFS(Raw_Data_Daily!$D:$D, Raw_Data_Daily!$B:$B, "Control", Raw_Data_Daily!$C:$C, "D. 20-39"),"")</f>
        <v>1.124363305</v>
      </c>
      <c r="M77" s="48">
        <f>IFERROR(SUMPRODUCT((Raw_Data_Daily!$B$2:$B$9999="Variant")*(Raw_Data_Daily!$C$2:$C$9999="D. 20-39")*Raw_Data_Daily!$D$2:$D$9999*Raw_Data_Daily!$BY$2:$BY$9999)/SUMIFS(Raw_Data_Daily!$D:$D, Raw_Data_Daily!$B:$B, "Variant", Raw_Data_Daily!$C:$C, "D. 20-39"),"")</f>
        <v>1.139893517</v>
      </c>
      <c r="N77" s="54">
        <f t="shared" si="69"/>
        <v>0.01381245045</v>
      </c>
      <c r="O77" s="145">
        <f>IFERROR(SUMPRODUCT((Raw_Data_Daily!$B$2:$B$9999="Control")*(Raw_Data_Daily!$C$2:$C$9999="E. 40-99")*Raw_Data_Daily!$D$2:$D$9999*Raw_Data_Daily!$BY$2:$BY$9999)/SUMIFS(Raw_Data_Daily!$D:$D, Raw_Data_Daily!$B:$B, "Control", Raw_Data_Daily!$C:$C, "E. 40-99"),"")</f>
        <v>1.922652076</v>
      </c>
      <c r="P77" s="48">
        <f>IFERROR(SUMPRODUCT((Raw_Data_Daily!$B$2:$B$9999="Variant")*(Raw_Data_Daily!$C$2:$C$9999="E. 40-99")*Raw_Data_Daily!$D$2:$D$9999*Raw_Data_Daily!$BY$2:$BY$9999)/SUMIFS(Raw_Data_Daily!$D:$D, Raw_Data_Daily!$B:$B, "Variant", Raw_Data_Daily!$C:$C, "E. 40-99"),"")</f>
        <v>1.912585913</v>
      </c>
      <c r="Q77" s="51">
        <f t="shared" si="70"/>
        <v>-0.005235561833</v>
      </c>
      <c r="R77" s="146">
        <f>IFERROR(SUMPRODUCT((Raw_Data_Daily!$B$2:$B$9999="Control")*(Raw_Data_Daily!$C$2:$C$9999="F. 100+")*Raw_Data_Daily!$D$2:$D$9999*Raw_Data_Daily!$BY$2:$BY$9999)/SUMIFS(Raw_Data_Daily!$D:$D, Raw_Data_Daily!$B:$B, "Control", Raw_Data_Daily!$C:$C, "F. 100+"),"")</f>
        <v>4.034396238</v>
      </c>
      <c r="S77" s="149">
        <f>IFERROR(SUMPRODUCT((Raw_Data_Daily!$B$2:$B$9999="Variant")*(Raw_Data_Daily!$C$2:$C$9999="F. 100+")*Raw_Data_Daily!$D$2:$D$9999*Raw_Data_Daily!$BY$2:$BY$9999)/SUMIFS(Raw_Data_Daily!$D:$D, Raw_Data_Daily!$B:$B, "Variant", Raw_Data_Daily!$C:$C, "F. 100+"),"")</f>
        <v>3.956414794</v>
      </c>
      <c r="T77" s="169">
        <f t="shared" si="71"/>
        <v>-0.01932914844</v>
      </c>
    </row>
    <row r="78" ht="15.75" customHeight="1">
      <c r="A78" s="8"/>
      <c r="B78" s="181" t="s">
        <v>94</v>
      </c>
      <c r="C78" s="145">
        <f>IFERROR(SUMPRODUCT((Raw_Data_Daily!$B$2:$B$9999="Control")*(Raw_Data_Daily!$C$2:$C$9999="A. 0")*Raw_Data_Daily!$D$2:$D$9999*Raw_Data_Daily!$BZ$2:$BZ$9999)/SUMIFS(Raw_Data_Daily!$D:$D, Raw_Data_Daily!$B:$B, "Control", Raw_Data_Daily!$C:$C, "A. 0"),"")</f>
        <v>0.1397665909</v>
      </c>
      <c r="D78" s="48">
        <f>IFERROR(SUMPRODUCT((Raw_Data_Daily!$B$2:$B$9999="Variant")*(Raw_Data_Daily!$C$2:$C$9999="A. 0")*Raw_Data_Daily!$D$2:$D$9999*Raw_Data_Daily!$BZ$2:$BZ$9999)/SUMIFS(Raw_Data_Daily!$D:$D, Raw_Data_Daily!$B:$B, "Variant", Raw_Data_Daily!$C:$C, "A. 0"),"")</f>
        <v>0.1782747046</v>
      </c>
      <c r="E78" s="46">
        <f t="shared" si="66"/>
        <v>0.2755172997</v>
      </c>
      <c r="F78" s="146">
        <f>IFERROR(SUMPRODUCT((Raw_Data_Daily!$B$2:$B$9999="Control")*(Raw_Data_Daily!$C$2:$C$9999="B. 1-9")*Raw_Data_Daily!$D$2:$D$9999*Raw_Data_Daily!$BZ$2:$BZ$9999)/SUMIFS(Raw_Data_Daily!$D:$D, Raw_Data_Daily!$B:$B, "Control", Raw_Data_Daily!$C:$C, "B. 1-9"),"")</f>
        <v>0.2776138194</v>
      </c>
      <c r="G78" s="48">
        <f>IFERROR(SUMPRODUCT((Raw_Data_Daily!$B$2:$B$9999="Variant")*(Raw_Data_Daily!$C$2:$C$9999="B. 1-9")*Raw_Data_Daily!$D$2:$D$9999*Raw_Data_Daily!$BZ$2:$BZ$9999)/SUMIFS(Raw_Data_Daily!$D:$D, Raw_Data_Daily!$B:$B, "Variant", Raw_Data_Daily!$C:$C, "B. 1-9"),"")</f>
        <v>0.2606466227</v>
      </c>
      <c r="H78" s="54">
        <f t="shared" si="67"/>
        <v>-0.06111798311</v>
      </c>
      <c r="I78" s="145">
        <f>IFERROR(SUMPRODUCT((Raw_Data_Daily!$B$2:$B$9999="Control")*(Raw_Data_Daily!$C$2:$C$9999="C. 10-19")*Raw_Data_Daily!$D$2:$D$9999*Raw_Data_Daily!$BZ$2:$BZ$9999)/SUMIFS(Raw_Data_Daily!$D:$D, Raw_Data_Daily!$B:$B, "Control", Raw_Data_Daily!$C:$C, "C. 10-19"),"")</f>
        <v>0.5551367903</v>
      </c>
      <c r="J78" s="48">
        <f>IFERROR(SUMPRODUCT((Raw_Data_Daily!$B$2:$B$9999="Variant")*(Raw_Data_Daily!$C$2:$C$9999="C. 10-19")*Raw_Data_Daily!$D$2:$D$9999*Raw_Data_Daily!$BZ$2:$BZ$9999)/SUMIFS(Raw_Data_Daily!$D:$D, Raw_Data_Daily!$B:$B, "Variant", Raw_Data_Daily!$C:$C, "C. 10-19"),"")</f>
        <v>0.5624725261</v>
      </c>
      <c r="K78" s="51">
        <f t="shared" si="68"/>
        <v>0.01321428509</v>
      </c>
      <c r="L78" s="146">
        <f>IFERROR(SUMPRODUCT((Raw_Data_Daily!$B$2:$B$9999="Control")*(Raw_Data_Daily!$C$2:$C$9999="D. 20-39")*Raw_Data_Daily!$D$2:$D$9999*Raw_Data_Daily!$BZ$2:$BZ$9999)/SUMIFS(Raw_Data_Daily!$D:$D, Raw_Data_Daily!$B:$B, "Control", Raw_Data_Daily!$C:$C, "D. 20-39"),"")</f>
        <v>0.8646630444</v>
      </c>
      <c r="M78" s="48">
        <f>IFERROR(SUMPRODUCT((Raw_Data_Daily!$B$2:$B$9999="Variant")*(Raw_Data_Daily!$C$2:$C$9999="D. 20-39")*Raw_Data_Daily!$D$2:$D$9999*Raw_Data_Daily!$BZ$2:$BZ$9999)/SUMIFS(Raw_Data_Daily!$D:$D, Raw_Data_Daily!$B:$B, "Variant", Raw_Data_Daily!$C:$C, "D. 20-39"),"")</f>
        <v>0.893237447</v>
      </c>
      <c r="N78" s="54">
        <f t="shared" si="69"/>
        <v>0.03304686472</v>
      </c>
      <c r="O78" s="145">
        <f>IFERROR(SUMPRODUCT((Raw_Data_Daily!$B$2:$B$9999="Control")*(Raw_Data_Daily!$C$2:$C$9999="E. 40-99")*Raw_Data_Daily!$D$2:$D$9999*Raw_Data_Daily!$BZ$2:$BZ$9999)/SUMIFS(Raw_Data_Daily!$D:$D, Raw_Data_Daily!$B:$B, "Control", Raw_Data_Daily!$C:$C, "E. 40-99"),"")</f>
        <v>1.532321058</v>
      </c>
      <c r="P78" s="48">
        <f>IFERROR(SUMPRODUCT((Raw_Data_Daily!$B$2:$B$9999="Variant")*(Raw_Data_Daily!$C$2:$C$9999="E. 40-99")*Raw_Data_Daily!$D$2:$D$9999*Raw_Data_Daily!$BZ$2:$BZ$9999)/SUMIFS(Raw_Data_Daily!$D:$D, Raw_Data_Daily!$B:$B, "Variant", Raw_Data_Daily!$C:$C, "E. 40-99"),"")</f>
        <v>1.524406619</v>
      </c>
      <c r="Q78" s="51">
        <f t="shared" si="70"/>
        <v>-0.005165000451</v>
      </c>
      <c r="R78" s="146">
        <f>IFERROR(SUMPRODUCT((Raw_Data_Daily!$B$2:$B$9999="Control")*(Raw_Data_Daily!$C$2:$C$9999="F. 100+")*Raw_Data_Daily!$D$2:$D$9999*Raw_Data_Daily!$BZ$2:$BZ$9999)/SUMIFS(Raw_Data_Daily!$D:$D, Raw_Data_Daily!$B:$B, "Control", Raw_Data_Daily!$C:$C, "F. 100+"),"")</f>
        <v>3.376513704</v>
      </c>
      <c r="S78" s="149">
        <f>IFERROR(SUMPRODUCT((Raw_Data_Daily!$B$2:$B$9999="Variant")*(Raw_Data_Daily!$C$2:$C$9999="F. 100+")*Raw_Data_Daily!$D$2:$D$9999*Raw_Data_Daily!$BZ$2:$BZ$9999)/SUMIFS(Raw_Data_Daily!$D:$D, Raw_Data_Daily!$B:$B, "Variant", Raw_Data_Daily!$C:$C, "F. 100+"),"")</f>
        <v>3.235558079</v>
      </c>
      <c r="T78" s="169">
        <f t="shared" si="71"/>
        <v>-0.04174590623</v>
      </c>
    </row>
    <row r="79" ht="15.75" customHeight="1">
      <c r="A79" s="8"/>
      <c r="B79" s="181" t="s">
        <v>95</v>
      </c>
      <c r="C79" s="145">
        <f>IFERROR(SUMPRODUCT((Raw_Data_Daily!$B$2:$B$9999="Control")*(Raw_Data_Daily!$C$2:$C$9999="A. 0")*Raw_Data_Daily!$D$2:$D$9999*(Raw_Data_Daily!$BW$2:$BW$9999-Raw_Data_Daily!$BZ$2:$BZ$9999))/SUMIFS(Raw_Data_Daily!$D:$D, Raw_Data_Daily!$B:$B, "Control", Raw_Data_Daily!$C:$C, "A. 0"),"")</f>
        <v>0.04711068187</v>
      </c>
      <c r="D79" s="48">
        <f>IFERROR(SUMPRODUCT((Raw_Data_Daily!$B$2:$B$9999="Variant")*(Raw_Data_Daily!$C$2:$C$9999="A. 0")*Raw_Data_Daily!$D$2:$D$9999*(Raw_Data_Daily!$BW$2:$BW$9999-Raw_Data_Daily!$BZ$2:$BZ$9999))/SUMIFS(Raw_Data_Daily!$D:$D, Raw_Data_Daily!$B:$B, "Variant", Raw_Data_Daily!$C:$C, "A. 0"),"")</f>
        <v>0.01947949262</v>
      </c>
      <c r="E79" s="38">
        <f t="shared" si="66"/>
        <v>-0.5865164365</v>
      </c>
      <c r="F79" s="146">
        <f>IFERROR(SUMPRODUCT((Raw_Data_Daily!$B$2:$B$9999="Control")*(Raw_Data_Daily!$C$2:$C$9999="B. 1-9")*Raw_Data_Daily!$D$2:$D$9999*(Raw_Data_Daily!$BW$2:$BW$9999-Raw_Data_Daily!$BZ$2:$BZ$9999))/SUMIFS(Raw_Data_Daily!$D:$D, Raw_Data_Daily!$B:$B, "Control", Raw_Data_Daily!$C:$C, "B. 1-9"),"")</f>
        <v>0.04705873091</v>
      </c>
      <c r="G79" s="48">
        <f>IFERROR(SUMPRODUCT((Raw_Data_Daily!$B$2:$B$9999="Variant")*(Raw_Data_Daily!$C$2:$C$9999="B. 1-9")*Raw_Data_Daily!$D$2:$D$9999*(Raw_Data_Daily!$BW$2:$BW$9999-Raw_Data_Daily!$BZ$2:$BZ$9999))/SUMIFS(Raw_Data_Daily!$D:$D, Raw_Data_Daily!$B:$B, "Variant", Raw_Data_Daily!$C:$C, "B. 1-9"),"")</f>
        <v>0.03784632383</v>
      </c>
      <c r="H79" s="54">
        <f t="shared" si="67"/>
        <v>-0.1957640357</v>
      </c>
      <c r="I79" s="145">
        <f>IFERROR(SUMPRODUCT((Raw_Data_Daily!$B$2:$B$9999="Control")*(Raw_Data_Daily!$C$2:$C$9999="C. 10-19")*Raw_Data_Daily!$D$2:$D$9999*(Raw_Data_Daily!$BW$2:$BW$9999-Raw_Data_Daily!$BZ$2:$BZ$9999))/SUMIFS(Raw_Data_Daily!$D:$D, Raw_Data_Daily!$B:$B, "Control", Raw_Data_Daily!$C:$C, "C. 10-19"),"")</f>
        <v>0.1386474413</v>
      </c>
      <c r="J79" s="48">
        <f>IFERROR(SUMPRODUCT((Raw_Data_Daily!$B$2:$B$9999="Variant")*(Raw_Data_Daily!$C$2:$C$9999="C. 10-19")*Raw_Data_Daily!$D$2:$D$9999*(Raw_Data_Daily!$BW$2:$BW$9999-Raw_Data_Daily!$BZ$2:$BZ$9999))/SUMIFS(Raw_Data_Daily!$D:$D, Raw_Data_Daily!$B:$B, "Variant", Raw_Data_Daily!$C:$C, "C. 10-19"),"")</f>
        <v>0.1141297967</v>
      </c>
      <c r="K79" s="51">
        <f t="shared" si="68"/>
        <v>-0.1768344538</v>
      </c>
      <c r="L79" s="146">
        <f>IFERROR(SUMPRODUCT((Raw_Data_Daily!$B$2:$B$9999="Control")*(Raw_Data_Daily!$C$2:$C$9999="D. 20-39")*Raw_Data_Daily!$D$2:$D$9999*(Raw_Data_Daily!$BW$2:$BW$9999-Raw_Data_Daily!$BZ$2:$BZ$9999))/SUMIFS(Raw_Data_Daily!$D:$D, Raw_Data_Daily!$B:$B, "Control", Raw_Data_Daily!$C:$C, "D. 20-39"),"")</f>
        <v>0.3095998476</v>
      </c>
      <c r="M79" s="48">
        <f>IFERROR(SUMPRODUCT((Raw_Data_Daily!$B$2:$B$9999="Variant")*(Raw_Data_Daily!$C$2:$C$9999="D. 20-39")*Raw_Data_Daily!$D$2:$D$9999*(Raw_Data_Daily!$BW$2:$BW$9999-Raw_Data_Daily!$BZ$2:$BZ$9999))/SUMIFS(Raw_Data_Daily!$D:$D, Raw_Data_Daily!$B:$B, "Variant", Raw_Data_Daily!$C:$C, "D. 20-39"),"")</f>
        <v>0.2851227357</v>
      </c>
      <c r="N79" s="54">
        <f t="shared" si="69"/>
        <v>-0.07906047811</v>
      </c>
      <c r="O79" s="145">
        <f>IFERROR(SUMPRODUCT((Raw_Data_Daily!$B$2:$B$9999="Control")*(Raw_Data_Daily!$C$2:$C$9999="E. 40-99")*Raw_Data_Daily!$D$2:$D$9999*(Raw_Data_Daily!$BW$2:$BW$9999-Raw_Data_Daily!$BZ$2:$BZ$9999))/SUMIFS(Raw_Data_Daily!$D:$D, Raw_Data_Daily!$B:$B, "Control", Raw_Data_Daily!$C:$C, "E. 40-99"),"")</f>
        <v>0.4804313737</v>
      </c>
      <c r="P79" s="48">
        <f>IFERROR(SUMPRODUCT((Raw_Data_Daily!$B$2:$B$9999="Variant")*(Raw_Data_Daily!$C$2:$C$9999="E. 40-99")*Raw_Data_Daily!$D$2:$D$9999*(Raw_Data_Daily!$BW$2:$BW$9999-Raw_Data_Daily!$BZ$2:$BZ$9999))/SUMIFS(Raw_Data_Daily!$D:$D, Raw_Data_Daily!$B:$B, "Variant", Raw_Data_Daily!$C:$C, "E. 40-99"),"")</f>
        <v>0.4579296295</v>
      </c>
      <c r="Q79" s="51">
        <f t="shared" si="70"/>
        <v>-0.04683654215</v>
      </c>
      <c r="R79" s="146">
        <f>IFERROR(SUMPRODUCT((Raw_Data_Daily!$B$2:$B$9999="Control")*(Raw_Data_Daily!$C$2:$C$9999="F. 100+")*Raw_Data_Daily!$D$2:$D$9999*(Raw_Data_Daily!$BW$2:$BW$9999-Raw_Data_Daily!$BZ$2:$BZ$9999))/SUMIFS(Raw_Data_Daily!$D:$D, Raw_Data_Daily!$B:$B, "Control", Raw_Data_Daily!$C:$C, "F. 100+"),"")</f>
        <v>0.8452523968</v>
      </c>
      <c r="S79" s="48">
        <f>IFERROR(SUMPRODUCT((Raw_Data_Daily!$B$2:$B$9999="Variant")*(Raw_Data_Daily!$C$2:$C$9999="F. 100+")*Raw_Data_Daily!$D$2:$D$9999*(Raw_Data_Daily!$BW$2:$BW$9999-Raw_Data_Daily!$BZ$2:$BZ$9999))/SUMIFS(Raw_Data_Daily!$D:$D, Raw_Data_Daily!$B:$B, "Variant", Raw_Data_Daily!$C:$C, "F. 100+"),"")</f>
        <v>0.8027086171</v>
      </c>
      <c r="T79" s="54">
        <f t="shared" si="71"/>
        <v>-0.05033263429</v>
      </c>
    </row>
    <row r="80" ht="15.75" customHeight="1">
      <c r="A80" s="165" t="s">
        <v>96</v>
      </c>
      <c r="B80" s="28"/>
      <c r="C80" s="29"/>
      <c r="D80" s="6"/>
      <c r="E80" s="30"/>
      <c r="F80" s="32"/>
      <c r="G80" s="6"/>
      <c r="H80" s="28"/>
      <c r="I80" s="29"/>
      <c r="J80" s="6"/>
      <c r="K80" s="30"/>
      <c r="L80" s="32"/>
      <c r="M80" s="6"/>
      <c r="N80" s="28"/>
      <c r="O80" s="29"/>
      <c r="P80" s="6"/>
      <c r="Q80" s="30"/>
      <c r="R80" s="32"/>
      <c r="S80" s="6"/>
      <c r="T80" s="28"/>
    </row>
    <row r="81" ht="15.75" customHeight="1">
      <c r="A81" s="8"/>
      <c r="B81" s="181" t="s">
        <v>97</v>
      </c>
      <c r="C81" s="145">
        <f>IFERROR(SUMPRODUCT((Raw_Data_Daily!$B$2:$B$9999="Control")*(Raw_Data_Daily!$C$2:$C$9999="A. 0")*Raw_Data_Daily!$D$2:$D$9999*Raw_Data_Daily!$CE$2:$CE$9999)/SUMIFS(Raw_Data_Daily!$D:$D, Raw_Data_Daily!$B:$B, "Control", Raw_Data_Daily!$C:$C, "A. 0"),"")</f>
        <v>0.4147787859</v>
      </c>
      <c r="D81" s="48">
        <f>IFERROR(SUMPRODUCT((Raw_Data_Daily!$B$2:$B$9999="Variant")*(Raw_Data_Daily!$C$2:$C$9999="A. 0")*Raw_Data_Daily!$D$2:$D$9999*Raw_Data_Daily!$CE$2:$CE$9999)/SUMIFS(Raw_Data_Daily!$D:$D, Raw_Data_Daily!$B:$B, "Variant", Raw_Data_Daily!$C:$C, "A. 0"),"")</f>
        <v>0.6240277432</v>
      </c>
      <c r="E81" s="46">
        <f t="shared" ref="E81:E85" si="72">IFERROR((D81-C81)/ABS(C81),"")</f>
        <v>0.5044832677</v>
      </c>
      <c r="F81" s="146">
        <f>IFERROR(SUMPRODUCT((Raw_Data_Daily!$B$2:$B$9999="Control")*(Raw_Data_Daily!$C$2:$C$9999="B. 1-9")*Raw_Data_Daily!$D$2:$D$9999*Raw_Data_Daily!$CE$2:$CE$9999)/SUMIFS(Raw_Data_Daily!$D:$D, Raw_Data_Daily!$B:$B, "Control", Raw_Data_Daily!$C:$C, "B. 1-9"),"")</f>
        <v>0.4935818283</v>
      </c>
      <c r="G81" s="48">
        <f>IFERROR(SUMPRODUCT((Raw_Data_Daily!$B$2:$B$9999="Variant")*(Raw_Data_Daily!$C$2:$C$9999="B. 1-9")*Raw_Data_Daily!$D$2:$D$9999*Raw_Data_Daily!$CE$2:$CE$9999)/SUMIFS(Raw_Data_Daily!$D:$D, Raw_Data_Daily!$B:$B, "Variant", Raw_Data_Daily!$C:$C, "B. 1-9"),"")</f>
        <v>0.623530675</v>
      </c>
      <c r="H81" s="54">
        <f t="shared" ref="H81:H85" si="73">IFERROR((G81-F81)/ABS(F81),"")</f>
        <v>0.2632772099</v>
      </c>
      <c r="I81" s="145">
        <f>IFERROR(SUMPRODUCT((Raw_Data_Daily!$B$2:$B$9999="Control")*(Raw_Data_Daily!$C$2:$C$9999="C. 10-19")*Raw_Data_Daily!$D$2:$D$9999*Raw_Data_Daily!$CE$2:$CE$9999)/SUMIFS(Raw_Data_Daily!$D:$D, Raw_Data_Daily!$B:$B, "Control", Raw_Data_Daily!$C:$C, "C. 10-19"),"")</f>
        <v>0.9742865564</v>
      </c>
      <c r="J81" s="48">
        <f>IFERROR(SUMPRODUCT((Raw_Data_Daily!$B$2:$B$9999="Variant")*(Raw_Data_Daily!$C$2:$C$9999="C. 10-19")*Raw_Data_Daily!$D$2:$D$9999*Raw_Data_Daily!$CE$2:$CE$9999)/SUMIFS(Raw_Data_Daily!$D:$D, Raw_Data_Daily!$B:$B, "Variant", Raw_Data_Daily!$C:$C, "C. 10-19"),"")</f>
        <v>1.27839988</v>
      </c>
      <c r="K81" s="51">
        <f t="shared" ref="K81:K85" si="74">IFERROR((J81-I81)/ABS(I81),"")</f>
        <v>0.3121395055</v>
      </c>
      <c r="L81" s="146">
        <f>IFERROR(SUMPRODUCT((Raw_Data_Daily!$B$2:$B$9999="Control")*(Raw_Data_Daily!$C$2:$C$9999="D. 20-39")*Raw_Data_Daily!$D$2:$D$9999*Raw_Data_Daily!$CE$2:$CE$9999)/SUMIFS(Raw_Data_Daily!$D:$D, Raw_Data_Daily!$B:$B, "Control", Raw_Data_Daily!$C:$C, "D. 20-39"),"")</f>
        <v>1.50811966</v>
      </c>
      <c r="M81" s="48">
        <f>IFERROR(SUMPRODUCT((Raw_Data_Daily!$B$2:$B$9999="Variant")*(Raw_Data_Daily!$C$2:$C$9999="D. 20-39")*Raw_Data_Daily!$D$2:$D$9999*Raw_Data_Daily!$CE$2:$CE$9999)/SUMIFS(Raw_Data_Daily!$D:$D, Raw_Data_Daily!$B:$B, "Variant", Raw_Data_Daily!$C:$C, "D. 20-39"),"")</f>
        <v>1.85104543</v>
      </c>
      <c r="N81" s="54">
        <f t="shared" ref="N81:N85" si="75">IFERROR((M81-L81)/ABS(L81),"")</f>
        <v>0.2273863133</v>
      </c>
      <c r="O81" s="145">
        <f>IFERROR(SUMPRODUCT((Raw_Data_Daily!$B$2:$B$9999="Control")*(Raw_Data_Daily!$C$2:$C$9999="E. 40-99")*Raw_Data_Daily!$D$2:$D$9999*Raw_Data_Daily!$CE$2:$CE$9999)/SUMIFS(Raw_Data_Daily!$D:$D, Raw_Data_Daily!$B:$B, "Control", Raw_Data_Daily!$C:$C, "E. 40-99"),"")</f>
        <v>2.563215518</v>
      </c>
      <c r="P81" s="48">
        <f>IFERROR(SUMPRODUCT((Raw_Data_Daily!$B$2:$B$9999="Variant")*(Raw_Data_Daily!$C$2:$C$9999="E. 40-99")*Raw_Data_Daily!$D$2:$D$9999*Raw_Data_Daily!$CE$2:$CE$9999)/SUMIFS(Raw_Data_Daily!$D:$D, Raw_Data_Daily!$B:$B, "Variant", Raw_Data_Daily!$C:$C, "E. 40-99"),"")</f>
        <v>2.891786042</v>
      </c>
      <c r="Q81" s="51">
        <f t="shared" ref="Q81:Q85" si="76">IFERROR((P81-O81)/ABS(O81),"")</f>
        <v>0.1281868501</v>
      </c>
      <c r="R81" s="146">
        <f>IFERROR(SUMPRODUCT((Raw_Data_Daily!$B$2:$B$9999="Control")*(Raw_Data_Daily!$C$2:$C$9999="F. 100+")*Raw_Data_Daily!$D$2:$D$9999*Raw_Data_Daily!$CE$2:$CE$9999)/SUMIFS(Raw_Data_Daily!$D:$D, Raw_Data_Daily!$B:$B, "Control", Raw_Data_Daily!$C:$C, "F. 100+"),"")</f>
        <v>5.290019133</v>
      </c>
      <c r="S81" s="149">
        <f>IFERROR(SUMPRODUCT((Raw_Data_Daily!$B$2:$B$9999="Variant")*(Raw_Data_Daily!$C$2:$C$9999="F. 100+")*Raw_Data_Daily!$D$2:$D$9999*Raw_Data_Daily!$CE$2:$CE$9999)/SUMIFS(Raw_Data_Daily!$D:$D, Raw_Data_Daily!$B:$B, "Variant", Raw_Data_Daily!$C:$C, "F. 100+"),"")</f>
        <v>6.828542741</v>
      </c>
      <c r="T81" s="169">
        <f t="shared" ref="T81:T85" si="77">IFERROR((S81-R81)/ABS(R81),"")</f>
        <v>0.290835169</v>
      </c>
    </row>
    <row r="82" ht="15.75" customHeight="1">
      <c r="A82" s="8"/>
      <c r="B82" s="181" t="s">
        <v>98</v>
      </c>
      <c r="C82" s="145">
        <f>IFERROR(SUMPRODUCT((Raw_Data_Daily!$B$2:$B$9999="Control")*(Raw_Data_Daily!$C$2:$C$9999="A. 0")*Raw_Data_Daily!$D$2:$D$9999*Raw_Data_Daily!$CF$2:$CF$9999)/SUMIFS(Raw_Data_Daily!$D:$D, Raw_Data_Daily!$B:$B, "Control", Raw_Data_Daily!$C:$C, "A. 0"),"")</f>
        <v>0.01869431065</v>
      </c>
      <c r="D82" s="48">
        <f>IFERROR(SUMPRODUCT((Raw_Data_Daily!$B$2:$B$9999="Variant")*(Raw_Data_Daily!$C$2:$C$9999="A. 0")*Raw_Data_Daily!$D$2:$D$9999*Raw_Data_Daily!$CF$2:$CF$9999)/SUMIFS(Raw_Data_Daily!$D:$D, Raw_Data_Daily!$B:$B, "Variant", Raw_Data_Daily!$C:$C, "A. 0"),"")</f>
        <v>0.01500643283</v>
      </c>
      <c r="E82" s="46">
        <f t="shared" si="72"/>
        <v>-0.1972727364</v>
      </c>
      <c r="F82" s="146">
        <f>IFERROR(SUMPRODUCT((Raw_Data_Daily!$B$2:$B$9999="Control")*(Raw_Data_Daily!$C$2:$C$9999="B. 1-9")*Raw_Data_Daily!$D$2:$D$9999*Raw_Data_Daily!$CF$2:$CF$9999)/SUMIFS(Raw_Data_Daily!$D:$D, Raw_Data_Daily!$B:$B, "Control", Raw_Data_Daily!$C:$C, "B. 1-9"),"")</f>
        <v>0.007453644039</v>
      </c>
      <c r="G82" s="48">
        <f>IFERROR(SUMPRODUCT((Raw_Data_Daily!$B$2:$B$9999="Variant")*(Raw_Data_Daily!$C$2:$C$9999="B. 1-9")*Raw_Data_Daily!$D$2:$D$9999*Raw_Data_Daily!$CF$2:$CF$9999)/SUMIFS(Raw_Data_Daily!$D:$D, Raw_Data_Daily!$B:$B, "Variant", Raw_Data_Daily!$C:$C, "B. 1-9"),"")</f>
        <v>0.00639348797</v>
      </c>
      <c r="H82" s="54">
        <f t="shared" si="73"/>
        <v>-0.1422332572</v>
      </c>
      <c r="I82" s="145">
        <f>IFERROR(SUMPRODUCT((Raw_Data_Daily!$B$2:$B$9999="Control")*(Raw_Data_Daily!$C$2:$C$9999="C. 10-19")*Raw_Data_Daily!$D$2:$D$9999*Raw_Data_Daily!$CF$2:$CF$9999)/SUMIFS(Raw_Data_Daily!$D:$D, Raw_Data_Daily!$B:$B, "Control", Raw_Data_Daily!$C:$C, "C. 10-19"),"")</f>
        <v>0.01622663488</v>
      </c>
      <c r="J82" s="48">
        <f>IFERROR(SUMPRODUCT((Raw_Data_Daily!$B$2:$B$9999="Variant")*(Raw_Data_Daily!$C$2:$C$9999="C. 10-19")*Raw_Data_Daily!$D$2:$D$9999*Raw_Data_Daily!$CF$2:$CF$9999)/SUMIFS(Raw_Data_Daily!$D:$D, Raw_Data_Daily!$B:$B, "Variant", Raw_Data_Daily!$C:$C, "C. 10-19"),"")</f>
        <v>0.01665077933</v>
      </c>
      <c r="K82" s="51">
        <f t="shared" si="74"/>
        <v>0.0261387808</v>
      </c>
      <c r="L82" s="146">
        <f>IFERROR(SUMPRODUCT((Raw_Data_Daily!$B$2:$B$9999="Control")*(Raw_Data_Daily!$C$2:$C$9999="D. 20-39")*Raw_Data_Daily!$D$2:$D$9999*Raw_Data_Daily!$CF$2:$CF$9999)/SUMIFS(Raw_Data_Daily!$D:$D, Raw_Data_Daily!$B:$B, "Control", Raw_Data_Daily!$C:$C, "D. 20-39"),"")</f>
        <v>0.02975166505</v>
      </c>
      <c r="M82" s="48">
        <f>IFERROR(SUMPRODUCT((Raw_Data_Daily!$B$2:$B$9999="Variant")*(Raw_Data_Daily!$C$2:$C$9999="D. 20-39")*Raw_Data_Daily!$D$2:$D$9999*Raw_Data_Daily!$CF$2:$CF$9999)/SUMIFS(Raw_Data_Daily!$D:$D, Raw_Data_Daily!$B:$B, "Variant", Raw_Data_Daily!$C:$C, "D. 20-39"),"")</f>
        <v>0.02994183771</v>
      </c>
      <c r="N82" s="54">
        <f t="shared" si="75"/>
        <v>0.006392000429</v>
      </c>
      <c r="O82" s="145">
        <f>IFERROR(SUMPRODUCT((Raw_Data_Daily!$B$2:$B$9999="Control")*(Raw_Data_Daily!$C$2:$C$9999="E. 40-99")*Raw_Data_Daily!$D$2:$D$9999*Raw_Data_Daily!$CF$2:$CF$9999)/SUMIFS(Raw_Data_Daily!$D:$D, Raw_Data_Daily!$B:$B, "Control", Raw_Data_Daily!$C:$C, "E. 40-99"),"")</f>
        <v>0.06930259675</v>
      </c>
      <c r="P82" s="48">
        <f>IFERROR(SUMPRODUCT((Raw_Data_Daily!$B$2:$B$9999="Variant")*(Raw_Data_Daily!$C$2:$C$9999="E. 40-99")*Raw_Data_Daily!$D$2:$D$9999*Raw_Data_Daily!$CF$2:$CF$9999)/SUMIFS(Raw_Data_Daily!$D:$D, Raw_Data_Daily!$B:$B, "Variant", Raw_Data_Daily!$C:$C, "E. 40-99"),"")</f>
        <v>0.06165459759</v>
      </c>
      <c r="Q82" s="51">
        <f t="shared" si="76"/>
        <v>-0.1103566031</v>
      </c>
      <c r="R82" s="146">
        <f>IFERROR(SUMPRODUCT((Raw_Data_Daily!$B$2:$B$9999="Control")*(Raw_Data_Daily!$C$2:$C$9999="F. 100+")*Raw_Data_Daily!$D$2:$D$9999*Raw_Data_Daily!$CF$2:$CF$9999)/SUMIFS(Raw_Data_Daily!$D:$D, Raw_Data_Daily!$B:$B, "Control", Raw_Data_Daily!$C:$C, "F. 100+"),"")</f>
        <v>0.1496561276</v>
      </c>
      <c r="S82" s="149">
        <f>IFERROR(SUMPRODUCT((Raw_Data_Daily!$B$2:$B$9999="Variant")*(Raw_Data_Daily!$C$2:$C$9999="F. 100+")*Raw_Data_Daily!$D$2:$D$9999*Raw_Data_Daily!$CF$2:$CF$9999)/SUMIFS(Raw_Data_Daily!$D:$D, Raw_Data_Daily!$B:$B, "Variant", Raw_Data_Daily!$C:$C, "F. 100+"),"")</f>
        <v>0.120211689</v>
      </c>
      <c r="T82" s="169">
        <f t="shared" si="77"/>
        <v>-0.1967472966</v>
      </c>
    </row>
    <row r="83" ht="15.75" customHeight="1">
      <c r="A83" s="8"/>
      <c r="B83" s="181" t="s">
        <v>99</v>
      </c>
      <c r="C83" s="145">
        <f>IFERROR(SUMPRODUCT((Raw_Data_Daily!$B$2:$B$9999="Control")*(Raw_Data_Daily!$C$2:$C$9999="A. 0")*Raw_Data_Daily!$D$2:$D$9999*Raw_Data_Daily!$CG$2:$CG$9999)/SUMIFS(Raw_Data_Daily!$D:$D, Raw_Data_Daily!$B:$B, "Control", Raw_Data_Daily!$C:$C, "A. 0"),"")</f>
        <v>0.3960846356</v>
      </c>
      <c r="D83" s="48">
        <f>IFERROR(SUMPRODUCT((Raw_Data_Daily!$B$2:$B$9999="Variant")*(Raw_Data_Daily!$C$2:$C$9999="A. 0")*Raw_Data_Daily!$D$2:$D$9999*Raw_Data_Daily!$CG$2:$CG$9999)/SUMIFS(Raw_Data_Daily!$D:$D, Raw_Data_Daily!$B:$B, "Variant", Raw_Data_Daily!$C:$C, "A. 0"),"")</f>
        <v>0.6090026706</v>
      </c>
      <c r="E83" s="46">
        <f t="shared" si="72"/>
        <v>0.5375569153</v>
      </c>
      <c r="F83" s="146">
        <f>IFERROR(SUMPRODUCT((Raw_Data_Daily!$B$2:$B$9999="Control")*(Raw_Data_Daily!$C$2:$C$9999="B. 1-9")*Raw_Data_Daily!$D$2:$D$9999*Raw_Data_Daily!$CG$2:$CG$9999)/SUMIFS(Raw_Data_Daily!$D:$D, Raw_Data_Daily!$B:$B, "Control", Raw_Data_Daily!$C:$C, "B. 1-9"),"")</f>
        <v>0.4861188504</v>
      </c>
      <c r="G83" s="48">
        <f>IFERROR(SUMPRODUCT((Raw_Data_Daily!$B$2:$B$9999="Variant")*(Raw_Data_Daily!$C$2:$C$9999="B. 1-9")*Raw_Data_Daily!$D$2:$D$9999*Raw_Data_Daily!$CG$2:$CG$9999)/SUMIFS(Raw_Data_Daily!$D:$D, Raw_Data_Daily!$B:$B, "Variant", Raw_Data_Daily!$C:$C, "B. 1-9"),"")</f>
        <v>0.6171418829</v>
      </c>
      <c r="H83" s="54">
        <f t="shared" si="73"/>
        <v>0.2695288042</v>
      </c>
      <c r="I83" s="145">
        <f>IFERROR(SUMPRODUCT((Raw_Data_Daily!$B$2:$B$9999="Control")*(Raw_Data_Daily!$C$2:$C$9999="C. 10-19")*Raw_Data_Daily!$D$2:$D$9999*Raw_Data_Daily!$CG$2:$CG$9999)/SUMIFS(Raw_Data_Daily!$D:$D, Raw_Data_Daily!$B:$B, "Control", Raw_Data_Daily!$C:$C, "C. 10-19"),"")</f>
        <v>0.9580787504</v>
      </c>
      <c r="J83" s="48">
        <f>IFERROR(SUMPRODUCT((Raw_Data_Daily!$B$2:$B$9999="Variant")*(Raw_Data_Daily!$C$2:$C$9999="C. 10-19")*Raw_Data_Daily!$D$2:$D$9999*Raw_Data_Daily!$CG$2:$CG$9999)/SUMIFS(Raw_Data_Daily!$D:$D, Raw_Data_Daily!$B:$B, "Variant", Raw_Data_Daily!$C:$C, "C. 10-19"),"")</f>
        <v>1.261764286</v>
      </c>
      <c r="K83" s="51">
        <f t="shared" si="74"/>
        <v>0.316973459</v>
      </c>
      <c r="L83" s="146">
        <f>IFERROR(SUMPRODUCT((Raw_Data_Daily!$B$2:$B$9999="Control")*(Raw_Data_Daily!$C$2:$C$9999="D. 20-39")*Raw_Data_Daily!$D$2:$D$9999*Raw_Data_Daily!$CG$2:$CG$9999)/SUMIFS(Raw_Data_Daily!$D:$D, Raw_Data_Daily!$B:$B, "Control", Raw_Data_Daily!$C:$C, "D. 20-39"),"")</f>
        <v>1.478353809</v>
      </c>
      <c r="M83" s="48">
        <f>IFERROR(SUMPRODUCT((Raw_Data_Daily!$B$2:$B$9999="Variant")*(Raw_Data_Daily!$C$2:$C$9999="D. 20-39")*Raw_Data_Daily!$D$2:$D$9999*Raw_Data_Daily!$CG$2:$CG$9999)/SUMIFS(Raw_Data_Daily!$D:$D, Raw_Data_Daily!$B:$B, "Variant", Raw_Data_Daily!$C:$C, "D. 20-39"),"")</f>
        <v>1.821094083</v>
      </c>
      <c r="N83" s="54">
        <f t="shared" si="75"/>
        <v>0.2318391386</v>
      </c>
      <c r="O83" s="145">
        <f>IFERROR(SUMPRODUCT((Raw_Data_Daily!$B$2:$B$9999="Control")*(Raw_Data_Daily!$C$2:$C$9999="E. 40-99")*Raw_Data_Daily!$D$2:$D$9999*Raw_Data_Daily!$CG$2:$CG$9999)/SUMIFS(Raw_Data_Daily!$D:$D, Raw_Data_Daily!$B:$B, "Control", Raw_Data_Daily!$C:$C, "E. 40-99"),"")</f>
        <v>2.493908474</v>
      </c>
      <c r="P83" s="48">
        <f>IFERROR(SUMPRODUCT((Raw_Data_Daily!$B$2:$B$9999="Variant")*(Raw_Data_Daily!$C$2:$C$9999="E. 40-99")*Raw_Data_Daily!$D$2:$D$9999*Raw_Data_Daily!$CG$2:$CG$9999)/SUMIFS(Raw_Data_Daily!$D:$D, Raw_Data_Daily!$B:$B, "Variant", Raw_Data_Daily!$C:$C, "E. 40-99"),"")</f>
        <v>2.830136641</v>
      </c>
      <c r="Q83" s="51">
        <f t="shared" si="76"/>
        <v>0.1348197699</v>
      </c>
      <c r="R83" s="146">
        <f>IFERROR(SUMPRODUCT((Raw_Data_Daily!$B$2:$B$9999="Control")*(Raw_Data_Daily!$C$2:$C$9999="F. 100+")*Raw_Data_Daily!$D$2:$D$9999*Raw_Data_Daily!$CG$2:$CG$9999)/SUMIFS(Raw_Data_Daily!$D:$D, Raw_Data_Daily!$B:$B, "Control", Raw_Data_Daily!$C:$C, "F. 100+"),"")</f>
        <v>5.140368685</v>
      </c>
      <c r="S83" s="149">
        <f>IFERROR(SUMPRODUCT((Raw_Data_Daily!$B$2:$B$9999="Variant")*(Raw_Data_Daily!$C$2:$C$9999="F. 100+")*Raw_Data_Daily!$D$2:$D$9999*Raw_Data_Daily!$CG$2:$CG$9999)/SUMIFS(Raw_Data_Daily!$D:$D, Raw_Data_Daily!$B:$B, "Variant", Raw_Data_Daily!$C:$C, "F. 100+"),"")</f>
        <v>6.708326727</v>
      </c>
      <c r="T83" s="169">
        <f t="shared" si="77"/>
        <v>0.3050283236</v>
      </c>
    </row>
    <row r="84" ht="15.75" customHeight="1">
      <c r="A84" s="8"/>
      <c r="B84" s="181" t="s">
        <v>100</v>
      </c>
      <c r="C84" s="145">
        <f>IFERROR(SUMPRODUCT((Raw_Data_Daily!$B$2:$B$9999="Control")*(Raw_Data_Daily!$C$2:$C$9999="A. 0")*Raw_Data_Daily!$D$2:$D$9999*Raw_Data_Daily!$CH$2:$CH$9999)/SUMIFS(Raw_Data_Daily!$D:$D, Raw_Data_Daily!$B:$B, "Control", Raw_Data_Daily!$C:$C, "A. 0"),"")</f>
        <v>0.2577070024</v>
      </c>
      <c r="D84" s="48">
        <f>IFERROR(SUMPRODUCT((Raw_Data_Daily!$B$2:$B$9999="Variant")*(Raw_Data_Daily!$C$2:$C$9999="A. 0")*Raw_Data_Daily!$D$2:$D$9999*Raw_Data_Daily!$CH$2:$CH$9999)/SUMIFS(Raw_Data_Daily!$D:$D, Raw_Data_Daily!$B:$B, "Variant", Raw_Data_Daily!$C:$C, "A. 0"),"")</f>
        <v>0.2836678194</v>
      </c>
      <c r="E84" s="46">
        <f t="shared" si="72"/>
        <v>0.1007377245</v>
      </c>
      <c r="F84" s="146">
        <f>IFERROR(SUMPRODUCT((Raw_Data_Daily!$B$2:$B$9999="Control")*(Raw_Data_Daily!$C$2:$C$9999="B. 1-9")*Raw_Data_Daily!$D$2:$D$9999*Raw_Data_Daily!$CH$2:$CH$9999)/SUMIFS(Raw_Data_Daily!$D:$D, Raw_Data_Daily!$B:$B, "Control", Raw_Data_Daily!$C:$C, "B. 1-9"),"")</f>
        <v>0.4543099016</v>
      </c>
      <c r="G84" s="48">
        <f>IFERROR(SUMPRODUCT((Raw_Data_Daily!$B$2:$B$9999="Variant")*(Raw_Data_Daily!$C$2:$C$9999="B. 1-9")*Raw_Data_Daily!$D$2:$D$9999*Raw_Data_Daily!$CH$2:$CH$9999)/SUMIFS(Raw_Data_Daily!$D:$D, Raw_Data_Daily!$B:$B, "Variant", Raw_Data_Daily!$C:$C, "B. 1-9"),"")</f>
        <v>0.5284110162</v>
      </c>
      <c r="H84" s="54">
        <f t="shared" si="73"/>
        <v>0.1631069769</v>
      </c>
      <c r="I84" s="145">
        <f>IFERROR(SUMPRODUCT((Raw_Data_Daily!$B$2:$B$9999="Control")*(Raw_Data_Daily!$C$2:$C$9999="C. 10-19")*Raw_Data_Daily!$D$2:$D$9999*Raw_Data_Daily!$CH$2:$CH$9999)/SUMIFS(Raw_Data_Daily!$D:$D, Raw_Data_Daily!$B:$B, "Control", Raw_Data_Daily!$C:$C, "C. 10-19"),"")</f>
        <v>0.8909984616</v>
      </c>
      <c r="J84" s="48">
        <f>IFERROR(SUMPRODUCT((Raw_Data_Daily!$B$2:$B$9999="Variant")*(Raw_Data_Daily!$C$2:$C$9999="C. 10-19")*Raw_Data_Daily!$D$2:$D$9999*Raw_Data_Daily!$CH$2:$CH$9999)/SUMIFS(Raw_Data_Daily!$D:$D, Raw_Data_Daily!$B:$B, "Variant", Raw_Data_Daily!$C:$C, "C. 10-19"),"")</f>
        <v>1.065594979</v>
      </c>
      <c r="K84" s="51">
        <f t="shared" si="74"/>
        <v>0.1959560255</v>
      </c>
      <c r="L84" s="146">
        <f>IFERROR(SUMPRODUCT((Raw_Data_Daily!$B$2:$B$9999="Control")*(Raw_Data_Daily!$C$2:$C$9999="D. 20-39")*Raw_Data_Daily!$D$2:$D$9999*Raw_Data_Daily!$CH$2:$CH$9999)/SUMIFS(Raw_Data_Daily!$D:$D, Raw_Data_Daily!$B:$B, "Control", Raw_Data_Daily!$C:$C, "D. 20-39"),"")</f>
        <v>1.388981421</v>
      </c>
      <c r="M84" s="48">
        <f>IFERROR(SUMPRODUCT((Raw_Data_Daily!$B$2:$B$9999="Variant")*(Raw_Data_Daily!$C$2:$C$9999="D. 20-39")*Raw_Data_Daily!$D$2:$D$9999*Raw_Data_Daily!$CH$2:$CH$9999)/SUMIFS(Raw_Data_Daily!$D:$D, Raw_Data_Daily!$B:$B, "Variant", Raw_Data_Daily!$C:$C, "D. 20-39"),"")</f>
        <v>1.59302662</v>
      </c>
      <c r="N84" s="54">
        <f t="shared" si="75"/>
        <v>0.1469027559</v>
      </c>
      <c r="O84" s="145">
        <f>IFERROR(SUMPRODUCT((Raw_Data_Daily!$B$2:$B$9999="Control")*(Raw_Data_Daily!$C$2:$C$9999="E. 40-99")*Raw_Data_Daily!$D$2:$D$9999*Raw_Data_Daily!$CH$2:$CH$9999)/SUMIFS(Raw_Data_Daily!$D:$D, Raw_Data_Daily!$B:$B, "Control", Raw_Data_Daily!$C:$C, "E. 40-99"),"")</f>
        <v>2.452692182</v>
      </c>
      <c r="P84" s="48">
        <f>IFERROR(SUMPRODUCT((Raw_Data_Daily!$B$2:$B$9999="Variant")*(Raw_Data_Daily!$C$2:$C$9999="E. 40-99")*Raw_Data_Daily!$D$2:$D$9999*Raw_Data_Daily!$CH$2:$CH$9999)/SUMIFS(Raw_Data_Daily!$D:$D, Raw_Data_Daily!$B:$B, "Variant", Raw_Data_Daily!$C:$C, "E. 40-99"),"")</f>
        <v>2.589765126</v>
      </c>
      <c r="Q84" s="51">
        <f t="shared" si="76"/>
        <v>0.05588672919</v>
      </c>
      <c r="R84" s="146">
        <f>IFERROR(SUMPRODUCT((Raw_Data_Daily!$B$2:$B$9999="Control")*(Raw_Data_Daily!$C$2:$C$9999="F. 100+")*Raw_Data_Daily!$D$2:$D$9999*Raw_Data_Daily!$CH$2:$CH$9999)/SUMIFS(Raw_Data_Daily!$D:$D, Raw_Data_Daily!$B:$B, "Control", Raw_Data_Daily!$C:$C, "F. 100+"),"")</f>
        <v>5.158404575</v>
      </c>
      <c r="S84" s="149">
        <f>IFERROR(SUMPRODUCT((Raw_Data_Daily!$B$2:$B$9999="Variant")*(Raw_Data_Daily!$C$2:$C$9999="F. 100+")*Raw_Data_Daily!$D$2:$D$9999*Raw_Data_Daily!$CH$2:$CH$9999)/SUMIFS(Raw_Data_Daily!$D:$D, Raw_Data_Daily!$B:$B, "Variant", Raw_Data_Daily!$C:$C, "F. 100+"),"")</f>
        <v>5.081737207</v>
      </c>
      <c r="T84" s="169">
        <f t="shared" si="77"/>
        <v>-0.01486261231</v>
      </c>
    </row>
    <row r="85" ht="15.75" customHeight="1">
      <c r="A85" s="8"/>
      <c r="B85" s="181" t="s">
        <v>101</v>
      </c>
      <c r="C85" s="145">
        <f>IFERROR(SUMPRODUCT((Raw_Data_Daily!$B$2:$B$9999="Control")*(Raw_Data_Daily!$C$2:$C$9999="A. 0")*Raw_Data_Daily!$D$2:$D$9999*(Raw_Data_Daily!$CE$2:$CE$9999-Raw_Data_Daily!$CH$2:$CH$9999))/SUMIFS(Raw_Data_Daily!$D:$D, Raw_Data_Daily!$B:$B, "Control", Raw_Data_Daily!$C:$C, "A. 0"),"")</f>
        <v>0.1570717836</v>
      </c>
      <c r="D85" s="48">
        <f>IFERROR(SUMPRODUCT((Raw_Data_Daily!$B$2:$B$9999="Variant")*(Raw_Data_Daily!$C$2:$C$9999="A. 0")*Raw_Data_Daily!$D$2:$D$9999*(Raw_Data_Daily!$CE$2:$CE$9999-Raw_Data_Daily!$CH$2:$CH$9999))/SUMIFS(Raw_Data_Daily!$D:$D, Raw_Data_Daily!$B:$B, "Variant", Raw_Data_Daily!$C:$C, "A. 0"),"")</f>
        <v>0.3403599239</v>
      </c>
      <c r="E85" s="38">
        <f t="shared" si="72"/>
        <v>1.16690685</v>
      </c>
      <c r="F85" s="146">
        <f>IFERROR(SUMPRODUCT((Raw_Data_Daily!$B$2:$B$9999="Control")*(Raw_Data_Daily!$C$2:$C$9999="B. 1-9")*Raw_Data_Daily!$D$2:$D$9999*(Raw_Data_Daily!$CE$2:$CE$9999-Raw_Data_Daily!$CH$2:$CH$9999))/SUMIFS(Raw_Data_Daily!$D:$D, Raw_Data_Daily!$B:$B, "Control", Raw_Data_Daily!$C:$C, "B. 1-9"),"")</f>
        <v>0.03927192672</v>
      </c>
      <c r="G85" s="48">
        <f>IFERROR(SUMPRODUCT((Raw_Data_Daily!$B$2:$B$9999="Variant")*(Raw_Data_Daily!$C$2:$C$9999="B. 1-9")*Raw_Data_Daily!$D$2:$D$9999*(Raw_Data_Daily!$CE$2:$CE$9999-Raw_Data_Daily!$CH$2:$CH$9999))/SUMIFS(Raw_Data_Daily!$D:$D, Raw_Data_Daily!$B:$B, "Variant", Raw_Data_Daily!$C:$C, "B. 1-9"),"")</f>
        <v>0.09511965872</v>
      </c>
      <c r="H85" s="54">
        <f t="shared" si="73"/>
        <v>1.42207772</v>
      </c>
      <c r="I85" s="145">
        <f>IFERROR(SUMPRODUCT((Raw_Data_Daily!$B$2:$B$9999="Control")*(Raw_Data_Daily!$C$2:$C$9999="C. 10-19")*Raw_Data_Daily!$D$2:$D$9999*(Raw_Data_Daily!$CE$2:$CE$9999-Raw_Data_Daily!$CH$2:$CH$9999))/SUMIFS(Raw_Data_Daily!$D:$D, Raw_Data_Daily!$B:$B, "Control", Raw_Data_Daily!$C:$C, "C. 10-19"),"")</f>
        <v>0.08328809483</v>
      </c>
      <c r="J85" s="48">
        <f>IFERROR(SUMPRODUCT((Raw_Data_Daily!$B$2:$B$9999="Variant")*(Raw_Data_Daily!$C$2:$C$9999="C. 10-19")*Raw_Data_Daily!$D$2:$D$9999*(Raw_Data_Daily!$CE$2:$CE$9999-Raw_Data_Daily!$CH$2:$CH$9999))/SUMIFS(Raw_Data_Daily!$D:$D, Raw_Data_Daily!$B:$B, "Variant", Raw_Data_Daily!$C:$C, "C. 10-19"),"")</f>
        <v>0.2128049015</v>
      </c>
      <c r="K85" s="51">
        <f t="shared" si="74"/>
        <v>1.555045855</v>
      </c>
      <c r="L85" s="146">
        <f>IFERROR(SUMPRODUCT((Raw_Data_Daily!$B$2:$B$9999="Control")*(Raw_Data_Daily!$C$2:$C$9999="D. 20-39")*Raw_Data_Daily!$D$2:$D$9999*(Raw_Data_Daily!$CE$2:$CE$9999-Raw_Data_Daily!$CH$2:$CH$9999))/SUMIFS(Raw_Data_Daily!$D:$D, Raw_Data_Daily!$B:$B, "Control", Raw_Data_Daily!$C:$C, "D. 20-39"),"")</f>
        <v>0.1191382388</v>
      </c>
      <c r="M85" s="48">
        <f>IFERROR(SUMPRODUCT((Raw_Data_Daily!$B$2:$B$9999="Variant")*(Raw_Data_Daily!$C$2:$C$9999="D. 20-39")*Raw_Data_Daily!$D$2:$D$9999*(Raw_Data_Daily!$CE$2:$CE$9999-Raw_Data_Daily!$CH$2:$CH$9999))/SUMIFS(Raw_Data_Daily!$D:$D, Raw_Data_Daily!$B:$B, "Variant", Raw_Data_Daily!$C:$C, "D. 20-39"),"")</f>
        <v>0.2580188095</v>
      </c>
      <c r="N85" s="54">
        <f t="shared" si="75"/>
        <v>1.165709449</v>
      </c>
      <c r="O85" s="145">
        <f>IFERROR(SUMPRODUCT((Raw_Data_Daily!$B$2:$B$9999="Control")*(Raw_Data_Daily!$C$2:$C$9999="E. 40-99")*Raw_Data_Daily!$D$2:$D$9999*(Raw_Data_Daily!$CE$2:$CE$9999-Raw_Data_Daily!$CH$2:$CH$9999))/SUMIFS(Raw_Data_Daily!$D:$D, Raw_Data_Daily!$B:$B, "Control", Raw_Data_Daily!$C:$C, "E. 40-99"),"")</f>
        <v>0.1105233358</v>
      </c>
      <c r="P85" s="48">
        <f>IFERROR(SUMPRODUCT((Raw_Data_Daily!$B$2:$B$9999="Variant")*(Raw_Data_Daily!$C$2:$C$9999="E. 40-99")*Raw_Data_Daily!$D$2:$D$9999*(Raw_Data_Daily!$CE$2:$CE$9999-Raw_Data_Daily!$CH$2:$CH$9999))/SUMIFS(Raw_Data_Daily!$D:$D, Raw_Data_Daily!$B:$B, "Variant", Raw_Data_Daily!$C:$C, "E. 40-99"),"")</f>
        <v>0.3020209154</v>
      </c>
      <c r="Q85" s="51">
        <f t="shared" si="76"/>
        <v>1.732643863</v>
      </c>
      <c r="R85" s="146">
        <f>IFERROR(SUMPRODUCT((Raw_Data_Daily!$B$2:$B$9999="Control")*(Raw_Data_Daily!$C$2:$C$9999="F. 100+")*Raw_Data_Daily!$D$2:$D$9999*(Raw_Data_Daily!$CE$2:$CE$9999-Raw_Data_Daily!$CH$2:$CH$9999))/SUMIFS(Raw_Data_Daily!$D:$D, Raw_Data_Daily!$B:$B, "Control", Raw_Data_Daily!$C:$C, "F. 100+"),"")</f>
        <v>0.1316145581</v>
      </c>
      <c r="S85" s="48">
        <f>IFERROR(SUMPRODUCT((Raw_Data_Daily!$B$2:$B$9999="Variant")*(Raw_Data_Daily!$C$2:$C$9999="F. 100+")*Raw_Data_Daily!$D$2:$D$9999*(Raw_Data_Daily!$CE$2:$CE$9999-Raw_Data_Daily!$CH$2:$CH$9999))/SUMIFS(Raw_Data_Daily!$D:$D, Raw_Data_Daily!$B:$B, "Variant", Raw_Data_Daily!$C:$C, "F. 100+"),"")</f>
        <v>1.746805534</v>
      </c>
      <c r="T85" s="54">
        <f t="shared" si="77"/>
        <v>12.27213006</v>
      </c>
    </row>
    <row r="86" ht="15.75" customHeight="1">
      <c r="A86" s="165" t="s">
        <v>102</v>
      </c>
      <c r="B86" s="28"/>
      <c r="C86" s="29"/>
      <c r="D86" s="6"/>
      <c r="E86" s="30"/>
      <c r="F86" s="32"/>
      <c r="G86" s="6"/>
      <c r="H86" s="28"/>
      <c r="I86" s="29"/>
      <c r="J86" s="6"/>
      <c r="K86" s="30"/>
      <c r="L86" s="32"/>
      <c r="M86" s="6"/>
      <c r="N86" s="28"/>
      <c r="O86" s="29"/>
      <c r="P86" s="6"/>
      <c r="Q86" s="30"/>
      <c r="R86" s="32"/>
      <c r="S86" s="6"/>
      <c r="T86" s="28"/>
    </row>
    <row r="87" ht="15.75" customHeight="1">
      <c r="A87" s="8"/>
      <c r="B87" s="181" t="s">
        <v>103</v>
      </c>
      <c r="C87" s="145">
        <f>IFERROR(SUMPRODUCT((Raw_Data_Daily!$B$2:$B$9999="Control")*(Raw_Data_Daily!$C$2:$C$9999="A. 0")*Raw_Data_Daily!$D$2:$D$9999*Raw_Data_Daily!$CI$2:$CI$9999)/SUMIFS(Raw_Data_Daily!$D:$D, Raw_Data_Daily!$B:$B, "Control", Raw_Data_Daily!$C:$C, "A. 0"),"")</f>
        <v>0.3192283486</v>
      </c>
      <c r="D87" s="48">
        <f>IFERROR(SUMPRODUCT((Raw_Data_Daily!$B$2:$B$9999="Variant")*(Raw_Data_Daily!$C$2:$C$9999="A. 0")*Raw_Data_Daily!$D$2:$D$9999*Raw_Data_Daily!$CI$2:$CI$9999)/SUMIFS(Raw_Data_Daily!$D:$D, Raw_Data_Daily!$B:$B, "Variant", Raw_Data_Daily!$C:$C, "A. 0"),"")</f>
        <v>0.5254498702</v>
      </c>
      <c r="E87" s="46">
        <f t="shared" ref="E87:E91" si="78">IFERROR((D87-C87)/ABS(C87),"")</f>
        <v>0.6460000264</v>
      </c>
      <c r="F87" s="146">
        <f>IFERROR(SUMPRODUCT((Raw_Data_Daily!$B$2:$B$9999="Control")*(Raw_Data_Daily!$C$2:$C$9999="B. 1-9")*Raw_Data_Daily!$D$2:$D$9999*Raw_Data_Daily!$CI$2:$CI$9999)/SUMIFS(Raw_Data_Daily!$D:$D, Raw_Data_Daily!$B:$B, "Control", Raw_Data_Daily!$C:$C, "B. 1-9"),"")</f>
        <v>0.3988077385</v>
      </c>
      <c r="G87" s="48">
        <f>IFERROR(SUMPRODUCT((Raw_Data_Daily!$B$2:$B$9999="Variant")*(Raw_Data_Daily!$C$2:$C$9999="B. 1-9")*Raw_Data_Daily!$D$2:$D$9999*Raw_Data_Daily!$CI$2:$CI$9999)/SUMIFS(Raw_Data_Daily!$D:$D, Raw_Data_Daily!$B:$B, "Variant", Raw_Data_Daily!$C:$C, "B. 1-9"),"")</f>
        <v>0.3577641535</v>
      </c>
      <c r="H87" s="54">
        <f t="shared" ref="H87:H91" si="79">IFERROR((G87-F87)/ABS(F87),"")</f>
        <v>-0.1029157186</v>
      </c>
      <c r="I87" s="145">
        <f>IFERROR(SUMPRODUCT((Raw_Data_Daily!$B$2:$B$9999="Control")*(Raw_Data_Daily!$C$2:$C$9999="C. 10-19")*Raw_Data_Daily!$D$2:$D$9999*Raw_Data_Daily!$CI$2:$CI$9999)/SUMIFS(Raw_Data_Daily!$D:$D, Raw_Data_Daily!$B:$B, "Control", Raw_Data_Daily!$C:$C, "C. 10-19"),"")</f>
        <v>0.873838821</v>
      </c>
      <c r="J87" s="48">
        <f>IFERROR(SUMPRODUCT((Raw_Data_Daily!$B$2:$B$9999="Variant")*(Raw_Data_Daily!$C$2:$C$9999="C. 10-19")*Raw_Data_Daily!$D$2:$D$9999*Raw_Data_Daily!$CI$2:$CI$9999)/SUMIFS(Raw_Data_Daily!$D:$D, Raw_Data_Daily!$B:$B, "Variant", Raw_Data_Daily!$C:$C, "C. 10-19"),"")</f>
        <v>0.7929945779</v>
      </c>
      <c r="K87" s="51">
        <f t="shared" ref="K87:K91" si="80">IFERROR((J87-I87)/ABS(I87),"")</f>
        <v>-0.09251619546</v>
      </c>
      <c r="L87" s="146">
        <f>IFERROR(SUMPRODUCT((Raw_Data_Daily!$B$2:$B$9999="Control")*(Raw_Data_Daily!$C$2:$C$9999="D. 20-39")*Raw_Data_Daily!$D$2:$D$9999*Raw_Data_Daily!$CI$2:$CI$9999)/SUMIFS(Raw_Data_Daily!$D:$D, Raw_Data_Daily!$B:$B, "Control", Raw_Data_Daily!$C:$C, "D. 20-39"),"")</f>
        <v>1.540286358</v>
      </c>
      <c r="M87" s="48">
        <f>IFERROR(SUMPRODUCT((Raw_Data_Daily!$B$2:$B$9999="Variant")*(Raw_Data_Daily!$C$2:$C$9999="D. 20-39")*Raw_Data_Daily!$D$2:$D$9999*Raw_Data_Daily!$CI$2:$CI$9999)/SUMIFS(Raw_Data_Daily!$D:$D, Raw_Data_Daily!$B:$B, "Variant", Raw_Data_Daily!$C:$C, "D. 20-39"),"")</f>
        <v>1.390079052</v>
      </c>
      <c r="N87" s="54">
        <f t="shared" ref="N87:N91" si="81">IFERROR((M87-L87)/ABS(L87),"")</f>
        <v>-0.09751907869</v>
      </c>
      <c r="O87" s="145">
        <f>IFERROR(SUMPRODUCT((Raw_Data_Daily!$B$2:$B$9999="Control")*(Raw_Data_Daily!$C$2:$C$9999="E. 40-99")*Raw_Data_Daily!$D$2:$D$9999*Raw_Data_Daily!$CI$2:$CI$9999)/SUMIFS(Raw_Data_Daily!$D:$D, Raw_Data_Daily!$B:$B, "Control", Raw_Data_Daily!$C:$C, "E. 40-99"),"")</f>
        <v>2.818227288</v>
      </c>
      <c r="P87" s="48">
        <f>IFERROR(SUMPRODUCT((Raw_Data_Daily!$B$2:$B$9999="Variant")*(Raw_Data_Daily!$C$2:$C$9999="E. 40-99")*Raw_Data_Daily!$D$2:$D$9999*Raw_Data_Daily!$CI$2:$CI$9999)/SUMIFS(Raw_Data_Daily!$D:$D, Raw_Data_Daily!$B:$B, "Variant", Raw_Data_Daily!$C:$C, "E. 40-99"),"")</f>
        <v>2.481800513</v>
      </c>
      <c r="Q87" s="51">
        <f t="shared" ref="Q87:Q91" si="82">IFERROR((P87-O87)/ABS(O87),"")</f>
        <v>-0.1193753167</v>
      </c>
      <c r="R87" s="146">
        <f>IFERROR(SUMPRODUCT((Raw_Data_Daily!$B$2:$B$9999="Control")*(Raw_Data_Daily!$C$2:$C$9999="F. 100+")*Raw_Data_Daily!$D$2:$D$9999*Raw_Data_Daily!$CI$2:$CI$9999)/SUMIFS(Raw_Data_Daily!$D:$D, Raw_Data_Daily!$B:$B, "Control", Raw_Data_Daily!$C:$C, "F. 100+"),"")</f>
        <v>5.772924469</v>
      </c>
      <c r="S87" s="149">
        <f>IFERROR(SUMPRODUCT((Raw_Data_Daily!$B$2:$B$9999="Variant")*(Raw_Data_Daily!$C$2:$C$9999="F. 100+")*Raw_Data_Daily!$D$2:$D$9999*Raw_Data_Daily!$CI$2:$CI$9999)/SUMIFS(Raw_Data_Daily!$D:$D, Raw_Data_Daily!$B:$B, "Variant", Raw_Data_Daily!$C:$C, "F. 100+"),"")</f>
        <v>6.386726062</v>
      </c>
      <c r="T87" s="169">
        <f t="shared" ref="T87:T91" si="83">IFERROR((S87-R87)/ABS(R87),"")</f>
        <v>0.106324203</v>
      </c>
    </row>
    <row r="88" ht="15.75" customHeight="1">
      <c r="A88" s="8"/>
      <c r="B88" s="181" t="s">
        <v>104</v>
      </c>
      <c r="C88" s="145">
        <f>IFERROR(SUMPRODUCT((Raw_Data_Daily!$B$2:$B$9999="Control")*(Raw_Data_Daily!$C$2:$C$9999="A. 0")*Raw_Data_Daily!$D$2:$D$9999*Raw_Data_Daily!$CJ$2:$CJ$9999)/SUMIFS(Raw_Data_Daily!$D:$D, Raw_Data_Daily!$B:$B, "Control", Raw_Data_Daily!$C:$C, "A. 0"),"")</f>
        <v>0.01219164383</v>
      </c>
      <c r="D88" s="48">
        <f>IFERROR(SUMPRODUCT((Raw_Data_Daily!$B$2:$B$9999="Variant")*(Raw_Data_Daily!$C$2:$C$9999="A. 0")*Raw_Data_Daily!$D$2:$D$9999*Raw_Data_Daily!$CJ$2:$CJ$9999)/SUMIFS(Raw_Data_Daily!$D:$D, Raw_Data_Daily!$B:$B, "Variant", Raw_Data_Daily!$C:$C, "A. 0"),"")</f>
        <v>0.01265716417</v>
      </c>
      <c r="E88" s="46">
        <f t="shared" si="78"/>
        <v>0.03818355806</v>
      </c>
      <c r="F88" s="146">
        <f>IFERROR(SUMPRODUCT((Raw_Data_Daily!$B$2:$B$9999="Control")*(Raw_Data_Daily!$C$2:$C$9999="B. 1-9")*Raw_Data_Daily!$D$2:$D$9999*Raw_Data_Daily!$CJ$2:$CJ$9999)/SUMIFS(Raw_Data_Daily!$D:$D, Raw_Data_Daily!$B:$B, "Control", Raw_Data_Daily!$C:$C, "B. 1-9"),"")</f>
        <v>0.005632150265</v>
      </c>
      <c r="G88" s="48">
        <f>IFERROR(SUMPRODUCT((Raw_Data_Daily!$B$2:$B$9999="Variant")*(Raw_Data_Daily!$C$2:$C$9999="B. 1-9")*Raw_Data_Daily!$D$2:$D$9999*Raw_Data_Daily!$CJ$2:$CJ$9999)/SUMIFS(Raw_Data_Daily!$D:$D, Raw_Data_Daily!$B:$B, "Variant", Raw_Data_Daily!$C:$C, "B. 1-9"),"")</f>
        <v>0.006223906056</v>
      </c>
      <c r="H88" s="54">
        <f t="shared" si="79"/>
        <v>0.1050674721</v>
      </c>
      <c r="I88" s="145">
        <f>IFERROR(SUMPRODUCT((Raw_Data_Daily!$B$2:$B$9999="Control")*(Raw_Data_Daily!$C$2:$C$9999="C. 10-19")*Raw_Data_Daily!$D$2:$D$9999*Raw_Data_Daily!$CJ$2:$CJ$9999)/SUMIFS(Raw_Data_Daily!$D:$D, Raw_Data_Daily!$B:$B, "Control", Raw_Data_Daily!$C:$C, "C. 10-19"),"")</f>
        <v>0.01407799186</v>
      </c>
      <c r="J88" s="48">
        <f>IFERROR(SUMPRODUCT((Raw_Data_Daily!$B$2:$B$9999="Variant")*(Raw_Data_Daily!$C$2:$C$9999="C. 10-19")*Raw_Data_Daily!$D$2:$D$9999*Raw_Data_Daily!$CJ$2:$CJ$9999)/SUMIFS(Raw_Data_Daily!$D:$D, Raw_Data_Daily!$B:$B, "Variant", Raw_Data_Daily!$C:$C, "C. 10-19"),"")</f>
        <v>0.0156113846</v>
      </c>
      <c r="K88" s="51">
        <f t="shared" si="80"/>
        <v>0.1089212693</v>
      </c>
      <c r="L88" s="146">
        <f>IFERROR(SUMPRODUCT((Raw_Data_Daily!$B$2:$B$9999="Control")*(Raw_Data_Daily!$C$2:$C$9999="D. 20-39")*Raw_Data_Daily!$D$2:$D$9999*Raw_Data_Daily!$CJ$2:$CJ$9999)/SUMIFS(Raw_Data_Daily!$D:$D, Raw_Data_Daily!$B:$B, "Control", Raw_Data_Daily!$C:$C, "D. 20-39"),"")</f>
        <v>0.02584835078</v>
      </c>
      <c r="M88" s="48">
        <f>IFERROR(SUMPRODUCT((Raw_Data_Daily!$B$2:$B$9999="Variant")*(Raw_Data_Daily!$C$2:$C$9999="D. 20-39")*Raw_Data_Daily!$D$2:$D$9999*Raw_Data_Daily!$CJ$2:$CJ$9999)/SUMIFS(Raw_Data_Daily!$D:$D, Raw_Data_Daily!$B:$B, "Variant", Raw_Data_Daily!$C:$C, "D. 20-39"),"")</f>
        <v>0.02708534402</v>
      </c>
      <c r="N88" s="54">
        <f t="shared" si="81"/>
        <v>0.04785578992</v>
      </c>
      <c r="O88" s="145">
        <f>IFERROR(SUMPRODUCT((Raw_Data_Daily!$B$2:$B$9999="Control")*(Raw_Data_Daily!$C$2:$C$9999="E. 40-99")*Raw_Data_Daily!$D$2:$D$9999*Raw_Data_Daily!$CJ$2:$CJ$9999)/SUMIFS(Raw_Data_Daily!$D:$D, Raw_Data_Daily!$B:$B, "Control", Raw_Data_Daily!$C:$C, "E. 40-99"),"")</f>
        <v>0.05517889323</v>
      </c>
      <c r="P88" s="48">
        <f>IFERROR(SUMPRODUCT((Raw_Data_Daily!$B$2:$B$9999="Variant")*(Raw_Data_Daily!$C$2:$C$9999="E. 40-99")*Raw_Data_Daily!$D$2:$D$9999*Raw_Data_Daily!$CJ$2:$CJ$9999)/SUMIFS(Raw_Data_Daily!$D:$D, Raw_Data_Daily!$B:$B, "Variant", Raw_Data_Daily!$C:$C, "E. 40-99"),"")</f>
        <v>0.0495550787</v>
      </c>
      <c r="Q88" s="51">
        <f t="shared" si="82"/>
        <v>-0.1019196689</v>
      </c>
      <c r="R88" s="146">
        <f>IFERROR(SUMPRODUCT((Raw_Data_Daily!$B$2:$B$9999="Control")*(Raw_Data_Daily!$C$2:$C$9999="F. 100+")*Raw_Data_Daily!$D$2:$D$9999*Raw_Data_Daily!$CJ$2:$CJ$9999)/SUMIFS(Raw_Data_Daily!$D:$D, Raw_Data_Daily!$B:$B, "Control", Raw_Data_Daily!$C:$C, "F. 100+"),"")</f>
        <v>0.1180735411</v>
      </c>
      <c r="S88" s="149">
        <f>IFERROR(SUMPRODUCT((Raw_Data_Daily!$B$2:$B$9999="Variant")*(Raw_Data_Daily!$C$2:$C$9999="F. 100+")*Raw_Data_Daily!$D$2:$D$9999*Raw_Data_Daily!$CJ$2:$CJ$9999)/SUMIFS(Raw_Data_Daily!$D:$D, Raw_Data_Daily!$B:$B, "Variant", Raw_Data_Daily!$C:$C, "F. 100+"),"")</f>
        <v>0.08562030609</v>
      </c>
      <c r="T88" s="169">
        <f t="shared" si="83"/>
        <v>-0.2748561166</v>
      </c>
    </row>
    <row r="89" ht="15.75" customHeight="1">
      <c r="A89" s="8"/>
      <c r="B89" s="181" t="s">
        <v>105</v>
      </c>
      <c r="C89" s="145">
        <f>IFERROR(SUMPRODUCT((Raw_Data_Daily!$B$2:$B$9999="Control")*(Raw_Data_Daily!$C$2:$C$9999="A. 0")*Raw_Data_Daily!$D$2:$D$9999*Raw_Data_Daily!$CK$2:$CK$9999)/SUMIFS(Raw_Data_Daily!$D:$D, Raw_Data_Daily!$B:$B, "Control", Raw_Data_Daily!$C:$C, "A. 0"),"")</f>
        <v>0.3070228653</v>
      </c>
      <c r="D89" s="48">
        <f>IFERROR(SUMPRODUCT((Raw_Data_Daily!$B$2:$B$9999="Variant")*(Raw_Data_Daily!$C$2:$C$9999="A. 0")*Raw_Data_Daily!$D$2:$D$9999*Raw_Data_Daily!$CK$2:$CK$9999)/SUMIFS(Raw_Data_Daily!$D:$D, Raw_Data_Daily!$B:$B, "Variant", Raw_Data_Daily!$C:$C, "A. 0"),"")</f>
        <v>0.5127884575</v>
      </c>
      <c r="E89" s="46">
        <f t="shared" si="78"/>
        <v>0.6701963127</v>
      </c>
      <c r="F89" s="146">
        <f>IFERROR(SUMPRODUCT((Raw_Data_Daily!$B$2:$B$9999="Control")*(Raw_Data_Daily!$C$2:$C$9999="B. 1-9")*Raw_Data_Daily!$D$2:$D$9999*Raw_Data_Daily!$CK$2:$CK$9999)/SUMIFS(Raw_Data_Daily!$D:$D, Raw_Data_Daily!$B:$B, "Control", Raw_Data_Daily!$C:$C, "B. 1-9"),"")</f>
        <v>0.3931984712</v>
      </c>
      <c r="G89" s="48">
        <f>IFERROR(SUMPRODUCT((Raw_Data_Daily!$B$2:$B$9999="Variant")*(Raw_Data_Daily!$C$2:$C$9999="B. 1-9")*Raw_Data_Daily!$D$2:$D$9999*Raw_Data_Daily!$CK$2:$CK$9999)/SUMIFS(Raw_Data_Daily!$D:$D, Raw_Data_Daily!$B:$B, "Variant", Raw_Data_Daily!$C:$C, "B. 1-9"),"")</f>
        <v>0.3515394762</v>
      </c>
      <c r="H89" s="54">
        <f t="shared" si="79"/>
        <v>-0.1059490259</v>
      </c>
      <c r="I89" s="145">
        <f>IFERROR(SUMPRODUCT((Raw_Data_Daily!$B$2:$B$9999="Control")*(Raw_Data_Daily!$C$2:$C$9999="C. 10-19")*Raw_Data_Daily!$D$2:$D$9999*Raw_Data_Daily!$CK$2:$CK$9999)/SUMIFS(Raw_Data_Daily!$D:$D, Raw_Data_Daily!$B:$B, "Control", Raw_Data_Daily!$C:$C, "C. 10-19"),"")</f>
        <v>0.8597756826</v>
      </c>
      <c r="J89" s="48">
        <f>IFERROR(SUMPRODUCT((Raw_Data_Daily!$B$2:$B$9999="Variant")*(Raw_Data_Daily!$C$2:$C$9999="C. 10-19")*Raw_Data_Daily!$D$2:$D$9999*Raw_Data_Daily!$CK$2:$CK$9999)/SUMIFS(Raw_Data_Daily!$D:$D, Raw_Data_Daily!$B:$B, "Variant", Raw_Data_Daily!$C:$C, "C. 10-19"),"")</f>
        <v>0.777377872</v>
      </c>
      <c r="K89" s="51">
        <f t="shared" si="80"/>
        <v>-0.09583640509</v>
      </c>
      <c r="L89" s="146">
        <f>IFERROR(SUMPRODUCT((Raw_Data_Daily!$B$2:$B$9999="Control")*(Raw_Data_Daily!$C$2:$C$9999="D. 20-39")*Raw_Data_Daily!$D$2:$D$9999*Raw_Data_Daily!$CK$2:$CK$9999)/SUMIFS(Raw_Data_Daily!$D:$D, Raw_Data_Daily!$B:$B, "Control", Raw_Data_Daily!$C:$C, "D. 20-39"),"")</f>
        <v>1.514438582</v>
      </c>
      <c r="M89" s="48">
        <f>IFERROR(SUMPRODUCT((Raw_Data_Daily!$B$2:$B$9999="Variant")*(Raw_Data_Daily!$C$2:$C$9999="D. 20-39")*Raw_Data_Daily!$D$2:$D$9999*Raw_Data_Daily!$CK$2:$CK$9999)/SUMIFS(Raw_Data_Daily!$D:$D, Raw_Data_Daily!$B:$B, "Variant", Raw_Data_Daily!$C:$C, "D. 20-39"),"")</f>
        <v>1.362993251</v>
      </c>
      <c r="N89" s="54">
        <f t="shared" si="81"/>
        <v>-0.1000009727</v>
      </c>
      <c r="O89" s="145">
        <f>IFERROR(SUMPRODUCT((Raw_Data_Daily!$B$2:$B$9999="Control")*(Raw_Data_Daily!$C$2:$C$9999="E. 40-99")*Raw_Data_Daily!$D$2:$D$9999*Raw_Data_Daily!$CK$2:$CK$9999)/SUMIFS(Raw_Data_Daily!$D:$D, Raw_Data_Daily!$B:$B, "Control", Raw_Data_Daily!$C:$C, "E. 40-99"),"")</f>
        <v>2.763048747</v>
      </c>
      <c r="P89" s="48">
        <f>IFERROR(SUMPRODUCT((Raw_Data_Daily!$B$2:$B$9999="Variant")*(Raw_Data_Daily!$C$2:$C$9999="E. 40-99")*Raw_Data_Daily!$D$2:$D$9999*Raw_Data_Daily!$CK$2:$CK$9999)/SUMIFS(Raw_Data_Daily!$D:$D, Raw_Data_Daily!$B:$B, "Variant", Raw_Data_Daily!$C:$C, "E. 40-99"),"")</f>
        <v>2.432245305</v>
      </c>
      <c r="Q89" s="51">
        <f t="shared" si="82"/>
        <v>-0.1197240701</v>
      </c>
      <c r="R89" s="146">
        <f>IFERROR(SUMPRODUCT((Raw_Data_Daily!$B$2:$B$9999="Control")*(Raw_Data_Daily!$C$2:$C$9999="F. 100+")*Raw_Data_Daily!$D$2:$D$9999*Raw_Data_Daily!$CK$2:$CK$9999)/SUMIFS(Raw_Data_Daily!$D:$D, Raw_Data_Daily!$B:$B, "Control", Raw_Data_Daily!$C:$C, "F. 100+"),"")</f>
        <v>5.654856273</v>
      </c>
      <c r="S89" s="149">
        <f>IFERROR(SUMPRODUCT((Raw_Data_Daily!$B$2:$B$9999="Variant")*(Raw_Data_Daily!$C$2:$C$9999="F. 100+")*Raw_Data_Daily!$D$2:$D$9999*Raw_Data_Daily!$CK$2:$CK$9999)/SUMIFS(Raw_Data_Daily!$D:$D, Raw_Data_Daily!$B:$B, "Variant", Raw_Data_Daily!$C:$C, "F. 100+"),"")</f>
        <v>6.301095508</v>
      </c>
      <c r="T89" s="169">
        <f t="shared" si="83"/>
        <v>0.1142803997</v>
      </c>
    </row>
    <row r="90" ht="15.75" customHeight="1">
      <c r="A90" s="8"/>
      <c r="B90" s="181" t="s">
        <v>106</v>
      </c>
      <c r="C90" s="145">
        <f>IFERROR(SUMPRODUCT((Raw_Data_Daily!$B$2:$B$9999="Control")*(Raw_Data_Daily!$C$2:$C$9999="A. 0")*Raw_Data_Daily!$D$2:$D$9999*Raw_Data_Daily!$CL$2:$CL$9999)/SUMIFS(Raw_Data_Daily!$D:$D, Raw_Data_Daily!$B:$B, "Control", Raw_Data_Daily!$C:$C, "A. 0"),"")</f>
        <v>0.2303978716</v>
      </c>
      <c r="D90" s="48">
        <f>IFERROR(SUMPRODUCT((Raw_Data_Daily!$B$2:$B$9999="Variant")*(Raw_Data_Daily!$C$2:$C$9999="A. 0")*Raw_Data_Daily!$D$2:$D$9999*Raw_Data_Daily!$CL$2:$CL$9999)/SUMIFS(Raw_Data_Daily!$D:$D, Raw_Data_Daily!$B:$B, "Variant", Raw_Data_Daily!$C:$C, "A. 0"),"")</f>
        <v>0.3145541478</v>
      </c>
      <c r="E90" s="46">
        <f t="shared" si="78"/>
        <v>0.3652649896</v>
      </c>
      <c r="F90" s="146">
        <f>IFERROR(SUMPRODUCT((Raw_Data_Daily!$B$2:$B$9999="Control")*(Raw_Data_Daily!$C$2:$C$9999="B. 1-9")*Raw_Data_Daily!$D$2:$D$9999*Raw_Data_Daily!$CL$2:$CL$9999)/SUMIFS(Raw_Data_Daily!$D:$D, Raw_Data_Daily!$B:$B, "Control", Raw_Data_Daily!$C:$C, "B. 1-9"),"")</f>
        <v>0.3810017813</v>
      </c>
      <c r="G90" s="48">
        <f>IFERROR(SUMPRODUCT((Raw_Data_Daily!$B$2:$B$9999="Variant")*(Raw_Data_Daily!$C$2:$C$9999="B. 1-9")*Raw_Data_Daily!$D$2:$D$9999*Raw_Data_Daily!$CL$2:$CL$9999)/SUMIFS(Raw_Data_Daily!$D:$D, Raw_Data_Daily!$B:$B, "Variant", Raw_Data_Daily!$C:$C, "B. 1-9"),"")</f>
        <v>0.3555720757</v>
      </c>
      <c r="H90" s="54">
        <f t="shared" si="79"/>
        <v>-0.06674432193</v>
      </c>
      <c r="I90" s="145">
        <f>IFERROR(SUMPRODUCT((Raw_Data_Daily!$B$2:$B$9999="Control")*(Raw_Data_Daily!$C$2:$C$9999="C. 10-19")*Raw_Data_Daily!$D$2:$D$9999*Raw_Data_Daily!$CL$2:$CL$9999)/SUMIFS(Raw_Data_Daily!$D:$D, Raw_Data_Daily!$B:$B, "Control", Raw_Data_Daily!$C:$C, "C. 10-19"),"")</f>
        <v>0.8365627084</v>
      </c>
      <c r="J90" s="48">
        <f>IFERROR(SUMPRODUCT((Raw_Data_Daily!$B$2:$B$9999="Variant")*(Raw_Data_Daily!$C$2:$C$9999="C. 10-19")*Raw_Data_Daily!$D$2:$D$9999*Raw_Data_Daily!$CL$2:$CL$9999)/SUMIFS(Raw_Data_Daily!$D:$D, Raw_Data_Daily!$B:$B, "Variant", Raw_Data_Daily!$C:$C, "C. 10-19"),"")</f>
        <v>0.7802206349</v>
      </c>
      <c r="K90" s="51">
        <f t="shared" si="80"/>
        <v>-0.067349492</v>
      </c>
      <c r="L90" s="146">
        <f>IFERROR(SUMPRODUCT((Raw_Data_Daily!$B$2:$B$9999="Control")*(Raw_Data_Daily!$C$2:$C$9999="D. 20-39")*Raw_Data_Daily!$D$2:$D$9999*Raw_Data_Daily!$CL$2:$CL$9999)/SUMIFS(Raw_Data_Daily!$D:$D, Raw_Data_Daily!$B:$B, "Control", Raw_Data_Daily!$C:$C, "D. 20-39"),"")</f>
        <v>1.448469425</v>
      </c>
      <c r="M90" s="48">
        <f>IFERROR(SUMPRODUCT((Raw_Data_Daily!$B$2:$B$9999="Variant")*(Raw_Data_Daily!$C$2:$C$9999="D. 20-39")*Raw_Data_Daily!$D$2:$D$9999*Raw_Data_Daily!$CL$2:$CL$9999)/SUMIFS(Raw_Data_Daily!$D:$D, Raw_Data_Daily!$B:$B, "Variant", Raw_Data_Daily!$C:$C, "D. 20-39"),"")</f>
        <v>1.326727922</v>
      </c>
      <c r="N90" s="54">
        <f t="shared" si="81"/>
        <v>-0.08404837567</v>
      </c>
      <c r="O90" s="145">
        <f>IFERROR(SUMPRODUCT((Raw_Data_Daily!$B$2:$B$9999="Control")*(Raw_Data_Daily!$C$2:$C$9999="E. 40-99")*Raw_Data_Daily!$D$2:$D$9999*Raw_Data_Daily!$CL$2:$CL$9999)/SUMIFS(Raw_Data_Daily!$D:$D, Raw_Data_Daily!$B:$B, "Control", Raw_Data_Daily!$C:$C, "E. 40-99"),"")</f>
        <v>2.688096761</v>
      </c>
      <c r="P90" s="48">
        <f>IFERROR(SUMPRODUCT((Raw_Data_Daily!$B$2:$B$9999="Variant")*(Raw_Data_Daily!$C$2:$C$9999="E. 40-99")*Raw_Data_Daily!$D$2:$D$9999*Raw_Data_Daily!$CL$2:$CL$9999)/SUMIFS(Raw_Data_Daily!$D:$D, Raw_Data_Daily!$B:$B, "Variant", Raw_Data_Daily!$C:$C, "E. 40-99"),"")</f>
        <v>2.414996892</v>
      </c>
      <c r="Q90" s="51">
        <f t="shared" si="82"/>
        <v>-0.1015959963</v>
      </c>
      <c r="R90" s="146">
        <f>IFERROR(SUMPRODUCT((Raw_Data_Daily!$B$2:$B$9999="Control")*(Raw_Data_Daily!$C$2:$C$9999="F. 100+")*Raw_Data_Daily!$D$2:$D$9999*Raw_Data_Daily!$CL$2:$CL$9999)/SUMIFS(Raw_Data_Daily!$D:$D, Raw_Data_Daily!$B:$B, "Control", Raw_Data_Daily!$C:$C, "F. 100+"),"")</f>
        <v>6.309192591</v>
      </c>
      <c r="S90" s="149">
        <f>IFERROR(SUMPRODUCT((Raw_Data_Daily!$B$2:$B$9999="Variant")*(Raw_Data_Daily!$C$2:$C$9999="F. 100+")*Raw_Data_Daily!$D$2:$D$9999*Raw_Data_Daily!$CL$2:$CL$9999)/SUMIFS(Raw_Data_Daily!$D:$D, Raw_Data_Daily!$B:$B, "Variant", Raw_Data_Daily!$C:$C, "F. 100+"),"")</f>
        <v>5.45037701</v>
      </c>
      <c r="T90" s="169">
        <f t="shared" si="83"/>
        <v>-0.1361213132</v>
      </c>
    </row>
    <row r="91" ht="15.75" customHeight="1">
      <c r="A91" s="8"/>
      <c r="B91" s="181" t="s">
        <v>107</v>
      </c>
      <c r="C91" s="145">
        <f>IFERROR(SUMPRODUCT((Raw_Data_Daily!$B$2:$B$9999="Control")*(Raw_Data_Daily!$C$2:$C$9999="A. 0")*Raw_Data_Daily!$D$2:$D$9999*(Raw_Data_Daily!$CI$2:$CI$9999-Raw_Data_Daily!$CL$2:$CL$9999))/SUMIFS(Raw_Data_Daily!$D:$D, Raw_Data_Daily!$B:$B, "Control", Raw_Data_Daily!$C:$C, "A. 0"),"")</f>
        <v>0.088830477</v>
      </c>
      <c r="D91" s="48">
        <f>IFERROR(SUMPRODUCT((Raw_Data_Daily!$B$2:$B$9999="Variant")*(Raw_Data_Daily!$C$2:$C$9999="A. 0")*Raw_Data_Daily!$D$2:$D$9999*(Raw_Data_Daily!$CI$2:$CI$9999-Raw_Data_Daily!$CL$2:$CL$9999))/SUMIFS(Raw_Data_Daily!$D:$D, Raw_Data_Daily!$B:$B, "Variant", Raw_Data_Daily!$C:$C, "A. 0"),"")</f>
        <v>0.2108957224</v>
      </c>
      <c r="E91" s="38">
        <f t="shared" si="78"/>
        <v>1.374137003</v>
      </c>
      <c r="F91" s="146">
        <f>IFERROR(SUMPRODUCT((Raw_Data_Daily!$B$2:$B$9999="Control")*(Raw_Data_Daily!$C$2:$C$9999="B. 1-9")*Raw_Data_Daily!$D$2:$D$9999*(Raw_Data_Daily!$CI$2:$CI$9999-Raw_Data_Daily!$CL$2:$CL$9999))/SUMIFS(Raw_Data_Daily!$D:$D, Raw_Data_Daily!$B:$B, "Control", Raw_Data_Daily!$C:$C, "B. 1-9"),"")</f>
        <v>0.01780595721</v>
      </c>
      <c r="G91" s="48">
        <f>IFERROR(SUMPRODUCT((Raw_Data_Daily!$B$2:$B$9999="Variant")*(Raw_Data_Daily!$C$2:$C$9999="B. 1-9")*Raw_Data_Daily!$D$2:$D$9999*(Raw_Data_Daily!$CI$2:$CI$9999-Raw_Data_Daily!$CL$2:$CL$9999))/SUMIFS(Raw_Data_Daily!$D:$D, Raw_Data_Daily!$B:$B, "Variant", Raw_Data_Daily!$C:$C, "B. 1-9"),"")</f>
        <v>0.002192077783</v>
      </c>
      <c r="H91" s="54">
        <f t="shared" si="79"/>
        <v>-0.8768907643</v>
      </c>
      <c r="I91" s="145">
        <f>IFERROR(SUMPRODUCT((Raw_Data_Daily!$B$2:$B$9999="Control")*(Raw_Data_Daily!$C$2:$C$9999="C. 10-19")*Raw_Data_Daily!$D$2:$D$9999*(Raw_Data_Daily!$CI$2:$CI$9999-Raw_Data_Daily!$CL$2:$CL$9999))/SUMIFS(Raw_Data_Daily!$D:$D, Raw_Data_Daily!$B:$B, "Control", Raw_Data_Daily!$C:$C, "C. 10-19"),"")</f>
        <v>0.03727611265</v>
      </c>
      <c r="J91" s="48">
        <f>IFERROR(SUMPRODUCT((Raw_Data_Daily!$B$2:$B$9999="Variant")*(Raw_Data_Daily!$C$2:$C$9999="C. 10-19")*Raw_Data_Daily!$D$2:$D$9999*(Raw_Data_Daily!$CI$2:$CI$9999-Raw_Data_Daily!$CL$2:$CL$9999))/SUMIFS(Raw_Data_Daily!$D:$D, Raw_Data_Daily!$B:$B, "Variant", Raw_Data_Daily!$C:$C, "C. 10-19"),"")</f>
        <v>0.01277394292</v>
      </c>
      <c r="K91" s="51">
        <f t="shared" si="80"/>
        <v>-0.6573155834</v>
      </c>
      <c r="L91" s="146">
        <f>IFERROR(SUMPRODUCT((Raw_Data_Daily!$B$2:$B$9999="Control")*(Raw_Data_Daily!$C$2:$C$9999="D. 20-39")*Raw_Data_Daily!$D$2:$D$9999*(Raw_Data_Daily!$CI$2:$CI$9999-Raw_Data_Daily!$CL$2:$CL$9999))/SUMIFS(Raw_Data_Daily!$D:$D, Raw_Data_Daily!$B:$B, "Control", Raw_Data_Daily!$C:$C, "D. 20-39"),"")</f>
        <v>0.09181693346</v>
      </c>
      <c r="M91" s="48">
        <f>IFERROR(SUMPRODUCT((Raw_Data_Daily!$B$2:$B$9999="Variant")*(Raw_Data_Daily!$C$2:$C$9999="D. 20-39")*Raw_Data_Daily!$D$2:$D$9999*(Raw_Data_Daily!$CI$2:$CI$9999-Raw_Data_Daily!$CL$2:$CL$9999))/SUMIFS(Raw_Data_Daily!$D:$D, Raw_Data_Daily!$B:$B, "Variant", Raw_Data_Daily!$C:$C, "D. 20-39"),"")</f>
        <v>0.06335112925</v>
      </c>
      <c r="N91" s="54">
        <f t="shared" si="81"/>
        <v>-0.3100278253</v>
      </c>
      <c r="O91" s="145">
        <f>IFERROR(SUMPRODUCT((Raw_Data_Daily!$B$2:$B$9999="Control")*(Raw_Data_Daily!$C$2:$C$9999="E. 40-99")*Raw_Data_Daily!$D$2:$D$9999*(Raw_Data_Daily!$CI$2:$CI$9999-Raw_Data_Daily!$CL$2:$CL$9999))/SUMIFS(Raw_Data_Daily!$D:$D, Raw_Data_Daily!$B:$B, "Control", Raw_Data_Daily!$C:$C, "E. 40-99"),"")</f>
        <v>0.1301305274</v>
      </c>
      <c r="P91" s="48">
        <f>IFERROR(SUMPRODUCT((Raw_Data_Daily!$B$2:$B$9999="Variant")*(Raw_Data_Daily!$C$2:$C$9999="E. 40-99")*Raw_Data_Daily!$D$2:$D$9999*(Raw_Data_Daily!$CI$2:$CI$9999-Raw_Data_Daily!$CL$2:$CL$9999))/SUMIFS(Raw_Data_Daily!$D:$D, Raw_Data_Daily!$B:$B, "Variant", Raw_Data_Daily!$C:$C, "E. 40-99"),"")</f>
        <v>0.06680362104</v>
      </c>
      <c r="Q91" s="51">
        <f t="shared" si="82"/>
        <v>-0.4866414332</v>
      </c>
      <c r="R91" s="146">
        <f>IFERROR(SUMPRODUCT((Raw_Data_Daily!$B$2:$B$9999="Control")*(Raw_Data_Daily!$C$2:$C$9999="F. 100+")*Raw_Data_Daily!$D$2:$D$9999*(Raw_Data_Daily!$CI$2:$CI$9999-Raw_Data_Daily!$CL$2:$CL$9999))/SUMIFS(Raw_Data_Daily!$D:$D, Raw_Data_Daily!$B:$B, "Control", Raw_Data_Daily!$C:$C, "F. 100+"),"")</f>
        <v>-0.5362681221</v>
      </c>
      <c r="S91" s="48">
        <f>IFERROR(SUMPRODUCT((Raw_Data_Daily!$B$2:$B$9999="Variant")*(Raw_Data_Daily!$C$2:$C$9999="F. 100+")*Raw_Data_Daily!$D$2:$D$9999*(Raw_Data_Daily!$CI$2:$CI$9999-Raw_Data_Daily!$CL$2:$CL$9999))/SUMIFS(Raw_Data_Daily!$D:$D, Raw_Data_Daily!$B:$B, "Variant", Raw_Data_Daily!$C:$C, "F. 100+"),"")</f>
        <v>0.9363490518</v>
      </c>
      <c r="T91" s="54">
        <f t="shared" si="83"/>
        <v>2.746046452</v>
      </c>
    </row>
    <row r="92" ht="15.75" customHeight="1">
      <c r="A92" s="165" t="s">
        <v>108</v>
      </c>
      <c r="B92" s="28"/>
      <c r="C92" s="29"/>
      <c r="D92" s="6"/>
      <c r="E92" s="30"/>
      <c r="F92" s="32"/>
      <c r="G92" s="6"/>
      <c r="H92" s="28"/>
      <c r="I92" s="29"/>
      <c r="J92" s="6"/>
      <c r="K92" s="30"/>
      <c r="L92" s="32"/>
      <c r="M92" s="6"/>
      <c r="N92" s="28"/>
      <c r="O92" s="29"/>
      <c r="P92" s="6"/>
      <c r="Q92" s="30"/>
      <c r="R92" s="32"/>
      <c r="S92" s="6"/>
      <c r="T92" s="28"/>
    </row>
    <row r="93" ht="15.75" customHeight="1">
      <c r="A93" s="8"/>
      <c r="B93" s="181" t="s">
        <v>109</v>
      </c>
      <c r="C93" s="145">
        <f>IFERROR(SUMPRODUCT((Raw_Data_Daily!$B$2:$B$9999="Control")*(Raw_Data_Daily!$C$2:$C$9999="A. 0")*Raw_Data_Daily!$D$2:$D$9999*Raw_Data_Daily!$CA$2:$CA$9999)/SUMIFS(Raw_Data_Daily!$D:$D, Raw_Data_Daily!$B:$B, "Control", Raw_Data_Daily!$C:$C, "A. 0"),"")</f>
        <v>0.1866529603</v>
      </c>
      <c r="D93" s="48">
        <f>IFERROR(SUMPRODUCT((Raw_Data_Daily!$B$2:$B$9999="Variant")*(Raw_Data_Daily!$C$2:$C$9999="A. 0")*Raw_Data_Daily!$D$2:$D$9999*Raw_Data_Daily!$CA$2:$CA$9999)/SUMIFS(Raw_Data_Daily!$D:$D, Raw_Data_Daily!$B:$B, "Variant", Raw_Data_Daily!$C:$C, "A. 0"),"")</f>
        <v>0.3930421907</v>
      </c>
      <c r="E93" s="46">
        <f t="shared" ref="E93:E97" si="84">IFERROR((D93-C93)/ABS(C93),"")</f>
        <v>1.105737782</v>
      </c>
      <c r="F93" s="146">
        <f>IFERROR(SUMPRODUCT((Raw_Data_Daily!$B$2:$B$9999="Control")*(Raw_Data_Daily!$C$2:$C$9999="B. 1-9")*Raw_Data_Daily!$D$2:$D$9999*Raw_Data_Daily!$CA$2:$CA$9999)/SUMIFS(Raw_Data_Daily!$D:$D, Raw_Data_Daily!$B:$B, "Control", Raw_Data_Daily!$C:$C, "B. 1-9"),"")</f>
        <v>0.1992673981</v>
      </c>
      <c r="G93" s="48">
        <f>IFERROR(SUMPRODUCT((Raw_Data_Daily!$B$2:$B$9999="Variant")*(Raw_Data_Daily!$C$2:$C$9999="B. 1-9")*Raw_Data_Daily!$D$2:$D$9999*Raw_Data_Daily!$CA$2:$CA$9999)/SUMIFS(Raw_Data_Daily!$D:$D, Raw_Data_Daily!$B:$B, "Variant", Raw_Data_Daily!$C:$C, "B. 1-9"),"")</f>
        <v>0.1575122264</v>
      </c>
      <c r="H93" s="54">
        <f t="shared" ref="H93:H97" si="85">IFERROR((G93-F93)/ABS(F93),"")</f>
        <v>-0.2095434182</v>
      </c>
      <c r="I93" s="145">
        <f>IFERROR(SUMPRODUCT((Raw_Data_Daily!$B$2:$B$9999="Control")*(Raw_Data_Daily!$C$2:$C$9999="C. 10-19")*Raw_Data_Daily!$D$2:$D$9999*Raw_Data_Daily!$CA$2:$CA$9999)/SUMIFS(Raw_Data_Daily!$D:$D, Raw_Data_Daily!$B:$B, "Control", Raw_Data_Daily!$C:$C, "C. 10-19"),"")</f>
        <v>0.405943678</v>
      </c>
      <c r="J93" s="48">
        <f>IFERROR(SUMPRODUCT((Raw_Data_Daily!$B$2:$B$9999="Variant")*(Raw_Data_Daily!$C$2:$C$9999="C. 10-19")*Raw_Data_Daily!$D$2:$D$9999*Raw_Data_Daily!$CA$2:$CA$9999)/SUMIFS(Raw_Data_Daily!$D:$D, Raw_Data_Daily!$B:$B, "Variant", Raw_Data_Daily!$C:$C, "C. 10-19"),"")</f>
        <v>0.3825507162</v>
      </c>
      <c r="K93" s="51">
        <f t="shared" ref="K93:K97" si="86">IFERROR((J93-I93)/ABS(I93),"")</f>
        <v>-0.05762612656</v>
      </c>
      <c r="L93" s="146">
        <f>IFERROR(SUMPRODUCT((Raw_Data_Daily!$B$2:$B$9999="Control")*(Raw_Data_Daily!$C$2:$C$9999="D. 20-39")*Raw_Data_Daily!$D$2:$D$9999*Raw_Data_Daily!$CA$2:$CA$9999)/SUMIFS(Raw_Data_Daily!$D:$D, Raw_Data_Daily!$B:$B, "Control", Raw_Data_Daily!$C:$C, "D. 20-39"),"")</f>
        <v>0.7039772018</v>
      </c>
      <c r="M93" s="48">
        <f>IFERROR(SUMPRODUCT((Raw_Data_Daily!$B$2:$B$9999="Variant")*(Raw_Data_Daily!$C$2:$C$9999="D. 20-39")*Raw_Data_Daily!$D$2:$D$9999*Raw_Data_Daily!$CA$2:$CA$9999)/SUMIFS(Raw_Data_Daily!$D:$D, Raw_Data_Daily!$B:$B, "Variant", Raw_Data_Daily!$C:$C, "D. 20-39"),"")</f>
        <v>0.6139924636</v>
      </c>
      <c r="N93" s="54">
        <f t="shared" ref="N93:N97" si="87">IFERROR((M93-L93)/ABS(L93),"")</f>
        <v>-0.1278233698</v>
      </c>
      <c r="O93" s="145">
        <f>IFERROR(SUMPRODUCT((Raw_Data_Daily!$B$2:$B$9999="Control")*(Raw_Data_Daily!$C$2:$C$9999="E. 40-99")*Raw_Data_Daily!$D$2:$D$9999*Raw_Data_Daily!$CA$2:$CA$9999)/SUMIFS(Raw_Data_Daily!$D:$D, Raw_Data_Daily!$B:$B, "Control", Raw_Data_Daily!$C:$C, "E. 40-99"),"")</f>
        <v>1.464304996</v>
      </c>
      <c r="P93" s="48">
        <f>IFERROR(SUMPRODUCT((Raw_Data_Daily!$B$2:$B$9999="Variant")*(Raw_Data_Daily!$C$2:$C$9999="E. 40-99")*Raw_Data_Daily!$D$2:$D$9999*Raw_Data_Daily!$CA$2:$CA$9999)/SUMIFS(Raw_Data_Daily!$D:$D, Raw_Data_Daily!$B:$B, "Variant", Raw_Data_Daily!$C:$C, "E. 40-99"),"")</f>
        <v>1.094879765</v>
      </c>
      <c r="Q93" s="51">
        <f t="shared" ref="Q93:Q97" si="88">IFERROR((P93-O93)/ABS(O93),"")</f>
        <v>-0.2522870796</v>
      </c>
      <c r="R93" s="146">
        <f>IFERROR(SUMPRODUCT((Raw_Data_Daily!$B$2:$B$9999="Control")*(Raw_Data_Daily!$C$2:$C$9999="F. 100+")*Raw_Data_Daily!$D$2:$D$9999*Raw_Data_Daily!$CA$2:$CA$9999)/SUMIFS(Raw_Data_Daily!$D:$D, Raw_Data_Daily!$B:$B, "Control", Raw_Data_Daily!$C:$C, "F. 100+"),"")</f>
        <v>3.2991948</v>
      </c>
      <c r="S93" s="149">
        <f>IFERROR(SUMPRODUCT((Raw_Data_Daily!$B$2:$B$9999="Variant")*(Raw_Data_Daily!$C$2:$C$9999="F. 100+")*Raw_Data_Daily!$D$2:$D$9999*Raw_Data_Daily!$CA$2:$CA$9999)/SUMIFS(Raw_Data_Daily!$D:$D, Raw_Data_Daily!$B:$B, "Variant", Raw_Data_Daily!$C:$C, "F. 100+"),"")</f>
        <v>3.72330671</v>
      </c>
      <c r="T93" s="169">
        <f t="shared" ref="T93:T97" si="89">IFERROR((S93-R93)/ABS(R93),"")</f>
        <v>0.1285501267</v>
      </c>
    </row>
    <row r="94" ht="15.75" customHeight="1">
      <c r="A94" s="8"/>
      <c r="B94" s="181" t="s">
        <v>110</v>
      </c>
      <c r="C94" s="145">
        <f>IFERROR(SUMPRODUCT((Raw_Data_Daily!$B$2:$B$9999="Control")*(Raw_Data_Daily!$C$2:$C$9999="A. 0")*Raw_Data_Daily!$D$2:$D$9999*Raw_Data_Daily!$CB$2:$CB$9999)/SUMIFS(Raw_Data_Daily!$D:$D, Raw_Data_Daily!$B:$B, "Control", Raw_Data_Daily!$C:$C, "A. 0"),"")</f>
        <v>0.009522729216</v>
      </c>
      <c r="D94" s="48">
        <f>IFERROR(SUMPRODUCT((Raw_Data_Daily!$B$2:$B$9999="Variant")*(Raw_Data_Daily!$C$2:$C$9999="A. 0")*Raw_Data_Daily!$D$2:$D$9999*Raw_Data_Daily!$CB$2:$CB$9999)/SUMIFS(Raw_Data_Daily!$D:$D, Raw_Data_Daily!$B:$B, "Variant", Raw_Data_Daily!$C:$C, "A. 0"),"")</f>
        <v>0.009495215816</v>
      </c>
      <c r="E94" s="46">
        <f t="shared" si="84"/>
        <v>-0.002889234763</v>
      </c>
      <c r="F94" s="146">
        <f>IFERROR(SUMPRODUCT((Raw_Data_Daily!$B$2:$B$9999="Control")*(Raw_Data_Daily!$C$2:$C$9999="B. 1-9")*Raw_Data_Daily!$D$2:$D$9999*Raw_Data_Daily!$CB$2:$CB$9999)/SUMIFS(Raw_Data_Daily!$D:$D, Raw_Data_Daily!$B:$B, "Control", Raw_Data_Daily!$C:$C, "B. 1-9"),"")</f>
        <v>0.003072099898</v>
      </c>
      <c r="G94" s="48">
        <f>IFERROR(SUMPRODUCT((Raw_Data_Daily!$B$2:$B$9999="Variant")*(Raw_Data_Daily!$C$2:$C$9999="B. 1-9")*Raw_Data_Daily!$D$2:$D$9999*Raw_Data_Daily!$CB$2:$CB$9999)/SUMIFS(Raw_Data_Daily!$D:$D, Raw_Data_Daily!$B:$B, "Variant", Raw_Data_Daily!$C:$C, "B. 1-9"),"")</f>
        <v>0.002933290092</v>
      </c>
      <c r="H94" s="54">
        <f t="shared" si="85"/>
        <v>-0.04518401438</v>
      </c>
      <c r="I94" s="145">
        <f>IFERROR(SUMPRODUCT((Raw_Data_Daily!$B$2:$B$9999="Control")*(Raw_Data_Daily!$C$2:$C$9999="C. 10-19")*Raw_Data_Daily!$D$2:$D$9999*Raw_Data_Daily!$CB$2:$CB$9999)/SUMIFS(Raw_Data_Daily!$D:$D, Raw_Data_Daily!$B:$B, "Control", Raw_Data_Daily!$C:$C, "C. 10-19"),"")</f>
        <v>0.008644705217</v>
      </c>
      <c r="J94" s="48">
        <f>IFERROR(SUMPRODUCT((Raw_Data_Daily!$B$2:$B$9999="Variant")*(Raw_Data_Daily!$C$2:$C$9999="C. 10-19")*Raw_Data_Daily!$D$2:$D$9999*Raw_Data_Daily!$CB$2:$CB$9999)/SUMIFS(Raw_Data_Daily!$D:$D, Raw_Data_Daily!$B:$B, "Variant", Raw_Data_Daily!$C:$C, "C. 10-19"),"")</f>
        <v>0.009934379279</v>
      </c>
      <c r="K94" s="51">
        <f t="shared" si="86"/>
        <v>0.1491865864</v>
      </c>
      <c r="L94" s="146">
        <f>IFERROR(SUMPRODUCT((Raw_Data_Daily!$B$2:$B$9999="Control")*(Raw_Data_Daily!$C$2:$C$9999="D. 20-39")*Raw_Data_Daily!$D$2:$D$9999*Raw_Data_Daily!$CB$2:$CB$9999)/SUMIFS(Raw_Data_Daily!$D:$D, Raw_Data_Daily!$B:$B, "Control", Raw_Data_Daily!$C:$C, "D. 20-39"),"")</f>
        <v>0.01984960822</v>
      </c>
      <c r="M94" s="48">
        <f>IFERROR(SUMPRODUCT((Raw_Data_Daily!$B$2:$B$9999="Variant")*(Raw_Data_Daily!$C$2:$C$9999="D. 20-39")*Raw_Data_Daily!$D$2:$D$9999*Raw_Data_Daily!$CB$2:$CB$9999)/SUMIFS(Raw_Data_Daily!$D:$D, Raw_Data_Daily!$B:$B, "Variant", Raw_Data_Daily!$C:$C, "D. 20-39"),"")</f>
        <v>0.0190395345</v>
      </c>
      <c r="N94" s="54">
        <f t="shared" si="87"/>
        <v>-0.04081056486</v>
      </c>
      <c r="O94" s="145">
        <f>IFERROR(SUMPRODUCT((Raw_Data_Daily!$B$2:$B$9999="Control")*(Raw_Data_Daily!$C$2:$C$9999="E. 40-99")*Raw_Data_Daily!$D$2:$D$9999*Raw_Data_Daily!$CB$2:$CB$9999)/SUMIFS(Raw_Data_Daily!$D:$D, Raw_Data_Daily!$B:$B, "Control", Raw_Data_Daily!$C:$C, "E. 40-99"),"")</f>
        <v>0.04595797031</v>
      </c>
      <c r="P94" s="48">
        <f>IFERROR(SUMPRODUCT((Raw_Data_Daily!$B$2:$B$9999="Variant")*(Raw_Data_Daily!$C$2:$C$9999="E. 40-99")*Raw_Data_Daily!$D$2:$D$9999*Raw_Data_Daily!$CB$2:$CB$9999)/SUMIFS(Raw_Data_Daily!$D:$D, Raw_Data_Daily!$B:$B, "Variant", Raw_Data_Daily!$C:$C, "E. 40-99"),"")</f>
        <v>0.03834317052</v>
      </c>
      <c r="Q94" s="51">
        <f t="shared" si="88"/>
        <v>-0.1656905154</v>
      </c>
      <c r="R94" s="146">
        <f>IFERROR(SUMPRODUCT((Raw_Data_Daily!$B$2:$B$9999="Control")*(Raw_Data_Daily!$C$2:$C$9999="F. 100+")*Raw_Data_Daily!$D$2:$D$9999*Raw_Data_Daily!$CB$2:$CB$9999)/SUMIFS(Raw_Data_Daily!$D:$D, Raw_Data_Daily!$B:$B, "Control", Raw_Data_Daily!$C:$C, "F. 100+"),"")</f>
        <v>0.1023434452</v>
      </c>
      <c r="S94" s="149">
        <f>IFERROR(SUMPRODUCT((Raw_Data_Daily!$B$2:$B$9999="Variant")*(Raw_Data_Daily!$C$2:$C$9999="F. 100+")*Raw_Data_Daily!$D$2:$D$9999*Raw_Data_Daily!$CB$2:$CB$9999)/SUMIFS(Raw_Data_Daily!$D:$D, Raw_Data_Daily!$B:$B, "Variant", Raw_Data_Daily!$C:$C, "F. 100+"),"")</f>
        <v>0.07219467672</v>
      </c>
      <c r="T94" s="169">
        <f t="shared" si="89"/>
        <v>-0.2945842639</v>
      </c>
    </row>
    <row r="95" ht="15.75" customHeight="1">
      <c r="A95" s="8"/>
      <c r="B95" s="181" t="s">
        <v>111</v>
      </c>
      <c r="C95" s="145">
        <f>IFERROR(SUMPRODUCT((Raw_Data_Daily!$B$2:$B$9999="Control")*(Raw_Data_Daily!$C$2:$C$9999="A. 0")*Raw_Data_Daily!$D$2:$D$9999*Raw_Data_Daily!$CC$2:$CC$9999)/SUMIFS(Raw_Data_Daily!$D:$D, Raw_Data_Daily!$B:$B, "Control", Raw_Data_Daily!$C:$C, "A. 0"),"")</f>
        <v>0.1771351284</v>
      </c>
      <c r="D95" s="48">
        <f>IFERROR(SUMPRODUCT((Raw_Data_Daily!$B$2:$B$9999="Variant")*(Raw_Data_Daily!$C$2:$C$9999="A. 0")*Raw_Data_Daily!$D$2:$D$9999*Raw_Data_Daily!$CC$2:$CC$9999)/SUMIFS(Raw_Data_Daily!$D:$D, Raw_Data_Daily!$B:$B, "Variant", Raw_Data_Daily!$C:$C, "A. 0"),"")</f>
        <v>0.3835572136</v>
      </c>
      <c r="E95" s="46">
        <f t="shared" si="84"/>
        <v>1.165336808</v>
      </c>
      <c r="F95" s="146">
        <f>IFERROR(SUMPRODUCT((Raw_Data_Daily!$B$2:$B$9999="Control")*(Raw_Data_Daily!$C$2:$C$9999="B. 1-9")*Raw_Data_Daily!$D$2:$D$9999*Raw_Data_Daily!$CC$2:$CC$9999)/SUMIFS(Raw_Data_Daily!$D:$D, Raw_Data_Daily!$B:$B, "Control", Raw_Data_Daily!$C:$C, "B. 1-9"),"")</f>
        <v>0.1961953331</v>
      </c>
      <c r="G95" s="48">
        <f>IFERROR(SUMPRODUCT((Raw_Data_Daily!$B$2:$B$9999="Variant")*(Raw_Data_Daily!$C$2:$C$9999="B. 1-9")*Raw_Data_Daily!$D$2:$D$9999*Raw_Data_Daily!$CC$2:$CC$9999)/SUMIFS(Raw_Data_Daily!$D:$D, Raw_Data_Daily!$B:$B, "Variant", Raw_Data_Daily!$C:$C, "B. 1-9"),"")</f>
        <v>0.1545743591</v>
      </c>
      <c r="H95" s="54">
        <f t="shared" si="85"/>
        <v>-0.2121404892</v>
      </c>
      <c r="I95" s="145">
        <f>IFERROR(SUMPRODUCT((Raw_Data_Daily!$B$2:$B$9999="Control")*(Raw_Data_Daily!$C$2:$C$9999="C. 10-19")*Raw_Data_Daily!$D$2:$D$9999*Raw_Data_Daily!$CC$2:$CC$9999)/SUMIFS(Raw_Data_Daily!$D:$D, Raw_Data_Daily!$B:$B, "Control", Raw_Data_Daily!$C:$C, "C. 10-19"),"")</f>
        <v>0.3972890254</v>
      </c>
      <c r="J95" s="48">
        <f>IFERROR(SUMPRODUCT((Raw_Data_Daily!$B$2:$B$9999="Variant")*(Raw_Data_Daily!$C$2:$C$9999="C. 10-19")*Raw_Data_Daily!$D$2:$D$9999*Raw_Data_Daily!$CC$2:$CC$9999)/SUMIFS(Raw_Data_Daily!$D:$D, Raw_Data_Daily!$B:$B, "Variant", Raw_Data_Daily!$C:$C, "C. 10-19"),"")</f>
        <v>0.372616783</v>
      </c>
      <c r="K95" s="51">
        <f t="shared" si="86"/>
        <v>-0.06210149509</v>
      </c>
      <c r="L95" s="146">
        <f>IFERROR(SUMPRODUCT((Raw_Data_Daily!$B$2:$B$9999="Control")*(Raw_Data_Daily!$C$2:$C$9999="D. 20-39")*Raw_Data_Daily!$D$2:$D$9999*Raw_Data_Daily!$CC$2:$CC$9999)/SUMIFS(Raw_Data_Daily!$D:$D, Raw_Data_Daily!$B:$B, "Control", Raw_Data_Daily!$C:$C, "D. 20-39"),"")</f>
        <v>0.6841312442</v>
      </c>
      <c r="M95" s="48">
        <f>IFERROR(SUMPRODUCT((Raw_Data_Daily!$B$2:$B$9999="Variant")*(Raw_Data_Daily!$C$2:$C$9999="D. 20-39")*Raw_Data_Daily!$D$2:$D$9999*Raw_Data_Daily!$CC$2:$CC$9999)/SUMIFS(Raw_Data_Daily!$D:$D, Raw_Data_Daily!$B:$B, "Variant", Raw_Data_Daily!$C:$C, "D. 20-39"),"")</f>
        <v>0.5949586142</v>
      </c>
      <c r="N95" s="54">
        <f t="shared" si="87"/>
        <v>-0.130344332</v>
      </c>
      <c r="O95" s="145">
        <f>IFERROR(SUMPRODUCT((Raw_Data_Daily!$B$2:$B$9999="Control")*(Raw_Data_Daily!$C$2:$C$9999="E. 40-99")*Raw_Data_Daily!$D$2:$D$9999*Raw_Data_Daily!$CC$2:$CC$9999)/SUMIFS(Raw_Data_Daily!$D:$D, Raw_Data_Daily!$B:$B, "Control", Raw_Data_Daily!$C:$C, "E. 40-99"),"")</f>
        <v>1.418351397</v>
      </c>
      <c r="P95" s="48">
        <f>IFERROR(SUMPRODUCT((Raw_Data_Daily!$B$2:$B$9999="Variant")*(Raw_Data_Daily!$C$2:$C$9999="E. 40-99")*Raw_Data_Daily!$D$2:$D$9999*Raw_Data_Daily!$CC$2:$CC$9999)/SUMIFS(Raw_Data_Daily!$D:$D, Raw_Data_Daily!$B:$B, "Variant", Raw_Data_Daily!$C:$C, "E. 40-99"),"")</f>
        <v>1.056536604</v>
      </c>
      <c r="Q95" s="51">
        <f t="shared" si="88"/>
        <v>-0.2550953127</v>
      </c>
      <c r="R95" s="146">
        <f>IFERROR(SUMPRODUCT((Raw_Data_Daily!$B$2:$B$9999="Control")*(Raw_Data_Daily!$C$2:$C$9999="F. 100+")*Raw_Data_Daily!$D$2:$D$9999*Raw_Data_Daily!$CC$2:$CC$9999)/SUMIFS(Raw_Data_Daily!$D:$D, Raw_Data_Daily!$B:$B, "Control", Raw_Data_Daily!$C:$C, "F. 100+"),"")</f>
        <v>3.196850177</v>
      </c>
      <c r="S95" s="149">
        <f>IFERROR(SUMPRODUCT((Raw_Data_Daily!$B$2:$B$9999="Variant")*(Raw_Data_Daily!$C$2:$C$9999="F. 100+")*Raw_Data_Daily!$D$2:$D$9999*Raw_Data_Daily!$CC$2:$CC$9999)/SUMIFS(Raw_Data_Daily!$D:$D, Raw_Data_Daily!$B:$B, "Variant", Raw_Data_Daily!$C:$C, "F. 100+"),"")</f>
        <v>3.651093845</v>
      </c>
      <c r="T95" s="169">
        <f t="shared" si="89"/>
        <v>0.1420910092</v>
      </c>
    </row>
    <row r="96" ht="15.75" customHeight="1">
      <c r="A96" s="8"/>
      <c r="B96" s="181" t="s">
        <v>112</v>
      </c>
      <c r="C96" s="145">
        <f>IFERROR(SUMPRODUCT((Raw_Data_Daily!$B$2:$B$9999="Control")*(Raw_Data_Daily!$C$2:$C$9999="A. 0")*Raw_Data_Daily!$D$2:$D$9999*Raw_Data_Daily!$CD$2:$CD$9999)/SUMIFS(Raw_Data_Daily!$D:$D, Raw_Data_Daily!$B:$B, "Control", Raw_Data_Daily!$C:$C, "A. 0"),"")</f>
        <v>0.1435167823</v>
      </c>
      <c r="D96" s="48">
        <f>IFERROR(SUMPRODUCT((Raw_Data_Daily!$B$2:$B$9999="Variant")*(Raw_Data_Daily!$C$2:$C$9999="A. 0")*Raw_Data_Daily!$D$2:$D$9999*Raw_Data_Daily!$CD$2:$CD$9999)/SUMIFS(Raw_Data_Daily!$D:$D, Raw_Data_Daily!$B:$B, "Variant", Raw_Data_Daily!$C:$C, "A. 0"),"")</f>
        <v>0.1843057393</v>
      </c>
      <c r="E96" s="46">
        <f t="shared" si="84"/>
        <v>0.2842103641</v>
      </c>
      <c r="F96" s="146">
        <f>IFERROR(SUMPRODUCT((Raw_Data_Daily!$B$2:$B$9999="Control")*(Raw_Data_Daily!$C$2:$C$9999="B. 1-9")*Raw_Data_Daily!$D$2:$D$9999*Raw_Data_Daily!$CD$2:$CD$9999)/SUMIFS(Raw_Data_Daily!$D:$D, Raw_Data_Daily!$B:$B, "Control", Raw_Data_Daily!$C:$C, "B. 1-9"),"")</f>
        <v>0.1946119905</v>
      </c>
      <c r="G96" s="48">
        <f>IFERROR(SUMPRODUCT((Raw_Data_Daily!$B$2:$B$9999="Variant")*(Raw_Data_Daily!$C$2:$C$9999="B. 1-9")*Raw_Data_Daily!$D$2:$D$9999*Raw_Data_Daily!$CD$2:$CD$9999)/SUMIFS(Raw_Data_Daily!$D:$D, Raw_Data_Daily!$B:$B, "Variant", Raw_Data_Daily!$C:$C, "B. 1-9"),"")</f>
        <v>0.1686259571</v>
      </c>
      <c r="H96" s="54">
        <f t="shared" si="85"/>
        <v>-0.1335274016</v>
      </c>
      <c r="I96" s="145">
        <f>IFERROR(SUMPRODUCT((Raw_Data_Daily!$B$2:$B$9999="Control")*(Raw_Data_Daily!$C$2:$C$9999="C. 10-19")*Raw_Data_Daily!$D$2:$D$9999*Raw_Data_Daily!$CD$2:$CD$9999)/SUMIFS(Raw_Data_Daily!$D:$D, Raw_Data_Daily!$B:$B, "Control", Raw_Data_Daily!$C:$C, "C. 10-19"),"")</f>
        <v>0.4301444087</v>
      </c>
      <c r="J96" s="48">
        <f>IFERROR(SUMPRODUCT((Raw_Data_Daily!$B$2:$B$9999="Variant")*(Raw_Data_Daily!$C$2:$C$9999="C. 10-19")*Raw_Data_Daily!$D$2:$D$9999*Raw_Data_Daily!$CD$2:$CD$9999)/SUMIFS(Raw_Data_Daily!$D:$D, Raw_Data_Daily!$B:$B, "Variant", Raw_Data_Daily!$C:$C, "C. 10-19"),"")</f>
        <v>0.414296371</v>
      </c>
      <c r="K96" s="51">
        <f t="shared" si="86"/>
        <v>-0.03684352818</v>
      </c>
      <c r="L96" s="146">
        <f>IFERROR(SUMPRODUCT((Raw_Data_Daily!$B$2:$B$9999="Control")*(Raw_Data_Daily!$C$2:$C$9999="D. 20-39")*Raw_Data_Daily!$D$2:$D$9999*Raw_Data_Daily!$CD$2:$CD$9999)/SUMIFS(Raw_Data_Daily!$D:$D, Raw_Data_Daily!$B:$B, "Control", Raw_Data_Daily!$C:$C, "D. 20-39"),"")</f>
        <v>0.7666545232</v>
      </c>
      <c r="M96" s="48">
        <f>IFERROR(SUMPRODUCT((Raw_Data_Daily!$B$2:$B$9999="Variant")*(Raw_Data_Daily!$C$2:$C$9999="D. 20-39")*Raw_Data_Daily!$D$2:$D$9999*Raw_Data_Daily!$CD$2:$CD$9999)/SUMIFS(Raw_Data_Daily!$D:$D, Raw_Data_Daily!$B:$B, "Variant", Raw_Data_Daily!$C:$C, "D. 20-39"),"")</f>
        <v>0.7295321477</v>
      </c>
      <c r="N96" s="54">
        <f t="shared" si="87"/>
        <v>-0.04842125677</v>
      </c>
      <c r="O96" s="145">
        <f>IFERROR(SUMPRODUCT((Raw_Data_Daily!$B$2:$B$9999="Control")*(Raw_Data_Daily!$C$2:$C$9999="E. 40-99")*Raw_Data_Daily!$D$2:$D$9999*Raw_Data_Daily!$CD$2:$CD$9999)/SUMIFS(Raw_Data_Daily!$D:$D, Raw_Data_Daily!$B:$B, "Control", Raw_Data_Daily!$C:$C, "E. 40-99"),"")</f>
        <v>1.677470386</v>
      </c>
      <c r="P96" s="48">
        <f>IFERROR(SUMPRODUCT((Raw_Data_Daily!$B$2:$B$9999="Variant")*(Raw_Data_Daily!$C$2:$C$9999="E. 40-99")*Raw_Data_Daily!$D$2:$D$9999*Raw_Data_Daily!$CD$2:$CD$9999)/SUMIFS(Raw_Data_Daily!$D:$D, Raw_Data_Daily!$B:$B, "Variant", Raw_Data_Daily!$C:$C, "E. 40-99"),"")</f>
        <v>1.283251043</v>
      </c>
      <c r="Q96" s="51">
        <f t="shared" si="88"/>
        <v>-0.2350082277</v>
      </c>
      <c r="R96" s="146">
        <f>IFERROR(SUMPRODUCT((Raw_Data_Daily!$B$2:$B$9999="Control")*(Raw_Data_Daily!$C$2:$C$9999="F. 100+")*Raw_Data_Daily!$D$2:$D$9999*Raw_Data_Daily!$CD$2:$CD$9999)/SUMIFS(Raw_Data_Daily!$D:$D, Raw_Data_Daily!$B:$B, "Control", Raw_Data_Daily!$C:$C, "F. 100+"),"")</f>
        <v>4.600556565</v>
      </c>
      <c r="S96" s="149">
        <f>IFERROR(SUMPRODUCT((Raw_Data_Daily!$B$2:$B$9999="Variant")*(Raw_Data_Daily!$C$2:$C$9999="F. 100+")*Raw_Data_Daily!$D$2:$D$9999*Raw_Data_Daily!$CD$2:$CD$9999)/SUMIFS(Raw_Data_Daily!$D:$D, Raw_Data_Daily!$B:$B, "Variant", Raw_Data_Daily!$C:$C, "F. 100+"),"")</f>
        <v>4.609181213</v>
      </c>
      <c r="T96" s="169">
        <f t="shared" si="89"/>
        <v>0.00187469666</v>
      </c>
    </row>
    <row r="97" ht="15.75" customHeight="1">
      <c r="A97" s="8"/>
      <c r="B97" s="181" t="s">
        <v>113</v>
      </c>
      <c r="C97" s="145">
        <f>IFERROR(SUMPRODUCT((Raw_Data_Daily!$B$2:$B$9999="Control")*(Raw_Data_Daily!$C$2:$C$9999="A. 0")*Raw_Data_Daily!$D$2:$D$9999*(Raw_Data_Daily!$CA$2:$CA$9999-Raw_Data_Daily!$CD$2:$CD$9999))/SUMIFS(Raw_Data_Daily!$D:$D, Raw_Data_Daily!$B:$B, "Control", Raw_Data_Daily!$C:$C, "A. 0"),"")</f>
        <v>0.04313617801</v>
      </c>
      <c r="D97" s="48">
        <f>IFERROR(SUMPRODUCT((Raw_Data_Daily!$B$2:$B$9999="Variant")*(Raw_Data_Daily!$C$2:$C$9999="A. 0")*Raw_Data_Daily!$D$2:$D$9999*(Raw_Data_Daily!$CA$2:$CA$9999-Raw_Data_Daily!$CD$2:$CD$9999))/SUMIFS(Raw_Data_Daily!$D:$D, Raw_Data_Daily!$B:$B, "Variant", Raw_Data_Daily!$C:$C, "A. 0"),"")</f>
        <v>0.2087364514</v>
      </c>
      <c r="E97" s="38">
        <f t="shared" si="84"/>
        <v>3.839011268</v>
      </c>
      <c r="F97" s="146">
        <f>IFERROR(SUMPRODUCT((Raw_Data_Daily!$B$2:$B$9999="Control")*(Raw_Data_Daily!$C$2:$C$9999="B. 1-9")*Raw_Data_Daily!$D$2:$D$9999*(Raw_Data_Daily!$CA$2:$CA$9999-Raw_Data_Daily!$CD$2:$CD$9999))/SUMIFS(Raw_Data_Daily!$D:$D, Raw_Data_Daily!$B:$B, "Control", Raw_Data_Daily!$C:$C, "B. 1-9"),"")</f>
        <v>0.00465540754</v>
      </c>
      <c r="G97" s="48">
        <f>IFERROR(SUMPRODUCT((Raw_Data_Daily!$B$2:$B$9999="Variant")*(Raw_Data_Daily!$C$2:$C$9999="B. 1-9")*Raw_Data_Daily!$D$2:$D$9999*(Raw_Data_Daily!$CA$2:$CA$9999-Raw_Data_Daily!$CD$2:$CD$9999))/SUMIFS(Raw_Data_Daily!$D:$D, Raw_Data_Daily!$B:$B, "Variant", Raw_Data_Daily!$C:$C, "B. 1-9"),"")</f>
        <v>-0.01111373077</v>
      </c>
      <c r="H97" s="54">
        <f t="shared" si="85"/>
        <v>-3.387273439</v>
      </c>
      <c r="I97" s="145">
        <f>IFERROR(SUMPRODUCT((Raw_Data_Daily!$B$2:$B$9999="Control")*(Raw_Data_Daily!$C$2:$C$9999="C. 10-19")*Raw_Data_Daily!$D$2:$D$9999*(Raw_Data_Daily!$CA$2:$CA$9999-Raw_Data_Daily!$CD$2:$CD$9999))/SUMIFS(Raw_Data_Daily!$D:$D, Raw_Data_Daily!$B:$B, "Control", Raw_Data_Daily!$C:$C, "C. 10-19"),"")</f>
        <v>-0.02420073071</v>
      </c>
      <c r="J97" s="48">
        <f>IFERROR(SUMPRODUCT((Raw_Data_Daily!$B$2:$B$9999="Variant")*(Raw_Data_Daily!$C$2:$C$9999="C. 10-19")*Raw_Data_Daily!$D$2:$D$9999*(Raw_Data_Daily!$CA$2:$CA$9999-Raw_Data_Daily!$CD$2:$CD$9999))/SUMIFS(Raw_Data_Daily!$D:$D, Raw_Data_Daily!$B:$B, "Variant", Raw_Data_Daily!$C:$C, "C. 10-19"),"")</f>
        <v>-0.03174565483</v>
      </c>
      <c r="K97" s="51">
        <f t="shared" si="86"/>
        <v>-0.3117643103</v>
      </c>
      <c r="L97" s="146">
        <f>IFERROR(SUMPRODUCT((Raw_Data_Daily!$B$2:$B$9999="Control")*(Raw_Data_Daily!$C$2:$C$9999="D. 20-39")*Raw_Data_Daily!$D$2:$D$9999*(Raw_Data_Daily!$CA$2:$CA$9999-Raw_Data_Daily!$CD$2:$CD$9999))/SUMIFS(Raw_Data_Daily!$D:$D, Raw_Data_Daily!$B:$B, "Control", Raw_Data_Daily!$C:$C, "D. 20-39"),"")</f>
        <v>-0.06267732147</v>
      </c>
      <c r="M97" s="48">
        <f>IFERROR(SUMPRODUCT((Raw_Data_Daily!$B$2:$B$9999="Variant")*(Raw_Data_Daily!$C$2:$C$9999="D. 20-39")*Raw_Data_Daily!$D$2:$D$9999*(Raw_Data_Daily!$CA$2:$CA$9999-Raw_Data_Daily!$CD$2:$CD$9999))/SUMIFS(Raw_Data_Daily!$D:$D, Raw_Data_Daily!$B:$B, "Variant", Raw_Data_Daily!$C:$C, "D. 20-39"),"")</f>
        <v>-0.1155396842</v>
      </c>
      <c r="N97" s="54">
        <f t="shared" si="87"/>
        <v>-0.843404942</v>
      </c>
      <c r="O97" s="145">
        <f>IFERROR(SUMPRODUCT((Raw_Data_Daily!$B$2:$B$9999="Control")*(Raw_Data_Daily!$C$2:$C$9999="E. 40-99")*Raw_Data_Daily!$D$2:$D$9999*(Raw_Data_Daily!$CA$2:$CA$9999-Raw_Data_Daily!$CD$2:$CD$9999))/SUMIFS(Raw_Data_Daily!$D:$D, Raw_Data_Daily!$B:$B, "Control", Raw_Data_Daily!$C:$C, "E. 40-99"),"")</f>
        <v>-0.2131653898</v>
      </c>
      <c r="P97" s="48">
        <f>IFERROR(SUMPRODUCT((Raw_Data_Daily!$B$2:$B$9999="Variant")*(Raw_Data_Daily!$C$2:$C$9999="E. 40-99")*Raw_Data_Daily!$D$2:$D$9999*(Raw_Data_Daily!$CA$2:$CA$9999-Raw_Data_Daily!$CD$2:$CD$9999))/SUMIFS(Raw_Data_Daily!$D:$D, Raw_Data_Daily!$B:$B, "Variant", Raw_Data_Daily!$C:$C, "E. 40-99"),"")</f>
        <v>-0.1883712786</v>
      </c>
      <c r="Q97" s="51">
        <f t="shared" si="88"/>
        <v>0.1163139628</v>
      </c>
      <c r="R97" s="146">
        <f>IFERROR(SUMPRODUCT((Raw_Data_Daily!$B$2:$B$9999="Control")*(Raw_Data_Daily!$C$2:$C$9999="F. 100+")*Raw_Data_Daily!$D$2:$D$9999*(Raw_Data_Daily!$CA$2:$CA$9999-Raw_Data_Daily!$CD$2:$CD$9999))/SUMIFS(Raw_Data_Daily!$D:$D, Raw_Data_Daily!$B:$B, "Control", Raw_Data_Daily!$C:$C, "F. 100+"),"")</f>
        <v>-1.301361765</v>
      </c>
      <c r="S97" s="48">
        <f>IFERROR(SUMPRODUCT((Raw_Data_Daily!$B$2:$B$9999="Variant")*(Raw_Data_Daily!$C$2:$C$9999="F. 100+")*Raw_Data_Daily!$D$2:$D$9999*(Raw_Data_Daily!$CA$2:$CA$9999-Raw_Data_Daily!$CD$2:$CD$9999))/SUMIFS(Raw_Data_Daily!$D:$D, Raw_Data_Daily!$B:$B, "Variant", Raw_Data_Daily!$C:$C, "F. 100+"),"")</f>
        <v>-0.8858745037</v>
      </c>
      <c r="T97" s="54">
        <f t="shared" si="89"/>
        <v>0.3192711456</v>
      </c>
    </row>
    <row r="98" ht="15.75" customHeight="1">
      <c r="A98" s="165" t="s">
        <v>114</v>
      </c>
      <c r="B98" s="191" t="s">
        <v>115</v>
      </c>
      <c r="C98" s="29"/>
      <c r="D98" s="6"/>
      <c r="E98" s="30"/>
      <c r="F98" s="32"/>
      <c r="G98" s="6"/>
      <c r="H98" s="28"/>
      <c r="I98" s="29"/>
      <c r="J98" s="6"/>
      <c r="K98" s="30"/>
      <c r="L98" s="32"/>
      <c r="M98" s="6"/>
      <c r="N98" s="28"/>
      <c r="O98" s="29"/>
      <c r="P98" s="6"/>
      <c r="Q98" s="30"/>
      <c r="R98" s="32"/>
      <c r="S98" s="6"/>
      <c r="T98" s="28"/>
    </row>
    <row r="99" ht="15.75" customHeight="1">
      <c r="A99" s="74" t="s">
        <v>115</v>
      </c>
      <c r="B99" s="181" t="s">
        <v>116</v>
      </c>
      <c r="C99" s="145">
        <f>IFERROR(SUMPRODUCT((Raw_Data_Daily!$B$2:$B$9999="Control")*(Raw_Data_Daily!$C$2:$C$9999="A. 0")*Raw_Data_Daily!$D$2:$D$9999*Raw_Data_Daily!$CM$2:$CM$9999)/SUMIFS(Raw_Data_Daily!$D:$D, Raw_Data_Daily!$B:$B, "Control", Raw_Data_Daily!$C:$C, "A. 0"),"")</f>
        <v>116.8610525</v>
      </c>
      <c r="D99" s="48">
        <f>IFERROR(SUMPRODUCT((Raw_Data_Daily!$B$2:$B$9999="Variant")*(Raw_Data_Daily!$C$2:$C$9999="A. 0")*Raw_Data_Daily!$D$2:$D$9999*Raw_Data_Daily!$CM$2:$CM$9999)/SUMIFS(Raw_Data_Daily!$D:$D, Raw_Data_Daily!$B:$B, "Variant", Raw_Data_Daily!$C:$C, "A. 0"),"")</f>
        <v>103.9760812</v>
      </c>
      <c r="E99" s="46">
        <f t="shared" ref="E99:E106" si="90">IFERROR((D99-C99)/ABS(C99),"")</f>
        <v>-0.1102589019</v>
      </c>
      <c r="F99" s="146">
        <f>IFERROR(SUMPRODUCT((Raw_Data_Daily!$B$2:$B$9999="Control")*(Raw_Data_Daily!$C$2:$C$9999="B. 1-9")*Raw_Data_Daily!$D$2:$D$9999*Raw_Data_Daily!$CM$2:$CM$9999)/SUMIFS(Raw_Data_Daily!$D:$D, Raw_Data_Daily!$B:$B, "Control", Raw_Data_Daily!$C:$C, "B. 1-9"),"")</f>
        <v>70.86855349</v>
      </c>
      <c r="G99" s="48">
        <f>IFERROR(SUMPRODUCT((Raw_Data_Daily!$B$2:$B$9999="Variant")*(Raw_Data_Daily!$C$2:$C$9999="B. 1-9")*Raw_Data_Daily!$D$2:$D$9999*Raw_Data_Daily!$CM$2:$CM$9999)/SUMIFS(Raw_Data_Daily!$D:$D, Raw_Data_Daily!$B:$B, "Variant", Raw_Data_Daily!$C:$C, "B. 1-9"),"")</f>
        <v>64.80722048</v>
      </c>
      <c r="H99" s="54">
        <f t="shared" ref="H99:H106" si="91">IFERROR((G99-F99)/ABS(F99),"")</f>
        <v>-0.08552923275</v>
      </c>
      <c r="I99" s="145">
        <f>IFERROR(SUMPRODUCT((Raw_Data_Daily!$B$2:$B$9999="Control")*(Raw_Data_Daily!$C$2:$C$9999="C. 10-19")*Raw_Data_Daily!$D$2:$D$9999*Raw_Data_Daily!$CM$2:$CM$9999)/SUMIFS(Raw_Data_Daily!$D:$D, Raw_Data_Daily!$B:$B, "Control", Raw_Data_Daily!$C:$C, "C. 10-19"),"")</f>
        <v>175.9709942</v>
      </c>
      <c r="J99" s="48">
        <f>IFERROR(SUMPRODUCT((Raw_Data_Daily!$B$2:$B$9999="Variant")*(Raw_Data_Daily!$C$2:$C$9999="C. 10-19")*Raw_Data_Daily!$D$2:$D$9999*Raw_Data_Daily!$CM$2:$CM$9999)/SUMIFS(Raw_Data_Daily!$D:$D, Raw_Data_Daily!$B:$B, "Variant", Raw_Data_Daily!$C:$C, "C. 10-19"),"")</f>
        <v>157.6591786</v>
      </c>
      <c r="K99" s="51">
        <f t="shared" ref="K99:K106" si="92">IFERROR((J99-I99)/ABS(I99),"")</f>
        <v>-0.1040615565</v>
      </c>
      <c r="L99" s="146">
        <f>IFERROR(SUMPRODUCT((Raw_Data_Daily!$B$2:$B$9999="Control")*(Raw_Data_Daily!$C$2:$C$9999="D. 20-39")*Raw_Data_Daily!$D$2:$D$9999*Raw_Data_Daily!$CM$2:$CM$9999)/SUMIFS(Raw_Data_Daily!$D:$D, Raw_Data_Daily!$B:$B, "Control", Raw_Data_Daily!$C:$C, "D. 20-39"),"")</f>
        <v>334.29262</v>
      </c>
      <c r="M99" s="48">
        <f>IFERROR(SUMPRODUCT((Raw_Data_Daily!$B$2:$B$9999="Variant")*(Raw_Data_Daily!$C$2:$C$9999="D. 20-39")*Raw_Data_Daily!$D$2:$D$9999*Raw_Data_Daily!$CM$2:$CM$9999)/SUMIFS(Raw_Data_Daily!$D:$D, Raw_Data_Daily!$B:$B, "Variant", Raw_Data_Daily!$C:$C, "D. 20-39"),"")</f>
        <v>294.9317738</v>
      </c>
      <c r="N99" s="54">
        <f t="shared" ref="N99:N106" si="93">IFERROR((M99-L99)/ABS(L99),"")</f>
        <v>-0.1177436888</v>
      </c>
      <c r="O99" s="145">
        <f>IFERROR(SUMPRODUCT((Raw_Data_Daily!$B$2:$B$9999="Control")*(Raw_Data_Daily!$C$2:$C$9999="E. 40-99")*Raw_Data_Daily!$D$2:$D$9999*Raw_Data_Daily!$CM$2:$CM$9999)/SUMIFS(Raw_Data_Daily!$D:$D, Raw_Data_Daily!$B:$B, "Control", Raw_Data_Daily!$C:$C, "E. 40-99"),"")</f>
        <v>700.4518679</v>
      </c>
      <c r="P99" s="48">
        <f>IFERROR(SUMPRODUCT((Raw_Data_Daily!$B$2:$B$9999="Variant")*(Raw_Data_Daily!$C$2:$C$9999="E. 40-99")*Raw_Data_Daily!$D$2:$D$9999*Raw_Data_Daily!$CM$2:$CM$9999)/SUMIFS(Raw_Data_Daily!$D:$D, Raw_Data_Daily!$B:$B, "Variant", Raw_Data_Daily!$C:$C, "E. 40-99"),"")</f>
        <v>610.2166039</v>
      </c>
      <c r="Q99" s="51">
        <f t="shared" ref="Q99:Q106" si="94">IFERROR((P99-O99)/ABS(O99),"")</f>
        <v>-0.1288243605</v>
      </c>
      <c r="R99" s="146">
        <f>IFERROR(SUMPRODUCT((Raw_Data_Daily!$B$2:$B$9999="Control")*(Raw_Data_Daily!$C$2:$C$9999="F. 100+")*Raw_Data_Daily!$D$2:$D$9999*Raw_Data_Daily!$CM$2:$CM$9999)/SUMIFS(Raw_Data_Daily!$D:$D, Raw_Data_Daily!$B:$B, "Control", Raw_Data_Daily!$C:$C, "F. 100+"),"")</f>
        <v>1649.010329</v>
      </c>
      <c r="S99" s="149">
        <f>IFERROR(SUMPRODUCT((Raw_Data_Daily!$B$2:$B$9999="Variant")*(Raw_Data_Daily!$C$2:$C$9999="F. 100+")*Raw_Data_Daily!$D$2:$D$9999*Raw_Data_Daily!$CM$2:$CM$9999)/SUMIFS(Raw_Data_Daily!$D:$D, Raw_Data_Daily!$B:$B, "Variant", Raw_Data_Daily!$C:$C, "F. 100+"),"")</f>
        <v>1408.678087</v>
      </c>
      <c r="T99" s="51">
        <f t="shared" ref="T99:T106" si="95">IFERROR((S99-R99)/ABS(R99),"")</f>
        <v>-0.1457433214</v>
      </c>
    </row>
    <row r="100" ht="15.75" customHeight="1">
      <c r="A100" s="74" t="s">
        <v>115</v>
      </c>
      <c r="B100" s="181" t="s">
        <v>117</v>
      </c>
      <c r="C100" s="145">
        <f>IFERROR(SUMPRODUCT((Raw_Data_Daily!$B$2:$B$9999="Control")*(Raw_Data_Daily!$C$2:$C$9999="A. 0")*Raw_Data_Daily!$D$2:$D$9999*Raw_Data_Daily!$CN$2:$CN$9999)/SUMIFS(Raw_Data_Daily!$D:$D, Raw_Data_Daily!$B:$B, "Control", Raw_Data_Daily!$C:$C, "A. 0"),"")</f>
        <v>17.16079256</v>
      </c>
      <c r="D100" s="48">
        <f>IFERROR(SUMPRODUCT((Raw_Data_Daily!$B$2:$B$9999="Variant")*(Raw_Data_Daily!$C$2:$C$9999="A. 0")*Raw_Data_Daily!$D$2:$D$9999*Raw_Data_Daily!$CN$2:$CN$9999)/SUMIFS(Raw_Data_Daily!$D:$D, Raw_Data_Daily!$B:$B, "Variant", Raw_Data_Daily!$C:$C, "A. 0"),"")</f>
        <v>17.45954221</v>
      </c>
      <c r="E100" s="46">
        <f t="shared" si="90"/>
        <v>0.01740884925</v>
      </c>
      <c r="F100" s="146">
        <f>IFERROR(SUMPRODUCT((Raw_Data_Daily!$B$2:$B$9999="Control")*(Raw_Data_Daily!$C$2:$C$9999="B. 1-9")*Raw_Data_Daily!$D$2:$D$9999*Raw_Data_Daily!$CN$2:$CN$9999)/SUMIFS(Raw_Data_Daily!$D:$D, Raw_Data_Daily!$B:$B, "Control", Raw_Data_Daily!$C:$C, "B. 1-9"),"")</f>
        <v>65.02853071</v>
      </c>
      <c r="G100" s="48">
        <f>IFERROR(SUMPRODUCT((Raw_Data_Daily!$B$2:$B$9999="Variant")*(Raw_Data_Daily!$C$2:$C$9999="B. 1-9")*Raw_Data_Daily!$D$2:$D$9999*Raw_Data_Daily!$CN$2:$CN$9999)/SUMIFS(Raw_Data_Daily!$D:$D, Raw_Data_Daily!$B:$B, "Variant", Raw_Data_Daily!$C:$C, "B. 1-9"),"")</f>
        <v>64.22133222</v>
      </c>
      <c r="H100" s="54">
        <f t="shared" si="91"/>
        <v>-0.01241298981</v>
      </c>
      <c r="I100" s="145">
        <f>IFERROR(SUMPRODUCT((Raw_Data_Daily!$B$2:$B$9999="Control")*(Raw_Data_Daily!$C$2:$C$9999="C. 10-19")*Raw_Data_Daily!$D$2:$D$9999*Raw_Data_Daily!$CN$2:$CN$9999)/SUMIFS(Raw_Data_Daily!$D:$D, Raw_Data_Daily!$B:$B, "Control", Raw_Data_Daily!$C:$C, "C. 10-19"),"")</f>
        <v>80.3858787</v>
      </c>
      <c r="J100" s="48">
        <f>IFERROR(SUMPRODUCT((Raw_Data_Daily!$B$2:$B$9999="Variant")*(Raw_Data_Daily!$C$2:$C$9999="C. 10-19")*Raw_Data_Daily!$D$2:$D$9999*Raw_Data_Daily!$CN$2:$CN$9999)/SUMIFS(Raw_Data_Daily!$D:$D, Raw_Data_Daily!$B:$B, "Variant", Raw_Data_Daily!$C:$C, "C. 10-19"),"")</f>
        <v>80.30503997</v>
      </c>
      <c r="K100" s="51">
        <f t="shared" si="92"/>
        <v>-0.001005633399</v>
      </c>
      <c r="L100" s="146">
        <f>IFERROR(SUMPRODUCT((Raw_Data_Daily!$B$2:$B$9999="Control")*(Raw_Data_Daily!$C$2:$C$9999="D. 20-39")*Raw_Data_Daily!$D$2:$D$9999*Raw_Data_Daily!$CN$2:$CN$9999)/SUMIFS(Raw_Data_Daily!$D:$D, Raw_Data_Daily!$B:$B, "Control", Raw_Data_Daily!$C:$C, "D. 20-39"),"")</f>
        <v>90.53859534</v>
      </c>
      <c r="M100" s="48">
        <f>IFERROR(SUMPRODUCT((Raw_Data_Daily!$B$2:$B$9999="Variant")*(Raw_Data_Daily!$C$2:$C$9999="D. 20-39")*Raw_Data_Daily!$D$2:$D$9999*Raw_Data_Daily!$CN$2:$CN$9999)/SUMIFS(Raw_Data_Daily!$D:$D, Raw_Data_Daily!$B:$B, "Variant", Raw_Data_Daily!$C:$C, "D. 20-39"),"")</f>
        <v>90.57664937</v>
      </c>
      <c r="N100" s="54">
        <f t="shared" si="93"/>
        <v>0.0004203072288</v>
      </c>
      <c r="O100" s="145">
        <f>IFERROR(SUMPRODUCT((Raw_Data_Daily!$B$2:$B$9999="Control")*(Raw_Data_Daily!$C$2:$C$9999="E. 40-99")*Raw_Data_Daily!$D$2:$D$9999*Raw_Data_Daily!$CN$2:$CN$9999)/SUMIFS(Raw_Data_Daily!$D:$D, Raw_Data_Daily!$B:$B, "Control", Raw_Data_Daily!$C:$C, "E. 40-99"),"")</f>
        <v>97.3854278</v>
      </c>
      <c r="P100" s="48">
        <f>IFERROR(SUMPRODUCT((Raw_Data_Daily!$B$2:$B$9999="Variant")*(Raw_Data_Daily!$C$2:$C$9999="E. 40-99")*Raw_Data_Daily!$D$2:$D$9999*Raw_Data_Daily!$CN$2:$CN$9999)/SUMIFS(Raw_Data_Daily!$D:$D, Raw_Data_Daily!$B:$B, "Variant", Raw_Data_Daily!$C:$C, "E. 40-99"),"")</f>
        <v>97.39725929</v>
      </c>
      <c r="Q100" s="51">
        <f t="shared" si="94"/>
        <v>0.000121491324</v>
      </c>
      <c r="R100" s="146">
        <f>IFERROR(SUMPRODUCT((Raw_Data_Daily!$B$2:$B$9999="Control")*(Raw_Data_Daily!$C$2:$C$9999="F. 100+")*Raw_Data_Daily!$D$2:$D$9999*Raw_Data_Daily!$CN$2:$CN$9999)/SUMIFS(Raw_Data_Daily!$D:$D, Raw_Data_Daily!$B:$B, "Control", Raw_Data_Daily!$C:$C, "F. 100+"),"")</f>
        <v>98.9986682</v>
      </c>
      <c r="S100" s="149">
        <f>IFERROR(SUMPRODUCT((Raw_Data_Daily!$B$2:$B$9999="Variant")*(Raw_Data_Daily!$C$2:$C$9999="F. 100+")*Raw_Data_Daily!$D$2:$D$9999*Raw_Data_Daily!$CN$2:$CN$9999)/SUMIFS(Raw_Data_Daily!$D:$D, Raw_Data_Daily!$B:$B, "Variant", Raw_Data_Daily!$C:$C, "F. 100+"),"")</f>
        <v>98.85649773</v>
      </c>
      <c r="T100" s="51">
        <f t="shared" si="95"/>
        <v>-0.001436084658</v>
      </c>
    </row>
    <row r="101" ht="15.75" customHeight="1">
      <c r="A101" s="74" t="s">
        <v>115</v>
      </c>
      <c r="B101" s="181" t="s">
        <v>118</v>
      </c>
      <c r="C101" s="145">
        <f>IFERROR(SUMPRODUCT((Raw_Data_Daily!$B$2:$B$9999="Control")*(Raw_Data_Daily!$C$2:$C$9999="A. 0")*Raw_Data_Daily!$D$2:$D$9999*Raw_Data_Daily!$CO$2:$CO$9999)/SUMIFS(Raw_Data_Daily!$D:$D, Raw_Data_Daily!$B:$B, "Control", Raw_Data_Daily!$C:$C, "A. 0"),"")</f>
        <v>663.1880719</v>
      </c>
      <c r="D101" s="48">
        <f>IFERROR(SUMPRODUCT((Raw_Data_Daily!$B$2:$B$9999="Variant")*(Raw_Data_Daily!$C$2:$C$9999="A. 0")*Raw_Data_Daily!$D$2:$D$9999*Raw_Data_Daily!$CO$2:$CO$9999)/SUMIFS(Raw_Data_Daily!$D:$D, Raw_Data_Daily!$B:$B, "Variant", Raw_Data_Daily!$C:$C, "A. 0"),"")</f>
        <v>575.4013925</v>
      </c>
      <c r="E101" s="46">
        <f t="shared" si="90"/>
        <v>-0.1323707152</v>
      </c>
      <c r="F101" s="146">
        <f>IFERROR(SUMPRODUCT((Raw_Data_Daily!$B$2:$B$9999="Control")*(Raw_Data_Daily!$C$2:$C$9999="B. 1-9")*Raw_Data_Daily!$D$2:$D$9999*Raw_Data_Daily!$CO$2:$CO$9999)/SUMIFS(Raw_Data_Daily!$D:$D, Raw_Data_Daily!$B:$B, "Control", Raw_Data_Daily!$C:$C, "B. 1-9"),"")</f>
        <v>108.8211343</v>
      </c>
      <c r="G101" s="48">
        <f>IFERROR(SUMPRODUCT((Raw_Data_Daily!$B$2:$B$9999="Variant")*(Raw_Data_Daily!$C$2:$C$9999="B. 1-9")*Raw_Data_Daily!$D$2:$D$9999*Raw_Data_Daily!$CO$2:$CO$9999)/SUMIFS(Raw_Data_Daily!$D:$D, Raw_Data_Daily!$B:$B, "Variant", Raw_Data_Daily!$C:$C, "B. 1-9"),"")</f>
        <v>100.856466</v>
      </c>
      <c r="H101" s="54">
        <f t="shared" si="91"/>
        <v>-0.07319045499</v>
      </c>
      <c r="I101" s="145">
        <f>IFERROR(SUMPRODUCT((Raw_Data_Daily!$B$2:$B$9999="Control")*(Raw_Data_Daily!$C$2:$C$9999="C. 10-19")*Raw_Data_Daily!$D$2:$D$9999*Raw_Data_Daily!$CO$2:$CO$9999)/SUMIFS(Raw_Data_Daily!$D:$D, Raw_Data_Daily!$B:$B, "Control", Raw_Data_Daily!$C:$C, "C. 10-19"),"")</f>
        <v>218.0847364</v>
      </c>
      <c r="J101" s="48">
        <f>IFERROR(SUMPRODUCT((Raw_Data_Daily!$B$2:$B$9999="Variant")*(Raw_Data_Daily!$C$2:$C$9999="C. 10-19")*Raw_Data_Daily!$D$2:$D$9999*Raw_Data_Daily!$CO$2:$CO$9999)/SUMIFS(Raw_Data_Daily!$D:$D, Raw_Data_Daily!$B:$B, "Variant", Raw_Data_Daily!$C:$C, "C. 10-19"),"")</f>
        <v>195.3814698</v>
      </c>
      <c r="K101" s="51">
        <f t="shared" si="92"/>
        <v>-0.1041029602</v>
      </c>
      <c r="L101" s="146">
        <f>IFERROR(SUMPRODUCT((Raw_Data_Daily!$B$2:$B$9999="Control")*(Raw_Data_Daily!$C$2:$C$9999="D. 20-39")*Raw_Data_Daily!$D$2:$D$9999*Raw_Data_Daily!$CO$2:$CO$9999)/SUMIFS(Raw_Data_Daily!$D:$D, Raw_Data_Daily!$B:$B, "Control", Raw_Data_Daily!$C:$C, "D. 20-39"),"")</f>
        <v>367.8769738</v>
      </c>
      <c r="M101" s="48">
        <f>IFERROR(SUMPRODUCT((Raw_Data_Daily!$B$2:$B$9999="Variant")*(Raw_Data_Daily!$C$2:$C$9999="D. 20-39")*Raw_Data_Daily!$D$2:$D$9999*Raw_Data_Daily!$CO$2:$CO$9999)/SUMIFS(Raw_Data_Daily!$D:$D, Raw_Data_Daily!$B:$B, "Variant", Raw_Data_Daily!$C:$C, "D. 20-39"),"")</f>
        <v>324.4692202</v>
      </c>
      <c r="N101" s="54">
        <f t="shared" si="93"/>
        <v>-0.1179952992</v>
      </c>
      <c r="O101" s="145">
        <f>IFERROR(SUMPRODUCT((Raw_Data_Daily!$B$2:$B$9999="Control")*(Raw_Data_Daily!$C$2:$C$9999="E. 40-99")*Raw_Data_Daily!$D$2:$D$9999*Raw_Data_Daily!$CO$2:$CO$9999)/SUMIFS(Raw_Data_Daily!$D:$D, Raw_Data_Daily!$B:$B, "Control", Raw_Data_Daily!$C:$C, "E. 40-99"),"")</f>
        <v>718.2730891</v>
      </c>
      <c r="P101" s="48">
        <f>IFERROR(SUMPRODUCT((Raw_Data_Daily!$B$2:$B$9999="Variant")*(Raw_Data_Daily!$C$2:$C$9999="E. 40-99")*Raw_Data_Daily!$D$2:$D$9999*Raw_Data_Daily!$CO$2:$CO$9999)/SUMIFS(Raw_Data_Daily!$D:$D, Raw_Data_Daily!$B:$B, "Variant", Raw_Data_Daily!$C:$C, "E. 40-99"),"")</f>
        <v>625.5386825</v>
      </c>
      <c r="Q101" s="51">
        <f t="shared" si="94"/>
        <v>-0.1291074494</v>
      </c>
      <c r="R101" s="146">
        <f>IFERROR(SUMPRODUCT((Raw_Data_Daily!$B$2:$B$9999="Control")*(Raw_Data_Daily!$C$2:$C$9999="F. 100+")*Raw_Data_Daily!$D$2:$D$9999*Raw_Data_Daily!$CO$2:$CO$9999)/SUMIFS(Raw_Data_Daily!$D:$D, Raw_Data_Daily!$B:$B, "Control", Raw_Data_Daily!$C:$C, "F. 100+"),"")</f>
        <v>1664.963405</v>
      </c>
      <c r="S101" s="149">
        <f>IFERROR(SUMPRODUCT((Raw_Data_Daily!$B$2:$B$9999="Variant")*(Raw_Data_Daily!$C$2:$C$9999="F. 100+")*Raw_Data_Daily!$D$2:$D$9999*Raw_Data_Daily!$CO$2:$CO$9999)/SUMIFS(Raw_Data_Daily!$D:$D, Raw_Data_Daily!$B:$B, "Variant", Raw_Data_Daily!$C:$C, "F. 100+"),"")</f>
        <v>1424.515137</v>
      </c>
      <c r="T101" s="51">
        <f t="shared" si="95"/>
        <v>-0.1444165481</v>
      </c>
    </row>
    <row r="102" ht="15.75" customHeight="1">
      <c r="A102" s="74" t="s">
        <v>115</v>
      </c>
      <c r="B102" s="181" t="s">
        <v>119</v>
      </c>
      <c r="C102" s="145">
        <f>IFERROR(SUMPRODUCT((Raw_Data_Daily!$B$2:$B$9999="Control")*(Raw_Data_Daily!$C$2:$C$9999="A. 0")*Raw_Data_Daily!$D$2:$D$9999*Raw_Data_Daily!$CP$2:$CP$9999)/SUMIFS(Raw_Data_Daily!$D:$D, Raw_Data_Daily!$B:$B, "Control", Raw_Data_Daily!$C:$C, "A. 0"),"")</f>
        <v>107.8446362</v>
      </c>
      <c r="D102" s="48">
        <f>IFERROR(SUMPRODUCT((Raw_Data_Daily!$B$2:$B$9999="Variant")*(Raw_Data_Daily!$C$2:$C$9999="A. 0")*Raw_Data_Daily!$D$2:$D$9999*Raw_Data_Daily!$CP$2:$CP$9999)/SUMIFS(Raw_Data_Daily!$D:$D, Raw_Data_Daily!$B:$B, "Variant", Raw_Data_Daily!$C:$C, "A. 0"),"")</f>
        <v>89.13483446</v>
      </c>
      <c r="E102" s="46">
        <f t="shared" si="90"/>
        <v>-0.1734884777</v>
      </c>
      <c r="F102" s="146">
        <f>IFERROR(SUMPRODUCT((Raw_Data_Daily!$B$2:$B$9999="Control")*(Raw_Data_Daily!$C$2:$C$9999="B. 1-9")*Raw_Data_Daily!$D$2:$D$9999*Raw_Data_Daily!$CP$2:$CP$9999)/SUMIFS(Raw_Data_Daily!$D:$D, Raw_Data_Daily!$B:$B, "Control", Raw_Data_Daily!$C:$C, "B. 1-9"),"")</f>
        <v>64.27680749</v>
      </c>
      <c r="G102" s="48">
        <f>IFERROR(SUMPRODUCT((Raw_Data_Daily!$B$2:$B$9999="Variant")*(Raw_Data_Daily!$C$2:$C$9999="B. 1-9")*Raw_Data_Daily!$D$2:$D$9999*Raw_Data_Daily!$CP$2:$CP$9999)/SUMIFS(Raw_Data_Daily!$D:$D, Raw_Data_Daily!$B:$B, "Variant", Raw_Data_Daily!$C:$C, "B. 1-9"),"")</f>
        <v>53.16505963</v>
      </c>
      <c r="H102" s="54">
        <f t="shared" si="91"/>
        <v>-0.1728733628</v>
      </c>
      <c r="I102" s="145">
        <f>IFERROR(SUMPRODUCT((Raw_Data_Daily!$B$2:$B$9999="Control")*(Raw_Data_Daily!$C$2:$C$9999="C. 10-19")*Raw_Data_Daily!$D$2:$D$9999*Raw_Data_Daily!$CP$2:$CP$9999)/SUMIFS(Raw_Data_Daily!$D:$D, Raw_Data_Daily!$B:$B, "Control", Raw_Data_Daily!$C:$C, "C. 10-19"),"")</f>
        <v>160.7479905</v>
      </c>
      <c r="J102" s="48">
        <f>IFERROR(SUMPRODUCT((Raw_Data_Daily!$B$2:$B$9999="Variant")*(Raw_Data_Daily!$C$2:$C$9999="C. 10-19")*Raw_Data_Daily!$D$2:$D$9999*Raw_Data_Daily!$CP$2:$CP$9999)/SUMIFS(Raw_Data_Daily!$D:$D, Raw_Data_Daily!$B:$B, "Variant", Raw_Data_Daily!$C:$C, "C. 10-19"),"")</f>
        <v>127.5760584</v>
      </c>
      <c r="K102" s="51">
        <f t="shared" si="92"/>
        <v>-0.2063598554</v>
      </c>
      <c r="L102" s="146">
        <f>IFERROR(SUMPRODUCT((Raw_Data_Daily!$B$2:$B$9999="Control")*(Raw_Data_Daily!$C$2:$C$9999="D. 20-39")*Raw_Data_Daily!$D$2:$D$9999*Raw_Data_Daily!$CP$2:$CP$9999)/SUMIFS(Raw_Data_Daily!$D:$D, Raw_Data_Daily!$B:$B, "Control", Raw_Data_Daily!$C:$C, "D. 20-39"),"")</f>
        <v>309.5543639</v>
      </c>
      <c r="M102" s="48">
        <f>IFERROR(SUMPRODUCT((Raw_Data_Daily!$B$2:$B$9999="Variant")*(Raw_Data_Daily!$C$2:$C$9999="D. 20-39")*Raw_Data_Daily!$D$2:$D$9999*Raw_Data_Daily!$CP$2:$CP$9999)/SUMIFS(Raw_Data_Daily!$D:$D, Raw_Data_Daily!$B:$B, "Variant", Raw_Data_Daily!$C:$C, "D. 20-39"),"")</f>
        <v>243.348344</v>
      </c>
      <c r="N102" s="54">
        <f t="shared" si="93"/>
        <v>-0.2138752593</v>
      </c>
      <c r="O102" s="145">
        <f>IFERROR(SUMPRODUCT((Raw_Data_Daily!$B$2:$B$9999="Control")*(Raw_Data_Daily!$C$2:$C$9999="E. 40-99")*Raw_Data_Daily!$D$2:$D$9999*Raw_Data_Daily!$CP$2:$CP$9999)/SUMIFS(Raw_Data_Daily!$D:$D, Raw_Data_Daily!$B:$B, "Control", Raw_Data_Daily!$C:$C, "E. 40-99"),"")</f>
        <v>661.8659713</v>
      </c>
      <c r="P102" s="48">
        <f>IFERROR(SUMPRODUCT((Raw_Data_Daily!$B$2:$B$9999="Variant")*(Raw_Data_Daily!$C$2:$C$9999="E. 40-99")*Raw_Data_Daily!$D$2:$D$9999*Raw_Data_Daily!$CP$2:$CP$9999)/SUMIFS(Raw_Data_Daily!$D:$D, Raw_Data_Daily!$B:$B, "Variant", Raw_Data_Daily!$C:$C, "E. 40-99"),"")</f>
        <v>515.9360758</v>
      </c>
      <c r="Q102" s="51">
        <f t="shared" si="94"/>
        <v>-0.2204825476</v>
      </c>
      <c r="R102" s="146">
        <f>IFERROR(SUMPRODUCT((Raw_Data_Daily!$B$2:$B$9999="Control")*(Raw_Data_Daily!$C$2:$C$9999="F. 100+")*Raw_Data_Daily!$D$2:$D$9999*Raw_Data_Daily!$CP$2:$CP$9999)/SUMIFS(Raw_Data_Daily!$D:$D, Raw_Data_Daily!$B:$B, "Control", Raw_Data_Daily!$C:$C, "F. 100+"),"")</f>
        <v>1594.564234</v>
      </c>
      <c r="S102" s="149">
        <f>IFERROR(SUMPRODUCT((Raw_Data_Daily!$B$2:$B$9999="Variant")*(Raw_Data_Daily!$C$2:$C$9999="F. 100+")*Raw_Data_Daily!$D$2:$D$9999*Raw_Data_Daily!$CP$2:$CP$9999)/SUMIFS(Raw_Data_Daily!$D:$D, Raw_Data_Daily!$B:$B, "Variant", Raw_Data_Daily!$C:$C, "F. 100+"),"")</f>
        <v>1217.953887</v>
      </c>
      <c r="T102" s="51">
        <f t="shared" si="95"/>
        <v>-0.236183867</v>
      </c>
    </row>
    <row r="103" ht="15.75" customHeight="1">
      <c r="A103" s="74" t="s">
        <v>115</v>
      </c>
      <c r="B103" s="181" t="s">
        <v>120</v>
      </c>
      <c r="C103" s="145">
        <f>IFERROR(SUMPRODUCT((Raw_Data_Daily!$B$2:$B$9999="Control")*(Raw_Data_Daily!$C$2:$C$9999="A. 0")*Raw_Data_Daily!$D$2:$D$9999*Raw_Data_Daily!$CQ$2:$CQ$9999)/SUMIFS(Raw_Data_Daily!$D:$D, Raw_Data_Daily!$B:$B, "Control", Raw_Data_Daily!$C:$C, "A. 0"),"")</f>
        <v>0</v>
      </c>
      <c r="D103" s="48">
        <f>IFERROR(SUMPRODUCT((Raw_Data_Daily!$B$2:$B$9999="Variant")*(Raw_Data_Daily!$C$2:$C$9999="A. 0")*Raw_Data_Daily!$D$2:$D$9999*Raw_Data_Daily!$CQ$2:$CQ$9999)/SUMIFS(Raw_Data_Daily!$D:$D, Raw_Data_Daily!$B:$B, "Variant", Raw_Data_Daily!$C:$C, "A. 0"),"")</f>
        <v>7.212867895</v>
      </c>
      <c r="E103" s="46" t="str">
        <f t="shared" si="90"/>
        <v/>
      </c>
      <c r="F103" s="146">
        <f>IFERROR(SUMPRODUCT((Raw_Data_Daily!$B$2:$B$9999="Control")*(Raw_Data_Daily!$C$2:$C$9999="B. 1-9")*Raw_Data_Daily!$D$2:$D$9999*Raw_Data_Daily!$CQ$2:$CQ$9999)/SUMIFS(Raw_Data_Daily!$D:$D, Raw_Data_Daily!$B:$B, "Control", Raw_Data_Daily!$C:$C, "B. 1-9"),"")</f>
        <v>0.00046333124</v>
      </c>
      <c r="G103" s="48">
        <f>IFERROR(SUMPRODUCT((Raw_Data_Daily!$B$2:$B$9999="Variant")*(Raw_Data_Daily!$C$2:$C$9999="B. 1-9")*Raw_Data_Daily!$D$2:$D$9999*Raw_Data_Daily!$CQ$2:$CQ$9999)/SUMIFS(Raw_Data_Daily!$D:$D, Raw_Data_Daily!$B:$B, "Variant", Raw_Data_Daily!$C:$C, "B. 1-9"),"")</f>
        <v>5.699856787</v>
      </c>
      <c r="H103" s="54">
        <f t="shared" si="91"/>
        <v>12300.90476</v>
      </c>
      <c r="I103" s="145">
        <f>IFERROR(SUMPRODUCT((Raw_Data_Daily!$B$2:$B$9999="Control")*(Raw_Data_Daily!$C$2:$C$9999="C. 10-19")*Raw_Data_Daily!$D$2:$D$9999*Raw_Data_Daily!$CQ$2:$CQ$9999)/SUMIFS(Raw_Data_Daily!$D:$D, Raw_Data_Daily!$B:$B, "Control", Raw_Data_Daily!$C:$C, "C. 10-19"),"")</f>
        <v>0.002355230067</v>
      </c>
      <c r="J103" s="48">
        <f>IFERROR(SUMPRODUCT((Raw_Data_Daily!$B$2:$B$9999="Variant")*(Raw_Data_Daily!$C$2:$C$9999="C. 10-19")*Raw_Data_Daily!$D$2:$D$9999*Raw_Data_Daily!$CQ$2:$CQ$9999)/SUMIFS(Raw_Data_Daily!$D:$D, Raw_Data_Daily!$B:$B, "Variant", Raw_Data_Daily!$C:$C, "C. 10-19"),"")</f>
        <v>16.6283859</v>
      </c>
      <c r="K103" s="51">
        <f t="shared" si="92"/>
        <v>7059.196002</v>
      </c>
      <c r="L103" s="146">
        <f>IFERROR(SUMPRODUCT((Raw_Data_Daily!$B$2:$B$9999="Control")*(Raw_Data_Daily!$C$2:$C$9999="D. 20-39")*Raw_Data_Daily!$D$2:$D$9999*Raw_Data_Daily!$CQ$2:$CQ$9999)/SUMIFS(Raw_Data_Daily!$D:$D, Raw_Data_Daily!$B:$B, "Control", Raw_Data_Daily!$C:$C, "D. 20-39"),"")</f>
        <v>0.01091830072</v>
      </c>
      <c r="M103" s="48">
        <f>IFERROR(SUMPRODUCT((Raw_Data_Daily!$B$2:$B$9999="Variant")*(Raw_Data_Daily!$C$2:$C$9999="D. 20-39")*Raw_Data_Daily!$D$2:$D$9999*Raw_Data_Daily!$CQ$2:$CQ$9999)/SUMIFS(Raw_Data_Daily!$D:$D, Raw_Data_Daily!$B:$B, "Variant", Raw_Data_Daily!$C:$C, "D. 20-39"),"")</f>
        <v>29.71072284</v>
      </c>
      <c r="N103" s="54">
        <f t="shared" si="93"/>
        <v>2720.185613</v>
      </c>
      <c r="O103" s="145">
        <f>IFERROR(SUMPRODUCT((Raw_Data_Daily!$B$2:$B$9999="Control")*(Raw_Data_Daily!$C$2:$C$9999="E. 40-99")*Raw_Data_Daily!$D$2:$D$9999*Raw_Data_Daily!$CQ$2:$CQ$9999)/SUMIFS(Raw_Data_Daily!$D:$D, Raw_Data_Daily!$B:$B, "Control", Raw_Data_Daily!$C:$C, "E. 40-99"),"")</f>
        <v>0.008013614332</v>
      </c>
      <c r="P103" s="48">
        <f>IFERROR(SUMPRODUCT((Raw_Data_Daily!$B$2:$B$9999="Variant")*(Raw_Data_Daily!$C$2:$C$9999="E. 40-99")*Raw_Data_Daily!$D$2:$D$9999*Raw_Data_Daily!$CQ$2:$CQ$9999)/SUMIFS(Raw_Data_Daily!$D:$D, Raw_Data_Daily!$B:$B, "Variant", Raw_Data_Daily!$C:$C, "E. 40-99"),"")</f>
        <v>60.06122953</v>
      </c>
      <c r="Q103" s="51">
        <f t="shared" si="94"/>
        <v>7493.898936</v>
      </c>
      <c r="R103" s="146">
        <f>IFERROR(SUMPRODUCT((Raw_Data_Daily!$B$2:$B$9999="Control")*(Raw_Data_Daily!$C$2:$C$9999="F. 100+")*Raw_Data_Daily!$D$2:$D$9999*Raw_Data_Daily!$CQ$2:$CQ$9999)/SUMIFS(Raw_Data_Daily!$D:$D, Raw_Data_Daily!$B:$B, "Control", Raw_Data_Daily!$C:$C, "F. 100+"),"")</f>
        <v>0</v>
      </c>
      <c r="S103" s="149">
        <f>IFERROR(SUMPRODUCT((Raw_Data_Daily!$B$2:$B$9999="Variant")*(Raw_Data_Daily!$C$2:$C$9999="F. 100+")*Raw_Data_Daily!$D$2:$D$9999*Raw_Data_Daily!$CQ$2:$CQ$9999)/SUMIFS(Raw_Data_Daily!$D:$D, Raw_Data_Daily!$B:$B, "Variant", Raw_Data_Daily!$C:$C, "F. 100+"),"")</f>
        <v>141.0206255</v>
      </c>
      <c r="T103" s="51" t="str">
        <f t="shared" si="95"/>
        <v/>
      </c>
    </row>
    <row r="104" ht="15.75" customHeight="1">
      <c r="A104" s="74" t="s">
        <v>115</v>
      </c>
      <c r="B104" s="181" t="s">
        <v>121</v>
      </c>
      <c r="C104" s="145">
        <f>IFERROR(SUMPRODUCT((Raw_Data_Daily!$B$2:$B$9999="Control")*(Raw_Data_Daily!$C$2:$C$9999="A. 0")*Raw_Data_Daily!$D$2:$D$9999*Raw_Data_Daily!$CR$2:$CR$9999)/SUMIFS(Raw_Data_Daily!$D:$D, Raw_Data_Daily!$B:$B, "Control", Raw_Data_Daily!$C:$C, "A. 0"),"")</f>
        <v>2.870823372</v>
      </c>
      <c r="D104" s="48">
        <f>IFERROR(SUMPRODUCT((Raw_Data_Daily!$B$2:$B$9999="Variant")*(Raw_Data_Daily!$C$2:$C$9999="A. 0")*Raw_Data_Daily!$D$2:$D$9999*Raw_Data_Daily!$CR$2:$CR$9999)/SUMIFS(Raw_Data_Daily!$D:$D, Raw_Data_Daily!$B:$B, "Variant", Raw_Data_Daily!$C:$C, "A. 0"),"")</f>
        <v>2.604184199</v>
      </c>
      <c r="E104" s="46">
        <f t="shared" si="90"/>
        <v>-0.09287898899</v>
      </c>
      <c r="F104" s="146">
        <f>IFERROR(SUMPRODUCT((Raw_Data_Daily!$B$2:$B$9999="Control")*(Raw_Data_Daily!$C$2:$C$9999="B. 1-9")*Raw_Data_Daily!$D$2:$D$9999*Raw_Data_Daily!$CR$2:$CR$9999)/SUMIFS(Raw_Data_Daily!$D:$D, Raw_Data_Daily!$B:$B, "Control", Raw_Data_Daily!$C:$C, "B. 1-9"),"")</f>
        <v>4.244006001</v>
      </c>
      <c r="G104" s="48">
        <f>IFERROR(SUMPRODUCT((Raw_Data_Daily!$B$2:$B$9999="Variant")*(Raw_Data_Daily!$C$2:$C$9999="B. 1-9")*Raw_Data_Daily!$D$2:$D$9999*Raw_Data_Daily!$CR$2:$CR$9999)/SUMIFS(Raw_Data_Daily!$D:$D, Raw_Data_Daily!$B:$B, "Variant", Raw_Data_Daily!$C:$C, "B. 1-9"),"")</f>
        <v>4.045136695</v>
      </c>
      <c r="H104" s="54">
        <f t="shared" si="91"/>
        <v>-0.04685886551</v>
      </c>
      <c r="I104" s="145">
        <f>IFERROR(SUMPRODUCT((Raw_Data_Daily!$B$2:$B$9999="Control")*(Raw_Data_Daily!$C$2:$C$9999="C. 10-19")*Raw_Data_Daily!$D$2:$D$9999*Raw_Data_Daily!$CR$2:$CR$9999)/SUMIFS(Raw_Data_Daily!$D:$D, Raw_Data_Daily!$B:$B, "Control", Raw_Data_Daily!$C:$C, "C. 10-19"),"")</f>
        <v>5.920933048</v>
      </c>
      <c r="J104" s="48">
        <f>IFERROR(SUMPRODUCT((Raw_Data_Daily!$B$2:$B$9999="Variant")*(Raw_Data_Daily!$C$2:$C$9999="C. 10-19")*Raw_Data_Daily!$D$2:$D$9999*Raw_Data_Daily!$CR$2:$CR$9999)/SUMIFS(Raw_Data_Daily!$D:$D, Raw_Data_Daily!$B:$B, "Variant", Raw_Data_Daily!$C:$C, "C. 10-19"),"")</f>
        <v>5.762163115</v>
      </c>
      <c r="K104" s="51">
        <f t="shared" si="92"/>
        <v>-0.02681501917</v>
      </c>
      <c r="L104" s="146">
        <f>IFERROR(SUMPRODUCT((Raw_Data_Daily!$B$2:$B$9999="Control")*(Raw_Data_Daily!$C$2:$C$9999="D. 20-39")*Raw_Data_Daily!$D$2:$D$9999*Raw_Data_Daily!$CR$2:$CR$9999)/SUMIFS(Raw_Data_Daily!$D:$D, Raw_Data_Daily!$B:$B, "Control", Raw_Data_Daily!$C:$C, "D. 20-39"),"")</f>
        <v>7.754928372</v>
      </c>
      <c r="M104" s="48">
        <f>IFERROR(SUMPRODUCT((Raw_Data_Daily!$B$2:$B$9999="Variant")*(Raw_Data_Daily!$C$2:$C$9999="D. 20-39")*Raw_Data_Daily!$D$2:$D$9999*Raw_Data_Daily!$CR$2:$CR$9999)/SUMIFS(Raw_Data_Daily!$D:$D, Raw_Data_Daily!$B:$B, "Variant", Raw_Data_Daily!$C:$C, "D. 20-39"),"")</f>
        <v>7.44590622</v>
      </c>
      <c r="N104" s="54">
        <f t="shared" si="93"/>
        <v>-0.03984848572</v>
      </c>
      <c r="O104" s="145">
        <f>IFERROR(SUMPRODUCT((Raw_Data_Daily!$B$2:$B$9999="Control")*(Raw_Data_Daily!$C$2:$C$9999="E. 40-99")*Raw_Data_Daily!$D$2:$D$9999*Raw_Data_Daily!$CR$2:$CR$9999)/SUMIFS(Raw_Data_Daily!$D:$D, Raw_Data_Daily!$B:$B, "Control", Raw_Data_Daily!$C:$C, "E. 40-99"),"")</f>
        <v>10.62818577</v>
      </c>
      <c r="P104" s="48">
        <f>IFERROR(SUMPRODUCT((Raw_Data_Daily!$B$2:$B$9999="Variant")*(Raw_Data_Daily!$C$2:$C$9999="E. 40-99")*Raw_Data_Daily!$D$2:$D$9999*Raw_Data_Daily!$CR$2:$CR$9999)/SUMIFS(Raw_Data_Daily!$D:$D, Raw_Data_Daily!$B:$B, "Variant", Raw_Data_Daily!$C:$C, "E. 40-99"),"")</f>
        <v>10.4446148</v>
      </c>
      <c r="Q104" s="51">
        <f t="shared" si="94"/>
        <v>-0.01727208917</v>
      </c>
      <c r="R104" s="146">
        <f>IFERROR(SUMPRODUCT((Raw_Data_Daily!$B$2:$B$9999="Control")*(Raw_Data_Daily!$C$2:$C$9999="F. 100+")*Raw_Data_Daily!$D$2:$D$9999*Raw_Data_Daily!$CR$2:$CR$9999)/SUMIFS(Raw_Data_Daily!$D:$D, Raw_Data_Daily!$B:$B, "Control", Raw_Data_Daily!$C:$C, "F. 100+"),"")</f>
        <v>15.08283868</v>
      </c>
      <c r="S104" s="149">
        <f>IFERROR(SUMPRODUCT((Raw_Data_Daily!$B$2:$B$9999="Variant")*(Raw_Data_Daily!$C$2:$C$9999="F. 100+")*Raw_Data_Daily!$D$2:$D$9999*Raw_Data_Daily!$CR$2:$CR$9999)/SUMIFS(Raw_Data_Daily!$D:$D, Raw_Data_Daily!$B:$B, "Variant", Raw_Data_Daily!$C:$C, "F. 100+"),"")</f>
        <v>15.23793834</v>
      </c>
      <c r="T104" s="51">
        <f t="shared" si="95"/>
        <v>0.01028318735</v>
      </c>
    </row>
    <row r="105" ht="15.75" customHeight="1">
      <c r="A105" s="74" t="s">
        <v>115</v>
      </c>
      <c r="B105" s="181" t="s">
        <v>122</v>
      </c>
      <c r="C105" s="145">
        <f>IFERROR(SUMPRODUCT((Raw_Data_Daily!$B$2:$B$9999="Control")*(Raw_Data_Daily!$C$2:$C$9999="A. 0")*Raw_Data_Daily!$D$2:$D$9999*Raw_Data_Daily!$CS$2:$CS$9999)/SUMIFS(Raw_Data_Daily!$D:$D, Raw_Data_Daily!$B:$B, "Control", Raw_Data_Daily!$C:$C, "A. 0"),"")</f>
        <v>6.144630785</v>
      </c>
      <c r="D105" s="48">
        <f>IFERROR(SUMPRODUCT((Raw_Data_Daily!$B$2:$B$9999="Variant")*(Raw_Data_Daily!$C$2:$C$9999="A. 0")*Raw_Data_Daily!$D$2:$D$9999*Raw_Data_Daily!$CS$2:$CS$9999)/SUMIFS(Raw_Data_Daily!$D:$D, Raw_Data_Daily!$B:$B, "Variant", Raw_Data_Daily!$C:$C, "A. 0"),"")</f>
        <v>5.022404975</v>
      </c>
      <c r="E105" s="46">
        <f t="shared" si="90"/>
        <v>-0.1826351899</v>
      </c>
      <c r="F105" s="146">
        <f>IFERROR(SUMPRODUCT((Raw_Data_Daily!$B$2:$B$9999="Control")*(Raw_Data_Daily!$C$2:$C$9999="B. 1-9")*Raw_Data_Daily!$D$2:$D$9999*Raw_Data_Daily!$CS$2:$CS$9999)/SUMIFS(Raw_Data_Daily!$D:$D, Raw_Data_Daily!$B:$B, "Control", Raw_Data_Daily!$C:$C, "B. 1-9"),"")</f>
        <v>2.345851079</v>
      </c>
      <c r="G105" s="48">
        <f>IFERROR(SUMPRODUCT((Raw_Data_Daily!$B$2:$B$9999="Variant")*(Raw_Data_Daily!$C$2:$C$9999="B. 1-9")*Raw_Data_Daily!$D$2:$D$9999*Raw_Data_Daily!$CS$2:$CS$9999)/SUMIFS(Raw_Data_Daily!$D:$D, Raw_Data_Daily!$B:$B, "Variant", Raw_Data_Daily!$C:$C, "B. 1-9"),"")</f>
        <v>1.896605548</v>
      </c>
      <c r="H105" s="54">
        <f t="shared" si="91"/>
        <v>-0.1915064155</v>
      </c>
      <c r="I105" s="145">
        <f>IFERROR(SUMPRODUCT((Raw_Data_Daily!$B$2:$B$9999="Control")*(Raw_Data_Daily!$C$2:$C$9999="C. 10-19")*Raw_Data_Daily!$D$2:$D$9999*Raw_Data_Daily!$CS$2:$CS$9999)/SUMIFS(Raw_Data_Daily!$D:$D, Raw_Data_Daily!$B:$B, "Control", Raw_Data_Daily!$C:$C, "C. 10-19"),"")</f>
        <v>9.302059833</v>
      </c>
      <c r="J105" s="48">
        <f>IFERROR(SUMPRODUCT((Raw_Data_Daily!$B$2:$B$9999="Variant")*(Raw_Data_Daily!$C$2:$C$9999="C. 10-19")*Raw_Data_Daily!$D$2:$D$9999*Raw_Data_Daily!$CS$2:$CS$9999)/SUMIFS(Raw_Data_Daily!$D:$D, Raw_Data_Daily!$B:$B, "Variant", Raw_Data_Daily!$C:$C, "C. 10-19"),"")</f>
        <v>7.692068906</v>
      </c>
      <c r="K105" s="51">
        <f t="shared" si="92"/>
        <v>-0.1730789692</v>
      </c>
      <c r="L105" s="146">
        <f>IFERROR(SUMPRODUCT((Raw_Data_Daily!$B$2:$B$9999="Control")*(Raw_Data_Daily!$C$2:$C$9999="D. 20-39")*Raw_Data_Daily!$D$2:$D$9999*Raw_Data_Daily!$CS$2:$CS$9999)/SUMIFS(Raw_Data_Daily!$D:$D, Raw_Data_Daily!$B:$B, "Control", Raw_Data_Daily!$C:$C, "D. 20-39"),"")</f>
        <v>16.973404</v>
      </c>
      <c r="M105" s="48">
        <f>IFERROR(SUMPRODUCT((Raw_Data_Daily!$B$2:$B$9999="Variant")*(Raw_Data_Daily!$C$2:$C$9999="D. 20-39")*Raw_Data_Daily!$D$2:$D$9999*Raw_Data_Daily!$CS$2:$CS$9999)/SUMIFS(Raw_Data_Daily!$D:$D, Raw_Data_Daily!$B:$B, "Variant", Raw_Data_Daily!$C:$C, "D. 20-39"),"")</f>
        <v>14.42730991</v>
      </c>
      <c r="N105" s="54">
        <f t="shared" si="93"/>
        <v>-0.150004919</v>
      </c>
      <c r="O105" s="145">
        <f>IFERROR(SUMPRODUCT((Raw_Data_Daily!$B$2:$B$9999="Control")*(Raw_Data_Daily!$C$2:$C$9999="E. 40-99")*Raw_Data_Daily!$D$2:$D$9999*Raw_Data_Daily!$CS$2:$CS$9999)/SUMIFS(Raw_Data_Daily!$D:$D, Raw_Data_Daily!$B:$B, "Control", Raw_Data_Daily!$C:$C, "E. 40-99"),"")</f>
        <v>27.94928221</v>
      </c>
      <c r="P105" s="48">
        <f>IFERROR(SUMPRODUCT((Raw_Data_Daily!$B$2:$B$9999="Variant")*(Raw_Data_Daily!$C$2:$C$9999="E. 40-99")*Raw_Data_Daily!$D$2:$D$9999*Raw_Data_Daily!$CS$2:$CS$9999)/SUMIFS(Raw_Data_Daily!$D:$D, Raw_Data_Daily!$B:$B, "Variant", Raw_Data_Daily!$C:$C, "E. 40-99"),"")</f>
        <v>23.77517906</v>
      </c>
      <c r="Q105" s="51">
        <f t="shared" si="94"/>
        <v>-0.1493456296</v>
      </c>
      <c r="R105" s="146">
        <f>IFERROR(SUMPRODUCT((Raw_Data_Daily!$B$2:$B$9999="Control")*(Raw_Data_Daily!$C$2:$C$9999="F. 100+")*Raw_Data_Daily!$D$2:$D$9999*Raw_Data_Daily!$CS$2:$CS$9999)/SUMIFS(Raw_Data_Daily!$D:$D, Raw_Data_Daily!$B:$B, "Control", Raw_Data_Daily!$C:$C, "F. 100+"),"")</f>
        <v>39.36193727</v>
      </c>
      <c r="S105" s="149">
        <f>IFERROR(SUMPRODUCT((Raw_Data_Daily!$B$2:$B$9999="Variant")*(Raw_Data_Daily!$C$2:$C$9999="F. 100+")*Raw_Data_Daily!$D$2:$D$9999*Raw_Data_Daily!$CS$2:$CS$9999)/SUMIFS(Raw_Data_Daily!$D:$D, Raw_Data_Daily!$B:$B, "Variant", Raw_Data_Daily!$C:$C, "F. 100+"),"")</f>
        <v>34.46586115</v>
      </c>
      <c r="T105" s="51">
        <f t="shared" si="95"/>
        <v>-0.1243860555</v>
      </c>
    </row>
    <row r="106" ht="15.75" customHeight="1">
      <c r="A106" s="74" t="s">
        <v>115</v>
      </c>
      <c r="B106" s="181" t="s">
        <v>123</v>
      </c>
      <c r="C106" s="145">
        <f>IFERROR(SUMPRODUCT((Raw_Data_Daily!$B$2:$B$9999="Control")*(Raw_Data_Daily!$C$2:$C$9999="A. 0")*Raw_Data_Daily!$D$2:$D$9999*Raw_Data_Daily!$CT$2:$CT$9999)/SUMIFS(Raw_Data_Daily!$D:$D, Raw_Data_Daily!$B:$B, "Control", Raw_Data_Daily!$C:$C, "A. 0"),"")</f>
        <v>0</v>
      </c>
      <c r="D106" s="48">
        <f>IFERROR(SUMPRODUCT((Raw_Data_Daily!$B$2:$B$9999="Variant")*(Raw_Data_Daily!$C$2:$C$9999="A. 0")*Raw_Data_Daily!$D$2:$D$9999*Raw_Data_Daily!$CT$2:$CT$9999)/SUMIFS(Raw_Data_Daily!$D:$D, Raw_Data_Daily!$B:$B, "Variant", Raw_Data_Daily!$C:$C, "A. 0"),"")</f>
        <v>0</v>
      </c>
      <c r="E106" s="46" t="str">
        <f t="shared" si="90"/>
        <v/>
      </c>
      <c r="F106" s="146">
        <f>IFERROR(SUMPRODUCT((Raw_Data_Daily!$B$2:$B$9999="Control")*(Raw_Data_Daily!$C$2:$C$9999="B. 1-9")*Raw_Data_Daily!$D$2:$D$9999*Raw_Data_Daily!$CT$2:$CT$9999)/SUMIFS(Raw_Data_Daily!$D:$D, Raw_Data_Daily!$B:$B, "Control", Raw_Data_Daily!$C:$C, "B. 1-9"),"")</f>
        <v>0</v>
      </c>
      <c r="G106" s="48">
        <f>IFERROR(SUMPRODUCT((Raw_Data_Daily!$B$2:$B$9999="Variant")*(Raw_Data_Daily!$C$2:$C$9999="B. 1-9")*Raw_Data_Daily!$D$2:$D$9999*Raw_Data_Daily!$CT$2:$CT$9999)/SUMIFS(Raw_Data_Daily!$D:$D, Raw_Data_Daily!$B:$B, "Variant", Raw_Data_Daily!$C:$C, "B. 1-9"),"")</f>
        <v>0</v>
      </c>
      <c r="H106" s="54" t="str">
        <f t="shared" si="91"/>
        <v/>
      </c>
      <c r="I106" s="145">
        <f>IFERROR(SUMPRODUCT((Raw_Data_Daily!$B$2:$B$9999="Control")*(Raw_Data_Daily!$C$2:$C$9999="C. 10-19")*Raw_Data_Daily!$D$2:$D$9999*Raw_Data_Daily!$CT$2:$CT$9999)/SUMIFS(Raw_Data_Daily!$D:$D, Raw_Data_Daily!$B:$B, "Control", Raw_Data_Daily!$C:$C, "C. 10-19"),"")</f>
        <v>0</v>
      </c>
      <c r="J106" s="48">
        <f>IFERROR(SUMPRODUCT((Raw_Data_Daily!$B$2:$B$9999="Variant")*(Raw_Data_Daily!$C$2:$C$9999="C. 10-19")*Raw_Data_Daily!$D$2:$D$9999*Raw_Data_Daily!$CT$2:$CT$9999)/SUMIFS(Raw_Data_Daily!$D:$D, Raw_Data_Daily!$B:$B, "Variant", Raw_Data_Daily!$C:$C, "C. 10-19"),"")</f>
        <v>0</v>
      </c>
      <c r="K106" s="51" t="str">
        <f t="shared" si="92"/>
        <v/>
      </c>
      <c r="L106" s="146">
        <f>IFERROR(SUMPRODUCT((Raw_Data_Daily!$B$2:$B$9999="Control")*(Raw_Data_Daily!$C$2:$C$9999="D. 20-39")*Raw_Data_Daily!$D$2:$D$9999*Raw_Data_Daily!$CT$2:$CT$9999)/SUMIFS(Raw_Data_Daily!$D:$D, Raw_Data_Daily!$B:$B, "Control", Raw_Data_Daily!$C:$C, "D. 20-39"),"")</f>
        <v>0</v>
      </c>
      <c r="M106" s="48">
        <f>IFERROR(SUMPRODUCT((Raw_Data_Daily!$B$2:$B$9999="Variant")*(Raw_Data_Daily!$C$2:$C$9999="D. 20-39")*Raw_Data_Daily!$D$2:$D$9999*Raw_Data_Daily!$CT$2:$CT$9999)/SUMIFS(Raw_Data_Daily!$D:$D, Raw_Data_Daily!$B:$B, "Variant", Raw_Data_Daily!$C:$C, "D. 20-39"),"")</f>
        <v>0</v>
      </c>
      <c r="N106" s="54" t="str">
        <f t="shared" si="93"/>
        <v/>
      </c>
      <c r="O106" s="145">
        <f>IFERROR(SUMPRODUCT((Raw_Data_Daily!$B$2:$B$9999="Control")*(Raw_Data_Daily!$C$2:$C$9999="E. 40-99")*Raw_Data_Daily!$D$2:$D$9999*Raw_Data_Daily!$CT$2:$CT$9999)/SUMIFS(Raw_Data_Daily!$D:$D, Raw_Data_Daily!$B:$B, "Control", Raw_Data_Daily!$C:$C, "E. 40-99"),"")</f>
        <v>0</v>
      </c>
      <c r="P106" s="48">
        <f>IFERROR(SUMPRODUCT((Raw_Data_Daily!$B$2:$B$9999="Variant")*(Raw_Data_Daily!$C$2:$C$9999="E. 40-99")*Raw_Data_Daily!$D$2:$D$9999*Raw_Data_Daily!$CT$2:$CT$9999)/SUMIFS(Raw_Data_Daily!$D:$D, Raw_Data_Daily!$B:$B, "Variant", Raw_Data_Daily!$C:$C, "E. 40-99"),"")</f>
        <v>0</v>
      </c>
      <c r="Q106" s="51" t="str">
        <f t="shared" si="94"/>
        <v/>
      </c>
      <c r="R106" s="146">
        <f>IFERROR(SUMPRODUCT((Raw_Data_Daily!$B$2:$B$9999="Control")*(Raw_Data_Daily!$C$2:$C$9999="F. 100+")*Raw_Data_Daily!$D$2:$D$9999*Raw_Data_Daily!$CT$2:$CT$9999)/SUMIFS(Raw_Data_Daily!$D:$D, Raw_Data_Daily!$B:$B, "Control", Raw_Data_Daily!$C:$C, "F. 100+"),"")</f>
        <v>0</v>
      </c>
      <c r="S106" s="149">
        <f>IFERROR(SUMPRODUCT((Raw_Data_Daily!$B$2:$B$9999="Variant")*(Raw_Data_Daily!$C$2:$C$9999="F. 100+")*Raw_Data_Daily!$D$2:$D$9999*Raw_Data_Daily!$CT$2:$CT$9999)/SUMIFS(Raw_Data_Daily!$D:$D, Raw_Data_Daily!$B:$B, "Variant", Raw_Data_Daily!$C:$C, "F. 100+"),"")</f>
        <v>0</v>
      </c>
      <c r="T106" s="51" t="str">
        <f t="shared" si="95"/>
        <v/>
      </c>
    </row>
    <row r="107" ht="15.75" customHeight="1">
      <c r="B107" s="3"/>
      <c r="F107" s="5"/>
    </row>
    <row r="108" ht="15.75" customHeight="1">
      <c r="B108" s="3"/>
      <c r="F108" s="5"/>
    </row>
    <row r="109" ht="15.75" customHeight="1">
      <c r="B109" s="3"/>
      <c r="F109" s="5"/>
    </row>
    <row r="110" ht="15.75" customHeight="1">
      <c r="B110" s="3"/>
      <c r="F110" s="5"/>
    </row>
    <row r="111" ht="15.75" customHeight="1">
      <c r="B111" s="3"/>
      <c r="F111" s="5"/>
    </row>
    <row r="112" ht="15.75" customHeight="1">
      <c r="B112" s="3"/>
      <c r="F112" s="5"/>
    </row>
    <row r="113" ht="15.75" customHeight="1">
      <c r="B113" s="3"/>
      <c r="F113" s="5"/>
    </row>
    <row r="114" ht="15.75" customHeight="1">
      <c r="B114" s="3"/>
      <c r="F114" s="5"/>
    </row>
    <row r="115" ht="15.75" customHeight="1">
      <c r="B115" s="3"/>
      <c r="F115" s="5"/>
    </row>
    <row r="116" ht="15.75" customHeight="1">
      <c r="B116" s="3"/>
      <c r="F116" s="5"/>
    </row>
    <row r="117" ht="15.75" customHeight="1">
      <c r="B117" s="3"/>
      <c r="F117" s="5"/>
    </row>
    <row r="118" ht="15.75" customHeight="1">
      <c r="B118" s="3"/>
      <c r="F118" s="5"/>
    </row>
    <row r="119" ht="15.75" customHeight="1">
      <c r="B119" s="3"/>
      <c r="F119" s="5"/>
    </row>
    <row r="120" ht="15.75" customHeight="1">
      <c r="B120" s="3"/>
      <c r="F120" s="5"/>
    </row>
    <row r="121" ht="15.75" customHeight="1">
      <c r="B121" s="3"/>
      <c r="F121" s="5"/>
    </row>
    <row r="122" ht="15.75" customHeight="1">
      <c r="B122" s="3"/>
      <c r="F122" s="5"/>
    </row>
    <row r="123" ht="15.75" customHeight="1">
      <c r="B123" s="3"/>
      <c r="F123" s="5"/>
    </row>
    <row r="124" ht="15.75" customHeight="1">
      <c r="B124" s="3"/>
      <c r="F124" s="5"/>
    </row>
    <row r="125" ht="15.75" customHeight="1">
      <c r="B125" s="3"/>
      <c r="F125" s="5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mergeCells count="9">
    <mergeCell ref="O3:Q3"/>
    <mergeCell ref="R3:T3"/>
    <mergeCell ref="A1:T1"/>
    <mergeCell ref="A3:A4"/>
    <mergeCell ref="B3:B4"/>
    <mergeCell ref="C3:E3"/>
    <mergeCell ref="F3:H3"/>
    <mergeCell ref="I3:K3"/>
    <mergeCell ref="L3:N3"/>
  </mergeCells>
  <conditionalFormatting sqref="E8:E11">
    <cfRule type="cellIs" dxfId="4" priority="1" operator="greaterThan">
      <formula>0</formula>
    </cfRule>
  </conditionalFormatting>
  <conditionalFormatting sqref="E8:E11">
    <cfRule type="cellIs" dxfId="5" priority="2" operator="lessThan">
      <formula>0</formula>
    </cfRule>
  </conditionalFormatting>
  <conditionalFormatting sqref="E13:E15">
    <cfRule type="cellIs" dxfId="4" priority="3" operator="greaterThan">
      <formula>0</formula>
    </cfRule>
  </conditionalFormatting>
  <conditionalFormatting sqref="E13:E15">
    <cfRule type="cellIs" dxfId="5" priority="4" operator="lessThan">
      <formula>0</formula>
    </cfRule>
  </conditionalFormatting>
  <conditionalFormatting sqref="E17:E22">
    <cfRule type="cellIs" dxfId="4" priority="5" operator="greaterThan">
      <formula>0</formula>
    </cfRule>
  </conditionalFormatting>
  <conditionalFormatting sqref="E17:E22">
    <cfRule type="cellIs" dxfId="5" priority="6" operator="lessThan">
      <formula>0</formula>
    </cfRule>
  </conditionalFormatting>
  <conditionalFormatting sqref="E29">
    <cfRule type="cellIs" dxfId="2" priority="7" operator="greaterThan">
      <formula>0</formula>
    </cfRule>
  </conditionalFormatting>
  <conditionalFormatting sqref="E29">
    <cfRule type="cellIs" dxfId="3" priority="8" operator="lessThan">
      <formula>0</formula>
    </cfRule>
  </conditionalFormatting>
  <conditionalFormatting sqref="E30">
    <cfRule type="cellIs" dxfId="4" priority="9" operator="greaterThan">
      <formula>0</formula>
    </cfRule>
  </conditionalFormatting>
  <conditionalFormatting sqref="E30">
    <cfRule type="cellIs" dxfId="5" priority="10" operator="lessThan">
      <formula>0</formula>
    </cfRule>
  </conditionalFormatting>
  <conditionalFormatting sqref="E31">
    <cfRule type="cellIs" dxfId="2" priority="11" operator="lessThan">
      <formula>0</formula>
    </cfRule>
  </conditionalFormatting>
  <conditionalFormatting sqref="E31">
    <cfRule type="cellIs" dxfId="3" priority="12" operator="greaterThan">
      <formula>0</formula>
    </cfRule>
  </conditionalFormatting>
  <conditionalFormatting sqref="E32">
    <cfRule type="cellIs" dxfId="2" priority="13" operator="greaterThan">
      <formula>0</formula>
    </cfRule>
  </conditionalFormatting>
  <conditionalFormatting sqref="E32">
    <cfRule type="cellIs" dxfId="3" priority="14" operator="lessThan">
      <formula>0</formula>
    </cfRule>
  </conditionalFormatting>
  <conditionalFormatting sqref="E33">
    <cfRule type="cellIs" dxfId="2" priority="15" operator="lessThan">
      <formula>0</formula>
    </cfRule>
  </conditionalFormatting>
  <conditionalFormatting sqref="E33">
    <cfRule type="cellIs" dxfId="3" priority="16" operator="greaterThan">
      <formula>0</formula>
    </cfRule>
  </conditionalFormatting>
  <conditionalFormatting sqref="E34">
    <cfRule type="cellIs" dxfId="2" priority="17" operator="greaterThan">
      <formula>0</formula>
    </cfRule>
  </conditionalFormatting>
  <conditionalFormatting sqref="E34">
    <cfRule type="cellIs" dxfId="3" priority="18" operator="lessThan">
      <formula>0</formula>
    </cfRule>
  </conditionalFormatting>
  <conditionalFormatting sqref="E35">
    <cfRule type="cellIs" dxfId="4" priority="19" operator="greaterThan">
      <formula>0</formula>
    </cfRule>
  </conditionalFormatting>
  <conditionalFormatting sqref="E35">
    <cfRule type="cellIs" dxfId="5" priority="20" operator="lessThan">
      <formula>0</formula>
    </cfRule>
  </conditionalFormatting>
  <conditionalFormatting sqref="E56:E60">
    <cfRule type="cellIs" dxfId="2" priority="21" operator="greaterThan">
      <formula>0</formula>
    </cfRule>
  </conditionalFormatting>
  <conditionalFormatting sqref="E56:E60">
    <cfRule type="cellIs" dxfId="3" priority="22" operator="lessThan">
      <formula>0</formula>
    </cfRule>
  </conditionalFormatting>
  <conditionalFormatting sqref="E48:E49 E63:E64 E69:E70 E75:E76 E81:E82 E87:E88 E93:E94 E99:E106">
    <cfRule type="cellIs" dxfId="2" priority="23" operator="greaterThan">
      <formula>0</formula>
    </cfRule>
  </conditionalFormatting>
  <conditionalFormatting sqref="E48:E49 E63:E64 E69:E70 E75:E76 E81:E82 E87:E88 E93:E94 E99:E106">
    <cfRule type="cellIs" dxfId="3" priority="24" operator="lessThan">
      <formula>0</formula>
    </cfRule>
  </conditionalFormatting>
  <conditionalFormatting sqref="E50 E65 E71 E77 E83 E89 E95">
    <cfRule type="cellIs" dxfId="2" priority="25" operator="lessThan">
      <formula>0</formula>
    </cfRule>
  </conditionalFormatting>
  <conditionalFormatting sqref="E50 E65 E71 E77 E83 E89 E95">
    <cfRule type="cellIs" dxfId="3" priority="26" operator="greaterThan">
      <formula>0</formula>
    </cfRule>
  </conditionalFormatting>
  <conditionalFormatting sqref="E51 E66 E72 E78 E84 E90 E96">
    <cfRule type="cellIs" dxfId="2" priority="27" operator="greaterThan">
      <formula>0</formula>
    </cfRule>
  </conditionalFormatting>
  <conditionalFormatting sqref="E51 E66 E72 E78 E84 E90 E96">
    <cfRule type="cellIs" dxfId="3" priority="28" operator="lessThan">
      <formula>0</formula>
    </cfRule>
  </conditionalFormatting>
  <conditionalFormatting sqref="E52 E67 E73 E79 E85 E91 E97">
    <cfRule type="cellIs" dxfId="2" priority="29" operator="lessThan">
      <formula>0</formula>
    </cfRule>
  </conditionalFormatting>
  <conditionalFormatting sqref="E52 E67 E73 E79 E85 E91 E97">
    <cfRule type="cellIs" dxfId="3" priority="30" operator="greaterThan">
      <formula>0</formula>
    </cfRule>
  </conditionalFormatting>
  <conditionalFormatting sqref="E53">
    <cfRule type="cellIs" dxfId="2" priority="31" operator="greaterThan">
      <formula>0</formula>
    </cfRule>
  </conditionalFormatting>
  <conditionalFormatting sqref="E53">
    <cfRule type="cellIs" dxfId="3" priority="32" operator="lessThan">
      <formula>0</formula>
    </cfRule>
  </conditionalFormatting>
  <conditionalFormatting sqref="H8:H11">
    <cfRule type="cellIs" dxfId="4" priority="33" operator="greaterThan">
      <formula>0</formula>
    </cfRule>
  </conditionalFormatting>
  <conditionalFormatting sqref="H8:H11">
    <cfRule type="cellIs" dxfId="5" priority="34" operator="lessThan">
      <formula>0</formula>
    </cfRule>
  </conditionalFormatting>
  <conditionalFormatting sqref="H13:H15">
    <cfRule type="cellIs" dxfId="4" priority="35" operator="greaterThan">
      <formula>0</formula>
    </cfRule>
  </conditionalFormatting>
  <conditionalFormatting sqref="H13:H15">
    <cfRule type="cellIs" dxfId="5" priority="36" operator="lessThan">
      <formula>0</formula>
    </cfRule>
  </conditionalFormatting>
  <conditionalFormatting sqref="H17:H22 H39:H40 K39:K40 N39:N40 Q39:Q40 T39:T40">
    <cfRule type="cellIs" dxfId="4" priority="37" operator="greaterThan">
      <formula>0</formula>
    </cfRule>
  </conditionalFormatting>
  <conditionalFormatting sqref="H17:H22 H39:H40 K39:K40 N39:N40 Q39:Q40 T39:T40">
    <cfRule type="cellIs" dxfId="5" priority="38" operator="lessThan">
      <formula>0</formula>
    </cfRule>
  </conditionalFormatting>
  <conditionalFormatting sqref="H30">
    <cfRule type="cellIs" dxfId="4" priority="39" operator="greaterThan">
      <formula>0</formula>
    </cfRule>
  </conditionalFormatting>
  <conditionalFormatting sqref="H30">
    <cfRule type="cellIs" dxfId="5" priority="40" operator="lessThan">
      <formula>0</formula>
    </cfRule>
  </conditionalFormatting>
  <conditionalFormatting sqref="H31">
    <cfRule type="cellIs" dxfId="2" priority="41" operator="lessThan">
      <formula>0</formula>
    </cfRule>
  </conditionalFormatting>
  <conditionalFormatting sqref="H31">
    <cfRule type="cellIs" dxfId="3" priority="42" operator="greaterThan">
      <formula>0</formula>
    </cfRule>
  </conditionalFormatting>
  <conditionalFormatting sqref="H32">
    <cfRule type="cellIs" dxfId="2" priority="43" operator="greaterThan">
      <formula>0</formula>
    </cfRule>
  </conditionalFormatting>
  <conditionalFormatting sqref="H32">
    <cfRule type="cellIs" dxfId="3" priority="44" operator="lessThan">
      <formula>0</formula>
    </cfRule>
  </conditionalFormatting>
  <conditionalFormatting sqref="H33">
    <cfRule type="cellIs" dxfId="2" priority="45" operator="lessThan">
      <formula>0</formula>
    </cfRule>
  </conditionalFormatting>
  <conditionalFormatting sqref="H33">
    <cfRule type="cellIs" dxfId="3" priority="46" operator="greaterThan">
      <formula>0</formula>
    </cfRule>
  </conditionalFormatting>
  <conditionalFormatting sqref="H34">
    <cfRule type="cellIs" dxfId="2" priority="47" operator="greaterThan">
      <formula>0</formula>
    </cfRule>
  </conditionalFormatting>
  <conditionalFormatting sqref="H34">
    <cfRule type="cellIs" dxfId="3" priority="48" operator="lessThan">
      <formula>0</formula>
    </cfRule>
  </conditionalFormatting>
  <conditionalFormatting sqref="H35">
    <cfRule type="cellIs" dxfId="4" priority="49" operator="greaterThan">
      <formula>0</formula>
    </cfRule>
  </conditionalFormatting>
  <conditionalFormatting sqref="H35">
    <cfRule type="cellIs" dxfId="5" priority="50" operator="lessThan">
      <formula>0</formula>
    </cfRule>
  </conditionalFormatting>
  <conditionalFormatting sqref="H49 H64 H70 H76 H82 H88 H94">
    <cfRule type="cellIs" dxfId="2" priority="51" operator="greaterThan">
      <formula>0</formula>
    </cfRule>
  </conditionalFormatting>
  <conditionalFormatting sqref="H49 H64 H70 H76 H82 H88 H94">
    <cfRule type="cellIs" dxfId="3" priority="52" operator="lessThan">
      <formula>0</formula>
    </cfRule>
  </conditionalFormatting>
  <conditionalFormatting sqref="H50 H65 H71 H77 H83 H89 H95">
    <cfRule type="cellIs" dxfId="2" priority="53" operator="lessThan">
      <formula>0</formula>
    </cfRule>
  </conditionalFormatting>
  <conditionalFormatting sqref="H50 H65 H71 H77 H83 H89 H95">
    <cfRule type="cellIs" dxfId="3" priority="54" operator="greaterThan">
      <formula>0</formula>
    </cfRule>
  </conditionalFormatting>
  <conditionalFormatting sqref="H51 H66 H72 H78 H84 H90 H96">
    <cfRule type="cellIs" dxfId="2" priority="55" operator="greaterThan">
      <formula>0</formula>
    </cfRule>
  </conditionalFormatting>
  <conditionalFormatting sqref="H51 H66 H72 H78 H84 H90 H96">
    <cfRule type="cellIs" dxfId="3" priority="56" operator="lessThan">
      <formula>0</formula>
    </cfRule>
  </conditionalFormatting>
  <conditionalFormatting sqref="H52 H67 H73 H79 H85 H91 H97">
    <cfRule type="cellIs" dxfId="2" priority="57" operator="lessThan">
      <formula>0</formula>
    </cfRule>
  </conditionalFormatting>
  <conditionalFormatting sqref="H52 H67 H73 H79 H85 H91 H97">
    <cfRule type="cellIs" dxfId="3" priority="58" operator="greaterThan">
      <formula>0</formula>
    </cfRule>
  </conditionalFormatting>
  <conditionalFormatting sqref="H53">
    <cfRule type="cellIs" dxfId="2" priority="59" operator="greaterThan">
      <formula>0</formula>
    </cfRule>
  </conditionalFormatting>
  <conditionalFormatting sqref="H53">
    <cfRule type="cellIs" dxfId="3" priority="60" operator="lessThan">
      <formula>0</formula>
    </cfRule>
  </conditionalFormatting>
  <conditionalFormatting sqref="K8:K11">
    <cfRule type="cellIs" dxfId="4" priority="61" operator="greaterThan">
      <formula>0</formula>
    </cfRule>
  </conditionalFormatting>
  <conditionalFormatting sqref="K8:K11">
    <cfRule type="cellIs" dxfId="5" priority="62" operator="lessThan">
      <formula>0</formula>
    </cfRule>
  </conditionalFormatting>
  <conditionalFormatting sqref="K13:K15">
    <cfRule type="cellIs" dxfId="4" priority="63" operator="greaterThan">
      <formula>0</formula>
    </cfRule>
  </conditionalFormatting>
  <conditionalFormatting sqref="K13:K15">
    <cfRule type="cellIs" dxfId="5" priority="64" operator="lessThan">
      <formula>0</formula>
    </cfRule>
  </conditionalFormatting>
  <conditionalFormatting sqref="K17:K22">
    <cfRule type="cellIs" dxfId="4" priority="65" operator="greaterThan">
      <formula>0</formula>
    </cfRule>
  </conditionalFormatting>
  <conditionalFormatting sqref="K17:K22">
    <cfRule type="cellIs" dxfId="5" priority="66" operator="lessThan">
      <formula>0</formula>
    </cfRule>
  </conditionalFormatting>
  <conditionalFormatting sqref="K30">
    <cfRule type="cellIs" dxfId="4" priority="67" operator="greaterThan">
      <formula>0</formula>
    </cfRule>
  </conditionalFormatting>
  <conditionalFormatting sqref="K30">
    <cfRule type="cellIs" dxfId="5" priority="68" operator="lessThan">
      <formula>0</formula>
    </cfRule>
  </conditionalFormatting>
  <conditionalFormatting sqref="K31">
    <cfRule type="cellIs" dxfId="2" priority="69" operator="lessThan">
      <formula>0</formula>
    </cfRule>
  </conditionalFormatting>
  <conditionalFormatting sqref="K31">
    <cfRule type="cellIs" dxfId="3" priority="70" operator="greaterThan">
      <formula>0</formula>
    </cfRule>
  </conditionalFormatting>
  <conditionalFormatting sqref="K32">
    <cfRule type="cellIs" dxfId="2" priority="71" operator="greaterThan">
      <formula>0</formula>
    </cfRule>
  </conditionalFormatting>
  <conditionalFormatting sqref="K32">
    <cfRule type="cellIs" dxfId="3" priority="72" operator="lessThan">
      <formula>0</formula>
    </cfRule>
  </conditionalFormatting>
  <conditionalFormatting sqref="K33">
    <cfRule type="cellIs" dxfId="2" priority="73" operator="lessThan">
      <formula>0</formula>
    </cfRule>
  </conditionalFormatting>
  <conditionalFormatting sqref="K33">
    <cfRule type="cellIs" dxfId="3" priority="74" operator="greaterThan">
      <formula>0</formula>
    </cfRule>
  </conditionalFormatting>
  <conditionalFormatting sqref="K34">
    <cfRule type="cellIs" dxfId="2" priority="75" operator="greaterThan">
      <formula>0</formula>
    </cfRule>
  </conditionalFormatting>
  <conditionalFormatting sqref="K34">
    <cfRule type="cellIs" dxfId="3" priority="76" operator="lessThan">
      <formula>0</formula>
    </cfRule>
  </conditionalFormatting>
  <conditionalFormatting sqref="K35">
    <cfRule type="cellIs" dxfId="4" priority="77" operator="greaterThan">
      <formula>0</formula>
    </cfRule>
  </conditionalFormatting>
  <conditionalFormatting sqref="K35">
    <cfRule type="cellIs" dxfId="5" priority="78" operator="lessThan">
      <formula>0</formula>
    </cfRule>
  </conditionalFormatting>
  <conditionalFormatting sqref="K49 K64 K70 K76 K82 K88 K94">
    <cfRule type="cellIs" dxfId="2" priority="79" operator="greaterThan">
      <formula>0</formula>
    </cfRule>
  </conditionalFormatting>
  <conditionalFormatting sqref="K49 K64 K70 K76 K82 K88 K94">
    <cfRule type="cellIs" dxfId="3" priority="80" operator="lessThan">
      <formula>0</formula>
    </cfRule>
  </conditionalFormatting>
  <conditionalFormatting sqref="K50 K65 K71 K77 K83 K89 K95">
    <cfRule type="cellIs" dxfId="2" priority="81" operator="lessThan">
      <formula>0</formula>
    </cfRule>
  </conditionalFormatting>
  <conditionalFormatting sqref="K50 K65 K71 K77 K83 K89 K95">
    <cfRule type="cellIs" dxfId="3" priority="82" operator="greaterThan">
      <formula>0</formula>
    </cfRule>
  </conditionalFormatting>
  <conditionalFormatting sqref="K51 K66 K72 K78 K84 K90 K96">
    <cfRule type="cellIs" dxfId="2" priority="83" operator="greaterThan">
      <formula>0</formula>
    </cfRule>
  </conditionalFormatting>
  <conditionalFormatting sqref="K51 K66 K72 K78 K84 K90 K96">
    <cfRule type="cellIs" dxfId="3" priority="84" operator="lessThan">
      <formula>0</formula>
    </cfRule>
  </conditionalFormatting>
  <conditionalFormatting sqref="K52 K67 K73 K79 K85 K91 K97">
    <cfRule type="cellIs" dxfId="2" priority="85" operator="lessThan">
      <formula>0</formula>
    </cfRule>
  </conditionalFormatting>
  <conditionalFormatting sqref="K52 K67 K73 K79 K85 K91 K97">
    <cfRule type="cellIs" dxfId="3" priority="86" operator="greaterThan">
      <formula>0</formula>
    </cfRule>
  </conditionalFormatting>
  <conditionalFormatting sqref="K53">
    <cfRule type="cellIs" dxfId="2" priority="87" operator="greaterThan">
      <formula>0</formula>
    </cfRule>
  </conditionalFormatting>
  <conditionalFormatting sqref="K53">
    <cfRule type="cellIs" dxfId="3" priority="88" operator="lessThan">
      <formula>0</formula>
    </cfRule>
  </conditionalFormatting>
  <conditionalFormatting sqref="N8:N11">
    <cfRule type="cellIs" dxfId="4" priority="89" operator="greaterThan">
      <formula>0</formula>
    </cfRule>
  </conditionalFormatting>
  <conditionalFormatting sqref="N8:N11">
    <cfRule type="cellIs" dxfId="5" priority="90" operator="lessThan">
      <formula>0</formula>
    </cfRule>
  </conditionalFormatting>
  <conditionalFormatting sqref="N13:N15">
    <cfRule type="cellIs" dxfId="4" priority="91" operator="greaterThan">
      <formula>0</formula>
    </cfRule>
  </conditionalFormatting>
  <conditionalFormatting sqref="N13:N15">
    <cfRule type="cellIs" dxfId="5" priority="92" operator="lessThan">
      <formula>0</formula>
    </cfRule>
  </conditionalFormatting>
  <conditionalFormatting sqref="N17:N22">
    <cfRule type="cellIs" dxfId="4" priority="93" operator="greaterThan">
      <formula>0</formula>
    </cfRule>
  </conditionalFormatting>
  <conditionalFormatting sqref="N17:N22">
    <cfRule type="cellIs" dxfId="5" priority="94" operator="lessThan">
      <formula>0</formula>
    </cfRule>
  </conditionalFormatting>
  <conditionalFormatting sqref="N30">
    <cfRule type="cellIs" dxfId="4" priority="95" operator="greaterThan">
      <formula>0</formula>
    </cfRule>
  </conditionalFormatting>
  <conditionalFormatting sqref="N30">
    <cfRule type="cellIs" dxfId="5" priority="96" operator="lessThan">
      <formula>0</formula>
    </cfRule>
  </conditionalFormatting>
  <conditionalFormatting sqref="N31">
    <cfRule type="cellIs" dxfId="2" priority="97" operator="lessThan">
      <formula>0</formula>
    </cfRule>
  </conditionalFormatting>
  <conditionalFormatting sqref="N31">
    <cfRule type="cellIs" dxfId="3" priority="98" operator="greaterThan">
      <formula>0</formula>
    </cfRule>
  </conditionalFormatting>
  <conditionalFormatting sqref="N32">
    <cfRule type="cellIs" dxfId="2" priority="99" operator="greaterThan">
      <formula>0</formula>
    </cfRule>
  </conditionalFormatting>
  <conditionalFormatting sqref="N32">
    <cfRule type="cellIs" dxfId="3" priority="100" operator="lessThan">
      <formula>0</formula>
    </cfRule>
  </conditionalFormatting>
  <conditionalFormatting sqref="N33">
    <cfRule type="cellIs" dxfId="2" priority="101" operator="lessThan">
      <formula>0</formula>
    </cfRule>
  </conditionalFormatting>
  <conditionalFormatting sqref="N33">
    <cfRule type="cellIs" dxfId="3" priority="102" operator="greaterThan">
      <formula>0</formula>
    </cfRule>
  </conditionalFormatting>
  <conditionalFormatting sqref="N34">
    <cfRule type="cellIs" dxfId="2" priority="103" operator="greaterThan">
      <formula>0</formula>
    </cfRule>
  </conditionalFormatting>
  <conditionalFormatting sqref="N34">
    <cfRule type="cellIs" dxfId="3" priority="104" operator="lessThan">
      <formula>0</formula>
    </cfRule>
  </conditionalFormatting>
  <conditionalFormatting sqref="N35">
    <cfRule type="cellIs" dxfId="4" priority="105" operator="greaterThan">
      <formula>0</formula>
    </cfRule>
  </conditionalFormatting>
  <conditionalFormatting sqref="N35">
    <cfRule type="cellIs" dxfId="5" priority="106" operator="lessThan">
      <formula>0</formula>
    </cfRule>
  </conditionalFormatting>
  <conditionalFormatting sqref="N49 N64 N70 N76 N82 N88 N94">
    <cfRule type="cellIs" dxfId="2" priority="107" operator="greaterThan">
      <formula>0</formula>
    </cfRule>
  </conditionalFormatting>
  <conditionalFormatting sqref="N49 N64 N70 N76 N82 N88 N94">
    <cfRule type="cellIs" dxfId="3" priority="108" operator="lessThan">
      <formula>0</formula>
    </cfRule>
  </conditionalFormatting>
  <conditionalFormatting sqref="N50 N65 N71 N77 N83 N89 N95">
    <cfRule type="cellIs" dxfId="2" priority="109" operator="lessThan">
      <formula>0</formula>
    </cfRule>
  </conditionalFormatting>
  <conditionalFormatting sqref="N50 N65 N71 N77 N83 N89 N95">
    <cfRule type="cellIs" dxfId="3" priority="110" operator="greaterThan">
      <formula>0</formula>
    </cfRule>
  </conditionalFormatting>
  <conditionalFormatting sqref="N51 N66 N72 N78 N84 N90 N96">
    <cfRule type="cellIs" dxfId="2" priority="111" operator="greaterThan">
      <formula>0</formula>
    </cfRule>
  </conditionalFormatting>
  <conditionalFormatting sqref="N51 N66 N72 N78 N84 N90 N96">
    <cfRule type="cellIs" dxfId="3" priority="112" operator="lessThan">
      <formula>0</formula>
    </cfRule>
  </conditionalFormatting>
  <conditionalFormatting sqref="N52 N67 N73 N79 N85 N91 N97">
    <cfRule type="cellIs" dxfId="2" priority="113" operator="lessThan">
      <formula>0</formula>
    </cfRule>
  </conditionalFormatting>
  <conditionalFormatting sqref="N52 N67 N73 N79 N85 N91 N97">
    <cfRule type="cellIs" dxfId="3" priority="114" operator="greaterThan">
      <formula>0</formula>
    </cfRule>
  </conditionalFormatting>
  <conditionalFormatting sqref="N53">
    <cfRule type="cellIs" dxfId="2" priority="115" operator="greaterThan">
      <formula>0</formula>
    </cfRule>
  </conditionalFormatting>
  <conditionalFormatting sqref="N53">
    <cfRule type="cellIs" dxfId="3" priority="116" operator="lessThan">
      <formula>0</formula>
    </cfRule>
  </conditionalFormatting>
  <conditionalFormatting sqref="Q8:Q11">
    <cfRule type="cellIs" dxfId="4" priority="117" operator="greaterThan">
      <formula>0</formula>
    </cfRule>
  </conditionalFormatting>
  <conditionalFormatting sqref="Q8:Q11">
    <cfRule type="cellIs" dxfId="5" priority="118" operator="lessThan">
      <formula>0</formula>
    </cfRule>
  </conditionalFormatting>
  <conditionalFormatting sqref="Q13:Q15">
    <cfRule type="cellIs" dxfId="4" priority="119" operator="greaterThan">
      <formula>0</formula>
    </cfRule>
  </conditionalFormatting>
  <conditionalFormatting sqref="Q13:Q15">
    <cfRule type="cellIs" dxfId="5" priority="120" operator="lessThan">
      <formula>0</formula>
    </cfRule>
  </conditionalFormatting>
  <conditionalFormatting sqref="Q17:Q22">
    <cfRule type="cellIs" dxfId="4" priority="121" operator="greaterThan">
      <formula>0</formula>
    </cfRule>
  </conditionalFormatting>
  <conditionalFormatting sqref="Q17:Q22">
    <cfRule type="cellIs" dxfId="5" priority="122" operator="lessThan">
      <formula>0</formula>
    </cfRule>
  </conditionalFormatting>
  <conditionalFormatting sqref="Q30">
    <cfRule type="cellIs" dxfId="4" priority="123" operator="greaterThan">
      <formula>0</formula>
    </cfRule>
  </conditionalFormatting>
  <conditionalFormatting sqref="Q30">
    <cfRule type="cellIs" dxfId="5" priority="124" operator="lessThan">
      <formula>0</formula>
    </cfRule>
  </conditionalFormatting>
  <conditionalFormatting sqref="Q31">
    <cfRule type="cellIs" dxfId="2" priority="125" operator="lessThan">
      <formula>0</formula>
    </cfRule>
  </conditionalFormatting>
  <conditionalFormatting sqref="Q31">
    <cfRule type="cellIs" dxfId="3" priority="126" operator="greaterThan">
      <formula>0</formula>
    </cfRule>
  </conditionalFormatting>
  <conditionalFormatting sqref="Q32">
    <cfRule type="cellIs" dxfId="2" priority="127" operator="greaterThan">
      <formula>0</formula>
    </cfRule>
  </conditionalFormatting>
  <conditionalFormatting sqref="Q32">
    <cfRule type="cellIs" dxfId="3" priority="128" operator="lessThan">
      <formula>0</formula>
    </cfRule>
  </conditionalFormatting>
  <conditionalFormatting sqref="Q33">
    <cfRule type="cellIs" dxfId="2" priority="129" operator="lessThan">
      <formula>0</formula>
    </cfRule>
  </conditionalFormatting>
  <conditionalFormatting sqref="Q33">
    <cfRule type="cellIs" dxfId="3" priority="130" operator="greaterThan">
      <formula>0</formula>
    </cfRule>
  </conditionalFormatting>
  <conditionalFormatting sqref="Q34">
    <cfRule type="cellIs" dxfId="2" priority="131" operator="greaterThan">
      <formula>0</formula>
    </cfRule>
  </conditionalFormatting>
  <conditionalFormatting sqref="Q34">
    <cfRule type="cellIs" dxfId="3" priority="132" operator="lessThan">
      <formula>0</formula>
    </cfRule>
  </conditionalFormatting>
  <conditionalFormatting sqref="Q35">
    <cfRule type="cellIs" dxfId="4" priority="133" operator="greaterThan">
      <formula>0</formula>
    </cfRule>
  </conditionalFormatting>
  <conditionalFormatting sqref="Q35">
    <cfRule type="cellIs" dxfId="5" priority="134" operator="lessThan">
      <formula>0</formula>
    </cfRule>
  </conditionalFormatting>
  <conditionalFormatting sqref="Q49 Q64 Q70 Q76 Q82 Q88 Q94">
    <cfRule type="cellIs" dxfId="2" priority="135" operator="greaterThan">
      <formula>0</formula>
    </cfRule>
  </conditionalFormatting>
  <conditionalFormatting sqref="Q49 Q64 Q70 Q76 Q82 Q88 Q94">
    <cfRule type="cellIs" dxfId="3" priority="136" operator="lessThan">
      <formula>0</formula>
    </cfRule>
  </conditionalFormatting>
  <conditionalFormatting sqref="Q50 Q65 Q71 Q77 Q83 Q89 Q95">
    <cfRule type="cellIs" dxfId="2" priority="137" operator="lessThan">
      <formula>0</formula>
    </cfRule>
  </conditionalFormatting>
  <conditionalFormatting sqref="Q50 Q65 Q71 Q77 Q83 Q89 Q95">
    <cfRule type="cellIs" dxfId="3" priority="138" operator="greaterThan">
      <formula>0</formula>
    </cfRule>
  </conditionalFormatting>
  <conditionalFormatting sqref="Q51 Q66 Q72 Q78 Q84 Q90 Q96">
    <cfRule type="cellIs" dxfId="2" priority="139" operator="greaterThan">
      <formula>0</formula>
    </cfRule>
  </conditionalFormatting>
  <conditionalFormatting sqref="Q51 Q66 Q72 Q78 Q84 Q90 Q96">
    <cfRule type="cellIs" dxfId="3" priority="140" operator="lessThan">
      <formula>0</formula>
    </cfRule>
  </conditionalFormatting>
  <conditionalFormatting sqref="Q52 Q67 Q73 Q79 Q85 Q91 Q97">
    <cfRule type="cellIs" dxfId="2" priority="141" operator="lessThan">
      <formula>0</formula>
    </cfRule>
  </conditionalFormatting>
  <conditionalFormatting sqref="Q52 Q67 Q73 Q79 Q85 Q91 Q97">
    <cfRule type="cellIs" dxfId="3" priority="142" operator="greaterThan">
      <formula>0</formula>
    </cfRule>
  </conditionalFormatting>
  <conditionalFormatting sqref="Q53">
    <cfRule type="cellIs" dxfId="2" priority="143" operator="greaterThan">
      <formula>0</formula>
    </cfRule>
  </conditionalFormatting>
  <conditionalFormatting sqref="Q53">
    <cfRule type="cellIs" dxfId="3" priority="144" operator="lessThan">
      <formula>0</formula>
    </cfRule>
  </conditionalFormatting>
  <conditionalFormatting sqref="T8:T11">
    <cfRule type="cellIs" dxfId="4" priority="145" operator="greaterThan">
      <formula>0</formula>
    </cfRule>
  </conditionalFormatting>
  <conditionalFormatting sqref="T8:T11">
    <cfRule type="cellIs" dxfId="5" priority="146" operator="lessThan">
      <formula>0</formula>
    </cfRule>
  </conditionalFormatting>
  <conditionalFormatting sqref="T13:T15">
    <cfRule type="cellIs" dxfId="4" priority="147" operator="greaterThan">
      <formula>0</formula>
    </cfRule>
  </conditionalFormatting>
  <conditionalFormatting sqref="T13:T15">
    <cfRule type="cellIs" dxfId="5" priority="148" operator="lessThan">
      <formula>0</formula>
    </cfRule>
  </conditionalFormatting>
  <conditionalFormatting sqref="T17:T22">
    <cfRule type="cellIs" dxfId="4" priority="149" operator="greaterThan">
      <formula>0</formula>
    </cfRule>
  </conditionalFormatting>
  <conditionalFormatting sqref="T17:T22">
    <cfRule type="cellIs" dxfId="5" priority="150" operator="lessThan">
      <formula>0</formula>
    </cfRule>
  </conditionalFormatting>
  <conditionalFormatting sqref="T30">
    <cfRule type="cellIs" dxfId="4" priority="151" operator="greaterThan">
      <formula>0</formula>
    </cfRule>
  </conditionalFormatting>
  <conditionalFormatting sqref="T30">
    <cfRule type="cellIs" dxfId="5" priority="152" operator="lessThan">
      <formula>0</formula>
    </cfRule>
  </conditionalFormatting>
  <conditionalFormatting sqref="T31">
    <cfRule type="cellIs" dxfId="2" priority="153" operator="lessThan">
      <formula>0</formula>
    </cfRule>
  </conditionalFormatting>
  <conditionalFormatting sqref="T31">
    <cfRule type="cellIs" dxfId="3" priority="154" operator="greaterThan">
      <formula>0</formula>
    </cfRule>
  </conditionalFormatting>
  <conditionalFormatting sqref="T32">
    <cfRule type="cellIs" dxfId="2" priority="155" operator="greaterThan">
      <formula>0</formula>
    </cfRule>
  </conditionalFormatting>
  <conditionalFormatting sqref="T32">
    <cfRule type="cellIs" dxfId="3" priority="156" operator="lessThan">
      <formula>0</formula>
    </cfRule>
  </conditionalFormatting>
  <conditionalFormatting sqref="T33">
    <cfRule type="cellIs" dxfId="2" priority="157" operator="lessThan">
      <formula>0</formula>
    </cfRule>
  </conditionalFormatting>
  <conditionalFormatting sqref="T33">
    <cfRule type="cellIs" dxfId="3" priority="158" operator="greaterThan">
      <formula>0</formula>
    </cfRule>
  </conditionalFormatting>
  <conditionalFormatting sqref="T34">
    <cfRule type="cellIs" dxfId="2" priority="159" operator="greaterThan">
      <formula>0</formula>
    </cfRule>
  </conditionalFormatting>
  <conditionalFormatting sqref="T34">
    <cfRule type="cellIs" dxfId="3" priority="160" operator="lessThan">
      <formula>0</formula>
    </cfRule>
  </conditionalFormatting>
  <conditionalFormatting sqref="T35">
    <cfRule type="cellIs" dxfId="4" priority="161" operator="greaterThan">
      <formula>0</formula>
    </cfRule>
  </conditionalFormatting>
  <conditionalFormatting sqref="T35">
    <cfRule type="cellIs" dxfId="5" priority="162" operator="lessThan">
      <formula>0</formula>
    </cfRule>
  </conditionalFormatting>
  <conditionalFormatting sqref="T49 T64 T70 T76 T82 T88 T94">
    <cfRule type="cellIs" dxfId="2" priority="163" operator="greaterThan">
      <formula>0</formula>
    </cfRule>
  </conditionalFormatting>
  <conditionalFormatting sqref="T49 T64 T70 T76 T82 T88 T94">
    <cfRule type="cellIs" dxfId="3" priority="164" operator="lessThan">
      <formula>0</formula>
    </cfRule>
  </conditionalFormatting>
  <conditionalFormatting sqref="T50 T65 T71 T77 T83 T89 T95">
    <cfRule type="cellIs" dxfId="2" priority="165" operator="lessThan">
      <formula>0</formula>
    </cfRule>
  </conditionalFormatting>
  <conditionalFormatting sqref="T50 T65 T71 T77 T83 T89 T95">
    <cfRule type="cellIs" dxfId="3" priority="166" operator="greaterThan">
      <formula>0</formula>
    </cfRule>
  </conditionalFormatting>
  <conditionalFormatting sqref="T51 T66 T72 T78 T84 T90 T96">
    <cfRule type="cellIs" dxfId="2" priority="167" operator="greaterThan">
      <formula>0</formula>
    </cfRule>
  </conditionalFormatting>
  <conditionalFormatting sqref="T51 T66 T72 T78 T84 T90 T96">
    <cfRule type="cellIs" dxfId="3" priority="168" operator="lessThan">
      <formula>0</formula>
    </cfRule>
  </conditionalFormatting>
  <conditionalFormatting sqref="T52 T67 T73 T79 T85 T91 T97">
    <cfRule type="cellIs" dxfId="2" priority="169" operator="lessThan">
      <formula>0</formula>
    </cfRule>
  </conditionalFormatting>
  <conditionalFormatting sqref="T52 T67 T73 T79 T85 T91 T97">
    <cfRule type="cellIs" dxfId="3" priority="170" operator="greaterThan">
      <formula>0</formula>
    </cfRule>
  </conditionalFormatting>
  <conditionalFormatting sqref="T53">
    <cfRule type="cellIs" dxfId="2" priority="171" operator="greaterThan">
      <formula>0</formula>
    </cfRule>
  </conditionalFormatting>
  <conditionalFormatting sqref="T53">
    <cfRule type="cellIs" dxfId="3" priority="172" operator="lessThan">
      <formula>0</formula>
    </cfRule>
  </conditionalFormatting>
  <conditionalFormatting sqref="H29">
    <cfRule type="cellIs" dxfId="2" priority="173" operator="lessThan">
      <formula>0</formula>
    </cfRule>
  </conditionalFormatting>
  <conditionalFormatting sqref="H29">
    <cfRule type="cellIs" dxfId="3" priority="174" operator="greaterThan">
      <formula>0</formula>
    </cfRule>
  </conditionalFormatting>
  <conditionalFormatting sqref="K29">
    <cfRule type="cellIs" dxfId="2" priority="175" operator="lessThan">
      <formula>0</formula>
    </cfRule>
  </conditionalFormatting>
  <conditionalFormatting sqref="K29">
    <cfRule type="cellIs" dxfId="3" priority="176" operator="greaterThan">
      <formula>0</formula>
    </cfRule>
  </conditionalFormatting>
  <conditionalFormatting sqref="N29">
    <cfRule type="cellIs" dxfId="2" priority="177" operator="lessThan">
      <formula>0</formula>
    </cfRule>
  </conditionalFormatting>
  <conditionalFormatting sqref="N29">
    <cfRule type="cellIs" dxfId="3" priority="178" operator="greaterThan">
      <formula>0</formula>
    </cfRule>
  </conditionalFormatting>
  <conditionalFormatting sqref="Q29">
    <cfRule type="cellIs" dxfId="2" priority="179" operator="lessThan">
      <formula>0</formula>
    </cfRule>
  </conditionalFormatting>
  <conditionalFormatting sqref="Q29">
    <cfRule type="cellIs" dxfId="3" priority="180" operator="greaterThan">
      <formula>0</formula>
    </cfRule>
  </conditionalFormatting>
  <conditionalFormatting sqref="T29">
    <cfRule type="cellIs" dxfId="2" priority="181" operator="lessThan">
      <formula>0</formula>
    </cfRule>
  </conditionalFormatting>
  <conditionalFormatting sqref="T29">
    <cfRule type="cellIs" dxfId="3" priority="182" operator="greaterThan">
      <formula>0</formula>
    </cfRule>
  </conditionalFormatting>
  <conditionalFormatting sqref="H48 H63 H69 H75 H81 H87 H93 H99:H106">
    <cfRule type="cellIs" dxfId="2" priority="183" operator="lessThan">
      <formula>0</formula>
    </cfRule>
  </conditionalFormatting>
  <conditionalFormatting sqref="H48 H63 H69 H75 H81 H87 H93 H99:H106">
    <cfRule type="cellIs" dxfId="3" priority="184" operator="greaterThan">
      <formula>0</formula>
    </cfRule>
  </conditionalFormatting>
  <conditionalFormatting sqref="K48 K63 K69 K75 K81 K87 K93 K99:K106">
    <cfRule type="cellIs" dxfId="2" priority="185" operator="lessThan">
      <formula>0</formula>
    </cfRule>
  </conditionalFormatting>
  <conditionalFormatting sqref="K48 K63 K69 K75 K81 K87 K93 K99:K106">
    <cfRule type="cellIs" dxfId="3" priority="186" operator="greaterThan">
      <formula>0</formula>
    </cfRule>
  </conditionalFormatting>
  <conditionalFormatting sqref="N48 N63 N69 N75 N81 N87 N93 N99:N106">
    <cfRule type="cellIs" dxfId="2" priority="187" operator="lessThan">
      <formula>0</formula>
    </cfRule>
  </conditionalFormatting>
  <conditionalFormatting sqref="N48 N63 N69 N75 N81 N87 N93 N99:N106">
    <cfRule type="cellIs" dxfId="3" priority="188" operator="greaterThan">
      <formula>0</formula>
    </cfRule>
  </conditionalFormatting>
  <conditionalFormatting sqref="Q48 Q63 Q69 Q75 Q81 Q87 Q93 Q99:Q106 T99:T106">
    <cfRule type="cellIs" dxfId="2" priority="189" operator="lessThan">
      <formula>0</formula>
    </cfRule>
  </conditionalFormatting>
  <conditionalFormatting sqref="Q48 Q63 Q69 Q75 Q81 Q87 Q93 Q99:Q106 T99:T106">
    <cfRule type="cellIs" dxfId="3" priority="190" operator="greaterThan">
      <formula>0</formula>
    </cfRule>
  </conditionalFormatting>
  <conditionalFormatting sqref="T48 T63 T69 T75 T81 T87 T93 T99:T106">
    <cfRule type="cellIs" dxfId="2" priority="191" operator="lessThan">
      <formula>0</formula>
    </cfRule>
  </conditionalFormatting>
  <conditionalFormatting sqref="T48 T63 T69 T75 T81 T87 T93 T99:T106">
    <cfRule type="cellIs" dxfId="3" priority="19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1" t="s">
        <v>0</v>
      </c>
    </row>
    <row r="3" ht="21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>
      <c r="A4" s="4" t="s">
        <v>8</v>
      </c>
      <c r="B4" s="6"/>
      <c r="C4" s="6"/>
      <c r="D4" s="6"/>
      <c r="E4" s="6"/>
      <c r="F4" s="6"/>
    </row>
    <row r="5">
      <c r="A5" s="8"/>
      <c r="B5" s="10" t="s">
        <v>9</v>
      </c>
      <c r="C5" s="16">
        <f>SUMIFS(Raw_Data_Period!D:D, Raw_Data_Period!$A:$A, "Control", Raw_Data_Period!$C:$C, TRUE)</f>
        <v>138720</v>
      </c>
      <c r="D5" s="16">
        <f>SUMIFS(Raw_Data_Period!D:D, Raw_Data_Period!$A:$A, "Variant", Raw_Data_Period!$C:$C, TRUE)</f>
        <v>139110</v>
      </c>
      <c r="E5" s="22">
        <f>IFERROR(D5-C5,"")</f>
        <v>390</v>
      </c>
      <c r="F5" s="26">
        <f>IFERROR((D5-C5)/ABS(C5),"")</f>
        <v>0.002811418685</v>
      </c>
    </row>
    <row r="6">
      <c r="A6" s="4" t="s">
        <v>15</v>
      </c>
      <c r="B6" s="6"/>
      <c r="C6" s="6"/>
      <c r="D6" s="6"/>
      <c r="E6" s="6"/>
      <c r="F6" s="6"/>
    </row>
    <row r="7">
      <c r="A7" s="8"/>
      <c r="B7" s="10" t="s">
        <v>16</v>
      </c>
      <c r="C7" s="31">
        <f>SUMIFS(Raw_Data_Period!F:F, Raw_Data_Period!$A:$A, "Control", Raw_Data_Period!$C:$C, TRUE)</f>
        <v>50503.89</v>
      </c>
      <c r="D7" s="31">
        <f>SUMIFS(Raw_Data_Period!F:F, Raw_Data_Period!$A:$A, "Variant", Raw_Data_Period!$C:$C, TRUE)</f>
        <v>45929.49</v>
      </c>
      <c r="E7" s="34">
        <f t="shared" ref="E7:E9" si="1">IFERROR(D7-C7,"")</f>
        <v>-4574.4</v>
      </c>
      <c r="F7" s="35">
        <f t="shared" ref="F7:F9" si="2">IFERROR((D7-C7)/ABS(C7),"")</f>
        <v>-0.09057520124</v>
      </c>
    </row>
    <row r="8">
      <c r="A8" s="8"/>
      <c r="B8" s="10" t="s">
        <v>17</v>
      </c>
      <c r="C8" s="36">
        <f>SUMIFS(Raw_Data_Period!G:G, Raw_Data_Period!$A:$A, "Control", Raw_Data_Period!$C:$C, TRUE)</f>
        <v>0.0903</v>
      </c>
      <c r="D8" s="36">
        <f>SUMIFS(Raw_Data_Period!G:G, Raw_Data_Period!$A:$A, "Variant", Raw_Data_Period!$C:$C, TRUE)</f>
        <v>0.0828</v>
      </c>
      <c r="E8" s="34">
        <f t="shared" si="1"/>
        <v>-0.0075</v>
      </c>
      <c r="F8" s="35">
        <f t="shared" si="2"/>
        <v>-0.08305647841</v>
      </c>
    </row>
    <row r="9">
      <c r="A9" s="8"/>
      <c r="B9" s="10" t="s">
        <v>18</v>
      </c>
      <c r="C9" s="36">
        <f>SUMIFS(Raw_Data_Period!I:I, Raw_Data_Period!$A:$A, "Control", Raw_Data_Period!$C:$C, TRUE)</f>
        <v>17.0161</v>
      </c>
      <c r="D9" s="36">
        <f>SUMIFS(Raw_Data_Period!I:I, Raw_Data_Period!$A:$A, "Variant", Raw_Data_Period!$C:$C, TRUE)</f>
        <v>15.6489</v>
      </c>
      <c r="E9" s="34">
        <f t="shared" si="1"/>
        <v>-1.3672</v>
      </c>
      <c r="F9" s="35">
        <f t="shared" si="2"/>
        <v>-0.08034743566</v>
      </c>
    </row>
    <row r="10">
      <c r="A10" s="4" t="s">
        <v>19</v>
      </c>
      <c r="B10" s="6"/>
      <c r="C10" s="6"/>
      <c r="D10" s="6"/>
      <c r="E10" s="6"/>
      <c r="F10" s="6"/>
    </row>
    <row r="11">
      <c r="A11" s="8"/>
      <c r="B11" s="10" t="s">
        <v>20</v>
      </c>
      <c r="C11" s="40">
        <f>SUMIFS(Raw_Data_Period!J:J, Raw_Data_Period!$A:$A, "Control", Raw_Data_Period!$C:$C, TRUE)</f>
        <v>45.8943</v>
      </c>
      <c r="D11" s="40">
        <f>SUMIFS(Raw_Data_Period!J:J, Raw_Data_Period!$A:$A, "Variant", Raw_Data_Period!$C:$C, TRUE)</f>
        <v>47.0849</v>
      </c>
      <c r="E11" s="41">
        <f t="shared" ref="E11:E13" si="3">IFERROR(D11-C11,"")</f>
        <v>1.1906</v>
      </c>
      <c r="F11" s="43">
        <f t="shared" ref="F11:F13" si="4">IFERROR((D11-C11)/ABS(C11),"")</f>
        <v>0.0259422194</v>
      </c>
    </row>
    <row r="12">
      <c r="A12" s="8"/>
      <c r="B12" s="10" t="s">
        <v>21</v>
      </c>
      <c r="C12" s="40">
        <f>SUMIFS(Raw_Data_Period!K:K, Raw_Data_Period!$A:$A, "Control", Raw_Data_Period!$C:$C, TRUE)</f>
        <v>27.1598</v>
      </c>
      <c r="D12" s="40">
        <f>SUMIFS(Raw_Data_Period!K:K, Raw_Data_Period!$A:$A, "Variant", Raw_Data_Period!$C:$C, TRUE)</f>
        <v>27.3373</v>
      </c>
      <c r="E12" s="41">
        <f t="shared" si="3"/>
        <v>0.1775</v>
      </c>
      <c r="F12" s="43">
        <f t="shared" si="4"/>
        <v>0.006535394222</v>
      </c>
    </row>
    <row r="13">
      <c r="A13" s="8"/>
      <c r="B13" s="10" t="s">
        <v>22</v>
      </c>
      <c r="C13" s="40">
        <f>SUMIFS(Raw_Data_Period!L:L, Raw_Data_Period!$A:$A, "Control", Raw_Data_Period!$C:$C, TRUE)</f>
        <v>18.5904</v>
      </c>
      <c r="D13" s="40">
        <f>SUMIFS(Raw_Data_Period!L:L, Raw_Data_Period!$A:$A, "Variant", Raw_Data_Period!$C:$C, TRUE)</f>
        <v>18.3034</v>
      </c>
      <c r="E13" s="41">
        <f t="shared" si="3"/>
        <v>-0.287</v>
      </c>
      <c r="F13" s="43">
        <f t="shared" si="4"/>
        <v>-0.01543807557</v>
      </c>
    </row>
    <row r="14" ht="15.75" customHeight="1">
      <c r="A14" s="4" t="s">
        <v>23</v>
      </c>
      <c r="B14" s="6"/>
      <c r="C14" s="6"/>
      <c r="D14" s="6"/>
      <c r="E14" s="6"/>
      <c r="F14" s="6"/>
    </row>
    <row r="15" ht="15.75" customHeight="1">
      <c r="A15" s="8"/>
      <c r="B15" s="10" t="s">
        <v>24</v>
      </c>
      <c r="C15" s="40">
        <f>SUMIFS(Raw_Data_Period!AD:AD, Raw_Data_Period!$A:$A, "Control", Raw_Data_Period!$C:$C, TRUE)</f>
        <v>12.978</v>
      </c>
      <c r="D15" s="40">
        <f>SUMIFS(Raw_Data_Period!AD:AD, Raw_Data_Period!$A:$A, "Variant", Raw_Data_Period!$C:$C, TRUE)</f>
        <v>12.4583</v>
      </c>
      <c r="E15" s="41">
        <f t="shared" ref="E15:E20" si="5">IFERROR(D15-C15,"")</f>
        <v>-0.5197</v>
      </c>
      <c r="F15" s="43">
        <f t="shared" ref="F15:F20" si="6">IFERROR((D15-C15)/ABS(C15),"")</f>
        <v>-0.04004469102</v>
      </c>
    </row>
    <row r="16" ht="15.75" customHeight="1">
      <c r="A16" s="8"/>
      <c r="B16" s="10" t="s">
        <v>25</v>
      </c>
      <c r="C16" s="40">
        <f>SUMIFS(Raw_Data_Period!AE:AE, Raw_Data_Period!$A:$A, "Control", Raw_Data_Period!$C:$C, TRUE)</f>
        <v>3</v>
      </c>
      <c r="D16" s="40">
        <f>SUMIFS(Raw_Data_Period!AE:AE, Raw_Data_Period!$A:$A, "Variant", Raw_Data_Period!$C:$C, TRUE)</f>
        <v>3</v>
      </c>
      <c r="E16" s="41">
        <f t="shared" si="5"/>
        <v>0</v>
      </c>
      <c r="F16" s="43">
        <f t="shared" si="6"/>
        <v>0</v>
      </c>
    </row>
    <row r="17" ht="15.75" customHeight="1">
      <c r="A17" s="8"/>
      <c r="B17" s="10" t="s">
        <v>26</v>
      </c>
      <c r="C17" s="40">
        <f>SUMIFS(Raw_Data_Period!AF:AF, Raw_Data_Period!$A:$A, "Control", Raw_Data_Period!$C:$C, TRUE)</f>
        <v>7</v>
      </c>
      <c r="D17" s="40">
        <f>SUMIFS(Raw_Data_Period!AF:AF, Raw_Data_Period!$A:$A, "Variant", Raw_Data_Period!$C:$C, TRUE)</f>
        <v>7</v>
      </c>
      <c r="E17" s="41">
        <f t="shared" si="5"/>
        <v>0</v>
      </c>
      <c r="F17" s="43">
        <f t="shared" si="6"/>
        <v>0</v>
      </c>
    </row>
    <row r="18" ht="15.75" customHeight="1">
      <c r="A18" s="8"/>
      <c r="B18" s="10" t="s">
        <v>27</v>
      </c>
      <c r="C18" s="40">
        <f>SUMIFS(Raw_Data_Period!AG:AG, Raw_Data_Period!$A:$A, "Control", Raw_Data_Period!$C:$C, TRUE)</f>
        <v>16</v>
      </c>
      <c r="D18" s="40">
        <f>SUMIFS(Raw_Data_Period!AG:AG, Raw_Data_Period!$A:$A, "Variant", Raw_Data_Period!$C:$C, TRUE)</f>
        <v>15</v>
      </c>
      <c r="E18" s="41">
        <f t="shared" si="5"/>
        <v>-1</v>
      </c>
      <c r="F18" s="43">
        <f t="shared" si="6"/>
        <v>-0.0625</v>
      </c>
    </row>
    <row r="19" ht="15.75" customHeight="1">
      <c r="A19" s="8"/>
      <c r="B19" s="10" t="s">
        <v>28</v>
      </c>
      <c r="C19" s="40">
        <f>SUMIFS(Raw_Data_Period!AH:AH, Raw_Data_Period!$A:$A, "Control", Raw_Data_Period!$C:$C, TRUE)</f>
        <v>30</v>
      </c>
      <c r="D19" s="40">
        <f>SUMIFS(Raw_Data_Period!AH:AH, Raw_Data_Period!$A:$A, "Variant", Raw_Data_Period!$C:$C, TRUE)</f>
        <v>29</v>
      </c>
      <c r="E19" s="41">
        <f t="shared" si="5"/>
        <v>-1</v>
      </c>
      <c r="F19" s="43">
        <f t="shared" si="6"/>
        <v>-0.03333333333</v>
      </c>
    </row>
    <row r="20" ht="15.75" customHeight="1">
      <c r="A20" s="8"/>
      <c r="B20" s="45" t="s">
        <v>29</v>
      </c>
      <c r="C20" s="40">
        <f>SUMIFS(Raw_Data_Period!BC:BC, Raw_Data_Period!$A:$A, "Control", Raw_Data_Period!$C:$C, TRUE)</f>
        <v>87</v>
      </c>
      <c r="D20" s="40">
        <f>SUMIFS(Raw_Data_Period!BC:BC, Raw_Data_Period!$A:$A, "Variant", Raw_Data_Period!$C:$C, TRUE)</f>
        <v>78</v>
      </c>
      <c r="E20" s="41">
        <f t="shared" si="5"/>
        <v>-9</v>
      </c>
      <c r="F20" s="43">
        <f t="shared" si="6"/>
        <v>-0.1034482759</v>
      </c>
    </row>
    <row r="21">
      <c r="A21" s="4" t="s">
        <v>30</v>
      </c>
      <c r="B21" s="6"/>
      <c r="C21" s="6"/>
      <c r="D21" s="6"/>
      <c r="E21" s="6"/>
      <c r="F21" s="6"/>
    </row>
    <row r="22" ht="15.75" customHeight="1">
      <c r="A22" s="8"/>
      <c r="B22" s="10" t="s">
        <v>31</v>
      </c>
      <c r="C22" s="48">
        <f>SUMIFS(Raw_Data_Period!M:M, Raw_Data_Period!$A:$A, "Control", Raw_Data_Period!$C:$C, TRUE)</f>
        <v>0.6845</v>
      </c>
      <c r="D22" s="48">
        <f>SUMIFS(Raw_Data_Period!M:M, Raw_Data_Period!$A:$A, "Variant", Raw_Data_Period!$C:$C, TRUE)</f>
        <v>0.6695</v>
      </c>
      <c r="E22" s="50">
        <f t="shared" ref="E22:E25" si="7">IFERROR(D22-C22,"")</f>
        <v>-0.015</v>
      </c>
      <c r="F22" s="26">
        <f t="shared" ref="F22:F25" si="8">IFERROR((D22-C22)/ABS(C22),"")</f>
        <v>-0.0219138057</v>
      </c>
    </row>
    <row r="23" ht="15.75" customHeight="1">
      <c r="A23" s="8"/>
      <c r="B23" s="10" t="s">
        <v>32</v>
      </c>
      <c r="C23" s="48">
        <f>SUMIFS(Raw_Data_Period!N:N, Raw_Data_Period!$A:$A, "Control", Raw_Data_Period!$C:$C, TRUE)</f>
        <v>0.4286</v>
      </c>
      <c r="D23" s="48">
        <f>SUMIFS(Raw_Data_Period!N:N, Raw_Data_Period!$A:$A, "Variant", Raw_Data_Period!$C:$C, TRUE)</f>
        <v>0.4406</v>
      </c>
      <c r="E23" s="50">
        <f t="shared" si="7"/>
        <v>0.012</v>
      </c>
      <c r="F23" s="26">
        <f t="shared" si="8"/>
        <v>0.02799813346</v>
      </c>
    </row>
    <row r="24" ht="15.75" customHeight="1">
      <c r="A24" s="8"/>
      <c r="B24" s="10" t="s">
        <v>33</v>
      </c>
      <c r="C24" s="48">
        <f>SUMIFS(Raw_Data_Period!O:O, Raw_Data_Period!$A:$A, "Control", Raw_Data_Period!$C:$C, TRUE)</f>
        <v>0.268</v>
      </c>
      <c r="D24" s="48">
        <f>SUMIFS(Raw_Data_Period!O:O, Raw_Data_Period!$A:$A, "Variant", Raw_Data_Period!$C:$C, TRUE)</f>
        <v>0.2703</v>
      </c>
      <c r="E24" s="50">
        <f t="shared" si="7"/>
        <v>0.0023</v>
      </c>
      <c r="F24" s="26">
        <f t="shared" si="8"/>
        <v>0.008582089552</v>
      </c>
    </row>
    <row r="25" ht="15.75" customHeight="1">
      <c r="A25" s="8"/>
      <c r="B25" s="10" t="s">
        <v>34</v>
      </c>
      <c r="C25" s="40">
        <f>SUMIFS(Raw_Data_Period!P:P, Raw_Data_Period!$A:$A, "Control", Raw_Data_Period!$C:$C, TRUE)</f>
        <v>1.461</v>
      </c>
      <c r="D25" s="40">
        <f>SUMIFS(Raw_Data_Period!P:P, Raw_Data_Period!$A:$A, "Variant", Raw_Data_Period!$C:$C, TRUE)</f>
        <v>1.4936</v>
      </c>
      <c r="E25" s="52">
        <f t="shared" si="7"/>
        <v>0.0326</v>
      </c>
      <c r="F25" s="26">
        <f t="shared" si="8"/>
        <v>0.02231348392</v>
      </c>
    </row>
    <row r="26" ht="15.75" customHeight="1">
      <c r="A26" s="4" t="s">
        <v>35</v>
      </c>
      <c r="B26" s="6"/>
      <c r="C26" s="6"/>
      <c r="D26" s="6"/>
      <c r="E26" s="6"/>
      <c r="F26" s="6"/>
    </row>
    <row r="27" ht="15.75" customHeight="1">
      <c r="A27" s="8"/>
      <c r="B27" s="53" t="s">
        <v>36</v>
      </c>
      <c r="C27" s="40">
        <f>SUMIFS(Raw_Data_Period!Q:Q, Raw_Data_Period!$A:$A, "Control", Raw_Data_Period!$C:$C, TRUE)</f>
        <v>123.3894</v>
      </c>
      <c r="D27" s="40">
        <f>SUMIFS(Raw_Data_Period!Q:Q, Raw_Data_Period!$A:$A, "Variant", Raw_Data_Period!$C:$C, TRUE)</f>
        <v>106.3431</v>
      </c>
      <c r="E27" s="55">
        <f t="shared" ref="E27:E35" si="9">IFERROR(D27-C27,"")</f>
        <v>-17.0463</v>
      </c>
      <c r="F27" s="35">
        <f t="shared" ref="F27:F35" si="10">IFERROR((D27-C27)/ABS(C27),"")</f>
        <v>-0.1381504408</v>
      </c>
    </row>
    <row r="28" ht="15.75" customHeight="1">
      <c r="A28" s="8"/>
      <c r="B28" s="10" t="s">
        <v>37</v>
      </c>
      <c r="C28" s="40">
        <f>SUMIFS(Raw_Data_Period!R:R, Raw_Data_Period!$A:$A, "Control", Raw_Data_Period!$C:$C, TRUE)</f>
        <v>93.4514</v>
      </c>
      <c r="D28" s="40">
        <f>SUMIFS(Raw_Data_Period!R:R, Raw_Data_Period!$A:$A, "Variant", Raw_Data_Period!$C:$C, TRUE)</f>
        <v>96.1075</v>
      </c>
      <c r="E28" s="52">
        <f t="shared" si="9"/>
        <v>2.6561</v>
      </c>
      <c r="F28" s="26">
        <f t="shared" si="10"/>
        <v>0.02842226013</v>
      </c>
    </row>
    <row r="29" ht="15.75" customHeight="1">
      <c r="A29" s="8"/>
      <c r="B29" s="10" t="s">
        <v>38</v>
      </c>
      <c r="C29" s="40">
        <f>SUMIFS(Raw_Data_Period!S:S, Raw_Data_Period!$A:$A, "Control", Raw_Data_Period!$C:$C, TRUE)</f>
        <v>29.9377</v>
      </c>
      <c r="D29" s="40">
        <f>SUMIFS(Raw_Data_Period!S:S, Raw_Data_Period!$A:$A, "Variant", Raw_Data_Period!$C:$C, TRUE)</f>
        <v>10.2364</v>
      </c>
      <c r="E29" s="52">
        <f t="shared" si="9"/>
        <v>-19.7013</v>
      </c>
      <c r="F29" s="26">
        <f t="shared" si="10"/>
        <v>-0.6580766058</v>
      </c>
    </row>
    <row r="30" ht="15.75" customHeight="1">
      <c r="A30" s="8"/>
      <c r="B30" s="53" t="s">
        <v>39</v>
      </c>
      <c r="C30" s="40">
        <f>SUMIFS(Raw_Data_Period!T:T, Raw_Data_Period!$A:$A, "Control", Raw_Data_Period!$C:$C, TRUE)</f>
        <v>7.9121</v>
      </c>
      <c r="D30" s="40">
        <f>SUMIFS(Raw_Data_Period!T:T, Raw_Data_Period!$A:$A, "Variant", Raw_Data_Period!$C:$C, TRUE)</f>
        <v>7.3801</v>
      </c>
      <c r="E30" s="41">
        <f t="shared" si="9"/>
        <v>-0.532</v>
      </c>
      <c r="F30" s="35">
        <f t="shared" si="10"/>
        <v>-0.06723878616</v>
      </c>
    </row>
    <row r="31" ht="15.75" customHeight="1">
      <c r="A31" s="8"/>
      <c r="B31" s="53" t="s">
        <v>40</v>
      </c>
      <c r="C31" s="40">
        <f>SUMIFS(Raw_Data_Period!U:U, Raw_Data_Period!$A:$A, "Control", Raw_Data_Period!$C:$C, TRUE)</f>
        <v>115.4775</v>
      </c>
      <c r="D31" s="40">
        <f>SUMIFS(Raw_Data_Period!U:U, Raw_Data_Period!$A:$A, "Variant", Raw_Data_Period!$C:$C, TRUE)</f>
        <v>98.9633</v>
      </c>
      <c r="E31" s="41">
        <f t="shared" si="9"/>
        <v>-16.5142</v>
      </c>
      <c r="F31" s="35">
        <f t="shared" si="10"/>
        <v>-0.1430079453</v>
      </c>
    </row>
    <row r="32" ht="15.75" customHeight="1">
      <c r="A32" s="8"/>
      <c r="B32" s="53" t="s">
        <v>41</v>
      </c>
      <c r="C32" s="40">
        <f>SUMIFS(Raw_Data_Period!V:V, Raw_Data_Period!$A:$A, "Control", Raw_Data_Period!$C:$C, TRUE)</f>
        <v>115.4578</v>
      </c>
      <c r="D32" s="40">
        <f>SUMIFS(Raw_Data_Period!V:V, Raw_Data_Period!$A:$A, "Variant", Raw_Data_Period!$C:$C, TRUE)</f>
        <v>101.3923</v>
      </c>
      <c r="E32" s="59">
        <f t="shared" si="9"/>
        <v>-14.0655</v>
      </c>
      <c r="F32" s="43">
        <f t="shared" si="10"/>
        <v>-0.1218237313</v>
      </c>
    </row>
    <row r="33" ht="15.75" customHeight="1">
      <c r="A33" s="8"/>
      <c r="B33" s="53" t="s">
        <v>42</v>
      </c>
      <c r="C33" s="40">
        <f>SUMIFS(Raw_Data_Period!Q:Q, Raw_Data_Period!$A:$A, "Control", Raw_Data_Period!$C:$C, TRUE) - SUMIFS(Raw_Data_Period!V:V, Raw_Data_Period!$A:$A, "Control", Raw_Data_Period!$C:$C, TRUE)</f>
        <v>7.9316</v>
      </c>
      <c r="D33" s="40">
        <f>SUMIFS(Raw_Data_Period!Q:Q, Raw_Data_Period!$A:$A, "Variant", Raw_Data_Period!$C:$C, TRUE) - SUMIFS(Raw_Data_Period!V:V, Raw_Data_Period!$A:$A, "Variant", Raw_Data_Period!$C:$C, TRUE)</f>
        <v>4.9508</v>
      </c>
      <c r="E33" s="41">
        <f t="shared" si="9"/>
        <v>-2.9808</v>
      </c>
      <c r="F33" s="35">
        <f t="shared" si="10"/>
        <v>-0.3758132029</v>
      </c>
    </row>
    <row r="34" ht="15.75" customHeight="1">
      <c r="A34" s="8"/>
      <c r="B34" s="10" t="s">
        <v>43</v>
      </c>
      <c r="C34" s="40">
        <f>SUMIFS(Raw_Data_Period!W:W, Raw_Data_Period!$A:$A, "Control", Raw_Data_Period!$C:$C, TRUE)</f>
        <v>4.2511</v>
      </c>
      <c r="D34" s="40">
        <f>SUMIFS(Raw_Data_Period!W:W, Raw_Data_Period!$A:$A, "Variant", Raw_Data_Period!$C:$C, TRUE)</f>
        <v>3.7089</v>
      </c>
      <c r="E34" s="59">
        <f t="shared" si="9"/>
        <v>-0.5422</v>
      </c>
      <c r="F34" s="43">
        <f t="shared" si="10"/>
        <v>-0.1275434593</v>
      </c>
    </row>
    <row r="35" ht="15.75" customHeight="1">
      <c r="A35" s="8"/>
      <c r="B35" s="10" t="s">
        <v>44</v>
      </c>
      <c r="C35" s="48">
        <f>SUMIFS(Raw_Data_Period!X:X, Raw_Data_Period!$A:$A, "Control", Raw_Data_Period!$C:$C, TRUE)</f>
        <v>6.41</v>
      </c>
      <c r="D35" s="48">
        <f>SUMIFS(Raw_Data_Period!X:X, Raw_Data_Period!$A:$A, "Variant", Raw_Data_Period!$C:$C, TRUE)</f>
        <v>6.94</v>
      </c>
      <c r="E35" s="41">
        <f t="shared" si="9"/>
        <v>0.53</v>
      </c>
      <c r="F35" s="35">
        <f t="shared" si="10"/>
        <v>0.08268330733</v>
      </c>
    </row>
    <row r="36" ht="15.75" customHeight="1">
      <c r="A36" s="4" t="s">
        <v>45</v>
      </c>
      <c r="B36" s="6"/>
      <c r="C36" s="6"/>
      <c r="D36" s="6"/>
      <c r="E36" s="6"/>
      <c r="F36" s="6"/>
    </row>
    <row r="37" ht="15.75" customHeight="1">
      <c r="A37" s="8"/>
      <c r="B37" s="60" t="s">
        <v>46</v>
      </c>
      <c r="C37" s="40">
        <f>SUMIFS(Raw_Data_Period!AX:AX, Raw_Data_Period!$A:$A, "Control", Raw_Data_Period!$C:$C, TRUE)</f>
        <v>67.9076</v>
      </c>
      <c r="D37" s="40">
        <f>SUMIFS(Raw_Data_Period!AX:AX, Raw_Data_Period!$A:$A, "Variant", Raw_Data_Period!$C:$C, TRUE)</f>
        <v>42.8724</v>
      </c>
      <c r="E37" s="50">
        <f t="shared" ref="E37:E41" si="11">IFERROR(D37-C37,"")</f>
        <v>-25.0352</v>
      </c>
      <c r="F37" s="26">
        <f t="shared" ref="F37:F41" si="12">IFERROR((D37-C37)/ABS(C37),"")</f>
        <v>-0.3686656575</v>
      </c>
    </row>
    <row r="38" ht="15.75" customHeight="1">
      <c r="A38" s="8"/>
      <c r="B38" s="60" t="s">
        <v>47</v>
      </c>
      <c r="C38" s="40">
        <f>SUMIFS(Raw_Data_Period!AY:AY, Raw_Data_Period!$A:$A, "Control", Raw_Data_Period!$C:$C, TRUE)</f>
        <v>43.3776</v>
      </c>
      <c r="D38" s="40">
        <f>SUMIFS(Raw_Data_Period!AY:AY, Raw_Data_Period!$A:$A, "Variant", Raw_Data_Period!$C:$C, TRUE)</f>
        <v>52.0056</v>
      </c>
      <c r="E38" s="50">
        <f t="shared" si="11"/>
        <v>8.628</v>
      </c>
      <c r="F38" s="26">
        <f t="shared" si="12"/>
        <v>0.1989045037</v>
      </c>
    </row>
    <row r="39" ht="15.75" customHeight="1">
      <c r="A39" s="8"/>
      <c r="B39" s="60" t="s">
        <v>49</v>
      </c>
      <c r="C39" s="40">
        <f>SUMIFS(Raw_Data_Period!AZ:AZ, Raw_Data_Period!$A:$A, "Control", Raw_Data_Period!$C:$C, TRUE)</f>
        <v>2.5765</v>
      </c>
      <c r="D39" s="40">
        <f>SUMIFS(Raw_Data_Period!AZ:AZ, Raw_Data_Period!$A:$A, "Variant", Raw_Data_Period!$C:$C, TRUE)</f>
        <v>2.5302</v>
      </c>
      <c r="E39" s="59">
        <f t="shared" si="11"/>
        <v>-0.0463</v>
      </c>
      <c r="F39" s="43">
        <f t="shared" si="12"/>
        <v>-0.0179701145</v>
      </c>
    </row>
    <row r="40" ht="15.75" customHeight="1">
      <c r="A40" s="8"/>
      <c r="B40" s="60" t="s">
        <v>50</v>
      </c>
      <c r="C40" s="40">
        <f>SUMIFS(Raw_Data_Period!BA:BA, Raw_Data_Period!$A:$A, "Control", Raw_Data_Period!$C:$C, TRUE)</f>
        <v>7.9103</v>
      </c>
      <c r="D40" s="40">
        <f>SUMIFS(Raw_Data_Period!BA:BA, Raw_Data_Period!$A:$A, "Variant", Raw_Data_Period!$C:$C, TRUE)</f>
        <v>7.3781</v>
      </c>
      <c r="E40" s="59">
        <f t="shared" si="11"/>
        <v>-0.5322</v>
      </c>
      <c r="F40" s="43">
        <f t="shared" si="12"/>
        <v>-0.06727936994</v>
      </c>
    </row>
    <row r="41" ht="15.75" customHeight="1">
      <c r="A41" s="8"/>
      <c r="B41" s="60" t="s">
        <v>51</v>
      </c>
      <c r="C41" s="40">
        <f>SUMIFS(Raw_Data_Period!BB:BB, Raw_Data_Period!$A:$A, "Control", Raw_Data_Period!$C:$C, TRUE)</f>
        <v>1.6173</v>
      </c>
      <c r="D41" s="40">
        <f>SUMIFS(Raw_Data_Period!BB:BB, Raw_Data_Period!$A:$A, "Variant", Raw_Data_Period!$C:$C, TRUE)</f>
        <v>1.5577</v>
      </c>
      <c r="E41" s="50">
        <f t="shared" si="11"/>
        <v>-0.0596</v>
      </c>
      <c r="F41" s="26">
        <f t="shared" si="12"/>
        <v>-0.03685154269</v>
      </c>
    </row>
    <row r="42" ht="15.75" customHeight="1">
      <c r="A42" s="4" t="s">
        <v>52</v>
      </c>
      <c r="B42" s="6"/>
      <c r="C42" s="6"/>
      <c r="D42" s="6"/>
      <c r="E42" s="6"/>
      <c r="F42" s="6"/>
    </row>
    <row r="43" ht="15.75" customHeight="1">
      <c r="A43" s="8"/>
      <c r="B43" s="10" t="s">
        <v>53</v>
      </c>
      <c r="C43" s="16">
        <f>SUMIFS(Raw_Data_Period!Y:Y, Raw_Data_Period!$A:$A, "Control", Raw_Data_Period!$C:$C, TRUE)</f>
        <v>181</v>
      </c>
      <c r="D43" s="16">
        <f>SUMIFS(Raw_Data_Period!Y:Y, Raw_Data_Period!$A:$A, "Variant", Raw_Data_Period!$C:$C, TRUE)</f>
        <v>174</v>
      </c>
      <c r="E43" s="22">
        <f t="shared" ref="E43:E46" si="13">IFERROR(D43-C43,"")</f>
        <v>-7</v>
      </c>
      <c r="F43" s="26">
        <f t="shared" ref="F43:F46" si="14">IFERROR((D43-C43)/ABS(C43),"")</f>
        <v>-0.03867403315</v>
      </c>
    </row>
    <row r="44" ht="15.75" customHeight="1">
      <c r="A44" s="8"/>
      <c r="B44" s="10" t="s">
        <v>54</v>
      </c>
      <c r="C44" s="16">
        <f>SUMIFS(Raw_Data_Period!Z:Z, Raw_Data_Period!$A:$A, "Control", Raw_Data_Period!$C:$C, TRUE)</f>
        <v>383</v>
      </c>
      <c r="D44" s="16">
        <f>SUMIFS(Raw_Data_Period!Z:Z, Raw_Data_Period!$A:$A, "Variant", Raw_Data_Period!$C:$C, TRUE)</f>
        <v>334</v>
      </c>
      <c r="E44" s="22">
        <f t="shared" si="13"/>
        <v>-49</v>
      </c>
      <c r="F44" s="26">
        <f t="shared" si="14"/>
        <v>-0.1279373368</v>
      </c>
    </row>
    <row r="45" ht="15.75" customHeight="1">
      <c r="A45" s="8"/>
      <c r="B45" s="10" t="s">
        <v>55</v>
      </c>
      <c r="C45" s="16">
        <f>SUMIFS(Raw_Data_Period!AA:AA, Raw_Data_Period!$A:$A, "Control", Raw_Data_Period!$C:$C, TRUE)</f>
        <v>1414</v>
      </c>
      <c r="D45" s="16">
        <f>SUMIFS(Raw_Data_Period!AA:AA, Raw_Data_Period!$A:$A, "Variant", Raw_Data_Period!$C:$C, TRUE)</f>
        <v>1209</v>
      </c>
      <c r="E45" s="22">
        <f t="shared" si="13"/>
        <v>-205</v>
      </c>
      <c r="F45" s="26">
        <f t="shared" si="14"/>
        <v>-0.1449787836</v>
      </c>
    </row>
    <row r="46" ht="15.75" customHeight="1">
      <c r="A46" s="8"/>
      <c r="B46" s="45" t="s">
        <v>56</v>
      </c>
      <c r="C46" s="16">
        <f>SUMIFS(Raw_Data_Period!BD:BD, Raw_Data_Period!$A:$A, "Control", Raw_Data_Period!$C:$C, TRUE)</f>
        <v>20847</v>
      </c>
      <c r="D46" s="16">
        <f>SUMIFS(Raw_Data_Period!BD:BD, Raw_Data_Period!$A:$A, "Variant", Raw_Data_Period!$C:$C, TRUE)</f>
        <v>19409</v>
      </c>
      <c r="E46" s="22">
        <f t="shared" si="13"/>
        <v>-1438</v>
      </c>
      <c r="F46" s="26">
        <f t="shared" si="14"/>
        <v>-0.06897874994</v>
      </c>
    </row>
    <row r="47" ht="15.75" customHeight="1">
      <c r="A47" s="4" t="s">
        <v>57</v>
      </c>
      <c r="B47" s="6"/>
      <c r="C47" s="6"/>
      <c r="D47" s="6"/>
      <c r="E47" s="6"/>
      <c r="F47" s="6"/>
    </row>
    <row r="48" ht="15.75" customHeight="1">
      <c r="A48" s="8"/>
      <c r="B48" s="10" t="s">
        <v>58</v>
      </c>
      <c r="C48" s="40">
        <f>SUMIFS(Raw_Data_Period!AB:AB, Raw_Data_Period!$A:$A, "Control", Raw_Data_Period!$C:$C, TRUE)</f>
        <v>51.7672</v>
      </c>
      <c r="D48" s="40">
        <f>SUMIFS(Raw_Data_Period!AB:AB, Raw_Data_Period!$A:$A, "Variant", Raw_Data_Period!$C:$C, TRUE)</f>
        <v>51.6739</v>
      </c>
      <c r="E48" s="41">
        <f t="shared" ref="E48:E49" si="15">IFERROR(D48-C48,"")</f>
        <v>-0.0933</v>
      </c>
      <c r="F48" s="43">
        <f t="shared" ref="F48:F49" si="16">IFERROR((D48-C48)/ABS(C48),"")</f>
        <v>-0.001802299526</v>
      </c>
    </row>
    <row r="49" ht="15.75" customHeight="1">
      <c r="A49" s="8"/>
      <c r="B49" s="10" t="s">
        <v>59</v>
      </c>
      <c r="C49" s="40">
        <f>SUMIFS(Raw_Data_Period!AC:AC, Raw_Data_Period!$A:$A, "Control", Raw_Data_Period!$C:$C, TRUE)</f>
        <v>0.6582</v>
      </c>
      <c r="D49" s="40">
        <f>SUMIFS(Raw_Data_Period!AC:AC, Raw_Data_Period!$A:$A, "Variant", Raw_Data_Period!$C:$C, TRUE)</f>
        <v>0.6551</v>
      </c>
      <c r="E49" s="41">
        <f t="shared" si="15"/>
        <v>-0.0031</v>
      </c>
      <c r="F49" s="35">
        <f t="shared" si="16"/>
        <v>-0.004709814646</v>
      </c>
    </row>
    <row r="50" ht="15.75" customHeight="1">
      <c r="A50" s="4" t="s">
        <v>60</v>
      </c>
      <c r="B50" s="6"/>
      <c r="C50" s="6"/>
      <c r="D50" s="6"/>
      <c r="E50" s="6"/>
      <c r="F50" s="6"/>
    </row>
    <row r="51" ht="15.75" customHeight="1">
      <c r="A51" s="8"/>
      <c r="B51" s="10" t="s">
        <v>61</v>
      </c>
      <c r="C51" s="62">
        <f>SUMIFS(Raw_Data_Period!AI:AI, Raw_Data_Period!$A:$A, "Control", Raw_Data_Period!$C:$C, TRUE)</f>
        <v>51.1681</v>
      </c>
      <c r="D51" s="62">
        <f>SUMIFS(Raw_Data_Period!AI:AI, Raw_Data_Period!$A:$A, "Variant", Raw_Data_Period!$C:$C, TRUE)</f>
        <v>50.4359</v>
      </c>
      <c r="E51" s="64">
        <f t="shared" ref="E51:E53" si="17">IFERROR(D51-C51,"")</f>
        <v>-0.7322</v>
      </c>
      <c r="F51" s="35">
        <f t="shared" ref="F51:F53" si="18">IFERROR((D51-C51)/ABS(C51),"")</f>
        <v>-0.01430969686</v>
      </c>
    </row>
    <row r="52" ht="15.75" customHeight="1">
      <c r="A52" s="8"/>
      <c r="B52" s="10" t="s">
        <v>62</v>
      </c>
      <c r="C52" s="62">
        <f>SUMIFS(Raw_Data_Period!AJ:AJ, Raw_Data_Period!$A:$A, "Control", Raw_Data_Period!$C:$C, TRUE)</f>
        <v>20.4618</v>
      </c>
      <c r="D52" s="62">
        <f>SUMIFS(Raw_Data_Period!AJ:AJ, Raw_Data_Period!$A:$A, "Variant", Raw_Data_Period!$C:$C, TRUE)</f>
        <v>20.0162</v>
      </c>
      <c r="E52" s="65">
        <f t="shared" si="17"/>
        <v>-0.4456</v>
      </c>
      <c r="F52" s="43">
        <f t="shared" si="18"/>
        <v>-0.02177716525</v>
      </c>
    </row>
    <row r="53" ht="15.75" customHeight="1">
      <c r="A53" s="8"/>
      <c r="B53" s="10" t="s">
        <v>63</v>
      </c>
      <c r="C53" s="62">
        <f>SUMIFS(Raw_Data_Period!AK:AK, Raw_Data_Period!$A:$A, "Control", Raw_Data_Period!$C:$C, TRUE)</f>
        <v>3.6262</v>
      </c>
      <c r="D53" s="62">
        <f>SUMIFS(Raw_Data_Period!AK:AK, Raw_Data_Period!$A:$A, "Variant", Raw_Data_Period!$C:$C, TRUE)</f>
        <v>3.4757</v>
      </c>
      <c r="E53" s="65">
        <f t="shared" si="17"/>
        <v>-0.1505</v>
      </c>
      <c r="F53" s="43">
        <f t="shared" si="18"/>
        <v>-0.04150350229</v>
      </c>
    </row>
    <row r="54" ht="15.75" customHeight="1">
      <c r="A54" s="4" t="s">
        <v>64</v>
      </c>
      <c r="B54" s="6"/>
      <c r="C54" s="6"/>
      <c r="D54" s="6"/>
      <c r="E54" s="6"/>
      <c r="F54" s="6"/>
    </row>
    <row r="55" ht="15.75" customHeight="1">
      <c r="A55" s="8"/>
      <c r="B55" s="10" t="s">
        <v>65</v>
      </c>
      <c r="C55" s="48">
        <f>SUMIFS(Raw_Data_Period!AL:AL, Raw_Data_Period!$A:$A, "Control", Raw_Data_Period!$C:$C, TRUE)</f>
        <v>0.3935</v>
      </c>
      <c r="D55" s="48">
        <f>SUMIFS(Raw_Data_Period!AL:AL, Raw_Data_Period!$A:$A, "Variant", Raw_Data_Period!$C:$C, TRUE)</f>
        <v>0.3975</v>
      </c>
      <c r="E55" s="66">
        <f>IFERROR(D55-C55,"")</f>
        <v>0.004</v>
      </c>
      <c r="F55" s="43">
        <f>IFERROR((D55-C55)/ABS(C55),"")</f>
        <v>0.01016518424</v>
      </c>
    </row>
    <row r="56" ht="15.75" customHeight="1">
      <c r="A56" s="4" t="s">
        <v>66</v>
      </c>
      <c r="B56" s="6"/>
      <c r="C56" s="6"/>
      <c r="D56" s="6"/>
      <c r="E56" s="6"/>
      <c r="F56" s="6"/>
    </row>
    <row r="57" ht="15.75" customHeight="1">
      <c r="A57" s="8"/>
      <c r="B57" s="10" t="s">
        <v>67</v>
      </c>
      <c r="C57" s="62"/>
      <c r="D57" s="62">
        <f>SUMIFS(Raw_Data_Period!AI:AI, Raw_Data_Period!$A:$A, "Variant", Raw_Data_Period!$C:$C, TRUE)</f>
        <v>50.4359</v>
      </c>
      <c r="E57" s="64"/>
      <c r="F57" s="35"/>
    </row>
    <row r="58" ht="15.75" customHeight="1">
      <c r="A58" s="8"/>
      <c r="B58" s="67" t="s">
        <v>68</v>
      </c>
      <c r="C58" s="62"/>
      <c r="D58" s="62">
        <f>SUMIFS(Raw_Data_Period!AI:AI, Raw_Data_Period!$A:$A, "Variant", Raw_Data_Period!$C:$C, TRUE)</f>
        <v>50.4359</v>
      </c>
      <c r="E58" s="64"/>
      <c r="F58" s="35"/>
    </row>
    <row r="59" ht="15.75" customHeight="1">
      <c r="A59" s="8"/>
      <c r="B59" s="67" t="s">
        <v>69</v>
      </c>
      <c r="C59" s="62"/>
      <c r="D59" s="62">
        <f>SUMIFS(Raw_Data_Period!AJ:AJ, Raw_Data_Period!$A:$A, "Variant", Raw_Data_Period!$C:$C, TRUE)</f>
        <v>20.0162</v>
      </c>
      <c r="E59" s="64"/>
      <c r="F59" s="35"/>
    </row>
    <row r="60" ht="15.75" customHeight="1">
      <c r="A60" s="8"/>
      <c r="B60" s="67" t="s">
        <v>70</v>
      </c>
      <c r="C60" s="62"/>
      <c r="D60" s="62">
        <f>SUMIFS(Raw_Data_Period!AK:AK, Raw_Data_Period!$A:$A, "Variant", Raw_Data_Period!$C:$C, TRUE)</f>
        <v>3.4757</v>
      </c>
      <c r="E60" s="64"/>
      <c r="F60" s="35"/>
    </row>
    <row r="61" ht="15.75" customHeight="1">
      <c r="A61" s="4" t="s">
        <v>71</v>
      </c>
      <c r="B61" s="6"/>
      <c r="C61" s="6"/>
      <c r="D61" s="6"/>
      <c r="E61" s="6"/>
      <c r="F61" s="6"/>
    </row>
    <row r="62" ht="15.75" customHeight="1">
      <c r="A62" s="8"/>
      <c r="B62" s="53" t="s">
        <v>72</v>
      </c>
      <c r="C62" s="48">
        <f>SUMIFS(Raw_Data_Period!AQ:AQ, Raw_Data_Period!$A:$A, "Control", Raw_Data_Period!$C:$C, TRUE)</f>
        <v>6.4909</v>
      </c>
      <c r="D62" s="48">
        <f>SUMIFS(Raw_Data_Period!AQ:AQ, Raw_Data_Period!$A:$A, "Variant", Raw_Data_Period!$C:$C, TRUE)</f>
        <v>6.2102</v>
      </c>
      <c r="E62" s="59">
        <f t="shared" ref="E62:E67" si="19">IFERROR(D62-C62,"")</f>
        <v>-0.2807</v>
      </c>
      <c r="F62" s="35">
        <f t="shared" ref="F62:F67" si="20">IFERROR((D62-C62)/ABS(C62),"")</f>
        <v>-0.04324515861</v>
      </c>
    </row>
    <row r="63" ht="15.75" customHeight="1">
      <c r="A63" s="8"/>
      <c r="B63" s="53" t="s">
        <v>73</v>
      </c>
      <c r="C63" s="48">
        <f>SUMIFS(Raw_Data_Period!AR:AR, Raw_Data_Period!$A:$A, "Control", Raw_Data_Period!$C:$C, TRUE)</f>
        <v>0.1468</v>
      </c>
      <c r="D63" s="48">
        <f>SUMIFS(Raw_Data_Period!AR:AR, Raw_Data_Period!$A:$A, "Variant", Raw_Data_Period!$C:$C, TRUE)</f>
        <v>0.1273</v>
      </c>
      <c r="E63" s="41">
        <f t="shared" si="19"/>
        <v>-0.0195</v>
      </c>
      <c r="F63" s="35">
        <f t="shared" si="20"/>
        <v>-0.1328337875</v>
      </c>
    </row>
    <row r="64" ht="15.75" customHeight="1">
      <c r="A64" s="8"/>
      <c r="B64" s="53" t="s">
        <v>74</v>
      </c>
      <c r="C64" s="48">
        <f>SUMIFS(Raw_Data_Period!AS:AS, Raw_Data_Period!$A:$A, "Control", Raw_Data_Period!$C:$C, TRUE)</f>
        <v>6.3441</v>
      </c>
      <c r="D64" s="48">
        <f>SUMIFS(Raw_Data_Period!AS:AS, Raw_Data_Period!$A:$A, "Variant", Raw_Data_Period!$C:$C, TRUE)</f>
        <v>6.0829</v>
      </c>
      <c r="E64" s="59">
        <f t="shared" si="19"/>
        <v>-0.2612</v>
      </c>
      <c r="F64" s="35">
        <f t="shared" si="20"/>
        <v>-0.04117211267</v>
      </c>
    </row>
    <row r="65" ht="15.75" customHeight="1">
      <c r="A65" s="8"/>
      <c r="B65" s="53" t="s">
        <v>75</v>
      </c>
      <c r="C65" s="48">
        <f>SUMIFS(Raw_Data_Period!AT:AT, Raw_Data_Period!$A:$A, "Control", Raw_Data_Period!$C:$C, TRUE)</f>
        <v>5.4066</v>
      </c>
      <c r="D65" s="48">
        <f>SUMIFS(Raw_Data_Period!AT:AT, Raw_Data_Period!$A:$A, "Variant", Raw_Data_Period!$C:$C, TRUE)</f>
        <v>5.1412</v>
      </c>
      <c r="E65" s="41">
        <f t="shared" si="19"/>
        <v>-0.2654</v>
      </c>
      <c r="F65" s="35">
        <f t="shared" si="20"/>
        <v>-0.04908815152</v>
      </c>
    </row>
    <row r="66" ht="15.75" customHeight="1">
      <c r="A66" s="8"/>
      <c r="B66" s="53" t="s">
        <v>76</v>
      </c>
      <c r="C66" s="48">
        <f>SUMIFS(Raw_Data_Period!AQ:AQ, Raw_Data_Period!$A:$A, "Control", Raw_Data_Period!$C:$C, TRUE) - SUMIFS(Raw_Data_Period!AT:AT, Raw_Data_Period!$A:$A, "Control", Raw_Data_Period!$C:$C, TRUE)</f>
        <v>1.0843</v>
      </c>
      <c r="D66" s="48">
        <f>SUMIFS(Raw_Data_Period!AQ:AQ, Raw_Data_Period!$A:$A, "Variant", Raw_Data_Period!$C:$C, TRUE) - SUMIFS(Raw_Data_Period!AT:AT, Raw_Data_Period!$A:$A, "Variant", Raw_Data_Period!$C:$C, TRUE)</f>
        <v>1.069</v>
      </c>
      <c r="E66" s="59">
        <f t="shared" si="19"/>
        <v>-0.0153</v>
      </c>
      <c r="F66" s="35">
        <f t="shared" si="20"/>
        <v>-0.01411048603</v>
      </c>
    </row>
    <row r="67" ht="15.75" customHeight="1">
      <c r="A67" s="8"/>
      <c r="B67" s="10" t="s">
        <v>77</v>
      </c>
      <c r="C67" s="48">
        <f>SUMIFS(Raw_Data_Period!AU:AU, Raw_Data_Period!$A:$A, "Control", Raw_Data_Period!$C:$C, TRUE)</f>
        <v>0.1991</v>
      </c>
      <c r="D67" s="48">
        <f>SUMIFS(Raw_Data_Period!AU:AU, Raw_Data_Period!$A:$A, "Variant", Raw_Data_Period!$C:$C, TRUE)</f>
        <v>0.1881</v>
      </c>
      <c r="E67" s="68">
        <f t="shared" si="19"/>
        <v>-0.011</v>
      </c>
      <c r="F67" s="43">
        <f t="shared" si="20"/>
        <v>-0.05524861878</v>
      </c>
    </row>
    <row r="68" ht="15.75" customHeight="1"/>
    <row r="69" ht="15.75" customHeight="1">
      <c r="A69" s="69" t="s">
        <v>78</v>
      </c>
      <c r="B69" s="6"/>
      <c r="C69" s="6"/>
      <c r="D69" s="6"/>
      <c r="E69" s="6"/>
      <c r="F69" s="6"/>
    </row>
    <row r="70" ht="15.75" customHeight="1">
      <c r="A70" s="8"/>
      <c r="B70" s="70" t="s">
        <v>79</v>
      </c>
      <c r="C70" s="48">
        <f>SUMIFS(Raw_Data_Period!BO:BO, Raw_Data_Period!$A:$A, "Control", Raw_Data_Period!$C:$C, TRUE)</f>
        <v>1.4163</v>
      </c>
      <c r="D70" s="48">
        <f>SUMIFS(Raw_Data_Period!BO:BO, Raw_Data_Period!$A:$A, "Variant", Raw_Data_Period!$C:$C, TRUE)</f>
        <v>1.2623</v>
      </c>
      <c r="E70" s="59">
        <f t="shared" ref="E70:E74" si="21">IFERROR(D70-C70,"")</f>
        <v>-0.154</v>
      </c>
      <c r="F70" s="35">
        <f t="shared" ref="F70:F74" si="22">IFERROR((D70-C70)/ABS(C70),"")</f>
        <v>-0.1087340253</v>
      </c>
    </row>
    <row r="71" ht="15.75" customHeight="1">
      <c r="A71" s="8"/>
      <c r="B71" s="70" t="s">
        <v>80</v>
      </c>
      <c r="C71" s="48">
        <f>SUMIFS(Raw_Data_Period!BP:BP, Raw_Data_Period!$A:$A, "Control", Raw_Data_Period!$C:$C, TRUE)</f>
        <v>0.0273</v>
      </c>
      <c r="D71" s="48">
        <f>SUMIFS(Raw_Data_Period!BP:BP, Raw_Data_Period!$A:$A, "Variant", Raw_Data_Period!$C:$C, TRUE)</f>
        <v>0.0243</v>
      </c>
      <c r="E71" s="41">
        <f t="shared" si="21"/>
        <v>-0.003</v>
      </c>
      <c r="F71" s="35">
        <f t="shared" si="22"/>
        <v>-0.1098901099</v>
      </c>
    </row>
    <row r="72" ht="15.75" customHeight="1">
      <c r="A72" s="8"/>
      <c r="B72" s="70" t="s">
        <v>81</v>
      </c>
      <c r="C72" s="48">
        <f>SUMIFS(Raw_Data_Period!BQ:BQ, Raw_Data_Period!$A:$A, "Control", Raw_Data_Period!$C:$C, TRUE)</f>
        <v>1.3889</v>
      </c>
      <c r="D72" s="48">
        <f>SUMIFS(Raw_Data_Period!BQ:BQ, Raw_Data_Period!$A:$A, "Variant", Raw_Data_Period!$C:$C, TRUE)</f>
        <v>1.2379</v>
      </c>
      <c r="E72" s="59">
        <f t="shared" si="21"/>
        <v>-0.151</v>
      </c>
      <c r="F72" s="35">
        <f t="shared" si="22"/>
        <v>-0.1087191302</v>
      </c>
    </row>
    <row r="73" ht="15.75" customHeight="1">
      <c r="A73" s="8"/>
      <c r="B73" s="70" t="s">
        <v>82</v>
      </c>
      <c r="C73" s="48">
        <f>SUMIFS(Raw_Data_Period!BR:BR, Raw_Data_Period!$A:$A, "Control", Raw_Data_Period!$C:$C, TRUE)</f>
        <v>1.0705</v>
      </c>
      <c r="D73" s="48">
        <f>SUMIFS(Raw_Data_Period!BR:BR, Raw_Data_Period!$A:$A, "Variant", Raw_Data_Period!$C:$C, TRUE)</f>
        <v>0.9899</v>
      </c>
      <c r="E73" s="41">
        <f t="shared" si="21"/>
        <v>-0.0806</v>
      </c>
      <c r="F73" s="35">
        <f t="shared" si="22"/>
        <v>-0.07529191966</v>
      </c>
    </row>
    <row r="74" ht="15.75" customHeight="1">
      <c r="A74" s="8"/>
      <c r="B74" s="70" t="s">
        <v>83</v>
      </c>
      <c r="C74" s="48">
        <f>SUMIFS(Raw_Data_Period!BO:BO, Raw_Data_Period!$A:$A, "Control", Raw_Data_Period!$C:$C, TRUE) - SUMIFS(Raw_Data_Period!BR:BR, Raw_Data_Period!$A:$A, "Control", Raw_Data_Period!$C:$C, TRUE)</f>
        <v>0.3458</v>
      </c>
      <c r="D74" s="48">
        <f>SUMIFS(Raw_Data_Period!BO:BO, Raw_Data_Period!$A:$A, "Variant", Raw_Data_Period!$C:$C, TRUE) - SUMIFS(Raw_Data_Period!BR:BR, Raw_Data_Period!$A:$A, "Variant", Raw_Data_Period!$C:$C, TRUE)</f>
        <v>0.2724</v>
      </c>
      <c r="E74" s="59">
        <f t="shared" si="21"/>
        <v>-0.0734</v>
      </c>
      <c r="F74" s="35">
        <f t="shared" si="22"/>
        <v>-0.2122614228</v>
      </c>
    </row>
    <row r="75" ht="15.75" customHeight="1">
      <c r="A75" s="69" t="s">
        <v>84</v>
      </c>
      <c r="B75" s="6"/>
      <c r="C75" s="6"/>
      <c r="D75" s="6"/>
      <c r="E75" s="6"/>
      <c r="F75" s="6"/>
    </row>
    <row r="76" ht="15.75" customHeight="1">
      <c r="A76" s="8"/>
      <c r="B76" s="70" t="s">
        <v>85</v>
      </c>
      <c r="C76" s="48">
        <f>SUMIFS(Raw_Data_Period!BS:BS, Raw_Data_Period!$A:$A, "Control", Raw_Data_Period!$C:$C, TRUE)</f>
        <v>1.5755</v>
      </c>
      <c r="D76" s="48">
        <f>SUMIFS(Raw_Data_Period!BS:BS, Raw_Data_Period!$A:$A, "Variant", Raw_Data_Period!$C:$C, TRUE)</f>
        <v>1.3041</v>
      </c>
      <c r="E76" s="59">
        <f t="shared" ref="E76:E80" si="23">IFERROR(D76-C76,"")</f>
        <v>-0.2714</v>
      </c>
      <c r="F76" s="35">
        <f t="shared" ref="F76:F80" si="24">IFERROR((D76-C76)/ABS(C76),"")</f>
        <v>-0.1722627737</v>
      </c>
    </row>
    <row r="77" ht="15.75" customHeight="1">
      <c r="A77" s="8"/>
      <c r="B77" s="70" t="s">
        <v>86</v>
      </c>
      <c r="C77" s="48">
        <f>SUMIFS(Raw_Data_Period!BT:BT, Raw_Data_Period!$A:$A, "Control", Raw_Data_Period!$C:$C, TRUE)</f>
        <v>0.0255</v>
      </c>
      <c r="D77" s="48">
        <f>SUMIFS(Raw_Data_Period!BT:BT, Raw_Data_Period!$A:$A, "Variant", Raw_Data_Period!$C:$C, TRUE)</f>
        <v>0.0213</v>
      </c>
      <c r="E77" s="41">
        <f t="shared" si="23"/>
        <v>-0.0042</v>
      </c>
      <c r="F77" s="35">
        <f t="shared" si="24"/>
        <v>-0.1647058824</v>
      </c>
    </row>
    <row r="78" ht="15.75" customHeight="1">
      <c r="A78" s="8"/>
      <c r="B78" s="70" t="s">
        <v>87</v>
      </c>
      <c r="C78" s="48">
        <f>SUMIFS(Raw_Data_Period!BU:BU, Raw_Data_Period!$A:$A, "Control", Raw_Data_Period!$C:$C, TRUE)</f>
        <v>1.55</v>
      </c>
      <c r="D78" s="48">
        <f>SUMIFS(Raw_Data_Period!BU:BU, Raw_Data_Period!$A:$A, "Variant", Raw_Data_Period!$C:$C, TRUE)</f>
        <v>1.2828</v>
      </c>
      <c r="E78" s="59">
        <f t="shared" si="23"/>
        <v>-0.2672</v>
      </c>
      <c r="F78" s="35">
        <f t="shared" si="24"/>
        <v>-0.1723870968</v>
      </c>
    </row>
    <row r="79" ht="15.75" customHeight="1">
      <c r="A79" s="8"/>
      <c r="B79" s="70" t="s">
        <v>88</v>
      </c>
      <c r="C79" s="48">
        <f>SUMIFS(Raw_Data_Period!BV:BV, Raw_Data_Period!$A:$A, "Control", Raw_Data_Period!$C:$C, TRUE)</f>
        <v>1.1085</v>
      </c>
      <c r="D79" s="48">
        <f>SUMIFS(Raw_Data_Period!BV:BV, Raw_Data_Period!$A:$A, "Variant", Raw_Data_Period!$C:$C, TRUE)</f>
        <v>0.9603</v>
      </c>
      <c r="E79" s="41">
        <f t="shared" si="23"/>
        <v>-0.1482</v>
      </c>
      <c r="F79" s="35">
        <f t="shared" si="24"/>
        <v>-0.1336941813</v>
      </c>
    </row>
    <row r="80" ht="15.75" customHeight="1">
      <c r="A80" s="8"/>
      <c r="B80" s="70" t="s">
        <v>89</v>
      </c>
      <c r="C80" s="48">
        <f>SUMIFS(Raw_Data_Period!BS:BS, Raw_Data_Period!$A:$A, "Control", Raw_Data_Period!$C:$C, TRUE) - SUMIFS(Raw_Data_Period!BV:BV, Raw_Data_Period!$A:$A, "Control", Raw_Data_Period!$C:$C, TRUE)</f>
        <v>0.467</v>
      </c>
      <c r="D80" s="48">
        <f>SUMIFS(Raw_Data_Period!BS:BS, Raw_Data_Period!$A:$A, "Variant", Raw_Data_Period!$C:$C, TRUE) - SUMIFS(Raw_Data_Period!BV:BV, Raw_Data_Period!$A:$A, "Variant", Raw_Data_Period!$C:$C, TRUE)</f>
        <v>0.3438</v>
      </c>
      <c r="E80" s="59">
        <f t="shared" si="23"/>
        <v>-0.1232</v>
      </c>
      <c r="F80" s="35">
        <f t="shared" si="24"/>
        <v>-0.2638115632</v>
      </c>
    </row>
    <row r="81" ht="15.75" customHeight="1">
      <c r="A81" s="69" t="s">
        <v>90</v>
      </c>
      <c r="B81" s="6"/>
      <c r="C81" s="6"/>
      <c r="D81" s="6"/>
      <c r="E81" s="6"/>
      <c r="F81" s="6"/>
    </row>
    <row r="82" ht="15.75" customHeight="1">
      <c r="A82" s="8"/>
      <c r="B82" s="70" t="s">
        <v>91</v>
      </c>
      <c r="C82" s="48">
        <f>SUMIFS(Raw_Data_Period!BW:BW, Raw_Data_Period!$A:$A, "Control", Raw_Data_Period!$C:$C, TRUE)</f>
        <v>0.7991</v>
      </c>
      <c r="D82" s="48">
        <f>SUMIFS(Raw_Data_Period!BW:BW, Raw_Data_Period!$A:$A, "Variant", Raw_Data_Period!$C:$C, TRUE)</f>
        <v>0.7773</v>
      </c>
      <c r="E82" s="59">
        <f t="shared" ref="E82:E86" si="25">IFERROR(D82-C82,"")</f>
        <v>-0.0218</v>
      </c>
      <c r="F82" s="35">
        <f t="shared" ref="F82:F86" si="26">IFERROR((D82-C82)/ABS(C82),"")</f>
        <v>-0.02728069078</v>
      </c>
    </row>
    <row r="83" ht="15.75" customHeight="1">
      <c r="A83" s="8"/>
      <c r="B83" s="70" t="s">
        <v>92</v>
      </c>
      <c r="C83" s="48">
        <f>SUMIFS(Raw_Data_Period!BX:BX, Raw_Data_Period!$A:$A, "Control", Raw_Data_Period!$C:$C, TRUE)</f>
        <v>0.0335</v>
      </c>
      <c r="D83" s="48">
        <f>SUMIFS(Raw_Data_Period!BX:BX, Raw_Data_Period!$A:$A, "Variant", Raw_Data_Period!$C:$C, TRUE)</f>
        <v>0.0255</v>
      </c>
      <c r="E83" s="41">
        <f t="shared" si="25"/>
        <v>-0.008</v>
      </c>
      <c r="F83" s="35">
        <f t="shared" si="26"/>
        <v>-0.2388059701</v>
      </c>
    </row>
    <row r="84" ht="15.75" customHeight="1">
      <c r="A84" s="8"/>
      <c r="B84" s="70" t="s">
        <v>93</v>
      </c>
      <c r="C84" s="48">
        <f>SUMIFS(Raw_Data_Period!BY:BY, Raw_Data_Period!$A:$A, "Control", Raw_Data_Period!$C:$C, TRUE)</f>
        <v>0.7656</v>
      </c>
      <c r="D84" s="48">
        <f>SUMIFS(Raw_Data_Period!BY:BY, Raw_Data_Period!$A:$A, "Variant", Raw_Data_Period!$C:$C, TRUE)</f>
        <v>0.7518</v>
      </c>
      <c r="E84" s="59">
        <f t="shared" si="25"/>
        <v>-0.0138</v>
      </c>
      <c r="F84" s="35">
        <f t="shared" si="26"/>
        <v>-0.01802507837</v>
      </c>
    </row>
    <row r="85" ht="15.75" customHeight="1">
      <c r="A85" s="8"/>
      <c r="B85" s="70" t="s">
        <v>94</v>
      </c>
      <c r="C85" s="48">
        <f>SUMIFS(Raw_Data_Period!BZ:BZ, Raw_Data_Period!$A:$A, "Control", Raw_Data_Period!$C:$C, TRUE)</f>
        <v>0.6199</v>
      </c>
      <c r="D85" s="48">
        <f>SUMIFS(Raw_Data_Period!BZ:BZ, Raw_Data_Period!$A:$A, "Variant", Raw_Data_Period!$C:$C, TRUE)</f>
        <v>0.6203</v>
      </c>
      <c r="E85" s="41">
        <f t="shared" si="25"/>
        <v>0.0004</v>
      </c>
      <c r="F85" s="35">
        <f t="shared" si="26"/>
        <v>0.0006452653654</v>
      </c>
    </row>
    <row r="86" ht="15.75" customHeight="1">
      <c r="A86" s="8"/>
      <c r="B86" s="70" t="s">
        <v>95</v>
      </c>
      <c r="C86" s="48">
        <f>SUMIFS(Raw_Data_Period!BW:BW, Raw_Data_Period!$A:$A, "Control", Raw_Data_Period!$C:$C, TRUE) - SUMIFS(Raw_Data_Period!BZ:BZ, Raw_Data_Period!$A:$A, "Control", Raw_Data_Period!$C:$C, TRUE)</f>
        <v>0.1792</v>
      </c>
      <c r="D86" s="48">
        <f>SUMIFS(Raw_Data_Period!BW:BW, Raw_Data_Period!$A:$A, "Variant", Raw_Data_Period!$C:$C, TRUE) - SUMIFS(Raw_Data_Period!BZ:BZ, Raw_Data_Period!$A:$A, "Variant", Raw_Data_Period!$C:$C, TRUE)</f>
        <v>0.157</v>
      </c>
      <c r="E86" s="59">
        <f t="shared" si="25"/>
        <v>-0.0222</v>
      </c>
      <c r="F86" s="35">
        <f t="shared" si="26"/>
        <v>-0.1238839286</v>
      </c>
    </row>
    <row r="87" ht="15.75" customHeight="1">
      <c r="A87" s="69" t="s">
        <v>96</v>
      </c>
      <c r="B87" s="6"/>
      <c r="C87" s="6"/>
      <c r="D87" s="6"/>
      <c r="E87" s="6"/>
      <c r="F87" s="6"/>
    </row>
    <row r="88" ht="15.75" customHeight="1">
      <c r="A88" s="8"/>
      <c r="B88" s="70" t="s">
        <v>97</v>
      </c>
      <c r="C88" s="48">
        <f>SUMIFS(Raw_Data_Period!CE:CE, Raw_Data_Period!$A:$A, "Control", Raw_Data_Period!$C:$C, TRUE)</f>
        <v>1.0934</v>
      </c>
      <c r="D88" s="48">
        <f>SUMIFS(Raw_Data_Period!CE:CE, Raw_Data_Period!$A:$A, "Variant", Raw_Data_Period!$C:$C, TRUE)</f>
        <v>1.3527</v>
      </c>
      <c r="E88" s="59">
        <f t="shared" ref="E88:E92" si="27">IFERROR(D88-C88,"")</f>
        <v>0.2593</v>
      </c>
      <c r="F88" s="35">
        <f t="shared" ref="F88:F92" si="28">IFERROR((D88-C88)/ABS(C88),"")</f>
        <v>0.2371501738</v>
      </c>
    </row>
    <row r="89" ht="15.75" customHeight="1">
      <c r="A89" s="8"/>
      <c r="B89" s="70" t="s">
        <v>98</v>
      </c>
      <c r="C89" s="48">
        <f>SUMIFS(Raw_Data_Period!CF:CF, Raw_Data_Period!$A:$A, "Control", Raw_Data_Period!$C:$C, TRUE)</f>
        <v>0.0252</v>
      </c>
      <c r="D89" s="48">
        <f>SUMIFS(Raw_Data_Period!CF:CF, Raw_Data_Period!$A:$A, "Variant", Raw_Data_Period!$C:$C, TRUE)</f>
        <v>0.0227</v>
      </c>
      <c r="E89" s="41">
        <f t="shared" si="27"/>
        <v>-0.0025</v>
      </c>
      <c r="F89" s="35">
        <f t="shared" si="28"/>
        <v>-0.09920634921</v>
      </c>
    </row>
    <row r="90" ht="15.75" customHeight="1">
      <c r="A90" s="8"/>
      <c r="B90" s="70" t="s">
        <v>99</v>
      </c>
      <c r="C90" s="48">
        <f>SUMIFS(Raw_Data_Period!CG:CG, Raw_Data_Period!$A:$A, "Control", Raw_Data_Period!$C:$C, TRUE)</f>
        <v>1.0682</v>
      </c>
      <c r="D90" s="48">
        <f>SUMIFS(Raw_Data_Period!CG:CG, Raw_Data_Period!$A:$A, "Variant", Raw_Data_Period!$C:$C, TRUE)</f>
        <v>1.33</v>
      </c>
      <c r="E90" s="59">
        <f t="shared" si="27"/>
        <v>0.2618</v>
      </c>
      <c r="F90" s="35">
        <f t="shared" si="28"/>
        <v>0.24508519</v>
      </c>
    </row>
    <row r="91" ht="15.75" customHeight="1">
      <c r="A91" s="8"/>
      <c r="B91" s="70" t="s">
        <v>100</v>
      </c>
      <c r="C91" s="48">
        <f>SUMIFS(Raw_Data_Period!CH:CH, Raw_Data_Period!$A:$A, "Control", Raw_Data_Period!$C:$C, TRUE)</f>
        <v>0.9984</v>
      </c>
      <c r="D91" s="48">
        <f>SUMIFS(Raw_Data_Period!CH:CH, Raw_Data_Period!$A:$A, "Variant", Raw_Data_Period!$C:$C, TRUE)</f>
        <v>1.1056</v>
      </c>
      <c r="E91" s="41">
        <f t="shared" si="27"/>
        <v>0.1072</v>
      </c>
      <c r="F91" s="35">
        <f t="shared" si="28"/>
        <v>0.1073717949</v>
      </c>
    </row>
    <row r="92" ht="15.75" customHeight="1">
      <c r="A92" s="8"/>
      <c r="B92" s="70" t="s">
        <v>101</v>
      </c>
      <c r="C92" s="48">
        <f>SUMIFS(Raw_Data_Period!CE:CE, Raw_Data_Period!$A:$A, "Control", Raw_Data_Period!$C:$C, TRUE) - SUMIFS(Raw_Data_Period!CH:CH, Raw_Data_Period!$A:$A, "Control", Raw_Data_Period!$C:$C, TRUE)</f>
        <v>0.095</v>
      </c>
      <c r="D92" s="48">
        <f>SUMIFS(Raw_Data_Period!CE:CE, Raw_Data_Period!$A:$A, "Variant", Raw_Data_Period!$C:$C, TRUE) - SUMIFS(Raw_Data_Period!CH:CH, Raw_Data_Period!$A:$A, "Variant", Raw_Data_Period!$C:$C, TRUE)</f>
        <v>0.2471</v>
      </c>
      <c r="E92" s="59">
        <f t="shared" si="27"/>
        <v>0.1521</v>
      </c>
      <c r="F92" s="35">
        <f t="shared" si="28"/>
        <v>1.601052632</v>
      </c>
    </row>
    <row r="93" ht="15.75" customHeight="1">
      <c r="A93" s="69" t="s">
        <v>102</v>
      </c>
      <c r="B93" s="6"/>
      <c r="C93" s="6"/>
      <c r="D93" s="6"/>
      <c r="E93" s="6"/>
      <c r="F93" s="6"/>
    </row>
    <row r="94" ht="15.75" customHeight="1">
      <c r="A94" s="8"/>
      <c r="B94" s="70" t="s">
        <v>103</v>
      </c>
      <c r="C94" s="48">
        <f>SUMIFS(Raw_Data_Period!CI:CI, Raw_Data_Period!$A:$A, "Control", Raw_Data_Period!$C:$C, TRUE)</f>
        <v>1.0713</v>
      </c>
      <c r="D94" s="48">
        <f>SUMIFS(Raw_Data_Period!CI:CI, Raw_Data_Period!$A:$A, "Variant", Raw_Data_Period!$C:$C, TRUE)</f>
        <v>1.0144</v>
      </c>
      <c r="E94" s="59">
        <f t="shared" ref="E94:E98" si="29">IFERROR(D94-C94,"")</f>
        <v>-0.0569</v>
      </c>
      <c r="F94" s="35">
        <f t="shared" ref="F94:F98" si="30">IFERROR((D94-C94)/ABS(C94),"")</f>
        <v>-0.05311304023</v>
      </c>
    </row>
    <row r="95" ht="15.75" customHeight="1">
      <c r="A95" s="8"/>
      <c r="B95" s="70" t="s">
        <v>104</v>
      </c>
      <c r="C95" s="48">
        <f>SUMIFS(Raw_Data_Period!CJ:CJ, Raw_Data_Period!$A:$A, "Control", Raw_Data_Period!$C:$C, TRUE)</f>
        <v>0.0201</v>
      </c>
      <c r="D95" s="48">
        <f>SUMIFS(Raw_Data_Period!CJ:CJ, Raw_Data_Period!$A:$A, "Variant", Raw_Data_Period!$C:$C, TRUE)</f>
        <v>0.0195</v>
      </c>
      <c r="E95" s="41">
        <f t="shared" si="29"/>
        <v>-0.0006</v>
      </c>
      <c r="F95" s="35">
        <f t="shared" si="30"/>
        <v>-0.02985074627</v>
      </c>
    </row>
    <row r="96" ht="15.75" customHeight="1">
      <c r="A96" s="8"/>
      <c r="B96" s="70" t="s">
        <v>105</v>
      </c>
      <c r="C96" s="48">
        <f>SUMIFS(Raw_Data_Period!CK:CK, Raw_Data_Period!$A:$A, "Control", Raw_Data_Period!$C:$C, TRUE)</f>
        <v>1.0512</v>
      </c>
      <c r="D96" s="48">
        <f>SUMIFS(Raw_Data_Period!CK:CK, Raw_Data_Period!$A:$A, "Variant", Raw_Data_Period!$C:$C, TRUE)</f>
        <v>0.9948</v>
      </c>
      <c r="E96" s="59">
        <f t="shared" si="29"/>
        <v>-0.0564</v>
      </c>
      <c r="F96" s="35">
        <f t="shared" si="30"/>
        <v>-0.05365296804</v>
      </c>
    </row>
    <row r="97" ht="15.75" customHeight="1">
      <c r="A97" s="8"/>
      <c r="B97" s="70" t="s">
        <v>106</v>
      </c>
      <c r="C97" s="48">
        <f>SUMIFS(Raw_Data_Period!CL:CL, Raw_Data_Period!$A:$A, "Control", Raw_Data_Period!$C:$C, TRUE)</f>
        <v>1.0191</v>
      </c>
      <c r="D97" s="48">
        <f>SUMIFS(Raw_Data_Period!CL:CL, Raw_Data_Period!$A:$A, "Variant", Raw_Data_Period!$C:$C, TRUE)</f>
        <v>0.9372</v>
      </c>
      <c r="E97" s="41">
        <f t="shared" si="29"/>
        <v>-0.0819</v>
      </c>
      <c r="F97" s="35">
        <f t="shared" si="30"/>
        <v>-0.08036502797</v>
      </c>
    </row>
    <row r="98" ht="15.75" customHeight="1">
      <c r="A98" s="8"/>
      <c r="B98" s="70" t="s">
        <v>107</v>
      </c>
      <c r="C98" s="48">
        <f>SUMIFS(Raw_Data_Period!CI:CI, Raw_Data_Period!$A:$A, "Control", Raw_Data_Period!$C:$C, TRUE) - SUMIFS(Raw_Data_Period!CL:CL, Raw_Data_Period!$A:$A, "Control", Raw_Data_Period!$C:$C, TRUE)</f>
        <v>0.0522</v>
      </c>
      <c r="D98" s="48">
        <f>SUMIFS(Raw_Data_Period!CI:CI, Raw_Data_Period!$A:$A, "Variant", Raw_Data_Period!$C:$C, TRUE) - SUMIFS(Raw_Data_Period!CL:CL, Raw_Data_Period!$A:$A, "Variant", Raw_Data_Period!$C:$C, TRUE)</f>
        <v>0.0772</v>
      </c>
      <c r="E98" s="59">
        <f t="shared" si="29"/>
        <v>0.025</v>
      </c>
      <c r="F98" s="35">
        <f t="shared" si="30"/>
        <v>0.4789272031</v>
      </c>
    </row>
    <row r="99" ht="15.75" customHeight="1">
      <c r="A99" s="69" t="s">
        <v>108</v>
      </c>
      <c r="B99" s="6"/>
      <c r="C99" s="6"/>
      <c r="D99" s="6"/>
      <c r="E99" s="6"/>
      <c r="F99" s="6"/>
    </row>
    <row r="100" ht="15.75" customHeight="1">
      <c r="A100" s="8"/>
      <c r="B100" s="70" t="s">
        <v>109</v>
      </c>
      <c r="C100" s="48">
        <f>SUMIFS(Raw_Data_Period!CA:CA, Raw_Data_Period!$A:$A, "Control", Raw_Data_Period!$C:$C, TRUE)</f>
        <v>0.5354</v>
      </c>
      <c r="D100" s="48">
        <f>SUMIFS(Raw_Data_Period!CA:CA, Raw_Data_Period!$A:$A, "Variant", Raw_Data_Period!$C:$C, TRUE)</f>
        <v>0.4995</v>
      </c>
      <c r="E100" s="59">
        <f t="shared" ref="E100:E104" si="31">IFERROR(D100-C100,"")</f>
        <v>-0.0359</v>
      </c>
      <c r="F100" s="35">
        <f t="shared" ref="F100:F104" si="32">IFERROR((D100-C100)/ABS(C100),"")</f>
        <v>-0.0670526709</v>
      </c>
    </row>
    <row r="101" ht="15.75" customHeight="1">
      <c r="A101" s="8"/>
      <c r="B101" s="70" t="s">
        <v>110</v>
      </c>
      <c r="C101" s="48">
        <f>SUMIFS(Raw_Data_Period!CB:CB, Raw_Data_Period!$A:$A, "Control", Raw_Data_Period!$C:$C, TRUE)</f>
        <v>0.0153</v>
      </c>
      <c r="D101" s="48">
        <f>SUMIFS(Raw_Data_Period!CB:CB, Raw_Data_Period!$A:$A, "Variant", Raw_Data_Period!$C:$C, TRUE)</f>
        <v>0.0138</v>
      </c>
      <c r="E101" s="41">
        <f t="shared" si="31"/>
        <v>-0.0015</v>
      </c>
      <c r="F101" s="35">
        <f t="shared" si="32"/>
        <v>-0.09803921569</v>
      </c>
    </row>
    <row r="102" ht="15.75" customHeight="1">
      <c r="A102" s="8"/>
      <c r="B102" s="70" t="s">
        <v>111</v>
      </c>
      <c r="C102" s="48">
        <f>SUMIFS(Raw_Data_Period!CC:CC, Raw_Data_Period!$A:$A, "Control", Raw_Data_Period!$C:$C, TRUE)</f>
        <v>0.5202</v>
      </c>
      <c r="D102" s="48">
        <f>SUMIFS(Raw_Data_Period!CC:CC, Raw_Data_Period!$A:$A, "Variant", Raw_Data_Period!$C:$C, TRUE)</f>
        <v>0.4857</v>
      </c>
      <c r="E102" s="59">
        <f t="shared" si="31"/>
        <v>-0.0345</v>
      </c>
      <c r="F102" s="35">
        <f t="shared" si="32"/>
        <v>-0.06632064591</v>
      </c>
    </row>
    <row r="103" ht="15.75" customHeight="1">
      <c r="A103" s="8"/>
      <c r="B103" s="70" t="s">
        <v>112</v>
      </c>
      <c r="C103" s="48">
        <f>SUMIFS(Raw_Data_Period!CD:CD, Raw_Data_Period!$A:$A, "Control", Raw_Data_Period!$C:$C, TRUE)</f>
        <v>0.5902</v>
      </c>
      <c r="D103" s="48">
        <f>SUMIFS(Raw_Data_Period!CD:CD, Raw_Data_Period!$A:$A, "Variant", Raw_Data_Period!$C:$C, TRUE)</f>
        <v>0.5278</v>
      </c>
      <c r="E103" s="41">
        <f t="shared" si="31"/>
        <v>-0.0624</v>
      </c>
      <c r="F103" s="35">
        <f t="shared" si="32"/>
        <v>-0.1057268722</v>
      </c>
    </row>
    <row r="104" ht="15.75" customHeight="1">
      <c r="A104" s="8"/>
      <c r="B104" s="70" t="s">
        <v>113</v>
      </c>
      <c r="C104" s="48">
        <f>SUMIFS(Raw_Data_Period!CA:CA, Raw_Data_Period!$A:$A, "Control", Raw_Data_Period!$C:$C, TRUE) - SUMIFS(Raw_Data_Period!CD:CD, Raw_Data_Period!$A:$A, "Control", Raw_Data_Period!$C:$C, TRUE)</f>
        <v>-0.0548</v>
      </c>
      <c r="D104" s="48">
        <f>SUMIFS(Raw_Data_Period!CA:CA, Raw_Data_Period!$A:$A, "Variant", Raw_Data_Period!$C:$C, TRUE) - SUMIFS(Raw_Data_Period!CD:CD, Raw_Data_Period!$A:$A, "Variant", Raw_Data_Period!$C:$C, TRUE)</f>
        <v>-0.0283</v>
      </c>
      <c r="E104" s="59">
        <f t="shared" si="31"/>
        <v>0.0265</v>
      </c>
      <c r="F104" s="35">
        <f t="shared" si="32"/>
        <v>0.4835766423</v>
      </c>
    </row>
    <row r="105" ht="15.75" customHeight="1">
      <c r="A105" s="69" t="s">
        <v>114</v>
      </c>
      <c r="B105" s="73" t="s">
        <v>115</v>
      </c>
      <c r="C105" s="6"/>
      <c r="D105" s="6"/>
      <c r="E105" s="6"/>
      <c r="F105" s="6"/>
    </row>
    <row r="106" ht="15.75" customHeight="1">
      <c r="A106" s="74" t="s">
        <v>115</v>
      </c>
      <c r="B106" s="70" t="s">
        <v>116</v>
      </c>
      <c r="C106" s="48">
        <f>SUMIFS(Raw_Data_Period!CM:CM, Raw_Data_Period!$A:$A, "Control", Raw_Data_Period!$C:$C, TRUE)</f>
        <v>251.1018</v>
      </c>
      <c r="D106" s="48">
        <f>SUMIFS(Raw_Data_Period!CM:CM, Raw_Data_Period!$A:$A, "Variant", Raw_Data_Period!$C:$C, TRUE)</f>
        <v>218.7314</v>
      </c>
      <c r="E106" s="59">
        <f t="shared" ref="E106:E113" si="33">IFERROR(D106-C106,"")</f>
        <v>-32.3704</v>
      </c>
      <c r="F106" s="35">
        <f t="shared" ref="F106:F113" si="34">IFERROR((D106-C106)/ABS(C106),"")</f>
        <v>-0.1289134526</v>
      </c>
    </row>
    <row r="107" ht="15.75" customHeight="1">
      <c r="A107" s="74" t="s">
        <v>115</v>
      </c>
      <c r="B107" s="70" t="s">
        <v>117</v>
      </c>
      <c r="C107" s="48">
        <f>SUMIFS(Raw_Data_Period!CN:CN, Raw_Data_Period!$A:$A, "Control", Raw_Data_Period!$C:$C, TRUE)</f>
        <v>68.58</v>
      </c>
      <c r="D107" s="48">
        <f>SUMIFS(Raw_Data_Period!CN:CN, Raw_Data_Period!$A:$A, "Variant", Raw_Data_Period!$C:$C, TRUE)</f>
        <v>68.26</v>
      </c>
      <c r="E107" s="59">
        <f t="shared" si="33"/>
        <v>-0.32</v>
      </c>
      <c r="F107" s="35">
        <f t="shared" si="34"/>
        <v>-0.004666083406</v>
      </c>
    </row>
    <row r="108" ht="15.75" customHeight="1">
      <c r="A108" s="74" t="s">
        <v>115</v>
      </c>
      <c r="B108" s="70" t="s">
        <v>118</v>
      </c>
      <c r="C108" s="48">
        <f>SUMIFS(Raw_Data_Period!CO:CO, Raw_Data_Period!$A:$A, "Control", Raw_Data_Period!$C:$C, TRUE)</f>
        <v>366.17</v>
      </c>
      <c r="D108" s="48">
        <f>SUMIFS(Raw_Data_Period!CO:CO, Raw_Data_Period!$A:$A, "Variant", Raw_Data_Period!$C:$C, TRUE)</f>
        <v>320.44</v>
      </c>
      <c r="E108" s="59">
        <f t="shared" si="33"/>
        <v>-45.73</v>
      </c>
      <c r="F108" s="35">
        <f t="shared" si="34"/>
        <v>-0.1248873474</v>
      </c>
    </row>
    <row r="109" ht="15.75" customHeight="1">
      <c r="A109" s="74" t="s">
        <v>115</v>
      </c>
      <c r="B109" s="70" t="s">
        <v>119</v>
      </c>
      <c r="C109" s="48">
        <f>SUMIFS(Raw_Data_Period!CP:CP, Raw_Data_Period!$A:$A, "Control", Raw_Data_Period!$C:$C, TRUE)</f>
        <v>234.3111</v>
      </c>
      <c r="D109" s="48">
        <f>SUMIFS(Raw_Data_Period!CP:CP, Raw_Data_Period!$A:$A, "Variant", Raw_Data_Period!$C:$C, TRUE)</f>
        <v>182.7729</v>
      </c>
      <c r="E109" s="59">
        <f t="shared" si="33"/>
        <v>-51.5382</v>
      </c>
      <c r="F109" s="35">
        <f t="shared" si="34"/>
        <v>-0.2199562889</v>
      </c>
    </row>
    <row r="110" ht="15.75" customHeight="1">
      <c r="A110" s="74" t="s">
        <v>115</v>
      </c>
      <c r="B110" s="70" t="s">
        <v>120</v>
      </c>
      <c r="C110" s="48">
        <f>SUMIFS(Raw_Data_Period!CQ:CQ, Raw_Data_Period!$A:$A, "Control", Raw_Data_Period!$C:$C, TRUE)</f>
        <v>0.0036</v>
      </c>
      <c r="D110" s="48">
        <f>SUMIFS(Raw_Data_Period!CQ:CQ, Raw_Data_Period!$A:$A, "Variant", Raw_Data_Period!$C:$C, TRUE)</f>
        <v>21.1863</v>
      </c>
      <c r="E110" s="59">
        <f t="shared" si="33"/>
        <v>21.1827</v>
      </c>
      <c r="F110" s="35">
        <f t="shared" si="34"/>
        <v>5884.083333</v>
      </c>
    </row>
    <row r="111" ht="15.75" customHeight="1">
      <c r="A111" s="74" t="s">
        <v>115</v>
      </c>
      <c r="B111" s="70" t="s">
        <v>121</v>
      </c>
      <c r="C111" s="48">
        <f>SUMIFS(Raw_Data_Period!CR:CR, Raw_Data_Period!$A:$A, "Control", Raw_Data_Period!$C:$C, TRUE)</f>
        <v>5.9297</v>
      </c>
      <c r="D111" s="48">
        <f>SUMIFS(Raw_Data_Period!CR:CR, Raw_Data_Period!$A:$A, "Variant", Raw_Data_Period!$C:$C, TRUE)</f>
        <v>5.6911</v>
      </c>
      <c r="E111" s="59">
        <f t="shared" si="33"/>
        <v>-0.2386</v>
      </c>
      <c r="F111" s="35">
        <f t="shared" si="34"/>
        <v>-0.04023812335</v>
      </c>
    </row>
    <row r="112" ht="15.75" customHeight="1">
      <c r="A112" s="74" t="s">
        <v>115</v>
      </c>
      <c r="B112" s="70" t="s">
        <v>122</v>
      </c>
      <c r="C112" s="48">
        <f>SUMIFS(Raw_Data_Period!CS:CS, Raw_Data_Period!$A:$A, "Control", Raw_Data_Period!$C:$C, TRUE)</f>
        <v>10.8575</v>
      </c>
      <c r="D112" s="48">
        <f>SUMIFS(Raw_Data_Period!CS:CS, Raw_Data_Period!$A:$A, "Variant", Raw_Data_Period!$C:$C, TRUE)</f>
        <v>9.0807</v>
      </c>
      <c r="E112" s="59">
        <f t="shared" si="33"/>
        <v>-1.7768</v>
      </c>
      <c r="F112" s="35">
        <f t="shared" si="34"/>
        <v>-0.1636472484</v>
      </c>
    </row>
    <row r="113" ht="15.75" customHeight="1">
      <c r="A113" s="74" t="s">
        <v>115</v>
      </c>
      <c r="B113" s="70" t="s">
        <v>123</v>
      </c>
      <c r="C113" s="48">
        <f>SUMIFS(Raw_Data_Period!CT:CT, Raw_Data_Period!$A:$A, "Control", Raw_Data_Period!$C:$C, TRUE)</f>
        <v>0</v>
      </c>
      <c r="D113" s="48">
        <f>SUMIFS(Raw_Data_Period!CT:CT, Raw_Data_Period!$A:$A, "Variant", Raw_Data_Period!$C:$C, TRUE)</f>
        <v>0</v>
      </c>
      <c r="E113" s="59">
        <f t="shared" si="33"/>
        <v>0</v>
      </c>
      <c r="F113" s="35" t="str">
        <f t="shared" si="34"/>
        <v/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0" priority="1" stopIfTrue="1" operator="lessThan">
      <formula>0</formula>
    </cfRule>
  </conditionalFormatting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1" priority="2" stopIfTrue="1" operator="greater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1" priority="3" stopIfTrue="1" operator="less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1" t="s">
        <v>0</v>
      </c>
    </row>
    <row r="3" ht="21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>
      <c r="A4" s="4" t="s">
        <v>8</v>
      </c>
      <c r="B4" s="6"/>
      <c r="C4" s="6"/>
      <c r="D4" s="6"/>
      <c r="E4" s="6"/>
      <c r="F4" s="6"/>
    </row>
    <row r="5">
      <c r="A5" s="8"/>
      <c r="B5" s="10" t="s">
        <v>9</v>
      </c>
      <c r="C5" s="16">
        <f>SUMIFS(Raw_Data_Period_new_users!D:D, Raw_Data_Period_new_users!$A:$A, "Control", Raw_Data_Period_new_users!$C:$C, TRUE)</f>
        <v>70514</v>
      </c>
      <c r="D5" s="16">
        <f>SUMIFS(Raw_Data_Period_new_users!D:D, Raw_Data_Period_new_users!$A:$A, "Variant", Raw_Data_Period_new_users!$C:$C, TRUE)</f>
        <v>71085</v>
      </c>
      <c r="E5" s="22">
        <f>IFERROR(D5-C5,"")</f>
        <v>571</v>
      </c>
      <c r="F5" s="26">
        <f>IFERROR((D5-C5)/ABS(C5),"")</f>
        <v>0.00809768273</v>
      </c>
    </row>
    <row r="6">
      <c r="A6" s="4" t="s">
        <v>15</v>
      </c>
      <c r="B6" s="6"/>
      <c r="C6" s="6"/>
      <c r="D6" s="6"/>
      <c r="E6" s="6"/>
      <c r="F6" s="6"/>
    </row>
    <row r="7">
      <c r="A7" s="8"/>
      <c r="B7" s="10" t="s">
        <v>16</v>
      </c>
      <c r="C7" s="31">
        <f>SUMIFS(Raw_Data_Period_new_users!F:F, Raw_Data_Period_new_users!$A:$A, "Control", Raw_Data_Period_new_users!$C:$C, TRUE)</f>
        <v>6767.7</v>
      </c>
      <c r="D7" s="31">
        <f>SUMIFS(Raw_Data_Period_new_users!F:F, Raw_Data_Period_new_users!$A:$A, "Variant", Raw_Data_Period_new_users!$C:$C, TRUE)</f>
        <v>6313.68</v>
      </c>
      <c r="E7" s="34">
        <f t="shared" ref="E7:E9" si="1">IFERROR(D7-C7,"")</f>
        <v>-454.02</v>
      </c>
      <c r="F7" s="35">
        <f t="shared" ref="F7:F9" si="2">IFERROR((D7-C7)/ABS(C7),"")</f>
        <v>-0.06708630702</v>
      </c>
    </row>
    <row r="8">
      <c r="A8" s="8"/>
      <c r="B8" s="10" t="s">
        <v>17</v>
      </c>
      <c r="C8" s="36">
        <f>SUMIFS(Raw_Data_Period_new_users!G:G, Raw_Data_Period_new_users!$A:$A, "Control", Raw_Data_Period_new_users!$C:$C, TRUE)</f>
        <v>0.0362</v>
      </c>
      <c r="D8" s="36">
        <f>SUMIFS(Raw_Data_Period_new_users!G:G, Raw_Data_Period_new_users!$A:$A, "Variant", Raw_Data_Period_new_users!$C:$C, TRUE)</f>
        <v>0.0339</v>
      </c>
      <c r="E8" s="34">
        <f t="shared" si="1"/>
        <v>-0.0023</v>
      </c>
      <c r="F8" s="35">
        <f t="shared" si="2"/>
        <v>-0.0635359116</v>
      </c>
    </row>
    <row r="9">
      <c r="A9" s="8"/>
      <c r="B9" s="10" t="s">
        <v>18</v>
      </c>
      <c r="C9" s="36">
        <f>SUMIFS(Raw_Data_Period_new_users!I:I, Raw_Data_Period_new_users!$A:$A, "Control", Raw_Data_Period_new_users!$C:$C, TRUE)</f>
        <v>10.1617</v>
      </c>
      <c r="D9" s="36">
        <f>SUMIFS(Raw_Data_Period_new_users!I:I, Raw_Data_Period_new_users!$A:$A, "Variant", Raw_Data_Period_new_users!$C:$C, TRUE)</f>
        <v>9.7283</v>
      </c>
      <c r="E9" s="34">
        <f t="shared" si="1"/>
        <v>-0.4334</v>
      </c>
      <c r="F9" s="35">
        <f t="shared" si="2"/>
        <v>-0.04265034394</v>
      </c>
    </row>
    <row r="10">
      <c r="A10" s="4" t="s">
        <v>19</v>
      </c>
      <c r="B10" s="6"/>
      <c r="C10" s="6"/>
      <c r="D10" s="6"/>
      <c r="E10" s="6"/>
      <c r="F10" s="6"/>
    </row>
    <row r="11">
      <c r="A11" s="8"/>
      <c r="B11" s="10" t="s">
        <v>20</v>
      </c>
      <c r="C11" s="40">
        <f>SUMIFS(Raw_Data_Period_new_users!J:J, Raw_Data_Period_new_users!$A:$A, "Control", Raw_Data_Period_new_users!$C:$C, TRUE)</f>
        <v>41.1962</v>
      </c>
      <c r="D11" s="40">
        <f>SUMIFS(Raw_Data_Period_new_users!J:J, Raw_Data_Period_new_users!$A:$A, "Variant", Raw_Data_Period_new_users!$C:$C, TRUE)</f>
        <v>40.8581</v>
      </c>
      <c r="E11" s="41">
        <f t="shared" ref="E11:E13" si="3">IFERROR(D11-C11,"")</f>
        <v>-0.3381</v>
      </c>
      <c r="F11" s="43">
        <f t="shared" ref="F11:F13" si="4">IFERROR((D11-C11)/ABS(C11),"")</f>
        <v>-0.008207067642</v>
      </c>
    </row>
    <row r="12">
      <c r="A12" s="8"/>
      <c r="B12" s="10" t="s">
        <v>21</v>
      </c>
      <c r="C12" s="40">
        <f>SUMIFS(Raw_Data_Period_new_users!K:K, Raw_Data_Period_new_users!$A:$A, "Control", Raw_Data_Period_new_users!$C:$C, TRUE)</f>
        <v>28.5569</v>
      </c>
      <c r="D12" s="40">
        <f>SUMIFS(Raw_Data_Period_new_users!K:K, Raw_Data_Period_new_users!$A:$A, "Variant", Raw_Data_Period_new_users!$C:$C, TRUE)</f>
        <v>28.2609</v>
      </c>
      <c r="E12" s="41">
        <f t="shared" si="3"/>
        <v>-0.296</v>
      </c>
      <c r="F12" s="43">
        <f t="shared" si="4"/>
        <v>-0.01036527074</v>
      </c>
    </row>
    <row r="13">
      <c r="A13" s="8"/>
      <c r="B13" s="10" t="s">
        <v>22</v>
      </c>
      <c r="C13" s="40">
        <f>SUMIFS(Raw_Data_Period_new_users!L:L, Raw_Data_Period_new_users!$A:$A, "Control", Raw_Data_Period_new_users!$C:$C, TRUE)</f>
        <v>21.5961</v>
      </c>
      <c r="D13" s="40">
        <f>SUMIFS(Raw_Data_Period_new_users!L:L, Raw_Data_Period_new_users!$A:$A, "Variant", Raw_Data_Period_new_users!$C:$C, TRUE)</f>
        <v>21.0351</v>
      </c>
      <c r="E13" s="41">
        <f t="shared" si="3"/>
        <v>-0.561</v>
      </c>
      <c r="F13" s="43">
        <f t="shared" si="4"/>
        <v>-0.0259769125</v>
      </c>
    </row>
    <row r="14" ht="15.75" customHeight="1">
      <c r="A14" s="4" t="s">
        <v>23</v>
      </c>
      <c r="B14" s="6"/>
      <c r="C14" s="6"/>
      <c r="D14" s="6"/>
      <c r="E14" s="6"/>
      <c r="F14" s="6"/>
    </row>
    <row r="15" ht="15.75" customHeight="1">
      <c r="A15" s="8"/>
      <c r="B15" s="10" t="s">
        <v>24</v>
      </c>
      <c r="C15" s="40">
        <f>SUMIFS(Raw_Data_Period_new_users!AD:AD, Raw_Data_Period_new_users!$A:$A, "Control", Raw_Data_Period_new_users!$C:$C, TRUE)</f>
        <v>14.5998</v>
      </c>
      <c r="D15" s="40">
        <f>SUMIFS(Raw_Data_Period_new_users!AD:AD, Raw_Data_Period_new_users!$A:$A, "Variant", Raw_Data_Period_new_users!$C:$C, TRUE)</f>
        <v>13.9991</v>
      </c>
      <c r="E15" s="41">
        <f t="shared" ref="E15:E20" si="5">IFERROR(D15-C15,"")</f>
        <v>-0.6007</v>
      </c>
      <c r="F15" s="43">
        <f t="shared" ref="F15:F20" si="6">IFERROR((D15-C15)/ABS(C15),"")</f>
        <v>-0.04114439924</v>
      </c>
    </row>
    <row r="16" ht="15.75" customHeight="1">
      <c r="A16" s="8"/>
      <c r="B16" s="10" t="s">
        <v>25</v>
      </c>
      <c r="C16" s="40">
        <f>SUMIFS(Raw_Data_Period_new_users!AE:AE, Raw_Data_Period_new_users!$A:$A, "Control", Raw_Data_Period_new_users!$C:$C, TRUE)</f>
        <v>4</v>
      </c>
      <c r="D16" s="40">
        <f>SUMIFS(Raw_Data_Period_new_users!AE:AE, Raw_Data_Period_new_users!$A:$A, "Variant", Raw_Data_Period_new_users!$C:$C, TRUE)</f>
        <v>4</v>
      </c>
      <c r="E16" s="41">
        <f t="shared" si="5"/>
        <v>0</v>
      </c>
      <c r="F16" s="43">
        <f t="shared" si="6"/>
        <v>0</v>
      </c>
    </row>
    <row r="17" ht="15.75" customHeight="1">
      <c r="A17" s="8"/>
      <c r="B17" s="10" t="s">
        <v>26</v>
      </c>
      <c r="C17" s="40">
        <f>SUMIFS(Raw_Data_Period_new_users!AF:AF, Raw_Data_Period_new_users!$A:$A, "Control", Raw_Data_Period_new_users!$C:$C, TRUE)</f>
        <v>9</v>
      </c>
      <c r="D17" s="40">
        <f>SUMIFS(Raw_Data_Period_new_users!AF:AF, Raw_Data_Period_new_users!$A:$A, "Variant", Raw_Data_Period_new_users!$C:$C, TRUE)</f>
        <v>9</v>
      </c>
      <c r="E17" s="41">
        <f t="shared" si="5"/>
        <v>0</v>
      </c>
      <c r="F17" s="43">
        <f t="shared" si="6"/>
        <v>0</v>
      </c>
    </row>
    <row r="18" ht="15.75" customHeight="1">
      <c r="A18" s="8"/>
      <c r="B18" s="10" t="s">
        <v>27</v>
      </c>
      <c r="C18" s="40">
        <f>SUMIFS(Raw_Data_Period_new_users!AG:AG, Raw_Data_Period_new_users!$A:$A, "Control", Raw_Data_Period_new_users!$C:$C, TRUE)</f>
        <v>18</v>
      </c>
      <c r="D18" s="40">
        <f>SUMIFS(Raw_Data_Period_new_users!AG:AG, Raw_Data_Period_new_users!$A:$A, "Variant", Raw_Data_Period_new_users!$C:$C, TRUE)</f>
        <v>17</v>
      </c>
      <c r="E18" s="41">
        <f t="shared" si="5"/>
        <v>-1</v>
      </c>
      <c r="F18" s="43">
        <f t="shared" si="6"/>
        <v>-0.05555555556</v>
      </c>
    </row>
    <row r="19" ht="15.75" customHeight="1">
      <c r="A19" s="8"/>
      <c r="B19" s="10" t="s">
        <v>28</v>
      </c>
      <c r="C19" s="40">
        <f>SUMIFS(Raw_Data_Period_new_users!AH:AH, Raw_Data_Period_new_users!$A:$A, "Control", Raw_Data_Period_new_users!$C:$C, TRUE)</f>
        <v>34</v>
      </c>
      <c r="D19" s="40">
        <f>SUMIFS(Raw_Data_Period_new_users!AH:AH, Raw_Data_Period_new_users!$A:$A, "Variant", Raw_Data_Period_new_users!$C:$C, TRUE)</f>
        <v>32</v>
      </c>
      <c r="E19" s="41">
        <f t="shared" si="5"/>
        <v>-2</v>
      </c>
      <c r="F19" s="43">
        <f t="shared" si="6"/>
        <v>-0.05882352941</v>
      </c>
    </row>
    <row r="20" ht="15.75" customHeight="1">
      <c r="A20" s="8"/>
      <c r="B20" s="45" t="s">
        <v>29</v>
      </c>
      <c r="C20" s="40">
        <f>SUMIFS(Raw_Data_Period_new_users!BC:BC, Raw_Data_Period_new_users!$A:$A, "Control", Raw_Data_Period_new_users!$C:$C, TRUE)</f>
        <v>85</v>
      </c>
      <c r="D20" s="40">
        <f>SUMIFS(Raw_Data_Period_new_users!BC:BC, Raw_Data_Period_new_users!$A:$A, "Variant", Raw_Data_Period_new_users!$C:$C, TRUE)</f>
        <v>79</v>
      </c>
      <c r="E20" s="41">
        <f t="shared" si="5"/>
        <v>-6</v>
      </c>
      <c r="F20" s="43">
        <f t="shared" si="6"/>
        <v>-0.07058823529</v>
      </c>
    </row>
    <row r="21">
      <c r="A21" s="4" t="s">
        <v>30</v>
      </c>
      <c r="B21" s="6"/>
      <c r="C21" s="6"/>
      <c r="D21" s="6"/>
      <c r="E21" s="6"/>
      <c r="F21" s="6"/>
    </row>
    <row r="22" ht="15.75" customHeight="1">
      <c r="A22" s="8"/>
      <c r="B22" s="10" t="s">
        <v>31</v>
      </c>
      <c r="C22" s="48">
        <f>SUMIFS(Raw_Data_Period_new_users!M:M, Raw_Data_Period_new_users!$A:$A, "Control", Raw_Data_Period_new_users!$C:$C, TRUE)</f>
        <v>0.7562</v>
      </c>
      <c r="D22" s="48">
        <f>SUMIFS(Raw_Data_Period_new_users!M:M, Raw_Data_Period_new_users!$A:$A, "Variant", Raw_Data_Period_new_users!$C:$C, TRUE)</f>
        <v>0.7443</v>
      </c>
      <c r="E22" s="50">
        <f t="shared" ref="E22:E25" si="7">IFERROR(D22-C22,"")</f>
        <v>-0.0119</v>
      </c>
      <c r="F22" s="26">
        <f t="shared" ref="F22:F25" si="8">IFERROR((D22-C22)/ABS(C22),"")</f>
        <v>-0.01573657762</v>
      </c>
    </row>
    <row r="23" ht="15.75" customHeight="1">
      <c r="A23" s="8"/>
      <c r="B23" s="10" t="s">
        <v>32</v>
      </c>
      <c r="C23" s="48">
        <f>SUMIFS(Raw_Data_Period_new_users!N:N, Raw_Data_Period_new_users!$A:$A, "Control", Raw_Data_Period_new_users!$C:$C, TRUE)</f>
        <v>0.3079</v>
      </c>
      <c r="D23" s="48">
        <f>SUMIFS(Raw_Data_Period_new_users!N:N, Raw_Data_Period_new_users!$A:$A, "Variant", Raw_Data_Period_new_users!$C:$C, TRUE)</f>
        <v>0.3139</v>
      </c>
      <c r="E23" s="50">
        <f t="shared" si="7"/>
        <v>0.006</v>
      </c>
      <c r="F23" s="26">
        <f t="shared" si="8"/>
        <v>0.01948684638</v>
      </c>
    </row>
    <row r="24" ht="15.75" customHeight="1">
      <c r="A24" s="8"/>
      <c r="B24" s="10" t="s">
        <v>33</v>
      </c>
      <c r="C24" s="48">
        <f>SUMIFS(Raw_Data_Period_new_users!O:O, Raw_Data_Period_new_users!$A:$A, "Control", Raw_Data_Period_new_users!$C:$C, TRUE)</f>
        <v>0.1887</v>
      </c>
      <c r="D24" s="48">
        <f>SUMIFS(Raw_Data_Period_new_users!O:O, Raw_Data_Period_new_users!$A:$A, "Variant", Raw_Data_Period_new_users!$C:$C, TRUE)</f>
        <v>0.1876</v>
      </c>
      <c r="E24" s="50">
        <f t="shared" si="7"/>
        <v>-0.0011</v>
      </c>
      <c r="F24" s="26">
        <f t="shared" si="8"/>
        <v>-0.005829358771</v>
      </c>
    </row>
    <row r="25" ht="15.75" customHeight="1">
      <c r="A25" s="8"/>
      <c r="B25" s="10" t="s">
        <v>34</v>
      </c>
      <c r="C25" s="40">
        <f>SUMIFS(Raw_Data_Period_new_users!P:P, Raw_Data_Period_new_users!$A:$A, "Control", Raw_Data_Period_new_users!$C:$C, TRUE)</f>
        <v>1.3223</v>
      </c>
      <c r="D25" s="40">
        <f>SUMIFS(Raw_Data_Period_new_users!P:P, Raw_Data_Period_new_users!$A:$A, "Variant", Raw_Data_Period_new_users!$C:$C, TRUE)</f>
        <v>1.3435</v>
      </c>
      <c r="E25" s="52">
        <f t="shared" si="7"/>
        <v>0.0212</v>
      </c>
      <c r="F25" s="26">
        <f t="shared" si="8"/>
        <v>0.01603267035</v>
      </c>
    </row>
    <row r="26" ht="15.75" customHeight="1">
      <c r="A26" s="4" t="s">
        <v>35</v>
      </c>
      <c r="B26" s="6"/>
      <c r="C26" s="6"/>
      <c r="D26" s="6"/>
      <c r="E26" s="6"/>
      <c r="F26" s="6"/>
    </row>
    <row r="27" ht="15.75" customHeight="1">
      <c r="A27" s="8"/>
      <c r="B27" s="53" t="s">
        <v>36</v>
      </c>
      <c r="C27" s="40">
        <f>SUMIFS(Raw_Data_Period_new_users!Q:Q, Raw_Data_Period_new_users!$A:$A, "Control", Raw_Data_Period_new_users!$C:$C, TRUE)</f>
        <v>131.2334</v>
      </c>
      <c r="D27" s="40">
        <f>SUMIFS(Raw_Data_Period_new_users!Q:Q, Raw_Data_Period_new_users!$A:$A, "Variant", Raw_Data_Period_new_users!$C:$C, TRUE)</f>
        <v>103.8783</v>
      </c>
      <c r="E27" s="55">
        <f t="shared" ref="E27:E35" si="9">IFERROR(D27-C27,"")</f>
        <v>-27.3551</v>
      </c>
      <c r="F27" s="35">
        <f t="shared" ref="F27:F35" si="10">IFERROR((D27-C27)/ABS(C27),"")</f>
        <v>-0.208446173</v>
      </c>
    </row>
    <row r="28" ht="15.75" customHeight="1">
      <c r="A28" s="8"/>
      <c r="B28" s="10" t="s">
        <v>37</v>
      </c>
      <c r="C28" s="40">
        <f>SUMIFS(Raw_Data_Period_new_users!R:R, Raw_Data_Period_new_users!$A:$A, "Control", Raw_Data_Period_new_users!$C:$C, TRUE)</f>
        <v>95.83</v>
      </c>
      <c r="D28" s="40">
        <f>SUMIFS(Raw_Data_Period_new_users!R:R, Raw_Data_Period_new_users!$A:$A, "Variant", Raw_Data_Period_new_users!$C:$C, TRUE)</f>
        <v>91.931</v>
      </c>
      <c r="E28" s="52">
        <f t="shared" si="9"/>
        <v>-3.899</v>
      </c>
      <c r="F28" s="26">
        <f t="shared" si="10"/>
        <v>-0.04068663258</v>
      </c>
    </row>
    <row r="29" ht="15.75" customHeight="1">
      <c r="A29" s="8"/>
      <c r="B29" s="10" t="s">
        <v>38</v>
      </c>
      <c r="C29" s="40">
        <f>SUMIFS(Raw_Data_Period_new_users!S:S, Raw_Data_Period_new_users!$A:$A, "Control", Raw_Data_Period_new_users!$C:$C, TRUE)</f>
        <v>35.4028</v>
      </c>
      <c r="D29" s="40">
        <f>SUMIFS(Raw_Data_Period_new_users!S:S, Raw_Data_Period_new_users!$A:$A, "Variant", Raw_Data_Period_new_users!$C:$C, TRUE)</f>
        <v>11.9475</v>
      </c>
      <c r="E29" s="52">
        <f t="shared" si="9"/>
        <v>-23.4553</v>
      </c>
      <c r="F29" s="26">
        <f t="shared" si="10"/>
        <v>-0.6625266928</v>
      </c>
    </row>
    <row r="30" ht="15.75" customHeight="1">
      <c r="A30" s="8"/>
      <c r="B30" s="53" t="s">
        <v>39</v>
      </c>
      <c r="C30" s="40">
        <f>SUMIFS(Raw_Data_Period_new_users!T:T, Raw_Data_Period_new_users!$A:$A, "Control", Raw_Data_Period_new_users!$C:$C, TRUE)</f>
        <v>3.9724</v>
      </c>
      <c r="D30" s="40">
        <f>SUMIFS(Raw_Data_Period_new_users!T:T, Raw_Data_Period_new_users!$A:$A, "Variant", Raw_Data_Period_new_users!$C:$C, TRUE)</f>
        <v>3.3492</v>
      </c>
      <c r="E30" s="41">
        <f t="shared" si="9"/>
        <v>-0.6232</v>
      </c>
      <c r="F30" s="35">
        <f t="shared" si="10"/>
        <v>-0.1568824892</v>
      </c>
    </row>
    <row r="31" ht="15.75" customHeight="1">
      <c r="A31" s="8"/>
      <c r="B31" s="53" t="s">
        <v>40</v>
      </c>
      <c r="C31" s="40">
        <f>SUMIFS(Raw_Data_Period_new_users!U:U, Raw_Data_Period_new_users!$A:$A, "Control", Raw_Data_Period_new_users!$C:$C, TRUE)</f>
        <v>127.2606</v>
      </c>
      <c r="D31" s="40">
        <f>SUMIFS(Raw_Data_Period_new_users!U:U, Raw_Data_Period_new_users!$A:$A, "Variant", Raw_Data_Period_new_users!$C:$C, TRUE)</f>
        <v>100.5293</v>
      </c>
      <c r="E31" s="41">
        <f t="shared" si="9"/>
        <v>-26.7313</v>
      </c>
      <c r="F31" s="35">
        <f t="shared" si="10"/>
        <v>-0.2100516578</v>
      </c>
    </row>
    <row r="32" ht="15.75" customHeight="1">
      <c r="A32" s="8"/>
      <c r="B32" s="53" t="s">
        <v>41</v>
      </c>
      <c r="C32" s="40">
        <f>SUMIFS(Raw_Data_Period_new_users!V:V, Raw_Data_Period_new_users!$A:$A, "Control", Raw_Data_Period_new_users!$C:$C, TRUE)</f>
        <v>118.3865</v>
      </c>
      <c r="D32" s="40">
        <f>SUMIFS(Raw_Data_Period_new_users!V:V, Raw_Data_Period_new_users!$A:$A, "Variant", Raw_Data_Period_new_users!$C:$C, TRUE)</f>
        <v>94.3641</v>
      </c>
      <c r="E32" s="59">
        <f t="shared" si="9"/>
        <v>-24.0224</v>
      </c>
      <c r="F32" s="43">
        <f t="shared" si="10"/>
        <v>-0.2029150283</v>
      </c>
    </row>
    <row r="33" ht="15.75" customHeight="1">
      <c r="A33" s="8"/>
      <c r="B33" s="53" t="s">
        <v>42</v>
      </c>
      <c r="C33" s="40">
        <f>SUMIFS(Raw_Data_Period_new_users!Q:Q, Raw_Data_Period_new_users!$A:$A, "Control", Raw_Data_Period_new_users!$C:$C, TRUE) - SUMIFS(Raw_Data_Period_new_users!V:V, Raw_Data_Period_new_users!$A:$A, "Control", Raw_Data_Period_new_users!$C:$C, TRUE)</f>
        <v>12.8469</v>
      </c>
      <c r="D33" s="40">
        <f>SUMIFS(Raw_Data_Period_new_users!Q:Q, Raw_Data_Period_new_users!$A:$A, "Variant", Raw_Data_Period_new_users!$C:$C, TRUE) - SUMIFS(Raw_Data_Period_new_users!V:V, Raw_Data_Period_new_users!$A:$A, "Variant", Raw_Data_Period_new_users!$C:$C, TRUE)</f>
        <v>9.5142</v>
      </c>
      <c r="E33" s="41">
        <f t="shared" si="9"/>
        <v>-3.3327</v>
      </c>
      <c r="F33" s="35">
        <f t="shared" si="10"/>
        <v>-0.2594166686</v>
      </c>
    </row>
    <row r="34" ht="15.75" customHeight="1">
      <c r="A34" s="8"/>
      <c r="B34" s="10" t="s">
        <v>43</v>
      </c>
      <c r="C34" s="40">
        <f>SUMIFS(Raw_Data_Period_new_users!W:W, Raw_Data_Period_new_users!$A:$A, "Control", Raw_Data_Period_new_users!$C:$C, TRUE)</f>
        <v>4.1456</v>
      </c>
      <c r="D34" s="40">
        <f>SUMIFS(Raw_Data_Period_new_users!W:W, Raw_Data_Period_new_users!$A:$A, "Variant", Raw_Data_Period_new_users!$C:$C, TRUE)</f>
        <v>3.339</v>
      </c>
      <c r="E34" s="59">
        <f t="shared" si="9"/>
        <v>-0.8066</v>
      </c>
      <c r="F34" s="43">
        <f t="shared" si="10"/>
        <v>-0.1945677345</v>
      </c>
    </row>
    <row r="35" ht="15.75" customHeight="1">
      <c r="A35" s="8"/>
      <c r="B35" s="10" t="s">
        <v>44</v>
      </c>
      <c r="C35" s="48">
        <f>SUMIFS(Raw_Data_Period_new_users!X:X, Raw_Data_Period_new_users!$A:$A, "Control", Raw_Data_Period_new_users!$C:$C, TRUE)</f>
        <v>3.03</v>
      </c>
      <c r="D35" s="48">
        <f>SUMIFS(Raw_Data_Period_new_users!X:X, Raw_Data_Period_new_users!$A:$A, "Variant", Raw_Data_Period_new_users!$C:$C, TRUE)</f>
        <v>3.22</v>
      </c>
      <c r="E35" s="41">
        <f t="shared" si="9"/>
        <v>0.19</v>
      </c>
      <c r="F35" s="35">
        <f t="shared" si="10"/>
        <v>0.06270627063</v>
      </c>
    </row>
    <row r="36" ht="15.75" customHeight="1">
      <c r="A36" s="4" t="s">
        <v>45</v>
      </c>
      <c r="B36" s="6"/>
      <c r="C36" s="6"/>
      <c r="D36" s="6"/>
      <c r="E36" s="6"/>
      <c r="F36" s="6"/>
    </row>
    <row r="37" ht="15.75" customHeight="1">
      <c r="A37" s="8"/>
      <c r="B37" s="60" t="s">
        <v>46</v>
      </c>
      <c r="C37" s="40">
        <f>SUMIFS(Raw_Data_Period_new_users!AX:AX, Raw_Data_Period_new_users!$A:$A, "Control", Raw_Data_Period_new_users!$C:$C, TRUE)</f>
        <v>90.5184</v>
      </c>
      <c r="D37" s="40">
        <f>SUMIFS(Raw_Data_Period_new_users!AX:AX, Raw_Data_Period_new_users!$A:$A, "Variant", Raw_Data_Period_new_users!$C:$C, TRUE)</f>
        <v>61.5773</v>
      </c>
      <c r="E37" s="50">
        <f t="shared" ref="E37:E41" si="11">IFERROR(D37-C37,"")</f>
        <v>-28.9411</v>
      </c>
      <c r="F37" s="26">
        <f t="shared" ref="F37:F41" si="12">IFERROR((D37-C37)/ABS(C37),"")</f>
        <v>-0.3197261551</v>
      </c>
    </row>
    <row r="38" ht="15.75" customHeight="1">
      <c r="A38" s="8"/>
      <c r="B38" s="60" t="s">
        <v>47</v>
      </c>
      <c r="C38" s="40">
        <f>SUMIFS(Raw_Data_Period_new_users!AY:AY, Raw_Data_Period_new_users!$A:$A, "Control", Raw_Data_Period_new_users!$C:$C, TRUE)</f>
        <v>34.2822</v>
      </c>
      <c r="D38" s="40">
        <f>SUMIFS(Raw_Data_Period_new_users!AY:AY, Raw_Data_Period_new_users!$A:$A, "Variant", Raw_Data_Period_new_users!$C:$C, TRUE)</f>
        <v>36.6873</v>
      </c>
      <c r="E38" s="50">
        <f t="shared" si="11"/>
        <v>2.4051</v>
      </c>
      <c r="F38" s="26">
        <f t="shared" si="12"/>
        <v>0.07015594098</v>
      </c>
    </row>
    <row r="39" ht="15.75" customHeight="1">
      <c r="A39" s="8"/>
      <c r="B39" s="60" t="s">
        <v>49</v>
      </c>
      <c r="C39" s="40">
        <f>SUMIFS(Raw_Data_Period_new_users!AZ:AZ, Raw_Data_Period_new_users!$A:$A, "Control", Raw_Data_Period_new_users!$C:$C, TRUE)</f>
        <v>0.9257</v>
      </c>
      <c r="D39" s="40">
        <f>SUMIFS(Raw_Data_Period_new_users!AZ:AZ, Raw_Data_Period_new_users!$A:$A, "Variant", Raw_Data_Period_new_users!$C:$C, TRUE)</f>
        <v>0.8703</v>
      </c>
      <c r="E39" s="59">
        <f t="shared" si="11"/>
        <v>-0.0554</v>
      </c>
      <c r="F39" s="43">
        <f t="shared" si="12"/>
        <v>-0.05984660257</v>
      </c>
    </row>
    <row r="40" ht="15.75" customHeight="1">
      <c r="A40" s="8"/>
      <c r="B40" s="60" t="s">
        <v>50</v>
      </c>
      <c r="C40" s="40">
        <f>SUMIFS(Raw_Data_Period_new_users!BA:BA, Raw_Data_Period_new_users!$A:$A, "Control", Raw_Data_Period_new_users!$C:$C, TRUE)</f>
        <v>3.9724</v>
      </c>
      <c r="D40" s="40">
        <f>SUMIFS(Raw_Data_Period_new_users!BA:BA, Raw_Data_Period_new_users!$A:$A, "Variant", Raw_Data_Period_new_users!$C:$C, TRUE)</f>
        <v>3.3492</v>
      </c>
      <c r="E40" s="59">
        <f t="shared" si="11"/>
        <v>-0.6232</v>
      </c>
      <c r="F40" s="43">
        <f t="shared" si="12"/>
        <v>-0.1568824892</v>
      </c>
    </row>
    <row r="41" ht="15.75" customHeight="1">
      <c r="A41" s="8"/>
      <c r="B41" s="60" t="s">
        <v>51</v>
      </c>
      <c r="C41" s="40">
        <f>SUMIFS(Raw_Data_Period_new_users!BB:BB, Raw_Data_Period_new_users!$A:$A, "Control", Raw_Data_Period_new_users!$C:$C, TRUE)</f>
        <v>1.5345</v>
      </c>
      <c r="D41" s="40">
        <f>SUMIFS(Raw_Data_Period_new_users!BB:BB, Raw_Data_Period_new_users!$A:$A, "Variant", Raw_Data_Period_new_users!$C:$C, TRUE)</f>
        <v>1.3936</v>
      </c>
      <c r="E41" s="50">
        <f t="shared" si="11"/>
        <v>-0.1409</v>
      </c>
      <c r="F41" s="26">
        <f t="shared" si="12"/>
        <v>-0.09182144021</v>
      </c>
    </row>
    <row r="42" ht="15.75" customHeight="1">
      <c r="A42" s="4" t="s">
        <v>52</v>
      </c>
      <c r="B42" s="6"/>
      <c r="C42" s="6"/>
      <c r="D42" s="6"/>
      <c r="E42" s="6"/>
      <c r="F42" s="6"/>
    </row>
    <row r="43" ht="15.75" customHeight="1">
      <c r="A43" s="8"/>
      <c r="B43" s="10" t="s">
        <v>53</v>
      </c>
      <c r="C43" s="16">
        <f>SUMIFS(Raw_Data_Period_new_users!Y:Y, Raw_Data_Period_new_users!$A:$A, "Control", Raw_Data_Period_new_users!$C:$C, TRUE)</f>
        <v>209</v>
      </c>
      <c r="D43" s="16">
        <f>SUMIFS(Raw_Data_Period_new_users!Y:Y, Raw_Data_Period_new_users!$A:$A, "Variant", Raw_Data_Period_new_users!$C:$C, TRUE)</f>
        <v>200</v>
      </c>
      <c r="E43" s="22">
        <f t="shared" ref="E43:E46" si="13">IFERROR(D43-C43,"")</f>
        <v>-9</v>
      </c>
      <c r="F43" s="26">
        <f t="shared" ref="F43:F46" si="14">IFERROR((D43-C43)/ABS(C43),"")</f>
        <v>-0.04306220096</v>
      </c>
    </row>
    <row r="44" ht="15.75" customHeight="1">
      <c r="A44" s="8"/>
      <c r="B44" s="10" t="s">
        <v>54</v>
      </c>
      <c r="C44" s="16">
        <f>SUMIFS(Raw_Data_Period_new_users!Z:Z, Raw_Data_Period_new_users!$A:$A, "Control", Raw_Data_Period_new_users!$C:$C, TRUE)</f>
        <v>308</v>
      </c>
      <c r="D44" s="16">
        <f>SUMIFS(Raw_Data_Period_new_users!Z:Z, Raw_Data_Period_new_users!$A:$A, "Variant", Raw_Data_Period_new_users!$C:$C, TRUE)</f>
        <v>268</v>
      </c>
      <c r="E44" s="22">
        <f t="shared" si="13"/>
        <v>-40</v>
      </c>
      <c r="F44" s="26">
        <f t="shared" si="14"/>
        <v>-0.1298701299</v>
      </c>
    </row>
    <row r="45" ht="15.75" customHeight="1">
      <c r="A45" s="8"/>
      <c r="B45" s="10" t="s">
        <v>55</v>
      </c>
      <c r="C45" s="16">
        <f>SUMIFS(Raw_Data_Period_new_users!AA:AA, Raw_Data_Period_new_users!$A:$A, "Control", Raw_Data_Period_new_users!$C:$C, TRUE)</f>
        <v>531</v>
      </c>
      <c r="D45" s="16">
        <f>SUMIFS(Raw_Data_Period_new_users!AA:AA, Raw_Data_Period_new_users!$A:$A, "Variant", Raw_Data_Period_new_users!$C:$C, TRUE)</f>
        <v>431</v>
      </c>
      <c r="E45" s="22">
        <f t="shared" si="13"/>
        <v>-100</v>
      </c>
      <c r="F45" s="26">
        <f t="shared" si="14"/>
        <v>-0.1883239171</v>
      </c>
    </row>
    <row r="46" ht="15.75" customHeight="1">
      <c r="A46" s="8"/>
      <c r="B46" s="45" t="s">
        <v>56</v>
      </c>
      <c r="C46" s="16">
        <f>SUMIFS(Raw_Data_Period_new_users!BD:BD, Raw_Data_Period_new_users!$A:$A, "Control", Raw_Data_Period_new_users!$C:$C, TRUE)</f>
        <v>1489</v>
      </c>
      <c r="D46" s="16">
        <f>SUMIFS(Raw_Data_Period_new_users!BD:BD, Raw_Data_Period_new_users!$A:$A, "Variant", Raw_Data_Period_new_users!$C:$C, TRUE)</f>
        <v>1201</v>
      </c>
      <c r="E46" s="22">
        <f t="shared" si="13"/>
        <v>-288</v>
      </c>
      <c r="F46" s="26">
        <f t="shared" si="14"/>
        <v>-0.1934184016</v>
      </c>
    </row>
    <row r="47" ht="15.75" customHeight="1">
      <c r="A47" s="4" t="s">
        <v>57</v>
      </c>
      <c r="B47" s="6"/>
      <c r="C47" s="6"/>
      <c r="D47" s="6"/>
      <c r="E47" s="6"/>
      <c r="F47" s="6"/>
    </row>
    <row r="48" ht="15.75" customHeight="1">
      <c r="A48" s="8"/>
      <c r="B48" s="10" t="s">
        <v>58</v>
      </c>
      <c r="C48" s="40">
        <f>SUMIFS(Raw_Data_Period_new_users!AB:AB, Raw_Data_Period_new_users!$A:$A, "Control", Raw_Data_Period_new_users!$C:$C, TRUE)</f>
        <v>50.9235</v>
      </c>
      <c r="D48" s="40">
        <f>SUMIFS(Raw_Data_Period_new_users!AB:AB, Raw_Data_Period_new_users!$A:$A, "Variant", Raw_Data_Period_new_users!$C:$C, TRUE)</f>
        <v>50.842</v>
      </c>
      <c r="E48" s="41">
        <f t="shared" ref="E48:E49" si="15">IFERROR(D48-C48,"")</f>
        <v>-0.0815</v>
      </c>
      <c r="F48" s="43">
        <f t="shared" ref="F48:F49" si="16">IFERROR((D48-C48)/ABS(C48),"")</f>
        <v>-0.001600439875</v>
      </c>
    </row>
    <row r="49" ht="15.75" customHeight="1">
      <c r="A49" s="8"/>
      <c r="B49" s="10" t="s">
        <v>59</v>
      </c>
      <c r="C49" s="40">
        <f>SUMIFS(Raw_Data_Period_new_users!AC:AC, Raw_Data_Period_new_users!$A:$A, "Control", Raw_Data_Period_new_users!$C:$C, TRUE)</f>
        <v>0.8016</v>
      </c>
      <c r="D49" s="40">
        <f>SUMIFS(Raw_Data_Period_new_users!AC:AC, Raw_Data_Period_new_users!$A:$A, "Variant", Raw_Data_Period_new_users!$C:$C, TRUE)</f>
        <v>0.7974</v>
      </c>
      <c r="E49" s="41">
        <f t="shared" si="15"/>
        <v>-0.0042</v>
      </c>
      <c r="F49" s="35">
        <f t="shared" si="16"/>
        <v>-0.005239520958</v>
      </c>
    </row>
    <row r="50" ht="15.75" customHeight="1">
      <c r="A50" s="4" t="s">
        <v>60</v>
      </c>
      <c r="B50" s="6"/>
      <c r="C50" s="6"/>
      <c r="D50" s="6"/>
      <c r="E50" s="6"/>
      <c r="F50" s="6"/>
    </row>
    <row r="51" ht="15.75" customHeight="1">
      <c r="A51" s="8"/>
      <c r="B51" s="10" t="s">
        <v>61</v>
      </c>
      <c r="C51" s="62">
        <f>SUMIFS(Raw_Data_Period_new_users!AI:AI, Raw_Data_Period_new_users!$A:$A, "Control", Raw_Data_Period_new_users!$C:$C, TRUE)</f>
        <v>53.3584</v>
      </c>
      <c r="D51" s="62">
        <f>SUMIFS(Raw_Data_Period_new_users!AI:AI, Raw_Data_Period_new_users!$A:$A, "Variant", Raw_Data_Period_new_users!$C:$C, TRUE)</f>
        <v>52.7789</v>
      </c>
      <c r="E51" s="64">
        <f t="shared" ref="E51:E53" si="17">IFERROR(D51-C51,"")</f>
        <v>-0.5795</v>
      </c>
      <c r="F51" s="35">
        <f t="shared" ref="F51:F53" si="18">IFERROR((D51-C51)/ABS(C51),"")</f>
        <v>-0.01086052056</v>
      </c>
    </row>
    <row r="52" ht="15.75" customHeight="1">
      <c r="A52" s="8"/>
      <c r="B52" s="10" t="s">
        <v>62</v>
      </c>
      <c r="C52" s="62">
        <f>SUMIFS(Raw_Data_Period_new_users!AJ:AJ, Raw_Data_Period_new_users!$A:$A, "Control", Raw_Data_Period_new_users!$C:$C, TRUE)</f>
        <v>21.097</v>
      </c>
      <c r="D52" s="62">
        <f>SUMIFS(Raw_Data_Period_new_users!AJ:AJ, Raw_Data_Period_new_users!$A:$A, "Variant", Raw_Data_Period_new_users!$C:$C, TRUE)</f>
        <v>20.6336</v>
      </c>
      <c r="E52" s="65">
        <f t="shared" si="17"/>
        <v>-0.4634</v>
      </c>
      <c r="F52" s="43">
        <f t="shared" si="18"/>
        <v>-0.02196520832</v>
      </c>
    </row>
    <row r="53" ht="15.75" customHeight="1">
      <c r="A53" s="8"/>
      <c r="B53" s="10" t="s">
        <v>63</v>
      </c>
      <c r="C53" s="62">
        <f>SUMIFS(Raw_Data_Period_new_users!AK:AK, Raw_Data_Period_new_users!$A:$A, "Control", Raw_Data_Period_new_users!$C:$C, TRUE)</f>
        <v>1.8333</v>
      </c>
      <c r="D53" s="62">
        <f>SUMIFS(Raw_Data_Period_new_users!AK:AK, Raw_Data_Period_new_users!$A:$A, "Variant", Raw_Data_Period_new_users!$C:$C, TRUE)</f>
        <v>1.6894</v>
      </c>
      <c r="E53" s="65">
        <f t="shared" si="17"/>
        <v>-0.1439</v>
      </c>
      <c r="F53" s="43">
        <f t="shared" si="18"/>
        <v>-0.07849233622</v>
      </c>
    </row>
    <row r="54" ht="15.75" customHeight="1">
      <c r="A54" s="4" t="s">
        <v>64</v>
      </c>
      <c r="B54" s="6"/>
      <c r="C54" s="6"/>
      <c r="D54" s="6"/>
      <c r="E54" s="6"/>
      <c r="F54" s="6"/>
    </row>
    <row r="55" ht="15.75" customHeight="1">
      <c r="A55" s="8"/>
      <c r="B55" s="10" t="s">
        <v>65</v>
      </c>
      <c r="C55" s="48">
        <f>SUMIFS(Raw_Data_Period_new_users!AL:AL, Raw_Data_Period_new_users!$A:$A, "Control", Raw_Data_Period_new_users!$C:$C, TRUE)</f>
        <v>0.5212</v>
      </c>
      <c r="D55" s="48">
        <f>SUMIFS(Raw_Data_Period_new_users!AL:AL, Raw_Data_Period_new_users!$A:$A, "Variant", Raw_Data_Period_new_users!$C:$C, TRUE)</f>
        <v>0.5271</v>
      </c>
      <c r="E55" s="66">
        <f>IFERROR(D55-C55,"")</f>
        <v>0.0059</v>
      </c>
      <c r="F55" s="43">
        <f>IFERROR((D55-C55)/ABS(C55),"")</f>
        <v>0.0113200307</v>
      </c>
    </row>
    <row r="56" ht="15.75" customHeight="1">
      <c r="A56" s="4" t="s">
        <v>66</v>
      </c>
      <c r="B56" s="6"/>
      <c r="C56" s="6"/>
      <c r="D56" s="6"/>
      <c r="E56" s="6"/>
      <c r="F56" s="6"/>
    </row>
    <row r="57" ht="15.75" customHeight="1">
      <c r="A57" s="8"/>
      <c r="B57" s="10" t="s">
        <v>67</v>
      </c>
      <c r="C57" s="62"/>
      <c r="D57" s="62">
        <f>SUMIFS(Raw_Data_Period_new_users!AI:AI, Raw_Data_Period_new_users!$A:$A, "Variant", Raw_Data_Period_new_users!$C:$C, TRUE)</f>
        <v>52.7789</v>
      </c>
      <c r="E57" s="64"/>
      <c r="F57" s="35"/>
    </row>
    <row r="58" ht="15.75" customHeight="1">
      <c r="A58" s="8"/>
      <c r="B58" s="67" t="s">
        <v>68</v>
      </c>
      <c r="C58" s="62"/>
      <c r="D58" s="62">
        <f>SUMIFS(Raw_Data_Period_new_users!AI:AI, Raw_Data_Period_new_users!$A:$A, "Variant", Raw_Data_Period_new_users!$C:$C, TRUE)</f>
        <v>52.7789</v>
      </c>
      <c r="E58" s="64"/>
      <c r="F58" s="35"/>
    </row>
    <row r="59" ht="15.75" customHeight="1">
      <c r="A59" s="8"/>
      <c r="B59" s="67" t="s">
        <v>69</v>
      </c>
      <c r="C59" s="62"/>
      <c r="D59" s="62">
        <f>SUMIFS(Raw_Data_Period_new_users!AJ:AJ, Raw_Data_Period_new_users!$A:$A, "Variant", Raw_Data_Period_new_users!$C:$C, TRUE)</f>
        <v>20.6336</v>
      </c>
      <c r="E59" s="64"/>
      <c r="F59" s="35"/>
    </row>
    <row r="60" ht="15.75" customHeight="1">
      <c r="A60" s="8"/>
      <c r="B60" s="67" t="s">
        <v>70</v>
      </c>
      <c r="C60" s="62"/>
      <c r="D60" s="62">
        <f>SUMIFS(Raw_Data_Period_new_users!AK:AK, Raw_Data_Period_new_users!$A:$A, "Variant", Raw_Data_Period_new_users!$C:$C, TRUE)</f>
        <v>1.6894</v>
      </c>
      <c r="E60" s="64"/>
      <c r="F60" s="35"/>
    </row>
    <row r="61" ht="15.75" customHeight="1">
      <c r="A61" s="4" t="s">
        <v>71</v>
      </c>
      <c r="B61" s="6"/>
      <c r="C61" s="6"/>
      <c r="D61" s="6"/>
      <c r="E61" s="6"/>
      <c r="F61" s="6"/>
    </row>
    <row r="62" ht="15.75" customHeight="1">
      <c r="A62" s="8"/>
      <c r="B62" s="53" t="s">
        <v>72</v>
      </c>
      <c r="C62" s="48">
        <f>SUMIFS(Raw_Data_Period_new_users!AQ:AQ, Raw_Data_Period_new_users!$A:$A, "Control", Raw_Data_Period_new_users!$C:$C, TRUE)</f>
        <v>7.4578</v>
      </c>
      <c r="D62" s="48">
        <f>SUMIFS(Raw_Data_Period_new_users!AQ:AQ, Raw_Data_Period_new_users!$A:$A, "Variant", Raw_Data_Period_new_users!$C:$C, TRUE)</f>
        <v>6.2511</v>
      </c>
      <c r="E62" s="59">
        <f t="shared" ref="E62:E67" si="19">IFERROR(D62-C62,"")</f>
        <v>-1.2067</v>
      </c>
      <c r="F62" s="35">
        <f t="shared" ref="F62:F67" si="20">IFERROR((D62-C62)/ABS(C62),"")</f>
        <v>-0.1618037491</v>
      </c>
    </row>
    <row r="63" ht="15.75" customHeight="1">
      <c r="A63" s="8"/>
      <c r="B63" s="53" t="s">
        <v>73</v>
      </c>
      <c r="C63" s="48">
        <f>SUMIFS(Raw_Data_Period_new_users!AR:AR, Raw_Data_Period_new_users!$A:$A, "Control", Raw_Data_Period_new_users!$C:$C, TRUE)</f>
        <v>0.1879</v>
      </c>
      <c r="D63" s="48">
        <f>SUMIFS(Raw_Data_Period_new_users!AR:AR, Raw_Data_Period_new_users!$A:$A, "Variant", Raw_Data_Period_new_users!$C:$C, TRUE)</f>
        <v>0.122</v>
      </c>
      <c r="E63" s="41">
        <f t="shared" si="19"/>
        <v>-0.0659</v>
      </c>
      <c r="F63" s="35">
        <f t="shared" si="20"/>
        <v>-0.3507184673</v>
      </c>
    </row>
    <row r="64" ht="15.75" customHeight="1">
      <c r="A64" s="8"/>
      <c r="B64" s="53" t="s">
        <v>74</v>
      </c>
      <c r="C64" s="48">
        <f>SUMIFS(Raw_Data_Period_new_users!AS:AS, Raw_Data_Period_new_users!$A:$A, "Control", Raw_Data_Period_new_users!$C:$C, TRUE)</f>
        <v>7.2698</v>
      </c>
      <c r="D64" s="48">
        <f>SUMIFS(Raw_Data_Period_new_users!AS:AS, Raw_Data_Period_new_users!$A:$A, "Variant", Raw_Data_Period_new_users!$C:$C, TRUE)</f>
        <v>6.1291</v>
      </c>
      <c r="E64" s="59">
        <f t="shared" si="19"/>
        <v>-1.1407</v>
      </c>
      <c r="F64" s="35">
        <f t="shared" si="20"/>
        <v>-0.156909406</v>
      </c>
    </row>
    <row r="65" ht="15.75" customHeight="1">
      <c r="A65" s="8"/>
      <c r="B65" s="53" t="s">
        <v>75</v>
      </c>
      <c r="C65" s="48">
        <f>SUMIFS(Raw_Data_Period_new_users!AT:AT, Raw_Data_Period_new_users!$A:$A, "Control", Raw_Data_Period_new_users!$C:$C, TRUE)</f>
        <v>5.3836</v>
      </c>
      <c r="D65" s="48">
        <f>SUMIFS(Raw_Data_Period_new_users!AT:AT, Raw_Data_Period_new_users!$A:$A, "Variant", Raw_Data_Period_new_users!$C:$C, TRUE)</f>
        <v>4.6901</v>
      </c>
      <c r="E65" s="41">
        <f t="shared" si="19"/>
        <v>-0.6935</v>
      </c>
      <c r="F65" s="35">
        <f t="shared" si="20"/>
        <v>-0.1288171484</v>
      </c>
    </row>
    <row r="66" ht="15.75" customHeight="1">
      <c r="A66" s="8"/>
      <c r="B66" s="53" t="s">
        <v>76</v>
      </c>
      <c r="C66" s="48">
        <f>SUMIFS(Raw_Data_Period_new_users!AQ:AQ, Raw_Data_Period_new_users!$A:$A, "Control", Raw_Data_Period_new_users!$C:$C, TRUE) - SUMIFS(Raw_Data_Period_new_users!AT:AT, Raw_Data_Period_new_users!$A:$A, "Control", Raw_Data_Period_new_users!$C:$C, TRUE)</f>
        <v>2.0742</v>
      </c>
      <c r="D66" s="48">
        <f>SUMIFS(Raw_Data_Period_new_users!AQ:AQ, Raw_Data_Period_new_users!$A:$A, "Variant", Raw_Data_Period_new_users!$C:$C, TRUE) - SUMIFS(Raw_Data_Period_new_users!AT:AT, Raw_Data_Period_new_users!$A:$A, "Variant", Raw_Data_Period_new_users!$C:$C, TRUE)</f>
        <v>1.561</v>
      </c>
      <c r="E66" s="59">
        <f t="shared" si="19"/>
        <v>-0.5132</v>
      </c>
      <c r="F66" s="35">
        <f t="shared" si="20"/>
        <v>-0.2474206923</v>
      </c>
    </row>
    <row r="67" ht="15.75" customHeight="1">
      <c r="A67" s="8"/>
      <c r="B67" s="10" t="s">
        <v>77</v>
      </c>
      <c r="C67" s="48">
        <f>SUMIFS(Raw_Data_Period_new_users!AU:AU, Raw_Data_Period_new_users!$A:$A, "Control", Raw_Data_Period_new_users!$C:$C, TRUE)</f>
        <v>0.1885</v>
      </c>
      <c r="D67" s="48">
        <f>SUMIFS(Raw_Data_Period_new_users!AU:AU, Raw_Data_Period_new_users!$A:$A, "Variant", Raw_Data_Period_new_users!$C:$C, TRUE)</f>
        <v>0.166</v>
      </c>
      <c r="E67" s="68">
        <f t="shared" si="19"/>
        <v>-0.0225</v>
      </c>
      <c r="F67" s="43">
        <f t="shared" si="20"/>
        <v>-0.1193633952</v>
      </c>
    </row>
    <row r="68" ht="15.75" customHeight="1"/>
    <row r="69" ht="15.75" customHeight="1">
      <c r="A69" s="69" t="s">
        <v>78</v>
      </c>
      <c r="B69" s="6"/>
      <c r="C69" s="6"/>
      <c r="D69" s="6"/>
      <c r="E69" s="6"/>
      <c r="F69" s="6"/>
    </row>
    <row r="70" ht="15.75" customHeight="1">
      <c r="A70" s="8"/>
      <c r="B70" s="70" t="s">
        <v>79</v>
      </c>
      <c r="C70" s="48">
        <f>SUMIFS(Raw_Data_Period_new_users!BO:BO, Raw_Data_Period_new_users!$A:$A, "Control", Raw_Data_Period_new_users!$C:$C, TRUE)</f>
        <v>1.7214</v>
      </c>
      <c r="D70" s="48">
        <f>SUMIFS(Raw_Data_Period_new_users!BO:BO, Raw_Data_Period_new_users!$A:$A, "Variant", Raw_Data_Period_new_users!$C:$C, TRUE)</f>
        <v>1.2433</v>
      </c>
      <c r="E70" s="59">
        <f t="shared" ref="E70:E74" si="21">IFERROR(D70-C70,"")</f>
        <v>-0.4781</v>
      </c>
      <c r="F70" s="35">
        <f t="shared" ref="F70:F74" si="22">IFERROR((D70-C70)/ABS(C70),"")</f>
        <v>-0.2777390496</v>
      </c>
    </row>
    <row r="71" ht="15.75" customHeight="1">
      <c r="A71" s="8"/>
      <c r="B71" s="70" t="s">
        <v>80</v>
      </c>
      <c r="C71" s="48">
        <f>SUMIFS(Raw_Data_Period_new_users!BP:BP, Raw_Data_Period_new_users!$A:$A, "Control", Raw_Data_Period_new_users!$C:$C, TRUE)</f>
        <v>0.0442</v>
      </c>
      <c r="D71" s="48">
        <f>SUMIFS(Raw_Data_Period_new_users!BP:BP, Raw_Data_Period_new_users!$A:$A, "Variant", Raw_Data_Period_new_users!$C:$C, TRUE)</f>
        <v>0.0309</v>
      </c>
      <c r="E71" s="41">
        <f t="shared" si="21"/>
        <v>-0.0133</v>
      </c>
      <c r="F71" s="35">
        <f t="shared" si="22"/>
        <v>-0.3009049774</v>
      </c>
    </row>
    <row r="72" ht="15.75" customHeight="1">
      <c r="A72" s="8"/>
      <c r="B72" s="70" t="s">
        <v>81</v>
      </c>
      <c r="C72" s="48">
        <f>SUMIFS(Raw_Data_Period_new_users!BQ:BQ, Raw_Data_Period_new_users!$A:$A, "Control", Raw_Data_Period_new_users!$C:$C, TRUE)</f>
        <v>1.6772</v>
      </c>
      <c r="D72" s="48">
        <f>SUMIFS(Raw_Data_Period_new_users!BQ:BQ, Raw_Data_Period_new_users!$A:$A, "Variant", Raw_Data_Period_new_users!$C:$C, TRUE)</f>
        <v>1.2124</v>
      </c>
      <c r="E72" s="59">
        <f t="shared" si="21"/>
        <v>-0.4648</v>
      </c>
      <c r="F72" s="35">
        <f t="shared" si="22"/>
        <v>-0.2771285476</v>
      </c>
    </row>
    <row r="73" ht="15.75" customHeight="1">
      <c r="A73" s="8"/>
      <c r="B73" s="70" t="s">
        <v>82</v>
      </c>
      <c r="C73" s="48">
        <f>SUMIFS(Raw_Data_Period_new_users!BR:BR, Raw_Data_Period_new_users!$A:$A, "Control", Raw_Data_Period_new_users!$C:$C, TRUE)</f>
        <v>1.0822</v>
      </c>
      <c r="D73" s="48">
        <f>SUMIFS(Raw_Data_Period_new_users!BR:BR, Raw_Data_Period_new_users!$A:$A, "Variant", Raw_Data_Period_new_users!$C:$C, TRUE)</f>
        <v>0.854</v>
      </c>
      <c r="E73" s="41">
        <f t="shared" si="21"/>
        <v>-0.2282</v>
      </c>
      <c r="F73" s="35">
        <f t="shared" si="22"/>
        <v>-0.2108667529</v>
      </c>
    </row>
    <row r="74" ht="15.75" customHeight="1">
      <c r="A74" s="8"/>
      <c r="B74" s="70" t="s">
        <v>83</v>
      </c>
      <c r="C74" s="48">
        <f>SUMIFS(Raw_Data_Period_new_users!BO:BO, Raw_Data_Period_new_users!$A:$A, "Control", Raw_Data_Period_new_users!$C:$C, TRUE) - SUMIFS(Raw_Data_Period_new_users!BR:BR, Raw_Data_Period_new_users!$A:$A, "Control", Raw_Data_Period_new_users!$C:$C, TRUE)</f>
        <v>0.6392</v>
      </c>
      <c r="D74" s="48">
        <f>SUMIFS(Raw_Data_Period_new_users!BO:BO, Raw_Data_Period_new_users!$A:$A, "Variant", Raw_Data_Period_new_users!$C:$C, TRUE) - SUMIFS(Raw_Data_Period_new_users!BR:BR, Raw_Data_Period_new_users!$A:$A, "Variant", Raw_Data_Period_new_users!$C:$C, TRUE)</f>
        <v>0.3893</v>
      </c>
      <c r="E74" s="59">
        <f t="shared" si="21"/>
        <v>-0.2499</v>
      </c>
      <c r="F74" s="35">
        <f t="shared" si="22"/>
        <v>-0.3909574468</v>
      </c>
    </row>
    <row r="75" ht="15.75" customHeight="1">
      <c r="A75" s="69" t="s">
        <v>84</v>
      </c>
      <c r="B75" s="6"/>
      <c r="C75" s="6"/>
      <c r="D75" s="6"/>
      <c r="E75" s="6"/>
      <c r="F75" s="6"/>
    </row>
    <row r="76" ht="15.75" customHeight="1">
      <c r="A76" s="8"/>
      <c r="B76" s="70" t="s">
        <v>85</v>
      </c>
      <c r="C76" s="48">
        <f>SUMIFS(Raw_Data_Period_new_users!BS:BS, Raw_Data_Period_new_users!$A:$A, "Control", Raw_Data_Period_new_users!$C:$C, TRUE)</f>
        <v>2.0729</v>
      </c>
      <c r="D76" s="48">
        <f>SUMIFS(Raw_Data_Period_new_users!BS:BS, Raw_Data_Period_new_users!$A:$A, "Variant", Raw_Data_Period_new_users!$C:$C, TRUE)</f>
        <v>1.531</v>
      </c>
      <c r="E76" s="59">
        <f t="shared" ref="E76:E80" si="23">IFERROR(D76-C76,"")</f>
        <v>-0.5419</v>
      </c>
      <c r="F76" s="35">
        <f t="shared" ref="F76:F80" si="24">IFERROR((D76-C76)/ABS(C76),"")</f>
        <v>-0.2614211974</v>
      </c>
    </row>
    <row r="77" ht="15.75" customHeight="1">
      <c r="A77" s="8"/>
      <c r="B77" s="70" t="s">
        <v>86</v>
      </c>
      <c r="C77" s="48">
        <f>SUMIFS(Raw_Data_Period_new_users!BT:BT, Raw_Data_Period_new_users!$A:$A, "Control", Raw_Data_Period_new_users!$C:$C, TRUE)</f>
        <v>0.041</v>
      </c>
      <c r="D77" s="48">
        <f>SUMIFS(Raw_Data_Period_new_users!BT:BT, Raw_Data_Period_new_users!$A:$A, "Variant", Raw_Data_Period_new_users!$C:$C, TRUE)</f>
        <v>0.0234</v>
      </c>
      <c r="E77" s="41">
        <f t="shared" si="23"/>
        <v>-0.0176</v>
      </c>
      <c r="F77" s="35">
        <f t="shared" si="24"/>
        <v>-0.4292682927</v>
      </c>
    </row>
    <row r="78" ht="15.75" customHeight="1">
      <c r="A78" s="8"/>
      <c r="B78" s="70" t="s">
        <v>87</v>
      </c>
      <c r="C78" s="48">
        <f>SUMIFS(Raw_Data_Period_new_users!BU:BU, Raw_Data_Period_new_users!$A:$A, "Control", Raw_Data_Period_new_users!$C:$C, TRUE)</f>
        <v>2.0319</v>
      </c>
      <c r="D78" s="48">
        <f>SUMIFS(Raw_Data_Period_new_users!BU:BU, Raw_Data_Period_new_users!$A:$A, "Variant", Raw_Data_Period_new_users!$C:$C, TRUE)</f>
        <v>1.5076</v>
      </c>
      <c r="E78" s="59">
        <f t="shared" si="23"/>
        <v>-0.5243</v>
      </c>
      <c r="F78" s="35">
        <f t="shared" si="24"/>
        <v>-0.2580343521</v>
      </c>
    </row>
    <row r="79" ht="15.75" customHeight="1">
      <c r="A79" s="8"/>
      <c r="B79" s="70" t="s">
        <v>88</v>
      </c>
      <c r="C79" s="48">
        <f>SUMIFS(Raw_Data_Period_new_users!BV:BV, Raw_Data_Period_new_users!$A:$A, "Control", Raw_Data_Period_new_users!$C:$C, TRUE)</f>
        <v>1.0855</v>
      </c>
      <c r="D79" s="48">
        <f>SUMIFS(Raw_Data_Period_new_users!BV:BV, Raw_Data_Period_new_users!$A:$A, "Variant", Raw_Data_Period_new_users!$C:$C, TRUE)</f>
        <v>0.8407</v>
      </c>
      <c r="E79" s="41">
        <f t="shared" si="23"/>
        <v>-0.2448</v>
      </c>
      <c r="F79" s="35">
        <f t="shared" si="24"/>
        <v>-0.2255181944</v>
      </c>
    </row>
    <row r="80" ht="15.75" customHeight="1">
      <c r="A80" s="8"/>
      <c r="B80" s="70" t="s">
        <v>89</v>
      </c>
      <c r="C80" s="48">
        <f>SUMIFS(Raw_Data_Period_new_users!BS:BS, Raw_Data_Period_new_users!$A:$A, "Control", Raw_Data_Period_new_users!$C:$C, TRUE) - SUMIFS(Raw_Data_Period_new_users!BV:BV, Raw_Data_Period_new_users!$A:$A, "Control", Raw_Data_Period_new_users!$C:$C, TRUE)</f>
        <v>0.9874</v>
      </c>
      <c r="D80" s="48">
        <f>SUMIFS(Raw_Data_Period_new_users!BS:BS, Raw_Data_Period_new_users!$A:$A, "Variant", Raw_Data_Period_new_users!$C:$C, TRUE) - SUMIFS(Raw_Data_Period_new_users!BV:BV, Raw_Data_Period_new_users!$A:$A, "Variant", Raw_Data_Period_new_users!$C:$C, TRUE)</f>
        <v>0.6903</v>
      </c>
      <c r="E80" s="59">
        <f t="shared" si="23"/>
        <v>-0.2971</v>
      </c>
      <c r="F80" s="35">
        <f t="shared" si="24"/>
        <v>-0.3008912295</v>
      </c>
    </row>
    <row r="81" ht="15.75" customHeight="1">
      <c r="A81" s="69" t="s">
        <v>90</v>
      </c>
      <c r="B81" s="6"/>
      <c r="C81" s="6"/>
      <c r="D81" s="6"/>
      <c r="E81" s="6"/>
      <c r="F81" s="6"/>
    </row>
    <row r="82" ht="15.75" customHeight="1">
      <c r="A82" s="8"/>
      <c r="B82" s="70" t="s">
        <v>91</v>
      </c>
      <c r="C82" s="48">
        <f>SUMIFS(Raw_Data_Period_new_users!BW:BW, Raw_Data_Period_new_users!$A:$A, "Control", Raw_Data_Period_new_users!$C:$C, TRUE)</f>
        <v>0.9969</v>
      </c>
      <c r="D82" s="48">
        <f>SUMIFS(Raw_Data_Period_new_users!BW:BW, Raw_Data_Period_new_users!$A:$A, "Variant", Raw_Data_Period_new_users!$C:$C, TRUE)</f>
        <v>0.9331</v>
      </c>
      <c r="E82" s="59">
        <f t="shared" ref="E82:E86" si="25">IFERROR(D82-C82,"")</f>
        <v>-0.0638</v>
      </c>
      <c r="F82" s="35">
        <f t="shared" ref="F82:F86" si="26">IFERROR((D82-C82)/ABS(C82),"")</f>
        <v>-0.06399839502</v>
      </c>
    </row>
    <row r="83" ht="15.75" customHeight="1">
      <c r="A83" s="8"/>
      <c r="B83" s="70" t="s">
        <v>92</v>
      </c>
      <c r="C83" s="48">
        <f>SUMIFS(Raw_Data_Period_new_users!BX:BX, Raw_Data_Period_new_users!$A:$A, "Control", Raw_Data_Period_new_users!$C:$C, TRUE)</f>
        <v>0.0609</v>
      </c>
      <c r="D83" s="48">
        <f>SUMIFS(Raw_Data_Period_new_users!BX:BX, Raw_Data_Period_new_users!$A:$A, "Variant", Raw_Data_Period_new_users!$C:$C, TRUE)</f>
        <v>0.0323</v>
      </c>
      <c r="E83" s="41">
        <f t="shared" si="25"/>
        <v>-0.0286</v>
      </c>
      <c r="F83" s="35">
        <f t="shared" si="26"/>
        <v>-0.4696223317</v>
      </c>
    </row>
    <row r="84" ht="15.75" customHeight="1">
      <c r="A84" s="8"/>
      <c r="B84" s="70" t="s">
        <v>93</v>
      </c>
      <c r="C84" s="48">
        <f>SUMIFS(Raw_Data_Period_new_users!BY:BY, Raw_Data_Period_new_users!$A:$A, "Control", Raw_Data_Period_new_users!$C:$C, TRUE)</f>
        <v>0.936</v>
      </c>
      <c r="D84" s="48">
        <f>SUMIFS(Raw_Data_Period_new_users!BY:BY, Raw_Data_Period_new_users!$A:$A, "Variant", Raw_Data_Period_new_users!$C:$C, TRUE)</f>
        <v>0.9008</v>
      </c>
      <c r="E84" s="59">
        <f t="shared" si="25"/>
        <v>-0.0352</v>
      </c>
      <c r="F84" s="35">
        <f t="shared" si="26"/>
        <v>-0.03760683761</v>
      </c>
    </row>
    <row r="85" ht="15.75" customHeight="1">
      <c r="A85" s="8"/>
      <c r="B85" s="70" t="s">
        <v>94</v>
      </c>
      <c r="C85" s="48">
        <f>SUMIFS(Raw_Data_Period_new_users!BZ:BZ, Raw_Data_Period_new_users!$A:$A, "Control", Raw_Data_Period_new_users!$C:$C, TRUE)</f>
        <v>0.6687</v>
      </c>
      <c r="D85" s="48">
        <f>SUMIFS(Raw_Data_Period_new_users!BZ:BZ, Raw_Data_Period_new_users!$A:$A, "Variant", Raw_Data_Period_new_users!$C:$C, TRUE)</f>
        <v>0.6308</v>
      </c>
      <c r="E85" s="41">
        <f t="shared" si="25"/>
        <v>-0.0379</v>
      </c>
      <c r="F85" s="35">
        <f t="shared" si="26"/>
        <v>-0.05667713474</v>
      </c>
    </row>
    <row r="86" ht="15.75" customHeight="1">
      <c r="A86" s="8"/>
      <c r="B86" s="70" t="s">
        <v>95</v>
      </c>
      <c r="C86" s="48">
        <f>SUMIFS(Raw_Data_Period_new_users!BW:BW, Raw_Data_Period_new_users!$A:$A, "Control", Raw_Data_Period_new_users!$C:$C, TRUE) - SUMIFS(Raw_Data_Period_new_users!BZ:BZ, Raw_Data_Period_new_users!$A:$A, "Control", Raw_Data_Period_new_users!$C:$C, TRUE)</f>
        <v>0.3282</v>
      </c>
      <c r="D86" s="48">
        <f>SUMIFS(Raw_Data_Period_new_users!BW:BW, Raw_Data_Period_new_users!$A:$A, "Variant", Raw_Data_Period_new_users!$C:$C, TRUE) - SUMIFS(Raw_Data_Period_new_users!BZ:BZ, Raw_Data_Period_new_users!$A:$A, "Variant", Raw_Data_Period_new_users!$C:$C, TRUE)</f>
        <v>0.3023</v>
      </c>
      <c r="E86" s="59">
        <f t="shared" si="25"/>
        <v>-0.0259</v>
      </c>
      <c r="F86" s="35">
        <f t="shared" si="26"/>
        <v>-0.07891529555</v>
      </c>
    </row>
    <row r="87" ht="15.75" customHeight="1">
      <c r="A87" s="69" t="s">
        <v>96</v>
      </c>
      <c r="B87" s="6"/>
      <c r="C87" s="6"/>
      <c r="D87" s="6"/>
      <c r="E87" s="6"/>
      <c r="F87" s="6"/>
    </row>
    <row r="88" ht="15.75" customHeight="1">
      <c r="A88" s="8"/>
      <c r="B88" s="70" t="s">
        <v>97</v>
      </c>
      <c r="C88" s="48">
        <f>SUMIFS(Raw_Data_Period_new_users!CE:CE, Raw_Data_Period_new_users!$A:$A, "Control", Raw_Data_Period_new_users!$C:$C, TRUE)</f>
        <v>1.0856</v>
      </c>
      <c r="D88" s="48">
        <f>SUMIFS(Raw_Data_Period_new_users!CE:CE, Raw_Data_Period_new_users!$A:$A, "Variant", Raw_Data_Period_new_users!$C:$C, TRUE)</f>
        <v>1.2157</v>
      </c>
      <c r="E88" s="59">
        <f t="shared" ref="E88:E92" si="27">IFERROR(D88-C88,"")</f>
        <v>0.1301</v>
      </c>
      <c r="F88" s="35">
        <f t="shared" ref="F88:F92" si="28">IFERROR((D88-C88)/ABS(C88),"")</f>
        <v>0.1198415623</v>
      </c>
    </row>
    <row r="89" ht="15.75" customHeight="1">
      <c r="A89" s="8"/>
      <c r="B89" s="70" t="s">
        <v>98</v>
      </c>
      <c r="C89" s="48">
        <f>SUMIFS(Raw_Data_Period_new_users!CF:CF, Raw_Data_Period_new_users!$A:$A, "Control", Raw_Data_Period_new_users!$C:$C, TRUE)</f>
        <v>0.0167</v>
      </c>
      <c r="D89" s="48">
        <f>SUMIFS(Raw_Data_Period_new_users!CF:CF, Raw_Data_Period_new_users!$A:$A, "Variant", Raw_Data_Period_new_users!$C:$C, TRUE)</f>
        <v>0.015</v>
      </c>
      <c r="E89" s="41">
        <f t="shared" si="27"/>
        <v>-0.0017</v>
      </c>
      <c r="F89" s="35">
        <f t="shared" si="28"/>
        <v>-0.1017964072</v>
      </c>
    </row>
    <row r="90" ht="15.75" customHeight="1">
      <c r="A90" s="8"/>
      <c r="B90" s="70" t="s">
        <v>99</v>
      </c>
      <c r="C90" s="48">
        <f>SUMIFS(Raw_Data_Period_new_users!CG:CG, Raw_Data_Period_new_users!$A:$A, "Control", Raw_Data_Period_new_users!$C:$C, TRUE)</f>
        <v>1.0689</v>
      </c>
      <c r="D90" s="48">
        <f>SUMIFS(Raw_Data_Period_new_users!CG:CG, Raw_Data_Period_new_users!$A:$A, "Variant", Raw_Data_Period_new_users!$C:$C, TRUE)</f>
        <v>1.2007</v>
      </c>
      <c r="E90" s="59">
        <f t="shared" si="27"/>
        <v>0.1318</v>
      </c>
      <c r="F90" s="35">
        <f t="shared" si="28"/>
        <v>0.1233043316</v>
      </c>
    </row>
    <row r="91" ht="15.75" customHeight="1">
      <c r="A91" s="8"/>
      <c r="B91" s="70" t="s">
        <v>100</v>
      </c>
      <c r="C91" s="48">
        <f>SUMIFS(Raw_Data_Period_new_users!CH:CH, Raw_Data_Period_new_users!$A:$A, "Control", Raw_Data_Period_new_users!$C:$C, TRUE)</f>
        <v>0.9032</v>
      </c>
      <c r="D91" s="48">
        <f>SUMIFS(Raw_Data_Period_new_users!CH:CH, Raw_Data_Period_new_users!$A:$A, "Variant", Raw_Data_Period_new_users!$C:$C, TRUE)</f>
        <v>0.9455</v>
      </c>
      <c r="E91" s="41">
        <f t="shared" si="27"/>
        <v>0.0423</v>
      </c>
      <c r="F91" s="35">
        <f t="shared" si="28"/>
        <v>0.04683348096</v>
      </c>
    </row>
    <row r="92" ht="15.75" customHeight="1">
      <c r="A92" s="8"/>
      <c r="B92" s="70" t="s">
        <v>101</v>
      </c>
      <c r="C92" s="48">
        <f>SUMIFS(Raw_Data_Period_new_users!CE:CE, Raw_Data_Period_new_users!$A:$A, "Control", Raw_Data_Period_new_users!$C:$C, TRUE) - SUMIFS(Raw_Data_Period_new_users!CH:CH, Raw_Data_Period_new_users!$A:$A, "Control", Raw_Data_Period_new_users!$C:$C, TRUE)</f>
        <v>0.1824</v>
      </c>
      <c r="D92" s="48">
        <f>SUMIFS(Raw_Data_Period_new_users!CE:CE, Raw_Data_Period_new_users!$A:$A, "Variant", Raw_Data_Period_new_users!$C:$C, TRUE) - SUMIFS(Raw_Data_Period_new_users!CH:CH, Raw_Data_Period_new_users!$A:$A, "Variant", Raw_Data_Period_new_users!$C:$C, TRUE)</f>
        <v>0.2702</v>
      </c>
      <c r="E92" s="59">
        <f t="shared" si="27"/>
        <v>0.0878</v>
      </c>
      <c r="F92" s="35">
        <f t="shared" si="28"/>
        <v>0.4813596491</v>
      </c>
    </row>
    <row r="93" ht="15.75" customHeight="1">
      <c r="A93" s="69" t="s">
        <v>102</v>
      </c>
      <c r="B93" s="6"/>
      <c r="C93" s="6"/>
      <c r="D93" s="6"/>
      <c r="E93" s="6"/>
      <c r="F93" s="6"/>
    </row>
    <row r="94" ht="15.75" customHeight="1">
      <c r="A94" s="8"/>
      <c r="B94" s="70" t="s">
        <v>103</v>
      </c>
      <c r="C94" s="48">
        <f>SUMIFS(Raw_Data_Period_new_users!CI:CI, Raw_Data_Period_new_users!$A:$A, "Control", Raw_Data_Period_new_users!$C:$C, TRUE)</f>
        <v>1.1182</v>
      </c>
      <c r="D94" s="48">
        <f>SUMIFS(Raw_Data_Period_new_users!CI:CI, Raw_Data_Period_new_users!$A:$A, "Variant", Raw_Data_Period_new_users!$C:$C, TRUE)</f>
        <v>0.9622</v>
      </c>
      <c r="E94" s="59">
        <f t="shared" ref="E94:E98" si="29">IFERROR(D94-C94,"")</f>
        <v>-0.156</v>
      </c>
      <c r="F94" s="35">
        <f t="shared" ref="F94:F98" si="30">IFERROR((D94-C94)/ABS(C94),"")</f>
        <v>-0.1395099267</v>
      </c>
    </row>
    <row r="95" ht="15.75" customHeight="1">
      <c r="A95" s="8"/>
      <c r="B95" s="70" t="s">
        <v>104</v>
      </c>
      <c r="C95" s="48">
        <f>SUMIFS(Raw_Data_Period_new_users!CJ:CJ, Raw_Data_Period_new_users!$A:$A, "Control", Raw_Data_Period_new_users!$C:$C, TRUE)</f>
        <v>0.0161</v>
      </c>
      <c r="D95" s="48">
        <f>SUMIFS(Raw_Data_Period_new_users!CJ:CJ, Raw_Data_Period_new_users!$A:$A, "Variant", Raw_Data_Period_new_users!$C:$C, TRUE)</f>
        <v>0.0132</v>
      </c>
      <c r="E95" s="41">
        <f t="shared" si="29"/>
        <v>-0.0029</v>
      </c>
      <c r="F95" s="35">
        <f t="shared" si="30"/>
        <v>-0.1801242236</v>
      </c>
    </row>
    <row r="96" ht="15.75" customHeight="1">
      <c r="A96" s="8"/>
      <c r="B96" s="70" t="s">
        <v>105</v>
      </c>
      <c r="C96" s="48">
        <f>SUMIFS(Raw_Data_Period_new_users!CK:CK, Raw_Data_Period_new_users!$A:$A, "Control", Raw_Data_Period_new_users!$C:$C, TRUE)</f>
        <v>1.1021</v>
      </c>
      <c r="D96" s="48">
        <f>SUMIFS(Raw_Data_Period_new_users!CK:CK, Raw_Data_Period_new_users!$A:$A, "Variant", Raw_Data_Period_new_users!$C:$C, TRUE)</f>
        <v>0.949</v>
      </c>
      <c r="E96" s="59">
        <f t="shared" si="29"/>
        <v>-0.1531</v>
      </c>
      <c r="F96" s="35">
        <f t="shared" si="30"/>
        <v>-0.1389166137</v>
      </c>
    </row>
    <row r="97" ht="15.75" customHeight="1">
      <c r="A97" s="8"/>
      <c r="B97" s="70" t="s">
        <v>106</v>
      </c>
      <c r="C97" s="48">
        <f>SUMIFS(Raw_Data_Period_new_users!CL:CL, Raw_Data_Period_new_users!$A:$A, "Control", Raw_Data_Period_new_users!$C:$C, TRUE)</f>
        <v>1.0415</v>
      </c>
      <c r="D97" s="48">
        <f>SUMIFS(Raw_Data_Period_new_users!CL:CL, Raw_Data_Period_new_users!$A:$A, "Variant", Raw_Data_Period_new_users!$C:$C, TRUE)</f>
        <v>0.9075</v>
      </c>
      <c r="E97" s="41">
        <f t="shared" si="29"/>
        <v>-0.134</v>
      </c>
      <c r="F97" s="35">
        <f t="shared" si="30"/>
        <v>-0.1286605857</v>
      </c>
    </row>
    <row r="98" ht="15.75" customHeight="1">
      <c r="A98" s="8"/>
      <c r="B98" s="70" t="s">
        <v>107</v>
      </c>
      <c r="C98" s="48">
        <f>SUMIFS(Raw_Data_Period_new_users!CI:CI, Raw_Data_Period_new_users!$A:$A, "Control", Raw_Data_Period_new_users!$C:$C, TRUE) - SUMIFS(Raw_Data_Period_new_users!CL:CL, Raw_Data_Period_new_users!$A:$A, "Control", Raw_Data_Period_new_users!$C:$C, TRUE)</f>
        <v>0.0767</v>
      </c>
      <c r="D98" s="48">
        <f>SUMIFS(Raw_Data_Period_new_users!CI:CI, Raw_Data_Period_new_users!$A:$A, "Variant", Raw_Data_Period_new_users!$C:$C, TRUE) - SUMIFS(Raw_Data_Period_new_users!CL:CL, Raw_Data_Period_new_users!$A:$A, "Variant", Raw_Data_Period_new_users!$C:$C, TRUE)</f>
        <v>0.0547</v>
      </c>
      <c r="E98" s="59">
        <f t="shared" si="29"/>
        <v>-0.022</v>
      </c>
      <c r="F98" s="35">
        <f t="shared" si="30"/>
        <v>-0.2868318123</v>
      </c>
    </row>
    <row r="99" ht="15.75" customHeight="1">
      <c r="A99" s="69" t="s">
        <v>108</v>
      </c>
      <c r="B99" s="6"/>
      <c r="C99" s="6"/>
      <c r="D99" s="6"/>
      <c r="E99" s="6"/>
      <c r="F99" s="6"/>
    </row>
    <row r="100" ht="15.75" customHeight="1">
      <c r="A100" s="8"/>
      <c r="B100" s="70" t="s">
        <v>109</v>
      </c>
      <c r="C100" s="48">
        <f>SUMIFS(Raw_Data_Period_new_users!CA:CA, Raw_Data_Period_new_users!$A:$A, "Control", Raw_Data_Period_new_users!$C:$C, TRUE)</f>
        <v>0.4628</v>
      </c>
      <c r="D100" s="48">
        <f>SUMIFS(Raw_Data_Period_new_users!CA:CA, Raw_Data_Period_new_users!$A:$A, "Variant", Raw_Data_Period_new_users!$C:$C, TRUE)</f>
        <v>0.3658</v>
      </c>
      <c r="E100" s="59">
        <f t="shared" ref="E100:E104" si="31">IFERROR(D100-C100,"")</f>
        <v>-0.097</v>
      </c>
      <c r="F100" s="35">
        <f t="shared" ref="F100:F104" si="32">IFERROR((D100-C100)/ABS(C100),"")</f>
        <v>-0.209593777</v>
      </c>
    </row>
    <row r="101" ht="15.75" customHeight="1">
      <c r="A101" s="8"/>
      <c r="B101" s="70" t="s">
        <v>110</v>
      </c>
      <c r="C101" s="48">
        <f>SUMIFS(Raw_Data_Period_new_users!CB:CB, Raw_Data_Period_new_users!$A:$A, "Control", Raw_Data_Period_new_users!$C:$C, TRUE)</f>
        <v>0.009</v>
      </c>
      <c r="D101" s="48">
        <f>SUMIFS(Raw_Data_Period_new_users!CB:CB, Raw_Data_Period_new_users!$A:$A, "Variant", Raw_Data_Period_new_users!$C:$C, TRUE)</f>
        <v>0.0071</v>
      </c>
      <c r="E101" s="41">
        <f t="shared" si="31"/>
        <v>-0.0019</v>
      </c>
      <c r="F101" s="35">
        <f t="shared" si="32"/>
        <v>-0.2111111111</v>
      </c>
    </row>
    <row r="102" ht="15.75" customHeight="1">
      <c r="A102" s="8"/>
      <c r="B102" s="70" t="s">
        <v>111</v>
      </c>
      <c r="C102" s="48">
        <f>SUMIFS(Raw_Data_Period_new_users!CC:CC, Raw_Data_Period_new_users!$A:$A, "Control", Raw_Data_Period_new_users!$C:$C, TRUE)</f>
        <v>0.4538</v>
      </c>
      <c r="D102" s="48">
        <f>SUMIFS(Raw_Data_Period_new_users!CC:CC, Raw_Data_Period_new_users!$A:$A, "Variant", Raw_Data_Period_new_users!$C:$C, TRUE)</f>
        <v>0.3587</v>
      </c>
      <c r="E102" s="59">
        <f t="shared" si="31"/>
        <v>-0.0951</v>
      </c>
      <c r="F102" s="35">
        <f t="shared" si="32"/>
        <v>-0.2095636844</v>
      </c>
    </row>
    <row r="103" ht="15.75" customHeight="1">
      <c r="A103" s="8"/>
      <c r="B103" s="70" t="s">
        <v>112</v>
      </c>
      <c r="C103" s="48">
        <f>SUMIFS(Raw_Data_Period_new_users!CD:CD, Raw_Data_Period_new_users!$A:$A, "Control", Raw_Data_Period_new_users!$C:$C, TRUE)</f>
        <v>0.6025</v>
      </c>
      <c r="D103" s="48">
        <f>SUMIFS(Raw_Data_Period_new_users!CD:CD, Raw_Data_Period_new_users!$A:$A, "Variant", Raw_Data_Period_new_users!$C:$C, TRUE)</f>
        <v>0.5116</v>
      </c>
      <c r="E103" s="41">
        <f t="shared" si="31"/>
        <v>-0.0909</v>
      </c>
      <c r="F103" s="35">
        <f t="shared" si="32"/>
        <v>-0.1508713693</v>
      </c>
    </row>
    <row r="104" ht="15.75" customHeight="1">
      <c r="A104" s="8"/>
      <c r="B104" s="70" t="s">
        <v>113</v>
      </c>
      <c r="C104" s="48">
        <f>SUMIFS(Raw_Data_Period_new_users!CA:CA, Raw_Data_Period_new_users!$A:$A, "Control", Raw_Data_Period_new_users!$C:$C, TRUE) - SUMIFS(Raw_Data_Period_new_users!CD:CD, Raw_Data_Period_new_users!$A:$A, "Control", Raw_Data_Period_new_users!$C:$C, TRUE)</f>
        <v>-0.1397</v>
      </c>
      <c r="D104" s="48">
        <f>SUMIFS(Raw_Data_Period_new_users!CA:CA, Raw_Data_Period_new_users!$A:$A, "Variant", Raw_Data_Period_new_users!$C:$C, TRUE) - SUMIFS(Raw_Data_Period_new_users!CD:CD, Raw_Data_Period_new_users!$A:$A, "Variant", Raw_Data_Period_new_users!$C:$C, TRUE)</f>
        <v>-0.1458</v>
      </c>
      <c r="E104" s="59">
        <f t="shared" si="31"/>
        <v>-0.0061</v>
      </c>
      <c r="F104" s="35">
        <f t="shared" si="32"/>
        <v>-0.04366499642</v>
      </c>
    </row>
    <row r="105" ht="15.75" customHeight="1">
      <c r="A105" s="69" t="s">
        <v>114</v>
      </c>
      <c r="B105" s="73" t="s">
        <v>115</v>
      </c>
      <c r="C105" s="6"/>
      <c r="D105" s="6"/>
      <c r="E105" s="6"/>
      <c r="F105" s="6"/>
    </row>
    <row r="106" ht="15.75" customHeight="1">
      <c r="A106" s="74" t="s">
        <v>115</v>
      </c>
      <c r="B106" s="70" t="s">
        <v>116</v>
      </c>
      <c r="C106" s="48">
        <f>SUMIFS(Raw_Data_Period_new_users!CM:CM, Raw_Data_Period_new_users!$A:$A, "Control", Raw_Data_Period_new_users!$C:$C, TRUE)</f>
        <v>236.6232</v>
      </c>
      <c r="D106" s="48">
        <f>SUMIFS(Raw_Data_Period_new_users!CM:CM, Raw_Data_Period_new_users!$A:$A, "Variant", Raw_Data_Period_new_users!$C:$C, TRUE)</f>
        <v>199.4955</v>
      </c>
      <c r="E106" s="59">
        <f t="shared" ref="E106:E113" si="33">IFERROR(D106-C106,"")</f>
        <v>-37.1277</v>
      </c>
      <c r="F106" s="35">
        <f t="shared" ref="F106:F113" si="34">IFERROR((D106-C106)/ABS(C106),"")</f>
        <v>-0.1569064234</v>
      </c>
    </row>
    <row r="107" ht="15.75" customHeight="1">
      <c r="A107" s="74" t="s">
        <v>115</v>
      </c>
      <c r="B107" s="70" t="s">
        <v>117</v>
      </c>
      <c r="C107" s="48">
        <f>SUMIFS(Raw_Data_Period_new_users!CN:CN, Raw_Data_Period_new_users!$A:$A, "Control", Raw_Data_Period_new_users!$C:$C, TRUE)</f>
        <v>55.97</v>
      </c>
      <c r="D107" s="48">
        <f>SUMIFS(Raw_Data_Period_new_users!CN:CN, Raw_Data_Period_new_users!$A:$A, "Variant", Raw_Data_Period_new_users!$C:$C, TRUE)</f>
        <v>55.38</v>
      </c>
      <c r="E107" s="59">
        <f t="shared" si="33"/>
        <v>-0.59</v>
      </c>
      <c r="F107" s="35">
        <f t="shared" si="34"/>
        <v>-0.01054136144</v>
      </c>
    </row>
    <row r="108" ht="15.75" customHeight="1">
      <c r="A108" s="74" t="s">
        <v>115</v>
      </c>
      <c r="B108" s="70" t="s">
        <v>118</v>
      </c>
      <c r="C108" s="48">
        <f>SUMIFS(Raw_Data_Period_new_users!CO:CO, Raw_Data_Period_new_users!$A:$A, "Control", Raw_Data_Period_new_users!$C:$C, TRUE)</f>
        <v>422.74</v>
      </c>
      <c r="D108" s="48">
        <f>SUMIFS(Raw_Data_Period_new_users!CO:CO, Raw_Data_Period_new_users!$A:$A, "Variant", Raw_Data_Period_new_users!$C:$C, TRUE)</f>
        <v>360.26</v>
      </c>
      <c r="E108" s="59">
        <f t="shared" si="33"/>
        <v>-62.48</v>
      </c>
      <c r="F108" s="35">
        <f t="shared" si="34"/>
        <v>-0.1477977007</v>
      </c>
    </row>
    <row r="109" ht="15.75" customHeight="1">
      <c r="A109" s="74" t="s">
        <v>115</v>
      </c>
      <c r="B109" s="70" t="s">
        <v>119</v>
      </c>
      <c r="C109" s="48">
        <f>SUMIFS(Raw_Data_Period_new_users!CP:CP, Raw_Data_Period_new_users!$A:$A, "Control", Raw_Data_Period_new_users!$C:$C, TRUE)</f>
        <v>220.8336</v>
      </c>
      <c r="D109" s="48">
        <f>SUMIFS(Raw_Data_Period_new_users!CP:CP, Raw_Data_Period_new_users!$A:$A, "Variant", Raw_Data_Period_new_users!$C:$C, TRUE)</f>
        <v>170.8053</v>
      </c>
      <c r="E109" s="59">
        <f t="shared" si="33"/>
        <v>-50.0283</v>
      </c>
      <c r="F109" s="35">
        <f t="shared" si="34"/>
        <v>-0.2265429717</v>
      </c>
    </row>
    <row r="110" ht="15.75" customHeight="1">
      <c r="A110" s="74" t="s">
        <v>115</v>
      </c>
      <c r="B110" s="70" t="s">
        <v>120</v>
      </c>
      <c r="C110" s="48">
        <f>SUMIFS(Raw_Data_Period_new_users!CQ:CQ, Raw_Data_Period_new_users!$A:$A, "Control", Raw_Data_Period_new_users!$C:$C, TRUE)</f>
        <v>0</v>
      </c>
      <c r="D110" s="48">
        <f>SUMIFS(Raw_Data_Period_new_users!CQ:CQ, Raw_Data_Period_new_users!$A:$A, "Variant", Raw_Data_Period_new_users!$C:$C, TRUE)</f>
        <v>15.4436</v>
      </c>
      <c r="E110" s="59">
        <f t="shared" si="33"/>
        <v>15.4436</v>
      </c>
      <c r="F110" s="35" t="str">
        <f t="shared" si="34"/>
        <v/>
      </c>
    </row>
    <row r="111" ht="15.75" customHeight="1">
      <c r="A111" s="74" t="s">
        <v>115</v>
      </c>
      <c r="B111" s="70" t="s">
        <v>121</v>
      </c>
      <c r="C111" s="48">
        <f>SUMIFS(Raw_Data_Period_new_users!CR:CR, Raw_Data_Period_new_users!$A:$A, "Control", Raw_Data_Period_new_users!$C:$C, TRUE)</f>
        <v>6.3597</v>
      </c>
      <c r="D111" s="48">
        <f>SUMIFS(Raw_Data_Period_new_users!CR:CR, Raw_Data_Period_new_users!$A:$A, "Variant", Raw_Data_Period_new_users!$C:$C, TRUE)</f>
        <v>6.1943</v>
      </c>
      <c r="E111" s="59">
        <f t="shared" si="33"/>
        <v>-0.1654</v>
      </c>
      <c r="F111" s="35">
        <f t="shared" si="34"/>
        <v>-0.02600751608</v>
      </c>
    </row>
    <row r="112" ht="15.75" customHeight="1">
      <c r="A112" s="74" t="s">
        <v>115</v>
      </c>
      <c r="B112" s="70" t="s">
        <v>122</v>
      </c>
      <c r="C112" s="48">
        <f>SUMIFS(Raw_Data_Period_new_users!CS:CS, Raw_Data_Period_new_users!$A:$A, "Control", Raw_Data_Period_new_users!$C:$C, TRUE)</f>
        <v>9.4296</v>
      </c>
      <c r="D112" s="48">
        <f>SUMIFS(Raw_Data_Period_new_users!CS:CS, Raw_Data_Period_new_users!$A:$A, "Variant", Raw_Data_Period_new_users!$C:$C, TRUE)</f>
        <v>7.0521</v>
      </c>
      <c r="E112" s="59">
        <f t="shared" si="33"/>
        <v>-2.3775</v>
      </c>
      <c r="F112" s="35">
        <f t="shared" si="34"/>
        <v>-0.2521315856</v>
      </c>
    </row>
    <row r="113" ht="15.75" customHeight="1">
      <c r="A113" s="74" t="s">
        <v>115</v>
      </c>
      <c r="B113" s="70" t="s">
        <v>123</v>
      </c>
      <c r="C113" s="48">
        <f>SUMIFS(Raw_Data_Period_new_users!CT:CT, Raw_Data_Period_new_users!$A:$A, "Control", Raw_Data_Period_new_users!$C:$C, TRUE)</f>
        <v>0</v>
      </c>
      <c r="D113" s="48">
        <f>SUMIFS(Raw_Data_Period_new_users!CT:CT, Raw_Data_Period_new_users!$A:$A, "Variant", Raw_Data_Period_new_users!$C:$C, TRUE)</f>
        <v>0</v>
      </c>
      <c r="E113" s="59">
        <f t="shared" si="33"/>
        <v>0</v>
      </c>
      <c r="F113" s="35" t="str">
        <f t="shared" si="34"/>
        <v/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0" priority="1" stopIfTrue="1" operator="lessThan">
      <formula>0</formula>
    </cfRule>
  </conditionalFormatting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1" priority="2" stopIfTrue="1" operator="greater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1" priority="3" stopIfTrue="1" operator="less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4" width="16.0"/>
    <col customWidth="1" min="5" max="5" width="14.0"/>
    <col customWidth="1" min="6" max="6" width="12.0"/>
  </cols>
  <sheetData>
    <row r="1">
      <c r="A1" s="1" t="s">
        <v>0</v>
      </c>
    </row>
    <row r="3" ht="21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>
      <c r="A4" s="4" t="s">
        <v>8</v>
      </c>
      <c r="B4" s="6"/>
      <c r="C4" s="6"/>
      <c r="D4" s="6"/>
      <c r="E4" s="6"/>
      <c r="F4" s="6"/>
    </row>
    <row r="5">
      <c r="A5" s="8"/>
      <c r="B5" s="10" t="s">
        <v>9</v>
      </c>
      <c r="C5" s="16">
        <f>SUMIFS(Raw_Data_Period_old_users!D:D, Raw_Data_Period_old_users!$A:$A, "Control", Raw_Data_Period_old_users!$C:$C, TRUE)</f>
        <v>68206</v>
      </c>
      <c r="D5" s="16">
        <f>SUMIFS(Raw_Data_Period_old_users!D:D, Raw_Data_Period_old_users!$A:$A, "Variant", Raw_Data_Period_old_users!$C:$C, TRUE)</f>
        <v>68025</v>
      </c>
      <c r="E5" s="22">
        <f>IFERROR(D5-C5,"")</f>
        <v>-181</v>
      </c>
      <c r="F5" s="26">
        <f>IFERROR((D5-C5)/ABS(C5),"")</f>
        <v>-0.002653725479</v>
      </c>
    </row>
    <row r="6">
      <c r="A6" s="4" t="s">
        <v>15</v>
      </c>
      <c r="B6" s="6"/>
      <c r="C6" s="6"/>
      <c r="D6" s="6"/>
      <c r="E6" s="6"/>
      <c r="F6" s="6"/>
    </row>
    <row r="7">
      <c r="A7" s="8"/>
      <c r="B7" s="10" t="s">
        <v>16</v>
      </c>
      <c r="C7" s="31">
        <f>SUMIFS(Raw_Data_Period_old_users!F:F, Raw_Data_Period_old_users!$A:$A, "Control", Raw_Data_Period_old_users!$C:$C, TRUE)</f>
        <v>43736.19</v>
      </c>
      <c r="D7" s="31">
        <f>SUMIFS(Raw_Data_Period_old_users!F:F, Raw_Data_Period_old_users!$A:$A, "Variant", Raw_Data_Period_old_users!$C:$C, TRUE)</f>
        <v>39615.81</v>
      </c>
      <c r="E7" s="34">
        <f t="shared" ref="E7:E9" si="1">IFERROR(D7-C7,"")</f>
        <v>-4120.38</v>
      </c>
      <c r="F7" s="35">
        <f t="shared" ref="F7:F9" si="2">IFERROR((D7-C7)/ABS(C7),"")</f>
        <v>-0.0942098523</v>
      </c>
    </row>
    <row r="8">
      <c r="A8" s="8"/>
      <c r="B8" s="10" t="s">
        <v>17</v>
      </c>
      <c r="C8" s="36">
        <f>SUMIFS(Raw_Data_Period_old_users!G:G, Raw_Data_Period_old_users!$A:$A, "Control", Raw_Data_Period_old_users!$C:$C, TRUE)</f>
        <v>0.1175</v>
      </c>
      <c r="D8" s="36">
        <f>SUMIFS(Raw_Data_Period_old_users!G:G, Raw_Data_Period_old_users!$A:$A, "Variant", Raw_Data_Period_old_users!$C:$C, TRUE)</f>
        <v>0.1074</v>
      </c>
      <c r="E8" s="34">
        <f t="shared" si="1"/>
        <v>-0.0101</v>
      </c>
      <c r="F8" s="35">
        <f t="shared" si="2"/>
        <v>-0.08595744681</v>
      </c>
    </row>
    <row r="9">
      <c r="A9" s="8"/>
      <c r="B9" s="10" t="s">
        <v>18</v>
      </c>
      <c r="C9" s="36">
        <f>SUMIFS(Raw_Data_Period_old_users!I:I, Raw_Data_Period_old_users!$A:$A, "Control", Raw_Data_Period_old_users!$C:$C, TRUE)</f>
        <v>18.9992</v>
      </c>
      <c r="D9" s="36">
        <f>SUMIFS(Raw_Data_Period_old_users!I:I, Raw_Data_Period_old_users!$A:$A, "Variant", Raw_Data_Period_old_users!$C:$C, TRUE)</f>
        <v>17.3298</v>
      </c>
      <c r="E9" s="34">
        <f t="shared" si="1"/>
        <v>-1.6694</v>
      </c>
      <c r="F9" s="35">
        <f t="shared" si="2"/>
        <v>-0.08786685755</v>
      </c>
    </row>
    <row r="10">
      <c r="A10" s="4" t="s">
        <v>19</v>
      </c>
      <c r="B10" s="6"/>
      <c r="C10" s="6"/>
      <c r="D10" s="6"/>
      <c r="E10" s="6"/>
      <c r="F10" s="6"/>
    </row>
    <row r="11">
      <c r="A11" s="8"/>
      <c r="B11" s="10" t="s">
        <v>20</v>
      </c>
      <c r="C11" s="40">
        <f>SUMIFS(Raw_Data_Period_old_users!J:J, Raw_Data_Period_old_users!$A:$A, "Control", Raw_Data_Period_old_users!$C:$C, TRUE)</f>
        <v>48.2549</v>
      </c>
      <c r="D11" s="40">
        <f>SUMIFS(Raw_Data_Period_old_users!J:J, Raw_Data_Period_old_users!$A:$A, "Variant", Raw_Data_Period_old_users!$C:$C, TRUE)</f>
        <v>50.2276</v>
      </c>
      <c r="E11" s="41">
        <f t="shared" ref="E11:E13" si="3">IFERROR(D11-C11,"")</f>
        <v>1.9727</v>
      </c>
      <c r="F11" s="43">
        <f t="shared" ref="F11:F13" si="4">IFERROR((D11-C11)/ABS(C11),"")</f>
        <v>0.04088082247</v>
      </c>
    </row>
    <row r="12">
      <c r="A12" s="8"/>
      <c r="B12" s="10" t="s">
        <v>21</v>
      </c>
      <c r="C12" s="40">
        <f>SUMIFS(Raw_Data_Period_old_users!K:K, Raw_Data_Period_old_users!$A:$A, "Control", Raw_Data_Period_old_users!$C:$C, TRUE)</f>
        <v>26.4588</v>
      </c>
      <c r="D12" s="40">
        <f>SUMIFS(Raw_Data_Period_old_users!K:K, Raw_Data_Period_old_users!$A:$A, "Variant", Raw_Data_Period_old_users!$C:$C, TRUE)</f>
        <v>26.8707</v>
      </c>
      <c r="E12" s="41">
        <f t="shared" si="3"/>
        <v>0.4119</v>
      </c>
      <c r="F12" s="43">
        <f t="shared" si="4"/>
        <v>0.01556759944</v>
      </c>
    </row>
    <row r="13">
      <c r="A13" s="8"/>
      <c r="B13" s="10" t="s">
        <v>22</v>
      </c>
      <c r="C13" s="40">
        <f>SUMIFS(Raw_Data_Period_old_users!L:L, Raw_Data_Period_old_users!$A:$A, "Control", Raw_Data_Period_old_users!$C:$C, TRUE)</f>
        <v>17.0803</v>
      </c>
      <c r="D13" s="40">
        <f>SUMIFS(Raw_Data_Period_old_users!L:L, Raw_Data_Period_old_users!$A:$A, "Variant", Raw_Data_Period_old_users!$C:$C, TRUE)</f>
        <v>16.9247</v>
      </c>
      <c r="E13" s="41">
        <f t="shared" si="3"/>
        <v>-0.1556</v>
      </c>
      <c r="F13" s="43">
        <f t="shared" si="4"/>
        <v>-0.009109910247</v>
      </c>
    </row>
    <row r="14" ht="15.75" customHeight="1">
      <c r="A14" s="4" t="s">
        <v>23</v>
      </c>
      <c r="B14" s="6"/>
      <c r="C14" s="6"/>
      <c r="D14" s="6"/>
      <c r="E14" s="6"/>
      <c r="F14" s="6"/>
    </row>
    <row r="15" ht="15.75" customHeight="1">
      <c r="A15" s="8"/>
      <c r="B15" s="10" t="s">
        <v>24</v>
      </c>
      <c r="C15" s="40">
        <f>SUMIFS(Raw_Data_Period_old_users!AD:AD, Raw_Data_Period_old_users!$A:$A, "Control", Raw_Data_Period_old_users!$C:$C, TRUE)</f>
        <v>12.0701</v>
      </c>
      <c r="D15" s="40">
        <f>SUMIFS(Raw_Data_Period_old_users!AD:AD, Raw_Data_Period_old_users!$A:$A, "Variant", Raw_Data_Period_old_users!$C:$C, TRUE)</f>
        <v>11.5939</v>
      </c>
      <c r="E15" s="41">
        <f t="shared" ref="E15:E20" si="5">IFERROR(D15-C15,"")</f>
        <v>-0.4762</v>
      </c>
      <c r="F15" s="43">
        <f t="shared" ref="F15:F20" si="6">IFERROR((D15-C15)/ABS(C15),"")</f>
        <v>-0.03945286286</v>
      </c>
    </row>
    <row r="16" ht="15.75" customHeight="1">
      <c r="A16" s="8"/>
      <c r="B16" s="10" t="s">
        <v>25</v>
      </c>
      <c r="C16" s="40">
        <f>SUMIFS(Raw_Data_Period_old_users!AE:AE, Raw_Data_Period_old_users!$A:$A, "Control", Raw_Data_Period_old_users!$C:$C, TRUE)</f>
        <v>3</v>
      </c>
      <c r="D16" s="40">
        <f>SUMIFS(Raw_Data_Period_old_users!AE:AE, Raw_Data_Period_old_users!$A:$A, "Variant", Raw_Data_Period_old_users!$C:$C, TRUE)</f>
        <v>3</v>
      </c>
      <c r="E16" s="41">
        <f t="shared" si="5"/>
        <v>0</v>
      </c>
      <c r="F16" s="43">
        <f t="shared" si="6"/>
        <v>0</v>
      </c>
    </row>
    <row r="17" ht="15.75" customHeight="1">
      <c r="A17" s="8"/>
      <c r="B17" s="10" t="s">
        <v>26</v>
      </c>
      <c r="C17" s="40">
        <f>SUMIFS(Raw_Data_Period_old_users!AF:AF, Raw_Data_Period_old_users!$A:$A, "Control", Raw_Data_Period_old_users!$C:$C, TRUE)</f>
        <v>6</v>
      </c>
      <c r="D17" s="40">
        <f>SUMIFS(Raw_Data_Period_old_users!AF:AF, Raw_Data_Period_old_users!$A:$A, "Variant", Raw_Data_Period_old_users!$C:$C, TRUE)</f>
        <v>7</v>
      </c>
      <c r="E17" s="41">
        <f t="shared" si="5"/>
        <v>1</v>
      </c>
      <c r="F17" s="43">
        <f t="shared" si="6"/>
        <v>0.1666666667</v>
      </c>
    </row>
    <row r="18" ht="15.75" customHeight="1">
      <c r="A18" s="8"/>
      <c r="B18" s="10" t="s">
        <v>27</v>
      </c>
      <c r="C18" s="40">
        <f>SUMIFS(Raw_Data_Period_old_users!AG:AG, Raw_Data_Period_old_users!$A:$A, "Control", Raw_Data_Period_old_users!$C:$C, TRUE)</f>
        <v>14</v>
      </c>
      <c r="D18" s="40">
        <f>SUMIFS(Raw_Data_Period_old_users!AG:AG, Raw_Data_Period_old_users!$A:$A, "Variant", Raw_Data_Period_old_users!$C:$C, TRUE)</f>
        <v>14</v>
      </c>
      <c r="E18" s="41">
        <f t="shared" si="5"/>
        <v>0</v>
      </c>
      <c r="F18" s="43">
        <f t="shared" si="6"/>
        <v>0</v>
      </c>
    </row>
    <row r="19" ht="15.75" customHeight="1">
      <c r="A19" s="8"/>
      <c r="B19" s="10" t="s">
        <v>28</v>
      </c>
      <c r="C19" s="40">
        <f>SUMIFS(Raw_Data_Period_old_users!AH:AH, Raw_Data_Period_old_users!$A:$A, "Control", Raw_Data_Period_old_users!$C:$C, TRUE)</f>
        <v>28</v>
      </c>
      <c r="D19" s="40">
        <f>SUMIFS(Raw_Data_Period_old_users!AH:AH, Raw_Data_Period_old_users!$A:$A, "Variant", Raw_Data_Period_old_users!$C:$C, TRUE)</f>
        <v>27</v>
      </c>
      <c r="E19" s="41">
        <f t="shared" si="5"/>
        <v>-1</v>
      </c>
      <c r="F19" s="43">
        <f t="shared" si="6"/>
        <v>-0.03571428571</v>
      </c>
    </row>
    <row r="20" ht="15.75" customHeight="1">
      <c r="A20" s="8"/>
      <c r="B20" s="45" t="s">
        <v>29</v>
      </c>
      <c r="C20" s="40">
        <f>SUMIFS(Raw_Data_Period_old_users!BC:BC, Raw_Data_Period_old_users!$A:$A, "Control", Raw_Data_Period_old_users!$C:$C, TRUE)</f>
        <v>87</v>
      </c>
      <c r="D20" s="40">
        <f>SUMIFS(Raw_Data_Period_old_users!BC:BC, Raw_Data_Period_old_users!$A:$A, "Variant", Raw_Data_Period_old_users!$C:$C, TRUE)</f>
        <v>81</v>
      </c>
      <c r="E20" s="41">
        <f t="shared" si="5"/>
        <v>-6</v>
      </c>
      <c r="F20" s="43">
        <f t="shared" si="6"/>
        <v>-0.06896551724</v>
      </c>
    </row>
    <row r="21">
      <c r="A21" s="4" t="s">
        <v>30</v>
      </c>
      <c r="B21" s="6"/>
      <c r="C21" s="6"/>
      <c r="D21" s="6"/>
      <c r="E21" s="6"/>
      <c r="F21" s="6"/>
    </row>
    <row r="22" ht="15.75" customHeight="1">
      <c r="A22" s="8"/>
      <c r="B22" s="10" t="s">
        <v>31</v>
      </c>
      <c r="C22" s="48">
        <f>SUMIFS(Raw_Data_Period_old_users!M:M, Raw_Data_Period_old_users!$A:$A, "Control", Raw_Data_Period_old_users!$C:$C, TRUE)</f>
        <v>0.6455</v>
      </c>
      <c r="D22" s="48">
        <f>SUMIFS(Raw_Data_Period_old_users!M:M, Raw_Data_Period_old_users!$A:$A, "Variant", Raw_Data_Period_old_users!$C:$C, TRUE)</f>
        <v>0.6299</v>
      </c>
      <c r="E22" s="50">
        <f t="shared" ref="E22:E25" si="7">IFERROR(D22-C22,"")</f>
        <v>-0.0156</v>
      </c>
      <c r="F22" s="26">
        <f t="shared" ref="F22:F25" si="8">IFERROR((D22-C22)/ABS(C22),"")</f>
        <v>-0.02416731216</v>
      </c>
    </row>
    <row r="23" ht="15.75" customHeight="1">
      <c r="A23" s="8"/>
      <c r="B23" s="10" t="s">
        <v>32</v>
      </c>
      <c r="C23" s="48">
        <f>SUMIFS(Raw_Data_Period_old_users!N:N, Raw_Data_Period_old_users!$A:$A, "Control", Raw_Data_Period_old_users!$C:$C, TRUE)</f>
        <v>0.4941</v>
      </c>
      <c r="D23" s="48">
        <f>SUMIFS(Raw_Data_Period_old_users!N:N, Raw_Data_Period_old_users!$A:$A, "Variant", Raw_Data_Period_old_users!$C:$C, TRUE)</f>
        <v>0.5078</v>
      </c>
      <c r="E23" s="50">
        <f t="shared" si="7"/>
        <v>0.0137</v>
      </c>
      <c r="F23" s="26">
        <f t="shared" si="8"/>
        <v>0.02772718073</v>
      </c>
    </row>
    <row r="24" ht="15.75" customHeight="1">
      <c r="A24" s="8"/>
      <c r="B24" s="10" t="s">
        <v>33</v>
      </c>
      <c r="C24" s="48">
        <f>SUMIFS(Raw_Data_Period_old_users!O:O, Raw_Data_Period_old_users!$A:$A, "Control", Raw_Data_Period_old_users!$C:$C, TRUE)</f>
        <v>0.3239</v>
      </c>
      <c r="D24" s="48">
        <f>SUMIFS(Raw_Data_Period_old_users!O:O, Raw_Data_Period_old_users!$A:$A, "Variant", Raw_Data_Period_old_users!$C:$C, TRUE)</f>
        <v>0.3279</v>
      </c>
      <c r="E24" s="50">
        <f t="shared" si="7"/>
        <v>0.004</v>
      </c>
      <c r="F24" s="26">
        <f t="shared" si="8"/>
        <v>0.01234949058</v>
      </c>
    </row>
    <row r="25" ht="15.75" customHeight="1">
      <c r="A25" s="8"/>
      <c r="B25" s="10" t="s">
        <v>34</v>
      </c>
      <c r="C25" s="40">
        <f>SUMIFS(Raw_Data_Period_old_users!P:P, Raw_Data_Period_old_users!$A:$A, "Control", Raw_Data_Period_old_users!$C:$C, TRUE)</f>
        <v>1.5491</v>
      </c>
      <c r="D25" s="40">
        <f>SUMIFS(Raw_Data_Period_old_users!P:P, Raw_Data_Period_old_users!$A:$A, "Variant", Raw_Data_Period_old_users!$C:$C, TRUE)</f>
        <v>1.5877</v>
      </c>
      <c r="E25" s="52">
        <f t="shared" si="7"/>
        <v>0.0386</v>
      </c>
      <c r="F25" s="26">
        <f t="shared" si="8"/>
        <v>0.02491769414</v>
      </c>
    </row>
    <row r="26" ht="15.75" customHeight="1">
      <c r="A26" s="4" t="s">
        <v>35</v>
      </c>
      <c r="B26" s="6"/>
      <c r="C26" s="6"/>
      <c r="D26" s="6"/>
      <c r="E26" s="6"/>
      <c r="F26" s="6"/>
    </row>
    <row r="27" ht="15.75" customHeight="1">
      <c r="A27" s="8"/>
      <c r="B27" s="53" t="s">
        <v>36</v>
      </c>
      <c r="C27" s="40">
        <f>SUMIFS(Raw_Data_Period_old_users!Q:Q, Raw_Data_Period_old_users!$A:$A, "Control", Raw_Data_Period_old_users!$C:$C, TRUE)</f>
        <v>119.4489</v>
      </c>
      <c r="D27" s="40">
        <f>SUMIFS(Raw_Data_Period_old_users!Q:Q, Raw_Data_Period_old_users!$A:$A, "Variant", Raw_Data_Period_old_users!$C:$C, TRUE)</f>
        <v>107.5877</v>
      </c>
      <c r="E27" s="55">
        <f t="shared" ref="E27:E35" si="9">IFERROR(D27-C27,"")</f>
        <v>-11.8612</v>
      </c>
      <c r="F27" s="35">
        <f t="shared" ref="F27:F35" si="10">IFERROR((D27-C27)/ABS(C27),"")</f>
        <v>-0.09929936567</v>
      </c>
    </row>
    <row r="28" ht="15.75" customHeight="1">
      <c r="A28" s="8"/>
      <c r="B28" s="10" t="s">
        <v>37</v>
      </c>
      <c r="C28" s="40">
        <f>SUMIFS(Raw_Data_Period_old_users!R:R, Raw_Data_Period_old_users!$A:$A, "Control", Raw_Data_Period_old_users!$C:$C, TRUE)</f>
        <v>92.2564</v>
      </c>
      <c r="D28" s="40">
        <f>SUMIFS(Raw_Data_Period_old_users!R:R, Raw_Data_Period_old_users!$A:$A, "Variant", Raw_Data_Period_old_users!$C:$C, TRUE)</f>
        <v>98.2153</v>
      </c>
      <c r="E28" s="52">
        <f t="shared" si="9"/>
        <v>5.9589</v>
      </c>
      <c r="F28" s="26">
        <f t="shared" si="10"/>
        <v>0.06459064087</v>
      </c>
    </row>
    <row r="29" ht="15.75" customHeight="1">
      <c r="A29" s="8"/>
      <c r="B29" s="10" t="s">
        <v>38</v>
      </c>
      <c r="C29" s="40">
        <f>SUMIFS(Raw_Data_Period_old_users!S:S, Raw_Data_Period_old_users!$A:$A, "Control", Raw_Data_Period_old_users!$C:$C, TRUE)</f>
        <v>27.1927</v>
      </c>
      <c r="D29" s="40">
        <f>SUMIFS(Raw_Data_Period_old_users!S:S, Raw_Data_Period_old_users!$A:$A, "Variant", Raw_Data_Period_old_users!$C:$C, TRUE)</f>
        <v>9.3717</v>
      </c>
      <c r="E29" s="52">
        <f t="shared" si="9"/>
        <v>-17.821</v>
      </c>
      <c r="F29" s="26">
        <f t="shared" si="10"/>
        <v>-0.6553597105</v>
      </c>
    </row>
    <row r="30" ht="15.75" customHeight="1">
      <c r="A30" s="8"/>
      <c r="B30" s="53" t="s">
        <v>39</v>
      </c>
      <c r="C30" s="40">
        <f>SUMIFS(Raw_Data_Period_old_users!T:T, Raw_Data_Period_old_users!$A:$A, "Control", Raw_Data_Period_old_users!$C:$C, TRUE)</f>
        <v>9.8906</v>
      </c>
      <c r="D30" s="40">
        <f>SUMIFS(Raw_Data_Period_old_users!T:T, Raw_Data_Period_old_users!$A:$A, "Variant", Raw_Data_Period_old_users!$C:$C, TRUE)</f>
        <v>9.4146</v>
      </c>
      <c r="E30" s="41">
        <f t="shared" si="9"/>
        <v>-0.476</v>
      </c>
      <c r="F30" s="35">
        <f t="shared" si="10"/>
        <v>-0.04812650395</v>
      </c>
    </row>
    <row r="31" ht="15.75" customHeight="1">
      <c r="A31" s="8"/>
      <c r="B31" s="53" t="s">
        <v>40</v>
      </c>
      <c r="C31" s="40">
        <f>SUMIFS(Raw_Data_Period_old_users!U:U, Raw_Data_Period_old_users!$A:$A, "Control", Raw_Data_Period_old_users!$C:$C, TRUE)</f>
        <v>109.5577</v>
      </c>
      <c r="D31" s="40">
        <f>SUMIFS(Raw_Data_Period_old_users!U:U, Raw_Data_Period_old_users!$A:$A, "Variant", Raw_Data_Period_old_users!$C:$C, TRUE)</f>
        <v>98.173</v>
      </c>
      <c r="E31" s="41">
        <f t="shared" si="9"/>
        <v>-11.3847</v>
      </c>
      <c r="F31" s="35">
        <f t="shared" si="10"/>
        <v>-0.1039151059</v>
      </c>
    </row>
    <row r="32" ht="15.75" customHeight="1">
      <c r="A32" s="8"/>
      <c r="B32" s="53" t="s">
        <v>41</v>
      </c>
      <c r="C32" s="40">
        <f>SUMIFS(Raw_Data_Period_old_users!V:V, Raw_Data_Period_old_users!$A:$A, "Control", Raw_Data_Period_old_users!$C:$C, TRUE)</f>
        <v>113.9861</v>
      </c>
      <c r="D32" s="40">
        <f>SUMIFS(Raw_Data_Period_old_users!V:V, Raw_Data_Period_old_users!$A:$A, "Variant", Raw_Data_Period_old_users!$C:$C, TRUE)</f>
        <v>104.9391</v>
      </c>
      <c r="E32" s="59">
        <f t="shared" si="9"/>
        <v>-9.047</v>
      </c>
      <c r="F32" s="43">
        <f t="shared" si="10"/>
        <v>-0.07936932661</v>
      </c>
    </row>
    <row r="33" ht="15.75" customHeight="1">
      <c r="A33" s="8"/>
      <c r="B33" s="53" t="s">
        <v>42</v>
      </c>
      <c r="C33" s="40">
        <f>SUMIFS(Raw_Data_Period_old_users!Q:Q, Raw_Data_Period_old_users!$A:$A, "Control", Raw_Data_Period_old_users!$C:$C, TRUE) - SUMIFS(Raw_Data_Period_old_users!V:V, Raw_Data_Period_old_users!$A:$A, "Control", Raw_Data_Period_old_users!$C:$C, TRUE)</f>
        <v>5.4628</v>
      </c>
      <c r="D33" s="40">
        <f>SUMIFS(Raw_Data_Period_old_users!Q:Q, Raw_Data_Period_old_users!$A:$A, "Variant", Raw_Data_Period_old_users!$C:$C, TRUE) - SUMIFS(Raw_Data_Period_old_users!V:V, Raw_Data_Period_old_users!$A:$A, "Variant", Raw_Data_Period_old_users!$C:$C, TRUE)</f>
        <v>2.6486</v>
      </c>
      <c r="E33" s="41">
        <f t="shared" si="9"/>
        <v>-2.8142</v>
      </c>
      <c r="F33" s="35">
        <f t="shared" si="10"/>
        <v>-0.5151570623</v>
      </c>
    </row>
    <row r="34" ht="15.75" customHeight="1">
      <c r="A34" s="8"/>
      <c r="B34" s="10" t="s">
        <v>43</v>
      </c>
      <c r="C34" s="40">
        <f>SUMIFS(Raw_Data_Period_old_users!W:W, Raw_Data_Period_old_users!$A:$A, "Control", Raw_Data_Period_old_users!$C:$C, TRUE)</f>
        <v>4.3081</v>
      </c>
      <c r="D34" s="40">
        <f>SUMIFS(Raw_Data_Period_old_users!W:W, Raw_Data_Period_old_users!$A:$A, "Variant", Raw_Data_Period_old_users!$C:$C, TRUE)</f>
        <v>3.9053</v>
      </c>
      <c r="E34" s="59">
        <f t="shared" si="9"/>
        <v>-0.4028</v>
      </c>
      <c r="F34" s="43">
        <f t="shared" si="10"/>
        <v>-0.09349829391</v>
      </c>
    </row>
    <row r="35" ht="15.75" customHeight="1">
      <c r="A35" s="8"/>
      <c r="B35" s="10" t="s">
        <v>44</v>
      </c>
      <c r="C35" s="48">
        <f>SUMIFS(Raw_Data_Period_old_users!X:X, Raw_Data_Period_old_users!$A:$A, "Control", Raw_Data_Period_old_users!$C:$C, TRUE)</f>
        <v>8.28</v>
      </c>
      <c r="D35" s="48">
        <f>SUMIFS(Raw_Data_Period_old_users!X:X, Raw_Data_Period_old_users!$A:$A, "Variant", Raw_Data_Period_old_users!$C:$C, TRUE)</f>
        <v>8.75</v>
      </c>
      <c r="E35" s="41">
        <f t="shared" si="9"/>
        <v>0.47</v>
      </c>
      <c r="F35" s="35">
        <f t="shared" si="10"/>
        <v>0.05676328502</v>
      </c>
    </row>
    <row r="36" ht="15.75" customHeight="1">
      <c r="A36" s="4" t="s">
        <v>45</v>
      </c>
      <c r="B36" s="6"/>
      <c r="C36" s="6"/>
      <c r="D36" s="6"/>
      <c r="E36" s="6"/>
      <c r="F36" s="6"/>
    </row>
    <row r="37" ht="15.75" customHeight="1">
      <c r="A37" s="8"/>
      <c r="B37" s="60" t="s">
        <v>46</v>
      </c>
      <c r="C37" s="40">
        <f>SUMIFS(Raw_Data_Period_old_users!AX:AX, Raw_Data_Period_old_users!$A:$A, "Control", Raw_Data_Period_old_users!$C:$C, TRUE)</f>
        <v>56.5486</v>
      </c>
      <c r="D37" s="40">
        <f>SUMIFS(Raw_Data_Period_old_users!AX:AX, Raw_Data_Period_old_users!$A:$A, "Variant", Raw_Data_Period_old_users!$C:$C, TRUE)</f>
        <v>33.4328</v>
      </c>
      <c r="E37" s="50">
        <f t="shared" ref="E37:E41" si="11">IFERROR(D37-C37,"")</f>
        <v>-23.1158</v>
      </c>
      <c r="F37" s="26">
        <f t="shared" ref="F37:F41" si="12">IFERROR((D37-C37)/ABS(C37),"")</f>
        <v>-0.4087775825</v>
      </c>
    </row>
    <row r="38" ht="15.75" customHeight="1">
      <c r="A38" s="8"/>
      <c r="B38" s="60" t="s">
        <v>47</v>
      </c>
      <c r="C38" s="40">
        <f>SUMIFS(Raw_Data_Period_old_users!AY:AY, Raw_Data_Period_old_users!$A:$A, "Control", Raw_Data_Period_old_users!$C:$C, TRUE)</f>
        <v>47.9471</v>
      </c>
      <c r="D38" s="40">
        <f>SUMIFS(Raw_Data_Period_old_users!AY:AY, Raw_Data_Period_old_users!$A:$A, "Variant", Raw_Data_Period_old_users!$C:$C, TRUE)</f>
        <v>59.7368</v>
      </c>
      <c r="E38" s="50">
        <f t="shared" si="11"/>
        <v>11.7897</v>
      </c>
      <c r="F38" s="26">
        <f t="shared" si="12"/>
        <v>0.245889741</v>
      </c>
    </row>
    <row r="39" ht="15.75" customHeight="1">
      <c r="A39" s="8"/>
      <c r="B39" s="60" t="s">
        <v>49</v>
      </c>
      <c r="C39" s="40">
        <f>SUMIFS(Raw_Data_Period_old_users!AZ:AZ, Raw_Data_Period_old_users!$A:$A, "Control", Raw_Data_Period_old_users!$C:$C, TRUE)</f>
        <v>3.4066</v>
      </c>
      <c r="D39" s="40">
        <f>SUMIFS(Raw_Data_Period_old_users!AZ:AZ, Raw_Data_Period_old_users!$A:$A, "Variant", Raw_Data_Period_old_users!$C:$C, TRUE)</f>
        <v>3.3676</v>
      </c>
      <c r="E39" s="59">
        <f t="shared" si="11"/>
        <v>-0.039</v>
      </c>
      <c r="F39" s="43">
        <f t="shared" si="12"/>
        <v>-0.01144836494</v>
      </c>
    </row>
    <row r="40" ht="15.75" customHeight="1">
      <c r="A40" s="8"/>
      <c r="B40" s="60" t="s">
        <v>50</v>
      </c>
      <c r="C40" s="40">
        <f>SUMIFS(Raw_Data_Period_old_users!BA:BA, Raw_Data_Period_old_users!$A:$A, "Control", Raw_Data_Period_old_users!$C:$C, TRUE)</f>
        <v>9.8879</v>
      </c>
      <c r="D40" s="40">
        <f>SUMIFS(Raw_Data_Period_old_users!BA:BA, Raw_Data_Period_old_users!$A:$A, "Variant", Raw_Data_Period_old_users!$C:$C, TRUE)</f>
        <v>9.4114</v>
      </c>
      <c r="E40" s="59">
        <f t="shared" si="11"/>
        <v>-0.4765</v>
      </c>
      <c r="F40" s="43">
        <f t="shared" si="12"/>
        <v>-0.04819021228</v>
      </c>
    </row>
    <row r="41" ht="15.75" customHeight="1">
      <c r="A41" s="8"/>
      <c r="B41" s="60" t="s">
        <v>51</v>
      </c>
      <c r="C41" s="40">
        <f>SUMIFS(Raw_Data_Period_old_users!BB:BB, Raw_Data_Period_old_users!$A:$A, "Control", Raw_Data_Period_old_users!$C:$C, TRUE)</f>
        <v>1.659</v>
      </c>
      <c r="D41" s="40">
        <f>SUMIFS(Raw_Data_Period_old_users!BB:BB, Raw_Data_Period_old_users!$A:$A, "Variant", Raw_Data_Period_old_users!$C:$C, TRUE)</f>
        <v>1.6405</v>
      </c>
      <c r="E41" s="50">
        <f t="shared" si="11"/>
        <v>-0.0185</v>
      </c>
      <c r="F41" s="26">
        <f t="shared" si="12"/>
        <v>-0.01115129596</v>
      </c>
    </row>
    <row r="42" ht="15.75" customHeight="1">
      <c r="A42" s="4" t="s">
        <v>52</v>
      </c>
      <c r="B42" s="6"/>
      <c r="C42" s="6"/>
      <c r="D42" s="6"/>
      <c r="E42" s="6"/>
      <c r="F42" s="6"/>
    </row>
    <row r="43" ht="15.75" customHeight="1">
      <c r="A43" s="8"/>
      <c r="B43" s="10" t="s">
        <v>53</v>
      </c>
      <c r="C43" s="16">
        <f>SUMIFS(Raw_Data_Period_old_users!Y:Y, Raw_Data_Period_old_users!$A:$A, "Control", Raw_Data_Period_old_users!$C:$C, TRUE)</f>
        <v>147</v>
      </c>
      <c r="D43" s="16">
        <f>SUMIFS(Raw_Data_Period_old_users!Y:Y, Raw_Data_Period_old_users!$A:$A, "Variant", Raw_Data_Period_old_users!$C:$C, TRUE)</f>
        <v>131</v>
      </c>
      <c r="E43" s="22">
        <f t="shared" ref="E43:E46" si="13">IFERROR(D43-C43,"")</f>
        <v>-16</v>
      </c>
      <c r="F43" s="26">
        <f t="shared" ref="F43:F46" si="14">IFERROR((D43-C43)/ABS(C43),"")</f>
        <v>-0.1088435374</v>
      </c>
    </row>
    <row r="44" ht="15.75" customHeight="1">
      <c r="A44" s="8"/>
      <c r="B44" s="10" t="s">
        <v>54</v>
      </c>
      <c r="C44" s="16">
        <f>SUMIFS(Raw_Data_Period_old_users!Z:Z, Raw_Data_Period_old_users!$A:$A, "Control", Raw_Data_Period_old_users!$C:$C, TRUE)</f>
        <v>528</v>
      </c>
      <c r="D44" s="16">
        <f>SUMIFS(Raw_Data_Period_old_users!Z:Z, Raw_Data_Period_old_users!$A:$A, "Variant", Raw_Data_Period_old_users!$C:$C, TRUE)</f>
        <v>441</v>
      </c>
      <c r="E44" s="22">
        <f t="shared" si="13"/>
        <v>-87</v>
      </c>
      <c r="F44" s="26">
        <f t="shared" si="14"/>
        <v>-0.1647727273</v>
      </c>
    </row>
    <row r="45" ht="15.75" customHeight="1">
      <c r="A45" s="8"/>
      <c r="B45" s="10" t="s">
        <v>55</v>
      </c>
      <c r="C45" s="16">
        <f>SUMIFS(Raw_Data_Period_old_users!AA:AA, Raw_Data_Period_old_users!$A:$A, "Control", Raw_Data_Period_old_users!$C:$C, TRUE)</f>
        <v>2709</v>
      </c>
      <c r="D45" s="16">
        <f>SUMIFS(Raw_Data_Period_old_users!AA:AA, Raw_Data_Period_old_users!$A:$A, "Variant", Raw_Data_Period_old_users!$C:$C, TRUE)</f>
        <v>2437</v>
      </c>
      <c r="E45" s="22">
        <f t="shared" si="13"/>
        <v>-272</v>
      </c>
      <c r="F45" s="26">
        <f t="shared" si="14"/>
        <v>-0.1004060539</v>
      </c>
    </row>
    <row r="46" ht="15.75" customHeight="1">
      <c r="A46" s="8"/>
      <c r="B46" s="45" t="s">
        <v>56</v>
      </c>
      <c r="C46" s="16">
        <f>SUMIFS(Raw_Data_Period_old_users!BD:BD, Raw_Data_Period_old_users!$A:$A, "Control", Raw_Data_Period_old_users!$C:$C, TRUE)</f>
        <v>24748</v>
      </c>
      <c r="D46" s="16">
        <f>SUMIFS(Raw_Data_Period_old_users!BD:BD, Raw_Data_Period_old_users!$A:$A, "Variant", Raw_Data_Period_old_users!$C:$C, TRUE)</f>
        <v>23585</v>
      </c>
      <c r="E46" s="22">
        <f t="shared" si="13"/>
        <v>-1163</v>
      </c>
      <c r="F46" s="26">
        <f t="shared" si="14"/>
        <v>-0.04699369646</v>
      </c>
    </row>
    <row r="47" ht="15.75" customHeight="1">
      <c r="A47" s="4" t="s">
        <v>57</v>
      </c>
      <c r="B47" s="6"/>
      <c r="C47" s="6"/>
      <c r="D47" s="6"/>
      <c r="E47" s="6"/>
      <c r="F47" s="6"/>
    </row>
    <row r="48" ht="15.75" customHeight="1">
      <c r="A48" s="8"/>
      <c r="B48" s="10" t="s">
        <v>58</v>
      </c>
      <c r="C48" s="40">
        <f>SUMIFS(Raw_Data_Period_old_users!AB:AB, Raw_Data_Period_old_users!$A:$A, "Control", Raw_Data_Period_old_users!$C:$C, TRUE)</f>
        <v>52.0092</v>
      </c>
      <c r="D48" s="40">
        <f>SUMIFS(Raw_Data_Period_old_users!AB:AB, Raw_Data_Period_old_users!$A:$A, "Variant", Raw_Data_Period_old_users!$C:$C, TRUE)</f>
        <v>51.9153</v>
      </c>
      <c r="E48" s="41">
        <f t="shared" ref="E48:E49" si="15">IFERROR(D48-C48,"")</f>
        <v>-0.0939</v>
      </c>
      <c r="F48" s="43">
        <f t="shared" ref="F48:F49" si="16">IFERROR((D48-C48)/ABS(C48),"")</f>
        <v>-0.001805449805</v>
      </c>
    </row>
    <row r="49" ht="15.75" customHeight="1">
      <c r="A49" s="8"/>
      <c r="B49" s="10" t="s">
        <v>59</v>
      </c>
      <c r="C49" s="40">
        <f>SUMIFS(Raw_Data_Period_old_users!AC:AC, Raw_Data_Period_old_users!$A:$A, "Control", Raw_Data_Period_old_users!$C:$C, TRUE)</f>
        <v>0.6107</v>
      </c>
      <c r="D49" s="40">
        <f>SUMIFS(Raw_Data_Period_old_users!AC:AC, Raw_Data_Period_old_users!$A:$A, "Variant", Raw_Data_Period_old_users!$C:$C, TRUE)</f>
        <v>0.6082</v>
      </c>
      <c r="E49" s="41">
        <f t="shared" si="15"/>
        <v>-0.0025</v>
      </c>
      <c r="F49" s="35">
        <f t="shared" si="16"/>
        <v>-0.00409366301</v>
      </c>
    </row>
    <row r="50" ht="15.75" customHeight="1">
      <c r="A50" s="4" t="s">
        <v>60</v>
      </c>
      <c r="B50" s="6"/>
      <c r="C50" s="6"/>
      <c r="D50" s="6"/>
      <c r="E50" s="6"/>
      <c r="F50" s="6"/>
    </row>
    <row r="51" ht="15.75" customHeight="1">
      <c r="A51" s="8"/>
      <c r="B51" s="10" t="s">
        <v>61</v>
      </c>
      <c r="C51" s="62">
        <f>SUMIFS(Raw_Data_Period_old_users!AI:AI, Raw_Data_Period_old_users!$A:$A, "Control", Raw_Data_Period_old_users!$C:$C, TRUE)</f>
        <v>50.0717</v>
      </c>
      <c r="D51" s="62">
        <f>SUMIFS(Raw_Data_Period_old_users!AI:AI, Raw_Data_Period_old_users!$A:$A, "Variant", Raw_Data_Period_old_users!$C:$C, TRUE)</f>
        <v>49.242</v>
      </c>
      <c r="E51" s="64">
        <f t="shared" ref="E51:E53" si="17">IFERROR(D51-C51,"")</f>
        <v>-0.8297</v>
      </c>
      <c r="F51" s="35">
        <f t="shared" ref="F51:F53" si="18">IFERROR((D51-C51)/ABS(C51),"")</f>
        <v>-0.01657023828</v>
      </c>
    </row>
    <row r="52" ht="15.75" customHeight="1">
      <c r="A52" s="8"/>
      <c r="B52" s="10" t="s">
        <v>62</v>
      </c>
      <c r="C52" s="62">
        <f>SUMIFS(Raw_Data_Period_old_users!AJ:AJ, Raw_Data_Period_old_users!$A:$A, "Control", Raw_Data_Period_old_users!$C:$C, TRUE)</f>
        <v>20.1503</v>
      </c>
      <c r="D52" s="62">
        <f>SUMIFS(Raw_Data_Period_old_users!AJ:AJ, Raw_Data_Period_old_users!$A:$A, "Variant", Raw_Data_Period_old_users!$C:$C, TRUE)</f>
        <v>19.698</v>
      </c>
      <c r="E52" s="65">
        <f t="shared" si="17"/>
        <v>-0.4523</v>
      </c>
      <c r="F52" s="43">
        <f t="shared" si="18"/>
        <v>-0.02244631594</v>
      </c>
    </row>
    <row r="53" ht="15.75" customHeight="1">
      <c r="A53" s="8"/>
      <c r="B53" s="10" t="s">
        <v>63</v>
      </c>
      <c r="C53" s="62">
        <f>SUMIFS(Raw_Data_Period_old_users!AK:AK, Raw_Data_Period_old_users!$A:$A, "Control", Raw_Data_Period_old_users!$C:$C, TRUE)</f>
        <v>4.5276</v>
      </c>
      <c r="D53" s="62">
        <f>SUMIFS(Raw_Data_Period_old_users!AK:AK, Raw_Data_Period_old_users!$A:$A, "Variant", Raw_Data_Period_old_users!$C:$C, TRUE)</f>
        <v>4.3759</v>
      </c>
      <c r="E53" s="65">
        <f t="shared" si="17"/>
        <v>-0.1517</v>
      </c>
      <c r="F53" s="43">
        <f t="shared" si="18"/>
        <v>-0.03350561004</v>
      </c>
    </row>
    <row r="54" ht="15.75" customHeight="1">
      <c r="A54" s="4" t="s">
        <v>64</v>
      </c>
      <c r="B54" s="6"/>
      <c r="C54" s="6"/>
      <c r="D54" s="6"/>
      <c r="E54" s="6"/>
      <c r="F54" s="6"/>
    </row>
    <row r="55" ht="15.75" customHeight="1">
      <c r="A55" s="8"/>
      <c r="B55" s="10" t="s">
        <v>65</v>
      </c>
      <c r="C55" s="48">
        <f>SUMIFS(Raw_Data_Period_old_users!AL:AL, Raw_Data_Period_old_users!$A:$A, "Control", Raw_Data_Period_old_users!$C:$C, TRUE)</f>
        <v>0.3297</v>
      </c>
      <c r="D55" s="48">
        <f>SUMIFS(Raw_Data_Period_old_users!AL:AL, Raw_Data_Period_old_users!$A:$A, "Variant", Raw_Data_Period_old_users!$C:$C, TRUE)</f>
        <v>0.3324</v>
      </c>
      <c r="E55" s="66">
        <f>IFERROR(D55-C55,"")</f>
        <v>0.0027</v>
      </c>
      <c r="F55" s="43">
        <f>IFERROR((D55-C55)/ABS(C55),"")</f>
        <v>0.008189262966</v>
      </c>
    </row>
    <row r="56" ht="15.75" customHeight="1">
      <c r="A56" s="4" t="s">
        <v>66</v>
      </c>
      <c r="B56" s="6"/>
      <c r="C56" s="6"/>
      <c r="D56" s="6"/>
      <c r="E56" s="6"/>
      <c r="F56" s="6"/>
    </row>
    <row r="57" ht="15.75" customHeight="1">
      <c r="A57" s="8"/>
      <c r="B57" s="10" t="s">
        <v>67</v>
      </c>
      <c r="C57" s="62"/>
      <c r="D57" s="62">
        <f>SUMIFS(Raw_Data_Period_old_users!AI:AI, Raw_Data_Period_old_users!$A:$A, "Variant", Raw_Data_Period_old_users!$C:$C, TRUE)</f>
        <v>49.242</v>
      </c>
      <c r="E57" s="64"/>
      <c r="F57" s="35"/>
    </row>
    <row r="58" ht="15.75" customHeight="1">
      <c r="A58" s="8"/>
      <c r="B58" s="67" t="s">
        <v>68</v>
      </c>
      <c r="C58" s="62"/>
      <c r="D58" s="62">
        <f>SUMIFS(Raw_Data_Period_old_users!AI:AI, Raw_Data_Period_old_users!$A:$A, "Variant", Raw_Data_Period_old_users!$C:$C, TRUE)</f>
        <v>49.242</v>
      </c>
      <c r="E58" s="64"/>
      <c r="F58" s="35"/>
    </row>
    <row r="59" ht="15.75" customHeight="1">
      <c r="A59" s="8"/>
      <c r="B59" s="67" t="s">
        <v>69</v>
      </c>
      <c r="C59" s="62"/>
      <c r="D59" s="62">
        <f>SUMIFS(Raw_Data_Period_old_users!AJ:AJ, Raw_Data_Period_old_users!$A:$A, "Variant", Raw_Data_Period_old_users!$C:$C, TRUE)</f>
        <v>19.698</v>
      </c>
      <c r="E59" s="64"/>
      <c r="F59" s="35"/>
    </row>
    <row r="60" ht="15.75" customHeight="1">
      <c r="A60" s="8"/>
      <c r="B60" s="67" t="s">
        <v>70</v>
      </c>
      <c r="C60" s="62"/>
      <c r="D60" s="62">
        <f>SUMIFS(Raw_Data_Period_old_users!AK:AK, Raw_Data_Period_old_users!$A:$A, "Variant", Raw_Data_Period_old_users!$C:$C, TRUE)</f>
        <v>4.3759</v>
      </c>
      <c r="E60" s="64"/>
      <c r="F60" s="35"/>
    </row>
    <row r="61" ht="15.75" customHeight="1">
      <c r="A61" s="4" t="s">
        <v>71</v>
      </c>
      <c r="B61" s="6"/>
      <c r="C61" s="6"/>
      <c r="D61" s="6"/>
      <c r="E61" s="6"/>
      <c r="F61" s="6"/>
    </row>
    <row r="62" ht="15.75" customHeight="1">
      <c r="A62" s="8"/>
      <c r="B62" s="53" t="s">
        <v>72</v>
      </c>
      <c r="C62" s="48">
        <f>SUMIFS(Raw_Data_Period_old_users!AQ:AQ, Raw_Data_Period_old_users!$A:$A, "Control", Raw_Data_Period_old_users!$C:$C, TRUE)</f>
        <v>6.0053</v>
      </c>
      <c r="D62" s="48">
        <f>SUMIFS(Raw_Data_Period_old_users!AQ:AQ, Raw_Data_Period_old_users!$A:$A, "Variant", Raw_Data_Period_old_users!$C:$C, TRUE)</f>
        <v>6.1896</v>
      </c>
      <c r="E62" s="59">
        <f t="shared" ref="E62:E67" si="19">IFERROR(D62-C62,"")</f>
        <v>0.1843</v>
      </c>
      <c r="F62" s="35">
        <f t="shared" ref="F62:F67" si="20">IFERROR((D62-C62)/ABS(C62),"")</f>
        <v>0.03068955756</v>
      </c>
    </row>
    <row r="63" ht="15.75" customHeight="1">
      <c r="A63" s="8"/>
      <c r="B63" s="53" t="s">
        <v>73</v>
      </c>
      <c r="C63" s="48">
        <f>SUMIFS(Raw_Data_Period_old_users!AR:AR, Raw_Data_Period_old_users!$A:$A, "Control", Raw_Data_Period_old_users!$C:$C, TRUE)</f>
        <v>0.1262</v>
      </c>
      <c r="D63" s="48">
        <f>SUMIFS(Raw_Data_Period_old_users!AR:AR, Raw_Data_Period_old_users!$A:$A, "Variant", Raw_Data_Period_old_users!$C:$C, TRUE)</f>
        <v>0.13</v>
      </c>
      <c r="E63" s="41">
        <f t="shared" si="19"/>
        <v>0.0038</v>
      </c>
      <c r="F63" s="35">
        <f t="shared" si="20"/>
        <v>0.03011093502</v>
      </c>
    </row>
    <row r="64" ht="15.75" customHeight="1">
      <c r="A64" s="8"/>
      <c r="B64" s="53" t="s">
        <v>74</v>
      </c>
      <c r="C64" s="48">
        <f>SUMIFS(Raw_Data_Period_old_users!AS:AS, Raw_Data_Period_old_users!$A:$A, "Control", Raw_Data_Period_old_users!$C:$C, TRUE)</f>
        <v>5.8791</v>
      </c>
      <c r="D64" s="48">
        <f>SUMIFS(Raw_Data_Period_old_users!AS:AS, Raw_Data_Period_old_users!$A:$A, "Variant", Raw_Data_Period_old_users!$C:$C, TRUE)</f>
        <v>6.0596</v>
      </c>
      <c r="E64" s="59">
        <f t="shared" si="19"/>
        <v>0.1805</v>
      </c>
      <c r="F64" s="35">
        <f t="shared" si="20"/>
        <v>0.03070197819</v>
      </c>
    </row>
    <row r="65" ht="15.75" customHeight="1">
      <c r="A65" s="8"/>
      <c r="B65" s="53" t="s">
        <v>75</v>
      </c>
      <c r="C65" s="48">
        <f>SUMIFS(Raw_Data_Period_old_users!AT:AT, Raw_Data_Period_old_users!$A:$A, "Control", Raw_Data_Period_old_users!$C:$C, TRUE)</f>
        <v>5.4181</v>
      </c>
      <c r="D65" s="48">
        <f>SUMIFS(Raw_Data_Period_old_users!AT:AT, Raw_Data_Period_old_users!$A:$A, "Variant", Raw_Data_Period_old_users!$C:$C, TRUE)</f>
        <v>5.3689</v>
      </c>
      <c r="E65" s="41">
        <f t="shared" si="19"/>
        <v>-0.0492</v>
      </c>
      <c r="F65" s="35">
        <f t="shared" si="20"/>
        <v>-0.009080674037</v>
      </c>
    </row>
    <row r="66" ht="15.75" customHeight="1">
      <c r="A66" s="8"/>
      <c r="B66" s="53" t="s">
        <v>76</v>
      </c>
      <c r="C66" s="48">
        <f>SUMIFS(Raw_Data_Period_old_users!AQ:AQ, Raw_Data_Period_old_users!$A:$A, "Control", Raw_Data_Period_old_users!$C:$C, TRUE) - SUMIFS(Raw_Data_Period_old_users!AT:AT, Raw_Data_Period_old_users!$A:$A, "Control", Raw_Data_Period_old_users!$C:$C, TRUE)</f>
        <v>0.5872</v>
      </c>
      <c r="D66" s="48">
        <f>SUMIFS(Raw_Data_Period_old_users!AQ:AQ, Raw_Data_Period_old_users!$A:$A, "Variant", Raw_Data_Period_old_users!$C:$C, TRUE) - SUMIFS(Raw_Data_Period_old_users!AT:AT, Raw_Data_Period_old_users!$A:$A, "Variant", Raw_Data_Period_old_users!$C:$C, TRUE)</f>
        <v>0.8207</v>
      </c>
      <c r="E66" s="59">
        <f t="shared" si="19"/>
        <v>0.2335</v>
      </c>
      <c r="F66" s="35">
        <f t="shared" si="20"/>
        <v>0.3976498638</v>
      </c>
    </row>
    <row r="67" ht="15.75" customHeight="1">
      <c r="A67" s="8"/>
      <c r="B67" s="10" t="s">
        <v>77</v>
      </c>
      <c r="C67" s="48">
        <f>SUMIFS(Raw_Data_Period_old_users!AU:AU, Raw_Data_Period_old_users!$A:$A, "Control", Raw_Data_Period_old_users!$C:$C, TRUE)</f>
        <v>0.2048</v>
      </c>
      <c r="D67" s="48">
        <f>SUMIFS(Raw_Data_Period_old_users!AU:AU, Raw_Data_Period_old_users!$A:$A, "Variant", Raw_Data_Period_old_users!$C:$C, TRUE)</f>
        <v>0.1998</v>
      </c>
      <c r="E67" s="68">
        <f t="shared" si="19"/>
        <v>-0.005</v>
      </c>
      <c r="F67" s="43">
        <f t="shared" si="20"/>
        <v>-0.0244140625</v>
      </c>
    </row>
    <row r="68" ht="15.75" customHeight="1"/>
    <row r="69" ht="15.75" customHeight="1">
      <c r="A69" s="69" t="s">
        <v>78</v>
      </c>
      <c r="B69" s="6"/>
      <c r="C69" s="6"/>
      <c r="D69" s="6"/>
      <c r="E69" s="6"/>
      <c r="F69" s="6"/>
    </row>
    <row r="70" ht="15.75" customHeight="1">
      <c r="A70" s="8"/>
      <c r="B70" s="70" t="s">
        <v>79</v>
      </c>
      <c r="C70" s="48">
        <f>SUMIFS(Raw_Data_Period_old_users!BO:BO, Raw_Data_Period_old_users!$A:$A, "Control", Raw_Data_Period_old_users!$C:$C, TRUE)</f>
        <v>1.263</v>
      </c>
      <c r="D70" s="48">
        <f>SUMIFS(Raw_Data_Period_old_users!BO:BO, Raw_Data_Period_old_users!$A:$A, "Variant", Raw_Data_Period_old_users!$C:$C, TRUE)</f>
        <v>1.2718</v>
      </c>
      <c r="E70" s="59">
        <f t="shared" ref="E70:E74" si="21">IFERROR(D70-C70,"")</f>
        <v>0.0088</v>
      </c>
      <c r="F70" s="35">
        <f t="shared" ref="F70:F74" si="22">IFERROR((D70-C70)/ABS(C70),"")</f>
        <v>0.006967537609</v>
      </c>
    </row>
    <row r="71" ht="15.75" customHeight="1">
      <c r="A71" s="8"/>
      <c r="B71" s="70" t="s">
        <v>80</v>
      </c>
      <c r="C71" s="48">
        <f>SUMIFS(Raw_Data_Period_old_users!BP:BP, Raw_Data_Period_old_users!$A:$A, "Control", Raw_Data_Period_old_users!$C:$C, TRUE)</f>
        <v>0.0189</v>
      </c>
      <c r="D71" s="48">
        <f>SUMIFS(Raw_Data_Period_old_users!BP:BP, Raw_Data_Period_old_users!$A:$A, "Variant", Raw_Data_Period_old_users!$C:$C, TRUE)</f>
        <v>0.021</v>
      </c>
      <c r="E71" s="41">
        <f t="shared" si="21"/>
        <v>0.0021</v>
      </c>
      <c r="F71" s="35">
        <f t="shared" si="22"/>
        <v>0.1111111111</v>
      </c>
    </row>
    <row r="72" ht="15.75" customHeight="1">
      <c r="A72" s="8"/>
      <c r="B72" s="70" t="s">
        <v>81</v>
      </c>
      <c r="C72" s="48">
        <f>SUMIFS(Raw_Data_Period_old_users!BQ:BQ, Raw_Data_Period_old_users!$A:$A, "Control", Raw_Data_Period_old_users!$C:$C, TRUE)</f>
        <v>1.2441</v>
      </c>
      <c r="D72" s="48">
        <f>SUMIFS(Raw_Data_Period_old_users!BQ:BQ, Raw_Data_Period_old_users!$A:$A, "Variant", Raw_Data_Period_old_users!$C:$C, TRUE)</f>
        <v>1.2508</v>
      </c>
      <c r="E72" s="59">
        <f t="shared" si="21"/>
        <v>0.0067</v>
      </c>
      <c r="F72" s="35">
        <f t="shared" si="22"/>
        <v>0.005385419179</v>
      </c>
    </row>
    <row r="73" ht="15.75" customHeight="1">
      <c r="A73" s="8"/>
      <c r="B73" s="70" t="s">
        <v>82</v>
      </c>
      <c r="C73" s="48">
        <f>SUMIFS(Raw_Data_Period_old_users!BR:BR, Raw_Data_Period_old_users!$A:$A, "Control", Raw_Data_Period_old_users!$C:$C, TRUE)</f>
        <v>1.0646</v>
      </c>
      <c r="D73" s="48">
        <f>SUMIFS(Raw_Data_Period_old_users!BR:BR, Raw_Data_Period_old_users!$A:$A, "Variant", Raw_Data_Period_old_users!$C:$C, TRUE)</f>
        <v>1.0585</v>
      </c>
      <c r="E73" s="41">
        <f t="shared" si="21"/>
        <v>-0.0061</v>
      </c>
      <c r="F73" s="35">
        <f t="shared" si="22"/>
        <v>-0.005729851587</v>
      </c>
    </row>
    <row r="74" ht="15.75" customHeight="1">
      <c r="A74" s="8"/>
      <c r="B74" s="70" t="s">
        <v>83</v>
      </c>
      <c r="C74" s="48">
        <f>SUMIFS(Raw_Data_Period_old_users!BO:BO, Raw_Data_Period_old_users!$A:$A, "Control", Raw_Data_Period_old_users!$C:$C, TRUE) - SUMIFS(Raw_Data_Period_old_users!BR:BR, Raw_Data_Period_old_users!$A:$A, "Control", Raw_Data_Period_old_users!$C:$C, TRUE)</f>
        <v>0.1984</v>
      </c>
      <c r="D74" s="48">
        <f>SUMIFS(Raw_Data_Period_old_users!BO:BO, Raw_Data_Period_old_users!$A:$A, "Variant", Raw_Data_Period_old_users!$C:$C, TRUE) - SUMIFS(Raw_Data_Period_old_users!BR:BR, Raw_Data_Period_old_users!$A:$A, "Variant", Raw_Data_Period_old_users!$C:$C, TRUE)</f>
        <v>0.2133</v>
      </c>
      <c r="E74" s="59">
        <f t="shared" si="21"/>
        <v>0.0149</v>
      </c>
      <c r="F74" s="35">
        <f t="shared" si="22"/>
        <v>0.07510080645</v>
      </c>
    </row>
    <row r="75" ht="15.75" customHeight="1">
      <c r="A75" s="69" t="s">
        <v>84</v>
      </c>
      <c r="B75" s="6"/>
      <c r="C75" s="6"/>
      <c r="D75" s="6"/>
      <c r="E75" s="6"/>
      <c r="F75" s="6"/>
    </row>
    <row r="76" ht="15.75" customHeight="1">
      <c r="A76" s="8"/>
      <c r="B76" s="70" t="s">
        <v>85</v>
      </c>
      <c r="C76" s="48">
        <f>SUMIFS(Raw_Data_Period_old_users!BS:BS, Raw_Data_Period_old_users!$A:$A, "Control", Raw_Data_Period_old_users!$C:$C, TRUE)</f>
        <v>1.3256</v>
      </c>
      <c r="D76" s="48">
        <f>SUMIFS(Raw_Data_Period_old_users!BS:BS, Raw_Data_Period_old_users!$A:$A, "Variant", Raw_Data_Period_old_users!$C:$C, TRUE)</f>
        <v>1.1896</v>
      </c>
      <c r="E76" s="59">
        <f t="shared" ref="E76:E80" si="23">IFERROR(D76-C76,"")</f>
        <v>-0.136</v>
      </c>
      <c r="F76" s="35">
        <f t="shared" ref="F76:F80" si="24">IFERROR((D76-C76)/ABS(C76),"")</f>
        <v>-0.1025950513</v>
      </c>
    </row>
    <row r="77" ht="15.75" customHeight="1">
      <c r="A77" s="8"/>
      <c r="B77" s="70" t="s">
        <v>86</v>
      </c>
      <c r="C77" s="48">
        <f>SUMIFS(Raw_Data_Period_old_users!BT:BT, Raw_Data_Period_old_users!$A:$A, "Control", Raw_Data_Period_old_users!$C:$C, TRUE)</f>
        <v>0.0177</v>
      </c>
      <c r="D77" s="48">
        <f>SUMIFS(Raw_Data_Period_old_users!BT:BT, Raw_Data_Period_old_users!$A:$A, "Variant", Raw_Data_Period_old_users!$C:$C, TRUE)</f>
        <v>0.0203</v>
      </c>
      <c r="E77" s="41">
        <f t="shared" si="23"/>
        <v>0.0026</v>
      </c>
      <c r="F77" s="35">
        <f t="shared" si="24"/>
        <v>0.1468926554</v>
      </c>
    </row>
    <row r="78" ht="15.75" customHeight="1">
      <c r="A78" s="8"/>
      <c r="B78" s="70" t="s">
        <v>87</v>
      </c>
      <c r="C78" s="48">
        <f>SUMIFS(Raw_Data_Period_old_users!BU:BU, Raw_Data_Period_old_users!$A:$A, "Control", Raw_Data_Period_old_users!$C:$C, TRUE)</f>
        <v>1.3079</v>
      </c>
      <c r="D78" s="48">
        <f>SUMIFS(Raw_Data_Period_old_users!BU:BU, Raw_Data_Period_old_users!$A:$A, "Variant", Raw_Data_Period_old_users!$C:$C, TRUE)</f>
        <v>1.1693</v>
      </c>
      <c r="E78" s="59">
        <f t="shared" si="23"/>
        <v>-0.1386</v>
      </c>
      <c r="F78" s="35">
        <f t="shared" si="24"/>
        <v>-0.1059714045</v>
      </c>
    </row>
    <row r="79" ht="15.75" customHeight="1">
      <c r="A79" s="8"/>
      <c r="B79" s="70" t="s">
        <v>88</v>
      </c>
      <c r="C79" s="48">
        <f>SUMIFS(Raw_Data_Period_old_users!BV:BV, Raw_Data_Period_old_users!$A:$A, "Control", Raw_Data_Period_old_users!$C:$C, TRUE)</f>
        <v>1.1201</v>
      </c>
      <c r="D79" s="48">
        <f>SUMIFS(Raw_Data_Period_old_users!BV:BV, Raw_Data_Period_old_users!$A:$A, "Variant", Raw_Data_Period_old_users!$C:$C, TRUE)</f>
        <v>1.0207</v>
      </c>
      <c r="E79" s="41">
        <f t="shared" si="23"/>
        <v>-0.0994</v>
      </c>
      <c r="F79" s="35">
        <f t="shared" si="24"/>
        <v>-0.0887420766</v>
      </c>
    </row>
    <row r="80" ht="15.75" customHeight="1">
      <c r="A80" s="8"/>
      <c r="B80" s="70" t="s">
        <v>89</v>
      </c>
      <c r="C80" s="48">
        <f>SUMIFS(Raw_Data_Period_old_users!BS:BS, Raw_Data_Period_old_users!$A:$A, "Control", Raw_Data_Period_old_users!$C:$C, TRUE) - SUMIFS(Raw_Data_Period_old_users!BV:BV, Raw_Data_Period_old_users!$A:$A, "Control", Raw_Data_Period_old_users!$C:$C, TRUE)</f>
        <v>0.2055</v>
      </c>
      <c r="D80" s="48">
        <f>SUMIFS(Raw_Data_Period_old_users!BS:BS, Raw_Data_Period_old_users!$A:$A, "Variant", Raw_Data_Period_old_users!$C:$C, TRUE) - SUMIFS(Raw_Data_Period_old_users!BV:BV, Raw_Data_Period_old_users!$A:$A, "Variant", Raw_Data_Period_old_users!$C:$C, TRUE)</f>
        <v>0.1689</v>
      </c>
      <c r="E80" s="59">
        <f t="shared" si="23"/>
        <v>-0.0366</v>
      </c>
      <c r="F80" s="35">
        <f t="shared" si="24"/>
        <v>-0.1781021898</v>
      </c>
    </row>
    <row r="81" ht="15.75" customHeight="1">
      <c r="A81" s="69" t="s">
        <v>90</v>
      </c>
      <c r="B81" s="6"/>
      <c r="C81" s="6"/>
      <c r="D81" s="6"/>
      <c r="E81" s="6"/>
      <c r="F81" s="6"/>
    </row>
    <row r="82" ht="15.75" customHeight="1">
      <c r="A82" s="8"/>
      <c r="B82" s="70" t="s">
        <v>91</v>
      </c>
      <c r="C82" s="48">
        <f>SUMIFS(Raw_Data_Period_old_users!BW:BW, Raw_Data_Period_old_users!$A:$A, "Control", Raw_Data_Period_old_users!$C:$C, TRUE)</f>
        <v>0.6997</v>
      </c>
      <c r="D82" s="48">
        <f>SUMIFS(Raw_Data_Period_old_users!BW:BW, Raw_Data_Period_old_users!$A:$A, "Variant", Raw_Data_Period_old_users!$C:$C, TRUE)</f>
        <v>0.6987</v>
      </c>
      <c r="E82" s="59">
        <f t="shared" ref="E82:E86" si="25">IFERROR(D82-C82,"")</f>
        <v>-0.001</v>
      </c>
      <c r="F82" s="35">
        <f t="shared" ref="F82:F86" si="26">IFERROR((D82-C82)/ABS(C82),"")</f>
        <v>-0.001429183936</v>
      </c>
    </row>
    <row r="83" ht="15.75" customHeight="1">
      <c r="A83" s="8"/>
      <c r="B83" s="70" t="s">
        <v>92</v>
      </c>
      <c r="C83" s="48">
        <f>SUMIFS(Raw_Data_Period_old_users!BX:BX, Raw_Data_Period_old_users!$A:$A, "Control", Raw_Data_Period_old_users!$C:$C, TRUE)</f>
        <v>0.0197</v>
      </c>
      <c r="D83" s="48">
        <f>SUMIFS(Raw_Data_Period_old_users!BX:BX, Raw_Data_Period_old_users!$A:$A, "Variant", Raw_Data_Period_old_users!$C:$C, TRUE)</f>
        <v>0.0222</v>
      </c>
      <c r="E83" s="41">
        <f t="shared" si="25"/>
        <v>0.0025</v>
      </c>
      <c r="F83" s="35">
        <f t="shared" si="26"/>
        <v>0.1269035533</v>
      </c>
    </row>
    <row r="84" ht="15.75" customHeight="1">
      <c r="A84" s="8"/>
      <c r="B84" s="70" t="s">
        <v>93</v>
      </c>
      <c r="C84" s="48">
        <f>SUMIFS(Raw_Data_Period_old_users!BY:BY, Raw_Data_Period_old_users!$A:$A, "Control", Raw_Data_Period_old_users!$C:$C, TRUE)</f>
        <v>0.6801</v>
      </c>
      <c r="D84" s="48">
        <f>SUMIFS(Raw_Data_Period_old_users!BY:BY, Raw_Data_Period_old_users!$A:$A, "Variant", Raw_Data_Period_old_users!$C:$C, TRUE)</f>
        <v>0.6766</v>
      </c>
      <c r="E84" s="59">
        <f t="shared" si="25"/>
        <v>-0.0035</v>
      </c>
      <c r="F84" s="35">
        <f t="shared" si="26"/>
        <v>-0.005146302014</v>
      </c>
    </row>
    <row r="85" ht="15.75" customHeight="1">
      <c r="A85" s="8"/>
      <c r="B85" s="70" t="s">
        <v>94</v>
      </c>
      <c r="C85" s="48">
        <f>SUMIFS(Raw_Data_Period_old_users!BZ:BZ, Raw_Data_Period_old_users!$A:$A, "Control", Raw_Data_Period_old_users!$C:$C, TRUE)</f>
        <v>0.5953</v>
      </c>
      <c r="D85" s="48">
        <f>SUMIFS(Raw_Data_Period_old_users!BZ:BZ, Raw_Data_Period_old_users!$A:$A, "Variant", Raw_Data_Period_old_users!$C:$C, TRUE)</f>
        <v>0.615</v>
      </c>
      <c r="E85" s="41">
        <f t="shared" si="25"/>
        <v>0.0197</v>
      </c>
      <c r="F85" s="35">
        <f t="shared" si="26"/>
        <v>0.03309255837</v>
      </c>
    </row>
    <row r="86" ht="15.75" customHeight="1">
      <c r="A86" s="8"/>
      <c r="B86" s="70" t="s">
        <v>95</v>
      </c>
      <c r="C86" s="48">
        <f>SUMIFS(Raw_Data_Period_old_users!BW:BW, Raw_Data_Period_old_users!$A:$A, "Control", Raw_Data_Period_old_users!$C:$C, TRUE) - SUMIFS(Raw_Data_Period_old_users!BZ:BZ, Raw_Data_Period_old_users!$A:$A, "Control", Raw_Data_Period_old_users!$C:$C, TRUE)</f>
        <v>0.1044</v>
      </c>
      <c r="D86" s="48">
        <f>SUMIFS(Raw_Data_Period_old_users!BW:BW, Raw_Data_Period_old_users!$A:$A, "Variant", Raw_Data_Period_old_users!$C:$C, TRUE) - SUMIFS(Raw_Data_Period_old_users!BZ:BZ, Raw_Data_Period_old_users!$A:$A, "Variant", Raw_Data_Period_old_users!$C:$C, TRUE)</f>
        <v>0.0837</v>
      </c>
      <c r="E86" s="59">
        <f t="shared" si="25"/>
        <v>-0.0207</v>
      </c>
      <c r="F86" s="35">
        <f t="shared" si="26"/>
        <v>-0.1982758621</v>
      </c>
    </row>
    <row r="87" ht="15.75" customHeight="1">
      <c r="A87" s="69" t="s">
        <v>96</v>
      </c>
      <c r="B87" s="6"/>
      <c r="C87" s="6"/>
      <c r="D87" s="6"/>
      <c r="E87" s="6"/>
      <c r="F87" s="6"/>
    </row>
    <row r="88" ht="15.75" customHeight="1">
      <c r="A88" s="8"/>
      <c r="B88" s="70" t="s">
        <v>97</v>
      </c>
      <c r="C88" s="48">
        <f>SUMIFS(Raw_Data_Period_old_users!CE:CE, Raw_Data_Period_old_users!$A:$A, "Control", Raw_Data_Period_old_users!$C:$C, TRUE)</f>
        <v>1.0973</v>
      </c>
      <c r="D88" s="48">
        <f>SUMIFS(Raw_Data_Period_old_users!CE:CE, Raw_Data_Period_old_users!$A:$A, "Variant", Raw_Data_Period_old_users!$C:$C, TRUE)</f>
        <v>1.4218</v>
      </c>
      <c r="E88" s="59">
        <f t="shared" ref="E88:E92" si="27">IFERROR(D88-C88,"")</f>
        <v>0.3245</v>
      </c>
      <c r="F88" s="35">
        <f t="shared" ref="F88:F92" si="28">IFERROR((D88-C88)/ABS(C88),"")</f>
        <v>0.2957258726</v>
      </c>
    </row>
    <row r="89" ht="15.75" customHeight="1">
      <c r="A89" s="8"/>
      <c r="B89" s="70" t="s">
        <v>98</v>
      </c>
      <c r="C89" s="48">
        <f>SUMIFS(Raw_Data_Period_old_users!CF:CF, Raw_Data_Period_old_users!$A:$A, "Control", Raw_Data_Period_old_users!$C:$C, TRUE)</f>
        <v>0.0294</v>
      </c>
      <c r="D89" s="48">
        <f>SUMIFS(Raw_Data_Period_old_users!CF:CF, Raw_Data_Period_old_users!$A:$A, "Variant", Raw_Data_Period_old_users!$C:$C, TRUE)</f>
        <v>0.0266</v>
      </c>
      <c r="E89" s="41">
        <f t="shared" si="27"/>
        <v>-0.0028</v>
      </c>
      <c r="F89" s="35">
        <f t="shared" si="28"/>
        <v>-0.09523809524</v>
      </c>
    </row>
    <row r="90" ht="15.75" customHeight="1">
      <c r="A90" s="8"/>
      <c r="B90" s="70" t="s">
        <v>99</v>
      </c>
      <c r="C90" s="48">
        <f>SUMIFS(Raw_Data_Period_old_users!CG:CG, Raw_Data_Period_old_users!$A:$A, "Control", Raw_Data_Period_old_users!$C:$C, TRUE)</f>
        <v>1.0679</v>
      </c>
      <c r="D90" s="48">
        <f>SUMIFS(Raw_Data_Period_old_users!CG:CG, Raw_Data_Period_old_users!$A:$A, "Variant", Raw_Data_Period_old_users!$C:$C, TRUE)</f>
        <v>1.3952</v>
      </c>
      <c r="E90" s="59">
        <f t="shared" si="27"/>
        <v>0.3273</v>
      </c>
      <c r="F90" s="35">
        <f t="shared" si="28"/>
        <v>0.3064893717</v>
      </c>
    </row>
    <row r="91" ht="15.75" customHeight="1">
      <c r="A91" s="8"/>
      <c r="B91" s="70" t="s">
        <v>100</v>
      </c>
      <c r="C91" s="48">
        <f>SUMIFS(Raw_Data_Period_old_users!CH:CH, Raw_Data_Period_old_users!$A:$A, "Control", Raw_Data_Period_old_users!$C:$C, TRUE)</f>
        <v>1.0463</v>
      </c>
      <c r="D91" s="48">
        <f>SUMIFS(Raw_Data_Period_old_users!CH:CH, Raw_Data_Period_old_users!$A:$A, "Variant", Raw_Data_Period_old_users!$C:$C, TRUE)</f>
        <v>1.1864</v>
      </c>
      <c r="E91" s="41">
        <f t="shared" si="27"/>
        <v>0.1401</v>
      </c>
      <c r="F91" s="35">
        <f t="shared" si="28"/>
        <v>0.133900411</v>
      </c>
    </row>
    <row r="92" ht="15.75" customHeight="1">
      <c r="A92" s="8"/>
      <c r="B92" s="70" t="s">
        <v>101</v>
      </c>
      <c r="C92" s="48">
        <f>SUMIFS(Raw_Data_Period_old_users!CE:CE, Raw_Data_Period_old_users!$A:$A, "Control", Raw_Data_Period_old_users!$C:$C, TRUE) - SUMIFS(Raw_Data_Period_old_users!CH:CH, Raw_Data_Period_old_users!$A:$A, "Control", Raw_Data_Period_old_users!$C:$C, TRUE)</f>
        <v>0.051</v>
      </c>
      <c r="D92" s="48">
        <f>SUMIFS(Raw_Data_Period_old_users!CE:CE, Raw_Data_Period_old_users!$A:$A, "Variant", Raw_Data_Period_old_users!$C:$C, TRUE) - SUMIFS(Raw_Data_Period_old_users!CH:CH, Raw_Data_Period_old_users!$A:$A, "Variant", Raw_Data_Period_old_users!$C:$C, TRUE)</f>
        <v>0.2354</v>
      </c>
      <c r="E92" s="59">
        <f t="shared" si="27"/>
        <v>0.1844</v>
      </c>
      <c r="F92" s="35">
        <f t="shared" si="28"/>
        <v>3.615686275</v>
      </c>
    </row>
    <row r="93" ht="15.75" customHeight="1">
      <c r="A93" s="69" t="s">
        <v>102</v>
      </c>
      <c r="B93" s="6"/>
      <c r="C93" s="6"/>
      <c r="D93" s="6"/>
      <c r="E93" s="6"/>
      <c r="F93" s="6"/>
    </row>
    <row r="94" ht="15.75" customHeight="1">
      <c r="A94" s="8"/>
      <c r="B94" s="70" t="s">
        <v>103</v>
      </c>
      <c r="C94" s="48">
        <f>SUMIFS(Raw_Data_Period_old_users!CI:CI, Raw_Data_Period_old_users!$A:$A, "Control", Raw_Data_Period_old_users!$C:$C, TRUE)</f>
        <v>1.0477</v>
      </c>
      <c r="D94" s="48">
        <f>SUMIFS(Raw_Data_Period_old_users!CI:CI, Raw_Data_Period_old_users!$A:$A, "Variant", Raw_Data_Period_old_users!$C:$C, TRUE)</f>
        <v>1.0407</v>
      </c>
      <c r="E94" s="59">
        <f t="shared" ref="E94:E98" si="29">IFERROR(D94-C94,"")</f>
        <v>-0.007</v>
      </c>
      <c r="F94" s="35">
        <f t="shared" ref="F94:F98" si="30">IFERROR((D94-C94)/ABS(C94),"")</f>
        <v>-0.006681301899</v>
      </c>
    </row>
    <row r="95" ht="15.75" customHeight="1">
      <c r="A95" s="8"/>
      <c r="B95" s="70" t="s">
        <v>104</v>
      </c>
      <c r="C95" s="48">
        <f>SUMIFS(Raw_Data_Period_old_users!CJ:CJ, Raw_Data_Period_old_users!$A:$A, "Control", Raw_Data_Period_old_users!$C:$C, TRUE)</f>
        <v>0.0221</v>
      </c>
      <c r="D95" s="48">
        <f>SUMIFS(Raw_Data_Period_old_users!CJ:CJ, Raw_Data_Period_old_users!$A:$A, "Variant", Raw_Data_Period_old_users!$C:$C, TRUE)</f>
        <v>0.0228</v>
      </c>
      <c r="E95" s="41">
        <f t="shared" si="29"/>
        <v>0.0007</v>
      </c>
      <c r="F95" s="35">
        <f t="shared" si="30"/>
        <v>0.03167420814</v>
      </c>
    </row>
    <row r="96" ht="15.75" customHeight="1">
      <c r="A96" s="8"/>
      <c r="B96" s="70" t="s">
        <v>105</v>
      </c>
      <c r="C96" s="48">
        <f>SUMIFS(Raw_Data_Period_old_users!CK:CK, Raw_Data_Period_old_users!$A:$A, "Control", Raw_Data_Period_old_users!$C:$C, TRUE)</f>
        <v>1.0256</v>
      </c>
      <c r="D96" s="48">
        <f>SUMIFS(Raw_Data_Period_old_users!CK:CK, Raw_Data_Period_old_users!$A:$A, "Variant", Raw_Data_Period_old_users!$C:$C, TRUE)</f>
        <v>1.018</v>
      </c>
      <c r="E96" s="59">
        <f t="shared" si="29"/>
        <v>-0.0076</v>
      </c>
      <c r="F96" s="35">
        <f t="shared" si="30"/>
        <v>-0.007410296412</v>
      </c>
    </row>
    <row r="97" ht="15.75" customHeight="1">
      <c r="A97" s="8"/>
      <c r="B97" s="70" t="s">
        <v>106</v>
      </c>
      <c r="C97" s="48">
        <f>SUMIFS(Raw_Data_Period_old_users!CL:CL, Raw_Data_Period_old_users!$A:$A, "Control", Raw_Data_Period_old_users!$C:$C, TRUE)</f>
        <v>1.0078</v>
      </c>
      <c r="D97" s="48">
        <f>SUMIFS(Raw_Data_Period_old_users!CL:CL, Raw_Data_Period_old_users!$A:$A, "Variant", Raw_Data_Period_old_users!$C:$C, TRUE)</f>
        <v>0.9522</v>
      </c>
      <c r="E97" s="41">
        <f t="shared" si="29"/>
        <v>-0.0556</v>
      </c>
      <c r="F97" s="35">
        <f t="shared" si="30"/>
        <v>-0.05516967652</v>
      </c>
    </row>
    <row r="98" ht="15.75" customHeight="1">
      <c r="A98" s="8"/>
      <c r="B98" s="70" t="s">
        <v>107</v>
      </c>
      <c r="C98" s="48">
        <f>SUMIFS(Raw_Data_Period_old_users!CI:CI, Raw_Data_Period_old_users!$A:$A, "Control", Raw_Data_Period_old_users!$C:$C, TRUE) - SUMIFS(Raw_Data_Period_old_users!CL:CL, Raw_Data_Period_old_users!$A:$A, "Control", Raw_Data_Period_old_users!$C:$C, TRUE)</f>
        <v>0.0399</v>
      </c>
      <c r="D98" s="48">
        <f>SUMIFS(Raw_Data_Period_old_users!CI:CI, Raw_Data_Period_old_users!$A:$A, "Variant", Raw_Data_Period_old_users!$C:$C, TRUE) - SUMIFS(Raw_Data_Period_old_users!CL:CL, Raw_Data_Period_old_users!$A:$A, "Variant", Raw_Data_Period_old_users!$C:$C, TRUE)</f>
        <v>0.0885</v>
      </c>
      <c r="E98" s="59">
        <f t="shared" si="29"/>
        <v>0.0486</v>
      </c>
      <c r="F98" s="35">
        <f t="shared" si="30"/>
        <v>1.218045113</v>
      </c>
    </row>
    <row r="99" ht="15.75" customHeight="1">
      <c r="A99" s="69" t="s">
        <v>108</v>
      </c>
      <c r="B99" s="6"/>
      <c r="C99" s="6"/>
      <c r="D99" s="6"/>
      <c r="E99" s="6"/>
      <c r="F99" s="6"/>
    </row>
    <row r="100" ht="15.75" customHeight="1">
      <c r="A100" s="8"/>
      <c r="B100" s="70" t="s">
        <v>109</v>
      </c>
      <c r="C100" s="48">
        <f>SUMIFS(Raw_Data_Period_old_users!CA:CA, Raw_Data_Period_old_users!$A:$A, "Control", Raw_Data_Period_old_users!$C:$C, TRUE)</f>
        <v>0.5719</v>
      </c>
      <c r="D100" s="48">
        <f>SUMIFS(Raw_Data_Period_old_users!CA:CA, Raw_Data_Period_old_users!$A:$A, "Variant", Raw_Data_Period_old_users!$C:$C, TRUE)</f>
        <v>0.5669</v>
      </c>
      <c r="E100" s="59">
        <f t="shared" ref="E100:E104" si="31">IFERROR(D100-C100,"")</f>
        <v>-0.005</v>
      </c>
      <c r="F100" s="35">
        <f t="shared" ref="F100:F104" si="32">IFERROR((D100-C100)/ABS(C100),"")</f>
        <v>-0.008742787201</v>
      </c>
    </row>
    <row r="101" ht="15.75" customHeight="1">
      <c r="A101" s="8"/>
      <c r="B101" s="70" t="s">
        <v>110</v>
      </c>
      <c r="C101" s="48">
        <f>SUMIFS(Raw_Data_Period_old_users!CB:CB, Raw_Data_Period_old_users!$A:$A, "Control", Raw_Data_Period_old_users!$C:$C, TRUE)</f>
        <v>0.0184</v>
      </c>
      <c r="D101" s="48">
        <f>SUMIFS(Raw_Data_Period_old_users!CB:CB, Raw_Data_Period_old_users!$A:$A, "Variant", Raw_Data_Period_old_users!$C:$C, TRUE)</f>
        <v>0.0172</v>
      </c>
      <c r="E101" s="41">
        <f t="shared" si="31"/>
        <v>-0.0012</v>
      </c>
      <c r="F101" s="35">
        <f t="shared" si="32"/>
        <v>-0.0652173913</v>
      </c>
    </row>
    <row r="102" ht="15.75" customHeight="1">
      <c r="A102" s="8"/>
      <c r="B102" s="70" t="s">
        <v>111</v>
      </c>
      <c r="C102" s="48">
        <f>SUMIFS(Raw_Data_Period_old_users!CC:CC, Raw_Data_Period_old_users!$A:$A, "Control", Raw_Data_Period_old_users!$C:$C, TRUE)</f>
        <v>0.5535</v>
      </c>
      <c r="D102" s="48">
        <f>SUMIFS(Raw_Data_Period_old_users!CC:CC, Raw_Data_Period_old_users!$A:$A, "Variant", Raw_Data_Period_old_users!$C:$C, TRUE)</f>
        <v>0.5497</v>
      </c>
      <c r="E102" s="59">
        <f t="shared" si="31"/>
        <v>-0.0038</v>
      </c>
      <c r="F102" s="35">
        <f t="shared" si="32"/>
        <v>-0.006865401987</v>
      </c>
    </row>
    <row r="103" ht="15.75" customHeight="1">
      <c r="A103" s="8"/>
      <c r="B103" s="70" t="s">
        <v>112</v>
      </c>
      <c r="C103" s="48">
        <f>SUMIFS(Raw_Data_Period_old_users!CD:CD, Raw_Data_Period_old_users!$A:$A, "Control", Raw_Data_Period_old_users!$C:$C, TRUE)</f>
        <v>0.5841</v>
      </c>
      <c r="D103" s="48">
        <f>SUMIFS(Raw_Data_Period_old_users!CD:CD, Raw_Data_Period_old_users!$A:$A, "Variant", Raw_Data_Period_old_users!$C:$C, TRUE)</f>
        <v>0.5361</v>
      </c>
      <c r="E103" s="41">
        <f t="shared" si="31"/>
        <v>-0.048</v>
      </c>
      <c r="F103" s="35">
        <f t="shared" si="32"/>
        <v>-0.0821777093</v>
      </c>
    </row>
    <row r="104" ht="15.75" customHeight="1">
      <c r="A104" s="8"/>
      <c r="B104" s="70" t="s">
        <v>113</v>
      </c>
      <c r="C104" s="48">
        <f>SUMIFS(Raw_Data_Period_old_users!CA:CA, Raw_Data_Period_old_users!$A:$A, "Control", Raw_Data_Period_old_users!$C:$C, TRUE) - SUMIFS(Raw_Data_Period_old_users!CD:CD, Raw_Data_Period_old_users!$A:$A, "Control", Raw_Data_Period_old_users!$C:$C, TRUE)</f>
        <v>-0.0122</v>
      </c>
      <c r="D104" s="48">
        <f>SUMIFS(Raw_Data_Period_old_users!CA:CA, Raw_Data_Period_old_users!$A:$A, "Variant", Raw_Data_Period_old_users!$C:$C, TRUE) - SUMIFS(Raw_Data_Period_old_users!CD:CD, Raw_Data_Period_old_users!$A:$A, "Variant", Raw_Data_Period_old_users!$C:$C, TRUE)</f>
        <v>0.0308</v>
      </c>
      <c r="E104" s="59">
        <f t="shared" si="31"/>
        <v>0.043</v>
      </c>
      <c r="F104" s="35">
        <f t="shared" si="32"/>
        <v>3.524590164</v>
      </c>
    </row>
    <row r="105" ht="15.75" customHeight="1">
      <c r="A105" s="69" t="s">
        <v>114</v>
      </c>
      <c r="B105" s="73" t="s">
        <v>115</v>
      </c>
      <c r="C105" s="6"/>
      <c r="D105" s="6"/>
      <c r="E105" s="6"/>
      <c r="F105" s="6"/>
    </row>
    <row r="106" ht="15.75" customHeight="1">
      <c r="A106" s="74" t="s">
        <v>115</v>
      </c>
      <c r="B106" s="70" t="s">
        <v>116</v>
      </c>
      <c r="C106" s="48">
        <f>SUMIFS(Raw_Data_Period_old_users!CM:CM, Raw_Data_Period_old_users!$A:$A, "Control", Raw_Data_Period_old_users!$C:$C, TRUE)</f>
        <v>258.3751</v>
      </c>
      <c r="D106" s="48">
        <f>SUMIFS(Raw_Data_Period_old_users!CM:CM, Raw_Data_Period_old_users!$A:$A, "Variant", Raw_Data_Period_old_users!$C:$C, TRUE)</f>
        <v>228.4411</v>
      </c>
      <c r="E106" s="59">
        <f t="shared" ref="E106:E113" si="33">IFERROR(D106-C106,"")</f>
        <v>-29.934</v>
      </c>
      <c r="F106" s="35">
        <f t="shared" ref="F106:F113" si="34">IFERROR((D106-C106)/ABS(C106),"")</f>
        <v>-0.1158548173</v>
      </c>
    </row>
    <row r="107" ht="15.75" customHeight="1">
      <c r="A107" s="74" t="s">
        <v>115</v>
      </c>
      <c r="B107" s="70" t="s">
        <v>117</v>
      </c>
      <c r="C107" s="48">
        <f>SUMIFS(Raw_Data_Period_old_users!CN:CN, Raw_Data_Period_old_users!$A:$A, "Control", Raw_Data_Period_old_users!$C:$C, TRUE)</f>
        <v>74.91</v>
      </c>
      <c r="D107" s="48">
        <f>SUMIFS(Raw_Data_Period_old_users!CN:CN, Raw_Data_Period_old_users!$A:$A, "Variant", Raw_Data_Period_old_users!$C:$C, TRUE)</f>
        <v>74.76</v>
      </c>
      <c r="E107" s="59">
        <f t="shared" si="33"/>
        <v>-0.15</v>
      </c>
      <c r="F107" s="35">
        <f t="shared" si="34"/>
        <v>-0.002002402883</v>
      </c>
    </row>
    <row r="108" ht="15.75" customHeight="1">
      <c r="A108" s="74" t="s">
        <v>115</v>
      </c>
      <c r="B108" s="70" t="s">
        <v>118</v>
      </c>
      <c r="C108" s="48">
        <f>SUMIFS(Raw_Data_Period_old_users!CO:CO, Raw_Data_Period_old_users!$A:$A, "Control", Raw_Data_Period_old_users!$C:$C, TRUE)</f>
        <v>344.92</v>
      </c>
      <c r="D108" s="48">
        <f>SUMIFS(Raw_Data_Period_old_users!CO:CO, Raw_Data_Period_old_users!$A:$A, "Variant", Raw_Data_Period_old_users!$C:$C, TRUE)</f>
        <v>305.55</v>
      </c>
      <c r="E108" s="59">
        <f t="shared" si="33"/>
        <v>-39.37</v>
      </c>
      <c r="F108" s="35">
        <f t="shared" si="34"/>
        <v>-0.1141424098</v>
      </c>
    </row>
    <row r="109" ht="15.75" customHeight="1">
      <c r="A109" s="74" t="s">
        <v>115</v>
      </c>
      <c r="B109" s="70" t="s">
        <v>119</v>
      </c>
      <c r="C109" s="48">
        <f>SUMIFS(Raw_Data_Period_old_users!CP:CP, Raw_Data_Period_old_users!$A:$A, "Control", Raw_Data_Period_old_users!$C:$C, TRUE)</f>
        <v>241.0807</v>
      </c>
      <c r="D109" s="48">
        <f>SUMIFS(Raw_Data_Period_old_users!CP:CP, Raw_Data_Period_old_users!$A:$A, "Variant", Raw_Data_Period_old_users!$C:$C, TRUE)</f>
        <v>188.8133</v>
      </c>
      <c r="E109" s="59">
        <f t="shared" si="33"/>
        <v>-52.2674</v>
      </c>
      <c r="F109" s="35">
        <f t="shared" si="34"/>
        <v>-0.2168045804</v>
      </c>
    </row>
    <row r="110" ht="15.75" customHeight="1">
      <c r="A110" s="74" t="s">
        <v>115</v>
      </c>
      <c r="B110" s="70" t="s">
        <v>120</v>
      </c>
      <c r="C110" s="48">
        <f>SUMIFS(Raw_Data_Period_old_users!CQ:CQ, Raw_Data_Period_old_users!$A:$A, "Control", Raw_Data_Period_old_users!$C:$C, TRUE)</f>
        <v>0.0056</v>
      </c>
      <c r="D110" s="48">
        <f>SUMIFS(Raw_Data_Period_old_users!CQ:CQ, Raw_Data_Period_old_users!$A:$A, "Variant", Raw_Data_Period_old_users!$C:$C, TRUE)</f>
        <v>24.0852</v>
      </c>
      <c r="E110" s="59">
        <f t="shared" si="33"/>
        <v>24.0796</v>
      </c>
      <c r="F110" s="35">
        <f t="shared" si="34"/>
        <v>4299.928571</v>
      </c>
    </row>
    <row r="111" ht="15.75" customHeight="1">
      <c r="A111" s="74" t="s">
        <v>115</v>
      </c>
      <c r="B111" s="70" t="s">
        <v>121</v>
      </c>
      <c r="C111" s="48">
        <f>SUMIFS(Raw_Data_Period_old_users!CR:CR, Raw_Data_Period_old_users!$A:$A, "Control", Raw_Data_Period_old_users!$C:$C, TRUE)</f>
        <v>5.714</v>
      </c>
      <c r="D111" s="48">
        <f>SUMIFS(Raw_Data_Period_old_users!CR:CR, Raw_Data_Period_old_users!$A:$A, "Variant", Raw_Data_Period_old_users!$C:$C, TRUE)</f>
        <v>5.437</v>
      </c>
      <c r="E111" s="59">
        <f t="shared" si="33"/>
        <v>-0.277</v>
      </c>
      <c r="F111" s="35">
        <f t="shared" si="34"/>
        <v>-0.04847742387</v>
      </c>
    </row>
    <row r="112" ht="15.75" customHeight="1">
      <c r="A112" s="74" t="s">
        <v>115</v>
      </c>
      <c r="B112" s="70" t="s">
        <v>122</v>
      </c>
      <c r="C112" s="48">
        <f>SUMIFS(Raw_Data_Period_old_users!CS:CS, Raw_Data_Period_old_users!$A:$A, "Control", Raw_Data_Period_old_users!$C:$C, TRUE)</f>
        <v>11.5743</v>
      </c>
      <c r="D112" s="48">
        <f>SUMIFS(Raw_Data_Period_old_users!CS:CS, Raw_Data_Period_old_users!$A:$A, "Variant", Raw_Data_Period_old_users!$C:$C, TRUE)</f>
        <v>10.1044</v>
      </c>
      <c r="E112" s="59">
        <f t="shared" si="33"/>
        <v>-1.4699</v>
      </c>
      <c r="F112" s="35">
        <f t="shared" si="34"/>
        <v>-0.126996881</v>
      </c>
    </row>
    <row r="113" ht="15.75" customHeight="1">
      <c r="A113" s="74" t="s">
        <v>115</v>
      </c>
      <c r="B113" s="70" t="s">
        <v>123</v>
      </c>
      <c r="C113" s="48">
        <f>SUMIFS(Raw_Data_Period_old_users!CT:CT, Raw_Data_Period_old_users!$A:$A, "Control", Raw_Data_Period_old_users!$C:$C, TRUE)</f>
        <v>0</v>
      </c>
      <c r="D113" s="48">
        <f>SUMIFS(Raw_Data_Period_old_users!CT:CT, Raw_Data_Period_old_users!$A:$A, "Variant", Raw_Data_Period_old_users!$C:$C, TRUE)</f>
        <v>0</v>
      </c>
      <c r="E113" s="59">
        <f t="shared" si="33"/>
        <v>0</v>
      </c>
      <c r="F113" s="35" t="str">
        <f t="shared" si="34"/>
        <v/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F1"/>
  </mergeCells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0" priority="1" stopIfTrue="1" operator="lessThan">
      <formula>0</formula>
    </cfRule>
  </conditionalFormatting>
  <conditionalFormatting sqref="E23:F25 E27:F29 E31:F31 E33:F33 E37:F38 E41:F41 E43:F46 E55:F55 E62:F62 E64:F64 E66:F66 E70:F70 E72:F72 E74:F74 E76:F76 E78:F78 E80:F80 E82:F82 E84:F84 E86:F86 E88:F88 E90:F90 E92:F92 E94:F94 E96:F96 E98:F98 E100:F100 E102:F102 E104:F104 E106:F113">
    <cfRule type="cellIs" dxfId="1" priority="2" stopIfTrue="1" operator="greater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1" priority="3" stopIfTrue="1" operator="lessThan">
      <formula>0</formula>
    </cfRule>
  </conditionalFormatting>
  <conditionalFormatting sqref="E5:F5 E7:F9 E11:F13 E15:F20 E22:F22 E30:F30 E32:F32 E34:F35 E39:F40 E48:F49 E51:F53 E63:F63 E65:F65 E67:F67 E71:F71 E73:F73 E77:F77 E79:F79 E83:F83 E85:F85 E89:F89 E91:F91 E95:F95 E97:F97 E101:F101 E103:F103">
    <cfRule type="cellIs" dxfId="0" priority="4" stopIfTrue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3.0"/>
    <col customWidth="1" min="2" max="3" width="10.0"/>
    <col customWidth="1" min="4" max="4" width="9.0"/>
    <col customWidth="1" min="5" max="6" width="10.0"/>
    <col customWidth="1" min="7" max="7" width="9.0"/>
    <col customWidth="1" min="8" max="9" width="10.0"/>
    <col customWidth="1" min="10" max="10" width="9.0"/>
    <col customWidth="1" min="11" max="12" width="10.0"/>
    <col customWidth="1" min="13" max="13" width="9.0"/>
    <col customWidth="1" min="14" max="15" width="10.0"/>
    <col customWidth="1" min="16" max="16" width="9.0"/>
    <col customWidth="1" min="17" max="18" width="10.0"/>
    <col customWidth="1" min="19" max="19" width="9.0"/>
    <col customWidth="1" min="20" max="21" width="10.0"/>
    <col customWidth="1" min="22" max="22" width="9.0"/>
    <col customWidth="1" min="23" max="24" width="10.0"/>
    <col customWidth="1" min="25" max="25" width="9.0"/>
    <col customWidth="1" min="26" max="27" width="10.0"/>
    <col customWidth="1" min="28" max="28" width="9.0"/>
    <col customWidth="1" min="29" max="30" width="10.0"/>
    <col customWidth="1" min="31" max="31" width="9.0"/>
    <col customWidth="1" min="32" max="33" width="10.0"/>
    <col customWidth="1" min="34" max="34" width="9.0"/>
    <col customWidth="1" min="35" max="36" width="10.0"/>
    <col customWidth="1" min="37" max="37" width="9.0"/>
    <col customWidth="1" min="38" max="39" width="10.0"/>
    <col customWidth="1" min="40" max="40" width="9.0"/>
    <col customWidth="1" min="41" max="42" width="10.0"/>
    <col customWidth="1" min="43" max="43" width="9.0"/>
    <col customWidth="1" min="44" max="45" width="10.0"/>
    <col customWidth="1" min="46" max="46" width="9.0"/>
    <col customWidth="1" min="47" max="48" width="10.0"/>
    <col customWidth="1" min="49" max="49" width="9.0"/>
    <col customWidth="1" min="50" max="51" width="10.0"/>
    <col customWidth="1" min="52" max="52" width="9.0"/>
    <col customWidth="1" min="53" max="54" width="10.0"/>
    <col customWidth="1" min="55" max="55" width="9.0"/>
    <col customWidth="1" min="56" max="57" width="10.0"/>
    <col customWidth="1" min="58" max="58" width="9.0"/>
    <col customWidth="1" min="59" max="60" width="10.0"/>
    <col customWidth="1" min="61" max="61" width="9.0"/>
    <col customWidth="1" min="62" max="63" width="10.0"/>
    <col customWidth="1" min="64" max="64" width="9.0"/>
    <col customWidth="1" min="65" max="66" width="10.0"/>
    <col customWidth="1" min="67" max="67" width="9.0"/>
    <col customWidth="1" min="68" max="69" width="10.0"/>
    <col customWidth="1" min="70" max="70" width="9.0"/>
    <col customWidth="1" min="71" max="72" width="10.0"/>
    <col customWidth="1" min="73" max="73" width="9.0"/>
    <col customWidth="1" min="74" max="75" width="10.0"/>
    <col customWidth="1" min="76" max="76" width="9.0"/>
    <col customWidth="1" min="77" max="78" width="10.0"/>
    <col customWidth="1" min="79" max="79" width="9.0"/>
    <col customWidth="1" min="80" max="81" width="10.0"/>
    <col customWidth="1" min="82" max="82" width="9.0"/>
    <col customWidth="1" min="83" max="84" width="10.0"/>
    <col customWidth="1" min="85" max="85" width="9.0"/>
    <col customWidth="1" min="86" max="87" width="10.0"/>
    <col customWidth="1" min="88" max="88" width="9.0"/>
    <col customWidth="1" min="89" max="90" width="10.0"/>
    <col customWidth="1" min="91" max="91" width="9.0"/>
    <col customWidth="1" min="92" max="93" width="10.0"/>
    <col customWidth="1" min="94" max="94" width="9.0"/>
    <col customWidth="1" min="95" max="96" width="10.0"/>
    <col customWidth="1" min="97" max="97" width="9.0"/>
    <col customWidth="1" min="98" max="99" width="10.0"/>
    <col customWidth="1" min="100" max="100" width="9.0"/>
    <col customWidth="1" min="101" max="102" width="10.0"/>
    <col customWidth="1" min="103" max="103" width="9.0"/>
    <col customWidth="1" min="104" max="105" width="10.0"/>
    <col customWidth="1" min="106" max="106" width="9.0"/>
    <col customWidth="1" min="107" max="108" width="10.0"/>
    <col customWidth="1" min="109" max="109" width="9.0"/>
    <col customWidth="1" min="110" max="110" width="10.0"/>
    <col customWidth="1" min="111" max="111" width="13.0"/>
    <col customWidth="1" min="112" max="112" width="9.0"/>
    <col customWidth="1" hidden="1" min="113" max="113" width="10.0"/>
    <col customWidth="1" hidden="1" min="114" max="114" width="13.0"/>
    <col customWidth="1" hidden="1" min="115" max="115" width="9.0"/>
    <col customWidth="1" hidden="1" min="116" max="116" width="10.0"/>
    <col customWidth="1" hidden="1" min="117" max="117" width="13.0"/>
    <col customWidth="1" hidden="1" min="118" max="118" width="9.0"/>
    <col customWidth="1" hidden="1" min="119" max="119" width="10.0"/>
    <col customWidth="1" hidden="1" min="120" max="120" width="13.0"/>
    <col customWidth="1" hidden="1" min="121" max="121" width="9.0"/>
    <col customWidth="1" min="122" max="122" width="10.0"/>
    <col customWidth="1" min="123" max="123" width="13.0"/>
    <col customWidth="1" min="124" max="124" width="9.0"/>
    <col customWidth="1" min="125" max="125" width="10.0"/>
    <col customWidth="1" min="126" max="126" width="13.0"/>
    <col customWidth="1" min="127" max="127" width="9.0"/>
    <col customWidth="1" min="128" max="128" width="10.0"/>
    <col customWidth="1" min="129" max="129" width="13.0"/>
    <col customWidth="1" min="130" max="130" width="9.0"/>
    <col customWidth="1" min="131" max="131" width="10.0"/>
    <col customWidth="1" min="132" max="132" width="13.0"/>
    <col customWidth="1" min="133" max="133" width="9.0"/>
    <col customWidth="1" min="134" max="134" width="10.0"/>
    <col customWidth="1" min="135" max="135" width="13.0"/>
    <col customWidth="1" min="136" max="136" width="9.0"/>
    <col customWidth="1" min="137" max="137" width="10.0"/>
    <col customWidth="1" min="138" max="138" width="13.0"/>
    <col customWidth="1" min="139" max="139" width="9.0"/>
  </cols>
  <sheetData>
    <row r="1">
      <c r="A1" s="75" t="s">
        <v>124</v>
      </c>
      <c r="B1" s="77"/>
      <c r="C1" s="77"/>
      <c r="D1" s="77"/>
      <c r="E1" s="77"/>
      <c r="F1" s="77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</row>
    <row r="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</row>
    <row r="3">
      <c r="A3" s="88" t="s">
        <v>137</v>
      </c>
      <c r="B3" s="90" t="s">
        <v>139</v>
      </c>
      <c r="C3" s="92" t="str">
        <f>IF($B$3="1-9","B. 1-9",IF($B$3="10-19","C. 10-19",IF($B$3="20-39","D. 20-39",IF($B$3="40-99","E. 40-99",IF($B$3="100+","F. 100+","")))))</f>
        <v>E. 40-99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</row>
    <row r="4" ht="15.75" customHeight="1">
      <c r="A4" s="79"/>
      <c r="B4" s="79"/>
      <c r="C4" s="79"/>
      <c r="D4" s="79"/>
      <c r="E4" s="79"/>
      <c r="F4" s="79"/>
      <c r="G4" s="101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</row>
    <row r="5" ht="30.0" customHeight="1">
      <c r="A5" s="107" t="s">
        <v>160</v>
      </c>
      <c r="B5" s="110" t="s">
        <v>9</v>
      </c>
      <c r="C5" s="112"/>
      <c r="D5" s="113"/>
      <c r="E5" s="110" t="s">
        <v>162</v>
      </c>
      <c r="F5" s="112"/>
      <c r="G5" s="113"/>
      <c r="H5" s="110" t="s">
        <v>16</v>
      </c>
      <c r="I5" s="112"/>
      <c r="J5" s="113"/>
      <c r="K5" s="110" t="s">
        <v>17</v>
      </c>
      <c r="L5" s="112"/>
      <c r="M5" s="113"/>
      <c r="N5" s="110" t="s">
        <v>164</v>
      </c>
      <c r="O5" s="112"/>
      <c r="P5" s="113"/>
      <c r="Q5" s="110" t="s">
        <v>18</v>
      </c>
      <c r="R5" s="112"/>
      <c r="S5" s="113"/>
      <c r="T5" s="110" t="s">
        <v>20</v>
      </c>
      <c r="U5" s="112"/>
      <c r="V5" s="113"/>
      <c r="W5" s="110" t="s">
        <v>21</v>
      </c>
      <c r="X5" s="112"/>
      <c r="Y5" s="113"/>
      <c r="Z5" s="110" t="s">
        <v>22</v>
      </c>
      <c r="AA5" s="112"/>
      <c r="AB5" s="113"/>
      <c r="AC5" s="110" t="s">
        <v>31</v>
      </c>
      <c r="AD5" s="112"/>
      <c r="AE5" s="113"/>
      <c r="AF5" s="110" t="s">
        <v>32</v>
      </c>
      <c r="AG5" s="112"/>
      <c r="AH5" s="113"/>
      <c r="AI5" s="110" t="s">
        <v>33</v>
      </c>
      <c r="AJ5" s="112"/>
      <c r="AK5" s="113"/>
      <c r="AL5" s="110" t="s">
        <v>34</v>
      </c>
      <c r="AM5" s="112"/>
      <c r="AN5" s="113"/>
      <c r="AO5" s="110" t="s">
        <v>36</v>
      </c>
      <c r="AP5" s="112"/>
      <c r="AQ5" s="113"/>
      <c r="AR5" s="110" t="s">
        <v>37</v>
      </c>
      <c r="AS5" s="112"/>
      <c r="AT5" s="113"/>
      <c r="AU5" s="110" t="s">
        <v>38</v>
      </c>
      <c r="AV5" s="112"/>
      <c r="AW5" s="113"/>
      <c r="AX5" s="110" t="s">
        <v>39</v>
      </c>
      <c r="AY5" s="112"/>
      <c r="AZ5" s="113"/>
      <c r="BA5" s="110" t="s">
        <v>40</v>
      </c>
      <c r="BB5" s="112"/>
      <c r="BC5" s="113"/>
      <c r="BD5" s="110" t="s">
        <v>41</v>
      </c>
      <c r="BE5" s="112"/>
      <c r="BF5" s="113"/>
      <c r="BG5" s="110" t="s">
        <v>168</v>
      </c>
      <c r="BH5" s="112"/>
      <c r="BI5" s="113"/>
      <c r="BJ5" s="110" t="s">
        <v>43</v>
      </c>
      <c r="BK5" s="112"/>
      <c r="BL5" s="113"/>
      <c r="BM5" s="110" t="s">
        <v>44</v>
      </c>
      <c r="BN5" s="112"/>
      <c r="BO5" s="113"/>
      <c r="BP5" s="110" t="s">
        <v>53</v>
      </c>
      <c r="BQ5" s="112"/>
      <c r="BR5" s="113"/>
      <c r="BS5" s="110" t="s">
        <v>54</v>
      </c>
      <c r="BT5" s="112"/>
      <c r="BU5" s="113"/>
      <c r="BV5" s="110" t="s">
        <v>55</v>
      </c>
      <c r="BW5" s="112"/>
      <c r="BX5" s="113"/>
      <c r="BY5" s="110" t="s">
        <v>58</v>
      </c>
      <c r="BZ5" s="112"/>
      <c r="CA5" s="113"/>
      <c r="CB5" s="110" t="s">
        <v>59</v>
      </c>
      <c r="CC5" s="112"/>
      <c r="CD5" s="113"/>
      <c r="CE5" s="110" t="s">
        <v>24</v>
      </c>
      <c r="CF5" s="112"/>
      <c r="CG5" s="113"/>
      <c r="CH5" s="110" t="s">
        <v>25</v>
      </c>
      <c r="CI5" s="112"/>
      <c r="CJ5" s="113"/>
      <c r="CK5" s="110" t="s">
        <v>26</v>
      </c>
      <c r="CL5" s="112"/>
      <c r="CM5" s="113"/>
      <c r="CN5" s="110" t="s">
        <v>27</v>
      </c>
      <c r="CO5" s="112"/>
      <c r="CP5" s="113"/>
      <c r="CQ5" s="110" t="s">
        <v>28</v>
      </c>
      <c r="CR5" s="112"/>
      <c r="CS5" s="113"/>
      <c r="CT5" s="110" t="s">
        <v>61</v>
      </c>
      <c r="CU5" s="112"/>
      <c r="CV5" s="113"/>
      <c r="CW5" s="110" t="s">
        <v>62</v>
      </c>
      <c r="CX5" s="112"/>
      <c r="CY5" s="113"/>
      <c r="CZ5" s="110" t="s">
        <v>63</v>
      </c>
      <c r="DA5" s="112"/>
      <c r="DB5" s="113"/>
      <c r="DC5" s="110" t="s">
        <v>65</v>
      </c>
      <c r="DD5" s="112"/>
      <c r="DE5" s="113"/>
      <c r="DF5" s="110" t="s">
        <v>67</v>
      </c>
      <c r="DG5" s="112"/>
      <c r="DH5" s="113"/>
      <c r="DI5" s="110" t="s">
        <v>174</v>
      </c>
      <c r="DJ5" s="112"/>
      <c r="DK5" s="113"/>
      <c r="DL5" s="110" t="s">
        <v>175</v>
      </c>
      <c r="DM5" s="112"/>
      <c r="DN5" s="113"/>
      <c r="DO5" s="110" t="s">
        <v>177</v>
      </c>
      <c r="DP5" s="112"/>
      <c r="DQ5" s="113"/>
      <c r="DR5" s="110" t="s">
        <v>72</v>
      </c>
      <c r="DS5" s="112"/>
      <c r="DT5" s="113"/>
      <c r="DU5" s="110" t="s">
        <v>73</v>
      </c>
      <c r="DV5" s="112"/>
      <c r="DW5" s="113"/>
      <c r="DX5" s="110" t="s">
        <v>74</v>
      </c>
      <c r="DY5" s="112"/>
      <c r="DZ5" s="113"/>
      <c r="EA5" s="110" t="s">
        <v>75</v>
      </c>
      <c r="EB5" s="112"/>
      <c r="EC5" s="113"/>
      <c r="ED5" s="110" t="s">
        <v>76</v>
      </c>
      <c r="EE5" s="112"/>
      <c r="EF5" s="113"/>
      <c r="EG5" s="110" t="s">
        <v>77</v>
      </c>
      <c r="EH5" s="112"/>
      <c r="EI5" s="113"/>
    </row>
    <row r="6" ht="18.0" customHeight="1">
      <c r="A6" s="18"/>
      <c r="B6" s="124" t="s">
        <v>4</v>
      </c>
      <c r="C6" s="124" t="s">
        <v>5</v>
      </c>
      <c r="D6" s="124" t="s">
        <v>178</v>
      </c>
      <c r="E6" s="124" t="s">
        <v>4</v>
      </c>
      <c r="F6" s="124" t="s">
        <v>5</v>
      </c>
      <c r="G6" s="124" t="s">
        <v>178</v>
      </c>
      <c r="H6" s="124" t="s">
        <v>4</v>
      </c>
      <c r="I6" s="124" t="s">
        <v>5</v>
      </c>
      <c r="J6" s="124" t="s">
        <v>178</v>
      </c>
      <c r="K6" s="124" t="s">
        <v>4</v>
      </c>
      <c r="L6" s="124" t="s">
        <v>5</v>
      </c>
      <c r="M6" s="124" t="s">
        <v>178</v>
      </c>
      <c r="N6" s="124" t="s">
        <v>4</v>
      </c>
      <c r="O6" s="124" t="s">
        <v>5</v>
      </c>
      <c r="P6" s="124" t="s">
        <v>178</v>
      </c>
      <c r="Q6" s="124" t="s">
        <v>4</v>
      </c>
      <c r="R6" s="124" t="s">
        <v>5</v>
      </c>
      <c r="S6" s="124" t="s">
        <v>178</v>
      </c>
      <c r="T6" s="124" t="s">
        <v>4</v>
      </c>
      <c r="U6" s="124" t="s">
        <v>5</v>
      </c>
      <c r="V6" s="124" t="s">
        <v>178</v>
      </c>
      <c r="W6" s="124" t="s">
        <v>4</v>
      </c>
      <c r="X6" s="124" t="s">
        <v>5</v>
      </c>
      <c r="Y6" s="124" t="s">
        <v>178</v>
      </c>
      <c r="Z6" s="124" t="s">
        <v>4</v>
      </c>
      <c r="AA6" s="124" t="s">
        <v>5</v>
      </c>
      <c r="AB6" s="124" t="s">
        <v>178</v>
      </c>
      <c r="AC6" s="124" t="s">
        <v>4</v>
      </c>
      <c r="AD6" s="124" t="s">
        <v>5</v>
      </c>
      <c r="AE6" s="124" t="s">
        <v>178</v>
      </c>
      <c r="AF6" s="124" t="s">
        <v>4</v>
      </c>
      <c r="AG6" s="124" t="s">
        <v>5</v>
      </c>
      <c r="AH6" s="124" t="s">
        <v>178</v>
      </c>
      <c r="AI6" s="124" t="s">
        <v>4</v>
      </c>
      <c r="AJ6" s="124" t="s">
        <v>5</v>
      </c>
      <c r="AK6" s="124" t="s">
        <v>178</v>
      </c>
      <c r="AL6" s="124" t="s">
        <v>4</v>
      </c>
      <c r="AM6" s="124" t="s">
        <v>5</v>
      </c>
      <c r="AN6" s="124" t="s">
        <v>178</v>
      </c>
      <c r="AO6" s="124" t="s">
        <v>4</v>
      </c>
      <c r="AP6" s="124" t="s">
        <v>5</v>
      </c>
      <c r="AQ6" s="124" t="s">
        <v>178</v>
      </c>
      <c r="AR6" s="124" t="s">
        <v>4</v>
      </c>
      <c r="AS6" s="124" t="s">
        <v>5</v>
      </c>
      <c r="AT6" s="124" t="s">
        <v>178</v>
      </c>
      <c r="AU6" s="124" t="s">
        <v>4</v>
      </c>
      <c r="AV6" s="124" t="s">
        <v>5</v>
      </c>
      <c r="AW6" s="124" t="s">
        <v>178</v>
      </c>
      <c r="AX6" s="124" t="s">
        <v>4</v>
      </c>
      <c r="AY6" s="124" t="s">
        <v>5</v>
      </c>
      <c r="AZ6" s="124" t="s">
        <v>178</v>
      </c>
      <c r="BA6" s="124" t="s">
        <v>4</v>
      </c>
      <c r="BB6" s="124" t="s">
        <v>5</v>
      </c>
      <c r="BC6" s="124" t="s">
        <v>178</v>
      </c>
      <c r="BD6" s="124" t="s">
        <v>4</v>
      </c>
      <c r="BE6" s="124" t="s">
        <v>5</v>
      </c>
      <c r="BF6" s="124" t="s">
        <v>178</v>
      </c>
      <c r="BG6" s="124" t="s">
        <v>4</v>
      </c>
      <c r="BH6" s="124" t="s">
        <v>5</v>
      </c>
      <c r="BI6" s="124" t="s">
        <v>178</v>
      </c>
      <c r="BJ6" s="124" t="s">
        <v>4</v>
      </c>
      <c r="BK6" s="124" t="s">
        <v>5</v>
      </c>
      <c r="BL6" s="124" t="s">
        <v>178</v>
      </c>
      <c r="BM6" s="124" t="s">
        <v>4</v>
      </c>
      <c r="BN6" s="124" t="s">
        <v>5</v>
      </c>
      <c r="BO6" s="124" t="s">
        <v>178</v>
      </c>
      <c r="BP6" s="124" t="s">
        <v>4</v>
      </c>
      <c r="BQ6" s="124" t="s">
        <v>5</v>
      </c>
      <c r="BR6" s="124" t="s">
        <v>178</v>
      </c>
      <c r="BS6" s="124" t="s">
        <v>4</v>
      </c>
      <c r="BT6" s="124" t="s">
        <v>5</v>
      </c>
      <c r="BU6" s="124" t="s">
        <v>178</v>
      </c>
      <c r="BV6" s="124" t="s">
        <v>4</v>
      </c>
      <c r="BW6" s="124" t="s">
        <v>5</v>
      </c>
      <c r="BX6" s="124" t="s">
        <v>178</v>
      </c>
      <c r="BY6" s="124" t="s">
        <v>4</v>
      </c>
      <c r="BZ6" s="124" t="s">
        <v>5</v>
      </c>
      <c r="CA6" s="124" t="s">
        <v>178</v>
      </c>
      <c r="CB6" s="124" t="s">
        <v>4</v>
      </c>
      <c r="CC6" s="124" t="s">
        <v>5</v>
      </c>
      <c r="CD6" s="124" t="s">
        <v>178</v>
      </c>
      <c r="CE6" s="124" t="s">
        <v>4</v>
      </c>
      <c r="CF6" s="124" t="s">
        <v>5</v>
      </c>
      <c r="CG6" s="124" t="s">
        <v>178</v>
      </c>
      <c r="CH6" s="124" t="s">
        <v>4</v>
      </c>
      <c r="CI6" s="124" t="s">
        <v>5</v>
      </c>
      <c r="CJ6" s="124" t="s">
        <v>178</v>
      </c>
      <c r="CK6" s="124" t="s">
        <v>4</v>
      </c>
      <c r="CL6" s="124" t="s">
        <v>5</v>
      </c>
      <c r="CM6" s="124" t="s">
        <v>178</v>
      </c>
      <c r="CN6" s="124" t="s">
        <v>4</v>
      </c>
      <c r="CO6" s="124" t="s">
        <v>5</v>
      </c>
      <c r="CP6" s="124" t="s">
        <v>178</v>
      </c>
      <c r="CQ6" s="124" t="s">
        <v>4</v>
      </c>
      <c r="CR6" s="124" t="s">
        <v>5</v>
      </c>
      <c r="CS6" s="124" t="s">
        <v>178</v>
      </c>
      <c r="CT6" s="124" t="s">
        <v>4</v>
      </c>
      <c r="CU6" s="124" t="s">
        <v>5</v>
      </c>
      <c r="CV6" s="124" t="s">
        <v>178</v>
      </c>
      <c r="CW6" s="124" t="s">
        <v>4</v>
      </c>
      <c r="CX6" s="124" t="s">
        <v>5</v>
      </c>
      <c r="CY6" s="124" t="s">
        <v>178</v>
      </c>
      <c r="CZ6" s="124" t="s">
        <v>4</v>
      </c>
      <c r="DA6" s="124" t="s">
        <v>5</v>
      </c>
      <c r="DB6" s="124" t="s">
        <v>178</v>
      </c>
      <c r="DC6" s="124" t="s">
        <v>4</v>
      </c>
      <c r="DD6" s="124" t="s">
        <v>5</v>
      </c>
      <c r="DE6" s="124" t="s">
        <v>178</v>
      </c>
      <c r="DF6" s="124" t="s">
        <v>4</v>
      </c>
      <c r="DG6" s="124" t="s">
        <v>5</v>
      </c>
      <c r="DH6" s="124" t="s">
        <v>178</v>
      </c>
      <c r="DI6" s="124" t="s">
        <v>4</v>
      </c>
      <c r="DJ6" s="124" t="s">
        <v>5</v>
      </c>
      <c r="DK6" s="124" t="s">
        <v>178</v>
      </c>
      <c r="DL6" s="124" t="s">
        <v>4</v>
      </c>
      <c r="DM6" s="124" t="s">
        <v>5</v>
      </c>
      <c r="DN6" s="124" t="s">
        <v>178</v>
      </c>
      <c r="DO6" s="124" t="s">
        <v>4</v>
      </c>
      <c r="DP6" s="124" t="s">
        <v>5</v>
      </c>
      <c r="DQ6" s="124" t="s">
        <v>178</v>
      </c>
      <c r="DR6" s="124" t="s">
        <v>4</v>
      </c>
      <c r="DS6" s="124" t="s">
        <v>5</v>
      </c>
      <c r="DT6" s="124" t="s">
        <v>178</v>
      </c>
      <c r="DU6" s="124" t="s">
        <v>4</v>
      </c>
      <c r="DV6" s="124" t="s">
        <v>5</v>
      </c>
      <c r="DW6" s="124" t="s">
        <v>178</v>
      </c>
      <c r="DX6" s="124" t="s">
        <v>4</v>
      </c>
      <c r="DY6" s="124" t="s">
        <v>5</v>
      </c>
      <c r="DZ6" s="124" t="s">
        <v>178</v>
      </c>
      <c r="EA6" s="124" t="s">
        <v>4</v>
      </c>
      <c r="EB6" s="124" t="s">
        <v>5</v>
      </c>
      <c r="EC6" s="124" t="s">
        <v>178</v>
      </c>
      <c r="ED6" s="124" t="s">
        <v>4</v>
      </c>
      <c r="EE6" s="124" t="s">
        <v>5</v>
      </c>
      <c r="EF6" s="124" t="s">
        <v>178</v>
      </c>
      <c r="EG6" s="124" t="s">
        <v>4</v>
      </c>
      <c r="EH6" s="124" t="s">
        <v>5</v>
      </c>
      <c r="EI6" s="124" t="s">
        <v>178</v>
      </c>
    </row>
    <row r="7" ht="15.75" customHeight="1">
      <c r="A7" s="125">
        <v>46230.0</v>
      </c>
      <c r="B7" s="126">
        <f>IF($A7="","",SUMIFS(Raw_Data_Daily!$D:$D, Raw_Data_Daily!$B:$B, "Control", Raw_Data_Daily!$A:$A, $A7, Raw_Data_Daily!$C:$C, $C$3))</f>
        <v>3044</v>
      </c>
      <c r="C7" s="126">
        <f>IF($A7="","",SUMIFS(Raw_Data_Daily!$D:$D, Raw_Data_Daily!$B:$B, "Variant", Raw_Data_Daily!$A:$A, $A7, Raw_Data_Daily!$C:$C, $C$3))</f>
        <v>3021</v>
      </c>
      <c r="D7" s="127">
        <f t="shared" ref="D7:D35" si="1">IF($A7="","",IFERROR((C7-B7)/ABS(B7),""))</f>
        <v>-0.007555847569</v>
      </c>
      <c r="E7" s="128">
        <f>IF($A7="","",IFERROR(SUMPRODUCT((Raw_Data_Daily!$B$2:$B$9999="Control")*(Raw_Data_Daily!$A$2:$A$9999=$A7)*(Raw_Data_Daily!$C$2:$C$9999=$C$3)*Raw_Data_Daily!$D$2:$D$9999*Raw_Data_Daily!$E$2:$E$9999)/SUMIFS(Raw_Data_Daily!$D:$D, Raw_Data_Daily!$B:$B, "Control", Raw_Data_Daily!$A:$A, $A7, Raw_Data_Daily!$C:$C, $C$3),""))</f>
        <v>11.15</v>
      </c>
      <c r="F7" s="128">
        <f>IF($A7="","",IFERROR(SUMPRODUCT((Raw_Data_Daily!$B$2:$B$9999="Variant")*(Raw_Data_Daily!$A$2:$A$9999=$A7)*(Raw_Data_Daily!$C$2:$C$9999=$C$3)*Raw_Data_Daily!$D$2:$D$9999*Raw_Data_Daily!$E$2:$E$9999)/SUMIFS(Raw_Data_Daily!$D:$D, Raw_Data_Daily!$B:$B, "Variant", Raw_Data_Daily!$A:$A, $A7, Raw_Data_Daily!$C:$C, $C$3),""))</f>
        <v>11</v>
      </c>
      <c r="G7" s="127">
        <f t="shared" ref="G7:G35" si="2">IF($A7="","",IFERROR((F7-E7)/ABS(E7),""))</f>
        <v>-0.0134529148</v>
      </c>
      <c r="H7" s="129">
        <f>IF($A7="","",SUMIFS(Raw_Data_Daily!$F:$F, Raw_Data_Daily!$B:$B, "Control", Raw_Data_Daily!$A:$A, $A7, Raw_Data_Daily!$C:$C, $C$3))</f>
        <v>729.96</v>
      </c>
      <c r="I7" s="129">
        <f>IF($A7="","",SUMIFS(Raw_Data_Daily!$F:$F, Raw_Data_Daily!$B:$B, "Variant", Raw_Data_Daily!$A:$A, $A7, Raw_Data_Daily!$C:$C, $C$3))</f>
        <v>742.68</v>
      </c>
      <c r="J7" s="130">
        <f t="shared" ref="J7:J35" si="3">IF($A7="","",IFERROR((I7-H7)/ABS(H7),""))</f>
        <v>0.01742561236</v>
      </c>
      <c r="K7" s="131">
        <f>IF($A7="","",IFERROR(SUMIFS(Raw_Data_Daily!$F:$F, Raw_Data_Daily!$B:$B, "Control", Raw_Data_Daily!$A:$A, $A7, Raw_Data_Daily!$C:$C, $C$3)/SUMIFS(Raw_Data_Daily!$D:$D, Raw_Data_Daily!$B:$B, "Control", Raw_Data_Daily!$A:$A, $A7, Raw_Data_Daily!$C:$C, $C$3),""))</f>
        <v>0.2398028909</v>
      </c>
      <c r="L7" s="131">
        <f>IF($A7="","",IFERROR(SUMIFS(Raw_Data_Daily!$F:$F, Raw_Data_Daily!$B:$B, "Variant", Raw_Data_Daily!$A:$A, $A7, Raw_Data_Daily!$C:$C, $C$3)/SUMIFS(Raw_Data_Daily!$D:$D, Raw_Data_Daily!$B:$B, "Variant", Raw_Data_Daily!$A:$A, $A7, Raw_Data_Daily!$C:$C, $C$3),""))</f>
        <v>0.2458391261</v>
      </c>
      <c r="M7" s="130">
        <f t="shared" ref="M7:M35" si="4">IF($A7="","",IFERROR((L7-K7)/ABS(K7),""))</f>
        <v>0.02517165311</v>
      </c>
      <c r="N7" s="128">
        <f>IF($A7="","",IFERROR(SUMPRODUCT((Raw_Data_Daily!$B$2:$B$9999="Control")*(Raw_Data_Daily!$A$2:$A$9999=$A7)*(Raw_Data_Daily!$C$2:$C$9999=$C$3)*Raw_Data_Daily!$D$2:$D$9999*Raw_Data_Daily!$H$2:$H$9999/100)/SUMIFS(Raw_Data_Daily!$D:$D, Raw_Data_Daily!$B:$B, "Control", Raw_Data_Daily!$A:$A, $A7, Raw_Data_Daily!$C:$C, $C$3)*100,""))</f>
        <v>3.94</v>
      </c>
      <c r="O7" s="128">
        <f>IF($A7="","",IFERROR(SUMPRODUCT((Raw_Data_Daily!$B$2:$B$9999="Variant")*(Raw_Data_Daily!$A$2:$A$9999=$A7)*(Raw_Data_Daily!$C$2:$C$9999=$C$3)*Raw_Data_Daily!$D$2:$D$9999*Raw_Data_Daily!$H$2:$H$9999/100)/SUMIFS(Raw_Data_Daily!$D:$D, Raw_Data_Daily!$B:$B, "Variant", Raw_Data_Daily!$A:$A, $A7, Raw_Data_Daily!$C:$C, $C$3)*100,""))</f>
        <v>4.07</v>
      </c>
      <c r="P7" s="130">
        <f t="shared" ref="P7:P35" si="5">IF($A7="","",IFERROR((O7-N7)/ABS(N7),""))</f>
        <v>0.03299492386</v>
      </c>
      <c r="Q7" s="131">
        <f>IF($A7="","",IFERROR(SUMIFS(Raw_Data_Daily!$F:$F, Raw_Data_Daily!$B:$B, "Control", Raw_Data_Daily!$A:$A, $A7, Raw_Data_Daily!$C:$C, $C$3)/SUMPRODUCT((Raw_Data_Daily!$B$2:$B$9999="Control")*(Raw_Data_Daily!$A$2:$A$9999=$A7)*(Raw_Data_Daily!$C$2:$C$9999=$C$3)*Raw_Data_Daily!$D$2:$D$9999*Raw_Data_Daily!$H$2:$H$9999/100),""))</f>
        <v>6.08636779</v>
      </c>
      <c r="R7" s="131">
        <f>IF($A7="","",IFERROR(SUMIFS(Raw_Data_Daily!$F:$F, Raw_Data_Daily!$B:$B, "Variant", Raw_Data_Daily!$A:$A, $A7, Raw_Data_Daily!$C:$C, $C$3)/SUMPRODUCT((Raw_Data_Daily!$B$2:$B$9999="Variant")*(Raw_Data_Daily!$A$2:$A$9999=$A7)*(Raw_Data_Daily!$C$2:$C$9999=$C$3)*Raw_Data_Daily!$D$2:$D$9999*Raw_Data_Daily!$H$2:$H$9999/100),""))</f>
        <v>6.040273369</v>
      </c>
      <c r="S7" s="130">
        <f t="shared" ref="S7:S35" si="6">IF($A7="","",IFERROR((R7-Q7)/ABS(Q7),""))</f>
        <v>-0.007573387412</v>
      </c>
      <c r="T7" s="132">
        <f>IF($A7="","",IFERROR(SUMPRODUCT((Raw_Data_Daily!$B$2:$B$9999="Control")*(Raw_Data_Daily!$A$2:$A$9999=$A7)*(Raw_Data_Daily!$C$2:$C$9999=$C$3)*Raw_Data_Daily!$D$2:$D$9999*Raw_Data_Daily!$J$2:$J$9999)/SUMIFS(Raw_Data_Daily!$D:$D, Raw_Data_Daily!$B:$B, "Control", Raw_Data_Daily!$A:$A, $A7, Raw_Data_Daily!$C:$C, $C$3),""))</f>
        <v>120.43</v>
      </c>
      <c r="U7" s="132">
        <f>IF($A7="","",IFERROR(SUMPRODUCT((Raw_Data_Daily!$B$2:$B$9999="Variant")*(Raw_Data_Daily!$A$2:$A$9999=$A7)*(Raw_Data_Daily!$C$2:$C$9999=$C$3)*Raw_Data_Daily!$D$2:$D$9999*Raw_Data_Daily!$J$2:$J$9999)/SUMIFS(Raw_Data_Daily!$D:$D, Raw_Data_Daily!$B:$B, "Variant", Raw_Data_Daily!$A:$A, $A7, Raw_Data_Daily!$C:$C, $C$3),""))</f>
        <v>124.73</v>
      </c>
      <c r="V7" s="130">
        <f t="shared" ref="V7:V35" si="7">IF($A7="","",IFERROR((U7-T7)/ABS(T7),""))</f>
        <v>0.03570538902</v>
      </c>
      <c r="W7" s="132">
        <f>IF($A7="","",IFERROR(SUMPRODUCT((Raw_Data_Daily!$B$2:$B$9999="Control")*(Raw_Data_Daily!$A$2:$A$9999=$A7)*(Raw_Data_Daily!$C$2:$C$9999=$C$3)*Raw_Data_Daily!$D$2:$D$9999*Raw_Data_Daily!$K$2:$K$9999)/SUMIFS(Raw_Data_Daily!$D:$D, Raw_Data_Daily!$B:$B, "Control", Raw_Data_Daily!$A:$A, $A7, Raw_Data_Daily!$C:$C, $C$3),""))</f>
        <v>73.8</v>
      </c>
      <c r="X7" s="132">
        <f>IF($A7="","",IFERROR(SUMPRODUCT((Raw_Data_Daily!$B$2:$B$9999="Variant")*(Raw_Data_Daily!$A$2:$A$9999=$A7)*(Raw_Data_Daily!$C$2:$C$9999=$C$3)*Raw_Data_Daily!$D$2:$D$9999*Raw_Data_Daily!$K$2:$K$9999)/SUMIFS(Raw_Data_Daily!$D:$D, Raw_Data_Daily!$B:$B, "Variant", Raw_Data_Daily!$A:$A, $A7, Raw_Data_Daily!$C:$C, $C$3),""))</f>
        <v>76.03</v>
      </c>
      <c r="Y7" s="130">
        <f t="shared" ref="Y7:Y35" si="8">IF($A7="","",IFERROR((X7-W7)/ABS(W7),""))</f>
        <v>0.03021680217</v>
      </c>
      <c r="Z7" s="132">
        <f>IF($A7="","",IFERROR(SUMPRODUCT((Raw_Data_Daily!$B$2:$B$9999="Control")*(Raw_Data_Daily!$A$2:$A$9999=$A7)*(Raw_Data_Daily!$C$2:$C$9999=$C$3)*Raw_Data_Daily!$D$2:$D$9999*Raw_Data_Daily!$L$2:$L$9999)/SUMIFS(Raw_Data_Daily!$D:$D, Raw_Data_Daily!$B:$B, "Control", Raw_Data_Daily!$A:$A, $A7, Raw_Data_Daily!$C:$C, $C$3),""))</f>
        <v>55.81</v>
      </c>
      <c r="AA7" s="132">
        <f>IF($A7="","",IFERROR(SUMPRODUCT((Raw_Data_Daily!$B$2:$B$9999="Variant")*(Raw_Data_Daily!$A$2:$A$9999=$A7)*(Raw_Data_Daily!$C$2:$C$9999=$C$3)*Raw_Data_Daily!$D$2:$D$9999*Raw_Data_Daily!$L$2:$L$9999)/SUMIFS(Raw_Data_Daily!$D:$D, Raw_Data_Daily!$B:$B, "Variant", Raw_Data_Daily!$A:$A, $A7, Raw_Data_Daily!$C:$C, $C$3),""))</f>
        <v>56.97</v>
      </c>
      <c r="AB7" s="130">
        <f t="shared" ref="AB7:AB35" si="9">IF($A7="","",IFERROR((AA7-Z7)/ABS(Z7),""))</f>
        <v>0.02078480559</v>
      </c>
      <c r="AC7" s="137">
        <f>IF($A7="","",IFERROR(SUMPRODUCT((Raw_Data_Daily!$B$2:$B$9999="Control")*(Raw_Data_Daily!$A$2:$A$9999=$A7)*(Raw_Data_Daily!$C$2:$C$9999=$C$3)*Raw_Data_Daily!$D$2:$D$9999*Raw_Data_Daily!$M$2:$M$9999)/SUMIFS(Raw_Data_Daily!$D:$D, Raw_Data_Daily!$B:$B, "Control", Raw_Data_Daily!$A:$A, $A7, Raw_Data_Daily!$C:$C, $C$3),""))</f>
        <v>0.7562</v>
      </c>
      <c r="AD7" s="137">
        <f>IF($A7="","",IFERROR(SUMPRODUCT((Raw_Data_Daily!$B$2:$B$9999="Variant")*(Raw_Data_Daily!$A$2:$A$9999=$A7)*(Raw_Data_Daily!$C$2:$C$9999=$C$3)*Raw_Data_Daily!$D$2:$D$9999*Raw_Data_Daily!$M$2:$M$9999)/SUMIFS(Raw_Data_Daily!$D:$D, Raw_Data_Daily!$B:$B, "Variant", Raw_Data_Daily!$A:$A, $A7, Raw_Data_Daily!$C:$C, $C$3),""))</f>
        <v>0.7492</v>
      </c>
      <c r="AE7" s="139">
        <f t="shared" ref="AE7:AE35" si="10">IF($A7="","",IFERROR((AD7-AC7)/ABS(AC7),""))</f>
        <v>-0.009256810368</v>
      </c>
      <c r="AF7" s="137">
        <f>IF($A7="","",IFERROR(SUMPRODUCT((Raw_Data_Daily!$B$2:$B$9999="Control")*(Raw_Data_Daily!$A$2:$A$9999=$A7)*(Raw_Data_Daily!$C$2:$C$9999=$C$3)*Raw_Data_Daily!$D$2:$D$9999*Raw_Data_Daily!$N$2:$N$9999)/SUMIFS(Raw_Data_Daily!$D:$D, Raw_Data_Daily!$B:$B, "Control", Raw_Data_Daily!$A:$A, $A7, Raw_Data_Daily!$C:$C, $C$3),""))</f>
        <v>0.3552</v>
      </c>
      <c r="AG7" s="137">
        <f>IF($A7="","",IFERROR(SUMPRODUCT((Raw_Data_Daily!$B$2:$B$9999="Variant")*(Raw_Data_Daily!$A$2:$A$9999=$A7)*(Raw_Data_Daily!$C$2:$C$9999=$C$3)*Raw_Data_Daily!$D$2:$D$9999*Raw_Data_Daily!$N$2:$N$9999)/SUMIFS(Raw_Data_Daily!$D:$D, Raw_Data_Daily!$B:$B, "Variant", Raw_Data_Daily!$A:$A, $A7, Raw_Data_Daily!$C:$C, $C$3),""))</f>
        <v>0.3607</v>
      </c>
      <c r="AH7" s="139">
        <f t="shared" ref="AH7:AH35" si="11">IF($A7="","",IFERROR((AG7-AF7)/ABS(AF7),""))</f>
        <v>0.01548423423</v>
      </c>
      <c r="AI7" s="137">
        <f>IF($A7="","",IFERROR(SUMPRODUCT((Raw_Data_Daily!$B$2:$B$9999="Control")*(Raw_Data_Daily!$A$2:$A$9999=$A7)*(Raw_Data_Daily!$C$2:$C$9999=$C$3)*Raw_Data_Daily!$D$2:$D$9999*Raw_Data_Daily!$O$2:$O$9999)/SUMIFS(Raw_Data_Daily!$D:$D, Raw_Data_Daily!$B:$B, "Control", Raw_Data_Daily!$A:$A, $A7, Raw_Data_Daily!$C:$C, $C$3),""))</f>
        <v>0.2333</v>
      </c>
      <c r="AJ7" s="137">
        <f>IF($A7="","",IFERROR(SUMPRODUCT((Raw_Data_Daily!$B$2:$B$9999="Variant")*(Raw_Data_Daily!$A$2:$A$9999=$A7)*(Raw_Data_Daily!$C$2:$C$9999=$C$3)*Raw_Data_Daily!$D$2:$D$9999*Raw_Data_Daily!$O$2:$O$9999)/SUMIFS(Raw_Data_Daily!$D:$D, Raw_Data_Daily!$B:$B, "Variant", Raw_Data_Daily!$A:$A, $A7, Raw_Data_Daily!$C:$C, $C$3),""))</f>
        <v>0.2298</v>
      </c>
      <c r="AK7" s="130">
        <f t="shared" ref="AK7:AK35" si="12">IF($A7="","",IFERROR((AJ7-AI7)/ABS(AI7),""))</f>
        <v>-0.01500214316</v>
      </c>
      <c r="AL7" s="132">
        <f>IF($A7="","",IFERROR(SUMPRODUCT((Raw_Data_Daily!$B$2:$B$9999="Control")*(Raw_Data_Daily!$A$2:$A$9999=$A7)*(Raw_Data_Daily!$C$2:$C$9999=$C$3)*Raw_Data_Daily!$D$2:$D$9999*Raw_Data_Daily!$P$2:$P$9999)/SUMIFS(Raw_Data_Daily!$D:$D, Raw_Data_Daily!$B:$B, "Control", Raw_Data_Daily!$A:$A, $A7, Raw_Data_Daily!$C:$C, $C$3),""))</f>
        <v>1.3225</v>
      </c>
      <c r="AM7" s="132">
        <f>IF($A7="","",IFERROR(SUMPRODUCT((Raw_Data_Daily!$B$2:$B$9999="Variant")*(Raw_Data_Daily!$A$2:$A$9999=$A7)*(Raw_Data_Daily!$C$2:$C$9999=$C$3)*Raw_Data_Daily!$D$2:$D$9999*Raw_Data_Daily!$P$2:$P$9999)/SUMIFS(Raw_Data_Daily!$D:$D, Raw_Data_Daily!$B:$B, "Variant", Raw_Data_Daily!$A:$A, $A7, Raw_Data_Daily!$C:$C, $C$3),""))</f>
        <v>1.3347</v>
      </c>
      <c r="AN7" s="130">
        <f t="shared" ref="AN7:AN35" si="13">IF($A7="","",IFERROR((AM7-AL7)/ABS(AL7),""))</f>
        <v>0.009224952741</v>
      </c>
      <c r="AO7" s="132">
        <f>IF($A7="","",IFERROR(SUMPRODUCT((Raw_Data_Daily!$B$2:$B$9999="Control")*(Raw_Data_Daily!$A$2:$A$9999=$A7)*(Raw_Data_Daily!$C$2:$C$9999=$C$3)*Raw_Data_Daily!$D$2:$D$9999*Raw_Data_Daily!$Q$2:$Q$9999)/SUMIFS(Raw_Data_Daily!$D:$D, Raw_Data_Daily!$B:$B, "Control", Raw_Data_Daily!$A:$A, $A7, Raw_Data_Daily!$C:$C, $C$3),""))</f>
        <v>367.79</v>
      </c>
      <c r="AP7" s="132">
        <f>IF($A7="","",IFERROR(SUMPRODUCT((Raw_Data_Daily!$B$2:$B$9999="Variant")*(Raw_Data_Daily!$A$2:$A$9999=$A7)*(Raw_Data_Daily!$C$2:$C$9999=$C$3)*Raw_Data_Daily!$D$2:$D$9999*Raw_Data_Daily!$Q$2:$Q$9999)/SUMIFS(Raw_Data_Daily!$D:$D, Raw_Data_Daily!$B:$B, "Variant", Raw_Data_Daily!$A:$A, $A7, Raw_Data_Daily!$C:$C, $C$3),""))</f>
        <v>356.24</v>
      </c>
      <c r="AQ7" s="127">
        <f t="shared" ref="AQ7:AQ35" si="14">IF($A7="","",IFERROR((AP7-AO7)/ABS(AO7),""))</f>
        <v>-0.03140379021</v>
      </c>
      <c r="AR7" s="132">
        <f>IF($A7="","",IFERROR(SUMPRODUCT((Raw_Data_Daily!$B$2:$B$9999="Control")*(Raw_Data_Daily!$A$2:$A$9999=$A7)*(Raw_Data_Daily!$C$2:$C$9999=$C$3)*Raw_Data_Daily!$D$2:$D$9999*Raw_Data_Daily!$R$2:$R$9999)/SUMIFS(Raw_Data_Daily!$D:$D, Raw_Data_Daily!$B:$B, "Control", Raw_Data_Daily!$A:$A, $A7, Raw_Data_Daily!$C:$C, $C$3),""))</f>
        <v>257.89</v>
      </c>
      <c r="AS7" s="132">
        <f>IF($A7="","",IFERROR(SUMPRODUCT((Raw_Data_Daily!$B$2:$B$9999="Variant")*(Raw_Data_Daily!$A$2:$A$9999=$A7)*(Raw_Data_Daily!$C$2:$C$9999=$C$3)*Raw_Data_Daily!$D$2:$D$9999*Raw_Data_Daily!$R$2:$R$9999)/SUMIFS(Raw_Data_Daily!$D:$D, Raw_Data_Daily!$B:$B, "Variant", Raw_Data_Daily!$A:$A, $A7, Raw_Data_Daily!$C:$C, $C$3),""))</f>
        <v>324.8</v>
      </c>
      <c r="AT7" s="127">
        <f t="shared" ref="AT7:AT35" si="15">IF($A7="","",IFERROR((AS7-AR7)/ABS(AR7),""))</f>
        <v>0.2594517042</v>
      </c>
      <c r="AU7" s="132">
        <f>IF($A7="","",IFERROR(SUMPRODUCT((Raw_Data_Daily!$B$2:$B$9999="Control")*(Raw_Data_Daily!$A$2:$A$9999=$A7)*(Raw_Data_Daily!$C$2:$C$9999=$C$3)*Raw_Data_Daily!$D$2:$D$9999*Raw_Data_Daily!$S$2:$S$9999)/SUMIFS(Raw_Data_Daily!$D:$D, Raw_Data_Daily!$B:$B, "Control", Raw_Data_Daily!$A:$A, $A7, Raw_Data_Daily!$C:$C, $C$3),""))</f>
        <v>109.89</v>
      </c>
      <c r="AV7" s="132">
        <f>IF($A7="","",IFERROR(SUMPRODUCT((Raw_Data_Daily!$B$2:$B$9999="Variant")*(Raw_Data_Daily!$A$2:$A$9999=$A7)*(Raw_Data_Daily!$C$2:$C$9999=$C$3)*Raw_Data_Daily!$D$2:$D$9999*Raw_Data_Daily!$S$2:$S$9999)/SUMIFS(Raw_Data_Daily!$D:$D, Raw_Data_Daily!$B:$B, "Variant", Raw_Data_Daily!$A:$A, $A7, Raw_Data_Daily!$C:$C, $C$3),""))</f>
        <v>31.44</v>
      </c>
      <c r="AW7" s="127">
        <f t="shared" ref="AW7:AW35" si="16">IF($A7="","",IFERROR((AV7-AU7)/ABS(AU7),""))</f>
        <v>-0.7138957139</v>
      </c>
      <c r="AX7" s="132">
        <f>IF($A7="","",IFERROR(SUMPRODUCT((Raw_Data_Daily!$B$2:$B$9999="Control")*(Raw_Data_Daily!$A$2:$A$9999=$A7)*(Raw_Data_Daily!$C$2:$C$9999=$C$3)*Raw_Data_Daily!$D$2:$D$9999*Raw_Data_Daily!$T$2:$T$9999)/SUMIFS(Raw_Data_Daily!$D:$D, Raw_Data_Daily!$B:$B, "Control", Raw_Data_Daily!$A:$A, $A7, Raw_Data_Daily!$C:$C, $C$3),""))</f>
        <v>20.15</v>
      </c>
      <c r="AY7" s="132">
        <f>IF($A7="","",IFERROR(SUMPRODUCT((Raw_Data_Daily!$B$2:$B$9999="Variant")*(Raw_Data_Daily!$A$2:$A$9999=$A7)*(Raw_Data_Daily!$C$2:$C$9999=$C$3)*Raw_Data_Daily!$D$2:$D$9999*Raw_Data_Daily!$T$2:$T$9999)/SUMIFS(Raw_Data_Daily!$D:$D, Raw_Data_Daily!$B:$B, "Variant", Raw_Data_Daily!$A:$A, $A7, Raw_Data_Daily!$C:$C, $C$3),""))</f>
        <v>20.99</v>
      </c>
      <c r="AZ7" s="130">
        <f t="shared" ref="AZ7:AZ35" si="17">IF($A7="","",IFERROR((AY7-AX7)/ABS(AX7),""))</f>
        <v>0.04168734491</v>
      </c>
      <c r="BA7" s="132">
        <f>IF($A7="","",IFERROR(SUMPRODUCT((Raw_Data_Daily!$B$2:$B$9999="Control")*(Raw_Data_Daily!$A$2:$A$9999=$A7)*(Raw_Data_Daily!$C$2:$C$9999=$C$3)*Raw_Data_Daily!$D$2:$D$9999*Raw_Data_Daily!$U$2:$U$9999)/SUMIFS(Raw_Data_Daily!$D:$D, Raw_Data_Daily!$B:$B, "Control", Raw_Data_Daily!$A:$A, $A7, Raw_Data_Daily!$C:$C, $C$3),""))</f>
        <v>347.63</v>
      </c>
      <c r="BB7" s="132">
        <f>IF($A7="","",IFERROR(SUMPRODUCT((Raw_Data_Daily!$B$2:$B$9999="Variant")*(Raw_Data_Daily!$A$2:$A$9999=$A7)*(Raw_Data_Daily!$C$2:$C$9999=$C$3)*Raw_Data_Daily!$D$2:$D$9999*Raw_Data_Daily!$U$2:$U$9999)/SUMIFS(Raw_Data_Daily!$D:$D, Raw_Data_Daily!$B:$B, "Variant", Raw_Data_Daily!$A:$A, $A7, Raw_Data_Daily!$C:$C, $C$3),""))</f>
        <v>335.25</v>
      </c>
      <c r="BC7" s="127">
        <f t="shared" ref="BC7:BC35" si="18">IF($A7="","",IFERROR((BB7-BA7)/ABS(BA7),""))</f>
        <v>-0.03561257659</v>
      </c>
      <c r="BD7" s="132">
        <f>IF($A7="","",IFERROR(SUMPRODUCT((Raw_Data_Daily!$B$2:$B$9999="Control")*(Raw_Data_Daily!$A$2:$A$9999=$A7)*(Raw_Data_Daily!$C$2:$C$9999=$C$3)*Raw_Data_Daily!$D$2:$D$9999*Raw_Data_Daily!$V$2:$V$9999)/SUMIFS(Raw_Data_Daily!$D:$D, Raw_Data_Daily!$B:$B, "Control", Raw_Data_Daily!$A:$A, $A7, Raw_Data_Daily!$C:$C, $C$3),""))</f>
        <v>348.18</v>
      </c>
      <c r="BE7" s="132">
        <f>IF($A7="","",IFERROR(SUMPRODUCT((Raw_Data_Daily!$B$2:$B$9999="Variant")*(Raw_Data_Daily!$A$2:$A$9999=$A7)*(Raw_Data_Daily!$C$2:$C$9999=$C$3)*Raw_Data_Daily!$D$2:$D$9999*Raw_Data_Daily!$V$2:$V$9999)/SUMIFS(Raw_Data_Daily!$D:$D, Raw_Data_Daily!$B:$B, "Variant", Raw_Data_Daily!$A:$A, $A7, Raw_Data_Daily!$C:$C, $C$3),""))</f>
        <v>332.17</v>
      </c>
      <c r="BF7" s="127">
        <f t="shared" ref="BF7:BF35" si="19">IF($A7="","",IFERROR((BE7-BD7)/ABS(BD7),""))</f>
        <v>-0.04598196335</v>
      </c>
      <c r="BG7" s="132">
        <f>IF($A7="","",IFERROR(SUMPRODUCT((Raw_Data_Daily!$B$2:$B$9999="Control")*(Raw_Data_Daily!$A$2:$A$9999=$A7)*(Raw_Data_Daily!$C$2:$C$9999=$C$3)*Raw_Data_Daily!$D$2:$D$9999*(Raw_Data_Daily!$Q$2:$Q$9999-Raw_Data_Daily!$V$2:$V$9999))/SUMIFS(Raw_Data_Daily!$D:$D, Raw_Data_Daily!$B:$B, "Control", Raw_Data_Daily!$A:$A, $A7, Raw_Data_Daily!$C:$C, $C$3),""))</f>
        <v>19.61</v>
      </c>
      <c r="BH7" s="132">
        <f>IF($A7="","",IFERROR(SUMPRODUCT((Raw_Data_Daily!$B$2:$B$9999="Variant")*(Raw_Data_Daily!$A$2:$A$9999=$A7)*(Raw_Data_Daily!$C$2:$C$9999=$C$3)*Raw_Data_Daily!$D$2:$D$9999*(Raw_Data_Daily!$Q$2:$Q$9999-Raw_Data_Daily!$V$2:$V$9999))/SUMIFS(Raw_Data_Daily!$D:$D, Raw_Data_Daily!$B:$B, "Variant", Raw_Data_Daily!$A:$A, $A7, Raw_Data_Daily!$C:$C, $C$3),""))</f>
        <v>24.07</v>
      </c>
      <c r="BI7" s="127">
        <f t="shared" ref="BI7:BI35" si="20">IF($A7="","",IFERROR((BH7-BG7)/ABS(BG7),""))</f>
        <v>0.2274349822</v>
      </c>
      <c r="BJ7" s="132">
        <f>IF($A7="","",IFERROR(SUMPRODUCT((Raw_Data_Daily!$B$2:$B$9999="Control")*(Raw_Data_Daily!$A$2:$A$9999=$A7)*(Raw_Data_Daily!$C$2:$C$9999=$C$3)*Raw_Data_Daily!$D$2:$D$9999*Raw_Data_Daily!$W$2:$W$9999)/SUMIFS(Raw_Data_Daily!$D:$D, Raw_Data_Daily!$B:$B, "Control", Raw_Data_Daily!$A:$A, $A7, Raw_Data_Daily!$C:$C, $C$3),""))</f>
        <v>4.7176</v>
      </c>
      <c r="BK7" s="132">
        <f>IF($A7="","",IFERROR(SUMPRODUCT((Raw_Data_Daily!$B$2:$B$9999="Variant")*(Raw_Data_Daily!$A$2:$A$9999=$A7)*(Raw_Data_Daily!$C$2:$C$9999=$C$3)*Raw_Data_Daily!$D$2:$D$9999*Raw_Data_Daily!$W$2:$W$9999)/SUMIFS(Raw_Data_Daily!$D:$D, Raw_Data_Daily!$B:$B, "Variant", Raw_Data_Daily!$A:$A, $A7, Raw_Data_Daily!$C:$C, $C$3),""))</f>
        <v>4.3687</v>
      </c>
      <c r="BL7" s="127">
        <f t="shared" ref="BL7:BL35" si="21">IF($A7="","",IFERROR((BK7-BJ7)/ABS(BJ7),""))</f>
        <v>-0.07395709683</v>
      </c>
      <c r="BM7" s="137">
        <f>IF($A7="","",IFERROR(SUMPRODUCT((Raw_Data_Daily!$B$2:$B$9999="Control")*(Raw_Data_Daily!$A$2:$A$9999=$A7)*(Raw_Data_Daily!$C$2:$C$9999=$C$3)*Raw_Data_Daily!$D$2:$D$9999*Raw_Data_Daily!$X$2:$X$9999)/SUMIFS(Raw_Data_Daily!$D:$D, Raw_Data_Daily!$B:$B, "Control", Raw_Data_Daily!$A:$A, $A7, Raw_Data_Daily!$C:$C, $C$3),""))</f>
        <v>5.48</v>
      </c>
      <c r="BN7" s="137">
        <f>IF($A7="","",IFERROR(SUMPRODUCT((Raw_Data_Daily!$B$2:$B$9999="Variant")*(Raw_Data_Daily!$A$2:$A$9999=$A7)*(Raw_Data_Daily!$C$2:$C$9999=$C$3)*Raw_Data_Daily!$D$2:$D$9999*Raw_Data_Daily!$X$2:$X$9999)/SUMIFS(Raw_Data_Daily!$D:$D, Raw_Data_Daily!$B:$B, "Variant", Raw_Data_Daily!$A:$A, $A7, Raw_Data_Daily!$C:$C, $C$3),""))</f>
        <v>5.89</v>
      </c>
      <c r="BO7" s="130">
        <f t="shared" ref="BO7:BO35" si="22">IF($A7="","",IFERROR((BN7-BM7)/ABS(BM7),""))</f>
        <v>0.07481751825</v>
      </c>
      <c r="BP7" s="126">
        <f>IF($A7="","",IFERROR(SUMPRODUCT((Raw_Data_Daily!$B$2:$B$9999="Control")*(Raw_Data_Daily!$A$2:$A$9999=$A7)*(Raw_Data_Daily!$C$2:$C$9999=$C$3)*Raw_Data_Daily!$D$2:$D$9999*Raw_Data_Daily!$Y$2:$Y$9999)/SUMIFS(Raw_Data_Daily!$D:$D, Raw_Data_Daily!$B:$B, "Control", Raw_Data_Daily!$A:$A, $A7, Raw_Data_Daily!$C:$C, $C$3),""))</f>
        <v>382</v>
      </c>
      <c r="BQ7" s="126">
        <f>IF($A7="","",IFERROR(SUMPRODUCT((Raw_Data_Daily!$B$2:$B$9999="Variant")*(Raw_Data_Daily!$A$2:$A$9999=$A7)*(Raw_Data_Daily!$C$2:$C$9999=$C$3)*Raw_Data_Daily!$D$2:$D$9999*Raw_Data_Daily!$Y$2:$Y$9999)/SUMIFS(Raw_Data_Daily!$D:$D, Raw_Data_Daily!$B:$B, "Variant", Raw_Data_Daily!$A:$A, $A7, Raw_Data_Daily!$C:$C, $C$3),""))</f>
        <v>342</v>
      </c>
      <c r="BR7" s="127">
        <f t="shared" ref="BR7:BR35" si="23">IF($A7="","",IFERROR((BQ7-BP7)/ABS(BP7),""))</f>
        <v>-0.1047120419</v>
      </c>
      <c r="BS7" s="126">
        <f>IF($A7="","",IFERROR(SUMPRODUCT((Raw_Data_Daily!$B$2:$B$9999="Control")*(Raw_Data_Daily!$A$2:$A$9999=$A7)*(Raw_Data_Daily!$C$2:$C$9999=$C$3)*Raw_Data_Daily!$D$2:$D$9999*Raw_Data_Daily!$Z$2:$Z$9999)/SUMIFS(Raw_Data_Daily!$D:$D, Raw_Data_Daily!$B:$B, "Control", Raw_Data_Daily!$A:$A, $A7, Raw_Data_Daily!$C:$C, $C$3),""))</f>
        <v>632</v>
      </c>
      <c r="BT7" s="126">
        <f>IF($A7="","",IFERROR(SUMPRODUCT((Raw_Data_Daily!$B$2:$B$9999="Variant")*(Raw_Data_Daily!$A$2:$A$9999=$A7)*(Raw_Data_Daily!$C$2:$C$9999=$C$3)*Raw_Data_Daily!$D$2:$D$9999*Raw_Data_Daily!$Z$2:$Z$9999)/SUMIFS(Raw_Data_Daily!$D:$D, Raw_Data_Daily!$B:$B, "Variant", Raw_Data_Daily!$A:$A, $A7, Raw_Data_Daily!$C:$C, $C$3),""))</f>
        <v>563</v>
      </c>
      <c r="BU7" s="127">
        <f t="shared" ref="BU7:BU35" si="24">IF($A7="","",IFERROR((BT7-BS7)/ABS(BS7),""))</f>
        <v>-0.1091772152</v>
      </c>
      <c r="BV7" s="126">
        <f>IF($A7="","",IFERROR(SUMPRODUCT((Raw_Data_Daily!$B$2:$B$9999="Control")*(Raw_Data_Daily!$A$2:$A$9999=$A7)*(Raw_Data_Daily!$C$2:$C$9999=$C$3)*Raw_Data_Daily!$D$2:$D$9999*Raw_Data_Daily!$AA$2:$AA$9999)/SUMIFS(Raw_Data_Daily!$D:$D, Raw_Data_Daily!$B:$B, "Control", Raw_Data_Daily!$A:$A, $A7, Raw_Data_Daily!$C:$C, $C$3),""))</f>
        <v>1569</v>
      </c>
      <c r="BW7" s="126">
        <f>IF($A7="","",IFERROR(SUMPRODUCT((Raw_Data_Daily!$B$2:$B$9999="Variant")*(Raw_Data_Daily!$A$2:$A$9999=$A7)*(Raw_Data_Daily!$C$2:$C$9999=$C$3)*Raw_Data_Daily!$D$2:$D$9999*Raw_Data_Daily!$AA$2:$AA$9999)/SUMIFS(Raw_Data_Daily!$D:$D, Raw_Data_Daily!$B:$B, "Variant", Raw_Data_Daily!$A:$A, $A7, Raw_Data_Daily!$C:$C, $C$3),""))</f>
        <v>1418</v>
      </c>
      <c r="BX7" s="127">
        <f t="shared" ref="BX7:BX35" si="25">IF($A7="","",IFERROR((BW7-BV7)/ABS(BV7),""))</f>
        <v>-0.09623964308</v>
      </c>
      <c r="BY7" s="132">
        <f>IF($A7="","",IFERROR(SUMPRODUCT((Raw_Data_Daily!$B$2:$B$9999="Control")*(Raw_Data_Daily!$A$2:$A$9999=$A7)*(Raw_Data_Daily!$C$2:$C$9999=$C$3)*Raw_Data_Daily!$D$2:$D$9999*Raw_Data_Daily!$AB$2:$AB$9999)/SUMIFS(Raw_Data_Daily!$D:$D, Raw_Data_Daily!$B:$B, "Control", Raw_Data_Daily!$A:$A, $A7, Raw_Data_Daily!$C:$C, $C$3),""))</f>
        <v>55.2403</v>
      </c>
      <c r="BZ7" s="132">
        <f>IF($A7="","",IFERROR(SUMPRODUCT((Raw_Data_Daily!$B$2:$B$9999="Variant")*(Raw_Data_Daily!$A$2:$A$9999=$A7)*(Raw_Data_Daily!$C$2:$C$9999=$C$3)*Raw_Data_Daily!$D$2:$D$9999*Raw_Data_Daily!$AB$2:$AB$9999)/SUMIFS(Raw_Data_Daily!$D:$D, Raw_Data_Daily!$B:$B, "Variant", Raw_Data_Daily!$A:$A, $A7, Raw_Data_Daily!$C:$C, $C$3),""))</f>
        <v>55.1229</v>
      </c>
      <c r="CA7" s="130">
        <f t="shared" ref="CA7:CA35" si="26">IF($A7="","",IFERROR((BZ7-BY7)/ABS(BY7),""))</f>
        <v>-0.00212526</v>
      </c>
      <c r="CB7" s="132">
        <f>IF($A7="","",IFERROR(SUMPRODUCT((Raw_Data_Daily!$B$2:$B$9999="Control")*(Raw_Data_Daily!$A$2:$A$9999=$A7)*(Raw_Data_Daily!$C$2:$C$9999=$C$3)*Raw_Data_Daily!$D$2:$D$9999*Raw_Data_Daily!$AC$2:$AC$9999)/SUMIFS(Raw_Data_Daily!$D:$D, Raw_Data_Daily!$B:$B, "Control", Raw_Data_Daily!$A:$A, $A7, Raw_Data_Daily!$C:$C, $C$3),""))</f>
        <v>0.751</v>
      </c>
      <c r="CC7" s="132">
        <f>IF($A7="","",IFERROR(SUMPRODUCT((Raw_Data_Daily!$B$2:$B$9999="Variant")*(Raw_Data_Daily!$A$2:$A$9999=$A7)*(Raw_Data_Daily!$C$2:$C$9999=$C$3)*Raw_Data_Daily!$D$2:$D$9999*Raw_Data_Daily!$AC$2:$AC$9999)/SUMIFS(Raw_Data_Daily!$D:$D, Raw_Data_Daily!$B:$B, "Variant", Raw_Data_Daily!$A:$A, $A7, Raw_Data_Daily!$C:$C, $C$3),""))</f>
        <v>0.7354</v>
      </c>
      <c r="CD7" s="130">
        <f t="shared" ref="CD7:CD35" si="27">IF($A7="","",IFERROR((CC7-CB7)/ABS(CB7),""))</f>
        <v>-0.0207723036</v>
      </c>
      <c r="CE7" s="132">
        <f>IF($A7="","",IFERROR(SUMPRODUCT((Raw_Data_Daily!$B$2:$B$9999="Control")*(Raw_Data_Daily!$A$2:$A$9999=$A7)*(Raw_Data_Daily!$C$2:$C$9999=$C$3)*Raw_Data_Daily!$D$2:$D$9999*Raw_Data_Daily!$AD$2:$AD$9999)/SUMIFS(Raw_Data_Daily!$D:$D, Raw_Data_Daily!$B:$B, "Control", Raw_Data_Daily!$A:$A, $A7, Raw_Data_Daily!$C:$C, $C$3),""))</f>
        <v>30.76</v>
      </c>
      <c r="CF7" s="132">
        <f>IF($A7="","",IFERROR(SUMPRODUCT((Raw_Data_Daily!$B$2:$B$9999="Variant")*(Raw_Data_Daily!$A$2:$A$9999=$A7)*(Raw_Data_Daily!$C$2:$C$9999=$C$3)*Raw_Data_Daily!$D$2:$D$9999*Raw_Data_Daily!$AD$2:$AD$9999)/SUMIFS(Raw_Data_Daily!$D:$D, Raw_Data_Daily!$B:$B, "Variant", Raw_Data_Daily!$A:$A, $A7, Raw_Data_Daily!$C:$C, $C$3),""))</f>
        <v>31.05</v>
      </c>
      <c r="CG7" s="130">
        <f t="shared" ref="CG7:CG35" si="28">IF($A7="","",IFERROR((CF7-CE7)/ABS(CE7),""))</f>
        <v>0.009427828349</v>
      </c>
      <c r="CH7" s="132">
        <f>IF($A7="","",IFERROR(SUMPRODUCT((Raw_Data_Daily!$B$2:$B$9999="Control")*(Raw_Data_Daily!$A$2:$A$9999=$A7)*(Raw_Data_Daily!$C$2:$C$9999=$C$3)*Raw_Data_Daily!$D$2:$D$9999*Raw_Data_Daily!$AE$2:$AE$9999)/SUMIFS(Raw_Data_Daily!$D:$D, Raw_Data_Daily!$B:$B, "Control", Raw_Data_Daily!$A:$A, $A7, Raw_Data_Daily!$C:$C, $C$3),""))</f>
        <v>12</v>
      </c>
      <c r="CI7" s="132">
        <f>IF($A7="","",IFERROR(SUMPRODUCT((Raw_Data_Daily!$B$2:$B$9999="Variant")*(Raw_Data_Daily!$A$2:$A$9999=$A7)*(Raw_Data_Daily!$C$2:$C$9999=$C$3)*Raw_Data_Daily!$D$2:$D$9999*Raw_Data_Daily!$AE$2:$AE$9999)/SUMIFS(Raw_Data_Daily!$D:$D, Raw_Data_Daily!$B:$B, "Variant", Raw_Data_Daily!$A:$A, $A7, Raw_Data_Daily!$C:$C, $C$3),""))</f>
        <v>12</v>
      </c>
      <c r="CJ7" s="130">
        <f t="shared" ref="CJ7:CJ35" si="29">IF($A7="","",IFERROR((CI7-CH7)/ABS(CH7),""))</f>
        <v>0</v>
      </c>
      <c r="CK7" s="132">
        <f>IF($A7="","",IFERROR(SUMPRODUCT((Raw_Data_Daily!$B$2:$B$9999="Control")*(Raw_Data_Daily!$A$2:$A$9999=$A7)*(Raw_Data_Daily!$C$2:$C$9999=$C$3)*Raw_Data_Daily!$D$2:$D$9999*Raw_Data_Daily!$AF$2:$AF$9999)/SUMIFS(Raw_Data_Daily!$D:$D, Raw_Data_Daily!$B:$B, "Control", Raw_Data_Daily!$A:$A, $A7, Raw_Data_Daily!$C:$C, $C$3),""))</f>
        <v>24</v>
      </c>
      <c r="CL7" s="132">
        <f>IF($A7="","",IFERROR(SUMPRODUCT((Raw_Data_Daily!$B$2:$B$9999="Variant")*(Raw_Data_Daily!$A$2:$A$9999=$A7)*(Raw_Data_Daily!$C$2:$C$9999=$C$3)*Raw_Data_Daily!$D$2:$D$9999*Raw_Data_Daily!$AF$2:$AF$9999)/SUMIFS(Raw_Data_Daily!$D:$D, Raw_Data_Daily!$B:$B, "Variant", Raw_Data_Daily!$A:$A, $A7, Raw_Data_Daily!$C:$C, $C$3),""))</f>
        <v>24</v>
      </c>
      <c r="CM7" s="130">
        <f t="shared" ref="CM7:CM35" si="30">IF($A7="","",IFERROR((CL7-CK7)/ABS(CK7),""))</f>
        <v>0</v>
      </c>
      <c r="CN7" s="132">
        <f>IF($A7="","",IFERROR(SUMPRODUCT((Raw_Data_Daily!$B$2:$B$9999="Control")*(Raw_Data_Daily!$A$2:$A$9999=$A7)*(Raw_Data_Daily!$C$2:$C$9999=$C$3)*Raw_Data_Daily!$D$2:$D$9999*Raw_Data_Daily!$AG$2:$AG$9999)/SUMIFS(Raw_Data_Daily!$D:$D, Raw_Data_Daily!$B:$B, "Control", Raw_Data_Daily!$A:$A, $A7, Raw_Data_Daily!$C:$C, $C$3),""))</f>
        <v>43</v>
      </c>
      <c r="CO7" s="132">
        <f>IF($A7="","",IFERROR(SUMPRODUCT((Raw_Data_Daily!$B$2:$B$9999="Variant")*(Raw_Data_Daily!$A$2:$A$9999=$A7)*(Raw_Data_Daily!$C$2:$C$9999=$C$3)*Raw_Data_Daily!$D$2:$D$9999*Raw_Data_Daily!$AG$2:$AG$9999)/SUMIFS(Raw_Data_Daily!$D:$D, Raw_Data_Daily!$B:$B, "Variant", Raw_Data_Daily!$A:$A, $A7, Raw_Data_Daily!$C:$C, $C$3),""))</f>
        <v>43</v>
      </c>
      <c r="CP7" s="130">
        <f t="shared" ref="CP7:CP35" si="31">IF($A7="","",IFERROR((CO7-CN7)/ABS(CN7),""))</f>
        <v>0</v>
      </c>
      <c r="CQ7" s="132">
        <f>IF($A7="","",IFERROR(SUMPRODUCT((Raw_Data_Daily!$B$2:$B$9999="Control")*(Raw_Data_Daily!$A$2:$A$9999=$A7)*(Raw_Data_Daily!$C$2:$C$9999=$C$3)*Raw_Data_Daily!$D$2:$D$9999*Raw_Data_Daily!$AH$2:$AH$9999)/SUMIFS(Raw_Data_Daily!$D:$D, Raw_Data_Daily!$B:$B, "Control", Raw_Data_Daily!$A:$A, $A7, Raw_Data_Daily!$C:$C, $C$3),""))</f>
        <v>63</v>
      </c>
      <c r="CR7" s="132">
        <f>IF($A7="","",IFERROR(SUMPRODUCT((Raw_Data_Daily!$B$2:$B$9999="Variant")*(Raw_Data_Daily!$A$2:$A$9999=$A7)*(Raw_Data_Daily!$C$2:$C$9999=$C$3)*Raw_Data_Daily!$D$2:$D$9999*Raw_Data_Daily!$AH$2:$AH$9999)/SUMIFS(Raw_Data_Daily!$D:$D, Raw_Data_Daily!$B:$B, "Variant", Raw_Data_Daily!$A:$A, $A7, Raw_Data_Daily!$C:$C, $C$3),""))</f>
        <v>63</v>
      </c>
      <c r="CS7" s="130">
        <f t="shared" ref="CS7:CS35" si="32">IF($A7="","",IFERROR((CR7-CQ7)/ABS(CQ7),""))</f>
        <v>0</v>
      </c>
      <c r="CT7" s="128">
        <f>IF($A7="","",IFERROR(SUMPRODUCT((Raw_Data_Daily!$B$2:$B$9999="Control")*(Raw_Data_Daily!$A$2:$A$9999=$A7)*(Raw_Data_Daily!$C$2:$C$9999=$C$3)*Raw_Data_Daily!$D$2:$D$9999*Raw_Data_Daily!$AI$2:$AI$9999)/SUMIFS(Raw_Data_Daily!$D:$D, Raw_Data_Daily!$B:$B, "Control", Raw_Data_Daily!$A:$A, $A7, Raw_Data_Daily!$C:$C, $C$3),""))</f>
        <v>45.07</v>
      </c>
      <c r="CU7" s="128">
        <f>IF($A7="","",IFERROR(SUMPRODUCT((Raw_Data_Daily!$B$2:$B$9999="Variant")*(Raw_Data_Daily!$A$2:$A$9999=$A7)*(Raw_Data_Daily!$C$2:$C$9999=$C$3)*Raw_Data_Daily!$D$2:$D$9999*Raw_Data_Daily!$AI$2:$AI$9999)/SUMIFS(Raw_Data_Daily!$D:$D, Raw_Data_Daily!$B:$B, "Variant", Raw_Data_Daily!$A:$A, $A7, Raw_Data_Daily!$C:$C, $C$3),""))</f>
        <v>45.28</v>
      </c>
      <c r="CV7" s="139">
        <f t="shared" ref="CV7:CV35" si="33">IF($A7="","",IFERROR((CU7-CT7)/ABS(CT7),""))</f>
        <v>0.004659418682</v>
      </c>
      <c r="CW7" s="128">
        <f>IF($A7="","",IFERROR(SUMPRODUCT((Raw_Data_Daily!$B$2:$B$9999="Control")*(Raw_Data_Daily!$A$2:$A$9999=$A7)*(Raw_Data_Daily!$C$2:$C$9999=$C$3)*Raw_Data_Daily!$D$2:$D$9999*Raw_Data_Daily!$AJ$2:$AJ$9999)/SUMIFS(Raw_Data_Daily!$D:$D, Raw_Data_Daily!$B:$B, "Control", Raw_Data_Daily!$A:$A, $A7, Raw_Data_Daily!$C:$C, $C$3),""))</f>
        <v>11.53</v>
      </c>
      <c r="CX7" s="128">
        <f>IF($A7="","",IFERROR(SUMPRODUCT((Raw_Data_Daily!$B$2:$B$9999="Variant")*(Raw_Data_Daily!$A$2:$A$9999=$A7)*(Raw_Data_Daily!$C$2:$C$9999=$C$3)*Raw_Data_Daily!$D$2:$D$9999*Raw_Data_Daily!$AJ$2:$AJ$9999)/SUMIFS(Raw_Data_Daily!$D:$D, Raw_Data_Daily!$B:$B, "Variant", Raw_Data_Daily!$A:$A, $A7, Raw_Data_Daily!$C:$C, $C$3),""))</f>
        <v>11.49</v>
      </c>
      <c r="CY7" s="139">
        <f t="shared" ref="CY7:CY35" si="34">IF($A7="","",IFERROR((CX7-CW7)/ABS(CW7),""))</f>
        <v>-0.003469210755</v>
      </c>
      <c r="CZ7" s="128">
        <f>IF($A7="","",IFERROR(SUMPRODUCT((Raw_Data_Daily!$B$2:$B$9999="Control")*(Raw_Data_Daily!$A$2:$A$9999=$A7)*(Raw_Data_Daily!$C$2:$C$9999=$C$3)*Raw_Data_Daily!$D$2:$D$9999*Raw_Data_Daily!$AK$2:$AK$9999)/SUMIFS(Raw_Data_Daily!$D:$D, Raw_Data_Daily!$B:$B, "Control", Raw_Data_Daily!$A:$A, $A7, Raw_Data_Daily!$C:$C, $C$3),""))</f>
        <v>2.14</v>
      </c>
      <c r="DA7" s="128">
        <f>IF($A7="","",IFERROR(SUMPRODUCT((Raw_Data_Daily!$B$2:$B$9999="Variant")*(Raw_Data_Daily!$A$2:$A$9999=$A7)*(Raw_Data_Daily!$C$2:$C$9999=$C$3)*Raw_Data_Daily!$D$2:$D$9999*Raw_Data_Daily!$AK$2:$AK$9999)/SUMIFS(Raw_Data_Daily!$D:$D, Raw_Data_Daily!$B:$B, "Variant", Raw_Data_Daily!$A:$A, $A7, Raw_Data_Daily!$C:$C, $C$3),""))</f>
        <v>2.42</v>
      </c>
      <c r="DB7" s="130">
        <f t="shared" ref="DB7:DB35" si="35">IF($A7="","",IFERROR((DA7-CZ7)/ABS(CZ7),""))</f>
        <v>0.1308411215</v>
      </c>
      <c r="DC7" s="137">
        <f>IF($A7="","",IFERROR(SUMPRODUCT((Raw_Data_Daily!$B$2:$B$9999="Control")*(Raw_Data_Daily!$A$2:$A$9999=$A7)*(Raw_Data_Daily!$C$2:$C$9999=$C$3)*Raw_Data_Daily!$D$2:$D$9999*Raw_Data_Daily!$AL$2:$AL$9999)/SUMIFS(Raw_Data_Daily!$D:$D, Raw_Data_Daily!$B:$B, "Control", Raw_Data_Daily!$A:$A, $A7, Raw_Data_Daily!$C:$C, $C$3),""))</f>
        <v>0.1643</v>
      </c>
      <c r="DD7" s="137">
        <f>IF($A7="","",IFERROR(SUMPRODUCT((Raw_Data_Daily!$B$2:$B$9999="Variant")*(Raw_Data_Daily!$A$2:$A$9999=$A7)*(Raw_Data_Daily!$C$2:$C$9999=$C$3)*Raw_Data_Daily!$D$2:$D$9999*Raw_Data_Daily!$AL$2:$AL$9999)/SUMIFS(Raw_Data_Daily!$D:$D, Raw_Data_Daily!$B:$B, "Variant", Raw_Data_Daily!$A:$A, $A7, Raw_Data_Daily!$C:$C, $C$3),""))</f>
        <v>0.184</v>
      </c>
      <c r="DE7" s="139">
        <f t="shared" ref="DE7:DE35" si="36">IF($A7="","",IFERROR((DD7-DC7)/ABS(DC7),""))</f>
        <v>0.1199026172</v>
      </c>
      <c r="DF7" s="159"/>
      <c r="DG7" s="128">
        <f>IF($A7="","",IFERROR(SUMPRODUCT((Raw_Data_Daily!$B$2:$B$9999="Variant")*(Raw_Data_Daily!$A$2:$A$9999=$A7)*(Raw_Data_Daily!$C$2:$C$9999=$C$3)*Raw_Data_Daily!$D$2:$D$9999*Raw_Data_Daily!$AM$2:$AM$9999)/SUMIFS(Raw_Data_Daily!$D:$D, Raw_Data_Daily!$B:$B, "Variant", Raw_Data_Daily!$A:$A, $A7, Raw_Data_Daily!$C:$C, $C$3),""))</f>
        <v>45.58</v>
      </c>
      <c r="DH7" s="160"/>
      <c r="DI7" s="159"/>
      <c r="DJ7" s="128">
        <f>IF($A7="","",IFERROR(SUMPRODUCT((Raw_Data_Daily!$B$2:$B$9999="Variant")*(Raw_Data_Daily!$A$2:$A$9999=$A7)*(Raw_Data_Daily!$C$2:$C$9999=$C$3)*Raw_Data_Daily!$D$2:$D$9999*Raw_Data_Daily!$AN$2:$AN$9999)/SUMIFS(Raw_Data_Daily!$D:$D, Raw_Data_Daily!$B:$B, "Variant", Raw_Data_Daily!$A:$A, $A7, Raw_Data_Daily!$C:$C, $C$3),""))</f>
        <v>45.58</v>
      </c>
      <c r="DK7" s="160"/>
      <c r="DL7" s="159"/>
      <c r="DM7" s="128">
        <f>IF($A7="","",IFERROR(SUMPRODUCT((Raw_Data_Daily!$B$2:$B$9999="Variant")*(Raw_Data_Daily!$A$2:$A$9999=$A7)*(Raw_Data_Daily!$C$2:$C$9999=$C$3)*Raw_Data_Daily!$D$2:$D$9999*Raw_Data_Daily!$AO$2:$AO$9999)/SUMIFS(Raw_Data_Daily!$D:$D, Raw_Data_Daily!$B:$B, "Variant", Raw_Data_Daily!$A:$A, $A7, Raw_Data_Daily!$C:$C, $C$3),""))</f>
        <v>29.63</v>
      </c>
      <c r="DN7" s="160"/>
      <c r="DO7" s="159"/>
      <c r="DP7" s="128">
        <f>IF($A7="","",IFERROR(SUMPRODUCT((Raw_Data_Daily!$B$2:$B$9999="Variant")*(Raw_Data_Daily!$A$2:$A$9999=$A7)*(Raw_Data_Daily!$C$2:$C$9999=$C$3)*Raw_Data_Daily!$D$2:$D$9999*Raw_Data_Daily!$AP$2:$AP$9999)/SUMIFS(Raw_Data_Daily!$D:$D, Raw_Data_Daily!$B:$B, "Variant", Raw_Data_Daily!$A:$A, $A7, Raw_Data_Daily!$C:$C, $C$3),""))</f>
        <v>18.01</v>
      </c>
      <c r="DQ7" s="160"/>
      <c r="DR7" s="137">
        <f>IF($A7="","",IFERROR(SUMPRODUCT((Raw_Data_Daily!$B$2:$B$9999="Control")*(Raw_Data_Daily!$A$2:$A$9999=$A7)*(Raw_Data_Daily!$C$2:$C$9999=$C$3)*Raw_Data_Daily!$D$2:$D$9999*Raw_Data_Daily!$AQ$2:$AQ$9999)/SUMIFS(Raw_Data_Daily!$D:$D, Raw_Data_Daily!$B:$B, "Control", Raw_Data_Daily!$A:$A, $A7, Raw_Data_Daily!$C:$C, $C$3),""))</f>
        <v>18.2789</v>
      </c>
      <c r="DS7" s="137">
        <f>IF($A7="","",IFERROR(SUMPRODUCT((Raw_Data_Daily!$B$2:$B$9999="Variant")*(Raw_Data_Daily!$A$2:$A$9999=$A7)*(Raw_Data_Daily!$C$2:$C$9999=$C$3)*Raw_Data_Daily!$D$2:$D$9999*Raw_Data_Daily!$AQ$2:$AQ$9999)/SUMIFS(Raw_Data_Daily!$D:$D, Raw_Data_Daily!$B:$B, "Variant", Raw_Data_Daily!$A:$A, $A7, Raw_Data_Daily!$C:$C, $C$3),""))</f>
        <v>20.2148</v>
      </c>
      <c r="DT7" s="161">
        <f t="shared" ref="DT7:DT35" si="37">IF($A7="","",IFERROR((DS7-DR7)/ABS(DR7),""))</f>
        <v>0.1059089989</v>
      </c>
      <c r="DU7" s="137">
        <f>IF($A7="","",IFERROR(SUMPRODUCT((Raw_Data_Daily!$B$2:$B$9999="Control")*(Raw_Data_Daily!$A$2:$A$9999=$A7)*(Raw_Data_Daily!$C$2:$C$9999=$C$3)*Raw_Data_Daily!$D$2:$D$9999*Raw_Data_Daily!$AR$2:$AR$9999)/SUMIFS(Raw_Data_Daily!$D:$D, Raw_Data_Daily!$B:$B, "Control", Raw_Data_Daily!$A:$A, $A7, Raw_Data_Daily!$C:$C, $C$3),""))</f>
        <v>0.3223</v>
      </c>
      <c r="DV7" s="137">
        <f>IF($A7="","",IFERROR(SUMPRODUCT((Raw_Data_Daily!$B$2:$B$9999="Variant")*(Raw_Data_Daily!$A$2:$A$9999=$A7)*(Raw_Data_Daily!$C$2:$C$9999=$C$3)*Raw_Data_Daily!$D$2:$D$9999*Raw_Data_Daily!$AR$2:$AR$9999)/SUMIFS(Raw_Data_Daily!$D:$D, Raw_Data_Daily!$B:$B, "Variant", Raw_Data_Daily!$A:$A, $A7, Raw_Data_Daily!$C:$C, $C$3),""))</f>
        <v>0.6246</v>
      </c>
      <c r="DW7" s="161">
        <f t="shared" ref="DW7:DW35" si="38">IF($A7="","",IFERROR((DV7-DU7)/ABS(DU7),""))</f>
        <v>0.937946013</v>
      </c>
      <c r="DX7" s="137">
        <f>IF($A7="","",IFERROR(SUMPRODUCT((Raw_Data_Daily!$B$2:$B$9999="Control")*(Raw_Data_Daily!$A$2:$A$9999=$A7)*(Raw_Data_Daily!$C$2:$C$9999=$C$3)*Raw_Data_Daily!$D$2:$D$9999*Raw_Data_Daily!$AS$2:$AS$9999)/SUMIFS(Raw_Data_Daily!$D:$D, Raw_Data_Daily!$B:$B, "Control", Raw_Data_Daily!$A:$A, $A7, Raw_Data_Daily!$C:$C, $C$3),""))</f>
        <v>17.9566</v>
      </c>
      <c r="DY7" s="137">
        <f>IF($A7="","",IFERROR(SUMPRODUCT((Raw_Data_Daily!$B$2:$B$9999="Variant")*(Raw_Data_Daily!$A$2:$A$9999=$A7)*(Raw_Data_Daily!$C$2:$C$9999=$C$3)*Raw_Data_Daily!$D$2:$D$9999*Raw_Data_Daily!$AS$2:$AS$9999)/SUMIFS(Raw_Data_Daily!$D:$D, Raw_Data_Daily!$B:$B, "Variant", Raw_Data_Daily!$A:$A, $A7, Raw_Data_Daily!$C:$C, $C$3),""))</f>
        <v>19.5902</v>
      </c>
      <c r="DZ7" s="162">
        <f t="shared" ref="DZ7:DZ35" si="39">IF($A7="","",IFERROR((DY7-DX7)/ABS(DX7),""))</f>
        <v>0.09097490616</v>
      </c>
      <c r="EA7" s="137">
        <f>IF($A7="","",IFERROR(SUMPRODUCT((Raw_Data_Daily!$B$2:$B$9999="Control")*(Raw_Data_Daily!$A$2:$A$9999=$A7)*(Raw_Data_Daily!$C$2:$C$9999=$C$3)*Raw_Data_Daily!$D$2:$D$9999*Raw_Data_Daily!$AT$2:$AT$9999)/SUMIFS(Raw_Data_Daily!$D:$D, Raw_Data_Daily!$B:$B, "Control", Raw_Data_Daily!$A:$A, $A7, Raw_Data_Daily!$C:$C, $C$3),""))</f>
        <v>14.7559</v>
      </c>
      <c r="EB7" s="137">
        <f>IF($A7="","",IFERROR(SUMPRODUCT((Raw_Data_Daily!$B$2:$B$9999="Variant")*(Raw_Data_Daily!$A$2:$A$9999=$A7)*(Raw_Data_Daily!$C$2:$C$9999=$C$3)*Raw_Data_Daily!$D$2:$D$9999*Raw_Data_Daily!$AT$2:$AT$9999)/SUMIFS(Raw_Data_Daily!$D:$D, Raw_Data_Daily!$B:$B, "Variant", Raw_Data_Daily!$A:$A, $A7, Raw_Data_Daily!$C:$C, $C$3),""))</f>
        <v>15.1675</v>
      </c>
      <c r="EC7" s="161">
        <f t="shared" ref="EC7:EC35" si="40">IF($A7="","",IFERROR((EB7-EA7)/ABS(EA7),""))</f>
        <v>0.02789392717</v>
      </c>
      <c r="ED7" s="137">
        <f>IF($A7="","",IFERROR(SUMPRODUCT((Raw_Data_Daily!$B$2:$B$9999="Control")*(Raw_Data_Daily!$A$2:$A$9999=$A7)*(Raw_Data_Daily!$C$2:$C$9999=$C$3)*Raw_Data_Daily!$D$2:$D$9999*(Raw_Data_Daily!$AQ$2:$AQ$9999-Raw_Data_Daily!$AT$2:$AT$9999))/SUMIFS(Raw_Data_Daily!$D:$D, Raw_Data_Daily!$B:$B, "Control", Raw_Data_Daily!$A:$A, $A7, Raw_Data_Daily!$C:$C, $C$3),""))</f>
        <v>3.523</v>
      </c>
      <c r="EE7" s="137">
        <f>IF($A7="","",IFERROR(SUMPRODUCT((Raw_Data_Daily!$B$2:$B$9999="Variant")*(Raw_Data_Daily!$A$2:$A$9999=$A7)*(Raw_Data_Daily!$C$2:$C$9999=$C$3)*Raw_Data_Daily!$D$2:$D$9999*(Raw_Data_Daily!$AQ$2:$AQ$9999-Raw_Data_Daily!$AT$2:$AT$9999))/SUMIFS(Raw_Data_Daily!$D:$D, Raw_Data_Daily!$B:$B, "Variant", Raw_Data_Daily!$A:$A, $A7, Raw_Data_Daily!$C:$C, $C$3),""))</f>
        <v>5.0473</v>
      </c>
      <c r="EF7" s="162">
        <f t="shared" ref="EF7:EF35" si="41">IF($A7="","",IFERROR((EE7-ED7)/ABS(ED7),""))</f>
        <v>0.432671019</v>
      </c>
      <c r="EG7" s="137">
        <f>IF($A7="","",IFERROR(SUMPRODUCT((Raw_Data_Daily!$B$2:$B$9999="Control")*(Raw_Data_Daily!$A$2:$A$9999=$A7)*(Raw_Data_Daily!$C$2:$C$9999=$C$3)*Raw_Data_Daily!$D$2:$D$9999*Raw_Data_Daily!$AU$2:$AU$9999)/SUMIFS(Raw_Data_Daily!$D:$D, Raw_Data_Daily!$B:$B, "Control", Raw_Data_Daily!$A:$A, $A7, Raw_Data_Daily!$C:$C, $C$3),""))</f>
        <v>0.1999</v>
      </c>
      <c r="EH7" s="137">
        <f>IF($A7="","",IFERROR(SUMPRODUCT((Raw_Data_Daily!$B$2:$B$9999="Variant")*(Raw_Data_Daily!$A$2:$A$9999=$A7)*(Raw_Data_Daily!$C$2:$C$9999=$C$3)*Raw_Data_Daily!$D$2:$D$9999*Raw_Data_Daily!$AU$2:$AU$9999)/SUMIFS(Raw_Data_Daily!$D:$D, Raw_Data_Daily!$B:$B, "Variant", Raw_Data_Daily!$A:$A, $A7, Raw_Data_Daily!$C:$C, $C$3),""))</f>
        <v>0.1995</v>
      </c>
      <c r="EI7" s="161">
        <f t="shared" ref="EI7:EI35" si="42">IF($A7="","",IFERROR((EH7-EG7)/ABS(EG7),""))</f>
        <v>-0.0020010005</v>
      </c>
    </row>
    <row r="8" ht="15.75" customHeight="1">
      <c r="A8" s="125">
        <v>46231.0</v>
      </c>
      <c r="B8" s="126">
        <f>IF($A8="","",SUMIFS(Raw_Data_Daily!$D:$D, Raw_Data_Daily!$B:$B, "Control", Raw_Data_Daily!$A:$A, $A8, Raw_Data_Daily!$C:$C, $C$3))</f>
        <v>3066</v>
      </c>
      <c r="C8" s="126">
        <f>IF($A8="","",SUMIFS(Raw_Data_Daily!$D:$D, Raw_Data_Daily!$B:$B, "Variant", Raw_Data_Daily!$A:$A, $A8, Raw_Data_Daily!$C:$C, $C$3))</f>
        <v>2898</v>
      </c>
      <c r="D8" s="127">
        <f t="shared" si="1"/>
        <v>-0.05479452055</v>
      </c>
      <c r="E8" s="128">
        <f>IF($A8="","",IFERROR(SUMPRODUCT((Raw_Data_Daily!$B$2:$B$9999="Control")*(Raw_Data_Daily!$A$2:$A$9999=$A8)*(Raw_Data_Daily!$C$2:$C$9999=$C$3)*Raw_Data_Daily!$D$2:$D$9999*Raw_Data_Daily!$E$2:$E$9999)/SUMIFS(Raw_Data_Daily!$D:$D, Raw_Data_Daily!$B:$B, "Control", Raw_Data_Daily!$A:$A, $A8, Raw_Data_Daily!$C:$C, $C$3),""))</f>
        <v>11.24</v>
      </c>
      <c r="F8" s="128">
        <f>IF($A8="","",IFERROR(SUMPRODUCT((Raw_Data_Daily!$B$2:$B$9999="Variant")*(Raw_Data_Daily!$A$2:$A$9999=$A8)*(Raw_Data_Daily!$C$2:$C$9999=$C$3)*Raw_Data_Daily!$D$2:$D$9999*Raw_Data_Daily!$E$2:$E$9999)/SUMIFS(Raw_Data_Daily!$D:$D, Raw_Data_Daily!$B:$B, "Variant", Raw_Data_Daily!$A:$A, $A8, Raw_Data_Daily!$C:$C, $C$3),""))</f>
        <v>10.74</v>
      </c>
      <c r="G8" s="127">
        <f t="shared" si="2"/>
        <v>-0.04448398577</v>
      </c>
      <c r="H8" s="129">
        <f>IF($A8="","",SUMIFS(Raw_Data_Daily!$F:$F, Raw_Data_Daily!$B:$B, "Control", Raw_Data_Daily!$A:$A, $A8, Raw_Data_Daily!$C:$C, $C$3))</f>
        <v>508.06</v>
      </c>
      <c r="I8" s="129">
        <f>IF($A8="","",SUMIFS(Raw_Data_Daily!$F:$F, Raw_Data_Daily!$B:$B, "Variant", Raw_Data_Daily!$A:$A, $A8, Raw_Data_Daily!$C:$C, $C$3))</f>
        <v>692.03</v>
      </c>
      <c r="J8" s="130">
        <f t="shared" si="3"/>
        <v>0.3621029012</v>
      </c>
      <c r="K8" s="131">
        <f>IF($A8="","",IFERROR(SUMIFS(Raw_Data_Daily!$F:$F, Raw_Data_Daily!$B:$B, "Control", Raw_Data_Daily!$A:$A, $A8, Raw_Data_Daily!$C:$C, $C$3)/SUMIFS(Raw_Data_Daily!$D:$D, Raw_Data_Daily!$B:$B, "Control", Raw_Data_Daily!$A:$A, $A8, Raw_Data_Daily!$C:$C, $C$3),""))</f>
        <v>0.1657077626</v>
      </c>
      <c r="L8" s="131">
        <f>IF($A8="","",IFERROR(SUMIFS(Raw_Data_Daily!$F:$F, Raw_Data_Daily!$B:$B, "Variant", Raw_Data_Daily!$A:$A, $A8, Raw_Data_Daily!$C:$C, $C$3)/SUMIFS(Raw_Data_Daily!$D:$D, Raw_Data_Daily!$B:$B, "Variant", Raw_Data_Daily!$A:$A, $A8, Raw_Data_Daily!$C:$C, $C$3),""))</f>
        <v>0.2387957212</v>
      </c>
      <c r="M8" s="130">
        <f t="shared" si="4"/>
        <v>0.4410653883</v>
      </c>
      <c r="N8" s="128">
        <f>IF($A8="","",IFERROR(SUMPRODUCT((Raw_Data_Daily!$B$2:$B$9999="Control")*(Raw_Data_Daily!$A$2:$A$9999=$A8)*(Raw_Data_Daily!$C$2:$C$9999=$C$3)*Raw_Data_Daily!$D$2:$D$9999*Raw_Data_Daily!$H$2:$H$9999/100)/SUMIFS(Raw_Data_Daily!$D:$D, Raw_Data_Daily!$B:$B, "Control", Raw_Data_Daily!$A:$A, $A8, Raw_Data_Daily!$C:$C, $C$3)*100,""))</f>
        <v>3.36</v>
      </c>
      <c r="O8" s="128">
        <f>IF($A8="","",IFERROR(SUMPRODUCT((Raw_Data_Daily!$B$2:$B$9999="Variant")*(Raw_Data_Daily!$A$2:$A$9999=$A8)*(Raw_Data_Daily!$C$2:$C$9999=$C$3)*Raw_Data_Daily!$D$2:$D$9999*Raw_Data_Daily!$H$2:$H$9999/100)/SUMIFS(Raw_Data_Daily!$D:$D, Raw_Data_Daily!$B:$B, "Variant", Raw_Data_Daily!$A:$A, $A8, Raw_Data_Daily!$C:$C, $C$3)*100,""))</f>
        <v>3.76</v>
      </c>
      <c r="P8" s="130">
        <f t="shared" si="5"/>
        <v>0.119047619</v>
      </c>
      <c r="Q8" s="131">
        <f>IF($A8="","",IFERROR(SUMIFS(Raw_Data_Daily!$F:$F, Raw_Data_Daily!$B:$B, "Control", Raw_Data_Daily!$A:$A, $A8, Raw_Data_Daily!$C:$C, $C$3)/SUMPRODUCT((Raw_Data_Daily!$B$2:$B$9999="Control")*(Raw_Data_Daily!$A$2:$A$9999=$A8)*(Raw_Data_Daily!$C$2:$C$9999=$C$3)*Raw_Data_Daily!$D$2:$D$9999*Raw_Data_Daily!$H$2:$H$9999/100),""))</f>
        <v>4.931778648</v>
      </c>
      <c r="R8" s="131">
        <f>IF($A8="","",IFERROR(SUMIFS(Raw_Data_Daily!$F:$F, Raw_Data_Daily!$B:$B, "Variant", Raw_Data_Daily!$A:$A, $A8, Raw_Data_Daily!$C:$C, $C$3)/SUMPRODUCT((Raw_Data_Daily!$B$2:$B$9999="Variant")*(Raw_Data_Daily!$A$2:$A$9999=$A8)*(Raw_Data_Daily!$C$2:$C$9999=$C$3)*Raw_Data_Daily!$D$2:$D$9999*Raw_Data_Daily!$H$2:$H$9999/100),""))</f>
        <v>6.350950032</v>
      </c>
      <c r="S8" s="130">
        <f t="shared" si="6"/>
        <v>0.2877605597</v>
      </c>
      <c r="T8" s="132">
        <f>IF($A8="","",IFERROR(SUMPRODUCT((Raw_Data_Daily!$B$2:$B$9999="Control")*(Raw_Data_Daily!$A$2:$A$9999=$A8)*(Raw_Data_Daily!$C$2:$C$9999=$C$3)*Raw_Data_Daily!$D$2:$D$9999*Raw_Data_Daily!$J$2:$J$9999)/SUMIFS(Raw_Data_Daily!$D:$D, Raw_Data_Daily!$B:$B, "Control", Raw_Data_Daily!$A:$A, $A8, Raw_Data_Daily!$C:$C, $C$3),""))</f>
        <v>110.17</v>
      </c>
      <c r="U8" s="132">
        <f>IF($A8="","",IFERROR(SUMPRODUCT((Raw_Data_Daily!$B$2:$B$9999="Variant")*(Raw_Data_Daily!$A$2:$A$9999=$A8)*(Raw_Data_Daily!$C$2:$C$9999=$C$3)*Raw_Data_Daily!$D$2:$D$9999*Raw_Data_Daily!$J$2:$J$9999)/SUMIFS(Raw_Data_Daily!$D:$D, Raw_Data_Daily!$B:$B, "Variant", Raw_Data_Daily!$A:$A, $A8, Raw_Data_Daily!$C:$C, $C$3),""))</f>
        <v>116.37</v>
      </c>
      <c r="V8" s="130">
        <f t="shared" si="7"/>
        <v>0.05627666334</v>
      </c>
      <c r="W8" s="132">
        <f>IF($A8="","",IFERROR(SUMPRODUCT((Raw_Data_Daily!$B$2:$B$9999="Control")*(Raw_Data_Daily!$A$2:$A$9999=$A8)*(Raw_Data_Daily!$C$2:$C$9999=$C$3)*Raw_Data_Daily!$D$2:$D$9999*Raw_Data_Daily!$K$2:$K$9999)/SUMIFS(Raw_Data_Daily!$D:$D, Raw_Data_Daily!$B:$B, "Control", Raw_Data_Daily!$A:$A, $A8, Raw_Data_Daily!$C:$C, $C$3),""))</f>
        <v>68.59</v>
      </c>
      <c r="X8" s="132">
        <f>IF($A8="","",IFERROR(SUMPRODUCT((Raw_Data_Daily!$B$2:$B$9999="Variant")*(Raw_Data_Daily!$A$2:$A$9999=$A8)*(Raw_Data_Daily!$C$2:$C$9999=$C$3)*Raw_Data_Daily!$D$2:$D$9999*Raw_Data_Daily!$K$2:$K$9999)/SUMIFS(Raw_Data_Daily!$D:$D, Raw_Data_Daily!$B:$B, "Variant", Raw_Data_Daily!$A:$A, $A8, Raw_Data_Daily!$C:$C, $C$3),""))</f>
        <v>70.63</v>
      </c>
      <c r="Y8" s="130">
        <f t="shared" si="8"/>
        <v>0.02974194489</v>
      </c>
      <c r="Z8" s="132">
        <f>IF($A8="","",IFERROR(SUMPRODUCT((Raw_Data_Daily!$B$2:$B$9999="Control")*(Raw_Data_Daily!$A$2:$A$9999=$A8)*(Raw_Data_Daily!$C$2:$C$9999=$C$3)*Raw_Data_Daily!$D$2:$D$9999*Raw_Data_Daily!$L$2:$L$9999)/SUMIFS(Raw_Data_Daily!$D:$D, Raw_Data_Daily!$B:$B, "Control", Raw_Data_Daily!$A:$A, $A8, Raw_Data_Daily!$C:$C, $C$3),""))</f>
        <v>52.1</v>
      </c>
      <c r="AA8" s="132">
        <f>IF($A8="","",IFERROR(SUMPRODUCT((Raw_Data_Daily!$B$2:$B$9999="Variant")*(Raw_Data_Daily!$A$2:$A$9999=$A8)*(Raw_Data_Daily!$C$2:$C$9999=$C$3)*Raw_Data_Daily!$D$2:$D$9999*Raw_Data_Daily!$L$2:$L$9999)/SUMIFS(Raw_Data_Daily!$D:$D, Raw_Data_Daily!$B:$B, "Variant", Raw_Data_Daily!$A:$A, $A8, Raw_Data_Daily!$C:$C, $C$3),""))</f>
        <v>52.27</v>
      </c>
      <c r="AB8" s="130">
        <f t="shared" si="9"/>
        <v>0.003262955854</v>
      </c>
      <c r="AC8" s="137">
        <f>IF($A8="","",IFERROR(SUMPRODUCT((Raw_Data_Daily!$B$2:$B$9999="Control")*(Raw_Data_Daily!$A$2:$A$9999=$A8)*(Raw_Data_Daily!$C$2:$C$9999=$C$3)*Raw_Data_Daily!$D$2:$D$9999*Raw_Data_Daily!$M$2:$M$9999)/SUMIFS(Raw_Data_Daily!$D:$D, Raw_Data_Daily!$B:$B, "Control", Raw_Data_Daily!$A:$A, $A8, Raw_Data_Daily!$C:$C, $C$3),""))</f>
        <v>0.7595</v>
      </c>
      <c r="AD8" s="137">
        <f>IF($A8="","",IFERROR(SUMPRODUCT((Raw_Data_Daily!$B$2:$B$9999="Variant")*(Raw_Data_Daily!$A$2:$A$9999=$A8)*(Raw_Data_Daily!$C$2:$C$9999=$C$3)*Raw_Data_Daily!$D$2:$D$9999*Raw_Data_Daily!$M$2:$M$9999)/SUMIFS(Raw_Data_Daily!$D:$D, Raw_Data_Daily!$B:$B, "Variant", Raw_Data_Daily!$A:$A, $A8, Raw_Data_Daily!$C:$C, $C$3),""))</f>
        <v>0.7401</v>
      </c>
      <c r="AE8" s="139">
        <f t="shared" si="10"/>
        <v>-0.02554312047</v>
      </c>
      <c r="AF8" s="137">
        <f>IF($A8="","",IFERROR(SUMPRODUCT((Raw_Data_Daily!$B$2:$B$9999="Control")*(Raw_Data_Daily!$A$2:$A$9999=$A8)*(Raw_Data_Daily!$C$2:$C$9999=$C$3)*Raw_Data_Daily!$D$2:$D$9999*Raw_Data_Daily!$N$2:$N$9999)/SUMIFS(Raw_Data_Daily!$D:$D, Raw_Data_Daily!$B:$B, "Control", Raw_Data_Daily!$A:$A, $A8, Raw_Data_Daily!$C:$C, $C$3),""))</f>
        <v>0.3492</v>
      </c>
      <c r="AG8" s="137">
        <f>IF($A8="","",IFERROR(SUMPRODUCT((Raw_Data_Daily!$B$2:$B$9999="Variant")*(Raw_Data_Daily!$A$2:$A$9999=$A8)*(Raw_Data_Daily!$C$2:$C$9999=$C$3)*Raw_Data_Daily!$D$2:$D$9999*Raw_Data_Daily!$N$2:$N$9999)/SUMIFS(Raw_Data_Daily!$D:$D, Raw_Data_Daily!$B:$B, "Variant", Raw_Data_Daily!$A:$A, $A8, Raw_Data_Daily!$C:$C, $C$3),""))</f>
        <v>0.3627</v>
      </c>
      <c r="AH8" s="139">
        <f t="shared" si="11"/>
        <v>0.03865979381</v>
      </c>
      <c r="AI8" s="137">
        <f>IF($A8="","",IFERROR(SUMPRODUCT((Raw_Data_Daily!$B$2:$B$9999="Control")*(Raw_Data_Daily!$A$2:$A$9999=$A8)*(Raw_Data_Daily!$C$2:$C$9999=$C$3)*Raw_Data_Daily!$D$2:$D$9999*Raw_Data_Daily!$O$2:$O$9999)/SUMIFS(Raw_Data_Daily!$D:$D, Raw_Data_Daily!$B:$B, "Control", Raw_Data_Daily!$A:$A, $A8, Raw_Data_Daily!$C:$C, $C$3),""))</f>
        <v>0.2311</v>
      </c>
      <c r="AJ8" s="137">
        <f>IF($A8="","",IFERROR(SUMPRODUCT((Raw_Data_Daily!$B$2:$B$9999="Variant")*(Raw_Data_Daily!$A$2:$A$9999=$A8)*(Raw_Data_Daily!$C$2:$C$9999=$C$3)*Raw_Data_Daily!$D$2:$D$9999*Raw_Data_Daily!$O$2:$O$9999)/SUMIFS(Raw_Data_Daily!$D:$D, Raw_Data_Daily!$B:$B, "Variant", Raw_Data_Daily!$A:$A, $A8, Raw_Data_Daily!$C:$C, $C$3),""))</f>
        <v>0.2306</v>
      </c>
      <c r="AK8" s="130">
        <f t="shared" si="12"/>
        <v>-0.002163565556</v>
      </c>
      <c r="AL8" s="132">
        <f>IF($A8="","",IFERROR(SUMPRODUCT((Raw_Data_Daily!$B$2:$B$9999="Control")*(Raw_Data_Daily!$A$2:$A$9999=$A8)*(Raw_Data_Daily!$C$2:$C$9999=$C$3)*Raw_Data_Daily!$D$2:$D$9999*Raw_Data_Daily!$P$2:$P$9999)/SUMIFS(Raw_Data_Daily!$D:$D, Raw_Data_Daily!$B:$B, "Control", Raw_Data_Daily!$A:$A, $A8, Raw_Data_Daily!$C:$C, $C$3),""))</f>
        <v>1.3166</v>
      </c>
      <c r="AM8" s="132">
        <f>IF($A8="","",IFERROR(SUMPRODUCT((Raw_Data_Daily!$B$2:$B$9999="Variant")*(Raw_Data_Daily!$A$2:$A$9999=$A8)*(Raw_Data_Daily!$C$2:$C$9999=$C$3)*Raw_Data_Daily!$D$2:$D$9999*Raw_Data_Daily!$P$2:$P$9999)/SUMIFS(Raw_Data_Daily!$D:$D, Raw_Data_Daily!$B:$B, "Variant", Raw_Data_Daily!$A:$A, $A8, Raw_Data_Daily!$C:$C, $C$3),""))</f>
        <v>1.3512</v>
      </c>
      <c r="AN8" s="130">
        <f t="shared" si="13"/>
        <v>0.02627981164</v>
      </c>
      <c r="AO8" s="132">
        <f>IF($A8="","",IFERROR(SUMPRODUCT((Raw_Data_Daily!$B$2:$B$9999="Control")*(Raw_Data_Daily!$A$2:$A$9999=$A8)*(Raw_Data_Daily!$C$2:$C$9999=$C$3)*Raw_Data_Daily!$D$2:$D$9999*Raw_Data_Daily!$Q$2:$Q$9999)/SUMIFS(Raw_Data_Daily!$D:$D, Raw_Data_Daily!$B:$B, "Control", Raw_Data_Daily!$A:$A, $A8, Raw_Data_Daily!$C:$C, $C$3),""))</f>
        <v>347.71</v>
      </c>
      <c r="AP8" s="132">
        <f>IF($A8="","",IFERROR(SUMPRODUCT((Raw_Data_Daily!$B$2:$B$9999="Variant")*(Raw_Data_Daily!$A$2:$A$9999=$A8)*(Raw_Data_Daily!$C$2:$C$9999=$C$3)*Raw_Data_Daily!$D$2:$D$9999*Raw_Data_Daily!$Q$2:$Q$9999)/SUMIFS(Raw_Data_Daily!$D:$D, Raw_Data_Daily!$B:$B, "Variant", Raw_Data_Daily!$A:$A, $A8, Raw_Data_Daily!$C:$C, $C$3),""))</f>
        <v>232.56</v>
      </c>
      <c r="AQ8" s="127">
        <f t="shared" si="14"/>
        <v>-0.3311667769</v>
      </c>
      <c r="AR8" s="132">
        <f>IF($A8="","",IFERROR(SUMPRODUCT((Raw_Data_Daily!$B$2:$B$9999="Control")*(Raw_Data_Daily!$A$2:$A$9999=$A8)*(Raw_Data_Daily!$C$2:$C$9999=$C$3)*Raw_Data_Daily!$D$2:$D$9999*Raw_Data_Daily!$R$2:$R$9999)/SUMIFS(Raw_Data_Daily!$D:$D, Raw_Data_Daily!$B:$B, "Control", Raw_Data_Daily!$A:$A, $A8, Raw_Data_Daily!$C:$C, $C$3),""))</f>
        <v>240.66</v>
      </c>
      <c r="AS8" s="132">
        <f>IF($A8="","",IFERROR(SUMPRODUCT((Raw_Data_Daily!$B$2:$B$9999="Variant")*(Raw_Data_Daily!$A$2:$A$9999=$A8)*(Raw_Data_Daily!$C$2:$C$9999=$C$3)*Raw_Data_Daily!$D$2:$D$9999*Raw_Data_Daily!$R$2:$R$9999)/SUMIFS(Raw_Data_Daily!$D:$D, Raw_Data_Daily!$B:$B, "Variant", Raw_Data_Daily!$A:$A, $A8, Raw_Data_Daily!$C:$C, $C$3),""))</f>
        <v>201.43</v>
      </c>
      <c r="AT8" s="127">
        <f t="shared" si="15"/>
        <v>-0.1630100557</v>
      </c>
      <c r="AU8" s="132">
        <f>IF($A8="","",IFERROR(SUMPRODUCT((Raw_Data_Daily!$B$2:$B$9999="Control")*(Raw_Data_Daily!$A$2:$A$9999=$A8)*(Raw_Data_Daily!$C$2:$C$9999=$C$3)*Raw_Data_Daily!$D$2:$D$9999*Raw_Data_Daily!$S$2:$S$9999)/SUMIFS(Raw_Data_Daily!$D:$D, Raw_Data_Daily!$B:$B, "Control", Raw_Data_Daily!$A:$A, $A8, Raw_Data_Daily!$C:$C, $C$3),""))</f>
        <v>107.05</v>
      </c>
      <c r="AV8" s="132">
        <f>IF($A8="","",IFERROR(SUMPRODUCT((Raw_Data_Daily!$B$2:$B$9999="Variant")*(Raw_Data_Daily!$A$2:$A$9999=$A8)*(Raw_Data_Daily!$C$2:$C$9999=$C$3)*Raw_Data_Daily!$D$2:$D$9999*Raw_Data_Daily!$S$2:$S$9999)/SUMIFS(Raw_Data_Daily!$D:$D, Raw_Data_Daily!$B:$B, "Variant", Raw_Data_Daily!$A:$A, $A8, Raw_Data_Daily!$C:$C, $C$3),""))</f>
        <v>31.12</v>
      </c>
      <c r="AW8" s="127">
        <f t="shared" si="16"/>
        <v>-0.7092947221</v>
      </c>
      <c r="AX8" s="132">
        <f>IF($A8="","",IFERROR(SUMPRODUCT((Raw_Data_Daily!$B$2:$B$9999="Control")*(Raw_Data_Daily!$A$2:$A$9999=$A8)*(Raw_Data_Daily!$C$2:$C$9999=$C$3)*Raw_Data_Daily!$D$2:$D$9999*Raw_Data_Daily!$T$2:$T$9999)/SUMIFS(Raw_Data_Daily!$D:$D, Raw_Data_Daily!$B:$B, "Control", Raw_Data_Daily!$A:$A, $A8, Raw_Data_Daily!$C:$C, $C$3),""))</f>
        <v>19.91</v>
      </c>
      <c r="AY8" s="132">
        <f>IF($A8="","",IFERROR(SUMPRODUCT((Raw_Data_Daily!$B$2:$B$9999="Variant")*(Raw_Data_Daily!$A$2:$A$9999=$A8)*(Raw_Data_Daily!$C$2:$C$9999=$C$3)*Raw_Data_Daily!$D$2:$D$9999*Raw_Data_Daily!$T$2:$T$9999)/SUMIFS(Raw_Data_Daily!$D:$D, Raw_Data_Daily!$B:$B, "Variant", Raw_Data_Daily!$A:$A, $A8, Raw_Data_Daily!$C:$C, $C$3),""))</f>
        <v>20.48</v>
      </c>
      <c r="AZ8" s="130">
        <f t="shared" si="17"/>
        <v>0.02862882973</v>
      </c>
      <c r="BA8" s="132">
        <f>IF($A8="","",IFERROR(SUMPRODUCT((Raw_Data_Daily!$B$2:$B$9999="Control")*(Raw_Data_Daily!$A$2:$A$9999=$A8)*(Raw_Data_Daily!$C$2:$C$9999=$C$3)*Raw_Data_Daily!$D$2:$D$9999*Raw_Data_Daily!$U$2:$U$9999)/SUMIFS(Raw_Data_Daily!$D:$D, Raw_Data_Daily!$B:$B, "Control", Raw_Data_Daily!$A:$A, $A8, Raw_Data_Daily!$C:$C, $C$3),""))</f>
        <v>327.8</v>
      </c>
      <c r="BB8" s="132">
        <f>IF($A8="","",IFERROR(SUMPRODUCT((Raw_Data_Daily!$B$2:$B$9999="Variant")*(Raw_Data_Daily!$A$2:$A$9999=$A8)*(Raw_Data_Daily!$C$2:$C$9999=$C$3)*Raw_Data_Daily!$D$2:$D$9999*Raw_Data_Daily!$U$2:$U$9999)/SUMIFS(Raw_Data_Daily!$D:$D, Raw_Data_Daily!$B:$B, "Variant", Raw_Data_Daily!$A:$A, $A8, Raw_Data_Daily!$C:$C, $C$3),""))</f>
        <v>212.08</v>
      </c>
      <c r="BC8" s="127">
        <f t="shared" si="18"/>
        <v>-0.3530201342</v>
      </c>
      <c r="BD8" s="132">
        <f>IF($A8="","",IFERROR(SUMPRODUCT((Raw_Data_Daily!$B$2:$B$9999="Control")*(Raw_Data_Daily!$A$2:$A$9999=$A8)*(Raw_Data_Daily!$C$2:$C$9999=$C$3)*Raw_Data_Daily!$D$2:$D$9999*Raw_Data_Daily!$V$2:$V$9999)/SUMIFS(Raw_Data_Daily!$D:$D, Raw_Data_Daily!$B:$B, "Control", Raw_Data_Daily!$A:$A, $A8, Raw_Data_Daily!$C:$C, $C$3),""))</f>
        <v>322.73</v>
      </c>
      <c r="BE8" s="132">
        <f>IF($A8="","",IFERROR(SUMPRODUCT((Raw_Data_Daily!$B$2:$B$9999="Variant")*(Raw_Data_Daily!$A$2:$A$9999=$A8)*(Raw_Data_Daily!$C$2:$C$9999=$C$3)*Raw_Data_Daily!$D$2:$D$9999*Raw_Data_Daily!$V$2:$V$9999)/SUMIFS(Raw_Data_Daily!$D:$D, Raw_Data_Daily!$B:$B, "Variant", Raw_Data_Daily!$A:$A, $A8, Raw_Data_Daily!$C:$C, $C$3),""))</f>
        <v>256.19</v>
      </c>
      <c r="BF8" s="127">
        <f t="shared" si="19"/>
        <v>-0.2061785393</v>
      </c>
      <c r="BG8" s="132">
        <f>IF($A8="","",IFERROR(SUMPRODUCT((Raw_Data_Daily!$B$2:$B$9999="Control")*(Raw_Data_Daily!$A$2:$A$9999=$A8)*(Raw_Data_Daily!$C$2:$C$9999=$C$3)*Raw_Data_Daily!$D$2:$D$9999*(Raw_Data_Daily!$Q$2:$Q$9999-Raw_Data_Daily!$V$2:$V$9999))/SUMIFS(Raw_Data_Daily!$D:$D, Raw_Data_Daily!$B:$B, "Control", Raw_Data_Daily!$A:$A, $A8, Raw_Data_Daily!$C:$C, $C$3),""))</f>
        <v>24.98</v>
      </c>
      <c r="BH8" s="132">
        <f>IF($A8="","",IFERROR(SUMPRODUCT((Raw_Data_Daily!$B$2:$B$9999="Variant")*(Raw_Data_Daily!$A$2:$A$9999=$A8)*(Raw_Data_Daily!$C$2:$C$9999=$C$3)*Raw_Data_Daily!$D$2:$D$9999*(Raw_Data_Daily!$Q$2:$Q$9999-Raw_Data_Daily!$V$2:$V$9999))/SUMIFS(Raw_Data_Daily!$D:$D, Raw_Data_Daily!$B:$B, "Variant", Raw_Data_Daily!$A:$A, $A8, Raw_Data_Daily!$C:$C, $C$3),""))</f>
        <v>-23.63</v>
      </c>
      <c r="BI8" s="127">
        <f t="shared" si="20"/>
        <v>-1.945956765</v>
      </c>
      <c r="BJ8" s="132">
        <f>IF($A8="","",IFERROR(SUMPRODUCT((Raw_Data_Daily!$B$2:$B$9999="Control")*(Raw_Data_Daily!$A$2:$A$9999=$A8)*(Raw_Data_Daily!$C$2:$C$9999=$C$3)*Raw_Data_Daily!$D$2:$D$9999*Raw_Data_Daily!$W$2:$W$9999)/SUMIFS(Raw_Data_Daily!$D:$D, Raw_Data_Daily!$B:$B, "Control", Raw_Data_Daily!$A:$A, $A8, Raw_Data_Daily!$C:$C, $C$3),""))</f>
        <v>4.705</v>
      </c>
      <c r="BK8" s="132">
        <f>IF($A8="","",IFERROR(SUMPRODUCT((Raw_Data_Daily!$B$2:$B$9999="Variant")*(Raw_Data_Daily!$A$2:$A$9999=$A8)*(Raw_Data_Daily!$C$2:$C$9999=$C$3)*Raw_Data_Daily!$D$2:$D$9999*Raw_Data_Daily!$W$2:$W$9999)/SUMIFS(Raw_Data_Daily!$D:$D, Raw_Data_Daily!$B:$B, "Variant", Raw_Data_Daily!$A:$A, $A8, Raw_Data_Daily!$C:$C, $C$3),""))</f>
        <v>3.6273</v>
      </c>
      <c r="BL8" s="127">
        <f t="shared" si="21"/>
        <v>-0.2290541977</v>
      </c>
      <c r="BM8" s="137">
        <f>IF($A8="","",IFERROR(SUMPRODUCT((Raw_Data_Daily!$B$2:$B$9999="Control")*(Raw_Data_Daily!$A$2:$A$9999=$A8)*(Raw_Data_Daily!$C$2:$C$9999=$C$3)*Raw_Data_Daily!$D$2:$D$9999*Raw_Data_Daily!$X$2:$X$9999)/SUMIFS(Raw_Data_Daily!$D:$D, Raw_Data_Daily!$B:$B, "Control", Raw_Data_Daily!$A:$A, $A8, Raw_Data_Daily!$C:$C, $C$3),""))</f>
        <v>5.73</v>
      </c>
      <c r="BN8" s="137">
        <f>IF($A8="","",IFERROR(SUMPRODUCT((Raw_Data_Daily!$B$2:$B$9999="Variant")*(Raw_Data_Daily!$A$2:$A$9999=$A8)*(Raw_Data_Daily!$C$2:$C$9999=$C$3)*Raw_Data_Daily!$D$2:$D$9999*Raw_Data_Daily!$X$2:$X$9999)/SUMIFS(Raw_Data_Daily!$D:$D, Raw_Data_Daily!$B:$B, "Variant", Raw_Data_Daily!$A:$A, $A8, Raw_Data_Daily!$C:$C, $C$3),""))</f>
        <v>8.81</v>
      </c>
      <c r="BO8" s="130">
        <f t="shared" si="22"/>
        <v>0.537521815</v>
      </c>
      <c r="BP8" s="126">
        <f>IF($A8="","",IFERROR(SUMPRODUCT((Raw_Data_Daily!$B$2:$B$9999="Control")*(Raw_Data_Daily!$A$2:$A$9999=$A8)*(Raw_Data_Daily!$C$2:$C$9999=$C$3)*Raw_Data_Daily!$D$2:$D$9999*Raw_Data_Daily!$Y$2:$Y$9999)/SUMIFS(Raw_Data_Daily!$D:$D, Raw_Data_Daily!$B:$B, "Control", Raw_Data_Daily!$A:$A, $A8, Raw_Data_Daily!$C:$C, $C$3),""))</f>
        <v>370</v>
      </c>
      <c r="BQ8" s="126">
        <f>IF($A8="","",IFERROR(SUMPRODUCT((Raw_Data_Daily!$B$2:$B$9999="Variant")*(Raw_Data_Daily!$A$2:$A$9999=$A8)*(Raw_Data_Daily!$C$2:$C$9999=$C$3)*Raw_Data_Daily!$D$2:$D$9999*Raw_Data_Daily!$Y$2:$Y$9999)/SUMIFS(Raw_Data_Daily!$D:$D, Raw_Data_Daily!$B:$B, "Variant", Raw_Data_Daily!$A:$A, $A8, Raw_Data_Daily!$C:$C, $C$3),""))</f>
        <v>302</v>
      </c>
      <c r="BR8" s="127">
        <f t="shared" si="23"/>
        <v>-0.1837837838</v>
      </c>
      <c r="BS8" s="126">
        <f>IF($A8="","",IFERROR(SUMPRODUCT((Raw_Data_Daily!$B$2:$B$9999="Control")*(Raw_Data_Daily!$A$2:$A$9999=$A8)*(Raw_Data_Daily!$C$2:$C$9999=$C$3)*Raw_Data_Daily!$D$2:$D$9999*Raw_Data_Daily!$Z$2:$Z$9999)/SUMIFS(Raw_Data_Daily!$D:$D, Raw_Data_Daily!$B:$B, "Control", Raw_Data_Daily!$A:$A, $A8, Raw_Data_Daily!$C:$C, $C$3),""))</f>
        <v>611</v>
      </c>
      <c r="BT8" s="126">
        <f>IF($A8="","",IFERROR(SUMPRODUCT((Raw_Data_Daily!$B$2:$B$9999="Variant")*(Raw_Data_Daily!$A$2:$A$9999=$A8)*(Raw_Data_Daily!$C$2:$C$9999=$C$3)*Raw_Data_Daily!$D$2:$D$9999*Raw_Data_Daily!$Z$2:$Z$9999)/SUMIFS(Raw_Data_Daily!$D:$D, Raw_Data_Daily!$B:$B, "Variant", Raw_Data_Daily!$A:$A, $A8, Raw_Data_Daily!$C:$C, $C$3),""))</f>
        <v>509</v>
      </c>
      <c r="BU8" s="127">
        <f t="shared" si="24"/>
        <v>-0.1669394435</v>
      </c>
      <c r="BV8" s="126">
        <f>IF($A8="","",IFERROR(SUMPRODUCT((Raw_Data_Daily!$B$2:$B$9999="Control")*(Raw_Data_Daily!$A$2:$A$9999=$A8)*(Raw_Data_Daily!$C$2:$C$9999=$C$3)*Raw_Data_Daily!$D$2:$D$9999*Raw_Data_Daily!$AA$2:$AA$9999)/SUMIFS(Raw_Data_Daily!$D:$D, Raw_Data_Daily!$B:$B, "Control", Raw_Data_Daily!$A:$A, $A8, Raw_Data_Daily!$C:$C, $C$3),""))</f>
        <v>1432</v>
      </c>
      <c r="BW8" s="126">
        <f>IF($A8="","",IFERROR(SUMPRODUCT((Raw_Data_Daily!$B$2:$B$9999="Variant")*(Raw_Data_Daily!$A$2:$A$9999=$A8)*(Raw_Data_Daily!$C$2:$C$9999=$C$3)*Raw_Data_Daily!$D$2:$D$9999*Raw_Data_Daily!$AA$2:$AA$9999)/SUMIFS(Raw_Data_Daily!$D:$D, Raw_Data_Daily!$B:$B, "Variant", Raw_Data_Daily!$A:$A, $A8, Raw_Data_Daily!$C:$C, $C$3),""))</f>
        <v>1250</v>
      </c>
      <c r="BX8" s="127">
        <f t="shared" si="25"/>
        <v>-0.1270949721</v>
      </c>
      <c r="BY8" s="132">
        <f>IF($A8="","",IFERROR(SUMPRODUCT((Raw_Data_Daily!$B$2:$B$9999="Control")*(Raw_Data_Daily!$A$2:$A$9999=$A8)*(Raw_Data_Daily!$C$2:$C$9999=$C$3)*Raw_Data_Daily!$D$2:$D$9999*Raw_Data_Daily!$AB$2:$AB$9999)/SUMIFS(Raw_Data_Daily!$D:$D, Raw_Data_Daily!$B:$B, "Control", Raw_Data_Daily!$A:$A, $A8, Raw_Data_Daily!$C:$C, $C$3),""))</f>
        <v>55.2714</v>
      </c>
      <c r="BZ8" s="132">
        <f>IF($A8="","",IFERROR(SUMPRODUCT((Raw_Data_Daily!$B$2:$B$9999="Variant")*(Raw_Data_Daily!$A$2:$A$9999=$A8)*(Raw_Data_Daily!$C$2:$C$9999=$C$3)*Raw_Data_Daily!$D$2:$D$9999*Raw_Data_Daily!$AB$2:$AB$9999)/SUMIFS(Raw_Data_Daily!$D:$D, Raw_Data_Daily!$B:$B, "Variant", Raw_Data_Daily!$A:$A, $A8, Raw_Data_Daily!$C:$C, $C$3),""))</f>
        <v>55.1871</v>
      </c>
      <c r="CA8" s="130">
        <f t="shared" si="26"/>
        <v>-0.001525201099</v>
      </c>
      <c r="CB8" s="132">
        <f>IF($A8="","",IFERROR(SUMPRODUCT((Raw_Data_Daily!$B$2:$B$9999="Control")*(Raw_Data_Daily!$A$2:$A$9999=$A8)*(Raw_Data_Daily!$C$2:$C$9999=$C$3)*Raw_Data_Daily!$D$2:$D$9999*Raw_Data_Daily!$AC$2:$AC$9999)/SUMIFS(Raw_Data_Daily!$D:$D, Raw_Data_Daily!$B:$B, "Control", Raw_Data_Daily!$A:$A, $A8, Raw_Data_Daily!$C:$C, $C$3),""))</f>
        <v>0.7848</v>
      </c>
      <c r="CC8" s="132">
        <f>IF($A8="","",IFERROR(SUMPRODUCT((Raw_Data_Daily!$B$2:$B$9999="Variant")*(Raw_Data_Daily!$A$2:$A$9999=$A8)*(Raw_Data_Daily!$C$2:$C$9999=$C$3)*Raw_Data_Daily!$D$2:$D$9999*Raw_Data_Daily!$AC$2:$AC$9999)/SUMIFS(Raw_Data_Daily!$D:$D, Raw_Data_Daily!$B:$B, "Variant", Raw_Data_Daily!$A:$A, $A8, Raw_Data_Daily!$C:$C, $C$3),""))</f>
        <v>0.7821</v>
      </c>
      <c r="CD8" s="130">
        <f t="shared" si="27"/>
        <v>-0.003440366972</v>
      </c>
      <c r="CE8" s="132">
        <f>IF($A8="","",IFERROR(SUMPRODUCT((Raw_Data_Daily!$B$2:$B$9999="Control")*(Raw_Data_Daily!$A$2:$A$9999=$A8)*(Raw_Data_Daily!$C$2:$C$9999=$C$3)*Raw_Data_Daily!$D$2:$D$9999*Raw_Data_Daily!$AD$2:$AD$9999)/SUMIFS(Raw_Data_Daily!$D:$D, Raw_Data_Daily!$B:$B, "Control", Raw_Data_Daily!$A:$A, $A8, Raw_Data_Daily!$C:$C, $C$3),""))</f>
        <v>29.85</v>
      </c>
      <c r="CF8" s="132">
        <f>IF($A8="","",IFERROR(SUMPRODUCT((Raw_Data_Daily!$B$2:$B$9999="Variant")*(Raw_Data_Daily!$A$2:$A$9999=$A8)*(Raw_Data_Daily!$C$2:$C$9999=$C$3)*Raw_Data_Daily!$D$2:$D$9999*Raw_Data_Daily!$AD$2:$AD$9999)/SUMIFS(Raw_Data_Daily!$D:$D, Raw_Data_Daily!$B:$B, "Variant", Raw_Data_Daily!$A:$A, $A8, Raw_Data_Daily!$C:$C, $C$3),""))</f>
        <v>29.1</v>
      </c>
      <c r="CG8" s="130">
        <f t="shared" si="28"/>
        <v>-0.02512562814</v>
      </c>
      <c r="CH8" s="132">
        <f>IF($A8="","",IFERROR(SUMPRODUCT((Raw_Data_Daily!$B$2:$B$9999="Control")*(Raw_Data_Daily!$A$2:$A$9999=$A8)*(Raw_Data_Daily!$C$2:$C$9999=$C$3)*Raw_Data_Daily!$D$2:$D$9999*Raw_Data_Daily!$AE$2:$AE$9999)/SUMIFS(Raw_Data_Daily!$D:$D, Raw_Data_Daily!$B:$B, "Control", Raw_Data_Daily!$A:$A, $A8, Raw_Data_Daily!$C:$C, $C$3),""))</f>
        <v>11</v>
      </c>
      <c r="CI8" s="132">
        <f>IF($A8="","",IFERROR(SUMPRODUCT((Raw_Data_Daily!$B$2:$B$9999="Variant")*(Raw_Data_Daily!$A$2:$A$9999=$A8)*(Raw_Data_Daily!$C$2:$C$9999=$C$3)*Raw_Data_Daily!$D$2:$D$9999*Raw_Data_Daily!$AE$2:$AE$9999)/SUMIFS(Raw_Data_Daily!$D:$D, Raw_Data_Daily!$B:$B, "Variant", Raw_Data_Daily!$A:$A, $A8, Raw_Data_Daily!$C:$C, $C$3),""))</f>
        <v>11</v>
      </c>
      <c r="CJ8" s="130">
        <f t="shared" si="29"/>
        <v>0</v>
      </c>
      <c r="CK8" s="132">
        <f>IF($A8="","",IFERROR(SUMPRODUCT((Raw_Data_Daily!$B$2:$B$9999="Control")*(Raw_Data_Daily!$A$2:$A$9999=$A8)*(Raw_Data_Daily!$C$2:$C$9999=$C$3)*Raw_Data_Daily!$D$2:$D$9999*Raw_Data_Daily!$AF$2:$AF$9999)/SUMIFS(Raw_Data_Daily!$D:$D, Raw_Data_Daily!$B:$B, "Control", Raw_Data_Daily!$A:$A, $A8, Raw_Data_Daily!$C:$C, $C$3),""))</f>
        <v>23</v>
      </c>
      <c r="CL8" s="132">
        <f>IF($A8="","",IFERROR(SUMPRODUCT((Raw_Data_Daily!$B$2:$B$9999="Variant")*(Raw_Data_Daily!$A$2:$A$9999=$A8)*(Raw_Data_Daily!$C$2:$C$9999=$C$3)*Raw_Data_Daily!$D$2:$D$9999*Raw_Data_Daily!$AF$2:$AF$9999)/SUMIFS(Raw_Data_Daily!$D:$D, Raw_Data_Daily!$B:$B, "Variant", Raw_Data_Daily!$A:$A, $A8, Raw_Data_Daily!$C:$C, $C$3),""))</f>
        <v>21</v>
      </c>
      <c r="CM8" s="130">
        <f t="shared" si="30"/>
        <v>-0.08695652174</v>
      </c>
      <c r="CN8" s="132">
        <f>IF($A8="","",IFERROR(SUMPRODUCT((Raw_Data_Daily!$B$2:$B$9999="Control")*(Raw_Data_Daily!$A$2:$A$9999=$A8)*(Raw_Data_Daily!$C$2:$C$9999=$C$3)*Raw_Data_Daily!$D$2:$D$9999*Raw_Data_Daily!$AG$2:$AG$9999)/SUMIFS(Raw_Data_Daily!$D:$D, Raw_Data_Daily!$B:$B, "Control", Raw_Data_Daily!$A:$A, $A8, Raw_Data_Daily!$C:$C, $C$3),""))</f>
        <v>42</v>
      </c>
      <c r="CO8" s="132">
        <f>IF($A8="","",IFERROR(SUMPRODUCT((Raw_Data_Daily!$B$2:$B$9999="Variant")*(Raw_Data_Daily!$A$2:$A$9999=$A8)*(Raw_Data_Daily!$C$2:$C$9999=$C$3)*Raw_Data_Daily!$D$2:$D$9999*Raw_Data_Daily!$AG$2:$AG$9999)/SUMIFS(Raw_Data_Daily!$D:$D, Raw_Data_Daily!$B:$B, "Variant", Raw_Data_Daily!$A:$A, $A8, Raw_Data_Daily!$C:$C, $C$3),""))</f>
        <v>41</v>
      </c>
      <c r="CP8" s="130">
        <f t="shared" si="31"/>
        <v>-0.02380952381</v>
      </c>
      <c r="CQ8" s="132">
        <f>IF($A8="","",IFERROR(SUMPRODUCT((Raw_Data_Daily!$B$2:$B$9999="Control")*(Raw_Data_Daily!$A$2:$A$9999=$A8)*(Raw_Data_Daily!$C$2:$C$9999=$C$3)*Raw_Data_Daily!$D$2:$D$9999*Raw_Data_Daily!$AH$2:$AH$9999)/SUMIFS(Raw_Data_Daily!$D:$D, Raw_Data_Daily!$B:$B, "Control", Raw_Data_Daily!$A:$A, $A8, Raw_Data_Daily!$C:$C, $C$3),""))</f>
        <v>61</v>
      </c>
      <c r="CR8" s="132">
        <f>IF($A8="","",IFERROR(SUMPRODUCT((Raw_Data_Daily!$B$2:$B$9999="Variant")*(Raw_Data_Daily!$A$2:$A$9999=$A8)*(Raw_Data_Daily!$C$2:$C$9999=$C$3)*Raw_Data_Daily!$D$2:$D$9999*Raw_Data_Daily!$AH$2:$AH$9999)/SUMIFS(Raw_Data_Daily!$D:$D, Raw_Data_Daily!$B:$B, "Variant", Raw_Data_Daily!$A:$A, $A8, Raw_Data_Daily!$C:$C, $C$3),""))</f>
        <v>60</v>
      </c>
      <c r="CS8" s="130">
        <f t="shared" si="32"/>
        <v>-0.01639344262</v>
      </c>
      <c r="CT8" s="128">
        <f>IF($A8="","",IFERROR(SUMPRODUCT((Raw_Data_Daily!$B$2:$B$9999="Control")*(Raw_Data_Daily!$A$2:$A$9999=$A8)*(Raw_Data_Daily!$C$2:$C$9999=$C$3)*Raw_Data_Daily!$D$2:$D$9999*Raw_Data_Daily!$AI$2:$AI$9999)/SUMIFS(Raw_Data_Daily!$D:$D, Raw_Data_Daily!$B:$B, "Control", Raw_Data_Daily!$A:$A, $A8, Raw_Data_Daily!$C:$C, $C$3),""))</f>
        <v>41.45</v>
      </c>
      <c r="CU8" s="128">
        <f>IF($A8="","",IFERROR(SUMPRODUCT((Raw_Data_Daily!$B$2:$B$9999="Variant")*(Raw_Data_Daily!$A$2:$A$9999=$A8)*(Raw_Data_Daily!$C$2:$C$9999=$C$3)*Raw_Data_Daily!$D$2:$D$9999*Raw_Data_Daily!$AI$2:$AI$9999)/SUMIFS(Raw_Data_Daily!$D:$D, Raw_Data_Daily!$B:$B, "Variant", Raw_Data_Daily!$A:$A, $A8, Raw_Data_Daily!$C:$C, $C$3),""))</f>
        <v>40.48</v>
      </c>
      <c r="CV8" s="139">
        <f t="shared" si="33"/>
        <v>-0.02340168878</v>
      </c>
      <c r="CW8" s="128">
        <f>IF($A8="","",IFERROR(SUMPRODUCT((Raw_Data_Daily!$B$2:$B$9999="Control")*(Raw_Data_Daily!$A$2:$A$9999=$A8)*(Raw_Data_Daily!$C$2:$C$9999=$C$3)*Raw_Data_Daily!$D$2:$D$9999*Raw_Data_Daily!$AJ$2:$AJ$9999)/SUMIFS(Raw_Data_Daily!$D:$D, Raw_Data_Daily!$B:$B, "Control", Raw_Data_Daily!$A:$A, $A8, Raw_Data_Daily!$C:$C, $C$3),""))</f>
        <v>10.93</v>
      </c>
      <c r="CX8" s="128">
        <f>IF($A8="","",IFERROR(SUMPRODUCT((Raw_Data_Daily!$B$2:$B$9999="Variant")*(Raw_Data_Daily!$A$2:$A$9999=$A8)*(Raw_Data_Daily!$C$2:$C$9999=$C$3)*Raw_Data_Daily!$D$2:$D$9999*Raw_Data_Daily!$AJ$2:$AJ$9999)/SUMIFS(Raw_Data_Daily!$D:$D, Raw_Data_Daily!$B:$B, "Variant", Raw_Data_Daily!$A:$A, $A8, Raw_Data_Daily!$C:$C, $C$3),""))</f>
        <v>10.25</v>
      </c>
      <c r="CY8" s="139">
        <f t="shared" si="34"/>
        <v>-0.06221408966</v>
      </c>
      <c r="CZ8" s="128">
        <f>IF($A8="","",IFERROR(SUMPRODUCT((Raw_Data_Daily!$B$2:$B$9999="Control")*(Raw_Data_Daily!$A$2:$A$9999=$A8)*(Raw_Data_Daily!$C$2:$C$9999=$C$3)*Raw_Data_Daily!$D$2:$D$9999*Raw_Data_Daily!$AK$2:$AK$9999)/SUMIFS(Raw_Data_Daily!$D:$D, Raw_Data_Daily!$B:$B, "Control", Raw_Data_Daily!$A:$A, $A8, Raw_Data_Daily!$C:$C, $C$3),""))</f>
        <v>2.02</v>
      </c>
      <c r="DA8" s="128">
        <f>IF($A8="","",IFERROR(SUMPRODUCT((Raw_Data_Daily!$B$2:$B$9999="Variant")*(Raw_Data_Daily!$A$2:$A$9999=$A8)*(Raw_Data_Daily!$C$2:$C$9999=$C$3)*Raw_Data_Daily!$D$2:$D$9999*Raw_Data_Daily!$AK$2:$AK$9999)/SUMIFS(Raw_Data_Daily!$D:$D, Raw_Data_Daily!$B:$B, "Variant", Raw_Data_Daily!$A:$A, $A8, Raw_Data_Daily!$C:$C, $C$3),""))</f>
        <v>2.31</v>
      </c>
      <c r="DB8" s="130">
        <f t="shared" si="35"/>
        <v>0.1435643564</v>
      </c>
      <c r="DC8" s="137">
        <f>IF($A8="","",IFERROR(SUMPRODUCT((Raw_Data_Daily!$B$2:$B$9999="Control")*(Raw_Data_Daily!$A$2:$A$9999=$A8)*(Raw_Data_Daily!$C$2:$C$9999=$C$3)*Raw_Data_Daily!$D$2:$D$9999*Raw_Data_Daily!$AL$2:$AL$9999)/SUMIFS(Raw_Data_Daily!$D:$D, Raw_Data_Daily!$B:$B, "Control", Raw_Data_Daily!$A:$A, $A8, Raw_Data_Daily!$C:$C, $C$3),""))</f>
        <v>0.1791</v>
      </c>
      <c r="DD8" s="137">
        <f>IF($A8="","",IFERROR(SUMPRODUCT((Raw_Data_Daily!$B$2:$B$9999="Variant")*(Raw_Data_Daily!$A$2:$A$9999=$A8)*(Raw_Data_Daily!$C$2:$C$9999=$C$3)*Raw_Data_Daily!$D$2:$D$9999*Raw_Data_Daily!$AL$2:$AL$9999)/SUMIFS(Raw_Data_Daily!$D:$D, Raw_Data_Daily!$B:$B, "Variant", Raw_Data_Daily!$A:$A, $A8, Raw_Data_Daily!$C:$C, $C$3),""))</f>
        <v>0.1932</v>
      </c>
      <c r="DE8" s="139">
        <f t="shared" si="36"/>
        <v>0.07872696817</v>
      </c>
      <c r="DF8" s="159"/>
      <c r="DG8" s="128">
        <f>IF($A8="","",IFERROR(SUMPRODUCT((Raw_Data_Daily!$B$2:$B$9999="Variant")*(Raw_Data_Daily!$A$2:$A$9999=$A8)*(Raw_Data_Daily!$C$2:$C$9999=$C$3)*Raw_Data_Daily!$D$2:$D$9999*Raw_Data_Daily!$AM$2:$AM$9999)/SUMIFS(Raw_Data_Daily!$D:$D, Raw_Data_Daily!$B:$B, "Variant", Raw_Data_Daily!$A:$A, $A8, Raw_Data_Daily!$C:$C, $C$3),""))</f>
        <v>41.03</v>
      </c>
      <c r="DH8" s="160"/>
      <c r="DI8" s="159"/>
      <c r="DJ8" s="128">
        <f>IF($A8="","",IFERROR(SUMPRODUCT((Raw_Data_Daily!$B$2:$B$9999="Variant")*(Raw_Data_Daily!$A$2:$A$9999=$A8)*(Raw_Data_Daily!$C$2:$C$9999=$C$3)*Raw_Data_Daily!$D$2:$D$9999*Raw_Data_Daily!$AN$2:$AN$9999)/SUMIFS(Raw_Data_Daily!$D:$D, Raw_Data_Daily!$B:$B, "Variant", Raw_Data_Daily!$A:$A, $A8, Raw_Data_Daily!$C:$C, $C$3),""))</f>
        <v>41.03</v>
      </c>
      <c r="DK8" s="160"/>
      <c r="DL8" s="159"/>
      <c r="DM8" s="128">
        <f>IF($A8="","",IFERROR(SUMPRODUCT((Raw_Data_Daily!$B$2:$B$9999="Variant")*(Raw_Data_Daily!$A$2:$A$9999=$A8)*(Raw_Data_Daily!$C$2:$C$9999=$C$3)*Raw_Data_Daily!$D$2:$D$9999*Raw_Data_Daily!$AO$2:$AO$9999)/SUMIFS(Raw_Data_Daily!$D:$D, Raw_Data_Daily!$B:$B, "Variant", Raw_Data_Daily!$A:$A, $A8, Raw_Data_Daily!$C:$C, $C$3),""))</f>
        <v>24.29</v>
      </c>
      <c r="DN8" s="160"/>
      <c r="DO8" s="159"/>
      <c r="DP8" s="128">
        <f>IF($A8="","",IFERROR(SUMPRODUCT((Raw_Data_Daily!$B$2:$B$9999="Variant")*(Raw_Data_Daily!$A$2:$A$9999=$A8)*(Raw_Data_Daily!$C$2:$C$9999=$C$3)*Raw_Data_Daily!$D$2:$D$9999*Raw_Data_Daily!$AP$2:$AP$9999)/SUMIFS(Raw_Data_Daily!$D:$D, Raw_Data_Daily!$B:$B, "Variant", Raw_Data_Daily!$A:$A, $A8, Raw_Data_Daily!$C:$C, $C$3),""))</f>
        <v>15.73</v>
      </c>
      <c r="DQ8" s="160"/>
      <c r="DR8" s="137">
        <f>IF($A8="","",IFERROR(SUMPRODUCT((Raw_Data_Daily!$B$2:$B$9999="Control")*(Raw_Data_Daily!$A$2:$A$9999=$A8)*(Raw_Data_Daily!$C$2:$C$9999=$C$3)*Raw_Data_Daily!$D$2:$D$9999*Raw_Data_Daily!$AQ$2:$AQ$9999)/SUMIFS(Raw_Data_Daily!$D:$D, Raw_Data_Daily!$B:$B, "Control", Raw_Data_Daily!$A:$A, $A8, Raw_Data_Daily!$C:$C, $C$3),""))</f>
        <v>15.4279</v>
      </c>
      <c r="DS8" s="137">
        <f>IF($A8="","",IFERROR(SUMPRODUCT((Raw_Data_Daily!$B$2:$B$9999="Variant")*(Raw_Data_Daily!$A$2:$A$9999=$A8)*(Raw_Data_Daily!$C$2:$C$9999=$C$3)*Raw_Data_Daily!$D$2:$D$9999*Raw_Data_Daily!$AQ$2:$AQ$9999)/SUMIFS(Raw_Data_Daily!$D:$D, Raw_Data_Daily!$B:$B, "Variant", Raw_Data_Daily!$A:$A, $A8, Raw_Data_Daily!$C:$C, $C$3),""))</f>
        <v>14.6021</v>
      </c>
      <c r="DT8" s="161">
        <f t="shared" si="37"/>
        <v>-0.05352640346</v>
      </c>
      <c r="DU8" s="137">
        <f>IF($A8="","",IFERROR(SUMPRODUCT((Raw_Data_Daily!$B$2:$B$9999="Control")*(Raw_Data_Daily!$A$2:$A$9999=$A8)*(Raw_Data_Daily!$C$2:$C$9999=$C$3)*Raw_Data_Daily!$D$2:$D$9999*Raw_Data_Daily!$AR$2:$AR$9999)/SUMIFS(Raw_Data_Daily!$D:$D, Raw_Data_Daily!$B:$B, "Control", Raw_Data_Daily!$A:$A, $A8, Raw_Data_Daily!$C:$C, $C$3),""))</f>
        <v>0.3767</v>
      </c>
      <c r="DV8" s="137">
        <f>IF($A8="","",IFERROR(SUMPRODUCT((Raw_Data_Daily!$B$2:$B$9999="Variant")*(Raw_Data_Daily!$A$2:$A$9999=$A8)*(Raw_Data_Daily!$C$2:$C$9999=$C$3)*Raw_Data_Daily!$D$2:$D$9999*Raw_Data_Daily!$AR$2:$AR$9999)/SUMIFS(Raw_Data_Daily!$D:$D, Raw_Data_Daily!$B:$B, "Variant", Raw_Data_Daily!$A:$A, $A8, Raw_Data_Daily!$C:$C, $C$3),""))</f>
        <v>0.3282</v>
      </c>
      <c r="DW8" s="161">
        <f t="shared" si="38"/>
        <v>-0.1287496682</v>
      </c>
      <c r="DX8" s="137">
        <f>IF($A8="","",IFERROR(SUMPRODUCT((Raw_Data_Daily!$B$2:$B$9999="Control")*(Raw_Data_Daily!$A$2:$A$9999=$A8)*(Raw_Data_Daily!$C$2:$C$9999=$C$3)*Raw_Data_Daily!$D$2:$D$9999*Raw_Data_Daily!$AS$2:$AS$9999)/SUMIFS(Raw_Data_Daily!$D:$D, Raw_Data_Daily!$B:$B, "Control", Raw_Data_Daily!$A:$A, $A8, Raw_Data_Daily!$C:$C, $C$3),""))</f>
        <v>15.0512</v>
      </c>
      <c r="DY8" s="137">
        <f>IF($A8="","",IFERROR(SUMPRODUCT((Raw_Data_Daily!$B$2:$B$9999="Variant")*(Raw_Data_Daily!$A$2:$A$9999=$A8)*(Raw_Data_Daily!$C$2:$C$9999=$C$3)*Raw_Data_Daily!$D$2:$D$9999*Raw_Data_Daily!$AS$2:$AS$9999)/SUMIFS(Raw_Data_Daily!$D:$D, Raw_Data_Daily!$B:$B, "Variant", Raw_Data_Daily!$A:$A, $A8, Raw_Data_Daily!$C:$C, $C$3),""))</f>
        <v>14.274</v>
      </c>
      <c r="DZ8" s="162">
        <f t="shared" si="39"/>
        <v>-0.05163707877</v>
      </c>
      <c r="EA8" s="137">
        <f>IF($A8="","",IFERROR(SUMPRODUCT((Raw_Data_Daily!$B$2:$B$9999="Control")*(Raw_Data_Daily!$A$2:$A$9999=$A8)*(Raw_Data_Daily!$C$2:$C$9999=$C$3)*Raw_Data_Daily!$D$2:$D$9999*Raw_Data_Daily!$AT$2:$AT$9999)/SUMIFS(Raw_Data_Daily!$D:$D, Raw_Data_Daily!$B:$B, "Control", Raw_Data_Daily!$A:$A, $A8, Raw_Data_Daily!$C:$C, $C$3),""))</f>
        <v>13.122</v>
      </c>
      <c r="EB8" s="137">
        <f>IF($A8="","",IFERROR(SUMPRODUCT((Raw_Data_Daily!$B$2:$B$9999="Variant")*(Raw_Data_Daily!$A$2:$A$9999=$A8)*(Raw_Data_Daily!$C$2:$C$9999=$C$3)*Raw_Data_Daily!$D$2:$D$9999*Raw_Data_Daily!$AT$2:$AT$9999)/SUMIFS(Raw_Data_Daily!$D:$D, Raw_Data_Daily!$B:$B, "Variant", Raw_Data_Daily!$A:$A, $A8, Raw_Data_Daily!$C:$C, $C$3),""))</f>
        <v>12.8806</v>
      </c>
      <c r="EC8" s="161">
        <f t="shared" si="40"/>
        <v>-0.01839658589</v>
      </c>
      <c r="ED8" s="137">
        <f>IF($A8="","",IFERROR(SUMPRODUCT((Raw_Data_Daily!$B$2:$B$9999="Control")*(Raw_Data_Daily!$A$2:$A$9999=$A8)*(Raw_Data_Daily!$C$2:$C$9999=$C$3)*Raw_Data_Daily!$D$2:$D$9999*(Raw_Data_Daily!$AQ$2:$AQ$9999-Raw_Data_Daily!$AT$2:$AT$9999))/SUMIFS(Raw_Data_Daily!$D:$D, Raw_Data_Daily!$B:$B, "Control", Raw_Data_Daily!$A:$A, $A8, Raw_Data_Daily!$C:$C, $C$3),""))</f>
        <v>2.3059</v>
      </c>
      <c r="EE8" s="137">
        <f>IF($A8="","",IFERROR(SUMPRODUCT((Raw_Data_Daily!$B$2:$B$9999="Variant")*(Raw_Data_Daily!$A$2:$A$9999=$A8)*(Raw_Data_Daily!$C$2:$C$9999=$C$3)*Raw_Data_Daily!$D$2:$D$9999*(Raw_Data_Daily!$AQ$2:$AQ$9999-Raw_Data_Daily!$AT$2:$AT$9999))/SUMIFS(Raw_Data_Daily!$D:$D, Raw_Data_Daily!$B:$B, "Variant", Raw_Data_Daily!$A:$A, $A8, Raw_Data_Daily!$C:$C, $C$3),""))</f>
        <v>1.7215</v>
      </c>
      <c r="EF8" s="162">
        <f t="shared" si="41"/>
        <v>-0.2534368359</v>
      </c>
      <c r="EG8" s="137">
        <f>IF($A8="","",IFERROR(SUMPRODUCT((Raw_Data_Daily!$B$2:$B$9999="Control")*(Raw_Data_Daily!$A$2:$A$9999=$A8)*(Raw_Data_Daily!$C$2:$C$9999=$C$3)*Raw_Data_Daily!$D$2:$D$9999*Raw_Data_Daily!$AU$2:$AU$9999)/SUMIFS(Raw_Data_Daily!$D:$D, Raw_Data_Daily!$B:$B, "Control", Raw_Data_Daily!$A:$A, $A8, Raw_Data_Daily!$C:$C, $C$3),""))</f>
        <v>0.1913</v>
      </c>
      <c r="EH8" s="137">
        <f>IF($A8="","",IFERROR(SUMPRODUCT((Raw_Data_Daily!$B$2:$B$9999="Variant")*(Raw_Data_Daily!$A$2:$A$9999=$A8)*(Raw_Data_Daily!$C$2:$C$9999=$C$3)*Raw_Data_Daily!$D$2:$D$9999*Raw_Data_Daily!$AU$2:$AU$9999)/SUMIFS(Raw_Data_Daily!$D:$D, Raw_Data_Daily!$B:$B, "Variant", Raw_Data_Daily!$A:$A, $A8, Raw_Data_Daily!$C:$C, $C$3),""))</f>
        <v>0.1824</v>
      </c>
      <c r="EI8" s="161">
        <f t="shared" si="42"/>
        <v>-0.04652378463</v>
      </c>
    </row>
    <row r="9" ht="15.75" customHeight="1">
      <c r="A9" s="125">
        <v>46232.0</v>
      </c>
      <c r="B9" s="126">
        <f>IF($A9="","",SUMIFS(Raw_Data_Daily!$D:$D, Raw_Data_Daily!$B:$B, "Control", Raw_Data_Daily!$A:$A, $A9, Raw_Data_Daily!$C:$C, $C$3))</f>
        <v>3029</v>
      </c>
      <c r="C9" s="126">
        <f>IF($A9="","",SUMIFS(Raw_Data_Daily!$D:$D, Raw_Data_Daily!$B:$B, "Variant", Raw_Data_Daily!$A:$A, $A9, Raw_Data_Daily!$C:$C, $C$3))</f>
        <v>2999</v>
      </c>
      <c r="D9" s="127">
        <f t="shared" si="1"/>
        <v>-0.009904258831</v>
      </c>
      <c r="E9" s="128">
        <f>IF($A9="","",IFERROR(SUMPRODUCT((Raw_Data_Daily!$B$2:$B$9999="Control")*(Raw_Data_Daily!$A$2:$A$9999=$A9)*(Raw_Data_Daily!$C$2:$C$9999=$C$3)*Raw_Data_Daily!$D$2:$D$9999*Raw_Data_Daily!$E$2:$E$9999)/SUMIFS(Raw_Data_Daily!$D:$D, Raw_Data_Daily!$B:$B, "Control", Raw_Data_Daily!$A:$A, $A9, Raw_Data_Daily!$C:$C, $C$3),""))</f>
        <v>11.22</v>
      </c>
      <c r="F9" s="128">
        <f>IF($A9="","",IFERROR(SUMPRODUCT((Raw_Data_Daily!$B$2:$B$9999="Variant")*(Raw_Data_Daily!$A$2:$A$9999=$A9)*(Raw_Data_Daily!$C$2:$C$9999=$C$3)*Raw_Data_Daily!$D$2:$D$9999*Raw_Data_Daily!$E$2:$E$9999)/SUMIFS(Raw_Data_Daily!$D:$D, Raw_Data_Daily!$B:$B, "Variant", Raw_Data_Daily!$A:$A, $A9, Raw_Data_Daily!$C:$C, $C$3),""))</f>
        <v>11.17</v>
      </c>
      <c r="G9" s="127">
        <f t="shared" si="2"/>
        <v>-0.004456327986</v>
      </c>
      <c r="H9" s="129">
        <f>IF($A9="","",SUMIFS(Raw_Data_Daily!$F:$F, Raw_Data_Daily!$B:$B, "Control", Raw_Data_Daily!$A:$A, $A9, Raw_Data_Daily!$C:$C, $C$3))</f>
        <v>565.12</v>
      </c>
      <c r="I9" s="129">
        <f>IF($A9="","",SUMIFS(Raw_Data_Daily!$F:$F, Raw_Data_Daily!$B:$B, "Variant", Raw_Data_Daily!$A:$A, $A9, Raw_Data_Daily!$C:$C, $C$3))</f>
        <v>891.95</v>
      </c>
      <c r="J9" s="130">
        <f t="shared" si="3"/>
        <v>0.5783373443</v>
      </c>
      <c r="K9" s="131">
        <f>IF($A9="","",IFERROR(SUMIFS(Raw_Data_Daily!$F:$F, Raw_Data_Daily!$B:$B, "Control", Raw_Data_Daily!$A:$A, $A9, Raw_Data_Daily!$C:$C, $C$3)/SUMIFS(Raw_Data_Daily!$D:$D, Raw_Data_Daily!$B:$B, "Control", Raw_Data_Daily!$A:$A, $A9, Raw_Data_Daily!$C:$C, $C$3),""))</f>
        <v>0.186569825</v>
      </c>
      <c r="L9" s="131">
        <f>IF($A9="","",IFERROR(SUMIFS(Raw_Data_Daily!$F:$F, Raw_Data_Daily!$B:$B, "Variant", Raw_Data_Daily!$A:$A, $A9, Raw_Data_Daily!$C:$C, $C$3)/SUMIFS(Raw_Data_Daily!$D:$D, Raw_Data_Daily!$B:$B, "Variant", Raw_Data_Daily!$A:$A, $A9, Raw_Data_Daily!$C:$C, $C$3),""))</f>
        <v>0.2974158053</v>
      </c>
      <c r="M9" s="130">
        <f t="shared" si="4"/>
        <v>0.5941259806</v>
      </c>
      <c r="N9" s="128">
        <f>IF($A9="","",IFERROR(SUMPRODUCT((Raw_Data_Daily!$B$2:$B$9999="Control")*(Raw_Data_Daily!$A$2:$A$9999=$A9)*(Raw_Data_Daily!$C$2:$C$9999=$C$3)*Raw_Data_Daily!$D$2:$D$9999*Raw_Data_Daily!$H$2:$H$9999/100)/SUMIFS(Raw_Data_Daily!$D:$D, Raw_Data_Daily!$B:$B, "Control", Raw_Data_Daily!$A:$A, $A9, Raw_Data_Daily!$C:$C, $C$3)*100,""))</f>
        <v>3.53</v>
      </c>
      <c r="O9" s="128">
        <f>IF($A9="","",IFERROR(SUMPRODUCT((Raw_Data_Daily!$B$2:$B$9999="Variant")*(Raw_Data_Daily!$A$2:$A$9999=$A9)*(Raw_Data_Daily!$C$2:$C$9999=$C$3)*Raw_Data_Daily!$D$2:$D$9999*Raw_Data_Daily!$H$2:$H$9999/100)/SUMIFS(Raw_Data_Daily!$D:$D, Raw_Data_Daily!$B:$B, "Variant", Raw_Data_Daily!$A:$A, $A9, Raw_Data_Daily!$C:$C, $C$3)*100,""))</f>
        <v>3.77</v>
      </c>
      <c r="P9" s="130">
        <f t="shared" si="5"/>
        <v>0.06798866856</v>
      </c>
      <c r="Q9" s="131">
        <f>IF($A9="","",IFERROR(SUMIFS(Raw_Data_Daily!$F:$F, Raw_Data_Daily!$B:$B, "Control", Raw_Data_Daily!$A:$A, $A9, Raw_Data_Daily!$C:$C, $C$3)/SUMPRODUCT((Raw_Data_Daily!$B$2:$B$9999="Control")*(Raw_Data_Daily!$A$2:$A$9999=$A9)*(Raw_Data_Daily!$C$2:$C$9999=$C$3)*Raw_Data_Daily!$D$2:$D$9999*Raw_Data_Daily!$H$2:$H$9999/100),""))</f>
        <v>5.285264165</v>
      </c>
      <c r="R9" s="131">
        <f>IF($A9="","",IFERROR(SUMIFS(Raw_Data_Daily!$F:$F, Raw_Data_Daily!$B:$B, "Variant", Raw_Data_Daily!$A:$A, $A9, Raw_Data_Daily!$C:$C, $C$3)/SUMPRODUCT((Raw_Data_Daily!$B$2:$B$9999="Variant")*(Raw_Data_Daily!$A$2:$A$9999=$A9)*(Raw_Data_Daily!$C$2:$C$9999=$C$3)*Raw_Data_Daily!$D$2:$D$9999*Raw_Data_Daily!$H$2:$H$9999/100),""))</f>
        <v>7.889013402</v>
      </c>
      <c r="S9" s="130">
        <f t="shared" si="6"/>
        <v>0.4926431596</v>
      </c>
      <c r="T9" s="132">
        <f>IF($A9="","",IFERROR(SUMPRODUCT((Raw_Data_Daily!$B$2:$B$9999="Control")*(Raw_Data_Daily!$A$2:$A$9999=$A9)*(Raw_Data_Daily!$C$2:$C$9999=$C$3)*Raw_Data_Daily!$D$2:$D$9999*Raw_Data_Daily!$J$2:$J$9999)/SUMIFS(Raw_Data_Daily!$D:$D, Raw_Data_Daily!$B:$B, "Control", Raw_Data_Daily!$A:$A, $A9, Raw_Data_Daily!$C:$C, $C$3),""))</f>
        <v>113.52</v>
      </c>
      <c r="U9" s="132">
        <f>IF($A9="","",IFERROR(SUMPRODUCT((Raw_Data_Daily!$B$2:$B$9999="Variant")*(Raw_Data_Daily!$A$2:$A$9999=$A9)*(Raw_Data_Daily!$C$2:$C$9999=$C$3)*Raw_Data_Daily!$D$2:$D$9999*Raw_Data_Daily!$J$2:$J$9999)/SUMIFS(Raw_Data_Daily!$D:$D, Raw_Data_Daily!$B:$B, "Variant", Raw_Data_Daily!$A:$A, $A9, Raw_Data_Daily!$C:$C, $C$3),""))</f>
        <v>114.71</v>
      </c>
      <c r="V9" s="130">
        <f t="shared" si="7"/>
        <v>0.01048273432</v>
      </c>
      <c r="W9" s="132">
        <f>IF($A9="","",IFERROR(SUMPRODUCT((Raw_Data_Daily!$B$2:$B$9999="Control")*(Raw_Data_Daily!$A$2:$A$9999=$A9)*(Raw_Data_Daily!$C$2:$C$9999=$C$3)*Raw_Data_Daily!$D$2:$D$9999*Raw_Data_Daily!$K$2:$K$9999)/SUMIFS(Raw_Data_Daily!$D:$D, Raw_Data_Daily!$B:$B, "Control", Raw_Data_Daily!$A:$A, $A9, Raw_Data_Daily!$C:$C, $C$3),""))</f>
        <v>70.96</v>
      </c>
      <c r="X9" s="132">
        <f>IF($A9="","",IFERROR(SUMPRODUCT((Raw_Data_Daily!$B$2:$B$9999="Variant")*(Raw_Data_Daily!$A$2:$A$9999=$A9)*(Raw_Data_Daily!$C$2:$C$9999=$C$3)*Raw_Data_Daily!$D$2:$D$9999*Raw_Data_Daily!$K$2:$K$9999)/SUMIFS(Raw_Data_Daily!$D:$D, Raw_Data_Daily!$B:$B, "Variant", Raw_Data_Daily!$A:$A, $A9, Raw_Data_Daily!$C:$C, $C$3),""))</f>
        <v>70.88</v>
      </c>
      <c r="Y9" s="130">
        <f t="shared" si="8"/>
        <v>-0.001127395716</v>
      </c>
      <c r="Z9" s="132">
        <f>IF($A9="","",IFERROR(SUMPRODUCT((Raw_Data_Daily!$B$2:$B$9999="Control")*(Raw_Data_Daily!$A$2:$A$9999=$A9)*(Raw_Data_Daily!$C$2:$C$9999=$C$3)*Raw_Data_Daily!$D$2:$D$9999*Raw_Data_Daily!$L$2:$L$9999)/SUMIFS(Raw_Data_Daily!$D:$D, Raw_Data_Daily!$B:$B, "Control", Raw_Data_Daily!$A:$A, $A9, Raw_Data_Daily!$C:$C, $C$3),""))</f>
        <v>52.26</v>
      </c>
      <c r="AA9" s="132">
        <f>IF($A9="","",IFERROR(SUMPRODUCT((Raw_Data_Daily!$B$2:$B$9999="Variant")*(Raw_Data_Daily!$A$2:$A$9999=$A9)*(Raw_Data_Daily!$C$2:$C$9999=$C$3)*Raw_Data_Daily!$D$2:$D$9999*Raw_Data_Daily!$L$2:$L$9999)/SUMIFS(Raw_Data_Daily!$D:$D, Raw_Data_Daily!$B:$B, "Variant", Raw_Data_Daily!$A:$A, $A9, Raw_Data_Daily!$C:$C, $C$3),""))</f>
        <v>52.51</v>
      </c>
      <c r="AB9" s="130">
        <f t="shared" si="9"/>
        <v>0.00478377344</v>
      </c>
      <c r="AC9" s="137">
        <f>IF($A9="","",IFERROR(SUMPRODUCT((Raw_Data_Daily!$B$2:$B$9999="Control")*(Raw_Data_Daily!$A$2:$A$9999=$A9)*(Raw_Data_Daily!$C$2:$C$9999=$C$3)*Raw_Data_Daily!$D$2:$D$9999*Raw_Data_Daily!$M$2:$M$9999)/SUMIFS(Raw_Data_Daily!$D:$D, Raw_Data_Daily!$B:$B, "Control", Raw_Data_Daily!$A:$A, $A9, Raw_Data_Daily!$C:$C, $C$3),""))</f>
        <v>0.7364</v>
      </c>
      <c r="AD9" s="137">
        <f>IF($A9="","",IFERROR(SUMPRODUCT((Raw_Data_Daily!$B$2:$B$9999="Variant")*(Raw_Data_Daily!$A$2:$A$9999=$A9)*(Raw_Data_Daily!$C$2:$C$9999=$C$3)*Raw_Data_Daily!$D$2:$D$9999*Raw_Data_Daily!$M$2:$M$9999)/SUMIFS(Raw_Data_Daily!$D:$D, Raw_Data_Daily!$B:$B, "Variant", Raw_Data_Daily!$A:$A, $A9, Raw_Data_Daily!$C:$C, $C$3),""))</f>
        <v>0.7408</v>
      </c>
      <c r="AE9" s="139">
        <f t="shared" si="10"/>
        <v>0.00597501358</v>
      </c>
      <c r="AF9" s="137">
        <f>IF($A9="","",IFERROR(SUMPRODUCT((Raw_Data_Daily!$B$2:$B$9999="Control")*(Raw_Data_Daily!$A$2:$A$9999=$A9)*(Raw_Data_Daily!$C$2:$C$9999=$C$3)*Raw_Data_Daily!$D$2:$D$9999*Raw_Data_Daily!$N$2:$N$9999)/SUMIFS(Raw_Data_Daily!$D:$D, Raw_Data_Daily!$B:$B, "Control", Raw_Data_Daily!$A:$A, $A9, Raw_Data_Daily!$C:$C, $C$3),""))</f>
        <v>0.3703</v>
      </c>
      <c r="AG9" s="137">
        <f>IF($A9="","",IFERROR(SUMPRODUCT((Raw_Data_Daily!$B$2:$B$9999="Variant")*(Raw_Data_Daily!$A$2:$A$9999=$A9)*(Raw_Data_Daily!$C$2:$C$9999=$C$3)*Raw_Data_Daily!$D$2:$D$9999*Raw_Data_Daily!$N$2:$N$9999)/SUMIFS(Raw_Data_Daily!$D:$D, Raw_Data_Daily!$B:$B, "Variant", Raw_Data_Daily!$A:$A, $A9, Raw_Data_Daily!$C:$C, $C$3),""))</f>
        <v>0.3622</v>
      </c>
      <c r="AH9" s="139">
        <f t="shared" si="11"/>
        <v>-0.02187415609</v>
      </c>
      <c r="AI9" s="137">
        <f>IF($A9="","",IFERROR(SUMPRODUCT((Raw_Data_Daily!$B$2:$B$9999="Control")*(Raw_Data_Daily!$A$2:$A$9999=$A9)*(Raw_Data_Daily!$C$2:$C$9999=$C$3)*Raw_Data_Daily!$D$2:$D$9999*Raw_Data_Daily!$O$2:$O$9999)/SUMIFS(Raw_Data_Daily!$D:$D, Raw_Data_Daily!$B:$B, "Control", Raw_Data_Daily!$A:$A, $A9, Raw_Data_Daily!$C:$C, $C$3),""))</f>
        <v>0.2359</v>
      </c>
      <c r="AJ9" s="137">
        <f>IF($A9="","",IFERROR(SUMPRODUCT((Raw_Data_Daily!$B$2:$B$9999="Variant")*(Raw_Data_Daily!$A$2:$A$9999=$A9)*(Raw_Data_Daily!$C$2:$C$9999=$C$3)*Raw_Data_Daily!$D$2:$D$9999*Raw_Data_Daily!$O$2:$O$9999)/SUMIFS(Raw_Data_Daily!$D:$D, Raw_Data_Daily!$B:$B, "Variant", Raw_Data_Daily!$A:$A, $A9, Raw_Data_Daily!$C:$C, $C$3),""))</f>
        <v>0.2306</v>
      </c>
      <c r="AK9" s="130">
        <f t="shared" si="12"/>
        <v>-0.0224671471</v>
      </c>
      <c r="AL9" s="132">
        <f>IF($A9="","",IFERROR(SUMPRODUCT((Raw_Data_Daily!$B$2:$B$9999="Control")*(Raw_Data_Daily!$A$2:$A$9999=$A9)*(Raw_Data_Daily!$C$2:$C$9999=$C$3)*Raw_Data_Daily!$D$2:$D$9999*Raw_Data_Daily!$P$2:$P$9999)/SUMIFS(Raw_Data_Daily!$D:$D, Raw_Data_Daily!$B:$B, "Control", Raw_Data_Daily!$A:$A, $A9, Raw_Data_Daily!$C:$C, $C$3),""))</f>
        <v>1.358</v>
      </c>
      <c r="AM9" s="132">
        <f>IF($A9="","",IFERROR(SUMPRODUCT((Raw_Data_Daily!$B$2:$B$9999="Variant")*(Raw_Data_Daily!$A$2:$A$9999=$A9)*(Raw_Data_Daily!$C$2:$C$9999=$C$3)*Raw_Data_Daily!$D$2:$D$9999*Raw_Data_Daily!$P$2:$P$9999)/SUMIFS(Raw_Data_Daily!$D:$D, Raw_Data_Daily!$B:$B, "Variant", Raw_Data_Daily!$A:$A, $A9, Raw_Data_Daily!$C:$C, $C$3),""))</f>
        <v>1.3499</v>
      </c>
      <c r="AN9" s="130">
        <f t="shared" si="13"/>
        <v>-0.005964653903</v>
      </c>
      <c r="AO9" s="132">
        <f>IF($A9="","",IFERROR(SUMPRODUCT((Raw_Data_Daily!$B$2:$B$9999="Control")*(Raw_Data_Daily!$A$2:$A$9999=$A9)*(Raw_Data_Daily!$C$2:$C$9999=$C$3)*Raw_Data_Daily!$D$2:$D$9999*Raw_Data_Daily!$Q$2:$Q$9999)/SUMIFS(Raw_Data_Daily!$D:$D, Raw_Data_Daily!$B:$B, "Control", Raw_Data_Daily!$A:$A, $A9, Raw_Data_Daily!$C:$C, $C$3),""))</f>
        <v>266.36</v>
      </c>
      <c r="AP9" s="132">
        <f>IF($A9="","",IFERROR(SUMPRODUCT((Raw_Data_Daily!$B$2:$B$9999="Variant")*(Raw_Data_Daily!$A$2:$A$9999=$A9)*(Raw_Data_Daily!$C$2:$C$9999=$C$3)*Raw_Data_Daily!$D$2:$D$9999*Raw_Data_Daily!$Q$2:$Q$9999)/SUMIFS(Raw_Data_Daily!$D:$D, Raw_Data_Daily!$B:$B, "Variant", Raw_Data_Daily!$A:$A, $A9, Raw_Data_Daily!$C:$C, $C$3),""))</f>
        <v>296.95</v>
      </c>
      <c r="AQ9" s="127">
        <f t="shared" si="14"/>
        <v>0.1148445713</v>
      </c>
      <c r="AR9" s="132">
        <f>IF($A9="","",IFERROR(SUMPRODUCT((Raw_Data_Daily!$B$2:$B$9999="Control")*(Raw_Data_Daily!$A$2:$A$9999=$A9)*(Raw_Data_Daily!$C$2:$C$9999=$C$3)*Raw_Data_Daily!$D$2:$D$9999*Raw_Data_Daily!$R$2:$R$9999)/SUMIFS(Raw_Data_Daily!$D:$D, Raw_Data_Daily!$B:$B, "Control", Raw_Data_Daily!$A:$A, $A9, Raw_Data_Daily!$C:$C, $C$3),""))</f>
        <v>158.66</v>
      </c>
      <c r="AS9" s="132">
        <f>IF($A9="","",IFERROR(SUMPRODUCT((Raw_Data_Daily!$B$2:$B$9999="Variant")*(Raw_Data_Daily!$A$2:$A$9999=$A9)*(Raw_Data_Daily!$C$2:$C$9999=$C$3)*Raw_Data_Daily!$D$2:$D$9999*Raw_Data_Daily!$R$2:$R$9999)/SUMIFS(Raw_Data_Daily!$D:$D, Raw_Data_Daily!$B:$B, "Variant", Raw_Data_Daily!$A:$A, $A9, Raw_Data_Daily!$C:$C, $C$3),""))</f>
        <v>265.98</v>
      </c>
      <c r="AT9" s="127">
        <f t="shared" si="15"/>
        <v>0.6764149754</v>
      </c>
      <c r="AU9" s="132">
        <f>IF($A9="","",IFERROR(SUMPRODUCT((Raw_Data_Daily!$B$2:$B$9999="Control")*(Raw_Data_Daily!$A$2:$A$9999=$A9)*(Raw_Data_Daily!$C$2:$C$9999=$C$3)*Raw_Data_Daily!$D$2:$D$9999*Raw_Data_Daily!$S$2:$S$9999)/SUMIFS(Raw_Data_Daily!$D:$D, Raw_Data_Daily!$B:$B, "Control", Raw_Data_Daily!$A:$A, $A9, Raw_Data_Daily!$C:$C, $C$3),""))</f>
        <v>107.7</v>
      </c>
      <c r="AV9" s="132">
        <f>IF($A9="","",IFERROR(SUMPRODUCT((Raw_Data_Daily!$B$2:$B$9999="Variant")*(Raw_Data_Daily!$A$2:$A$9999=$A9)*(Raw_Data_Daily!$C$2:$C$9999=$C$3)*Raw_Data_Daily!$D$2:$D$9999*Raw_Data_Daily!$S$2:$S$9999)/SUMIFS(Raw_Data_Daily!$D:$D, Raw_Data_Daily!$B:$B, "Variant", Raw_Data_Daily!$A:$A, $A9, Raw_Data_Daily!$C:$C, $C$3),""))</f>
        <v>30.97</v>
      </c>
      <c r="AW9" s="127">
        <f t="shared" si="16"/>
        <v>-0.7124419684</v>
      </c>
      <c r="AX9" s="132">
        <f>IF($A9="","",IFERROR(SUMPRODUCT((Raw_Data_Daily!$B$2:$B$9999="Control")*(Raw_Data_Daily!$A$2:$A$9999=$A9)*(Raw_Data_Daily!$C$2:$C$9999=$C$3)*Raw_Data_Daily!$D$2:$D$9999*Raw_Data_Daily!$T$2:$T$9999)/SUMIFS(Raw_Data_Daily!$D:$D, Raw_Data_Daily!$B:$B, "Control", Raw_Data_Daily!$A:$A, $A9, Raw_Data_Daily!$C:$C, $C$3),""))</f>
        <v>20.24</v>
      </c>
      <c r="AY9" s="132">
        <f>IF($A9="","",IFERROR(SUMPRODUCT((Raw_Data_Daily!$B$2:$B$9999="Variant")*(Raw_Data_Daily!$A$2:$A$9999=$A9)*(Raw_Data_Daily!$C$2:$C$9999=$C$3)*Raw_Data_Daily!$D$2:$D$9999*Raw_Data_Daily!$T$2:$T$9999)/SUMIFS(Raw_Data_Daily!$D:$D, Raw_Data_Daily!$B:$B, "Variant", Raw_Data_Daily!$A:$A, $A9, Raw_Data_Daily!$C:$C, $C$3),""))</f>
        <v>28.51</v>
      </c>
      <c r="AZ9" s="130">
        <f t="shared" si="17"/>
        <v>0.4085968379</v>
      </c>
      <c r="BA9" s="132">
        <f>IF($A9="","",IFERROR(SUMPRODUCT((Raw_Data_Daily!$B$2:$B$9999="Control")*(Raw_Data_Daily!$A$2:$A$9999=$A9)*(Raw_Data_Daily!$C$2:$C$9999=$C$3)*Raw_Data_Daily!$D$2:$D$9999*Raw_Data_Daily!$U$2:$U$9999)/SUMIFS(Raw_Data_Daily!$D:$D, Raw_Data_Daily!$B:$B, "Control", Raw_Data_Daily!$A:$A, $A9, Raw_Data_Daily!$C:$C, $C$3),""))</f>
        <v>246.12</v>
      </c>
      <c r="BB9" s="132">
        <f>IF($A9="","",IFERROR(SUMPRODUCT((Raw_Data_Daily!$B$2:$B$9999="Variant")*(Raw_Data_Daily!$A$2:$A$9999=$A9)*(Raw_Data_Daily!$C$2:$C$9999=$C$3)*Raw_Data_Daily!$D$2:$D$9999*Raw_Data_Daily!$U$2:$U$9999)/SUMIFS(Raw_Data_Daily!$D:$D, Raw_Data_Daily!$B:$B, "Variant", Raw_Data_Daily!$A:$A, $A9, Raw_Data_Daily!$C:$C, $C$3),""))</f>
        <v>268.44</v>
      </c>
      <c r="BC9" s="127">
        <f t="shared" si="18"/>
        <v>0.09068746953</v>
      </c>
      <c r="BD9" s="132">
        <f>IF($A9="","",IFERROR(SUMPRODUCT((Raw_Data_Daily!$B$2:$B$9999="Control")*(Raw_Data_Daily!$A$2:$A$9999=$A9)*(Raw_Data_Daily!$C$2:$C$9999=$C$3)*Raw_Data_Daily!$D$2:$D$9999*Raw_Data_Daily!$V$2:$V$9999)/SUMIFS(Raw_Data_Daily!$D:$D, Raw_Data_Daily!$B:$B, "Control", Raw_Data_Daily!$A:$A, $A9, Raw_Data_Daily!$C:$C, $C$3),""))</f>
        <v>311.08</v>
      </c>
      <c r="BE9" s="132">
        <f>IF($A9="","",IFERROR(SUMPRODUCT((Raw_Data_Daily!$B$2:$B$9999="Variant")*(Raw_Data_Daily!$A$2:$A$9999=$A9)*(Raw_Data_Daily!$C$2:$C$9999=$C$3)*Raw_Data_Daily!$D$2:$D$9999*Raw_Data_Daily!$V$2:$V$9999)/SUMIFS(Raw_Data_Daily!$D:$D, Raw_Data_Daily!$B:$B, "Variant", Raw_Data_Daily!$A:$A, $A9, Raw_Data_Daily!$C:$C, $C$3),""))</f>
        <v>278.29</v>
      </c>
      <c r="BF9" s="127">
        <f t="shared" si="19"/>
        <v>-0.1054069693</v>
      </c>
      <c r="BG9" s="132">
        <f>IF($A9="","",IFERROR(SUMPRODUCT((Raw_Data_Daily!$B$2:$B$9999="Control")*(Raw_Data_Daily!$A$2:$A$9999=$A9)*(Raw_Data_Daily!$C$2:$C$9999=$C$3)*Raw_Data_Daily!$D$2:$D$9999*(Raw_Data_Daily!$Q$2:$Q$9999-Raw_Data_Daily!$V$2:$V$9999))/SUMIFS(Raw_Data_Daily!$D:$D, Raw_Data_Daily!$B:$B, "Control", Raw_Data_Daily!$A:$A, $A9, Raw_Data_Daily!$C:$C, $C$3),""))</f>
        <v>-44.72</v>
      </c>
      <c r="BH9" s="132">
        <f>IF($A9="","",IFERROR(SUMPRODUCT((Raw_Data_Daily!$B$2:$B$9999="Variant")*(Raw_Data_Daily!$A$2:$A$9999=$A9)*(Raw_Data_Daily!$C$2:$C$9999=$C$3)*Raw_Data_Daily!$D$2:$D$9999*(Raw_Data_Daily!$Q$2:$Q$9999-Raw_Data_Daily!$V$2:$V$9999))/SUMIFS(Raw_Data_Daily!$D:$D, Raw_Data_Daily!$B:$B, "Variant", Raw_Data_Daily!$A:$A, $A9, Raw_Data_Daily!$C:$C, $C$3),""))</f>
        <v>18.66</v>
      </c>
      <c r="BI9" s="127">
        <f t="shared" si="20"/>
        <v>1.41726297</v>
      </c>
      <c r="BJ9" s="132">
        <f>IF($A9="","",IFERROR(SUMPRODUCT((Raw_Data_Daily!$B$2:$B$9999="Control")*(Raw_Data_Daily!$A$2:$A$9999=$A9)*(Raw_Data_Daily!$C$2:$C$9999=$C$3)*Raw_Data_Daily!$D$2:$D$9999*Raw_Data_Daily!$W$2:$W$9999)/SUMIFS(Raw_Data_Daily!$D:$D, Raw_Data_Daily!$B:$B, "Control", Raw_Data_Daily!$A:$A, $A9, Raw_Data_Daily!$C:$C, $C$3),""))</f>
        <v>4.3836</v>
      </c>
      <c r="BK9" s="132">
        <f>IF($A9="","",IFERROR(SUMPRODUCT((Raw_Data_Daily!$B$2:$B$9999="Variant")*(Raw_Data_Daily!$A$2:$A$9999=$A9)*(Raw_Data_Daily!$C$2:$C$9999=$C$3)*Raw_Data_Daily!$D$2:$D$9999*Raw_Data_Daily!$W$2:$W$9999)/SUMIFS(Raw_Data_Daily!$D:$D, Raw_Data_Daily!$B:$B, "Variant", Raw_Data_Daily!$A:$A, $A9, Raw_Data_Daily!$C:$C, $C$3),""))</f>
        <v>3.926</v>
      </c>
      <c r="BL9" s="127">
        <f t="shared" si="21"/>
        <v>-0.1043890866</v>
      </c>
      <c r="BM9" s="137">
        <f>IF($A9="","",IFERROR(SUMPRODUCT((Raw_Data_Daily!$B$2:$B$9999="Control")*(Raw_Data_Daily!$A$2:$A$9999=$A9)*(Raw_Data_Daily!$C$2:$C$9999=$C$3)*Raw_Data_Daily!$D$2:$D$9999*Raw_Data_Daily!$X$2:$X$9999)/SUMIFS(Raw_Data_Daily!$D:$D, Raw_Data_Daily!$B:$B, "Control", Raw_Data_Daily!$A:$A, $A9, Raw_Data_Daily!$C:$C, $C$3),""))</f>
        <v>7.6</v>
      </c>
      <c r="BN9" s="137">
        <f>IF($A9="","",IFERROR(SUMPRODUCT((Raw_Data_Daily!$B$2:$B$9999="Variant")*(Raw_Data_Daily!$A$2:$A$9999=$A9)*(Raw_Data_Daily!$C$2:$C$9999=$C$3)*Raw_Data_Daily!$D$2:$D$9999*Raw_Data_Daily!$X$2:$X$9999)/SUMIFS(Raw_Data_Daily!$D:$D, Raw_Data_Daily!$B:$B, "Variant", Raw_Data_Daily!$A:$A, $A9, Raw_Data_Daily!$C:$C, $C$3),""))</f>
        <v>9.6</v>
      </c>
      <c r="BO9" s="130">
        <f t="shared" si="22"/>
        <v>0.2631578947</v>
      </c>
      <c r="BP9" s="126">
        <f>IF($A9="","",IFERROR(SUMPRODUCT((Raw_Data_Daily!$B$2:$B$9999="Control")*(Raw_Data_Daily!$A$2:$A$9999=$A9)*(Raw_Data_Daily!$C$2:$C$9999=$C$3)*Raw_Data_Daily!$D$2:$D$9999*Raw_Data_Daily!$Y$2:$Y$9999)/SUMIFS(Raw_Data_Daily!$D:$D, Raw_Data_Daily!$B:$B, "Control", Raw_Data_Daily!$A:$A, $A9, Raw_Data_Daily!$C:$C, $C$3),""))</f>
        <v>328</v>
      </c>
      <c r="BQ9" s="126">
        <f>IF($A9="","",IFERROR(SUMPRODUCT((Raw_Data_Daily!$B$2:$B$9999="Variant")*(Raw_Data_Daily!$A$2:$A$9999=$A9)*(Raw_Data_Daily!$C$2:$C$9999=$C$3)*Raw_Data_Daily!$D$2:$D$9999*Raw_Data_Daily!$Y$2:$Y$9999)/SUMIFS(Raw_Data_Daily!$D:$D, Raw_Data_Daily!$B:$B, "Variant", Raw_Data_Daily!$A:$A, $A9, Raw_Data_Daily!$C:$C, $C$3),""))</f>
        <v>322</v>
      </c>
      <c r="BR9" s="127">
        <f t="shared" si="23"/>
        <v>-0.01829268293</v>
      </c>
      <c r="BS9" s="126">
        <f>IF($A9="","",IFERROR(SUMPRODUCT((Raw_Data_Daily!$B$2:$B$9999="Control")*(Raw_Data_Daily!$A$2:$A$9999=$A9)*(Raw_Data_Daily!$C$2:$C$9999=$C$3)*Raw_Data_Daily!$D$2:$D$9999*Raw_Data_Daily!$Z$2:$Z$9999)/SUMIFS(Raw_Data_Daily!$D:$D, Raw_Data_Daily!$B:$B, "Control", Raw_Data_Daily!$A:$A, $A9, Raw_Data_Daily!$C:$C, $C$3),""))</f>
        <v>597</v>
      </c>
      <c r="BT9" s="126">
        <f>IF($A9="","",IFERROR(SUMPRODUCT((Raw_Data_Daily!$B$2:$B$9999="Variant")*(Raw_Data_Daily!$A$2:$A$9999=$A9)*(Raw_Data_Daily!$C$2:$C$9999=$C$3)*Raw_Data_Daily!$D$2:$D$9999*Raw_Data_Daily!$Z$2:$Z$9999)/SUMIFS(Raw_Data_Daily!$D:$D, Raw_Data_Daily!$B:$B, "Variant", Raw_Data_Daily!$A:$A, $A9, Raw_Data_Daily!$C:$C, $C$3),""))</f>
        <v>526</v>
      </c>
      <c r="BU9" s="127">
        <f t="shared" si="24"/>
        <v>-0.1189279732</v>
      </c>
      <c r="BV9" s="126">
        <f>IF($A9="","",IFERROR(SUMPRODUCT((Raw_Data_Daily!$B$2:$B$9999="Control")*(Raw_Data_Daily!$A$2:$A$9999=$A9)*(Raw_Data_Daily!$C$2:$C$9999=$C$3)*Raw_Data_Daily!$D$2:$D$9999*Raw_Data_Daily!$AA$2:$AA$9999)/SUMIFS(Raw_Data_Daily!$D:$D, Raw_Data_Daily!$B:$B, "Control", Raw_Data_Daily!$A:$A, $A9, Raw_Data_Daily!$C:$C, $C$3),""))</f>
        <v>1410</v>
      </c>
      <c r="BW9" s="126">
        <f>IF($A9="","",IFERROR(SUMPRODUCT((Raw_Data_Daily!$B$2:$B$9999="Variant")*(Raw_Data_Daily!$A$2:$A$9999=$A9)*(Raw_Data_Daily!$C$2:$C$9999=$C$3)*Raw_Data_Daily!$D$2:$D$9999*Raw_Data_Daily!$AA$2:$AA$9999)/SUMIFS(Raw_Data_Daily!$D:$D, Raw_Data_Daily!$B:$B, "Variant", Raw_Data_Daily!$A:$A, $A9, Raw_Data_Daily!$C:$C, $C$3),""))</f>
        <v>1234</v>
      </c>
      <c r="BX9" s="127">
        <f t="shared" si="25"/>
        <v>-0.124822695</v>
      </c>
      <c r="BY9" s="132">
        <f>IF($A9="","",IFERROR(SUMPRODUCT((Raw_Data_Daily!$B$2:$B$9999="Control")*(Raw_Data_Daily!$A$2:$A$9999=$A9)*(Raw_Data_Daily!$C$2:$C$9999=$C$3)*Raw_Data_Daily!$D$2:$D$9999*Raw_Data_Daily!$AB$2:$AB$9999)/SUMIFS(Raw_Data_Daily!$D:$D, Raw_Data_Daily!$B:$B, "Control", Raw_Data_Daily!$A:$A, $A9, Raw_Data_Daily!$C:$C, $C$3),""))</f>
        <v>55.2414</v>
      </c>
      <c r="BZ9" s="132">
        <f>IF($A9="","",IFERROR(SUMPRODUCT((Raw_Data_Daily!$B$2:$B$9999="Variant")*(Raw_Data_Daily!$A$2:$A$9999=$A9)*(Raw_Data_Daily!$C$2:$C$9999=$C$3)*Raw_Data_Daily!$D$2:$D$9999*Raw_Data_Daily!$AB$2:$AB$9999)/SUMIFS(Raw_Data_Daily!$D:$D, Raw_Data_Daily!$B:$B, "Variant", Raw_Data_Daily!$A:$A, $A9, Raw_Data_Daily!$C:$C, $C$3),""))</f>
        <v>55.4129</v>
      </c>
      <c r="CA9" s="130">
        <f t="shared" si="26"/>
        <v>0.003104555641</v>
      </c>
      <c r="CB9" s="132">
        <f>IF($A9="","",IFERROR(SUMPRODUCT((Raw_Data_Daily!$B$2:$B$9999="Control")*(Raw_Data_Daily!$A$2:$A$9999=$A9)*(Raw_Data_Daily!$C$2:$C$9999=$C$3)*Raw_Data_Daily!$D$2:$D$9999*Raw_Data_Daily!$AC$2:$AC$9999)/SUMIFS(Raw_Data_Daily!$D:$D, Raw_Data_Daily!$B:$B, "Control", Raw_Data_Daily!$A:$A, $A9, Raw_Data_Daily!$C:$C, $C$3),""))</f>
        <v>0.786</v>
      </c>
      <c r="CC9" s="132">
        <f>IF($A9="","",IFERROR(SUMPRODUCT((Raw_Data_Daily!$B$2:$B$9999="Variant")*(Raw_Data_Daily!$A$2:$A$9999=$A9)*(Raw_Data_Daily!$C$2:$C$9999=$C$3)*Raw_Data_Daily!$D$2:$D$9999*Raw_Data_Daily!$AC$2:$AC$9999)/SUMIFS(Raw_Data_Daily!$D:$D, Raw_Data_Daily!$B:$B, "Variant", Raw_Data_Daily!$A:$A, $A9, Raw_Data_Daily!$C:$C, $C$3),""))</f>
        <v>0.7843</v>
      </c>
      <c r="CD9" s="130">
        <f t="shared" si="27"/>
        <v>-0.002162849873</v>
      </c>
      <c r="CE9" s="132">
        <f>IF($A9="","",IFERROR(SUMPRODUCT((Raw_Data_Daily!$B$2:$B$9999="Control")*(Raw_Data_Daily!$A$2:$A$9999=$A9)*(Raw_Data_Daily!$C$2:$C$9999=$C$3)*Raw_Data_Daily!$D$2:$D$9999*Raw_Data_Daily!$AD$2:$AD$9999)/SUMIFS(Raw_Data_Daily!$D:$D, Raw_Data_Daily!$B:$B, "Control", Raw_Data_Daily!$A:$A, $A9, Raw_Data_Daily!$C:$C, $C$3),""))</f>
        <v>29.38</v>
      </c>
      <c r="CF9" s="132">
        <f>IF($A9="","",IFERROR(SUMPRODUCT((Raw_Data_Daily!$B$2:$B$9999="Variant")*(Raw_Data_Daily!$A$2:$A$9999=$A9)*(Raw_Data_Daily!$C$2:$C$9999=$C$3)*Raw_Data_Daily!$D$2:$D$9999*Raw_Data_Daily!$AD$2:$AD$9999)/SUMIFS(Raw_Data_Daily!$D:$D, Raw_Data_Daily!$B:$B, "Variant", Raw_Data_Daily!$A:$A, $A9, Raw_Data_Daily!$C:$C, $C$3),""))</f>
        <v>29.49</v>
      </c>
      <c r="CG9" s="130">
        <f t="shared" si="28"/>
        <v>0.003744043567</v>
      </c>
      <c r="CH9" s="132">
        <f>IF($A9="","",IFERROR(SUMPRODUCT((Raw_Data_Daily!$B$2:$B$9999="Control")*(Raw_Data_Daily!$A$2:$A$9999=$A9)*(Raw_Data_Daily!$C$2:$C$9999=$C$3)*Raw_Data_Daily!$D$2:$D$9999*Raw_Data_Daily!$AE$2:$AE$9999)/SUMIFS(Raw_Data_Daily!$D:$D, Raw_Data_Daily!$B:$B, "Control", Raw_Data_Daily!$A:$A, $A9, Raw_Data_Daily!$C:$C, $C$3),""))</f>
        <v>11</v>
      </c>
      <c r="CI9" s="132">
        <f>IF($A9="","",IFERROR(SUMPRODUCT((Raw_Data_Daily!$B$2:$B$9999="Variant")*(Raw_Data_Daily!$A$2:$A$9999=$A9)*(Raw_Data_Daily!$C$2:$C$9999=$C$3)*Raw_Data_Daily!$D$2:$D$9999*Raw_Data_Daily!$AE$2:$AE$9999)/SUMIFS(Raw_Data_Daily!$D:$D, Raw_Data_Daily!$B:$B, "Variant", Raw_Data_Daily!$A:$A, $A9, Raw_Data_Daily!$C:$C, $C$3),""))</f>
        <v>11</v>
      </c>
      <c r="CJ9" s="130">
        <f t="shared" si="29"/>
        <v>0</v>
      </c>
      <c r="CK9" s="132">
        <f>IF($A9="","",IFERROR(SUMPRODUCT((Raw_Data_Daily!$B$2:$B$9999="Control")*(Raw_Data_Daily!$A$2:$A$9999=$A9)*(Raw_Data_Daily!$C$2:$C$9999=$C$3)*Raw_Data_Daily!$D$2:$D$9999*Raw_Data_Daily!$AF$2:$AF$9999)/SUMIFS(Raw_Data_Daily!$D:$D, Raw_Data_Daily!$B:$B, "Control", Raw_Data_Daily!$A:$A, $A9, Raw_Data_Daily!$C:$C, $C$3),""))</f>
        <v>21</v>
      </c>
      <c r="CL9" s="132">
        <f>IF($A9="","",IFERROR(SUMPRODUCT((Raw_Data_Daily!$B$2:$B$9999="Variant")*(Raw_Data_Daily!$A$2:$A$9999=$A9)*(Raw_Data_Daily!$C$2:$C$9999=$C$3)*Raw_Data_Daily!$D$2:$D$9999*Raw_Data_Daily!$AF$2:$AF$9999)/SUMIFS(Raw_Data_Daily!$D:$D, Raw_Data_Daily!$B:$B, "Variant", Raw_Data_Daily!$A:$A, $A9, Raw_Data_Daily!$C:$C, $C$3),""))</f>
        <v>22</v>
      </c>
      <c r="CM9" s="130">
        <f t="shared" si="30"/>
        <v>0.04761904762</v>
      </c>
      <c r="CN9" s="132">
        <f>IF($A9="","",IFERROR(SUMPRODUCT((Raw_Data_Daily!$B$2:$B$9999="Control")*(Raw_Data_Daily!$A$2:$A$9999=$A9)*(Raw_Data_Daily!$C$2:$C$9999=$C$3)*Raw_Data_Daily!$D$2:$D$9999*Raw_Data_Daily!$AG$2:$AG$9999)/SUMIFS(Raw_Data_Daily!$D:$D, Raw_Data_Daily!$B:$B, "Control", Raw_Data_Daily!$A:$A, $A9, Raw_Data_Daily!$C:$C, $C$3),""))</f>
        <v>41</v>
      </c>
      <c r="CO9" s="132">
        <f>IF($A9="","",IFERROR(SUMPRODUCT((Raw_Data_Daily!$B$2:$B$9999="Variant")*(Raw_Data_Daily!$A$2:$A$9999=$A9)*(Raw_Data_Daily!$C$2:$C$9999=$C$3)*Raw_Data_Daily!$D$2:$D$9999*Raw_Data_Daily!$AG$2:$AG$9999)/SUMIFS(Raw_Data_Daily!$D:$D, Raw_Data_Daily!$B:$B, "Variant", Raw_Data_Daily!$A:$A, $A9, Raw_Data_Daily!$C:$C, $C$3),""))</f>
        <v>41</v>
      </c>
      <c r="CP9" s="130">
        <f t="shared" si="31"/>
        <v>0</v>
      </c>
      <c r="CQ9" s="132">
        <f>IF($A9="","",IFERROR(SUMPRODUCT((Raw_Data_Daily!$B$2:$B$9999="Control")*(Raw_Data_Daily!$A$2:$A$9999=$A9)*(Raw_Data_Daily!$C$2:$C$9999=$C$3)*Raw_Data_Daily!$D$2:$D$9999*Raw_Data_Daily!$AH$2:$AH$9999)/SUMIFS(Raw_Data_Daily!$D:$D, Raw_Data_Daily!$B:$B, "Control", Raw_Data_Daily!$A:$A, $A9, Raw_Data_Daily!$C:$C, $C$3),""))</f>
        <v>62</v>
      </c>
      <c r="CR9" s="132">
        <f>IF($A9="","",IFERROR(SUMPRODUCT((Raw_Data_Daily!$B$2:$B$9999="Variant")*(Raw_Data_Daily!$A$2:$A$9999=$A9)*(Raw_Data_Daily!$C$2:$C$9999=$C$3)*Raw_Data_Daily!$D$2:$D$9999*Raw_Data_Daily!$AH$2:$AH$9999)/SUMIFS(Raw_Data_Daily!$D:$D, Raw_Data_Daily!$B:$B, "Variant", Raw_Data_Daily!$A:$A, $A9, Raw_Data_Daily!$C:$C, $C$3),""))</f>
        <v>61</v>
      </c>
      <c r="CS9" s="130">
        <f t="shared" si="32"/>
        <v>-0.01612903226</v>
      </c>
      <c r="CT9" s="128">
        <f>IF($A9="","",IFERROR(SUMPRODUCT((Raw_Data_Daily!$B$2:$B$9999="Control")*(Raw_Data_Daily!$A$2:$A$9999=$A9)*(Raw_Data_Daily!$C$2:$C$9999=$C$3)*Raw_Data_Daily!$D$2:$D$9999*Raw_Data_Daily!$AI$2:$AI$9999)/SUMIFS(Raw_Data_Daily!$D:$D, Raw_Data_Daily!$B:$B, "Control", Raw_Data_Daily!$A:$A, $A9, Raw_Data_Daily!$C:$C, $C$3),""))</f>
        <v>40.28</v>
      </c>
      <c r="CU9" s="128">
        <f>IF($A9="","",IFERROR(SUMPRODUCT((Raw_Data_Daily!$B$2:$B$9999="Variant")*(Raw_Data_Daily!$A$2:$A$9999=$A9)*(Raw_Data_Daily!$C$2:$C$9999=$C$3)*Raw_Data_Daily!$D$2:$D$9999*Raw_Data_Daily!$AI$2:$AI$9999)/SUMIFS(Raw_Data_Daily!$D:$D, Raw_Data_Daily!$B:$B, "Variant", Raw_Data_Daily!$A:$A, $A9, Raw_Data_Daily!$C:$C, $C$3),""))</f>
        <v>41.31</v>
      </c>
      <c r="CV9" s="139">
        <f t="shared" si="33"/>
        <v>0.02557100298</v>
      </c>
      <c r="CW9" s="128">
        <f>IF($A9="","",IFERROR(SUMPRODUCT((Raw_Data_Daily!$B$2:$B$9999="Control")*(Raw_Data_Daily!$A$2:$A$9999=$A9)*(Raw_Data_Daily!$C$2:$C$9999=$C$3)*Raw_Data_Daily!$D$2:$D$9999*Raw_Data_Daily!$AJ$2:$AJ$9999)/SUMIFS(Raw_Data_Daily!$D:$D, Raw_Data_Daily!$B:$B, "Control", Raw_Data_Daily!$A:$A, $A9, Raw_Data_Daily!$C:$C, $C$3),""))</f>
        <v>11.22</v>
      </c>
      <c r="CX9" s="128">
        <f>IF($A9="","",IFERROR(SUMPRODUCT((Raw_Data_Daily!$B$2:$B$9999="Variant")*(Raw_Data_Daily!$A$2:$A$9999=$A9)*(Raw_Data_Daily!$C$2:$C$9999=$C$3)*Raw_Data_Daily!$D$2:$D$9999*Raw_Data_Daily!$AJ$2:$AJ$9999)/SUMIFS(Raw_Data_Daily!$D:$D, Raw_Data_Daily!$B:$B, "Variant", Raw_Data_Daily!$A:$A, $A9, Raw_Data_Daily!$C:$C, $C$3),""))</f>
        <v>10.7</v>
      </c>
      <c r="CY9" s="139">
        <f t="shared" si="34"/>
        <v>-0.04634581105</v>
      </c>
      <c r="CZ9" s="128">
        <f>IF($A9="","",IFERROR(SUMPRODUCT((Raw_Data_Daily!$B$2:$B$9999="Control")*(Raw_Data_Daily!$A$2:$A$9999=$A9)*(Raw_Data_Daily!$C$2:$C$9999=$C$3)*Raw_Data_Daily!$D$2:$D$9999*Raw_Data_Daily!$AK$2:$AK$9999)/SUMIFS(Raw_Data_Daily!$D:$D, Raw_Data_Daily!$B:$B, "Control", Raw_Data_Daily!$A:$A, $A9, Raw_Data_Daily!$C:$C, $C$3),""))</f>
        <v>2.21</v>
      </c>
      <c r="DA9" s="128">
        <f>IF($A9="","",IFERROR(SUMPRODUCT((Raw_Data_Daily!$B$2:$B$9999="Variant")*(Raw_Data_Daily!$A$2:$A$9999=$A9)*(Raw_Data_Daily!$C$2:$C$9999=$C$3)*Raw_Data_Daily!$D$2:$D$9999*Raw_Data_Daily!$AK$2:$AK$9999)/SUMIFS(Raw_Data_Daily!$D:$D, Raw_Data_Daily!$B:$B, "Variant", Raw_Data_Daily!$A:$A, $A9, Raw_Data_Daily!$C:$C, $C$3),""))</f>
        <v>2.13</v>
      </c>
      <c r="DB9" s="130">
        <f t="shared" si="35"/>
        <v>-0.03619909502</v>
      </c>
      <c r="DC9" s="137">
        <f>IF($A9="","",IFERROR(SUMPRODUCT((Raw_Data_Daily!$B$2:$B$9999="Control")*(Raw_Data_Daily!$A$2:$A$9999=$A9)*(Raw_Data_Daily!$C$2:$C$9999=$C$3)*Raw_Data_Daily!$D$2:$D$9999*Raw_Data_Daily!$AL$2:$AL$9999)/SUMIFS(Raw_Data_Daily!$D:$D, Raw_Data_Daily!$B:$B, "Control", Raw_Data_Daily!$A:$A, $A9, Raw_Data_Daily!$C:$C, $C$3),""))</f>
        <v>0.1737</v>
      </c>
      <c r="DD9" s="137">
        <f>IF($A9="","",IFERROR(SUMPRODUCT((Raw_Data_Daily!$B$2:$B$9999="Variant")*(Raw_Data_Daily!$A$2:$A$9999=$A9)*(Raw_Data_Daily!$C$2:$C$9999=$C$3)*Raw_Data_Daily!$D$2:$D$9999*Raw_Data_Daily!$AL$2:$AL$9999)/SUMIFS(Raw_Data_Daily!$D:$D, Raw_Data_Daily!$B:$B, "Variant", Raw_Data_Daily!$A:$A, $A9, Raw_Data_Daily!$C:$C, $C$3),""))</f>
        <v>0.1774</v>
      </c>
      <c r="DE9" s="139">
        <f t="shared" si="36"/>
        <v>0.02130109384</v>
      </c>
      <c r="DF9" s="159"/>
      <c r="DG9" s="128">
        <f>IF($A9="","",IFERROR(SUMPRODUCT((Raw_Data_Daily!$B$2:$B$9999="Variant")*(Raw_Data_Daily!$A$2:$A$9999=$A9)*(Raw_Data_Daily!$C$2:$C$9999=$C$3)*Raw_Data_Daily!$D$2:$D$9999*Raw_Data_Daily!$AM$2:$AM$9999)/SUMIFS(Raw_Data_Daily!$D:$D, Raw_Data_Daily!$B:$B, "Variant", Raw_Data_Daily!$A:$A, $A9, Raw_Data_Daily!$C:$C, $C$3),""))</f>
        <v>42.78</v>
      </c>
      <c r="DH9" s="160"/>
      <c r="DI9" s="159"/>
      <c r="DJ9" s="128">
        <f>IF($A9="","",IFERROR(SUMPRODUCT((Raw_Data_Daily!$B$2:$B$9999="Variant")*(Raw_Data_Daily!$A$2:$A$9999=$A9)*(Raw_Data_Daily!$C$2:$C$9999=$C$3)*Raw_Data_Daily!$D$2:$D$9999*Raw_Data_Daily!$AN$2:$AN$9999)/SUMIFS(Raw_Data_Daily!$D:$D, Raw_Data_Daily!$B:$B, "Variant", Raw_Data_Daily!$A:$A, $A9, Raw_Data_Daily!$C:$C, $C$3),""))</f>
        <v>42.78</v>
      </c>
      <c r="DK9" s="160"/>
      <c r="DL9" s="159"/>
      <c r="DM9" s="128">
        <f>IF($A9="","",IFERROR(SUMPRODUCT((Raw_Data_Daily!$B$2:$B$9999="Variant")*(Raw_Data_Daily!$A$2:$A$9999=$A9)*(Raw_Data_Daily!$C$2:$C$9999=$C$3)*Raw_Data_Daily!$D$2:$D$9999*Raw_Data_Daily!$AO$2:$AO$9999)/SUMIFS(Raw_Data_Daily!$D:$D, Raw_Data_Daily!$B:$B, "Variant", Raw_Data_Daily!$A:$A, $A9, Raw_Data_Daily!$C:$C, $C$3),""))</f>
        <v>26.74</v>
      </c>
      <c r="DN9" s="160"/>
      <c r="DO9" s="159"/>
      <c r="DP9" s="128">
        <f>IF($A9="","",IFERROR(SUMPRODUCT((Raw_Data_Daily!$B$2:$B$9999="Variant")*(Raw_Data_Daily!$A$2:$A$9999=$A9)*(Raw_Data_Daily!$C$2:$C$9999=$C$3)*Raw_Data_Daily!$D$2:$D$9999*Raw_Data_Daily!$AP$2:$AP$9999)/SUMIFS(Raw_Data_Daily!$D:$D, Raw_Data_Daily!$B:$B, "Variant", Raw_Data_Daily!$A:$A, $A9, Raw_Data_Daily!$C:$C, $C$3),""))</f>
        <v>15.97</v>
      </c>
      <c r="DQ9" s="160"/>
      <c r="DR9" s="137">
        <f>IF($A9="","",IFERROR(SUMPRODUCT((Raw_Data_Daily!$B$2:$B$9999="Control")*(Raw_Data_Daily!$A$2:$A$9999=$A9)*(Raw_Data_Daily!$C$2:$C$9999=$C$3)*Raw_Data_Daily!$D$2:$D$9999*Raw_Data_Daily!$AQ$2:$AQ$9999)/SUMIFS(Raw_Data_Daily!$D:$D, Raw_Data_Daily!$B:$B, "Control", Raw_Data_Daily!$A:$A, $A9, Raw_Data_Daily!$C:$C, $C$3),""))</f>
        <v>14.689</v>
      </c>
      <c r="DS9" s="137">
        <f>IF($A9="","",IFERROR(SUMPRODUCT((Raw_Data_Daily!$B$2:$B$9999="Variant")*(Raw_Data_Daily!$A$2:$A$9999=$A9)*(Raw_Data_Daily!$C$2:$C$9999=$C$3)*Raw_Data_Daily!$D$2:$D$9999*Raw_Data_Daily!$AQ$2:$AQ$9999)/SUMIFS(Raw_Data_Daily!$D:$D, Raw_Data_Daily!$B:$B, "Variant", Raw_Data_Daily!$A:$A, $A9, Raw_Data_Daily!$C:$C, $C$3),""))</f>
        <v>14.5432</v>
      </c>
      <c r="DT9" s="161">
        <f t="shared" si="37"/>
        <v>-0.009925794812</v>
      </c>
      <c r="DU9" s="137">
        <f>IF($A9="","",IFERROR(SUMPRODUCT((Raw_Data_Daily!$B$2:$B$9999="Control")*(Raw_Data_Daily!$A$2:$A$9999=$A9)*(Raw_Data_Daily!$C$2:$C$9999=$C$3)*Raw_Data_Daily!$D$2:$D$9999*Raw_Data_Daily!$AR$2:$AR$9999)/SUMIFS(Raw_Data_Daily!$D:$D, Raw_Data_Daily!$B:$B, "Control", Raw_Data_Daily!$A:$A, $A9, Raw_Data_Daily!$C:$C, $C$3),""))</f>
        <v>0.6193</v>
      </c>
      <c r="DV9" s="137">
        <f>IF($A9="","",IFERROR(SUMPRODUCT((Raw_Data_Daily!$B$2:$B$9999="Variant")*(Raw_Data_Daily!$A$2:$A$9999=$A9)*(Raw_Data_Daily!$C$2:$C$9999=$C$3)*Raw_Data_Daily!$D$2:$D$9999*Raw_Data_Daily!$AR$2:$AR$9999)/SUMIFS(Raw_Data_Daily!$D:$D, Raw_Data_Daily!$B:$B, "Variant", Raw_Data_Daily!$A:$A, $A9, Raw_Data_Daily!$C:$C, $C$3),""))</f>
        <v>0.3491</v>
      </c>
      <c r="DW9" s="161">
        <f t="shared" si="38"/>
        <v>-0.4362990473</v>
      </c>
      <c r="DX9" s="137">
        <f>IF($A9="","",IFERROR(SUMPRODUCT((Raw_Data_Daily!$B$2:$B$9999="Control")*(Raw_Data_Daily!$A$2:$A$9999=$A9)*(Raw_Data_Daily!$C$2:$C$9999=$C$3)*Raw_Data_Daily!$D$2:$D$9999*Raw_Data_Daily!$AS$2:$AS$9999)/SUMIFS(Raw_Data_Daily!$D:$D, Raw_Data_Daily!$B:$B, "Control", Raw_Data_Daily!$A:$A, $A9, Raw_Data_Daily!$C:$C, $C$3),""))</f>
        <v>14.0697</v>
      </c>
      <c r="DY9" s="137">
        <f>IF($A9="","",IFERROR(SUMPRODUCT((Raw_Data_Daily!$B$2:$B$9999="Variant")*(Raw_Data_Daily!$A$2:$A$9999=$A9)*(Raw_Data_Daily!$C$2:$C$9999=$C$3)*Raw_Data_Daily!$D$2:$D$9999*Raw_Data_Daily!$AS$2:$AS$9999)/SUMIFS(Raw_Data_Daily!$D:$D, Raw_Data_Daily!$B:$B, "Variant", Raw_Data_Daily!$A:$A, $A9, Raw_Data_Daily!$C:$C, $C$3),""))</f>
        <v>14.1941</v>
      </c>
      <c r="DZ9" s="162">
        <f t="shared" si="39"/>
        <v>0.008841695274</v>
      </c>
      <c r="EA9" s="137">
        <f>IF($A9="","",IFERROR(SUMPRODUCT((Raw_Data_Daily!$B$2:$B$9999="Control")*(Raw_Data_Daily!$A$2:$A$9999=$A9)*(Raw_Data_Daily!$C$2:$C$9999=$C$3)*Raw_Data_Daily!$D$2:$D$9999*Raw_Data_Daily!$AT$2:$AT$9999)/SUMIFS(Raw_Data_Daily!$D:$D, Raw_Data_Daily!$B:$B, "Control", Raw_Data_Daily!$A:$A, $A9, Raw_Data_Daily!$C:$C, $C$3),""))</f>
        <v>13.4279</v>
      </c>
      <c r="EB9" s="137">
        <f>IF($A9="","",IFERROR(SUMPRODUCT((Raw_Data_Daily!$B$2:$B$9999="Variant")*(Raw_Data_Daily!$A$2:$A$9999=$A9)*(Raw_Data_Daily!$C$2:$C$9999=$C$3)*Raw_Data_Daily!$D$2:$D$9999*Raw_Data_Daily!$AT$2:$AT$9999)/SUMIFS(Raw_Data_Daily!$D:$D, Raw_Data_Daily!$B:$B, "Variant", Raw_Data_Daily!$A:$A, $A9, Raw_Data_Daily!$C:$C, $C$3),""))</f>
        <v>12.2621</v>
      </c>
      <c r="EC9" s="161">
        <f t="shared" si="40"/>
        <v>-0.08681923458</v>
      </c>
      <c r="ED9" s="137">
        <f>IF($A9="","",IFERROR(SUMPRODUCT((Raw_Data_Daily!$B$2:$B$9999="Control")*(Raw_Data_Daily!$A$2:$A$9999=$A9)*(Raw_Data_Daily!$C$2:$C$9999=$C$3)*Raw_Data_Daily!$D$2:$D$9999*(Raw_Data_Daily!$AQ$2:$AQ$9999-Raw_Data_Daily!$AT$2:$AT$9999))/SUMIFS(Raw_Data_Daily!$D:$D, Raw_Data_Daily!$B:$B, "Control", Raw_Data_Daily!$A:$A, $A9, Raw_Data_Daily!$C:$C, $C$3),""))</f>
        <v>1.2611</v>
      </c>
      <c r="EE9" s="137">
        <f>IF($A9="","",IFERROR(SUMPRODUCT((Raw_Data_Daily!$B$2:$B$9999="Variant")*(Raw_Data_Daily!$A$2:$A$9999=$A9)*(Raw_Data_Daily!$C$2:$C$9999=$C$3)*Raw_Data_Daily!$D$2:$D$9999*(Raw_Data_Daily!$AQ$2:$AQ$9999-Raw_Data_Daily!$AT$2:$AT$9999))/SUMIFS(Raw_Data_Daily!$D:$D, Raw_Data_Daily!$B:$B, "Variant", Raw_Data_Daily!$A:$A, $A9, Raw_Data_Daily!$C:$C, $C$3),""))</f>
        <v>2.2811</v>
      </c>
      <c r="EF9" s="162">
        <f t="shared" si="41"/>
        <v>0.8088176988</v>
      </c>
      <c r="EG9" s="137">
        <f>IF($A9="","",IFERROR(SUMPRODUCT((Raw_Data_Daily!$B$2:$B$9999="Control")*(Raw_Data_Daily!$A$2:$A$9999=$A9)*(Raw_Data_Daily!$C$2:$C$9999=$C$3)*Raw_Data_Daily!$D$2:$D$9999*Raw_Data_Daily!$AU$2:$AU$9999)/SUMIFS(Raw_Data_Daily!$D:$D, Raw_Data_Daily!$B:$B, "Control", Raw_Data_Daily!$A:$A, $A9, Raw_Data_Daily!$C:$C, $C$3),""))</f>
        <v>0.1892</v>
      </c>
      <c r="EH9" s="137">
        <f>IF($A9="","",IFERROR(SUMPRODUCT((Raw_Data_Daily!$B$2:$B$9999="Variant")*(Raw_Data_Daily!$A$2:$A$9999=$A9)*(Raw_Data_Daily!$C$2:$C$9999=$C$3)*Raw_Data_Daily!$D$2:$D$9999*Raw_Data_Daily!$AU$2:$AU$9999)/SUMIFS(Raw_Data_Daily!$D:$D, Raw_Data_Daily!$B:$B, "Variant", Raw_Data_Daily!$A:$A, $A9, Raw_Data_Daily!$C:$C, $C$3),""))</f>
        <v>0.173</v>
      </c>
      <c r="EI9" s="161">
        <f t="shared" si="42"/>
        <v>-0.08562367865</v>
      </c>
    </row>
    <row r="10" ht="15.75" customHeight="1">
      <c r="A10" s="125">
        <v>46233.0</v>
      </c>
      <c r="B10" s="126">
        <f>IF($A10="","",SUMIFS(Raw_Data_Daily!$D:$D, Raw_Data_Daily!$B:$B, "Control", Raw_Data_Daily!$A:$A, $A10, Raw_Data_Daily!$C:$C, $C$3))</f>
        <v>3018</v>
      </c>
      <c r="C10" s="126">
        <f>IF($A10="","",SUMIFS(Raw_Data_Daily!$D:$D, Raw_Data_Daily!$B:$B, "Variant", Raw_Data_Daily!$A:$A, $A10, Raw_Data_Daily!$C:$C, $C$3))</f>
        <v>2927</v>
      </c>
      <c r="D10" s="127">
        <f t="shared" si="1"/>
        <v>-0.03015241882</v>
      </c>
      <c r="E10" s="128">
        <f>IF($A10="","",IFERROR(SUMPRODUCT((Raw_Data_Daily!$B$2:$B$9999="Control")*(Raw_Data_Daily!$A$2:$A$9999=$A10)*(Raw_Data_Daily!$C$2:$C$9999=$C$3)*Raw_Data_Daily!$D$2:$D$9999*Raw_Data_Daily!$E$2:$E$9999)/SUMIFS(Raw_Data_Daily!$D:$D, Raw_Data_Daily!$B:$B, "Control", Raw_Data_Daily!$A:$A, $A10, Raw_Data_Daily!$C:$C, $C$3),""))</f>
        <v>11.43</v>
      </c>
      <c r="F10" s="128">
        <f>IF($A10="","",IFERROR(SUMPRODUCT((Raw_Data_Daily!$B$2:$B$9999="Variant")*(Raw_Data_Daily!$A$2:$A$9999=$A10)*(Raw_Data_Daily!$C$2:$C$9999=$C$3)*Raw_Data_Daily!$D$2:$D$9999*Raw_Data_Daily!$E$2:$E$9999)/SUMIFS(Raw_Data_Daily!$D:$D, Raw_Data_Daily!$B:$B, "Variant", Raw_Data_Daily!$A:$A, $A10, Raw_Data_Daily!$C:$C, $C$3),""))</f>
        <v>11.33</v>
      </c>
      <c r="G10" s="127">
        <f t="shared" si="2"/>
        <v>-0.008748906387</v>
      </c>
      <c r="H10" s="129">
        <f>IF($A10="","",SUMIFS(Raw_Data_Daily!$F:$F, Raw_Data_Daily!$B:$B, "Control", Raw_Data_Daily!$A:$A, $A10, Raw_Data_Daily!$C:$C, $C$3))</f>
        <v>456.9</v>
      </c>
      <c r="I10" s="129">
        <f>IF($A10="","",SUMIFS(Raw_Data_Daily!$F:$F, Raw_Data_Daily!$B:$B, "Variant", Raw_Data_Daily!$A:$A, $A10, Raw_Data_Daily!$C:$C, $C$3))</f>
        <v>456.8</v>
      </c>
      <c r="J10" s="130">
        <f t="shared" si="3"/>
        <v>-0.0002188662727</v>
      </c>
      <c r="K10" s="131">
        <f>IF($A10="","",IFERROR(SUMIFS(Raw_Data_Daily!$F:$F, Raw_Data_Daily!$B:$B, "Control", Raw_Data_Daily!$A:$A, $A10, Raw_Data_Daily!$C:$C, $C$3)/SUMIFS(Raw_Data_Daily!$D:$D, Raw_Data_Daily!$B:$B, "Control", Raw_Data_Daily!$A:$A, $A10, Raw_Data_Daily!$C:$C, $C$3),""))</f>
        <v>0.1513916501</v>
      </c>
      <c r="L10" s="131">
        <f>IF($A10="","",IFERROR(SUMIFS(Raw_Data_Daily!$F:$F, Raw_Data_Daily!$B:$B, "Variant", Raw_Data_Daily!$A:$A, $A10, Raw_Data_Daily!$C:$C, $C$3)/SUMIFS(Raw_Data_Daily!$D:$D, Raw_Data_Daily!$B:$B, "Variant", Raw_Data_Daily!$A:$A, $A10, Raw_Data_Daily!$C:$C, $C$3),""))</f>
        <v>0.1560642296</v>
      </c>
      <c r="M10" s="130">
        <f t="shared" si="4"/>
        <v>0.0308641823</v>
      </c>
      <c r="N10" s="128">
        <f>IF($A10="","",IFERROR(SUMPRODUCT((Raw_Data_Daily!$B$2:$B$9999="Control")*(Raw_Data_Daily!$A$2:$A$9999=$A10)*(Raw_Data_Daily!$C$2:$C$9999=$C$3)*Raw_Data_Daily!$D$2:$D$9999*Raw_Data_Daily!$H$2:$H$9999/100)/SUMIFS(Raw_Data_Daily!$D:$D, Raw_Data_Daily!$B:$B, "Control", Raw_Data_Daily!$A:$A, $A10, Raw_Data_Daily!$C:$C, $C$3)*100,""))</f>
        <v>3.21</v>
      </c>
      <c r="O10" s="128">
        <f>IF($A10="","",IFERROR(SUMPRODUCT((Raw_Data_Daily!$B$2:$B$9999="Variant")*(Raw_Data_Daily!$A$2:$A$9999=$A10)*(Raw_Data_Daily!$C$2:$C$9999=$C$3)*Raw_Data_Daily!$D$2:$D$9999*Raw_Data_Daily!$H$2:$H$9999/100)/SUMIFS(Raw_Data_Daily!$D:$D, Raw_Data_Daily!$B:$B, "Variant", Raw_Data_Daily!$A:$A, $A10, Raw_Data_Daily!$C:$C, $C$3)*100,""))</f>
        <v>3.21</v>
      </c>
      <c r="P10" s="130">
        <f t="shared" si="5"/>
        <v>0</v>
      </c>
      <c r="Q10" s="131">
        <f>IF($A10="","",IFERROR(SUMIFS(Raw_Data_Daily!$F:$F, Raw_Data_Daily!$B:$B, "Control", Raw_Data_Daily!$A:$A, $A10, Raw_Data_Daily!$C:$C, $C$3)/SUMPRODUCT((Raw_Data_Daily!$B$2:$B$9999="Control")*(Raw_Data_Daily!$A$2:$A$9999=$A10)*(Raw_Data_Daily!$C$2:$C$9999=$C$3)*Raw_Data_Daily!$D$2:$D$9999*Raw_Data_Daily!$H$2:$H$9999/100),""))</f>
        <v>4.716250782</v>
      </c>
      <c r="R10" s="131">
        <f>IF($A10="","",IFERROR(SUMIFS(Raw_Data_Daily!$F:$F, Raw_Data_Daily!$B:$B, "Variant", Raw_Data_Daily!$A:$A, $A10, Raw_Data_Daily!$C:$C, $C$3)/SUMPRODUCT((Raw_Data_Daily!$B$2:$B$9999="Variant")*(Raw_Data_Daily!$A$2:$A$9999=$A10)*(Raw_Data_Daily!$C$2:$C$9999=$C$3)*Raw_Data_Daily!$D$2:$D$9999*Raw_Data_Daily!$H$2:$H$9999/100),""))</f>
        <v>4.861814006</v>
      </c>
      <c r="S10" s="130">
        <f t="shared" si="6"/>
        <v>0.0308641823</v>
      </c>
      <c r="T10" s="132">
        <f>IF($A10="","",IFERROR(SUMPRODUCT((Raw_Data_Daily!$B$2:$B$9999="Control")*(Raw_Data_Daily!$A$2:$A$9999=$A10)*(Raw_Data_Daily!$C$2:$C$9999=$C$3)*Raw_Data_Daily!$D$2:$D$9999*Raw_Data_Daily!$J$2:$J$9999)/SUMIFS(Raw_Data_Daily!$D:$D, Raw_Data_Daily!$B:$B, "Control", Raw_Data_Daily!$A:$A, $A10, Raw_Data_Daily!$C:$C, $C$3),""))</f>
        <v>109.86</v>
      </c>
      <c r="U10" s="132">
        <f>IF($A10="","",IFERROR(SUMPRODUCT((Raw_Data_Daily!$B$2:$B$9999="Variant")*(Raw_Data_Daily!$A$2:$A$9999=$A10)*(Raw_Data_Daily!$C$2:$C$9999=$C$3)*Raw_Data_Daily!$D$2:$D$9999*Raw_Data_Daily!$J$2:$J$9999)/SUMIFS(Raw_Data_Daily!$D:$D, Raw_Data_Daily!$B:$B, "Variant", Raw_Data_Daily!$A:$A, $A10, Raw_Data_Daily!$C:$C, $C$3),""))</f>
        <v>109.73</v>
      </c>
      <c r="V10" s="130">
        <f t="shared" si="7"/>
        <v>-0.001183324231</v>
      </c>
      <c r="W10" s="132">
        <f>IF($A10="","",IFERROR(SUMPRODUCT((Raw_Data_Daily!$B$2:$B$9999="Control")*(Raw_Data_Daily!$A$2:$A$9999=$A10)*(Raw_Data_Daily!$C$2:$C$9999=$C$3)*Raw_Data_Daily!$D$2:$D$9999*Raw_Data_Daily!$K$2:$K$9999)/SUMIFS(Raw_Data_Daily!$D:$D, Raw_Data_Daily!$B:$B, "Control", Raw_Data_Daily!$A:$A, $A10, Raw_Data_Daily!$C:$C, $C$3),""))</f>
        <v>68.45</v>
      </c>
      <c r="X10" s="132">
        <f>IF($A10="","",IFERROR(SUMPRODUCT((Raw_Data_Daily!$B$2:$B$9999="Variant")*(Raw_Data_Daily!$A$2:$A$9999=$A10)*(Raw_Data_Daily!$C$2:$C$9999=$C$3)*Raw_Data_Daily!$D$2:$D$9999*Raw_Data_Daily!$K$2:$K$9999)/SUMIFS(Raw_Data_Daily!$D:$D, Raw_Data_Daily!$B:$B, "Variant", Raw_Data_Daily!$A:$A, $A10, Raw_Data_Daily!$C:$C, $C$3),""))</f>
        <v>67.99</v>
      </c>
      <c r="Y10" s="130">
        <f t="shared" si="8"/>
        <v>-0.006720233747</v>
      </c>
      <c r="Z10" s="132">
        <f>IF($A10="","",IFERROR(SUMPRODUCT((Raw_Data_Daily!$B$2:$B$9999="Control")*(Raw_Data_Daily!$A$2:$A$9999=$A10)*(Raw_Data_Daily!$C$2:$C$9999=$C$3)*Raw_Data_Daily!$D$2:$D$9999*Raw_Data_Daily!$L$2:$L$9999)/SUMIFS(Raw_Data_Daily!$D:$D, Raw_Data_Daily!$B:$B, "Control", Raw_Data_Daily!$A:$A, $A10, Raw_Data_Daily!$C:$C, $C$3),""))</f>
        <v>52.18</v>
      </c>
      <c r="AA10" s="132">
        <f>IF($A10="","",IFERROR(SUMPRODUCT((Raw_Data_Daily!$B$2:$B$9999="Variant")*(Raw_Data_Daily!$A$2:$A$9999=$A10)*(Raw_Data_Daily!$C$2:$C$9999=$C$3)*Raw_Data_Daily!$D$2:$D$9999*Raw_Data_Daily!$L$2:$L$9999)/SUMIFS(Raw_Data_Daily!$D:$D, Raw_Data_Daily!$B:$B, "Variant", Raw_Data_Daily!$A:$A, $A10, Raw_Data_Daily!$C:$C, $C$3),""))</f>
        <v>49.61</v>
      </c>
      <c r="AB10" s="130">
        <f t="shared" si="9"/>
        <v>-0.0492525872</v>
      </c>
      <c r="AC10" s="137">
        <f>IF($A10="","",IFERROR(SUMPRODUCT((Raw_Data_Daily!$B$2:$B$9999="Control")*(Raw_Data_Daily!$A$2:$A$9999=$A10)*(Raw_Data_Daily!$C$2:$C$9999=$C$3)*Raw_Data_Daily!$D$2:$D$9999*Raw_Data_Daily!$M$2:$M$9999)/SUMIFS(Raw_Data_Daily!$D:$D, Raw_Data_Daily!$B:$B, "Control", Raw_Data_Daily!$A:$A, $A10, Raw_Data_Daily!$C:$C, $C$3),""))</f>
        <v>0.7623</v>
      </c>
      <c r="AD10" s="137">
        <f>IF($A10="","",IFERROR(SUMPRODUCT((Raw_Data_Daily!$B$2:$B$9999="Variant")*(Raw_Data_Daily!$A$2:$A$9999=$A10)*(Raw_Data_Daily!$C$2:$C$9999=$C$3)*Raw_Data_Daily!$D$2:$D$9999*Raw_Data_Daily!$M$2:$M$9999)/SUMIFS(Raw_Data_Daily!$D:$D, Raw_Data_Daily!$B:$B, "Variant", Raw_Data_Daily!$A:$A, $A10, Raw_Data_Daily!$C:$C, $C$3),""))</f>
        <v>0.7296</v>
      </c>
      <c r="AE10" s="139">
        <f t="shared" si="10"/>
        <v>-0.04289649744</v>
      </c>
      <c r="AF10" s="137">
        <f>IF($A10="","",IFERROR(SUMPRODUCT((Raw_Data_Daily!$B$2:$B$9999="Control")*(Raw_Data_Daily!$A$2:$A$9999=$A10)*(Raw_Data_Daily!$C$2:$C$9999=$C$3)*Raw_Data_Daily!$D$2:$D$9999*Raw_Data_Daily!$N$2:$N$9999)/SUMIFS(Raw_Data_Daily!$D:$D, Raw_Data_Daily!$B:$B, "Control", Raw_Data_Daily!$A:$A, $A10, Raw_Data_Daily!$C:$C, $C$3),""))</f>
        <v>0.3487</v>
      </c>
      <c r="AG10" s="137">
        <f>IF($A10="","",IFERROR(SUMPRODUCT((Raw_Data_Daily!$B$2:$B$9999="Variant")*(Raw_Data_Daily!$A$2:$A$9999=$A10)*(Raw_Data_Daily!$C$2:$C$9999=$C$3)*Raw_Data_Daily!$D$2:$D$9999*Raw_Data_Daily!$N$2:$N$9999)/SUMIFS(Raw_Data_Daily!$D:$D, Raw_Data_Daily!$B:$B, "Variant", Raw_Data_Daily!$A:$A, $A10, Raw_Data_Daily!$C:$C, $C$3),""))</f>
        <v>0.3731</v>
      </c>
      <c r="AH10" s="139">
        <f t="shared" si="11"/>
        <v>0.06997418985</v>
      </c>
      <c r="AI10" s="137">
        <f>IF($A10="","",IFERROR(SUMPRODUCT((Raw_Data_Daily!$B$2:$B$9999="Control")*(Raw_Data_Daily!$A$2:$A$9999=$A10)*(Raw_Data_Daily!$C$2:$C$9999=$C$3)*Raw_Data_Daily!$D$2:$D$9999*Raw_Data_Daily!$O$2:$O$9999)/SUMIFS(Raw_Data_Daily!$D:$D, Raw_Data_Daily!$B:$B, "Control", Raw_Data_Daily!$A:$A, $A10, Raw_Data_Daily!$C:$C, $C$3),""))</f>
        <v>0.2334</v>
      </c>
      <c r="AJ10" s="137">
        <f>IF($A10="","",IFERROR(SUMPRODUCT((Raw_Data_Daily!$B$2:$B$9999="Variant")*(Raw_Data_Daily!$A$2:$A$9999=$A10)*(Raw_Data_Daily!$C$2:$C$9999=$C$3)*Raw_Data_Daily!$D$2:$D$9999*Raw_Data_Daily!$O$2:$O$9999)/SUMIFS(Raw_Data_Daily!$D:$D, Raw_Data_Daily!$B:$B, "Variant", Raw_Data_Daily!$A:$A, $A10, Raw_Data_Daily!$C:$C, $C$3),""))</f>
        <v>0.2391</v>
      </c>
      <c r="AK10" s="130">
        <f t="shared" si="12"/>
        <v>0.02442159383</v>
      </c>
      <c r="AL10" s="132">
        <f>IF($A10="","",IFERROR(SUMPRODUCT((Raw_Data_Daily!$B$2:$B$9999="Control")*(Raw_Data_Daily!$A$2:$A$9999=$A10)*(Raw_Data_Daily!$C$2:$C$9999=$C$3)*Raw_Data_Daily!$D$2:$D$9999*Raw_Data_Daily!$P$2:$P$9999)/SUMIFS(Raw_Data_Daily!$D:$D, Raw_Data_Daily!$B:$B, "Control", Raw_Data_Daily!$A:$A, $A10, Raw_Data_Daily!$C:$C, $C$3),""))</f>
        <v>1.3118</v>
      </c>
      <c r="AM10" s="132">
        <f>IF($A10="","",IFERROR(SUMPRODUCT((Raw_Data_Daily!$B$2:$B$9999="Variant")*(Raw_Data_Daily!$A$2:$A$9999=$A10)*(Raw_Data_Daily!$C$2:$C$9999=$C$3)*Raw_Data_Daily!$D$2:$D$9999*Raw_Data_Daily!$P$2:$P$9999)/SUMIFS(Raw_Data_Daily!$D:$D, Raw_Data_Daily!$B:$B, "Variant", Raw_Data_Daily!$A:$A, $A10, Raw_Data_Daily!$C:$C, $C$3),""))</f>
        <v>1.3705</v>
      </c>
      <c r="AN10" s="130">
        <f t="shared" si="13"/>
        <v>0.04474767495</v>
      </c>
      <c r="AO10" s="132">
        <f>IF($A10="","",IFERROR(SUMPRODUCT((Raw_Data_Daily!$B$2:$B$9999="Control")*(Raw_Data_Daily!$A$2:$A$9999=$A10)*(Raw_Data_Daily!$C$2:$C$9999=$C$3)*Raw_Data_Daily!$D$2:$D$9999*Raw_Data_Daily!$Q$2:$Q$9999)/SUMIFS(Raw_Data_Daily!$D:$D, Raw_Data_Daily!$B:$B, "Control", Raw_Data_Daily!$A:$A, $A10, Raw_Data_Daily!$C:$C, $C$3),""))</f>
        <v>365.34</v>
      </c>
      <c r="AP10" s="132">
        <f>IF($A10="","",IFERROR(SUMPRODUCT((Raw_Data_Daily!$B$2:$B$9999="Variant")*(Raw_Data_Daily!$A$2:$A$9999=$A10)*(Raw_Data_Daily!$C$2:$C$9999=$C$3)*Raw_Data_Daily!$D$2:$D$9999*Raw_Data_Daily!$Q$2:$Q$9999)/SUMIFS(Raw_Data_Daily!$D:$D, Raw_Data_Daily!$B:$B, "Variant", Raw_Data_Daily!$A:$A, $A10, Raw_Data_Daily!$C:$C, $C$3),""))</f>
        <v>251.36</v>
      </c>
      <c r="AQ10" s="127">
        <f t="shared" si="14"/>
        <v>-0.311983358</v>
      </c>
      <c r="AR10" s="132">
        <f>IF($A10="","",IFERROR(SUMPRODUCT((Raw_Data_Daily!$B$2:$B$9999="Control")*(Raw_Data_Daily!$A$2:$A$9999=$A10)*(Raw_Data_Daily!$C$2:$C$9999=$C$3)*Raw_Data_Daily!$D$2:$D$9999*Raw_Data_Daily!$R$2:$R$9999)/SUMIFS(Raw_Data_Daily!$D:$D, Raw_Data_Daily!$B:$B, "Control", Raw_Data_Daily!$A:$A, $A10, Raw_Data_Daily!$C:$C, $C$3),""))</f>
        <v>257.14</v>
      </c>
      <c r="AS10" s="132">
        <f>IF($A10="","",IFERROR(SUMPRODUCT((Raw_Data_Daily!$B$2:$B$9999="Variant")*(Raw_Data_Daily!$A$2:$A$9999=$A10)*(Raw_Data_Daily!$C$2:$C$9999=$C$3)*Raw_Data_Daily!$D$2:$D$9999*Raw_Data_Daily!$R$2:$R$9999)/SUMIFS(Raw_Data_Daily!$D:$D, Raw_Data_Daily!$B:$B, "Variant", Raw_Data_Daily!$A:$A, $A10, Raw_Data_Daily!$C:$C, $C$3),""))</f>
        <v>221.57</v>
      </c>
      <c r="AT10" s="127">
        <f t="shared" si="15"/>
        <v>-0.1383293148</v>
      </c>
      <c r="AU10" s="132">
        <f>IF($A10="","",IFERROR(SUMPRODUCT((Raw_Data_Daily!$B$2:$B$9999="Control")*(Raw_Data_Daily!$A$2:$A$9999=$A10)*(Raw_Data_Daily!$C$2:$C$9999=$C$3)*Raw_Data_Daily!$D$2:$D$9999*Raw_Data_Daily!$S$2:$S$9999)/SUMIFS(Raw_Data_Daily!$D:$D, Raw_Data_Daily!$B:$B, "Control", Raw_Data_Daily!$A:$A, $A10, Raw_Data_Daily!$C:$C, $C$3),""))</f>
        <v>108.2</v>
      </c>
      <c r="AV10" s="132">
        <f>IF($A10="","",IFERROR(SUMPRODUCT((Raw_Data_Daily!$B$2:$B$9999="Variant")*(Raw_Data_Daily!$A$2:$A$9999=$A10)*(Raw_Data_Daily!$C$2:$C$9999=$C$3)*Raw_Data_Daily!$D$2:$D$9999*Raw_Data_Daily!$S$2:$S$9999)/SUMIFS(Raw_Data_Daily!$D:$D, Raw_Data_Daily!$B:$B, "Variant", Raw_Data_Daily!$A:$A, $A10, Raw_Data_Daily!$C:$C, $C$3),""))</f>
        <v>29.79</v>
      </c>
      <c r="AW10" s="127">
        <f t="shared" si="16"/>
        <v>-0.724676525</v>
      </c>
      <c r="AX10" s="132">
        <f>IF($A10="","",IFERROR(SUMPRODUCT((Raw_Data_Daily!$B$2:$B$9999="Control")*(Raw_Data_Daily!$A$2:$A$9999=$A10)*(Raw_Data_Daily!$C$2:$C$9999=$C$3)*Raw_Data_Daily!$D$2:$D$9999*Raw_Data_Daily!$T$2:$T$9999)/SUMIFS(Raw_Data_Daily!$D:$D, Raw_Data_Daily!$B:$B, "Control", Raw_Data_Daily!$A:$A, $A10, Raw_Data_Daily!$C:$C, $C$3),""))</f>
        <v>16.29</v>
      </c>
      <c r="AY10" s="132">
        <f>IF($A10="","",IFERROR(SUMPRODUCT((Raw_Data_Daily!$B$2:$B$9999="Variant")*(Raw_Data_Daily!$A$2:$A$9999=$A10)*(Raw_Data_Daily!$C$2:$C$9999=$C$3)*Raw_Data_Daily!$D$2:$D$9999*Raw_Data_Daily!$T$2:$T$9999)/SUMIFS(Raw_Data_Daily!$D:$D, Raw_Data_Daily!$B:$B, "Variant", Raw_Data_Daily!$A:$A, $A10, Raw_Data_Daily!$C:$C, $C$3),""))</f>
        <v>14.47</v>
      </c>
      <c r="AZ10" s="130">
        <f t="shared" si="17"/>
        <v>-0.1117249847</v>
      </c>
      <c r="BA10" s="132">
        <f>IF($A10="","",IFERROR(SUMPRODUCT((Raw_Data_Daily!$B$2:$B$9999="Control")*(Raw_Data_Daily!$A$2:$A$9999=$A10)*(Raw_Data_Daily!$C$2:$C$9999=$C$3)*Raw_Data_Daily!$D$2:$D$9999*Raw_Data_Daily!$U$2:$U$9999)/SUMIFS(Raw_Data_Daily!$D:$D, Raw_Data_Daily!$B:$B, "Control", Raw_Data_Daily!$A:$A, $A10, Raw_Data_Daily!$C:$C, $C$3),""))</f>
        <v>349.05</v>
      </c>
      <c r="BB10" s="132">
        <f>IF($A10="","",IFERROR(SUMPRODUCT((Raw_Data_Daily!$B$2:$B$9999="Variant")*(Raw_Data_Daily!$A$2:$A$9999=$A10)*(Raw_Data_Daily!$C$2:$C$9999=$C$3)*Raw_Data_Daily!$D$2:$D$9999*Raw_Data_Daily!$U$2:$U$9999)/SUMIFS(Raw_Data_Daily!$D:$D, Raw_Data_Daily!$B:$B, "Variant", Raw_Data_Daily!$A:$A, $A10, Raw_Data_Daily!$C:$C, $C$3),""))</f>
        <v>236.89</v>
      </c>
      <c r="BC10" s="127">
        <f t="shared" si="18"/>
        <v>-0.3213293224</v>
      </c>
      <c r="BD10" s="132">
        <f>IF($A10="","",IFERROR(SUMPRODUCT((Raw_Data_Daily!$B$2:$B$9999="Control")*(Raw_Data_Daily!$A$2:$A$9999=$A10)*(Raw_Data_Daily!$C$2:$C$9999=$C$3)*Raw_Data_Daily!$D$2:$D$9999*Raw_Data_Daily!$V$2:$V$9999)/SUMIFS(Raw_Data_Daily!$D:$D, Raw_Data_Daily!$B:$B, "Control", Raw_Data_Daily!$A:$A, $A10, Raw_Data_Daily!$C:$C, $C$3),""))</f>
        <v>336.86</v>
      </c>
      <c r="BE10" s="132">
        <f>IF($A10="","",IFERROR(SUMPRODUCT((Raw_Data_Daily!$B$2:$B$9999="Variant")*(Raw_Data_Daily!$A$2:$A$9999=$A10)*(Raw_Data_Daily!$C$2:$C$9999=$C$3)*Raw_Data_Daily!$D$2:$D$9999*Raw_Data_Daily!$V$2:$V$9999)/SUMIFS(Raw_Data_Daily!$D:$D, Raw_Data_Daily!$B:$B, "Variant", Raw_Data_Daily!$A:$A, $A10, Raw_Data_Daily!$C:$C, $C$3),""))</f>
        <v>243.95</v>
      </c>
      <c r="BF10" s="127">
        <f t="shared" si="19"/>
        <v>-0.27581191</v>
      </c>
      <c r="BG10" s="132">
        <f>IF($A10="","",IFERROR(SUMPRODUCT((Raw_Data_Daily!$B$2:$B$9999="Control")*(Raw_Data_Daily!$A$2:$A$9999=$A10)*(Raw_Data_Daily!$C$2:$C$9999=$C$3)*Raw_Data_Daily!$D$2:$D$9999*(Raw_Data_Daily!$Q$2:$Q$9999-Raw_Data_Daily!$V$2:$V$9999))/SUMIFS(Raw_Data_Daily!$D:$D, Raw_Data_Daily!$B:$B, "Control", Raw_Data_Daily!$A:$A, $A10, Raw_Data_Daily!$C:$C, $C$3),""))</f>
        <v>28.48</v>
      </c>
      <c r="BH10" s="132">
        <f>IF($A10="","",IFERROR(SUMPRODUCT((Raw_Data_Daily!$B$2:$B$9999="Variant")*(Raw_Data_Daily!$A$2:$A$9999=$A10)*(Raw_Data_Daily!$C$2:$C$9999=$C$3)*Raw_Data_Daily!$D$2:$D$9999*(Raw_Data_Daily!$Q$2:$Q$9999-Raw_Data_Daily!$V$2:$V$9999))/SUMIFS(Raw_Data_Daily!$D:$D, Raw_Data_Daily!$B:$B, "Variant", Raw_Data_Daily!$A:$A, $A10, Raw_Data_Daily!$C:$C, $C$3),""))</f>
        <v>7.41</v>
      </c>
      <c r="BI10" s="127">
        <f t="shared" si="20"/>
        <v>-0.7398174157</v>
      </c>
      <c r="BJ10" s="132">
        <f>IF($A10="","",IFERROR(SUMPRODUCT((Raw_Data_Daily!$B$2:$B$9999="Control")*(Raw_Data_Daily!$A$2:$A$9999=$A10)*(Raw_Data_Daily!$C$2:$C$9999=$C$3)*Raw_Data_Daily!$D$2:$D$9999*Raw_Data_Daily!$W$2:$W$9999)/SUMIFS(Raw_Data_Daily!$D:$D, Raw_Data_Daily!$B:$B, "Control", Raw_Data_Daily!$A:$A, $A10, Raw_Data_Daily!$C:$C, $C$3),""))</f>
        <v>4.9212</v>
      </c>
      <c r="BK10" s="132">
        <f>IF($A10="","",IFERROR(SUMPRODUCT((Raw_Data_Daily!$B$2:$B$9999="Variant")*(Raw_Data_Daily!$A$2:$A$9999=$A10)*(Raw_Data_Daily!$C$2:$C$9999=$C$3)*Raw_Data_Daily!$D$2:$D$9999*Raw_Data_Daily!$W$2:$W$9999)/SUMIFS(Raw_Data_Daily!$D:$D, Raw_Data_Daily!$B:$B, "Variant", Raw_Data_Daily!$A:$A, $A10, Raw_Data_Daily!$C:$C, $C$3),""))</f>
        <v>3.588</v>
      </c>
      <c r="BL10" s="127">
        <f t="shared" si="21"/>
        <v>-0.2709095343</v>
      </c>
      <c r="BM10" s="137">
        <f>IF($A10="","",IFERROR(SUMPRODUCT((Raw_Data_Daily!$B$2:$B$9999="Control")*(Raw_Data_Daily!$A$2:$A$9999=$A10)*(Raw_Data_Daily!$C$2:$C$9999=$C$3)*Raw_Data_Daily!$D$2:$D$9999*Raw_Data_Daily!$X$2:$X$9999)/SUMIFS(Raw_Data_Daily!$D:$D, Raw_Data_Daily!$B:$B, "Control", Raw_Data_Daily!$A:$A, $A10, Raw_Data_Daily!$C:$C, $C$3),""))</f>
        <v>4.46</v>
      </c>
      <c r="BN10" s="137">
        <f>IF($A10="","",IFERROR(SUMPRODUCT((Raw_Data_Daily!$B$2:$B$9999="Variant")*(Raw_Data_Daily!$A$2:$A$9999=$A10)*(Raw_Data_Daily!$C$2:$C$9999=$C$3)*Raw_Data_Daily!$D$2:$D$9999*Raw_Data_Daily!$X$2:$X$9999)/SUMIFS(Raw_Data_Daily!$D:$D, Raw_Data_Daily!$B:$B, "Variant", Raw_Data_Daily!$A:$A, $A10, Raw_Data_Daily!$C:$C, $C$3),""))</f>
        <v>5.76</v>
      </c>
      <c r="BO10" s="130">
        <f t="shared" si="22"/>
        <v>0.2914798206</v>
      </c>
      <c r="BP10" s="126">
        <f>IF($A10="","",IFERROR(SUMPRODUCT((Raw_Data_Daily!$B$2:$B$9999="Control")*(Raw_Data_Daily!$A$2:$A$9999=$A10)*(Raw_Data_Daily!$C$2:$C$9999=$C$3)*Raw_Data_Daily!$D$2:$D$9999*Raw_Data_Daily!$Y$2:$Y$9999)/SUMIFS(Raw_Data_Daily!$D:$D, Raw_Data_Daily!$B:$B, "Control", Raw_Data_Daily!$A:$A, $A10, Raw_Data_Daily!$C:$C, $C$3),""))</f>
        <v>373</v>
      </c>
      <c r="BQ10" s="126">
        <f>IF($A10="","",IFERROR(SUMPRODUCT((Raw_Data_Daily!$B$2:$B$9999="Variant")*(Raw_Data_Daily!$A$2:$A$9999=$A10)*(Raw_Data_Daily!$C$2:$C$9999=$C$3)*Raw_Data_Daily!$D$2:$D$9999*Raw_Data_Daily!$Y$2:$Y$9999)/SUMIFS(Raw_Data_Daily!$D:$D, Raw_Data_Daily!$B:$B, "Variant", Raw_Data_Daily!$A:$A, $A10, Raw_Data_Daily!$C:$C, $C$3),""))</f>
        <v>312</v>
      </c>
      <c r="BR10" s="127">
        <f t="shared" si="23"/>
        <v>-0.163538874</v>
      </c>
      <c r="BS10" s="126">
        <f>IF($A10="","",IFERROR(SUMPRODUCT((Raw_Data_Daily!$B$2:$B$9999="Control")*(Raw_Data_Daily!$A$2:$A$9999=$A10)*(Raw_Data_Daily!$C$2:$C$9999=$C$3)*Raw_Data_Daily!$D$2:$D$9999*Raw_Data_Daily!$Z$2:$Z$9999)/SUMIFS(Raw_Data_Daily!$D:$D, Raw_Data_Daily!$B:$B, "Control", Raw_Data_Daily!$A:$A, $A10, Raw_Data_Daily!$C:$C, $C$3),""))</f>
        <v>665</v>
      </c>
      <c r="BT10" s="126">
        <f>IF($A10="","",IFERROR(SUMPRODUCT((Raw_Data_Daily!$B$2:$B$9999="Variant")*(Raw_Data_Daily!$A$2:$A$9999=$A10)*(Raw_Data_Daily!$C$2:$C$9999=$C$3)*Raw_Data_Daily!$D$2:$D$9999*Raw_Data_Daily!$Z$2:$Z$9999)/SUMIFS(Raw_Data_Daily!$D:$D, Raw_Data_Daily!$B:$B, "Variant", Raw_Data_Daily!$A:$A, $A10, Raw_Data_Daily!$C:$C, $C$3),""))</f>
        <v>541</v>
      </c>
      <c r="BU10" s="127">
        <f t="shared" si="24"/>
        <v>-0.1864661654</v>
      </c>
      <c r="BV10" s="126">
        <f>IF($A10="","",IFERROR(SUMPRODUCT((Raw_Data_Daily!$B$2:$B$9999="Control")*(Raw_Data_Daily!$A$2:$A$9999=$A10)*(Raw_Data_Daily!$C$2:$C$9999=$C$3)*Raw_Data_Daily!$D$2:$D$9999*Raw_Data_Daily!$AA$2:$AA$9999)/SUMIFS(Raw_Data_Daily!$D:$D, Raw_Data_Daily!$B:$B, "Control", Raw_Data_Daily!$A:$A, $A10, Raw_Data_Daily!$C:$C, $C$3),""))</f>
        <v>1609</v>
      </c>
      <c r="BW10" s="126">
        <f>IF($A10="","",IFERROR(SUMPRODUCT((Raw_Data_Daily!$B$2:$B$9999="Variant")*(Raw_Data_Daily!$A$2:$A$9999=$A10)*(Raw_Data_Daily!$C$2:$C$9999=$C$3)*Raw_Data_Daily!$D$2:$D$9999*Raw_Data_Daily!$AA$2:$AA$9999)/SUMIFS(Raw_Data_Daily!$D:$D, Raw_Data_Daily!$B:$B, "Variant", Raw_Data_Daily!$A:$A, $A10, Raw_Data_Daily!$C:$C, $C$3),""))</f>
        <v>1230</v>
      </c>
      <c r="BX10" s="127">
        <f t="shared" si="25"/>
        <v>-0.2355500311</v>
      </c>
      <c r="BY10" s="132">
        <f>IF($A10="","",IFERROR(SUMPRODUCT((Raw_Data_Daily!$B$2:$B$9999="Control")*(Raw_Data_Daily!$A$2:$A$9999=$A10)*(Raw_Data_Daily!$C$2:$C$9999=$C$3)*Raw_Data_Daily!$D$2:$D$9999*Raw_Data_Daily!$AB$2:$AB$9999)/SUMIFS(Raw_Data_Daily!$D:$D, Raw_Data_Daily!$B:$B, "Control", Raw_Data_Daily!$A:$A, $A10, Raw_Data_Daily!$C:$C, $C$3),""))</f>
        <v>55.4082</v>
      </c>
      <c r="BZ10" s="132">
        <f>IF($A10="","",IFERROR(SUMPRODUCT((Raw_Data_Daily!$B$2:$B$9999="Variant")*(Raw_Data_Daily!$A$2:$A$9999=$A10)*(Raw_Data_Daily!$C$2:$C$9999=$C$3)*Raw_Data_Daily!$D$2:$D$9999*Raw_Data_Daily!$AB$2:$AB$9999)/SUMIFS(Raw_Data_Daily!$D:$D, Raw_Data_Daily!$B:$B, "Variant", Raw_Data_Daily!$A:$A, $A10, Raw_Data_Daily!$C:$C, $C$3),""))</f>
        <v>55.5113</v>
      </c>
      <c r="CA10" s="130">
        <f t="shared" si="26"/>
        <v>0.001860735415</v>
      </c>
      <c r="CB10" s="132">
        <f>IF($A10="","",IFERROR(SUMPRODUCT((Raw_Data_Daily!$B$2:$B$9999="Control")*(Raw_Data_Daily!$A$2:$A$9999=$A10)*(Raw_Data_Daily!$C$2:$C$9999=$C$3)*Raw_Data_Daily!$D$2:$D$9999*Raw_Data_Daily!$AC$2:$AC$9999)/SUMIFS(Raw_Data_Daily!$D:$D, Raw_Data_Daily!$B:$B, "Control", Raw_Data_Daily!$A:$A, $A10, Raw_Data_Daily!$C:$C, $C$3),""))</f>
        <v>0.7809</v>
      </c>
      <c r="CC10" s="132">
        <f>IF($A10="","",IFERROR(SUMPRODUCT((Raw_Data_Daily!$B$2:$B$9999="Variant")*(Raw_Data_Daily!$A$2:$A$9999=$A10)*(Raw_Data_Daily!$C$2:$C$9999=$C$3)*Raw_Data_Daily!$D$2:$D$9999*Raw_Data_Daily!$AC$2:$AC$9999)/SUMIFS(Raw_Data_Daily!$D:$D, Raw_Data_Daily!$B:$B, "Variant", Raw_Data_Daily!$A:$A, $A10, Raw_Data_Daily!$C:$C, $C$3),""))</f>
        <v>0.7827</v>
      </c>
      <c r="CD10" s="130">
        <f t="shared" si="27"/>
        <v>0.002305032655</v>
      </c>
      <c r="CE10" s="132">
        <f>IF($A10="","",IFERROR(SUMPRODUCT((Raw_Data_Daily!$B$2:$B$9999="Control")*(Raw_Data_Daily!$A$2:$A$9999=$A10)*(Raw_Data_Daily!$C$2:$C$9999=$C$3)*Raw_Data_Daily!$D$2:$D$9999*Raw_Data_Daily!$AD$2:$AD$9999)/SUMIFS(Raw_Data_Daily!$D:$D, Raw_Data_Daily!$B:$B, "Control", Raw_Data_Daily!$A:$A, $A10, Raw_Data_Daily!$C:$C, $C$3),""))</f>
        <v>30.22</v>
      </c>
      <c r="CF10" s="132">
        <f>IF($A10="","",IFERROR(SUMPRODUCT((Raw_Data_Daily!$B$2:$B$9999="Variant")*(Raw_Data_Daily!$A$2:$A$9999=$A10)*(Raw_Data_Daily!$C$2:$C$9999=$C$3)*Raw_Data_Daily!$D$2:$D$9999*Raw_Data_Daily!$AD$2:$AD$9999)/SUMIFS(Raw_Data_Daily!$D:$D, Raw_Data_Daily!$B:$B, "Variant", Raw_Data_Daily!$A:$A, $A10, Raw_Data_Daily!$C:$C, $C$3),""))</f>
        <v>27.2</v>
      </c>
      <c r="CG10" s="130">
        <f t="shared" si="28"/>
        <v>-0.09993381866</v>
      </c>
      <c r="CH10" s="132">
        <f>IF($A10="","",IFERROR(SUMPRODUCT((Raw_Data_Daily!$B$2:$B$9999="Control")*(Raw_Data_Daily!$A$2:$A$9999=$A10)*(Raw_Data_Daily!$C$2:$C$9999=$C$3)*Raw_Data_Daily!$D$2:$D$9999*Raw_Data_Daily!$AE$2:$AE$9999)/SUMIFS(Raw_Data_Daily!$D:$D, Raw_Data_Daily!$B:$B, "Control", Raw_Data_Daily!$A:$A, $A10, Raw_Data_Daily!$C:$C, $C$3),""))</f>
        <v>11</v>
      </c>
      <c r="CI10" s="132">
        <f>IF($A10="","",IFERROR(SUMPRODUCT((Raw_Data_Daily!$B$2:$B$9999="Variant")*(Raw_Data_Daily!$A$2:$A$9999=$A10)*(Raw_Data_Daily!$C$2:$C$9999=$C$3)*Raw_Data_Daily!$D$2:$D$9999*Raw_Data_Daily!$AE$2:$AE$9999)/SUMIFS(Raw_Data_Daily!$D:$D, Raw_Data_Daily!$B:$B, "Variant", Raw_Data_Daily!$A:$A, $A10, Raw_Data_Daily!$C:$C, $C$3),""))</f>
        <v>10</v>
      </c>
      <c r="CJ10" s="130">
        <f t="shared" si="29"/>
        <v>-0.09090909091</v>
      </c>
      <c r="CK10" s="132">
        <f>IF($A10="","",IFERROR(SUMPRODUCT((Raw_Data_Daily!$B$2:$B$9999="Control")*(Raw_Data_Daily!$A$2:$A$9999=$A10)*(Raw_Data_Daily!$C$2:$C$9999=$C$3)*Raw_Data_Daily!$D$2:$D$9999*Raw_Data_Daily!$AF$2:$AF$9999)/SUMIFS(Raw_Data_Daily!$D:$D, Raw_Data_Daily!$B:$B, "Control", Raw_Data_Daily!$A:$A, $A10, Raw_Data_Daily!$C:$C, $C$3),""))</f>
        <v>22</v>
      </c>
      <c r="CL10" s="132">
        <f>IF($A10="","",IFERROR(SUMPRODUCT((Raw_Data_Daily!$B$2:$B$9999="Variant")*(Raw_Data_Daily!$A$2:$A$9999=$A10)*(Raw_Data_Daily!$C$2:$C$9999=$C$3)*Raw_Data_Daily!$D$2:$D$9999*Raw_Data_Daily!$AF$2:$AF$9999)/SUMIFS(Raw_Data_Daily!$D:$D, Raw_Data_Daily!$B:$B, "Variant", Raw_Data_Daily!$A:$A, $A10, Raw_Data_Daily!$C:$C, $C$3),""))</f>
        <v>20</v>
      </c>
      <c r="CM10" s="130">
        <f t="shared" si="30"/>
        <v>-0.09090909091</v>
      </c>
      <c r="CN10" s="132">
        <f>IF($A10="","",IFERROR(SUMPRODUCT((Raw_Data_Daily!$B$2:$B$9999="Control")*(Raw_Data_Daily!$A$2:$A$9999=$A10)*(Raw_Data_Daily!$C$2:$C$9999=$C$3)*Raw_Data_Daily!$D$2:$D$9999*Raw_Data_Daily!$AG$2:$AG$9999)/SUMIFS(Raw_Data_Daily!$D:$D, Raw_Data_Daily!$B:$B, "Control", Raw_Data_Daily!$A:$A, $A10, Raw_Data_Daily!$C:$C, $C$3),""))</f>
        <v>42</v>
      </c>
      <c r="CO10" s="132">
        <f>IF($A10="","",IFERROR(SUMPRODUCT((Raw_Data_Daily!$B$2:$B$9999="Variant")*(Raw_Data_Daily!$A$2:$A$9999=$A10)*(Raw_Data_Daily!$C$2:$C$9999=$C$3)*Raw_Data_Daily!$D$2:$D$9999*Raw_Data_Daily!$AG$2:$AG$9999)/SUMIFS(Raw_Data_Daily!$D:$D, Raw_Data_Daily!$B:$B, "Variant", Raw_Data_Daily!$A:$A, $A10, Raw_Data_Daily!$C:$C, $C$3),""))</f>
        <v>38</v>
      </c>
      <c r="CP10" s="130">
        <f t="shared" si="31"/>
        <v>-0.09523809524</v>
      </c>
      <c r="CQ10" s="132">
        <f>IF($A10="","",IFERROR(SUMPRODUCT((Raw_Data_Daily!$B$2:$B$9999="Control")*(Raw_Data_Daily!$A$2:$A$9999=$A10)*(Raw_Data_Daily!$C$2:$C$9999=$C$3)*Raw_Data_Daily!$D$2:$D$9999*Raw_Data_Daily!$AH$2:$AH$9999)/SUMIFS(Raw_Data_Daily!$D:$D, Raw_Data_Daily!$B:$B, "Control", Raw_Data_Daily!$A:$A, $A10, Raw_Data_Daily!$C:$C, $C$3),""))</f>
        <v>64</v>
      </c>
      <c r="CR10" s="132">
        <f>IF($A10="","",IFERROR(SUMPRODUCT((Raw_Data_Daily!$B$2:$B$9999="Variant")*(Raw_Data_Daily!$A$2:$A$9999=$A10)*(Raw_Data_Daily!$C$2:$C$9999=$C$3)*Raw_Data_Daily!$D$2:$D$9999*Raw_Data_Daily!$AH$2:$AH$9999)/SUMIFS(Raw_Data_Daily!$D:$D, Raw_Data_Daily!$B:$B, "Variant", Raw_Data_Daily!$A:$A, $A10, Raw_Data_Daily!$C:$C, $C$3),""))</f>
        <v>58</v>
      </c>
      <c r="CS10" s="130">
        <f t="shared" si="32"/>
        <v>-0.09375</v>
      </c>
      <c r="CT10" s="128">
        <f>IF($A10="","",IFERROR(SUMPRODUCT((Raw_Data_Daily!$B$2:$B$9999="Control")*(Raw_Data_Daily!$A$2:$A$9999=$A10)*(Raw_Data_Daily!$C$2:$C$9999=$C$3)*Raw_Data_Daily!$D$2:$D$9999*Raw_Data_Daily!$AI$2:$AI$9999)/SUMIFS(Raw_Data_Daily!$D:$D, Raw_Data_Daily!$B:$B, "Control", Raw_Data_Daily!$A:$A, $A10, Raw_Data_Daily!$C:$C, $C$3),""))</f>
        <v>41.92</v>
      </c>
      <c r="CU10" s="128">
        <f>IF($A10="","",IFERROR(SUMPRODUCT((Raw_Data_Daily!$B$2:$B$9999="Variant")*(Raw_Data_Daily!$A$2:$A$9999=$A10)*(Raw_Data_Daily!$C$2:$C$9999=$C$3)*Raw_Data_Daily!$D$2:$D$9999*Raw_Data_Daily!$AI$2:$AI$9999)/SUMIFS(Raw_Data_Daily!$D:$D, Raw_Data_Daily!$B:$B, "Variant", Raw_Data_Daily!$A:$A, $A10, Raw_Data_Daily!$C:$C, $C$3),""))</f>
        <v>37.14</v>
      </c>
      <c r="CV10" s="139">
        <f t="shared" si="33"/>
        <v>-0.1140267176</v>
      </c>
      <c r="CW10" s="128">
        <f>IF($A10="","",IFERROR(SUMPRODUCT((Raw_Data_Daily!$B$2:$B$9999="Control")*(Raw_Data_Daily!$A$2:$A$9999=$A10)*(Raw_Data_Daily!$C$2:$C$9999=$C$3)*Raw_Data_Daily!$D$2:$D$9999*Raw_Data_Daily!$AJ$2:$AJ$9999)/SUMIFS(Raw_Data_Daily!$D:$D, Raw_Data_Daily!$B:$B, "Control", Raw_Data_Daily!$A:$A, $A10, Raw_Data_Daily!$C:$C, $C$3),""))</f>
        <v>12.26</v>
      </c>
      <c r="CX10" s="128">
        <f>IF($A10="","",IFERROR(SUMPRODUCT((Raw_Data_Daily!$B$2:$B$9999="Variant")*(Raw_Data_Daily!$A$2:$A$9999=$A10)*(Raw_Data_Daily!$C$2:$C$9999=$C$3)*Raw_Data_Daily!$D$2:$D$9999*Raw_Data_Daily!$AJ$2:$AJ$9999)/SUMIFS(Raw_Data_Daily!$D:$D, Raw_Data_Daily!$B:$B, "Variant", Raw_Data_Daily!$A:$A, $A10, Raw_Data_Daily!$C:$C, $C$3),""))</f>
        <v>9.46</v>
      </c>
      <c r="CY10" s="139">
        <f t="shared" si="34"/>
        <v>-0.2283849918</v>
      </c>
      <c r="CZ10" s="128">
        <f>IF($A10="","",IFERROR(SUMPRODUCT((Raw_Data_Daily!$B$2:$B$9999="Control")*(Raw_Data_Daily!$A$2:$A$9999=$A10)*(Raw_Data_Daily!$C$2:$C$9999=$C$3)*Raw_Data_Daily!$D$2:$D$9999*Raw_Data_Daily!$AK$2:$AK$9999)/SUMIFS(Raw_Data_Daily!$D:$D, Raw_Data_Daily!$B:$B, "Control", Raw_Data_Daily!$A:$A, $A10, Raw_Data_Daily!$C:$C, $C$3),""))</f>
        <v>2.49</v>
      </c>
      <c r="DA10" s="128">
        <f>IF($A10="","",IFERROR(SUMPRODUCT((Raw_Data_Daily!$B$2:$B$9999="Variant")*(Raw_Data_Daily!$A$2:$A$9999=$A10)*(Raw_Data_Daily!$C$2:$C$9999=$C$3)*Raw_Data_Daily!$D$2:$D$9999*Raw_Data_Daily!$AK$2:$AK$9999)/SUMIFS(Raw_Data_Daily!$D:$D, Raw_Data_Daily!$B:$B, "Variant", Raw_Data_Daily!$A:$A, $A10, Raw_Data_Daily!$C:$C, $C$3),""))</f>
        <v>1.95</v>
      </c>
      <c r="DB10" s="130">
        <f t="shared" si="35"/>
        <v>-0.2168674699</v>
      </c>
      <c r="DC10" s="137">
        <f>IF($A10="","",IFERROR(SUMPRODUCT((Raw_Data_Daily!$B$2:$B$9999="Control")*(Raw_Data_Daily!$A$2:$A$9999=$A10)*(Raw_Data_Daily!$C$2:$C$9999=$C$3)*Raw_Data_Daily!$D$2:$D$9999*Raw_Data_Daily!$AL$2:$AL$9999)/SUMIFS(Raw_Data_Daily!$D:$D, Raw_Data_Daily!$B:$B, "Control", Raw_Data_Daily!$A:$A, $A10, Raw_Data_Daily!$C:$C, $C$3),""))</f>
        <v>0.1915</v>
      </c>
      <c r="DD10" s="137">
        <f>IF($A10="","",IFERROR(SUMPRODUCT((Raw_Data_Daily!$B$2:$B$9999="Variant")*(Raw_Data_Daily!$A$2:$A$9999=$A10)*(Raw_Data_Daily!$C$2:$C$9999=$C$3)*Raw_Data_Daily!$D$2:$D$9999*Raw_Data_Daily!$AL$2:$AL$9999)/SUMIFS(Raw_Data_Daily!$D:$D, Raw_Data_Daily!$B:$B, "Variant", Raw_Data_Daily!$A:$A, $A10, Raw_Data_Daily!$C:$C, $C$3),""))</f>
        <v>0.1865</v>
      </c>
      <c r="DE10" s="139">
        <f t="shared" si="36"/>
        <v>-0.02610966057</v>
      </c>
      <c r="DF10" s="159"/>
      <c r="DG10" s="128">
        <f>IF($A10="","",IFERROR(SUMPRODUCT((Raw_Data_Daily!$B$2:$B$9999="Variant")*(Raw_Data_Daily!$A$2:$A$9999=$A10)*(Raw_Data_Daily!$C$2:$C$9999=$C$3)*Raw_Data_Daily!$D$2:$D$9999*Raw_Data_Daily!$AM$2:$AM$9999)/SUMIFS(Raw_Data_Daily!$D:$D, Raw_Data_Daily!$B:$B, "Variant", Raw_Data_Daily!$A:$A, $A10, Raw_Data_Daily!$C:$C, $C$3),""))</f>
        <v>42.71</v>
      </c>
      <c r="DH10" s="160"/>
      <c r="DI10" s="159"/>
      <c r="DJ10" s="128">
        <f>IF($A10="","",IFERROR(SUMPRODUCT((Raw_Data_Daily!$B$2:$B$9999="Variant")*(Raw_Data_Daily!$A$2:$A$9999=$A10)*(Raw_Data_Daily!$C$2:$C$9999=$C$3)*Raw_Data_Daily!$D$2:$D$9999*Raw_Data_Daily!$AN$2:$AN$9999)/SUMIFS(Raw_Data_Daily!$D:$D, Raw_Data_Daily!$B:$B, "Variant", Raw_Data_Daily!$A:$A, $A10, Raw_Data_Daily!$C:$C, $C$3),""))</f>
        <v>42.71</v>
      </c>
      <c r="DK10" s="160"/>
      <c r="DL10" s="159"/>
      <c r="DM10" s="128">
        <f>IF($A10="","",IFERROR(SUMPRODUCT((Raw_Data_Daily!$B$2:$B$9999="Variant")*(Raw_Data_Daily!$A$2:$A$9999=$A10)*(Raw_Data_Daily!$C$2:$C$9999=$C$3)*Raw_Data_Daily!$D$2:$D$9999*Raw_Data_Daily!$AO$2:$AO$9999)/SUMIFS(Raw_Data_Daily!$D:$D, Raw_Data_Daily!$B:$B, "Variant", Raw_Data_Daily!$A:$A, $A10, Raw_Data_Daily!$C:$C, $C$3),""))</f>
        <v>26.48</v>
      </c>
      <c r="DN10" s="160"/>
      <c r="DO10" s="159"/>
      <c r="DP10" s="128">
        <f>IF($A10="","",IFERROR(SUMPRODUCT((Raw_Data_Daily!$B$2:$B$9999="Variant")*(Raw_Data_Daily!$A$2:$A$9999=$A10)*(Raw_Data_Daily!$C$2:$C$9999=$C$3)*Raw_Data_Daily!$D$2:$D$9999*Raw_Data_Daily!$AP$2:$AP$9999)/SUMIFS(Raw_Data_Daily!$D:$D, Raw_Data_Daily!$B:$B, "Variant", Raw_Data_Daily!$A:$A, $A10, Raw_Data_Daily!$C:$C, $C$3),""))</f>
        <v>16.84</v>
      </c>
      <c r="DQ10" s="160"/>
      <c r="DR10" s="137">
        <f>IF($A10="","",IFERROR(SUMPRODUCT((Raw_Data_Daily!$B$2:$B$9999="Control")*(Raw_Data_Daily!$A$2:$A$9999=$A10)*(Raw_Data_Daily!$C$2:$C$9999=$C$3)*Raw_Data_Daily!$D$2:$D$9999*Raw_Data_Daily!$AQ$2:$AQ$9999)/SUMIFS(Raw_Data_Daily!$D:$D, Raw_Data_Daily!$B:$B, "Control", Raw_Data_Daily!$A:$A, $A10, Raw_Data_Daily!$C:$C, $C$3),""))</f>
        <v>15.8032</v>
      </c>
      <c r="DS10" s="137">
        <f>IF($A10="","",IFERROR(SUMPRODUCT((Raw_Data_Daily!$B$2:$B$9999="Variant")*(Raw_Data_Daily!$A$2:$A$9999=$A10)*(Raw_Data_Daily!$C$2:$C$9999=$C$3)*Raw_Data_Daily!$D$2:$D$9999*Raw_Data_Daily!$AQ$2:$AQ$9999)/SUMIFS(Raw_Data_Daily!$D:$D, Raw_Data_Daily!$B:$B, "Variant", Raw_Data_Daily!$A:$A, $A10, Raw_Data_Daily!$C:$C, $C$3),""))</f>
        <v>12.8678</v>
      </c>
      <c r="DT10" s="161">
        <f t="shared" si="37"/>
        <v>-0.1857471904</v>
      </c>
      <c r="DU10" s="137">
        <f>IF($A10="","",IFERROR(SUMPRODUCT((Raw_Data_Daily!$B$2:$B$9999="Control")*(Raw_Data_Daily!$A$2:$A$9999=$A10)*(Raw_Data_Daily!$C$2:$C$9999=$C$3)*Raw_Data_Daily!$D$2:$D$9999*Raw_Data_Daily!$AR$2:$AR$9999)/SUMIFS(Raw_Data_Daily!$D:$D, Raw_Data_Daily!$B:$B, "Control", Raw_Data_Daily!$A:$A, $A10, Raw_Data_Daily!$C:$C, $C$3),""))</f>
        <v>0.6064</v>
      </c>
      <c r="DV10" s="137">
        <f>IF($A10="","",IFERROR(SUMPRODUCT((Raw_Data_Daily!$B$2:$B$9999="Variant")*(Raw_Data_Daily!$A$2:$A$9999=$A10)*(Raw_Data_Daily!$C$2:$C$9999=$C$3)*Raw_Data_Daily!$D$2:$D$9999*Raw_Data_Daily!$AR$2:$AR$9999)/SUMIFS(Raw_Data_Daily!$D:$D, Raw_Data_Daily!$B:$B, "Variant", Raw_Data_Daily!$A:$A, $A10, Raw_Data_Daily!$C:$C, $C$3),""))</f>
        <v>0.1698</v>
      </c>
      <c r="DW10" s="161">
        <f t="shared" si="38"/>
        <v>-0.7199868074</v>
      </c>
      <c r="DX10" s="137">
        <f>IF($A10="","",IFERROR(SUMPRODUCT((Raw_Data_Daily!$B$2:$B$9999="Control")*(Raw_Data_Daily!$A$2:$A$9999=$A10)*(Raw_Data_Daily!$C$2:$C$9999=$C$3)*Raw_Data_Daily!$D$2:$D$9999*Raw_Data_Daily!$AS$2:$AS$9999)/SUMIFS(Raw_Data_Daily!$D:$D, Raw_Data_Daily!$B:$B, "Control", Raw_Data_Daily!$A:$A, $A10, Raw_Data_Daily!$C:$C, $C$3),""))</f>
        <v>15.1968</v>
      </c>
      <c r="DY10" s="137">
        <f>IF($A10="","",IFERROR(SUMPRODUCT((Raw_Data_Daily!$B$2:$B$9999="Variant")*(Raw_Data_Daily!$A$2:$A$9999=$A10)*(Raw_Data_Daily!$C$2:$C$9999=$C$3)*Raw_Data_Daily!$D$2:$D$9999*Raw_Data_Daily!$AS$2:$AS$9999)/SUMIFS(Raw_Data_Daily!$D:$D, Raw_Data_Daily!$B:$B, "Variant", Raw_Data_Daily!$A:$A, $A10, Raw_Data_Daily!$C:$C, $C$3),""))</f>
        <v>12.698</v>
      </c>
      <c r="DZ10" s="162">
        <f t="shared" si="39"/>
        <v>-0.1644293535</v>
      </c>
      <c r="EA10" s="137">
        <f>IF($A10="","",IFERROR(SUMPRODUCT((Raw_Data_Daily!$B$2:$B$9999="Control")*(Raw_Data_Daily!$A$2:$A$9999=$A10)*(Raw_Data_Daily!$C$2:$C$9999=$C$3)*Raw_Data_Daily!$D$2:$D$9999*Raw_Data_Daily!$AT$2:$AT$9999)/SUMIFS(Raw_Data_Daily!$D:$D, Raw_Data_Daily!$B:$B, "Control", Raw_Data_Daily!$A:$A, $A10, Raw_Data_Daily!$C:$C, $C$3),""))</f>
        <v>12.7727</v>
      </c>
      <c r="EB10" s="137">
        <f>IF($A10="","",IFERROR(SUMPRODUCT((Raw_Data_Daily!$B$2:$B$9999="Variant")*(Raw_Data_Daily!$A$2:$A$9999=$A10)*(Raw_Data_Daily!$C$2:$C$9999=$C$3)*Raw_Data_Daily!$D$2:$D$9999*Raw_Data_Daily!$AT$2:$AT$9999)/SUMIFS(Raw_Data_Daily!$D:$D, Raw_Data_Daily!$B:$B, "Variant", Raw_Data_Daily!$A:$A, $A10, Raw_Data_Daily!$C:$C, $C$3),""))</f>
        <v>11.1613</v>
      </c>
      <c r="EC10" s="161">
        <f t="shared" si="40"/>
        <v>-0.1261597</v>
      </c>
      <c r="ED10" s="137">
        <f>IF($A10="","",IFERROR(SUMPRODUCT((Raw_Data_Daily!$B$2:$B$9999="Control")*(Raw_Data_Daily!$A$2:$A$9999=$A10)*(Raw_Data_Daily!$C$2:$C$9999=$C$3)*Raw_Data_Daily!$D$2:$D$9999*(Raw_Data_Daily!$AQ$2:$AQ$9999-Raw_Data_Daily!$AT$2:$AT$9999))/SUMIFS(Raw_Data_Daily!$D:$D, Raw_Data_Daily!$B:$B, "Control", Raw_Data_Daily!$A:$A, $A10, Raw_Data_Daily!$C:$C, $C$3),""))</f>
        <v>3.0305</v>
      </c>
      <c r="EE10" s="137">
        <f>IF($A10="","",IFERROR(SUMPRODUCT((Raw_Data_Daily!$B$2:$B$9999="Variant")*(Raw_Data_Daily!$A$2:$A$9999=$A10)*(Raw_Data_Daily!$C$2:$C$9999=$C$3)*Raw_Data_Daily!$D$2:$D$9999*(Raw_Data_Daily!$AQ$2:$AQ$9999-Raw_Data_Daily!$AT$2:$AT$9999))/SUMIFS(Raw_Data_Daily!$D:$D, Raw_Data_Daily!$B:$B, "Variant", Raw_Data_Daily!$A:$A, $A10, Raw_Data_Daily!$C:$C, $C$3),""))</f>
        <v>1.7065</v>
      </c>
      <c r="EF10" s="162">
        <f t="shared" si="41"/>
        <v>-0.436891602</v>
      </c>
      <c r="EG10" s="137">
        <f>IF($A10="","",IFERROR(SUMPRODUCT((Raw_Data_Daily!$B$2:$B$9999="Control")*(Raw_Data_Daily!$A$2:$A$9999=$A10)*(Raw_Data_Daily!$C$2:$C$9999=$C$3)*Raw_Data_Daily!$D$2:$D$9999*Raw_Data_Daily!$AU$2:$AU$9999)/SUMIFS(Raw_Data_Daily!$D:$D, Raw_Data_Daily!$B:$B, "Control", Raw_Data_Daily!$A:$A, $A10, Raw_Data_Daily!$C:$C, $C$3),""))</f>
        <v>0.1866</v>
      </c>
      <c r="EH10" s="137">
        <f>IF($A10="","",IFERROR(SUMPRODUCT((Raw_Data_Daily!$B$2:$B$9999="Variant")*(Raw_Data_Daily!$A$2:$A$9999=$A10)*(Raw_Data_Daily!$C$2:$C$9999=$C$3)*Raw_Data_Daily!$D$2:$D$9999*Raw_Data_Daily!$AU$2:$AU$9999)/SUMIFS(Raw_Data_Daily!$D:$D, Raw_Data_Daily!$B:$B, "Variant", Raw_Data_Daily!$A:$A, $A10, Raw_Data_Daily!$C:$C, $C$3),""))</f>
        <v>0.1642</v>
      </c>
      <c r="EI10" s="161">
        <f t="shared" si="42"/>
        <v>-0.1200428725</v>
      </c>
    </row>
    <row r="11" ht="15.75" customHeight="1">
      <c r="A11" s="177">
        <v>46234.0</v>
      </c>
      <c r="B11" s="178">
        <f>IF($A11="","",SUMIFS(Raw_Data_Daily!$D:$D, Raw_Data_Daily!$B:$B, "Control", Raw_Data_Daily!$A:$A, $A11, Raw_Data_Daily!$C:$C, $C$3))</f>
        <v>3001</v>
      </c>
      <c r="C11" s="178">
        <f>IF($A11="","",SUMIFS(Raw_Data_Daily!$D:$D, Raw_Data_Daily!$B:$B, "Variant", Raw_Data_Daily!$A:$A, $A11, Raw_Data_Daily!$C:$C, $C$3))</f>
        <v>2858</v>
      </c>
      <c r="D11" s="179">
        <f t="shared" si="1"/>
        <v>-0.04765078307</v>
      </c>
      <c r="E11" s="180">
        <f>IF($A11="","",IFERROR(SUMPRODUCT((Raw_Data_Daily!$B$2:$B$9999="Control")*(Raw_Data_Daily!$A$2:$A$9999=$A11)*(Raw_Data_Daily!$C$2:$C$9999=$C$3)*Raw_Data_Daily!$D$2:$D$9999*Raw_Data_Daily!$E$2:$E$9999)/SUMIFS(Raw_Data_Daily!$D:$D, Raw_Data_Daily!$B:$B, "Control", Raw_Data_Daily!$A:$A, $A11, Raw_Data_Daily!$C:$C, $C$3),""))</f>
        <v>11.57</v>
      </c>
      <c r="F11" s="180">
        <f>IF($A11="","",IFERROR(SUMPRODUCT((Raw_Data_Daily!$B$2:$B$9999="Variant")*(Raw_Data_Daily!$A$2:$A$9999=$A11)*(Raw_Data_Daily!$C$2:$C$9999=$C$3)*Raw_Data_Daily!$D$2:$D$9999*Raw_Data_Daily!$E$2:$E$9999)/SUMIFS(Raw_Data_Daily!$D:$D, Raw_Data_Daily!$B:$B, "Variant", Raw_Data_Daily!$A:$A, $A11, Raw_Data_Daily!$C:$C, $C$3),""))</f>
        <v>11.11</v>
      </c>
      <c r="G11" s="179">
        <f t="shared" si="2"/>
        <v>-0.03975799481</v>
      </c>
      <c r="H11" s="182">
        <f>IF($A11="","",SUMIFS(Raw_Data_Daily!$F:$F, Raw_Data_Daily!$B:$B, "Control", Raw_Data_Daily!$A:$A, $A11, Raw_Data_Daily!$C:$C, $C$3))</f>
        <v>563.7</v>
      </c>
      <c r="I11" s="182">
        <f>IF($A11="","",SUMIFS(Raw_Data_Daily!$F:$F, Raw_Data_Daily!$B:$B, "Variant", Raw_Data_Daily!$A:$A, $A11, Raw_Data_Daily!$C:$C, $C$3))</f>
        <v>600.51</v>
      </c>
      <c r="J11" s="183">
        <f t="shared" si="3"/>
        <v>0.06530069186</v>
      </c>
      <c r="K11" s="184">
        <f>IF($A11="","",IFERROR(SUMIFS(Raw_Data_Daily!$F:$F, Raw_Data_Daily!$B:$B, "Control", Raw_Data_Daily!$A:$A, $A11, Raw_Data_Daily!$C:$C, $C$3)/SUMIFS(Raw_Data_Daily!$D:$D, Raw_Data_Daily!$B:$B, "Control", Raw_Data_Daily!$A:$A, $A11, Raw_Data_Daily!$C:$C, $C$3),""))</f>
        <v>0.1878373875</v>
      </c>
      <c r="L11" s="184">
        <f>IF($A11="","",IFERROR(SUMIFS(Raw_Data_Daily!$F:$F, Raw_Data_Daily!$B:$B, "Variant", Raw_Data_Daily!$A:$A, $A11, Raw_Data_Daily!$C:$C, $C$3)/SUMIFS(Raw_Data_Daily!$D:$D, Raw_Data_Daily!$B:$B, "Variant", Raw_Data_Daily!$A:$A, $A11, Raw_Data_Daily!$C:$C, $C$3),""))</f>
        <v>0.2101154654</v>
      </c>
      <c r="M11" s="183">
        <f t="shared" si="4"/>
        <v>0.1186030008</v>
      </c>
      <c r="N11" s="180">
        <f>IF($A11="","",IFERROR(SUMPRODUCT((Raw_Data_Daily!$B$2:$B$9999="Control")*(Raw_Data_Daily!$A$2:$A$9999=$A11)*(Raw_Data_Daily!$C$2:$C$9999=$C$3)*Raw_Data_Daily!$D$2:$D$9999*Raw_Data_Daily!$H$2:$H$9999/100)/SUMIFS(Raw_Data_Daily!$D:$D, Raw_Data_Daily!$B:$B, "Control", Raw_Data_Daily!$A:$A, $A11, Raw_Data_Daily!$C:$C, $C$3)*100,""))</f>
        <v>3.13</v>
      </c>
      <c r="O11" s="180">
        <f>IF($A11="","",IFERROR(SUMPRODUCT((Raw_Data_Daily!$B$2:$B$9999="Variant")*(Raw_Data_Daily!$A$2:$A$9999=$A11)*(Raw_Data_Daily!$C$2:$C$9999=$C$3)*Raw_Data_Daily!$D$2:$D$9999*Raw_Data_Daily!$H$2:$H$9999/100)/SUMIFS(Raw_Data_Daily!$D:$D, Raw_Data_Daily!$B:$B, "Variant", Raw_Data_Daily!$A:$A, $A11, Raw_Data_Daily!$C:$C, $C$3)*100,""))</f>
        <v>3.71</v>
      </c>
      <c r="P11" s="183">
        <f t="shared" si="5"/>
        <v>0.1853035144</v>
      </c>
      <c r="Q11" s="184">
        <f>IF($A11="","",IFERROR(SUMIFS(Raw_Data_Daily!$F:$F, Raw_Data_Daily!$B:$B, "Control", Raw_Data_Daily!$A:$A, $A11, Raw_Data_Daily!$C:$C, $C$3)/SUMPRODUCT((Raw_Data_Daily!$B$2:$B$9999="Control")*(Raw_Data_Daily!$A$2:$A$9999=$A11)*(Raw_Data_Daily!$C$2:$C$9999=$C$3)*Raw_Data_Daily!$D$2:$D$9999*Raw_Data_Daily!$H$2:$H$9999/100),""))</f>
        <v>6.00119449</v>
      </c>
      <c r="R11" s="184">
        <f>IF($A11="","",IFERROR(SUMIFS(Raw_Data_Daily!$F:$F, Raw_Data_Daily!$B:$B, "Variant", Raw_Data_Daily!$A:$A, $A11, Raw_Data_Daily!$C:$C, $C$3)/SUMPRODUCT((Raw_Data_Daily!$B$2:$B$9999="Variant")*(Raw_Data_Daily!$A$2:$A$9999=$A11)*(Raw_Data_Daily!$C$2:$C$9999=$C$3)*Raw_Data_Daily!$D$2:$D$9999*Raw_Data_Daily!$H$2:$H$9999/100),""))</f>
        <v>5.663489632</v>
      </c>
      <c r="S11" s="183">
        <f t="shared" si="6"/>
        <v>-0.05627294003</v>
      </c>
      <c r="T11" s="185">
        <f>IF($A11="","",IFERROR(SUMPRODUCT((Raw_Data_Daily!$B$2:$B$9999="Control")*(Raw_Data_Daily!$A$2:$A$9999=$A11)*(Raw_Data_Daily!$C$2:$C$9999=$C$3)*Raw_Data_Daily!$D$2:$D$9999*Raw_Data_Daily!$J$2:$J$9999)/SUMIFS(Raw_Data_Daily!$D:$D, Raw_Data_Daily!$B:$B, "Control", Raw_Data_Daily!$A:$A, $A11, Raw_Data_Daily!$C:$C, $C$3),""))</f>
        <v>113.88</v>
      </c>
      <c r="U11" s="185">
        <f>IF($A11="","",IFERROR(SUMPRODUCT((Raw_Data_Daily!$B$2:$B$9999="Variant")*(Raw_Data_Daily!$A$2:$A$9999=$A11)*(Raw_Data_Daily!$C$2:$C$9999=$C$3)*Raw_Data_Daily!$D$2:$D$9999*Raw_Data_Daily!$J$2:$J$9999)/SUMIFS(Raw_Data_Daily!$D:$D, Raw_Data_Daily!$B:$B, "Variant", Raw_Data_Daily!$A:$A, $A11, Raw_Data_Daily!$C:$C, $C$3),""))</f>
        <v>115.93</v>
      </c>
      <c r="V11" s="183">
        <f t="shared" si="7"/>
        <v>0.01800140499</v>
      </c>
      <c r="W11" s="185">
        <f>IF($A11="","",IFERROR(SUMPRODUCT((Raw_Data_Daily!$B$2:$B$9999="Control")*(Raw_Data_Daily!$A$2:$A$9999=$A11)*(Raw_Data_Daily!$C$2:$C$9999=$C$3)*Raw_Data_Daily!$D$2:$D$9999*Raw_Data_Daily!$K$2:$K$9999)/SUMIFS(Raw_Data_Daily!$D:$D, Raw_Data_Daily!$B:$B, "Control", Raw_Data_Daily!$A:$A, $A11, Raw_Data_Daily!$C:$C, $C$3),""))</f>
        <v>70.4</v>
      </c>
      <c r="X11" s="185">
        <f>IF($A11="","",IFERROR(SUMPRODUCT((Raw_Data_Daily!$B$2:$B$9999="Variant")*(Raw_Data_Daily!$A$2:$A$9999=$A11)*(Raw_Data_Daily!$C$2:$C$9999=$C$3)*Raw_Data_Daily!$D$2:$D$9999*Raw_Data_Daily!$K$2:$K$9999)/SUMIFS(Raw_Data_Daily!$D:$D, Raw_Data_Daily!$B:$B, "Variant", Raw_Data_Daily!$A:$A, $A11, Raw_Data_Daily!$C:$C, $C$3),""))</f>
        <v>71.16</v>
      </c>
      <c r="Y11" s="183">
        <f t="shared" si="8"/>
        <v>0.01079545455</v>
      </c>
      <c r="Z11" s="185">
        <f>IF($A11="","",IFERROR(SUMPRODUCT((Raw_Data_Daily!$B$2:$B$9999="Control")*(Raw_Data_Daily!$A$2:$A$9999=$A11)*(Raw_Data_Daily!$C$2:$C$9999=$C$3)*Raw_Data_Daily!$D$2:$D$9999*Raw_Data_Daily!$L$2:$L$9999)/SUMIFS(Raw_Data_Daily!$D:$D, Raw_Data_Daily!$B:$B, "Control", Raw_Data_Daily!$A:$A, $A11, Raw_Data_Daily!$C:$C, $C$3),""))</f>
        <v>52.07</v>
      </c>
      <c r="AA11" s="185">
        <f>IF($A11="","",IFERROR(SUMPRODUCT((Raw_Data_Daily!$B$2:$B$9999="Variant")*(Raw_Data_Daily!$A$2:$A$9999=$A11)*(Raw_Data_Daily!$C$2:$C$9999=$C$3)*Raw_Data_Daily!$D$2:$D$9999*Raw_Data_Daily!$L$2:$L$9999)/SUMIFS(Raw_Data_Daily!$D:$D, Raw_Data_Daily!$B:$B, "Variant", Raw_Data_Daily!$A:$A, $A11, Raw_Data_Daily!$C:$C, $C$3),""))</f>
        <v>53.07</v>
      </c>
      <c r="AB11" s="183">
        <f t="shared" si="9"/>
        <v>0.01920491646</v>
      </c>
      <c r="AC11" s="186">
        <f>IF($A11="","",IFERROR(SUMPRODUCT((Raw_Data_Daily!$B$2:$B$9999="Control")*(Raw_Data_Daily!$A$2:$A$9999=$A11)*(Raw_Data_Daily!$C$2:$C$9999=$C$3)*Raw_Data_Daily!$D$2:$D$9999*Raw_Data_Daily!$M$2:$M$9999)/SUMIFS(Raw_Data_Daily!$D:$D, Raw_Data_Daily!$B:$B, "Control", Raw_Data_Daily!$A:$A, $A11, Raw_Data_Daily!$C:$C, $C$3),""))</f>
        <v>0.7396</v>
      </c>
      <c r="AD11" s="186">
        <f>IF($A11="","",IFERROR(SUMPRODUCT((Raw_Data_Daily!$B$2:$B$9999="Variant")*(Raw_Data_Daily!$A$2:$A$9999=$A11)*(Raw_Data_Daily!$C$2:$C$9999=$C$3)*Raw_Data_Daily!$D$2:$D$9999*Raw_Data_Daily!$M$2:$M$9999)/SUMIFS(Raw_Data_Daily!$D:$D, Raw_Data_Daily!$B:$B, "Variant", Raw_Data_Daily!$A:$A, $A11, Raw_Data_Daily!$C:$C, $C$3),""))</f>
        <v>0.7458</v>
      </c>
      <c r="AE11" s="187">
        <f t="shared" si="10"/>
        <v>0.008382909681</v>
      </c>
      <c r="AF11" s="186">
        <f>IF($A11="","",IFERROR(SUMPRODUCT((Raw_Data_Daily!$B$2:$B$9999="Control")*(Raw_Data_Daily!$A$2:$A$9999=$A11)*(Raw_Data_Daily!$C$2:$C$9999=$C$3)*Raw_Data_Daily!$D$2:$D$9999*Raw_Data_Daily!$N$2:$N$9999)/SUMIFS(Raw_Data_Daily!$D:$D, Raw_Data_Daily!$B:$B, "Control", Raw_Data_Daily!$A:$A, $A11, Raw_Data_Daily!$C:$C, $C$3),""))</f>
        <v>0.3679</v>
      </c>
      <c r="AG11" s="186">
        <f>IF($A11="","",IFERROR(SUMPRODUCT((Raw_Data_Daily!$B$2:$B$9999="Variant")*(Raw_Data_Daily!$A$2:$A$9999=$A11)*(Raw_Data_Daily!$C$2:$C$9999=$C$3)*Raw_Data_Daily!$D$2:$D$9999*Raw_Data_Daily!$N$2:$N$9999)/SUMIFS(Raw_Data_Daily!$D:$D, Raw_Data_Daily!$B:$B, "Variant", Raw_Data_Daily!$A:$A, $A11, Raw_Data_Daily!$C:$C, $C$3),""))</f>
        <v>0.3656</v>
      </c>
      <c r="AH11" s="187">
        <f t="shared" si="11"/>
        <v>-0.006251698831</v>
      </c>
      <c r="AI11" s="186">
        <f>IF($A11="","",IFERROR(SUMPRODUCT((Raw_Data_Daily!$B$2:$B$9999="Control")*(Raw_Data_Daily!$A$2:$A$9999=$A11)*(Raw_Data_Daily!$C$2:$C$9999=$C$3)*Raw_Data_Daily!$D$2:$D$9999*Raw_Data_Daily!$O$2:$O$9999)/SUMIFS(Raw_Data_Daily!$D:$D, Raw_Data_Daily!$B:$B, "Control", Raw_Data_Daily!$A:$A, $A11, Raw_Data_Daily!$C:$C, $C$3),""))</f>
        <v>0.2375</v>
      </c>
      <c r="AJ11" s="186">
        <f>IF($A11="","",IFERROR(SUMPRODUCT((Raw_Data_Daily!$B$2:$B$9999="Variant")*(Raw_Data_Daily!$A$2:$A$9999=$A11)*(Raw_Data_Daily!$C$2:$C$9999=$C$3)*Raw_Data_Daily!$D$2:$D$9999*Raw_Data_Daily!$O$2:$O$9999)/SUMIFS(Raw_Data_Daily!$D:$D, Raw_Data_Daily!$B:$B, "Variant", Raw_Data_Daily!$A:$A, $A11, Raw_Data_Daily!$C:$C, $C$3),""))</f>
        <v>0.2406</v>
      </c>
      <c r="AK11" s="183">
        <f t="shared" si="12"/>
        <v>0.01305263158</v>
      </c>
      <c r="AL11" s="185">
        <f>IF($A11="","",IFERROR(SUMPRODUCT((Raw_Data_Daily!$B$2:$B$9999="Control")*(Raw_Data_Daily!$A$2:$A$9999=$A11)*(Raw_Data_Daily!$C$2:$C$9999=$C$3)*Raw_Data_Daily!$D$2:$D$9999*Raw_Data_Daily!$P$2:$P$9999)/SUMIFS(Raw_Data_Daily!$D:$D, Raw_Data_Daily!$B:$B, "Control", Raw_Data_Daily!$A:$A, $A11, Raw_Data_Daily!$C:$C, $C$3),""))</f>
        <v>1.352</v>
      </c>
      <c r="AM11" s="185">
        <f>IF($A11="","",IFERROR(SUMPRODUCT((Raw_Data_Daily!$B$2:$B$9999="Variant")*(Raw_Data_Daily!$A$2:$A$9999=$A11)*(Raw_Data_Daily!$C$2:$C$9999=$C$3)*Raw_Data_Daily!$D$2:$D$9999*Raw_Data_Daily!$P$2:$P$9999)/SUMIFS(Raw_Data_Daily!$D:$D, Raw_Data_Daily!$B:$B, "Variant", Raw_Data_Daily!$A:$A, $A11, Raw_Data_Daily!$C:$C, $C$3),""))</f>
        <v>1.3408</v>
      </c>
      <c r="AN11" s="183">
        <f t="shared" si="13"/>
        <v>-0.008284023669</v>
      </c>
      <c r="AO11" s="185">
        <f>IF($A11="","",IFERROR(SUMPRODUCT((Raw_Data_Daily!$B$2:$B$9999="Control")*(Raw_Data_Daily!$A$2:$A$9999=$A11)*(Raw_Data_Daily!$C$2:$C$9999=$C$3)*Raw_Data_Daily!$D$2:$D$9999*Raw_Data_Daily!$Q$2:$Q$9999)/SUMIFS(Raw_Data_Daily!$D:$D, Raw_Data_Daily!$B:$B, "Control", Raw_Data_Daily!$A:$A, $A11, Raw_Data_Daily!$C:$C, $C$3),""))</f>
        <v>332.2</v>
      </c>
      <c r="AP11" s="185">
        <f>IF($A11="","",IFERROR(SUMPRODUCT((Raw_Data_Daily!$B$2:$B$9999="Variant")*(Raw_Data_Daily!$A$2:$A$9999=$A11)*(Raw_Data_Daily!$C$2:$C$9999=$C$3)*Raw_Data_Daily!$D$2:$D$9999*Raw_Data_Daily!$Q$2:$Q$9999)/SUMIFS(Raw_Data_Daily!$D:$D, Raw_Data_Daily!$B:$B, "Variant", Raw_Data_Daily!$A:$A, $A11, Raw_Data_Daily!$C:$C, $C$3),""))</f>
        <v>353</v>
      </c>
      <c r="AQ11" s="179">
        <f t="shared" si="14"/>
        <v>0.0626128838</v>
      </c>
      <c r="AR11" s="185">
        <f>IF($A11="","",IFERROR(SUMPRODUCT((Raw_Data_Daily!$B$2:$B$9999="Control")*(Raw_Data_Daily!$A$2:$A$9999=$A11)*(Raw_Data_Daily!$C$2:$C$9999=$C$3)*Raw_Data_Daily!$D$2:$D$9999*Raw_Data_Daily!$R$2:$R$9999)/SUMIFS(Raw_Data_Daily!$D:$D, Raw_Data_Daily!$B:$B, "Control", Raw_Data_Daily!$A:$A, $A11, Raw_Data_Daily!$C:$C, $C$3),""))</f>
        <v>224.23</v>
      </c>
      <c r="AS11" s="185">
        <f>IF($A11="","",IFERROR(SUMPRODUCT((Raw_Data_Daily!$B$2:$B$9999="Variant")*(Raw_Data_Daily!$A$2:$A$9999=$A11)*(Raw_Data_Daily!$C$2:$C$9999=$C$3)*Raw_Data_Daily!$D$2:$D$9999*Raw_Data_Daily!$R$2:$R$9999)/SUMIFS(Raw_Data_Daily!$D:$D, Raw_Data_Daily!$B:$B, "Variant", Raw_Data_Daily!$A:$A, $A11, Raw_Data_Daily!$C:$C, $C$3),""))</f>
        <v>320.81</v>
      </c>
      <c r="AT11" s="179">
        <f t="shared" si="15"/>
        <v>0.4307184587</v>
      </c>
      <c r="AU11" s="185">
        <f>IF($A11="","",IFERROR(SUMPRODUCT((Raw_Data_Daily!$B$2:$B$9999="Control")*(Raw_Data_Daily!$A$2:$A$9999=$A11)*(Raw_Data_Daily!$C$2:$C$9999=$C$3)*Raw_Data_Daily!$D$2:$D$9999*Raw_Data_Daily!$S$2:$S$9999)/SUMIFS(Raw_Data_Daily!$D:$D, Raw_Data_Daily!$B:$B, "Control", Raw_Data_Daily!$A:$A, $A11, Raw_Data_Daily!$C:$C, $C$3),""))</f>
        <v>107.97</v>
      </c>
      <c r="AV11" s="185">
        <f>IF($A11="","",IFERROR(SUMPRODUCT((Raw_Data_Daily!$B$2:$B$9999="Variant")*(Raw_Data_Daily!$A$2:$A$9999=$A11)*(Raw_Data_Daily!$C$2:$C$9999=$C$3)*Raw_Data_Daily!$D$2:$D$9999*Raw_Data_Daily!$S$2:$S$9999)/SUMIFS(Raw_Data_Daily!$D:$D, Raw_Data_Daily!$B:$B, "Variant", Raw_Data_Daily!$A:$A, $A11, Raw_Data_Daily!$C:$C, $C$3),""))</f>
        <v>32.2</v>
      </c>
      <c r="AW11" s="179">
        <f t="shared" si="16"/>
        <v>-0.7017690099</v>
      </c>
      <c r="AX11" s="185">
        <f>IF($A11="","",IFERROR(SUMPRODUCT((Raw_Data_Daily!$B$2:$B$9999="Control")*(Raw_Data_Daily!$A$2:$A$9999=$A11)*(Raw_Data_Daily!$C$2:$C$9999=$C$3)*Raw_Data_Daily!$D$2:$D$9999*Raw_Data_Daily!$T$2:$T$9999)/SUMIFS(Raw_Data_Daily!$D:$D, Raw_Data_Daily!$B:$B, "Control", Raw_Data_Daily!$A:$A, $A11, Raw_Data_Daily!$C:$C, $C$3),""))</f>
        <v>19.46</v>
      </c>
      <c r="AY11" s="185">
        <f>IF($A11="","",IFERROR(SUMPRODUCT((Raw_Data_Daily!$B$2:$B$9999="Variant")*(Raw_Data_Daily!$A$2:$A$9999=$A11)*(Raw_Data_Daily!$C$2:$C$9999=$C$3)*Raw_Data_Daily!$D$2:$D$9999*Raw_Data_Daily!$T$2:$T$9999)/SUMIFS(Raw_Data_Daily!$D:$D, Raw_Data_Daily!$B:$B, "Variant", Raw_Data_Daily!$A:$A, $A11, Raw_Data_Daily!$C:$C, $C$3),""))</f>
        <v>19.7</v>
      </c>
      <c r="AZ11" s="183">
        <f t="shared" si="17"/>
        <v>0.01233299075</v>
      </c>
      <c r="BA11" s="185">
        <f>IF($A11="","",IFERROR(SUMPRODUCT((Raw_Data_Daily!$B$2:$B$9999="Control")*(Raw_Data_Daily!$A$2:$A$9999=$A11)*(Raw_Data_Daily!$C$2:$C$9999=$C$3)*Raw_Data_Daily!$D$2:$D$9999*Raw_Data_Daily!$U$2:$U$9999)/SUMIFS(Raw_Data_Daily!$D:$D, Raw_Data_Daily!$B:$B, "Control", Raw_Data_Daily!$A:$A, $A11, Raw_Data_Daily!$C:$C, $C$3),""))</f>
        <v>312.74</v>
      </c>
      <c r="BB11" s="185">
        <f>IF($A11="","",IFERROR(SUMPRODUCT((Raw_Data_Daily!$B$2:$B$9999="Variant")*(Raw_Data_Daily!$A$2:$A$9999=$A11)*(Raw_Data_Daily!$C$2:$C$9999=$C$3)*Raw_Data_Daily!$D$2:$D$9999*Raw_Data_Daily!$U$2:$U$9999)/SUMIFS(Raw_Data_Daily!$D:$D, Raw_Data_Daily!$B:$B, "Variant", Raw_Data_Daily!$A:$A, $A11, Raw_Data_Daily!$C:$C, $C$3),""))</f>
        <v>333.3</v>
      </c>
      <c r="BC11" s="179">
        <f t="shared" si="18"/>
        <v>0.06574151052</v>
      </c>
      <c r="BD11" s="185">
        <f>IF($A11="","",IFERROR(SUMPRODUCT((Raw_Data_Daily!$B$2:$B$9999="Control")*(Raw_Data_Daily!$A$2:$A$9999=$A11)*(Raw_Data_Daily!$C$2:$C$9999=$C$3)*Raw_Data_Daily!$D$2:$D$9999*Raw_Data_Daily!$V$2:$V$9999)/SUMIFS(Raw_Data_Daily!$D:$D, Raw_Data_Daily!$B:$B, "Control", Raw_Data_Daily!$A:$A, $A11, Raw_Data_Daily!$C:$C, $C$3),""))</f>
        <v>317.16</v>
      </c>
      <c r="BE11" s="185">
        <f>IF($A11="","",IFERROR(SUMPRODUCT((Raw_Data_Daily!$B$2:$B$9999="Variant")*(Raw_Data_Daily!$A$2:$A$9999=$A11)*(Raw_Data_Daily!$C$2:$C$9999=$C$3)*Raw_Data_Daily!$D$2:$D$9999*Raw_Data_Daily!$V$2:$V$9999)/SUMIFS(Raw_Data_Daily!$D:$D, Raw_Data_Daily!$B:$B, "Variant", Raw_Data_Daily!$A:$A, $A11, Raw_Data_Daily!$C:$C, $C$3),""))</f>
        <v>316.76</v>
      </c>
      <c r="BF11" s="179">
        <f t="shared" si="19"/>
        <v>-0.001261193089</v>
      </c>
      <c r="BG11" s="185">
        <f>IF($A11="","",IFERROR(SUMPRODUCT((Raw_Data_Daily!$B$2:$B$9999="Control")*(Raw_Data_Daily!$A$2:$A$9999=$A11)*(Raw_Data_Daily!$C$2:$C$9999=$C$3)*Raw_Data_Daily!$D$2:$D$9999*(Raw_Data_Daily!$Q$2:$Q$9999-Raw_Data_Daily!$V$2:$V$9999))/SUMIFS(Raw_Data_Daily!$D:$D, Raw_Data_Daily!$B:$B, "Control", Raw_Data_Daily!$A:$A, $A11, Raw_Data_Daily!$C:$C, $C$3),""))</f>
        <v>15.04</v>
      </c>
      <c r="BH11" s="185">
        <f>IF($A11="","",IFERROR(SUMPRODUCT((Raw_Data_Daily!$B$2:$B$9999="Variant")*(Raw_Data_Daily!$A$2:$A$9999=$A11)*(Raw_Data_Daily!$C$2:$C$9999=$C$3)*Raw_Data_Daily!$D$2:$D$9999*(Raw_Data_Daily!$Q$2:$Q$9999-Raw_Data_Daily!$V$2:$V$9999))/SUMIFS(Raw_Data_Daily!$D:$D, Raw_Data_Daily!$B:$B, "Variant", Raw_Data_Daily!$A:$A, $A11, Raw_Data_Daily!$C:$C, $C$3),""))</f>
        <v>36.24</v>
      </c>
      <c r="BI11" s="179">
        <f t="shared" si="20"/>
        <v>1.409574468</v>
      </c>
      <c r="BJ11" s="185">
        <f>IF($A11="","",IFERROR(SUMPRODUCT((Raw_Data_Daily!$B$2:$B$9999="Control")*(Raw_Data_Daily!$A$2:$A$9999=$A11)*(Raw_Data_Daily!$C$2:$C$9999=$C$3)*Raw_Data_Daily!$D$2:$D$9999*Raw_Data_Daily!$W$2:$W$9999)/SUMIFS(Raw_Data_Daily!$D:$D, Raw_Data_Daily!$B:$B, "Control", Raw_Data_Daily!$A:$A, $A11, Raw_Data_Daily!$C:$C, $C$3),""))</f>
        <v>4.505</v>
      </c>
      <c r="BK11" s="185">
        <f>IF($A11="","",IFERROR(SUMPRODUCT((Raw_Data_Daily!$B$2:$B$9999="Variant")*(Raw_Data_Daily!$A$2:$A$9999=$A11)*(Raw_Data_Daily!$C$2:$C$9999=$C$3)*Raw_Data_Daily!$D$2:$D$9999*Raw_Data_Daily!$W$2:$W$9999)/SUMIFS(Raw_Data_Daily!$D:$D, Raw_Data_Daily!$B:$B, "Variant", Raw_Data_Daily!$A:$A, $A11, Raw_Data_Daily!$C:$C, $C$3),""))</f>
        <v>4.4513</v>
      </c>
      <c r="BL11" s="179">
        <f t="shared" si="21"/>
        <v>-0.01192008879</v>
      </c>
      <c r="BM11" s="186">
        <f>IF($A11="","",IFERROR(SUMPRODUCT((Raw_Data_Daily!$B$2:$B$9999="Control")*(Raw_Data_Daily!$A$2:$A$9999=$A11)*(Raw_Data_Daily!$C$2:$C$9999=$C$3)*Raw_Data_Daily!$D$2:$D$9999*Raw_Data_Daily!$X$2:$X$9999)/SUMIFS(Raw_Data_Daily!$D:$D, Raw_Data_Daily!$B:$B, "Control", Raw_Data_Daily!$A:$A, $A11, Raw_Data_Daily!$C:$C, $C$3),""))</f>
        <v>5.86</v>
      </c>
      <c r="BN11" s="186">
        <f>IF($A11="","",IFERROR(SUMPRODUCT((Raw_Data_Daily!$B$2:$B$9999="Variant")*(Raw_Data_Daily!$A$2:$A$9999=$A11)*(Raw_Data_Daily!$C$2:$C$9999=$C$3)*Raw_Data_Daily!$D$2:$D$9999*Raw_Data_Daily!$X$2:$X$9999)/SUMIFS(Raw_Data_Daily!$D:$D, Raw_Data_Daily!$B:$B, "Variant", Raw_Data_Daily!$A:$A, $A11, Raw_Data_Daily!$C:$C, $C$3),""))</f>
        <v>5.58</v>
      </c>
      <c r="BO11" s="183">
        <f t="shared" si="22"/>
        <v>-0.04778156997</v>
      </c>
      <c r="BP11" s="178">
        <f>IF($A11="","",IFERROR(SUMPRODUCT((Raw_Data_Daily!$B$2:$B$9999="Control")*(Raw_Data_Daily!$A$2:$A$9999=$A11)*(Raw_Data_Daily!$C$2:$C$9999=$C$3)*Raw_Data_Daily!$D$2:$D$9999*Raw_Data_Daily!$Y$2:$Y$9999)/SUMIFS(Raw_Data_Daily!$D:$D, Raw_Data_Daily!$B:$B, "Control", Raw_Data_Daily!$A:$A, $A11, Raw_Data_Daily!$C:$C, $C$3),""))</f>
        <v>371</v>
      </c>
      <c r="BQ11" s="178">
        <f>IF($A11="","",IFERROR(SUMPRODUCT((Raw_Data_Daily!$B$2:$B$9999="Variant")*(Raw_Data_Daily!$A$2:$A$9999=$A11)*(Raw_Data_Daily!$C$2:$C$9999=$C$3)*Raw_Data_Daily!$D$2:$D$9999*Raw_Data_Daily!$Y$2:$Y$9999)/SUMIFS(Raw_Data_Daily!$D:$D, Raw_Data_Daily!$B:$B, "Variant", Raw_Data_Daily!$A:$A, $A11, Raw_Data_Daily!$C:$C, $C$3),""))</f>
        <v>363</v>
      </c>
      <c r="BR11" s="179">
        <f t="shared" si="23"/>
        <v>-0.02156334232</v>
      </c>
      <c r="BS11" s="178">
        <f>IF($A11="","",IFERROR(SUMPRODUCT((Raw_Data_Daily!$B$2:$B$9999="Control")*(Raw_Data_Daily!$A$2:$A$9999=$A11)*(Raw_Data_Daily!$C$2:$C$9999=$C$3)*Raw_Data_Daily!$D$2:$D$9999*Raw_Data_Daily!$Z$2:$Z$9999)/SUMIFS(Raw_Data_Daily!$D:$D, Raw_Data_Daily!$B:$B, "Control", Raw_Data_Daily!$A:$A, $A11, Raw_Data_Daily!$C:$C, $C$3),""))</f>
        <v>684</v>
      </c>
      <c r="BT11" s="178">
        <f>IF($A11="","",IFERROR(SUMPRODUCT((Raw_Data_Daily!$B$2:$B$9999="Variant")*(Raw_Data_Daily!$A$2:$A$9999=$A11)*(Raw_Data_Daily!$C$2:$C$9999=$C$3)*Raw_Data_Daily!$D$2:$D$9999*Raw_Data_Daily!$Z$2:$Z$9999)/SUMIFS(Raw_Data_Daily!$D:$D, Raw_Data_Daily!$B:$B, "Variant", Raw_Data_Daily!$A:$A, $A11, Raw_Data_Daily!$C:$C, $C$3),""))</f>
        <v>619</v>
      </c>
      <c r="BU11" s="179">
        <f t="shared" si="24"/>
        <v>-0.09502923977</v>
      </c>
      <c r="BV11" s="178">
        <f>IF($A11="","",IFERROR(SUMPRODUCT((Raw_Data_Daily!$B$2:$B$9999="Control")*(Raw_Data_Daily!$A$2:$A$9999=$A11)*(Raw_Data_Daily!$C$2:$C$9999=$C$3)*Raw_Data_Daily!$D$2:$D$9999*Raw_Data_Daily!$AA$2:$AA$9999)/SUMIFS(Raw_Data_Daily!$D:$D, Raw_Data_Daily!$B:$B, "Control", Raw_Data_Daily!$A:$A, $A11, Raw_Data_Daily!$C:$C, $C$3),""))</f>
        <v>1627</v>
      </c>
      <c r="BW11" s="178">
        <f>IF($A11="","",IFERROR(SUMPRODUCT((Raw_Data_Daily!$B$2:$B$9999="Variant")*(Raw_Data_Daily!$A$2:$A$9999=$A11)*(Raw_Data_Daily!$C$2:$C$9999=$C$3)*Raw_Data_Daily!$D$2:$D$9999*Raw_Data_Daily!$AA$2:$AA$9999)/SUMIFS(Raw_Data_Daily!$D:$D, Raw_Data_Daily!$B:$B, "Variant", Raw_Data_Daily!$A:$A, $A11, Raw_Data_Daily!$C:$C, $C$3),""))</f>
        <v>1289</v>
      </c>
      <c r="BX11" s="179">
        <f t="shared" si="25"/>
        <v>-0.2077443147</v>
      </c>
      <c r="BY11" s="185">
        <f>IF($A11="","",IFERROR(SUMPRODUCT((Raw_Data_Daily!$B$2:$B$9999="Control")*(Raw_Data_Daily!$A$2:$A$9999=$A11)*(Raw_Data_Daily!$C$2:$C$9999=$C$3)*Raw_Data_Daily!$D$2:$D$9999*Raw_Data_Daily!$AB$2:$AB$9999)/SUMIFS(Raw_Data_Daily!$D:$D, Raw_Data_Daily!$B:$B, "Control", Raw_Data_Daily!$A:$A, $A11, Raw_Data_Daily!$C:$C, $C$3),""))</f>
        <v>55.6828</v>
      </c>
      <c r="BZ11" s="185">
        <f>IF($A11="","",IFERROR(SUMPRODUCT((Raw_Data_Daily!$B$2:$B$9999="Variant")*(Raw_Data_Daily!$A$2:$A$9999=$A11)*(Raw_Data_Daily!$C$2:$C$9999=$C$3)*Raw_Data_Daily!$D$2:$D$9999*Raw_Data_Daily!$AB$2:$AB$9999)/SUMIFS(Raw_Data_Daily!$D:$D, Raw_Data_Daily!$B:$B, "Variant", Raw_Data_Daily!$A:$A, $A11, Raw_Data_Daily!$C:$C, $C$3),""))</f>
        <v>55.4375</v>
      </c>
      <c r="CA11" s="183">
        <f t="shared" si="26"/>
        <v>-0.004405310078</v>
      </c>
      <c r="CB11" s="185">
        <f>IF($A11="","",IFERROR(SUMPRODUCT((Raw_Data_Daily!$B$2:$B$9999="Control")*(Raw_Data_Daily!$A$2:$A$9999=$A11)*(Raw_Data_Daily!$C$2:$C$9999=$C$3)*Raw_Data_Daily!$D$2:$D$9999*Raw_Data_Daily!$AC$2:$AC$9999)/SUMIFS(Raw_Data_Daily!$D:$D, Raw_Data_Daily!$B:$B, "Control", Raw_Data_Daily!$A:$A, $A11, Raw_Data_Daily!$C:$C, $C$3),""))</f>
        <v>0.7877</v>
      </c>
      <c r="CC11" s="185">
        <f>IF($A11="","",IFERROR(SUMPRODUCT((Raw_Data_Daily!$B$2:$B$9999="Variant")*(Raw_Data_Daily!$A$2:$A$9999=$A11)*(Raw_Data_Daily!$C$2:$C$9999=$C$3)*Raw_Data_Daily!$D$2:$D$9999*Raw_Data_Daily!$AC$2:$AC$9999)/SUMIFS(Raw_Data_Daily!$D:$D, Raw_Data_Daily!$B:$B, "Variant", Raw_Data_Daily!$A:$A, $A11, Raw_Data_Daily!$C:$C, $C$3),""))</f>
        <v>0.7708</v>
      </c>
      <c r="CD11" s="183">
        <f t="shared" si="27"/>
        <v>-0.0214548686</v>
      </c>
      <c r="CE11" s="185">
        <f>IF($A11="","",IFERROR(SUMPRODUCT((Raw_Data_Daily!$B$2:$B$9999="Control")*(Raw_Data_Daily!$A$2:$A$9999=$A11)*(Raw_Data_Daily!$C$2:$C$9999=$C$3)*Raw_Data_Daily!$D$2:$D$9999*Raw_Data_Daily!$AD$2:$AD$9999)/SUMIFS(Raw_Data_Daily!$D:$D, Raw_Data_Daily!$B:$B, "Control", Raw_Data_Daily!$A:$A, $A11, Raw_Data_Daily!$C:$C, $C$3),""))</f>
        <v>29.15</v>
      </c>
      <c r="CF11" s="185">
        <f>IF($A11="","",IFERROR(SUMPRODUCT((Raw_Data_Daily!$B$2:$B$9999="Variant")*(Raw_Data_Daily!$A$2:$A$9999=$A11)*(Raw_Data_Daily!$C$2:$C$9999=$C$3)*Raw_Data_Daily!$D$2:$D$9999*Raw_Data_Daily!$AD$2:$AD$9999)/SUMIFS(Raw_Data_Daily!$D:$D, Raw_Data_Daily!$B:$B, "Variant", Raw_Data_Daily!$A:$A, $A11, Raw_Data_Daily!$C:$C, $C$3),""))</f>
        <v>29.72</v>
      </c>
      <c r="CG11" s="183">
        <f t="shared" si="28"/>
        <v>0.01955403087</v>
      </c>
      <c r="CH11" s="185">
        <f>IF($A11="","",IFERROR(SUMPRODUCT((Raw_Data_Daily!$B$2:$B$9999="Control")*(Raw_Data_Daily!$A$2:$A$9999=$A11)*(Raw_Data_Daily!$C$2:$C$9999=$C$3)*Raw_Data_Daily!$D$2:$D$9999*Raw_Data_Daily!$AE$2:$AE$9999)/SUMIFS(Raw_Data_Daily!$D:$D, Raw_Data_Daily!$B:$B, "Control", Raw_Data_Daily!$A:$A, $A11, Raw_Data_Daily!$C:$C, $C$3),""))</f>
        <v>11</v>
      </c>
      <c r="CI11" s="185">
        <f>IF($A11="","",IFERROR(SUMPRODUCT((Raw_Data_Daily!$B$2:$B$9999="Variant")*(Raw_Data_Daily!$A$2:$A$9999=$A11)*(Raw_Data_Daily!$C$2:$C$9999=$C$3)*Raw_Data_Daily!$D$2:$D$9999*Raw_Data_Daily!$AE$2:$AE$9999)/SUMIFS(Raw_Data_Daily!$D:$D, Raw_Data_Daily!$B:$B, "Variant", Raw_Data_Daily!$A:$A, $A11, Raw_Data_Daily!$C:$C, $C$3),""))</f>
        <v>11</v>
      </c>
      <c r="CJ11" s="183">
        <f t="shared" si="29"/>
        <v>0</v>
      </c>
      <c r="CK11" s="185">
        <f>IF($A11="","",IFERROR(SUMPRODUCT((Raw_Data_Daily!$B$2:$B$9999="Control")*(Raw_Data_Daily!$A$2:$A$9999=$A11)*(Raw_Data_Daily!$C$2:$C$9999=$C$3)*Raw_Data_Daily!$D$2:$D$9999*Raw_Data_Daily!$AF$2:$AF$9999)/SUMIFS(Raw_Data_Daily!$D:$D, Raw_Data_Daily!$B:$B, "Control", Raw_Data_Daily!$A:$A, $A11, Raw_Data_Daily!$C:$C, $C$3),""))</f>
        <v>21</v>
      </c>
      <c r="CL11" s="185">
        <f>IF($A11="","",IFERROR(SUMPRODUCT((Raw_Data_Daily!$B$2:$B$9999="Variant")*(Raw_Data_Daily!$A$2:$A$9999=$A11)*(Raw_Data_Daily!$C$2:$C$9999=$C$3)*Raw_Data_Daily!$D$2:$D$9999*Raw_Data_Daily!$AF$2:$AF$9999)/SUMIFS(Raw_Data_Daily!$D:$D, Raw_Data_Daily!$B:$B, "Variant", Raw_Data_Daily!$A:$A, $A11, Raw_Data_Daily!$C:$C, $C$3),""))</f>
        <v>22</v>
      </c>
      <c r="CM11" s="183">
        <f t="shared" si="30"/>
        <v>0.04761904762</v>
      </c>
      <c r="CN11" s="185">
        <f>IF($A11="","",IFERROR(SUMPRODUCT((Raw_Data_Daily!$B$2:$B$9999="Control")*(Raw_Data_Daily!$A$2:$A$9999=$A11)*(Raw_Data_Daily!$C$2:$C$9999=$C$3)*Raw_Data_Daily!$D$2:$D$9999*Raw_Data_Daily!$AG$2:$AG$9999)/SUMIFS(Raw_Data_Daily!$D:$D, Raw_Data_Daily!$B:$B, "Control", Raw_Data_Daily!$A:$A, $A11, Raw_Data_Daily!$C:$C, $C$3),""))</f>
        <v>41</v>
      </c>
      <c r="CO11" s="185">
        <f>IF($A11="","",IFERROR(SUMPRODUCT((Raw_Data_Daily!$B$2:$B$9999="Variant")*(Raw_Data_Daily!$A$2:$A$9999=$A11)*(Raw_Data_Daily!$C$2:$C$9999=$C$3)*Raw_Data_Daily!$D$2:$D$9999*Raw_Data_Daily!$AG$2:$AG$9999)/SUMIFS(Raw_Data_Daily!$D:$D, Raw_Data_Daily!$B:$B, "Variant", Raw_Data_Daily!$A:$A, $A11, Raw_Data_Daily!$C:$C, $C$3),""))</f>
        <v>41</v>
      </c>
      <c r="CP11" s="183">
        <f t="shared" si="31"/>
        <v>0</v>
      </c>
      <c r="CQ11" s="185">
        <f>IF($A11="","",IFERROR(SUMPRODUCT((Raw_Data_Daily!$B$2:$B$9999="Control")*(Raw_Data_Daily!$A$2:$A$9999=$A11)*(Raw_Data_Daily!$C$2:$C$9999=$C$3)*Raw_Data_Daily!$D$2:$D$9999*Raw_Data_Daily!$AH$2:$AH$9999)/SUMIFS(Raw_Data_Daily!$D:$D, Raw_Data_Daily!$B:$B, "Control", Raw_Data_Daily!$A:$A, $A11, Raw_Data_Daily!$C:$C, $C$3),""))</f>
        <v>62</v>
      </c>
      <c r="CR11" s="185">
        <f>IF($A11="","",IFERROR(SUMPRODUCT((Raw_Data_Daily!$B$2:$B$9999="Variant")*(Raw_Data_Daily!$A$2:$A$9999=$A11)*(Raw_Data_Daily!$C$2:$C$9999=$C$3)*Raw_Data_Daily!$D$2:$D$9999*Raw_Data_Daily!$AH$2:$AH$9999)/SUMIFS(Raw_Data_Daily!$D:$D, Raw_Data_Daily!$B:$B, "Variant", Raw_Data_Daily!$A:$A, $A11, Raw_Data_Daily!$C:$C, $C$3),""))</f>
        <v>62</v>
      </c>
      <c r="CS11" s="183">
        <f t="shared" si="32"/>
        <v>0</v>
      </c>
      <c r="CT11" s="180">
        <f>IF($A11="","",IFERROR(SUMPRODUCT((Raw_Data_Daily!$B$2:$B$9999="Control")*(Raw_Data_Daily!$A$2:$A$9999=$A11)*(Raw_Data_Daily!$C$2:$C$9999=$C$3)*Raw_Data_Daily!$D$2:$D$9999*Raw_Data_Daily!$AI$2:$AI$9999)/SUMIFS(Raw_Data_Daily!$D:$D, Raw_Data_Daily!$B:$B, "Control", Raw_Data_Daily!$A:$A, $A11, Raw_Data_Daily!$C:$C, $C$3),""))</f>
        <v>40.72</v>
      </c>
      <c r="CU11" s="180">
        <f>IF($A11="","",IFERROR(SUMPRODUCT((Raw_Data_Daily!$B$2:$B$9999="Variant")*(Raw_Data_Daily!$A$2:$A$9999=$A11)*(Raw_Data_Daily!$C$2:$C$9999=$C$3)*Raw_Data_Daily!$D$2:$D$9999*Raw_Data_Daily!$AI$2:$AI$9999)/SUMIFS(Raw_Data_Daily!$D:$D, Raw_Data_Daily!$B:$B, "Variant", Raw_Data_Daily!$A:$A, $A11, Raw_Data_Daily!$C:$C, $C$3),""))</f>
        <v>41.5</v>
      </c>
      <c r="CV11" s="187">
        <f t="shared" si="33"/>
        <v>0.01915520629</v>
      </c>
      <c r="CW11" s="180">
        <f>IF($A11="","",IFERROR(SUMPRODUCT((Raw_Data_Daily!$B$2:$B$9999="Control")*(Raw_Data_Daily!$A$2:$A$9999=$A11)*(Raw_Data_Daily!$C$2:$C$9999=$C$3)*Raw_Data_Daily!$D$2:$D$9999*Raw_Data_Daily!$AJ$2:$AJ$9999)/SUMIFS(Raw_Data_Daily!$D:$D, Raw_Data_Daily!$B:$B, "Control", Raw_Data_Daily!$A:$A, $A11, Raw_Data_Daily!$C:$C, $C$3),""))</f>
        <v>10.83</v>
      </c>
      <c r="CX11" s="180">
        <f>IF($A11="","",IFERROR(SUMPRODUCT((Raw_Data_Daily!$B$2:$B$9999="Variant")*(Raw_Data_Daily!$A$2:$A$9999=$A11)*(Raw_Data_Daily!$C$2:$C$9999=$C$3)*Raw_Data_Daily!$D$2:$D$9999*Raw_Data_Daily!$AJ$2:$AJ$9999)/SUMIFS(Raw_Data_Daily!$D:$D, Raw_Data_Daily!$B:$B, "Variant", Raw_Data_Daily!$A:$A, $A11, Raw_Data_Daily!$C:$C, $C$3),""))</f>
        <v>11.72</v>
      </c>
      <c r="CY11" s="187">
        <f t="shared" si="34"/>
        <v>0.08217913204</v>
      </c>
      <c r="CZ11" s="180">
        <f>IF($A11="","",IFERROR(SUMPRODUCT((Raw_Data_Daily!$B$2:$B$9999="Control")*(Raw_Data_Daily!$A$2:$A$9999=$A11)*(Raw_Data_Daily!$C$2:$C$9999=$C$3)*Raw_Data_Daily!$D$2:$D$9999*Raw_Data_Daily!$AK$2:$AK$9999)/SUMIFS(Raw_Data_Daily!$D:$D, Raw_Data_Daily!$B:$B, "Control", Raw_Data_Daily!$A:$A, $A11, Raw_Data_Daily!$C:$C, $C$3),""))</f>
        <v>2.37</v>
      </c>
      <c r="DA11" s="180">
        <f>IF($A11="","",IFERROR(SUMPRODUCT((Raw_Data_Daily!$B$2:$B$9999="Variant")*(Raw_Data_Daily!$A$2:$A$9999=$A11)*(Raw_Data_Daily!$C$2:$C$9999=$C$3)*Raw_Data_Daily!$D$2:$D$9999*Raw_Data_Daily!$AK$2:$AK$9999)/SUMIFS(Raw_Data_Daily!$D:$D, Raw_Data_Daily!$B:$B, "Variant", Raw_Data_Daily!$A:$A, $A11, Raw_Data_Daily!$C:$C, $C$3),""))</f>
        <v>2.52</v>
      </c>
      <c r="DB11" s="183">
        <f t="shared" si="35"/>
        <v>0.06329113924</v>
      </c>
      <c r="DC11" s="186">
        <f>IF($A11="","",IFERROR(SUMPRODUCT((Raw_Data_Daily!$B$2:$B$9999="Control")*(Raw_Data_Daily!$A$2:$A$9999=$A11)*(Raw_Data_Daily!$C$2:$C$9999=$C$3)*Raw_Data_Daily!$D$2:$D$9999*Raw_Data_Daily!$AL$2:$AL$9999)/SUMIFS(Raw_Data_Daily!$D:$D, Raw_Data_Daily!$B:$B, "Control", Raw_Data_Daily!$A:$A, $A11, Raw_Data_Daily!$C:$C, $C$3),""))</f>
        <v>0.1926</v>
      </c>
      <c r="DD11" s="186">
        <f>IF($A11="","",IFERROR(SUMPRODUCT((Raw_Data_Daily!$B$2:$B$9999="Variant")*(Raw_Data_Daily!$A$2:$A$9999=$A11)*(Raw_Data_Daily!$C$2:$C$9999=$C$3)*Raw_Data_Daily!$D$2:$D$9999*Raw_Data_Daily!$AL$2:$AL$9999)/SUMIFS(Raw_Data_Daily!$D:$D, Raw_Data_Daily!$B:$B, "Variant", Raw_Data_Daily!$A:$A, $A11, Raw_Data_Daily!$C:$C, $C$3),""))</f>
        <v>0.1865</v>
      </c>
      <c r="DE11" s="187">
        <f t="shared" si="36"/>
        <v>-0.03167185877</v>
      </c>
      <c r="DF11" s="188"/>
      <c r="DG11" s="180">
        <f>IF($A11="","",IFERROR(SUMPRODUCT((Raw_Data_Daily!$B$2:$B$9999="Variant")*(Raw_Data_Daily!$A$2:$A$9999=$A11)*(Raw_Data_Daily!$C$2:$C$9999=$C$3)*Raw_Data_Daily!$D$2:$D$9999*Raw_Data_Daily!$AM$2:$AM$9999)/SUMIFS(Raw_Data_Daily!$D:$D, Raw_Data_Daily!$B:$B, "Variant", Raw_Data_Daily!$A:$A, $A11, Raw_Data_Daily!$C:$C, $C$3),""))</f>
        <v>47.27</v>
      </c>
      <c r="DH11" s="189"/>
      <c r="DI11" s="188"/>
      <c r="DJ11" s="180">
        <f>IF($A11="","",IFERROR(SUMPRODUCT((Raw_Data_Daily!$B$2:$B$9999="Variant")*(Raw_Data_Daily!$A$2:$A$9999=$A11)*(Raw_Data_Daily!$C$2:$C$9999=$C$3)*Raw_Data_Daily!$D$2:$D$9999*Raw_Data_Daily!$AN$2:$AN$9999)/SUMIFS(Raw_Data_Daily!$D:$D, Raw_Data_Daily!$B:$B, "Variant", Raw_Data_Daily!$A:$A, $A11, Raw_Data_Daily!$C:$C, $C$3),""))</f>
        <v>47.27</v>
      </c>
      <c r="DK11" s="189"/>
      <c r="DL11" s="188"/>
      <c r="DM11" s="180">
        <f>IF($A11="","",IFERROR(SUMPRODUCT((Raw_Data_Daily!$B$2:$B$9999="Variant")*(Raw_Data_Daily!$A$2:$A$9999=$A11)*(Raw_Data_Daily!$C$2:$C$9999=$C$3)*Raw_Data_Daily!$D$2:$D$9999*Raw_Data_Daily!$AO$2:$AO$9999)/SUMIFS(Raw_Data_Daily!$D:$D, Raw_Data_Daily!$B:$B, "Variant", Raw_Data_Daily!$A:$A, $A11, Raw_Data_Daily!$C:$C, $C$3),""))</f>
        <v>28.24</v>
      </c>
      <c r="DN11" s="189"/>
      <c r="DO11" s="188"/>
      <c r="DP11" s="180">
        <f>IF($A11="","",IFERROR(SUMPRODUCT((Raw_Data_Daily!$B$2:$B$9999="Variant")*(Raw_Data_Daily!$A$2:$A$9999=$A11)*(Raw_Data_Daily!$C$2:$C$9999=$C$3)*Raw_Data_Daily!$D$2:$D$9999*Raw_Data_Daily!$AP$2:$AP$9999)/SUMIFS(Raw_Data_Daily!$D:$D, Raw_Data_Daily!$B:$B, "Variant", Raw_Data_Daily!$A:$A, $A11, Raw_Data_Daily!$C:$C, $C$3),""))</f>
        <v>17.14</v>
      </c>
      <c r="DQ11" s="189"/>
      <c r="DR11" s="186">
        <f>IF($A11="","",IFERROR(SUMPRODUCT((Raw_Data_Daily!$B$2:$B$9999="Control")*(Raw_Data_Daily!$A$2:$A$9999=$A11)*(Raw_Data_Daily!$C$2:$C$9999=$C$3)*Raw_Data_Daily!$D$2:$D$9999*Raw_Data_Daily!$AQ$2:$AQ$9999)/SUMIFS(Raw_Data_Daily!$D:$D, Raw_Data_Daily!$B:$B, "Control", Raw_Data_Daily!$A:$A, $A11, Raw_Data_Daily!$C:$C, $C$3),""))</f>
        <v>18.986</v>
      </c>
      <c r="DS11" s="186">
        <f>IF($A11="","",IFERROR(SUMPRODUCT((Raw_Data_Daily!$B$2:$B$9999="Variant")*(Raw_Data_Daily!$A$2:$A$9999=$A11)*(Raw_Data_Daily!$C$2:$C$9999=$C$3)*Raw_Data_Daily!$D$2:$D$9999*Raw_Data_Daily!$AQ$2:$AQ$9999)/SUMIFS(Raw_Data_Daily!$D:$D, Raw_Data_Daily!$B:$B, "Variant", Raw_Data_Daily!$A:$A, $A11, Raw_Data_Daily!$C:$C, $C$3),""))</f>
        <v>15.2036</v>
      </c>
      <c r="DT11" s="190">
        <f t="shared" si="37"/>
        <v>-0.1992204782</v>
      </c>
      <c r="DU11" s="186">
        <f>IF($A11="","",IFERROR(SUMPRODUCT((Raw_Data_Daily!$B$2:$B$9999="Control")*(Raw_Data_Daily!$A$2:$A$9999=$A11)*(Raw_Data_Daily!$C$2:$C$9999=$C$3)*Raw_Data_Daily!$D$2:$D$9999*Raw_Data_Daily!$AR$2:$AR$9999)/SUMIFS(Raw_Data_Daily!$D:$D, Raw_Data_Daily!$B:$B, "Control", Raw_Data_Daily!$A:$A, $A11, Raw_Data_Daily!$C:$C, $C$3),""))</f>
        <v>0.4302</v>
      </c>
      <c r="DV11" s="186">
        <f>IF($A11="","",IFERROR(SUMPRODUCT((Raw_Data_Daily!$B$2:$B$9999="Variant")*(Raw_Data_Daily!$A$2:$A$9999=$A11)*(Raw_Data_Daily!$C$2:$C$9999=$C$3)*Raw_Data_Daily!$D$2:$D$9999*Raw_Data_Daily!$AR$2:$AR$9999)/SUMIFS(Raw_Data_Daily!$D:$D, Raw_Data_Daily!$B:$B, "Variant", Raw_Data_Daily!$A:$A, $A11, Raw_Data_Daily!$C:$C, $C$3),""))</f>
        <v>0.3055</v>
      </c>
      <c r="DW11" s="190">
        <f t="shared" si="38"/>
        <v>-0.289865179</v>
      </c>
      <c r="DX11" s="186">
        <f>IF($A11="","",IFERROR(SUMPRODUCT((Raw_Data_Daily!$B$2:$B$9999="Control")*(Raw_Data_Daily!$A$2:$A$9999=$A11)*(Raw_Data_Daily!$C$2:$C$9999=$C$3)*Raw_Data_Daily!$D$2:$D$9999*Raw_Data_Daily!$AS$2:$AS$9999)/SUMIFS(Raw_Data_Daily!$D:$D, Raw_Data_Daily!$B:$B, "Control", Raw_Data_Daily!$A:$A, $A11, Raw_Data_Daily!$C:$C, $C$3),""))</f>
        <v>18.5558</v>
      </c>
      <c r="DY11" s="186">
        <f>IF($A11="","",IFERROR(SUMPRODUCT((Raw_Data_Daily!$B$2:$B$9999="Variant")*(Raw_Data_Daily!$A$2:$A$9999=$A11)*(Raw_Data_Daily!$C$2:$C$9999=$C$3)*Raw_Data_Daily!$D$2:$D$9999*Raw_Data_Daily!$AS$2:$AS$9999)/SUMIFS(Raw_Data_Daily!$D:$D, Raw_Data_Daily!$B:$B, "Variant", Raw_Data_Daily!$A:$A, $A11, Raw_Data_Daily!$C:$C, $C$3),""))</f>
        <v>14.8982</v>
      </c>
      <c r="DZ11" s="190">
        <f t="shared" si="39"/>
        <v>-0.197113571</v>
      </c>
      <c r="EA11" s="186">
        <f>IF($A11="","",IFERROR(SUMPRODUCT((Raw_Data_Daily!$B$2:$B$9999="Control")*(Raw_Data_Daily!$A$2:$A$9999=$A11)*(Raw_Data_Daily!$C$2:$C$9999=$C$3)*Raw_Data_Daily!$D$2:$D$9999*Raw_Data_Daily!$AT$2:$AT$9999)/SUMIFS(Raw_Data_Daily!$D:$D, Raw_Data_Daily!$B:$B, "Control", Raw_Data_Daily!$A:$A, $A11, Raw_Data_Daily!$C:$C, $C$3),""))</f>
        <v>14.3192</v>
      </c>
      <c r="EB11" s="186">
        <f>IF($A11="","",IFERROR(SUMPRODUCT((Raw_Data_Daily!$B$2:$B$9999="Variant")*(Raw_Data_Daily!$A$2:$A$9999=$A11)*(Raw_Data_Daily!$C$2:$C$9999=$C$3)*Raw_Data_Daily!$D$2:$D$9999*Raw_Data_Daily!$AT$2:$AT$9999)/SUMIFS(Raw_Data_Daily!$D:$D, Raw_Data_Daily!$B:$B, "Variant", Raw_Data_Daily!$A:$A, $A11, Raw_Data_Daily!$C:$C, $C$3),""))</f>
        <v>12.5322</v>
      </c>
      <c r="EC11" s="190">
        <f t="shared" si="40"/>
        <v>-0.1247974747</v>
      </c>
      <c r="ED11" s="186">
        <f>IF($A11="","",IFERROR(SUMPRODUCT((Raw_Data_Daily!$B$2:$B$9999="Control")*(Raw_Data_Daily!$A$2:$A$9999=$A11)*(Raw_Data_Daily!$C$2:$C$9999=$C$3)*Raw_Data_Daily!$D$2:$D$9999*(Raw_Data_Daily!$AQ$2:$AQ$9999-Raw_Data_Daily!$AT$2:$AT$9999))/SUMIFS(Raw_Data_Daily!$D:$D, Raw_Data_Daily!$B:$B, "Control", Raw_Data_Daily!$A:$A, $A11, Raw_Data_Daily!$C:$C, $C$3),""))</f>
        <v>4.6668</v>
      </c>
      <c r="EE11" s="186">
        <f>IF($A11="","",IFERROR(SUMPRODUCT((Raw_Data_Daily!$B$2:$B$9999="Variant")*(Raw_Data_Daily!$A$2:$A$9999=$A11)*(Raw_Data_Daily!$C$2:$C$9999=$C$3)*Raw_Data_Daily!$D$2:$D$9999*(Raw_Data_Daily!$AQ$2:$AQ$9999-Raw_Data_Daily!$AT$2:$AT$9999))/SUMIFS(Raw_Data_Daily!$D:$D, Raw_Data_Daily!$B:$B, "Variant", Raw_Data_Daily!$A:$A, $A11, Raw_Data_Daily!$C:$C, $C$3),""))</f>
        <v>2.6714</v>
      </c>
      <c r="EF11" s="190">
        <f t="shared" si="41"/>
        <v>-0.4275734979</v>
      </c>
      <c r="EG11" s="186">
        <f>IF($A11="","",IFERROR(SUMPRODUCT((Raw_Data_Daily!$B$2:$B$9999="Control")*(Raw_Data_Daily!$A$2:$A$9999=$A11)*(Raw_Data_Daily!$C$2:$C$9999=$C$3)*Raw_Data_Daily!$D$2:$D$9999*Raw_Data_Daily!$AU$2:$AU$9999)/SUMIFS(Raw_Data_Daily!$D:$D, Raw_Data_Daily!$B:$B, "Control", Raw_Data_Daily!$A:$A, $A11, Raw_Data_Daily!$C:$C, $C$3),""))</f>
        <v>0.2034</v>
      </c>
      <c r="EH11" s="186">
        <f>IF($A11="","",IFERROR(SUMPRODUCT((Raw_Data_Daily!$B$2:$B$9999="Variant")*(Raw_Data_Daily!$A$2:$A$9999=$A11)*(Raw_Data_Daily!$C$2:$C$9999=$C$3)*Raw_Data_Daily!$D$2:$D$9999*Raw_Data_Daily!$AU$2:$AU$9999)/SUMIFS(Raw_Data_Daily!$D:$D, Raw_Data_Daily!$B:$B, "Variant", Raw_Data_Daily!$A:$A, $A11, Raw_Data_Daily!$C:$C, $C$3),""))</f>
        <v>0.1761</v>
      </c>
      <c r="EI11" s="190">
        <f t="shared" si="42"/>
        <v>-0.1342182891</v>
      </c>
    </row>
    <row r="12" ht="15.75" customHeight="1">
      <c r="A12" s="177">
        <v>46235.0</v>
      </c>
      <c r="B12" s="178">
        <f>IF($A12="","",SUMIFS(Raw_Data_Daily!$D:$D, Raw_Data_Daily!$B:$B, "Control", Raw_Data_Daily!$A:$A, $A12, Raw_Data_Daily!$C:$C, $C$3))</f>
        <v>2934</v>
      </c>
      <c r="C12" s="178">
        <f>IF($A12="","",SUMIFS(Raw_Data_Daily!$D:$D, Raw_Data_Daily!$B:$B, "Variant", Raw_Data_Daily!$A:$A, $A12, Raw_Data_Daily!$C:$C, $C$3))</f>
        <v>2761</v>
      </c>
      <c r="D12" s="179">
        <f t="shared" si="1"/>
        <v>-0.05896387185</v>
      </c>
      <c r="E12" s="180">
        <f>IF($A12="","",IFERROR(SUMPRODUCT((Raw_Data_Daily!$B$2:$B$9999="Control")*(Raw_Data_Daily!$A$2:$A$9999=$A12)*(Raw_Data_Daily!$C$2:$C$9999=$C$3)*Raw_Data_Daily!$D$2:$D$9999*Raw_Data_Daily!$E$2:$E$9999)/SUMIFS(Raw_Data_Daily!$D:$D, Raw_Data_Daily!$B:$B, "Control", Raw_Data_Daily!$A:$A, $A12, Raw_Data_Daily!$C:$C, $C$3),""))</f>
        <v>11.34</v>
      </c>
      <c r="F12" s="180">
        <f>IF($A12="","",IFERROR(SUMPRODUCT((Raw_Data_Daily!$B$2:$B$9999="Variant")*(Raw_Data_Daily!$A$2:$A$9999=$A12)*(Raw_Data_Daily!$C$2:$C$9999=$C$3)*Raw_Data_Daily!$D$2:$D$9999*Raw_Data_Daily!$E$2:$E$9999)/SUMIFS(Raw_Data_Daily!$D:$D, Raw_Data_Daily!$B:$B, "Variant", Raw_Data_Daily!$A:$A, $A12, Raw_Data_Daily!$C:$C, $C$3),""))</f>
        <v>10.78</v>
      </c>
      <c r="G12" s="179">
        <f t="shared" si="2"/>
        <v>-0.04938271605</v>
      </c>
      <c r="H12" s="182">
        <f>IF($A12="","",SUMIFS(Raw_Data_Daily!$F:$F, Raw_Data_Daily!$B:$B, "Control", Raw_Data_Daily!$A:$A, $A12, Raw_Data_Daily!$C:$C, $C$3))</f>
        <v>558.13</v>
      </c>
      <c r="I12" s="182">
        <f>IF($A12="","",SUMIFS(Raw_Data_Daily!$F:$F, Raw_Data_Daily!$B:$B, "Variant", Raw_Data_Daily!$A:$A, $A12, Raw_Data_Daily!$C:$C, $C$3))</f>
        <v>721.23</v>
      </c>
      <c r="J12" s="183">
        <f t="shared" si="3"/>
        <v>0.2922258255</v>
      </c>
      <c r="K12" s="184">
        <f>IF($A12="","",IFERROR(SUMIFS(Raw_Data_Daily!$F:$F, Raw_Data_Daily!$B:$B, "Control", Raw_Data_Daily!$A:$A, $A12, Raw_Data_Daily!$C:$C, $C$3)/SUMIFS(Raw_Data_Daily!$D:$D, Raw_Data_Daily!$B:$B, "Control", Raw_Data_Daily!$A:$A, $A12, Raw_Data_Daily!$C:$C, $C$3),""))</f>
        <v>0.1902283572</v>
      </c>
      <c r="L12" s="184">
        <f>IF($A12="","",IFERROR(SUMIFS(Raw_Data_Daily!$F:$F, Raw_Data_Daily!$B:$B, "Variant", Raw_Data_Daily!$A:$A, $A12, Raw_Data_Daily!$C:$C, $C$3)/SUMIFS(Raw_Data_Daily!$D:$D, Raw_Data_Daily!$B:$B, "Variant", Raw_Data_Daily!$A:$A, $A12, Raw_Data_Daily!$C:$C, $C$3),""))</f>
        <v>0.2612205723</v>
      </c>
      <c r="M12" s="183">
        <f t="shared" si="4"/>
        <v>0.373194702</v>
      </c>
      <c r="N12" s="180">
        <f>IF($A12="","",IFERROR(SUMPRODUCT((Raw_Data_Daily!$B$2:$B$9999="Control")*(Raw_Data_Daily!$A$2:$A$9999=$A12)*(Raw_Data_Daily!$C$2:$C$9999=$C$3)*Raw_Data_Daily!$D$2:$D$9999*Raw_Data_Daily!$H$2:$H$9999/100)/SUMIFS(Raw_Data_Daily!$D:$D, Raw_Data_Daily!$B:$B, "Control", Raw_Data_Daily!$A:$A, $A12, Raw_Data_Daily!$C:$C, $C$3)*100,""))</f>
        <v>3.48</v>
      </c>
      <c r="O12" s="180">
        <f>IF($A12="","",IFERROR(SUMPRODUCT((Raw_Data_Daily!$B$2:$B$9999="Variant")*(Raw_Data_Daily!$A$2:$A$9999=$A12)*(Raw_Data_Daily!$C$2:$C$9999=$C$3)*Raw_Data_Daily!$D$2:$D$9999*Raw_Data_Daily!$H$2:$H$9999/100)/SUMIFS(Raw_Data_Daily!$D:$D, Raw_Data_Daily!$B:$B, "Variant", Raw_Data_Daily!$A:$A, $A12, Raw_Data_Daily!$C:$C, $C$3)*100,""))</f>
        <v>3.73</v>
      </c>
      <c r="P12" s="183">
        <f t="shared" si="5"/>
        <v>0.07183908046</v>
      </c>
      <c r="Q12" s="184">
        <f>IF($A12="","",IFERROR(SUMIFS(Raw_Data_Daily!$F:$F, Raw_Data_Daily!$B:$B, "Control", Raw_Data_Daily!$A:$A, $A12, Raw_Data_Daily!$C:$C, $C$3)/SUMPRODUCT((Raw_Data_Daily!$B$2:$B$9999="Control")*(Raw_Data_Daily!$A$2:$A$9999=$A12)*(Raw_Data_Daily!$C$2:$C$9999=$C$3)*Raw_Data_Daily!$D$2:$D$9999*Raw_Data_Daily!$H$2:$H$9999/100),""))</f>
        <v>5.466332103</v>
      </c>
      <c r="R12" s="184">
        <f>IF($A12="","",IFERROR(SUMIFS(Raw_Data_Daily!$F:$F, Raw_Data_Daily!$B:$B, "Variant", Raw_Data_Daily!$A:$A, $A12, Raw_Data_Daily!$C:$C, $C$3)/SUMPRODUCT((Raw_Data_Daily!$B$2:$B$9999="Variant")*(Raw_Data_Daily!$A$2:$A$9999=$A12)*(Raw_Data_Daily!$C$2:$C$9999=$C$3)*Raw_Data_Daily!$D$2:$D$9999*Raw_Data_Daily!$H$2:$H$9999/100),""))</f>
        <v>7.0032325</v>
      </c>
      <c r="S12" s="183">
        <f t="shared" si="6"/>
        <v>0.2811575235</v>
      </c>
      <c r="T12" s="185">
        <f>IF($A12="","",IFERROR(SUMPRODUCT((Raw_Data_Daily!$B$2:$B$9999="Control")*(Raw_Data_Daily!$A$2:$A$9999=$A12)*(Raw_Data_Daily!$C$2:$C$9999=$C$3)*Raw_Data_Daily!$D$2:$D$9999*Raw_Data_Daily!$J$2:$J$9999)/SUMIFS(Raw_Data_Daily!$D:$D, Raw_Data_Daily!$B:$B, "Control", Raw_Data_Daily!$A:$A, $A12, Raw_Data_Daily!$C:$C, $C$3),""))</f>
        <v>103.9</v>
      </c>
      <c r="U12" s="185">
        <f>IF($A12="","",IFERROR(SUMPRODUCT((Raw_Data_Daily!$B$2:$B$9999="Variant")*(Raw_Data_Daily!$A$2:$A$9999=$A12)*(Raw_Data_Daily!$C$2:$C$9999=$C$3)*Raw_Data_Daily!$D$2:$D$9999*Raw_Data_Daily!$J$2:$J$9999)/SUMIFS(Raw_Data_Daily!$D:$D, Raw_Data_Daily!$B:$B, "Variant", Raw_Data_Daily!$A:$A, $A12, Raw_Data_Daily!$C:$C, $C$3),""))</f>
        <v>112.17</v>
      </c>
      <c r="V12" s="183">
        <f t="shared" si="7"/>
        <v>0.07959576516</v>
      </c>
      <c r="W12" s="185">
        <f>IF($A12="","",IFERROR(SUMPRODUCT((Raw_Data_Daily!$B$2:$B$9999="Control")*(Raw_Data_Daily!$A$2:$A$9999=$A12)*(Raw_Data_Daily!$C$2:$C$9999=$C$3)*Raw_Data_Daily!$D$2:$D$9999*Raw_Data_Daily!$K$2:$K$9999)/SUMIFS(Raw_Data_Daily!$D:$D, Raw_Data_Daily!$B:$B, "Control", Raw_Data_Daily!$A:$A, $A12, Raw_Data_Daily!$C:$C, $C$3),""))</f>
        <v>65.7</v>
      </c>
      <c r="X12" s="185">
        <f>IF($A12="","",IFERROR(SUMPRODUCT((Raw_Data_Daily!$B$2:$B$9999="Variant")*(Raw_Data_Daily!$A$2:$A$9999=$A12)*(Raw_Data_Daily!$C$2:$C$9999=$C$3)*Raw_Data_Daily!$D$2:$D$9999*Raw_Data_Daily!$K$2:$K$9999)/SUMIFS(Raw_Data_Daily!$D:$D, Raw_Data_Daily!$B:$B, "Variant", Raw_Data_Daily!$A:$A, $A12, Raw_Data_Daily!$C:$C, $C$3),""))</f>
        <v>70.37</v>
      </c>
      <c r="Y12" s="183">
        <f t="shared" si="8"/>
        <v>0.07108066971</v>
      </c>
      <c r="Z12" s="185">
        <f>IF($A12="","",IFERROR(SUMPRODUCT((Raw_Data_Daily!$B$2:$B$9999="Control")*(Raw_Data_Daily!$A$2:$A$9999=$A12)*(Raw_Data_Daily!$C$2:$C$9999=$C$3)*Raw_Data_Daily!$D$2:$D$9999*Raw_Data_Daily!$L$2:$L$9999)/SUMIFS(Raw_Data_Daily!$D:$D, Raw_Data_Daily!$B:$B, "Control", Raw_Data_Daily!$A:$A, $A12, Raw_Data_Daily!$C:$C, $C$3),""))</f>
        <v>50.48</v>
      </c>
      <c r="AA12" s="185">
        <f>IF($A12="","",IFERROR(SUMPRODUCT((Raw_Data_Daily!$B$2:$B$9999="Variant")*(Raw_Data_Daily!$A$2:$A$9999=$A12)*(Raw_Data_Daily!$C$2:$C$9999=$C$3)*Raw_Data_Daily!$D$2:$D$9999*Raw_Data_Daily!$L$2:$L$9999)/SUMIFS(Raw_Data_Daily!$D:$D, Raw_Data_Daily!$B:$B, "Variant", Raw_Data_Daily!$A:$A, $A12, Raw_Data_Daily!$C:$C, $C$3),""))</f>
        <v>52.13</v>
      </c>
      <c r="AB12" s="183">
        <f t="shared" si="9"/>
        <v>0.03268621236</v>
      </c>
      <c r="AC12" s="186">
        <f>IF($A12="","",IFERROR(SUMPRODUCT((Raw_Data_Daily!$B$2:$B$9999="Control")*(Raw_Data_Daily!$A$2:$A$9999=$A12)*(Raw_Data_Daily!$C$2:$C$9999=$C$3)*Raw_Data_Daily!$D$2:$D$9999*Raw_Data_Daily!$M$2:$M$9999)/SUMIFS(Raw_Data_Daily!$D:$D, Raw_Data_Daily!$B:$B, "Control", Raw_Data_Daily!$A:$A, $A12, Raw_Data_Daily!$C:$C, $C$3),""))</f>
        <v>0.7683</v>
      </c>
      <c r="AD12" s="186">
        <f>IF($A12="","",IFERROR(SUMPRODUCT((Raw_Data_Daily!$B$2:$B$9999="Variant")*(Raw_Data_Daily!$A$2:$A$9999=$A12)*(Raw_Data_Daily!$C$2:$C$9999=$C$3)*Raw_Data_Daily!$D$2:$D$9999*Raw_Data_Daily!$M$2:$M$9999)/SUMIFS(Raw_Data_Daily!$D:$D, Raw_Data_Daily!$B:$B, "Variant", Raw_Data_Daily!$A:$A, $A12, Raw_Data_Daily!$C:$C, $C$3),""))</f>
        <v>0.7408</v>
      </c>
      <c r="AE12" s="187">
        <f t="shared" si="10"/>
        <v>-0.0357933099</v>
      </c>
      <c r="AF12" s="186">
        <f>IF($A12="","",IFERROR(SUMPRODUCT((Raw_Data_Daily!$B$2:$B$9999="Control")*(Raw_Data_Daily!$A$2:$A$9999=$A12)*(Raw_Data_Daily!$C$2:$C$9999=$C$3)*Raw_Data_Daily!$D$2:$D$9999*Raw_Data_Daily!$N$2:$N$9999)/SUMIFS(Raw_Data_Daily!$D:$D, Raw_Data_Daily!$B:$B, "Control", Raw_Data_Daily!$A:$A, $A12, Raw_Data_Daily!$C:$C, $C$3),""))</f>
        <v>0.341</v>
      </c>
      <c r="AG12" s="186">
        <f>IF($A12="","",IFERROR(SUMPRODUCT((Raw_Data_Daily!$B$2:$B$9999="Variant")*(Raw_Data_Daily!$A$2:$A$9999=$A12)*(Raw_Data_Daily!$C$2:$C$9999=$C$3)*Raw_Data_Daily!$D$2:$D$9999*Raw_Data_Daily!$N$2:$N$9999)/SUMIFS(Raw_Data_Daily!$D:$D, Raw_Data_Daily!$B:$B, "Variant", Raw_Data_Daily!$A:$A, $A12, Raw_Data_Daily!$C:$C, $C$3),""))</f>
        <v>0.3642</v>
      </c>
      <c r="AH12" s="187">
        <f t="shared" si="11"/>
        <v>0.06803519062</v>
      </c>
      <c r="AI12" s="186">
        <f>IF($A12="","",IFERROR(SUMPRODUCT((Raw_Data_Daily!$B$2:$B$9999="Control")*(Raw_Data_Daily!$A$2:$A$9999=$A12)*(Raw_Data_Daily!$C$2:$C$9999=$C$3)*Raw_Data_Daily!$D$2:$D$9999*Raw_Data_Daily!$O$2:$O$9999)/SUMIFS(Raw_Data_Daily!$D:$D, Raw_Data_Daily!$B:$B, "Control", Raw_Data_Daily!$A:$A, $A12, Raw_Data_Daily!$C:$C, $C$3),""))</f>
        <v>0.2296</v>
      </c>
      <c r="AJ12" s="186">
        <f>IF($A12="","",IFERROR(SUMPRODUCT((Raw_Data_Daily!$B$2:$B$9999="Variant")*(Raw_Data_Daily!$A$2:$A$9999=$A12)*(Raw_Data_Daily!$C$2:$C$9999=$C$3)*Raw_Data_Daily!$D$2:$D$9999*Raw_Data_Daily!$O$2:$O$9999)/SUMIFS(Raw_Data_Daily!$D:$D, Raw_Data_Daily!$B:$B, "Variant", Raw_Data_Daily!$A:$A, $A12, Raw_Data_Daily!$C:$C, $C$3),""))</f>
        <v>0.2378</v>
      </c>
      <c r="AK12" s="183">
        <f t="shared" si="12"/>
        <v>0.03571428571</v>
      </c>
      <c r="AL12" s="185">
        <f>IF($A12="","",IFERROR(SUMPRODUCT((Raw_Data_Daily!$B$2:$B$9999="Control")*(Raw_Data_Daily!$A$2:$A$9999=$A12)*(Raw_Data_Daily!$C$2:$C$9999=$C$3)*Raw_Data_Daily!$D$2:$D$9999*Raw_Data_Daily!$P$2:$P$9999)/SUMIFS(Raw_Data_Daily!$D:$D, Raw_Data_Daily!$B:$B, "Control", Raw_Data_Daily!$A:$A, $A12, Raw_Data_Daily!$C:$C, $C$3),""))</f>
        <v>1.3016</v>
      </c>
      <c r="AM12" s="185">
        <f>IF($A12="","",IFERROR(SUMPRODUCT((Raw_Data_Daily!$B$2:$B$9999="Variant")*(Raw_Data_Daily!$A$2:$A$9999=$A12)*(Raw_Data_Daily!$C$2:$C$9999=$C$3)*Raw_Data_Daily!$D$2:$D$9999*Raw_Data_Daily!$P$2:$P$9999)/SUMIFS(Raw_Data_Daily!$D:$D, Raw_Data_Daily!$B:$B, "Variant", Raw_Data_Daily!$A:$A, $A12, Raw_Data_Daily!$C:$C, $C$3),""))</f>
        <v>1.35</v>
      </c>
      <c r="AN12" s="183">
        <f t="shared" si="13"/>
        <v>0.03718500307</v>
      </c>
      <c r="AO12" s="185">
        <f>IF($A12="","",IFERROR(SUMPRODUCT((Raw_Data_Daily!$B$2:$B$9999="Control")*(Raw_Data_Daily!$A$2:$A$9999=$A12)*(Raw_Data_Daily!$C$2:$C$9999=$C$3)*Raw_Data_Daily!$D$2:$D$9999*Raw_Data_Daily!$Q$2:$Q$9999)/SUMIFS(Raw_Data_Daily!$D:$D, Raw_Data_Daily!$B:$B, "Control", Raw_Data_Daily!$A:$A, $A12, Raw_Data_Daily!$C:$C, $C$3),""))</f>
        <v>327.11</v>
      </c>
      <c r="AP12" s="185">
        <f>IF($A12="","",IFERROR(SUMPRODUCT((Raw_Data_Daily!$B$2:$B$9999="Variant")*(Raw_Data_Daily!$A$2:$A$9999=$A12)*(Raw_Data_Daily!$C$2:$C$9999=$C$3)*Raw_Data_Daily!$D$2:$D$9999*Raw_Data_Daily!$Q$2:$Q$9999)/SUMIFS(Raw_Data_Daily!$D:$D, Raw_Data_Daily!$B:$B, "Variant", Raw_Data_Daily!$A:$A, $A12, Raw_Data_Daily!$C:$C, $C$3),""))</f>
        <v>265.05</v>
      </c>
      <c r="AQ12" s="179">
        <f t="shared" si="14"/>
        <v>-0.1897221118</v>
      </c>
      <c r="AR12" s="185">
        <f>IF($A12="","",IFERROR(SUMPRODUCT((Raw_Data_Daily!$B$2:$B$9999="Control")*(Raw_Data_Daily!$A$2:$A$9999=$A12)*(Raw_Data_Daily!$C$2:$C$9999=$C$3)*Raw_Data_Daily!$D$2:$D$9999*Raw_Data_Daily!$R$2:$R$9999)/SUMIFS(Raw_Data_Daily!$D:$D, Raw_Data_Daily!$B:$B, "Control", Raw_Data_Daily!$A:$A, $A12, Raw_Data_Daily!$C:$C, $C$3),""))</f>
        <v>222.91</v>
      </c>
      <c r="AS12" s="185">
        <f>IF($A12="","",IFERROR(SUMPRODUCT((Raw_Data_Daily!$B$2:$B$9999="Variant")*(Raw_Data_Daily!$A$2:$A$9999=$A12)*(Raw_Data_Daily!$C$2:$C$9999=$C$3)*Raw_Data_Daily!$D$2:$D$9999*Raw_Data_Daily!$R$2:$R$9999)/SUMIFS(Raw_Data_Daily!$D:$D, Raw_Data_Daily!$B:$B, "Variant", Raw_Data_Daily!$A:$A, $A12, Raw_Data_Daily!$C:$C, $C$3),""))</f>
        <v>234.48</v>
      </c>
      <c r="AT12" s="179">
        <f t="shared" si="15"/>
        <v>0.05190435602</v>
      </c>
      <c r="AU12" s="185">
        <f>IF($A12="","",IFERROR(SUMPRODUCT((Raw_Data_Daily!$B$2:$B$9999="Control")*(Raw_Data_Daily!$A$2:$A$9999=$A12)*(Raw_Data_Daily!$C$2:$C$9999=$C$3)*Raw_Data_Daily!$D$2:$D$9999*Raw_Data_Daily!$S$2:$S$9999)/SUMIFS(Raw_Data_Daily!$D:$D, Raw_Data_Daily!$B:$B, "Control", Raw_Data_Daily!$A:$A, $A12, Raw_Data_Daily!$C:$C, $C$3),""))</f>
        <v>104.2</v>
      </c>
      <c r="AV12" s="185">
        <f>IF($A12="","",IFERROR(SUMPRODUCT((Raw_Data_Daily!$B$2:$B$9999="Variant")*(Raw_Data_Daily!$A$2:$A$9999=$A12)*(Raw_Data_Daily!$C$2:$C$9999=$C$3)*Raw_Data_Daily!$D$2:$D$9999*Raw_Data_Daily!$S$2:$S$9999)/SUMIFS(Raw_Data_Daily!$D:$D, Raw_Data_Daily!$B:$B, "Variant", Raw_Data_Daily!$A:$A, $A12, Raw_Data_Daily!$C:$C, $C$3),""))</f>
        <v>30.57</v>
      </c>
      <c r="AW12" s="179">
        <f t="shared" si="16"/>
        <v>-0.706621881</v>
      </c>
      <c r="AX12" s="185">
        <f>IF($A12="","",IFERROR(SUMPRODUCT((Raw_Data_Daily!$B$2:$B$9999="Control")*(Raw_Data_Daily!$A$2:$A$9999=$A12)*(Raw_Data_Daily!$C$2:$C$9999=$C$3)*Raw_Data_Daily!$D$2:$D$9999*Raw_Data_Daily!$T$2:$T$9999)/SUMIFS(Raw_Data_Daily!$D:$D, Raw_Data_Daily!$B:$B, "Control", Raw_Data_Daily!$A:$A, $A12, Raw_Data_Daily!$C:$C, $C$3),""))</f>
        <v>15.76</v>
      </c>
      <c r="AY12" s="185">
        <f>IF($A12="","",IFERROR(SUMPRODUCT((Raw_Data_Daily!$B$2:$B$9999="Variant")*(Raw_Data_Daily!$A$2:$A$9999=$A12)*(Raw_Data_Daily!$C$2:$C$9999=$C$3)*Raw_Data_Daily!$D$2:$D$9999*Raw_Data_Daily!$T$2:$T$9999)/SUMIFS(Raw_Data_Daily!$D:$D, Raw_Data_Daily!$B:$B, "Variant", Raw_Data_Daily!$A:$A, $A12, Raw_Data_Daily!$C:$C, $C$3),""))</f>
        <v>22.93</v>
      </c>
      <c r="AZ12" s="183">
        <f t="shared" si="17"/>
        <v>0.4549492386</v>
      </c>
      <c r="BA12" s="185">
        <f>IF($A12="","",IFERROR(SUMPRODUCT((Raw_Data_Daily!$B$2:$B$9999="Control")*(Raw_Data_Daily!$A$2:$A$9999=$A12)*(Raw_Data_Daily!$C$2:$C$9999=$C$3)*Raw_Data_Daily!$D$2:$D$9999*Raw_Data_Daily!$U$2:$U$9999)/SUMIFS(Raw_Data_Daily!$D:$D, Raw_Data_Daily!$B:$B, "Control", Raw_Data_Daily!$A:$A, $A12, Raw_Data_Daily!$C:$C, $C$3),""))</f>
        <v>311.35</v>
      </c>
      <c r="BB12" s="185">
        <f>IF($A12="","",IFERROR(SUMPRODUCT((Raw_Data_Daily!$B$2:$B$9999="Variant")*(Raw_Data_Daily!$A$2:$A$9999=$A12)*(Raw_Data_Daily!$C$2:$C$9999=$C$3)*Raw_Data_Daily!$D$2:$D$9999*Raw_Data_Daily!$U$2:$U$9999)/SUMIFS(Raw_Data_Daily!$D:$D, Raw_Data_Daily!$B:$B, "Variant", Raw_Data_Daily!$A:$A, $A12, Raw_Data_Daily!$C:$C, $C$3),""))</f>
        <v>242.12</v>
      </c>
      <c r="BC12" s="179">
        <f t="shared" si="18"/>
        <v>-0.2223542637</v>
      </c>
      <c r="BD12" s="185">
        <f>IF($A12="","",IFERROR(SUMPRODUCT((Raw_Data_Daily!$B$2:$B$9999="Control")*(Raw_Data_Daily!$A$2:$A$9999=$A12)*(Raw_Data_Daily!$C$2:$C$9999=$C$3)*Raw_Data_Daily!$D$2:$D$9999*Raw_Data_Daily!$V$2:$V$9999)/SUMIFS(Raw_Data_Daily!$D:$D, Raw_Data_Daily!$B:$B, "Control", Raw_Data_Daily!$A:$A, $A12, Raw_Data_Daily!$C:$C, $C$3),""))</f>
        <v>299.64</v>
      </c>
      <c r="BE12" s="185">
        <f>IF($A12="","",IFERROR(SUMPRODUCT((Raw_Data_Daily!$B$2:$B$9999="Variant")*(Raw_Data_Daily!$A$2:$A$9999=$A12)*(Raw_Data_Daily!$C$2:$C$9999=$C$3)*Raw_Data_Daily!$D$2:$D$9999*Raw_Data_Daily!$V$2:$V$9999)/SUMIFS(Raw_Data_Daily!$D:$D, Raw_Data_Daily!$B:$B, "Variant", Raw_Data_Daily!$A:$A, $A12, Raw_Data_Daily!$C:$C, $C$3),""))</f>
        <v>270.17</v>
      </c>
      <c r="BF12" s="179">
        <f t="shared" si="19"/>
        <v>-0.09835135496</v>
      </c>
      <c r="BG12" s="185">
        <f>IF($A12="","",IFERROR(SUMPRODUCT((Raw_Data_Daily!$B$2:$B$9999="Control")*(Raw_Data_Daily!$A$2:$A$9999=$A12)*(Raw_Data_Daily!$C$2:$C$9999=$C$3)*Raw_Data_Daily!$D$2:$D$9999*(Raw_Data_Daily!$Q$2:$Q$9999-Raw_Data_Daily!$V$2:$V$9999))/SUMIFS(Raw_Data_Daily!$D:$D, Raw_Data_Daily!$B:$B, "Control", Raw_Data_Daily!$A:$A, $A12, Raw_Data_Daily!$C:$C, $C$3),""))</f>
        <v>27.47</v>
      </c>
      <c r="BH12" s="185">
        <f>IF($A12="","",IFERROR(SUMPRODUCT((Raw_Data_Daily!$B$2:$B$9999="Variant")*(Raw_Data_Daily!$A$2:$A$9999=$A12)*(Raw_Data_Daily!$C$2:$C$9999=$C$3)*Raw_Data_Daily!$D$2:$D$9999*(Raw_Data_Daily!$Q$2:$Q$9999-Raw_Data_Daily!$V$2:$V$9999))/SUMIFS(Raw_Data_Daily!$D:$D, Raw_Data_Daily!$B:$B, "Variant", Raw_Data_Daily!$A:$A, $A12, Raw_Data_Daily!$C:$C, $C$3),""))</f>
        <v>-5.12</v>
      </c>
      <c r="BI12" s="179">
        <f t="shared" si="20"/>
        <v>-1.186385147</v>
      </c>
      <c r="BJ12" s="185">
        <f>IF($A12="","",IFERROR(SUMPRODUCT((Raw_Data_Daily!$B$2:$B$9999="Control")*(Raw_Data_Daily!$A$2:$A$9999=$A12)*(Raw_Data_Daily!$C$2:$C$9999=$C$3)*Raw_Data_Daily!$D$2:$D$9999*Raw_Data_Daily!$W$2:$W$9999)/SUMIFS(Raw_Data_Daily!$D:$D, Raw_Data_Daily!$B:$B, "Control", Raw_Data_Daily!$A:$A, $A12, Raw_Data_Daily!$C:$C, $C$3),""))</f>
        <v>4.5606</v>
      </c>
      <c r="BK12" s="185">
        <f>IF($A12="","",IFERROR(SUMPRODUCT((Raw_Data_Daily!$B$2:$B$9999="Variant")*(Raw_Data_Daily!$A$2:$A$9999=$A12)*(Raw_Data_Daily!$C$2:$C$9999=$C$3)*Raw_Data_Daily!$D$2:$D$9999*Raw_Data_Daily!$W$2:$W$9999)/SUMIFS(Raw_Data_Daily!$D:$D, Raw_Data_Daily!$B:$B, "Variant", Raw_Data_Daily!$A:$A, $A12, Raw_Data_Daily!$C:$C, $C$3),""))</f>
        <v>3.8391</v>
      </c>
      <c r="BL12" s="179">
        <f t="shared" si="21"/>
        <v>-0.158202868</v>
      </c>
      <c r="BM12" s="186">
        <f>IF($A12="","",IFERROR(SUMPRODUCT((Raw_Data_Daily!$B$2:$B$9999="Control")*(Raw_Data_Daily!$A$2:$A$9999=$A12)*(Raw_Data_Daily!$C$2:$C$9999=$C$3)*Raw_Data_Daily!$D$2:$D$9999*Raw_Data_Daily!$X$2:$X$9999)/SUMIFS(Raw_Data_Daily!$D:$D, Raw_Data_Daily!$B:$B, "Control", Raw_Data_Daily!$A:$A, $A12, Raw_Data_Daily!$C:$C, $C$3),""))</f>
        <v>4.82</v>
      </c>
      <c r="BN12" s="186">
        <f>IF($A12="","",IFERROR(SUMPRODUCT((Raw_Data_Daily!$B$2:$B$9999="Variant")*(Raw_Data_Daily!$A$2:$A$9999=$A12)*(Raw_Data_Daily!$C$2:$C$9999=$C$3)*Raw_Data_Daily!$D$2:$D$9999*Raw_Data_Daily!$X$2:$X$9999)/SUMIFS(Raw_Data_Daily!$D:$D, Raw_Data_Daily!$B:$B, "Variant", Raw_Data_Daily!$A:$A, $A12, Raw_Data_Daily!$C:$C, $C$3),""))</f>
        <v>8.65</v>
      </c>
      <c r="BO12" s="183">
        <f t="shared" si="22"/>
        <v>0.7946058091</v>
      </c>
      <c r="BP12" s="178">
        <f>IF($A12="","",IFERROR(SUMPRODUCT((Raw_Data_Daily!$B$2:$B$9999="Control")*(Raw_Data_Daily!$A$2:$A$9999=$A12)*(Raw_Data_Daily!$C$2:$C$9999=$C$3)*Raw_Data_Daily!$D$2:$D$9999*Raw_Data_Daily!$Y$2:$Y$9999)/SUMIFS(Raw_Data_Daily!$D:$D, Raw_Data_Daily!$B:$B, "Control", Raw_Data_Daily!$A:$A, $A12, Raw_Data_Daily!$C:$C, $C$3),""))</f>
        <v>374</v>
      </c>
      <c r="BQ12" s="178">
        <f>IF($A12="","",IFERROR(SUMPRODUCT((Raw_Data_Daily!$B$2:$B$9999="Variant")*(Raw_Data_Daily!$A$2:$A$9999=$A12)*(Raw_Data_Daily!$C$2:$C$9999=$C$3)*Raw_Data_Daily!$D$2:$D$9999*Raw_Data_Daily!$Y$2:$Y$9999)/SUMIFS(Raw_Data_Daily!$D:$D, Raw_Data_Daily!$B:$B, "Variant", Raw_Data_Daily!$A:$A, $A12, Raw_Data_Daily!$C:$C, $C$3),""))</f>
        <v>319</v>
      </c>
      <c r="BR12" s="179">
        <f t="shared" si="23"/>
        <v>-0.1470588235</v>
      </c>
      <c r="BS12" s="178">
        <f>IF($A12="","",IFERROR(SUMPRODUCT((Raw_Data_Daily!$B$2:$B$9999="Control")*(Raw_Data_Daily!$A$2:$A$9999=$A12)*(Raw_Data_Daily!$C$2:$C$9999=$C$3)*Raw_Data_Daily!$D$2:$D$9999*Raw_Data_Daily!$Z$2:$Z$9999)/SUMIFS(Raw_Data_Daily!$D:$D, Raw_Data_Daily!$B:$B, "Control", Raw_Data_Daily!$A:$A, $A12, Raw_Data_Daily!$C:$C, $C$3),""))</f>
        <v>674</v>
      </c>
      <c r="BT12" s="178">
        <f>IF($A12="","",IFERROR(SUMPRODUCT((Raw_Data_Daily!$B$2:$B$9999="Variant")*(Raw_Data_Daily!$A$2:$A$9999=$A12)*(Raw_Data_Daily!$C$2:$C$9999=$C$3)*Raw_Data_Daily!$D$2:$D$9999*Raw_Data_Daily!$Z$2:$Z$9999)/SUMIFS(Raw_Data_Daily!$D:$D, Raw_Data_Daily!$B:$B, "Variant", Raw_Data_Daily!$A:$A, $A12, Raw_Data_Daily!$C:$C, $C$3),""))</f>
        <v>590</v>
      </c>
      <c r="BU12" s="179">
        <f t="shared" si="24"/>
        <v>-0.1246290801</v>
      </c>
      <c r="BV12" s="178">
        <f>IF($A12="","",IFERROR(SUMPRODUCT((Raw_Data_Daily!$B$2:$B$9999="Control")*(Raw_Data_Daily!$A$2:$A$9999=$A12)*(Raw_Data_Daily!$C$2:$C$9999=$C$3)*Raw_Data_Daily!$D$2:$D$9999*Raw_Data_Daily!$AA$2:$AA$9999)/SUMIFS(Raw_Data_Daily!$D:$D, Raw_Data_Daily!$B:$B, "Control", Raw_Data_Daily!$A:$A, $A12, Raw_Data_Daily!$C:$C, $C$3),""))</f>
        <v>1628</v>
      </c>
      <c r="BW12" s="178">
        <f>IF($A12="","",IFERROR(SUMPRODUCT((Raw_Data_Daily!$B$2:$B$9999="Variant")*(Raw_Data_Daily!$A$2:$A$9999=$A12)*(Raw_Data_Daily!$C$2:$C$9999=$C$3)*Raw_Data_Daily!$D$2:$D$9999*Raw_Data_Daily!$AA$2:$AA$9999)/SUMIFS(Raw_Data_Daily!$D:$D, Raw_Data_Daily!$B:$B, "Variant", Raw_Data_Daily!$A:$A, $A12, Raw_Data_Daily!$C:$C, $C$3),""))</f>
        <v>1269</v>
      </c>
      <c r="BX12" s="179">
        <f t="shared" si="25"/>
        <v>-0.2205159705</v>
      </c>
      <c r="BY12" s="185">
        <f>IF($A12="","",IFERROR(SUMPRODUCT((Raw_Data_Daily!$B$2:$B$9999="Control")*(Raw_Data_Daily!$A$2:$A$9999=$A12)*(Raw_Data_Daily!$C$2:$C$9999=$C$3)*Raw_Data_Daily!$D$2:$D$9999*Raw_Data_Daily!$AB$2:$AB$9999)/SUMIFS(Raw_Data_Daily!$D:$D, Raw_Data_Daily!$B:$B, "Control", Raw_Data_Daily!$A:$A, $A12, Raw_Data_Daily!$C:$C, $C$3),""))</f>
        <v>55.9545</v>
      </c>
      <c r="BZ12" s="185">
        <f>IF($A12="","",IFERROR(SUMPRODUCT((Raw_Data_Daily!$B$2:$B$9999="Variant")*(Raw_Data_Daily!$A$2:$A$9999=$A12)*(Raw_Data_Daily!$C$2:$C$9999=$C$3)*Raw_Data_Daily!$D$2:$D$9999*Raw_Data_Daily!$AB$2:$AB$9999)/SUMIFS(Raw_Data_Daily!$D:$D, Raw_Data_Daily!$B:$B, "Variant", Raw_Data_Daily!$A:$A, $A12, Raw_Data_Daily!$C:$C, $C$3),""))</f>
        <v>55.7145</v>
      </c>
      <c r="CA12" s="183">
        <f t="shared" si="26"/>
        <v>-0.00428919926</v>
      </c>
      <c r="CB12" s="185">
        <f>IF($A12="","",IFERROR(SUMPRODUCT((Raw_Data_Daily!$B$2:$B$9999="Control")*(Raw_Data_Daily!$A$2:$A$9999=$A12)*(Raw_Data_Daily!$C$2:$C$9999=$C$3)*Raw_Data_Daily!$D$2:$D$9999*Raw_Data_Daily!$AC$2:$AC$9999)/SUMIFS(Raw_Data_Daily!$D:$D, Raw_Data_Daily!$B:$B, "Control", Raw_Data_Daily!$A:$A, $A12, Raw_Data_Daily!$C:$C, $C$3),""))</f>
        <v>0.7933</v>
      </c>
      <c r="CC12" s="185">
        <f>IF($A12="","",IFERROR(SUMPRODUCT((Raw_Data_Daily!$B$2:$B$9999="Variant")*(Raw_Data_Daily!$A$2:$A$9999=$A12)*(Raw_Data_Daily!$C$2:$C$9999=$C$3)*Raw_Data_Daily!$D$2:$D$9999*Raw_Data_Daily!$AC$2:$AC$9999)/SUMIFS(Raw_Data_Daily!$D:$D, Raw_Data_Daily!$B:$B, "Variant", Raw_Data_Daily!$A:$A, $A12, Raw_Data_Daily!$C:$C, $C$3),""))</f>
        <v>0.7823</v>
      </c>
      <c r="CD12" s="183">
        <f t="shared" si="27"/>
        <v>-0.01386612883</v>
      </c>
      <c r="CE12" s="185">
        <f>IF($A12="","",IFERROR(SUMPRODUCT((Raw_Data_Daily!$B$2:$B$9999="Control")*(Raw_Data_Daily!$A$2:$A$9999=$A12)*(Raw_Data_Daily!$C$2:$C$9999=$C$3)*Raw_Data_Daily!$D$2:$D$9999*Raw_Data_Daily!$AD$2:$AD$9999)/SUMIFS(Raw_Data_Daily!$D:$D, Raw_Data_Daily!$B:$B, "Control", Raw_Data_Daily!$A:$A, $A12, Raw_Data_Daily!$C:$C, $C$3),""))</f>
        <v>29.19</v>
      </c>
      <c r="CF12" s="185">
        <f>IF($A12="","",IFERROR(SUMPRODUCT((Raw_Data_Daily!$B$2:$B$9999="Variant")*(Raw_Data_Daily!$A$2:$A$9999=$A12)*(Raw_Data_Daily!$C$2:$C$9999=$C$3)*Raw_Data_Daily!$D$2:$D$9999*Raw_Data_Daily!$AD$2:$AD$9999)/SUMIFS(Raw_Data_Daily!$D:$D, Raw_Data_Daily!$B:$B, "Variant", Raw_Data_Daily!$A:$A, $A12, Raw_Data_Daily!$C:$C, $C$3),""))</f>
        <v>28.56</v>
      </c>
      <c r="CG12" s="183">
        <f t="shared" si="28"/>
        <v>-0.02158273381</v>
      </c>
      <c r="CH12" s="185">
        <f>IF($A12="","",IFERROR(SUMPRODUCT((Raw_Data_Daily!$B$2:$B$9999="Control")*(Raw_Data_Daily!$A$2:$A$9999=$A12)*(Raw_Data_Daily!$C$2:$C$9999=$C$3)*Raw_Data_Daily!$D$2:$D$9999*Raw_Data_Daily!$AE$2:$AE$9999)/SUMIFS(Raw_Data_Daily!$D:$D, Raw_Data_Daily!$B:$B, "Control", Raw_Data_Daily!$A:$A, $A12, Raw_Data_Daily!$C:$C, $C$3),""))</f>
        <v>11</v>
      </c>
      <c r="CI12" s="185">
        <f>IF($A12="","",IFERROR(SUMPRODUCT((Raw_Data_Daily!$B$2:$B$9999="Variant")*(Raw_Data_Daily!$A$2:$A$9999=$A12)*(Raw_Data_Daily!$C$2:$C$9999=$C$3)*Raw_Data_Daily!$D$2:$D$9999*Raw_Data_Daily!$AE$2:$AE$9999)/SUMIFS(Raw_Data_Daily!$D:$D, Raw_Data_Daily!$B:$B, "Variant", Raw_Data_Daily!$A:$A, $A12, Raw_Data_Daily!$C:$C, $C$3),""))</f>
        <v>11</v>
      </c>
      <c r="CJ12" s="183">
        <f t="shared" si="29"/>
        <v>0</v>
      </c>
      <c r="CK12" s="185">
        <f>IF($A12="","",IFERROR(SUMPRODUCT((Raw_Data_Daily!$B$2:$B$9999="Control")*(Raw_Data_Daily!$A$2:$A$9999=$A12)*(Raw_Data_Daily!$C$2:$C$9999=$C$3)*Raw_Data_Daily!$D$2:$D$9999*Raw_Data_Daily!$AF$2:$AF$9999)/SUMIFS(Raw_Data_Daily!$D:$D, Raw_Data_Daily!$B:$B, "Control", Raw_Data_Daily!$A:$A, $A12, Raw_Data_Daily!$C:$C, $C$3),""))</f>
        <v>21</v>
      </c>
      <c r="CL12" s="185">
        <f>IF($A12="","",IFERROR(SUMPRODUCT((Raw_Data_Daily!$B$2:$B$9999="Variant")*(Raw_Data_Daily!$A$2:$A$9999=$A12)*(Raw_Data_Daily!$C$2:$C$9999=$C$3)*Raw_Data_Daily!$D$2:$D$9999*Raw_Data_Daily!$AF$2:$AF$9999)/SUMIFS(Raw_Data_Daily!$D:$D, Raw_Data_Daily!$B:$B, "Variant", Raw_Data_Daily!$A:$A, $A12, Raw_Data_Daily!$C:$C, $C$3),""))</f>
        <v>20</v>
      </c>
      <c r="CM12" s="183">
        <f t="shared" si="30"/>
        <v>-0.04761904762</v>
      </c>
      <c r="CN12" s="185">
        <f>IF($A12="","",IFERROR(SUMPRODUCT((Raw_Data_Daily!$B$2:$B$9999="Control")*(Raw_Data_Daily!$A$2:$A$9999=$A12)*(Raw_Data_Daily!$C$2:$C$9999=$C$3)*Raw_Data_Daily!$D$2:$D$9999*Raw_Data_Daily!$AG$2:$AG$9999)/SUMIFS(Raw_Data_Daily!$D:$D, Raw_Data_Daily!$B:$B, "Control", Raw_Data_Daily!$A:$A, $A12, Raw_Data_Daily!$C:$C, $C$3),""))</f>
        <v>41</v>
      </c>
      <c r="CO12" s="185">
        <f>IF($A12="","",IFERROR(SUMPRODUCT((Raw_Data_Daily!$B$2:$B$9999="Variant")*(Raw_Data_Daily!$A$2:$A$9999=$A12)*(Raw_Data_Daily!$C$2:$C$9999=$C$3)*Raw_Data_Daily!$D$2:$D$9999*Raw_Data_Daily!$AG$2:$AG$9999)/SUMIFS(Raw_Data_Daily!$D:$D, Raw_Data_Daily!$B:$B, "Variant", Raw_Data_Daily!$A:$A, $A12, Raw_Data_Daily!$C:$C, $C$3),""))</f>
        <v>39</v>
      </c>
      <c r="CP12" s="183">
        <f t="shared" si="31"/>
        <v>-0.0487804878</v>
      </c>
      <c r="CQ12" s="185">
        <f>IF($A12="","",IFERROR(SUMPRODUCT((Raw_Data_Daily!$B$2:$B$9999="Control")*(Raw_Data_Daily!$A$2:$A$9999=$A12)*(Raw_Data_Daily!$C$2:$C$9999=$C$3)*Raw_Data_Daily!$D$2:$D$9999*Raw_Data_Daily!$AH$2:$AH$9999)/SUMIFS(Raw_Data_Daily!$D:$D, Raw_Data_Daily!$B:$B, "Control", Raw_Data_Daily!$A:$A, $A12, Raw_Data_Daily!$C:$C, $C$3),""))</f>
        <v>63</v>
      </c>
      <c r="CR12" s="185">
        <f>IF($A12="","",IFERROR(SUMPRODUCT((Raw_Data_Daily!$B$2:$B$9999="Variant")*(Raw_Data_Daily!$A$2:$A$9999=$A12)*(Raw_Data_Daily!$C$2:$C$9999=$C$3)*Raw_Data_Daily!$D$2:$D$9999*Raw_Data_Daily!$AH$2:$AH$9999)/SUMIFS(Raw_Data_Daily!$D:$D, Raw_Data_Daily!$B:$B, "Variant", Raw_Data_Daily!$A:$A, $A12, Raw_Data_Daily!$C:$C, $C$3),""))</f>
        <v>62</v>
      </c>
      <c r="CS12" s="183">
        <f t="shared" si="32"/>
        <v>-0.01587301587</v>
      </c>
      <c r="CT12" s="180">
        <f>IF($A12="","",IFERROR(SUMPRODUCT((Raw_Data_Daily!$B$2:$B$9999="Control")*(Raw_Data_Daily!$A$2:$A$9999=$A12)*(Raw_Data_Daily!$C$2:$C$9999=$C$3)*Raw_Data_Daily!$D$2:$D$9999*Raw_Data_Daily!$AI$2:$AI$9999)/SUMIFS(Raw_Data_Daily!$D:$D, Raw_Data_Daily!$B:$B, "Control", Raw_Data_Daily!$A:$A, $A12, Raw_Data_Daily!$C:$C, $C$3),""))</f>
        <v>40.59</v>
      </c>
      <c r="CU12" s="180">
        <f>IF($A12="","",IFERROR(SUMPRODUCT((Raw_Data_Daily!$B$2:$B$9999="Variant")*(Raw_Data_Daily!$A$2:$A$9999=$A12)*(Raw_Data_Daily!$C$2:$C$9999=$C$3)*Raw_Data_Daily!$D$2:$D$9999*Raw_Data_Daily!$AI$2:$AI$9999)/SUMIFS(Raw_Data_Daily!$D:$D, Raw_Data_Daily!$B:$B, "Variant", Raw_Data_Daily!$A:$A, $A12, Raw_Data_Daily!$C:$C, $C$3),""))</f>
        <v>38.54</v>
      </c>
      <c r="CV12" s="187">
        <f t="shared" si="33"/>
        <v>-0.05050505051</v>
      </c>
      <c r="CW12" s="180">
        <f>IF($A12="","",IFERROR(SUMPRODUCT((Raw_Data_Daily!$B$2:$B$9999="Control")*(Raw_Data_Daily!$A$2:$A$9999=$A12)*(Raw_Data_Daily!$C$2:$C$9999=$C$3)*Raw_Data_Daily!$D$2:$D$9999*Raw_Data_Daily!$AJ$2:$AJ$9999)/SUMIFS(Raw_Data_Daily!$D:$D, Raw_Data_Daily!$B:$B, "Control", Raw_Data_Daily!$A:$A, $A12, Raw_Data_Daily!$C:$C, $C$3),""))</f>
        <v>11.25</v>
      </c>
      <c r="CX12" s="180">
        <f>IF($A12="","",IFERROR(SUMPRODUCT((Raw_Data_Daily!$B$2:$B$9999="Variant")*(Raw_Data_Daily!$A$2:$A$9999=$A12)*(Raw_Data_Daily!$C$2:$C$9999=$C$3)*Raw_Data_Daily!$D$2:$D$9999*Raw_Data_Daily!$AJ$2:$AJ$9999)/SUMIFS(Raw_Data_Daily!$D:$D, Raw_Data_Daily!$B:$B, "Variant", Raw_Data_Daily!$A:$A, $A12, Raw_Data_Daily!$C:$C, $C$3),""))</f>
        <v>11.01</v>
      </c>
      <c r="CY12" s="187">
        <f t="shared" si="34"/>
        <v>-0.02133333333</v>
      </c>
      <c r="CZ12" s="180">
        <f>IF($A12="","",IFERROR(SUMPRODUCT((Raw_Data_Daily!$B$2:$B$9999="Control")*(Raw_Data_Daily!$A$2:$A$9999=$A12)*(Raw_Data_Daily!$C$2:$C$9999=$C$3)*Raw_Data_Daily!$D$2:$D$9999*Raw_Data_Daily!$AK$2:$AK$9999)/SUMIFS(Raw_Data_Daily!$D:$D, Raw_Data_Daily!$B:$B, "Control", Raw_Data_Daily!$A:$A, $A12, Raw_Data_Daily!$C:$C, $C$3),""))</f>
        <v>1.94</v>
      </c>
      <c r="DA12" s="180">
        <f>IF($A12="","",IFERROR(SUMPRODUCT((Raw_Data_Daily!$B$2:$B$9999="Variant")*(Raw_Data_Daily!$A$2:$A$9999=$A12)*(Raw_Data_Daily!$C$2:$C$9999=$C$3)*Raw_Data_Daily!$D$2:$D$9999*Raw_Data_Daily!$AK$2:$AK$9999)/SUMIFS(Raw_Data_Daily!$D:$D, Raw_Data_Daily!$B:$B, "Variant", Raw_Data_Daily!$A:$A, $A12, Raw_Data_Daily!$C:$C, $C$3),""))</f>
        <v>2.46</v>
      </c>
      <c r="DB12" s="183">
        <f t="shared" si="35"/>
        <v>0.2680412371</v>
      </c>
      <c r="DC12" s="186">
        <f>IF($A12="","",IFERROR(SUMPRODUCT((Raw_Data_Daily!$B$2:$B$9999="Control")*(Raw_Data_Daily!$A$2:$A$9999=$A12)*(Raw_Data_Daily!$C$2:$C$9999=$C$3)*Raw_Data_Daily!$D$2:$D$9999*Raw_Data_Daily!$AL$2:$AL$9999)/SUMIFS(Raw_Data_Daily!$D:$D, Raw_Data_Daily!$B:$B, "Control", Raw_Data_Daily!$A:$A, $A12, Raw_Data_Daily!$C:$C, $C$3),""))</f>
        <v>0.1905</v>
      </c>
      <c r="DD12" s="186">
        <f>IF($A12="","",IFERROR(SUMPRODUCT((Raw_Data_Daily!$B$2:$B$9999="Variant")*(Raw_Data_Daily!$A$2:$A$9999=$A12)*(Raw_Data_Daily!$C$2:$C$9999=$C$3)*Raw_Data_Daily!$D$2:$D$9999*Raw_Data_Daily!$AL$2:$AL$9999)/SUMIFS(Raw_Data_Daily!$D:$D, Raw_Data_Daily!$B:$B, "Variant", Raw_Data_Daily!$A:$A, $A12, Raw_Data_Daily!$C:$C, $C$3),""))</f>
        <v>0.1916</v>
      </c>
      <c r="DE12" s="187">
        <f t="shared" si="36"/>
        <v>0.005774278215</v>
      </c>
      <c r="DF12" s="188"/>
      <c r="DG12" s="180">
        <f>IF($A12="","",IFERROR(SUMPRODUCT((Raw_Data_Daily!$B$2:$B$9999="Variant")*(Raw_Data_Daily!$A$2:$A$9999=$A12)*(Raw_Data_Daily!$C$2:$C$9999=$C$3)*Raw_Data_Daily!$D$2:$D$9999*Raw_Data_Daily!$AM$2:$AM$9999)/SUMIFS(Raw_Data_Daily!$D:$D, Raw_Data_Daily!$B:$B, "Variant", Raw_Data_Daily!$A:$A, $A12, Raw_Data_Daily!$C:$C, $C$3),""))</f>
        <v>43.53</v>
      </c>
      <c r="DH12" s="189"/>
      <c r="DI12" s="188"/>
      <c r="DJ12" s="180">
        <f>IF($A12="","",IFERROR(SUMPRODUCT((Raw_Data_Daily!$B$2:$B$9999="Variant")*(Raw_Data_Daily!$A$2:$A$9999=$A12)*(Raw_Data_Daily!$C$2:$C$9999=$C$3)*Raw_Data_Daily!$D$2:$D$9999*Raw_Data_Daily!$AN$2:$AN$9999)/SUMIFS(Raw_Data_Daily!$D:$D, Raw_Data_Daily!$B:$B, "Variant", Raw_Data_Daily!$A:$A, $A12, Raw_Data_Daily!$C:$C, $C$3),""))</f>
        <v>43.53</v>
      </c>
      <c r="DK12" s="189"/>
      <c r="DL12" s="188"/>
      <c r="DM12" s="180">
        <f>IF($A12="","",IFERROR(SUMPRODUCT((Raw_Data_Daily!$B$2:$B$9999="Variant")*(Raw_Data_Daily!$A$2:$A$9999=$A12)*(Raw_Data_Daily!$C$2:$C$9999=$C$3)*Raw_Data_Daily!$D$2:$D$9999*Raw_Data_Daily!$AO$2:$AO$9999)/SUMIFS(Raw_Data_Daily!$D:$D, Raw_Data_Daily!$B:$B, "Variant", Raw_Data_Daily!$A:$A, $A12, Raw_Data_Daily!$C:$C, $C$3),""))</f>
        <v>26.4</v>
      </c>
      <c r="DN12" s="189"/>
      <c r="DO12" s="188"/>
      <c r="DP12" s="180">
        <f>IF($A12="","",IFERROR(SUMPRODUCT((Raw_Data_Daily!$B$2:$B$9999="Variant")*(Raw_Data_Daily!$A$2:$A$9999=$A12)*(Raw_Data_Daily!$C$2:$C$9999=$C$3)*Raw_Data_Daily!$D$2:$D$9999*Raw_Data_Daily!$AP$2:$AP$9999)/SUMIFS(Raw_Data_Daily!$D:$D, Raw_Data_Daily!$B:$B, "Variant", Raw_Data_Daily!$A:$A, $A12, Raw_Data_Daily!$C:$C, $C$3),""))</f>
        <v>16.91</v>
      </c>
      <c r="DQ12" s="189"/>
      <c r="DR12" s="186">
        <f>IF($A12="","",IFERROR(SUMPRODUCT((Raw_Data_Daily!$B$2:$B$9999="Control")*(Raw_Data_Daily!$A$2:$A$9999=$A12)*(Raw_Data_Daily!$C$2:$C$9999=$C$3)*Raw_Data_Daily!$D$2:$D$9999*Raw_Data_Daily!$AQ$2:$AQ$9999)/SUMIFS(Raw_Data_Daily!$D:$D, Raw_Data_Daily!$B:$B, "Control", Raw_Data_Daily!$A:$A, $A12, Raw_Data_Daily!$C:$C, $C$3),""))</f>
        <v>16.0637</v>
      </c>
      <c r="DS12" s="186">
        <f>IF($A12="","",IFERROR(SUMPRODUCT((Raw_Data_Daily!$B$2:$B$9999="Variant")*(Raw_Data_Daily!$A$2:$A$9999=$A12)*(Raw_Data_Daily!$C$2:$C$9999=$C$3)*Raw_Data_Daily!$D$2:$D$9999*Raw_Data_Daily!$AQ$2:$AQ$9999)/SUMIFS(Raw_Data_Daily!$D:$D, Raw_Data_Daily!$B:$B, "Variant", Raw_Data_Daily!$A:$A, $A12, Raw_Data_Daily!$C:$C, $C$3),""))</f>
        <v>11.3966</v>
      </c>
      <c r="DT12" s="190">
        <f t="shared" si="37"/>
        <v>-0.2905370494</v>
      </c>
      <c r="DU12" s="186">
        <f>IF($A12="","",IFERROR(SUMPRODUCT((Raw_Data_Daily!$B$2:$B$9999="Control")*(Raw_Data_Daily!$A$2:$A$9999=$A12)*(Raw_Data_Daily!$C$2:$C$9999=$C$3)*Raw_Data_Daily!$D$2:$D$9999*Raw_Data_Daily!$AR$2:$AR$9999)/SUMIFS(Raw_Data_Daily!$D:$D, Raw_Data_Daily!$B:$B, "Control", Raw_Data_Daily!$A:$A, $A12, Raw_Data_Daily!$C:$C, $C$3),""))</f>
        <v>0.227</v>
      </c>
      <c r="DV12" s="186">
        <f>IF($A12="","",IFERROR(SUMPRODUCT((Raw_Data_Daily!$B$2:$B$9999="Variant")*(Raw_Data_Daily!$A$2:$A$9999=$A12)*(Raw_Data_Daily!$C$2:$C$9999=$C$3)*Raw_Data_Daily!$D$2:$D$9999*Raw_Data_Daily!$AR$2:$AR$9999)/SUMIFS(Raw_Data_Daily!$D:$D, Raw_Data_Daily!$B:$B, "Variant", Raw_Data_Daily!$A:$A, $A12, Raw_Data_Daily!$C:$C, $C$3),""))</f>
        <v>0.2963</v>
      </c>
      <c r="DW12" s="190">
        <f t="shared" si="38"/>
        <v>0.3052863436</v>
      </c>
      <c r="DX12" s="186">
        <f>IF($A12="","",IFERROR(SUMPRODUCT((Raw_Data_Daily!$B$2:$B$9999="Control")*(Raw_Data_Daily!$A$2:$A$9999=$A12)*(Raw_Data_Daily!$C$2:$C$9999=$C$3)*Raw_Data_Daily!$D$2:$D$9999*Raw_Data_Daily!$AS$2:$AS$9999)/SUMIFS(Raw_Data_Daily!$D:$D, Raw_Data_Daily!$B:$B, "Control", Raw_Data_Daily!$A:$A, $A12, Raw_Data_Daily!$C:$C, $C$3),""))</f>
        <v>15.8367</v>
      </c>
      <c r="DY12" s="186">
        <f>IF($A12="","",IFERROR(SUMPRODUCT((Raw_Data_Daily!$B$2:$B$9999="Variant")*(Raw_Data_Daily!$A$2:$A$9999=$A12)*(Raw_Data_Daily!$C$2:$C$9999=$C$3)*Raw_Data_Daily!$D$2:$D$9999*Raw_Data_Daily!$AS$2:$AS$9999)/SUMIFS(Raw_Data_Daily!$D:$D, Raw_Data_Daily!$B:$B, "Variant", Raw_Data_Daily!$A:$A, $A12, Raw_Data_Daily!$C:$C, $C$3),""))</f>
        <v>11.1003</v>
      </c>
      <c r="DZ12" s="190">
        <f t="shared" si="39"/>
        <v>-0.2990774593</v>
      </c>
      <c r="EA12" s="186">
        <f>IF($A12="","",IFERROR(SUMPRODUCT((Raw_Data_Daily!$B$2:$B$9999="Control")*(Raw_Data_Daily!$A$2:$A$9999=$A12)*(Raw_Data_Daily!$C$2:$C$9999=$C$3)*Raw_Data_Daily!$D$2:$D$9999*Raw_Data_Daily!$AT$2:$AT$9999)/SUMIFS(Raw_Data_Daily!$D:$D, Raw_Data_Daily!$B:$B, "Control", Raw_Data_Daily!$A:$A, $A12, Raw_Data_Daily!$C:$C, $C$3),""))</f>
        <v>12.7941</v>
      </c>
      <c r="EB12" s="186">
        <f>IF($A12="","",IFERROR(SUMPRODUCT((Raw_Data_Daily!$B$2:$B$9999="Variant")*(Raw_Data_Daily!$A$2:$A$9999=$A12)*(Raw_Data_Daily!$C$2:$C$9999=$C$3)*Raw_Data_Daily!$D$2:$D$9999*Raw_Data_Daily!$AT$2:$AT$9999)/SUMIFS(Raw_Data_Daily!$D:$D, Raw_Data_Daily!$B:$B, "Variant", Raw_Data_Daily!$A:$A, $A12, Raw_Data_Daily!$C:$C, $C$3),""))</f>
        <v>10.8855</v>
      </c>
      <c r="EC12" s="190">
        <f t="shared" si="40"/>
        <v>-0.1491781368</v>
      </c>
      <c r="ED12" s="186">
        <f>IF($A12="","",IFERROR(SUMPRODUCT((Raw_Data_Daily!$B$2:$B$9999="Control")*(Raw_Data_Daily!$A$2:$A$9999=$A12)*(Raw_Data_Daily!$C$2:$C$9999=$C$3)*Raw_Data_Daily!$D$2:$D$9999*(Raw_Data_Daily!$AQ$2:$AQ$9999-Raw_Data_Daily!$AT$2:$AT$9999))/SUMIFS(Raw_Data_Daily!$D:$D, Raw_Data_Daily!$B:$B, "Control", Raw_Data_Daily!$A:$A, $A12, Raw_Data_Daily!$C:$C, $C$3),""))</f>
        <v>3.2696</v>
      </c>
      <c r="EE12" s="186">
        <f>IF($A12="","",IFERROR(SUMPRODUCT((Raw_Data_Daily!$B$2:$B$9999="Variant")*(Raw_Data_Daily!$A$2:$A$9999=$A12)*(Raw_Data_Daily!$C$2:$C$9999=$C$3)*Raw_Data_Daily!$D$2:$D$9999*(Raw_Data_Daily!$AQ$2:$AQ$9999-Raw_Data_Daily!$AT$2:$AT$9999))/SUMIFS(Raw_Data_Daily!$D:$D, Raw_Data_Daily!$B:$B, "Variant", Raw_Data_Daily!$A:$A, $A12, Raw_Data_Daily!$C:$C, $C$3),""))</f>
        <v>0.5111</v>
      </c>
      <c r="EF12" s="190">
        <f t="shared" si="41"/>
        <v>-0.8436811842</v>
      </c>
      <c r="EG12" s="186">
        <f>IF($A12="","",IFERROR(SUMPRODUCT((Raw_Data_Daily!$B$2:$B$9999="Control")*(Raw_Data_Daily!$A$2:$A$9999=$A12)*(Raw_Data_Daily!$C$2:$C$9999=$C$3)*Raw_Data_Daily!$D$2:$D$9999*Raw_Data_Daily!$AU$2:$AU$9999)/SUMIFS(Raw_Data_Daily!$D:$D, Raw_Data_Daily!$B:$B, "Control", Raw_Data_Daily!$A:$A, $A12, Raw_Data_Daily!$C:$C, $C$3),""))</f>
        <v>0.1947</v>
      </c>
      <c r="EH12" s="186">
        <f>IF($A12="","",IFERROR(SUMPRODUCT((Raw_Data_Daily!$B$2:$B$9999="Variant")*(Raw_Data_Daily!$A$2:$A$9999=$A12)*(Raw_Data_Daily!$C$2:$C$9999=$C$3)*Raw_Data_Daily!$D$2:$D$9999*Raw_Data_Daily!$AU$2:$AU$9999)/SUMIFS(Raw_Data_Daily!$D:$D, Raw_Data_Daily!$B:$B, "Variant", Raw_Data_Daily!$A:$A, $A12, Raw_Data_Daily!$C:$C, $C$3),""))</f>
        <v>0.1547</v>
      </c>
      <c r="EI12" s="190">
        <f t="shared" si="42"/>
        <v>-0.2054442732</v>
      </c>
    </row>
    <row r="13" ht="15.75" customHeight="1">
      <c r="A13" s="177">
        <v>46236.0</v>
      </c>
      <c r="B13" s="178">
        <f>IF($A13="","",SUMIFS(Raw_Data_Daily!$D:$D, Raw_Data_Daily!$B:$B, "Control", Raw_Data_Daily!$A:$A, $A13, Raw_Data_Daily!$C:$C, $C$3))</f>
        <v>2998</v>
      </c>
      <c r="C13" s="178">
        <f>IF($A13="","",SUMIFS(Raw_Data_Daily!$D:$D, Raw_Data_Daily!$B:$B, "Variant", Raw_Data_Daily!$A:$A, $A13, Raw_Data_Daily!$C:$C, $C$3))</f>
        <v>2765</v>
      </c>
      <c r="D13" s="179">
        <f t="shared" si="1"/>
        <v>-0.07771847899</v>
      </c>
      <c r="E13" s="180">
        <f>IF($A13="","",IFERROR(SUMPRODUCT((Raw_Data_Daily!$B$2:$B$9999="Control")*(Raw_Data_Daily!$A$2:$A$9999=$A13)*(Raw_Data_Daily!$C$2:$C$9999=$C$3)*Raw_Data_Daily!$D$2:$D$9999*Raw_Data_Daily!$E$2:$E$9999)/SUMIFS(Raw_Data_Daily!$D:$D, Raw_Data_Daily!$B:$B, "Control", Raw_Data_Daily!$A:$A, $A13, Raw_Data_Daily!$C:$C, $C$3),""))</f>
        <v>11.49</v>
      </c>
      <c r="F13" s="180">
        <f>IF($A13="","",IFERROR(SUMPRODUCT((Raw_Data_Daily!$B$2:$B$9999="Variant")*(Raw_Data_Daily!$A$2:$A$9999=$A13)*(Raw_Data_Daily!$C$2:$C$9999=$C$3)*Raw_Data_Daily!$D$2:$D$9999*Raw_Data_Daily!$E$2:$E$9999)/SUMIFS(Raw_Data_Daily!$D:$D, Raw_Data_Daily!$B:$B, "Variant", Raw_Data_Daily!$A:$A, $A13, Raw_Data_Daily!$C:$C, $C$3),""))</f>
        <v>10.69</v>
      </c>
      <c r="G13" s="179">
        <f t="shared" si="2"/>
        <v>-0.06962576153</v>
      </c>
      <c r="H13" s="182">
        <f>IF($A13="","",SUMIFS(Raw_Data_Daily!$F:$F, Raw_Data_Daily!$B:$B, "Control", Raw_Data_Daily!$A:$A, $A13, Raw_Data_Daily!$C:$C, $C$3))</f>
        <v>561.9</v>
      </c>
      <c r="I13" s="182">
        <f>IF($A13="","",SUMIFS(Raw_Data_Daily!$F:$F, Raw_Data_Daily!$B:$B, "Variant", Raw_Data_Daily!$A:$A, $A13, Raw_Data_Daily!$C:$C, $C$3))</f>
        <v>713.6</v>
      </c>
      <c r="J13" s="183">
        <f t="shared" si="3"/>
        <v>0.2699768642</v>
      </c>
      <c r="K13" s="184">
        <f>IF($A13="","",IFERROR(SUMIFS(Raw_Data_Daily!$F:$F, Raw_Data_Daily!$B:$B, "Control", Raw_Data_Daily!$A:$A, $A13, Raw_Data_Daily!$C:$C, $C$3)/SUMIFS(Raw_Data_Daily!$D:$D, Raw_Data_Daily!$B:$B, "Control", Raw_Data_Daily!$A:$A, $A13, Raw_Data_Daily!$C:$C, $C$3),""))</f>
        <v>0.18742495</v>
      </c>
      <c r="L13" s="184">
        <f>IF($A13="","",IFERROR(SUMIFS(Raw_Data_Daily!$F:$F, Raw_Data_Daily!$B:$B, "Variant", Raw_Data_Daily!$A:$A, $A13, Raw_Data_Daily!$C:$C, $C$3)/SUMIFS(Raw_Data_Daily!$D:$D, Raw_Data_Daily!$B:$B, "Variant", Raw_Data_Daily!$A:$A, $A13, Raw_Data_Daily!$C:$C, $C$3),""))</f>
        <v>0.2580831826</v>
      </c>
      <c r="M13" s="183">
        <f t="shared" si="4"/>
        <v>0.3769948061</v>
      </c>
      <c r="N13" s="180">
        <f>IF($A13="","",IFERROR(SUMPRODUCT((Raw_Data_Daily!$B$2:$B$9999="Control")*(Raw_Data_Daily!$A$2:$A$9999=$A13)*(Raw_Data_Daily!$C$2:$C$9999=$C$3)*Raw_Data_Daily!$D$2:$D$9999*Raw_Data_Daily!$H$2:$H$9999/100)/SUMIFS(Raw_Data_Daily!$D:$D, Raw_Data_Daily!$B:$B, "Control", Raw_Data_Daily!$A:$A, $A13, Raw_Data_Daily!$C:$C, $C$3)*100,""))</f>
        <v>3.47</v>
      </c>
      <c r="O13" s="180">
        <f>IF($A13="","",IFERROR(SUMPRODUCT((Raw_Data_Daily!$B$2:$B$9999="Variant")*(Raw_Data_Daily!$A$2:$A$9999=$A13)*(Raw_Data_Daily!$C$2:$C$9999=$C$3)*Raw_Data_Daily!$D$2:$D$9999*Raw_Data_Daily!$H$2:$H$9999/100)/SUMIFS(Raw_Data_Daily!$D:$D, Raw_Data_Daily!$B:$B, "Variant", Raw_Data_Daily!$A:$A, $A13, Raw_Data_Daily!$C:$C, $C$3)*100,""))</f>
        <v>3.98</v>
      </c>
      <c r="P13" s="183">
        <f t="shared" si="5"/>
        <v>0.1469740634</v>
      </c>
      <c r="Q13" s="184">
        <f>IF($A13="","",IFERROR(SUMIFS(Raw_Data_Daily!$F:$F, Raw_Data_Daily!$B:$B, "Control", Raw_Data_Daily!$A:$A, $A13, Raw_Data_Daily!$C:$C, $C$3)/SUMPRODUCT((Raw_Data_Daily!$B$2:$B$9999="Control")*(Raw_Data_Daily!$A$2:$A$9999=$A13)*(Raw_Data_Daily!$C$2:$C$9999=$C$3)*Raw_Data_Daily!$D$2:$D$9999*Raw_Data_Daily!$H$2:$H$9999/100),""))</f>
        <v>5.401295388</v>
      </c>
      <c r="R13" s="184">
        <f>IF($A13="","",IFERROR(SUMIFS(Raw_Data_Daily!$F:$F, Raw_Data_Daily!$B:$B, "Variant", Raw_Data_Daily!$A:$A, $A13, Raw_Data_Daily!$C:$C, $C$3)/SUMPRODUCT((Raw_Data_Daily!$B$2:$B$9999="Variant")*(Raw_Data_Daily!$A$2:$A$9999=$A13)*(Raw_Data_Daily!$C$2:$C$9999=$C$3)*Raw_Data_Daily!$D$2:$D$9999*Raw_Data_Daily!$H$2:$H$9999/100),""))</f>
        <v>6.484502076</v>
      </c>
      <c r="S13" s="183">
        <f t="shared" si="6"/>
        <v>0.2005457229</v>
      </c>
      <c r="T13" s="185">
        <f>IF($A13="","",IFERROR(SUMPRODUCT((Raw_Data_Daily!$B$2:$B$9999="Control")*(Raw_Data_Daily!$A$2:$A$9999=$A13)*(Raw_Data_Daily!$C$2:$C$9999=$C$3)*Raw_Data_Daily!$D$2:$D$9999*Raw_Data_Daily!$J$2:$J$9999)/SUMIFS(Raw_Data_Daily!$D:$D, Raw_Data_Daily!$B:$B, "Control", Raw_Data_Daily!$A:$A, $A13, Raw_Data_Daily!$C:$C, $C$3),""))</f>
        <v>107.09</v>
      </c>
      <c r="U13" s="185">
        <f>IF($A13="","",IFERROR(SUMPRODUCT((Raw_Data_Daily!$B$2:$B$9999="Variant")*(Raw_Data_Daily!$A$2:$A$9999=$A13)*(Raw_Data_Daily!$C$2:$C$9999=$C$3)*Raw_Data_Daily!$D$2:$D$9999*Raw_Data_Daily!$J$2:$J$9999)/SUMIFS(Raw_Data_Daily!$D:$D, Raw_Data_Daily!$B:$B, "Variant", Raw_Data_Daily!$A:$A, $A13, Raw_Data_Daily!$C:$C, $C$3),""))</f>
        <v>110.73</v>
      </c>
      <c r="V13" s="183">
        <f t="shared" si="7"/>
        <v>0.03399010178</v>
      </c>
      <c r="W13" s="185">
        <f>IF($A13="","",IFERROR(SUMPRODUCT((Raw_Data_Daily!$B$2:$B$9999="Control")*(Raw_Data_Daily!$A$2:$A$9999=$A13)*(Raw_Data_Daily!$C$2:$C$9999=$C$3)*Raw_Data_Daily!$D$2:$D$9999*Raw_Data_Daily!$K$2:$K$9999)/SUMIFS(Raw_Data_Daily!$D:$D, Raw_Data_Daily!$B:$B, "Control", Raw_Data_Daily!$A:$A, $A13, Raw_Data_Daily!$C:$C, $C$3),""))</f>
        <v>67.92</v>
      </c>
      <c r="X13" s="185">
        <f>IF($A13="","",IFERROR(SUMPRODUCT((Raw_Data_Daily!$B$2:$B$9999="Variant")*(Raw_Data_Daily!$A$2:$A$9999=$A13)*(Raw_Data_Daily!$C$2:$C$9999=$C$3)*Raw_Data_Daily!$D$2:$D$9999*Raw_Data_Daily!$K$2:$K$9999)/SUMIFS(Raw_Data_Daily!$D:$D, Raw_Data_Daily!$B:$B, "Variant", Raw_Data_Daily!$A:$A, $A13, Raw_Data_Daily!$C:$C, $C$3),""))</f>
        <v>70.27</v>
      </c>
      <c r="Y13" s="183">
        <f t="shared" si="8"/>
        <v>0.03459952886</v>
      </c>
      <c r="Z13" s="185">
        <f>IF($A13="","",IFERROR(SUMPRODUCT((Raw_Data_Daily!$B$2:$B$9999="Control")*(Raw_Data_Daily!$A$2:$A$9999=$A13)*(Raw_Data_Daily!$C$2:$C$9999=$C$3)*Raw_Data_Daily!$D$2:$D$9999*Raw_Data_Daily!$L$2:$L$9999)/SUMIFS(Raw_Data_Daily!$D:$D, Raw_Data_Daily!$B:$B, "Control", Raw_Data_Daily!$A:$A, $A13, Raw_Data_Daily!$C:$C, $C$3),""))</f>
        <v>51.17</v>
      </c>
      <c r="AA13" s="185">
        <f>IF($A13="","",IFERROR(SUMPRODUCT((Raw_Data_Daily!$B$2:$B$9999="Variant")*(Raw_Data_Daily!$A$2:$A$9999=$A13)*(Raw_Data_Daily!$C$2:$C$9999=$C$3)*Raw_Data_Daily!$D$2:$D$9999*Raw_Data_Daily!$L$2:$L$9999)/SUMIFS(Raw_Data_Daily!$D:$D, Raw_Data_Daily!$B:$B, "Variant", Raw_Data_Daily!$A:$A, $A13, Raw_Data_Daily!$C:$C, $C$3),""))</f>
        <v>52.1</v>
      </c>
      <c r="AB13" s="183">
        <f t="shared" si="9"/>
        <v>0.01817471175</v>
      </c>
      <c r="AC13" s="186">
        <f>IF($A13="","",IFERROR(SUMPRODUCT((Raw_Data_Daily!$B$2:$B$9999="Control")*(Raw_Data_Daily!$A$2:$A$9999=$A13)*(Raw_Data_Daily!$C$2:$C$9999=$C$3)*Raw_Data_Daily!$D$2:$D$9999*Raw_Data_Daily!$M$2:$M$9999)/SUMIFS(Raw_Data_Daily!$D:$D, Raw_Data_Daily!$B:$B, "Control", Raw_Data_Daily!$A:$A, $A13, Raw_Data_Daily!$C:$C, $C$3),""))</f>
        <v>0.7534</v>
      </c>
      <c r="AD13" s="186">
        <f>IF($A13="","",IFERROR(SUMPRODUCT((Raw_Data_Daily!$B$2:$B$9999="Variant")*(Raw_Data_Daily!$A$2:$A$9999=$A13)*(Raw_Data_Daily!$C$2:$C$9999=$C$3)*Raw_Data_Daily!$D$2:$D$9999*Raw_Data_Daily!$M$2:$M$9999)/SUMIFS(Raw_Data_Daily!$D:$D, Raw_Data_Daily!$B:$B, "Variant", Raw_Data_Daily!$A:$A, $A13, Raw_Data_Daily!$C:$C, $C$3),""))</f>
        <v>0.7413</v>
      </c>
      <c r="AE13" s="187">
        <f t="shared" si="10"/>
        <v>-0.01606052562</v>
      </c>
      <c r="AF13" s="186">
        <f>IF($A13="","",IFERROR(SUMPRODUCT((Raw_Data_Daily!$B$2:$B$9999="Control")*(Raw_Data_Daily!$A$2:$A$9999=$A13)*(Raw_Data_Daily!$C$2:$C$9999=$C$3)*Raw_Data_Daily!$D$2:$D$9999*Raw_Data_Daily!$N$2:$N$9999)/SUMIFS(Raw_Data_Daily!$D:$D, Raw_Data_Daily!$B:$B, "Control", Raw_Data_Daily!$A:$A, $A13, Raw_Data_Daily!$C:$C, $C$3),""))</f>
        <v>0.3526</v>
      </c>
      <c r="AG13" s="186">
        <f>IF($A13="","",IFERROR(SUMPRODUCT((Raw_Data_Daily!$B$2:$B$9999="Variant")*(Raw_Data_Daily!$A$2:$A$9999=$A13)*(Raw_Data_Daily!$C$2:$C$9999=$C$3)*Raw_Data_Daily!$D$2:$D$9999*Raw_Data_Daily!$N$2:$N$9999)/SUMIFS(Raw_Data_Daily!$D:$D, Raw_Data_Daily!$B:$B, "Variant", Raw_Data_Daily!$A:$A, $A13, Raw_Data_Daily!$C:$C, $C$3),""))</f>
        <v>0.362</v>
      </c>
      <c r="AH13" s="187">
        <f t="shared" si="11"/>
        <v>0.0266591038</v>
      </c>
      <c r="AI13" s="186">
        <f>IF($A13="","",IFERROR(SUMPRODUCT((Raw_Data_Daily!$B$2:$B$9999="Control")*(Raw_Data_Daily!$A$2:$A$9999=$A13)*(Raw_Data_Daily!$C$2:$C$9999=$C$3)*Raw_Data_Daily!$D$2:$D$9999*Raw_Data_Daily!$O$2:$O$9999)/SUMIFS(Raw_Data_Daily!$D:$D, Raw_Data_Daily!$B:$B, "Control", Raw_Data_Daily!$A:$A, $A13, Raw_Data_Daily!$C:$C, $C$3),""))</f>
        <v>0.2328</v>
      </c>
      <c r="AJ13" s="186">
        <f>IF($A13="","",IFERROR(SUMPRODUCT((Raw_Data_Daily!$B$2:$B$9999="Variant")*(Raw_Data_Daily!$A$2:$A$9999=$A13)*(Raw_Data_Daily!$C$2:$C$9999=$C$3)*Raw_Data_Daily!$D$2:$D$9999*Raw_Data_Daily!$O$2:$O$9999)/SUMIFS(Raw_Data_Daily!$D:$D, Raw_Data_Daily!$B:$B, "Variant", Raw_Data_Daily!$A:$A, $A13, Raw_Data_Daily!$C:$C, $C$3),""))</f>
        <v>0.2371</v>
      </c>
      <c r="AK13" s="183">
        <f t="shared" si="12"/>
        <v>0.01847079038</v>
      </c>
      <c r="AL13" s="185">
        <f>IF($A13="","",IFERROR(SUMPRODUCT((Raw_Data_Daily!$B$2:$B$9999="Control")*(Raw_Data_Daily!$A$2:$A$9999=$A13)*(Raw_Data_Daily!$C$2:$C$9999=$C$3)*Raw_Data_Daily!$D$2:$D$9999*Raw_Data_Daily!$P$2:$P$9999)/SUMIFS(Raw_Data_Daily!$D:$D, Raw_Data_Daily!$B:$B, "Control", Raw_Data_Daily!$A:$A, $A13, Raw_Data_Daily!$C:$C, $C$3),""))</f>
        <v>1.3273</v>
      </c>
      <c r="AM13" s="185">
        <f>IF($A13="","",IFERROR(SUMPRODUCT((Raw_Data_Daily!$B$2:$B$9999="Variant")*(Raw_Data_Daily!$A$2:$A$9999=$A13)*(Raw_Data_Daily!$C$2:$C$9999=$C$3)*Raw_Data_Daily!$D$2:$D$9999*Raw_Data_Daily!$P$2:$P$9999)/SUMIFS(Raw_Data_Daily!$D:$D, Raw_Data_Daily!$B:$B, "Variant", Raw_Data_Daily!$A:$A, $A13, Raw_Data_Daily!$C:$C, $C$3),""))</f>
        <v>1.3489</v>
      </c>
      <c r="AN13" s="183">
        <f t="shared" si="13"/>
        <v>0.01627363821</v>
      </c>
      <c r="AO13" s="185">
        <f>IF($A13="","",IFERROR(SUMPRODUCT((Raw_Data_Daily!$B$2:$B$9999="Control")*(Raw_Data_Daily!$A$2:$A$9999=$A13)*(Raw_Data_Daily!$C$2:$C$9999=$C$3)*Raw_Data_Daily!$D$2:$D$9999*Raw_Data_Daily!$Q$2:$Q$9999)/SUMIFS(Raw_Data_Daily!$D:$D, Raw_Data_Daily!$B:$B, "Control", Raw_Data_Daily!$A:$A, $A13, Raw_Data_Daily!$C:$C, $C$3),""))</f>
        <v>272.59</v>
      </c>
      <c r="AP13" s="185">
        <f>IF($A13="","",IFERROR(SUMPRODUCT((Raw_Data_Daily!$B$2:$B$9999="Variant")*(Raw_Data_Daily!$A$2:$A$9999=$A13)*(Raw_Data_Daily!$C$2:$C$9999=$C$3)*Raw_Data_Daily!$D$2:$D$9999*Raw_Data_Daily!$Q$2:$Q$9999)/SUMIFS(Raw_Data_Daily!$D:$D, Raw_Data_Daily!$B:$B, "Variant", Raw_Data_Daily!$A:$A, $A13, Raw_Data_Daily!$C:$C, $C$3),""))</f>
        <v>260.18</v>
      </c>
      <c r="AQ13" s="179">
        <f t="shared" si="14"/>
        <v>-0.04552624821</v>
      </c>
      <c r="AR13" s="185">
        <f>IF($A13="","",IFERROR(SUMPRODUCT((Raw_Data_Daily!$B$2:$B$9999="Control")*(Raw_Data_Daily!$A$2:$A$9999=$A13)*(Raw_Data_Daily!$C$2:$C$9999=$C$3)*Raw_Data_Daily!$D$2:$D$9999*Raw_Data_Daily!$R$2:$R$9999)/SUMIFS(Raw_Data_Daily!$D:$D, Raw_Data_Daily!$B:$B, "Control", Raw_Data_Daily!$A:$A, $A13, Raw_Data_Daily!$C:$C, $C$3),""))</f>
        <v>166.91</v>
      </c>
      <c r="AS13" s="185">
        <f>IF($A13="","",IFERROR(SUMPRODUCT((Raw_Data_Daily!$B$2:$B$9999="Variant")*(Raw_Data_Daily!$A$2:$A$9999=$A13)*(Raw_Data_Daily!$C$2:$C$9999=$C$3)*Raw_Data_Daily!$D$2:$D$9999*Raw_Data_Daily!$R$2:$R$9999)/SUMIFS(Raw_Data_Daily!$D:$D, Raw_Data_Daily!$B:$B, "Variant", Raw_Data_Daily!$A:$A, $A13, Raw_Data_Daily!$C:$C, $C$3),""))</f>
        <v>229.32</v>
      </c>
      <c r="AT13" s="179">
        <f t="shared" si="15"/>
        <v>0.3739140854</v>
      </c>
      <c r="AU13" s="185">
        <f>IF($A13="","",IFERROR(SUMPRODUCT((Raw_Data_Daily!$B$2:$B$9999="Control")*(Raw_Data_Daily!$A$2:$A$9999=$A13)*(Raw_Data_Daily!$C$2:$C$9999=$C$3)*Raw_Data_Daily!$D$2:$D$9999*Raw_Data_Daily!$S$2:$S$9999)/SUMIFS(Raw_Data_Daily!$D:$D, Raw_Data_Daily!$B:$B, "Control", Raw_Data_Daily!$A:$A, $A13, Raw_Data_Daily!$C:$C, $C$3),""))</f>
        <v>105.68</v>
      </c>
      <c r="AV13" s="185">
        <f>IF($A13="","",IFERROR(SUMPRODUCT((Raw_Data_Daily!$B$2:$B$9999="Variant")*(Raw_Data_Daily!$A$2:$A$9999=$A13)*(Raw_Data_Daily!$C$2:$C$9999=$C$3)*Raw_Data_Daily!$D$2:$D$9999*Raw_Data_Daily!$S$2:$S$9999)/SUMIFS(Raw_Data_Daily!$D:$D, Raw_Data_Daily!$B:$B, "Variant", Raw_Data_Daily!$A:$A, $A13, Raw_Data_Daily!$C:$C, $C$3),""))</f>
        <v>30.86</v>
      </c>
      <c r="AW13" s="179">
        <f t="shared" si="16"/>
        <v>-0.707986374</v>
      </c>
      <c r="AX13" s="185">
        <f>IF($A13="","",IFERROR(SUMPRODUCT((Raw_Data_Daily!$B$2:$B$9999="Control")*(Raw_Data_Daily!$A$2:$A$9999=$A13)*(Raw_Data_Daily!$C$2:$C$9999=$C$3)*Raw_Data_Daily!$D$2:$D$9999*Raw_Data_Daily!$T$2:$T$9999)/SUMIFS(Raw_Data_Daily!$D:$D, Raw_Data_Daily!$B:$B, "Control", Raw_Data_Daily!$A:$A, $A13, Raw_Data_Daily!$C:$C, $C$3),""))</f>
        <v>16.73</v>
      </c>
      <c r="AY13" s="185">
        <f>IF($A13="","",IFERROR(SUMPRODUCT((Raw_Data_Daily!$B$2:$B$9999="Variant")*(Raw_Data_Daily!$A$2:$A$9999=$A13)*(Raw_Data_Daily!$C$2:$C$9999=$C$3)*Raw_Data_Daily!$D$2:$D$9999*Raw_Data_Daily!$T$2:$T$9999)/SUMIFS(Raw_Data_Daily!$D:$D, Raw_Data_Daily!$B:$B, "Variant", Raw_Data_Daily!$A:$A, $A13, Raw_Data_Daily!$C:$C, $C$3),""))</f>
        <v>24.7</v>
      </c>
      <c r="AZ13" s="183">
        <f t="shared" si="17"/>
        <v>0.4763897191</v>
      </c>
      <c r="BA13" s="185">
        <f>IF($A13="","",IFERROR(SUMPRODUCT((Raw_Data_Daily!$B$2:$B$9999="Control")*(Raw_Data_Daily!$A$2:$A$9999=$A13)*(Raw_Data_Daily!$C$2:$C$9999=$C$3)*Raw_Data_Daily!$D$2:$D$9999*Raw_Data_Daily!$U$2:$U$9999)/SUMIFS(Raw_Data_Daily!$D:$D, Raw_Data_Daily!$B:$B, "Control", Raw_Data_Daily!$A:$A, $A13, Raw_Data_Daily!$C:$C, $C$3),""))</f>
        <v>255.86</v>
      </c>
      <c r="BB13" s="185">
        <f>IF($A13="","",IFERROR(SUMPRODUCT((Raw_Data_Daily!$B$2:$B$9999="Variant")*(Raw_Data_Daily!$A$2:$A$9999=$A13)*(Raw_Data_Daily!$C$2:$C$9999=$C$3)*Raw_Data_Daily!$D$2:$D$9999*Raw_Data_Daily!$U$2:$U$9999)/SUMIFS(Raw_Data_Daily!$D:$D, Raw_Data_Daily!$B:$B, "Variant", Raw_Data_Daily!$A:$A, $A13, Raw_Data_Daily!$C:$C, $C$3),""))</f>
        <v>235.48</v>
      </c>
      <c r="BC13" s="179">
        <f t="shared" si="18"/>
        <v>-0.0796529352</v>
      </c>
      <c r="BD13" s="185">
        <f>IF($A13="","",IFERROR(SUMPRODUCT((Raw_Data_Daily!$B$2:$B$9999="Control")*(Raw_Data_Daily!$A$2:$A$9999=$A13)*(Raw_Data_Daily!$C$2:$C$9999=$C$3)*Raw_Data_Daily!$D$2:$D$9999*Raw_Data_Daily!$V$2:$V$9999)/SUMIFS(Raw_Data_Daily!$D:$D, Raw_Data_Daily!$B:$B, "Control", Raw_Data_Daily!$A:$A, $A13, Raw_Data_Daily!$C:$C, $C$3),""))</f>
        <v>279.6</v>
      </c>
      <c r="BE13" s="185">
        <f>IF($A13="","",IFERROR(SUMPRODUCT((Raw_Data_Daily!$B$2:$B$9999="Variant")*(Raw_Data_Daily!$A$2:$A$9999=$A13)*(Raw_Data_Daily!$C$2:$C$9999=$C$3)*Raw_Data_Daily!$D$2:$D$9999*Raw_Data_Daily!$V$2:$V$9999)/SUMIFS(Raw_Data_Daily!$D:$D, Raw_Data_Daily!$B:$B, "Variant", Raw_Data_Daily!$A:$A, $A13, Raw_Data_Daily!$C:$C, $C$3),""))</f>
        <v>261.93</v>
      </c>
      <c r="BF13" s="179">
        <f t="shared" si="19"/>
        <v>-0.06319742489</v>
      </c>
      <c r="BG13" s="185">
        <f>IF($A13="","",IFERROR(SUMPRODUCT((Raw_Data_Daily!$B$2:$B$9999="Control")*(Raw_Data_Daily!$A$2:$A$9999=$A13)*(Raw_Data_Daily!$C$2:$C$9999=$C$3)*Raw_Data_Daily!$D$2:$D$9999*(Raw_Data_Daily!$Q$2:$Q$9999-Raw_Data_Daily!$V$2:$V$9999))/SUMIFS(Raw_Data_Daily!$D:$D, Raw_Data_Daily!$B:$B, "Control", Raw_Data_Daily!$A:$A, $A13, Raw_Data_Daily!$C:$C, $C$3),""))</f>
        <v>-7.01</v>
      </c>
      <c r="BH13" s="185">
        <f>IF($A13="","",IFERROR(SUMPRODUCT((Raw_Data_Daily!$B$2:$B$9999="Variant")*(Raw_Data_Daily!$A$2:$A$9999=$A13)*(Raw_Data_Daily!$C$2:$C$9999=$C$3)*Raw_Data_Daily!$D$2:$D$9999*(Raw_Data_Daily!$Q$2:$Q$9999-Raw_Data_Daily!$V$2:$V$9999))/SUMIFS(Raw_Data_Daily!$D:$D, Raw_Data_Daily!$B:$B, "Variant", Raw_Data_Daily!$A:$A, $A13, Raw_Data_Daily!$C:$C, $C$3),""))</f>
        <v>-1.75</v>
      </c>
      <c r="BI13" s="179">
        <f t="shared" si="20"/>
        <v>0.7503566334</v>
      </c>
      <c r="BJ13" s="185">
        <f>IF($A13="","",IFERROR(SUMPRODUCT((Raw_Data_Daily!$B$2:$B$9999="Control")*(Raw_Data_Daily!$A$2:$A$9999=$A13)*(Raw_Data_Daily!$C$2:$C$9999=$C$3)*Raw_Data_Daily!$D$2:$D$9999*Raw_Data_Daily!$W$2:$W$9999)/SUMIFS(Raw_Data_Daily!$D:$D, Raw_Data_Daily!$B:$B, "Control", Raw_Data_Daily!$A:$A, $A13, Raw_Data_Daily!$C:$C, $C$3),""))</f>
        <v>4.1166</v>
      </c>
      <c r="BK13" s="185">
        <f>IF($A13="","",IFERROR(SUMPRODUCT((Raw_Data_Daily!$B$2:$B$9999="Variant")*(Raw_Data_Daily!$A$2:$A$9999=$A13)*(Raw_Data_Daily!$C$2:$C$9999=$C$3)*Raw_Data_Daily!$D$2:$D$9999*Raw_Data_Daily!$W$2:$W$9999)/SUMIFS(Raw_Data_Daily!$D:$D, Raw_Data_Daily!$B:$B, "Variant", Raw_Data_Daily!$A:$A, $A13, Raw_Data_Daily!$C:$C, $C$3),""))</f>
        <v>3.7273</v>
      </c>
      <c r="BL13" s="179">
        <f t="shared" si="21"/>
        <v>-0.09456833309</v>
      </c>
      <c r="BM13" s="186">
        <f>IF($A13="","",IFERROR(SUMPRODUCT((Raw_Data_Daily!$B$2:$B$9999="Control")*(Raw_Data_Daily!$A$2:$A$9999=$A13)*(Raw_Data_Daily!$C$2:$C$9999=$C$3)*Raw_Data_Daily!$D$2:$D$9999*Raw_Data_Daily!$X$2:$X$9999)/SUMIFS(Raw_Data_Daily!$D:$D, Raw_Data_Daily!$B:$B, "Control", Raw_Data_Daily!$A:$A, $A13, Raw_Data_Daily!$C:$C, $C$3),""))</f>
        <v>6.14</v>
      </c>
      <c r="BN13" s="186">
        <f>IF($A13="","",IFERROR(SUMPRODUCT((Raw_Data_Daily!$B$2:$B$9999="Variant")*(Raw_Data_Daily!$A$2:$A$9999=$A13)*(Raw_Data_Daily!$C$2:$C$9999=$C$3)*Raw_Data_Daily!$D$2:$D$9999*Raw_Data_Daily!$X$2:$X$9999)/SUMIFS(Raw_Data_Daily!$D:$D, Raw_Data_Daily!$B:$B, "Variant", Raw_Data_Daily!$A:$A, $A13, Raw_Data_Daily!$C:$C, $C$3),""))</f>
        <v>9.49</v>
      </c>
      <c r="BO13" s="183">
        <f t="shared" si="22"/>
        <v>0.5456026059</v>
      </c>
      <c r="BP13" s="178">
        <f>IF($A13="","",IFERROR(SUMPRODUCT((Raw_Data_Daily!$B$2:$B$9999="Control")*(Raw_Data_Daily!$A$2:$A$9999=$A13)*(Raw_Data_Daily!$C$2:$C$9999=$C$3)*Raw_Data_Daily!$D$2:$D$9999*Raw_Data_Daily!$Y$2:$Y$9999)/SUMIFS(Raw_Data_Daily!$D:$D, Raw_Data_Daily!$B:$B, "Control", Raw_Data_Daily!$A:$A, $A13, Raw_Data_Daily!$C:$C, $C$3),""))</f>
        <v>342</v>
      </c>
      <c r="BQ13" s="178">
        <f>IF($A13="","",IFERROR(SUMPRODUCT((Raw_Data_Daily!$B$2:$B$9999="Variant")*(Raw_Data_Daily!$A$2:$A$9999=$A13)*(Raw_Data_Daily!$C$2:$C$9999=$C$3)*Raw_Data_Daily!$D$2:$D$9999*Raw_Data_Daily!$Y$2:$Y$9999)/SUMIFS(Raw_Data_Daily!$D:$D, Raw_Data_Daily!$B:$B, "Variant", Raw_Data_Daily!$A:$A, $A13, Raw_Data_Daily!$C:$C, $C$3),""))</f>
        <v>307</v>
      </c>
      <c r="BR13" s="179">
        <f t="shared" si="23"/>
        <v>-0.1023391813</v>
      </c>
      <c r="BS13" s="178">
        <f>IF($A13="","",IFERROR(SUMPRODUCT((Raw_Data_Daily!$B$2:$B$9999="Control")*(Raw_Data_Daily!$A$2:$A$9999=$A13)*(Raw_Data_Daily!$C$2:$C$9999=$C$3)*Raw_Data_Daily!$D$2:$D$9999*Raw_Data_Daily!$Z$2:$Z$9999)/SUMIFS(Raw_Data_Daily!$D:$D, Raw_Data_Daily!$B:$B, "Control", Raw_Data_Daily!$A:$A, $A13, Raw_Data_Daily!$C:$C, $C$3),""))</f>
        <v>659</v>
      </c>
      <c r="BT13" s="178">
        <f>IF($A13="","",IFERROR(SUMPRODUCT((Raw_Data_Daily!$B$2:$B$9999="Variant")*(Raw_Data_Daily!$A$2:$A$9999=$A13)*(Raw_Data_Daily!$C$2:$C$9999=$C$3)*Raw_Data_Daily!$D$2:$D$9999*Raw_Data_Daily!$Z$2:$Z$9999)/SUMIFS(Raw_Data_Daily!$D:$D, Raw_Data_Daily!$B:$B, "Variant", Raw_Data_Daily!$A:$A, $A13, Raw_Data_Daily!$C:$C, $C$3),""))</f>
        <v>535</v>
      </c>
      <c r="BU13" s="179">
        <f t="shared" si="24"/>
        <v>-0.1881638847</v>
      </c>
      <c r="BV13" s="178">
        <f>IF($A13="","",IFERROR(SUMPRODUCT((Raw_Data_Daily!$B$2:$B$9999="Control")*(Raw_Data_Daily!$A$2:$A$9999=$A13)*(Raw_Data_Daily!$C$2:$C$9999=$C$3)*Raw_Data_Daily!$D$2:$D$9999*Raw_Data_Daily!$AA$2:$AA$9999)/SUMIFS(Raw_Data_Daily!$D:$D, Raw_Data_Daily!$B:$B, "Control", Raw_Data_Daily!$A:$A, $A13, Raw_Data_Daily!$C:$C, $C$3),""))</f>
        <v>1581</v>
      </c>
      <c r="BW13" s="178">
        <f>IF($A13="","",IFERROR(SUMPRODUCT((Raw_Data_Daily!$B$2:$B$9999="Variant")*(Raw_Data_Daily!$A$2:$A$9999=$A13)*(Raw_Data_Daily!$C$2:$C$9999=$C$3)*Raw_Data_Daily!$D$2:$D$9999*Raw_Data_Daily!$AA$2:$AA$9999)/SUMIFS(Raw_Data_Daily!$D:$D, Raw_Data_Daily!$B:$B, "Variant", Raw_Data_Daily!$A:$A, $A13, Raw_Data_Daily!$C:$C, $C$3),""))</f>
        <v>1186</v>
      </c>
      <c r="BX13" s="179">
        <f t="shared" si="25"/>
        <v>-0.2498418722</v>
      </c>
      <c r="BY13" s="185">
        <f>IF($A13="","",IFERROR(SUMPRODUCT((Raw_Data_Daily!$B$2:$B$9999="Control")*(Raw_Data_Daily!$A$2:$A$9999=$A13)*(Raw_Data_Daily!$C$2:$C$9999=$C$3)*Raw_Data_Daily!$D$2:$D$9999*Raw_Data_Daily!$AB$2:$AB$9999)/SUMIFS(Raw_Data_Daily!$D:$D, Raw_Data_Daily!$B:$B, "Control", Raw_Data_Daily!$A:$A, $A13, Raw_Data_Daily!$C:$C, $C$3),""))</f>
        <v>56.1239</v>
      </c>
      <c r="BZ13" s="185">
        <f>IF($A13="","",IFERROR(SUMPRODUCT((Raw_Data_Daily!$B$2:$B$9999="Variant")*(Raw_Data_Daily!$A$2:$A$9999=$A13)*(Raw_Data_Daily!$C$2:$C$9999=$C$3)*Raw_Data_Daily!$D$2:$D$9999*Raw_Data_Daily!$AB$2:$AB$9999)/SUMIFS(Raw_Data_Daily!$D:$D, Raw_Data_Daily!$B:$B, "Variant", Raw_Data_Daily!$A:$A, $A13, Raw_Data_Daily!$C:$C, $C$3),""))</f>
        <v>55.9071</v>
      </c>
      <c r="CA13" s="183">
        <f t="shared" si="26"/>
        <v>-0.003862881945</v>
      </c>
      <c r="CB13" s="185">
        <f>IF($A13="","",IFERROR(SUMPRODUCT((Raw_Data_Daily!$B$2:$B$9999="Control")*(Raw_Data_Daily!$A$2:$A$9999=$A13)*(Raw_Data_Daily!$C$2:$C$9999=$C$3)*Raw_Data_Daily!$D$2:$D$9999*Raw_Data_Daily!$AC$2:$AC$9999)/SUMIFS(Raw_Data_Daily!$D:$D, Raw_Data_Daily!$B:$B, "Control", Raw_Data_Daily!$A:$A, $A13, Raw_Data_Daily!$C:$C, $C$3),""))</f>
        <v>0.7994</v>
      </c>
      <c r="CC13" s="185">
        <f>IF($A13="","",IFERROR(SUMPRODUCT((Raw_Data_Daily!$B$2:$B$9999="Variant")*(Raw_Data_Daily!$A$2:$A$9999=$A13)*(Raw_Data_Daily!$C$2:$C$9999=$C$3)*Raw_Data_Daily!$D$2:$D$9999*Raw_Data_Daily!$AC$2:$AC$9999)/SUMIFS(Raw_Data_Daily!$D:$D, Raw_Data_Daily!$B:$B, "Variant", Raw_Data_Daily!$A:$A, $A13, Raw_Data_Daily!$C:$C, $C$3),""))</f>
        <v>0.7846</v>
      </c>
      <c r="CD13" s="183">
        <f t="shared" si="27"/>
        <v>-0.01851388541</v>
      </c>
      <c r="CE13" s="185">
        <f>IF($A13="","",IFERROR(SUMPRODUCT((Raw_Data_Daily!$B$2:$B$9999="Control")*(Raw_Data_Daily!$A$2:$A$9999=$A13)*(Raw_Data_Daily!$C$2:$C$9999=$C$3)*Raw_Data_Daily!$D$2:$D$9999*Raw_Data_Daily!$AD$2:$AD$9999)/SUMIFS(Raw_Data_Daily!$D:$D, Raw_Data_Daily!$B:$B, "Control", Raw_Data_Daily!$A:$A, $A13, Raw_Data_Daily!$C:$C, $C$3),""))</f>
        <v>28.77</v>
      </c>
      <c r="CF13" s="185">
        <f>IF($A13="","",IFERROR(SUMPRODUCT((Raw_Data_Daily!$B$2:$B$9999="Variant")*(Raw_Data_Daily!$A$2:$A$9999=$A13)*(Raw_Data_Daily!$C$2:$C$9999=$C$3)*Raw_Data_Daily!$D$2:$D$9999*Raw_Data_Daily!$AD$2:$AD$9999)/SUMIFS(Raw_Data_Daily!$D:$D, Raw_Data_Daily!$B:$B, "Variant", Raw_Data_Daily!$A:$A, $A13, Raw_Data_Daily!$C:$C, $C$3),""))</f>
        <v>28.48</v>
      </c>
      <c r="CG13" s="183">
        <f t="shared" si="28"/>
        <v>-0.01007994439</v>
      </c>
      <c r="CH13" s="185">
        <f>IF($A13="","",IFERROR(SUMPRODUCT((Raw_Data_Daily!$B$2:$B$9999="Control")*(Raw_Data_Daily!$A$2:$A$9999=$A13)*(Raw_Data_Daily!$C$2:$C$9999=$C$3)*Raw_Data_Daily!$D$2:$D$9999*Raw_Data_Daily!$AE$2:$AE$9999)/SUMIFS(Raw_Data_Daily!$D:$D, Raw_Data_Daily!$B:$B, "Control", Raw_Data_Daily!$A:$A, $A13, Raw_Data_Daily!$C:$C, $C$3),""))</f>
        <v>11</v>
      </c>
      <c r="CI13" s="185">
        <f>IF($A13="","",IFERROR(SUMPRODUCT((Raw_Data_Daily!$B$2:$B$9999="Variant")*(Raw_Data_Daily!$A$2:$A$9999=$A13)*(Raw_Data_Daily!$C$2:$C$9999=$C$3)*Raw_Data_Daily!$D$2:$D$9999*Raw_Data_Daily!$AE$2:$AE$9999)/SUMIFS(Raw_Data_Daily!$D:$D, Raw_Data_Daily!$B:$B, "Variant", Raw_Data_Daily!$A:$A, $A13, Raw_Data_Daily!$C:$C, $C$3),""))</f>
        <v>10</v>
      </c>
      <c r="CJ13" s="183">
        <f t="shared" si="29"/>
        <v>-0.09090909091</v>
      </c>
      <c r="CK13" s="185">
        <f>IF($A13="","",IFERROR(SUMPRODUCT((Raw_Data_Daily!$B$2:$B$9999="Control")*(Raw_Data_Daily!$A$2:$A$9999=$A13)*(Raw_Data_Daily!$C$2:$C$9999=$C$3)*Raw_Data_Daily!$D$2:$D$9999*Raw_Data_Daily!$AF$2:$AF$9999)/SUMIFS(Raw_Data_Daily!$D:$D, Raw_Data_Daily!$B:$B, "Control", Raw_Data_Daily!$A:$A, $A13, Raw_Data_Daily!$C:$C, $C$3),""))</f>
        <v>21</v>
      </c>
      <c r="CL13" s="185">
        <f>IF($A13="","",IFERROR(SUMPRODUCT((Raw_Data_Daily!$B$2:$B$9999="Variant")*(Raw_Data_Daily!$A$2:$A$9999=$A13)*(Raw_Data_Daily!$C$2:$C$9999=$C$3)*Raw_Data_Daily!$D$2:$D$9999*Raw_Data_Daily!$AF$2:$AF$9999)/SUMIFS(Raw_Data_Daily!$D:$D, Raw_Data_Daily!$B:$B, "Variant", Raw_Data_Daily!$A:$A, $A13, Raw_Data_Daily!$C:$C, $C$3),""))</f>
        <v>20</v>
      </c>
      <c r="CM13" s="183">
        <f t="shared" si="30"/>
        <v>-0.04761904762</v>
      </c>
      <c r="CN13" s="185">
        <f>IF($A13="","",IFERROR(SUMPRODUCT((Raw_Data_Daily!$B$2:$B$9999="Control")*(Raw_Data_Daily!$A$2:$A$9999=$A13)*(Raw_Data_Daily!$C$2:$C$9999=$C$3)*Raw_Data_Daily!$D$2:$D$9999*Raw_Data_Daily!$AG$2:$AG$9999)/SUMIFS(Raw_Data_Daily!$D:$D, Raw_Data_Daily!$B:$B, "Control", Raw_Data_Daily!$A:$A, $A13, Raw_Data_Daily!$C:$C, $C$3),""))</f>
        <v>41</v>
      </c>
      <c r="CO13" s="185">
        <f>IF($A13="","",IFERROR(SUMPRODUCT((Raw_Data_Daily!$B$2:$B$9999="Variant")*(Raw_Data_Daily!$A$2:$A$9999=$A13)*(Raw_Data_Daily!$C$2:$C$9999=$C$3)*Raw_Data_Daily!$D$2:$D$9999*Raw_Data_Daily!$AG$2:$AG$9999)/SUMIFS(Raw_Data_Daily!$D:$D, Raw_Data_Daily!$B:$B, "Variant", Raw_Data_Daily!$A:$A, $A13, Raw_Data_Daily!$C:$C, $C$3),""))</f>
        <v>40</v>
      </c>
      <c r="CP13" s="183">
        <f t="shared" si="31"/>
        <v>-0.0243902439</v>
      </c>
      <c r="CQ13" s="185">
        <f>IF($A13="","",IFERROR(SUMPRODUCT((Raw_Data_Daily!$B$2:$B$9999="Control")*(Raw_Data_Daily!$A$2:$A$9999=$A13)*(Raw_Data_Daily!$C$2:$C$9999=$C$3)*Raw_Data_Daily!$D$2:$D$9999*Raw_Data_Daily!$AH$2:$AH$9999)/SUMIFS(Raw_Data_Daily!$D:$D, Raw_Data_Daily!$B:$B, "Control", Raw_Data_Daily!$A:$A, $A13, Raw_Data_Daily!$C:$C, $C$3),""))</f>
        <v>61</v>
      </c>
      <c r="CR13" s="185">
        <f>IF($A13="","",IFERROR(SUMPRODUCT((Raw_Data_Daily!$B$2:$B$9999="Variant")*(Raw_Data_Daily!$A$2:$A$9999=$A13)*(Raw_Data_Daily!$C$2:$C$9999=$C$3)*Raw_Data_Daily!$D$2:$D$9999*Raw_Data_Daily!$AH$2:$AH$9999)/SUMIFS(Raw_Data_Daily!$D:$D, Raw_Data_Daily!$B:$B, "Variant", Raw_Data_Daily!$A:$A, $A13, Raw_Data_Daily!$C:$C, $C$3),""))</f>
        <v>60</v>
      </c>
      <c r="CS13" s="183">
        <f t="shared" si="32"/>
        <v>-0.01639344262</v>
      </c>
      <c r="CT13" s="180">
        <f>IF($A13="","",IFERROR(SUMPRODUCT((Raw_Data_Daily!$B$2:$B$9999="Control")*(Raw_Data_Daily!$A$2:$A$9999=$A13)*(Raw_Data_Daily!$C$2:$C$9999=$C$3)*Raw_Data_Daily!$D$2:$D$9999*Raw_Data_Daily!$AI$2:$AI$9999)/SUMIFS(Raw_Data_Daily!$D:$D, Raw_Data_Daily!$B:$B, "Control", Raw_Data_Daily!$A:$A, $A13, Raw_Data_Daily!$C:$C, $C$3),""))</f>
        <v>40.19</v>
      </c>
      <c r="CU13" s="180">
        <f>IF($A13="","",IFERROR(SUMPRODUCT((Raw_Data_Daily!$B$2:$B$9999="Variant")*(Raw_Data_Daily!$A$2:$A$9999=$A13)*(Raw_Data_Daily!$C$2:$C$9999=$C$3)*Raw_Data_Daily!$D$2:$D$9999*Raw_Data_Daily!$AI$2:$AI$9999)/SUMIFS(Raw_Data_Daily!$D:$D, Raw_Data_Daily!$B:$B, "Variant", Raw_Data_Daily!$A:$A, $A13, Raw_Data_Daily!$C:$C, $C$3),""))</f>
        <v>38.26</v>
      </c>
      <c r="CV13" s="187">
        <f t="shared" si="33"/>
        <v>-0.04802189599</v>
      </c>
      <c r="CW13" s="180">
        <f>IF($A13="","",IFERROR(SUMPRODUCT((Raw_Data_Daily!$B$2:$B$9999="Control")*(Raw_Data_Daily!$A$2:$A$9999=$A13)*(Raw_Data_Daily!$C$2:$C$9999=$C$3)*Raw_Data_Daily!$D$2:$D$9999*Raw_Data_Daily!$AJ$2:$AJ$9999)/SUMIFS(Raw_Data_Daily!$D:$D, Raw_Data_Daily!$B:$B, "Control", Raw_Data_Daily!$A:$A, $A13, Raw_Data_Daily!$C:$C, $C$3),""))</f>
        <v>10.24</v>
      </c>
      <c r="CX13" s="180">
        <f>IF($A13="","",IFERROR(SUMPRODUCT((Raw_Data_Daily!$B$2:$B$9999="Variant")*(Raw_Data_Daily!$A$2:$A$9999=$A13)*(Raw_Data_Daily!$C$2:$C$9999=$C$3)*Raw_Data_Daily!$D$2:$D$9999*Raw_Data_Daily!$AJ$2:$AJ$9999)/SUMIFS(Raw_Data_Daily!$D:$D, Raw_Data_Daily!$B:$B, "Variant", Raw_Data_Daily!$A:$A, $A13, Raw_Data_Daily!$C:$C, $C$3),""))</f>
        <v>10.13</v>
      </c>
      <c r="CY13" s="187">
        <f t="shared" si="34"/>
        <v>-0.0107421875</v>
      </c>
      <c r="CZ13" s="180">
        <f>IF($A13="","",IFERROR(SUMPRODUCT((Raw_Data_Daily!$B$2:$B$9999="Control")*(Raw_Data_Daily!$A$2:$A$9999=$A13)*(Raw_Data_Daily!$C$2:$C$9999=$C$3)*Raw_Data_Daily!$D$2:$D$9999*Raw_Data_Daily!$AK$2:$AK$9999)/SUMIFS(Raw_Data_Daily!$D:$D, Raw_Data_Daily!$B:$B, "Control", Raw_Data_Daily!$A:$A, $A13, Raw_Data_Daily!$C:$C, $C$3),""))</f>
        <v>1.73</v>
      </c>
      <c r="DA13" s="180">
        <f>IF($A13="","",IFERROR(SUMPRODUCT((Raw_Data_Daily!$B$2:$B$9999="Variant")*(Raw_Data_Daily!$A$2:$A$9999=$A13)*(Raw_Data_Daily!$C$2:$C$9999=$C$3)*Raw_Data_Daily!$D$2:$D$9999*Raw_Data_Daily!$AK$2:$AK$9999)/SUMIFS(Raw_Data_Daily!$D:$D, Raw_Data_Daily!$B:$B, "Variant", Raw_Data_Daily!$A:$A, $A13, Raw_Data_Daily!$C:$C, $C$3),""))</f>
        <v>2.39</v>
      </c>
      <c r="DB13" s="183">
        <f t="shared" si="35"/>
        <v>0.3815028902</v>
      </c>
      <c r="DC13" s="186">
        <f>IF($A13="","",IFERROR(SUMPRODUCT((Raw_Data_Daily!$B$2:$B$9999="Control")*(Raw_Data_Daily!$A$2:$A$9999=$A13)*(Raw_Data_Daily!$C$2:$C$9999=$C$3)*Raw_Data_Daily!$D$2:$D$9999*Raw_Data_Daily!$AL$2:$AL$9999)/SUMIFS(Raw_Data_Daily!$D:$D, Raw_Data_Daily!$B:$B, "Control", Raw_Data_Daily!$A:$A, $A13, Raw_Data_Daily!$C:$C, $C$3),""))</f>
        <v>0.1975</v>
      </c>
      <c r="DD13" s="186">
        <f>IF($A13="","",IFERROR(SUMPRODUCT((Raw_Data_Daily!$B$2:$B$9999="Variant")*(Raw_Data_Daily!$A$2:$A$9999=$A13)*(Raw_Data_Daily!$C$2:$C$9999=$C$3)*Raw_Data_Daily!$D$2:$D$9999*Raw_Data_Daily!$AL$2:$AL$9999)/SUMIFS(Raw_Data_Daily!$D:$D, Raw_Data_Daily!$B:$B, "Variant", Raw_Data_Daily!$A:$A, $A13, Raw_Data_Daily!$C:$C, $C$3),""))</f>
        <v>0.1986</v>
      </c>
      <c r="DE13" s="187">
        <f t="shared" si="36"/>
        <v>0.005569620253</v>
      </c>
      <c r="DF13" s="188"/>
      <c r="DG13" s="180">
        <f>IF($A13="","",IFERROR(SUMPRODUCT((Raw_Data_Daily!$B$2:$B$9999="Variant")*(Raw_Data_Daily!$A$2:$A$9999=$A13)*(Raw_Data_Daily!$C$2:$C$9999=$C$3)*Raw_Data_Daily!$D$2:$D$9999*Raw_Data_Daily!$AM$2:$AM$9999)/SUMIFS(Raw_Data_Daily!$D:$D, Raw_Data_Daily!$B:$B, "Variant", Raw_Data_Daily!$A:$A, $A13, Raw_Data_Daily!$C:$C, $C$3),""))</f>
        <v>43.91</v>
      </c>
      <c r="DH13" s="189"/>
      <c r="DI13" s="188"/>
      <c r="DJ13" s="180">
        <f>IF($A13="","",IFERROR(SUMPRODUCT((Raw_Data_Daily!$B$2:$B$9999="Variant")*(Raw_Data_Daily!$A$2:$A$9999=$A13)*(Raw_Data_Daily!$C$2:$C$9999=$C$3)*Raw_Data_Daily!$D$2:$D$9999*Raw_Data_Daily!$AN$2:$AN$9999)/SUMIFS(Raw_Data_Daily!$D:$D, Raw_Data_Daily!$B:$B, "Variant", Raw_Data_Daily!$A:$A, $A13, Raw_Data_Daily!$C:$C, $C$3),""))</f>
        <v>43.91</v>
      </c>
      <c r="DK13" s="189"/>
      <c r="DL13" s="188"/>
      <c r="DM13" s="180">
        <f>IF($A13="","",IFERROR(SUMPRODUCT((Raw_Data_Daily!$B$2:$B$9999="Variant")*(Raw_Data_Daily!$A$2:$A$9999=$A13)*(Raw_Data_Daily!$C$2:$C$9999=$C$3)*Raw_Data_Daily!$D$2:$D$9999*Raw_Data_Daily!$AO$2:$AO$9999)/SUMIFS(Raw_Data_Daily!$D:$D, Raw_Data_Daily!$B:$B, "Variant", Raw_Data_Daily!$A:$A, $A13, Raw_Data_Daily!$C:$C, $C$3),""))</f>
        <v>27.2</v>
      </c>
      <c r="DN13" s="189"/>
      <c r="DO13" s="188"/>
      <c r="DP13" s="180">
        <f>IF($A13="","",IFERROR(SUMPRODUCT((Raw_Data_Daily!$B$2:$B$9999="Variant")*(Raw_Data_Daily!$A$2:$A$9999=$A13)*(Raw_Data_Daily!$C$2:$C$9999=$C$3)*Raw_Data_Daily!$D$2:$D$9999*Raw_Data_Daily!$AP$2:$AP$9999)/SUMIFS(Raw_Data_Daily!$D:$D, Raw_Data_Daily!$B:$B, "Variant", Raw_Data_Daily!$A:$A, $A13, Raw_Data_Daily!$C:$C, $C$3),""))</f>
        <v>16.64</v>
      </c>
      <c r="DQ13" s="189"/>
      <c r="DR13" s="186">
        <f>IF($A13="","",IFERROR(SUMPRODUCT((Raw_Data_Daily!$B$2:$B$9999="Control")*(Raw_Data_Daily!$A$2:$A$9999=$A13)*(Raw_Data_Daily!$C$2:$C$9999=$C$3)*Raw_Data_Daily!$D$2:$D$9999*Raw_Data_Daily!$AQ$2:$AQ$9999)/SUMIFS(Raw_Data_Daily!$D:$D, Raw_Data_Daily!$B:$B, "Control", Raw_Data_Daily!$A:$A, $A13, Raw_Data_Daily!$C:$C, $C$3),""))</f>
        <v>15.3369</v>
      </c>
      <c r="DS13" s="186">
        <f>IF($A13="","",IFERROR(SUMPRODUCT((Raw_Data_Daily!$B$2:$B$9999="Variant")*(Raw_Data_Daily!$A$2:$A$9999=$A13)*(Raw_Data_Daily!$C$2:$C$9999=$C$3)*Raw_Data_Daily!$D$2:$D$9999*Raw_Data_Daily!$AQ$2:$AQ$9999)/SUMIFS(Raw_Data_Daily!$D:$D, Raw_Data_Daily!$B:$B, "Variant", Raw_Data_Daily!$A:$A, $A13, Raw_Data_Daily!$C:$C, $C$3),""))</f>
        <v>11.013</v>
      </c>
      <c r="DT13" s="190">
        <f t="shared" si="37"/>
        <v>-0.2819278994</v>
      </c>
      <c r="DU13" s="186">
        <f>IF($A13="","",IFERROR(SUMPRODUCT((Raw_Data_Daily!$B$2:$B$9999="Control")*(Raw_Data_Daily!$A$2:$A$9999=$A13)*(Raw_Data_Daily!$C$2:$C$9999=$C$3)*Raw_Data_Daily!$D$2:$D$9999*Raw_Data_Daily!$AR$2:$AR$9999)/SUMIFS(Raw_Data_Daily!$D:$D, Raw_Data_Daily!$B:$B, "Control", Raw_Data_Daily!$A:$A, $A13, Raw_Data_Daily!$C:$C, $C$3),""))</f>
        <v>0.2252</v>
      </c>
      <c r="DV13" s="186">
        <f>IF($A13="","",IFERROR(SUMPRODUCT((Raw_Data_Daily!$B$2:$B$9999="Variant")*(Raw_Data_Daily!$A$2:$A$9999=$A13)*(Raw_Data_Daily!$C$2:$C$9999=$C$3)*Raw_Data_Daily!$D$2:$D$9999*Raw_Data_Daily!$AR$2:$AR$9999)/SUMIFS(Raw_Data_Daily!$D:$D, Raw_Data_Daily!$B:$B, "Variant", Raw_Data_Daily!$A:$A, $A13, Raw_Data_Daily!$C:$C, $C$3),""))</f>
        <v>0.3338</v>
      </c>
      <c r="DW13" s="190">
        <f t="shared" si="38"/>
        <v>0.4822380107</v>
      </c>
      <c r="DX13" s="186">
        <f>IF($A13="","",IFERROR(SUMPRODUCT((Raw_Data_Daily!$B$2:$B$9999="Control")*(Raw_Data_Daily!$A$2:$A$9999=$A13)*(Raw_Data_Daily!$C$2:$C$9999=$C$3)*Raw_Data_Daily!$D$2:$D$9999*Raw_Data_Daily!$AS$2:$AS$9999)/SUMIFS(Raw_Data_Daily!$D:$D, Raw_Data_Daily!$B:$B, "Control", Raw_Data_Daily!$A:$A, $A13, Raw_Data_Daily!$C:$C, $C$3),""))</f>
        <v>15.1117</v>
      </c>
      <c r="DY13" s="186">
        <f>IF($A13="","",IFERROR(SUMPRODUCT((Raw_Data_Daily!$B$2:$B$9999="Variant")*(Raw_Data_Daily!$A$2:$A$9999=$A13)*(Raw_Data_Daily!$C$2:$C$9999=$C$3)*Raw_Data_Daily!$D$2:$D$9999*Raw_Data_Daily!$AS$2:$AS$9999)/SUMIFS(Raw_Data_Daily!$D:$D, Raw_Data_Daily!$B:$B, "Variant", Raw_Data_Daily!$A:$A, $A13, Raw_Data_Daily!$C:$C, $C$3),""))</f>
        <v>10.6792</v>
      </c>
      <c r="DZ13" s="190">
        <f t="shared" si="39"/>
        <v>-0.2933157752</v>
      </c>
      <c r="EA13" s="186">
        <f>IF($A13="","",IFERROR(SUMPRODUCT((Raw_Data_Daily!$B$2:$B$9999="Control")*(Raw_Data_Daily!$A$2:$A$9999=$A13)*(Raw_Data_Daily!$C$2:$C$9999=$C$3)*Raw_Data_Daily!$D$2:$D$9999*Raw_Data_Daily!$AT$2:$AT$9999)/SUMIFS(Raw_Data_Daily!$D:$D, Raw_Data_Daily!$B:$B, "Control", Raw_Data_Daily!$A:$A, $A13, Raw_Data_Daily!$C:$C, $C$3),""))</f>
        <v>12.8746</v>
      </c>
      <c r="EB13" s="186">
        <f>IF($A13="","",IFERROR(SUMPRODUCT((Raw_Data_Daily!$B$2:$B$9999="Variant")*(Raw_Data_Daily!$A$2:$A$9999=$A13)*(Raw_Data_Daily!$C$2:$C$9999=$C$3)*Raw_Data_Daily!$D$2:$D$9999*Raw_Data_Daily!$AT$2:$AT$9999)/SUMIFS(Raw_Data_Daily!$D:$D, Raw_Data_Daily!$B:$B, "Variant", Raw_Data_Daily!$A:$A, $A13, Raw_Data_Daily!$C:$C, $C$3),""))</f>
        <v>10.634</v>
      </c>
      <c r="EC13" s="190">
        <f t="shared" si="40"/>
        <v>-0.1740325913</v>
      </c>
      <c r="ED13" s="186">
        <f>IF($A13="","",IFERROR(SUMPRODUCT((Raw_Data_Daily!$B$2:$B$9999="Control")*(Raw_Data_Daily!$A$2:$A$9999=$A13)*(Raw_Data_Daily!$C$2:$C$9999=$C$3)*Raw_Data_Daily!$D$2:$D$9999*(Raw_Data_Daily!$AQ$2:$AQ$9999-Raw_Data_Daily!$AT$2:$AT$9999))/SUMIFS(Raw_Data_Daily!$D:$D, Raw_Data_Daily!$B:$B, "Control", Raw_Data_Daily!$A:$A, $A13, Raw_Data_Daily!$C:$C, $C$3),""))</f>
        <v>2.4623</v>
      </c>
      <c r="EE13" s="186">
        <f>IF($A13="","",IFERROR(SUMPRODUCT((Raw_Data_Daily!$B$2:$B$9999="Variant")*(Raw_Data_Daily!$A$2:$A$9999=$A13)*(Raw_Data_Daily!$C$2:$C$9999=$C$3)*Raw_Data_Daily!$D$2:$D$9999*(Raw_Data_Daily!$AQ$2:$AQ$9999-Raw_Data_Daily!$AT$2:$AT$9999))/SUMIFS(Raw_Data_Daily!$D:$D, Raw_Data_Daily!$B:$B, "Variant", Raw_Data_Daily!$A:$A, $A13, Raw_Data_Daily!$C:$C, $C$3),""))</f>
        <v>0.379</v>
      </c>
      <c r="EF13" s="190">
        <f t="shared" si="41"/>
        <v>-0.8460788693</v>
      </c>
      <c r="EG13" s="186">
        <f>IF($A13="","",IFERROR(SUMPRODUCT((Raw_Data_Daily!$B$2:$B$9999="Control")*(Raw_Data_Daily!$A$2:$A$9999=$A13)*(Raw_Data_Daily!$C$2:$C$9999=$C$3)*Raw_Data_Daily!$D$2:$D$9999*Raw_Data_Daily!$AU$2:$AU$9999)/SUMIFS(Raw_Data_Daily!$D:$D, Raw_Data_Daily!$B:$B, "Control", Raw_Data_Daily!$A:$A, $A13, Raw_Data_Daily!$C:$C, $C$3),""))</f>
        <v>0.1896</v>
      </c>
      <c r="EH13" s="186">
        <f>IF($A13="","",IFERROR(SUMPRODUCT((Raw_Data_Daily!$B$2:$B$9999="Variant")*(Raw_Data_Daily!$A$2:$A$9999=$A13)*(Raw_Data_Daily!$C$2:$C$9999=$C$3)*Raw_Data_Daily!$D$2:$D$9999*Raw_Data_Daily!$AU$2:$AU$9999)/SUMIFS(Raw_Data_Daily!$D:$D, Raw_Data_Daily!$B:$B, "Variant", Raw_Data_Daily!$A:$A, $A13, Raw_Data_Daily!$C:$C, $C$3),""))</f>
        <v>0.1513</v>
      </c>
      <c r="EI13" s="190">
        <f t="shared" si="42"/>
        <v>-0.2020042194</v>
      </c>
    </row>
    <row r="14" ht="15.75" customHeight="1">
      <c r="A14" s="125">
        <v>46237.0</v>
      </c>
      <c r="B14" s="126">
        <f>IF($A14="","",SUMIFS(Raw_Data_Daily!$D:$D, Raw_Data_Daily!$B:$B, "Control", Raw_Data_Daily!$A:$A, $A14, Raw_Data_Daily!$C:$C, $C$3))</f>
        <v>3139</v>
      </c>
      <c r="C14" s="126">
        <f>IF($A14="","",SUMIFS(Raw_Data_Daily!$D:$D, Raw_Data_Daily!$B:$B, "Variant", Raw_Data_Daily!$A:$A, $A14, Raw_Data_Daily!$C:$C, $C$3))</f>
        <v>3004</v>
      </c>
      <c r="D14" s="127">
        <f t="shared" si="1"/>
        <v>-0.04300732717</v>
      </c>
      <c r="E14" s="128">
        <f>IF($A14="","",IFERROR(SUMPRODUCT((Raw_Data_Daily!$B$2:$B$9999="Control")*(Raw_Data_Daily!$A$2:$A$9999=$A14)*(Raw_Data_Daily!$C$2:$C$9999=$C$3)*Raw_Data_Daily!$D$2:$D$9999*Raw_Data_Daily!$E$2:$E$9999)/SUMIFS(Raw_Data_Daily!$D:$D, Raw_Data_Daily!$B:$B, "Control", Raw_Data_Daily!$A:$A, $A14, Raw_Data_Daily!$C:$C, $C$3),""))</f>
        <v>12.42</v>
      </c>
      <c r="F14" s="128">
        <f>IF($A14="","",IFERROR(SUMPRODUCT((Raw_Data_Daily!$B$2:$B$9999="Variant")*(Raw_Data_Daily!$A$2:$A$9999=$A14)*(Raw_Data_Daily!$C$2:$C$9999=$C$3)*Raw_Data_Daily!$D$2:$D$9999*Raw_Data_Daily!$E$2:$E$9999)/SUMIFS(Raw_Data_Daily!$D:$D, Raw_Data_Daily!$B:$B, "Variant", Raw_Data_Daily!$A:$A, $A14, Raw_Data_Daily!$C:$C, $C$3),""))</f>
        <v>11.92</v>
      </c>
      <c r="G14" s="127">
        <f t="shared" si="2"/>
        <v>-0.04025764895</v>
      </c>
      <c r="H14" s="129">
        <f>IF($A14="","",SUMIFS(Raw_Data_Daily!$F:$F, Raw_Data_Daily!$B:$B, "Control", Raw_Data_Daily!$A:$A, $A14, Raw_Data_Daily!$C:$C, $C$3))</f>
        <v>766.26</v>
      </c>
      <c r="I14" s="129">
        <f>IF($A14="","",SUMIFS(Raw_Data_Daily!$F:$F, Raw_Data_Daily!$B:$B, "Variant", Raw_Data_Daily!$A:$A, $A14, Raw_Data_Daily!$C:$C, $C$3))</f>
        <v>551.21</v>
      </c>
      <c r="J14" s="130">
        <f t="shared" si="3"/>
        <v>-0.2806488659</v>
      </c>
      <c r="K14" s="131">
        <f>IF($A14="","",IFERROR(SUMIFS(Raw_Data_Daily!$F:$F, Raw_Data_Daily!$B:$B, "Control", Raw_Data_Daily!$A:$A, $A14, Raw_Data_Daily!$C:$C, $C$3)/SUMIFS(Raw_Data_Daily!$D:$D, Raw_Data_Daily!$B:$B, "Control", Raw_Data_Daily!$A:$A, $A14, Raw_Data_Daily!$C:$C, $C$3),""))</f>
        <v>0.244109589</v>
      </c>
      <c r="L14" s="131">
        <f>IF($A14="","",IFERROR(SUMIFS(Raw_Data_Daily!$F:$F, Raw_Data_Daily!$B:$B, "Variant", Raw_Data_Daily!$A:$A, $A14, Raw_Data_Daily!$C:$C, $C$3)/SUMIFS(Raw_Data_Daily!$D:$D, Raw_Data_Daily!$B:$B, "Variant", Raw_Data_Daily!$A:$A, $A14, Raw_Data_Daily!$C:$C, $C$3),""))</f>
        <v>0.1834920107</v>
      </c>
      <c r="M14" s="130">
        <f t="shared" si="4"/>
        <v>-0.2483211685</v>
      </c>
      <c r="N14" s="128">
        <f>IF($A14="","",IFERROR(SUMPRODUCT((Raw_Data_Daily!$B$2:$B$9999="Control")*(Raw_Data_Daily!$A$2:$A$9999=$A14)*(Raw_Data_Daily!$C$2:$C$9999=$C$3)*Raw_Data_Daily!$D$2:$D$9999*Raw_Data_Daily!$H$2:$H$9999/100)/SUMIFS(Raw_Data_Daily!$D:$D, Raw_Data_Daily!$B:$B, "Control", Raw_Data_Daily!$A:$A, $A14, Raw_Data_Daily!$C:$C, $C$3)*100,""))</f>
        <v>3.73</v>
      </c>
      <c r="O14" s="128">
        <f>IF($A14="","",IFERROR(SUMPRODUCT((Raw_Data_Daily!$B$2:$B$9999="Variant")*(Raw_Data_Daily!$A$2:$A$9999=$A14)*(Raw_Data_Daily!$C$2:$C$9999=$C$3)*Raw_Data_Daily!$D$2:$D$9999*Raw_Data_Daily!$H$2:$H$9999/100)/SUMIFS(Raw_Data_Daily!$D:$D, Raw_Data_Daily!$B:$B, "Variant", Raw_Data_Daily!$A:$A, $A14, Raw_Data_Daily!$C:$C, $C$3)*100,""))</f>
        <v>3.7</v>
      </c>
      <c r="P14" s="130">
        <f t="shared" si="5"/>
        <v>-0.008042895442</v>
      </c>
      <c r="Q14" s="131">
        <f>IF($A14="","",IFERROR(SUMIFS(Raw_Data_Daily!$F:$F, Raw_Data_Daily!$B:$B, "Control", Raw_Data_Daily!$A:$A, $A14, Raw_Data_Daily!$C:$C, $C$3)/SUMPRODUCT((Raw_Data_Daily!$B$2:$B$9999="Control")*(Raw_Data_Daily!$A$2:$A$9999=$A14)*(Raw_Data_Daily!$C$2:$C$9999=$C$3)*Raw_Data_Daily!$D$2:$D$9999*Raw_Data_Daily!$H$2:$H$9999/100),""))</f>
        <v>6.544493004</v>
      </c>
      <c r="R14" s="131">
        <f>IF($A14="","",IFERROR(SUMIFS(Raw_Data_Daily!$F:$F, Raw_Data_Daily!$B:$B, "Variant", Raw_Data_Daily!$A:$A, $A14, Raw_Data_Daily!$C:$C, $C$3)/SUMPRODUCT((Raw_Data_Daily!$B$2:$B$9999="Variant")*(Raw_Data_Daily!$A$2:$A$9999=$A14)*(Raw_Data_Daily!$C$2:$C$9999=$C$3)*Raw_Data_Daily!$D$2:$D$9999*Raw_Data_Daily!$H$2:$H$9999/100),""))</f>
        <v>4.959243531</v>
      </c>
      <c r="S14" s="130">
        <f t="shared" si="6"/>
        <v>-0.2422264753</v>
      </c>
      <c r="T14" s="132">
        <f>IF($A14="","",IFERROR(SUMPRODUCT((Raw_Data_Daily!$B$2:$B$9999="Control")*(Raw_Data_Daily!$A$2:$A$9999=$A14)*(Raw_Data_Daily!$C$2:$C$9999=$C$3)*Raw_Data_Daily!$D$2:$D$9999*Raw_Data_Daily!$J$2:$J$9999)/SUMIFS(Raw_Data_Daily!$D:$D, Raw_Data_Daily!$B:$B, "Control", Raw_Data_Daily!$A:$A, $A14, Raw_Data_Daily!$C:$C, $C$3),""))</f>
        <v>117.83</v>
      </c>
      <c r="U14" s="132">
        <f>IF($A14="","",IFERROR(SUMPRODUCT((Raw_Data_Daily!$B$2:$B$9999="Variant")*(Raw_Data_Daily!$A$2:$A$9999=$A14)*(Raw_Data_Daily!$C$2:$C$9999=$C$3)*Raw_Data_Daily!$D$2:$D$9999*Raw_Data_Daily!$J$2:$J$9999)/SUMIFS(Raw_Data_Daily!$D:$D, Raw_Data_Daily!$B:$B, "Variant", Raw_Data_Daily!$A:$A, $A14, Raw_Data_Daily!$C:$C, $C$3),""))</f>
        <v>127.53</v>
      </c>
      <c r="V14" s="130">
        <f t="shared" si="7"/>
        <v>0.08232198931</v>
      </c>
      <c r="W14" s="132">
        <f>IF($A14="","",IFERROR(SUMPRODUCT((Raw_Data_Daily!$B$2:$B$9999="Control")*(Raw_Data_Daily!$A$2:$A$9999=$A14)*(Raw_Data_Daily!$C$2:$C$9999=$C$3)*Raw_Data_Daily!$D$2:$D$9999*Raw_Data_Daily!$K$2:$K$9999)/SUMIFS(Raw_Data_Daily!$D:$D, Raw_Data_Daily!$B:$B, "Control", Raw_Data_Daily!$A:$A, $A14, Raw_Data_Daily!$C:$C, $C$3),""))</f>
        <v>73.34</v>
      </c>
      <c r="X14" s="132">
        <f>IF($A14="","",IFERROR(SUMPRODUCT((Raw_Data_Daily!$B$2:$B$9999="Variant")*(Raw_Data_Daily!$A$2:$A$9999=$A14)*(Raw_Data_Daily!$C$2:$C$9999=$C$3)*Raw_Data_Daily!$D$2:$D$9999*Raw_Data_Daily!$K$2:$K$9999)/SUMIFS(Raw_Data_Daily!$D:$D, Raw_Data_Daily!$B:$B, "Variant", Raw_Data_Daily!$A:$A, $A14, Raw_Data_Daily!$C:$C, $C$3),""))</f>
        <v>77.68</v>
      </c>
      <c r="Y14" s="130">
        <f t="shared" si="8"/>
        <v>0.05917643851</v>
      </c>
      <c r="Z14" s="132">
        <f>IF($A14="","",IFERROR(SUMPRODUCT((Raw_Data_Daily!$B$2:$B$9999="Control")*(Raw_Data_Daily!$A$2:$A$9999=$A14)*(Raw_Data_Daily!$C$2:$C$9999=$C$3)*Raw_Data_Daily!$D$2:$D$9999*Raw_Data_Daily!$L$2:$L$9999)/SUMIFS(Raw_Data_Daily!$D:$D, Raw_Data_Daily!$B:$B, "Control", Raw_Data_Daily!$A:$A, $A14, Raw_Data_Daily!$C:$C, $C$3),""))</f>
        <v>56.26</v>
      </c>
      <c r="AA14" s="132">
        <f>IF($A14="","",IFERROR(SUMPRODUCT((Raw_Data_Daily!$B$2:$B$9999="Variant")*(Raw_Data_Daily!$A$2:$A$9999=$A14)*(Raw_Data_Daily!$C$2:$C$9999=$C$3)*Raw_Data_Daily!$D$2:$D$9999*Raw_Data_Daily!$L$2:$L$9999)/SUMIFS(Raw_Data_Daily!$D:$D, Raw_Data_Daily!$B:$B, "Variant", Raw_Data_Daily!$A:$A, $A14, Raw_Data_Daily!$C:$C, $C$3),""))</f>
        <v>57.72</v>
      </c>
      <c r="AB14" s="130">
        <f t="shared" si="9"/>
        <v>0.02595094205</v>
      </c>
      <c r="AC14" s="137">
        <f>IF($A14="","",IFERROR(SUMPRODUCT((Raw_Data_Daily!$B$2:$B$9999="Control")*(Raw_Data_Daily!$A$2:$A$9999=$A14)*(Raw_Data_Daily!$C$2:$C$9999=$C$3)*Raw_Data_Daily!$D$2:$D$9999*Raw_Data_Daily!$M$2:$M$9999)/SUMIFS(Raw_Data_Daily!$D:$D, Raw_Data_Daily!$B:$B, "Control", Raw_Data_Daily!$A:$A, $A14, Raw_Data_Daily!$C:$C, $C$3),""))</f>
        <v>0.7671</v>
      </c>
      <c r="AD14" s="137">
        <f>IF($A14="","",IFERROR(SUMPRODUCT((Raw_Data_Daily!$B$2:$B$9999="Variant")*(Raw_Data_Daily!$A$2:$A$9999=$A14)*(Raw_Data_Daily!$C$2:$C$9999=$C$3)*Raw_Data_Daily!$D$2:$D$9999*Raw_Data_Daily!$M$2:$M$9999)/SUMIFS(Raw_Data_Daily!$D:$D, Raw_Data_Daily!$B:$B, "Variant", Raw_Data_Daily!$A:$A, $A14, Raw_Data_Daily!$C:$C, $C$3),""))</f>
        <v>0.7431</v>
      </c>
      <c r="AE14" s="139">
        <f t="shared" si="10"/>
        <v>-0.03128666406</v>
      </c>
      <c r="AF14" s="137">
        <f>IF($A14="","",IFERROR(SUMPRODUCT((Raw_Data_Daily!$B$2:$B$9999="Control")*(Raw_Data_Daily!$A$2:$A$9999=$A14)*(Raw_Data_Daily!$C$2:$C$9999=$C$3)*Raw_Data_Daily!$D$2:$D$9999*Raw_Data_Daily!$N$2:$N$9999)/SUMIFS(Raw_Data_Daily!$D:$D, Raw_Data_Daily!$B:$B, "Control", Raw_Data_Daily!$A:$A, $A14, Raw_Data_Daily!$C:$C, $C$3),""))</f>
        <v>0.3498</v>
      </c>
      <c r="AG14" s="137">
        <f>IF($A14="","",IFERROR(SUMPRODUCT((Raw_Data_Daily!$B$2:$B$9999="Variant")*(Raw_Data_Daily!$A$2:$A$9999=$A14)*(Raw_Data_Daily!$C$2:$C$9999=$C$3)*Raw_Data_Daily!$D$2:$D$9999*Raw_Data_Daily!$N$2:$N$9999)/SUMIFS(Raw_Data_Daily!$D:$D, Raw_Data_Daily!$B:$B, "Variant", Raw_Data_Daily!$A:$A, $A14, Raw_Data_Daily!$C:$C, $C$3),""))</f>
        <v>0.373</v>
      </c>
      <c r="AH14" s="139">
        <f t="shared" si="11"/>
        <v>0.06632361349</v>
      </c>
      <c r="AI14" s="137">
        <f>IF($A14="","",IFERROR(SUMPRODUCT((Raw_Data_Daily!$B$2:$B$9999="Control")*(Raw_Data_Daily!$A$2:$A$9999=$A14)*(Raw_Data_Daily!$C$2:$C$9999=$C$3)*Raw_Data_Daily!$D$2:$D$9999*Raw_Data_Daily!$O$2:$O$9999)/SUMIFS(Raw_Data_Daily!$D:$D, Raw_Data_Daily!$B:$B, "Control", Raw_Data_Daily!$A:$A, $A14, Raw_Data_Daily!$C:$C, $C$3),""))</f>
        <v>0.2367</v>
      </c>
      <c r="AJ14" s="137">
        <f>IF($A14="","",IFERROR(SUMPRODUCT((Raw_Data_Daily!$B$2:$B$9999="Variant")*(Raw_Data_Daily!$A$2:$A$9999=$A14)*(Raw_Data_Daily!$C$2:$C$9999=$C$3)*Raw_Data_Daily!$D$2:$D$9999*Raw_Data_Daily!$O$2:$O$9999)/SUMIFS(Raw_Data_Daily!$D:$D, Raw_Data_Daily!$B:$B, "Variant", Raw_Data_Daily!$A:$A, $A14, Raw_Data_Daily!$C:$C, $C$3),""))</f>
        <v>0.2469</v>
      </c>
      <c r="AK14" s="130">
        <f t="shared" si="12"/>
        <v>0.04309252218</v>
      </c>
      <c r="AL14" s="132">
        <f>IF($A14="","",IFERROR(SUMPRODUCT((Raw_Data_Daily!$B$2:$B$9999="Control")*(Raw_Data_Daily!$A$2:$A$9999=$A14)*(Raw_Data_Daily!$C$2:$C$9999=$C$3)*Raw_Data_Daily!$D$2:$D$9999*Raw_Data_Daily!$P$2:$P$9999)/SUMIFS(Raw_Data_Daily!$D:$D, Raw_Data_Daily!$B:$B, "Control", Raw_Data_Daily!$A:$A, $A14, Raw_Data_Daily!$C:$C, $C$3),""))</f>
        <v>1.3035</v>
      </c>
      <c r="AM14" s="132">
        <f>IF($A14="","",IFERROR(SUMPRODUCT((Raw_Data_Daily!$B$2:$B$9999="Variant")*(Raw_Data_Daily!$A$2:$A$9999=$A14)*(Raw_Data_Daily!$C$2:$C$9999=$C$3)*Raw_Data_Daily!$D$2:$D$9999*Raw_Data_Daily!$P$2:$P$9999)/SUMIFS(Raw_Data_Daily!$D:$D, Raw_Data_Daily!$B:$B, "Variant", Raw_Data_Daily!$A:$A, $A14, Raw_Data_Daily!$C:$C, $C$3),""))</f>
        <v>1.3457</v>
      </c>
      <c r="AN14" s="130">
        <f t="shared" si="13"/>
        <v>0.03237437668</v>
      </c>
      <c r="AO14" s="132">
        <f>IF($A14="","",IFERROR(SUMPRODUCT((Raw_Data_Daily!$B$2:$B$9999="Control")*(Raw_Data_Daily!$A$2:$A$9999=$A14)*(Raw_Data_Daily!$C$2:$C$9999=$C$3)*Raw_Data_Daily!$D$2:$D$9999*Raw_Data_Daily!$Q$2:$Q$9999)/SUMIFS(Raw_Data_Daily!$D:$D, Raw_Data_Daily!$B:$B, "Control", Raw_Data_Daily!$A:$A, $A14, Raw_Data_Daily!$C:$C, $C$3),""))</f>
        <v>379.55</v>
      </c>
      <c r="AP14" s="132">
        <f>IF($A14="","",IFERROR(SUMPRODUCT((Raw_Data_Daily!$B$2:$B$9999="Variant")*(Raw_Data_Daily!$A$2:$A$9999=$A14)*(Raw_Data_Daily!$C$2:$C$9999=$C$3)*Raw_Data_Daily!$D$2:$D$9999*Raw_Data_Daily!$Q$2:$Q$9999)/SUMIFS(Raw_Data_Daily!$D:$D, Raw_Data_Daily!$B:$B, "Variant", Raw_Data_Daily!$A:$A, $A14, Raw_Data_Daily!$C:$C, $C$3),""))</f>
        <v>345.88</v>
      </c>
      <c r="AQ14" s="127">
        <f t="shared" si="14"/>
        <v>-0.08871031485</v>
      </c>
      <c r="AR14" s="132">
        <f>IF($A14="","",IFERROR(SUMPRODUCT((Raw_Data_Daily!$B$2:$B$9999="Control")*(Raw_Data_Daily!$A$2:$A$9999=$A14)*(Raw_Data_Daily!$C$2:$C$9999=$C$3)*Raw_Data_Daily!$D$2:$D$9999*Raw_Data_Daily!$R$2:$R$9999)/SUMIFS(Raw_Data_Daily!$D:$D, Raw_Data_Daily!$B:$B, "Control", Raw_Data_Daily!$A:$A, $A14, Raw_Data_Daily!$C:$C, $C$3),""))</f>
        <v>268.8</v>
      </c>
      <c r="AS14" s="132">
        <f>IF($A14="","",IFERROR(SUMPRODUCT((Raw_Data_Daily!$B$2:$B$9999="Variant")*(Raw_Data_Daily!$A$2:$A$9999=$A14)*(Raw_Data_Daily!$C$2:$C$9999=$C$3)*Raw_Data_Daily!$D$2:$D$9999*Raw_Data_Daily!$R$2:$R$9999)/SUMIFS(Raw_Data_Daily!$D:$D, Raw_Data_Daily!$B:$B, "Variant", Raw_Data_Daily!$A:$A, $A14, Raw_Data_Daily!$C:$C, $C$3),""))</f>
        <v>315.31</v>
      </c>
      <c r="AT14" s="127">
        <f t="shared" si="15"/>
        <v>0.1730282738</v>
      </c>
      <c r="AU14" s="132">
        <f>IF($A14="","",IFERROR(SUMPRODUCT((Raw_Data_Daily!$B$2:$B$9999="Control")*(Raw_Data_Daily!$A$2:$A$9999=$A14)*(Raw_Data_Daily!$C$2:$C$9999=$C$3)*Raw_Data_Daily!$D$2:$D$9999*Raw_Data_Daily!$S$2:$S$9999)/SUMIFS(Raw_Data_Daily!$D:$D, Raw_Data_Daily!$B:$B, "Control", Raw_Data_Daily!$A:$A, $A14, Raw_Data_Daily!$C:$C, $C$3),""))</f>
        <v>110.75</v>
      </c>
      <c r="AV14" s="132">
        <f>IF($A14="","",IFERROR(SUMPRODUCT((Raw_Data_Daily!$B$2:$B$9999="Variant")*(Raw_Data_Daily!$A$2:$A$9999=$A14)*(Raw_Data_Daily!$C$2:$C$9999=$C$3)*Raw_Data_Daily!$D$2:$D$9999*Raw_Data_Daily!$S$2:$S$9999)/SUMIFS(Raw_Data_Daily!$D:$D, Raw_Data_Daily!$B:$B, "Variant", Raw_Data_Daily!$A:$A, $A14, Raw_Data_Daily!$C:$C, $C$3),""))</f>
        <v>30.57</v>
      </c>
      <c r="AW14" s="127">
        <f t="shared" si="16"/>
        <v>-0.723972912</v>
      </c>
      <c r="AX14" s="132">
        <f>IF($A14="","",IFERROR(SUMPRODUCT((Raw_Data_Daily!$B$2:$B$9999="Control")*(Raw_Data_Daily!$A$2:$A$9999=$A14)*(Raw_Data_Daily!$C$2:$C$9999=$C$3)*Raw_Data_Daily!$D$2:$D$9999*Raw_Data_Daily!$T$2:$T$9999)/SUMIFS(Raw_Data_Daily!$D:$D, Raw_Data_Daily!$B:$B, "Control", Raw_Data_Daily!$A:$A, $A14, Raw_Data_Daily!$C:$C, $C$3),""))</f>
        <v>20.18</v>
      </c>
      <c r="AY14" s="132">
        <f>IF($A14="","",IFERROR(SUMPRODUCT((Raw_Data_Daily!$B$2:$B$9999="Variant")*(Raw_Data_Daily!$A$2:$A$9999=$A14)*(Raw_Data_Daily!$C$2:$C$9999=$C$3)*Raw_Data_Daily!$D$2:$D$9999*Raw_Data_Daily!$T$2:$T$9999)/SUMIFS(Raw_Data_Daily!$D:$D, Raw_Data_Daily!$B:$B, "Variant", Raw_Data_Daily!$A:$A, $A14, Raw_Data_Daily!$C:$C, $C$3),""))</f>
        <v>16.38</v>
      </c>
      <c r="AZ14" s="130">
        <f t="shared" si="17"/>
        <v>-0.1883052527</v>
      </c>
      <c r="BA14" s="132">
        <f>IF($A14="","",IFERROR(SUMPRODUCT((Raw_Data_Daily!$B$2:$B$9999="Control")*(Raw_Data_Daily!$A$2:$A$9999=$A14)*(Raw_Data_Daily!$C$2:$C$9999=$C$3)*Raw_Data_Daily!$D$2:$D$9999*Raw_Data_Daily!$U$2:$U$9999)/SUMIFS(Raw_Data_Daily!$D:$D, Raw_Data_Daily!$B:$B, "Control", Raw_Data_Daily!$A:$A, $A14, Raw_Data_Daily!$C:$C, $C$3),""))</f>
        <v>359.37</v>
      </c>
      <c r="BB14" s="132">
        <f>IF($A14="","",IFERROR(SUMPRODUCT((Raw_Data_Daily!$B$2:$B$9999="Variant")*(Raw_Data_Daily!$A$2:$A$9999=$A14)*(Raw_Data_Daily!$C$2:$C$9999=$C$3)*Raw_Data_Daily!$D$2:$D$9999*Raw_Data_Daily!$U$2:$U$9999)/SUMIFS(Raw_Data_Daily!$D:$D, Raw_Data_Daily!$B:$B, "Variant", Raw_Data_Daily!$A:$A, $A14, Raw_Data_Daily!$C:$C, $C$3),""))</f>
        <v>329.51</v>
      </c>
      <c r="BC14" s="127">
        <f t="shared" si="18"/>
        <v>-0.08308985168</v>
      </c>
      <c r="BD14" s="132">
        <f>IF($A14="","",IFERROR(SUMPRODUCT((Raw_Data_Daily!$B$2:$B$9999="Control")*(Raw_Data_Daily!$A$2:$A$9999=$A14)*(Raw_Data_Daily!$C$2:$C$9999=$C$3)*Raw_Data_Daily!$D$2:$D$9999*Raw_Data_Daily!$V$2:$V$9999)/SUMIFS(Raw_Data_Daily!$D:$D, Raw_Data_Daily!$B:$B, "Control", Raw_Data_Daily!$A:$A, $A14, Raw_Data_Daily!$C:$C, $C$3),""))</f>
        <v>337.26</v>
      </c>
      <c r="BE14" s="132">
        <f>IF($A14="","",IFERROR(SUMPRODUCT((Raw_Data_Daily!$B$2:$B$9999="Variant")*(Raw_Data_Daily!$A$2:$A$9999=$A14)*(Raw_Data_Daily!$C$2:$C$9999=$C$3)*Raw_Data_Daily!$D$2:$D$9999*Raw_Data_Daily!$V$2:$V$9999)/SUMIFS(Raw_Data_Daily!$D:$D, Raw_Data_Daily!$B:$B, "Variant", Raw_Data_Daily!$A:$A, $A14, Raw_Data_Daily!$C:$C, $C$3),""))</f>
        <v>307.91</v>
      </c>
      <c r="BF14" s="127">
        <f t="shared" si="19"/>
        <v>-0.0870248473</v>
      </c>
      <c r="BG14" s="132">
        <f>IF($A14="","",IFERROR(SUMPRODUCT((Raw_Data_Daily!$B$2:$B$9999="Control")*(Raw_Data_Daily!$A$2:$A$9999=$A14)*(Raw_Data_Daily!$C$2:$C$9999=$C$3)*Raw_Data_Daily!$D$2:$D$9999*(Raw_Data_Daily!$Q$2:$Q$9999-Raw_Data_Daily!$V$2:$V$9999))/SUMIFS(Raw_Data_Daily!$D:$D, Raw_Data_Daily!$B:$B, "Control", Raw_Data_Daily!$A:$A, $A14, Raw_Data_Daily!$C:$C, $C$3),""))</f>
        <v>42.29</v>
      </c>
      <c r="BH14" s="132">
        <f>IF($A14="","",IFERROR(SUMPRODUCT((Raw_Data_Daily!$B$2:$B$9999="Variant")*(Raw_Data_Daily!$A$2:$A$9999=$A14)*(Raw_Data_Daily!$C$2:$C$9999=$C$3)*Raw_Data_Daily!$D$2:$D$9999*(Raw_Data_Daily!$Q$2:$Q$9999-Raw_Data_Daily!$V$2:$V$9999))/SUMIFS(Raw_Data_Daily!$D:$D, Raw_Data_Daily!$B:$B, "Variant", Raw_Data_Daily!$A:$A, $A14, Raw_Data_Daily!$C:$C, $C$3),""))</f>
        <v>37.97</v>
      </c>
      <c r="BI14" s="127">
        <f t="shared" si="20"/>
        <v>-0.1021518089</v>
      </c>
      <c r="BJ14" s="132">
        <f>IF($A14="","",IFERROR(SUMPRODUCT((Raw_Data_Daily!$B$2:$B$9999="Control")*(Raw_Data_Daily!$A$2:$A$9999=$A14)*(Raw_Data_Daily!$C$2:$C$9999=$C$3)*Raw_Data_Daily!$D$2:$D$9999*Raw_Data_Daily!$W$2:$W$9999)/SUMIFS(Raw_Data_Daily!$D:$D, Raw_Data_Daily!$B:$B, "Control", Raw_Data_Daily!$A:$A, $A14, Raw_Data_Daily!$C:$C, $C$3),""))</f>
        <v>4.5986</v>
      </c>
      <c r="BK14" s="132">
        <f>IF($A14="","",IFERROR(SUMPRODUCT((Raw_Data_Daily!$B$2:$B$9999="Variant")*(Raw_Data_Daily!$A$2:$A$9999=$A14)*(Raw_Data_Daily!$C$2:$C$9999=$C$3)*Raw_Data_Daily!$D$2:$D$9999*Raw_Data_Daily!$W$2:$W$9999)/SUMIFS(Raw_Data_Daily!$D:$D, Raw_Data_Daily!$B:$B, "Variant", Raw_Data_Daily!$A:$A, $A14, Raw_Data_Daily!$C:$C, $C$3),""))</f>
        <v>3.964</v>
      </c>
      <c r="BL14" s="127">
        <f t="shared" si="21"/>
        <v>-0.1379985213</v>
      </c>
      <c r="BM14" s="137">
        <f>IF($A14="","",IFERROR(SUMPRODUCT((Raw_Data_Daily!$B$2:$B$9999="Control")*(Raw_Data_Daily!$A$2:$A$9999=$A14)*(Raw_Data_Daily!$C$2:$C$9999=$C$3)*Raw_Data_Daily!$D$2:$D$9999*Raw_Data_Daily!$X$2:$X$9999)/SUMIFS(Raw_Data_Daily!$D:$D, Raw_Data_Daily!$B:$B, "Control", Raw_Data_Daily!$A:$A, $A14, Raw_Data_Daily!$C:$C, $C$3),""))</f>
        <v>5.32</v>
      </c>
      <c r="BN14" s="137">
        <f>IF($A14="","",IFERROR(SUMPRODUCT((Raw_Data_Daily!$B$2:$B$9999="Variant")*(Raw_Data_Daily!$A$2:$A$9999=$A14)*(Raw_Data_Daily!$C$2:$C$9999=$C$3)*Raw_Data_Daily!$D$2:$D$9999*Raw_Data_Daily!$X$2:$X$9999)/SUMIFS(Raw_Data_Daily!$D:$D, Raw_Data_Daily!$B:$B, "Variant", Raw_Data_Daily!$A:$A, $A14, Raw_Data_Daily!$C:$C, $C$3),""))</f>
        <v>4.74</v>
      </c>
      <c r="BO14" s="130">
        <f t="shared" si="22"/>
        <v>-0.1090225564</v>
      </c>
      <c r="BP14" s="126">
        <f>IF($A14="","",IFERROR(SUMPRODUCT((Raw_Data_Daily!$B$2:$B$9999="Control")*(Raw_Data_Daily!$A$2:$A$9999=$A14)*(Raw_Data_Daily!$C$2:$C$9999=$C$3)*Raw_Data_Daily!$D$2:$D$9999*Raw_Data_Daily!$Y$2:$Y$9999)/SUMIFS(Raw_Data_Daily!$D:$D, Raw_Data_Daily!$B:$B, "Control", Raw_Data_Daily!$A:$A, $A14, Raw_Data_Daily!$C:$C, $C$3),""))</f>
        <v>383</v>
      </c>
      <c r="BQ14" s="126">
        <f>IF($A14="","",IFERROR(SUMPRODUCT((Raw_Data_Daily!$B$2:$B$9999="Variant")*(Raw_Data_Daily!$A$2:$A$9999=$A14)*(Raw_Data_Daily!$C$2:$C$9999=$C$3)*Raw_Data_Daily!$D$2:$D$9999*Raw_Data_Daily!$Y$2:$Y$9999)/SUMIFS(Raw_Data_Daily!$D:$D, Raw_Data_Daily!$B:$B, "Variant", Raw_Data_Daily!$A:$A, $A14, Raw_Data_Daily!$C:$C, $C$3),""))</f>
        <v>343</v>
      </c>
      <c r="BR14" s="127">
        <f t="shared" si="23"/>
        <v>-0.1044386423</v>
      </c>
      <c r="BS14" s="126">
        <f>IF($A14="","",IFERROR(SUMPRODUCT((Raw_Data_Daily!$B$2:$B$9999="Control")*(Raw_Data_Daily!$A$2:$A$9999=$A14)*(Raw_Data_Daily!$C$2:$C$9999=$C$3)*Raw_Data_Daily!$D$2:$D$9999*Raw_Data_Daily!$Z$2:$Z$9999)/SUMIFS(Raw_Data_Daily!$D:$D, Raw_Data_Daily!$B:$B, "Control", Raw_Data_Daily!$A:$A, $A14, Raw_Data_Daily!$C:$C, $C$3),""))</f>
        <v>705</v>
      </c>
      <c r="BT14" s="126">
        <f>IF($A14="","",IFERROR(SUMPRODUCT((Raw_Data_Daily!$B$2:$B$9999="Variant")*(Raw_Data_Daily!$A$2:$A$9999=$A14)*(Raw_Data_Daily!$C$2:$C$9999=$C$3)*Raw_Data_Daily!$D$2:$D$9999*Raw_Data_Daily!$Z$2:$Z$9999)/SUMIFS(Raw_Data_Daily!$D:$D, Raw_Data_Daily!$B:$B, "Variant", Raw_Data_Daily!$A:$A, $A14, Raw_Data_Daily!$C:$C, $C$3),""))</f>
        <v>615</v>
      </c>
      <c r="BU14" s="127">
        <f t="shared" si="24"/>
        <v>-0.1276595745</v>
      </c>
      <c r="BV14" s="126">
        <f>IF($A14="","",IFERROR(SUMPRODUCT((Raw_Data_Daily!$B$2:$B$9999="Control")*(Raw_Data_Daily!$A$2:$A$9999=$A14)*(Raw_Data_Daily!$C$2:$C$9999=$C$3)*Raw_Data_Daily!$D$2:$D$9999*Raw_Data_Daily!$AA$2:$AA$9999)/SUMIFS(Raw_Data_Daily!$D:$D, Raw_Data_Daily!$B:$B, "Control", Raw_Data_Daily!$A:$A, $A14, Raw_Data_Daily!$C:$C, $C$3),""))</f>
        <v>1713</v>
      </c>
      <c r="BW14" s="126">
        <f>IF($A14="","",IFERROR(SUMPRODUCT((Raw_Data_Daily!$B$2:$B$9999="Variant")*(Raw_Data_Daily!$A$2:$A$9999=$A14)*(Raw_Data_Daily!$C$2:$C$9999=$C$3)*Raw_Data_Daily!$D$2:$D$9999*Raw_Data_Daily!$AA$2:$AA$9999)/SUMIFS(Raw_Data_Daily!$D:$D, Raw_Data_Daily!$B:$B, "Variant", Raw_Data_Daily!$A:$A, $A14, Raw_Data_Daily!$C:$C, $C$3),""))</f>
        <v>1369</v>
      </c>
      <c r="BX14" s="127">
        <f t="shared" si="25"/>
        <v>-0.2008172796</v>
      </c>
      <c r="BY14" s="132">
        <f>IF($A14="","",IFERROR(SUMPRODUCT((Raw_Data_Daily!$B$2:$B$9999="Control")*(Raw_Data_Daily!$A$2:$A$9999=$A14)*(Raw_Data_Daily!$C$2:$C$9999=$C$3)*Raw_Data_Daily!$D$2:$D$9999*Raw_Data_Daily!$AB$2:$AB$9999)/SUMIFS(Raw_Data_Daily!$D:$D, Raw_Data_Daily!$B:$B, "Control", Raw_Data_Daily!$A:$A, $A14, Raw_Data_Daily!$C:$C, $C$3),""))</f>
        <v>55.7463</v>
      </c>
      <c r="BZ14" s="132">
        <f>IF($A14="","",IFERROR(SUMPRODUCT((Raw_Data_Daily!$B$2:$B$9999="Variant")*(Raw_Data_Daily!$A$2:$A$9999=$A14)*(Raw_Data_Daily!$C$2:$C$9999=$C$3)*Raw_Data_Daily!$D$2:$D$9999*Raw_Data_Daily!$AB$2:$AB$9999)/SUMIFS(Raw_Data_Daily!$D:$D, Raw_Data_Daily!$B:$B, "Variant", Raw_Data_Daily!$A:$A, $A14, Raw_Data_Daily!$C:$C, $C$3),""))</f>
        <v>55.4744</v>
      </c>
      <c r="CA14" s="130">
        <f t="shared" si="26"/>
        <v>-0.00487745375</v>
      </c>
      <c r="CB14" s="132">
        <f>IF($A14="","",IFERROR(SUMPRODUCT((Raw_Data_Daily!$B$2:$B$9999="Control")*(Raw_Data_Daily!$A$2:$A$9999=$A14)*(Raw_Data_Daily!$C$2:$C$9999=$C$3)*Raw_Data_Daily!$D$2:$D$9999*Raw_Data_Daily!$AC$2:$AC$9999)/SUMIFS(Raw_Data_Daily!$D:$D, Raw_Data_Daily!$B:$B, "Control", Raw_Data_Daily!$A:$A, $A14, Raw_Data_Daily!$C:$C, $C$3),""))</f>
        <v>0.746</v>
      </c>
      <c r="CC14" s="132">
        <f>IF($A14="","",IFERROR(SUMPRODUCT((Raw_Data_Daily!$B$2:$B$9999="Variant")*(Raw_Data_Daily!$A$2:$A$9999=$A14)*(Raw_Data_Daily!$C$2:$C$9999=$C$3)*Raw_Data_Daily!$D$2:$D$9999*Raw_Data_Daily!$AC$2:$AC$9999)/SUMIFS(Raw_Data_Daily!$D:$D, Raw_Data_Daily!$B:$B, "Variant", Raw_Data_Daily!$A:$A, $A14, Raw_Data_Daily!$C:$C, $C$3),""))</f>
        <v>0.7125</v>
      </c>
      <c r="CD14" s="130">
        <f t="shared" si="27"/>
        <v>-0.04490616622</v>
      </c>
      <c r="CE14" s="132">
        <f>IF($A14="","",IFERROR(SUMPRODUCT((Raw_Data_Daily!$B$2:$B$9999="Control")*(Raw_Data_Daily!$A$2:$A$9999=$A14)*(Raw_Data_Daily!$C$2:$C$9999=$C$3)*Raw_Data_Daily!$D$2:$D$9999*Raw_Data_Daily!$AD$2:$AD$9999)/SUMIFS(Raw_Data_Daily!$D:$D, Raw_Data_Daily!$B:$B, "Control", Raw_Data_Daily!$A:$A, $A14, Raw_Data_Daily!$C:$C, $C$3),""))</f>
        <v>30.08</v>
      </c>
      <c r="CF14" s="132">
        <f>IF($A14="","",IFERROR(SUMPRODUCT((Raw_Data_Daily!$B$2:$B$9999="Variant")*(Raw_Data_Daily!$A$2:$A$9999=$A14)*(Raw_Data_Daily!$C$2:$C$9999=$C$3)*Raw_Data_Daily!$D$2:$D$9999*Raw_Data_Daily!$AD$2:$AD$9999)/SUMIFS(Raw_Data_Daily!$D:$D, Raw_Data_Daily!$B:$B, "Variant", Raw_Data_Daily!$A:$A, $A14, Raw_Data_Daily!$C:$C, $C$3),""))</f>
        <v>28.91</v>
      </c>
      <c r="CG14" s="130">
        <f t="shared" si="28"/>
        <v>-0.0388962766</v>
      </c>
      <c r="CH14" s="132">
        <f>IF($A14="","",IFERROR(SUMPRODUCT((Raw_Data_Daily!$B$2:$B$9999="Control")*(Raw_Data_Daily!$A$2:$A$9999=$A14)*(Raw_Data_Daily!$C$2:$C$9999=$C$3)*Raw_Data_Daily!$D$2:$D$9999*Raw_Data_Daily!$AE$2:$AE$9999)/SUMIFS(Raw_Data_Daily!$D:$D, Raw_Data_Daily!$B:$B, "Control", Raw_Data_Daily!$A:$A, $A14, Raw_Data_Daily!$C:$C, $C$3),""))</f>
        <v>12</v>
      </c>
      <c r="CI14" s="132">
        <f>IF($A14="","",IFERROR(SUMPRODUCT((Raw_Data_Daily!$B$2:$B$9999="Variant")*(Raw_Data_Daily!$A$2:$A$9999=$A14)*(Raw_Data_Daily!$C$2:$C$9999=$C$3)*Raw_Data_Daily!$D$2:$D$9999*Raw_Data_Daily!$AE$2:$AE$9999)/SUMIFS(Raw_Data_Daily!$D:$D, Raw_Data_Daily!$B:$B, "Variant", Raw_Data_Daily!$A:$A, $A14, Raw_Data_Daily!$C:$C, $C$3),""))</f>
        <v>11</v>
      </c>
      <c r="CJ14" s="130">
        <f t="shared" si="29"/>
        <v>-0.08333333333</v>
      </c>
      <c r="CK14" s="132">
        <f>IF($A14="","",IFERROR(SUMPRODUCT((Raw_Data_Daily!$B$2:$B$9999="Control")*(Raw_Data_Daily!$A$2:$A$9999=$A14)*(Raw_Data_Daily!$C$2:$C$9999=$C$3)*Raw_Data_Daily!$D$2:$D$9999*Raw_Data_Daily!$AF$2:$AF$9999)/SUMIFS(Raw_Data_Daily!$D:$D, Raw_Data_Daily!$B:$B, "Control", Raw_Data_Daily!$A:$A, $A14, Raw_Data_Daily!$C:$C, $C$3),""))</f>
        <v>23</v>
      </c>
      <c r="CL14" s="132">
        <f>IF($A14="","",IFERROR(SUMPRODUCT((Raw_Data_Daily!$B$2:$B$9999="Variant")*(Raw_Data_Daily!$A$2:$A$9999=$A14)*(Raw_Data_Daily!$C$2:$C$9999=$C$3)*Raw_Data_Daily!$D$2:$D$9999*Raw_Data_Daily!$AF$2:$AF$9999)/SUMIFS(Raw_Data_Daily!$D:$D, Raw_Data_Daily!$B:$B, "Variant", Raw_Data_Daily!$A:$A, $A14, Raw_Data_Daily!$C:$C, $C$3),""))</f>
        <v>22</v>
      </c>
      <c r="CM14" s="130">
        <f t="shared" si="30"/>
        <v>-0.04347826087</v>
      </c>
      <c r="CN14" s="132">
        <f>IF($A14="","",IFERROR(SUMPRODUCT((Raw_Data_Daily!$B$2:$B$9999="Control")*(Raw_Data_Daily!$A$2:$A$9999=$A14)*(Raw_Data_Daily!$C$2:$C$9999=$C$3)*Raw_Data_Daily!$D$2:$D$9999*Raw_Data_Daily!$AG$2:$AG$9999)/SUMIFS(Raw_Data_Daily!$D:$D, Raw_Data_Daily!$B:$B, "Control", Raw_Data_Daily!$A:$A, $A14, Raw_Data_Daily!$C:$C, $C$3),""))</f>
        <v>41</v>
      </c>
      <c r="CO14" s="132">
        <f>IF($A14="","",IFERROR(SUMPRODUCT((Raw_Data_Daily!$B$2:$B$9999="Variant")*(Raw_Data_Daily!$A$2:$A$9999=$A14)*(Raw_Data_Daily!$C$2:$C$9999=$C$3)*Raw_Data_Daily!$D$2:$D$9999*Raw_Data_Daily!$AG$2:$AG$9999)/SUMIFS(Raw_Data_Daily!$D:$D, Raw_Data_Daily!$B:$B, "Variant", Raw_Data_Daily!$A:$A, $A14, Raw_Data_Daily!$C:$C, $C$3),""))</f>
        <v>40</v>
      </c>
      <c r="CP14" s="130">
        <f t="shared" si="31"/>
        <v>-0.0243902439</v>
      </c>
      <c r="CQ14" s="132">
        <f>IF($A14="","",IFERROR(SUMPRODUCT((Raw_Data_Daily!$B$2:$B$9999="Control")*(Raw_Data_Daily!$A$2:$A$9999=$A14)*(Raw_Data_Daily!$C$2:$C$9999=$C$3)*Raw_Data_Daily!$D$2:$D$9999*Raw_Data_Daily!$AH$2:$AH$9999)/SUMIFS(Raw_Data_Daily!$D:$D, Raw_Data_Daily!$B:$B, "Control", Raw_Data_Daily!$A:$A, $A14, Raw_Data_Daily!$C:$C, $C$3),""))</f>
        <v>62</v>
      </c>
      <c r="CR14" s="132">
        <f>IF($A14="","",IFERROR(SUMPRODUCT((Raw_Data_Daily!$B$2:$B$9999="Variant")*(Raw_Data_Daily!$A$2:$A$9999=$A14)*(Raw_Data_Daily!$C$2:$C$9999=$C$3)*Raw_Data_Daily!$D$2:$D$9999*Raw_Data_Daily!$AH$2:$AH$9999)/SUMIFS(Raw_Data_Daily!$D:$D, Raw_Data_Daily!$B:$B, "Variant", Raw_Data_Daily!$A:$A, $A14, Raw_Data_Daily!$C:$C, $C$3),""))</f>
        <v>60</v>
      </c>
      <c r="CS14" s="130">
        <f t="shared" si="32"/>
        <v>-0.03225806452</v>
      </c>
      <c r="CT14" s="128">
        <f>IF($A14="","",IFERROR(SUMPRODUCT((Raw_Data_Daily!$B$2:$B$9999="Control")*(Raw_Data_Daily!$A$2:$A$9999=$A14)*(Raw_Data_Daily!$C$2:$C$9999=$C$3)*Raw_Data_Daily!$D$2:$D$9999*Raw_Data_Daily!$AI$2:$AI$9999)/SUMIFS(Raw_Data_Daily!$D:$D, Raw_Data_Daily!$B:$B, "Control", Raw_Data_Daily!$A:$A, $A14, Raw_Data_Daily!$C:$C, $C$3),""))</f>
        <v>42.56</v>
      </c>
      <c r="CU14" s="128">
        <f>IF($A14="","",IFERROR(SUMPRODUCT((Raw_Data_Daily!$B$2:$B$9999="Variant")*(Raw_Data_Daily!$A$2:$A$9999=$A14)*(Raw_Data_Daily!$C$2:$C$9999=$C$3)*Raw_Data_Daily!$D$2:$D$9999*Raw_Data_Daily!$AI$2:$AI$9999)/SUMIFS(Raw_Data_Daily!$D:$D, Raw_Data_Daily!$B:$B, "Variant", Raw_Data_Daily!$A:$A, $A14, Raw_Data_Daily!$C:$C, $C$3),""))</f>
        <v>41.01</v>
      </c>
      <c r="CV14" s="139">
        <f t="shared" si="33"/>
        <v>-0.03641917293</v>
      </c>
      <c r="CW14" s="128">
        <f>IF($A14="","",IFERROR(SUMPRODUCT((Raw_Data_Daily!$B$2:$B$9999="Control")*(Raw_Data_Daily!$A$2:$A$9999=$A14)*(Raw_Data_Daily!$C$2:$C$9999=$C$3)*Raw_Data_Daily!$D$2:$D$9999*Raw_Data_Daily!$AJ$2:$AJ$9999)/SUMIFS(Raw_Data_Daily!$D:$D, Raw_Data_Daily!$B:$B, "Control", Raw_Data_Daily!$A:$A, $A14, Raw_Data_Daily!$C:$C, $C$3),""))</f>
        <v>11.02</v>
      </c>
      <c r="CX14" s="128">
        <f>IF($A14="","",IFERROR(SUMPRODUCT((Raw_Data_Daily!$B$2:$B$9999="Variant")*(Raw_Data_Daily!$A$2:$A$9999=$A14)*(Raw_Data_Daily!$C$2:$C$9999=$C$3)*Raw_Data_Daily!$D$2:$D$9999*Raw_Data_Daily!$AJ$2:$AJ$9999)/SUMIFS(Raw_Data_Daily!$D:$D, Raw_Data_Daily!$B:$B, "Variant", Raw_Data_Daily!$A:$A, $A14, Raw_Data_Daily!$C:$C, $C$3),""))</f>
        <v>10.15</v>
      </c>
      <c r="CY14" s="139">
        <f t="shared" si="34"/>
        <v>-0.07894736842</v>
      </c>
      <c r="CZ14" s="128">
        <f>IF($A14="","",IFERROR(SUMPRODUCT((Raw_Data_Daily!$B$2:$B$9999="Control")*(Raw_Data_Daily!$A$2:$A$9999=$A14)*(Raw_Data_Daily!$C$2:$C$9999=$C$3)*Raw_Data_Daily!$D$2:$D$9999*Raw_Data_Daily!$AK$2:$AK$9999)/SUMIFS(Raw_Data_Daily!$D:$D, Raw_Data_Daily!$B:$B, "Control", Raw_Data_Daily!$A:$A, $A14, Raw_Data_Daily!$C:$C, $C$3),""))</f>
        <v>2.55</v>
      </c>
      <c r="DA14" s="128">
        <f>IF($A14="","",IFERROR(SUMPRODUCT((Raw_Data_Daily!$B$2:$B$9999="Variant")*(Raw_Data_Daily!$A$2:$A$9999=$A14)*(Raw_Data_Daily!$C$2:$C$9999=$C$3)*Raw_Data_Daily!$D$2:$D$9999*Raw_Data_Daily!$AK$2:$AK$9999)/SUMIFS(Raw_Data_Daily!$D:$D, Raw_Data_Daily!$B:$B, "Variant", Raw_Data_Daily!$A:$A, $A14, Raw_Data_Daily!$C:$C, $C$3),""))</f>
        <v>1.9</v>
      </c>
      <c r="DB14" s="130">
        <f t="shared" si="35"/>
        <v>-0.2549019608</v>
      </c>
      <c r="DC14" s="137">
        <f>IF($A14="","",IFERROR(SUMPRODUCT((Raw_Data_Daily!$B$2:$B$9999="Control")*(Raw_Data_Daily!$A$2:$A$9999=$A14)*(Raw_Data_Daily!$C$2:$C$9999=$C$3)*Raw_Data_Daily!$D$2:$D$9999*Raw_Data_Daily!$AL$2:$AL$9999)/SUMIFS(Raw_Data_Daily!$D:$D, Raw_Data_Daily!$B:$B, "Control", Raw_Data_Daily!$A:$A, $A14, Raw_Data_Daily!$C:$C, $C$3),""))</f>
        <v>0.1637</v>
      </c>
      <c r="DD14" s="137">
        <f>IF($A14="","",IFERROR(SUMPRODUCT((Raw_Data_Daily!$B$2:$B$9999="Variant")*(Raw_Data_Daily!$A$2:$A$9999=$A14)*(Raw_Data_Daily!$C$2:$C$9999=$C$3)*Raw_Data_Daily!$D$2:$D$9999*Raw_Data_Daily!$AL$2:$AL$9999)/SUMIFS(Raw_Data_Daily!$D:$D, Raw_Data_Daily!$B:$B, "Variant", Raw_Data_Daily!$A:$A, $A14, Raw_Data_Daily!$C:$C, $C$3),""))</f>
        <v>0.1674</v>
      </c>
      <c r="DE14" s="139">
        <f t="shared" si="36"/>
        <v>0.02260232132</v>
      </c>
      <c r="DF14" s="159"/>
      <c r="DG14" s="128">
        <f>IF($A14="","",IFERROR(SUMPRODUCT((Raw_Data_Daily!$B$2:$B$9999="Variant")*(Raw_Data_Daily!$A$2:$A$9999=$A14)*(Raw_Data_Daily!$C$2:$C$9999=$C$3)*Raw_Data_Daily!$D$2:$D$9999*Raw_Data_Daily!$AM$2:$AM$9999)/SUMIFS(Raw_Data_Daily!$D:$D, Raw_Data_Daily!$B:$B, "Variant", Raw_Data_Daily!$A:$A, $A14, Raw_Data_Daily!$C:$C, $C$3),""))</f>
        <v>47.74</v>
      </c>
      <c r="DH14" s="160"/>
      <c r="DI14" s="159"/>
      <c r="DJ14" s="128">
        <f>IF($A14="","",IFERROR(SUMPRODUCT((Raw_Data_Daily!$B$2:$B$9999="Variant")*(Raw_Data_Daily!$A$2:$A$9999=$A14)*(Raw_Data_Daily!$C$2:$C$9999=$C$3)*Raw_Data_Daily!$D$2:$D$9999*Raw_Data_Daily!$AN$2:$AN$9999)/SUMIFS(Raw_Data_Daily!$D:$D, Raw_Data_Daily!$B:$B, "Variant", Raw_Data_Daily!$A:$A, $A14, Raw_Data_Daily!$C:$C, $C$3),""))</f>
        <v>47.74</v>
      </c>
      <c r="DK14" s="160"/>
      <c r="DL14" s="159"/>
      <c r="DM14" s="128">
        <f>IF($A14="","",IFERROR(SUMPRODUCT((Raw_Data_Daily!$B$2:$B$9999="Variant")*(Raw_Data_Daily!$A$2:$A$9999=$A14)*(Raw_Data_Daily!$C$2:$C$9999=$C$3)*Raw_Data_Daily!$D$2:$D$9999*Raw_Data_Daily!$AO$2:$AO$9999)/SUMIFS(Raw_Data_Daily!$D:$D, Raw_Data_Daily!$B:$B, "Variant", Raw_Data_Daily!$A:$A, $A14, Raw_Data_Daily!$C:$C, $C$3),""))</f>
        <v>28.7</v>
      </c>
      <c r="DN14" s="160"/>
      <c r="DO14" s="159"/>
      <c r="DP14" s="128">
        <f>IF($A14="","",IFERROR(SUMPRODUCT((Raw_Data_Daily!$B$2:$B$9999="Variant")*(Raw_Data_Daily!$A$2:$A$9999=$A14)*(Raw_Data_Daily!$C$2:$C$9999=$C$3)*Raw_Data_Daily!$D$2:$D$9999*Raw_Data_Daily!$AP$2:$AP$9999)/SUMIFS(Raw_Data_Daily!$D:$D, Raw_Data_Daily!$B:$B, "Variant", Raw_Data_Daily!$A:$A, $A14, Raw_Data_Daily!$C:$C, $C$3),""))</f>
        <v>16.48</v>
      </c>
      <c r="DQ14" s="160"/>
      <c r="DR14" s="137">
        <f>IF($A14="","",IFERROR(SUMPRODUCT((Raw_Data_Daily!$B$2:$B$9999="Control")*(Raw_Data_Daily!$A$2:$A$9999=$A14)*(Raw_Data_Daily!$C$2:$C$9999=$C$3)*Raw_Data_Daily!$D$2:$D$9999*Raw_Data_Daily!$AQ$2:$AQ$9999)/SUMIFS(Raw_Data_Daily!$D:$D, Raw_Data_Daily!$B:$B, "Control", Raw_Data_Daily!$A:$A, $A14, Raw_Data_Daily!$C:$C, $C$3),""))</f>
        <v>18.3364</v>
      </c>
      <c r="DS14" s="137">
        <f>IF($A14="","",IFERROR(SUMPRODUCT((Raw_Data_Daily!$B$2:$B$9999="Variant")*(Raw_Data_Daily!$A$2:$A$9999=$A14)*(Raw_Data_Daily!$C$2:$C$9999=$C$3)*Raw_Data_Daily!$D$2:$D$9999*Raw_Data_Daily!$AQ$2:$AQ$9999)/SUMIFS(Raw_Data_Daily!$D:$D, Raw_Data_Daily!$B:$B, "Variant", Raw_Data_Daily!$A:$A, $A14, Raw_Data_Daily!$C:$C, $C$3),""))</f>
        <v>19.5306</v>
      </c>
      <c r="DT14" s="161">
        <f t="shared" si="37"/>
        <v>0.0651272878</v>
      </c>
      <c r="DU14" s="137">
        <f>IF($A14="","",IFERROR(SUMPRODUCT((Raw_Data_Daily!$B$2:$B$9999="Control")*(Raw_Data_Daily!$A$2:$A$9999=$A14)*(Raw_Data_Daily!$C$2:$C$9999=$C$3)*Raw_Data_Daily!$D$2:$D$9999*Raw_Data_Daily!$AR$2:$AR$9999)/SUMIFS(Raw_Data_Daily!$D:$D, Raw_Data_Daily!$B:$B, "Control", Raw_Data_Daily!$A:$A, $A14, Raw_Data_Daily!$C:$C, $C$3),""))</f>
        <v>0.3488</v>
      </c>
      <c r="DV14" s="137">
        <f>IF($A14="","",IFERROR(SUMPRODUCT((Raw_Data_Daily!$B$2:$B$9999="Variant")*(Raw_Data_Daily!$A$2:$A$9999=$A14)*(Raw_Data_Daily!$C$2:$C$9999=$C$3)*Raw_Data_Daily!$D$2:$D$9999*Raw_Data_Daily!$AR$2:$AR$9999)/SUMIFS(Raw_Data_Daily!$D:$D, Raw_Data_Daily!$B:$B, "Variant", Raw_Data_Daily!$A:$A, $A14, Raw_Data_Daily!$C:$C, $C$3),""))</f>
        <v>0.1864</v>
      </c>
      <c r="DW14" s="161">
        <f t="shared" si="38"/>
        <v>-0.4655963303</v>
      </c>
      <c r="DX14" s="137">
        <f>IF($A14="","",IFERROR(SUMPRODUCT((Raw_Data_Daily!$B$2:$B$9999="Control")*(Raw_Data_Daily!$A$2:$A$9999=$A14)*(Raw_Data_Daily!$C$2:$C$9999=$C$3)*Raw_Data_Daily!$D$2:$D$9999*Raw_Data_Daily!$AS$2:$AS$9999)/SUMIFS(Raw_Data_Daily!$D:$D, Raw_Data_Daily!$B:$B, "Control", Raw_Data_Daily!$A:$A, $A14, Raw_Data_Daily!$C:$C, $C$3),""))</f>
        <v>17.9876</v>
      </c>
      <c r="DY14" s="137">
        <f>IF($A14="","",IFERROR(SUMPRODUCT((Raw_Data_Daily!$B$2:$B$9999="Variant")*(Raw_Data_Daily!$A$2:$A$9999=$A14)*(Raw_Data_Daily!$C$2:$C$9999=$C$3)*Raw_Data_Daily!$D$2:$D$9999*Raw_Data_Daily!$AS$2:$AS$9999)/SUMIFS(Raw_Data_Daily!$D:$D, Raw_Data_Daily!$B:$B, "Variant", Raw_Data_Daily!$A:$A, $A14, Raw_Data_Daily!$C:$C, $C$3),""))</f>
        <v>19.3442</v>
      </c>
      <c r="DZ14" s="162">
        <f t="shared" si="39"/>
        <v>0.07541862172</v>
      </c>
      <c r="EA14" s="137">
        <f>IF($A14="","",IFERROR(SUMPRODUCT((Raw_Data_Daily!$B$2:$B$9999="Control")*(Raw_Data_Daily!$A$2:$A$9999=$A14)*(Raw_Data_Daily!$C$2:$C$9999=$C$3)*Raw_Data_Daily!$D$2:$D$9999*Raw_Data_Daily!$AT$2:$AT$9999)/SUMIFS(Raw_Data_Daily!$D:$D, Raw_Data_Daily!$B:$B, "Control", Raw_Data_Daily!$A:$A, $A14, Raw_Data_Daily!$C:$C, $C$3),""))</f>
        <v>14.1574</v>
      </c>
      <c r="EB14" s="137">
        <f>IF($A14="","",IFERROR(SUMPRODUCT((Raw_Data_Daily!$B$2:$B$9999="Variant")*(Raw_Data_Daily!$A$2:$A$9999=$A14)*(Raw_Data_Daily!$C$2:$C$9999=$C$3)*Raw_Data_Daily!$D$2:$D$9999*Raw_Data_Daily!$AT$2:$AT$9999)/SUMIFS(Raw_Data_Daily!$D:$D, Raw_Data_Daily!$B:$B, "Variant", Raw_Data_Daily!$A:$A, $A14, Raw_Data_Daily!$C:$C, $C$3),""))</f>
        <v>14.1901</v>
      </c>
      <c r="EC14" s="161">
        <f t="shared" si="40"/>
        <v>0.00230974614</v>
      </c>
      <c r="ED14" s="137">
        <f>IF($A14="","",IFERROR(SUMPRODUCT((Raw_Data_Daily!$B$2:$B$9999="Control")*(Raw_Data_Daily!$A$2:$A$9999=$A14)*(Raw_Data_Daily!$C$2:$C$9999=$C$3)*Raw_Data_Daily!$D$2:$D$9999*(Raw_Data_Daily!$AQ$2:$AQ$9999-Raw_Data_Daily!$AT$2:$AT$9999))/SUMIFS(Raw_Data_Daily!$D:$D, Raw_Data_Daily!$B:$B, "Control", Raw_Data_Daily!$A:$A, $A14, Raw_Data_Daily!$C:$C, $C$3),""))</f>
        <v>4.179</v>
      </c>
      <c r="EE14" s="137">
        <f>IF($A14="","",IFERROR(SUMPRODUCT((Raw_Data_Daily!$B$2:$B$9999="Variant")*(Raw_Data_Daily!$A$2:$A$9999=$A14)*(Raw_Data_Daily!$C$2:$C$9999=$C$3)*Raw_Data_Daily!$D$2:$D$9999*(Raw_Data_Daily!$AQ$2:$AQ$9999-Raw_Data_Daily!$AT$2:$AT$9999))/SUMIFS(Raw_Data_Daily!$D:$D, Raw_Data_Daily!$B:$B, "Variant", Raw_Data_Daily!$A:$A, $A14, Raw_Data_Daily!$C:$C, $C$3),""))</f>
        <v>5.3405</v>
      </c>
      <c r="EF14" s="162">
        <f t="shared" si="41"/>
        <v>0.2779373056</v>
      </c>
      <c r="EG14" s="137">
        <f>IF($A14="","",IFERROR(SUMPRODUCT((Raw_Data_Daily!$B$2:$B$9999="Control")*(Raw_Data_Daily!$A$2:$A$9999=$A14)*(Raw_Data_Daily!$C$2:$C$9999=$C$3)*Raw_Data_Daily!$D$2:$D$9999*Raw_Data_Daily!$AU$2:$AU$9999)/SUMIFS(Raw_Data_Daily!$D:$D, Raw_Data_Daily!$B:$B, "Control", Raw_Data_Daily!$A:$A, $A14, Raw_Data_Daily!$C:$C, $C$3),""))</f>
        <v>0.193</v>
      </c>
      <c r="EH14" s="137">
        <f>IF($A14="","",IFERROR(SUMPRODUCT((Raw_Data_Daily!$B$2:$B$9999="Variant")*(Raw_Data_Daily!$A$2:$A$9999=$A14)*(Raw_Data_Daily!$C$2:$C$9999=$C$3)*Raw_Data_Daily!$D$2:$D$9999*Raw_Data_Daily!$AU$2:$AU$9999)/SUMIFS(Raw_Data_Daily!$D:$D, Raw_Data_Daily!$B:$B, "Variant", Raw_Data_Daily!$A:$A, $A14, Raw_Data_Daily!$C:$C, $C$3),""))</f>
        <v>0.1827</v>
      </c>
      <c r="EI14" s="161">
        <f t="shared" si="42"/>
        <v>-0.05336787565</v>
      </c>
    </row>
    <row r="15" ht="15.75" customHeight="1">
      <c r="A15" s="125">
        <v>46238.0</v>
      </c>
      <c r="B15" s="126">
        <f>IF($A15="","",SUMIFS(Raw_Data_Daily!$D:$D, Raw_Data_Daily!$B:$B, "Control", Raw_Data_Daily!$A:$A, $A15, Raw_Data_Daily!$C:$C, $C$3))</f>
        <v>3013</v>
      </c>
      <c r="C15" s="126">
        <f>IF($A15="","",SUMIFS(Raw_Data_Daily!$D:$D, Raw_Data_Daily!$B:$B, "Variant", Raw_Data_Daily!$A:$A, $A15, Raw_Data_Daily!$C:$C, $C$3))</f>
        <v>2896</v>
      </c>
      <c r="D15" s="127">
        <f t="shared" si="1"/>
        <v>-0.03883172917</v>
      </c>
      <c r="E15" s="128">
        <f>IF($A15="","",IFERROR(SUMPRODUCT((Raw_Data_Daily!$B$2:$B$9999="Control")*(Raw_Data_Daily!$A$2:$A$9999=$A15)*(Raw_Data_Daily!$C$2:$C$9999=$C$3)*Raw_Data_Daily!$D$2:$D$9999*Raw_Data_Daily!$E$2:$E$9999)/SUMIFS(Raw_Data_Daily!$D:$D, Raw_Data_Daily!$B:$B, "Control", Raw_Data_Daily!$A:$A, $A15, Raw_Data_Daily!$C:$C, $C$3),""))</f>
        <v>11.69</v>
      </c>
      <c r="F15" s="128">
        <f>IF($A15="","",IFERROR(SUMPRODUCT((Raw_Data_Daily!$B$2:$B$9999="Variant")*(Raw_Data_Daily!$A$2:$A$9999=$A15)*(Raw_Data_Daily!$C$2:$C$9999=$C$3)*Raw_Data_Daily!$D$2:$D$9999*Raw_Data_Daily!$E$2:$E$9999)/SUMIFS(Raw_Data_Daily!$D:$D, Raw_Data_Daily!$B:$B, "Variant", Raw_Data_Daily!$A:$A, $A15, Raw_Data_Daily!$C:$C, $C$3),""))</f>
        <v>11.33</v>
      </c>
      <c r="G15" s="127">
        <f t="shared" si="2"/>
        <v>-0.03079555175</v>
      </c>
      <c r="H15" s="129">
        <f>IF($A15="","",SUMIFS(Raw_Data_Daily!$F:$F, Raw_Data_Daily!$B:$B, "Control", Raw_Data_Daily!$A:$A, $A15, Raw_Data_Daily!$C:$C, $C$3))</f>
        <v>680.34</v>
      </c>
      <c r="I15" s="129">
        <f>IF($A15="","",SUMIFS(Raw_Data_Daily!$F:$F, Raw_Data_Daily!$B:$B, "Variant", Raw_Data_Daily!$A:$A, $A15, Raw_Data_Daily!$C:$C, $C$3))</f>
        <v>510.28</v>
      </c>
      <c r="J15" s="130">
        <f t="shared" si="3"/>
        <v>-0.2499632537</v>
      </c>
      <c r="K15" s="131">
        <f>IF($A15="","",IFERROR(SUMIFS(Raw_Data_Daily!$F:$F, Raw_Data_Daily!$B:$B, "Control", Raw_Data_Daily!$A:$A, $A15, Raw_Data_Daily!$C:$C, $C$3)/SUMIFS(Raw_Data_Daily!$D:$D, Raw_Data_Daily!$B:$B, "Control", Raw_Data_Daily!$A:$A, $A15, Raw_Data_Daily!$C:$C, $C$3),""))</f>
        <v>0.2258015267</v>
      </c>
      <c r="L15" s="131">
        <f>IF($A15="","",IFERROR(SUMIFS(Raw_Data_Daily!$F:$F, Raw_Data_Daily!$B:$B, "Variant", Raw_Data_Daily!$A:$A, $A15, Raw_Data_Daily!$C:$C, $C$3)/SUMIFS(Raw_Data_Daily!$D:$D, Raw_Data_Daily!$B:$B, "Variant", Raw_Data_Daily!$A:$A, $A15, Raw_Data_Daily!$C:$C, $C$3),""))</f>
        <v>0.1762016575</v>
      </c>
      <c r="M15" s="130">
        <f t="shared" si="4"/>
        <v>-0.2196613547</v>
      </c>
      <c r="N15" s="128">
        <f>IF($A15="","",IFERROR(SUMPRODUCT((Raw_Data_Daily!$B$2:$B$9999="Control")*(Raw_Data_Daily!$A$2:$A$9999=$A15)*(Raw_Data_Daily!$C$2:$C$9999=$C$3)*Raw_Data_Daily!$D$2:$D$9999*Raw_Data_Daily!$H$2:$H$9999/100)/SUMIFS(Raw_Data_Daily!$D:$D, Raw_Data_Daily!$B:$B, "Control", Raw_Data_Daily!$A:$A, $A15, Raw_Data_Daily!$C:$C, $C$3)*100,""))</f>
        <v>3.55</v>
      </c>
      <c r="O15" s="128">
        <f>IF($A15="","",IFERROR(SUMPRODUCT((Raw_Data_Daily!$B$2:$B$9999="Variant")*(Raw_Data_Daily!$A$2:$A$9999=$A15)*(Raw_Data_Daily!$C$2:$C$9999=$C$3)*Raw_Data_Daily!$D$2:$D$9999*Raw_Data_Daily!$H$2:$H$9999/100)/SUMIFS(Raw_Data_Daily!$D:$D, Raw_Data_Daily!$B:$B, "Variant", Raw_Data_Daily!$A:$A, $A15, Raw_Data_Daily!$C:$C, $C$3)*100,""))</f>
        <v>3.69</v>
      </c>
      <c r="P15" s="130">
        <f t="shared" si="5"/>
        <v>0.03943661972</v>
      </c>
      <c r="Q15" s="131">
        <f>IF($A15="","",IFERROR(SUMIFS(Raw_Data_Daily!$F:$F, Raw_Data_Daily!$B:$B, "Control", Raw_Data_Daily!$A:$A, $A15, Raw_Data_Daily!$C:$C, $C$3)/SUMPRODUCT((Raw_Data_Daily!$B$2:$B$9999="Control")*(Raw_Data_Daily!$A$2:$A$9999=$A15)*(Raw_Data_Daily!$C$2:$C$9999=$C$3)*Raw_Data_Daily!$D$2:$D$9999*Raw_Data_Daily!$H$2:$H$9999/100),""))</f>
        <v>6.360606386</v>
      </c>
      <c r="R15" s="131">
        <f>IF($A15="","",IFERROR(SUMIFS(Raw_Data_Daily!$F:$F, Raw_Data_Daily!$B:$B, "Variant", Raw_Data_Daily!$A:$A, $A15, Raw_Data_Daily!$C:$C, $C$3)/SUMPRODUCT((Raw_Data_Daily!$B$2:$B$9999="Variant")*(Raw_Data_Daily!$A$2:$A$9999=$A15)*(Raw_Data_Daily!$C$2:$C$9999=$C$3)*Raw_Data_Daily!$D$2:$D$9999*Raw_Data_Daily!$H$2:$H$9999/100),""))</f>
        <v>4.775112668</v>
      </c>
      <c r="S15" s="130">
        <f t="shared" si="6"/>
        <v>-0.249267699</v>
      </c>
      <c r="T15" s="132">
        <f>IF($A15="","",IFERROR(SUMPRODUCT((Raw_Data_Daily!$B$2:$B$9999="Control")*(Raw_Data_Daily!$A$2:$A$9999=$A15)*(Raw_Data_Daily!$C$2:$C$9999=$C$3)*Raw_Data_Daily!$D$2:$D$9999*Raw_Data_Daily!$J$2:$J$9999)/SUMIFS(Raw_Data_Daily!$D:$D, Raw_Data_Daily!$B:$B, "Control", Raw_Data_Daily!$A:$A, $A15, Raw_Data_Daily!$C:$C, $C$3),""))</f>
        <v>107.6</v>
      </c>
      <c r="U15" s="132">
        <f>IF($A15="","",IFERROR(SUMPRODUCT((Raw_Data_Daily!$B$2:$B$9999="Variant")*(Raw_Data_Daily!$A$2:$A$9999=$A15)*(Raw_Data_Daily!$C$2:$C$9999=$C$3)*Raw_Data_Daily!$D$2:$D$9999*Raw_Data_Daily!$J$2:$J$9999)/SUMIFS(Raw_Data_Daily!$D:$D, Raw_Data_Daily!$B:$B, "Variant", Raw_Data_Daily!$A:$A, $A15, Raw_Data_Daily!$C:$C, $C$3),""))</f>
        <v>117.37</v>
      </c>
      <c r="V15" s="130">
        <f t="shared" si="7"/>
        <v>0.09079925651</v>
      </c>
      <c r="W15" s="132">
        <f>IF($A15="","",IFERROR(SUMPRODUCT((Raw_Data_Daily!$B$2:$B$9999="Control")*(Raw_Data_Daily!$A$2:$A$9999=$A15)*(Raw_Data_Daily!$C$2:$C$9999=$C$3)*Raw_Data_Daily!$D$2:$D$9999*Raw_Data_Daily!$K$2:$K$9999)/SUMIFS(Raw_Data_Daily!$D:$D, Raw_Data_Daily!$B:$B, "Control", Raw_Data_Daily!$A:$A, $A15, Raw_Data_Daily!$C:$C, $C$3),""))</f>
        <v>67.95</v>
      </c>
      <c r="X15" s="132">
        <f>IF($A15="","",IFERROR(SUMPRODUCT((Raw_Data_Daily!$B$2:$B$9999="Variant")*(Raw_Data_Daily!$A$2:$A$9999=$A15)*(Raw_Data_Daily!$C$2:$C$9999=$C$3)*Raw_Data_Daily!$D$2:$D$9999*Raw_Data_Daily!$K$2:$K$9999)/SUMIFS(Raw_Data_Daily!$D:$D, Raw_Data_Daily!$B:$B, "Variant", Raw_Data_Daily!$A:$A, $A15, Raw_Data_Daily!$C:$C, $C$3),""))</f>
        <v>72.98</v>
      </c>
      <c r="Y15" s="130">
        <f t="shared" si="8"/>
        <v>0.0740250184</v>
      </c>
      <c r="Z15" s="132">
        <f>IF($A15="","",IFERROR(SUMPRODUCT((Raw_Data_Daily!$B$2:$B$9999="Control")*(Raw_Data_Daily!$A$2:$A$9999=$A15)*(Raw_Data_Daily!$C$2:$C$9999=$C$3)*Raw_Data_Daily!$D$2:$D$9999*Raw_Data_Daily!$L$2:$L$9999)/SUMIFS(Raw_Data_Daily!$D:$D, Raw_Data_Daily!$B:$B, "Control", Raw_Data_Daily!$A:$A, $A15, Raw_Data_Daily!$C:$C, $C$3),""))</f>
        <v>52.02</v>
      </c>
      <c r="AA15" s="132">
        <f>IF($A15="","",IFERROR(SUMPRODUCT((Raw_Data_Daily!$B$2:$B$9999="Variant")*(Raw_Data_Daily!$A$2:$A$9999=$A15)*(Raw_Data_Daily!$C$2:$C$9999=$C$3)*Raw_Data_Daily!$D$2:$D$9999*Raw_Data_Daily!$L$2:$L$9999)/SUMIFS(Raw_Data_Daily!$D:$D, Raw_Data_Daily!$B:$B, "Variant", Raw_Data_Daily!$A:$A, $A15, Raw_Data_Daily!$C:$C, $C$3),""))</f>
        <v>52.06</v>
      </c>
      <c r="AB15" s="130">
        <f t="shared" si="9"/>
        <v>0.000768935025</v>
      </c>
      <c r="AC15" s="137">
        <f>IF($A15="","",IFERROR(SUMPRODUCT((Raw_Data_Daily!$B$2:$B$9999="Control")*(Raw_Data_Daily!$A$2:$A$9999=$A15)*(Raw_Data_Daily!$C$2:$C$9999=$C$3)*Raw_Data_Daily!$D$2:$D$9999*Raw_Data_Daily!$M$2:$M$9999)/SUMIFS(Raw_Data_Daily!$D:$D, Raw_Data_Daily!$B:$B, "Control", Raw_Data_Daily!$A:$A, $A15, Raw_Data_Daily!$C:$C, $C$3),""))</f>
        <v>0.7657</v>
      </c>
      <c r="AD15" s="137">
        <f>IF($A15="","",IFERROR(SUMPRODUCT((Raw_Data_Daily!$B$2:$B$9999="Variant")*(Raw_Data_Daily!$A$2:$A$9999=$A15)*(Raw_Data_Daily!$C$2:$C$9999=$C$3)*Raw_Data_Daily!$D$2:$D$9999*Raw_Data_Daily!$M$2:$M$9999)/SUMIFS(Raw_Data_Daily!$D:$D, Raw_Data_Daily!$B:$B, "Variant", Raw_Data_Daily!$A:$A, $A15, Raw_Data_Daily!$C:$C, $C$3),""))</f>
        <v>0.7133</v>
      </c>
      <c r="AE15" s="139">
        <f t="shared" si="10"/>
        <v>-0.06843411258</v>
      </c>
      <c r="AF15" s="137">
        <f>IF($A15="","",IFERROR(SUMPRODUCT((Raw_Data_Daily!$B$2:$B$9999="Control")*(Raw_Data_Daily!$A$2:$A$9999=$A15)*(Raw_Data_Daily!$C$2:$C$9999=$C$3)*Raw_Data_Daily!$D$2:$D$9999*Raw_Data_Daily!$N$2:$N$9999)/SUMIFS(Raw_Data_Daily!$D:$D, Raw_Data_Daily!$B:$B, "Control", Raw_Data_Daily!$A:$A, $A15, Raw_Data_Daily!$C:$C, $C$3),""))</f>
        <v>0.3484</v>
      </c>
      <c r="AG15" s="137">
        <f>IF($A15="","",IFERROR(SUMPRODUCT((Raw_Data_Daily!$B$2:$B$9999="Variant")*(Raw_Data_Daily!$A$2:$A$9999=$A15)*(Raw_Data_Daily!$C$2:$C$9999=$C$3)*Raw_Data_Daily!$D$2:$D$9999*Raw_Data_Daily!$N$2:$N$9999)/SUMIFS(Raw_Data_Daily!$D:$D, Raw_Data_Daily!$B:$B, "Variant", Raw_Data_Daily!$A:$A, $A15, Raw_Data_Daily!$C:$C, $C$3),""))</f>
        <v>0.3903</v>
      </c>
      <c r="AH15" s="139">
        <f t="shared" si="11"/>
        <v>0.1202640643</v>
      </c>
      <c r="AI15" s="137">
        <f>IF($A15="","",IFERROR(SUMPRODUCT((Raw_Data_Daily!$B$2:$B$9999="Control")*(Raw_Data_Daily!$A$2:$A$9999=$A15)*(Raw_Data_Daily!$C$2:$C$9999=$C$3)*Raw_Data_Daily!$D$2:$D$9999*Raw_Data_Daily!$O$2:$O$9999)/SUMIFS(Raw_Data_Daily!$D:$D, Raw_Data_Daily!$B:$B, "Control", Raw_Data_Daily!$A:$A, $A15, Raw_Data_Daily!$C:$C, $C$3),""))</f>
        <v>0.2346</v>
      </c>
      <c r="AJ15" s="137">
        <f>IF($A15="","",IFERROR(SUMPRODUCT((Raw_Data_Daily!$B$2:$B$9999="Variant")*(Raw_Data_Daily!$A$2:$A$9999=$A15)*(Raw_Data_Daily!$C$2:$C$9999=$C$3)*Raw_Data_Daily!$D$2:$D$9999*Raw_Data_Daily!$O$2:$O$9999)/SUMIFS(Raw_Data_Daily!$D:$D, Raw_Data_Daily!$B:$B, "Variant", Raw_Data_Daily!$A:$A, $A15, Raw_Data_Daily!$C:$C, $C$3),""))</f>
        <v>0.2489</v>
      </c>
      <c r="AK15" s="130">
        <f t="shared" si="12"/>
        <v>0.06095481671</v>
      </c>
      <c r="AL15" s="132">
        <f>IF($A15="","",IFERROR(SUMPRODUCT((Raw_Data_Daily!$B$2:$B$9999="Control")*(Raw_Data_Daily!$A$2:$A$9999=$A15)*(Raw_Data_Daily!$C$2:$C$9999=$C$3)*Raw_Data_Daily!$D$2:$D$9999*Raw_Data_Daily!$P$2:$P$9999)/SUMIFS(Raw_Data_Daily!$D:$D, Raw_Data_Daily!$B:$B, "Control", Raw_Data_Daily!$A:$A, $A15, Raw_Data_Daily!$C:$C, $C$3),""))</f>
        <v>1.3061</v>
      </c>
      <c r="AM15" s="132">
        <f>IF($A15="","",IFERROR(SUMPRODUCT((Raw_Data_Daily!$B$2:$B$9999="Variant")*(Raw_Data_Daily!$A$2:$A$9999=$A15)*(Raw_Data_Daily!$C$2:$C$9999=$C$3)*Raw_Data_Daily!$D$2:$D$9999*Raw_Data_Daily!$P$2:$P$9999)/SUMIFS(Raw_Data_Daily!$D:$D, Raw_Data_Daily!$B:$B, "Variant", Raw_Data_Daily!$A:$A, $A15, Raw_Data_Daily!$C:$C, $C$3),""))</f>
        <v>1.4019</v>
      </c>
      <c r="AN15" s="130">
        <f t="shared" si="13"/>
        <v>0.07334813567</v>
      </c>
      <c r="AO15" s="132">
        <f>IF($A15="","",IFERROR(SUMPRODUCT((Raw_Data_Daily!$B$2:$B$9999="Control")*(Raw_Data_Daily!$A$2:$A$9999=$A15)*(Raw_Data_Daily!$C$2:$C$9999=$C$3)*Raw_Data_Daily!$D$2:$D$9999*Raw_Data_Daily!$Q$2:$Q$9999)/SUMIFS(Raw_Data_Daily!$D:$D, Raw_Data_Daily!$B:$B, "Control", Raw_Data_Daily!$A:$A, $A15, Raw_Data_Daily!$C:$C, $C$3),""))</f>
        <v>354.88</v>
      </c>
      <c r="AP15" s="132">
        <f>IF($A15="","",IFERROR(SUMPRODUCT((Raw_Data_Daily!$B$2:$B$9999="Variant")*(Raw_Data_Daily!$A$2:$A$9999=$A15)*(Raw_Data_Daily!$C$2:$C$9999=$C$3)*Raw_Data_Daily!$D$2:$D$9999*Raw_Data_Daily!$Q$2:$Q$9999)/SUMIFS(Raw_Data_Daily!$D:$D, Raw_Data_Daily!$B:$B, "Variant", Raw_Data_Daily!$A:$A, $A15, Raw_Data_Daily!$C:$C, $C$3),""))</f>
        <v>231.11</v>
      </c>
      <c r="AQ15" s="127">
        <f t="shared" si="14"/>
        <v>-0.34876578</v>
      </c>
      <c r="AR15" s="132">
        <f>IF($A15="","",IFERROR(SUMPRODUCT((Raw_Data_Daily!$B$2:$B$9999="Control")*(Raw_Data_Daily!$A$2:$A$9999=$A15)*(Raw_Data_Daily!$C$2:$C$9999=$C$3)*Raw_Data_Daily!$D$2:$D$9999*Raw_Data_Daily!$R$2:$R$9999)/SUMIFS(Raw_Data_Daily!$D:$D, Raw_Data_Daily!$B:$B, "Control", Raw_Data_Daily!$A:$A, $A15, Raw_Data_Daily!$C:$C, $C$3),""))</f>
        <v>247.41</v>
      </c>
      <c r="AS15" s="132">
        <f>IF($A15="","",IFERROR(SUMPRODUCT((Raw_Data_Daily!$B$2:$B$9999="Variant")*(Raw_Data_Daily!$A$2:$A$9999=$A15)*(Raw_Data_Daily!$C$2:$C$9999=$C$3)*Raw_Data_Daily!$D$2:$D$9999*Raw_Data_Daily!$R$2:$R$9999)/SUMIFS(Raw_Data_Daily!$D:$D, Raw_Data_Daily!$B:$B, "Variant", Raw_Data_Daily!$A:$A, $A15, Raw_Data_Daily!$C:$C, $C$3),""))</f>
        <v>200.66</v>
      </c>
      <c r="AT15" s="127">
        <f t="shared" si="15"/>
        <v>-0.1889576007</v>
      </c>
      <c r="AU15" s="132">
        <f>IF($A15="","",IFERROR(SUMPRODUCT((Raw_Data_Daily!$B$2:$B$9999="Control")*(Raw_Data_Daily!$A$2:$A$9999=$A15)*(Raw_Data_Daily!$C$2:$C$9999=$C$3)*Raw_Data_Daily!$D$2:$D$9999*Raw_Data_Daily!$S$2:$S$9999)/SUMIFS(Raw_Data_Daily!$D:$D, Raw_Data_Daily!$B:$B, "Control", Raw_Data_Daily!$A:$A, $A15, Raw_Data_Daily!$C:$C, $C$3),""))</f>
        <v>107.47</v>
      </c>
      <c r="AV15" s="132">
        <f>IF($A15="","",IFERROR(SUMPRODUCT((Raw_Data_Daily!$B$2:$B$9999="Variant")*(Raw_Data_Daily!$A$2:$A$9999=$A15)*(Raw_Data_Daily!$C$2:$C$9999=$C$3)*Raw_Data_Daily!$D$2:$D$9999*Raw_Data_Daily!$S$2:$S$9999)/SUMIFS(Raw_Data_Daily!$D:$D, Raw_Data_Daily!$B:$B, "Variant", Raw_Data_Daily!$A:$A, $A15, Raw_Data_Daily!$C:$C, $C$3),""))</f>
        <v>30.45</v>
      </c>
      <c r="AW15" s="127">
        <f t="shared" si="16"/>
        <v>-0.7166651158</v>
      </c>
      <c r="AX15" s="132">
        <f>IF($A15="","",IFERROR(SUMPRODUCT((Raw_Data_Daily!$B$2:$B$9999="Control")*(Raw_Data_Daily!$A$2:$A$9999=$A15)*(Raw_Data_Daily!$C$2:$C$9999=$C$3)*Raw_Data_Daily!$D$2:$D$9999*Raw_Data_Daily!$T$2:$T$9999)/SUMIFS(Raw_Data_Daily!$D:$D, Raw_Data_Daily!$B:$B, "Control", Raw_Data_Daily!$A:$A, $A15, Raw_Data_Daily!$C:$C, $C$3),""))</f>
        <v>20.32</v>
      </c>
      <c r="AY15" s="132">
        <f>IF($A15="","",IFERROR(SUMPRODUCT((Raw_Data_Daily!$B$2:$B$9999="Variant")*(Raw_Data_Daily!$A$2:$A$9999=$A15)*(Raw_Data_Daily!$C$2:$C$9999=$C$3)*Raw_Data_Daily!$D$2:$D$9999*Raw_Data_Daily!$T$2:$T$9999)/SUMIFS(Raw_Data_Daily!$D:$D, Raw_Data_Daily!$B:$B, "Variant", Raw_Data_Daily!$A:$A, $A15, Raw_Data_Daily!$C:$C, $C$3),""))</f>
        <v>17.83</v>
      </c>
      <c r="AZ15" s="130">
        <f t="shared" si="17"/>
        <v>-0.1225393701</v>
      </c>
      <c r="BA15" s="132">
        <f>IF($A15="","",IFERROR(SUMPRODUCT((Raw_Data_Daily!$B$2:$B$9999="Control")*(Raw_Data_Daily!$A$2:$A$9999=$A15)*(Raw_Data_Daily!$C$2:$C$9999=$C$3)*Raw_Data_Daily!$D$2:$D$9999*Raw_Data_Daily!$U$2:$U$9999)/SUMIFS(Raw_Data_Daily!$D:$D, Raw_Data_Daily!$B:$B, "Control", Raw_Data_Daily!$A:$A, $A15, Raw_Data_Daily!$C:$C, $C$3),""))</f>
        <v>334.56</v>
      </c>
      <c r="BB15" s="132">
        <f>IF($A15="","",IFERROR(SUMPRODUCT((Raw_Data_Daily!$B$2:$B$9999="Variant")*(Raw_Data_Daily!$A$2:$A$9999=$A15)*(Raw_Data_Daily!$C$2:$C$9999=$C$3)*Raw_Data_Daily!$D$2:$D$9999*Raw_Data_Daily!$U$2:$U$9999)/SUMIFS(Raw_Data_Daily!$D:$D, Raw_Data_Daily!$B:$B, "Variant", Raw_Data_Daily!$A:$A, $A15, Raw_Data_Daily!$C:$C, $C$3),""))</f>
        <v>213.27</v>
      </c>
      <c r="BC15" s="127">
        <f t="shared" si="18"/>
        <v>-0.362535868</v>
      </c>
      <c r="BD15" s="132">
        <f>IF($A15="","",IFERROR(SUMPRODUCT((Raw_Data_Daily!$B$2:$B$9999="Control")*(Raw_Data_Daily!$A$2:$A$9999=$A15)*(Raw_Data_Daily!$C$2:$C$9999=$C$3)*Raw_Data_Daily!$D$2:$D$9999*Raw_Data_Daily!$V$2:$V$9999)/SUMIFS(Raw_Data_Daily!$D:$D, Raw_Data_Daily!$B:$B, "Control", Raw_Data_Daily!$A:$A, $A15, Raw_Data_Daily!$C:$C, $C$3),""))</f>
        <v>324.78</v>
      </c>
      <c r="BE15" s="132">
        <f>IF($A15="","",IFERROR(SUMPRODUCT((Raw_Data_Daily!$B$2:$B$9999="Variant")*(Raw_Data_Daily!$A$2:$A$9999=$A15)*(Raw_Data_Daily!$C$2:$C$9999=$C$3)*Raw_Data_Daily!$D$2:$D$9999*Raw_Data_Daily!$V$2:$V$9999)/SUMIFS(Raw_Data_Daily!$D:$D, Raw_Data_Daily!$B:$B, "Variant", Raw_Data_Daily!$A:$A, $A15, Raw_Data_Daily!$C:$C, $C$3),""))</f>
        <v>244.85</v>
      </c>
      <c r="BF15" s="127">
        <f t="shared" si="19"/>
        <v>-0.2461050557</v>
      </c>
      <c r="BG15" s="132">
        <f>IF($A15="","",IFERROR(SUMPRODUCT((Raw_Data_Daily!$B$2:$B$9999="Control")*(Raw_Data_Daily!$A$2:$A$9999=$A15)*(Raw_Data_Daily!$C$2:$C$9999=$C$3)*Raw_Data_Daily!$D$2:$D$9999*(Raw_Data_Daily!$Q$2:$Q$9999-Raw_Data_Daily!$V$2:$V$9999))/SUMIFS(Raw_Data_Daily!$D:$D, Raw_Data_Daily!$B:$B, "Control", Raw_Data_Daily!$A:$A, $A15, Raw_Data_Daily!$C:$C, $C$3),""))</f>
        <v>30.1</v>
      </c>
      <c r="BH15" s="132">
        <f>IF($A15="","",IFERROR(SUMPRODUCT((Raw_Data_Daily!$B$2:$B$9999="Variant")*(Raw_Data_Daily!$A$2:$A$9999=$A15)*(Raw_Data_Daily!$C$2:$C$9999=$C$3)*Raw_Data_Daily!$D$2:$D$9999*(Raw_Data_Daily!$Q$2:$Q$9999-Raw_Data_Daily!$V$2:$V$9999))/SUMIFS(Raw_Data_Daily!$D:$D, Raw_Data_Daily!$B:$B, "Variant", Raw_Data_Daily!$A:$A, $A15, Raw_Data_Daily!$C:$C, $C$3),""))</f>
        <v>-13.74</v>
      </c>
      <c r="BI15" s="127">
        <f t="shared" si="20"/>
        <v>-1.456478405</v>
      </c>
      <c r="BJ15" s="132">
        <f>IF($A15="","",IFERROR(SUMPRODUCT((Raw_Data_Daily!$B$2:$B$9999="Control")*(Raw_Data_Daily!$A$2:$A$9999=$A15)*(Raw_Data_Daily!$C$2:$C$9999=$C$3)*Raw_Data_Daily!$D$2:$D$9999*Raw_Data_Daily!$W$2:$W$9999)/SUMIFS(Raw_Data_Daily!$D:$D, Raw_Data_Daily!$B:$B, "Control", Raw_Data_Daily!$A:$A, $A15, Raw_Data_Daily!$C:$C, $C$3),""))</f>
        <v>4.7798</v>
      </c>
      <c r="BK15" s="132">
        <f>IF($A15="","",IFERROR(SUMPRODUCT((Raw_Data_Daily!$B$2:$B$9999="Variant")*(Raw_Data_Daily!$A$2:$A$9999=$A15)*(Raw_Data_Daily!$C$2:$C$9999=$C$3)*Raw_Data_Daily!$D$2:$D$9999*Raw_Data_Daily!$W$2:$W$9999)/SUMIFS(Raw_Data_Daily!$D:$D, Raw_Data_Daily!$B:$B, "Variant", Raw_Data_Daily!$A:$A, $A15, Raw_Data_Daily!$C:$C, $C$3),""))</f>
        <v>3.3549</v>
      </c>
      <c r="BL15" s="127">
        <f t="shared" si="21"/>
        <v>-0.2981087075</v>
      </c>
      <c r="BM15" s="137">
        <f>IF($A15="","",IFERROR(SUMPRODUCT((Raw_Data_Daily!$B$2:$B$9999="Control")*(Raw_Data_Daily!$A$2:$A$9999=$A15)*(Raw_Data_Daily!$C$2:$C$9999=$C$3)*Raw_Data_Daily!$D$2:$D$9999*Raw_Data_Daily!$X$2:$X$9999)/SUMIFS(Raw_Data_Daily!$D:$D, Raw_Data_Daily!$B:$B, "Control", Raw_Data_Daily!$A:$A, $A15, Raw_Data_Daily!$C:$C, $C$3),""))</f>
        <v>5.73</v>
      </c>
      <c r="BN15" s="137">
        <f>IF($A15="","",IFERROR(SUMPRODUCT((Raw_Data_Daily!$B$2:$B$9999="Variant")*(Raw_Data_Daily!$A$2:$A$9999=$A15)*(Raw_Data_Daily!$C$2:$C$9999=$C$3)*Raw_Data_Daily!$D$2:$D$9999*Raw_Data_Daily!$X$2:$X$9999)/SUMIFS(Raw_Data_Daily!$D:$D, Raw_Data_Daily!$B:$B, "Variant", Raw_Data_Daily!$A:$A, $A15, Raw_Data_Daily!$C:$C, $C$3),""))</f>
        <v>7.72</v>
      </c>
      <c r="BO15" s="130">
        <f t="shared" si="22"/>
        <v>0.3472949389</v>
      </c>
      <c r="BP15" s="126">
        <f>IF($A15="","",IFERROR(SUMPRODUCT((Raw_Data_Daily!$B$2:$B$9999="Control")*(Raw_Data_Daily!$A$2:$A$9999=$A15)*(Raw_Data_Daily!$C$2:$C$9999=$C$3)*Raw_Data_Daily!$D$2:$D$9999*Raw_Data_Daily!$Y$2:$Y$9999)/SUMIFS(Raw_Data_Daily!$D:$D, Raw_Data_Daily!$B:$B, "Control", Raw_Data_Daily!$A:$A, $A15, Raw_Data_Daily!$C:$C, $C$3),""))</f>
        <v>379</v>
      </c>
      <c r="BQ15" s="126">
        <f>IF($A15="","",IFERROR(SUMPRODUCT((Raw_Data_Daily!$B$2:$B$9999="Variant")*(Raw_Data_Daily!$A$2:$A$9999=$A15)*(Raw_Data_Daily!$C$2:$C$9999=$C$3)*Raw_Data_Daily!$D$2:$D$9999*Raw_Data_Daily!$Y$2:$Y$9999)/SUMIFS(Raw_Data_Daily!$D:$D, Raw_Data_Daily!$B:$B, "Variant", Raw_Data_Daily!$A:$A, $A15, Raw_Data_Daily!$C:$C, $C$3),""))</f>
        <v>309</v>
      </c>
      <c r="BR15" s="127">
        <f t="shared" si="23"/>
        <v>-0.1846965699</v>
      </c>
      <c r="BS15" s="126">
        <f>IF($A15="","",IFERROR(SUMPRODUCT((Raw_Data_Daily!$B$2:$B$9999="Control")*(Raw_Data_Daily!$A$2:$A$9999=$A15)*(Raw_Data_Daily!$C$2:$C$9999=$C$3)*Raw_Data_Daily!$D$2:$D$9999*Raw_Data_Daily!$Z$2:$Z$9999)/SUMIFS(Raw_Data_Daily!$D:$D, Raw_Data_Daily!$B:$B, "Control", Raw_Data_Daily!$A:$A, $A15, Raw_Data_Daily!$C:$C, $C$3),""))</f>
        <v>725</v>
      </c>
      <c r="BT15" s="126">
        <f>IF($A15="","",IFERROR(SUMPRODUCT((Raw_Data_Daily!$B$2:$B$9999="Variant")*(Raw_Data_Daily!$A$2:$A$9999=$A15)*(Raw_Data_Daily!$C$2:$C$9999=$C$3)*Raw_Data_Daily!$D$2:$D$9999*Raw_Data_Daily!$Z$2:$Z$9999)/SUMIFS(Raw_Data_Daily!$D:$D, Raw_Data_Daily!$B:$B, "Variant", Raw_Data_Daily!$A:$A, $A15, Raw_Data_Daily!$C:$C, $C$3),""))</f>
        <v>543</v>
      </c>
      <c r="BU15" s="127">
        <f t="shared" si="24"/>
        <v>-0.2510344828</v>
      </c>
      <c r="BV15" s="126">
        <f>IF($A15="","",IFERROR(SUMPRODUCT((Raw_Data_Daily!$B$2:$B$9999="Control")*(Raw_Data_Daily!$A$2:$A$9999=$A15)*(Raw_Data_Daily!$C$2:$C$9999=$C$3)*Raw_Data_Daily!$D$2:$D$9999*Raw_Data_Daily!$AA$2:$AA$9999)/SUMIFS(Raw_Data_Daily!$D:$D, Raw_Data_Daily!$B:$B, "Control", Raw_Data_Daily!$A:$A, $A15, Raw_Data_Daily!$C:$C, $C$3),""))</f>
        <v>1787</v>
      </c>
      <c r="BW15" s="126">
        <f>IF($A15="","",IFERROR(SUMPRODUCT((Raw_Data_Daily!$B$2:$B$9999="Variant")*(Raw_Data_Daily!$A$2:$A$9999=$A15)*(Raw_Data_Daily!$C$2:$C$9999=$C$3)*Raw_Data_Daily!$D$2:$D$9999*Raw_Data_Daily!$AA$2:$AA$9999)/SUMIFS(Raw_Data_Daily!$D:$D, Raw_Data_Daily!$B:$B, "Variant", Raw_Data_Daily!$A:$A, $A15, Raw_Data_Daily!$C:$C, $C$3),""))</f>
        <v>1219</v>
      </c>
      <c r="BX15" s="127">
        <f t="shared" si="25"/>
        <v>-0.3178511472</v>
      </c>
      <c r="BY15" s="132">
        <f>IF($A15="","",IFERROR(SUMPRODUCT((Raw_Data_Daily!$B$2:$B$9999="Control")*(Raw_Data_Daily!$A$2:$A$9999=$A15)*(Raw_Data_Daily!$C$2:$C$9999=$C$3)*Raw_Data_Daily!$D$2:$D$9999*Raw_Data_Daily!$AB$2:$AB$9999)/SUMIFS(Raw_Data_Daily!$D:$D, Raw_Data_Daily!$B:$B, "Control", Raw_Data_Daily!$A:$A, $A15, Raw_Data_Daily!$C:$C, $C$3),""))</f>
        <v>56.0482</v>
      </c>
      <c r="BZ15" s="132">
        <f>IF($A15="","",IFERROR(SUMPRODUCT((Raw_Data_Daily!$B$2:$B$9999="Variant")*(Raw_Data_Daily!$A$2:$A$9999=$A15)*(Raw_Data_Daily!$C$2:$C$9999=$C$3)*Raw_Data_Daily!$D$2:$D$9999*Raw_Data_Daily!$AB$2:$AB$9999)/SUMIFS(Raw_Data_Daily!$D:$D, Raw_Data_Daily!$B:$B, "Variant", Raw_Data_Daily!$A:$A, $A15, Raw_Data_Daily!$C:$C, $C$3),""))</f>
        <v>55.8959</v>
      </c>
      <c r="CA15" s="130">
        <f t="shared" si="26"/>
        <v>-0.002717304035</v>
      </c>
      <c r="CB15" s="132">
        <f>IF($A15="","",IFERROR(SUMPRODUCT((Raw_Data_Daily!$B$2:$B$9999="Control")*(Raw_Data_Daily!$A$2:$A$9999=$A15)*(Raw_Data_Daily!$C$2:$C$9999=$C$3)*Raw_Data_Daily!$D$2:$D$9999*Raw_Data_Daily!$AC$2:$AC$9999)/SUMIFS(Raw_Data_Daily!$D:$D, Raw_Data_Daily!$B:$B, "Control", Raw_Data_Daily!$A:$A, $A15, Raw_Data_Daily!$C:$C, $C$3),""))</f>
        <v>0.7876</v>
      </c>
      <c r="CC15" s="132">
        <f>IF($A15="","",IFERROR(SUMPRODUCT((Raw_Data_Daily!$B$2:$B$9999="Variant")*(Raw_Data_Daily!$A$2:$A$9999=$A15)*(Raw_Data_Daily!$C$2:$C$9999=$C$3)*Raw_Data_Daily!$D$2:$D$9999*Raw_Data_Daily!$AC$2:$AC$9999)/SUMIFS(Raw_Data_Daily!$D:$D, Raw_Data_Daily!$B:$B, "Variant", Raw_Data_Daily!$A:$A, $A15, Raw_Data_Daily!$C:$C, $C$3),""))</f>
        <v>0.7743</v>
      </c>
      <c r="CD15" s="130">
        <f t="shared" si="27"/>
        <v>-0.01688674454</v>
      </c>
      <c r="CE15" s="132">
        <f>IF($A15="","",IFERROR(SUMPRODUCT((Raw_Data_Daily!$B$2:$B$9999="Control")*(Raw_Data_Daily!$A$2:$A$9999=$A15)*(Raw_Data_Daily!$C$2:$C$9999=$C$3)*Raw_Data_Daily!$D$2:$D$9999*Raw_Data_Daily!$AD$2:$AD$9999)/SUMIFS(Raw_Data_Daily!$D:$D, Raw_Data_Daily!$B:$B, "Control", Raw_Data_Daily!$A:$A, $A15, Raw_Data_Daily!$C:$C, $C$3),""))</f>
        <v>29.78</v>
      </c>
      <c r="CF15" s="132">
        <f>IF($A15="","",IFERROR(SUMPRODUCT((Raw_Data_Daily!$B$2:$B$9999="Variant")*(Raw_Data_Daily!$A$2:$A$9999=$A15)*(Raw_Data_Daily!$C$2:$C$9999=$C$3)*Raw_Data_Daily!$D$2:$D$9999*Raw_Data_Daily!$AD$2:$AD$9999)/SUMIFS(Raw_Data_Daily!$D:$D, Raw_Data_Daily!$B:$B, "Variant", Raw_Data_Daily!$A:$A, $A15, Raw_Data_Daily!$C:$C, $C$3),""))</f>
        <v>26.55</v>
      </c>
      <c r="CG15" s="130">
        <f t="shared" si="28"/>
        <v>-0.1084620551</v>
      </c>
      <c r="CH15" s="132">
        <f>IF($A15="","",IFERROR(SUMPRODUCT((Raw_Data_Daily!$B$2:$B$9999="Control")*(Raw_Data_Daily!$A$2:$A$9999=$A15)*(Raw_Data_Daily!$C$2:$C$9999=$C$3)*Raw_Data_Daily!$D$2:$D$9999*Raw_Data_Daily!$AE$2:$AE$9999)/SUMIFS(Raw_Data_Daily!$D:$D, Raw_Data_Daily!$B:$B, "Control", Raw_Data_Daily!$A:$A, $A15, Raw_Data_Daily!$C:$C, $C$3),""))</f>
        <v>11</v>
      </c>
      <c r="CI15" s="132">
        <f>IF($A15="","",IFERROR(SUMPRODUCT((Raw_Data_Daily!$B$2:$B$9999="Variant")*(Raw_Data_Daily!$A$2:$A$9999=$A15)*(Raw_Data_Daily!$C$2:$C$9999=$C$3)*Raw_Data_Daily!$D$2:$D$9999*Raw_Data_Daily!$AE$2:$AE$9999)/SUMIFS(Raw_Data_Daily!$D:$D, Raw_Data_Daily!$B:$B, "Variant", Raw_Data_Daily!$A:$A, $A15, Raw_Data_Daily!$C:$C, $C$3),""))</f>
        <v>10</v>
      </c>
      <c r="CJ15" s="130">
        <f t="shared" si="29"/>
        <v>-0.09090909091</v>
      </c>
      <c r="CK15" s="132">
        <f>IF($A15="","",IFERROR(SUMPRODUCT((Raw_Data_Daily!$B$2:$B$9999="Control")*(Raw_Data_Daily!$A$2:$A$9999=$A15)*(Raw_Data_Daily!$C$2:$C$9999=$C$3)*Raw_Data_Daily!$D$2:$D$9999*Raw_Data_Daily!$AF$2:$AF$9999)/SUMIFS(Raw_Data_Daily!$D:$D, Raw_Data_Daily!$B:$B, "Control", Raw_Data_Daily!$A:$A, $A15, Raw_Data_Daily!$C:$C, $C$3),""))</f>
        <v>22</v>
      </c>
      <c r="CL15" s="132">
        <f>IF($A15="","",IFERROR(SUMPRODUCT((Raw_Data_Daily!$B$2:$B$9999="Variant")*(Raw_Data_Daily!$A$2:$A$9999=$A15)*(Raw_Data_Daily!$C$2:$C$9999=$C$3)*Raw_Data_Daily!$D$2:$D$9999*Raw_Data_Daily!$AF$2:$AF$9999)/SUMIFS(Raw_Data_Daily!$D:$D, Raw_Data_Daily!$B:$B, "Variant", Raw_Data_Daily!$A:$A, $A15, Raw_Data_Daily!$C:$C, $C$3),""))</f>
        <v>19</v>
      </c>
      <c r="CM15" s="130">
        <f t="shared" si="30"/>
        <v>-0.1363636364</v>
      </c>
      <c r="CN15" s="132">
        <f>IF($A15="","",IFERROR(SUMPRODUCT((Raw_Data_Daily!$B$2:$B$9999="Control")*(Raw_Data_Daily!$A$2:$A$9999=$A15)*(Raw_Data_Daily!$C$2:$C$9999=$C$3)*Raw_Data_Daily!$D$2:$D$9999*Raw_Data_Daily!$AG$2:$AG$9999)/SUMIFS(Raw_Data_Daily!$D:$D, Raw_Data_Daily!$B:$B, "Control", Raw_Data_Daily!$A:$A, $A15, Raw_Data_Daily!$C:$C, $C$3),""))</f>
        <v>41</v>
      </c>
      <c r="CO15" s="132">
        <f>IF($A15="","",IFERROR(SUMPRODUCT((Raw_Data_Daily!$B$2:$B$9999="Variant")*(Raw_Data_Daily!$A$2:$A$9999=$A15)*(Raw_Data_Daily!$C$2:$C$9999=$C$3)*Raw_Data_Daily!$D$2:$D$9999*Raw_Data_Daily!$AG$2:$AG$9999)/SUMIFS(Raw_Data_Daily!$D:$D, Raw_Data_Daily!$B:$B, "Variant", Raw_Data_Daily!$A:$A, $A15, Raw_Data_Daily!$C:$C, $C$3),""))</f>
        <v>38</v>
      </c>
      <c r="CP15" s="130">
        <f t="shared" si="31"/>
        <v>-0.07317073171</v>
      </c>
      <c r="CQ15" s="132">
        <f>IF($A15="","",IFERROR(SUMPRODUCT((Raw_Data_Daily!$B$2:$B$9999="Control")*(Raw_Data_Daily!$A$2:$A$9999=$A15)*(Raw_Data_Daily!$C$2:$C$9999=$C$3)*Raw_Data_Daily!$D$2:$D$9999*Raw_Data_Daily!$AH$2:$AH$9999)/SUMIFS(Raw_Data_Daily!$D:$D, Raw_Data_Daily!$B:$B, "Control", Raw_Data_Daily!$A:$A, $A15, Raw_Data_Daily!$C:$C, $C$3),""))</f>
        <v>64</v>
      </c>
      <c r="CR15" s="132">
        <f>IF($A15="","",IFERROR(SUMPRODUCT((Raw_Data_Daily!$B$2:$B$9999="Variant")*(Raw_Data_Daily!$A$2:$A$9999=$A15)*(Raw_Data_Daily!$C$2:$C$9999=$C$3)*Raw_Data_Daily!$D$2:$D$9999*Raw_Data_Daily!$AH$2:$AH$9999)/SUMIFS(Raw_Data_Daily!$D:$D, Raw_Data_Daily!$B:$B, "Variant", Raw_Data_Daily!$A:$A, $A15, Raw_Data_Daily!$C:$C, $C$3),""))</f>
        <v>55</v>
      </c>
      <c r="CS15" s="130">
        <f t="shared" si="32"/>
        <v>-0.140625</v>
      </c>
      <c r="CT15" s="128">
        <f>IF($A15="","",IFERROR(SUMPRODUCT((Raw_Data_Daily!$B$2:$B$9999="Control")*(Raw_Data_Daily!$A$2:$A$9999=$A15)*(Raw_Data_Daily!$C$2:$C$9999=$C$3)*Raw_Data_Daily!$D$2:$D$9999*Raw_Data_Daily!$AI$2:$AI$9999)/SUMIFS(Raw_Data_Daily!$D:$D, Raw_Data_Daily!$B:$B, "Control", Raw_Data_Daily!$A:$A, $A15, Raw_Data_Daily!$C:$C, $C$3),""))</f>
        <v>40.86</v>
      </c>
      <c r="CU15" s="128">
        <f>IF($A15="","",IFERROR(SUMPRODUCT((Raw_Data_Daily!$B$2:$B$9999="Variant")*(Raw_Data_Daily!$A$2:$A$9999=$A15)*(Raw_Data_Daily!$C$2:$C$9999=$C$3)*Raw_Data_Daily!$D$2:$D$9999*Raw_Data_Daily!$AI$2:$AI$9999)/SUMIFS(Raw_Data_Daily!$D:$D, Raw_Data_Daily!$B:$B, "Variant", Raw_Data_Daily!$A:$A, $A15, Raw_Data_Daily!$C:$C, $C$3),""))</f>
        <v>35.88</v>
      </c>
      <c r="CV15" s="139">
        <f t="shared" si="33"/>
        <v>-0.1218795888</v>
      </c>
      <c r="CW15" s="128">
        <f>IF($A15="","",IFERROR(SUMPRODUCT((Raw_Data_Daily!$B$2:$B$9999="Control")*(Raw_Data_Daily!$A$2:$A$9999=$A15)*(Raw_Data_Daily!$C$2:$C$9999=$C$3)*Raw_Data_Daily!$D$2:$D$9999*Raw_Data_Daily!$AJ$2:$AJ$9999)/SUMIFS(Raw_Data_Daily!$D:$D, Raw_Data_Daily!$B:$B, "Control", Raw_Data_Daily!$A:$A, $A15, Raw_Data_Daily!$C:$C, $C$3),""))</f>
        <v>11.78</v>
      </c>
      <c r="CX15" s="128">
        <f>IF($A15="","",IFERROR(SUMPRODUCT((Raw_Data_Daily!$B$2:$B$9999="Variant")*(Raw_Data_Daily!$A$2:$A$9999=$A15)*(Raw_Data_Daily!$C$2:$C$9999=$C$3)*Raw_Data_Daily!$D$2:$D$9999*Raw_Data_Daily!$AJ$2:$AJ$9999)/SUMIFS(Raw_Data_Daily!$D:$D, Raw_Data_Daily!$B:$B, "Variant", Raw_Data_Daily!$A:$A, $A15, Raw_Data_Daily!$C:$C, $C$3),""))</f>
        <v>8.25</v>
      </c>
      <c r="CY15" s="139">
        <f t="shared" si="34"/>
        <v>-0.2996604414</v>
      </c>
      <c r="CZ15" s="128">
        <f>IF($A15="","",IFERROR(SUMPRODUCT((Raw_Data_Daily!$B$2:$B$9999="Control")*(Raw_Data_Daily!$A$2:$A$9999=$A15)*(Raw_Data_Daily!$C$2:$C$9999=$C$3)*Raw_Data_Daily!$D$2:$D$9999*Raw_Data_Daily!$AK$2:$AK$9999)/SUMIFS(Raw_Data_Daily!$D:$D, Raw_Data_Daily!$B:$B, "Control", Raw_Data_Daily!$A:$A, $A15, Raw_Data_Daily!$C:$C, $C$3),""))</f>
        <v>2.49</v>
      </c>
      <c r="DA15" s="128">
        <f>IF($A15="","",IFERROR(SUMPRODUCT((Raw_Data_Daily!$B$2:$B$9999="Variant")*(Raw_Data_Daily!$A$2:$A$9999=$A15)*(Raw_Data_Daily!$C$2:$C$9999=$C$3)*Raw_Data_Daily!$D$2:$D$9999*Raw_Data_Daily!$AK$2:$AK$9999)/SUMIFS(Raw_Data_Daily!$D:$D, Raw_Data_Daily!$B:$B, "Variant", Raw_Data_Daily!$A:$A, $A15, Raw_Data_Daily!$C:$C, $C$3),""))</f>
        <v>1.35</v>
      </c>
      <c r="DB15" s="130">
        <f t="shared" si="35"/>
        <v>-0.4578313253</v>
      </c>
      <c r="DC15" s="137">
        <f>IF($A15="","",IFERROR(SUMPRODUCT((Raw_Data_Daily!$B$2:$B$9999="Control")*(Raw_Data_Daily!$A$2:$A$9999=$A15)*(Raw_Data_Daily!$C$2:$C$9999=$C$3)*Raw_Data_Daily!$D$2:$D$9999*Raw_Data_Daily!$AL$2:$AL$9999)/SUMIFS(Raw_Data_Daily!$D:$D, Raw_Data_Daily!$B:$B, "Control", Raw_Data_Daily!$A:$A, $A15, Raw_Data_Daily!$C:$C, $C$3),""))</f>
        <v>0.1772</v>
      </c>
      <c r="DD15" s="137">
        <f>IF($A15="","",IFERROR(SUMPRODUCT((Raw_Data_Daily!$B$2:$B$9999="Variant")*(Raw_Data_Daily!$A$2:$A$9999=$A15)*(Raw_Data_Daily!$C$2:$C$9999=$C$3)*Raw_Data_Daily!$D$2:$D$9999*Raw_Data_Daily!$AL$2:$AL$9999)/SUMIFS(Raw_Data_Daily!$D:$D, Raw_Data_Daily!$B:$B, "Variant", Raw_Data_Daily!$A:$A, $A15, Raw_Data_Daily!$C:$C, $C$3),""))</f>
        <v>0.1747</v>
      </c>
      <c r="DE15" s="139">
        <f t="shared" si="36"/>
        <v>-0.01410835214</v>
      </c>
      <c r="DF15" s="159"/>
      <c r="DG15" s="128">
        <f>IF($A15="","",IFERROR(SUMPRODUCT((Raw_Data_Daily!$B$2:$B$9999="Variant")*(Raw_Data_Daily!$A$2:$A$9999=$A15)*(Raw_Data_Daily!$C$2:$C$9999=$C$3)*Raw_Data_Daily!$D$2:$D$9999*Raw_Data_Daily!$AM$2:$AM$9999)/SUMIFS(Raw_Data_Daily!$D:$D, Raw_Data_Daily!$B:$B, "Variant", Raw_Data_Daily!$A:$A, $A15, Raw_Data_Daily!$C:$C, $C$3),""))</f>
        <v>43.02</v>
      </c>
      <c r="DH15" s="160"/>
      <c r="DI15" s="159"/>
      <c r="DJ15" s="128">
        <f>IF($A15="","",IFERROR(SUMPRODUCT((Raw_Data_Daily!$B$2:$B$9999="Variant")*(Raw_Data_Daily!$A$2:$A$9999=$A15)*(Raw_Data_Daily!$C$2:$C$9999=$C$3)*Raw_Data_Daily!$D$2:$D$9999*Raw_Data_Daily!$AN$2:$AN$9999)/SUMIFS(Raw_Data_Daily!$D:$D, Raw_Data_Daily!$B:$B, "Variant", Raw_Data_Daily!$A:$A, $A15, Raw_Data_Daily!$C:$C, $C$3),""))</f>
        <v>43.02</v>
      </c>
      <c r="DK15" s="160"/>
      <c r="DL15" s="159"/>
      <c r="DM15" s="128">
        <f>IF($A15="","",IFERROR(SUMPRODUCT((Raw_Data_Daily!$B$2:$B$9999="Variant")*(Raw_Data_Daily!$A$2:$A$9999=$A15)*(Raw_Data_Daily!$C$2:$C$9999=$C$3)*Raw_Data_Daily!$D$2:$D$9999*Raw_Data_Daily!$AO$2:$AO$9999)/SUMIFS(Raw_Data_Daily!$D:$D, Raw_Data_Daily!$B:$B, "Variant", Raw_Data_Daily!$A:$A, $A15, Raw_Data_Daily!$C:$C, $C$3),""))</f>
        <v>25.55</v>
      </c>
      <c r="DN15" s="160"/>
      <c r="DO15" s="159"/>
      <c r="DP15" s="128">
        <f>IF($A15="","",IFERROR(SUMPRODUCT((Raw_Data_Daily!$B$2:$B$9999="Variant")*(Raw_Data_Daily!$A$2:$A$9999=$A15)*(Raw_Data_Daily!$C$2:$C$9999=$C$3)*Raw_Data_Daily!$D$2:$D$9999*Raw_Data_Daily!$AP$2:$AP$9999)/SUMIFS(Raw_Data_Daily!$D:$D, Raw_Data_Daily!$B:$B, "Variant", Raw_Data_Daily!$A:$A, $A15, Raw_Data_Daily!$C:$C, $C$3),""))</f>
        <v>15.61</v>
      </c>
      <c r="DQ15" s="160"/>
      <c r="DR15" s="137">
        <f>IF($A15="","",IFERROR(SUMPRODUCT((Raw_Data_Daily!$B$2:$B$9999="Control")*(Raw_Data_Daily!$A$2:$A$9999=$A15)*(Raw_Data_Daily!$C$2:$C$9999=$C$3)*Raw_Data_Daily!$D$2:$D$9999*Raw_Data_Daily!$AQ$2:$AQ$9999)/SUMIFS(Raw_Data_Daily!$D:$D, Raw_Data_Daily!$B:$B, "Control", Raw_Data_Daily!$A:$A, $A15, Raw_Data_Daily!$C:$C, $C$3),""))</f>
        <v>15.4514</v>
      </c>
      <c r="DS15" s="137">
        <f>IF($A15="","",IFERROR(SUMPRODUCT((Raw_Data_Daily!$B$2:$B$9999="Variant")*(Raw_Data_Daily!$A$2:$A$9999=$A15)*(Raw_Data_Daily!$C$2:$C$9999=$C$3)*Raw_Data_Daily!$D$2:$D$9999*Raw_Data_Daily!$AQ$2:$AQ$9999)/SUMIFS(Raw_Data_Daily!$D:$D, Raw_Data_Daily!$B:$B, "Variant", Raw_Data_Daily!$A:$A, $A15, Raw_Data_Daily!$C:$C, $C$3),""))</f>
        <v>14.2113</v>
      </c>
      <c r="DT15" s="161">
        <f t="shared" si="37"/>
        <v>-0.08025809959</v>
      </c>
      <c r="DU15" s="137">
        <f>IF($A15="","",IFERROR(SUMPRODUCT((Raw_Data_Daily!$B$2:$B$9999="Control")*(Raw_Data_Daily!$A$2:$A$9999=$A15)*(Raw_Data_Daily!$C$2:$C$9999=$C$3)*Raw_Data_Daily!$D$2:$D$9999*Raw_Data_Daily!$AR$2:$AR$9999)/SUMIFS(Raw_Data_Daily!$D:$D, Raw_Data_Daily!$B:$B, "Control", Raw_Data_Daily!$A:$A, $A15, Raw_Data_Daily!$C:$C, $C$3),""))</f>
        <v>0.3316</v>
      </c>
      <c r="DV15" s="137">
        <f>IF($A15="","",IFERROR(SUMPRODUCT((Raw_Data_Daily!$B$2:$B$9999="Variant")*(Raw_Data_Daily!$A$2:$A$9999=$A15)*(Raw_Data_Daily!$C$2:$C$9999=$C$3)*Raw_Data_Daily!$D$2:$D$9999*Raw_Data_Daily!$AR$2:$AR$9999)/SUMIFS(Raw_Data_Daily!$D:$D, Raw_Data_Daily!$B:$B, "Variant", Raw_Data_Daily!$A:$A, $A15, Raw_Data_Daily!$C:$C, $C$3),""))</f>
        <v>0.2994</v>
      </c>
      <c r="DW15" s="161">
        <f t="shared" si="38"/>
        <v>-0.09710494572</v>
      </c>
      <c r="DX15" s="137">
        <f>IF($A15="","",IFERROR(SUMPRODUCT((Raw_Data_Daily!$B$2:$B$9999="Control")*(Raw_Data_Daily!$A$2:$A$9999=$A15)*(Raw_Data_Daily!$C$2:$C$9999=$C$3)*Raw_Data_Daily!$D$2:$D$9999*Raw_Data_Daily!$AS$2:$AS$9999)/SUMIFS(Raw_Data_Daily!$D:$D, Raw_Data_Daily!$B:$B, "Control", Raw_Data_Daily!$A:$A, $A15, Raw_Data_Daily!$C:$C, $C$3),""))</f>
        <v>15.1198</v>
      </c>
      <c r="DY15" s="137">
        <f>IF($A15="","",IFERROR(SUMPRODUCT((Raw_Data_Daily!$B$2:$B$9999="Variant")*(Raw_Data_Daily!$A$2:$A$9999=$A15)*(Raw_Data_Daily!$C$2:$C$9999=$C$3)*Raw_Data_Daily!$D$2:$D$9999*Raw_Data_Daily!$AS$2:$AS$9999)/SUMIFS(Raw_Data_Daily!$D:$D, Raw_Data_Daily!$B:$B, "Variant", Raw_Data_Daily!$A:$A, $A15, Raw_Data_Daily!$C:$C, $C$3),""))</f>
        <v>13.9119</v>
      </c>
      <c r="DZ15" s="162">
        <f t="shared" si="39"/>
        <v>-0.07988862287</v>
      </c>
      <c r="EA15" s="137">
        <f>IF($A15="","",IFERROR(SUMPRODUCT((Raw_Data_Daily!$B$2:$B$9999="Control")*(Raw_Data_Daily!$A$2:$A$9999=$A15)*(Raw_Data_Daily!$C$2:$C$9999=$C$3)*Raw_Data_Daily!$D$2:$D$9999*Raw_Data_Daily!$AT$2:$AT$9999)/SUMIFS(Raw_Data_Daily!$D:$D, Raw_Data_Daily!$B:$B, "Control", Raw_Data_Daily!$A:$A, $A15, Raw_Data_Daily!$C:$C, $C$3),""))</f>
        <v>12.916</v>
      </c>
      <c r="EB15" s="137">
        <f>IF($A15="","",IFERROR(SUMPRODUCT((Raw_Data_Daily!$B$2:$B$9999="Variant")*(Raw_Data_Daily!$A$2:$A$9999=$A15)*(Raw_Data_Daily!$C$2:$C$9999=$C$3)*Raw_Data_Daily!$D$2:$D$9999*Raw_Data_Daily!$AT$2:$AT$9999)/SUMIFS(Raw_Data_Daily!$D:$D, Raw_Data_Daily!$B:$B, "Variant", Raw_Data_Daily!$A:$A, $A15, Raw_Data_Daily!$C:$C, $C$3),""))</f>
        <v>12.5791</v>
      </c>
      <c r="EC15" s="161">
        <f t="shared" si="40"/>
        <v>-0.02608392691</v>
      </c>
      <c r="ED15" s="137">
        <f>IF($A15="","",IFERROR(SUMPRODUCT((Raw_Data_Daily!$B$2:$B$9999="Control")*(Raw_Data_Daily!$A$2:$A$9999=$A15)*(Raw_Data_Daily!$C$2:$C$9999=$C$3)*Raw_Data_Daily!$D$2:$D$9999*(Raw_Data_Daily!$AQ$2:$AQ$9999-Raw_Data_Daily!$AT$2:$AT$9999))/SUMIFS(Raw_Data_Daily!$D:$D, Raw_Data_Daily!$B:$B, "Control", Raw_Data_Daily!$A:$A, $A15, Raw_Data_Daily!$C:$C, $C$3),""))</f>
        <v>2.5354</v>
      </c>
      <c r="EE15" s="137">
        <f>IF($A15="","",IFERROR(SUMPRODUCT((Raw_Data_Daily!$B$2:$B$9999="Variant")*(Raw_Data_Daily!$A$2:$A$9999=$A15)*(Raw_Data_Daily!$C$2:$C$9999=$C$3)*Raw_Data_Daily!$D$2:$D$9999*(Raw_Data_Daily!$AQ$2:$AQ$9999-Raw_Data_Daily!$AT$2:$AT$9999))/SUMIFS(Raw_Data_Daily!$D:$D, Raw_Data_Daily!$B:$B, "Variant", Raw_Data_Daily!$A:$A, $A15, Raw_Data_Daily!$C:$C, $C$3),""))</f>
        <v>1.6322</v>
      </c>
      <c r="EF15" s="162">
        <f t="shared" si="41"/>
        <v>-0.3562357025</v>
      </c>
      <c r="EG15" s="137">
        <f>IF($A15="","",IFERROR(SUMPRODUCT((Raw_Data_Daily!$B$2:$B$9999="Control")*(Raw_Data_Daily!$A$2:$A$9999=$A15)*(Raw_Data_Daily!$C$2:$C$9999=$C$3)*Raw_Data_Daily!$D$2:$D$9999*Raw_Data_Daily!$AU$2:$AU$9999)/SUMIFS(Raw_Data_Daily!$D:$D, Raw_Data_Daily!$B:$B, "Control", Raw_Data_Daily!$A:$A, $A15, Raw_Data_Daily!$C:$C, $C$3),""))</f>
        <v>0.1901</v>
      </c>
      <c r="EH15" s="137">
        <f>IF($A15="","",IFERROR(SUMPRODUCT((Raw_Data_Daily!$B$2:$B$9999="Variant")*(Raw_Data_Daily!$A$2:$A$9999=$A15)*(Raw_Data_Daily!$C$2:$C$9999=$C$3)*Raw_Data_Daily!$D$2:$D$9999*Raw_Data_Daily!$AU$2:$AU$9999)/SUMIFS(Raw_Data_Daily!$D:$D, Raw_Data_Daily!$B:$B, "Variant", Raw_Data_Daily!$A:$A, $A15, Raw_Data_Daily!$C:$C, $C$3),""))</f>
        <v>0.1724</v>
      </c>
      <c r="EI15" s="161">
        <f t="shared" si="42"/>
        <v>-0.09310889006</v>
      </c>
    </row>
    <row r="16" ht="15.75" customHeight="1">
      <c r="A16" s="125">
        <v>46239.0</v>
      </c>
      <c r="B16" s="126">
        <f>IF($A16="","",SUMIFS(Raw_Data_Daily!$D:$D, Raw_Data_Daily!$B:$B, "Control", Raw_Data_Daily!$A:$A, $A16, Raw_Data_Daily!$C:$C, $C$3))</f>
        <v>2991</v>
      </c>
      <c r="C16" s="126">
        <f>IF($A16="","",SUMIFS(Raw_Data_Daily!$D:$D, Raw_Data_Daily!$B:$B, "Variant", Raw_Data_Daily!$A:$A, $A16, Raw_Data_Daily!$C:$C, $C$3))</f>
        <v>2882</v>
      </c>
      <c r="D16" s="127">
        <f t="shared" si="1"/>
        <v>-0.03644266132</v>
      </c>
      <c r="E16" s="128">
        <f>IF($A16="","",IFERROR(SUMPRODUCT((Raw_Data_Daily!$B$2:$B$9999="Control")*(Raw_Data_Daily!$A$2:$A$9999=$A16)*(Raw_Data_Daily!$C$2:$C$9999=$C$3)*Raw_Data_Daily!$D$2:$D$9999*Raw_Data_Daily!$E$2:$E$9999)/SUMIFS(Raw_Data_Daily!$D:$D, Raw_Data_Daily!$B:$B, "Control", Raw_Data_Daily!$A:$A, $A16, Raw_Data_Daily!$C:$C, $C$3),""))</f>
        <v>11.61</v>
      </c>
      <c r="F16" s="128">
        <f>IF($A16="","",IFERROR(SUMPRODUCT((Raw_Data_Daily!$B$2:$B$9999="Variant")*(Raw_Data_Daily!$A$2:$A$9999=$A16)*(Raw_Data_Daily!$C$2:$C$9999=$C$3)*Raw_Data_Daily!$D$2:$D$9999*Raw_Data_Daily!$E$2:$E$9999)/SUMIFS(Raw_Data_Daily!$D:$D, Raw_Data_Daily!$B:$B, "Variant", Raw_Data_Daily!$A:$A, $A16, Raw_Data_Daily!$C:$C, $C$3),""))</f>
        <v>11.27</v>
      </c>
      <c r="G16" s="127">
        <f t="shared" si="2"/>
        <v>-0.02928509905</v>
      </c>
      <c r="H16" s="129">
        <f>IF($A16="","",SUMIFS(Raw_Data_Daily!$F:$F, Raw_Data_Daily!$B:$B, "Control", Raw_Data_Daily!$A:$A, $A16, Raw_Data_Daily!$C:$C, $C$3))</f>
        <v>622.65</v>
      </c>
      <c r="I16" s="129">
        <f>IF($A16="","",SUMIFS(Raw_Data_Daily!$F:$F, Raw_Data_Daily!$B:$B, "Variant", Raw_Data_Daily!$A:$A, $A16, Raw_Data_Daily!$C:$C, $C$3))</f>
        <v>396.32</v>
      </c>
      <c r="J16" s="130">
        <f t="shared" si="3"/>
        <v>-0.3634947402</v>
      </c>
      <c r="K16" s="131">
        <f>IF($A16="","",IFERROR(SUMIFS(Raw_Data_Daily!$F:$F, Raw_Data_Daily!$B:$B, "Control", Raw_Data_Daily!$A:$A, $A16, Raw_Data_Daily!$C:$C, $C$3)/SUMIFS(Raw_Data_Daily!$D:$D, Raw_Data_Daily!$B:$B, "Control", Raw_Data_Daily!$A:$A, $A16, Raw_Data_Daily!$C:$C, $C$3),""))</f>
        <v>0.2081745236</v>
      </c>
      <c r="L16" s="131">
        <f>IF($A16="","",IFERROR(SUMIFS(Raw_Data_Daily!$F:$F, Raw_Data_Daily!$B:$B, "Variant", Raw_Data_Daily!$A:$A, $A16, Raw_Data_Daily!$C:$C, $C$3)/SUMIFS(Raw_Data_Daily!$D:$D, Raw_Data_Daily!$B:$B, "Variant", Raw_Data_Daily!$A:$A, $A16, Raw_Data_Daily!$C:$C, $C$3),""))</f>
        <v>0.1375156142</v>
      </c>
      <c r="M16" s="130">
        <f t="shared" si="4"/>
        <v>-0.3394215017</v>
      </c>
      <c r="N16" s="128">
        <f>IF($A16="","",IFERROR(SUMPRODUCT((Raw_Data_Daily!$B$2:$B$9999="Control")*(Raw_Data_Daily!$A$2:$A$9999=$A16)*(Raw_Data_Daily!$C$2:$C$9999=$C$3)*Raw_Data_Daily!$D$2:$D$9999*Raw_Data_Daily!$H$2:$H$9999/100)/SUMIFS(Raw_Data_Daily!$D:$D, Raw_Data_Daily!$B:$B, "Control", Raw_Data_Daily!$A:$A, $A16, Raw_Data_Daily!$C:$C, $C$3)*100,""))</f>
        <v>3.38</v>
      </c>
      <c r="O16" s="128">
        <f>IF($A16="","",IFERROR(SUMPRODUCT((Raw_Data_Daily!$B$2:$B$9999="Variant")*(Raw_Data_Daily!$A$2:$A$9999=$A16)*(Raw_Data_Daily!$C$2:$C$9999=$C$3)*Raw_Data_Daily!$D$2:$D$9999*Raw_Data_Daily!$H$2:$H$9999/100)/SUMIFS(Raw_Data_Daily!$D:$D, Raw_Data_Daily!$B:$B, "Variant", Raw_Data_Daily!$A:$A, $A16, Raw_Data_Daily!$C:$C, $C$3)*100,""))</f>
        <v>3.33</v>
      </c>
      <c r="P16" s="130">
        <f t="shared" si="5"/>
        <v>-0.01479289941</v>
      </c>
      <c r="Q16" s="131">
        <f>IF($A16="","",IFERROR(SUMIFS(Raw_Data_Daily!$F:$F, Raw_Data_Daily!$B:$B, "Control", Raw_Data_Daily!$A:$A, $A16, Raw_Data_Daily!$C:$C, $C$3)/SUMPRODUCT((Raw_Data_Daily!$B$2:$B$9999="Control")*(Raw_Data_Daily!$A$2:$A$9999=$A16)*(Raw_Data_Daily!$C$2:$C$9999=$C$3)*Raw_Data_Daily!$D$2:$D$9999*Raw_Data_Daily!$H$2:$H$9999/100),""))</f>
        <v>6.159009573</v>
      </c>
      <c r="R16" s="131">
        <f>IF($A16="","",IFERROR(SUMIFS(Raw_Data_Daily!$F:$F, Raw_Data_Daily!$B:$B, "Variant", Raw_Data_Daily!$A:$A, $A16, Raw_Data_Daily!$C:$C, $C$3)/SUMPRODUCT((Raw_Data_Daily!$B$2:$B$9999="Variant")*(Raw_Data_Daily!$A$2:$A$9999=$A16)*(Raw_Data_Daily!$C$2:$C$9999=$C$3)*Raw_Data_Daily!$D$2:$D$9999*Raw_Data_Daily!$H$2:$H$9999/100),""))</f>
        <v>4.129598023</v>
      </c>
      <c r="S16" s="130">
        <f t="shared" si="6"/>
        <v>-0.3295029057</v>
      </c>
      <c r="T16" s="132">
        <f>IF($A16="","",IFERROR(SUMPRODUCT((Raw_Data_Daily!$B$2:$B$9999="Control")*(Raw_Data_Daily!$A$2:$A$9999=$A16)*(Raw_Data_Daily!$C$2:$C$9999=$C$3)*Raw_Data_Daily!$D$2:$D$9999*Raw_Data_Daily!$J$2:$J$9999)/SUMIFS(Raw_Data_Daily!$D:$D, Raw_Data_Daily!$B:$B, "Control", Raw_Data_Daily!$A:$A, $A16, Raw_Data_Daily!$C:$C, $C$3),""))</f>
        <v>112.24</v>
      </c>
      <c r="U16" s="132">
        <f>IF($A16="","",IFERROR(SUMPRODUCT((Raw_Data_Daily!$B$2:$B$9999="Variant")*(Raw_Data_Daily!$A$2:$A$9999=$A16)*(Raw_Data_Daily!$C$2:$C$9999=$C$3)*Raw_Data_Daily!$D$2:$D$9999*Raw_Data_Daily!$J$2:$J$9999)/SUMIFS(Raw_Data_Daily!$D:$D, Raw_Data_Daily!$B:$B, "Variant", Raw_Data_Daily!$A:$A, $A16, Raw_Data_Daily!$C:$C, $C$3),""))</f>
        <v>114.79</v>
      </c>
      <c r="V16" s="130">
        <f t="shared" si="7"/>
        <v>0.0227191732</v>
      </c>
      <c r="W16" s="132">
        <f>IF($A16="","",IFERROR(SUMPRODUCT((Raw_Data_Daily!$B$2:$B$9999="Control")*(Raw_Data_Daily!$A$2:$A$9999=$A16)*(Raw_Data_Daily!$C$2:$C$9999=$C$3)*Raw_Data_Daily!$D$2:$D$9999*Raw_Data_Daily!$K$2:$K$9999)/SUMIFS(Raw_Data_Daily!$D:$D, Raw_Data_Daily!$B:$B, "Control", Raw_Data_Daily!$A:$A, $A16, Raw_Data_Daily!$C:$C, $C$3),""))</f>
        <v>71.44</v>
      </c>
      <c r="X16" s="132">
        <f>IF($A16="","",IFERROR(SUMPRODUCT((Raw_Data_Daily!$B$2:$B$9999="Variant")*(Raw_Data_Daily!$A$2:$A$9999=$A16)*(Raw_Data_Daily!$C$2:$C$9999=$C$3)*Raw_Data_Daily!$D$2:$D$9999*Raw_Data_Daily!$K$2:$K$9999)/SUMIFS(Raw_Data_Daily!$D:$D, Raw_Data_Daily!$B:$B, "Variant", Raw_Data_Daily!$A:$A, $A16, Raw_Data_Daily!$C:$C, $C$3),""))</f>
        <v>71.14</v>
      </c>
      <c r="Y16" s="130">
        <f t="shared" si="8"/>
        <v>-0.004199328108</v>
      </c>
      <c r="Z16" s="132">
        <f>IF($A16="","",IFERROR(SUMPRODUCT((Raw_Data_Daily!$B$2:$B$9999="Control")*(Raw_Data_Daily!$A$2:$A$9999=$A16)*(Raw_Data_Daily!$C$2:$C$9999=$C$3)*Raw_Data_Daily!$D$2:$D$9999*Raw_Data_Daily!$L$2:$L$9999)/SUMIFS(Raw_Data_Daily!$D:$D, Raw_Data_Daily!$B:$B, "Control", Raw_Data_Daily!$A:$A, $A16, Raw_Data_Daily!$C:$C, $C$3),""))</f>
        <v>52.83</v>
      </c>
      <c r="AA16" s="132">
        <f>IF($A16="","",IFERROR(SUMPRODUCT((Raw_Data_Daily!$B$2:$B$9999="Variant")*(Raw_Data_Daily!$A$2:$A$9999=$A16)*(Raw_Data_Daily!$C$2:$C$9999=$C$3)*Raw_Data_Daily!$D$2:$D$9999*Raw_Data_Daily!$L$2:$L$9999)/SUMIFS(Raw_Data_Daily!$D:$D, Raw_Data_Daily!$B:$B, "Variant", Raw_Data_Daily!$A:$A, $A16, Raw_Data_Daily!$C:$C, $C$3),""))</f>
        <v>51.3</v>
      </c>
      <c r="AB16" s="130">
        <f t="shared" si="9"/>
        <v>-0.02896081772</v>
      </c>
      <c r="AC16" s="137">
        <f>IF($A16="","",IFERROR(SUMPRODUCT((Raw_Data_Daily!$B$2:$B$9999="Control")*(Raw_Data_Daily!$A$2:$A$9999=$A16)*(Raw_Data_Daily!$C$2:$C$9999=$C$3)*Raw_Data_Daily!$D$2:$D$9999*Raw_Data_Daily!$M$2:$M$9999)/SUMIFS(Raw_Data_Daily!$D:$D, Raw_Data_Daily!$B:$B, "Control", Raw_Data_Daily!$A:$A, $A16, Raw_Data_Daily!$C:$C, $C$3),""))</f>
        <v>0.7395</v>
      </c>
      <c r="AD16" s="137">
        <f>IF($A16="","",IFERROR(SUMPRODUCT((Raw_Data_Daily!$B$2:$B$9999="Variant")*(Raw_Data_Daily!$A$2:$A$9999=$A16)*(Raw_Data_Daily!$C$2:$C$9999=$C$3)*Raw_Data_Daily!$D$2:$D$9999*Raw_Data_Daily!$M$2:$M$9999)/SUMIFS(Raw_Data_Daily!$D:$D, Raw_Data_Daily!$B:$B, "Variant", Raw_Data_Daily!$A:$A, $A16, Raw_Data_Daily!$C:$C, $C$3),""))</f>
        <v>0.7211</v>
      </c>
      <c r="AE16" s="139">
        <f t="shared" si="10"/>
        <v>-0.02488167681</v>
      </c>
      <c r="AF16" s="137">
        <f>IF($A16="","",IFERROR(SUMPRODUCT((Raw_Data_Daily!$B$2:$B$9999="Control")*(Raw_Data_Daily!$A$2:$A$9999=$A16)*(Raw_Data_Daily!$C$2:$C$9999=$C$3)*Raw_Data_Daily!$D$2:$D$9999*Raw_Data_Daily!$N$2:$N$9999)/SUMIFS(Raw_Data_Daily!$D:$D, Raw_Data_Daily!$B:$B, "Control", Raw_Data_Daily!$A:$A, $A16, Raw_Data_Daily!$C:$C, $C$3),""))</f>
        <v>0.3677</v>
      </c>
      <c r="AG16" s="137">
        <f>IF($A16="","",IFERROR(SUMPRODUCT((Raw_Data_Daily!$B$2:$B$9999="Variant")*(Raw_Data_Daily!$A$2:$A$9999=$A16)*(Raw_Data_Daily!$C$2:$C$9999=$C$3)*Raw_Data_Daily!$D$2:$D$9999*Raw_Data_Daily!$N$2:$N$9999)/SUMIFS(Raw_Data_Daily!$D:$D, Raw_Data_Daily!$B:$B, "Variant", Raw_Data_Daily!$A:$A, $A16, Raw_Data_Daily!$C:$C, $C$3),""))</f>
        <v>0.3856</v>
      </c>
      <c r="AH16" s="139">
        <f t="shared" si="11"/>
        <v>0.04868098994</v>
      </c>
      <c r="AI16" s="137">
        <f>IF($A16="","",IFERROR(SUMPRODUCT((Raw_Data_Daily!$B$2:$B$9999="Control")*(Raw_Data_Daily!$A$2:$A$9999=$A16)*(Raw_Data_Daily!$C$2:$C$9999=$C$3)*Raw_Data_Daily!$D$2:$D$9999*Raw_Data_Daily!$O$2:$O$9999)/SUMIFS(Raw_Data_Daily!$D:$D, Raw_Data_Daily!$B:$B, "Control", Raw_Data_Daily!$A:$A, $A16, Raw_Data_Daily!$C:$C, $C$3),""))</f>
        <v>0.2393</v>
      </c>
      <c r="AJ16" s="137">
        <f>IF($A16="","",IFERROR(SUMPRODUCT((Raw_Data_Daily!$B$2:$B$9999="Variant")*(Raw_Data_Daily!$A$2:$A$9999=$A16)*(Raw_Data_Daily!$C$2:$C$9999=$C$3)*Raw_Data_Daily!$D$2:$D$9999*Raw_Data_Daily!$O$2:$O$9999)/SUMIFS(Raw_Data_Daily!$D:$D, Raw_Data_Daily!$B:$B, "Variant", Raw_Data_Daily!$A:$A, $A16, Raw_Data_Daily!$C:$C, $C$3),""))</f>
        <v>0.2496</v>
      </c>
      <c r="AK16" s="130">
        <f t="shared" si="12"/>
        <v>0.04304220644</v>
      </c>
      <c r="AL16" s="132">
        <f>IF($A16="","",IFERROR(SUMPRODUCT((Raw_Data_Daily!$B$2:$B$9999="Control")*(Raw_Data_Daily!$A$2:$A$9999=$A16)*(Raw_Data_Daily!$C$2:$C$9999=$C$3)*Raw_Data_Daily!$D$2:$D$9999*Raw_Data_Daily!$P$2:$P$9999)/SUMIFS(Raw_Data_Daily!$D:$D, Raw_Data_Daily!$B:$B, "Control", Raw_Data_Daily!$A:$A, $A16, Raw_Data_Daily!$C:$C, $C$3),""))</f>
        <v>1.3523</v>
      </c>
      <c r="AM16" s="132">
        <f>IF($A16="","",IFERROR(SUMPRODUCT((Raw_Data_Daily!$B$2:$B$9999="Variant")*(Raw_Data_Daily!$A$2:$A$9999=$A16)*(Raw_Data_Daily!$C$2:$C$9999=$C$3)*Raw_Data_Daily!$D$2:$D$9999*Raw_Data_Daily!$P$2:$P$9999)/SUMIFS(Raw_Data_Daily!$D:$D, Raw_Data_Daily!$B:$B, "Variant", Raw_Data_Daily!$A:$A, $A16, Raw_Data_Daily!$C:$C, $C$3),""))</f>
        <v>1.3867</v>
      </c>
      <c r="AN16" s="130">
        <f t="shared" si="13"/>
        <v>0.02543814242</v>
      </c>
      <c r="AO16" s="132">
        <f>IF($A16="","",IFERROR(SUMPRODUCT((Raw_Data_Daily!$B$2:$B$9999="Control")*(Raw_Data_Daily!$A$2:$A$9999=$A16)*(Raw_Data_Daily!$C$2:$C$9999=$C$3)*Raw_Data_Daily!$D$2:$D$9999*Raw_Data_Daily!$Q$2:$Q$9999)/SUMIFS(Raw_Data_Daily!$D:$D, Raw_Data_Daily!$B:$B, "Control", Raw_Data_Daily!$A:$A, $A16, Raw_Data_Daily!$C:$C, $C$3),""))</f>
        <v>275.65</v>
      </c>
      <c r="AP16" s="132">
        <f>IF($A16="","",IFERROR(SUMPRODUCT((Raw_Data_Daily!$B$2:$B$9999="Variant")*(Raw_Data_Daily!$A$2:$A$9999=$A16)*(Raw_Data_Daily!$C$2:$C$9999=$C$3)*Raw_Data_Daily!$D$2:$D$9999*Raw_Data_Daily!$Q$2:$Q$9999)/SUMIFS(Raw_Data_Daily!$D:$D, Raw_Data_Daily!$B:$B, "Variant", Raw_Data_Daily!$A:$A, $A16, Raw_Data_Daily!$C:$C, $C$3),""))</f>
        <v>280.93</v>
      </c>
      <c r="AQ16" s="127">
        <f t="shared" si="14"/>
        <v>0.01915472519</v>
      </c>
      <c r="AR16" s="132">
        <f>IF($A16="","",IFERROR(SUMPRODUCT((Raw_Data_Daily!$B$2:$B$9999="Control")*(Raw_Data_Daily!$A$2:$A$9999=$A16)*(Raw_Data_Daily!$C$2:$C$9999=$C$3)*Raw_Data_Daily!$D$2:$D$9999*Raw_Data_Daily!$R$2:$R$9999)/SUMIFS(Raw_Data_Daily!$D:$D, Raw_Data_Daily!$B:$B, "Control", Raw_Data_Daily!$A:$A, $A16, Raw_Data_Daily!$C:$C, $C$3),""))</f>
        <v>166.08</v>
      </c>
      <c r="AS16" s="132">
        <f>IF($A16="","",IFERROR(SUMPRODUCT((Raw_Data_Daily!$B$2:$B$9999="Variant")*(Raw_Data_Daily!$A$2:$A$9999=$A16)*(Raw_Data_Daily!$C$2:$C$9999=$C$3)*Raw_Data_Daily!$D$2:$D$9999*Raw_Data_Daily!$R$2:$R$9999)/SUMIFS(Raw_Data_Daily!$D:$D, Raw_Data_Daily!$B:$B, "Variant", Raw_Data_Daily!$A:$A, $A16, Raw_Data_Daily!$C:$C, $C$3),""))</f>
        <v>249.53</v>
      </c>
      <c r="AT16" s="127">
        <f t="shared" si="15"/>
        <v>0.5024686898</v>
      </c>
      <c r="AU16" s="132">
        <f>IF($A16="","",IFERROR(SUMPRODUCT((Raw_Data_Daily!$B$2:$B$9999="Control")*(Raw_Data_Daily!$A$2:$A$9999=$A16)*(Raw_Data_Daily!$C$2:$C$9999=$C$3)*Raw_Data_Daily!$D$2:$D$9999*Raw_Data_Daily!$S$2:$S$9999)/SUMIFS(Raw_Data_Daily!$D:$D, Raw_Data_Daily!$B:$B, "Control", Raw_Data_Daily!$A:$A, $A16, Raw_Data_Daily!$C:$C, $C$3),""))</f>
        <v>109.57</v>
      </c>
      <c r="AV16" s="132">
        <f>IF($A16="","",IFERROR(SUMPRODUCT((Raw_Data_Daily!$B$2:$B$9999="Variant")*(Raw_Data_Daily!$A$2:$A$9999=$A16)*(Raw_Data_Daily!$C$2:$C$9999=$C$3)*Raw_Data_Daily!$D$2:$D$9999*Raw_Data_Daily!$S$2:$S$9999)/SUMIFS(Raw_Data_Daily!$D:$D, Raw_Data_Daily!$B:$B, "Variant", Raw_Data_Daily!$A:$A, $A16, Raw_Data_Daily!$C:$C, $C$3),""))</f>
        <v>31.4</v>
      </c>
      <c r="AW16" s="127">
        <f t="shared" si="16"/>
        <v>-0.7134252076</v>
      </c>
      <c r="AX16" s="132">
        <f>IF($A16="","",IFERROR(SUMPRODUCT((Raw_Data_Daily!$B$2:$B$9999="Control")*(Raw_Data_Daily!$A$2:$A$9999=$A16)*(Raw_Data_Daily!$C$2:$C$9999=$C$3)*Raw_Data_Daily!$D$2:$D$9999*Raw_Data_Daily!$T$2:$T$9999)/SUMIFS(Raw_Data_Daily!$D:$D, Raw_Data_Daily!$B:$B, "Control", Raw_Data_Daily!$A:$A, $A16, Raw_Data_Daily!$C:$C, $C$3),""))</f>
        <v>18.14</v>
      </c>
      <c r="AY16" s="132">
        <f>IF($A16="","",IFERROR(SUMPRODUCT((Raw_Data_Daily!$B$2:$B$9999="Variant")*(Raw_Data_Daily!$A$2:$A$9999=$A16)*(Raw_Data_Daily!$C$2:$C$9999=$C$3)*Raw_Data_Daily!$D$2:$D$9999*Raw_Data_Daily!$T$2:$T$9999)/SUMIFS(Raw_Data_Daily!$D:$D, Raw_Data_Daily!$B:$B, "Variant", Raw_Data_Daily!$A:$A, $A16, Raw_Data_Daily!$C:$C, $C$3),""))</f>
        <v>14</v>
      </c>
      <c r="AZ16" s="130">
        <f t="shared" si="17"/>
        <v>-0.2282249173</v>
      </c>
      <c r="BA16" s="132">
        <f>IF($A16="","",IFERROR(SUMPRODUCT((Raw_Data_Daily!$B$2:$B$9999="Control")*(Raw_Data_Daily!$A$2:$A$9999=$A16)*(Raw_Data_Daily!$C$2:$C$9999=$C$3)*Raw_Data_Daily!$D$2:$D$9999*Raw_Data_Daily!$U$2:$U$9999)/SUMIFS(Raw_Data_Daily!$D:$D, Raw_Data_Daily!$B:$B, "Control", Raw_Data_Daily!$A:$A, $A16, Raw_Data_Daily!$C:$C, $C$3),""))</f>
        <v>257.51</v>
      </c>
      <c r="BB16" s="132">
        <f>IF($A16="","",IFERROR(SUMPRODUCT((Raw_Data_Daily!$B$2:$B$9999="Variant")*(Raw_Data_Daily!$A$2:$A$9999=$A16)*(Raw_Data_Daily!$C$2:$C$9999=$C$3)*Raw_Data_Daily!$D$2:$D$9999*Raw_Data_Daily!$U$2:$U$9999)/SUMIFS(Raw_Data_Daily!$D:$D, Raw_Data_Daily!$B:$B, "Variant", Raw_Data_Daily!$A:$A, $A16, Raw_Data_Daily!$C:$C, $C$3),""))</f>
        <v>266.93</v>
      </c>
      <c r="BC16" s="127">
        <f t="shared" si="18"/>
        <v>0.03658110365</v>
      </c>
      <c r="BD16" s="132">
        <f>IF($A16="","",IFERROR(SUMPRODUCT((Raw_Data_Daily!$B$2:$B$9999="Control")*(Raw_Data_Daily!$A$2:$A$9999=$A16)*(Raw_Data_Daily!$C$2:$C$9999=$C$3)*Raw_Data_Daily!$D$2:$D$9999*Raw_Data_Daily!$V$2:$V$9999)/SUMIFS(Raw_Data_Daily!$D:$D, Raw_Data_Daily!$B:$B, "Control", Raw_Data_Daily!$A:$A, $A16, Raw_Data_Daily!$C:$C, $C$3),""))</f>
        <v>288.82</v>
      </c>
      <c r="BE16" s="132">
        <f>IF($A16="","",IFERROR(SUMPRODUCT((Raw_Data_Daily!$B$2:$B$9999="Variant")*(Raw_Data_Daily!$A$2:$A$9999=$A16)*(Raw_Data_Daily!$C$2:$C$9999=$C$3)*Raw_Data_Daily!$D$2:$D$9999*Raw_Data_Daily!$V$2:$V$9999)/SUMIFS(Raw_Data_Daily!$D:$D, Raw_Data_Daily!$B:$B, "Variant", Raw_Data_Daily!$A:$A, $A16, Raw_Data_Daily!$C:$C, $C$3),""))</f>
        <v>283.52</v>
      </c>
      <c r="BF16" s="127">
        <f t="shared" si="19"/>
        <v>-0.01835052974</v>
      </c>
      <c r="BG16" s="132">
        <f>IF($A16="","",IFERROR(SUMPRODUCT((Raw_Data_Daily!$B$2:$B$9999="Control")*(Raw_Data_Daily!$A$2:$A$9999=$A16)*(Raw_Data_Daily!$C$2:$C$9999=$C$3)*Raw_Data_Daily!$D$2:$D$9999*(Raw_Data_Daily!$Q$2:$Q$9999-Raw_Data_Daily!$V$2:$V$9999))/SUMIFS(Raw_Data_Daily!$D:$D, Raw_Data_Daily!$B:$B, "Control", Raw_Data_Daily!$A:$A, $A16, Raw_Data_Daily!$C:$C, $C$3),""))</f>
        <v>-13.17</v>
      </c>
      <c r="BH16" s="132">
        <f>IF($A16="","",IFERROR(SUMPRODUCT((Raw_Data_Daily!$B$2:$B$9999="Variant")*(Raw_Data_Daily!$A$2:$A$9999=$A16)*(Raw_Data_Daily!$C$2:$C$9999=$C$3)*Raw_Data_Daily!$D$2:$D$9999*(Raw_Data_Daily!$Q$2:$Q$9999-Raw_Data_Daily!$V$2:$V$9999))/SUMIFS(Raw_Data_Daily!$D:$D, Raw_Data_Daily!$B:$B, "Variant", Raw_Data_Daily!$A:$A, $A16, Raw_Data_Daily!$C:$C, $C$3),""))</f>
        <v>-2.59</v>
      </c>
      <c r="BI16" s="127">
        <f t="shared" si="20"/>
        <v>0.8033409263</v>
      </c>
      <c r="BJ16" s="132">
        <f>IF($A16="","",IFERROR(SUMPRODUCT((Raw_Data_Daily!$B$2:$B$9999="Control")*(Raw_Data_Daily!$A$2:$A$9999=$A16)*(Raw_Data_Daily!$C$2:$C$9999=$C$3)*Raw_Data_Daily!$D$2:$D$9999*Raw_Data_Daily!$W$2:$W$9999)/SUMIFS(Raw_Data_Daily!$D:$D, Raw_Data_Daily!$B:$B, "Control", Raw_Data_Daily!$A:$A, $A16, Raw_Data_Daily!$C:$C, $C$3),""))</f>
        <v>4.0428</v>
      </c>
      <c r="BK16" s="132">
        <f>IF($A16="","",IFERROR(SUMPRODUCT((Raw_Data_Daily!$B$2:$B$9999="Variant")*(Raw_Data_Daily!$A$2:$A$9999=$A16)*(Raw_Data_Daily!$C$2:$C$9999=$C$3)*Raw_Data_Daily!$D$2:$D$9999*Raw_Data_Daily!$W$2:$W$9999)/SUMIFS(Raw_Data_Daily!$D:$D, Raw_Data_Daily!$B:$B, "Variant", Raw_Data_Daily!$A:$A, $A16, Raw_Data_Daily!$C:$C, $C$3),""))</f>
        <v>3.9854</v>
      </c>
      <c r="BL16" s="127">
        <f t="shared" si="21"/>
        <v>-0.01419808054</v>
      </c>
      <c r="BM16" s="137">
        <f>IF($A16="","",IFERROR(SUMPRODUCT((Raw_Data_Daily!$B$2:$B$9999="Control")*(Raw_Data_Daily!$A$2:$A$9999=$A16)*(Raw_Data_Daily!$C$2:$C$9999=$C$3)*Raw_Data_Daily!$D$2:$D$9999*Raw_Data_Daily!$X$2:$X$9999)/SUMIFS(Raw_Data_Daily!$D:$D, Raw_Data_Daily!$B:$B, "Control", Raw_Data_Daily!$A:$A, $A16, Raw_Data_Daily!$C:$C, $C$3),""))</f>
        <v>6.58</v>
      </c>
      <c r="BN16" s="137">
        <f>IF($A16="","",IFERROR(SUMPRODUCT((Raw_Data_Daily!$B$2:$B$9999="Variant")*(Raw_Data_Daily!$A$2:$A$9999=$A16)*(Raw_Data_Daily!$C$2:$C$9999=$C$3)*Raw_Data_Daily!$D$2:$D$9999*Raw_Data_Daily!$X$2:$X$9999)/SUMIFS(Raw_Data_Daily!$D:$D, Raw_Data_Daily!$B:$B, "Variant", Raw_Data_Daily!$A:$A, $A16, Raw_Data_Daily!$C:$C, $C$3),""))</f>
        <v>4.98</v>
      </c>
      <c r="BO16" s="130">
        <f t="shared" si="22"/>
        <v>-0.2431610942</v>
      </c>
      <c r="BP16" s="126">
        <f>IF($A16="","",IFERROR(SUMPRODUCT((Raw_Data_Daily!$B$2:$B$9999="Control")*(Raw_Data_Daily!$A$2:$A$9999=$A16)*(Raw_Data_Daily!$C$2:$C$9999=$C$3)*Raw_Data_Daily!$D$2:$D$9999*Raw_Data_Daily!$Y$2:$Y$9999)/SUMIFS(Raw_Data_Daily!$D:$D, Raw_Data_Daily!$B:$B, "Control", Raw_Data_Daily!$A:$A, $A16, Raw_Data_Daily!$C:$C, $C$3),""))</f>
        <v>345</v>
      </c>
      <c r="BQ16" s="126">
        <f>IF($A16="","",IFERROR(SUMPRODUCT((Raw_Data_Daily!$B$2:$B$9999="Variant")*(Raw_Data_Daily!$A$2:$A$9999=$A16)*(Raw_Data_Daily!$C$2:$C$9999=$C$3)*Raw_Data_Daily!$D$2:$D$9999*Raw_Data_Daily!$Y$2:$Y$9999)/SUMIFS(Raw_Data_Daily!$D:$D, Raw_Data_Daily!$B:$B, "Variant", Raw_Data_Daily!$A:$A, $A16, Raw_Data_Daily!$C:$C, $C$3),""))</f>
        <v>326</v>
      </c>
      <c r="BR16" s="127">
        <f t="shared" si="23"/>
        <v>-0.05507246377</v>
      </c>
      <c r="BS16" s="126">
        <f>IF($A16="","",IFERROR(SUMPRODUCT((Raw_Data_Daily!$B$2:$B$9999="Control")*(Raw_Data_Daily!$A$2:$A$9999=$A16)*(Raw_Data_Daily!$C$2:$C$9999=$C$3)*Raw_Data_Daily!$D$2:$D$9999*Raw_Data_Daily!$Z$2:$Z$9999)/SUMIFS(Raw_Data_Daily!$D:$D, Raw_Data_Daily!$B:$B, "Control", Raw_Data_Daily!$A:$A, $A16, Raw_Data_Daily!$C:$C, $C$3),""))</f>
        <v>677</v>
      </c>
      <c r="BT16" s="126">
        <f>IF($A16="","",IFERROR(SUMPRODUCT((Raw_Data_Daily!$B$2:$B$9999="Variant")*(Raw_Data_Daily!$A$2:$A$9999=$A16)*(Raw_Data_Daily!$C$2:$C$9999=$C$3)*Raw_Data_Daily!$D$2:$D$9999*Raw_Data_Daily!$Z$2:$Z$9999)/SUMIFS(Raw_Data_Daily!$D:$D, Raw_Data_Daily!$B:$B, "Variant", Raw_Data_Daily!$A:$A, $A16, Raw_Data_Daily!$C:$C, $C$3),""))</f>
        <v>545</v>
      </c>
      <c r="BU16" s="127">
        <f t="shared" si="24"/>
        <v>-0.1949778434</v>
      </c>
      <c r="BV16" s="126">
        <f>IF($A16="","",IFERROR(SUMPRODUCT((Raw_Data_Daily!$B$2:$B$9999="Control")*(Raw_Data_Daily!$A$2:$A$9999=$A16)*(Raw_Data_Daily!$C$2:$C$9999=$C$3)*Raw_Data_Daily!$D$2:$D$9999*Raw_Data_Daily!$AA$2:$AA$9999)/SUMIFS(Raw_Data_Daily!$D:$D, Raw_Data_Daily!$B:$B, "Control", Raw_Data_Daily!$A:$A, $A16, Raw_Data_Daily!$C:$C, $C$3),""))</f>
        <v>1713</v>
      </c>
      <c r="BW16" s="126">
        <f>IF($A16="","",IFERROR(SUMPRODUCT((Raw_Data_Daily!$B$2:$B$9999="Variant")*(Raw_Data_Daily!$A$2:$A$9999=$A16)*(Raw_Data_Daily!$C$2:$C$9999=$C$3)*Raw_Data_Daily!$D$2:$D$9999*Raw_Data_Daily!$AA$2:$AA$9999)/SUMIFS(Raw_Data_Daily!$D:$D, Raw_Data_Daily!$B:$B, "Variant", Raw_Data_Daily!$A:$A, $A16, Raw_Data_Daily!$C:$C, $C$3),""))</f>
        <v>1260</v>
      </c>
      <c r="BX16" s="127">
        <f t="shared" si="25"/>
        <v>-0.2644483363</v>
      </c>
      <c r="BY16" s="132">
        <f>IF($A16="","",IFERROR(SUMPRODUCT((Raw_Data_Daily!$B$2:$B$9999="Control")*(Raw_Data_Daily!$A$2:$A$9999=$A16)*(Raw_Data_Daily!$C$2:$C$9999=$C$3)*Raw_Data_Daily!$D$2:$D$9999*Raw_Data_Daily!$AB$2:$AB$9999)/SUMIFS(Raw_Data_Daily!$D:$D, Raw_Data_Daily!$B:$B, "Control", Raw_Data_Daily!$A:$A, $A16, Raw_Data_Daily!$C:$C, $C$3),""))</f>
        <v>56.0417</v>
      </c>
      <c r="BZ16" s="132">
        <f>IF($A16="","",IFERROR(SUMPRODUCT((Raw_Data_Daily!$B$2:$B$9999="Variant")*(Raw_Data_Daily!$A$2:$A$9999=$A16)*(Raw_Data_Daily!$C$2:$C$9999=$C$3)*Raw_Data_Daily!$D$2:$D$9999*Raw_Data_Daily!$AB$2:$AB$9999)/SUMIFS(Raw_Data_Daily!$D:$D, Raw_Data_Daily!$B:$B, "Variant", Raw_Data_Daily!$A:$A, $A16, Raw_Data_Daily!$C:$C, $C$3),""))</f>
        <v>55.6519</v>
      </c>
      <c r="CA16" s="130">
        <f t="shared" si="26"/>
        <v>-0.006955534896</v>
      </c>
      <c r="CB16" s="132">
        <f>IF($A16="","",IFERROR(SUMPRODUCT((Raw_Data_Daily!$B$2:$B$9999="Control")*(Raw_Data_Daily!$A$2:$A$9999=$A16)*(Raw_Data_Daily!$C$2:$C$9999=$C$3)*Raw_Data_Daily!$D$2:$D$9999*Raw_Data_Daily!$AC$2:$AC$9999)/SUMIFS(Raw_Data_Daily!$D:$D, Raw_Data_Daily!$B:$B, "Control", Raw_Data_Daily!$A:$A, $A16, Raw_Data_Daily!$C:$C, $C$3),""))</f>
        <v>0.7908</v>
      </c>
      <c r="CC16" s="132">
        <f>IF($A16="","",IFERROR(SUMPRODUCT((Raw_Data_Daily!$B$2:$B$9999="Variant")*(Raw_Data_Daily!$A$2:$A$9999=$A16)*(Raw_Data_Daily!$C$2:$C$9999=$C$3)*Raw_Data_Daily!$D$2:$D$9999*Raw_Data_Daily!$AC$2:$AC$9999)/SUMIFS(Raw_Data_Daily!$D:$D, Raw_Data_Daily!$B:$B, "Variant", Raw_Data_Daily!$A:$A, $A16, Raw_Data_Daily!$C:$C, $C$3),""))</f>
        <v>0.7602</v>
      </c>
      <c r="CD16" s="130">
        <f t="shared" si="27"/>
        <v>-0.03869499241</v>
      </c>
      <c r="CE16" s="132">
        <f>IF($A16="","",IFERROR(SUMPRODUCT((Raw_Data_Daily!$B$2:$B$9999="Control")*(Raw_Data_Daily!$A$2:$A$9999=$A16)*(Raw_Data_Daily!$C$2:$C$9999=$C$3)*Raw_Data_Daily!$D$2:$D$9999*Raw_Data_Daily!$AD$2:$AD$9999)/SUMIFS(Raw_Data_Daily!$D:$D, Raw_Data_Daily!$B:$B, "Control", Raw_Data_Daily!$A:$A, $A16, Raw_Data_Daily!$C:$C, $C$3),""))</f>
        <v>29.2</v>
      </c>
      <c r="CF16" s="132">
        <f>IF($A16="","",IFERROR(SUMPRODUCT((Raw_Data_Daily!$B$2:$B$9999="Variant")*(Raw_Data_Daily!$A$2:$A$9999=$A16)*(Raw_Data_Daily!$C$2:$C$9999=$C$3)*Raw_Data_Daily!$D$2:$D$9999*Raw_Data_Daily!$AD$2:$AD$9999)/SUMIFS(Raw_Data_Daily!$D:$D, Raw_Data_Daily!$B:$B, "Variant", Raw_Data_Daily!$A:$A, $A16, Raw_Data_Daily!$C:$C, $C$3),""))</f>
        <v>27.23</v>
      </c>
      <c r="CG16" s="130">
        <f t="shared" si="28"/>
        <v>-0.06746575342</v>
      </c>
      <c r="CH16" s="132">
        <f>IF($A16="","",IFERROR(SUMPRODUCT((Raw_Data_Daily!$B$2:$B$9999="Control")*(Raw_Data_Daily!$A$2:$A$9999=$A16)*(Raw_Data_Daily!$C$2:$C$9999=$C$3)*Raw_Data_Daily!$D$2:$D$9999*Raw_Data_Daily!$AE$2:$AE$9999)/SUMIFS(Raw_Data_Daily!$D:$D, Raw_Data_Daily!$B:$B, "Control", Raw_Data_Daily!$A:$A, $A16, Raw_Data_Daily!$C:$C, $C$3),""))</f>
        <v>11</v>
      </c>
      <c r="CI16" s="132">
        <f>IF($A16="","",IFERROR(SUMPRODUCT((Raw_Data_Daily!$B$2:$B$9999="Variant")*(Raw_Data_Daily!$A$2:$A$9999=$A16)*(Raw_Data_Daily!$C$2:$C$9999=$C$3)*Raw_Data_Daily!$D$2:$D$9999*Raw_Data_Daily!$AE$2:$AE$9999)/SUMIFS(Raw_Data_Daily!$D:$D, Raw_Data_Daily!$B:$B, "Variant", Raw_Data_Daily!$A:$A, $A16, Raw_Data_Daily!$C:$C, $C$3),""))</f>
        <v>10</v>
      </c>
      <c r="CJ16" s="130">
        <f t="shared" si="29"/>
        <v>-0.09090909091</v>
      </c>
      <c r="CK16" s="132">
        <f>IF($A16="","",IFERROR(SUMPRODUCT((Raw_Data_Daily!$B$2:$B$9999="Control")*(Raw_Data_Daily!$A$2:$A$9999=$A16)*(Raw_Data_Daily!$C$2:$C$9999=$C$3)*Raw_Data_Daily!$D$2:$D$9999*Raw_Data_Daily!$AF$2:$AF$9999)/SUMIFS(Raw_Data_Daily!$D:$D, Raw_Data_Daily!$B:$B, "Control", Raw_Data_Daily!$A:$A, $A16, Raw_Data_Daily!$C:$C, $C$3),""))</f>
        <v>21</v>
      </c>
      <c r="CL16" s="132">
        <f>IF($A16="","",IFERROR(SUMPRODUCT((Raw_Data_Daily!$B$2:$B$9999="Variant")*(Raw_Data_Daily!$A$2:$A$9999=$A16)*(Raw_Data_Daily!$C$2:$C$9999=$C$3)*Raw_Data_Daily!$D$2:$D$9999*Raw_Data_Daily!$AF$2:$AF$9999)/SUMIFS(Raw_Data_Daily!$D:$D, Raw_Data_Daily!$B:$B, "Variant", Raw_Data_Daily!$A:$A, $A16, Raw_Data_Daily!$C:$C, $C$3),""))</f>
        <v>20</v>
      </c>
      <c r="CM16" s="130">
        <f t="shared" si="30"/>
        <v>-0.04761904762</v>
      </c>
      <c r="CN16" s="132">
        <f>IF($A16="","",IFERROR(SUMPRODUCT((Raw_Data_Daily!$B$2:$B$9999="Control")*(Raw_Data_Daily!$A$2:$A$9999=$A16)*(Raw_Data_Daily!$C$2:$C$9999=$C$3)*Raw_Data_Daily!$D$2:$D$9999*Raw_Data_Daily!$AG$2:$AG$9999)/SUMIFS(Raw_Data_Daily!$D:$D, Raw_Data_Daily!$B:$B, "Control", Raw_Data_Daily!$A:$A, $A16, Raw_Data_Daily!$C:$C, $C$3),""))</f>
        <v>41</v>
      </c>
      <c r="CO16" s="132">
        <f>IF($A16="","",IFERROR(SUMPRODUCT((Raw_Data_Daily!$B$2:$B$9999="Variant")*(Raw_Data_Daily!$A$2:$A$9999=$A16)*(Raw_Data_Daily!$C$2:$C$9999=$C$3)*Raw_Data_Daily!$D$2:$D$9999*Raw_Data_Daily!$AG$2:$AG$9999)/SUMIFS(Raw_Data_Daily!$D:$D, Raw_Data_Daily!$B:$B, "Variant", Raw_Data_Daily!$A:$A, $A16, Raw_Data_Daily!$C:$C, $C$3),""))</f>
        <v>39</v>
      </c>
      <c r="CP16" s="130">
        <f t="shared" si="31"/>
        <v>-0.0487804878</v>
      </c>
      <c r="CQ16" s="132">
        <f>IF($A16="","",IFERROR(SUMPRODUCT((Raw_Data_Daily!$B$2:$B$9999="Control")*(Raw_Data_Daily!$A$2:$A$9999=$A16)*(Raw_Data_Daily!$C$2:$C$9999=$C$3)*Raw_Data_Daily!$D$2:$D$9999*Raw_Data_Daily!$AH$2:$AH$9999)/SUMIFS(Raw_Data_Daily!$D:$D, Raw_Data_Daily!$B:$B, "Control", Raw_Data_Daily!$A:$A, $A16, Raw_Data_Daily!$C:$C, $C$3),""))</f>
        <v>63</v>
      </c>
      <c r="CR16" s="132">
        <f>IF($A16="","",IFERROR(SUMPRODUCT((Raw_Data_Daily!$B$2:$B$9999="Variant")*(Raw_Data_Daily!$A$2:$A$9999=$A16)*(Raw_Data_Daily!$C$2:$C$9999=$C$3)*Raw_Data_Daily!$D$2:$D$9999*Raw_Data_Daily!$AH$2:$AH$9999)/SUMIFS(Raw_Data_Daily!$D:$D, Raw_Data_Daily!$B:$B, "Variant", Raw_Data_Daily!$A:$A, $A16, Raw_Data_Daily!$C:$C, $C$3),""))</f>
        <v>59</v>
      </c>
      <c r="CS16" s="130">
        <f t="shared" si="32"/>
        <v>-0.06349206349</v>
      </c>
      <c r="CT16" s="128">
        <f>IF($A16="","",IFERROR(SUMPRODUCT((Raw_Data_Daily!$B$2:$B$9999="Control")*(Raw_Data_Daily!$A$2:$A$9999=$A16)*(Raw_Data_Daily!$C$2:$C$9999=$C$3)*Raw_Data_Daily!$D$2:$D$9999*Raw_Data_Daily!$AI$2:$AI$9999)/SUMIFS(Raw_Data_Daily!$D:$D, Raw_Data_Daily!$B:$B, "Control", Raw_Data_Daily!$A:$A, $A16, Raw_Data_Daily!$C:$C, $C$3),""))</f>
        <v>39.65</v>
      </c>
      <c r="CU16" s="128">
        <f>IF($A16="","",IFERROR(SUMPRODUCT((Raw_Data_Daily!$B$2:$B$9999="Variant")*(Raw_Data_Daily!$A$2:$A$9999=$A16)*(Raw_Data_Daily!$C$2:$C$9999=$C$3)*Raw_Data_Daily!$D$2:$D$9999*Raw_Data_Daily!$AI$2:$AI$9999)/SUMIFS(Raw_Data_Daily!$D:$D, Raw_Data_Daily!$B:$B, "Variant", Raw_Data_Daily!$A:$A, $A16, Raw_Data_Daily!$C:$C, $C$3),""))</f>
        <v>36.81</v>
      </c>
      <c r="CV16" s="139">
        <f t="shared" si="33"/>
        <v>-0.07162673392</v>
      </c>
      <c r="CW16" s="128">
        <f>IF($A16="","",IFERROR(SUMPRODUCT((Raw_Data_Daily!$B$2:$B$9999="Control")*(Raw_Data_Daily!$A$2:$A$9999=$A16)*(Raw_Data_Daily!$C$2:$C$9999=$C$3)*Raw_Data_Daily!$D$2:$D$9999*Raw_Data_Daily!$AJ$2:$AJ$9999)/SUMIFS(Raw_Data_Daily!$D:$D, Raw_Data_Daily!$B:$B, "Control", Raw_Data_Daily!$A:$A, $A16, Raw_Data_Daily!$C:$C, $C$3),""))</f>
        <v>11.77</v>
      </c>
      <c r="CX16" s="128">
        <f>IF($A16="","",IFERROR(SUMPRODUCT((Raw_Data_Daily!$B$2:$B$9999="Variant")*(Raw_Data_Daily!$A$2:$A$9999=$A16)*(Raw_Data_Daily!$C$2:$C$9999=$C$3)*Raw_Data_Daily!$D$2:$D$9999*Raw_Data_Daily!$AJ$2:$AJ$9999)/SUMIFS(Raw_Data_Daily!$D:$D, Raw_Data_Daily!$B:$B, "Variant", Raw_Data_Daily!$A:$A, $A16, Raw_Data_Daily!$C:$C, $C$3),""))</f>
        <v>9.72</v>
      </c>
      <c r="CY16" s="139">
        <f t="shared" si="34"/>
        <v>-0.1741716228</v>
      </c>
      <c r="CZ16" s="128">
        <f>IF($A16="","",IFERROR(SUMPRODUCT((Raw_Data_Daily!$B$2:$B$9999="Control")*(Raw_Data_Daily!$A$2:$A$9999=$A16)*(Raw_Data_Daily!$C$2:$C$9999=$C$3)*Raw_Data_Daily!$D$2:$D$9999*Raw_Data_Daily!$AK$2:$AK$9999)/SUMIFS(Raw_Data_Daily!$D:$D, Raw_Data_Daily!$B:$B, "Control", Raw_Data_Daily!$A:$A, $A16, Raw_Data_Daily!$C:$C, $C$3),""))</f>
        <v>2.54</v>
      </c>
      <c r="DA16" s="128">
        <f>IF($A16="","",IFERROR(SUMPRODUCT((Raw_Data_Daily!$B$2:$B$9999="Variant")*(Raw_Data_Daily!$A$2:$A$9999=$A16)*(Raw_Data_Daily!$C$2:$C$9999=$C$3)*Raw_Data_Daily!$D$2:$D$9999*Raw_Data_Daily!$AK$2:$AK$9999)/SUMIFS(Raw_Data_Daily!$D:$D, Raw_Data_Daily!$B:$B, "Variant", Raw_Data_Daily!$A:$A, $A16, Raw_Data_Daily!$C:$C, $C$3),""))</f>
        <v>1.94</v>
      </c>
      <c r="DB16" s="130">
        <f t="shared" si="35"/>
        <v>-0.2362204724</v>
      </c>
      <c r="DC16" s="137">
        <f>IF($A16="","",IFERROR(SUMPRODUCT((Raw_Data_Daily!$B$2:$B$9999="Control")*(Raw_Data_Daily!$A$2:$A$9999=$A16)*(Raw_Data_Daily!$C$2:$C$9999=$C$3)*Raw_Data_Daily!$D$2:$D$9999*Raw_Data_Daily!$AL$2:$AL$9999)/SUMIFS(Raw_Data_Daily!$D:$D, Raw_Data_Daily!$B:$B, "Control", Raw_Data_Daily!$A:$A, $A16, Raw_Data_Daily!$C:$C, $C$3),""))</f>
        <v>0.1628</v>
      </c>
      <c r="DD16" s="137">
        <f>IF($A16="","",IFERROR(SUMPRODUCT((Raw_Data_Daily!$B$2:$B$9999="Variant")*(Raw_Data_Daily!$A$2:$A$9999=$A16)*(Raw_Data_Daily!$C$2:$C$9999=$C$3)*Raw_Data_Daily!$D$2:$D$9999*Raw_Data_Daily!$AL$2:$AL$9999)/SUMIFS(Raw_Data_Daily!$D:$D, Raw_Data_Daily!$B:$B, "Variant", Raw_Data_Daily!$A:$A, $A16, Raw_Data_Daily!$C:$C, $C$3),""))</f>
        <v>0.1676</v>
      </c>
      <c r="DE16" s="139">
        <f t="shared" si="36"/>
        <v>0.02948402948</v>
      </c>
      <c r="DF16" s="159"/>
      <c r="DG16" s="128">
        <f>IF($A16="","",IFERROR(SUMPRODUCT((Raw_Data_Daily!$B$2:$B$9999="Variant")*(Raw_Data_Daily!$A$2:$A$9999=$A16)*(Raw_Data_Daily!$C$2:$C$9999=$C$3)*Raw_Data_Daily!$D$2:$D$9999*Raw_Data_Daily!$AM$2:$AM$9999)/SUMIFS(Raw_Data_Daily!$D:$D, Raw_Data_Daily!$B:$B, "Variant", Raw_Data_Daily!$A:$A, $A16, Raw_Data_Daily!$C:$C, $C$3),""))</f>
        <v>43.58</v>
      </c>
      <c r="DH16" s="160"/>
      <c r="DI16" s="159"/>
      <c r="DJ16" s="128">
        <f>IF($A16="","",IFERROR(SUMPRODUCT((Raw_Data_Daily!$B$2:$B$9999="Variant")*(Raw_Data_Daily!$A$2:$A$9999=$A16)*(Raw_Data_Daily!$C$2:$C$9999=$C$3)*Raw_Data_Daily!$D$2:$D$9999*Raw_Data_Daily!$AN$2:$AN$9999)/SUMIFS(Raw_Data_Daily!$D:$D, Raw_Data_Daily!$B:$B, "Variant", Raw_Data_Daily!$A:$A, $A16, Raw_Data_Daily!$C:$C, $C$3),""))</f>
        <v>43.58</v>
      </c>
      <c r="DK16" s="160"/>
      <c r="DL16" s="159"/>
      <c r="DM16" s="128">
        <f>IF($A16="","",IFERROR(SUMPRODUCT((Raw_Data_Daily!$B$2:$B$9999="Variant")*(Raw_Data_Daily!$A$2:$A$9999=$A16)*(Raw_Data_Daily!$C$2:$C$9999=$C$3)*Raw_Data_Daily!$D$2:$D$9999*Raw_Data_Daily!$AO$2:$AO$9999)/SUMIFS(Raw_Data_Daily!$D:$D, Raw_Data_Daily!$B:$B, "Variant", Raw_Data_Daily!$A:$A, $A16, Raw_Data_Daily!$C:$C, $C$3),""))</f>
        <v>25.85</v>
      </c>
      <c r="DN16" s="160"/>
      <c r="DO16" s="159"/>
      <c r="DP16" s="128">
        <f>IF($A16="","",IFERROR(SUMPRODUCT((Raw_Data_Daily!$B$2:$B$9999="Variant")*(Raw_Data_Daily!$A$2:$A$9999=$A16)*(Raw_Data_Daily!$C$2:$C$9999=$C$3)*Raw_Data_Daily!$D$2:$D$9999*Raw_Data_Daily!$AP$2:$AP$9999)/SUMIFS(Raw_Data_Daily!$D:$D, Raw_Data_Daily!$B:$B, "Variant", Raw_Data_Daily!$A:$A, $A16, Raw_Data_Daily!$C:$C, $C$3),""))</f>
        <v>15.54</v>
      </c>
      <c r="DQ16" s="160"/>
      <c r="DR16" s="137">
        <f>IF($A16="","",IFERROR(SUMPRODUCT((Raw_Data_Daily!$B$2:$B$9999="Control")*(Raw_Data_Daily!$A$2:$A$9999=$A16)*(Raw_Data_Daily!$C$2:$C$9999=$C$3)*Raw_Data_Daily!$D$2:$D$9999*Raw_Data_Daily!$AQ$2:$AQ$9999)/SUMIFS(Raw_Data_Daily!$D:$D, Raw_Data_Daily!$B:$B, "Control", Raw_Data_Daily!$A:$A, $A16, Raw_Data_Daily!$C:$C, $C$3),""))</f>
        <v>14.8047</v>
      </c>
      <c r="DS16" s="137">
        <f>IF($A16="","",IFERROR(SUMPRODUCT((Raw_Data_Daily!$B$2:$B$9999="Variant")*(Raw_Data_Daily!$A$2:$A$9999=$A16)*(Raw_Data_Daily!$C$2:$C$9999=$C$3)*Raw_Data_Daily!$D$2:$D$9999*Raw_Data_Daily!$AQ$2:$AQ$9999)/SUMIFS(Raw_Data_Daily!$D:$D, Raw_Data_Daily!$B:$B, "Variant", Raw_Data_Daily!$A:$A, $A16, Raw_Data_Daily!$C:$C, $C$3),""))</f>
        <v>14.1492</v>
      </c>
      <c r="DT16" s="161">
        <f t="shared" si="37"/>
        <v>-0.04427647977</v>
      </c>
      <c r="DU16" s="137">
        <f>IF($A16="","",IFERROR(SUMPRODUCT((Raw_Data_Daily!$B$2:$B$9999="Control")*(Raw_Data_Daily!$A$2:$A$9999=$A16)*(Raw_Data_Daily!$C$2:$C$9999=$C$3)*Raw_Data_Daily!$D$2:$D$9999*Raw_Data_Daily!$AR$2:$AR$9999)/SUMIFS(Raw_Data_Daily!$D:$D, Raw_Data_Daily!$B:$B, "Control", Raw_Data_Daily!$A:$A, $A16, Raw_Data_Daily!$C:$C, $C$3),""))</f>
        <v>0.2514</v>
      </c>
      <c r="DV16" s="137">
        <f>IF($A16="","",IFERROR(SUMPRODUCT((Raw_Data_Daily!$B$2:$B$9999="Variant")*(Raw_Data_Daily!$A$2:$A$9999=$A16)*(Raw_Data_Daily!$C$2:$C$9999=$C$3)*Raw_Data_Daily!$D$2:$D$9999*Raw_Data_Daily!$AR$2:$AR$9999)/SUMIFS(Raw_Data_Daily!$D:$D, Raw_Data_Daily!$B:$B, "Variant", Raw_Data_Daily!$A:$A, $A16, Raw_Data_Daily!$C:$C, $C$3),""))</f>
        <v>0.5722</v>
      </c>
      <c r="DW16" s="161">
        <f t="shared" si="38"/>
        <v>1.276054097</v>
      </c>
      <c r="DX16" s="137">
        <f>IF($A16="","",IFERROR(SUMPRODUCT((Raw_Data_Daily!$B$2:$B$9999="Control")*(Raw_Data_Daily!$A$2:$A$9999=$A16)*(Raw_Data_Daily!$C$2:$C$9999=$C$3)*Raw_Data_Daily!$D$2:$D$9999*Raw_Data_Daily!$AS$2:$AS$9999)/SUMIFS(Raw_Data_Daily!$D:$D, Raw_Data_Daily!$B:$B, "Control", Raw_Data_Daily!$A:$A, $A16, Raw_Data_Daily!$C:$C, $C$3),""))</f>
        <v>14.5533</v>
      </c>
      <c r="DY16" s="137">
        <f>IF($A16="","",IFERROR(SUMPRODUCT((Raw_Data_Daily!$B$2:$B$9999="Variant")*(Raw_Data_Daily!$A$2:$A$9999=$A16)*(Raw_Data_Daily!$C$2:$C$9999=$C$3)*Raw_Data_Daily!$D$2:$D$9999*Raw_Data_Daily!$AS$2:$AS$9999)/SUMIFS(Raw_Data_Daily!$D:$D, Raw_Data_Daily!$B:$B, "Variant", Raw_Data_Daily!$A:$A, $A16, Raw_Data_Daily!$C:$C, $C$3),""))</f>
        <v>13.577</v>
      </c>
      <c r="DZ16" s="162">
        <f t="shared" si="39"/>
        <v>-0.06708444133</v>
      </c>
      <c r="EA16" s="137">
        <f>IF($A16="","",IFERROR(SUMPRODUCT((Raw_Data_Daily!$B$2:$B$9999="Control")*(Raw_Data_Daily!$A$2:$A$9999=$A16)*(Raw_Data_Daily!$C$2:$C$9999=$C$3)*Raw_Data_Daily!$D$2:$D$9999*Raw_Data_Daily!$AT$2:$AT$9999)/SUMIFS(Raw_Data_Daily!$D:$D, Raw_Data_Daily!$B:$B, "Control", Raw_Data_Daily!$A:$A, $A16, Raw_Data_Daily!$C:$C, $C$3),""))</f>
        <v>12.8506</v>
      </c>
      <c r="EB16" s="137">
        <f>IF($A16="","",IFERROR(SUMPRODUCT((Raw_Data_Daily!$B$2:$B$9999="Variant")*(Raw_Data_Daily!$A$2:$A$9999=$A16)*(Raw_Data_Daily!$C$2:$C$9999=$C$3)*Raw_Data_Daily!$D$2:$D$9999*Raw_Data_Daily!$AT$2:$AT$9999)/SUMIFS(Raw_Data_Daily!$D:$D, Raw_Data_Daily!$B:$B, "Variant", Raw_Data_Daily!$A:$A, $A16, Raw_Data_Daily!$C:$C, $C$3),""))</f>
        <v>11.8914</v>
      </c>
      <c r="EC16" s="161">
        <f t="shared" si="40"/>
        <v>-0.07464242915</v>
      </c>
      <c r="ED16" s="137">
        <f>IF($A16="","",IFERROR(SUMPRODUCT((Raw_Data_Daily!$B$2:$B$9999="Control")*(Raw_Data_Daily!$A$2:$A$9999=$A16)*(Raw_Data_Daily!$C$2:$C$9999=$C$3)*Raw_Data_Daily!$D$2:$D$9999*(Raw_Data_Daily!$AQ$2:$AQ$9999-Raw_Data_Daily!$AT$2:$AT$9999))/SUMIFS(Raw_Data_Daily!$D:$D, Raw_Data_Daily!$B:$B, "Control", Raw_Data_Daily!$A:$A, $A16, Raw_Data_Daily!$C:$C, $C$3),""))</f>
        <v>1.9541</v>
      </c>
      <c r="EE16" s="137">
        <f>IF($A16="","",IFERROR(SUMPRODUCT((Raw_Data_Daily!$B$2:$B$9999="Variant")*(Raw_Data_Daily!$A$2:$A$9999=$A16)*(Raw_Data_Daily!$C$2:$C$9999=$C$3)*Raw_Data_Daily!$D$2:$D$9999*(Raw_Data_Daily!$AQ$2:$AQ$9999-Raw_Data_Daily!$AT$2:$AT$9999))/SUMIFS(Raw_Data_Daily!$D:$D, Raw_Data_Daily!$B:$B, "Variant", Raw_Data_Daily!$A:$A, $A16, Raw_Data_Daily!$C:$C, $C$3),""))</f>
        <v>2.2578</v>
      </c>
      <c r="EF16" s="162">
        <f t="shared" si="41"/>
        <v>0.1554168159</v>
      </c>
      <c r="EG16" s="137">
        <f>IF($A16="","",IFERROR(SUMPRODUCT((Raw_Data_Daily!$B$2:$B$9999="Control")*(Raw_Data_Daily!$A$2:$A$9999=$A16)*(Raw_Data_Daily!$C$2:$C$9999=$C$3)*Raw_Data_Daily!$D$2:$D$9999*Raw_Data_Daily!$AU$2:$AU$9999)/SUMIFS(Raw_Data_Daily!$D:$D, Raw_Data_Daily!$B:$B, "Control", Raw_Data_Daily!$A:$A, $A16, Raw_Data_Daily!$C:$C, $C$3),""))</f>
        <v>0.1799</v>
      </c>
      <c r="EH16" s="137">
        <f>IF($A16="","",IFERROR(SUMPRODUCT((Raw_Data_Daily!$B$2:$B$9999="Variant")*(Raw_Data_Daily!$A$2:$A$9999=$A16)*(Raw_Data_Daily!$C$2:$C$9999=$C$3)*Raw_Data_Daily!$D$2:$D$9999*Raw_Data_Daily!$AU$2:$AU$9999)/SUMIFS(Raw_Data_Daily!$D:$D, Raw_Data_Daily!$B:$B, "Variant", Raw_Data_Daily!$A:$A, $A16, Raw_Data_Daily!$C:$C, $C$3),""))</f>
        <v>0.1672</v>
      </c>
      <c r="EI16" s="161">
        <f t="shared" si="42"/>
        <v>-0.07059477487</v>
      </c>
    </row>
    <row r="17" ht="15.75" customHeight="1">
      <c r="A17" s="125">
        <v>46240.0</v>
      </c>
      <c r="B17" s="126">
        <f>IF($A17="","",SUMIFS(Raw_Data_Daily!$D:$D, Raw_Data_Daily!$B:$B, "Control", Raw_Data_Daily!$A:$A, $A17, Raw_Data_Daily!$C:$C, $C$3))</f>
        <v>2997</v>
      </c>
      <c r="C17" s="126">
        <f>IF($A17="","",SUMIFS(Raw_Data_Daily!$D:$D, Raw_Data_Daily!$B:$B, "Variant", Raw_Data_Daily!$A:$A, $A17, Raw_Data_Daily!$C:$C, $C$3))</f>
        <v>2897</v>
      </c>
      <c r="D17" s="127">
        <f t="shared" si="1"/>
        <v>-0.03336670003</v>
      </c>
      <c r="E17" s="128">
        <f>IF($A17="","",IFERROR(SUMPRODUCT((Raw_Data_Daily!$B$2:$B$9999="Control")*(Raw_Data_Daily!$A$2:$A$9999=$A17)*(Raw_Data_Daily!$C$2:$C$9999=$C$3)*Raw_Data_Daily!$D$2:$D$9999*Raw_Data_Daily!$E$2:$E$9999)/SUMIFS(Raw_Data_Daily!$D:$D, Raw_Data_Daily!$B:$B, "Control", Raw_Data_Daily!$A:$A, $A17, Raw_Data_Daily!$C:$C, $C$3),""))</f>
        <v>11.53</v>
      </c>
      <c r="F17" s="128">
        <f>IF($A17="","",IFERROR(SUMPRODUCT((Raw_Data_Daily!$B$2:$B$9999="Variant")*(Raw_Data_Daily!$A$2:$A$9999=$A17)*(Raw_Data_Daily!$C$2:$C$9999=$C$3)*Raw_Data_Daily!$D$2:$D$9999*Raw_Data_Daily!$E$2:$E$9999)/SUMIFS(Raw_Data_Daily!$D:$D, Raw_Data_Daily!$B:$B, "Variant", Raw_Data_Daily!$A:$A, $A17, Raw_Data_Daily!$C:$C, $C$3),""))</f>
        <v>11.14</v>
      </c>
      <c r="G17" s="127">
        <f t="shared" si="2"/>
        <v>-0.03382480486</v>
      </c>
      <c r="H17" s="129">
        <f>IF($A17="","",SUMIFS(Raw_Data_Daily!$F:$F, Raw_Data_Daily!$B:$B, "Control", Raw_Data_Daily!$A:$A, $A17, Raw_Data_Daily!$C:$C, $C$3))</f>
        <v>725.43</v>
      </c>
      <c r="I17" s="129">
        <f>IF($A17="","",SUMIFS(Raw_Data_Daily!$F:$F, Raw_Data_Daily!$B:$B, "Variant", Raw_Data_Daily!$A:$A, $A17, Raw_Data_Daily!$C:$C, $C$3))</f>
        <v>513.14</v>
      </c>
      <c r="J17" s="130">
        <f t="shared" si="3"/>
        <v>-0.2926402272</v>
      </c>
      <c r="K17" s="131">
        <f>IF($A17="","",IFERROR(SUMIFS(Raw_Data_Daily!$F:$F, Raw_Data_Daily!$B:$B, "Control", Raw_Data_Daily!$A:$A, $A17, Raw_Data_Daily!$C:$C, $C$3)/SUMIFS(Raw_Data_Daily!$D:$D, Raw_Data_Daily!$B:$B, "Control", Raw_Data_Daily!$A:$A, $A17, Raw_Data_Daily!$C:$C, $C$3),""))</f>
        <v>0.2420520521</v>
      </c>
      <c r="L17" s="131">
        <f>IF($A17="","",IFERROR(SUMIFS(Raw_Data_Daily!$F:$F, Raw_Data_Daily!$B:$B, "Variant", Raw_Data_Daily!$A:$A, $A17, Raw_Data_Daily!$C:$C, $C$3)/SUMIFS(Raw_Data_Daily!$D:$D, Raw_Data_Daily!$B:$B, "Variant", Raw_Data_Daily!$A:$A, $A17, Raw_Data_Daily!$C:$C, $C$3),""))</f>
        <v>0.1771280635</v>
      </c>
      <c r="M17" s="130">
        <f t="shared" si="4"/>
        <v>-0.2682232519</v>
      </c>
      <c r="N17" s="128">
        <f>IF($A17="","",IFERROR(SUMPRODUCT((Raw_Data_Daily!$B$2:$B$9999="Control")*(Raw_Data_Daily!$A$2:$A$9999=$A17)*(Raw_Data_Daily!$C$2:$C$9999=$C$3)*Raw_Data_Daily!$D$2:$D$9999*Raw_Data_Daily!$H$2:$H$9999/100)/SUMIFS(Raw_Data_Daily!$D:$D, Raw_Data_Daily!$B:$B, "Control", Raw_Data_Daily!$A:$A, $A17, Raw_Data_Daily!$C:$C, $C$3)*100,""))</f>
        <v>3.5</v>
      </c>
      <c r="O17" s="128">
        <f>IF($A17="","",IFERROR(SUMPRODUCT((Raw_Data_Daily!$B$2:$B$9999="Variant")*(Raw_Data_Daily!$A$2:$A$9999=$A17)*(Raw_Data_Daily!$C$2:$C$9999=$C$3)*Raw_Data_Daily!$D$2:$D$9999*Raw_Data_Daily!$H$2:$H$9999/100)/SUMIFS(Raw_Data_Daily!$D:$D, Raw_Data_Daily!$B:$B, "Variant", Raw_Data_Daily!$A:$A, $A17, Raw_Data_Daily!$C:$C, $C$3)*100,""))</f>
        <v>3.49</v>
      </c>
      <c r="P17" s="130">
        <f t="shared" si="5"/>
        <v>-0.002857142857</v>
      </c>
      <c r="Q17" s="131">
        <f>IF($A17="","",IFERROR(SUMIFS(Raw_Data_Daily!$F:$F, Raw_Data_Daily!$B:$B, "Control", Raw_Data_Daily!$A:$A, $A17, Raw_Data_Daily!$C:$C, $C$3)/SUMPRODUCT((Raw_Data_Daily!$B$2:$B$9999="Control")*(Raw_Data_Daily!$A$2:$A$9999=$A17)*(Raw_Data_Daily!$C$2:$C$9999=$C$3)*Raw_Data_Daily!$D$2:$D$9999*Raw_Data_Daily!$H$2:$H$9999/100),""))</f>
        <v>6.915772916</v>
      </c>
      <c r="R17" s="131">
        <f>IF($A17="","",IFERROR(SUMIFS(Raw_Data_Daily!$F:$F, Raw_Data_Daily!$B:$B, "Variant", Raw_Data_Daily!$A:$A, $A17, Raw_Data_Daily!$C:$C, $C$3)/SUMPRODUCT((Raw_Data_Daily!$B$2:$B$9999="Variant")*(Raw_Data_Daily!$A$2:$A$9999=$A17)*(Raw_Data_Daily!$C$2:$C$9999=$C$3)*Raw_Data_Daily!$D$2:$D$9999*Raw_Data_Daily!$H$2:$H$9999/100),""))</f>
        <v>5.075302679</v>
      </c>
      <c r="S17" s="130">
        <f t="shared" si="6"/>
        <v>-0.2661264704</v>
      </c>
      <c r="T17" s="132">
        <f>IF($A17="","",IFERROR(SUMPRODUCT((Raw_Data_Daily!$B$2:$B$9999="Control")*(Raw_Data_Daily!$A$2:$A$9999=$A17)*(Raw_Data_Daily!$C$2:$C$9999=$C$3)*Raw_Data_Daily!$D$2:$D$9999*Raw_Data_Daily!$J$2:$J$9999)/SUMIFS(Raw_Data_Daily!$D:$D, Raw_Data_Daily!$B:$B, "Control", Raw_Data_Daily!$A:$A, $A17, Raw_Data_Daily!$C:$C, $C$3),""))</f>
        <v>109.79</v>
      </c>
      <c r="U17" s="132">
        <f>IF($A17="","",IFERROR(SUMPRODUCT((Raw_Data_Daily!$B$2:$B$9999="Variant")*(Raw_Data_Daily!$A$2:$A$9999=$A17)*(Raw_Data_Daily!$C$2:$C$9999=$C$3)*Raw_Data_Daily!$D$2:$D$9999*Raw_Data_Daily!$J$2:$J$9999)/SUMIFS(Raw_Data_Daily!$D:$D, Raw_Data_Daily!$B:$B, "Variant", Raw_Data_Daily!$A:$A, $A17, Raw_Data_Daily!$C:$C, $C$3),""))</f>
        <v>111.87</v>
      </c>
      <c r="V17" s="130">
        <f t="shared" si="7"/>
        <v>0.01894525913</v>
      </c>
      <c r="W17" s="132">
        <f>IF($A17="","",IFERROR(SUMPRODUCT((Raw_Data_Daily!$B$2:$B$9999="Control")*(Raw_Data_Daily!$A$2:$A$9999=$A17)*(Raw_Data_Daily!$C$2:$C$9999=$C$3)*Raw_Data_Daily!$D$2:$D$9999*Raw_Data_Daily!$K$2:$K$9999)/SUMIFS(Raw_Data_Daily!$D:$D, Raw_Data_Daily!$B:$B, "Control", Raw_Data_Daily!$A:$A, $A17, Raw_Data_Daily!$C:$C, $C$3),""))</f>
        <v>69.32</v>
      </c>
      <c r="X17" s="132">
        <f>IF($A17="","",IFERROR(SUMPRODUCT((Raw_Data_Daily!$B$2:$B$9999="Variant")*(Raw_Data_Daily!$A$2:$A$9999=$A17)*(Raw_Data_Daily!$C$2:$C$9999=$C$3)*Raw_Data_Daily!$D$2:$D$9999*Raw_Data_Daily!$K$2:$K$9999)/SUMIFS(Raw_Data_Daily!$D:$D, Raw_Data_Daily!$B:$B, "Variant", Raw_Data_Daily!$A:$A, $A17, Raw_Data_Daily!$C:$C, $C$3),""))</f>
        <v>69.28</v>
      </c>
      <c r="Y17" s="130">
        <f t="shared" si="8"/>
        <v>-0.000577034045</v>
      </c>
      <c r="Z17" s="132">
        <f>IF($A17="","",IFERROR(SUMPRODUCT((Raw_Data_Daily!$B$2:$B$9999="Control")*(Raw_Data_Daily!$A$2:$A$9999=$A17)*(Raw_Data_Daily!$C$2:$C$9999=$C$3)*Raw_Data_Daily!$D$2:$D$9999*Raw_Data_Daily!$L$2:$L$9999)/SUMIFS(Raw_Data_Daily!$D:$D, Raw_Data_Daily!$B:$B, "Control", Raw_Data_Daily!$A:$A, $A17, Raw_Data_Daily!$C:$C, $C$3),""))</f>
        <v>52.7</v>
      </c>
      <c r="AA17" s="132">
        <f>IF($A17="","",IFERROR(SUMPRODUCT((Raw_Data_Daily!$B$2:$B$9999="Variant")*(Raw_Data_Daily!$A$2:$A$9999=$A17)*(Raw_Data_Daily!$C$2:$C$9999=$C$3)*Raw_Data_Daily!$D$2:$D$9999*Raw_Data_Daily!$L$2:$L$9999)/SUMIFS(Raw_Data_Daily!$D:$D, Raw_Data_Daily!$B:$B, "Variant", Raw_Data_Daily!$A:$A, $A17, Raw_Data_Daily!$C:$C, $C$3),""))</f>
        <v>49.73</v>
      </c>
      <c r="AB17" s="130">
        <f t="shared" si="9"/>
        <v>-0.05635673624</v>
      </c>
      <c r="AC17" s="137">
        <f>IF($A17="","",IFERROR(SUMPRODUCT((Raw_Data_Daily!$B$2:$B$9999="Control")*(Raw_Data_Daily!$A$2:$A$9999=$A17)*(Raw_Data_Daily!$C$2:$C$9999=$C$3)*Raw_Data_Daily!$D$2:$D$9999*Raw_Data_Daily!$M$2:$M$9999)/SUMIFS(Raw_Data_Daily!$D:$D, Raw_Data_Daily!$B:$B, "Control", Raw_Data_Daily!$A:$A, $A17, Raw_Data_Daily!$C:$C, $C$3),""))</f>
        <v>0.7603</v>
      </c>
      <c r="AD17" s="137">
        <f>IF($A17="","",IFERROR(SUMPRODUCT((Raw_Data_Daily!$B$2:$B$9999="Variant")*(Raw_Data_Daily!$A$2:$A$9999=$A17)*(Raw_Data_Daily!$C$2:$C$9999=$C$3)*Raw_Data_Daily!$D$2:$D$9999*Raw_Data_Daily!$M$2:$M$9999)/SUMIFS(Raw_Data_Daily!$D:$D, Raw_Data_Daily!$B:$B, "Variant", Raw_Data_Daily!$A:$A, $A17, Raw_Data_Daily!$C:$C, $C$3),""))</f>
        <v>0.7178</v>
      </c>
      <c r="AE17" s="139">
        <f t="shared" si="10"/>
        <v>-0.05589898724</v>
      </c>
      <c r="AF17" s="137">
        <f>IF($A17="","",IFERROR(SUMPRODUCT((Raw_Data_Daily!$B$2:$B$9999="Control")*(Raw_Data_Daily!$A$2:$A$9999=$A17)*(Raw_Data_Daily!$C$2:$C$9999=$C$3)*Raw_Data_Daily!$D$2:$D$9999*Raw_Data_Daily!$N$2:$N$9999)/SUMIFS(Raw_Data_Daily!$D:$D, Raw_Data_Daily!$B:$B, "Control", Raw_Data_Daily!$A:$A, $A17, Raw_Data_Daily!$C:$C, $C$3),""))</f>
        <v>0.3556</v>
      </c>
      <c r="AG17" s="137">
        <f>IF($A17="","",IFERROR(SUMPRODUCT((Raw_Data_Daily!$B$2:$B$9999="Variant")*(Raw_Data_Daily!$A$2:$A$9999=$A17)*(Raw_Data_Daily!$C$2:$C$9999=$C$3)*Raw_Data_Daily!$D$2:$D$9999*Raw_Data_Daily!$N$2:$N$9999)/SUMIFS(Raw_Data_Daily!$D:$D, Raw_Data_Daily!$B:$B, "Variant", Raw_Data_Daily!$A:$A, $A17, Raw_Data_Daily!$C:$C, $C$3),""))</f>
        <v>0.3862</v>
      </c>
      <c r="AH17" s="139">
        <f t="shared" si="11"/>
        <v>0.08605174353</v>
      </c>
      <c r="AI17" s="137">
        <f>IF($A17="","",IFERROR(SUMPRODUCT((Raw_Data_Daily!$B$2:$B$9999="Control")*(Raw_Data_Daily!$A$2:$A$9999=$A17)*(Raw_Data_Daily!$C$2:$C$9999=$C$3)*Raw_Data_Daily!$D$2:$D$9999*Raw_Data_Daily!$O$2:$O$9999)/SUMIFS(Raw_Data_Daily!$D:$D, Raw_Data_Daily!$B:$B, "Control", Raw_Data_Daily!$A:$A, $A17, Raw_Data_Daily!$C:$C, $C$3),""))</f>
        <v>0.2418</v>
      </c>
      <c r="AJ17" s="137">
        <f>IF($A17="","",IFERROR(SUMPRODUCT((Raw_Data_Daily!$B$2:$B$9999="Variant")*(Raw_Data_Daily!$A$2:$A$9999=$A17)*(Raw_Data_Daily!$C$2:$C$9999=$C$3)*Raw_Data_Daily!$D$2:$D$9999*Raw_Data_Daily!$O$2:$O$9999)/SUMIFS(Raw_Data_Daily!$D:$D, Raw_Data_Daily!$B:$B, "Variant", Raw_Data_Daily!$A:$A, $A17, Raw_Data_Daily!$C:$C, $C$3),""))</f>
        <v>0.2485</v>
      </c>
      <c r="AK17" s="130">
        <f t="shared" si="12"/>
        <v>0.02770885029</v>
      </c>
      <c r="AL17" s="132">
        <f>IF($A17="","",IFERROR(SUMPRODUCT((Raw_Data_Daily!$B$2:$B$9999="Control")*(Raw_Data_Daily!$A$2:$A$9999=$A17)*(Raw_Data_Daily!$C$2:$C$9999=$C$3)*Raw_Data_Daily!$D$2:$D$9999*Raw_Data_Daily!$P$2:$P$9999)/SUMIFS(Raw_Data_Daily!$D:$D, Raw_Data_Daily!$B:$B, "Control", Raw_Data_Daily!$A:$A, $A17, Raw_Data_Daily!$C:$C, $C$3),""))</f>
        <v>1.3153</v>
      </c>
      <c r="AM17" s="132">
        <f>IF($A17="","",IFERROR(SUMPRODUCT((Raw_Data_Daily!$B$2:$B$9999="Variant")*(Raw_Data_Daily!$A$2:$A$9999=$A17)*(Raw_Data_Daily!$C$2:$C$9999=$C$3)*Raw_Data_Daily!$D$2:$D$9999*Raw_Data_Daily!$P$2:$P$9999)/SUMIFS(Raw_Data_Daily!$D:$D, Raw_Data_Daily!$B:$B, "Variant", Raw_Data_Daily!$A:$A, $A17, Raw_Data_Daily!$C:$C, $C$3),""))</f>
        <v>1.3931</v>
      </c>
      <c r="AN17" s="130">
        <f t="shared" si="13"/>
        <v>0.0591500038</v>
      </c>
      <c r="AO17" s="132">
        <f>IF($A17="","",IFERROR(SUMPRODUCT((Raw_Data_Daily!$B$2:$B$9999="Control")*(Raw_Data_Daily!$A$2:$A$9999=$A17)*(Raw_Data_Daily!$C$2:$C$9999=$C$3)*Raw_Data_Daily!$D$2:$D$9999*Raw_Data_Daily!$Q$2:$Q$9999)/SUMIFS(Raw_Data_Daily!$D:$D, Raw_Data_Daily!$B:$B, "Control", Raw_Data_Daily!$A:$A, $A17, Raw_Data_Daily!$C:$C, $C$3),""))</f>
        <v>342.93</v>
      </c>
      <c r="AP17" s="132">
        <f>IF($A17="","",IFERROR(SUMPRODUCT((Raw_Data_Daily!$B$2:$B$9999="Variant")*(Raw_Data_Daily!$A$2:$A$9999=$A17)*(Raw_Data_Daily!$C$2:$C$9999=$C$3)*Raw_Data_Daily!$D$2:$D$9999*Raw_Data_Daily!$Q$2:$Q$9999)/SUMIFS(Raw_Data_Daily!$D:$D, Raw_Data_Daily!$B:$B, "Variant", Raw_Data_Daily!$A:$A, $A17, Raw_Data_Daily!$C:$C, $C$3),""))</f>
        <v>220.58</v>
      </c>
      <c r="AQ17" s="127">
        <f t="shared" si="14"/>
        <v>-0.3567783513</v>
      </c>
      <c r="AR17" s="132">
        <f>IF($A17="","",IFERROR(SUMPRODUCT((Raw_Data_Daily!$B$2:$B$9999="Control")*(Raw_Data_Daily!$A$2:$A$9999=$A17)*(Raw_Data_Daily!$C$2:$C$9999=$C$3)*Raw_Data_Daily!$D$2:$D$9999*Raw_Data_Daily!$R$2:$R$9999)/SUMIFS(Raw_Data_Daily!$D:$D, Raw_Data_Daily!$B:$B, "Control", Raw_Data_Daily!$A:$A, $A17, Raw_Data_Daily!$C:$C, $C$3),""))</f>
        <v>233.52</v>
      </c>
      <c r="AS17" s="132">
        <f>IF($A17="","",IFERROR(SUMPRODUCT((Raw_Data_Daily!$B$2:$B$9999="Variant")*(Raw_Data_Daily!$A$2:$A$9999=$A17)*(Raw_Data_Daily!$C$2:$C$9999=$C$3)*Raw_Data_Daily!$D$2:$D$9999*Raw_Data_Daily!$R$2:$R$9999)/SUMIFS(Raw_Data_Daily!$D:$D, Raw_Data_Daily!$B:$B, "Variant", Raw_Data_Daily!$A:$A, $A17, Raw_Data_Daily!$C:$C, $C$3),""))</f>
        <v>191.47</v>
      </c>
      <c r="AT17" s="127">
        <f t="shared" si="15"/>
        <v>-0.1800702295</v>
      </c>
      <c r="AU17" s="132">
        <f>IF($A17="","",IFERROR(SUMPRODUCT((Raw_Data_Daily!$B$2:$B$9999="Control")*(Raw_Data_Daily!$A$2:$A$9999=$A17)*(Raw_Data_Daily!$C$2:$C$9999=$C$3)*Raw_Data_Daily!$D$2:$D$9999*Raw_Data_Daily!$S$2:$S$9999)/SUMIFS(Raw_Data_Daily!$D:$D, Raw_Data_Daily!$B:$B, "Control", Raw_Data_Daily!$A:$A, $A17, Raw_Data_Daily!$C:$C, $C$3),""))</f>
        <v>109.41</v>
      </c>
      <c r="AV17" s="132">
        <f>IF($A17="","",IFERROR(SUMPRODUCT((Raw_Data_Daily!$B$2:$B$9999="Variant")*(Raw_Data_Daily!$A$2:$A$9999=$A17)*(Raw_Data_Daily!$C$2:$C$9999=$C$3)*Raw_Data_Daily!$D$2:$D$9999*Raw_Data_Daily!$S$2:$S$9999)/SUMIFS(Raw_Data_Daily!$D:$D, Raw_Data_Daily!$B:$B, "Variant", Raw_Data_Daily!$A:$A, $A17, Raw_Data_Daily!$C:$C, $C$3),""))</f>
        <v>29.11</v>
      </c>
      <c r="AW17" s="127">
        <f t="shared" si="16"/>
        <v>-0.7339365689</v>
      </c>
      <c r="AX17" s="132">
        <f>IF($A17="","",IFERROR(SUMPRODUCT((Raw_Data_Daily!$B$2:$B$9999="Control")*(Raw_Data_Daily!$A$2:$A$9999=$A17)*(Raw_Data_Daily!$C$2:$C$9999=$C$3)*Raw_Data_Daily!$D$2:$D$9999*Raw_Data_Daily!$T$2:$T$9999)/SUMIFS(Raw_Data_Daily!$D:$D, Raw_Data_Daily!$B:$B, "Control", Raw_Data_Daily!$A:$A, $A17, Raw_Data_Daily!$C:$C, $C$3),""))</f>
        <v>20.05</v>
      </c>
      <c r="AY17" s="132">
        <f>IF($A17="","",IFERROR(SUMPRODUCT((Raw_Data_Daily!$B$2:$B$9999="Variant")*(Raw_Data_Daily!$A$2:$A$9999=$A17)*(Raw_Data_Daily!$C$2:$C$9999=$C$3)*Raw_Data_Daily!$D$2:$D$9999*Raw_Data_Daily!$T$2:$T$9999)/SUMIFS(Raw_Data_Daily!$D:$D, Raw_Data_Daily!$B:$B, "Variant", Raw_Data_Daily!$A:$A, $A17, Raw_Data_Daily!$C:$C, $C$3),""))</f>
        <v>19.33</v>
      </c>
      <c r="AZ17" s="130">
        <f t="shared" si="17"/>
        <v>-0.03591022444</v>
      </c>
      <c r="BA17" s="132">
        <f>IF($A17="","",IFERROR(SUMPRODUCT((Raw_Data_Daily!$B$2:$B$9999="Control")*(Raw_Data_Daily!$A$2:$A$9999=$A17)*(Raw_Data_Daily!$C$2:$C$9999=$C$3)*Raw_Data_Daily!$D$2:$D$9999*Raw_Data_Daily!$U$2:$U$9999)/SUMIFS(Raw_Data_Daily!$D:$D, Raw_Data_Daily!$B:$B, "Control", Raw_Data_Daily!$A:$A, $A17, Raw_Data_Daily!$C:$C, $C$3),""))</f>
        <v>322.88</v>
      </c>
      <c r="BB17" s="132">
        <f>IF($A17="","",IFERROR(SUMPRODUCT((Raw_Data_Daily!$B$2:$B$9999="Variant")*(Raw_Data_Daily!$A$2:$A$9999=$A17)*(Raw_Data_Daily!$C$2:$C$9999=$C$3)*Raw_Data_Daily!$D$2:$D$9999*Raw_Data_Daily!$U$2:$U$9999)/SUMIFS(Raw_Data_Daily!$D:$D, Raw_Data_Daily!$B:$B, "Variant", Raw_Data_Daily!$A:$A, $A17, Raw_Data_Daily!$C:$C, $C$3),""))</f>
        <v>201.25</v>
      </c>
      <c r="BC17" s="127">
        <f t="shared" si="18"/>
        <v>-0.3767034192</v>
      </c>
      <c r="BD17" s="132">
        <f>IF($A17="","",IFERROR(SUMPRODUCT((Raw_Data_Daily!$B$2:$B$9999="Control")*(Raw_Data_Daily!$A$2:$A$9999=$A17)*(Raw_Data_Daily!$C$2:$C$9999=$C$3)*Raw_Data_Daily!$D$2:$D$9999*Raw_Data_Daily!$V$2:$V$9999)/SUMIFS(Raw_Data_Daily!$D:$D, Raw_Data_Daily!$B:$B, "Control", Raw_Data_Daily!$A:$A, $A17, Raw_Data_Daily!$C:$C, $C$3),""))</f>
        <v>328.95</v>
      </c>
      <c r="BE17" s="132">
        <f>IF($A17="","",IFERROR(SUMPRODUCT((Raw_Data_Daily!$B$2:$B$9999="Variant")*(Raw_Data_Daily!$A$2:$A$9999=$A17)*(Raw_Data_Daily!$C$2:$C$9999=$C$3)*Raw_Data_Daily!$D$2:$D$9999*Raw_Data_Daily!$V$2:$V$9999)/SUMIFS(Raw_Data_Daily!$D:$D, Raw_Data_Daily!$B:$B, "Variant", Raw_Data_Daily!$A:$A, $A17, Raw_Data_Daily!$C:$C, $C$3),""))</f>
        <v>248.21</v>
      </c>
      <c r="BF17" s="127">
        <f t="shared" si="19"/>
        <v>-0.2454476364</v>
      </c>
      <c r="BG17" s="132">
        <f>IF($A17="","",IFERROR(SUMPRODUCT((Raw_Data_Daily!$B$2:$B$9999="Control")*(Raw_Data_Daily!$A$2:$A$9999=$A17)*(Raw_Data_Daily!$C$2:$C$9999=$C$3)*Raw_Data_Daily!$D$2:$D$9999*(Raw_Data_Daily!$Q$2:$Q$9999-Raw_Data_Daily!$V$2:$V$9999))/SUMIFS(Raw_Data_Daily!$D:$D, Raw_Data_Daily!$B:$B, "Control", Raw_Data_Daily!$A:$A, $A17, Raw_Data_Daily!$C:$C, $C$3),""))</f>
        <v>13.98</v>
      </c>
      <c r="BH17" s="132">
        <f>IF($A17="","",IFERROR(SUMPRODUCT((Raw_Data_Daily!$B$2:$B$9999="Variant")*(Raw_Data_Daily!$A$2:$A$9999=$A17)*(Raw_Data_Daily!$C$2:$C$9999=$C$3)*Raw_Data_Daily!$D$2:$D$9999*(Raw_Data_Daily!$Q$2:$Q$9999-Raw_Data_Daily!$V$2:$V$9999))/SUMIFS(Raw_Data_Daily!$D:$D, Raw_Data_Daily!$B:$B, "Variant", Raw_Data_Daily!$A:$A, $A17, Raw_Data_Daily!$C:$C, $C$3),""))</f>
        <v>-27.63</v>
      </c>
      <c r="BI17" s="127">
        <f t="shared" si="20"/>
        <v>-2.97639485</v>
      </c>
      <c r="BJ17" s="132">
        <f>IF($A17="","",IFERROR(SUMPRODUCT((Raw_Data_Daily!$B$2:$B$9999="Control")*(Raw_Data_Daily!$A$2:$A$9999=$A17)*(Raw_Data_Daily!$C$2:$C$9999=$C$3)*Raw_Data_Daily!$D$2:$D$9999*Raw_Data_Daily!$W$2:$W$9999)/SUMIFS(Raw_Data_Daily!$D:$D, Raw_Data_Daily!$B:$B, "Control", Raw_Data_Daily!$A:$A, $A17, Raw_Data_Daily!$C:$C, $C$3),""))</f>
        <v>4.745</v>
      </c>
      <c r="BK17" s="132">
        <f>IF($A17="","",IFERROR(SUMPRODUCT((Raw_Data_Daily!$B$2:$B$9999="Variant")*(Raw_Data_Daily!$A$2:$A$9999=$A17)*(Raw_Data_Daily!$C$2:$C$9999=$C$3)*Raw_Data_Daily!$D$2:$D$9999*Raw_Data_Daily!$W$2:$W$9999)/SUMIFS(Raw_Data_Daily!$D:$D, Raw_Data_Daily!$B:$B, "Variant", Raw_Data_Daily!$A:$A, $A17, Raw_Data_Daily!$C:$C, $C$3),""))</f>
        <v>3.5824</v>
      </c>
      <c r="BL17" s="127">
        <f t="shared" si="21"/>
        <v>-0.2450158061</v>
      </c>
      <c r="BM17" s="137">
        <f>IF($A17="","",IFERROR(SUMPRODUCT((Raw_Data_Daily!$B$2:$B$9999="Control")*(Raw_Data_Daily!$A$2:$A$9999=$A17)*(Raw_Data_Daily!$C$2:$C$9999=$C$3)*Raw_Data_Daily!$D$2:$D$9999*Raw_Data_Daily!$X$2:$X$9999)/SUMIFS(Raw_Data_Daily!$D:$D, Raw_Data_Daily!$B:$B, "Control", Raw_Data_Daily!$A:$A, $A17, Raw_Data_Daily!$C:$C, $C$3),""))</f>
        <v>5.85</v>
      </c>
      <c r="BN17" s="137">
        <f>IF($A17="","",IFERROR(SUMPRODUCT((Raw_Data_Daily!$B$2:$B$9999="Variant")*(Raw_Data_Daily!$A$2:$A$9999=$A17)*(Raw_Data_Daily!$C$2:$C$9999=$C$3)*Raw_Data_Daily!$D$2:$D$9999*Raw_Data_Daily!$X$2:$X$9999)/SUMIFS(Raw_Data_Daily!$D:$D, Raw_Data_Daily!$B:$B, "Variant", Raw_Data_Daily!$A:$A, $A17, Raw_Data_Daily!$C:$C, $C$3),""))</f>
        <v>8.76</v>
      </c>
      <c r="BO17" s="130">
        <f t="shared" si="22"/>
        <v>0.4974358974</v>
      </c>
      <c r="BP17" s="126">
        <f>IF($A17="","",IFERROR(SUMPRODUCT((Raw_Data_Daily!$B$2:$B$9999="Control")*(Raw_Data_Daily!$A$2:$A$9999=$A17)*(Raw_Data_Daily!$C$2:$C$9999=$C$3)*Raw_Data_Daily!$D$2:$D$9999*Raw_Data_Daily!$Y$2:$Y$9999)/SUMIFS(Raw_Data_Daily!$D:$D, Raw_Data_Daily!$B:$B, "Control", Raw_Data_Daily!$A:$A, $A17, Raw_Data_Daily!$C:$C, $C$3),""))</f>
        <v>374</v>
      </c>
      <c r="BQ17" s="126">
        <f>IF($A17="","",IFERROR(SUMPRODUCT((Raw_Data_Daily!$B$2:$B$9999="Variant")*(Raw_Data_Daily!$A$2:$A$9999=$A17)*(Raw_Data_Daily!$C$2:$C$9999=$C$3)*Raw_Data_Daily!$D$2:$D$9999*Raw_Data_Daily!$Y$2:$Y$9999)/SUMIFS(Raw_Data_Daily!$D:$D, Raw_Data_Daily!$B:$B, "Variant", Raw_Data_Daily!$A:$A, $A17, Raw_Data_Daily!$C:$C, $C$3),""))</f>
        <v>289</v>
      </c>
      <c r="BR17" s="127">
        <f t="shared" si="23"/>
        <v>-0.2272727273</v>
      </c>
      <c r="BS17" s="126">
        <f>IF($A17="","",IFERROR(SUMPRODUCT((Raw_Data_Daily!$B$2:$B$9999="Control")*(Raw_Data_Daily!$A$2:$A$9999=$A17)*(Raw_Data_Daily!$C$2:$C$9999=$C$3)*Raw_Data_Daily!$D$2:$D$9999*Raw_Data_Daily!$Z$2:$Z$9999)/SUMIFS(Raw_Data_Daily!$D:$D, Raw_Data_Daily!$B:$B, "Control", Raw_Data_Daily!$A:$A, $A17, Raw_Data_Daily!$C:$C, $C$3),""))</f>
        <v>708</v>
      </c>
      <c r="BT17" s="126">
        <f>IF($A17="","",IFERROR(SUMPRODUCT((Raw_Data_Daily!$B$2:$B$9999="Variant")*(Raw_Data_Daily!$A$2:$A$9999=$A17)*(Raw_Data_Daily!$C$2:$C$9999=$C$3)*Raw_Data_Daily!$D$2:$D$9999*Raw_Data_Daily!$Z$2:$Z$9999)/SUMIFS(Raw_Data_Daily!$D:$D, Raw_Data_Daily!$B:$B, "Variant", Raw_Data_Daily!$A:$A, $A17, Raw_Data_Daily!$C:$C, $C$3),""))</f>
        <v>506</v>
      </c>
      <c r="BU17" s="127">
        <f t="shared" si="24"/>
        <v>-0.2853107345</v>
      </c>
      <c r="BV17" s="126">
        <f>IF($A17="","",IFERROR(SUMPRODUCT((Raw_Data_Daily!$B$2:$B$9999="Control")*(Raw_Data_Daily!$A$2:$A$9999=$A17)*(Raw_Data_Daily!$C$2:$C$9999=$C$3)*Raw_Data_Daily!$D$2:$D$9999*Raw_Data_Daily!$AA$2:$AA$9999)/SUMIFS(Raw_Data_Daily!$D:$D, Raw_Data_Daily!$B:$B, "Control", Raw_Data_Daily!$A:$A, $A17, Raw_Data_Daily!$C:$C, $C$3),""))</f>
        <v>1672</v>
      </c>
      <c r="BW17" s="126">
        <f>IF($A17="","",IFERROR(SUMPRODUCT((Raw_Data_Daily!$B$2:$B$9999="Variant")*(Raw_Data_Daily!$A$2:$A$9999=$A17)*(Raw_Data_Daily!$C$2:$C$9999=$C$3)*Raw_Data_Daily!$D$2:$D$9999*Raw_Data_Daily!$AA$2:$AA$9999)/SUMIFS(Raw_Data_Daily!$D:$D, Raw_Data_Daily!$B:$B, "Variant", Raw_Data_Daily!$A:$A, $A17, Raw_Data_Daily!$C:$C, $C$3),""))</f>
        <v>1240</v>
      </c>
      <c r="BX17" s="127">
        <f t="shared" si="25"/>
        <v>-0.2583732057</v>
      </c>
      <c r="BY17" s="132">
        <f>IF($A17="","",IFERROR(SUMPRODUCT((Raw_Data_Daily!$B$2:$B$9999="Control")*(Raw_Data_Daily!$A$2:$A$9999=$A17)*(Raw_Data_Daily!$C$2:$C$9999=$C$3)*Raw_Data_Daily!$D$2:$D$9999*Raw_Data_Daily!$AB$2:$AB$9999)/SUMIFS(Raw_Data_Daily!$D:$D, Raw_Data_Daily!$B:$B, "Control", Raw_Data_Daily!$A:$A, $A17, Raw_Data_Daily!$C:$C, $C$3),""))</f>
        <v>56.1322</v>
      </c>
      <c r="BZ17" s="132">
        <f>IF($A17="","",IFERROR(SUMPRODUCT((Raw_Data_Daily!$B$2:$B$9999="Variant")*(Raw_Data_Daily!$A$2:$A$9999=$A17)*(Raw_Data_Daily!$C$2:$C$9999=$C$3)*Raw_Data_Daily!$D$2:$D$9999*Raw_Data_Daily!$AB$2:$AB$9999)/SUMIFS(Raw_Data_Daily!$D:$D, Raw_Data_Daily!$B:$B, "Variant", Raw_Data_Daily!$A:$A, $A17, Raw_Data_Daily!$C:$C, $C$3),""))</f>
        <v>55.6852</v>
      </c>
      <c r="CA17" s="130">
        <f t="shared" si="26"/>
        <v>-0.007963343678</v>
      </c>
      <c r="CB17" s="132">
        <f>IF($A17="","",IFERROR(SUMPRODUCT((Raw_Data_Daily!$B$2:$B$9999="Control")*(Raw_Data_Daily!$A$2:$A$9999=$A17)*(Raw_Data_Daily!$C$2:$C$9999=$C$3)*Raw_Data_Daily!$D$2:$D$9999*Raw_Data_Daily!$AC$2:$AC$9999)/SUMIFS(Raw_Data_Daily!$D:$D, Raw_Data_Daily!$B:$B, "Control", Raw_Data_Daily!$A:$A, $A17, Raw_Data_Daily!$C:$C, $C$3),""))</f>
        <v>0.7896</v>
      </c>
      <c r="CC17" s="132">
        <f>IF($A17="","",IFERROR(SUMPRODUCT((Raw_Data_Daily!$B$2:$B$9999="Variant")*(Raw_Data_Daily!$A$2:$A$9999=$A17)*(Raw_Data_Daily!$C$2:$C$9999=$C$3)*Raw_Data_Daily!$D$2:$D$9999*Raw_Data_Daily!$AC$2:$AC$9999)/SUMIFS(Raw_Data_Daily!$D:$D, Raw_Data_Daily!$B:$B, "Variant", Raw_Data_Daily!$A:$A, $A17, Raw_Data_Daily!$C:$C, $C$3),""))</f>
        <v>0.7631</v>
      </c>
      <c r="CD17" s="130">
        <f t="shared" si="27"/>
        <v>-0.03356129686</v>
      </c>
      <c r="CE17" s="132">
        <f>IF($A17="","",IFERROR(SUMPRODUCT((Raw_Data_Daily!$B$2:$B$9999="Control")*(Raw_Data_Daily!$A$2:$A$9999=$A17)*(Raw_Data_Daily!$C$2:$C$9999=$C$3)*Raw_Data_Daily!$D$2:$D$9999*Raw_Data_Daily!$AD$2:$AD$9999)/SUMIFS(Raw_Data_Daily!$D:$D, Raw_Data_Daily!$B:$B, "Control", Raw_Data_Daily!$A:$A, $A17, Raw_Data_Daily!$C:$C, $C$3),""))</f>
        <v>29.1</v>
      </c>
      <c r="CF17" s="132">
        <f>IF($A17="","",IFERROR(SUMPRODUCT((Raw_Data_Daily!$B$2:$B$9999="Variant")*(Raw_Data_Daily!$A$2:$A$9999=$A17)*(Raw_Data_Daily!$C$2:$C$9999=$C$3)*Raw_Data_Daily!$D$2:$D$9999*Raw_Data_Daily!$AD$2:$AD$9999)/SUMIFS(Raw_Data_Daily!$D:$D, Raw_Data_Daily!$B:$B, "Variant", Raw_Data_Daily!$A:$A, $A17, Raw_Data_Daily!$C:$C, $C$3),""))</f>
        <v>25.61</v>
      </c>
      <c r="CG17" s="130">
        <f t="shared" si="28"/>
        <v>-0.1199312715</v>
      </c>
      <c r="CH17" s="132">
        <f>IF($A17="","",IFERROR(SUMPRODUCT((Raw_Data_Daily!$B$2:$B$9999="Control")*(Raw_Data_Daily!$A$2:$A$9999=$A17)*(Raw_Data_Daily!$C$2:$C$9999=$C$3)*Raw_Data_Daily!$D$2:$D$9999*Raw_Data_Daily!$AE$2:$AE$9999)/SUMIFS(Raw_Data_Daily!$D:$D, Raw_Data_Daily!$B:$B, "Control", Raw_Data_Daily!$A:$A, $A17, Raw_Data_Daily!$C:$C, $C$3),""))</f>
        <v>11</v>
      </c>
      <c r="CI17" s="132">
        <f>IF($A17="","",IFERROR(SUMPRODUCT((Raw_Data_Daily!$B$2:$B$9999="Variant")*(Raw_Data_Daily!$A$2:$A$9999=$A17)*(Raw_Data_Daily!$C$2:$C$9999=$C$3)*Raw_Data_Daily!$D$2:$D$9999*Raw_Data_Daily!$AE$2:$AE$9999)/SUMIFS(Raw_Data_Daily!$D:$D, Raw_Data_Daily!$B:$B, "Variant", Raw_Data_Daily!$A:$A, $A17, Raw_Data_Daily!$C:$C, $C$3),""))</f>
        <v>10</v>
      </c>
      <c r="CJ17" s="130">
        <f t="shared" si="29"/>
        <v>-0.09090909091</v>
      </c>
      <c r="CK17" s="132">
        <f>IF($A17="","",IFERROR(SUMPRODUCT((Raw_Data_Daily!$B$2:$B$9999="Control")*(Raw_Data_Daily!$A$2:$A$9999=$A17)*(Raw_Data_Daily!$C$2:$C$9999=$C$3)*Raw_Data_Daily!$D$2:$D$9999*Raw_Data_Daily!$AF$2:$AF$9999)/SUMIFS(Raw_Data_Daily!$D:$D, Raw_Data_Daily!$B:$B, "Control", Raw_Data_Daily!$A:$A, $A17, Raw_Data_Daily!$C:$C, $C$3),""))</f>
        <v>22</v>
      </c>
      <c r="CL17" s="132">
        <f>IF($A17="","",IFERROR(SUMPRODUCT((Raw_Data_Daily!$B$2:$B$9999="Variant")*(Raw_Data_Daily!$A$2:$A$9999=$A17)*(Raw_Data_Daily!$C$2:$C$9999=$C$3)*Raw_Data_Daily!$D$2:$D$9999*Raw_Data_Daily!$AF$2:$AF$9999)/SUMIFS(Raw_Data_Daily!$D:$D, Raw_Data_Daily!$B:$B, "Variant", Raw_Data_Daily!$A:$A, $A17, Raw_Data_Daily!$C:$C, $C$3),""))</f>
        <v>18</v>
      </c>
      <c r="CM17" s="130">
        <f t="shared" si="30"/>
        <v>-0.1818181818</v>
      </c>
      <c r="CN17" s="132">
        <f>IF($A17="","",IFERROR(SUMPRODUCT((Raw_Data_Daily!$B$2:$B$9999="Control")*(Raw_Data_Daily!$A$2:$A$9999=$A17)*(Raw_Data_Daily!$C$2:$C$9999=$C$3)*Raw_Data_Daily!$D$2:$D$9999*Raw_Data_Daily!$AG$2:$AG$9999)/SUMIFS(Raw_Data_Daily!$D:$D, Raw_Data_Daily!$B:$B, "Control", Raw_Data_Daily!$A:$A, $A17, Raw_Data_Daily!$C:$C, $C$3),""))</f>
        <v>41</v>
      </c>
      <c r="CO17" s="132">
        <f>IF($A17="","",IFERROR(SUMPRODUCT((Raw_Data_Daily!$B$2:$B$9999="Variant")*(Raw_Data_Daily!$A$2:$A$9999=$A17)*(Raw_Data_Daily!$C$2:$C$9999=$C$3)*Raw_Data_Daily!$D$2:$D$9999*Raw_Data_Daily!$AG$2:$AG$9999)/SUMIFS(Raw_Data_Daily!$D:$D, Raw_Data_Daily!$B:$B, "Variant", Raw_Data_Daily!$A:$A, $A17, Raw_Data_Daily!$C:$C, $C$3),""))</f>
        <v>36</v>
      </c>
      <c r="CP17" s="130">
        <f t="shared" si="31"/>
        <v>-0.1219512195</v>
      </c>
      <c r="CQ17" s="132">
        <f>IF($A17="","",IFERROR(SUMPRODUCT((Raw_Data_Daily!$B$2:$B$9999="Control")*(Raw_Data_Daily!$A$2:$A$9999=$A17)*(Raw_Data_Daily!$C$2:$C$9999=$C$3)*Raw_Data_Daily!$D$2:$D$9999*Raw_Data_Daily!$AH$2:$AH$9999)/SUMIFS(Raw_Data_Daily!$D:$D, Raw_Data_Daily!$B:$B, "Control", Raw_Data_Daily!$A:$A, $A17, Raw_Data_Daily!$C:$C, $C$3),""))</f>
        <v>62</v>
      </c>
      <c r="CR17" s="132">
        <f>IF($A17="","",IFERROR(SUMPRODUCT((Raw_Data_Daily!$B$2:$B$9999="Variant")*(Raw_Data_Daily!$A$2:$A$9999=$A17)*(Raw_Data_Daily!$C$2:$C$9999=$C$3)*Raw_Data_Daily!$D$2:$D$9999*Raw_Data_Daily!$AH$2:$AH$9999)/SUMIFS(Raw_Data_Daily!$D:$D, Raw_Data_Daily!$B:$B, "Variant", Raw_Data_Daily!$A:$A, $A17, Raw_Data_Daily!$C:$C, $C$3),""))</f>
        <v>54</v>
      </c>
      <c r="CS17" s="130">
        <f t="shared" si="32"/>
        <v>-0.1290322581</v>
      </c>
      <c r="CT17" s="128">
        <f>IF($A17="","",IFERROR(SUMPRODUCT((Raw_Data_Daily!$B$2:$B$9999="Control")*(Raw_Data_Daily!$A$2:$A$9999=$A17)*(Raw_Data_Daily!$C$2:$C$9999=$C$3)*Raw_Data_Daily!$D$2:$D$9999*Raw_Data_Daily!$AI$2:$AI$9999)/SUMIFS(Raw_Data_Daily!$D:$D, Raw_Data_Daily!$B:$B, "Control", Raw_Data_Daily!$A:$A, $A17, Raw_Data_Daily!$C:$C, $C$3),""))</f>
        <v>40.64</v>
      </c>
      <c r="CU17" s="128">
        <f>IF($A17="","",IFERROR(SUMPRODUCT((Raw_Data_Daily!$B$2:$B$9999="Variant")*(Raw_Data_Daily!$A$2:$A$9999=$A17)*(Raw_Data_Daily!$C$2:$C$9999=$C$3)*Raw_Data_Daily!$D$2:$D$9999*Raw_Data_Daily!$AI$2:$AI$9999)/SUMIFS(Raw_Data_Daily!$D:$D, Raw_Data_Daily!$B:$B, "Variant", Raw_Data_Daily!$A:$A, $A17, Raw_Data_Daily!$C:$C, $C$3),""))</f>
        <v>32.93</v>
      </c>
      <c r="CV17" s="139">
        <f t="shared" si="33"/>
        <v>-0.1897145669</v>
      </c>
      <c r="CW17" s="128">
        <f>IF($A17="","",IFERROR(SUMPRODUCT((Raw_Data_Daily!$B$2:$B$9999="Control")*(Raw_Data_Daily!$A$2:$A$9999=$A17)*(Raw_Data_Daily!$C$2:$C$9999=$C$3)*Raw_Data_Daily!$D$2:$D$9999*Raw_Data_Daily!$AJ$2:$AJ$9999)/SUMIFS(Raw_Data_Daily!$D:$D, Raw_Data_Daily!$B:$B, "Control", Raw_Data_Daily!$A:$A, $A17, Raw_Data_Daily!$C:$C, $C$3),""))</f>
        <v>11.21</v>
      </c>
      <c r="CX17" s="128">
        <f>IF($A17="","",IFERROR(SUMPRODUCT((Raw_Data_Daily!$B$2:$B$9999="Variant")*(Raw_Data_Daily!$A$2:$A$9999=$A17)*(Raw_Data_Daily!$C$2:$C$9999=$C$3)*Raw_Data_Daily!$D$2:$D$9999*Raw_Data_Daily!$AJ$2:$AJ$9999)/SUMIFS(Raw_Data_Daily!$D:$D, Raw_Data_Daily!$B:$B, "Variant", Raw_Data_Daily!$A:$A, $A17, Raw_Data_Daily!$C:$C, $C$3),""))</f>
        <v>7.87</v>
      </c>
      <c r="CY17" s="139">
        <f t="shared" si="34"/>
        <v>-0.2979482605</v>
      </c>
      <c r="CZ17" s="128">
        <f>IF($A17="","",IFERROR(SUMPRODUCT((Raw_Data_Daily!$B$2:$B$9999="Control")*(Raw_Data_Daily!$A$2:$A$9999=$A17)*(Raw_Data_Daily!$C$2:$C$9999=$C$3)*Raw_Data_Daily!$D$2:$D$9999*Raw_Data_Daily!$AK$2:$AK$9999)/SUMIFS(Raw_Data_Daily!$D:$D, Raw_Data_Daily!$B:$B, "Control", Raw_Data_Daily!$A:$A, $A17, Raw_Data_Daily!$C:$C, $C$3),""))</f>
        <v>1.67</v>
      </c>
      <c r="DA17" s="128">
        <f>IF($A17="","",IFERROR(SUMPRODUCT((Raw_Data_Daily!$B$2:$B$9999="Variant")*(Raw_Data_Daily!$A$2:$A$9999=$A17)*(Raw_Data_Daily!$C$2:$C$9999=$C$3)*Raw_Data_Daily!$D$2:$D$9999*Raw_Data_Daily!$AK$2:$AK$9999)/SUMIFS(Raw_Data_Daily!$D:$D, Raw_Data_Daily!$B:$B, "Variant", Raw_Data_Daily!$A:$A, $A17, Raw_Data_Daily!$C:$C, $C$3),""))</f>
        <v>1.66</v>
      </c>
      <c r="DB17" s="130">
        <f t="shared" si="35"/>
        <v>-0.005988023952</v>
      </c>
      <c r="DC17" s="137">
        <f>IF($A17="","",IFERROR(SUMPRODUCT((Raw_Data_Daily!$B$2:$B$9999="Control")*(Raw_Data_Daily!$A$2:$A$9999=$A17)*(Raw_Data_Daily!$C$2:$C$9999=$C$3)*Raw_Data_Daily!$D$2:$D$9999*Raw_Data_Daily!$AL$2:$AL$9999)/SUMIFS(Raw_Data_Daily!$D:$D, Raw_Data_Daily!$B:$B, "Control", Raw_Data_Daily!$A:$A, $A17, Raw_Data_Daily!$C:$C, $C$3),""))</f>
        <v>0.1815</v>
      </c>
      <c r="DD17" s="137">
        <f>IF($A17="","",IFERROR(SUMPRODUCT((Raw_Data_Daily!$B$2:$B$9999="Variant")*(Raw_Data_Daily!$A$2:$A$9999=$A17)*(Raw_Data_Daily!$C$2:$C$9999=$C$3)*Raw_Data_Daily!$D$2:$D$9999*Raw_Data_Daily!$AL$2:$AL$9999)/SUMIFS(Raw_Data_Daily!$D:$D, Raw_Data_Daily!$B:$B, "Variant", Raw_Data_Daily!$A:$A, $A17, Raw_Data_Daily!$C:$C, $C$3),""))</f>
        <v>0.1664</v>
      </c>
      <c r="DE17" s="139">
        <f t="shared" si="36"/>
        <v>-0.08319559229</v>
      </c>
      <c r="DF17" s="159"/>
      <c r="DG17" s="128">
        <f>IF($A17="","",IFERROR(SUMPRODUCT((Raw_Data_Daily!$B$2:$B$9999="Variant")*(Raw_Data_Daily!$A$2:$A$9999=$A17)*(Raw_Data_Daily!$C$2:$C$9999=$C$3)*Raw_Data_Daily!$D$2:$D$9999*Raw_Data_Daily!$AM$2:$AM$9999)/SUMIFS(Raw_Data_Daily!$D:$D, Raw_Data_Daily!$B:$B, "Variant", Raw_Data_Daily!$A:$A, $A17, Raw_Data_Daily!$C:$C, $C$3),""))</f>
        <v>42.66</v>
      </c>
      <c r="DH17" s="160"/>
      <c r="DI17" s="159"/>
      <c r="DJ17" s="128">
        <f>IF($A17="","",IFERROR(SUMPRODUCT((Raw_Data_Daily!$B$2:$B$9999="Variant")*(Raw_Data_Daily!$A$2:$A$9999=$A17)*(Raw_Data_Daily!$C$2:$C$9999=$C$3)*Raw_Data_Daily!$D$2:$D$9999*Raw_Data_Daily!$AN$2:$AN$9999)/SUMIFS(Raw_Data_Daily!$D:$D, Raw_Data_Daily!$B:$B, "Variant", Raw_Data_Daily!$A:$A, $A17, Raw_Data_Daily!$C:$C, $C$3),""))</f>
        <v>42.66</v>
      </c>
      <c r="DK17" s="160"/>
      <c r="DL17" s="159"/>
      <c r="DM17" s="128">
        <f>IF($A17="","",IFERROR(SUMPRODUCT((Raw_Data_Daily!$B$2:$B$9999="Variant")*(Raw_Data_Daily!$A$2:$A$9999=$A17)*(Raw_Data_Daily!$C$2:$C$9999=$C$3)*Raw_Data_Daily!$D$2:$D$9999*Raw_Data_Daily!$AO$2:$AO$9999)/SUMIFS(Raw_Data_Daily!$D:$D, Raw_Data_Daily!$B:$B, "Variant", Raw_Data_Daily!$A:$A, $A17, Raw_Data_Daily!$C:$C, $C$3),""))</f>
        <v>24.78</v>
      </c>
      <c r="DN17" s="160"/>
      <c r="DO17" s="159"/>
      <c r="DP17" s="128">
        <f>IF($A17="","",IFERROR(SUMPRODUCT((Raw_Data_Daily!$B$2:$B$9999="Variant")*(Raw_Data_Daily!$A$2:$A$9999=$A17)*(Raw_Data_Daily!$C$2:$C$9999=$C$3)*Raw_Data_Daily!$D$2:$D$9999*Raw_Data_Daily!$AP$2:$AP$9999)/SUMIFS(Raw_Data_Daily!$D:$D, Raw_Data_Daily!$B:$B, "Variant", Raw_Data_Daily!$A:$A, $A17, Raw_Data_Daily!$C:$C, $C$3),""))</f>
        <v>14.81</v>
      </c>
      <c r="DQ17" s="160"/>
      <c r="DR17" s="137">
        <f>IF($A17="","",IFERROR(SUMPRODUCT((Raw_Data_Daily!$B$2:$B$9999="Control")*(Raw_Data_Daily!$A$2:$A$9999=$A17)*(Raw_Data_Daily!$C$2:$C$9999=$C$3)*Raw_Data_Daily!$D$2:$D$9999*Raw_Data_Daily!$AQ$2:$AQ$9999)/SUMIFS(Raw_Data_Daily!$D:$D, Raw_Data_Daily!$B:$B, "Control", Raw_Data_Daily!$A:$A, $A17, Raw_Data_Daily!$C:$C, $C$3),""))</f>
        <v>14.9309</v>
      </c>
      <c r="DS17" s="137">
        <f>IF($A17="","",IFERROR(SUMPRODUCT((Raw_Data_Daily!$B$2:$B$9999="Variant")*(Raw_Data_Daily!$A$2:$A$9999=$A17)*(Raw_Data_Daily!$C$2:$C$9999=$C$3)*Raw_Data_Daily!$D$2:$D$9999*Raw_Data_Daily!$AQ$2:$AQ$9999)/SUMIFS(Raw_Data_Daily!$D:$D, Raw_Data_Daily!$B:$B, "Variant", Raw_Data_Daily!$A:$A, $A17, Raw_Data_Daily!$C:$C, $C$3),""))</f>
        <v>12.7497</v>
      </c>
      <c r="DT17" s="161">
        <f t="shared" si="37"/>
        <v>-0.1460863042</v>
      </c>
      <c r="DU17" s="137">
        <f>IF($A17="","",IFERROR(SUMPRODUCT((Raw_Data_Daily!$B$2:$B$9999="Control")*(Raw_Data_Daily!$A$2:$A$9999=$A17)*(Raw_Data_Daily!$C$2:$C$9999=$C$3)*Raw_Data_Daily!$D$2:$D$9999*Raw_Data_Daily!$AR$2:$AR$9999)/SUMIFS(Raw_Data_Daily!$D:$D, Raw_Data_Daily!$B:$B, "Control", Raw_Data_Daily!$A:$A, $A17, Raw_Data_Daily!$C:$C, $C$3),""))</f>
        <v>0.4855</v>
      </c>
      <c r="DV17" s="137">
        <f>IF($A17="","",IFERROR(SUMPRODUCT((Raw_Data_Daily!$B$2:$B$9999="Variant")*(Raw_Data_Daily!$A$2:$A$9999=$A17)*(Raw_Data_Daily!$C$2:$C$9999=$C$3)*Raw_Data_Daily!$D$2:$D$9999*Raw_Data_Daily!$AR$2:$AR$9999)/SUMIFS(Raw_Data_Daily!$D:$D, Raw_Data_Daily!$B:$B, "Variant", Raw_Data_Daily!$A:$A, $A17, Raw_Data_Daily!$C:$C, $C$3),""))</f>
        <v>0.5775</v>
      </c>
      <c r="DW17" s="161">
        <f t="shared" si="38"/>
        <v>0.1894953656</v>
      </c>
      <c r="DX17" s="137">
        <f>IF($A17="","",IFERROR(SUMPRODUCT((Raw_Data_Daily!$B$2:$B$9999="Control")*(Raw_Data_Daily!$A$2:$A$9999=$A17)*(Raw_Data_Daily!$C$2:$C$9999=$C$3)*Raw_Data_Daily!$D$2:$D$9999*Raw_Data_Daily!$AS$2:$AS$9999)/SUMIFS(Raw_Data_Daily!$D:$D, Raw_Data_Daily!$B:$B, "Control", Raw_Data_Daily!$A:$A, $A17, Raw_Data_Daily!$C:$C, $C$3),""))</f>
        <v>14.4454</v>
      </c>
      <c r="DY17" s="137">
        <f>IF($A17="","",IFERROR(SUMPRODUCT((Raw_Data_Daily!$B$2:$B$9999="Variant")*(Raw_Data_Daily!$A$2:$A$9999=$A17)*(Raw_Data_Daily!$C$2:$C$9999=$C$3)*Raw_Data_Daily!$D$2:$D$9999*Raw_Data_Daily!$AS$2:$AS$9999)/SUMIFS(Raw_Data_Daily!$D:$D, Raw_Data_Daily!$B:$B, "Variant", Raw_Data_Daily!$A:$A, $A17, Raw_Data_Daily!$C:$C, $C$3),""))</f>
        <v>12.1722</v>
      </c>
      <c r="DZ17" s="162">
        <f t="shared" si="39"/>
        <v>-0.1573649743</v>
      </c>
      <c r="EA17" s="137">
        <f>IF($A17="","",IFERROR(SUMPRODUCT((Raw_Data_Daily!$B$2:$B$9999="Control")*(Raw_Data_Daily!$A$2:$A$9999=$A17)*(Raw_Data_Daily!$C$2:$C$9999=$C$3)*Raw_Data_Daily!$D$2:$D$9999*Raw_Data_Daily!$AT$2:$AT$9999)/SUMIFS(Raw_Data_Daily!$D:$D, Raw_Data_Daily!$B:$B, "Control", Raw_Data_Daily!$A:$A, $A17, Raw_Data_Daily!$C:$C, $C$3),""))</f>
        <v>13.1989</v>
      </c>
      <c r="EB17" s="137">
        <f>IF($A17="","",IFERROR(SUMPRODUCT((Raw_Data_Daily!$B$2:$B$9999="Variant")*(Raw_Data_Daily!$A$2:$A$9999=$A17)*(Raw_Data_Daily!$C$2:$C$9999=$C$3)*Raw_Data_Daily!$D$2:$D$9999*Raw_Data_Daily!$AT$2:$AT$9999)/SUMIFS(Raw_Data_Daily!$D:$D, Raw_Data_Daily!$B:$B, "Variant", Raw_Data_Daily!$A:$A, $A17, Raw_Data_Daily!$C:$C, $C$3),""))</f>
        <v>11.0469</v>
      </c>
      <c r="EC17" s="161">
        <f t="shared" si="40"/>
        <v>-0.16304389</v>
      </c>
      <c r="ED17" s="137">
        <f>IF($A17="","",IFERROR(SUMPRODUCT((Raw_Data_Daily!$B$2:$B$9999="Control")*(Raw_Data_Daily!$A$2:$A$9999=$A17)*(Raw_Data_Daily!$C$2:$C$9999=$C$3)*Raw_Data_Daily!$D$2:$D$9999*(Raw_Data_Daily!$AQ$2:$AQ$9999-Raw_Data_Daily!$AT$2:$AT$9999))/SUMIFS(Raw_Data_Daily!$D:$D, Raw_Data_Daily!$B:$B, "Control", Raw_Data_Daily!$A:$A, $A17, Raw_Data_Daily!$C:$C, $C$3),""))</f>
        <v>1.732</v>
      </c>
      <c r="EE17" s="137">
        <f>IF($A17="","",IFERROR(SUMPRODUCT((Raw_Data_Daily!$B$2:$B$9999="Variant")*(Raw_Data_Daily!$A$2:$A$9999=$A17)*(Raw_Data_Daily!$C$2:$C$9999=$C$3)*Raw_Data_Daily!$D$2:$D$9999*(Raw_Data_Daily!$AQ$2:$AQ$9999-Raw_Data_Daily!$AT$2:$AT$9999))/SUMIFS(Raw_Data_Daily!$D:$D, Raw_Data_Daily!$B:$B, "Variant", Raw_Data_Daily!$A:$A, $A17, Raw_Data_Daily!$C:$C, $C$3),""))</f>
        <v>1.7028</v>
      </c>
      <c r="EF17" s="162">
        <f t="shared" si="41"/>
        <v>-0.0168591224</v>
      </c>
      <c r="EG17" s="137">
        <f>IF($A17="","",IFERROR(SUMPRODUCT((Raw_Data_Daily!$B$2:$B$9999="Control")*(Raw_Data_Daily!$A$2:$A$9999=$A17)*(Raw_Data_Daily!$C$2:$C$9999=$C$3)*Raw_Data_Daily!$D$2:$D$9999*Raw_Data_Daily!$AU$2:$AU$9999)/SUMIFS(Raw_Data_Daily!$D:$D, Raw_Data_Daily!$B:$B, "Control", Raw_Data_Daily!$A:$A, $A17, Raw_Data_Daily!$C:$C, $C$3),""))</f>
        <v>0.1904</v>
      </c>
      <c r="EH17" s="137">
        <f>IF($A17="","",IFERROR(SUMPRODUCT((Raw_Data_Daily!$B$2:$B$9999="Variant")*(Raw_Data_Daily!$A$2:$A$9999=$A17)*(Raw_Data_Daily!$C$2:$C$9999=$C$3)*Raw_Data_Daily!$D$2:$D$9999*Raw_Data_Daily!$AU$2:$AU$9999)/SUMIFS(Raw_Data_Daily!$D:$D, Raw_Data_Daily!$B:$B, "Variant", Raw_Data_Daily!$A:$A, $A17, Raw_Data_Daily!$C:$C, $C$3),""))</f>
        <v>0.1594</v>
      </c>
      <c r="EI17" s="161">
        <f t="shared" si="42"/>
        <v>-0.1628151261</v>
      </c>
    </row>
    <row r="18" ht="15.75" customHeight="1">
      <c r="A18" s="177">
        <v>46241.0</v>
      </c>
      <c r="B18" s="178">
        <f>IF($A18="","",SUMIFS(Raw_Data_Daily!$D:$D, Raw_Data_Daily!$B:$B, "Control", Raw_Data_Daily!$A:$A, $A18, Raw_Data_Daily!$C:$C, $C$3))</f>
        <v>3112</v>
      </c>
      <c r="C18" s="178">
        <f>IF($A18="","",SUMIFS(Raw_Data_Daily!$D:$D, Raw_Data_Daily!$B:$B, "Variant", Raw_Data_Daily!$A:$A, $A18, Raw_Data_Daily!$C:$C, $C$3))</f>
        <v>2933</v>
      </c>
      <c r="D18" s="179">
        <f t="shared" si="1"/>
        <v>-0.05751928021</v>
      </c>
      <c r="E18" s="180">
        <f>IF($A18="","",IFERROR(SUMPRODUCT((Raw_Data_Daily!$B$2:$B$9999="Control")*(Raw_Data_Daily!$A$2:$A$9999=$A18)*(Raw_Data_Daily!$C$2:$C$9999=$C$3)*Raw_Data_Daily!$D$2:$D$9999*Raw_Data_Daily!$E$2:$E$9999)/SUMIFS(Raw_Data_Daily!$D:$D, Raw_Data_Daily!$B:$B, "Control", Raw_Data_Daily!$A:$A, $A18, Raw_Data_Daily!$C:$C, $C$3),""))</f>
        <v>11.83</v>
      </c>
      <c r="F18" s="180">
        <f>IF($A18="","",IFERROR(SUMPRODUCT((Raw_Data_Daily!$B$2:$B$9999="Variant")*(Raw_Data_Daily!$A$2:$A$9999=$A18)*(Raw_Data_Daily!$C$2:$C$9999=$C$3)*Raw_Data_Daily!$D$2:$D$9999*Raw_Data_Daily!$E$2:$E$9999)/SUMIFS(Raw_Data_Daily!$D:$D, Raw_Data_Daily!$B:$B, "Variant", Raw_Data_Daily!$A:$A, $A18, Raw_Data_Daily!$C:$C, $C$3),""))</f>
        <v>11.19</v>
      </c>
      <c r="G18" s="179">
        <f t="shared" si="2"/>
        <v>-0.05409974641</v>
      </c>
      <c r="H18" s="182">
        <f>IF($A18="","",SUMIFS(Raw_Data_Daily!$F:$F, Raw_Data_Daily!$B:$B, "Control", Raw_Data_Daily!$A:$A, $A18, Raw_Data_Daily!$C:$C, $C$3))</f>
        <v>677.56</v>
      </c>
      <c r="I18" s="182">
        <f>IF($A18="","",SUMIFS(Raw_Data_Daily!$F:$F, Raw_Data_Daily!$B:$B, "Variant", Raw_Data_Daily!$A:$A, $A18, Raw_Data_Daily!$C:$C, $C$3))</f>
        <v>488.97</v>
      </c>
      <c r="J18" s="183">
        <f t="shared" si="3"/>
        <v>-0.2783369738</v>
      </c>
      <c r="K18" s="184">
        <f>IF($A18="","",IFERROR(SUMIFS(Raw_Data_Daily!$F:$F, Raw_Data_Daily!$B:$B, "Control", Raw_Data_Daily!$A:$A, $A18, Raw_Data_Daily!$C:$C, $C$3)/SUMIFS(Raw_Data_Daily!$D:$D, Raw_Data_Daily!$B:$B, "Control", Raw_Data_Daily!$A:$A, $A18, Raw_Data_Daily!$C:$C, $C$3),""))</f>
        <v>0.2177249357</v>
      </c>
      <c r="L18" s="184">
        <f>IF($A18="","",IFERROR(SUMIFS(Raw_Data_Daily!$F:$F, Raw_Data_Daily!$B:$B, "Variant", Raw_Data_Daily!$A:$A, $A18, Raw_Data_Daily!$C:$C, $C$3)/SUMIFS(Raw_Data_Daily!$D:$D, Raw_Data_Daily!$B:$B, "Variant", Raw_Data_Daily!$A:$A, $A18, Raw_Data_Daily!$C:$C, $C$3),""))</f>
        <v>0.1667132629</v>
      </c>
      <c r="M18" s="183">
        <f t="shared" si="4"/>
        <v>-0.234294123</v>
      </c>
      <c r="N18" s="180">
        <f>IF($A18="","",IFERROR(SUMPRODUCT((Raw_Data_Daily!$B$2:$B$9999="Control")*(Raw_Data_Daily!$A$2:$A$9999=$A18)*(Raw_Data_Daily!$C$2:$C$9999=$C$3)*Raw_Data_Daily!$D$2:$D$9999*Raw_Data_Daily!$H$2:$H$9999/100)/SUMIFS(Raw_Data_Daily!$D:$D, Raw_Data_Daily!$B:$B, "Control", Raw_Data_Daily!$A:$A, $A18, Raw_Data_Daily!$C:$C, $C$3)*100,""))</f>
        <v>3.66</v>
      </c>
      <c r="O18" s="180">
        <f>IF($A18="","",IFERROR(SUMPRODUCT((Raw_Data_Daily!$B$2:$B$9999="Variant")*(Raw_Data_Daily!$A$2:$A$9999=$A18)*(Raw_Data_Daily!$C$2:$C$9999=$C$3)*Raw_Data_Daily!$D$2:$D$9999*Raw_Data_Daily!$H$2:$H$9999/100)/SUMIFS(Raw_Data_Daily!$D:$D, Raw_Data_Daily!$B:$B, "Variant", Raw_Data_Daily!$A:$A, $A18, Raw_Data_Daily!$C:$C, $C$3)*100,""))</f>
        <v>3.1</v>
      </c>
      <c r="P18" s="183">
        <f t="shared" si="5"/>
        <v>-0.1530054645</v>
      </c>
      <c r="Q18" s="184">
        <f>IF($A18="","",IFERROR(SUMIFS(Raw_Data_Daily!$F:$F, Raw_Data_Daily!$B:$B, "Control", Raw_Data_Daily!$A:$A, $A18, Raw_Data_Daily!$C:$C, $C$3)/SUMPRODUCT((Raw_Data_Daily!$B$2:$B$9999="Control")*(Raw_Data_Daily!$A$2:$A$9999=$A18)*(Raw_Data_Daily!$C$2:$C$9999=$C$3)*Raw_Data_Daily!$D$2:$D$9999*Raw_Data_Daily!$H$2:$H$9999/100),""))</f>
        <v>5.948768736</v>
      </c>
      <c r="R18" s="184">
        <f>IF($A18="","",IFERROR(SUMIFS(Raw_Data_Daily!$F:$F, Raw_Data_Daily!$B:$B, "Variant", Raw_Data_Daily!$A:$A, $A18, Raw_Data_Daily!$C:$C, $C$3)/SUMPRODUCT((Raw_Data_Daily!$B$2:$B$9999="Variant")*(Raw_Data_Daily!$A$2:$A$9999=$A18)*(Raw_Data_Daily!$C$2:$C$9999=$C$3)*Raw_Data_Daily!$D$2:$D$9999*Raw_Data_Daily!$H$2:$H$9999/100),""))</f>
        <v>5.377847189</v>
      </c>
      <c r="S18" s="183">
        <f t="shared" si="6"/>
        <v>-0.09597306129</v>
      </c>
      <c r="T18" s="185">
        <f>IF($A18="","",IFERROR(SUMPRODUCT((Raw_Data_Daily!$B$2:$B$9999="Control")*(Raw_Data_Daily!$A$2:$A$9999=$A18)*(Raw_Data_Daily!$C$2:$C$9999=$C$3)*Raw_Data_Daily!$D$2:$D$9999*Raw_Data_Daily!$J$2:$J$9999)/SUMIFS(Raw_Data_Daily!$D:$D, Raw_Data_Daily!$B:$B, "Control", Raw_Data_Daily!$A:$A, $A18, Raw_Data_Daily!$C:$C, $C$3),""))</f>
        <v>114.23</v>
      </c>
      <c r="U18" s="185">
        <f>IF($A18="","",IFERROR(SUMPRODUCT((Raw_Data_Daily!$B$2:$B$9999="Variant")*(Raw_Data_Daily!$A$2:$A$9999=$A18)*(Raw_Data_Daily!$C$2:$C$9999=$C$3)*Raw_Data_Daily!$D$2:$D$9999*Raw_Data_Daily!$J$2:$J$9999)/SUMIFS(Raw_Data_Daily!$D:$D, Raw_Data_Daily!$B:$B, "Variant", Raw_Data_Daily!$A:$A, $A18, Raw_Data_Daily!$C:$C, $C$3),""))</f>
        <v>113.99</v>
      </c>
      <c r="V18" s="183">
        <f t="shared" si="7"/>
        <v>-0.002101024249</v>
      </c>
      <c r="W18" s="185">
        <f>IF($A18="","",IFERROR(SUMPRODUCT((Raw_Data_Daily!$B$2:$B$9999="Control")*(Raw_Data_Daily!$A$2:$A$9999=$A18)*(Raw_Data_Daily!$C$2:$C$9999=$C$3)*Raw_Data_Daily!$D$2:$D$9999*Raw_Data_Daily!$K$2:$K$9999)/SUMIFS(Raw_Data_Daily!$D:$D, Raw_Data_Daily!$B:$B, "Control", Raw_Data_Daily!$A:$A, $A18, Raw_Data_Daily!$C:$C, $C$3),""))</f>
        <v>71.72</v>
      </c>
      <c r="X18" s="185">
        <f>IF($A18="","",IFERROR(SUMPRODUCT((Raw_Data_Daily!$B$2:$B$9999="Variant")*(Raw_Data_Daily!$A$2:$A$9999=$A18)*(Raw_Data_Daily!$C$2:$C$9999=$C$3)*Raw_Data_Daily!$D$2:$D$9999*Raw_Data_Daily!$K$2:$K$9999)/SUMIFS(Raw_Data_Daily!$D:$D, Raw_Data_Daily!$B:$B, "Variant", Raw_Data_Daily!$A:$A, $A18, Raw_Data_Daily!$C:$C, $C$3),""))</f>
        <v>70.95</v>
      </c>
      <c r="Y18" s="183">
        <f t="shared" si="8"/>
        <v>-0.01073619632</v>
      </c>
      <c r="Z18" s="185">
        <f>IF($A18="","",IFERROR(SUMPRODUCT((Raw_Data_Daily!$B$2:$B$9999="Control")*(Raw_Data_Daily!$A$2:$A$9999=$A18)*(Raw_Data_Daily!$C$2:$C$9999=$C$3)*Raw_Data_Daily!$D$2:$D$9999*Raw_Data_Daily!$L$2:$L$9999)/SUMIFS(Raw_Data_Daily!$D:$D, Raw_Data_Daily!$B:$B, "Control", Raw_Data_Daily!$A:$A, $A18, Raw_Data_Daily!$C:$C, $C$3),""))</f>
        <v>53.93</v>
      </c>
      <c r="AA18" s="185">
        <f>IF($A18="","",IFERROR(SUMPRODUCT((Raw_Data_Daily!$B$2:$B$9999="Variant")*(Raw_Data_Daily!$A$2:$A$9999=$A18)*(Raw_Data_Daily!$C$2:$C$9999=$C$3)*Raw_Data_Daily!$D$2:$D$9999*Raw_Data_Daily!$L$2:$L$9999)/SUMIFS(Raw_Data_Daily!$D:$D, Raw_Data_Daily!$B:$B, "Variant", Raw_Data_Daily!$A:$A, $A18, Raw_Data_Daily!$C:$C, $C$3),""))</f>
        <v>53.21</v>
      </c>
      <c r="AB18" s="183">
        <f t="shared" si="9"/>
        <v>-0.01335063972</v>
      </c>
      <c r="AC18" s="186">
        <f>IF($A18="","",IFERROR(SUMPRODUCT((Raw_Data_Daily!$B$2:$B$9999="Control")*(Raw_Data_Daily!$A$2:$A$9999=$A18)*(Raw_Data_Daily!$C$2:$C$9999=$C$3)*Raw_Data_Daily!$D$2:$D$9999*Raw_Data_Daily!$M$2:$M$9999)/SUMIFS(Raw_Data_Daily!$D:$D, Raw_Data_Daily!$B:$B, "Control", Raw_Data_Daily!$A:$A, $A18, Raw_Data_Daily!$C:$C, $C$3),""))</f>
        <v>0.752</v>
      </c>
      <c r="AD18" s="186">
        <f>IF($A18="","",IFERROR(SUMPRODUCT((Raw_Data_Daily!$B$2:$B$9999="Variant")*(Raw_Data_Daily!$A$2:$A$9999=$A18)*(Raw_Data_Daily!$C$2:$C$9999=$C$3)*Raw_Data_Daily!$D$2:$D$9999*Raw_Data_Daily!$M$2:$M$9999)/SUMIFS(Raw_Data_Daily!$D:$D, Raw_Data_Daily!$B:$B, "Variant", Raw_Data_Daily!$A:$A, $A18, Raw_Data_Daily!$C:$C, $C$3),""))</f>
        <v>0.75</v>
      </c>
      <c r="AE18" s="187">
        <f t="shared" si="10"/>
        <v>-0.002659574468</v>
      </c>
      <c r="AF18" s="186">
        <f>IF($A18="","",IFERROR(SUMPRODUCT((Raw_Data_Daily!$B$2:$B$9999="Control")*(Raw_Data_Daily!$A$2:$A$9999=$A18)*(Raw_Data_Daily!$C$2:$C$9999=$C$3)*Raw_Data_Daily!$D$2:$D$9999*Raw_Data_Daily!$N$2:$N$9999)/SUMIFS(Raw_Data_Daily!$D:$D, Raw_Data_Daily!$B:$B, "Control", Raw_Data_Daily!$A:$A, $A18, Raw_Data_Daily!$C:$C, $C$3),""))</f>
        <v>0.3605</v>
      </c>
      <c r="AG18" s="186">
        <f>IF($A18="","",IFERROR(SUMPRODUCT((Raw_Data_Daily!$B$2:$B$9999="Variant")*(Raw_Data_Daily!$A$2:$A$9999=$A18)*(Raw_Data_Daily!$C$2:$C$9999=$C$3)*Raw_Data_Daily!$D$2:$D$9999*Raw_Data_Daily!$N$2:$N$9999)/SUMIFS(Raw_Data_Daily!$D:$D, Raw_Data_Daily!$B:$B, "Variant", Raw_Data_Daily!$A:$A, $A18, Raw_Data_Daily!$C:$C, $C$3),""))</f>
        <v>0.3634</v>
      </c>
      <c r="AH18" s="187">
        <f t="shared" si="11"/>
        <v>0.008044382802</v>
      </c>
      <c r="AI18" s="186">
        <f>IF($A18="","",IFERROR(SUMPRODUCT((Raw_Data_Daily!$B$2:$B$9999="Control")*(Raw_Data_Daily!$A$2:$A$9999=$A18)*(Raw_Data_Daily!$C$2:$C$9999=$C$3)*Raw_Data_Daily!$D$2:$D$9999*Raw_Data_Daily!$O$2:$O$9999)/SUMIFS(Raw_Data_Daily!$D:$D, Raw_Data_Daily!$B:$B, "Control", Raw_Data_Daily!$A:$A, $A18, Raw_Data_Daily!$C:$C, $C$3),""))</f>
        <v>0.2386</v>
      </c>
      <c r="AJ18" s="186">
        <f>IF($A18="","",IFERROR(SUMPRODUCT((Raw_Data_Daily!$B$2:$B$9999="Variant")*(Raw_Data_Daily!$A$2:$A$9999=$A18)*(Raw_Data_Daily!$C$2:$C$9999=$C$3)*Raw_Data_Daily!$D$2:$D$9999*Raw_Data_Daily!$O$2:$O$9999)/SUMIFS(Raw_Data_Daily!$D:$D, Raw_Data_Daily!$B:$B, "Variant", Raw_Data_Daily!$A:$A, $A18, Raw_Data_Daily!$C:$C, $C$3),""))</f>
        <v>0.2394</v>
      </c>
      <c r="AK18" s="183">
        <f t="shared" si="12"/>
        <v>0.003352891869</v>
      </c>
      <c r="AL18" s="185">
        <f>IF($A18="","",IFERROR(SUMPRODUCT((Raw_Data_Daily!$B$2:$B$9999="Control")*(Raw_Data_Daily!$A$2:$A$9999=$A18)*(Raw_Data_Daily!$C$2:$C$9999=$C$3)*Raw_Data_Daily!$D$2:$D$9999*Raw_Data_Daily!$P$2:$P$9999)/SUMIFS(Raw_Data_Daily!$D:$D, Raw_Data_Daily!$B:$B, "Control", Raw_Data_Daily!$A:$A, $A18, Raw_Data_Daily!$C:$C, $C$3),""))</f>
        <v>1.3298</v>
      </c>
      <c r="AM18" s="185">
        <f>IF($A18="","",IFERROR(SUMPRODUCT((Raw_Data_Daily!$B$2:$B$9999="Variant")*(Raw_Data_Daily!$A$2:$A$9999=$A18)*(Raw_Data_Daily!$C$2:$C$9999=$C$3)*Raw_Data_Daily!$D$2:$D$9999*Raw_Data_Daily!$P$2:$P$9999)/SUMIFS(Raw_Data_Daily!$D:$D, Raw_Data_Daily!$B:$B, "Variant", Raw_Data_Daily!$A:$A, $A18, Raw_Data_Daily!$C:$C, $C$3),""))</f>
        <v>1.3333</v>
      </c>
      <c r="AN18" s="183">
        <f t="shared" si="13"/>
        <v>0.002631974733</v>
      </c>
      <c r="AO18" s="185">
        <f>IF($A18="","",IFERROR(SUMPRODUCT((Raw_Data_Daily!$B$2:$B$9999="Control")*(Raw_Data_Daily!$A$2:$A$9999=$A18)*(Raw_Data_Daily!$C$2:$C$9999=$C$3)*Raw_Data_Daily!$D$2:$D$9999*Raw_Data_Daily!$Q$2:$Q$9999)/SUMIFS(Raw_Data_Daily!$D:$D, Raw_Data_Daily!$B:$B, "Control", Raw_Data_Daily!$A:$A, $A18, Raw_Data_Daily!$C:$C, $C$3),""))</f>
        <v>324.16</v>
      </c>
      <c r="AP18" s="185">
        <f>IF($A18="","",IFERROR(SUMPRODUCT((Raw_Data_Daily!$B$2:$B$9999="Variant")*(Raw_Data_Daily!$A$2:$A$9999=$A18)*(Raw_Data_Daily!$C$2:$C$9999=$C$3)*Raw_Data_Daily!$D$2:$D$9999*Raw_Data_Daily!$Q$2:$Q$9999)/SUMIFS(Raw_Data_Daily!$D:$D, Raw_Data_Daily!$B:$B, "Variant", Raw_Data_Daily!$A:$A, $A18, Raw_Data_Daily!$C:$C, $C$3),""))</f>
        <v>337.09</v>
      </c>
      <c r="AQ18" s="179">
        <f t="shared" si="14"/>
        <v>0.03988770977</v>
      </c>
      <c r="AR18" s="185">
        <f>IF($A18="","",IFERROR(SUMPRODUCT((Raw_Data_Daily!$B$2:$B$9999="Control")*(Raw_Data_Daily!$A$2:$A$9999=$A18)*(Raw_Data_Daily!$C$2:$C$9999=$C$3)*Raw_Data_Daily!$D$2:$D$9999*Raw_Data_Daily!$R$2:$R$9999)/SUMIFS(Raw_Data_Daily!$D:$D, Raw_Data_Daily!$B:$B, "Control", Raw_Data_Daily!$A:$A, $A18, Raw_Data_Daily!$C:$C, $C$3),""))</f>
        <v>213.21</v>
      </c>
      <c r="AS18" s="185">
        <f>IF($A18="","",IFERROR(SUMPRODUCT((Raw_Data_Daily!$B$2:$B$9999="Variant")*(Raw_Data_Daily!$A$2:$A$9999=$A18)*(Raw_Data_Daily!$C$2:$C$9999=$C$3)*Raw_Data_Daily!$D$2:$D$9999*Raw_Data_Daily!$R$2:$R$9999)/SUMIFS(Raw_Data_Daily!$D:$D, Raw_Data_Daily!$B:$B, "Variant", Raw_Data_Daily!$A:$A, $A18, Raw_Data_Daily!$C:$C, $C$3),""))</f>
        <v>305.55</v>
      </c>
      <c r="AT18" s="179">
        <f t="shared" si="15"/>
        <v>0.4330941325</v>
      </c>
      <c r="AU18" s="185">
        <f>IF($A18="","",IFERROR(SUMPRODUCT((Raw_Data_Daily!$B$2:$B$9999="Control")*(Raw_Data_Daily!$A$2:$A$9999=$A18)*(Raw_Data_Daily!$C$2:$C$9999=$C$3)*Raw_Data_Daily!$D$2:$D$9999*Raw_Data_Daily!$S$2:$S$9999)/SUMIFS(Raw_Data_Daily!$D:$D, Raw_Data_Daily!$B:$B, "Control", Raw_Data_Daily!$A:$A, $A18, Raw_Data_Daily!$C:$C, $C$3),""))</f>
        <v>110.95</v>
      </c>
      <c r="AV18" s="185">
        <f>IF($A18="","",IFERROR(SUMPRODUCT((Raw_Data_Daily!$B$2:$B$9999="Variant")*(Raw_Data_Daily!$A$2:$A$9999=$A18)*(Raw_Data_Daily!$C$2:$C$9999=$C$3)*Raw_Data_Daily!$D$2:$D$9999*Raw_Data_Daily!$S$2:$S$9999)/SUMIFS(Raw_Data_Daily!$D:$D, Raw_Data_Daily!$B:$B, "Variant", Raw_Data_Daily!$A:$A, $A18, Raw_Data_Daily!$C:$C, $C$3),""))</f>
        <v>31.54</v>
      </c>
      <c r="AW18" s="179">
        <f t="shared" si="16"/>
        <v>-0.7157278053</v>
      </c>
      <c r="AX18" s="185">
        <f>IF($A18="","",IFERROR(SUMPRODUCT((Raw_Data_Daily!$B$2:$B$9999="Control")*(Raw_Data_Daily!$A$2:$A$9999=$A18)*(Raw_Data_Daily!$C$2:$C$9999=$C$3)*Raw_Data_Daily!$D$2:$D$9999*Raw_Data_Daily!$T$2:$T$9999)/SUMIFS(Raw_Data_Daily!$D:$D, Raw_Data_Daily!$B:$B, "Control", Raw_Data_Daily!$A:$A, $A18, Raw_Data_Daily!$C:$C, $C$3),""))</f>
        <v>18.56</v>
      </c>
      <c r="AY18" s="185">
        <f>IF($A18="","",IFERROR(SUMPRODUCT((Raw_Data_Daily!$B$2:$B$9999="Variant")*(Raw_Data_Daily!$A$2:$A$9999=$A18)*(Raw_Data_Daily!$C$2:$C$9999=$C$3)*Raw_Data_Daily!$D$2:$D$9999*Raw_Data_Daily!$T$2:$T$9999)/SUMIFS(Raw_Data_Daily!$D:$D, Raw_Data_Daily!$B:$B, "Variant", Raw_Data_Daily!$A:$A, $A18, Raw_Data_Daily!$C:$C, $C$3),""))</f>
        <v>15.57</v>
      </c>
      <c r="AZ18" s="183">
        <f t="shared" si="17"/>
        <v>-0.1610991379</v>
      </c>
      <c r="BA18" s="185">
        <f>IF($A18="","",IFERROR(SUMPRODUCT((Raw_Data_Daily!$B$2:$B$9999="Control")*(Raw_Data_Daily!$A$2:$A$9999=$A18)*(Raw_Data_Daily!$C$2:$C$9999=$C$3)*Raw_Data_Daily!$D$2:$D$9999*Raw_Data_Daily!$U$2:$U$9999)/SUMIFS(Raw_Data_Daily!$D:$D, Raw_Data_Daily!$B:$B, "Control", Raw_Data_Daily!$A:$A, $A18, Raw_Data_Daily!$C:$C, $C$3),""))</f>
        <v>305.6</v>
      </c>
      <c r="BB18" s="185">
        <f>IF($A18="","",IFERROR(SUMPRODUCT((Raw_Data_Daily!$B$2:$B$9999="Variant")*(Raw_Data_Daily!$A$2:$A$9999=$A18)*(Raw_Data_Daily!$C$2:$C$9999=$C$3)*Raw_Data_Daily!$D$2:$D$9999*Raw_Data_Daily!$U$2:$U$9999)/SUMIFS(Raw_Data_Daily!$D:$D, Raw_Data_Daily!$B:$B, "Variant", Raw_Data_Daily!$A:$A, $A18, Raw_Data_Daily!$C:$C, $C$3),""))</f>
        <v>321.52</v>
      </c>
      <c r="BC18" s="179">
        <f t="shared" si="18"/>
        <v>0.05209424084</v>
      </c>
      <c r="BD18" s="185">
        <f>IF($A18="","",IFERROR(SUMPRODUCT((Raw_Data_Daily!$B$2:$B$9999="Control")*(Raw_Data_Daily!$A$2:$A$9999=$A18)*(Raw_Data_Daily!$C$2:$C$9999=$C$3)*Raw_Data_Daily!$D$2:$D$9999*Raw_Data_Daily!$V$2:$V$9999)/SUMIFS(Raw_Data_Daily!$D:$D, Raw_Data_Daily!$B:$B, "Control", Raw_Data_Daily!$A:$A, $A18, Raw_Data_Daily!$C:$C, $C$3),""))</f>
        <v>313.19</v>
      </c>
      <c r="BE18" s="185">
        <f>IF($A18="","",IFERROR(SUMPRODUCT((Raw_Data_Daily!$B$2:$B$9999="Variant")*(Raw_Data_Daily!$A$2:$A$9999=$A18)*(Raw_Data_Daily!$C$2:$C$9999=$C$3)*Raw_Data_Daily!$D$2:$D$9999*Raw_Data_Daily!$V$2:$V$9999)/SUMIFS(Raw_Data_Daily!$D:$D, Raw_Data_Daily!$B:$B, "Variant", Raw_Data_Daily!$A:$A, $A18, Raw_Data_Daily!$C:$C, $C$3),""))</f>
        <v>294.26</v>
      </c>
      <c r="BF18" s="179">
        <f t="shared" si="19"/>
        <v>-0.06044254287</v>
      </c>
      <c r="BG18" s="185">
        <f>IF($A18="","",IFERROR(SUMPRODUCT((Raw_Data_Daily!$B$2:$B$9999="Control")*(Raw_Data_Daily!$A$2:$A$9999=$A18)*(Raw_Data_Daily!$C$2:$C$9999=$C$3)*Raw_Data_Daily!$D$2:$D$9999*(Raw_Data_Daily!$Q$2:$Q$9999-Raw_Data_Daily!$V$2:$V$9999))/SUMIFS(Raw_Data_Daily!$D:$D, Raw_Data_Daily!$B:$B, "Control", Raw_Data_Daily!$A:$A, $A18, Raw_Data_Daily!$C:$C, $C$3),""))</f>
        <v>10.97</v>
      </c>
      <c r="BH18" s="185">
        <f>IF($A18="","",IFERROR(SUMPRODUCT((Raw_Data_Daily!$B$2:$B$9999="Variant")*(Raw_Data_Daily!$A$2:$A$9999=$A18)*(Raw_Data_Daily!$C$2:$C$9999=$C$3)*Raw_Data_Daily!$D$2:$D$9999*(Raw_Data_Daily!$Q$2:$Q$9999-Raw_Data_Daily!$V$2:$V$9999))/SUMIFS(Raw_Data_Daily!$D:$D, Raw_Data_Daily!$B:$B, "Variant", Raw_Data_Daily!$A:$A, $A18, Raw_Data_Daily!$C:$C, $C$3),""))</f>
        <v>42.83</v>
      </c>
      <c r="BI18" s="179">
        <f t="shared" si="20"/>
        <v>2.904284412</v>
      </c>
      <c r="BJ18" s="185">
        <f>IF($A18="","",IFERROR(SUMPRODUCT((Raw_Data_Daily!$B$2:$B$9999="Control")*(Raw_Data_Daily!$A$2:$A$9999=$A18)*(Raw_Data_Daily!$C$2:$C$9999=$C$3)*Raw_Data_Daily!$D$2:$D$9999*Raw_Data_Daily!$W$2:$W$9999)/SUMIFS(Raw_Data_Daily!$D:$D, Raw_Data_Daily!$B:$B, "Control", Raw_Data_Daily!$A:$A, $A18, Raw_Data_Daily!$C:$C, $C$3),""))</f>
        <v>4.3671</v>
      </c>
      <c r="BK18" s="185">
        <f>IF($A18="","",IFERROR(SUMPRODUCT((Raw_Data_Daily!$B$2:$B$9999="Variant")*(Raw_Data_Daily!$A$2:$A$9999=$A18)*(Raw_Data_Daily!$C$2:$C$9999=$C$3)*Raw_Data_Daily!$D$2:$D$9999*Raw_Data_Daily!$W$2:$W$9999)/SUMIFS(Raw_Data_Daily!$D:$D, Raw_Data_Daily!$B:$B, "Variant", Raw_Data_Daily!$A:$A, $A18, Raw_Data_Daily!$C:$C, $C$3),""))</f>
        <v>4.1473</v>
      </c>
      <c r="BL18" s="179">
        <f t="shared" si="21"/>
        <v>-0.05033088319</v>
      </c>
      <c r="BM18" s="186">
        <f>IF($A18="","",IFERROR(SUMPRODUCT((Raw_Data_Daily!$B$2:$B$9999="Control")*(Raw_Data_Daily!$A$2:$A$9999=$A18)*(Raw_Data_Daily!$C$2:$C$9999=$C$3)*Raw_Data_Daily!$D$2:$D$9999*Raw_Data_Daily!$X$2:$X$9999)/SUMIFS(Raw_Data_Daily!$D:$D, Raw_Data_Daily!$B:$B, "Control", Raw_Data_Daily!$A:$A, $A18, Raw_Data_Daily!$C:$C, $C$3),""))</f>
        <v>5.72</v>
      </c>
      <c r="BN18" s="186">
        <f>IF($A18="","",IFERROR(SUMPRODUCT((Raw_Data_Daily!$B$2:$B$9999="Variant")*(Raw_Data_Daily!$A$2:$A$9999=$A18)*(Raw_Data_Daily!$C$2:$C$9999=$C$3)*Raw_Data_Daily!$D$2:$D$9999*Raw_Data_Daily!$X$2:$X$9999)/SUMIFS(Raw_Data_Daily!$D:$D, Raw_Data_Daily!$B:$B, "Variant", Raw_Data_Daily!$A:$A, $A18, Raw_Data_Daily!$C:$C, $C$3),""))</f>
        <v>4.62</v>
      </c>
      <c r="BO18" s="183">
        <f t="shared" si="22"/>
        <v>-0.1923076923</v>
      </c>
      <c r="BP18" s="178">
        <f>IF($A18="","",IFERROR(SUMPRODUCT((Raw_Data_Daily!$B$2:$B$9999="Control")*(Raw_Data_Daily!$A$2:$A$9999=$A18)*(Raw_Data_Daily!$C$2:$C$9999=$C$3)*Raw_Data_Daily!$D$2:$D$9999*Raw_Data_Daily!$Y$2:$Y$9999)/SUMIFS(Raw_Data_Daily!$D:$D, Raw_Data_Daily!$B:$B, "Control", Raw_Data_Daily!$A:$A, $A18, Raw_Data_Daily!$C:$C, $C$3),""))</f>
        <v>366</v>
      </c>
      <c r="BQ18" s="178">
        <f>IF($A18="","",IFERROR(SUMPRODUCT((Raw_Data_Daily!$B$2:$B$9999="Variant")*(Raw_Data_Daily!$A$2:$A$9999=$A18)*(Raw_Data_Daily!$C$2:$C$9999=$C$3)*Raw_Data_Daily!$D$2:$D$9999*Raw_Data_Daily!$Y$2:$Y$9999)/SUMIFS(Raw_Data_Daily!$D:$D, Raw_Data_Daily!$B:$B, "Variant", Raw_Data_Daily!$A:$A, $A18, Raw_Data_Daily!$C:$C, $C$3),""))</f>
        <v>354</v>
      </c>
      <c r="BR18" s="179">
        <f t="shared" si="23"/>
        <v>-0.03278688525</v>
      </c>
      <c r="BS18" s="178">
        <f>IF($A18="","",IFERROR(SUMPRODUCT((Raw_Data_Daily!$B$2:$B$9999="Control")*(Raw_Data_Daily!$A$2:$A$9999=$A18)*(Raw_Data_Daily!$C$2:$C$9999=$C$3)*Raw_Data_Daily!$D$2:$D$9999*Raw_Data_Daily!$Z$2:$Z$9999)/SUMIFS(Raw_Data_Daily!$D:$D, Raw_Data_Daily!$B:$B, "Control", Raw_Data_Daily!$A:$A, $A18, Raw_Data_Daily!$C:$C, $C$3),""))</f>
        <v>643</v>
      </c>
      <c r="BT18" s="178">
        <f>IF($A18="","",IFERROR(SUMPRODUCT((Raw_Data_Daily!$B$2:$B$9999="Variant")*(Raw_Data_Daily!$A$2:$A$9999=$A18)*(Raw_Data_Daily!$C$2:$C$9999=$C$3)*Raw_Data_Daily!$D$2:$D$9999*Raw_Data_Daily!$Z$2:$Z$9999)/SUMIFS(Raw_Data_Daily!$D:$D, Raw_Data_Daily!$B:$B, "Variant", Raw_Data_Daily!$A:$A, $A18, Raw_Data_Daily!$C:$C, $C$3),""))</f>
        <v>576</v>
      </c>
      <c r="BU18" s="179">
        <f t="shared" si="24"/>
        <v>-0.1041990669</v>
      </c>
      <c r="BV18" s="178">
        <f>IF($A18="","",IFERROR(SUMPRODUCT((Raw_Data_Daily!$B$2:$B$9999="Control")*(Raw_Data_Daily!$A$2:$A$9999=$A18)*(Raw_Data_Daily!$C$2:$C$9999=$C$3)*Raw_Data_Daily!$D$2:$D$9999*Raw_Data_Daily!$AA$2:$AA$9999)/SUMIFS(Raw_Data_Daily!$D:$D, Raw_Data_Daily!$B:$B, "Control", Raw_Data_Daily!$A:$A, $A18, Raw_Data_Daily!$C:$C, $C$3),""))</f>
        <v>1489</v>
      </c>
      <c r="BW18" s="178">
        <f>IF($A18="","",IFERROR(SUMPRODUCT((Raw_Data_Daily!$B$2:$B$9999="Variant")*(Raw_Data_Daily!$A$2:$A$9999=$A18)*(Raw_Data_Daily!$C$2:$C$9999=$C$3)*Raw_Data_Daily!$D$2:$D$9999*Raw_Data_Daily!$AA$2:$AA$9999)/SUMIFS(Raw_Data_Daily!$D:$D, Raw_Data_Daily!$B:$B, "Variant", Raw_Data_Daily!$A:$A, $A18, Raw_Data_Daily!$C:$C, $C$3),""))</f>
        <v>1218</v>
      </c>
      <c r="BX18" s="179">
        <f t="shared" si="25"/>
        <v>-0.1820013432</v>
      </c>
      <c r="BY18" s="185">
        <f>IF($A18="","",IFERROR(SUMPRODUCT((Raw_Data_Daily!$B$2:$B$9999="Control")*(Raw_Data_Daily!$A$2:$A$9999=$A18)*(Raw_Data_Daily!$C$2:$C$9999=$C$3)*Raw_Data_Daily!$D$2:$D$9999*Raw_Data_Daily!$AB$2:$AB$9999)/SUMIFS(Raw_Data_Daily!$D:$D, Raw_Data_Daily!$B:$B, "Control", Raw_Data_Daily!$A:$A, $A18, Raw_Data_Daily!$C:$C, $C$3),""))</f>
        <v>55.9413</v>
      </c>
      <c r="BZ18" s="185">
        <f>IF($A18="","",IFERROR(SUMPRODUCT((Raw_Data_Daily!$B$2:$B$9999="Variant")*(Raw_Data_Daily!$A$2:$A$9999=$A18)*(Raw_Data_Daily!$C$2:$C$9999=$C$3)*Raw_Data_Daily!$D$2:$D$9999*Raw_Data_Daily!$AB$2:$AB$9999)/SUMIFS(Raw_Data_Daily!$D:$D, Raw_Data_Daily!$B:$B, "Variant", Raw_Data_Daily!$A:$A, $A18, Raw_Data_Daily!$C:$C, $C$3),""))</f>
        <v>55.5862</v>
      </c>
      <c r="CA18" s="183">
        <f t="shared" si="26"/>
        <v>-0.006347725205</v>
      </c>
      <c r="CB18" s="185">
        <f>IF($A18="","",IFERROR(SUMPRODUCT((Raw_Data_Daily!$B$2:$B$9999="Control")*(Raw_Data_Daily!$A$2:$A$9999=$A18)*(Raw_Data_Daily!$C$2:$C$9999=$C$3)*Raw_Data_Daily!$D$2:$D$9999*Raw_Data_Daily!$AC$2:$AC$9999)/SUMIFS(Raw_Data_Daily!$D:$D, Raw_Data_Daily!$B:$B, "Control", Raw_Data_Daily!$A:$A, $A18, Raw_Data_Daily!$C:$C, $C$3),""))</f>
        <v>0.7882</v>
      </c>
      <c r="CC18" s="185">
        <f>IF($A18="","",IFERROR(SUMPRODUCT((Raw_Data_Daily!$B$2:$B$9999="Variant")*(Raw_Data_Daily!$A$2:$A$9999=$A18)*(Raw_Data_Daily!$C$2:$C$9999=$C$3)*Raw_Data_Daily!$D$2:$D$9999*Raw_Data_Daily!$AC$2:$AC$9999)/SUMIFS(Raw_Data_Daily!$D:$D, Raw_Data_Daily!$B:$B, "Variant", Raw_Data_Daily!$A:$A, $A18, Raw_Data_Daily!$C:$C, $C$3),""))</f>
        <v>0.7573</v>
      </c>
      <c r="CD18" s="183">
        <f t="shared" si="27"/>
        <v>-0.03920324791</v>
      </c>
      <c r="CE18" s="185">
        <f>IF($A18="","",IFERROR(SUMPRODUCT((Raw_Data_Daily!$B$2:$B$9999="Control")*(Raw_Data_Daily!$A$2:$A$9999=$A18)*(Raw_Data_Daily!$C$2:$C$9999=$C$3)*Raw_Data_Daily!$D$2:$D$9999*Raw_Data_Daily!$AD$2:$AD$9999)/SUMIFS(Raw_Data_Daily!$D:$D, Raw_Data_Daily!$B:$B, "Control", Raw_Data_Daily!$A:$A, $A18, Raw_Data_Daily!$C:$C, $C$3),""))</f>
        <v>28.98</v>
      </c>
      <c r="CF18" s="185">
        <f>IF($A18="","",IFERROR(SUMPRODUCT((Raw_Data_Daily!$B$2:$B$9999="Variant")*(Raw_Data_Daily!$A$2:$A$9999=$A18)*(Raw_Data_Daily!$C$2:$C$9999=$C$3)*Raw_Data_Daily!$D$2:$D$9999*Raw_Data_Daily!$AD$2:$AD$9999)/SUMIFS(Raw_Data_Daily!$D:$D, Raw_Data_Daily!$B:$B, "Variant", Raw_Data_Daily!$A:$A, $A18, Raw_Data_Daily!$C:$C, $C$3),""))</f>
        <v>28.27</v>
      </c>
      <c r="CG18" s="183">
        <f t="shared" si="28"/>
        <v>-0.02449965493</v>
      </c>
      <c r="CH18" s="185">
        <f>IF($A18="","",IFERROR(SUMPRODUCT((Raw_Data_Daily!$B$2:$B$9999="Control")*(Raw_Data_Daily!$A$2:$A$9999=$A18)*(Raw_Data_Daily!$C$2:$C$9999=$C$3)*Raw_Data_Daily!$D$2:$D$9999*Raw_Data_Daily!$AE$2:$AE$9999)/SUMIFS(Raw_Data_Daily!$D:$D, Raw_Data_Daily!$B:$B, "Control", Raw_Data_Daily!$A:$A, $A18, Raw_Data_Daily!$C:$C, $C$3),""))</f>
        <v>12</v>
      </c>
      <c r="CI18" s="185">
        <f>IF($A18="","",IFERROR(SUMPRODUCT((Raw_Data_Daily!$B$2:$B$9999="Variant")*(Raw_Data_Daily!$A$2:$A$9999=$A18)*(Raw_Data_Daily!$C$2:$C$9999=$C$3)*Raw_Data_Daily!$D$2:$D$9999*Raw_Data_Daily!$AE$2:$AE$9999)/SUMIFS(Raw_Data_Daily!$D:$D, Raw_Data_Daily!$B:$B, "Variant", Raw_Data_Daily!$A:$A, $A18, Raw_Data_Daily!$C:$C, $C$3),""))</f>
        <v>11</v>
      </c>
      <c r="CJ18" s="183">
        <f t="shared" si="29"/>
        <v>-0.08333333333</v>
      </c>
      <c r="CK18" s="185">
        <f>IF($A18="","",IFERROR(SUMPRODUCT((Raw_Data_Daily!$B$2:$B$9999="Control")*(Raw_Data_Daily!$A$2:$A$9999=$A18)*(Raw_Data_Daily!$C$2:$C$9999=$C$3)*Raw_Data_Daily!$D$2:$D$9999*Raw_Data_Daily!$AF$2:$AF$9999)/SUMIFS(Raw_Data_Daily!$D:$D, Raw_Data_Daily!$B:$B, "Control", Raw_Data_Daily!$A:$A, $A18, Raw_Data_Daily!$C:$C, $C$3),""))</f>
        <v>22</v>
      </c>
      <c r="CL18" s="185">
        <f>IF($A18="","",IFERROR(SUMPRODUCT((Raw_Data_Daily!$B$2:$B$9999="Variant")*(Raw_Data_Daily!$A$2:$A$9999=$A18)*(Raw_Data_Daily!$C$2:$C$9999=$C$3)*Raw_Data_Daily!$D$2:$D$9999*Raw_Data_Daily!$AF$2:$AF$9999)/SUMIFS(Raw_Data_Daily!$D:$D, Raw_Data_Daily!$B:$B, "Variant", Raw_Data_Daily!$A:$A, $A18, Raw_Data_Daily!$C:$C, $C$3),""))</f>
        <v>21</v>
      </c>
      <c r="CM18" s="183">
        <f t="shared" si="30"/>
        <v>-0.04545454545</v>
      </c>
      <c r="CN18" s="185">
        <f>IF($A18="","",IFERROR(SUMPRODUCT((Raw_Data_Daily!$B$2:$B$9999="Control")*(Raw_Data_Daily!$A$2:$A$9999=$A18)*(Raw_Data_Daily!$C$2:$C$9999=$C$3)*Raw_Data_Daily!$D$2:$D$9999*Raw_Data_Daily!$AG$2:$AG$9999)/SUMIFS(Raw_Data_Daily!$D:$D, Raw_Data_Daily!$B:$B, "Control", Raw_Data_Daily!$A:$A, $A18, Raw_Data_Daily!$C:$C, $C$3),""))</f>
        <v>40</v>
      </c>
      <c r="CO18" s="185">
        <f>IF($A18="","",IFERROR(SUMPRODUCT((Raw_Data_Daily!$B$2:$B$9999="Variant")*(Raw_Data_Daily!$A$2:$A$9999=$A18)*(Raw_Data_Daily!$C$2:$C$9999=$C$3)*Raw_Data_Daily!$D$2:$D$9999*Raw_Data_Daily!$AG$2:$AG$9999)/SUMIFS(Raw_Data_Daily!$D:$D, Raw_Data_Daily!$B:$B, "Variant", Raw_Data_Daily!$A:$A, $A18, Raw_Data_Daily!$C:$C, $C$3),""))</f>
        <v>40</v>
      </c>
      <c r="CP18" s="183">
        <f t="shared" si="31"/>
        <v>0</v>
      </c>
      <c r="CQ18" s="185">
        <f>IF($A18="","",IFERROR(SUMPRODUCT((Raw_Data_Daily!$B$2:$B$9999="Control")*(Raw_Data_Daily!$A$2:$A$9999=$A18)*(Raw_Data_Daily!$C$2:$C$9999=$C$3)*Raw_Data_Daily!$D$2:$D$9999*Raw_Data_Daily!$AH$2:$AH$9999)/SUMIFS(Raw_Data_Daily!$D:$D, Raw_Data_Daily!$B:$B, "Control", Raw_Data_Daily!$A:$A, $A18, Raw_Data_Daily!$C:$C, $C$3),""))</f>
        <v>60</v>
      </c>
      <c r="CR18" s="185">
        <f>IF($A18="","",IFERROR(SUMPRODUCT((Raw_Data_Daily!$B$2:$B$9999="Variant")*(Raw_Data_Daily!$A$2:$A$9999=$A18)*(Raw_Data_Daily!$C$2:$C$9999=$C$3)*Raw_Data_Daily!$D$2:$D$9999*Raw_Data_Daily!$AH$2:$AH$9999)/SUMIFS(Raw_Data_Daily!$D:$D, Raw_Data_Daily!$B:$B, "Variant", Raw_Data_Daily!$A:$A, $A18, Raw_Data_Daily!$C:$C, $C$3),""))</f>
        <v>57</v>
      </c>
      <c r="CS18" s="183">
        <f t="shared" si="32"/>
        <v>-0.05</v>
      </c>
      <c r="CT18" s="180">
        <f>IF($A18="","",IFERROR(SUMPRODUCT((Raw_Data_Daily!$B$2:$B$9999="Control")*(Raw_Data_Daily!$A$2:$A$9999=$A18)*(Raw_Data_Daily!$C$2:$C$9999=$C$3)*Raw_Data_Daily!$D$2:$D$9999*Raw_Data_Daily!$AI$2:$AI$9999)/SUMIFS(Raw_Data_Daily!$D:$D, Raw_Data_Daily!$B:$B, "Control", Raw_Data_Daily!$A:$A, $A18, Raw_Data_Daily!$C:$C, $C$3),""))</f>
        <v>40.26</v>
      </c>
      <c r="CU18" s="180">
        <f>IF($A18="","",IFERROR(SUMPRODUCT((Raw_Data_Daily!$B$2:$B$9999="Variant")*(Raw_Data_Daily!$A$2:$A$9999=$A18)*(Raw_Data_Daily!$C$2:$C$9999=$C$3)*Raw_Data_Daily!$D$2:$D$9999*Raw_Data_Daily!$AI$2:$AI$9999)/SUMIFS(Raw_Data_Daily!$D:$D, Raw_Data_Daily!$B:$B, "Variant", Raw_Data_Daily!$A:$A, $A18, Raw_Data_Daily!$C:$C, $C$3),""))</f>
        <v>40.33</v>
      </c>
      <c r="CV18" s="187">
        <f t="shared" si="33"/>
        <v>0.00173869846</v>
      </c>
      <c r="CW18" s="180">
        <f>IF($A18="","",IFERROR(SUMPRODUCT((Raw_Data_Daily!$B$2:$B$9999="Control")*(Raw_Data_Daily!$A$2:$A$9999=$A18)*(Raw_Data_Daily!$C$2:$C$9999=$C$3)*Raw_Data_Daily!$D$2:$D$9999*Raw_Data_Daily!$AJ$2:$AJ$9999)/SUMIFS(Raw_Data_Daily!$D:$D, Raw_Data_Daily!$B:$B, "Control", Raw_Data_Daily!$A:$A, $A18, Raw_Data_Daily!$C:$C, $C$3),""))</f>
        <v>10.35</v>
      </c>
      <c r="CX18" s="180">
        <f>IF($A18="","",IFERROR(SUMPRODUCT((Raw_Data_Daily!$B$2:$B$9999="Variant")*(Raw_Data_Daily!$A$2:$A$9999=$A18)*(Raw_Data_Daily!$C$2:$C$9999=$C$3)*Raw_Data_Daily!$D$2:$D$9999*Raw_Data_Daily!$AJ$2:$AJ$9999)/SUMIFS(Raw_Data_Daily!$D:$D, Raw_Data_Daily!$B:$B, "Variant", Raw_Data_Daily!$A:$A, $A18, Raw_Data_Daily!$C:$C, $C$3),""))</f>
        <v>9.04</v>
      </c>
      <c r="CY18" s="187">
        <f t="shared" si="34"/>
        <v>-0.1265700483</v>
      </c>
      <c r="CZ18" s="180">
        <f>IF($A18="","",IFERROR(SUMPRODUCT((Raw_Data_Daily!$B$2:$B$9999="Control")*(Raw_Data_Daily!$A$2:$A$9999=$A18)*(Raw_Data_Daily!$C$2:$C$9999=$C$3)*Raw_Data_Daily!$D$2:$D$9999*Raw_Data_Daily!$AK$2:$AK$9999)/SUMIFS(Raw_Data_Daily!$D:$D, Raw_Data_Daily!$B:$B, "Control", Raw_Data_Daily!$A:$A, $A18, Raw_Data_Daily!$C:$C, $C$3),""))</f>
        <v>1.64</v>
      </c>
      <c r="DA18" s="180">
        <f>IF($A18="","",IFERROR(SUMPRODUCT((Raw_Data_Daily!$B$2:$B$9999="Variant")*(Raw_Data_Daily!$A$2:$A$9999=$A18)*(Raw_Data_Daily!$C$2:$C$9999=$C$3)*Raw_Data_Daily!$D$2:$D$9999*Raw_Data_Daily!$AK$2:$AK$9999)/SUMIFS(Raw_Data_Daily!$D:$D, Raw_Data_Daily!$B:$B, "Variant", Raw_Data_Daily!$A:$A, $A18, Raw_Data_Daily!$C:$C, $C$3),""))</f>
        <v>1.74</v>
      </c>
      <c r="DB18" s="183">
        <f t="shared" si="35"/>
        <v>0.06097560976</v>
      </c>
      <c r="DC18" s="186">
        <f>IF($A18="","",IFERROR(SUMPRODUCT((Raw_Data_Daily!$B$2:$B$9999="Control")*(Raw_Data_Daily!$A$2:$A$9999=$A18)*(Raw_Data_Daily!$C$2:$C$9999=$C$3)*Raw_Data_Daily!$D$2:$D$9999*Raw_Data_Daily!$AL$2:$AL$9999)/SUMIFS(Raw_Data_Daily!$D:$D, Raw_Data_Daily!$B:$B, "Control", Raw_Data_Daily!$A:$A, $A18, Raw_Data_Daily!$C:$C, $C$3),""))</f>
        <v>0.1838</v>
      </c>
      <c r="DD18" s="186">
        <f>IF($A18="","",IFERROR(SUMPRODUCT((Raw_Data_Daily!$B$2:$B$9999="Variant")*(Raw_Data_Daily!$A$2:$A$9999=$A18)*(Raw_Data_Daily!$C$2:$C$9999=$C$3)*Raw_Data_Daily!$D$2:$D$9999*Raw_Data_Daily!$AL$2:$AL$9999)/SUMIFS(Raw_Data_Daily!$D:$D, Raw_Data_Daily!$B:$B, "Variant", Raw_Data_Daily!$A:$A, $A18, Raw_Data_Daily!$C:$C, $C$3),""))</f>
        <v>0.1872</v>
      </c>
      <c r="DE18" s="187">
        <f t="shared" si="36"/>
        <v>0.01849836779</v>
      </c>
      <c r="DF18" s="188"/>
      <c r="DG18" s="180">
        <f>IF($A18="","",IFERROR(SUMPRODUCT((Raw_Data_Daily!$B$2:$B$9999="Variant")*(Raw_Data_Daily!$A$2:$A$9999=$A18)*(Raw_Data_Daily!$C$2:$C$9999=$C$3)*Raw_Data_Daily!$D$2:$D$9999*Raw_Data_Daily!$AM$2:$AM$9999)/SUMIFS(Raw_Data_Daily!$D:$D, Raw_Data_Daily!$B:$B, "Variant", Raw_Data_Daily!$A:$A, $A18, Raw_Data_Daily!$C:$C, $C$3),""))</f>
        <v>45.41</v>
      </c>
      <c r="DH18" s="189"/>
      <c r="DI18" s="188"/>
      <c r="DJ18" s="180">
        <f>IF($A18="","",IFERROR(SUMPRODUCT((Raw_Data_Daily!$B$2:$B$9999="Variant")*(Raw_Data_Daily!$A$2:$A$9999=$A18)*(Raw_Data_Daily!$C$2:$C$9999=$C$3)*Raw_Data_Daily!$D$2:$D$9999*Raw_Data_Daily!$AN$2:$AN$9999)/SUMIFS(Raw_Data_Daily!$D:$D, Raw_Data_Daily!$B:$B, "Variant", Raw_Data_Daily!$A:$A, $A18, Raw_Data_Daily!$C:$C, $C$3),""))</f>
        <v>45.41</v>
      </c>
      <c r="DK18" s="189"/>
      <c r="DL18" s="188"/>
      <c r="DM18" s="180">
        <f>IF($A18="","",IFERROR(SUMPRODUCT((Raw_Data_Daily!$B$2:$B$9999="Variant")*(Raw_Data_Daily!$A$2:$A$9999=$A18)*(Raw_Data_Daily!$C$2:$C$9999=$C$3)*Raw_Data_Daily!$D$2:$D$9999*Raw_Data_Daily!$AO$2:$AO$9999)/SUMIFS(Raw_Data_Daily!$D:$D, Raw_Data_Daily!$B:$B, "Variant", Raw_Data_Daily!$A:$A, $A18, Raw_Data_Daily!$C:$C, $C$3),""))</f>
        <v>27.51</v>
      </c>
      <c r="DN18" s="189"/>
      <c r="DO18" s="188"/>
      <c r="DP18" s="180">
        <f>IF($A18="","",IFERROR(SUMPRODUCT((Raw_Data_Daily!$B$2:$B$9999="Variant")*(Raw_Data_Daily!$A$2:$A$9999=$A18)*(Raw_Data_Daily!$C$2:$C$9999=$C$3)*Raw_Data_Daily!$D$2:$D$9999*Raw_Data_Daily!$AP$2:$AP$9999)/SUMIFS(Raw_Data_Daily!$D:$D, Raw_Data_Daily!$B:$B, "Variant", Raw_Data_Daily!$A:$A, $A18, Raw_Data_Daily!$C:$C, $C$3),""))</f>
        <v>16.23</v>
      </c>
      <c r="DQ18" s="189"/>
      <c r="DR18" s="186">
        <f>IF($A18="","",IFERROR(SUMPRODUCT((Raw_Data_Daily!$B$2:$B$9999="Control")*(Raw_Data_Daily!$A$2:$A$9999=$A18)*(Raw_Data_Daily!$C$2:$C$9999=$C$3)*Raw_Data_Daily!$D$2:$D$9999*Raw_Data_Daily!$AQ$2:$AQ$9999)/SUMIFS(Raw_Data_Daily!$D:$D, Raw_Data_Daily!$B:$B, "Control", Raw_Data_Daily!$A:$A, $A18, Raw_Data_Daily!$C:$C, $C$3),""))</f>
        <v>18.7047</v>
      </c>
      <c r="DS18" s="186">
        <f>IF($A18="","",IFERROR(SUMPRODUCT((Raw_Data_Daily!$B$2:$B$9999="Variant")*(Raw_Data_Daily!$A$2:$A$9999=$A18)*(Raw_Data_Daily!$C$2:$C$9999=$C$3)*Raw_Data_Daily!$D$2:$D$9999*Raw_Data_Daily!$AQ$2:$AQ$9999)/SUMIFS(Raw_Data_Daily!$D:$D, Raw_Data_Daily!$B:$B, "Variant", Raw_Data_Daily!$A:$A, $A18, Raw_Data_Daily!$C:$C, $C$3),""))</f>
        <v>14.4664</v>
      </c>
      <c r="DT18" s="190">
        <f t="shared" si="37"/>
        <v>-0.2265901084</v>
      </c>
      <c r="DU18" s="186">
        <f>IF($A18="","",IFERROR(SUMPRODUCT((Raw_Data_Daily!$B$2:$B$9999="Control")*(Raw_Data_Daily!$A$2:$A$9999=$A18)*(Raw_Data_Daily!$C$2:$C$9999=$C$3)*Raw_Data_Daily!$D$2:$D$9999*Raw_Data_Daily!$AR$2:$AR$9999)/SUMIFS(Raw_Data_Daily!$D:$D, Raw_Data_Daily!$B:$B, "Control", Raw_Data_Daily!$A:$A, $A18, Raw_Data_Daily!$C:$C, $C$3),""))</f>
        <v>0.348</v>
      </c>
      <c r="DV18" s="186">
        <f>IF($A18="","",IFERROR(SUMPRODUCT((Raw_Data_Daily!$B$2:$B$9999="Variant")*(Raw_Data_Daily!$A$2:$A$9999=$A18)*(Raw_Data_Daily!$C$2:$C$9999=$C$3)*Raw_Data_Daily!$D$2:$D$9999*Raw_Data_Daily!$AR$2:$AR$9999)/SUMIFS(Raw_Data_Daily!$D:$D, Raw_Data_Daily!$B:$B, "Variant", Raw_Data_Daily!$A:$A, $A18, Raw_Data_Daily!$C:$C, $C$3),""))</f>
        <v>0.2499</v>
      </c>
      <c r="DW18" s="190">
        <f t="shared" si="38"/>
        <v>-0.2818965517</v>
      </c>
      <c r="DX18" s="186">
        <f>IF($A18="","",IFERROR(SUMPRODUCT((Raw_Data_Daily!$B$2:$B$9999="Control")*(Raw_Data_Daily!$A$2:$A$9999=$A18)*(Raw_Data_Daily!$C$2:$C$9999=$C$3)*Raw_Data_Daily!$D$2:$D$9999*Raw_Data_Daily!$AS$2:$AS$9999)/SUMIFS(Raw_Data_Daily!$D:$D, Raw_Data_Daily!$B:$B, "Control", Raw_Data_Daily!$A:$A, $A18, Raw_Data_Daily!$C:$C, $C$3),""))</f>
        <v>18.3567</v>
      </c>
      <c r="DY18" s="186">
        <f>IF($A18="","",IFERROR(SUMPRODUCT((Raw_Data_Daily!$B$2:$B$9999="Variant")*(Raw_Data_Daily!$A$2:$A$9999=$A18)*(Raw_Data_Daily!$C$2:$C$9999=$C$3)*Raw_Data_Daily!$D$2:$D$9999*Raw_Data_Daily!$AS$2:$AS$9999)/SUMIFS(Raw_Data_Daily!$D:$D, Raw_Data_Daily!$B:$B, "Variant", Raw_Data_Daily!$A:$A, $A18, Raw_Data_Daily!$C:$C, $C$3),""))</f>
        <v>14.2165</v>
      </c>
      <c r="DZ18" s="190">
        <f t="shared" si="39"/>
        <v>-0.2255416279</v>
      </c>
      <c r="EA18" s="186">
        <f>IF($A18="","",IFERROR(SUMPRODUCT((Raw_Data_Daily!$B$2:$B$9999="Control")*(Raw_Data_Daily!$A$2:$A$9999=$A18)*(Raw_Data_Daily!$C$2:$C$9999=$C$3)*Raw_Data_Daily!$D$2:$D$9999*Raw_Data_Daily!$AT$2:$AT$9999)/SUMIFS(Raw_Data_Daily!$D:$D, Raw_Data_Daily!$B:$B, "Control", Raw_Data_Daily!$A:$A, $A18, Raw_Data_Daily!$C:$C, $C$3),""))</f>
        <v>14.7175</v>
      </c>
      <c r="EB18" s="186">
        <f>IF($A18="","",IFERROR(SUMPRODUCT((Raw_Data_Daily!$B$2:$B$9999="Variant")*(Raw_Data_Daily!$A$2:$A$9999=$A18)*(Raw_Data_Daily!$C$2:$C$9999=$C$3)*Raw_Data_Daily!$D$2:$D$9999*Raw_Data_Daily!$AT$2:$AT$9999)/SUMIFS(Raw_Data_Daily!$D:$D, Raw_Data_Daily!$B:$B, "Variant", Raw_Data_Daily!$A:$A, $A18, Raw_Data_Daily!$C:$C, $C$3),""))</f>
        <v>12.2107</v>
      </c>
      <c r="EC18" s="190">
        <f t="shared" si="40"/>
        <v>-0.170327841</v>
      </c>
      <c r="ED18" s="186">
        <f>IF($A18="","",IFERROR(SUMPRODUCT((Raw_Data_Daily!$B$2:$B$9999="Control")*(Raw_Data_Daily!$A$2:$A$9999=$A18)*(Raw_Data_Daily!$C$2:$C$9999=$C$3)*Raw_Data_Daily!$D$2:$D$9999*(Raw_Data_Daily!$AQ$2:$AQ$9999-Raw_Data_Daily!$AT$2:$AT$9999))/SUMIFS(Raw_Data_Daily!$D:$D, Raw_Data_Daily!$B:$B, "Control", Raw_Data_Daily!$A:$A, $A18, Raw_Data_Daily!$C:$C, $C$3),""))</f>
        <v>3.9872</v>
      </c>
      <c r="EE18" s="186">
        <f>IF($A18="","",IFERROR(SUMPRODUCT((Raw_Data_Daily!$B$2:$B$9999="Variant")*(Raw_Data_Daily!$A$2:$A$9999=$A18)*(Raw_Data_Daily!$C$2:$C$9999=$C$3)*Raw_Data_Daily!$D$2:$D$9999*(Raw_Data_Daily!$AQ$2:$AQ$9999-Raw_Data_Daily!$AT$2:$AT$9999))/SUMIFS(Raw_Data_Daily!$D:$D, Raw_Data_Daily!$B:$B, "Variant", Raw_Data_Daily!$A:$A, $A18, Raw_Data_Daily!$C:$C, $C$3),""))</f>
        <v>2.2557</v>
      </c>
      <c r="EF18" s="190">
        <f t="shared" si="41"/>
        <v>-0.4342646469</v>
      </c>
      <c r="EG18" s="186">
        <f>IF($A18="","",IFERROR(SUMPRODUCT((Raw_Data_Daily!$B$2:$B$9999="Control")*(Raw_Data_Daily!$A$2:$A$9999=$A18)*(Raw_Data_Daily!$C$2:$C$9999=$C$3)*Raw_Data_Daily!$D$2:$D$9999*Raw_Data_Daily!$AU$2:$AU$9999)/SUMIFS(Raw_Data_Daily!$D:$D, Raw_Data_Daily!$B:$B, "Control", Raw_Data_Daily!$A:$A, $A18, Raw_Data_Daily!$C:$C, $C$3),""))</f>
        <v>0.2052</v>
      </c>
      <c r="EH18" s="186">
        <f>IF($A18="","",IFERROR(SUMPRODUCT((Raw_Data_Daily!$B$2:$B$9999="Variant")*(Raw_Data_Daily!$A$2:$A$9999=$A18)*(Raw_Data_Daily!$C$2:$C$9999=$C$3)*Raw_Data_Daily!$D$2:$D$9999*Raw_Data_Daily!$AU$2:$AU$9999)/SUMIFS(Raw_Data_Daily!$D:$D, Raw_Data_Daily!$B:$B, "Variant", Raw_Data_Daily!$A:$A, $A18, Raw_Data_Daily!$C:$C, $C$3),""))</f>
        <v>0.1721</v>
      </c>
      <c r="EI18" s="190">
        <f t="shared" si="42"/>
        <v>-0.1613060429</v>
      </c>
    </row>
    <row r="19" ht="15.75" customHeight="1">
      <c r="A19" s="177">
        <v>46242.0</v>
      </c>
      <c r="B19" s="178">
        <f>IF($A19="","",SUMIFS(Raw_Data_Daily!$D:$D, Raw_Data_Daily!$B:$B, "Control", Raw_Data_Daily!$A:$A, $A19, Raw_Data_Daily!$C:$C, $C$3))</f>
        <v>3262</v>
      </c>
      <c r="C19" s="178">
        <f>IF($A19="","",SUMIFS(Raw_Data_Daily!$D:$D, Raw_Data_Daily!$B:$B, "Variant", Raw_Data_Daily!$A:$A, $A19, Raw_Data_Daily!$C:$C, $C$3))</f>
        <v>3150</v>
      </c>
      <c r="D19" s="179">
        <f t="shared" si="1"/>
        <v>-0.03433476395</v>
      </c>
      <c r="E19" s="180">
        <f>IF($A19="","",IFERROR(SUMPRODUCT((Raw_Data_Daily!$B$2:$B$9999="Control")*(Raw_Data_Daily!$A$2:$A$9999=$A19)*(Raw_Data_Daily!$C$2:$C$9999=$C$3)*Raw_Data_Daily!$D$2:$D$9999*Raw_Data_Daily!$E$2:$E$9999)/SUMIFS(Raw_Data_Daily!$D:$D, Raw_Data_Daily!$B:$B, "Control", Raw_Data_Daily!$A:$A, $A19, Raw_Data_Daily!$C:$C, $C$3),""))</f>
        <v>12.03</v>
      </c>
      <c r="F19" s="180">
        <f>IF($A19="","",IFERROR(SUMPRODUCT((Raw_Data_Daily!$B$2:$B$9999="Variant")*(Raw_Data_Daily!$A$2:$A$9999=$A19)*(Raw_Data_Daily!$C$2:$C$9999=$C$3)*Raw_Data_Daily!$D$2:$D$9999*Raw_Data_Daily!$E$2:$E$9999)/SUMIFS(Raw_Data_Daily!$D:$D, Raw_Data_Daily!$B:$B, "Variant", Raw_Data_Daily!$A:$A, $A19, Raw_Data_Daily!$C:$C, $C$3),""))</f>
        <v>11.75</v>
      </c>
      <c r="G19" s="179">
        <f t="shared" si="2"/>
        <v>-0.02327514547</v>
      </c>
      <c r="H19" s="182">
        <f>IF($A19="","",SUMIFS(Raw_Data_Daily!$F:$F, Raw_Data_Daily!$B:$B, "Control", Raw_Data_Daily!$A:$A, $A19, Raw_Data_Daily!$C:$C, $C$3))</f>
        <v>612.15</v>
      </c>
      <c r="I19" s="182">
        <f>IF($A19="","",SUMIFS(Raw_Data_Daily!$F:$F, Raw_Data_Daily!$B:$B, "Variant", Raw_Data_Daily!$A:$A, $A19, Raw_Data_Daily!$C:$C, $C$3))</f>
        <v>592.55</v>
      </c>
      <c r="J19" s="183">
        <f t="shared" si="3"/>
        <v>-0.03201829617</v>
      </c>
      <c r="K19" s="184">
        <f>IF($A19="","",IFERROR(SUMIFS(Raw_Data_Daily!$F:$F, Raw_Data_Daily!$B:$B, "Control", Raw_Data_Daily!$A:$A, $A19, Raw_Data_Daily!$C:$C, $C$3)/SUMIFS(Raw_Data_Daily!$D:$D, Raw_Data_Daily!$B:$B, "Control", Raw_Data_Daily!$A:$A, $A19, Raw_Data_Daily!$C:$C, $C$3),""))</f>
        <v>0.1876609442</v>
      </c>
      <c r="L19" s="184">
        <f>IF($A19="","",IFERROR(SUMIFS(Raw_Data_Daily!$F:$F, Raw_Data_Daily!$B:$B, "Variant", Raw_Data_Daily!$A:$A, $A19, Raw_Data_Daily!$C:$C, $C$3)/SUMIFS(Raw_Data_Daily!$D:$D, Raw_Data_Daily!$B:$B, "Variant", Raw_Data_Daily!$A:$A, $A19, Raw_Data_Daily!$C:$C, $C$3),""))</f>
        <v>0.1881111111</v>
      </c>
      <c r="M19" s="183">
        <f t="shared" si="4"/>
        <v>0.002398831078</v>
      </c>
      <c r="N19" s="180">
        <f>IF($A19="","",IFERROR(SUMPRODUCT((Raw_Data_Daily!$B$2:$B$9999="Control")*(Raw_Data_Daily!$A$2:$A$9999=$A19)*(Raw_Data_Daily!$C$2:$C$9999=$C$3)*Raw_Data_Daily!$D$2:$D$9999*Raw_Data_Daily!$H$2:$H$9999/100)/SUMIFS(Raw_Data_Daily!$D:$D, Raw_Data_Daily!$B:$B, "Control", Raw_Data_Daily!$A:$A, $A19, Raw_Data_Daily!$C:$C, $C$3)*100,""))</f>
        <v>3.28</v>
      </c>
      <c r="O19" s="180">
        <f>IF($A19="","",IFERROR(SUMPRODUCT((Raw_Data_Daily!$B$2:$B$9999="Variant")*(Raw_Data_Daily!$A$2:$A$9999=$A19)*(Raw_Data_Daily!$C$2:$C$9999=$C$3)*Raw_Data_Daily!$D$2:$D$9999*Raw_Data_Daily!$H$2:$H$9999/100)/SUMIFS(Raw_Data_Daily!$D:$D, Raw_Data_Daily!$B:$B, "Variant", Raw_Data_Daily!$A:$A, $A19, Raw_Data_Daily!$C:$C, $C$3)*100,""))</f>
        <v>3.33</v>
      </c>
      <c r="P19" s="183">
        <f t="shared" si="5"/>
        <v>0.01524390244</v>
      </c>
      <c r="Q19" s="184">
        <f>IF($A19="","",IFERROR(SUMIFS(Raw_Data_Daily!$F:$F, Raw_Data_Daily!$B:$B, "Control", Raw_Data_Daily!$A:$A, $A19, Raw_Data_Daily!$C:$C, $C$3)/SUMPRODUCT((Raw_Data_Daily!$B$2:$B$9999="Control")*(Raw_Data_Daily!$A$2:$A$9999=$A19)*(Raw_Data_Daily!$C$2:$C$9999=$C$3)*Raw_Data_Daily!$D$2:$D$9999*Raw_Data_Daily!$H$2:$H$9999/100),""))</f>
        <v>5.72137025</v>
      </c>
      <c r="R19" s="184">
        <f>IF($A19="","",IFERROR(SUMIFS(Raw_Data_Daily!$F:$F, Raw_Data_Daily!$B:$B, "Variant", Raw_Data_Daily!$A:$A, $A19, Raw_Data_Daily!$C:$C, $C$3)/SUMPRODUCT((Raw_Data_Daily!$B$2:$B$9999="Variant")*(Raw_Data_Daily!$A$2:$A$9999=$A19)*(Raw_Data_Daily!$C$2:$C$9999=$C$3)*Raw_Data_Daily!$D$2:$D$9999*Raw_Data_Daily!$H$2:$H$9999/100),""))</f>
        <v>5.648982316</v>
      </c>
      <c r="S19" s="183">
        <f t="shared" si="6"/>
        <v>-0.01265220242</v>
      </c>
      <c r="T19" s="185">
        <f>IF($A19="","",IFERROR(SUMPRODUCT((Raw_Data_Daily!$B$2:$B$9999="Control")*(Raw_Data_Daily!$A$2:$A$9999=$A19)*(Raw_Data_Daily!$C$2:$C$9999=$C$3)*Raw_Data_Daily!$D$2:$D$9999*Raw_Data_Daily!$J$2:$J$9999)/SUMIFS(Raw_Data_Daily!$D:$D, Raw_Data_Daily!$B:$B, "Control", Raw_Data_Daily!$A:$A, $A19, Raw_Data_Daily!$C:$C, $C$3),""))</f>
        <v>107.61</v>
      </c>
      <c r="U19" s="185">
        <f>IF($A19="","",IFERROR(SUMPRODUCT((Raw_Data_Daily!$B$2:$B$9999="Variant")*(Raw_Data_Daily!$A$2:$A$9999=$A19)*(Raw_Data_Daily!$C$2:$C$9999=$C$3)*Raw_Data_Daily!$D$2:$D$9999*Raw_Data_Daily!$J$2:$J$9999)/SUMIFS(Raw_Data_Daily!$D:$D, Raw_Data_Daily!$B:$B, "Variant", Raw_Data_Daily!$A:$A, $A19, Raw_Data_Daily!$C:$C, $C$3),""))</f>
        <v>109.19</v>
      </c>
      <c r="V19" s="183">
        <f t="shared" si="7"/>
        <v>0.01468265031</v>
      </c>
      <c r="W19" s="185">
        <f>IF($A19="","",IFERROR(SUMPRODUCT((Raw_Data_Daily!$B$2:$B$9999="Control")*(Raw_Data_Daily!$A$2:$A$9999=$A19)*(Raw_Data_Daily!$C$2:$C$9999=$C$3)*Raw_Data_Daily!$D$2:$D$9999*Raw_Data_Daily!$K$2:$K$9999)/SUMIFS(Raw_Data_Daily!$D:$D, Raw_Data_Daily!$B:$B, "Control", Raw_Data_Daily!$A:$A, $A19, Raw_Data_Daily!$C:$C, $C$3),""))</f>
        <v>68.79</v>
      </c>
      <c r="X19" s="185">
        <f>IF($A19="","",IFERROR(SUMPRODUCT((Raw_Data_Daily!$B$2:$B$9999="Variant")*(Raw_Data_Daily!$A$2:$A$9999=$A19)*(Raw_Data_Daily!$C$2:$C$9999=$C$3)*Raw_Data_Daily!$D$2:$D$9999*Raw_Data_Daily!$K$2:$K$9999)/SUMIFS(Raw_Data_Daily!$D:$D, Raw_Data_Daily!$B:$B, "Variant", Raw_Data_Daily!$A:$A, $A19, Raw_Data_Daily!$C:$C, $C$3),""))</f>
        <v>70.37</v>
      </c>
      <c r="Y19" s="183">
        <f t="shared" si="8"/>
        <v>0.02296845472</v>
      </c>
      <c r="Z19" s="185">
        <f>IF($A19="","",IFERROR(SUMPRODUCT((Raw_Data_Daily!$B$2:$B$9999="Control")*(Raw_Data_Daily!$A$2:$A$9999=$A19)*(Raw_Data_Daily!$C$2:$C$9999=$C$3)*Raw_Data_Daily!$D$2:$D$9999*Raw_Data_Daily!$L$2:$L$9999)/SUMIFS(Raw_Data_Daily!$D:$D, Raw_Data_Daily!$B:$B, "Control", Raw_Data_Daily!$A:$A, $A19, Raw_Data_Daily!$C:$C, $C$3),""))</f>
        <v>53.02</v>
      </c>
      <c r="AA19" s="185">
        <f>IF($A19="","",IFERROR(SUMPRODUCT((Raw_Data_Daily!$B$2:$B$9999="Variant")*(Raw_Data_Daily!$A$2:$A$9999=$A19)*(Raw_Data_Daily!$C$2:$C$9999=$C$3)*Raw_Data_Daily!$D$2:$D$9999*Raw_Data_Daily!$L$2:$L$9999)/SUMIFS(Raw_Data_Daily!$D:$D, Raw_Data_Daily!$B:$B, "Variant", Raw_Data_Daily!$A:$A, $A19, Raw_Data_Daily!$C:$C, $C$3),""))</f>
        <v>51.99</v>
      </c>
      <c r="AB19" s="183">
        <f t="shared" si="9"/>
        <v>-0.01942663146</v>
      </c>
      <c r="AC19" s="186">
        <f>IF($A19="","",IFERROR(SUMPRODUCT((Raw_Data_Daily!$B$2:$B$9999="Control")*(Raw_Data_Daily!$A$2:$A$9999=$A19)*(Raw_Data_Daily!$C$2:$C$9999=$C$3)*Raw_Data_Daily!$D$2:$D$9999*Raw_Data_Daily!$M$2:$M$9999)/SUMIFS(Raw_Data_Daily!$D:$D, Raw_Data_Daily!$B:$B, "Control", Raw_Data_Daily!$A:$A, $A19, Raw_Data_Daily!$C:$C, $C$3),""))</f>
        <v>0.7708</v>
      </c>
      <c r="AD19" s="186">
        <f>IF($A19="","",IFERROR(SUMPRODUCT((Raw_Data_Daily!$B$2:$B$9999="Variant")*(Raw_Data_Daily!$A$2:$A$9999=$A19)*(Raw_Data_Daily!$C$2:$C$9999=$C$3)*Raw_Data_Daily!$D$2:$D$9999*Raw_Data_Daily!$M$2:$M$9999)/SUMIFS(Raw_Data_Daily!$D:$D, Raw_Data_Daily!$B:$B, "Variant", Raw_Data_Daily!$A:$A, $A19, Raw_Data_Daily!$C:$C, $C$3),""))</f>
        <v>0.7387</v>
      </c>
      <c r="AE19" s="187">
        <f t="shared" si="10"/>
        <v>-0.04164504411</v>
      </c>
      <c r="AF19" s="186">
        <f>IF($A19="","",IFERROR(SUMPRODUCT((Raw_Data_Daily!$B$2:$B$9999="Control")*(Raw_Data_Daily!$A$2:$A$9999=$A19)*(Raw_Data_Daily!$C$2:$C$9999=$C$3)*Raw_Data_Daily!$D$2:$D$9999*Raw_Data_Daily!$N$2:$N$9999)/SUMIFS(Raw_Data_Daily!$D:$D, Raw_Data_Daily!$B:$B, "Control", Raw_Data_Daily!$A:$A, $A19, Raw_Data_Daily!$C:$C, $C$3),""))</f>
        <v>0.3393</v>
      </c>
      <c r="AG19" s="186">
        <f>IF($A19="","",IFERROR(SUMPRODUCT((Raw_Data_Daily!$B$2:$B$9999="Variant")*(Raw_Data_Daily!$A$2:$A$9999=$A19)*(Raw_Data_Daily!$C$2:$C$9999=$C$3)*Raw_Data_Daily!$D$2:$D$9999*Raw_Data_Daily!$N$2:$N$9999)/SUMIFS(Raw_Data_Daily!$D:$D, Raw_Data_Daily!$B:$B, "Variant", Raw_Data_Daily!$A:$A, $A19, Raw_Data_Daily!$C:$C, $C$3),""))</f>
        <v>0.3595</v>
      </c>
      <c r="AH19" s="187">
        <f t="shared" si="11"/>
        <v>0.0595343354</v>
      </c>
      <c r="AI19" s="186">
        <f>IF($A19="","",IFERROR(SUMPRODUCT((Raw_Data_Daily!$B$2:$B$9999="Control")*(Raw_Data_Daily!$A$2:$A$9999=$A19)*(Raw_Data_Daily!$C$2:$C$9999=$C$3)*Raw_Data_Daily!$D$2:$D$9999*Raw_Data_Daily!$O$2:$O$9999)/SUMIFS(Raw_Data_Daily!$D:$D, Raw_Data_Daily!$B:$B, "Control", Raw_Data_Daily!$A:$A, $A19, Raw_Data_Daily!$C:$C, $C$3),""))</f>
        <v>0.2277</v>
      </c>
      <c r="AJ19" s="186">
        <f>IF($A19="","",IFERROR(SUMPRODUCT((Raw_Data_Daily!$B$2:$B$9999="Variant")*(Raw_Data_Daily!$A$2:$A$9999=$A19)*(Raw_Data_Daily!$C$2:$C$9999=$C$3)*Raw_Data_Daily!$D$2:$D$9999*Raw_Data_Daily!$O$2:$O$9999)/SUMIFS(Raw_Data_Daily!$D:$D, Raw_Data_Daily!$B:$B, "Variant", Raw_Data_Daily!$A:$A, $A19, Raw_Data_Daily!$C:$C, $C$3),""))</f>
        <v>0.2264</v>
      </c>
      <c r="AK19" s="183">
        <f t="shared" si="12"/>
        <v>-0.005709266579</v>
      </c>
      <c r="AL19" s="185">
        <f>IF($A19="","",IFERROR(SUMPRODUCT((Raw_Data_Daily!$B$2:$B$9999="Control")*(Raw_Data_Daily!$A$2:$A$9999=$A19)*(Raw_Data_Daily!$C$2:$C$9999=$C$3)*Raw_Data_Daily!$D$2:$D$9999*Raw_Data_Daily!$P$2:$P$9999)/SUMIFS(Raw_Data_Daily!$D:$D, Raw_Data_Daily!$B:$B, "Control", Raw_Data_Daily!$A:$A, $A19, Raw_Data_Daily!$C:$C, $C$3),""))</f>
        <v>1.2973</v>
      </c>
      <c r="AM19" s="185">
        <f>IF($A19="","",IFERROR(SUMPRODUCT((Raw_Data_Daily!$B$2:$B$9999="Variant")*(Raw_Data_Daily!$A$2:$A$9999=$A19)*(Raw_Data_Daily!$C$2:$C$9999=$C$3)*Raw_Data_Daily!$D$2:$D$9999*Raw_Data_Daily!$P$2:$P$9999)/SUMIFS(Raw_Data_Daily!$D:$D, Raw_Data_Daily!$B:$B, "Variant", Raw_Data_Daily!$A:$A, $A19, Raw_Data_Daily!$C:$C, $C$3),""))</f>
        <v>1.3537</v>
      </c>
      <c r="AN19" s="183">
        <f t="shared" si="13"/>
        <v>0.04347490943</v>
      </c>
      <c r="AO19" s="185">
        <f>IF($A19="","",IFERROR(SUMPRODUCT((Raw_Data_Daily!$B$2:$B$9999="Control")*(Raw_Data_Daily!$A$2:$A$9999=$A19)*(Raw_Data_Daily!$C$2:$C$9999=$C$3)*Raw_Data_Daily!$D$2:$D$9999*Raw_Data_Daily!$Q$2:$Q$9999)/SUMIFS(Raw_Data_Daily!$D:$D, Raw_Data_Daily!$B:$B, "Control", Raw_Data_Daily!$A:$A, $A19, Raw_Data_Daily!$C:$C, $C$3),""))</f>
        <v>331.82</v>
      </c>
      <c r="AP19" s="185">
        <f>IF($A19="","",IFERROR(SUMPRODUCT((Raw_Data_Daily!$B$2:$B$9999="Variant")*(Raw_Data_Daily!$A$2:$A$9999=$A19)*(Raw_Data_Daily!$C$2:$C$9999=$C$3)*Raw_Data_Daily!$D$2:$D$9999*Raw_Data_Daily!$Q$2:$Q$9999)/SUMIFS(Raw_Data_Daily!$D:$D, Raw_Data_Daily!$B:$B, "Variant", Raw_Data_Daily!$A:$A, $A19, Raw_Data_Daily!$C:$C, $C$3),""))</f>
        <v>252.77</v>
      </c>
      <c r="AQ19" s="179">
        <f t="shared" si="14"/>
        <v>-0.2382315713</v>
      </c>
      <c r="AR19" s="185">
        <f>IF($A19="","",IFERROR(SUMPRODUCT((Raw_Data_Daily!$B$2:$B$9999="Control")*(Raw_Data_Daily!$A$2:$A$9999=$A19)*(Raw_Data_Daily!$C$2:$C$9999=$C$3)*Raw_Data_Daily!$D$2:$D$9999*Raw_Data_Daily!$R$2:$R$9999)/SUMIFS(Raw_Data_Daily!$D:$D, Raw_Data_Daily!$B:$B, "Control", Raw_Data_Daily!$A:$A, $A19, Raw_Data_Daily!$C:$C, $C$3),""))</f>
        <v>223.04</v>
      </c>
      <c r="AS19" s="185">
        <f>IF($A19="","",IFERROR(SUMPRODUCT((Raw_Data_Daily!$B$2:$B$9999="Variant")*(Raw_Data_Daily!$A$2:$A$9999=$A19)*(Raw_Data_Daily!$C$2:$C$9999=$C$3)*Raw_Data_Daily!$D$2:$D$9999*Raw_Data_Daily!$R$2:$R$9999)/SUMIFS(Raw_Data_Daily!$D:$D, Raw_Data_Daily!$B:$B, "Variant", Raw_Data_Daily!$A:$A, $A19, Raw_Data_Daily!$C:$C, $C$3),""))</f>
        <v>222.55</v>
      </c>
      <c r="AT19" s="179">
        <f t="shared" si="15"/>
        <v>-0.002196915352</v>
      </c>
      <c r="AU19" s="185">
        <f>IF($A19="","",IFERROR(SUMPRODUCT((Raw_Data_Daily!$B$2:$B$9999="Control")*(Raw_Data_Daily!$A$2:$A$9999=$A19)*(Raw_Data_Daily!$C$2:$C$9999=$C$3)*Raw_Data_Daily!$D$2:$D$9999*Raw_Data_Daily!$S$2:$S$9999)/SUMIFS(Raw_Data_Daily!$D:$D, Raw_Data_Daily!$B:$B, "Control", Raw_Data_Daily!$A:$A, $A19, Raw_Data_Daily!$C:$C, $C$3),""))</f>
        <v>108.79</v>
      </c>
      <c r="AV19" s="185">
        <f>IF($A19="","",IFERROR(SUMPRODUCT((Raw_Data_Daily!$B$2:$B$9999="Variant")*(Raw_Data_Daily!$A$2:$A$9999=$A19)*(Raw_Data_Daily!$C$2:$C$9999=$C$3)*Raw_Data_Daily!$D$2:$D$9999*Raw_Data_Daily!$S$2:$S$9999)/SUMIFS(Raw_Data_Daily!$D:$D, Raw_Data_Daily!$B:$B, "Variant", Raw_Data_Daily!$A:$A, $A19, Raw_Data_Daily!$C:$C, $C$3),""))</f>
        <v>30.22</v>
      </c>
      <c r="AW19" s="179">
        <f t="shared" si="16"/>
        <v>-0.7222171155</v>
      </c>
      <c r="AX19" s="185">
        <f>IF($A19="","",IFERROR(SUMPRODUCT((Raw_Data_Daily!$B$2:$B$9999="Control")*(Raw_Data_Daily!$A$2:$A$9999=$A19)*(Raw_Data_Daily!$C$2:$C$9999=$C$3)*Raw_Data_Daily!$D$2:$D$9999*Raw_Data_Daily!$T$2:$T$9999)/SUMIFS(Raw_Data_Daily!$D:$D, Raw_Data_Daily!$B:$B, "Control", Raw_Data_Daily!$A:$A, $A19, Raw_Data_Daily!$C:$C, $C$3),""))</f>
        <v>17.41</v>
      </c>
      <c r="AY19" s="185">
        <f>IF($A19="","",IFERROR(SUMPRODUCT((Raw_Data_Daily!$B$2:$B$9999="Variant")*(Raw_Data_Daily!$A$2:$A$9999=$A19)*(Raw_Data_Daily!$C$2:$C$9999=$C$3)*Raw_Data_Daily!$D$2:$D$9999*Raw_Data_Daily!$T$2:$T$9999)/SUMIFS(Raw_Data_Daily!$D:$D, Raw_Data_Daily!$B:$B, "Variant", Raw_Data_Daily!$A:$A, $A19, Raw_Data_Daily!$C:$C, $C$3),""))</f>
        <v>16.37</v>
      </c>
      <c r="AZ19" s="183">
        <f t="shared" si="17"/>
        <v>-0.05973578403</v>
      </c>
      <c r="BA19" s="185">
        <f>IF($A19="","",IFERROR(SUMPRODUCT((Raw_Data_Daily!$B$2:$B$9999="Control")*(Raw_Data_Daily!$A$2:$A$9999=$A19)*(Raw_Data_Daily!$C$2:$C$9999=$C$3)*Raw_Data_Daily!$D$2:$D$9999*Raw_Data_Daily!$U$2:$U$9999)/SUMIFS(Raw_Data_Daily!$D:$D, Raw_Data_Daily!$B:$B, "Control", Raw_Data_Daily!$A:$A, $A19, Raw_Data_Daily!$C:$C, $C$3),""))</f>
        <v>314.41</v>
      </c>
      <c r="BB19" s="185">
        <f>IF($A19="","",IFERROR(SUMPRODUCT((Raw_Data_Daily!$B$2:$B$9999="Variant")*(Raw_Data_Daily!$A$2:$A$9999=$A19)*(Raw_Data_Daily!$C$2:$C$9999=$C$3)*Raw_Data_Daily!$D$2:$D$9999*Raw_Data_Daily!$U$2:$U$9999)/SUMIFS(Raw_Data_Daily!$D:$D, Raw_Data_Daily!$B:$B, "Variant", Raw_Data_Daily!$A:$A, $A19, Raw_Data_Daily!$C:$C, $C$3),""))</f>
        <v>236.4</v>
      </c>
      <c r="BC19" s="179">
        <f t="shared" si="18"/>
        <v>-0.248115518</v>
      </c>
      <c r="BD19" s="185">
        <f>IF($A19="","",IFERROR(SUMPRODUCT((Raw_Data_Daily!$B$2:$B$9999="Control")*(Raw_Data_Daily!$A$2:$A$9999=$A19)*(Raw_Data_Daily!$C$2:$C$9999=$C$3)*Raw_Data_Daily!$D$2:$D$9999*Raw_Data_Daily!$V$2:$V$9999)/SUMIFS(Raw_Data_Daily!$D:$D, Raw_Data_Daily!$B:$B, "Control", Raw_Data_Daily!$A:$A, $A19, Raw_Data_Daily!$C:$C, $C$3),""))</f>
        <v>311.51</v>
      </c>
      <c r="BE19" s="185">
        <f>IF($A19="","",IFERROR(SUMPRODUCT((Raw_Data_Daily!$B$2:$B$9999="Variant")*(Raw_Data_Daily!$A$2:$A$9999=$A19)*(Raw_Data_Daily!$C$2:$C$9999=$C$3)*Raw_Data_Daily!$D$2:$D$9999*Raw_Data_Daily!$V$2:$V$9999)/SUMIFS(Raw_Data_Daily!$D:$D, Raw_Data_Daily!$B:$B, "Variant", Raw_Data_Daily!$A:$A, $A19, Raw_Data_Daily!$C:$C, $C$3),""))</f>
        <v>257.57</v>
      </c>
      <c r="BF19" s="179">
        <f t="shared" si="19"/>
        <v>-0.17315656</v>
      </c>
      <c r="BG19" s="185">
        <f>IF($A19="","",IFERROR(SUMPRODUCT((Raw_Data_Daily!$B$2:$B$9999="Control")*(Raw_Data_Daily!$A$2:$A$9999=$A19)*(Raw_Data_Daily!$C$2:$C$9999=$C$3)*Raw_Data_Daily!$D$2:$D$9999*(Raw_Data_Daily!$Q$2:$Q$9999-Raw_Data_Daily!$V$2:$V$9999))/SUMIFS(Raw_Data_Daily!$D:$D, Raw_Data_Daily!$B:$B, "Control", Raw_Data_Daily!$A:$A, $A19, Raw_Data_Daily!$C:$C, $C$3),""))</f>
        <v>20.31</v>
      </c>
      <c r="BH19" s="185">
        <f>IF($A19="","",IFERROR(SUMPRODUCT((Raw_Data_Daily!$B$2:$B$9999="Variant")*(Raw_Data_Daily!$A$2:$A$9999=$A19)*(Raw_Data_Daily!$C$2:$C$9999=$C$3)*Raw_Data_Daily!$D$2:$D$9999*(Raw_Data_Daily!$Q$2:$Q$9999-Raw_Data_Daily!$V$2:$V$9999))/SUMIFS(Raw_Data_Daily!$D:$D, Raw_Data_Daily!$B:$B, "Variant", Raw_Data_Daily!$A:$A, $A19, Raw_Data_Daily!$C:$C, $C$3),""))</f>
        <v>-4.8</v>
      </c>
      <c r="BI19" s="179">
        <f t="shared" si="20"/>
        <v>-1.23633678</v>
      </c>
      <c r="BJ19" s="185">
        <f>IF($A19="","",IFERROR(SUMPRODUCT((Raw_Data_Daily!$B$2:$B$9999="Control")*(Raw_Data_Daily!$A$2:$A$9999=$A19)*(Raw_Data_Daily!$C$2:$C$9999=$C$3)*Raw_Data_Daily!$D$2:$D$9999*Raw_Data_Daily!$W$2:$W$9999)/SUMIFS(Raw_Data_Daily!$D:$D, Raw_Data_Daily!$B:$B, "Control", Raw_Data_Daily!$A:$A, $A19, Raw_Data_Daily!$C:$C, $C$3),""))</f>
        <v>4.5286</v>
      </c>
      <c r="BK19" s="185">
        <f>IF($A19="","",IFERROR(SUMPRODUCT((Raw_Data_Daily!$B$2:$B$9999="Variant")*(Raw_Data_Daily!$A$2:$A$9999=$A19)*(Raw_Data_Daily!$C$2:$C$9999=$C$3)*Raw_Data_Daily!$D$2:$D$9999*Raw_Data_Daily!$W$2:$W$9999)/SUMIFS(Raw_Data_Daily!$D:$D, Raw_Data_Daily!$B:$B, "Variant", Raw_Data_Daily!$A:$A, $A19, Raw_Data_Daily!$C:$C, $C$3),""))</f>
        <v>3.66</v>
      </c>
      <c r="BL19" s="179">
        <f t="shared" si="21"/>
        <v>-0.1918032063</v>
      </c>
      <c r="BM19" s="186">
        <f>IF($A19="","",IFERROR(SUMPRODUCT((Raw_Data_Daily!$B$2:$B$9999="Control")*(Raw_Data_Daily!$A$2:$A$9999=$A19)*(Raw_Data_Daily!$C$2:$C$9999=$C$3)*Raw_Data_Daily!$D$2:$D$9999*Raw_Data_Daily!$X$2:$X$9999)/SUMIFS(Raw_Data_Daily!$D:$D, Raw_Data_Daily!$B:$B, "Control", Raw_Data_Daily!$A:$A, $A19, Raw_Data_Daily!$C:$C, $C$3),""))</f>
        <v>5.25</v>
      </c>
      <c r="BN19" s="186">
        <f>IF($A19="","",IFERROR(SUMPRODUCT((Raw_Data_Daily!$B$2:$B$9999="Variant")*(Raw_Data_Daily!$A$2:$A$9999=$A19)*(Raw_Data_Daily!$C$2:$C$9999=$C$3)*Raw_Data_Daily!$D$2:$D$9999*Raw_Data_Daily!$X$2:$X$9999)/SUMIFS(Raw_Data_Daily!$D:$D, Raw_Data_Daily!$B:$B, "Variant", Raw_Data_Daily!$A:$A, $A19, Raw_Data_Daily!$C:$C, $C$3),""))</f>
        <v>6.47</v>
      </c>
      <c r="BO19" s="183">
        <f t="shared" si="22"/>
        <v>0.2323809524</v>
      </c>
      <c r="BP19" s="178">
        <f>IF($A19="","",IFERROR(SUMPRODUCT((Raw_Data_Daily!$B$2:$B$9999="Control")*(Raw_Data_Daily!$A$2:$A$9999=$A19)*(Raw_Data_Daily!$C$2:$C$9999=$C$3)*Raw_Data_Daily!$D$2:$D$9999*Raw_Data_Daily!$Y$2:$Y$9999)/SUMIFS(Raw_Data_Daily!$D:$D, Raw_Data_Daily!$B:$B, "Control", Raw_Data_Daily!$A:$A, $A19, Raw_Data_Daily!$C:$C, $C$3),""))</f>
        <v>373</v>
      </c>
      <c r="BQ19" s="178">
        <f>IF($A19="","",IFERROR(SUMPRODUCT((Raw_Data_Daily!$B$2:$B$9999="Variant")*(Raw_Data_Daily!$A$2:$A$9999=$A19)*(Raw_Data_Daily!$C$2:$C$9999=$C$3)*Raw_Data_Daily!$D$2:$D$9999*Raw_Data_Daily!$Y$2:$Y$9999)/SUMIFS(Raw_Data_Daily!$D:$D, Raw_Data_Daily!$B:$B, "Variant", Raw_Data_Daily!$A:$A, $A19, Raw_Data_Daily!$C:$C, $C$3),""))</f>
        <v>318</v>
      </c>
      <c r="BR19" s="179">
        <f t="shared" si="23"/>
        <v>-0.1474530831</v>
      </c>
      <c r="BS19" s="178">
        <f>IF($A19="","",IFERROR(SUMPRODUCT((Raw_Data_Daily!$B$2:$B$9999="Control")*(Raw_Data_Daily!$A$2:$A$9999=$A19)*(Raw_Data_Daily!$C$2:$C$9999=$C$3)*Raw_Data_Daily!$D$2:$D$9999*Raw_Data_Daily!$Z$2:$Z$9999)/SUMIFS(Raw_Data_Daily!$D:$D, Raw_Data_Daily!$B:$B, "Control", Raw_Data_Daily!$A:$A, $A19, Raw_Data_Daily!$C:$C, $C$3),""))</f>
        <v>646</v>
      </c>
      <c r="BT19" s="178">
        <f>IF($A19="","",IFERROR(SUMPRODUCT((Raw_Data_Daily!$B$2:$B$9999="Variant")*(Raw_Data_Daily!$A$2:$A$9999=$A19)*(Raw_Data_Daily!$C$2:$C$9999=$C$3)*Raw_Data_Daily!$D$2:$D$9999*Raw_Data_Daily!$Z$2:$Z$9999)/SUMIFS(Raw_Data_Daily!$D:$D, Raw_Data_Daily!$B:$B, "Variant", Raw_Data_Daily!$A:$A, $A19, Raw_Data_Daily!$C:$C, $C$3),""))</f>
        <v>530</v>
      </c>
      <c r="BU19" s="179">
        <f t="shared" si="24"/>
        <v>-0.1795665635</v>
      </c>
      <c r="BV19" s="178">
        <f>IF($A19="","",IFERROR(SUMPRODUCT((Raw_Data_Daily!$B$2:$B$9999="Control")*(Raw_Data_Daily!$A$2:$A$9999=$A19)*(Raw_Data_Daily!$C$2:$C$9999=$C$3)*Raw_Data_Daily!$D$2:$D$9999*Raw_Data_Daily!$AA$2:$AA$9999)/SUMIFS(Raw_Data_Daily!$D:$D, Raw_Data_Daily!$B:$B, "Control", Raw_Data_Daily!$A:$A, $A19, Raw_Data_Daily!$C:$C, $C$3),""))</f>
        <v>1502</v>
      </c>
      <c r="BW19" s="178">
        <f>IF($A19="","",IFERROR(SUMPRODUCT((Raw_Data_Daily!$B$2:$B$9999="Variant")*(Raw_Data_Daily!$A$2:$A$9999=$A19)*(Raw_Data_Daily!$C$2:$C$9999=$C$3)*Raw_Data_Daily!$D$2:$D$9999*Raw_Data_Daily!$AA$2:$AA$9999)/SUMIFS(Raw_Data_Daily!$D:$D, Raw_Data_Daily!$B:$B, "Variant", Raw_Data_Daily!$A:$A, $A19, Raw_Data_Daily!$C:$C, $C$3),""))</f>
        <v>1202</v>
      </c>
      <c r="BX19" s="179">
        <f t="shared" si="25"/>
        <v>-0.1997336884</v>
      </c>
      <c r="BY19" s="185">
        <f>IF($A19="","",IFERROR(SUMPRODUCT((Raw_Data_Daily!$B$2:$B$9999="Control")*(Raw_Data_Daily!$A$2:$A$9999=$A19)*(Raw_Data_Daily!$C$2:$C$9999=$C$3)*Raw_Data_Daily!$D$2:$D$9999*Raw_Data_Daily!$AB$2:$AB$9999)/SUMIFS(Raw_Data_Daily!$D:$D, Raw_Data_Daily!$B:$B, "Control", Raw_Data_Daily!$A:$A, $A19, Raw_Data_Daily!$C:$C, $C$3),""))</f>
        <v>55.7549</v>
      </c>
      <c r="BZ19" s="185">
        <f>IF($A19="","",IFERROR(SUMPRODUCT((Raw_Data_Daily!$B$2:$B$9999="Variant")*(Raw_Data_Daily!$A$2:$A$9999=$A19)*(Raw_Data_Daily!$C$2:$C$9999=$C$3)*Raw_Data_Daily!$D$2:$D$9999*Raw_Data_Daily!$AB$2:$AB$9999)/SUMIFS(Raw_Data_Daily!$D:$D, Raw_Data_Daily!$B:$B, "Variant", Raw_Data_Daily!$A:$A, $A19, Raw_Data_Daily!$C:$C, $C$3),""))</f>
        <v>55.6141</v>
      </c>
      <c r="CA19" s="183">
        <f t="shared" si="26"/>
        <v>-0.00252533858</v>
      </c>
      <c r="CB19" s="185">
        <f>IF($A19="","",IFERROR(SUMPRODUCT((Raw_Data_Daily!$B$2:$B$9999="Control")*(Raw_Data_Daily!$A$2:$A$9999=$A19)*(Raw_Data_Daily!$C$2:$C$9999=$C$3)*Raw_Data_Daily!$D$2:$D$9999*Raw_Data_Daily!$AC$2:$AC$9999)/SUMIFS(Raw_Data_Daily!$D:$D, Raw_Data_Daily!$B:$B, "Control", Raw_Data_Daily!$A:$A, $A19, Raw_Data_Daily!$C:$C, $C$3),""))</f>
        <v>0.7926</v>
      </c>
      <c r="CC19" s="185">
        <f>IF($A19="","",IFERROR(SUMPRODUCT((Raw_Data_Daily!$B$2:$B$9999="Variant")*(Raw_Data_Daily!$A$2:$A$9999=$A19)*(Raw_Data_Daily!$C$2:$C$9999=$C$3)*Raw_Data_Daily!$D$2:$D$9999*Raw_Data_Daily!$AC$2:$AC$9999)/SUMIFS(Raw_Data_Daily!$D:$D, Raw_Data_Daily!$B:$B, "Variant", Raw_Data_Daily!$A:$A, $A19, Raw_Data_Daily!$C:$C, $C$3),""))</f>
        <v>0.781</v>
      </c>
      <c r="CD19" s="183">
        <f t="shared" si="27"/>
        <v>-0.01463537724</v>
      </c>
      <c r="CE19" s="185">
        <f>IF($A19="","",IFERROR(SUMPRODUCT((Raw_Data_Daily!$B$2:$B$9999="Control")*(Raw_Data_Daily!$A$2:$A$9999=$A19)*(Raw_Data_Daily!$C$2:$C$9999=$C$3)*Raw_Data_Daily!$D$2:$D$9999*Raw_Data_Daily!$AD$2:$AD$9999)/SUMIFS(Raw_Data_Daily!$D:$D, Raw_Data_Daily!$B:$B, "Control", Raw_Data_Daily!$A:$A, $A19, Raw_Data_Daily!$C:$C, $C$3),""))</f>
        <v>28.96</v>
      </c>
      <c r="CF19" s="185">
        <f>IF($A19="","",IFERROR(SUMPRODUCT((Raw_Data_Daily!$B$2:$B$9999="Variant")*(Raw_Data_Daily!$A$2:$A$9999=$A19)*(Raw_Data_Daily!$C$2:$C$9999=$C$3)*Raw_Data_Daily!$D$2:$D$9999*Raw_Data_Daily!$AD$2:$AD$9999)/SUMIFS(Raw_Data_Daily!$D:$D, Raw_Data_Daily!$B:$B, "Variant", Raw_Data_Daily!$A:$A, $A19, Raw_Data_Daily!$C:$C, $C$3),""))</f>
        <v>27.4</v>
      </c>
      <c r="CG19" s="183">
        <f t="shared" si="28"/>
        <v>-0.05386740331</v>
      </c>
      <c r="CH19" s="185">
        <f>IF($A19="","",IFERROR(SUMPRODUCT((Raw_Data_Daily!$B$2:$B$9999="Control")*(Raw_Data_Daily!$A$2:$A$9999=$A19)*(Raw_Data_Daily!$C$2:$C$9999=$C$3)*Raw_Data_Daily!$D$2:$D$9999*Raw_Data_Daily!$AE$2:$AE$9999)/SUMIFS(Raw_Data_Daily!$D:$D, Raw_Data_Daily!$B:$B, "Control", Raw_Data_Daily!$A:$A, $A19, Raw_Data_Daily!$C:$C, $C$3),""))</f>
        <v>12</v>
      </c>
      <c r="CI19" s="185">
        <f>IF($A19="","",IFERROR(SUMPRODUCT((Raw_Data_Daily!$B$2:$B$9999="Variant")*(Raw_Data_Daily!$A$2:$A$9999=$A19)*(Raw_Data_Daily!$C$2:$C$9999=$C$3)*Raw_Data_Daily!$D$2:$D$9999*Raw_Data_Daily!$AE$2:$AE$9999)/SUMIFS(Raw_Data_Daily!$D:$D, Raw_Data_Daily!$B:$B, "Variant", Raw_Data_Daily!$A:$A, $A19, Raw_Data_Daily!$C:$C, $C$3),""))</f>
        <v>11</v>
      </c>
      <c r="CJ19" s="183">
        <f t="shared" si="29"/>
        <v>-0.08333333333</v>
      </c>
      <c r="CK19" s="185">
        <f>IF($A19="","",IFERROR(SUMPRODUCT((Raw_Data_Daily!$B$2:$B$9999="Control")*(Raw_Data_Daily!$A$2:$A$9999=$A19)*(Raw_Data_Daily!$C$2:$C$9999=$C$3)*Raw_Data_Daily!$D$2:$D$9999*Raw_Data_Daily!$AF$2:$AF$9999)/SUMIFS(Raw_Data_Daily!$D:$D, Raw_Data_Daily!$B:$B, "Control", Raw_Data_Daily!$A:$A, $A19, Raw_Data_Daily!$C:$C, $C$3),""))</f>
        <v>22</v>
      </c>
      <c r="CL19" s="185">
        <f>IF($A19="","",IFERROR(SUMPRODUCT((Raw_Data_Daily!$B$2:$B$9999="Variant")*(Raw_Data_Daily!$A$2:$A$9999=$A19)*(Raw_Data_Daily!$C$2:$C$9999=$C$3)*Raw_Data_Daily!$D$2:$D$9999*Raw_Data_Daily!$AF$2:$AF$9999)/SUMIFS(Raw_Data_Daily!$D:$D, Raw_Data_Daily!$B:$B, "Variant", Raw_Data_Daily!$A:$A, $A19, Raw_Data_Daily!$C:$C, $C$3),""))</f>
        <v>21</v>
      </c>
      <c r="CM19" s="183">
        <f t="shared" si="30"/>
        <v>-0.04545454545</v>
      </c>
      <c r="CN19" s="185">
        <f>IF($A19="","",IFERROR(SUMPRODUCT((Raw_Data_Daily!$B$2:$B$9999="Control")*(Raw_Data_Daily!$A$2:$A$9999=$A19)*(Raw_Data_Daily!$C$2:$C$9999=$C$3)*Raw_Data_Daily!$D$2:$D$9999*Raw_Data_Daily!$AG$2:$AG$9999)/SUMIFS(Raw_Data_Daily!$D:$D, Raw_Data_Daily!$B:$B, "Control", Raw_Data_Daily!$A:$A, $A19, Raw_Data_Daily!$C:$C, $C$3),""))</f>
        <v>40</v>
      </c>
      <c r="CO19" s="185">
        <f>IF($A19="","",IFERROR(SUMPRODUCT((Raw_Data_Daily!$B$2:$B$9999="Variant")*(Raw_Data_Daily!$A$2:$A$9999=$A19)*(Raw_Data_Daily!$C$2:$C$9999=$C$3)*Raw_Data_Daily!$D$2:$D$9999*Raw_Data_Daily!$AG$2:$AG$9999)/SUMIFS(Raw_Data_Daily!$D:$D, Raw_Data_Daily!$B:$B, "Variant", Raw_Data_Daily!$A:$A, $A19, Raw_Data_Daily!$C:$C, $C$3),""))</f>
        <v>39</v>
      </c>
      <c r="CP19" s="183">
        <f t="shared" si="31"/>
        <v>-0.025</v>
      </c>
      <c r="CQ19" s="185">
        <f>IF($A19="","",IFERROR(SUMPRODUCT((Raw_Data_Daily!$B$2:$B$9999="Control")*(Raw_Data_Daily!$A$2:$A$9999=$A19)*(Raw_Data_Daily!$C$2:$C$9999=$C$3)*Raw_Data_Daily!$D$2:$D$9999*Raw_Data_Daily!$AH$2:$AH$9999)/SUMIFS(Raw_Data_Daily!$D:$D, Raw_Data_Daily!$B:$B, "Control", Raw_Data_Daily!$A:$A, $A19, Raw_Data_Daily!$C:$C, $C$3),""))</f>
        <v>59</v>
      </c>
      <c r="CR19" s="185">
        <f>IF($A19="","",IFERROR(SUMPRODUCT((Raw_Data_Daily!$B$2:$B$9999="Variant")*(Raw_Data_Daily!$A$2:$A$9999=$A19)*(Raw_Data_Daily!$C$2:$C$9999=$C$3)*Raw_Data_Daily!$D$2:$D$9999*Raw_Data_Daily!$AH$2:$AH$9999)/SUMIFS(Raw_Data_Daily!$D:$D, Raw_Data_Daily!$B:$B, "Variant", Raw_Data_Daily!$A:$A, $A19, Raw_Data_Daily!$C:$C, $C$3),""))</f>
        <v>56</v>
      </c>
      <c r="CS19" s="183">
        <f t="shared" si="32"/>
        <v>-0.05084745763</v>
      </c>
      <c r="CT19" s="180">
        <f>IF($A19="","",IFERROR(SUMPRODUCT((Raw_Data_Daily!$B$2:$B$9999="Control")*(Raw_Data_Daily!$A$2:$A$9999=$A19)*(Raw_Data_Daily!$C$2:$C$9999=$C$3)*Raw_Data_Daily!$D$2:$D$9999*Raw_Data_Daily!$AI$2:$AI$9999)/SUMIFS(Raw_Data_Daily!$D:$D, Raw_Data_Daily!$B:$B, "Control", Raw_Data_Daily!$A:$A, $A19, Raw_Data_Daily!$C:$C, $C$3),""))</f>
        <v>40.28</v>
      </c>
      <c r="CU19" s="180">
        <f>IF($A19="","",IFERROR(SUMPRODUCT((Raw_Data_Daily!$B$2:$B$9999="Variant")*(Raw_Data_Daily!$A$2:$A$9999=$A19)*(Raw_Data_Daily!$C$2:$C$9999=$C$3)*Raw_Data_Daily!$D$2:$D$9999*Raw_Data_Daily!$AI$2:$AI$9999)/SUMIFS(Raw_Data_Daily!$D:$D, Raw_Data_Daily!$B:$B, "Variant", Raw_Data_Daily!$A:$A, $A19, Raw_Data_Daily!$C:$C, $C$3),""))</f>
        <v>38.48</v>
      </c>
      <c r="CV19" s="187">
        <f t="shared" si="33"/>
        <v>-0.04468718967</v>
      </c>
      <c r="CW19" s="180">
        <f>IF($A19="","",IFERROR(SUMPRODUCT((Raw_Data_Daily!$B$2:$B$9999="Control")*(Raw_Data_Daily!$A$2:$A$9999=$A19)*(Raw_Data_Daily!$C$2:$C$9999=$C$3)*Raw_Data_Daily!$D$2:$D$9999*Raw_Data_Daily!$AJ$2:$AJ$9999)/SUMIFS(Raw_Data_Daily!$D:$D, Raw_Data_Daily!$B:$B, "Control", Raw_Data_Daily!$A:$A, $A19, Raw_Data_Daily!$C:$C, $C$3),""))</f>
        <v>9.84</v>
      </c>
      <c r="CX19" s="180">
        <f>IF($A19="","",IFERROR(SUMPRODUCT((Raw_Data_Daily!$B$2:$B$9999="Variant")*(Raw_Data_Daily!$A$2:$A$9999=$A19)*(Raw_Data_Daily!$C$2:$C$9999=$C$3)*Raw_Data_Daily!$D$2:$D$9999*Raw_Data_Daily!$AJ$2:$AJ$9999)/SUMIFS(Raw_Data_Daily!$D:$D, Raw_Data_Daily!$B:$B, "Variant", Raw_Data_Daily!$A:$A, $A19, Raw_Data_Daily!$C:$C, $C$3),""))</f>
        <v>8.06</v>
      </c>
      <c r="CY19" s="187">
        <f t="shared" si="34"/>
        <v>-0.1808943089</v>
      </c>
      <c r="CZ19" s="180">
        <f>IF($A19="","",IFERROR(SUMPRODUCT((Raw_Data_Daily!$B$2:$B$9999="Control")*(Raw_Data_Daily!$A$2:$A$9999=$A19)*(Raw_Data_Daily!$C$2:$C$9999=$C$3)*Raw_Data_Daily!$D$2:$D$9999*Raw_Data_Daily!$AK$2:$AK$9999)/SUMIFS(Raw_Data_Daily!$D:$D, Raw_Data_Daily!$B:$B, "Control", Raw_Data_Daily!$A:$A, $A19, Raw_Data_Daily!$C:$C, $C$3),""))</f>
        <v>1.72</v>
      </c>
      <c r="DA19" s="180">
        <f>IF($A19="","",IFERROR(SUMPRODUCT((Raw_Data_Daily!$B$2:$B$9999="Variant")*(Raw_Data_Daily!$A$2:$A$9999=$A19)*(Raw_Data_Daily!$C$2:$C$9999=$C$3)*Raw_Data_Daily!$D$2:$D$9999*Raw_Data_Daily!$AK$2:$AK$9999)/SUMIFS(Raw_Data_Daily!$D:$D, Raw_Data_Daily!$B:$B, "Variant", Raw_Data_Daily!$A:$A, $A19, Raw_Data_Daily!$C:$C, $C$3),""))</f>
        <v>1.68</v>
      </c>
      <c r="DB19" s="183">
        <f t="shared" si="35"/>
        <v>-0.02325581395</v>
      </c>
      <c r="DC19" s="186">
        <f>IF($A19="","",IFERROR(SUMPRODUCT((Raw_Data_Daily!$B$2:$B$9999="Control")*(Raw_Data_Daily!$A$2:$A$9999=$A19)*(Raw_Data_Daily!$C$2:$C$9999=$C$3)*Raw_Data_Daily!$D$2:$D$9999*Raw_Data_Daily!$AL$2:$AL$9999)/SUMIFS(Raw_Data_Daily!$D:$D, Raw_Data_Daily!$B:$B, "Control", Raw_Data_Daily!$A:$A, $A19, Raw_Data_Daily!$C:$C, $C$3),""))</f>
        <v>0.1888</v>
      </c>
      <c r="DD19" s="186">
        <f>IF($A19="","",IFERROR(SUMPRODUCT((Raw_Data_Daily!$B$2:$B$9999="Variant")*(Raw_Data_Daily!$A$2:$A$9999=$A19)*(Raw_Data_Daily!$C$2:$C$9999=$C$3)*Raw_Data_Daily!$D$2:$D$9999*Raw_Data_Daily!$AL$2:$AL$9999)/SUMIFS(Raw_Data_Daily!$D:$D, Raw_Data_Daily!$B:$B, "Variant", Raw_Data_Daily!$A:$A, $A19, Raw_Data_Daily!$C:$C, $C$3),""))</f>
        <v>0.2</v>
      </c>
      <c r="DE19" s="187">
        <f t="shared" si="36"/>
        <v>0.0593220339</v>
      </c>
      <c r="DF19" s="188"/>
      <c r="DG19" s="180">
        <f>IF($A19="","",IFERROR(SUMPRODUCT((Raw_Data_Daily!$B$2:$B$9999="Variant")*(Raw_Data_Daily!$A$2:$A$9999=$A19)*(Raw_Data_Daily!$C$2:$C$9999=$C$3)*Raw_Data_Daily!$D$2:$D$9999*Raw_Data_Daily!$AM$2:$AM$9999)/SUMIFS(Raw_Data_Daily!$D:$D, Raw_Data_Daily!$B:$B, "Variant", Raw_Data_Daily!$A:$A, $A19, Raw_Data_Daily!$C:$C, $C$3),""))</f>
        <v>43.4</v>
      </c>
      <c r="DH19" s="189"/>
      <c r="DI19" s="188"/>
      <c r="DJ19" s="180">
        <f>IF($A19="","",IFERROR(SUMPRODUCT((Raw_Data_Daily!$B$2:$B$9999="Variant")*(Raw_Data_Daily!$A$2:$A$9999=$A19)*(Raw_Data_Daily!$C$2:$C$9999=$C$3)*Raw_Data_Daily!$D$2:$D$9999*Raw_Data_Daily!$AN$2:$AN$9999)/SUMIFS(Raw_Data_Daily!$D:$D, Raw_Data_Daily!$B:$B, "Variant", Raw_Data_Daily!$A:$A, $A19, Raw_Data_Daily!$C:$C, $C$3),""))</f>
        <v>43.4</v>
      </c>
      <c r="DK19" s="189"/>
      <c r="DL19" s="188"/>
      <c r="DM19" s="180">
        <f>IF($A19="","",IFERROR(SUMPRODUCT((Raw_Data_Daily!$B$2:$B$9999="Variant")*(Raw_Data_Daily!$A$2:$A$9999=$A19)*(Raw_Data_Daily!$C$2:$C$9999=$C$3)*Raw_Data_Daily!$D$2:$D$9999*Raw_Data_Daily!$AO$2:$AO$9999)/SUMIFS(Raw_Data_Daily!$D:$D, Raw_Data_Daily!$B:$B, "Variant", Raw_Data_Daily!$A:$A, $A19, Raw_Data_Daily!$C:$C, $C$3),""))</f>
        <v>26.51</v>
      </c>
      <c r="DN19" s="189"/>
      <c r="DO19" s="188"/>
      <c r="DP19" s="180">
        <f>IF($A19="","",IFERROR(SUMPRODUCT((Raw_Data_Daily!$B$2:$B$9999="Variant")*(Raw_Data_Daily!$A$2:$A$9999=$A19)*(Raw_Data_Daily!$C$2:$C$9999=$C$3)*Raw_Data_Daily!$D$2:$D$9999*Raw_Data_Daily!$AP$2:$AP$9999)/SUMIFS(Raw_Data_Daily!$D:$D, Raw_Data_Daily!$B:$B, "Variant", Raw_Data_Daily!$A:$A, $A19, Raw_Data_Daily!$C:$C, $C$3),""))</f>
        <v>17.05</v>
      </c>
      <c r="DQ19" s="189"/>
      <c r="DR19" s="186">
        <f>IF($A19="","",IFERROR(SUMPRODUCT((Raw_Data_Daily!$B$2:$B$9999="Control")*(Raw_Data_Daily!$A$2:$A$9999=$A19)*(Raw_Data_Daily!$C$2:$C$9999=$C$3)*Raw_Data_Daily!$D$2:$D$9999*Raw_Data_Daily!$AQ$2:$AQ$9999)/SUMIFS(Raw_Data_Daily!$D:$D, Raw_Data_Daily!$B:$B, "Control", Raw_Data_Daily!$A:$A, $A19, Raw_Data_Daily!$C:$C, $C$3),""))</f>
        <v>16.3369</v>
      </c>
      <c r="DS19" s="186">
        <f>IF($A19="","",IFERROR(SUMPRODUCT((Raw_Data_Daily!$B$2:$B$9999="Variant")*(Raw_Data_Daily!$A$2:$A$9999=$A19)*(Raw_Data_Daily!$C$2:$C$9999=$C$3)*Raw_Data_Daily!$D$2:$D$9999*Raw_Data_Daily!$AQ$2:$AQ$9999)/SUMIFS(Raw_Data_Daily!$D:$D, Raw_Data_Daily!$B:$B, "Variant", Raw_Data_Daily!$A:$A, $A19, Raw_Data_Daily!$C:$C, $C$3),""))</f>
        <v>11.4095</v>
      </c>
      <c r="DT19" s="190">
        <f t="shared" si="37"/>
        <v>-0.3016116889</v>
      </c>
      <c r="DU19" s="186">
        <f>IF($A19="","",IFERROR(SUMPRODUCT((Raw_Data_Daily!$B$2:$B$9999="Control")*(Raw_Data_Daily!$A$2:$A$9999=$A19)*(Raw_Data_Daily!$C$2:$C$9999=$C$3)*Raw_Data_Daily!$D$2:$D$9999*Raw_Data_Daily!$AR$2:$AR$9999)/SUMIFS(Raw_Data_Daily!$D:$D, Raw_Data_Daily!$B:$B, "Control", Raw_Data_Daily!$A:$A, $A19, Raw_Data_Daily!$C:$C, $C$3),""))</f>
        <v>0.2456</v>
      </c>
      <c r="DV19" s="186">
        <f>IF($A19="","",IFERROR(SUMPRODUCT((Raw_Data_Daily!$B$2:$B$9999="Variant")*(Raw_Data_Daily!$A$2:$A$9999=$A19)*(Raw_Data_Daily!$C$2:$C$9999=$C$3)*Raw_Data_Daily!$D$2:$D$9999*Raw_Data_Daily!$AR$2:$AR$9999)/SUMIFS(Raw_Data_Daily!$D:$D, Raw_Data_Daily!$B:$B, "Variant", Raw_Data_Daily!$A:$A, $A19, Raw_Data_Daily!$C:$C, $C$3),""))</f>
        <v>0.2454</v>
      </c>
      <c r="DW19" s="190">
        <f t="shared" si="38"/>
        <v>-0.0008143322476</v>
      </c>
      <c r="DX19" s="186">
        <f>IF($A19="","",IFERROR(SUMPRODUCT((Raw_Data_Daily!$B$2:$B$9999="Control")*(Raw_Data_Daily!$A$2:$A$9999=$A19)*(Raw_Data_Daily!$C$2:$C$9999=$C$3)*Raw_Data_Daily!$D$2:$D$9999*Raw_Data_Daily!$AS$2:$AS$9999)/SUMIFS(Raw_Data_Daily!$D:$D, Raw_Data_Daily!$B:$B, "Control", Raw_Data_Daily!$A:$A, $A19, Raw_Data_Daily!$C:$C, $C$3),""))</f>
        <v>16.0914</v>
      </c>
      <c r="DY19" s="186">
        <f>IF($A19="","",IFERROR(SUMPRODUCT((Raw_Data_Daily!$B$2:$B$9999="Variant")*(Raw_Data_Daily!$A$2:$A$9999=$A19)*(Raw_Data_Daily!$C$2:$C$9999=$C$3)*Raw_Data_Daily!$D$2:$D$9999*Raw_Data_Daily!$AS$2:$AS$9999)/SUMIFS(Raw_Data_Daily!$D:$D, Raw_Data_Daily!$B:$B, "Variant", Raw_Data_Daily!$A:$A, $A19, Raw_Data_Daily!$C:$C, $C$3),""))</f>
        <v>11.1641</v>
      </c>
      <c r="DZ19" s="190">
        <f t="shared" si="39"/>
        <v>-0.3062070423</v>
      </c>
      <c r="EA19" s="186">
        <f>IF($A19="","",IFERROR(SUMPRODUCT((Raw_Data_Daily!$B$2:$B$9999="Control")*(Raw_Data_Daily!$A$2:$A$9999=$A19)*(Raw_Data_Daily!$C$2:$C$9999=$C$3)*Raw_Data_Daily!$D$2:$D$9999*Raw_Data_Daily!$AT$2:$AT$9999)/SUMIFS(Raw_Data_Daily!$D:$D, Raw_Data_Daily!$B:$B, "Control", Raw_Data_Daily!$A:$A, $A19, Raw_Data_Daily!$C:$C, $C$3),""))</f>
        <v>13.2143</v>
      </c>
      <c r="EB19" s="186">
        <f>IF($A19="","",IFERROR(SUMPRODUCT((Raw_Data_Daily!$B$2:$B$9999="Variant")*(Raw_Data_Daily!$A$2:$A$9999=$A19)*(Raw_Data_Daily!$C$2:$C$9999=$C$3)*Raw_Data_Daily!$D$2:$D$9999*Raw_Data_Daily!$AT$2:$AT$9999)/SUMIFS(Raw_Data_Daily!$D:$D, Raw_Data_Daily!$B:$B, "Variant", Raw_Data_Daily!$A:$A, $A19, Raw_Data_Daily!$C:$C, $C$3),""))</f>
        <v>10.5892</v>
      </c>
      <c r="EC19" s="190">
        <f t="shared" si="40"/>
        <v>-0.1986560015</v>
      </c>
      <c r="ED19" s="186">
        <f>IF($A19="","",IFERROR(SUMPRODUCT((Raw_Data_Daily!$B$2:$B$9999="Control")*(Raw_Data_Daily!$A$2:$A$9999=$A19)*(Raw_Data_Daily!$C$2:$C$9999=$C$3)*Raw_Data_Daily!$D$2:$D$9999*(Raw_Data_Daily!$AQ$2:$AQ$9999-Raw_Data_Daily!$AT$2:$AT$9999))/SUMIFS(Raw_Data_Daily!$D:$D, Raw_Data_Daily!$B:$B, "Control", Raw_Data_Daily!$A:$A, $A19, Raw_Data_Daily!$C:$C, $C$3),""))</f>
        <v>3.1226</v>
      </c>
      <c r="EE19" s="186">
        <f>IF($A19="","",IFERROR(SUMPRODUCT((Raw_Data_Daily!$B$2:$B$9999="Variant")*(Raw_Data_Daily!$A$2:$A$9999=$A19)*(Raw_Data_Daily!$C$2:$C$9999=$C$3)*Raw_Data_Daily!$D$2:$D$9999*(Raw_Data_Daily!$AQ$2:$AQ$9999-Raw_Data_Daily!$AT$2:$AT$9999))/SUMIFS(Raw_Data_Daily!$D:$D, Raw_Data_Daily!$B:$B, "Variant", Raw_Data_Daily!$A:$A, $A19, Raw_Data_Daily!$C:$C, $C$3),""))</f>
        <v>0.8203</v>
      </c>
      <c r="EF19" s="190">
        <f t="shared" si="41"/>
        <v>-0.7373022481</v>
      </c>
      <c r="EG19" s="186">
        <f>IF($A19="","",IFERROR(SUMPRODUCT((Raw_Data_Daily!$B$2:$B$9999="Control")*(Raw_Data_Daily!$A$2:$A$9999=$A19)*(Raw_Data_Daily!$C$2:$C$9999=$C$3)*Raw_Data_Daily!$D$2:$D$9999*Raw_Data_Daily!$AU$2:$AU$9999)/SUMIFS(Raw_Data_Daily!$D:$D, Raw_Data_Daily!$B:$B, "Control", Raw_Data_Daily!$A:$A, $A19, Raw_Data_Daily!$C:$C, $C$3),""))</f>
        <v>0.1921</v>
      </c>
      <c r="EH19" s="186">
        <f>IF($A19="","",IFERROR(SUMPRODUCT((Raw_Data_Daily!$B$2:$B$9999="Variant")*(Raw_Data_Daily!$A$2:$A$9999=$A19)*(Raw_Data_Daily!$C$2:$C$9999=$C$3)*Raw_Data_Daily!$D$2:$D$9999*Raw_Data_Daily!$AU$2:$AU$9999)/SUMIFS(Raw_Data_Daily!$D:$D, Raw_Data_Daily!$B:$B, "Variant", Raw_Data_Daily!$A:$A, $A19, Raw_Data_Daily!$C:$C, $C$3),""))</f>
        <v>0.1505</v>
      </c>
      <c r="EI19" s="190">
        <f t="shared" si="42"/>
        <v>-0.2165538782</v>
      </c>
    </row>
    <row r="20" ht="15.75" customHeight="1">
      <c r="A20" s="177">
        <v>46243.0</v>
      </c>
      <c r="B20" s="178">
        <f>IF($A20="","",SUMIFS(Raw_Data_Daily!$D:$D, Raw_Data_Daily!$B:$B, "Control", Raw_Data_Daily!$A:$A, $A20, Raw_Data_Daily!$C:$C, $C$3))</f>
        <v>3330</v>
      </c>
      <c r="C20" s="178">
        <f>IF($A20="","",SUMIFS(Raw_Data_Daily!$D:$D, Raw_Data_Daily!$B:$B, "Variant", Raw_Data_Daily!$A:$A, $A20, Raw_Data_Daily!$C:$C, $C$3))</f>
        <v>3102</v>
      </c>
      <c r="D20" s="179">
        <f t="shared" si="1"/>
        <v>-0.06846846847</v>
      </c>
      <c r="E20" s="180">
        <f>IF($A20="","",IFERROR(SUMPRODUCT((Raw_Data_Daily!$B$2:$B$9999="Control")*(Raw_Data_Daily!$A$2:$A$9999=$A20)*(Raw_Data_Daily!$C$2:$C$9999=$C$3)*Raw_Data_Daily!$D$2:$D$9999*Raw_Data_Daily!$E$2:$E$9999)/SUMIFS(Raw_Data_Daily!$D:$D, Raw_Data_Daily!$B:$B, "Control", Raw_Data_Daily!$A:$A, $A20, Raw_Data_Daily!$C:$C, $C$3),""))</f>
        <v>12.25</v>
      </c>
      <c r="F20" s="180">
        <f>IF($A20="","",IFERROR(SUMPRODUCT((Raw_Data_Daily!$B$2:$B$9999="Variant")*(Raw_Data_Daily!$A$2:$A$9999=$A20)*(Raw_Data_Daily!$C$2:$C$9999=$C$3)*Raw_Data_Daily!$D$2:$D$9999*Raw_Data_Daily!$E$2:$E$9999)/SUMIFS(Raw_Data_Daily!$D:$D, Raw_Data_Daily!$B:$B, "Variant", Raw_Data_Daily!$A:$A, $A20, Raw_Data_Daily!$C:$C, $C$3),""))</f>
        <v>11.41</v>
      </c>
      <c r="G20" s="179">
        <f t="shared" si="2"/>
        <v>-0.06857142857</v>
      </c>
      <c r="H20" s="182">
        <f>IF($A20="","",SUMIFS(Raw_Data_Daily!$F:$F, Raw_Data_Daily!$B:$B, "Control", Raw_Data_Daily!$A:$A, $A20, Raw_Data_Daily!$C:$C, $C$3))</f>
        <v>1034.8</v>
      </c>
      <c r="I20" s="182">
        <f>IF($A20="","",SUMIFS(Raw_Data_Daily!$F:$F, Raw_Data_Daily!$B:$B, "Variant", Raw_Data_Daily!$A:$A, $A20, Raw_Data_Daily!$C:$C, $C$3))</f>
        <v>477.66</v>
      </c>
      <c r="J20" s="183">
        <f t="shared" si="3"/>
        <v>-0.5384035562</v>
      </c>
      <c r="K20" s="184">
        <f>IF($A20="","",IFERROR(SUMIFS(Raw_Data_Daily!$F:$F, Raw_Data_Daily!$B:$B, "Control", Raw_Data_Daily!$A:$A, $A20, Raw_Data_Daily!$C:$C, $C$3)/SUMIFS(Raw_Data_Daily!$D:$D, Raw_Data_Daily!$B:$B, "Control", Raw_Data_Daily!$A:$A, $A20, Raw_Data_Daily!$C:$C, $C$3),""))</f>
        <v>0.3107507508</v>
      </c>
      <c r="L20" s="184">
        <f>IF($A20="","",IFERROR(SUMIFS(Raw_Data_Daily!$F:$F, Raw_Data_Daily!$B:$B, "Variant", Raw_Data_Daily!$A:$A, $A20, Raw_Data_Daily!$C:$C, $C$3)/SUMIFS(Raw_Data_Daily!$D:$D, Raw_Data_Daily!$B:$B, "Variant", Raw_Data_Daily!$A:$A, $A20, Raw_Data_Daily!$C:$C, $C$3),""))</f>
        <v>0.1539845261</v>
      </c>
      <c r="M20" s="183">
        <f t="shared" si="4"/>
        <v>-0.5044757712</v>
      </c>
      <c r="N20" s="180">
        <f>IF($A20="","",IFERROR(SUMPRODUCT((Raw_Data_Daily!$B$2:$B$9999="Control")*(Raw_Data_Daily!$A$2:$A$9999=$A20)*(Raw_Data_Daily!$C$2:$C$9999=$C$3)*Raw_Data_Daily!$D$2:$D$9999*Raw_Data_Daily!$H$2:$H$9999/100)/SUMIFS(Raw_Data_Daily!$D:$D, Raw_Data_Daily!$B:$B, "Control", Raw_Data_Daily!$A:$A, $A20, Raw_Data_Daily!$C:$C, $C$3)*100,""))</f>
        <v>3.99</v>
      </c>
      <c r="O20" s="180">
        <f>IF($A20="","",IFERROR(SUMPRODUCT((Raw_Data_Daily!$B$2:$B$9999="Variant")*(Raw_Data_Daily!$A$2:$A$9999=$A20)*(Raw_Data_Daily!$C$2:$C$9999=$C$3)*Raw_Data_Daily!$D$2:$D$9999*Raw_Data_Daily!$H$2:$H$9999/100)/SUMIFS(Raw_Data_Daily!$D:$D, Raw_Data_Daily!$B:$B, "Variant", Raw_Data_Daily!$A:$A, $A20, Raw_Data_Daily!$C:$C, $C$3)*100,""))</f>
        <v>3.32</v>
      </c>
      <c r="P20" s="183">
        <f t="shared" si="5"/>
        <v>-0.1679197995</v>
      </c>
      <c r="Q20" s="184">
        <f>IF($A20="","",IFERROR(SUMIFS(Raw_Data_Daily!$F:$F, Raw_Data_Daily!$B:$B, "Control", Raw_Data_Daily!$A:$A, $A20, Raw_Data_Daily!$C:$C, $C$3)/SUMPRODUCT((Raw_Data_Daily!$B$2:$B$9999="Control")*(Raw_Data_Daily!$A$2:$A$9999=$A20)*(Raw_Data_Daily!$C$2:$C$9999=$C$3)*Raw_Data_Daily!$D$2:$D$9999*Raw_Data_Daily!$H$2:$H$9999/100),""))</f>
        <v>7.788239367</v>
      </c>
      <c r="R20" s="184">
        <f>IF($A20="","",IFERROR(SUMIFS(Raw_Data_Daily!$F:$F, Raw_Data_Daily!$B:$B, "Variant", Raw_Data_Daily!$A:$A, $A20, Raw_Data_Daily!$C:$C, $C$3)/SUMPRODUCT((Raw_Data_Daily!$B$2:$B$9999="Variant")*(Raw_Data_Daily!$A$2:$A$9999=$A20)*(Raw_Data_Daily!$C$2:$C$9999=$C$3)*Raw_Data_Daily!$D$2:$D$9999*Raw_Data_Daily!$H$2:$H$9999/100),""))</f>
        <v>4.638088136</v>
      </c>
      <c r="S20" s="183">
        <f t="shared" si="6"/>
        <v>-0.4044753997</v>
      </c>
      <c r="T20" s="185">
        <f>IF($A20="","",IFERROR(SUMPRODUCT((Raw_Data_Daily!$B$2:$B$9999="Control")*(Raw_Data_Daily!$A$2:$A$9999=$A20)*(Raw_Data_Daily!$C$2:$C$9999=$C$3)*Raw_Data_Daily!$D$2:$D$9999*Raw_Data_Daily!$J$2:$J$9999)/SUMIFS(Raw_Data_Daily!$D:$D, Raw_Data_Daily!$B:$B, "Control", Raw_Data_Daily!$A:$A, $A20, Raw_Data_Daily!$C:$C, $C$3),""))</f>
        <v>110.82</v>
      </c>
      <c r="U20" s="185">
        <f>IF($A20="","",IFERROR(SUMPRODUCT((Raw_Data_Daily!$B$2:$B$9999="Variant")*(Raw_Data_Daily!$A$2:$A$9999=$A20)*(Raw_Data_Daily!$C$2:$C$9999=$C$3)*Raw_Data_Daily!$D$2:$D$9999*Raw_Data_Daily!$J$2:$J$9999)/SUMIFS(Raw_Data_Daily!$D:$D, Raw_Data_Daily!$B:$B, "Variant", Raw_Data_Daily!$A:$A, $A20, Raw_Data_Daily!$C:$C, $C$3),""))</f>
        <v>110.64</v>
      </c>
      <c r="V20" s="183">
        <f t="shared" si="7"/>
        <v>-0.00162425555</v>
      </c>
      <c r="W20" s="185">
        <f>IF($A20="","",IFERROR(SUMPRODUCT((Raw_Data_Daily!$B$2:$B$9999="Control")*(Raw_Data_Daily!$A$2:$A$9999=$A20)*(Raw_Data_Daily!$C$2:$C$9999=$C$3)*Raw_Data_Daily!$D$2:$D$9999*Raw_Data_Daily!$K$2:$K$9999)/SUMIFS(Raw_Data_Daily!$D:$D, Raw_Data_Daily!$B:$B, "Control", Raw_Data_Daily!$A:$A, $A20, Raw_Data_Daily!$C:$C, $C$3),""))</f>
        <v>71.11</v>
      </c>
      <c r="X20" s="185">
        <f>IF($A20="","",IFERROR(SUMPRODUCT((Raw_Data_Daily!$B$2:$B$9999="Variant")*(Raw_Data_Daily!$A$2:$A$9999=$A20)*(Raw_Data_Daily!$C$2:$C$9999=$C$3)*Raw_Data_Daily!$D$2:$D$9999*Raw_Data_Daily!$K$2:$K$9999)/SUMIFS(Raw_Data_Daily!$D:$D, Raw_Data_Daily!$B:$B, "Variant", Raw_Data_Daily!$A:$A, $A20, Raw_Data_Daily!$C:$C, $C$3),""))</f>
        <v>70.55</v>
      </c>
      <c r="Y20" s="183">
        <f t="shared" si="8"/>
        <v>-0.007875123049</v>
      </c>
      <c r="Z20" s="185">
        <f>IF($A20="","",IFERROR(SUMPRODUCT((Raw_Data_Daily!$B$2:$B$9999="Control")*(Raw_Data_Daily!$A$2:$A$9999=$A20)*(Raw_Data_Daily!$C$2:$C$9999=$C$3)*Raw_Data_Daily!$D$2:$D$9999*Raw_Data_Daily!$L$2:$L$9999)/SUMIFS(Raw_Data_Daily!$D:$D, Raw_Data_Daily!$B:$B, "Control", Raw_Data_Daily!$A:$A, $A20, Raw_Data_Daily!$C:$C, $C$3),""))</f>
        <v>53.28</v>
      </c>
      <c r="AA20" s="185">
        <f>IF($A20="","",IFERROR(SUMPRODUCT((Raw_Data_Daily!$B$2:$B$9999="Variant")*(Raw_Data_Daily!$A$2:$A$9999=$A20)*(Raw_Data_Daily!$C$2:$C$9999=$C$3)*Raw_Data_Daily!$D$2:$D$9999*Raw_Data_Daily!$L$2:$L$9999)/SUMIFS(Raw_Data_Daily!$D:$D, Raw_Data_Daily!$B:$B, "Variant", Raw_Data_Daily!$A:$A, $A20, Raw_Data_Daily!$C:$C, $C$3),""))</f>
        <v>52.01</v>
      </c>
      <c r="AB20" s="183">
        <f t="shared" si="9"/>
        <v>-0.02383633634</v>
      </c>
      <c r="AC20" s="186">
        <f>IF($A20="","",IFERROR(SUMPRODUCT((Raw_Data_Daily!$B$2:$B$9999="Control")*(Raw_Data_Daily!$A$2:$A$9999=$A20)*(Raw_Data_Daily!$C$2:$C$9999=$C$3)*Raw_Data_Daily!$D$2:$D$9999*Raw_Data_Daily!$M$2:$M$9999)/SUMIFS(Raw_Data_Daily!$D:$D, Raw_Data_Daily!$B:$B, "Control", Raw_Data_Daily!$A:$A, $A20, Raw_Data_Daily!$C:$C, $C$3),""))</f>
        <v>0.7493</v>
      </c>
      <c r="AD20" s="186">
        <f>IF($A20="","",IFERROR(SUMPRODUCT((Raw_Data_Daily!$B$2:$B$9999="Variant")*(Raw_Data_Daily!$A$2:$A$9999=$A20)*(Raw_Data_Daily!$C$2:$C$9999=$C$3)*Raw_Data_Daily!$D$2:$D$9999*Raw_Data_Daily!$M$2:$M$9999)/SUMIFS(Raw_Data_Daily!$D:$D, Raw_Data_Daily!$B:$B, "Variant", Raw_Data_Daily!$A:$A, $A20, Raw_Data_Daily!$C:$C, $C$3),""))</f>
        <v>0.7372</v>
      </c>
      <c r="AE20" s="187">
        <f t="shared" si="10"/>
        <v>-0.01614840518</v>
      </c>
      <c r="AF20" s="186">
        <f>IF($A20="","",IFERROR(SUMPRODUCT((Raw_Data_Daily!$B$2:$B$9999="Control")*(Raw_Data_Daily!$A$2:$A$9999=$A20)*(Raw_Data_Daily!$C$2:$C$9999=$C$3)*Raw_Data_Daily!$D$2:$D$9999*Raw_Data_Daily!$N$2:$N$9999)/SUMIFS(Raw_Data_Daily!$D:$D, Raw_Data_Daily!$B:$B, "Control", Raw_Data_Daily!$A:$A, $A20, Raw_Data_Daily!$C:$C, $C$3),""))</f>
        <v>0.3546</v>
      </c>
      <c r="AG20" s="186">
        <f>IF($A20="","",IFERROR(SUMPRODUCT((Raw_Data_Daily!$B$2:$B$9999="Variant")*(Raw_Data_Daily!$A$2:$A$9999=$A20)*(Raw_Data_Daily!$C$2:$C$9999=$C$3)*Raw_Data_Daily!$D$2:$D$9999*Raw_Data_Daily!$N$2:$N$9999)/SUMIFS(Raw_Data_Daily!$D:$D, Raw_Data_Daily!$B:$B, "Variant", Raw_Data_Daily!$A:$A, $A20, Raw_Data_Daily!$C:$C, $C$3),""))</f>
        <v>0.364</v>
      </c>
      <c r="AH20" s="187">
        <f t="shared" si="11"/>
        <v>0.02650874224</v>
      </c>
      <c r="AI20" s="186">
        <f>IF($A20="","",IFERROR(SUMPRODUCT((Raw_Data_Daily!$B$2:$B$9999="Control")*(Raw_Data_Daily!$A$2:$A$9999=$A20)*(Raw_Data_Daily!$C$2:$C$9999=$C$3)*Raw_Data_Daily!$D$2:$D$9999*Raw_Data_Daily!$O$2:$O$9999)/SUMIFS(Raw_Data_Daily!$D:$D, Raw_Data_Daily!$B:$B, "Control", Raw_Data_Daily!$A:$A, $A20, Raw_Data_Daily!$C:$C, $C$3),""))</f>
        <v>0.2306</v>
      </c>
      <c r="AJ20" s="186">
        <f>IF($A20="","",IFERROR(SUMPRODUCT((Raw_Data_Daily!$B$2:$B$9999="Variant")*(Raw_Data_Daily!$A$2:$A$9999=$A20)*(Raw_Data_Daily!$C$2:$C$9999=$C$3)*Raw_Data_Daily!$D$2:$D$9999*Raw_Data_Daily!$O$2:$O$9999)/SUMIFS(Raw_Data_Daily!$D:$D, Raw_Data_Daily!$B:$B, "Variant", Raw_Data_Daily!$A:$A, $A20, Raw_Data_Daily!$C:$C, $C$3),""))</f>
        <v>0.2321</v>
      </c>
      <c r="AK20" s="183">
        <f t="shared" si="12"/>
        <v>0.006504770165</v>
      </c>
      <c r="AL20" s="185">
        <f>IF($A20="","",IFERROR(SUMPRODUCT((Raw_Data_Daily!$B$2:$B$9999="Control")*(Raw_Data_Daily!$A$2:$A$9999=$A20)*(Raw_Data_Daily!$C$2:$C$9999=$C$3)*Raw_Data_Daily!$D$2:$D$9999*Raw_Data_Daily!$P$2:$P$9999)/SUMIFS(Raw_Data_Daily!$D:$D, Raw_Data_Daily!$B:$B, "Control", Raw_Data_Daily!$A:$A, $A20, Raw_Data_Daily!$C:$C, $C$3),""))</f>
        <v>1.3346</v>
      </c>
      <c r="AM20" s="185">
        <f>IF($A20="","",IFERROR(SUMPRODUCT((Raw_Data_Daily!$B$2:$B$9999="Variant")*(Raw_Data_Daily!$A$2:$A$9999=$A20)*(Raw_Data_Daily!$C$2:$C$9999=$C$3)*Raw_Data_Daily!$D$2:$D$9999*Raw_Data_Daily!$P$2:$P$9999)/SUMIFS(Raw_Data_Daily!$D:$D, Raw_Data_Daily!$B:$B, "Variant", Raw_Data_Daily!$A:$A, $A20, Raw_Data_Daily!$C:$C, $C$3),""))</f>
        <v>1.3565</v>
      </c>
      <c r="AN20" s="183">
        <f t="shared" si="13"/>
        <v>0.01640941106</v>
      </c>
      <c r="AO20" s="185">
        <f>IF($A20="","",IFERROR(SUMPRODUCT((Raw_Data_Daily!$B$2:$B$9999="Control")*(Raw_Data_Daily!$A$2:$A$9999=$A20)*(Raw_Data_Daily!$C$2:$C$9999=$C$3)*Raw_Data_Daily!$D$2:$D$9999*Raw_Data_Daily!$Q$2:$Q$9999)/SUMIFS(Raw_Data_Daily!$D:$D, Raw_Data_Daily!$B:$B, "Control", Raw_Data_Daily!$A:$A, $A20, Raw_Data_Daily!$C:$C, $C$3),""))</f>
        <v>281.09</v>
      </c>
      <c r="AP20" s="185">
        <f>IF($A20="","",IFERROR(SUMPRODUCT((Raw_Data_Daily!$B$2:$B$9999="Variant")*(Raw_Data_Daily!$A$2:$A$9999=$A20)*(Raw_Data_Daily!$C$2:$C$9999=$C$3)*Raw_Data_Daily!$D$2:$D$9999*Raw_Data_Daily!$Q$2:$Q$9999)/SUMIFS(Raw_Data_Daily!$D:$D, Raw_Data_Daily!$B:$B, "Variant", Raw_Data_Daily!$A:$A, $A20, Raw_Data_Daily!$C:$C, $C$3),""))</f>
        <v>248.34</v>
      </c>
      <c r="AQ20" s="179">
        <f t="shared" si="14"/>
        <v>-0.1165107261</v>
      </c>
      <c r="AR20" s="185">
        <f>IF($A20="","",IFERROR(SUMPRODUCT((Raw_Data_Daily!$B$2:$B$9999="Control")*(Raw_Data_Daily!$A$2:$A$9999=$A20)*(Raw_Data_Daily!$C$2:$C$9999=$C$3)*Raw_Data_Daily!$D$2:$D$9999*Raw_Data_Daily!$R$2:$R$9999)/SUMIFS(Raw_Data_Daily!$D:$D, Raw_Data_Daily!$B:$B, "Control", Raw_Data_Daily!$A:$A, $A20, Raw_Data_Daily!$C:$C, $C$3),""))</f>
        <v>171.26</v>
      </c>
      <c r="AS20" s="185">
        <f>IF($A20="","",IFERROR(SUMPRODUCT((Raw_Data_Daily!$B$2:$B$9999="Variant")*(Raw_Data_Daily!$A$2:$A$9999=$A20)*(Raw_Data_Daily!$C$2:$C$9999=$C$3)*Raw_Data_Daily!$D$2:$D$9999*Raw_Data_Daily!$R$2:$R$9999)/SUMIFS(Raw_Data_Daily!$D:$D, Raw_Data_Daily!$B:$B, "Variant", Raw_Data_Daily!$A:$A, $A20, Raw_Data_Daily!$C:$C, $C$3),""))</f>
        <v>217.96</v>
      </c>
      <c r="AT20" s="179">
        <f t="shared" si="15"/>
        <v>0.2726848067</v>
      </c>
      <c r="AU20" s="185">
        <f>IF($A20="","",IFERROR(SUMPRODUCT((Raw_Data_Daily!$B$2:$B$9999="Control")*(Raw_Data_Daily!$A$2:$A$9999=$A20)*(Raw_Data_Daily!$C$2:$C$9999=$C$3)*Raw_Data_Daily!$D$2:$D$9999*Raw_Data_Daily!$S$2:$S$9999)/SUMIFS(Raw_Data_Daily!$D:$D, Raw_Data_Daily!$B:$B, "Control", Raw_Data_Daily!$A:$A, $A20, Raw_Data_Daily!$C:$C, $C$3),""))</f>
        <v>109.83</v>
      </c>
      <c r="AV20" s="185">
        <f>IF($A20="","",IFERROR(SUMPRODUCT((Raw_Data_Daily!$B$2:$B$9999="Variant")*(Raw_Data_Daily!$A$2:$A$9999=$A20)*(Raw_Data_Daily!$C$2:$C$9999=$C$3)*Raw_Data_Daily!$D$2:$D$9999*Raw_Data_Daily!$S$2:$S$9999)/SUMIFS(Raw_Data_Daily!$D:$D, Raw_Data_Daily!$B:$B, "Variant", Raw_Data_Daily!$A:$A, $A20, Raw_Data_Daily!$C:$C, $C$3),""))</f>
        <v>30.38</v>
      </c>
      <c r="AW20" s="179">
        <f t="shared" si="16"/>
        <v>-0.7233906947</v>
      </c>
      <c r="AX20" s="185">
        <f>IF($A20="","",IFERROR(SUMPRODUCT((Raw_Data_Daily!$B$2:$B$9999="Control")*(Raw_Data_Daily!$A$2:$A$9999=$A20)*(Raw_Data_Daily!$C$2:$C$9999=$C$3)*Raw_Data_Daily!$D$2:$D$9999*Raw_Data_Daily!$T$2:$T$9999)/SUMIFS(Raw_Data_Daily!$D:$D, Raw_Data_Daily!$B:$B, "Control", Raw_Data_Daily!$A:$A, $A20, Raw_Data_Daily!$C:$C, $C$3),""))</f>
        <v>25.07</v>
      </c>
      <c r="AY20" s="185">
        <f>IF($A20="","",IFERROR(SUMPRODUCT((Raw_Data_Daily!$B$2:$B$9999="Variant")*(Raw_Data_Daily!$A$2:$A$9999=$A20)*(Raw_Data_Daily!$C$2:$C$9999=$C$3)*Raw_Data_Daily!$D$2:$D$9999*Raw_Data_Daily!$T$2:$T$9999)/SUMIFS(Raw_Data_Daily!$D:$D, Raw_Data_Daily!$B:$B, "Variant", Raw_Data_Daily!$A:$A, $A20, Raw_Data_Daily!$C:$C, $C$3),""))</f>
        <v>13.39</v>
      </c>
      <c r="AZ20" s="183">
        <f t="shared" si="17"/>
        <v>-0.4658954926</v>
      </c>
      <c r="BA20" s="185">
        <f>IF($A20="","",IFERROR(SUMPRODUCT((Raw_Data_Daily!$B$2:$B$9999="Control")*(Raw_Data_Daily!$A$2:$A$9999=$A20)*(Raw_Data_Daily!$C$2:$C$9999=$C$3)*Raw_Data_Daily!$D$2:$D$9999*Raw_Data_Daily!$U$2:$U$9999)/SUMIFS(Raw_Data_Daily!$D:$D, Raw_Data_Daily!$B:$B, "Control", Raw_Data_Daily!$A:$A, $A20, Raw_Data_Daily!$C:$C, $C$3),""))</f>
        <v>256.02</v>
      </c>
      <c r="BB20" s="185">
        <f>IF($A20="","",IFERROR(SUMPRODUCT((Raw_Data_Daily!$B$2:$B$9999="Variant")*(Raw_Data_Daily!$A$2:$A$9999=$A20)*(Raw_Data_Daily!$C$2:$C$9999=$C$3)*Raw_Data_Daily!$D$2:$D$9999*Raw_Data_Daily!$U$2:$U$9999)/SUMIFS(Raw_Data_Daily!$D:$D, Raw_Data_Daily!$B:$B, "Variant", Raw_Data_Daily!$A:$A, $A20, Raw_Data_Daily!$C:$C, $C$3),""))</f>
        <v>234.94</v>
      </c>
      <c r="BC20" s="179">
        <f t="shared" si="18"/>
        <v>-0.0823373174</v>
      </c>
      <c r="BD20" s="185">
        <f>IF($A20="","",IFERROR(SUMPRODUCT((Raw_Data_Daily!$B$2:$B$9999="Control")*(Raw_Data_Daily!$A$2:$A$9999=$A20)*(Raw_Data_Daily!$C$2:$C$9999=$C$3)*Raw_Data_Daily!$D$2:$D$9999*Raw_Data_Daily!$V$2:$V$9999)/SUMIFS(Raw_Data_Daily!$D:$D, Raw_Data_Daily!$B:$B, "Control", Raw_Data_Daily!$A:$A, $A20, Raw_Data_Daily!$C:$C, $C$3),""))</f>
        <v>295.62</v>
      </c>
      <c r="BE20" s="185">
        <f>IF($A20="","",IFERROR(SUMPRODUCT((Raw_Data_Daily!$B$2:$B$9999="Variant")*(Raw_Data_Daily!$A$2:$A$9999=$A20)*(Raw_Data_Daily!$C$2:$C$9999=$C$3)*Raw_Data_Daily!$D$2:$D$9999*Raw_Data_Daily!$V$2:$V$9999)/SUMIFS(Raw_Data_Daily!$D:$D, Raw_Data_Daily!$B:$B, "Variant", Raw_Data_Daily!$A:$A, $A20, Raw_Data_Daily!$C:$C, $C$3),""))</f>
        <v>247.84</v>
      </c>
      <c r="BF20" s="179">
        <f t="shared" si="19"/>
        <v>-0.1616264123</v>
      </c>
      <c r="BG20" s="185">
        <f>IF($A20="","",IFERROR(SUMPRODUCT((Raw_Data_Daily!$B$2:$B$9999="Control")*(Raw_Data_Daily!$A$2:$A$9999=$A20)*(Raw_Data_Daily!$C$2:$C$9999=$C$3)*Raw_Data_Daily!$D$2:$D$9999*(Raw_Data_Daily!$Q$2:$Q$9999-Raw_Data_Daily!$V$2:$V$9999))/SUMIFS(Raw_Data_Daily!$D:$D, Raw_Data_Daily!$B:$B, "Control", Raw_Data_Daily!$A:$A, $A20, Raw_Data_Daily!$C:$C, $C$3),""))</f>
        <v>-14.53</v>
      </c>
      <c r="BH20" s="185">
        <f>IF($A20="","",IFERROR(SUMPRODUCT((Raw_Data_Daily!$B$2:$B$9999="Variant")*(Raw_Data_Daily!$A$2:$A$9999=$A20)*(Raw_Data_Daily!$C$2:$C$9999=$C$3)*Raw_Data_Daily!$D$2:$D$9999*(Raw_Data_Daily!$Q$2:$Q$9999-Raw_Data_Daily!$V$2:$V$9999))/SUMIFS(Raw_Data_Daily!$D:$D, Raw_Data_Daily!$B:$B, "Variant", Raw_Data_Daily!$A:$A, $A20, Raw_Data_Daily!$C:$C, $C$3),""))</f>
        <v>0.5</v>
      </c>
      <c r="BI20" s="179">
        <f t="shared" si="20"/>
        <v>1.034411562</v>
      </c>
      <c r="BJ20" s="185">
        <f>IF($A20="","",IFERROR(SUMPRODUCT((Raw_Data_Daily!$B$2:$B$9999="Control")*(Raw_Data_Daily!$A$2:$A$9999=$A20)*(Raw_Data_Daily!$C$2:$C$9999=$C$3)*Raw_Data_Daily!$D$2:$D$9999*Raw_Data_Daily!$W$2:$W$9999)/SUMIFS(Raw_Data_Daily!$D:$D, Raw_Data_Daily!$B:$B, "Control", Raw_Data_Daily!$A:$A, $A20, Raw_Data_Daily!$C:$C, $C$3),""))</f>
        <v>4.1572</v>
      </c>
      <c r="BK20" s="185">
        <f>IF($A20="","",IFERROR(SUMPRODUCT((Raw_Data_Daily!$B$2:$B$9999="Variant")*(Raw_Data_Daily!$A$2:$A$9999=$A20)*(Raw_Data_Daily!$C$2:$C$9999=$C$3)*Raw_Data_Daily!$D$2:$D$9999*Raw_Data_Daily!$W$2:$W$9999)/SUMIFS(Raw_Data_Daily!$D:$D, Raw_Data_Daily!$B:$B, "Variant", Raw_Data_Daily!$A:$A, $A20, Raw_Data_Daily!$C:$C, $C$3),""))</f>
        <v>3.5129</v>
      </c>
      <c r="BL20" s="179">
        <f t="shared" si="21"/>
        <v>-0.1549841239</v>
      </c>
      <c r="BM20" s="186">
        <f>IF($A20="","",IFERROR(SUMPRODUCT((Raw_Data_Daily!$B$2:$B$9999="Control")*(Raw_Data_Daily!$A$2:$A$9999=$A20)*(Raw_Data_Daily!$C$2:$C$9999=$C$3)*Raw_Data_Daily!$D$2:$D$9999*Raw_Data_Daily!$X$2:$X$9999)/SUMIFS(Raw_Data_Daily!$D:$D, Raw_Data_Daily!$B:$B, "Control", Raw_Data_Daily!$A:$A, $A20, Raw_Data_Daily!$C:$C, $C$3),""))</f>
        <v>8.92</v>
      </c>
      <c r="BN20" s="186">
        <f>IF($A20="","",IFERROR(SUMPRODUCT((Raw_Data_Daily!$B$2:$B$9999="Variant")*(Raw_Data_Daily!$A$2:$A$9999=$A20)*(Raw_Data_Daily!$C$2:$C$9999=$C$3)*Raw_Data_Daily!$D$2:$D$9999*Raw_Data_Daily!$X$2:$X$9999)/SUMIFS(Raw_Data_Daily!$D:$D, Raw_Data_Daily!$B:$B, "Variant", Raw_Data_Daily!$A:$A, $A20, Raw_Data_Daily!$C:$C, $C$3),""))</f>
        <v>5.39</v>
      </c>
      <c r="BO20" s="183">
        <f t="shared" si="22"/>
        <v>-0.3957399103</v>
      </c>
      <c r="BP20" s="178">
        <f>IF($A20="","",IFERROR(SUMPRODUCT((Raw_Data_Daily!$B$2:$B$9999="Control")*(Raw_Data_Daily!$A$2:$A$9999=$A20)*(Raw_Data_Daily!$C$2:$C$9999=$C$3)*Raw_Data_Daily!$D$2:$D$9999*Raw_Data_Daily!$Y$2:$Y$9999)/SUMIFS(Raw_Data_Daily!$D:$D, Raw_Data_Daily!$B:$B, "Control", Raw_Data_Daily!$A:$A, $A20, Raw_Data_Daily!$C:$C, $C$3),""))</f>
        <v>339</v>
      </c>
      <c r="BQ20" s="178">
        <f>IF($A20="","",IFERROR(SUMPRODUCT((Raw_Data_Daily!$B$2:$B$9999="Variant")*(Raw_Data_Daily!$A$2:$A$9999=$A20)*(Raw_Data_Daily!$C$2:$C$9999=$C$3)*Raw_Data_Daily!$D$2:$D$9999*Raw_Data_Daily!$Y$2:$Y$9999)/SUMIFS(Raw_Data_Daily!$D:$D, Raw_Data_Daily!$B:$B, "Variant", Raw_Data_Daily!$A:$A, $A20, Raw_Data_Daily!$C:$C, $C$3),""))</f>
        <v>307</v>
      </c>
      <c r="BR20" s="179">
        <f t="shared" si="23"/>
        <v>-0.09439528024</v>
      </c>
      <c r="BS20" s="178">
        <f>IF($A20="","",IFERROR(SUMPRODUCT((Raw_Data_Daily!$B$2:$B$9999="Control")*(Raw_Data_Daily!$A$2:$A$9999=$A20)*(Raw_Data_Daily!$C$2:$C$9999=$C$3)*Raw_Data_Daily!$D$2:$D$9999*Raw_Data_Daily!$Z$2:$Z$9999)/SUMIFS(Raw_Data_Daily!$D:$D, Raw_Data_Daily!$B:$B, "Control", Raw_Data_Daily!$A:$A, $A20, Raw_Data_Daily!$C:$C, $C$3),""))</f>
        <v>632</v>
      </c>
      <c r="BT20" s="178">
        <f>IF($A20="","",IFERROR(SUMPRODUCT((Raw_Data_Daily!$B$2:$B$9999="Variant")*(Raw_Data_Daily!$A$2:$A$9999=$A20)*(Raw_Data_Daily!$C$2:$C$9999=$C$3)*Raw_Data_Daily!$D$2:$D$9999*Raw_Data_Daily!$Z$2:$Z$9999)/SUMIFS(Raw_Data_Daily!$D:$D, Raw_Data_Daily!$B:$B, "Variant", Raw_Data_Daily!$A:$A, $A20, Raw_Data_Daily!$C:$C, $C$3),""))</f>
        <v>513</v>
      </c>
      <c r="BU20" s="179">
        <f t="shared" si="24"/>
        <v>-0.1882911392</v>
      </c>
      <c r="BV20" s="178">
        <f>IF($A20="","",IFERROR(SUMPRODUCT((Raw_Data_Daily!$B$2:$B$9999="Control")*(Raw_Data_Daily!$A$2:$A$9999=$A20)*(Raw_Data_Daily!$C$2:$C$9999=$C$3)*Raw_Data_Daily!$D$2:$D$9999*Raw_Data_Daily!$AA$2:$AA$9999)/SUMIFS(Raw_Data_Daily!$D:$D, Raw_Data_Daily!$B:$B, "Control", Raw_Data_Daily!$A:$A, $A20, Raw_Data_Daily!$C:$C, $C$3),""))</f>
        <v>1491</v>
      </c>
      <c r="BW20" s="178">
        <f>IF($A20="","",IFERROR(SUMPRODUCT((Raw_Data_Daily!$B$2:$B$9999="Variant")*(Raw_Data_Daily!$A$2:$A$9999=$A20)*(Raw_Data_Daily!$C$2:$C$9999=$C$3)*Raw_Data_Daily!$D$2:$D$9999*Raw_Data_Daily!$AA$2:$AA$9999)/SUMIFS(Raw_Data_Daily!$D:$D, Raw_Data_Daily!$B:$B, "Variant", Raw_Data_Daily!$A:$A, $A20, Raw_Data_Daily!$C:$C, $C$3),""))</f>
        <v>1108</v>
      </c>
      <c r="BX20" s="179">
        <f t="shared" si="25"/>
        <v>-0.2568745808</v>
      </c>
      <c r="BY20" s="185">
        <f>IF($A20="","",IFERROR(SUMPRODUCT((Raw_Data_Daily!$B$2:$B$9999="Control")*(Raw_Data_Daily!$A$2:$A$9999=$A20)*(Raw_Data_Daily!$C$2:$C$9999=$C$3)*Raw_Data_Daily!$D$2:$D$9999*Raw_Data_Daily!$AB$2:$AB$9999)/SUMIFS(Raw_Data_Daily!$D:$D, Raw_Data_Daily!$B:$B, "Control", Raw_Data_Daily!$A:$A, $A20, Raw_Data_Daily!$C:$C, $C$3),""))</f>
        <v>55.8067</v>
      </c>
      <c r="BZ20" s="185">
        <f>IF($A20="","",IFERROR(SUMPRODUCT((Raw_Data_Daily!$B$2:$B$9999="Variant")*(Raw_Data_Daily!$A$2:$A$9999=$A20)*(Raw_Data_Daily!$C$2:$C$9999=$C$3)*Raw_Data_Daily!$D$2:$D$9999*Raw_Data_Daily!$AB$2:$AB$9999)/SUMIFS(Raw_Data_Daily!$D:$D, Raw_Data_Daily!$B:$B, "Variant", Raw_Data_Daily!$A:$A, $A20, Raw_Data_Daily!$C:$C, $C$3),""))</f>
        <v>55.5261</v>
      </c>
      <c r="CA20" s="183">
        <f t="shared" si="26"/>
        <v>-0.005028070106</v>
      </c>
      <c r="CB20" s="185">
        <f>IF($A20="","",IFERROR(SUMPRODUCT((Raw_Data_Daily!$B$2:$B$9999="Control")*(Raw_Data_Daily!$A$2:$A$9999=$A20)*(Raw_Data_Daily!$C$2:$C$9999=$C$3)*Raw_Data_Daily!$D$2:$D$9999*Raw_Data_Daily!$AC$2:$AC$9999)/SUMIFS(Raw_Data_Daily!$D:$D, Raw_Data_Daily!$B:$B, "Control", Raw_Data_Daily!$A:$A, $A20, Raw_Data_Daily!$C:$C, $C$3),""))</f>
        <v>0.7951</v>
      </c>
      <c r="CC20" s="185">
        <f>IF($A20="","",IFERROR(SUMPRODUCT((Raw_Data_Daily!$B$2:$B$9999="Variant")*(Raw_Data_Daily!$A$2:$A$9999=$A20)*(Raw_Data_Daily!$C$2:$C$9999=$C$3)*Raw_Data_Daily!$D$2:$D$9999*Raw_Data_Daily!$AC$2:$AC$9999)/SUMIFS(Raw_Data_Daily!$D:$D, Raw_Data_Daily!$B:$B, "Variant", Raw_Data_Daily!$A:$A, $A20, Raw_Data_Daily!$C:$C, $C$3),""))</f>
        <v>0.7703</v>
      </c>
      <c r="CD20" s="183">
        <f t="shared" si="27"/>
        <v>-0.03119104515</v>
      </c>
      <c r="CE20" s="185">
        <f>IF($A20="","",IFERROR(SUMPRODUCT((Raw_Data_Daily!$B$2:$B$9999="Control")*(Raw_Data_Daily!$A$2:$A$9999=$A20)*(Raw_Data_Daily!$C$2:$C$9999=$C$3)*Raw_Data_Daily!$D$2:$D$9999*Raw_Data_Daily!$AD$2:$AD$9999)/SUMIFS(Raw_Data_Daily!$D:$D, Raw_Data_Daily!$B:$B, "Control", Raw_Data_Daily!$A:$A, $A20, Raw_Data_Daily!$C:$C, $C$3),""))</f>
        <v>28.18</v>
      </c>
      <c r="CF20" s="185">
        <f>IF($A20="","",IFERROR(SUMPRODUCT((Raw_Data_Daily!$B$2:$B$9999="Variant")*(Raw_Data_Daily!$A$2:$A$9999=$A20)*(Raw_Data_Daily!$C$2:$C$9999=$C$3)*Raw_Data_Daily!$D$2:$D$9999*Raw_Data_Daily!$AD$2:$AD$9999)/SUMIFS(Raw_Data_Daily!$D:$D, Raw_Data_Daily!$B:$B, "Variant", Raw_Data_Daily!$A:$A, $A20, Raw_Data_Daily!$C:$C, $C$3),""))</f>
        <v>27.56</v>
      </c>
      <c r="CG20" s="183">
        <f t="shared" si="28"/>
        <v>-0.02200141945</v>
      </c>
      <c r="CH20" s="185">
        <f>IF($A20="","",IFERROR(SUMPRODUCT((Raw_Data_Daily!$B$2:$B$9999="Control")*(Raw_Data_Daily!$A$2:$A$9999=$A20)*(Raw_Data_Daily!$C$2:$C$9999=$C$3)*Raw_Data_Daily!$D$2:$D$9999*Raw_Data_Daily!$AE$2:$AE$9999)/SUMIFS(Raw_Data_Daily!$D:$D, Raw_Data_Daily!$B:$B, "Control", Raw_Data_Daily!$A:$A, $A20, Raw_Data_Daily!$C:$C, $C$3),""))</f>
        <v>11</v>
      </c>
      <c r="CI20" s="185">
        <f>IF($A20="","",IFERROR(SUMPRODUCT((Raw_Data_Daily!$B$2:$B$9999="Variant")*(Raw_Data_Daily!$A$2:$A$9999=$A20)*(Raw_Data_Daily!$C$2:$C$9999=$C$3)*Raw_Data_Daily!$D$2:$D$9999*Raw_Data_Daily!$AE$2:$AE$9999)/SUMIFS(Raw_Data_Daily!$D:$D, Raw_Data_Daily!$B:$B, "Variant", Raw_Data_Daily!$A:$A, $A20, Raw_Data_Daily!$C:$C, $C$3),""))</f>
        <v>10</v>
      </c>
      <c r="CJ20" s="183">
        <f t="shared" si="29"/>
        <v>-0.09090909091</v>
      </c>
      <c r="CK20" s="185">
        <f>IF($A20="","",IFERROR(SUMPRODUCT((Raw_Data_Daily!$B$2:$B$9999="Control")*(Raw_Data_Daily!$A$2:$A$9999=$A20)*(Raw_Data_Daily!$C$2:$C$9999=$C$3)*Raw_Data_Daily!$D$2:$D$9999*Raw_Data_Daily!$AF$2:$AF$9999)/SUMIFS(Raw_Data_Daily!$D:$D, Raw_Data_Daily!$B:$B, "Control", Raw_Data_Daily!$A:$A, $A20, Raw_Data_Daily!$C:$C, $C$3),""))</f>
        <v>21</v>
      </c>
      <c r="CL20" s="185">
        <f>IF($A20="","",IFERROR(SUMPRODUCT((Raw_Data_Daily!$B$2:$B$9999="Variant")*(Raw_Data_Daily!$A$2:$A$9999=$A20)*(Raw_Data_Daily!$C$2:$C$9999=$C$3)*Raw_Data_Daily!$D$2:$D$9999*Raw_Data_Daily!$AF$2:$AF$9999)/SUMIFS(Raw_Data_Daily!$D:$D, Raw_Data_Daily!$B:$B, "Variant", Raw_Data_Daily!$A:$A, $A20, Raw_Data_Daily!$C:$C, $C$3),""))</f>
        <v>20</v>
      </c>
      <c r="CM20" s="183">
        <f t="shared" si="30"/>
        <v>-0.04761904762</v>
      </c>
      <c r="CN20" s="185">
        <f>IF($A20="","",IFERROR(SUMPRODUCT((Raw_Data_Daily!$B$2:$B$9999="Control")*(Raw_Data_Daily!$A$2:$A$9999=$A20)*(Raw_Data_Daily!$C$2:$C$9999=$C$3)*Raw_Data_Daily!$D$2:$D$9999*Raw_Data_Daily!$AG$2:$AG$9999)/SUMIFS(Raw_Data_Daily!$D:$D, Raw_Data_Daily!$B:$B, "Control", Raw_Data_Daily!$A:$A, $A20, Raw_Data_Daily!$C:$C, $C$3),""))</f>
        <v>39</v>
      </c>
      <c r="CO20" s="185">
        <f>IF($A20="","",IFERROR(SUMPRODUCT((Raw_Data_Daily!$B$2:$B$9999="Variant")*(Raw_Data_Daily!$A$2:$A$9999=$A20)*(Raw_Data_Daily!$C$2:$C$9999=$C$3)*Raw_Data_Daily!$D$2:$D$9999*Raw_Data_Daily!$AG$2:$AG$9999)/SUMIFS(Raw_Data_Daily!$D:$D, Raw_Data_Daily!$B:$B, "Variant", Raw_Data_Daily!$A:$A, $A20, Raw_Data_Daily!$C:$C, $C$3),""))</f>
        <v>38</v>
      </c>
      <c r="CP20" s="183">
        <f t="shared" si="31"/>
        <v>-0.02564102564</v>
      </c>
      <c r="CQ20" s="185">
        <f>IF($A20="","",IFERROR(SUMPRODUCT((Raw_Data_Daily!$B$2:$B$9999="Control")*(Raw_Data_Daily!$A$2:$A$9999=$A20)*(Raw_Data_Daily!$C$2:$C$9999=$C$3)*Raw_Data_Daily!$D$2:$D$9999*Raw_Data_Daily!$AH$2:$AH$9999)/SUMIFS(Raw_Data_Daily!$D:$D, Raw_Data_Daily!$B:$B, "Control", Raw_Data_Daily!$A:$A, $A20, Raw_Data_Daily!$C:$C, $C$3),""))</f>
        <v>59</v>
      </c>
      <c r="CR20" s="185">
        <f>IF($A20="","",IFERROR(SUMPRODUCT((Raw_Data_Daily!$B$2:$B$9999="Variant")*(Raw_Data_Daily!$A$2:$A$9999=$A20)*(Raw_Data_Daily!$C$2:$C$9999=$C$3)*Raw_Data_Daily!$D$2:$D$9999*Raw_Data_Daily!$AH$2:$AH$9999)/SUMIFS(Raw_Data_Daily!$D:$D, Raw_Data_Daily!$B:$B, "Variant", Raw_Data_Daily!$A:$A, $A20, Raw_Data_Daily!$C:$C, $C$3),""))</f>
        <v>56</v>
      </c>
      <c r="CS20" s="183">
        <f t="shared" si="32"/>
        <v>-0.05084745763</v>
      </c>
      <c r="CT20" s="180">
        <f>IF($A20="","",IFERROR(SUMPRODUCT((Raw_Data_Daily!$B$2:$B$9999="Control")*(Raw_Data_Daily!$A$2:$A$9999=$A20)*(Raw_Data_Daily!$C$2:$C$9999=$C$3)*Raw_Data_Daily!$D$2:$D$9999*Raw_Data_Daily!$AI$2:$AI$9999)/SUMIFS(Raw_Data_Daily!$D:$D, Raw_Data_Daily!$B:$B, "Control", Raw_Data_Daily!$A:$A, $A20, Raw_Data_Daily!$C:$C, $C$3),""))</f>
        <v>39.04</v>
      </c>
      <c r="CU20" s="180">
        <f>IF($A20="","",IFERROR(SUMPRODUCT((Raw_Data_Daily!$B$2:$B$9999="Variant")*(Raw_Data_Daily!$A$2:$A$9999=$A20)*(Raw_Data_Daily!$C$2:$C$9999=$C$3)*Raw_Data_Daily!$D$2:$D$9999*Raw_Data_Daily!$AI$2:$AI$9999)/SUMIFS(Raw_Data_Daily!$D:$D, Raw_Data_Daily!$B:$B, "Variant", Raw_Data_Daily!$A:$A, $A20, Raw_Data_Daily!$C:$C, $C$3),""))</f>
        <v>37.62</v>
      </c>
      <c r="CV20" s="187">
        <f t="shared" si="33"/>
        <v>-0.03637295082</v>
      </c>
      <c r="CW20" s="180">
        <f>IF($A20="","",IFERROR(SUMPRODUCT((Raw_Data_Daily!$B$2:$B$9999="Control")*(Raw_Data_Daily!$A$2:$A$9999=$A20)*(Raw_Data_Daily!$C$2:$C$9999=$C$3)*Raw_Data_Daily!$D$2:$D$9999*Raw_Data_Daily!$AJ$2:$AJ$9999)/SUMIFS(Raw_Data_Daily!$D:$D, Raw_Data_Daily!$B:$B, "Control", Raw_Data_Daily!$A:$A, $A20, Raw_Data_Daily!$C:$C, $C$3),""))</f>
        <v>9.61</v>
      </c>
      <c r="CX20" s="180">
        <f>IF($A20="","",IFERROR(SUMPRODUCT((Raw_Data_Daily!$B$2:$B$9999="Variant")*(Raw_Data_Daily!$A$2:$A$9999=$A20)*(Raw_Data_Daily!$C$2:$C$9999=$C$3)*Raw_Data_Daily!$D$2:$D$9999*Raw_Data_Daily!$AJ$2:$AJ$9999)/SUMIFS(Raw_Data_Daily!$D:$D, Raw_Data_Daily!$B:$B, "Variant", Raw_Data_Daily!$A:$A, $A20, Raw_Data_Daily!$C:$C, $C$3),""))</f>
        <v>8.9</v>
      </c>
      <c r="CY20" s="187">
        <f t="shared" si="34"/>
        <v>-0.07388137357</v>
      </c>
      <c r="CZ20" s="180">
        <f>IF($A20="","",IFERROR(SUMPRODUCT((Raw_Data_Daily!$B$2:$B$9999="Control")*(Raw_Data_Daily!$A$2:$A$9999=$A20)*(Raw_Data_Daily!$C$2:$C$9999=$C$3)*Raw_Data_Daily!$D$2:$D$9999*Raw_Data_Daily!$AK$2:$AK$9999)/SUMIFS(Raw_Data_Daily!$D:$D, Raw_Data_Daily!$B:$B, "Control", Raw_Data_Daily!$A:$A, $A20, Raw_Data_Daily!$C:$C, $C$3),""))</f>
        <v>1.95</v>
      </c>
      <c r="DA20" s="180">
        <f>IF($A20="","",IFERROR(SUMPRODUCT((Raw_Data_Daily!$B$2:$B$9999="Variant")*(Raw_Data_Daily!$A$2:$A$9999=$A20)*(Raw_Data_Daily!$C$2:$C$9999=$C$3)*Raw_Data_Daily!$D$2:$D$9999*Raw_Data_Daily!$AK$2:$AK$9999)/SUMIFS(Raw_Data_Daily!$D:$D, Raw_Data_Daily!$B:$B, "Variant", Raw_Data_Daily!$A:$A, $A20, Raw_Data_Daily!$C:$C, $C$3),""))</f>
        <v>2.39</v>
      </c>
      <c r="DB20" s="183">
        <f t="shared" si="35"/>
        <v>0.2256410256</v>
      </c>
      <c r="DC20" s="186">
        <f>IF($A20="","",IFERROR(SUMPRODUCT((Raw_Data_Daily!$B$2:$B$9999="Control")*(Raw_Data_Daily!$A$2:$A$9999=$A20)*(Raw_Data_Daily!$C$2:$C$9999=$C$3)*Raw_Data_Daily!$D$2:$D$9999*Raw_Data_Daily!$AL$2:$AL$9999)/SUMIFS(Raw_Data_Daily!$D:$D, Raw_Data_Daily!$B:$B, "Control", Raw_Data_Daily!$A:$A, $A20, Raw_Data_Daily!$C:$C, $C$3),""))</f>
        <v>0.1949</v>
      </c>
      <c r="DD20" s="186">
        <f>IF($A20="","",IFERROR(SUMPRODUCT((Raw_Data_Daily!$B$2:$B$9999="Variant")*(Raw_Data_Daily!$A$2:$A$9999=$A20)*(Raw_Data_Daily!$C$2:$C$9999=$C$3)*Raw_Data_Daily!$D$2:$D$9999*Raw_Data_Daily!$AL$2:$AL$9999)/SUMIFS(Raw_Data_Daily!$D:$D, Raw_Data_Daily!$B:$B, "Variant", Raw_Data_Daily!$A:$A, $A20, Raw_Data_Daily!$C:$C, $C$3),""))</f>
        <v>0.1879</v>
      </c>
      <c r="DE20" s="187">
        <f t="shared" si="36"/>
        <v>-0.03591585428</v>
      </c>
      <c r="DF20" s="188"/>
      <c r="DG20" s="180">
        <f>IF($A20="","",IFERROR(SUMPRODUCT((Raw_Data_Daily!$B$2:$B$9999="Variant")*(Raw_Data_Daily!$A$2:$A$9999=$A20)*(Raw_Data_Daily!$C$2:$C$9999=$C$3)*Raw_Data_Daily!$D$2:$D$9999*Raw_Data_Daily!$AM$2:$AM$9999)/SUMIFS(Raw_Data_Daily!$D:$D, Raw_Data_Daily!$B:$B, "Variant", Raw_Data_Daily!$A:$A, $A20, Raw_Data_Daily!$C:$C, $C$3),""))</f>
        <v>44.49</v>
      </c>
      <c r="DH20" s="189"/>
      <c r="DI20" s="188"/>
      <c r="DJ20" s="180">
        <f>IF($A20="","",IFERROR(SUMPRODUCT((Raw_Data_Daily!$B$2:$B$9999="Variant")*(Raw_Data_Daily!$A$2:$A$9999=$A20)*(Raw_Data_Daily!$C$2:$C$9999=$C$3)*Raw_Data_Daily!$D$2:$D$9999*Raw_Data_Daily!$AN$2:$AN$9999)/SUMIFS(Raw_Data_Daily!$D:$D, Raw_Data_Daily!$B:$B, "Variant", Raw_Data_Daily!$A:$A, $A20, Raw_Data_Daily!$C:$C, $C$3),""))</f>
        <v>44.49</v>
      </c>
      <c r="DK20" s="189"/>
      <c r="DL20" s="188"/>
      <c r="DM20" s="180">
        <f>IF($A20="","",IFERROR(SUMPRODUCT((Raw_Data_Daily!$B$2:$B$9999="Variant")*(Raw_Data_Daily!$A$2:$A$9999=$A20)*(Raw_Data_Daily!$C$2:$C$9999=$C$3)*Raw_Data_Daily!$D$2:$D$9999*Raw_Data_Daily!$AO$2:$AO$9999)/SUMIFS(Raw_Data_Daily!$D:$D, Raw_Data_Daily!$B:$B, "Variant", Raw_Data_Daily!$A:$A, $A20, Raw_Data_Daily!$C:$C, $C$3),""))</f>
        <v>28.82</v>
      </c>
      <c r="DN20" s="189"/>
      <c r="DO20" s="188"/>
      <c r="DP20" s="180">
        <f>IF($A20="","",IFERROR(SUMPRODUCT((Raw_Data_Daily!$B$2:$B$9999="Variant")*(Raw_Data_Daily!$A$2:$A$9999=$A20)*(Raw_Data_Daily!$C$2:$C$9999=$C$3)*Raw_Data_Daily!$D$2:$D$9999*Raw_Data_Daily!$AP$2:$AP$9999)/SUMIFS(Raw_Data_Daily!$D:$D, Raw_Data_Daily!$B:$B, "Variant", Raw_Data_Daily!$A:$A, $A20, Raw_Data_Daily!$C:$C, $C$3),""))</f>
        <v>19.02</v>
      </c>
      <c r="DQ20" s="189"/>
      <c r="DR20" s="186">
        <f>IF($A20="","",IFERROR(SUMPRODUCT((Raw_Data_Daily!$B$2:$B$9999="Control")*(Raw_Data_Daily!$A$2:$A$9999=$A20)*(Raw_Data_Daily!$C$2:$C$9999=$C$3)*Raw_Data_Daily!$D$2:$D$9999*Raw_Data_Daily!$AQ$2:$AQ$9999)/SUMIFS(Raw_Data_Daily!$D:$D, Raw_Data_Daily!$B:$B, "Control", Raw_Data_Daily!$A:$A, $A20, Raw_Data_Daily!$C:$C, $C$3),""))</f>
        <v>15.8387</v>
      </c>
      <c r="DS20" s="186">
        <f>IF($A20="","",IFERROR(SUMPRODUCT((Raw_Data_Daily!$B$2:$B$9999="Variant")*(Raw_Data_Daily!$A$2:$A$9999=$A20)*(Raw_Data_Daily!$C$2:$C$9999=$C$3)*Raw_Data_Daily!$D$2:$D$9999*Raw_Data_Daily!$AQ$2:$AQ$9999)/SUMIFS(Raw_Data_Daily!$D:$D, Raw_Data_Daily!$B:$B, "Variant", Raw_Data_Daily!$A:$A, $A20, Raw_Data_Daily!$C:$C, $C$3),""))</f>
        <v>11.1344</v>
      </c>
      <c r="DT20" s="190">
        <f t="shared" si="37"/>
        <v>-0.2970130124</v>
      </c>
      <c r="DU20" s="186">
        <f>IF($A20="","",IFERROR(SUMPRODUCT((Raw_Data_Daily!$B$2:$B$9999="Control")*(Raw_Data_Daily!$A$2:$A$9999=$A20)*(Raw_Data_Daily!$C$2:$C$9999=$C$3)*Raw_Data_Daily!$D$2:$D$9999*Raw_Data_Daily!$AR$2:$AR$9999)/SUMIFS(Raw_Data_Daily!$D:$D, Raw_Data_Daily!$B:$B, "Control", Raw_Data_Daily!$A:$A, $A20, Raw_Data_Daily!$C:$C, $C$3),""))</f>
        <v>0.4637</v>
      </c>
      <c r="DV20" s="186">
        <f>IF($A20="","",IFERROR(SUMPRODUCT((Raw_Data_Daily!$B$2:$B$9999="Variant")*(Raw_Data_Daily!$A$2:$A$9999=$A20)*(Raw_Data_Daily!$C$2:$C$9999=$C$3)*Raw_Data_Daily!$D$2:$D$9999*Raw_Data_Daily!$AR$2:$AR$9999)/SUMIFS(Raw_Data_Daily!$D:$D, Raw_Data_Daily!$B:$B, "Variant", Raw_Data_Daily!$A:$A, $A20, Raw_Data_Daily!$C:$C, $C$3),""))</f>
        <v>0.2073</v>
      </c>
      <c r="DW20" s="190">
        <f t="shared" si="38"/>
        <v>-0.5529437136</v>
      </c>
      <c r="DX20" s="186">
        <f>IF($A20="","",IFERROR(SUMPRODUCT((Raw_Data_Daily!$B$2:$B$9999="Control")*(Raw_Data_Daily!$A$2:$A$9999=$A20)*(Raw_Data_Daily!$C$2:$C$9999=$C$3)*Raw_Data_Daily!$D$2:$D$9999*Raw_Data_Daily!$AS$2:$AS$9999)/SUMIFS(Raw_Data_Daily!$D:$D, Raw_Data_Daily!$B:$B, "Control", Raw_Data_Daily!$A:$A, $A20, Raw_Data_Daily!$C:$C, $C$3),""))</f>
        <v>15.3751</v>
      </c>
      <c r="DY20" s="186">
        <f>IF($A20="","",IFERROR(SUMPRODUCT((Raw_Data_Daily!$B$2:$B$9999="Variant")*(Raw_Data_Daily!$A$2:$A$9999=$A20)*(Raw_Data_Daily!$C$2:$C$9999=$C$3)*Raw_Data_Daily!$D$2:$D$9999*Raw_Data_Daily!$AS$2:$AS$9999)/SUMIFS(Raw_Data_Daily!$D:$D, Raw_Data_Daily!$B:$B, "Variant", Raw_Data_Daily!$A:$A, $A20, Raw_Data_Daily!$C:$C, $C$3),""))</f>
        <v>10.9271</v>
      </c>
      <c r="DZ20" s="190">
        <f t="shared" si="39"/>
        <v>-0.2892989314</v>
      </c>
      <c r="EA20" s="186">
        <f>IF($A20="","",IFERROR(SUMPRODUCT((Raw_Data_Daily!$B$2:$B$9999="Control")*(Raw_Data_Daily!$A$2:$A$9999=$A20)*(Raw_Data_Daily!$C$2:$C$9999=$C$3)*Raw_Data_Daily!$D$2:$D$9999*Raw_Data_Daily!$AT$2:$AT$9999)/SUMIFS(Raw_Data_Daily!$D:$D, Raw_Data_Daily!$B:$B, "Control", Raw_Data_Daily!$A:$A, $A20, Raw_Data_Daily!$C:$C, $C$3),""))</f>
        <v>13.73</v>
      </c>
      <c r="EB20" s="186">
        <f>IF($A20="","",IFERROR(SUMPRODUCT((Raw_Data_Daily!$B$2:$B$9999="Variant")*(Raw_Data_Daily!$A$2:$A$9999=$A20)*(Raw_Data_Daily!$C$2:$C$9999=$C$3)*Raw_Data_Daily!$D$2:$D$9999*Raw_Data_Daily!$AT$2:$AT$9999)/SUMIFS(Raw_Data_Daily!$D:$D, Raw_Data_Daily!$B:$B, "Variant", Raw_Data_Daily!$A:$A, $A20, Raw_Data_Daily!$C:$C, $C$3),""))</f>
        <v>10.3659</v>
      </c>
      <c r="EC20" s="190">
        <f t="shared" si="40"/>
        <v>-0.2450182083</v>
      </c>
      <c r="ED20" s="186">
        <f>IF($A20="","",IFERROR(SUMPRODUCT((Raw_Data_Daily!$B$2:$B$9999="Control")*(Raw_Data_Daily!$A$2:$A$9999=$A20)*(Raw_Data_Daily!$C$2:$C$9999=$C$3)*Raw_Data_Daily!$D$2:$D$9999*(Raw_Data_Daily!$AQ$2:$AQ$9999-Raw_Data_Daily!$AT$2:$AT$9999))/SUMIFS(Raw_Data_Daily!$D:$D, Raw_Data_Daily!$B:$B, "Control", Raw_Data_Daily!$A:$A, $A20, Raw_Data_Daily!$C:$C, $C$3),""))</f>
        <v>2.1087</v>
      </c>
      <c r="EE20" s="186">
        <f>IF($A20="","",IFERROR(SUMPRODUCT((Raw_Data_Daily!$B$2:$B$9999="Variant")*(Raw_Data_Daily!$A$2:$A$9999=$A20)*(Raw_Data_Daily!$C$2:$C$9999=$C$3)*Raw_Data_Daily!$D$2:$D$9999*(Raw_Data_Daily!$AQ$2:$AQ$9999-Raw_Data_Daily!$AT$2:$AT$9999))/SUMIFS(Raw_Data_Daily!$D:$D, Raw_Data_Daily!$B:$B, "Variant", Raw_Data_Daily!$A:$A, $A20, Raw_Data_Daily!$C:$C, $C$3),""))</f>
        <v>0.7685</v>
      </c>
      <c r="EF20" s="190">
        <f t="shared" si="41"/>
        <v>-0.6355574525</v>
      </c>
      <c r="EG20" s="186">
        <f>IF($A20="","",IFERROR(SUMPRODUCT((Raw_Data_Daily!$B$2:$B$9999="Control")*(Raw_Data_Daily!$A$2:$A$9999=$A20)*(Raw_Data_Daily!$C$2:$C$9999=$C$3)*Raw_Data_Daily!$D$2:$D$9999*Raw_Data_Daily!$AU$2:$AU$9999)/SUMIFS(Raw_Data_Daily!$D:$D, Raw_Data_Daily!$B:$B, "Control", Raw_Data_Daily!$A:$A, $A20, Raw_Data_Daily!$C:$C, $C$3),""))</f>
        <v>0.1931</v>
      </c>
      <c r="EH20" s="186">
        <f>IF($A20="","",IFERROR(SUMPRODUCT((Raw_Data_Daily!$B$2:$B$9999="Variant")*(Raw_Data_Daily!$A$2:$A$9999=$A20)*(Raw_Data_Daily!$C$2:$C$9999=$C$3)*Raw_Data_Daily!$D$2:$D$9999*Raw_Data_Daily!$AU$2:$AU$9999)/SUMIFS(Raw_Data_Daily!$D:$D, Raw_Data_Daily!$B:$B, "Variant", Raw_Data_Daily!$A:$A, $A20, Raw_Data_Daily!$C:$C, $C$3),""))</f>
        <v>0.1469</v>
      </c>
      <c r="EI20" s="190">
        <f t="shared" si="42"/>
        <v>-0.2392542724</v>
      </c>
    </row>
    <row r="21" ht="15.75" customHeight="1">
      <c r="A21" s="125">
        <v>46244.0</v>
      </c>
      <c r="B21" s="126">
        <f>IF($A21="","",SUMIFS(Raw_Data_Daily!$D:$D, Raw_Data_Daily!$B:$B, "Control", Raw_Data_Daily!$A:$A, $A21, Raw_Data_Daily!$C:$C, $C$3))</f>
        <v>3434</v>
      </c>
      <c r="C21" s="126">
        <f>IF($A21="","",SUMIFS(Raw_Data_Daily!$D:$D, Raw_Data_Daily!$B:$B, "Variant", Raw_Data_Daily!$A:$A, $A21, Raw_Data_Daily!$C:$C, $C$3))</f>
        <v>3390</v>
      </c>
      <c r="D21" s="127">
        <f t="shared" si="1"/>
        <v>-0.01281304601</v>
      </c>
      <c r="E21" s="128">
        <f>IF($A21="","",IFERROR(SUMPRODUCT((Raw_Data_Daily!$B$2:$B$9999="Control")*(Raw_Data_Daily!$A$2:$A$9999=$A21)*(Raw_Data_Daily!$C$2:$C$9999=$C$3)*Raw_Data_Daily!$D$2:$D$9999*Raw_Data_Daily!$E$2:$E$9999)/SUMIFS(Raw_Data_Daily!$D:$D, Raw_Data_Daily!$B:$B, "Control", Raw_Data_Daily!$A:$A, $A21, Raw_Data_Daily!$C:$C, $C$3),""))</f>
        <v>12.75</v>
      </c>
      <c r="F21" s="128">
        <f>IF($A21="","",IFERROR(SUMPRODUCT((Raw_Data_Daily!$B$2:$B$9999="Variant")*(Raw_Data_Daily!$A$2:$A$9999=$A21)*(Raw_Data_Daily!$C$2:$C$9999=$C$3)*Raw_Data_Daily!$D$2:$D$9999*Raw_Data_Daily!$E$2:$E$9999)/SUMIFS(Raw_Data_Daily!$D:$D, Raw_Data_Daily!$B:$B, "Variant", Raw_Data_Daily!$A:$A, $A21, Raw_Data_Daily!$C:$C, $C$3),""))</f>
        <v>12.63</v>
      </c>
      <c r="G21" s="127">
        <f t="shared" si="2"/>
        <v>-0.009411764706</v>
      </c>
      <c r="H21" s="129">
        <f>IF($A21="","",SUMIFS(Raw_Data_Daily!$F:$F, Raw_Data_Daily!$B:$B, "Control", Raw_Data_Daily!$A:$A, $A21, Raw_Data_Daily!$C:$C, $C$3))</f>
        <v>1262.89</v>
      </c>
      <c r="I21" s="129">
        <f>IF($A21="","",SUMIFS(Raw_Data_Daily!$F:$F, Raw_Data_Daily!$B:$B, "Variant", Raw_Data_Daily!$A:$A, $A21, Raw_Data_Daily!$C:$C, $C$3))</f>
        <v>503.6</v>
      </c>
      <c r="J21" s="130">
        <f t="shared" si="3"/>
        <v>-0.6012320946</v>
      </c>
      <c r="K21" s="131">
        <f>IF($A21="","",IFERROR(SUMIFS(Raw_Data_Daily!$F:$F, Raw_Data_Daily!$B:$B, "Control", Raw_Data_Daily!$A:$A, $A21, Raw_Data_Daily!$C:$C, $C$3)/SUMIFS(Raw_Data_Daily!$D:$D, Raw_Data_Daily!$B:$B, "Control", Raw_Data_Daily!$A:$A, $A21, Raw_Data_Daily!$C:$C, $C$3),""))</f>
        <v>0.367760629</v>
      </c>
      <c r="L21" s="131">
        <f>IF($A21="","",IFERROR(SUMIFS(Raw_Data_Daily!$F:$F, Raw_Data_Daily!$B:$B, "Variant", Raw_Data_Daily!$A:$A, $A21, Raw_Data_Daily!$C:$C, $C$3)/SUMIFS(Raw_Data_Daily!$D:$D, Raw_Data_Daily!$B:$B, "Variant", Raw_Data_Daily!$A:$A, $A21, Raw_Data_Daily!$C:$C, $C$3),""))</f>
        <v>0.1485545723</v>
      </c>
      <c r="M21" s="130">
        <f t="shared" si="4"/>
        <v>-0.596056346</v>
      </c>
      <c r="N21" s="128">
        <f>IF($A21="","",IFERROR(SUMPRODUCT((Raw_Data_Daily!$B$2:$B$9999="Control")*(Raw_Data_Daily!$A$2:$A$9999=$A21)*(Raw_Data_Daily!$C$2:$C$9999=$C$3)*Raw_Data_Daily!$D$2:$D$9999*Raw_Data_Daily!$H$2:$H$9999/100)/SUMIFS(Raw_Data_Daily!$D:$D, Raw_Data_Daily!$B:$B, "Control", Raw_Data_Daily!$A:$A, $A21, Raw_Data_Daily!$C:$C, $C$3)*100,""))</f>
        <v>4.16</v>
      </c>
      <c r="O21" s="128">
        <f>IF($A21="","",IFERROR(SUMPRODUCT((Raw_Data_Daily!$B$2:$B$9999="Variant")*(Raw_Data_Daily!$A$2:$A$9999=$A21)*(Raw_Data_Daily!$C$2:$C$9999=$C$3)*Raw_Data_Daily!$D$2:$D$9999*Raw_Data_Daily!$H$2:$H$9999/100)/SUMIFS(Raw_Data_Daily!$D:$D, Raw_Data_Daily!$B:$B, "Variant", Raw_Data_Daily!$A:$A, $A21, Raw_Data_Daily!$C:$C, $C$3)*100,""))</f>
        <v>3.57</v>
      </c>
      <c r="P21" s="130">
        <f t="shared" si="5"/>
        <v>-0.1418269231</v>
      </c>
      <c r="Q21" s="131">
        <f>IF($A21="","",IFERROR(SUMIFS(Raw_Data_Daily!$F:$F, Raw_Data_Daily!$B:$B, "Control", Raw_Data_Daily!$A:$A, $A21, Raw_Data_Daily!$C:$C, $C$3)/SUMPRODUCT((Raw_Data_Daily!$B$2:$B$9999="Control")*(Raw_Data_Daily!$A$2:$A$9999=$A21)*(Raw_Data_Daily!$C$2:$C$9999=$C$3)*Raw_Data_Daily!$D$2:$D$9999*Raw_Data_Daily!$H$2:$H$9999/100),""))</f>
        <v>8.840399736</v>
      </c>
      <c r="R21" s="131">
        <f>IF($A21="","",IFERROR(SUMIFS(Raw_Data_Daily!$F:$F, Raw_Data_Daily!$B:$B, "Variant", Raw_Data_Daily!$A:$A, $A21, Raw_Data_Daily!$C:$C, $C$3)/SUMPRODUCT((Raw_Data_Daily!$B$2:$B$9999="Variant")*(Raw_Data_Daily!$A$2:$A$9999=$A21)*(Raw_Data_Daily!$C$2:$C$9999=$C$3)*Raw_Data_Daily!$D$2:$D$9999*Raw_Data_Daily!$H$2:$H$9999/100),""))</f>
        <v>4.161192501</v>
      </c>
      <c r="S21" s="130">
        <f t="shared" si="6"/>
        <v>-0.5292981511</v>
      </c>
      <c r="T21" s="132">
        <f>IF($A21="","",IFERROR(SUMPRODUCT((Raw_Data_Daily!$B$2:$B$9999="Control")*(Raw_Data_Daily!$A$2:$A$9999=$A21)*(Raw_Data_Daily!$C$2:$C$9999=$C$3)*Raw_Data_Daily!$D$2:$D$9999*Raw_Data_Daily!$J$2:$J$9999)/SUMIFS(Raw_Data_Daily!$D:$D, Raw_Data_Daily!$B:$B, "Control", Raw_Data_Daily!$A:$A, $A21, Raw_Data_Daily!$C:$C, $C$3),""))</f>
        <v>118.25</v>
      </c>
      <c r="U21" s="132">
        <f>IF($A21="","",IFERROR(SUMPRODUCT((Raw_Data_Daily!$B$2:$B$9999="Variant")*(Raw_Data_Daily!$A$2:$A$9999=$A21)*(Raw_Data_Daily!$C$2:$C$9999=$C$3)*Raw_Data_Daily!$D$2:$D$9999*Raw_Data_Daily!$J$2:$J$9999)/SUMIFS(Raw_Data_Daily!$D:$D, Raw_Data_Daily!$B:$B, "Variant", Raw_Data_Daily!$A:$A, $A21, Raw_Data_Daily!$C:$C, $C$3),""))</f>
        <v>123.48</v>
      </c>
      <c r="V21" s="130">
        <f t="shared" si="7"/>
        <v>0.04422832981</v>
      </c>
      <c r="W21" s="132">
        <f>IF($A21="","",IFERROR(SUMPRODUCT((Raw_Data_Daily!$B$2:$B$9999="Control")*(Raw_Data_Daily!$A$2:$A$9999=$A21)*(Raw_Data_Daily!$C$2:$C$9999=$C$3)*Raw_Data_Daily!$D$2:$D$9999*Raw_Data_Daily!$K$2:$K$9999)/SUMIFS(Raw_Data_Daily!$D:$D, Raw_Data_Daily!$B:$B, "Control", Raw_Data_Daily!$A:$A, $A21, Raw_Data_Daily!$C:$C, $C$3),""))</f>
        <v>73.52</v>
      </c>
      <c r="X21" s="132">
        <f>IF($A21="","",IFERROR(SUMPRODUCT((Raw_Data_Daily!$B$2:$B$9999="Variant")*(Raw_Data_Daily!$A$2:$A$9999=$A21)*(Raw_Data_Daily!$C$2:$C$9999=$C$3)*Raw_Data_Daily!$D$2:$D$9999*Raw_Data_Daily!$K$2:$K$9999)/SUMIFS(Raw_Data_Daily!$D:$D, Raw_Data_Daily!$B:$B, "Variant", Raw_Data_Daily!$A:$A, $A21, Raw_Data_Daily!$C:$C, $C$3),""))</f>
        <v>76.56</v>
      </c>
      <c r="Y21" s="130">
        <f t="shared" si="8"/>
        <v>0.04134929271</v>
      </c>
      <c r="Z21" s="132">
        <f>IF($A21="","",IFERROR(SUMPRODUCT((Raw_Data_Daily!$B$2:$B$9999="Control")*(Raw_Data_Daily!$A$2:$A$9999=$A21)*(Raw_Data_Daily!$C$2:$C$9999=$C$3)*Raw_Data_Daily!$D$2:$D$9999*Raw_Data_Daily!$L$2:$L$9999)/SUMIFS(Raw_Data_Daily!$D:$D, Raw_Data_Daily!$B:$B, "Control", Raw_Data_Daily!$A:$A, $A21, Raw_Data_Daily!$C:$C, $C$3),""))</f>
        <v>55.74</v>
      </c>
      <c r="AA21" s="132">
        <f>IF($A21="","",IFERROR(SUMPRODUCT((Raw_Data_Daily!$B$2:$B$9999="Variant")*(Raw_Data_Daily!$A$2:$A$9999=$A21)*(Raw_Data_Daily!$C$2:$C$9999=$C$3)*Raw_Data_Daily!$D$2:$D$9999*Raw_Data_Daily!$L$2:$L$9999)/SUMIFS(Raw_Data_Daily!$D:$D, Raw_Data_Daily!$B:$B, "Variant", Raw_Data_Daily!$A:$A, $A21, Raw_Data_Daily!$C:$C, $C$3),""))</f>
        <v>56.97</v>
      </c>
      <c r="AB21" s="130">
        <f t="shared" si="9"/>
        <v>0.02206673843</v>
      </c>
      <c r="AC21" s="137">
        <f>IF($A21="","",IFERROR(SUMPRODUCT((Raw_Data_Daily!$B$2:$B$9999="Control")*(Raw_Data_Daily!$A$2:$A$9999=$A21)*(Raw_Data_Daily!$C$2:$C$9999=$C$3)*Raw_Data_Daily!$D$2:$D$9999*Raw_Data_Daily!$M$2:$M$9999)/SUMIFS(Raw_Data_Daily!$D:$D, Raw_Data_Daily!$B:$B, "Control", Raw_Data_Daily!$A:$A, $A21, Raw_Data_Daily!$C:$C, $C$3),""))</f>
        <v>0.7581</v>
      </c>
      <c r="AD21" s="137">
        <f>IF($A21="","",IFERROR(SUMPRODUCT((Raw_Data_Daily!$B$2:$B$9999="Variant")*(Raw_Data_Daily!$A$2:$A$9999=$A21)*(Raw_Data_Daily!$C$2:$C$9999=$C$3)*Raw_Data_Daily!$D$2:$D$9999*Raw_Data_Daily!$M$2:$M$9999)/SUMIFS(Raw_Data_Daily!$D:$D, Raw_Data_Daily!$B:$B, "Variant", Raw_Data_Daily!$A:$A, $A21, Raw_Data_Daily!$C:$C, $C$3),""))</f>
        <v>0.7442</v>
      </c>
      <c r="AE21" s="139">
        <f t="shared" si="10"/>
        <v>-0.01833531196</v>
      </c>
      <c r="AF21" s="137">
        <f>IF($A21="","",IFERROR(SUMPRODUCT((Raw_Data_Daily!$B$2:$B$9999="Control")*(Raw_Data_Daily!$A$2:$A$9999=$A21)*(Raw_Data_Daily!$C$2:$C$9999=$C$3)*Raw_Data_Daily!$D$2:$D$9999*Raw_Data_Daily!$N$2:$N$9999)/SUMIFS(Raw_Data_Daily!$D:$D, Raw_Data_Daily!$B:$B, "Control", Raw_Data_Daily!$A:$A, $A21, Raw_Data_Daily!$C:$C, $C$3),""))</f>
        <v>0.359</v>
      </c>
      <c r="AG21" s="137">
        <f>IF($A21="","",IFERROR(SUMPRODUCT((Raw_Data_Daily!$B$2:$B$9999="Variant")*(Raw_Data_Daily!$A$2:$A$9999=$A21)*(Raw_Data_Daily!$C$2:$C$9999=$C$3)*Raw_Data_Daily!$D$2:$D$9999*Raw_Data_Daily!$N$2:$N$9999)/SUMIFS(Raw_Data_Daily!$D:$D, Raw_Data_Daily!$B:$B, "Variant", Raw_Data_Daily!$A:$A, $A21, Raw_Data_Daily!$C:$C, $C$3),""))</f>
        <v>0.3658</v>
      </c>
      <c r="AH21" s="139">
        <f t="shared" si="11"/>
        <v>0.01894150418</v>
      </c>
      <c r="AI21" s="137">
        <f>IF($A21="","",IFERROR(SUMPRODUCT((Raw_Data_Daily!$B$2:$B$9999="Control")*(Raw_Data_Daily!$A$2:$A$9999=$A21)*(Raw_Data_Daily!$C$2:$C$9999=$C$3)*Raw_Data_Daily!$D$2:$D$9999*Raw_Data_Daily!$O$2:$O$9999)/SUMIFS(Raw_Data_Daily!$D:$D, Raw_Data_Daily!$B:$B, "Control", Raw_Data_Daily!$A:$A, $A21, Raw_Data_Daily!$C:$C, $C$3),""))</f>
        <v>0.2422</v>
      </c>
      <c r="AJ21" s="137">
        <f>IF($A21="","",IFERROR(SUMPRODUCT((Raw_Data_Daily!$B$2:$B$9999="Variant")*(Raw_Data_Daily!$A$2:$A$9999=$A21)*(Raw_Data_Daily!$C$2:$C$9999=$C$3)*Raw_Data_Daily!$D$2:$D$9999*Raw_Data_Daily!$O$2:$O$9999)/SUMIFS(Raw_Data_Daily!$D:$D, Raw_Data_Daily!$B:$B, "Variant", Raw_Data_Daily!$A:$A, $A21, Raw_Data_Daily!$C:$C, $C$3),""))</f>
        <v>0.2369</v>
      </c>
      <c r="AK21" s="130">
        <f t="shared" si="12"/>
        <v>-0.02188274154</v>
      </c>
      <c r="AL21" s="132">
        <f>IF($A21="","",IFERROR(SUMPRODUCT((Raw_Data_Daily!$B$2:$B$9999="Control")*(Raw_Data_Daily!$A$2:$A$9999=$A21)*(Raw_Data_Daily!$C$2:$C$9999=$C$3)*Raw_Data_Daily!$D$2:$D$9999*Raw_Data_Daily!$P$2:$P$9999)/SUMIFS(Raw_Data_Daily!$D:$D, Raw_Data_Daily!$B:$B, "Control", Raw_Data_Daily!$A:$A, $A21, Raw_Data_Daily!$C:$C, $C$3),""))</f>
        <v>1.3191</v>
      </c>
      <c r="AM21" s="132">
        <f>IF($A21="","",IFERROR(SUMPRODUCT((Raw_Data_Daily!$B$2:$B$9999="Variant")*(Raw_Data_Daily!$A$2:$A$9999=$A21)*(Raw_Data_Daily!$C$2:$C$9999=$C$3)*Raw_Data_Daily!$D$2:$D$9999*Raw_Data_Daily!$P$2:$P$9999)/SUMIFS(Raw_Data_Daily!$D:$D, Raw_Data_Daily!$B:$B, "Variant", Raw_Data_Daily!$A:$A, $A21, Raw_Data_Daily!$C:$C, $C$3),""))</f>
        <v>1.3437</v>
      </c>
      <c r="AN21" s="130">
        <f t="shared" si="13"/>
        <v>0.01864907892</v>
      </c>
      <c r="AO21" s="132">
        <f>IF($A21="","",IFERROR(SUMPRODUCT((Raw_Data_Daily!$B$2:$B$9999="Control")*(Raw_Data_Daily!$A$2:$A$9999=$A21)*(Raw_Data_Daily!$C$2:$C$9999=$C$3)*Raw_Data_Daily!$D$2:$D$9999*Raw_Data_Daily!$Q$2:$Q$9999)/SUMIFS(Raw_Data_Daily!$D:$D, Raw_Data_Daily!$B:$B, "Control", Raw_Data_Daily!$A:$A, $A21, Raw_Data_Daily!$C:$C, $C$3),""))</f>
        <v>379.3</v>
      </c>
      <c r="AP21" s="132">
        <f>IF($A21="","",IFERROR(SUMPRODUCT((Raw_Data_Daily!$B$2:$B$9999="Variant")*(Raw_Data_Daily!$A$2:$A$9999=$A21)*(Raw_Data_Daily!$C$2:$C$9999=$C$3)*Raw_Data_Daily!$D$2:$D$9999*Raw_Data_Daily!$Q$2:$Q$9999)/SUMIFS(Raw_Data_Daily!$D:$D, Raw_Data_Daily!$B:$B, "Variant", Raw_Data_Daily!$A:$A, $A21, Raw_Data_Daily!$C:$C, $C$3),""))</f>
        <v>342.49</v>
      </c>
      <c r="AQ21" s="127">
        <f t="shared" si="14"/>
        <v>-0.0970471922</v>
      </c>
      <c r="AR21" s="132">
        <f>IF($A21="","",IFERROR(SUMPRODUCT((Raw_Data_Daily!$B$2:$B$9999="Control")*(Raw_Data_Daily!$A$2:$A$9999=$A21)*(Raw_Data_Daily!$C$2:$C$9999=$C$3)*Raw_Data_Daily!$D$2:$D$9999*Raw_Data_Daily!$R$2:$R$9999)/SUMIFS(Raw_Data_Daily!$D:$D, Raw_Data_Daily!$B:$B, "Control", Raw_Data_Daily!$A:$A, $A21, Raw_Data_Daily!$C:$C, $C$3),""))</f>
        <v>268.23</v>
      </c>
      <c r="AS21" s="132">
        <f>IF($A21="","",IFERROR(SUMPRODUCT((Raw_Data_Daily!$B$2:$B$9999="Variant")*(Raw_Data_Daily!$A$2:$A$9999=$A21)*(Raw_Data_Daily!$C$2:$C$9999=$C$3)*Raw_Data_Daily!$D$2:$D$9999*Raw_Data_Daily!$R$2:$R$9999)/SUMIFS(Raw_Data_Daily!$D:$D, Raw_Data_Daily!$B:$B, "Variant", Raw_Data_Daily!$A:$A, $A21, Raw_Data_Daily!$C:$C, $C$3),""))</f>
        <v>310.15</v>
      </c>
      <c r="AT21" s="127">
        <f t="shared" si="15"/>
        <v>0.1562837863</v>
      </c>
      <c r="AU21" s="132">
        <f>IF($A21="","",IFERROR(SUMPRODUCT((Raw_Data_Daily!$B$2:$B$9999="Control")*(Raw_Data_Daily!$A$2:$A$9999=$A21)*(Raw_Data_Daily!$C$2:$C$9999=$C$3)*Raw_Data_Daily!$D$2:$D$9999*Raw_Data_Daily!$S$2:$S$9999)/SUMIFS(Raw_Data_Daily!$D:$D, Raw_Data_Daily!$B:$B, "Control", Raw_Data_Daily!$A:$A, $A21, Raw_Data_Daily!$C:$C, $C$3),""))</f>
        <v>111.08</v>
      </c>
      <c r="AV21" s="132">
        <f>IF($A21="","",IFERROR(SUMPRODUCT((Raw_Data_Daily!$B$2:$B$9999="Variant")*(Raw_Data_Daily!$A$2:$A$9999=$A21)*(Raw_Data_Daily!$C$2:$C$9999=$C$3)*Raw_Data_Daily!$D$2:$D$9999*Raw_Data_Daily!$S$2:$S$9999)/SUMIFS(Raw_Data_Daily!$D:$D, Raw_Data_Daily!$B:$B, "Variant", Raw_Data_Daily!$A:$A, $A21, Raw_Data_Daily!$C:$C, $C$3),""))</f>
        <v>32.35</v>
      </c>
      <c r="AW21" s="127">
        <f t="shared" si="16"/>
        <v>-0.7087684552</v>
      </c>
      <c r="AX21" s="132">
        <f>IF($A21="","",IFERROR(SUMPRODUCT((Raw_Data_Daily!$B$2:$B$9999="Control")*(Raw_Data_Daily!$A$2:$A$9999=$A21)*(Raw_Data_Daily!$C$2:$C$9999=$C$3)*Raw_Data_Daily!$D$2:$D$9999*Raw_Data_Daily!$T$2:$T$9999)/SUMIFS(Raw_Data_Daily!$D:$D, Raw_Data_Daily!$B:$B, "Control", Raw_Data_Daily!$A:$A, $A21, Raw_Data_Daily!$C:$C, $C$3),""))</f>
        <v>31.97</v>
      </c>
      <c r="AY21" s="132">
        <f>IF($A21="","",IFERROR(SUMPRODUCT((Raw_Data_Daily!$B$2:$B$9999="Variant")*(Raw_Data_Daily!$A$2:$A$9999=$A21)*(Raw_Data_Daily!$C$2:$C$9999=$C$3)*Raw_Data_Daily!$D$2:$D$9999*Raw_Data_Daily!$T$2:$T$9999)/SUMIFS(Raw_Data_Daily!$D:$D, Raw_Data_Daily!$B:$B, "Variant", Raw_Data_Daily!$A:$A, $A21, Raw_Data_Daily!$C:$C, $C$3),""))</f>
        <v>14.5</v>
      </c>
      <c r="AZ21" s="130">
        <f t="shared" si="17"/>
        <v>-0.5464497967</v>
      </c>
      <c r="BA21" s="132">
        <f>IF($A21="","",IFERROR(SUMPRODUCT((Raw_Data_Daily!$B$2:$B$9999="Control")*(Raw_Data_Daily!$A$2:$A$9999=$A21)*(Raw_Data_Daily!$C$2:$C$9999=$C$3)*Raw_Data_Daily!$D$2:$D$9999*Raw_Data_Daily!$U$2:$U$9999)/SUMIFS(Raw_Data_Daily!$D:$D, Raw_Data_Daily!$B:$B, "Control", Raw_Data_Daily!$A:$A, $A21, Raw_Data_Daily!$C:$C, $C$3),""))</f>
        <v>347.33</v>
      </c>
      <c r="BB21" s="132">
        <f>IF($A21="","",IFERROR(SUMPRODUCT((Raw_Data_Daily!$B$2:$B$9999="Variant")*(Raw_Data_Daily!$A$2:$A$9999=$A21)*(Raw_Data_Daily!$C$2:$C$9999=$C$3)*Raw_Data_Daily!$D$2:$D$9999*Raw_Data_Daily!$U$2:$U$9999)/SUMIFS(Raw_Data_Daily!$D:$D, Raw_Data_Daily!$B:$B, "Variant", Raw_Data_Daily!$A:$A, $A21, Raw_Data_Daily!$C:$C, $C$3),""))</f>
        <v>328</v>
      </c>
      <c r="BC21" s="127">
        <f t="shared" si="18"/>
        <v>-0.05565312527</v>
      </c>
      <c r="BD21" s="132">
        <f>IF($A21="","",IFERROR(SUMPRODUCT((Raw_Data_Daily!$B$2:$B$9999="Control")*(Raw_Data_Daily!$A$2:$A$9999=$A21)*(Raw_Data_Daily!$C$2:$C$9999=$C$3)*Raw_Data_Daily!$D$2:$D$9999*Raw_Data_Daily!$V$2:$V$9999)/SUMIFS(Raw_Data_Daily!$D:$D, Raw_Data_Daily!$B:$B, "Control", Raw_Data_Daily!$A:$A, $A21, Raw_Data_Daily!$C:$C, $C$3),""))</f>
        <v>364.6</v>
      </c>
      <c r="BE21" s="132">
        <f>IF($A21="","",IFERROR(SUMPRODUCT((Raw_Data_Daily!$B$2:$B$9999="Variant")*(Raw_Data_Daily!$A$2:$A$9999=$A21)*(Raw_Data_Daily!$C$2:$C$9999=$C$3)*Raw_Data_Daily!$D$2:$D$9999*Raw_Data_Daily!$V$2:$V$9999)/SUMIFS(Raw_Data_Daily!$D:$D, Raw_Data_Daily!$B:$B, "Variant", Raw_Data_Daily!$A:$A, $A21, Raw_Data_Daily!$C:$C, $C$3),""))</f>
        <v>305.81</v>
      </c>
      <c r="BF21" s="127">
        <f t="shared" si="19"/>
        <v>-0.1612452002</v>
      </c>
      <c r="BG21" s="132">
        <f>IF($A21="","",IFERROR(SUMPRODUCT((Raw_Data_Daily!$B$2:$B$9999="Control")*(Raw_Data_Daily!$A$2:$A$9999=$A21)*(Raw_Data_Daily!$C$2:$C$9999=$C$3)*Raw_Data_Daily!$D$2:$D$9999*(Raw_Data_Daily!$Q$2:$Q$9999-Raw_Data_Daily!$V$2:$V$9999))/SUMIFS(Raw_Data_Daily!$D:$D, Raw_Data_Daily!$B:$B, "Control", Raw_Data_Daily!$A:$A, $A21, Raw_Data_Daily!$C:$C, $C$3),""))</f>
        <v>14.7</v>
      </c>
      <c r="BH21" s="132">
        <f>IF($A21="","",IFERROR(SUMPRODUCT((Raw_Data_Daily!$B$2:$B$9999="Variant")*(Raw_Data_Daily!$A$2:$A$9999=$A21)*(Raw_Data_Daily!$C$2:$C$9999=$C$3)*Raw_Data_Daily!$D$2:$D$9999*(Raw_Data_Daily!$Q$2:$Q$9999-Raw_Data_Daily!$V$2:$V$9999))/SUMIFS(Raw_Data_Daily!$D:$D, Raw_Data_Daily!$B:$B, "Variant", Raw_Data_Daily!$A:$A, $A21, Raw_Data_Daily!$C:$C, $C$3),""))</f>
        <v>36.68</v>
      </c>
      <c r="BI21" s="127">
        <f t="shared" si="20"/>
        <v>1.495238095</v>
      </c>
      <c r="BJ21" s="132">
        <f>IF($A21="","",IFERROR(SUMPRODUCT((Raw_Data_Daily!$B$2:$B$9999="Control")*(Raw_Data_Daily!$A$2:$A$9999=$A21)*(Raw_Data_Daily!$C$2:$C$9999=$C$3)*Raw_Data_Daily!$D$2:$D$9999*Raw_Data_Daily!$W$2:$W$9999)/SUMIFS(Raw_Data_Daily!$D:$D, Raw_Data_Daily!$B:$B, "Control", Raw_Data_Daily!$A:$A, $A21, Raw_Data_Daily!$C:$C, $C$3),""))</f>
        <v>4.9592</v>
      </c>
      <c r="BK21" s="132">
        <f>IF($A21="","",IFERROR(SUMPRODUCT((Raw_Data_Daily!$B$2:$B$9999="Variant")*(Raw_Data_Daily!$A$2:$A$9999=$A21)*(Raw_Data_Daily!$C$2:$C$9999=$C$3)*Raw_Data_Daily!$D$2:$D$9999*Raw_Data_Daily!$W$2:$W$9999)/SUMIFS(Raw_Data_Daily!$D:$D, Raw_Data_Daily!$B:$B, "Variant", Raw_Data_Daily!$A:$A, $A21, Raw_Data_Daily!$C:$C, $C$3),""))</f>
        <v>3.9946</v>
      </c>
      <c r="BL21" s="127">
        <f t="shared" si="21"/>
        <v>-0.1945071786</v>
      </c>
      <c r="BM21" s="137">
        <f>IF($A21="","",IFERROR(SUMPRODUCT((Raw_Data_Daily!$B$2:$B$9999="Control")*(Raw_Data_Daily!$A$2:$A$9999=$A21)*(Raw_Data_Daily!$C$2:$C$9999=$C$3)*Raw_Data_Daily!$D$2:$D$9999*Raw_Data_Daily!$X$2:$X$9999)/SUMIFS(Raw_Data_Daily!$D:$D, Raw_Data_Daily!$B:$B, "Control", Raw_Data_Daily!$A:$A, $A21, Raw_Data_Daily!$C:$C, $C$3),""))</f>
        <v>8.43</v>
      </c>
      <c r="BN21" s="137">
        <f>IF($A21="","",IFERROR(SUMPRODUCT((Raw_Data_Daily!$B$2:$B$9999="Variant")*(Raw_Data_Daily!$A$2:$A$9999=$A21)*(Raw_Data_Daily!$C$2:$C$9999=$C$3)*Raw_Data_Daily!$D$2:$D$9999*Raw_Data_Daily!$X$2:$X$9999)/SUMIFS(Raw_Data_Daily!$D:$D, Raw_Data_Daily!$B:$B, "Variant", Raw_Data_Daily!$A:$A, $A21, Raw_Data_Daily!$C:$C, $C$3),""))</f>
        <v>4.23</v>
      </c>
      <c r="BO21" s="130">
        <f t="shared" si="22"/>
        <v>-0.4982206406</v>
      </c>
      <c r="BP21" s="126">
        <f>IF($A21="","",IFERROR(SUMPRODUCT((Raw_Data_Daily!$B$2:$B$9999="Control")*(Raw_Data_Daily!$A$2:$A$9999=$A21)*(Raw_Data_Daily!$C$2:$C$9999=$C$3)*Raw_Data_Daily!$D$2:$D$9999*Raw_Data_Daily!$Y$2:$Y$9999)/SUMIFS(Raw_Data_Daily!$D:$D, Raw_Data_Daily!$B:$B, "Control", Raw_Data_Daily!$A:$A, $A21, Raw_Data_Daily!$C:$C, $C$3),""))</f>
        <v>380</v>
      </c>
      <c r="BQ21" s="126">
        <f>IF($A21="","",IFERROR(SUMPRODUCT((Raw_Data_Daily!$B$2:$B$9999="Variant")*(Raw_Data_Daily!$A$2:$A$9999=$A21)*(Raw_Data_Daily!$C$2:$C$9999=$C$3)*Raw_Data_Daily!$D$2:$D$9999*Raw_Data_Daily!$Y$2:$Y$9999)/SUMIFS(Raw_Data_Daily!$D:$D, Raw_Data_Daily!$B:$B, "Variant", Raw_Data_Daily!$A:$A, $A21, Raw_Data_Daily!$C:$C, $C$3),""))</f>
        <v>342</v>
      </c>
      <c r="BR21" s="127">
        <f t="shared" si="23"/>
        <v>-0.1</v>
      </c>
      <c r="BS21" s="126">
        <f>IF($A21="","",IFERROR(SUMPRODUCT((Raw_Data_Daily!$B$2:$B$9999="Control")*(Raw_Data_Daily!$A$2:$A$9999=$A21)*(Raw_Data_Daily!$C$2:$C$9999=$C$3)*Raw_Data_Daily!$D$2:$D$9999*Raw_Data_Daily!$Z$2:$Z$9999)/SUMIFS(Raw_Data_Daily!$D:$D, Raw_Data_Daily!$B:$B, "Control", Raw_Data_Daily!$A:$A, $A21, Raw_Data_Daily!$C:$C, $C$3),""))</f>
        <v>685</v>
      </c>
      <c r="BT21" s="126">
        <f>IF($A21="","",IFERROR(SUMPRODUCT((Raw_Data_Daily!$B$2:$B$9999="Variant")*(Raw_Data_Daily!$A$2:$A$9999=$A21)*(Raw_Data_Daily!$C$2:$C$9999=$C$3)*Raw_Data_Daily!$D$2:$D$9999*Raw_Data_Daily!$Z$2:$Z$9999)/SUMIFS(Raw_Data_Daily!$D:$D, Raw_Data_Daily!$B:$B, "Variant", Raw_Data_Daily!$A:$A, $A21, Raw_Data_Daily!$C:$C, $C$3),""))</f>
        <v>595</v>
      </c>
      <c r="BU21" s="127">
        <f t="shared" si="24"/>
        <v>-0.1313868613</v>
      </c>
      <c r="BV21" s="126">
        <f>IF($A21="","",IFERROR(SUMPRODUCT((Raw_Data_Daily!$B$2:$B$9999="Control")*(Raw_Data_Daily!$A$2:$A$9999=$A21)*(Raw_Data_Daily!$C$2:$C$9999=$C$3)*Raw_Data_Daily!$D$2:$D$9999*Raw_Data_Daily!$AA$2:$AA$9999)/SUMIFS(Raw_Data_Daily!$D:$D, Raw_Data_Daily!$B:$B, "Control", Raw_Data_Daily!$A:$A, $A21, Raw_Data_Daily!$C:$C, $C$3),""))</f>
        <v>1538</v>
      </c>
      <c r="BW21" s="126">
        <f>IF($A21="","",IFERROR(SUMPRODUCT((Raw_Data_Daily!$B$2:$B$9999="Variant")*(Raw_Data_Daily!$A$2:$A$9999=$A21)*(Raw_Data_Daily!$C$2:$C$9999=$C$3)*Raw_Data_Daily!$D$2:$D$9999*Raw_Data_Daily!$AA$2:$AA$9999)/SUMIFS(Raw_Data_Daily!$D:$D, Raw_Data_Daily!$B:$B, "Variant", Raw_Data_Daily!$A:$A, $A21, Raw_Data_Daily!$C:$C, $C$3),""))</f>
        <v>1355</v>
      </c>
      <c r="BX21" s="127">
        <f t="shared" si="25"/>
        <v>-0.1189856957</v>
      </c>
      <c r="BY21" s="132">
        <f>IF($A21="","",IFERROR(SUMPRODUCT((Raw_Data_Daily!$B$2:$B$9999="Control")*(Raw_Data_Daily!$A$2:$A$9999=$A21)*(Raw_Data_Daily!$C$2:$C$9999=$C$3)*Raw_Data_Daily!$D$2:$D$9999*Raw_Data_Daily!$AB$2:$AB$9999)/SUMIFS(Raw_Data_Daily!$D:$D, Raw_Data_Daily!$B:$B, "Control", Raw_Data_Daily!$A:$A, $A21, Raw_Data_Daily!$C:$C, $C$3),""))</f>
        <v>55.6308</v>
      </c>
      <c r="BZ21" s="132">
        <f>IF($A21="","",IFERROR(SUMPRODUCT((Raw_Data_Daily!$B$2:$B$9999="Variant")*(Raw_Data_Daily!$A$2:$A$9999=$A21)*(Raw_Data_Daily!$C$2:$C$9999=$C$3)*Raw_Data_Daily!$D$2:$D$9999*Raw_Data_Daily!$AB$2:$AB$9999)/SUMIFS(Raw_Data_Daily!$D:$D, Raw_Data_Daily!$B:$B, "Variant", Raw_Data_Daily!$A:$A, $A21, Raw_Data_Daily!$C:$C, $C$3),""))</f>
        <v>55.2668</v>
      </c>
      <c r="CA21" s="130">
        <f t="shared" si="26"/>
        <v>-0.006543137974</v>
      </c>
      <c r="CB21" s="132">
        <f>IF($A21="","",IFERROR(SUMPRODUCT((Raw_Data_Daily!$B$2:$B$9999="Control")*(Raw_Data_Daily!$A$2:$A$9999=$A21)*(Raw_Data_Daily!$C$2:$C$9999=$C$3)*Raw_Data_Daily!$D$2:$D$9999*Raw_Data_Daily!$AC$2:$AC$9999)/SUMIFS(Raw_Data_Daily!$D:$D, Raw_Data_Daily!$B:$B, "Control", Raw_Data_Daily!$A:$A, $A21, Raw_Data_Daily!$C:$C, $C$3),""))</f>
        <v>0.7558</v>
      </c>
      <c r="CC21" s="132">
        <f>IF($A21="","",IFERROR(SUMPRODUCT((Raw_Data_Daily!$B$2:$B$9999="Variant")*(Raw_Data_Daily!$A$2:$A$9999=$A21)*(Raw_Data_Daily!$C$2:$C$9999=$C$3)*Raw_Data_Daily!$D$2:$D$9999*Raw_Data_Daily!$AC$2:$AC$9999)/SUMIFS(Raw_Data_Daily!$D:$D, Raw_Data_Daily!$B:$B, "Variant", Raw_Data_Daily!$A:$A, $A21, Raw_Data_Daily!$C:$C, $C$3),""))</f>
        <v>0.7307</v>
      </c>
      <c r="CD21" s="130">
        <f t="shared" si="27"/>
        <v>-0.03320984387</v>
      </c>
      <c r="CE21" s="132">
        <f>IF($A21="","",IFERROR(SUMPRODUCT((Raw_Data_Daily!$B$2:$B$9999="Control")*(Raw_Data_Daily!$A$2:$A$9999=$A21)*(Raw_Data_Daily!$C$2:$C$9999=$C$3)*Raw_Data_Daily!$D$2:$D$9999*Raw_Data_Daily!$AD$2:$AD$9999)/SUMIFS(Raw_Data_Daily!$D:$D, Raw_Data_Daily!$B:$B, "Control", Raw_Data_Daily!$A:$A, $A21, Raw_Data_Daily!$C:$C, $C$3),""))</f>
        <v>28.79</v>
      </c>
      <c r="CF21" s="132">
        <f>IF($A21="","",IFERROR(SUMPRODUCT((Raw_Data_Daily!$B$2:$B$9999="Variant")*(Raw_Data_Daily!$A$2:$A$9999=$A21)*(Raw_Data_Daily!$C$2:$C$9999=$C$3)*Raw_Data_Daily!$D$2:$D$9999*Raw_Data_Daily!$AD$2:$AD$9999)/SUMIFS(Raw_Data_Daily!$D:$D, Raw_Data_Daily!$B:$B, "Variant", Raw_Data_Daily!$A:$A, $A21, Raw_Data_Daily!$C:$C, $C$3),""))</f>
        <v>28.44</v>
      </c>
      <c r="CG21" s="130">
        <f t="shared" si="28"/>
        <v>-0.01215699896</v>
      </c>
      <c r="CH21" s="132">
        <f>IF($A21="","",IFERROR(SUMPRODUCT((Raw_Data_Daily!$B$2:$B$9999="Control")*(Raw_Data_Daily!$A$2:$A$9999=$A21)*(Raw_Data_Daily!$C$2:$C$9999=$C$3)*Raw_Data_Daily!$D$2:$D$9999*Raw_Data_Daily!$AE$2:$AE$9999)/SUMIFS(Raw_Data_Daily!$D:$D, Raw_Data_Daily!$B:$B, "Control", Raw_Data_Daily!$A:$A, $A21, Raw_Data_Daily!$C:$C, $C$3),""))</f>
        <v>11</v>
      </c>
      <c r="CI21" s="132">
        <f>IF($A21="","",IFERROR(SUMPRODUCT((Raw_Data_Daily!$B$2:$B$9999="Variant")*(Raw_Data_Daily!$A$2:$A$9999=$A21)*(Raw_Data_Daily!$C$2:$C$9999=$C$3)*Raw_Data_Daily!$D$2:$D$9999*Raw_Data_Daily!$AE$2:$AE$9999)/SUMIFS(Raw_Data_Daily!$D:$D, Raw_Data_Daily!$B:$B, "Variant", Raw_Data_Daily!$A:$A, $A21, Raw_Data_Daily!$C:$C, $C$3),""))</f>
        <v>11</v>
      </c>
      <c r="CJ21" s="130">
        <f t="shared" si="29"/>
        <v>0</v>
      </c>
      <c r="CK21" s="132">
        <f>IF($A21="","",IFERROR(SUMPRODUCT((Raw_Data_Daily!$B$2:$B$9999="Control")*(Raw_Data_Daily!$A$2:$A$9999=$A21)*(Raw_Data_Daily!$C$2:$C$9999=$C$3)*Raw_Data_Daily!$D$2:$D$9999*Raw_Data_Daily!$AF$2:$AF$9999)/SUMIFS(Raw_Data_Daily!$D:$D, Raw_Data_Daily!$B:$B, "Control", Raw_Data_Daily!$A:$A, $A21, Raw_Data_Daily!$C:$C, $C$3),""))</f>
        <v>21</v>
      </c>
      <c r="CL21" s="132">
        <f>IF($A21="","",IFERROR(SUMPRODUCT((Raw_Data_Daily!$B$2:$B$9999="Variant")*(Raw_Data_Daily!$A$2:$A$9999=$A21)*(Raw_Data_Daily!$C$2:$C$9999=$C$3)*Raw_Data_Daily!$D$2:$D$9999*Raw_Data_Daily!$AF$2:$AF$9999)/SUMIFS(Raw_Data_Daily!$D:$D, Raw_Data_Daily!$B:$B, "Variant", Raw_Data_Daily!$A:$A, $A21, Raw_Data_Daily!$C:$C, $C$3),""))</f>
        <v>21</v>
      </c>
      <c r="CM21" s="130">
        <f t="shared" si="30"/>
        <v>0</v>
      </c>
      <c r="CN21" s="132">
        <f>IF($A21="","",IFERROR(SUMPRODUCT((Raw_Data_Daily!$B$2:$B$9999="Control")*(Raw_Data_Daily!$A$2:$A$9999=$A21)*(Raw_Data_Daily!$C$2:$C$9999=$C$3)*Raw_Data_Daily!$D$2:$D$9999*Raw_Data_Daily!$AG$2:$AG$9999)/SUMIFS(Raw_Data_Daily!$D:$D, Raw_Data_Daily!$B:$B, "Control", Raw_Data_Daily!$A:$A, $A21, Raw_Data_Daily!$C:$C, $C$3),""))</f>
        <v>39</v>
      </c>
      <c r="CO21" s="132">
        <f>IF($A21="","",IFERROR(SUMPRODUCT((Raw_Data_Daily!$B$2:$B$9999="Variant")*(Raw_Data_Daily!$A$2:$A$9999=$A21)*(Raw_Data_Daily!$C$2:$C$9999=$C$3)*Raw_Data_Daily!$D$2:$D$9999*Raw_Data_Daily!$AG$2:$AG$9999)/SUMIFS(Raw_Data_Daily!$D:$D, Raw_Data_Daily!$B:$B, "Variant", Raw_Data_Daily!$A:$A, $A21, Raw_Data_Daily!$C:$C, $C$3),""))</f>
        <v>39</v>
      </c>
      <c r="CP21" s="130">
        <f t="shared" si="31"/>
        <v>0</v>
      </c>
      <c r="CQ21" s="132">
        <f>IF($A21="","",IFERROR(SUMPRODUCT((Raw_Data_Daily!$B$2:$B$9999="Control")*(Raw_Data_Daily!$A$2:$A$9999=$A21)*(Raw_Data_Daily!$C$2:$C$9999=$C$3)*Raw_Data_Daily!$D$2:$D$9999*Raw_Data_Daily!$AH$2:$AH$9999)/SUMIFS(Raw_Data_Daily!$D:$D, Raw_Data_Daily!$B:$B, "Control", Raw_Data_Daily!$A:$A, $A21, Raw_Data_Daily!$C:$C, $C$3),""))</f>
        <v>59</v>
      </c>
      <c r="CR21" s="132">
        <f>IF($A21="","",IFERROR(SUMPRODUCT((Raw_Data_Daily!$B$2:$B$9999="Variant")*(Raw_Data_Daily!$A$2:$A$9999=$A21)*(Raw_Data_Daily!$C$2:$C$9999=$C$3)*Raw_Data_Daily!$D$2:$D$9999*Raw_Data_Daily!$AH$2:$AH$9999)/SUMIFS(Raw_Data_Daily!$D:$D, Raw_Data_Daily!$B:$B, "Variant", Raw_Data_Daily!$A:$A, $A21, Raw_Data_Daily!$C:$C, $C$3),""))</f>
        <v>58</v>
      </c>
      <c r="CS21" s="130">
        <f t="shared" si="32"/>
        <v>-0.01694915254</v>
      </c>
      <c r="CT21" s="128">
        <f>IF($A21="","",IFERROR(SUMPRODUCT((Raw_Data_Daily!$B$2:$B$9999="Control")*(Raw_Data_Daily!$A$2:$A$9999=$A21)*(Raw_Data_Daily!$C$2:$C$9999=$C$3)*Raw_Data_Daily!$D$2:$D$9999*Raw_Data_Daily!$AI$2:$AI$9999)/SUMIFS(Raw_Data_Daily!$D:$D, Raw_Data_Daily!$B:$B, "Control", Raw_Data_Daily!$A:$A, $A21, Raw_Data_Daily!$C:$C, $C$3),""))</f>
        <v>40.04</v>
      </c>
      <c r="CU21" s="128">
        <f>IF($A21="","",IFERROR(SUMPRODUCT((Raw_Data_Daily!$B$2:$B$9999="Variant")*(Raw_Data_Daily!$A$2:$A$9999=$A21)*(Raw_Data_Daily!$C$2:$C$9999=$C$3)*Raw_Data_Daily!$D$2:$D$9999*Raw_Data_Daily!$AI$2:$AI$9999)/SUMIFS(Raw_Data_Daily!$D:$D, Raw_Data_Daily!$B:$B, "Variant", Raw_Data_Daily!$A:$A, $A21, Raw_Data_Daily!$C:$C, $C$3),""))</f>
        <v>39.17</v>
      </c>
      <c r="CV21" s="139">
        <f t="shared" si="33"/>
        <v>-0.02172827173</v>
      </c>
      <c r="CW21" s="128">
        <f>IF($A21="","",IFERROR(SUMPRODUCT((Raw_Data_Daily!$B$2:$B$9999="Control")*(Raw_Data_Daily!$A$2:$A$9999=$A21)*(Raw_Data_Daily!$C$2:$C$9999=$C$3)*Raw_Data_Daily!$D$2:$D$9999*Raw_Data_Daily!$AJ$2:$AJ$9999)/SUMIFS(Raw_Data_Daily!$D:$D, Raw_Data_Daily!$B:$B, "Control", Raw_Data_Daily!$A:$A, $A21, Raw_Data_Daily!$C:$C, $C$3),""))</f>
        <v>9.87</v>
      </c>
      <c r="CX21" s="128">
        <f>IF($A21="","",IFERROR(SUMPRODUCT((Raw_Data_Daily!$B$2:$B$9999="Variant")*(Raw_Data_Daily!$A$2:$A$9999=$A21)*(Raw_Data_Daily!$C$2:$C$9999=$C$3)*Raw_Data_Daily!$D$2:$D$9999*Raw_Data_Daily!$AJ$2:$AJ$9999)/SUMIFS(Raw_Data_Daily!$D:$D, Raw_Data_Daily!$B:$B, "Variant", Raw_Data_Daily!$A:$A, $A21, Raw_Data_Daily!$C:$C, $C$3),""))</f>
        <v>9.12</v>
      </c>
      <c r="CY21" s="139">
        <f t="shared" si="34"/>
        <v>-0.07598784195</v>
      </c>
      <c r="CZ21" s="128">
        <f>IF($A21="","",IFERROR(SUMPRODUCT((Raw_Data_Daily!$B$2:$B$9999="Control")*(Raw_Data_Daily!$A$2:$A$9999=$A21)*(Raw_Data_Daily!$C$2:$C$9999=$C$3)*Raw_Data_Daily!$D$2:$D$9999*Raw_Data_Daily!$AK$2:$AK$9999)/SUMIFS(Raw_Data_Daily!$D:$D, Raw_Data_Daily!$B:$B, "Control", Raw_Data_Daily!$A:$A, $A21, Raw_Data_Daily!$C:$C, $C$3),""))</f>
        <v>2.04</v>
      </c>
      <c r="DA21" s="128">
        <f>IF($A21="","",IFERROR(SUMPRODUCT((Raw_Data_Daily!$B$2:$B$9999="Variant")*(Raw_Data_Daily!$A$2:$A$9999=$A21)*(Raw_Data_Daily!$C$2:$C$9999=$C$3)*Raw_Data_Daily!$D$2:$D$9999*Raw_Data_Daily!$AK$2:$AK$9999)/SUMIFS(Raw_Data_Daily!$D:$D, Raw_Data_Daily!$B:$B, "Variant", Raw_Data_Daily!$A:$A, $A21, Raw_Data_Daily!$C:$C, $C$3),""))</f>
        <v>2.15</v>
      </c>
      <c r="DB21" s="130">
        <f t="shared" si="35"/>
        <v>0.05392156863</v>
      </c>
      <c r="DC21" s="137">
        <f>IF($A21="","",IFERROR(SUMPRODUCT((Raw_Data_Daily!$B$2:$B$9999="Control")*(Raw_Data_Daily!$A$2:$A$9999=$A21)*(Raw_Data_Daily!$C$2:$C$9999=$C$3)*Raw_Data_Daily!$D$2:$D$9999*Raw_Data_Daily!$AL$2:$AL$9999)/SUMIFS(Raw_Data_Daily!$D:$D, Raw_Data_Daily!$B:$B, "Control", Raw_Data_Daily!$A:$A, $A21, Raw_Data_Daily!$C:$C, $C$3),""))</f>
        <v>0.1514</v>
      </c>
      <c r="DD21" s="137">
        <f>IF($A21="","",IFERROR(SUMPRODUCT((Raw_Data_Daily!$B$2:$B$9999="Variant")*(Raw_Data_Daily!$A$2:$A$9999=$A21)*(Raw_Data_Daily!$C$2:$C$9999=$C$3)*Raw_Data_Daily!$D$2:$D$9999*Raw_Data_Daily!$AL$2:$AL$9999)/SUMIFS(Raw_Data_Daily!$D:$D, Raw_Data_Daily!$B:$B, "Variant", Raw_Data_Daily!$A:$A, $A21, Raw_Data_Daily!$C:$C, $C$3),""))</f>
        <v>0.1776</v>
      </c>
      <c r="DE21" s="139">
        <f t="shared" si="36"/>
        <v>0.1730515192</v>
      </c>
      <c r="DF21" s="159"/>
      <c r="DG21" s="128">
        <f>IF($A21="","",IFERROR(SUMPRODUCT((Raw_Data_Daily!$B$2:$B$9999="Variant")*(Raw_Data_Daily!$A$2:$A$9999=$A21)*(Raw_Data_Daily!$C$2:$C$9999=$C$3)*Raw_Data_Daily!$D$2:$D$9999*Raw_Data_Daily!$AM$2:$AM$9999)/SUMIFS(Raw_Data_Daily!$D:$D, Raw_Data_Daily!$B:$B, "Variant", Raw_Data_Daily!$A:$A, $A21, Raw_Data_Daily!$C:$C, $C$3),""))</f>
        <v>45.78</v>
      </c>
      <c r="DH21" s="160"/>
      <c r="DI21" s="159"/>
      <c r="DJ21" s="128">
        <f>IF($A21="","",IFERROR(SUMPRODUCT((Raw_Data_Daily!$B$2:$B$9999="Variant")*(Raw_Data_Daily!$A$2:$A$9999=$A21)*(Raw_Data_Daily!$C$2:$C$9999=$C$3)*Raw_Data_Daily!$D$2:$D$9999*Raw_Data_Daily!$AN$2:$AN$9999)/SUMIFS(Raw_Data_Daily!$D:$D, Raw_Data_Daily!$B:$B, "Variant", Raw_Data_Daily!$A:$A, $A21, Raw_Data_Daily!$C:$C, $C$3),""))</f>
        <v>45.78</v>
      </c>
      <c r="DK21" s="160"/>
      <c r="DL21" s="159"/>
      <c r="DM21" s="128">
        <f>IF($A21="","",IFERROR(SUMPRODUCT((Raw_Data_Daily!$B$2:$B$9999="Variant")*(Raw_Data_Daily!$A$2:$A$9999=$A21)*(Raw_Data_Daily!$C$2:$C$9999=$C$3)*Raw_Data_Daily!$D$2:$D$9999*Raw_Data_Daily!$AO$2:$AO$9999)/SUMIFS(Raw_Data_Daily!$D:$D, Raw_Data_Daily!$B:$B, "Variant", Raw_Data_Daily!$A:$A, $A21, Raw_Data_Daily!$C:$C, $C$3),""))</f>
        <v>27.55</v>
      </c>
      <c r="DN21" s="160"/>
      <c r="DO21" s="159"/>
      <c r="DP21" s="128">
        <f>IF($A21="","",IFERROR(SUMPRODUCT((Raw_Data_Daily!$B$2:$B$9999="Variant")*(Raw_Data_Daily!$A$2:$A$9999=$A21)*(Raw_Data_Daily!$C$2:$C$9999=$C$3)*Raw_Data_Daily!$D$2:$D$9999*Raw_Data_Daily!$AP$2:$AP$9999)/SUMIFS(Raw_Data_Daily!$D:$D, Raw_Data_Daily!$B:$B, "Variant", Raw_Data_Daily!$A:$A, $A21, Raw_Data_Daily!$C:$C, $C$3),""))</f>
        <v>16.96</v>
      </c>
      <c r="DQ21" s="160"/>
      <c r="DR21" s="137">
        <f>IF($A21="","",IFERROR(SUMPRODUCT((Raw_Data_Daily!$B$2:$B$9999="Control")*(Raw_Data_Daily!$A$2:$A$9999=$A21)*(Raw_Data_Daily!$C$2:$C$9999=$C$3)*Raw_Data_Daily!$D$2:$D$9999*Raw_Data_Daily!$AQ$2:$AQ$9999)/SUMIFS(Raw_Data_Daily!$D:$D, Raw_Data_Daily!$B:$B, "Control", Raw_Data_Daily!$A:$A, $A21, Raw_Data_Daily!$C:$C, $C$3),""))</f>
        <v>17.8925</v>
      </c>
      <c r="DS21" s="137">
        <f>IF($A21="","",IFERROR(SUMPRODUCT((Raw_Data_Daily!$B$2:$B$9999="Variant")*(Raw_Data_Daily!$A$2:$A$9999=$A21)*(Raw_Data_Daily!$C$2:$C$9999=$C$3)*Raw_Data_Daily!$D$2:$D$9999*Raw_Data_Daily!$AQ$2:$AQ$9999)/SUMIFS(Raw_Data_Daily!$D:$D, Raw_Data_Daily!$B:$B, "Variant", Raw_Data_Daily!$A:$A, $A21, Raw_Data_Daily!$C:$C, $C$3),""))</f>
        <v>19.4478</v>
      </c>
      <c r="DT21" s="161">
        <f t="shared" si="37"/>
        <v>0.08692468912</v>
      </c>
      <c r="DU21" s="137">
        <f>IF($A21="","",IFERROR(SUMPRODUCT((Raw_Data_Daily!$B$2:$B$9999="Control")*(Raw_Data_Daily!$A$2:$A$9999=$A21)*(Raw_Data_Daily!$C$2:$C$9999=$C$3)*Raw_Data_Daily!$D$2:$D$9999*Raw_Data_Daily!$AR$2:$AR$9999)/SUMIFS(Raw_Data_Daily!$D:$D, Raw_Data_Daily!$B:$B, "Control", Raw_Data_Daily!$A:$A, $A21, Raw_Data_Daily!$C:$C, $C$3),""))</f>
        <v>0.5882</v>
      </c>
      <c r="DV21" s="137">
        <f>IF($A21="","",IFERROR(SUMPRODUCT((Raw_Data_Daily!$B$2:$B$9999="Variant")*(Raw_Data_Daily!$A$2:$A$9999=$A21)*(Raw_Data_Daily!$C$2:$C$9999=$C$3)*Raw_Data_Daily!$D$2:$D$9999*Raw_Data_Daily!$AR$2:$AR$9999)/SUMIFS(Raw_Data_Daily!$D:$D, Raw_Data_Daily!$B:$B, "Variant", Raw_Data_Daily!$A:$A, $A21, Raw_Data_Daily!$C:$C, $C$3),""))</f>
        <v>0.1962</v>
      </c>
      <c r="DW21" s="161">
        <f t="shared" si="38"/>
        <v>-0.6664399864</v>
      </c>
      <c r="DX21" s="137">
        <f>IF($A21="","",IFERROR(SUMPRODUCT((Raw_Data_Daily!$B$2:$B$9999="Control")*(Raw_Data_Daily!$A$2:$A$9999=$A21)*(Raw_Data_Daily!$C$2:$C$9999=$C$3)*Raw_Data_Daily!$D$2:$D$9999*Raw_Data_Daily!$AS$2:$AS$9999)/SUMIFS(Raw_Data_Daily!$D:$D, Raw_Data_Daily!$B:$B, "Control", Raw_Data_Daily!$A:$A, $A21, Raw_Data_Daily!$C:$C, $C$3),""))</f>
        <v>17.3043</v>
      </c>
      <c r="DY21" s="137">
        <f>IF($A21="","",IFERROR(SUMPRODUCT((Raw_Data_Daily!$B$2:$B$9999="Variant")*(Raw_Data_Daily!$A$2:$A$9999=$A21)*(Raw_Data_Daily!$C$2:$C$9999=$C$3)*Raw_Data_Daily!$D$2:$D$9999*Raw_Data_Daily!$AS$2:$AS$9999)/SUMIFS(Raw_Data_Daily!$D:$D, Raw_Data_Daily!$B:$B, "Variant", Raw_Data_Daily!$A:$A, $A21, Raw_Data_Daily!$C:$C, $C$3),""))</f>
        <v>19.2516</v>
      </c>
      <c r="DZ21" s="162">
        <f t="shared" si="39"/>
        <v>0.1125327231</v>
      </c>
      <c r="EA21" s="137">
        <f>IF($A21="","",IFERROR(SUMPRODUCT((Raw_Data_Daily!$B$2:$B$9999="Control")*(Raw_Data_Daily!$A$2:$A$9999=$A21)*(Raw_Data_Daily!$C$2:$C$9999=$C$3)*Raw_Data_Daily!$D$2:$D$9999*Raw_Data_Daily!$AT$2:$AT$9999)/SUMIFS(Raw_Data_Daily!$D:$D, Raw_Data_Daily!$B:$B, "Control", Raw_Data_Daily!$A:$A, $A21, Raw_Data_Daily!$C:$C, $C$3),""))</f>
        <v>14.5315</v>
      </c>
      <c r="EB21" s="137">
        <f>IF($A21="","",IFERROR(SUMPRODUCT((Raw_Data_Daily!$B$2:$B$9999="Variant")*(Raw_Data_Daily!$A$2:$A$9999=$A21)*(Raw_Data_Daily!$C$2:$C$9999=$C$3)*Raw_Data_Daily!$D$2:$D$9999*Raw_Data_Daily!$AT$2:$AT$9999)/SUMIFS(Raw_Data_Daily!$D:$D, Raw_Data_Daily!$B:$B, "Variant", Raw_Data_Daily!$A:$A, $A21, Raw_Data_Daily!$C:$C, $C$3),""))</f>
        <v>13.9829</v>
      </c>
      <c r="EC21" s="161">
        <f t="shared" si="40"/>
        <v>-0.03775246877</v>
      </c>
      <c r="ED21" s="137">
        <f>IF($A21="","",IFERROR(SUMPRODUCT((Raw_Data_Daily!$B$2:$B$9999="Control")*(Raw_Data_Daily!$A$2:$A$9999=$A21)*(Raw_Data_Daily!$C$2:$C$9999=$C$3)*Raw_Data_Daily!$D$2:$D$9999*(Raw_Data_Daily!$AQ$2:$AQ$9999-Raw_Data_Daily!$AT$2:$AT$9999))/SUMIFS(Raw_Data_Daily!$D:$D, Raw_Data_Daily!$B:$B, "Control", Raw_Data_Daily!$A:$A, $A21, Raw_Data_Daily!$C:$C, $C$3),""))</f>
        <v>3.361</v>
      </c>
      <c r="EE21" s="137">
        <f>IF($A21="","",IFERROR(SUMPRODUCT((Raw_Data_Daily!$B$2:$B$9999="Variant")*(Raw_Data_Daily!$A$2:$A$9999=$A21)*(Raw_Data_Daily!$C$2:$C$9999=$C$3)*Raw_Data_Daily!$D$2:$D$9999*(Raw_Data_Daily!$AQ$2:$AQ$9999-Raw_Data_Daily!$AT$2:$AT$9999))/SUMIFS(Raw_Data_Daily!$D:$D, Raw_Data_Daily!$B:$B, "Variant", Raw_Data_Daily!$A:$A, $A21, Raw_Data_Daily!$C:$C, $C$3),""))</f>
        <v>5.4649</v>
      </c>
      <c r="EF21" s="162">
        <f t="shared" si="41"/>
        <v>0.6259744124</v>
      </c>
      <c r="EG21" s="137">
        <f>IF($A21="","",IFERROR(SUMPRODUCT((Raw_Data_Daily!$B$2:$B$9999="Control")*(Raw_Data_Daily!$A$2:$A$9999=$A21)*(Raw_Data_Daily!$C$2:$C$9999=$C$3)*Raw_Data_Daily!$D$2:$D$9999*Raw_Data_Daily!$AU$2:$AU$9999)/SUMIFS(Raw_Data_Daily!$D:$D, Raw_Data_Daily!$B:$B, "Control", Raw_Data_Daily!$A:$A, $A21, Raw_Data_Daily!$C:$C, $C$3),""))</f>
        <v>0.1977</v>
      </c>
      <c r="EH21" s="137">
        <f>IF($A21="","",IFERROR(SUMPRODUCT((Raw_Data_Daily!$B$2:$B$9999="Variant")*(Raw_Data_Daily!$A$2:$A$9999=$A21)*(Raw_Data_Daily!$C$2:$C$9999=$C$3)*Raw_Data_Daily!$D$2:$D$9999*Raw_Data_Daily!$AU$2:$AU$9999)/SUMIFS(Raw_Data_Daily!$D:$D, Raw_Data_Daily!$B:$B, "Variant", Raw_Data_Daily!$A:$A, $A21, Raw_Data_Daily!$C:$C, $C$3),""))</f>
        <v>0.1826</v>
      </c>
      <c r="EI21" s="161">
        <f t="shared" si="42"/>
        <v>-0.07637835104</v>
      </c>
    </row>
    <row r="22" ht="15.75" customHeight="1">
      <c r="A22" s="125">
        <v>46245.0</v>
      </c>
      <c r="B22" s="126">
        <f>IF($A22="","",SUMIFS(Raw_Data_Daily!$D:$D, Raw_Data_Daily!$B:$B, "Control", Raw_Data_Daily!$A:$A, $A22, Raw_Data_Daily!$C:$C, $C$3))</f>
        <v>3464</v>
      </c>
      <c r="C22" s="126">
        <f>IF($A22="","",SUMIFS(Raw_Data_Daily!$D:$D, Raw_Data_Daily!$B:$B, "Variant", Raw_Data_Daily!$A:$A, $A22, Raw_Data_Daily!$C:$C, $C$3))</f>
        <v>3270</v>
      </c>
      <c r="D22" s="127">
        <f t="shared" si="1"/>
        <v>-0.05600461894</v>
      </c>
      <c r="E22" s="128">
        <f>IF($A22="","",IFERROR(SUMPRODUCT((Raw_Data_Daily!$B$2:$B$9999="Control")*(Raw_Data_Daily!$A$2:$A$9999=$A22)*(Raw_Data_Daily!$C$2:$C$9999=$C$3)*Raw_Data_Daily!$D$2:$D$9999*Raw_Data_Daily!$E$2:$E$9999)/SUMIFS(Raw_Data_Daily!$D:$D, Raw_Data_Daily!$B:$B, "Control", Raw_Data_Daily!$A:$A, $A22, Raw_Data_Daily!$C:$C, $C$3),""))</f>
        <v>12.43</v>
      </c>
      <c r="F22" s="128">
        <f>IF($A22="","",IFERROR(SUMPRODUCT((Raw_Data_Daily!$B$2:$B$9999="Variant")*(Raw_Data_Daily!$A$2:$A$9999=$A22)*(Raw_Data_Daily!$C$2:$C$9999=$C$3)*Raw_Data_Daily!$D$2:$D$9999*Raw_Data_Daily!$E$2:$E$9999)/SUMIFS(Raw_Data_Daily!$D:$D, Raw_Data_Daily!$B:$B, "Variant", Raw_Data_Daily!$A:$A, $A22, Raw_Data_Daily!$C:$C, $C$3),""))</f>
        <v>11.89</v>
      </c>
      <c r="G22" s="127">
        <f t="shared" si="2"/>
        <v>-0.04344328238</v>
      </c>
      <c r="H22" s="129">
        <f>IF($A22="","",SUMIFS(Raw_Data_Daily!$F:$F, Raw_Data_Daily!$B:$B, "Control", Raw_Data_Daily!$A:$A, $A22, Raw_Data_Daily!$C:$C, $C$3))</f>
        <v>880.39</v>
      </c>
      <c r="I22" s="129">
        <f>IF($A22="","",SUMIFS(Raw_Data_Daily!$F:$F, Raw_Data_Daily!$B:$B, "Variant", Raw_Data_Daily!$A:$A, $A22, Raw_Data_Daily!$C:$C, $C$3))</f>
        <v>853.86</v>
      </c>
      <c r="J22" s="130">
        <f t="shared" si="3"/>
        <v>-0.03013437227</v>
      </c>
      <c r="K22" s="131">
        <f>IF($A22="","",IFERROR(SUMIFS(Raw_Data_Daily!$F:$F, Raw_Data_Daily!$B:$B, "Control", Raw_Data_Daily!$A:$A, $A22, Raw_Data_Daily!$C:$C, $C$3)/SUMIFS(Raw_Data_Daily!$D:$D, Raw_Data_Daily!$B:$B, "Control", Raw_Data_Daily!$A:$A, $A22, Raw_Data_Daily!$C:$C, $C$3),""))</f>
        <v>0.254154157</v>
      </c>
      <c r="L22" s="131">
        <f>IF($A22="","",IFERROR(SUMIFS(Raw_Data_Daily!$F:$F, Raw_Data_Daily!$B:$B, "Variant", Raw_Data_Daily!$A:$A, $A22, Raw_Data_Daily!$C:$C, $C$3)/SUMIFS(Raw_Data_Daily!$D:$D, Raw_Data_Daily!$B:$B, "Variant", Raw_Data_Daily!$A:$A, $A22, Raw_Data_Daily!$C:$C, $C$3),""))</f>
        <v>0.2611192661</v>
      </c>
      <c r="M22" s="130">
        <f t="shared" si="4"/>
        <v>0.02740505641</v>
      </c>
      <c r="N22" s="128">
        <f>IF($A22="","",IFERROR(SUMPRODUCT((Raw_Data_Daily!$B$2:$B$9999="Control")*(Raw_Data_Daily!$A$2:$A$9999=$A22)*(Raw_Data_Daily!$C$2:$C$9999=$C$3)*Raw_Data_Daily!$D$2:$D$9999*Raw_Data_Daily!$H$2:$H$9999/100)/SUMIFS(Raw_Data_Daily!$D:$D, Raw_Data_Daily!$B:$B, "Control", Raw_Data_Daily!$A:$A, $A22, Raw_Data_Daily!$C:$C, $C$3)*100,""))</f>
        <v>4.36</v>
      </c>
      <c r="O22" s="128">
        <f>IF($A22="","",IFERROR(SUMPRODUCT((Raw_Data_Daily!$B$2:$B$9999="Variant")*(Raw_Data_Daily!$A$2:$A$9999=$A22)*(Raw_Data_Daily!$C$2:$C$9999=$C$3)*Raw_Data_Daily!$D$2:$D$9999*Raw_Data_Daily!$H$2:$H$9999/100)/SUMIFS(Raw_Data_Daily!$D:$D, Raw_Data_Daily!$B:$B, "Variant", Raw_Data_Daily!$A:$A, $A22, Raw_Data_Daily!$C:$C, $C$3)*100,""))</f>
        <v>3.88</v>
      </c>
      <c r="P22" s="130">
        <f t="shared" si="5"/>
        <v>-0.1100917431</v>
      </c>
      <c r="Q22" s="131">
        <f>IF($A22="","",IFERROR(SUMIFS(Raw_Data_Daily!$F:$F, Raw_Data_Daily!$B:$B, "Control", Raw_Data_Daily!$A:$A, $A22, Raw_Data_Daily!$C:$C, $C$3)/SUMPRODUCT((Raw_Data_Daily!$B$2:$B$9999="Control")*(Raw_Data_Daily!$A$2:$A$9999=$A22)*(Raw_Data_Daily!$C$2:$C$9999=$C$3)*Raw_Data_Daily!$D$2:$D$9999*Raw_Data_Daily!$H$2:$H$9999/100),""))</f>
        <v>5.829223785</v>
      </c>
      <c r="R22" s="131">
        <f>IF($A22="","",IFERROR(SUMIFS(Raw_Data_Daily!$F:$F, Raw_Data_Daily!$B:$B, "Variant", Raw_Data_Daily!$A:$A, $A22, Raw_Data_Daily!$C:$C, $C$3)/SUMPRODUCT((Raw_Data_Daily!$B$2:$B$9999="Variant")*(Raw_Data_Daily!$A$2:$A$9999=$A22)*(Raw_Data_Daily!$C$2:$C$9999=$C$3)*Raw_Data_Daily!$D$2:$D$9999*Raw_Data_Daily!$H$2:$H$9999/100),""))</f>
        <v>6.729877991</v>
      </c>
      <c r="S22" s="130">
        <f t="shared" si="6"/>
        <v>0.1545067129</v>
      </c>
      <c r="T22" s="132">
        <f>IF($A22="","",IFERROR(SUMPRODUCT((Raw_Data_Daily!$B$2:$B$9999="Control")*(Raw_Data_Daily!$A$2:$A$9999=$A22)*(Raw_Data_Daily!$C$2:$C$9999=$C$3)*Raw_Data_Daily!$D$2:$D$9999*Raw_Data_Daily!$J$2:$J$9999)/SUMIFS(Raw_Data_Daily!$D:$D, Raw_Data_Daily!$B:$B, "Control", Raw_Data_Daily!$A:$A, $A22, Raw_Data_Daily!$C:$C, $C$3),""))</f>
        <v>108.31</v>
      </c>
      <c r="U22" s="132">
        <f>IF($A22="","",IFERROR(SUMPRODUCT((Raw_Data_Daily!$B$2:$B$9999="Variant")*(Raw_Data_Daily!$A$2:$A$9999=$A22)*(Raw_Data_Daily!$C$2:$C$9999=$C$3)*Raw_Data_Daily!$D$2:$D$9999*Raw_Data_Daily!$J$2:$J$9999)/SUMIFS(Raw_Data_Daily!$D:$D, Raw_Data_Daily!$B:$B, "Variant", Raw_Data_Daily!$A:$A, $A22, Raw_Data_Daily!$C:$C, $C$3),""))</f>
        <v>112.81</v>
      </c>
      <c r="V22" s="130">
        <f t="shared" si="7"/>
        <v>0.04154741021</v>
      </c>
      <c r="W22" s="132">
        <f>IF($A22="","",IFERROR(SUMPRODUCT((Raw_Data_Daily!$B$2:$B$9999="Control")*(Raw_Data_Daily!$A$2:$A$9999=$A22)*(Raw_Data_Daily!$C$2:$C$9999=$C$3)*Raw_Data_Daily!$D$2:$D$9999*Raw_Data_Daily!$K$2:$K$9999)/SUMIFS(Raw_Data_Daily!$D:$D, Raw_Data_Daily!$B:$B, "Control", Raw_Data_Daily!$A:$A, $A22, Raw_Data_Daily!$C:$C, $C$3),""))</f>
        <v>69.39</v>
      </c>
      <c r="X22" s="132">
        <f>IF($A22="","",IFERROR(SUMPRODUCT((Raw_Data_Daily!$B$2:$B$9999="Variant")*(Raw_Data_Daily!$A$2:$A$9999=$A22)*(Raw_Data_Daily!$C$2:$C$9999=$C$3)*Raw_Data_Daily!$D$2:$D$9999*Raw_Data_Daily!$K$2:$K$9999)/SUMIFS(Raw_Data_Daily!$D:$D, Raw_Data_Daily!$B:$B, "Variant", Raw_Data_Daily!$A:$A, $A22, Raw_Data_Daily!$C:$C, $C$3),""))</f>
        <v>70.83</v>
      </c>
      <c r="Y22" s="130">
        <f t="shared" si="8"/>
        <v>0.02075226978</v>
      </c>
      <c r="Z22" s="132">
        <f>IF($A22="","",IFERROR(SUMPRODUCT((Raw_Data_Daily!$B$2:$B$9999="Control")*(Raw_Data_Daily!$A$2:$A$9999=$A22)*(Raw_Data_Daily!$C$2:$C$9999=$C$3)*Raw_Data_Daily!$D$2:$D$9999*Raw_Data_Daily!$L$2:$L$9999)/SUMIFS(Raw_Data_Daily!$D:$D, Raw_Data_Daily!$B:$B, "Control", Raw_Data_Daily!$A:$A, $A22, Raw_Data_Daily!$C:$C, $C$3),""))</f>
        <v>52.48</v>
      </c>
      <c r="AA22" s="132">
        <f>IF($A22="","",IFERROR(SUMPRODUCT((Raw_Data_Daily!$B$2:$B$9999="Variant")*(Raw_Data_Daily!$A$2:$A$9999=$A22)*(Raw_Data_Daily!$C$2:$C$9999=$C$3)*Raw_Data_Daily!$D$2:$D$9999*Raw_Data_Daily!$L$2:$L$9999)/SUMIFS(Raw_Data_Daily!$D:$D, Raw_Data_Daily!$B:$B, "Variant", Raw_Data_Daily!$A:$A, $A22, Raw_Data_Daily!$C:$C, $C$3),""))</f>
        <v>51.9</v>
      </c>
      <c r="AB22" s="130">
        <f t="shared" si="9"/>
        <v>-0.01105182927</v>
      </c>
      <c r="AC22" s="137">
        <f>IF($A22="","",IFERROR(SUMPRODUCT((Raw_Data_Daily!$B$2:$B$9999="Control")*(Raw_Data_Daily!$A$2:$A$9999=$A22)*(Raw_Data_Daily!$C$2:$C$9999=$C$3)*Raw_Data_Daily!$D$2:$D$9999*Raw_Data_Daily!$M$2:$M$9999)/SUMIFS(Raw_Data_Daily!$D:$D, Raw_Data_Daily!$B:$B, "Control", Raw_Data_Daily!$A:$A, $A22, Raw_Data_Daily!$C:$C, $C$3),""))</f>
        <v>0.7564</v>
      </c>
      <c r="AD22" s="137">
        <f>IF($A22="","",IFERROR(SUMPRODUCT((Raw_Data_Daily!$B$2:$B$9999="Variant")*(Raw_Data_Daily!$A$2:$A$9999=$A22)*(Raw_Data_Daily!$C$2:$C$9999=$C$3)*Raw_Data_Daily!$D$2:$D$9999*Raw_Data_Daily!$M$2:$M$9999)/SUMIFS(Raw_Data_Daily!$D:$D, Raw_Data_Daily!$B:$B, "Variant", Raw_Data_Daily!$A:$A, $A22, Raw_Data_Daily!$C:$C, $C$3),""))</f>
        <v>0.7327</v>
      </c>
      <c r="AE22" s="139">
        <f t="shared" si="10"/>
        <v>-0.03133262824</v>
      </c>
      <c r="AF22" s="137">
        <f>IF($A22="","",IFERROR(SUMPRODUCT((Raw_Data_Daily!$B$2:$B$9999="Control")*(Raw_Data_Daily!$A$2:$A$9999=$A22)*(Raw_Data_Daily!$C$2:$C$9999=$C$3)*Raw_Data_Daily!$D$2:$D$9999*Raw_Data_Daily!$N$2:$N$9999)/SUMIFS(Raw_Data_Daily!$D:$D, Raw_Data_Daily!$B:$B, "Control", Raw_Data_Daily!$A:$A, $A22, Raw_Data_Daily!$C:$C, $C$3),""))</f>
        <v>0.355</v>
      </c>
      <c r="AG22" s="137">
        <f>IF($A22="","",IFERROR(SUMPRODUCT((Raw_Data_Daily!$B$2:$B$9999="Variant")*(Raw_Data_Daily!$A$2:$A$9999=$A22)*(Raw_Data_Daily!$C$2:$C$9999=$C$3)*Raw_Data_Daily!$D$2:$D$9999*Raw_Data_Daily!$N$2:$N$9999)/SUMIFS(Raw_Data_Daily!$D:$D, Raw_Data_Daily!$B:$B, "Variant", Raw_Data_Daily!$A:$A, $A22, Raw_Data_Daily!$C:$C, $C$3),""))</f>
        <v>0.368</v>
      </c>
      <c r="AH22" s="139">
        <f t="shared" si="11"/>
        <v>0.03661971831</v>
      </c>
      <c r="AI22" s="137">
        <f>IF($A22="","",IFERROR(SUMPRODUCT((Raw_Data_Daily!$B$2:$B$9999="Control")*(Raw_Data_Daily!$A$2:$A$9999=$A22)*(Raw_Data_Daily!$C$2:$C$9999=$C$3)*Raw_Data_Daily!$D$2:$D$9999*Raw_Data_Daily!$O$2:$O$9999)/SUMIFS(Raw_Data_Daily!$D:$D, Raw_Data_Daily!$B:$B, "Control", Raw_Data_Daily!$A:$A, $A22, Raw_Data_Daily!$C:$C, $C$3),""))</f>
        <v>0.2329</v>
      </c>
      <c r="AJ22" s="137">
        <f>IF($A22="","",IFERROR(SUMPRODUCT((Raw_Data_Daily!$B$2:$B$9999="Variant")*(Raw_Data_Daily!$A$2:$A$9999=$A22)*(Raw_Data_Daily!$C$2:$C$9999=$C$3)*Raw_Data_Daily!$D$2:$D$9999*Raw_Data_Daily!$O$2:$O$9999)/SUMIFS(Raw_Data_Daily!$D:$D, Raw_Data_Daily!$B:$B, "Variant", Raw_Data_Daily!$A:$A, $A22, Raw_Data_Daily!$C:$C, $C$3),""))</f>
        <v>0.2294</v>
      </c>
      <c r="AK22" s="130">
        <f t="shared" si="12"/>
        <v>-0.01502790897</v>
      </c>
      <c r="AL22" s="132">
        <f>IF($A22="","",IFERROR(SUMPRODUCT((Raw_Data_Daily!$B$2:$B$9999="Control")*(Raw_Data_Daily!$A$2:$A$9999=$A22)*(Raw_Data_Daily!$C$2:$C$9999=$C$3)*Raw_Data_Daily!$D$2:$D$9999*Raw_Data_Daily!$P$2:$P$9999)/SUMIFS(Raw_Data_Daily!$D:$D, Raw_Data_Daily!$B:$B, "Control", Raw_Data_Daily!$A:$A, $A22, Raw_Data_Daily!$C:$C, $C$3),""))</f>
        <v>1.3221</v>
      </c>
      <c r="AM22" s="132">
        <f>IF($A22="","",IFERROR(SUMPRODUCT((Raw_Data_Daily!$B$2:$B$9999="Variant")*(Raw_Data_Daily!$A$2:$A$9999=$A22)*(Raw_Data_Daily!$C$2:$C$9999=$C$3)*Raw_Data_Daily!$D$2:$D$9999*Raw_Data_Daily!$P$2:$P$9999)/SUMIFS(Raw_Data_Daily!$D:$D, Raw_Data_Daily!$B:$B, "Variant", Raw_Data_Daily!$A:$A, $A22, Raw_Data_Daily!$C:$C, $C$3),""))</f>
        <v>1.3649</v>
      </c>
      <c r="AN22" s="130">
        <f t="shared" si="13"/>
        <v>0.03237274034</v>
      </c>
      <c r="AO22" s="132">
        <f>IF($A22="","",IFERROR(SUMPRODUCT((Raw_Data_Daily!$B$2:$B$9999="Control")*(Raw_Data_Daily!$A$2:$A$9999=$A22)*(Raw_Data_Daily!$C$2:$C$9999=$C$3)*Raw_Data_Daily!$D$2:$D$9999*Raw_Data_Daily!$Q$2:$Q$9999)/SUMIFS(Raw_Data_Daily!$D:$D, Raw_Data_Daily!$B:$B, "Control", Raw_Data_Daily!$A:$A, $A22, Raw_Data_Daily!$C:$C, $C$3),""))</f>
        <v>333.43</v>
      </c>
      <c r="AP22" s="132">
        <f>IF($A22="","",IFERROR(SUMPRODUCT((Raw_Data_Daily!$B$2:$B$9999="Variant")*(Raw_Data_Daily!$A$2:$A$9999=$A22)*(Raw_Data_Daily!$C$2:$C$9999=$C$3)*Raw_Data_Daily!$D$2:$D$9999*Raw_Data_Daily!$Q$2:$Q$9999)/SUMIFS(Raw_Data_Daily!$D:$D, Raw_Data_Daily!$B:$B, "Variant", Raw_Data_Daily!$A:$A, $A22, Raw_Data_Daily!$C:$C, $C$3),""))</f>
        <v>234.52</v>
      </c>
      <c r="AQ22" s="127">
        <f t="shared" si="14"/>
        <v>-0.2966439732</v>
      </c>
      <c r="AR22" s="132">
        <f>IF($A22="","",IFERROR(SUMPRODUCT((Raw_Data_Daily!$B$2:$B$9999="Control")*(Raw_Data_Daily!$A$2:$A$9999=$A22)*(Raw_Data_Daily!$C$2:$C$9999=$C$3)*Raw_Data_Daily!$D$2:$D$9999*Raw_Data_Daily!$R$2:$R$9999)/SUMIFS(Raw_Data_Daily!$D:$D, Raw_Data_Daily!$B:$B, "Control", Raw_Data_Daily!$A:$A, $A22, Raw_Data_Daily!$C:$C, $C$3),""))</f>
        <v>252.02</v>
      </c>
      <c r="AS22" s="132">
        <f>IF($A22="","",IFERROR(SUMPRODUCT((Raw_Data_Daily!$B$2:$B$9999="Variant")*(Raw_Data_Daily!$A$2:$A$9999=$A22)*(Raw_Data_Daily!$C$2:$C$9999=$C$3)*Raw_Data_Daily!$D$2:$D$9999*Raw_Data_Daily!$R$2:$R$9999)/SUMIFS(Raw_Data_Daily!$D:$D, Raw_Data_Daily!$B:$B, "Variant", Raw_Data_Daily!$A:$A, $A22, Raw_Data_Daily!$C:$C, $C$3),""))</f>
        <v>203.89</v>
      </c>
      <c r="AT22" s="127">
        <f t="shared" si="15"/>
        <v>-0.1909769066</v>
      </c>
      <c r="AU22" s="132">
        <f>IF($A22="","",IFERROR(SUMPRODUCT((Raw_Data_Daily!$B$2:$B$9999="Control")*(Raw_Data_Daily!$A$2:$A$9999=$A22)*(Raw_Data_Daily!$C$2:$C$9999=$C$3)*Raw_Data_Daily!$D$2:$D$9999*Raw_Data_Daily!$S$2:$S$9999)/SUMIFS(Raw_Data_Daily!$D:$D, Raw_Data_Daily!$B:$B, "Control", Raw_Data_Daily!$A:$A, $A22, Raw_Data_Daily!$C:$C, $C$3),""))</f>
        <v>81.4</v>
      </c>
      <c r="AV22" s="132">
        <f>IF($A22="","",IFERROR(SUMPRODUCT((Raw_Data_Daily!$B$2:$B$9999="Variant")*(Raw_Data_Daily!$A$2:$A$9999=$A22)*(Raw_Data_Daily!$C$2:$C$9999=$C$3)*Raw_Data_Daily!$D$2:$D$9999*Raw_Data_Daily!$S$2:$S$9999)/SUMIFS(Raw_Data_Daily!$D:$D, Raw_Data_Daily!$B:$B, "Variant", Raw_Data_Daily!$A:$A, $A22, Raw_Data_Daily!$C:$C, $C$3),""))</f>
        <v>30.64</v>
      </c>
      <c r="AW22" s="127">
        <f t="shared" si="16"/>
        <v>-0.6235872236</v>
      </c>
      <c r="AX22" s="132">
        <f>IF($A22="","",IFERROR(SUMPRODUCT((Raw_Data_Daily!$B$2:$B$9999="Control")*(Raw_Data_Daily!$A$2:$A$9999=$A22)*(Raw_Data_Daily!$C$2:$C$9999=$C$3)*Raw_Data_Daily!$D$2:$D$9999*Raw_Data_Daily!$T$2:$T$9999)/SUMIFS(Raw_Data_Daily!$D:$D, Raw_Data_Daily!$B:$B, "Control", Raw_Data_Daily!$A:$A, $A22, Raw_Data_Daily!$C:$C, $C$3),""))</f>
        <v>21.82</v>
      </c>
      <c r="AY22" s="132">
        <f>IF($A22="","",IFERROR(SUMPRODUCT((Raw_Data_Daily!$B$2:$B$9999="Variant")*(Raw_Data_Daily!$A$2:$A$9999=$A22)*(Raw_Data_Daily!$C$2:$C$9999=$C$3)*Raw_Data_Daily!$D$2:$D$9999*Raw_Data_Daily!$T$2:$T$9999)/SUMIFS(Raw_Data_Daily!$D:$D, Raw_Data_Daily!$B:$B, "Variant", Raw_Data_Daily!$A:$A, $A22, Raw_Data_Daily!$C:$C, $C$3),""))</f>
        <v>22.95</v>
      </c>
      <c r="AZ22" s="130">
        <f t="shared" si="17"/>
        <v>0.05178735105</v>
      </c>
      <c r="BA22" s="132">
        <f>IF($A22="","",IFERROR(SUMPRODUCT((Raw_Data_Daily!$B$2:$B$9999="Control")*(Raw_Data_Daily!$A$2:$A$9999=$A22)*(Raw_Data_Daily!$C$2:$C$9999=$C$3)*Raw_Data_Daily!$D$2:$D$9999*Raw_Data_Daily!$U$2:$U$9999)/SUMIFS(Raw_Data_Daily!$D:$D, Raw_Data_Daily!$B:$B, "Control", Raw_Data_Daily!$A:$A, $A22, Raw_Data_Daily!$C:$C, $C$3),""))</f>
        <v>311.6</v>
      </c>
      <c r="BB22" s="132">
        <f>IF($A22="","",IFERROR(SUMPRODUCT((Raw_Data_Daily!$B$2:$B$9999="Variant")*(Raw_Data_Daily!$A$2:$A$9999=$A22)*(Raw_Data_Daily!$C$2:$C$9999=$C$3)*Raw_Data_Daily!$D$2:$D$9999*Raw_Data_Daily!$U$2:$U$9999)/SUMIFS(Raw_Data_Daily!$D:$D, Raw_Data_Daily!$B:$B, "Variant", Raw_Data_Daily!$A:$A, $A22, Raw_Data_Daily!$C:$C, $C$3),""))</f>
        <v>211.57</v>
      </c>
      <c r="BC22" s="127">
        <f t="shared" si="18"/>
        <v>-0.3210205392</v>
      </c>
      <c r="BD22" s="132">
        <f>IF($A22="","",IFERROR(SUMPRODUCT((Raw_Data_Daily!$B$2:$B$9999="Control")*(Raw_Data_Daily!$A$2:$A$9999=$A22)*(Raw_Data_Daily!$C$2:$C$9999=$C$3)*Raw_Data_Daily!$D$2:$D$9999*Raw_Data_Daily!$V$2:$V$9999)/SUMIFS(Raw_Data_Daily!$D:$D, Raw_Data_Daily!$B:$B, "Control", Raw_Data_Daily!$A:$A, $A22, Raw_Data_Daily!$C:$C, $C$3),""))</f>
        <v>327.71</v>
      </c>
      <c r="BE22" s="132">
        <f>IF($A22="","",IFERROR(SUMPRODUCT((Raw_Data_Daily!$B$2:$B$9999="Variant")*(Raw_Data_Daily!$A$2:$A$9999=$A22)*(Raw_Data_Daily!$C$2:$C$9999=$C$3)*Raw_Data_Daily!$D$2:$D$9999*Raw_Data_Daily!$V$2:$V$9999)/SUMIFS(Raw_Data_Daily!$D:$D, Raw_Data_Daily!$B:$B, "Variant", Raw_Data_Daily!$A:$A, $A22, Raw_Data_Daily!$C:$C, $C$3),""))</f>
        <v>260.61</v>
      </c>
      <c r="BF22" s="127">
        <f t="shared" si="19"/>
        <v>-0.2047542034</v>
      </c>
      <c r="BG22" s="132">
        <f>IF($A22="","",IFERROR(SUMPRODUCT((Raw_Data_Daily!$B$2:$B$9999="Control")*(Raw_Data_Daily!$A$2:$A$9999=$A22)*(Raw_Data_Daily!$C$2:$C$9999=$C$3)*Raw_Data_Daily!$D$2:$D$9999*(Raw_Data_Daily!$Q$2:$Q$9999-Raw_Data_Daily!$V$2:$V$9999))/SUMIFS(Raw_Data_Daily!$D:$D, Raw_Data_Daily!$B:$B, "Control", Raw_Data_Daily!$A:$A, $A22, Raw_Data_Daily!$C:$C, $C$3),""))</f>
        <v>5.72</v>
      </c>
      <c r="BH22" s="132">
        <f>IF($A22="","",IFERROR(SUMPRODUCT((Raw_Data_Daily!$B$2:$B$9999="Variant")*(Raw_Data_Daily!$A$2:$A$9999=$A22)*(Raw_Data_Daily!$C$2:$C$9999=$C$3)*Raw_Data_Daily!$D$2:$D$9999*(Raw_Data_Daily!$Q$2:$Q$9999-Raw_Data_Daily!$V$2:$V$9999))/SUMIFS(Raw_Data_Daily!$D:$D, Raw_Data_Daily!$B:$B, "Variant", Raw_Data_Daily!$A:$A, $A22, Raw_Data_Daily!$C:$C, $C$3),""))</f>
        <v>-26.09</v>
      </c>
      <c r="BI22" s="127">
        <f t="shared" si="20"/>
        <v>-5.561188811</v>
      </c>
      <c r="BJ22" s="132">
        <f>IF($A22="","",IFERROR(SUMPRODUCT((Raw_Data_Daily!$B$2:$B$9999="Control")*(Raw_Data_Daily!$A$2:$A$9999=$A22)*(Raw_Data_Daily!$C$2:$C$9999=$C$3)*Raw_Data_Daily!$D$2:$D$9999*Raw_Data_Daily!$W$2:$W$9999)/SUMIFS(Raw_Data_Daily!$D:$D, Raw_Data_Daily!$B:$B, "Control", Raw_Data_Daily!$A:$A, $A22, Raw_Data_Daily!$C:$C, $C$3),""))</f>
        <v>4.7229</v>
      </c>
      <c r="BK22" s="132">
        <f>IF($A22="","",IFERROR(SUMPRODUCT((Raw_Data_Daily!$B$2:$B$9999="Variant")*(Raw_Data_Daily!$A$2:$A$9999=$A22)*(Raw_Data_Daily!$C$2:$C$9999=$C$3)*Raw_Data_Daily!$D$2:$D$9999*Raw_Data_Daily!$W$2:$W$9999)/SUMIFS(Raw_Data_Daily!$D:$D, Raw_Data_Daily!$B:$B, "Variant", Raw_Data_Daily!$A:$A, $A22, Raw_Data_Daily!$C:$C, $C$3),""))</f>
        <v>3.6793</v>
      </c>
      <c r="BL22" s="127">
        <f t="shared" si="21"/>
        <v>-0.2209659319</v>
      </c>
      <c r="BM22" s="137">
        <f>IF($A22="","",IFERROR(SUMPRODUCT((Raw_Data_Daily!$B$2:$B$9999="Control")*(Raw_Data_Daily!$A$2:$A$9999=$A22)*(Raw_Data_Daily!$C$2:$C$9999=$C$3)*Raw_Data_Daily!$D$2:$D$9999*Raw_Data_Daily!$X$2:$X$9999)/SUMIFS(Raw_Data_Daily!$D:$D, Raw_Data_Daily!$B:$B, "Control", Raw_Data_Daily!$A:$A, $A22, Raw_Data_Daily!$C:$C, $C$3),""))</f>
        <v>6.55</v>
      </c>
      <c r="BN22" s="137">
        <f>IF($A22="","",IFERROR(SUMPRODUCT((Raw_Data_Daily!$B$2:$B$9999="Variant")*(Raw_Data_Daily!$A$2:$A$9999=$A22)*(Raw_Data_Daily!$C$2:$C$9999=$C$3)*Raw_Data_Daily!$D$2:$D$9999*Raw_Data_Daily!$X$2:$X$9999)/SUMIFS(Raw_Data_Daily!$D:$D, Raw_Data_Daily!$B:$B, "Variant", Raw_Data_Daily!$A:$A, $A22, Raw_Data_Daily!$C:$C, $C$3),""))</f>
        <v>9.79</v>
      </c>
      <c r="BO22" s="130">
        <f t="shared" si="22"/>
        <v>0.4946564885</v>
      </c>
      <c r="BP22" s="126">
        <f>IF($A22="","",IFERROR(SUMPRODUCT((Raw_Data_Daily!$B$2:$B$9999="Control")*(Raw_Data_Daily!$A$2:$A$9999=$A22)*(Raw_Data_Daily!$C$2:$C$9999=$C$3)*Raw_Data_Daily!$D$2:$D$9999*Raw_Data_Daily!$Y$2:$Y$9999)/SUMIFS(Raw_Data_Daily!$D:$D, Raw_Data_Daily!$B:$B, "Control", Raw_Data_Daily!$A:$A, $A22, Raw_Data_Daily!$C:$C, $C$3),""))</f>
        <v>376</v>
      </c>
      <c r="BQ22" s="126">
        <f>IF($A22="","",IFERROR(SUMPRODUCT((Raw_Data_Daily!$B$2:$B$9999="Variant")*(Raw_Data_Daily!$A$2:$A$9999=$A22)*(Raw_Data_Daily!$C$2:$C$9999=$C$3)*Raw_Data_Daily!$D$2:$D$9999*Raw_Data_Daily!$Y$2:$Y$9999)/SUMIFS(Raw_Data_Daily!$D:$D, Raw_Data_Daily!$B:$B, "Variant", Raw_Data_Daily!$A:$A, $A22, Raw_Data_Daily!$C:$C, $C$3),""))</f>
        <v>303</v>
      </c>
      <c r="BR22" s="127">
        <f t="shared" si="23"/>
        <v>-0.1941489362</v>
      </c>
      <c r="BS22" s="126">
        <f>IF($A22="","",IFERROR(SUMPRODUCT((Raw_Data_Daily!$B$2:$B$9999="Control")*(Raw_Data_Daily!$A$2:$A$9999=$A22)*(Raw_Data_Daily!$C$2:$C$9999=$C$3)*Raw_Data_Daily!$D$2:$D$9999*Raw_Data_Daily!$Z$2:$Z$9999)/SUMIFS(Raw_Data_Daily!$D:$D, Raw_Data_Daily!$B:$B, "Control", Raw_Data_Daily!$A:$A, $A22, Raw_Data_Daily!$C:$C, $C$3),""))</f>
        <v>630</v>
      </c>
      <c r="BT22" s="126">
        <f>IF($A22="","",IFERROR(SUMPRODUCT((Raw_Data_Daily!$B$2:$B$9999="Variant")*(Raw_Data_Daily!$A$2:$A$9999=$A22)*(Raw_Data_Daily!$C$2:$C$9999=$C$3)*Raw_Data_Daily!$D$2:$D$9999*Raw_Data_Daily!$Z$2:$Z$9999)/SUMIFS(Raw_Data_Daily!$D:$D, Raw_Data_Daily!$B:$B, "Variant", Raw_Data_Daily!$A:$A, $A22, Raw_Data_Daily!$C:$C, $C$3),""))</f>
        <v>521</v>
      </c>
      <c r="BU22" s="127">
        <f t="shared" si="24"/>
        <v>-0.173015873</v>
      </c>
      <c r="BV22" s="126">
        <f>IF($A22="","",IFERROR(SUMPRODUCT((Raw_Data_Daily!$B$2:$B$9999="Control")*(Raw_Data_Daily!$A$2:$A$9999=$A22)*(Raw_Data_Daily!$C$2:$C$9999=$C$3)*Raw_Data_Daily!$D$2:$D$9999*Raw_Data_Daily!$AA$2:$AA$9999)/SUMIFS(Raw_Data_Daily!$D:$D, Raw_Data_Daily!$B:$B, "Control", Raw_Data_Daily!$A:$A, $A22, Raw_Data_Daily!$C:$C, $C$3),""))</f>
        <v>1435</v>
      </c>
      <c r="BW22" s="126">
        <f>IF($A22="","",IFERROR(SUMPRODUCT((Raw_Data_Daily!$B$2:$B$9999="Variant")*(Raw_Data_Daily!$A$2:$A$9999=$A22)*(Raw_Data_Daily!$C$2:$C$9999=$C$3)*Raw_Data_Daily!$D$2:$D$9999*Raw_Data_Daily!$AA$2:$AA$9999)/SUMIFS(Raw_Data_Daily!$D:$D, Raw_Data_Daily!$B:$B, "Variant", Raw_Data_Daily!$A:$A, $A22, Raw_Data_Daily!$C:$C, $C$3),""))</f>
        <v>1157</v>
      </c>
      <c r="BX22" s="127">
        <f t="shared" si="25"/>
        <v>-0.193728223</v>
      </c>
      <c r="BY22" s="132">
        <f>IF($A22="","",IFERROR(SUMPRODUCT((Raw_Data_Daily!$B$2:$B$9999="Control")*(Raw_Data_Daily!$A$2:$A$9999=$A22)*(Raw_Data_Daily!$C$2:$C$9999=$C$3)*Raw_Data_Daily!$D$2:$D$9999*Raw_Data_Daily!$AB$2:$AB$9999)/SUMIFS(Raw_Data_Daily!$D:$D, Raw_Data_Daily!$B:$B, "Control", Raw_Data_Daily!$A:$A, $A22, Raw_Data_Daily!$C:$C, $C$3),""))</f>
        <v>55.6656</v>
      </c>
      <c r="BZ22" s="132">
        <f>IF($A22="","",IFERROR(SUMPRODUCT((Raw_Data_Daily!$B$2:$B$9999="Variant")*(Raw_Data_Daily!$A$2:$A$9999=$A22)*(Raw_Data_Daily!$C$2:$C$9999=$C$3)*Raw_Data_Daily!$D$2:$D$9999*Raw_Data_Daily!$AB$2:$AB$9999)/SUMIFS(Raw_Data_Daily!$D:$D, Raw_Data_Daily!$B:$B, "Variant", Raw_Data_Daily!$A:$A, $A22, Raw_Data_Daily!$C:$C, $C$3),""))</f>
        <v>55.536</v>
      </c>
      <c r="CA22" s="130">
        <f t="shared" si="26"/>
        <v>-0.002328188325</v>
      </c>
      <c r="CB22" s="132">
        <f>IF($A22="","",IFERROR(SUMPRODUCT((Raw_Data_Daily!$B$2:$B$9999="Control")*(Raw_Data_Daily!$A$2:$A$9999=$A22)*(Raw_Data_Daily!$C$2:$C$9999=$C$3)*Raw_Data_Daily!$D$2:$D$9999*Raw_Data_Daily!$AC$2:$AC$9999)/SUMIFS(Raw_Data_Daily!$D:$D, Raw_Data_Daily!$B:$B, "Control", Raw_Data_Daily!$A:$A, $A22, Raw_Data_Daily!$C:$C, $C$3),""))</f>
        <v>0.7858</v>
      </c>
      <c r="CC22" s="132">
        <f>IF($A22="","",IFERROR(SUMPRODUCT((Raw_Data_Daily!$B$2:$B$9999="Variant")*(Raw_Data_Daily!$A$2:$A$9999=$A22)*(Raw_Data_Daily!$C$2:$C$9999=$C$3)*Raw_Data_Daily!$D$2:$D$9999*Raw_Data_Daily!$AC$2:$AC$9999)/SUMIFS(Raw_Data_Daily!$D:$D, Raw_Data_Daily!$B:$B, "Variant", Raw_Data_Daily!$A:$A, $A22, Raw_Data_Daily!$C:$C, $C$3),""))</f>
        <v>0.7715</v>
      </c>
      <c r="CD22" s="130">
        <f t="shared" si="27"/>
        <v>-0.01819801476</v>
      </c>
      <c r="CE22" s="132">
        <f>IF($A22="","",IFERROR(SUMPRODUCT((Raw_Data_Daily!$B$2:$B$9999="Control")*(Raw_Data_Daily!$A$2:$A$9999=$A22)*(Raw_Data_Daily!$C$2:$C$9999=$C$3)*Raw_Data_Daily!$D$2:$D$9999*Raw_Data_Daily!$AD$2:$AD$9999)/SUMIFS(Raw_Data_Daily!$D:$D, Raw_Data_Daily!$B:$B, "Control", Raw_Data_Daily!$A:$A, $A22, Raw_Data_Daily!$C:$C, $C$3),""))</f>
        <v>29.16</v>
      </c>
      <c r="CF22" s="132">
        <f>IF($A22="","",IFERROR(SUMPRODUCT((Raw_Data_Daily!$B$2:$B$9999="Variant")*(Raw_Data_Daily!$A$2:$A$9999=$A22)*(Raw_Data_Daily!$C$2:$C$9999=$C$3)*Raw_Data_Daily!$D$2:$D$9999*Raw_Data_Daily!$AD$2:$AD$9999)/SUMIFS(Raw_Data_Daily!$D:$D, Raw_Data_Daily!$B:$B, "Variant", Raw_Data_Daily!$A:$A, $A22, Raw_Data_Daily!$C:$C, $C$3),""))</f>
        <v>27</v>
      </c>
      <c r="CG22" s="130">
        <f t="shared" si="28"/>
        <v>-0.07407407407</v>
      </c>
      <c r="CH22" s="132">
        <f>IF($A22="","",IFERROR(SUMPRODUCT((Raw_Data_Daily!$B$2:$B$9999="Control")*(Raw_Data_Daily!$A$2:$A$9999=$A22)*(Raw_Data_Daily!$C$2:$C$9999=$C$3)*Raw_Data_Daily!$D$2:$D$9999*Raw_Data_Daily!$AE$2:$AE$9999)/SUMIFS(Raw_Data_Daily!$D:$D, Raw_Data_Daily!$B:$B, "Control", Raw_Data_Daily!$A:$A, $A22, Raw_Data_Daily!$C:$C, $C$3),""))</f>
        <v>11</v>
      </c>
      <c r="CI22" s="132">
        <f>IF($A22="","",IFERROR(SUMPRODUCT((Raw_Data_Daily!$B$2:$B$9999="Variant")*(Raw_Data_Daily!$A$2:$A$9999=$A22)*(Raw_Data_Daily!$C$2:$C$9999=$C$3)*Raw_Data_Daily!$D$2:$D$9999*Raw_Data_Daily!$AE$2:$AE$9999)/SUMIFS(Raw_Data_Daily!$D:$D, Raw_Data_Daily!$B:$B, "Variant", Raw_Data_Daily!$A:$A, $A22, Raw_Data_Daily!$C:$C, $C$3),""))</f>
        <v>11</v>
      </c>
      <c r="CJ22" s="130">
        <f t="shared" si="29"/>
        <v>0</v>
      </c>
      <c r="CK22" s="132">
        <f>IF($A22="","",IFERROR(SUMPRODUCT((Raw_Data_Daily!$B$2:$B$9999="Control")*(Raw_Data_Daily!$A$2:$A$9999=$A22)*(Raw_Data_Daily!$C$2:$C$9999=$C$3)*Raw_Data_Daily!$D$2:$D$9999*Raw_Data_Daily!$AF$2:$AF$9999)/SUMIFS(Raw_Data_Daily!$D:$D, Raw_Data_Daily!$B:$B, "Control", Raw_Data_Daily!$A:$A, $A22, Raw_Data_Daily!$C:$C, $C$3),""))</f>
        <v>22</v>
      </c>
      <c r="CL22" s="132">
        <f>IF($A22="","",IFERROR(SUMPRODUCT((Raw_Data_Daily!$B$2:$B$9999="Variant")*(Raw_Data_Daily!$A$2:$A$9999=$A22)*(Raw_Data_Daily!$C$2:$C$9999=$C$3)*Raw_Data_Daily!$D$2:$D$9999*Raw_Data_Daily!$AF$2:$AF$9999)/SUMIFS(Raw_Data_Daily!$D:$D, Raw_Data_Daily!$B:$B, "Variant", Raw_Data_Daily!$A:$A, $A22, Raw_Data_Daily!$C:$C, $C$3),""))</f>
        <v>20</v>
      </c>
      <c r="CM22" s="130">
        <f t="shared" si="30"/>
        <v>-0.09090909091</v>
      </c>
      <c r="CN22" s="132">
        <f>IF($A22="","",IFERROR(SUMPRODUCT((Raw_Data_Daily!$B$2:$B$9999="Control")*(Raw_Data_Daily!$A$2:$A$9999=$A22)*(Raw_Data_Daily!$C$2:$C$9999=$C$3)*Raw_Data_Daily!$D$2:$D$9999*Raw_Data_Daily!$AG$2:$AG$9999)/SUMIFS(Raw_Data_Daily!$D:$D, Raw_Data_Daily!$B:$B, "Control", Raw_Data_Daily!$A:$A, $A22, Raw_Data_Daily!$C:$C, $C$3),""))</f>
        <v>40</v>
      </c>
      <c r="CO22" s="132">
        <f>IF($A22="","",IFERROR(SUMPRODUCT((Raw_Data_Daily!$B$2:$B$9999="Variant")*(Raw_Data_Daily!$A$2:$A$9999=$A22)*(Raw_Data_Daily!$C$2:$C$9999=$C$3)*Raw_Data_Daily!$D$2:$D$9999*Raw_Data_Daily!$AG$2:$AG$9999)/SUMIFS(Raw_Data_Daily!$D:$D, Raw_Data_Daily!$B:$B, "Variant", Raw_Data_Daily!$A:$A, $A22, Raw_Data_Daily!$C:$C, $C$3),""))</f>
        <v>39</v>
      </c>
      <c r="CP22" s="130">
        <f t="shared" si="31"/>
        <v>-0.025</v>
      </c>
      <c r="CQ22" s="132">
        <f>IF($A22="","",IFERROR(SUMPRODUCT((Raw_Data_Daily!$B$2:$B$9999="Control")*(Raw_Data_Daily!$A$2:$A$9999=$A22)*(Raw_Data_Daily!$C$2:$C$9999=$C$3)*Raw_Data_Daily!$D$2:$D$9999*Raw_Data_Daily!$AH$2:$AH$9999)/SUMIFS(Raw_Data_Daily!$D:$D, Raw_Data_Daily!$B:$B, "Control", Raw_Data_Daily!$A:$A, $A22, Raw_Data_Daily!$C:$C, $C$3),""))</f>
        <v>61</v>
      </c>
      <c r="CR22" s="132">
        <f>IF($A22="","",IFERROR(SUMPRODUCT((Raw_Data_Daily!$B$2:$B$9999="Variant")*(Raw_Data_Daily!$A$2:$A$9999=$A22)*(Raw_Data_Daily!$C$2:$C$9999=$C$3)*Raw_Data_Daily!$D$2:$D$9999*Raw_Data_Daily!$AH$2:$AH$9999)/SUMIFS(Raw_Data_Daily!$D:$D, Raw_Data_Daily!$B:$B, "Variant", Raw_Data_Daily!$A:$A, $A22, Raw_Data_Daily!$C:$C, $C$3),""))</f>
        <v>55</v>
      </c>
      <c r="CS22" s="130">
        <f t="shared" si="32"/>
        <v>-0.09836065574</v>
      </c>
      <c r="CT22" s="128">
        <f>IF($A22="","",IFERROR(SUMPRODUCT((Raw_Data_Daily!$B$2:$B$9999="Control")*(Raw_Data_Daily!$A$2:$A$9999=$A22)*(Raw_Data_Daily!$C$2:$C$9999=$C$3)*Raw_Data_Daily!$D$2:$D$9999*Raw_Data_Daily!$AI$2:$AI$9999)/SUMIFS(Raw_Data_Daily!$D:$D, Raw_Data_Daily!$B:$B, "Control", Raw_Data_Daily!$A:$A, $A22, Raw_Data_Daily!$C:$C, $C$3),""))</f>
        <v>40.42</v>
      </c>
      <c r="CU22" s="128">
        <f>IF($A22="","",IFERROR(SUMPRODUCT((Raw_Data_Daily!$B$2:$B$9999="Variant")*(Raw_Data_Daily!$A$2:$A$9999=$A22)*(Raw_Data_Daily!$C$2:$C$9999=$C$3)*Raw_Data_Daily!$D$2:$D$9999*Raw_Data_Daily!$AI$2:$AI$9999)/SUMIFS(Raw_Data_Daily!$D:$D, Raw_Data_Daily!$B:$B, "Variant", Raw_Data_Daily!$A:$A, $A22, Raw_Data_Daily!$C:$C, $C$3),""))</f>
        <v>37.34</v>
      </c>
      <c r="CV22" s="139">
        <f t="shared" si="33"/>
        <v>-0.07619990104</v>
      </c>
      <c r="CW22" s="128">
        <f>IF($A22="","",IFERROR(SUMPRODUCT((Raw_Data_Daily!$B$2:$B$9999="Control")*(Raw_Data_Daily!$A$2:$A$9999=$A22)*(Raw_Data_Daily!$C$2:$C$9999=$C$3)*Raw_Data_Daily!$D$2:$D$9999*Raw_Data_Daily!$AJ$2:$AJ$9999)/SUMIFS(Raw_Data_Daily!$D:$D, Raw_Data_Daily!$B:$B, "Control", Raw_Data_Daily!$A:$A, $A22, Raw_Data_Daily!$C:$C, $C$3),""))</f>
        <v>10.48</v>
      </c>
      <c r="CX22" s="128">
        <f>IF($A22="","",IFERROR(SUMPRODUCT((Raw_Data_Daily!$B$2:$B$9999="Variant")*(Raw_Data_Daily!$A$2:$A$9999=$A22)*(Raw_Data_Daily!$C$2:$C$9999=$C$3)*Raw_Data_Daily!$D$2:$D$9999*Raw_Data_Daily!$AJ$2:$AJ$9999)/SUMIFS(Raw_Data_Daily!$D:$D, Raw_Data_Daily!$B:$B, "Variant", Raw_Data_Daily!$A:$A, $A22, Raw_Data_Daily!$C:$C, $C$3),""))</f>
        <v>8.5</v>
      </c>
      <c r="CY22" s="139">
        <f t="shared" si="34"/>
        <v>-0.1889312977</v>
      </c>
      <c r="CZ22" s="128">
        <f>IF($A22="","",IFERROR(SUMPRODUCT((Raw_Data_Daily!$B$2:$B$9999="Control")*(Raw_Data_Daily!$A$2:$A$9999=$A22)*(Raw_Data_Daily!$C$2:$C$9999=$C$3)*Raw_Data_Daily!$D$2:$D$9999*Raw_Data_Daily!$AK$2:$AK$9999)/SUMIFS(Raw_Data_Daily!$D:$D, Raw_Data_Daily!$B:$B, "Control", Raw_Data_Daily!$A:$A, $A22, Raw_Data_Daily!$C:$C, $C$3),""))</f>
        <v>2.28</v>
      </c>
      <c r="DA22" s="128">
        <f>IF($A22="","",IFERROR(SUMPRODUCT((Raw_Data_Daily!$B$2:$B$9999="Variant")*(Raw_Data_Daily!$A$2:$A$9999=$A22)*(Raw_Data_Daily!$C$2:$C$9999=$C$3)*Raw_Data_Daily!$D$2:$D$9999*Raw_Data_Daily!$AK$2:$AK$9999)/SUMIFS(Raw_Data_Daily!$D:$D, Raw_Data_Daily!$B:$B, "Variant", Raw_Data_Daily!$A:$A, $A22, Raw_Data_Daily!$C:$C, $C$3),""))</f>
        <v>1.59</v>
      </c>
      <c r="DB22" s="130">
        <f t="shared" si="35"/>
        <v>-0.3026315789</v>
      </c>
      <c r="DC22" s="137">
        <f>IF($A22="","",IFERROR(SUMPRODUCT((Raw_Data_Daily!$B$2:$B$9999="Control")*(Raw_Data_Daily!$A$2:$A$9999=$A22)*(Raw_Data_Daily!$C$2:$C$9999=$C$3)*Raw_Data_Daily!$D$2:$D$9999*Raw_Data_Daily!$AL$2:$AL$9999)/SUMIFS(Raw_Data_Daily!$D:$D, Raw_Data_Daily!$B:$B, "Control", Raw_Data_Daily!$A:$A, $A22, Raw_Data_Daily!$C:$C, $C$3),""))</f>
        <v>0.185</v>
      </c>
      <c r="DD22" s="137">
        <f>IF($A22="","",IFERROR(SUMPRODUCT((Raw_Data_Daily!$B$2:$B$9999="Variant")*(Raw_Data_Daily!$A$2:$A$9999=$A22)*(Raw_Data_Daily!$C$2:$C$9999=$C$3)*Raw_Data_Daily!$D$2:$D$9999*Raw_Data_Daily!$AL$2:$AL$9999)/SUMIFS(Raw_Data_Daily!$D:$D, Raw_Data_Daily!$B:$B, "Variant", Raw_Data_Daily!$A:$A, $A22, Raw_Data_Daily!$C:$C, $C$3),""))</f>
        <v>0.1813</v>
      </c>
      <c r="DE22" s="139">
        <f t="shared" si="36"/>
        <v>-0.02</v>
      </c>
      <c r="DF22" s="159"/>
      <c r="DG22" s="128">
        <f>IF($A22="","",IFERROR(SUMPRODUCT((Raw_Data_Daily!$B$2:$B$9999="Variant")*(Raw_Data_Daily!$A$2:$A$9999=$A22)*(Raw_Data_Daily!$C$2:$C$9999=$C$3)*Raw_Data_Daily!$D$2:$D$9999*Raw_Data_Daily!$AM$2:$AM$9999)/SUMIFS(Raw_Data_Daily!$D:$D, Raw_Data_Daily!$B:$B, "Variant", Raw_Data_Daily!$A:$A, $A22, Raw_Data_Daily!$C:$C, $C$3),""))</f>
        <v>39.97</v>
      </c>
      <c r="DH22" s="160"/>
      <c r="DI22" s="159"/>
      <c r="DJ22" s="128">
        <f>IF($A22="","",IFERROR(SUMPRODUCT((Raw_Data_Daily!$B$2:$B$9999="Variant")*(Raw_Data_Daily!$A$2:$A$9999=$A22)*(Raw_Data_Daily!$C$2:$C$9999=$C$3)*Raw_Data_Daily!$D$2:$D$9999*Raw_Data_Daily!$AN$2:$AN$9999)/SUMIFS(Raw_Data_Daily!$D:$D, Raw_Data_Daily!$B:$B, "Variant", Raw_Data_Daily!$A:$A, $A22, Raw_Data_Daily!$C:$C, $C$3),""))</f>
        <v>39.97</v>
      </c>
      <c r="DK22" s="160"/>
      <c r="DL22" s="159"/>
      <c r="DM22" s="128">
        <f>IF($A22="","",IFERROR(SUMPRODUCT((Raw_Data_Daily!$B$2:$B$9999="Variant")*(Raw_Data_Daily!$A$2:$A$9999=$A22)*(Raw_Data_Daily!$C$2:$C$9999=$C$3)*Raw_Data_Daily!$D$2:$D$9999*Raw_Data_Daily!$AO$2:$AO$9999)/SUMIFS(Raw_Data_Daily!$D:$D, Raw_Data_Daily!$B:$B, "Variant", Raw_Data_Daily!$A:$A, $A22, Raw_Data_Daily!$C:$C, $C$3),""))</f>
        <v>23.43</v>
      </c>
      <c r="DN22" s="160"/>
      <c r="DO22" s="159"/>
      <c r="DP22" s="128">
        <f>IF($A22="","",IFERROR(SUMPRODUCT((Raw_Data_Daily!$B$2:$B$9999="Variant")*(Raw_Data_Daily!$A$2:$A$9999=$A22)*(Raw_Data_Daily!$C$2:$C$9999=$C$3)*Raw_Data_Daily!$D$2:$D$9999*Raw_Data_Daily!$AP$2:$AP$9999)/SUMIFS(Raw_Data_Daily!$D:$D, Raw_Data_Daily!$B:$B, "Variant", Raw_Data_Daily!$A:$A, $A22, Raw_Data_Daily!$C:$C, $C$3),""))</f>
        <v>13.79</v>
      </c>
      <c r="DQ22" s="160"/>
      <c r="DR22" s="137">
        <f>IF($A22="","",IFERROR(SUMPRODUCT((Raw_Data_Daily!$B$2:$B$9999="Control")*(Raw_Data_Daily!$A$2:$A$9999=$A22)*(Raw_Data_Daily!$C$2:$C$9999=$C$3)*Raw_Data_Daily!$D$2:$D$9999*Raw_Data_Daily!$AQ$2:$AQ$9999)/SUMIFS(Raw_Data_Daily!$D:$D, Raw_Data_Daily!$B:$B, "Control", Raw_Data_Daily!$A:$A, $A22, Raw_Data_Daily!$C:$C, $C$3),""))</f>
        <v>15.2956</v>
      </c>
      <c r="DS22" s="137">
        <f>IF($A22="","",IFERROR(SUMPRODUCT((Raw_Data_Daily!$B$2:$B$9999="Variant")*(Raw_Data_Daily!$A$2:$A$9999=$A22)*(Raw_Data_Daily!$C$2:$C$9999=$C$3)*Raw_Data_Daily!$D$2:$D$9999*Raw_Data_Daily!$AQ$2:$AQ$9999)/SUMIFS(Raw_Data_Daily!$D:$D, Raw_Data_Daily!$B:$B, "Variant", Raw_Data_Daily!$A:$A, $A22, Raw_Data_Daily!$C:$C, $C$3),""))</f>
        <v>14.7272</v>
      </c>
      <c r="DT22" s="161">
        <f t="shared" si="37"/>
        <v>-0.03716101362</v>
      </c>
      <c r="DU22" s="137">
        <f>IF($A22="","",IFERROR(SUMPRODUCT((Raw_Data_Daily!$B$2:$B$9999="Control")*(Raw_Data_Daily!$A$2:$A$9999=$A22)*(Raw_Data_Daily!$C$2:$C$9999=$C$3)*Raw_Data_Daily!$D$2:$D$9999*Raw_Data_Daily!$AR$2:$AR$9999)/SUMIFS(Raw_Data_Daily!$D:$D, Raw_Data_Daily!$B:$B, "Control", Raw_Data_Daily!$A:$A, $A22, Raw_Data_Daily!$C:$C, $C$3),""))</f>
        <v>0.3863</v>
      </c>
      <c r="DV22" s="137">
        <f>IF($A22="","",IFERROR(SUMPRODUCT((Raw_Data_Daily!$B$2:$B$9999="Variant")*(Raw_Data_Daily!$A$2:$A$9999=$A22)*(Raw_Data_Daily!$C$2:$C$9999=$C$3)*Raw_Data_Daily!$D$2:$D$9999*Raw_Data_Daily!$AR$2:$AR$9999)/SUMIFS(Raw_Data_Daily!$D:$D, Raw_Data_Daily!$B:$B, "Variant", Raw_Data_Daily!$A:$A, $A22, Raw_Data_Daily!$C:$C, $C$3),""))</f>
        <v>0.5413</v>
      </c>
      <c r="DW22" s="161">
        <f t="shared" si="38"/>
        <v>0.4012425576</v>
      </c>
      <c r="DX22" s="137">
        <f>IF($A22="","",IFERROR(SUMPRODUCT((Raw_Data_Daily!$B$2:$B$9999="Control")*(Raw_Data_Daily!$A$2:$A$9999=$A22)*(Raw_Data_Daily!$C$2:$C$9999=$C$3)*Raw_Data_Daily!$D$2:$D$9999*Raw_Data_Daily!$AS$2:$AS$9999)/SUMIFS(Raw_Data_Daily!$D:$D, Raw_Data_Daily!$B:$B, "Control", Raw_Data_Daily!$A:$A, $A22, Raw_Data_Daily!$C:$C, $C$3),""))</f>
        <v>14.9094</v>
      </c>
      <c r="DY22" s="137">
        <f>IF($A22="","",IFERROR(SUMPRODUCT((Raw_Data_Daily!$B$2:$B$9999="Variant")*(Raw_Data_Daily!$A$2:$A$9999=$A22)*(Raw_Data_Daily!$C$2:$C$9999=$C$3)*Raw_Data_Daily!$D$2:$D$9999*Raw_Data_Daily!$AS$2:$AS$9999)/SUMIFS(Raw_Data_Daily!$D:$D, Raw_Data_Daily!$B:$B, "Variant", Raw_Data_Daily!$A:$A, $A22, Raw_Data_Daily!$C:$C, $C$3),""))</f>
        <v>14.1859</v>
      </c>
      <c r="DZ22" s="162">
        <f t="shared" si="39"/>
        <v>-0.04852643299</v>
      </c>
      <c r="EA22" s="137">
        <f>IF($A22="","",IFERROR(SUMPRODUCT((Raw_Data_Daily!$B$2:$B$9999="Control")*(Raw_Data_Daily!$A$2:$A$9999=$A22)*(Raw_Data_Daily!$C$2:$C$9999=$C$3)*Raw_Data_Daily!$D$2:$D$9999*Raw_Data_Daily!$AT$2:$AT$9999)/SUMIFS(Raw_Data_Daily!$D:$D, Raw_Data_Daily!$B:$B, "Control", Raw_Data_Daily!$A:$A, $A22, Raw_Data_Daily!$C:$C, $C$3),""))</f>
        <v>13.6894</v>
      </c>
      <c r="EB22" s="137">
        <f>IF($A22="","",IFERROR(SUMPRODUCT((Raw_Data_Daily!$B$2:$B$9999="Variant")*(Raw_Data_Daily!$A$2:$A$9999=$A22)*(Raw_Data_Daily!$C$2:$C$9999=$C$3)*Raw_Data_Daily!$D$2:$D$9999*Raw_Data_Daily!$AT$2:$AT$9999)/SUMIFS(Raw_Data_Daily!$D:$D, Raw_Data_Daily!$B:$B, "Variant", Raw_Data_Daily!$A:$A, $A22, Raw_Data_Daily!$C:$C, $C$3),""))</f>
        <v>12.4471</v>
      </c>
      <c r="EC22" s="161">
        <f t="shared" si="40"/>
        <v>-0.09074904671</v>
      </c>
      <c r="ED22" s="137">
        <f>IF($A22="","",IFERROR(SUMPRODUCT((Raw_Data_Daily!$B$2:$B$9999="Control")*(Raw_Data_Daily!$A$2:$A$9999=$A22)*(Raw_Data_Daily!$C$2:$C$9999=$C$3)*Raw_Data_Daily!$D$2:$D$9999*(Raw_Data_Daily!$AQ$2:$AQ$9999-Raw_Data_Daily!$AT$2:$AT$9999))/SUMIFS(Raw_Data_Daily!$D:$D, Raw_Data_Daily!$B:$B, "Control", Raw_Data_Daily!$A:$A, $A22, Raw_Data_Daily!$C:$C, $C$3),""))</f>
        <v>1.6062</v>
      </c>
      <c r="EE22" s="137">
        <f>IF($A22="","",IFERROR(SUMPRODUCT((Raw_Data_Daily!$B$2:$B$9999="Variant")*(Raw_Data_Daily!$A$2:$A$9999=$A22)*(Raw_Data_Daily!$C$2:$C$9999=$C$3)*Raw_Data_Daily!$D$2:$D$9999*(Raw_Data_Daily!$AQ$2:$AQ$9999-Raw_Data_Daily!$AT$2:$AT$9999))/SUMIFS(Raw_Data_Daily!$D:$D, Raw_Data_Daily!$B:$B, "Variant", Raw_Data_Daily!$A:$A, $A22, Raw_Data_Daily!$C:$C, $C$3),""))</f>
        <v>2.2801</v>
      </c>
      <c r="EF22" s="162">
        <f t="shared" si="41"/>
        <v>0.4195616984</v>
      </c>
      <c r="EG22" s="137">
        <f>IF($A22="","",IFERROR(SUMPRODUCT((Raw_Data_Daily!$B$2:$B$9999="Control")*(Raw_Data_Daily!$A$2:$A$9999=$A22)*(Raw_Data_Daily!$C$2:$C$9999=$C$3)*Raw_Data_Daily!$D$2:$D$9999*Raw_Data_Daily!$AU$2:$AU$9999)/SUMIFS(Raw_Data_Daily!$D:$D, Raw_Data_Daily!$B:$B, "Control", Raw_Data_Daily!$A:$A, $A22, Raw_Data_Daily!$C:$C, $C$3),""))</f>
        <v>0.1973</v>
      </c>
      <c r="EH22" s="137">
        <f>IF($A22="","",IFERROR(SUMPRODUCT((Raw_Data_Daily!$B$2:$B$9999="Variant")*(Raw_Data_Daily!$A$2:$A$9999=$A22)*(Raw_Data_Daily!$C$2:$C$9999=$C$3)*Raw_Data_Daily!$D$2:$D$9999*Raw_Data_Daily!$AU$2:$AU$9999)/SUMIFS(Raw_Data_Daily!$D:$D, Raw_Data_Daily!$B:$B, "Variant", Raw_Data_Daily!$A:$A, $A22, Raw_Data_Daily!$C:$C, $C$3),""))</f>
        <v>0.1757</v>
      </c>
      <c r="EI22" s="161">
        <f t="shared" si="42"/>
        <v>-0.1094779524</v>
      </c>
    </row>
    <row r="23" ht="15.75" customHeight="1">
      <c r="A23" s="192">
        <v>46246.0</v>
      </c>
      <c r="B23" s="193">
        <f>IF($A23="","",SUMIFS(Raw_Data_Daily!$D:$D, Raw_Data_Daily!$B:$B, "Control", Raw_Data_Daily!$A:$A, $A23, Raw_Data_Daily!$C:$C, $C$3))</f>
        <v>3420</v>
      </c>
      <c r="C23" s="193">
        <f>IF($A23="","",SUMIFS(Raw_Data_Daily!$D:$D, Raw_Data_Daily!$B:$B, "Variant", Raw_Data_Daily!$A:$A, $A23, Raw_Data_Daily!$C:$C, $C$3))</f>
        <v>3256</v>
      </c>
      <c r="D23" s="194">
        <f t="shared" si="1"/>
        <v>-0.04795321637</v>
      </c>
      <c r="E23" s="195">
        <f>IF($A23="","",IFERROR(SUMPRODUCT((Raw_Data_Daily!$B$2:$B$9999="Control")*(Raw_Data_Daily!$A$2:$A$9999=$A23)*(Raw_Data_Daily!$C$2:$C$9999=$C$3)*Raw_Data_Daily!$D$2:$D$9999*Raw_Data_Daily!$E$2:$E$9999)/SUMIFS(Raw_Data_Daily!$D:$D, Raw_Data_Daily!$B:$B, "Control", Raw_Data_Daily!$A:$A, $A23, Raw_Data_Daily!$C:$C, $C$3),""))</f>
        <v>12.19</v>
      </c>
      <c r="F23" s="195">
        <f>IF($A23="","",IFERROR(SUMPRODUCT((Raw_Data_Daily!$B$2:$B$9999="Variant")*(Raw_Data_Daily!$A$2:$A$9999=$A23)*(Raw_Data_Daily!$C$2:$C$9999=$C$3)*Raw_Data_Daily!$D$2:$D$9999*Raw_Data_Daily!$E$2:$E$9999)/SUMIFS(Raw_Data_Daily!$D:$D, Raw_Data_Daily!$B:$B, "Variant", Raw_Data_Daily!$A:$A, $A23, Raw_Data_Daily!$C:$C, $C$3),""))</f>
        <v>11.8</v>
      </c>
      <c r="G23" s="194">
        <f t="shared" si="2"/>
        <v>-0.03199343724</v>
      </c>
      <c r="H23" s="196">
        <f>IF($A23="","",SUMIFS(Raw_Data_Daily!$F:$F, Raw_Data_Daily!$B:$B, "Control", Raw_Data_Daily!$A:$A, $A23, Raw_Data_Daily!$C:$C, $C$3))</f>
        <v>965.04</v>
      </c>
      <c r="I23" s="196">
        <f>IF($A23="","",SUMIFS(Raw_Data_Daily!$F:$F, Raw_Data_Daily!$B:$B, "Variant", Raw_Data_Daily!$A:$A, $A23, Raw_Data_Daily!$C:$C, $C$3))</f>
        <v>649.67</v>
      </c>
      <c r="J23" s="197">
        <f t="shared" si="3"/>
        <v>-0.3267947443</v>
      </c>
      <c r="K23" s="198">
        <f>IF($A23="","",IFERROR(SUMIFS(Raw_Data_Daily!$F:$F, Raw_Data_Daily!$B:$B, "Control", Raw_Data_Daily!$A:$A, $A23, Raw_Data_Daily!$C:$C, $C$3)/SUMIFS(Raw_Data_Daily!$D:$D, Raw_Data_Daily!$B:$B, "Control", Raw_Data_Daily!$A:$A, $A23, Raw_Data_Daily!$C:$C, $C$3),""))</f>
        <v>0.2821754386</v>
      </c>
      <c r="L23" s="198">
        <f>IF($A23="","",IFERROR(SUMIFS(Raw_Data_Daily!$F:$F, Raw_Data_Daily!$B:$B, "Variant", Raw_Data_Daily!$A:$A, $A23, Raw_Data_Daily!$C:$C, $C$3)/SUMIFS(Raw_Data_Daily!$D:$D, Raw_Data_Daily!$B:$B, "Variant", Raw_Data_Daily!$A:$A, $A23, Raw_Data_Daily!$C:$C, $C$3),""))</f>
        <v>0.1995300983</v>
      </c>
      <c r="M23" s="197">
        <f t="shared" si="4"/>
        <v>-0.2928863714</v>
      </c>
      <c r="N23" s="195">
        <f>IF($A23="","",IFERROR(SUMPRODUCT((Raw_Data_Daily!$B$2:$B$9999="Control")*(Raw_Data_Daily!$A$2:$A$9999=$A23)*(Raw_Data_Daily!$C$2:$C$9999=$C$3)*Raw_Data_Daily!$D$2:$D$9999*Raw_Data_Daily!$H$2:$H$9999/100)/SUMIFS(Raw_Data_Daily!$D:$D, Raw_Data_Daily!$B:$B, "Control", Raw_Data_Daily!$A:$A, $A23, Raw_Data_Daily!$C:$C, $C$3)*100,""))</f>
        <v>4.82</v>
      </c>
      <c r="O23" s="195">
        <f>IF($A23="","",IFERROR(SUMPRODUCT((Raw_Data_Daily!$B$2:$B$9999="Variant")*(Raw_Data_Daily!$A$2:$A$9999=$A23)*(Raw_Data_Daily!$C$2:$C$9999=$C$3)*Raw_Data_Daily!$D$2:$D$9999*Raw_Data_Daily!$H$2:$H$9999/100)/SUMIFS(Raw_Data_Daily!$D:$D, Raw_Data_Daily!$B:$B, "Variant", Raw_Data_Daily!$A:$A, $A23, Raw_Data_Daily!$C:$C, $C$3)*100,""))</f>
        <v>3.44</v>
      </c>
      <c r="P23" s="197">
        <f t="shared" si="5"/>
        <v>-0.2863070539</v>
      </c>
      <c r="Q23" s="198">
        <f>IF($A23="","",IFERROR(SUMIFS(Raw_Data_Daily!$F:$F, Raw_Data_Daily!$B:$B, "Control", Raw_Data_Daily!$A:$A, $A23, Raw_Data_Daily!$C:$C, $C$3)/SUMPRODUCT((Raw_Data_Daily!$B$2:$B$9999="Control")*(Raw_Data_Daily!$A$2:$A$9999=$A23)*(Raw_Data_Daily!$C$2:$C$9999=$C$3)*Raw_Data_Daily!$D$2:$D$9999*Raw_Data_Daily!$H$2:$H$9999/100),""))</f>
        <v>5.854262212</v>
      </c>
      <c r="R23" s="198">
        <f>IF($A23="","",IFERROR(SUMIFS(Raw_Data_Daily!$F:$F, Raw_Data_Daily!$B:$B, "Variant", Raw_Data_Daily!$A:$A, $A23, Raw_Data_Daily!$C:$C, $C$3)/SUMPRODUCT((Raw_Data_Daily!$B$2:$B$9999="Variant")*(Raw_Data_Daily!$A$2:$A$9999=$A23)*(Raw_Data_Daily!$C$2:$C$9999=$C$3)*Raw_Data_Daily!$D$2:$D$9999*Raw_Data_Daily!$H$2:$H$9999/100),""))</f>
        <v>5.800293555</v>
      </c>
      <c r="S23" s="197">
        <f t="shared" si="6"/>
        <v>-0.009218694849</v>
      </c>
      <c r="T23" s="199">
        <f>IF($A23="","",IFERROR(SUMPRODUCT((Raw_Data_Daily!$B$2:$B$9999="Control")*(Raw_Data_Daily!$A$2:$A$9999=$A23)*(Raw_Data_Daily!$C$2:$C$9999=$C$3)*Raw_Data_Daily!$D$2:$D$9999*Raw_Data_Daily!$J$2:$J$9999)/SUMIFS(Raw_Data_Daily!$D:$D, Raw_Data_Daily!$B:$B, "Control", Raw_Data_Daily!$A:$A, $A23, Raw_Data_Daily!$C:$C, $C$3),""))</f>
        <v>108</v>
      </c>
      <c r="U23" s="199">
        <f>IF($A23="","",IFERROR(SUMPRODUCT((Raw_Data_Daily!$B$2:$B$9999="Variant")*(Raw_Data_Daily!$A$2:$A$9999=$A23)*(Raw_Data_Daily!$C$2:$C$9999=$C$3)*Raw_Data_Daily!$D$2:$D$9999*Raw_Data_Daily!$J$2:$J$9999)/SUMIFS(Raw_Data_Daily!$D:$D, Raw_Data_Daily!$B:$B, "Variant", Raw_Data_Daily!$A:$A, $A23, Raw_Data_Daily!$C:$C, $C$3),""))</f>
        <v>107.71</v>
      </c>
      <c r="V23" s="197">
        <f t="shared" si="7"/>
        <v>-0.002685185185</v>
      </c>
      <c r="W23" s="199">
        <f>IF($A23="","",IFERROR(SUMPRODUCT((Raw_Data_Daily!$B$2:$B$9999="Control")*(Raw_Data_Daily!$A$2:$A$9999=$A23)*(Raw_Data_Daily!$C$2:$C$9999=$C$3)*Raw_Data_Daily!$D$2:$D$9999*Raw_Data_Daily!$K$2:$K$9999)/SUMIFS(Raw_Data_Daily!$D:$D, Raw_Data_Daily!$B:$B, "Control", Raw_Data_Daily!$A:$A, $A23, Raw_Data_Daily!$C:$C, $C$3),""))</f>
        <v>68</v>
      </c>
      <c r="X23" s="199">
        <f>IF($A23="","",IFERROR(SUMPRODUCT((Raw_Data_Daily!$B$2:$B$9999="Variant")*(Raw_Data_Daily!$A$2:$A$9999=$A23)*(Raw_Data_Daily!$C$2:$C$9999=$C$3)*Raw_Data_Daily!$D$2:$D$9999*Raw_Data_Daily!$K$2:$K$9999)/SUMIFS(Raw_Data_Daily!$D:$D, Raw_Data_Daily!$B:$B, "Variant", Raw_Data_Daily!$A:$A, $A23, Raw_Data_Daily!$C:$C, $C$3),""))</f>
        <v>67.34</v>
      </c>
      <c r="Y23" s="197">
        <f t="shared" si="8"/>
        <v>-0.009705882353</v>
      </c>
      <c r="Z23" s="199">
        <f>IF($A23="","",IFERROR(SUMPRODUCT((Raw_Data_Daily!$B$2:$B$9999="Control")*(Raw_Data_Daily!$A$2:$A$9999=$A23)*(Raw_Data_Daily!$C$2:$C$9999=$C$3)*Raw_Data_Daily!$D$2:$D$9999*Raw_Data_Daily!$L$2:$L$9999)/SUMIFS(Raw_Data_Daily!$D:$D, Raw_Data_Daily!$B:$B, "Control", Raw_Data_Daily!$A:$A, $A23, Raw_Data_Daily!$C:$C, $C$3),""))</f>
        <v>48.83</v>
      </c>
      <c r="AA23" s="199">
        <f>IF($A23="","",IFERROR(SUMPRODUCT((Raw_Data_Daily!$B$2:$B$9999="Variant")*(Raw_Data_Daily!$A$2:$A$9999=$A23)*(Raw_Data_Daily!$C$2:$C$9999=$C$3)*Raw_Data_Daily!$D$2:$D$9999*Raw_Data_Daily!$L$2:$L$9999)/SUMIFS(Raw_Data_Daily!$D:$D, Raw_Data_Daily!$B:$B, "Variant", Raw_Data_Daily!$A:$A, $A23, Raw_Data_Daily!$C:$C, $C$3),""))</f>
        <v>48.62</v>
      </c>
      <c r="AB23" s="197">
        <f t="shared" si="9"/>
        <v>-0.004300634856</v>
      </c>
      <c r="AC23" s="200">
        <f>IF($A23="","",IFERROR(SUMPRODUCT((Raw_Data_Daily!$B$2:$B$9999="Control")*(Raw_Data_Daily!$A$2:$A$9999=$A23)*(Raw_Data_Daily!$C$2:$C$9999=$C$3)*Raw_Data_Daily!$D$2:$D$9999*Raw_Data_Daily!$M$2:$M$9999)/SUMIFS(Raw_Data_Daily!$D:$D, Raw_Data_Daily!$B:$B, "Control", Raw_Data_Daily!$A:$A, $A23, Raw_Data_Daily!$C:$C, $C$3),""))</f>
        <v>0.7181</v>
      </c>
      <c r="AD23" s="200">
        <f>IF($A23="","",IFERROR(SUMPRODUCT((Raw_Data_Daily!$B$2:$B$9999="Variant")*(Raw_Data_Daily!$A$2:$A$9999=$A23)*(Raw_Data_Daily!$C$2:$C$9999=$C$3)*Raw_Data_Daily!$D$2:$D$9999*Raw_Data_Daily!$M$2:$M$9999)/SUMIFS(Raw_Data_Daily!$D:$D, Raw_Data_Daily!$B:$B, "Variant", Raw_Data_Daily!$A:$A, $A23, Raw_Data_Daily!$C:$C, $C$3),""))</f>
        <v>0.722</v>
      </c>
      <c r="AE23" s="201">
        <f t="shared" si="10"/>
        <v>0.005430998468</v>
      </c>
      <c r="AF23" s="200">
        <f>IF($A23="","",IFERROR(SUMPRODUCT((Raw_Data_Daily!$B$2:$B$9999="Control")*(Raw_Data_Daily!$A$2:$A$9999=$A23)*(Raw_Data_Daily!$C$2:$C$9999=$C$3)*Raw_Data_Daily!$D$2:$D$9999*Raw_Data_Daily!$N$2:$N$9999)/SUMIFS(Raw_Data_Daily!$D:$D, Raw_Data_Daily!$B:$B, "Control", Raw_Data_Daily!$A:$A, $A23, Raw_Data_Daily!$C:$C, $C$3),""))</f>
        <v>0.389</v>
      </c>
      <c r="AG23" s="200">
        <f>IF($A23="","",IFERROR(SUMPRODUCT((Raw_Data_Daily!$B$2:$B$9999="Variant")*(Raw_Data_Daily!$A$2:$A$9999=$A23)*(Raw_Data_Daily!$C$2:$C$9999=$C$3)*Raw_Data_Daily!$D$2:$D$9999*Raw_Data_Daily!$N$2:$N$9999)/SUMIFS(Raw_Data_Daily!$D:$D, Raw_Data_Daily!$B:$B, "Variant", Raw_Data_Daily!$A:$A, $A23, Raw_Data_Daily!$C:$C, $C$3),""))</f>
        <v>0.3831</v>
      </c>
      <c r="AH23" s="201">
        <f t="shared" si="11"/>
        <v>-0.01516709512</v>
      </c>
      <c r="AI23" s="200">
        <f>IF($A23="","",IFERROR(SUMPRODUCT((Raw_Data_Daily!$B$2:$B$9999="Control")*(Raw_Data_Daily!$A$2:$A$9999=$A23)*(Raw_Data_Daily!$C$2:$C$9999=$C$3)*Raw_Data_Daily!$D$2:$D$9999*Raw_Data_Daily!$O$2:$O$9999)/SUMIFS(Raw_Data_Daily!$D:$D, Raw_Data_Daily!$B:$B, "Control", Raw_Data_Daily!$A:$A, $A23, Raw_Data_Daily!$C:$C, $C$3),""))</f>
        <v>0.2358</v>
      </c>
      <c r="AJ23" s="200">
        <f>IF($A23="","",IFERROR(SUMPRODUCT((Raw_Data_Daily!$B$2:$B$9999="Variant")*(Raw_Data_Daily!$A$2:$A$9999=$A23)*(Raw_Data_Daily!$C$2:$C$9999=$C$3)*Raw_Data_Daily!$D$2:$D$9999*Raw_Data_Daily!$O$2:$O$9999)/SUMIFS(Raw_Data_Daily!$D:$D, Raw_Data_Daily!$B:$B, "Variant", Raw_Data_Daily!$A:$A, $A23, Raw_Data_Daily!$C:$C, $C$3),""))</f>
        <v>0.2337</v>
      </c>
      <c r="AK23" s="197">
        <f t="shared" si="12"/>
        <v>-0.008905852417</v>
      </c>
      <c r="AL23" s="199">
        <f>IF($A23="","",IFERROR(SUMPRODUCT((Raw_Data_Daily!$B$2:$B$9999="Control")*(Raw_Data_Daily!$A$2:$A$9999=$A23)*(Raw_Data_Daily!$C$2:$C$9999=$C$3)*Raw_Data_Daily!$D$2:$D$9999*Raw_Data_Daily!$P$2:$P$9999)/SUMIFS(Raw_Data_Daily!$D:$D, Raw_Data_Daily!$B:$B, "Control", Raw_Data_Daily!$A:$A, $A23, Raw_Data_Daily!$C:$C, $C$3),""))</f>
        <v>1.3926</v>
      </c>
      <c r="AM23" s="199">
        <f>IF($A23="","",IFERROR(SUMPRODUCT((Raw_Data_Daily!$B$2:$B$9999="Variant")*(Raw_Data_Daily!$A$2:$A$9999=$A23)*(Raw_Data_Daily!$C$2:$C$9999=$C$3)*Raw_Data_Daily!$D$2:$D$9999*Raw_Data_Daily!$P$2:$P$9999)/SUMIFS(Raw_Data_Daily!$D:$D, Raw_Data_Daily!$B:$B, "Variant", Raw_Data_Daily!$A:$A, $A23, Raw_Data_Daily!$C:$C, $C$3),""))</f>
        <v>1.3851</v>
      </c>
      <c r="AN23" s="197">
        <f t="shared" si="13"/>
        <v>-0.005385609651</v>
      </c>
      <c r="AO23" s="199">
        <f>IF($A23="","",IFERROR(SUMPRODUCT((Raw_Data_Daily!$B$2:$B$9999="Control")*(Raw_Data_Daily!$A$2:$A$9999=$A23)*(Raw_Data_Daily!$C$2:$C$9999=$C$3)*Raw_Data_Daily!$D$2:$D$9999*Raw_Data_Daily!$Q$2:$Q$9999)/SUMIFS(Raw_Data_Daily!$D:$D, Raw_Data_Daily!$B:$B, "Control", Raw_Data_Daily!$A:$A, $A23, Raw_Data_Daily!$C:$C, $C$3),""))</f>
        <v>238.44</v>
      </c>
      <c r="AP23" s="199">
        <f>IF($A23="","",IFERROR(SUMPRODUCT((Raw_Data_Daily!$B$2:$B$9999="Variant")*(Raw_Data_Daily!$A$2:$A$9999=$A23)*(Raw_Data_Daily!$C$2:$C$9999=$C$3)*Raw_Data_Daily!$D$2:$D$9999*Raw_Data_Daily!$Q$2:$Q$9999)/SUMIFS(Raw_Data_Daily!$D:$D, Raw_Data_Daily!$B:$B, "Variant", Raw_Data_Daily!$A:$A, $A23, Raw_Data_Daily!$C:$C, $C$3),""))</f>
        <v>256.68</v>
      </c>
      <c r="AQ23" s="194">
        <f t="shared" si="14"/>
        <v>0.07649723201</v>
      </c>
      <c r="AR23" s="199">
        <f>IF($A23="","",IFERROR(SUMPRODUCT((Raw_Data_Daily!$B$2:$B$9999="Control")*(Raw_Data_Daily!$A$2:$A$9999=$A23)*(Raw_Data_Daily!$C$2:$C$9999=$C$3)*Raw_Data_Daily!$D$2:$D$9999*Raw_Data_Daily!$R$2:$R$9999)/SUMIFS(Raw_Data_Daily!$D:$D, Raw_Data_Daily!$B:$B, "Control", Raw_Data_Daily!$A:$A, $A23, Raw_Data_Daily!$C:$C, $C$3),""))</f>
        <v>188.27</v>
      </c>
      <c r="AS23" s="199">
        <f>IF($A23="","",IFERROR(SUMPRODUCT((Raw_Data_Daily!$B$2:$B$9999="Variant")*(Raw_Data_Daily!$A$2:$A$9999=$A23)*(Raw_Data_Daily!$C$2:$C$9999=$C$3)*Raw_Data_Daily!$D$2:$D$9999*Raw_Data_Daily!$R$2:$R$9999)/SUMIFS(Raw_Data_Daily!$D:$D, Raw_Data_Daily!$B:$B, "Variant", Raw_Data_Daily!$A:$A, $A23, Raw_Data_Daily!$C:$C, $C$3),""))</f>
        <v>227.68</v>
      </c>
      <c r="AT23" s="194">
        <f t="shared" si="15"/>
        <v>0.2093270303</v>
      </c>
      <c r="AU23" s="199">
        <f>IF($A23="","",IFERROR(SUMPRODUCT((Raw_Data_Daily!$B$2:$B$9999="Control")*(Raw_Data_Daily!$A$2:$A$9999=$A23)*(Raw_Data_Daily!$C$2:$C$9999=$C$3)*Raw_Data_Daily!$D$2:$D$9999*Raw_Data_Daily!$S$2:$S$9999)/SUMIFS(Raw_Data_Daily!$D:$D, Raw_Data_Daily!$B:$B, "Control", Raw_Data_Daily!$A:$A, $A23, Raw_Data_Daily!$C:$C, $C$3),""))</f>
        <v>50.17</v>
      </c>
      <c r="AV23" s="199">
        <f>IF($A23="","",IFERROR(SUMPRODUCT((Raw_Data_Daily!$B$2:$B$9999="Variant")*(Raw_Data_Daily!$A$2:$A$9999=$A23)*(Raw_Data_Daily!$C$2:$C$9999=$C$3)*Raw_Data_Daily!$D$2:$D$9999*Raw_Data_Daily!$S$2:$S$9999)/SUMIFS(Raw_Data_Daily!$D:$D, Raw_Data_Daily!$B:$B, "Variant", Raw_Data_Daily!$A:$A, $A23, Raw_Data_Daily!$C:$C, $C$3),""))</f>
        <v>29</v>
      </c>
      <c r="AW23" s="194">
        <f t="shared" si="16"/>
        <v>-0.4219653179</v>
      </c>
      <c r="AX23" s="199">
        <f>IF($A23="","",IFERROR(SUMPRODUCT((Raw_Data_Daily!$B$2:$B$9999="Control")*(Raw_Data_Daily!$A$2:$A$9999=$A23)*(Raw_Data_Daily!$C$2:$C$9999=$C$3)*Raw_Data_Daily!$D$2:$D$9999*Raw_Data_Daily!$T$2:$T$9999)/SUMIFS(Raw_Data_Daily!$D:$D, Raw_Data_Daily!$B:$B, "Control", Raw_Data_Daily!$A:$A, $A23, Raw_Data_Daily!$C:$C, $C$3),""))</f>
        <v>24.65</v>
      </c>
      <c r="AY23" s="199">
        <f>IF($A23="","",IFERROR(SUMPRODUCT((Raw_Data_Daily!$B$2:$B$9999="Variant")*(Raw_Data_Daily!$A$2:$A$9999=$A23)*(Raw_Data_Daily!$C$2:$C$9999=$C$3)*Raw_Data_Daily!$D$2:$D$9999*Raw_Data_Daily!$T$2:$T$9999)/SUMIFS(Raw_Data_Daily!$D:$D, Raw_Data_Daily!$B:$B, "Variant", Raw_Data_Daily!$A:$A, $A23, Raw_Data_Daily!$C:$C, $C$3),""))</f>
        <v>19.31</v>
      </c>
      <c r="AZ23" s="197">
        <f t="shared" si="17"/>
        <v>-0.21663286</v>
      </c>
      <c r="BA23" s="199">
        <f>IF($A23="","",IFERROR(SUMPRODUCT((Raw_Data_Daily!$B$2:$B$9999="Control")*(Raw_Data_Daily!$A$2:$A$9999=$A23)*(Raw_Data_Daily!$C$2:$C$9999=$C$3)*Raw_Data_Daily!$D$2:$D$9999*Raw_Data_Daily!$U$2:$U$9999)/SUMIFS(Raw_Data_Daily!$D:$D, Raw_Data_Daily!$B:$B, "Control", Raw_Data_Daily!$A:$A, $A23, Raw_Data_Daily!$C:$C, $C$3),""))</f>
        <v>213.79</v>
      </c>
      <c r="BB23" s="199">
        <f>IF($A23="","",IFERROR(SUMPRODUCT((Raw_Data_Daily!$B$2:$B$9999="Variant")*(Raw_Data_Daily!$A$2:$A$9999=$A23)*(Raw_Data_Daily!$C$2:$C$9999=$C$3)*Raw_Data_Daily!$D$2:$D$9999*Raw_Data_Daily!$U$2:$U$9999)/SUMIFS(Raw_Data_Daily!$D:$D, Raw_Data_Daily!$B:$B, "Variant", Raw_Data_Daily!$A:$A, $A23, Raw_Data_Daily!$C:$C, $C$3),""))</f>
        <v>237.37</v>
      </c>
      <c r="BC23" s="194">
        <f t="shared" si="18"/>
        <v>0.1102951494</v>
      </c>
      <c r="BD23" s="199">
        <f>IF($A23="","",IFERROR(SUMPRODUCT((Raw_Data_Daily!$B$2:$B$9999="Control")*(Raw_Data_Daily!$A$2:$A$9999=$A23)*(Raw_Data_Daily!$C$2:$C$9999=$C$3)*Raw_Data_Daily!$D$2:$D$9999*Raw_Data_Daily!$V$2:$V$9999)/SUMIFS(Raw_Data_Daily!$D:$D, Raw_Data_Daily!$B:$B, "Control", Raw_Data_Daily!$A:$A, $A23, Raw_Data_Daily!$C:$C, $C$3),""))</f>
        <v>273.41</v>
      </c>
      <c r="BE23" s="199">
        <f>IF($A23="","",IFERROR(SUMPRODUCT((Raw_Data_Daily!$B$2:$B$9999="Variant")*(Raw_Data_Daily!$A$2:$A$9999=$A23)*(Raw_Data_Daily!$C$2:$C$9999=$C$3)*Raw_Data_Daily!$D$2:$D$9999*Raw_Data_Daily!$V$2:$V$9999)/SUMIFS(Raw_Data_Daily!$D:$D, Raw_Data_Daily!$B:$B, "Variant", Raw_Data_Daily!$A:$A, $A23, Raw_Data_Daily!$C:$C, $C$3),""))</f>
        <v>257.77</v>
      </c>
      <c r="BF23" s="194">
        <f t="shared" si="19"/>
        <v>-0.05720346732</v>
      </c>
      <c r="BG23" s="199">
        <f>IF($A23="","",IFERROR(SUMPRODUCT((Raw_Data_Daily!$B$2:$B$9999="Control")*(Raw_Data_Daily!$A$2:$A$9999=$A23)*(Raw_Data_Daily!$C$2:$C$9999=$C$3)*Raw_Data_Daily!$D$2:$D$9999*(Raw_Data_Daily!$Q$2:$Q$9999-Raw_Data_Daily!$V$2:$V$9999))/SUMIFS(Raw_Data_Daily!$D:$D, Raw_Data_Daily!$B:$B, "Control", Raw_Data_Daily!$A:$A, $A23, Raw_Data_Daily!$C:$C, $C$3),""))</f>
        <v>-34.97</v>
      </c>
      <c r="BH23" s="199">
        <f>IF($A23="","",IFERROR(SUMPRODUCT((Raw_Data_Daily!$B$2:$B$9999="Variant")*(Raw_Data_Daily!$A$2:$A$9999=$A23)*(Raw_Data_Daily!$C$2:$C$9999=$C$3)*Raw_Data_Daily!$D$2:$D$9999*(Raw_Data_Daily!$Q$2:$Q$9999-Raw_Data_Daily!$V$2:$V$9999))/SUMIFS(Raw_Data_Daily!$D:$D, Raw_Data_Daily!$B:$B, "Variant", Raw_Data_Daily!$A:$A, $A23, Raw_Data_Daily!$C:$C, $C$3),""))</f>
        <v>-1.09</v>
      </c>
      <c r="BI23" s="194">
        <f t="shared" si="20"/>
        <v>0.9688304261</v>
      </c>
      <c r="BJ23" s="199">
        <f>IF($A23="","",IFERROR(SUMPRODUCT((Raw_Data_Daily!$B$2:$B$9999="Control")*(Raw_Data_Daily!$A$2:$A$9999=$A23)*(Raw_Data_Daily!$C$2:$C$9999=$C$3)*Raw_Data_Daily!$D$2:$D$9999*Raw_Data_Daily!$W$2:$W$9999)/SUMIFS(Raw_Data_Daily!$D:$D, Raw_Data_Daily!$B:$B, "Control", Raw_Data_Daily!$A:$A, $A23, Raw_Data_Daily!$C:$C, $C$3),""))</f>
        <v>4.0207</v>
      </c>
      <c r="BK23" s="199">
        <f>IF($A23="","",IFERROR(SUMPRODUCT((Raw_Data_Daily!$B$2:$B$9999="Variant")*(Raw_Data_Daily!$A$2:$A$9999=$A23)*(Raw_Data_Daily!$C$2:$C$9999=$C$3)*Raw_Data_Daily!$D$2:$D$9999*Raw_Data_Daily!$W$2:$W$9999)/SUMIFS(Raw_Data_Daily!$D:$D, Raw_Data_Daily!$B:$B, "Variant", Raw_Data_Daily!$A:$A, $A23, Raw_Data_Daily!$C:$C, $C$3),""))</f>
        <v>3.8278</v>
      </c>
      <c r="BL23" s="194">
        <f t="shared" si="21"/>
        <v>-0.04797672047</v>
      </c>
      <c r="BM23" s="200">
        <f>IF($A23="","",IFERROR(SUMPRODUCT((Raw_Data_Daily!$B$2:$B$9999="Control")*(Raw_Data_Daily!$A$2:$A$9999=$A23)*(Raw_Data_Daily!$C$2:$C$9999=$C$3)*Raw_Data_Daily!$D$2:$D$9999*Raw_Data_Daily!$X$2:$X$9999)/SUMIFS(Raw_Data_Daily!$D:$D, Raw_Data_Daily!$B:$B, "Control", Raw_Data_Daily!$A:$A, $A23, Raw_Data_Daily!$C:$C, $C$3),""))</f>
        <v>10.34</v>
      </c>
      <c r="BN23" s="200">
        <f>IF($A23="","",IFERROR(SUMPRODUCT((Raw_Data_Daily!$B$2:$B$9999="Variant")*(Raw_Data_Daily!$A$2:$A$9999=$A23)*(Raw_Data_Daily!$C$2:$C$9999=$C$3)*Raw_Data_Daily!$D$2:$D$9999*Raw_Data_Daily!$X$2:$X$9999)/SUMIFS(Raw_Data_Daily!$D:$D, Raw_Data_Daily!$B:$B, "Variant", Raw_Data_Daily!$A:$A, $A23, Raw_Data_Daily!$C:$C, $C$3),""))</f>
        <v>7.52</v>
      </c>
      <c r="BO23" s="197">
        <f t="shared" si="22"/>
        <v>-0.2727272727</v>
      </c>
      <c r="BP23" s="193">
        <f>IF($A23="","",IFERROR(SUMPRODUCT((Raw_Data_Daily!$B$2:$B$9999="Control")*(Raw_Data_Daily!$A$2:$A$9999=$A23)*(Raw_Data_Daily!$C$2:$C$9999=$C$3)*Raw_Data_Daily!$D$2:$D$9999*Raw_Data_Daily!$Y$2:$Y$9999)/SUMIFS(Raw_Data_Daily!$D:$D, Raw_Data_Daily!$B:$B, "Control", Raw_Data_Daily!$A:$A, $A23, Raw_Data_Daily!$C:$C, $C$3),""))</f>
        <v>322</v>
      </c>
      <c r="BQ23" s="193">
        <f>IF($A23="","",IFERROR(SUMPRODUCT((Raw_Data_Daily!$B$2:$B$9999="Variant")*(Raw_Data_Daily!$A$2:$A$9999=$A23)*(Raw_Data_Daily!$C$2:$C$9999=$C$3)*Raw_Data_Daily!$D$2:$D$9999*Raw_Data_Daily!$Y$2:$Y$9999)/SUMIFS(Raw_Data_Daily!$D:$D, Raw_Data_Daily!$B:$B, "Variant", Raw_Data_Daily!$A:$A, $A23, Raw_Data_Daily!$C:$C, $C$3),""))</f>
        <v>303</v>
      </c>
      <c r="BR23" s="194">
        <f t="shared" si="23"/>
        <v>-0.05900621118</v>
      </c>
      <c r="BS23" s="193">
        <f>IF($A23="","",IFERROR(SUMPRODUCT((Raw_Data_Daily!$B$2:$B$9999="Control")*(Raw_Data_Daily!$A$2:$A$9999=$A23)*(Raw_Data_Daily!$C$2:$C$9999=$C$3)*Raw_Data_Daily!$D$2:$D$9999*Raw_Data_Daily!$Z$2:$Z$9999)/SUMIFS(Raw_Data_Daily!$D:$D, Raw_Data_Daily!$B:$B, "Control", Raw_Data_Daily!$A:$A, $A23, Raw_Data_Daily!$C:$C, $C$3),""))</f>
        <v>595</v>
      </c>
      <c r="BT23" s="193">
        <f>IF($A23="","",IFERROR(SUMPRODUCT((Raw_Data_Daily!$B$2:$B$9999="Variant")*(Raw_Data_Daily!$A$2:$A$9999=$A23)*(Raw_Data_Daily!$C$2:$C$9999=$C$3)*Raw_Data_Daily!$D$2:$D$9999*Raw_Data_Daily!$Z$2:$Z$9999)/SUMIFS(Raw_Data_Daily!$D:$D, Raw_Data_Daily!$B:$B, "Variant", Raw_Data_Daily!$A:$A, $A23, Raw_Data_Daily!$C:$C, $C$3),""))</f>
        <v>516</v>
      </c>
      <c r="BU23" s="194">
        <f t="shared" si="24"/>
        <v>-0.1327731092</v>
      </c>
      <c r="BV23" s="193">
        <f>IF($A23="","",IFERROR(SUMPRODUCT((Raw_Data_Daily!$B$2:$B$9999="Control")*(Raw_Data_Daily!$A$2:$A$9999=$A23)*(Raw_Data_Daily!$C$2:$C$9999=$C$3)*Raw_Data_Daily!$D$2:$D$9999*Raw_Data_Daily!$AA$2:$AA$9999)/SUMIFS(Raw_Data_Daily!$D:$D, Raw_Data_Daily!$B:$B, "Control", Raw_Data_Daily!$A:$A, $A23, Raw_Data_Daily!$C:$C, $C$3),""))</f>
        <v>1337</v>
      </c>
      <c r="BW23" s="193">
        <f>IF($A23="","",IFERROR(SUMPRODUCT((Raw_Data_Daily!$B$2:$B$9999="Variant")*(Raw_Data_Daily!$A$2:$A$9999=$A23)*(Raw_Data_Daily!$C$2:$C$9999=$C$3)*Raw_Data_Daily!$D$2:$D$9999*Raw_Data_Daily!$AA$2:$AA$9999)/SUMIFS(Raw_Data_Daily!$D:$D, Raw_Data_Daily!$B:$B, "Variant", Raw_Data_Daily!$A:$A, $A23, Raw_Data_Daily!$C:$C, $C$3),""))</f>
        <v>1186</v>
      </c>
      <c r="BX23" s="194">
        <f t="shared" si="25"/>
        <v>-0.1129394166</v>
      </c>
      <c r="BY23" s="199">
        <f>IF($A23="","",IFERROR(SUMPRODUCT((Raw_Data_Daily!$B$2:$B$9999="Control")*(Raw_Data_Daily!$A$2:$A$9999=$A23)*(Raw_Data_Daily!$C$2:$C$9999=$C$3)*Raw_Data_Daily!$D$2:$D$9999*Raw_Data_Daily!$AB$2:$AB$9999)/SUMIFS(Raw_Data_Daily!$D:$D, Raw_Data_Daily!$B:$B, "Control", Raw_Data_Daily!$A:$A, $A23, Raw_Data_Daily!$C:$C, $C$3),""))</f>
        <v>55.3148</v>
      </c>
      <c r="BZ23" s="199">
        <f>IF($A23="","",IFERROR(SUMPRODUCT((Raw_Data_Daily!$B$2:$B$9999="Variant")*(Raw_Data_Daily!$A$2:$A$9999=$A23)*(Raw_Data_Daily!$C$2:$C$9999=$C$3)*Raw_Data_Daily!$D$2:$D$9999*Raw_Data_Daily!$AB$2:$AB$9999)/SUMIFS(Raw_Data_Daily!$D:$D, Raw_Data_Daily!$B:$B, "Variant", Raw_Data_Daily!$A:$A, $A23, Raw_Data_Daily!$C:$C, $C$3),""))</f>
        <v>55.0693</v>
      </c>
      <c r="CA23" s="197">
        <f t="shared" si="26"/>
        <v>-0.004438233529</v>
      </c>
      <c r="CB23" s="199">
        <f>IF($A23="","",IFERROR(SUMPRODUCT((Raw_Data_Daily!$B$2:$B$9999="Control")*(Raw_Data_Daily!$A$2:$A$9999=$A23)*(Raw_Data_Daily!$C$2:$C$9999=$C$3)*Raw_Data_Daily!$D$2:$D$9999*Raw_Data_Daily!$AC$2:$AC$9999)/SUMIFS(Raw_Data_Daily!$D:$D, Raw_Data_Daily!$B:$B, "Control", Raw_Data_Daily!$A:$A, $A23, Raw_Data_Daily!$C:$C, $C$3),""))</f>
        <v>0.7774</v>
      </c>
      <c r="CC23" s="199">
        <f>IF($A23="","",IFERROR(SUMPRODUCT((Raw_Data_Daily!$B$2:$B$9999="Variant")*(Raw_Data_Daily!$A$2:$A$9999=$A23)*(Raw_Data_Daily!$C$2:$C$9999=$C$3)*Raw_Data_Daily!$D$2:$D$9999*Raw_Data_Daily!$AC$2:$AC$9999)/SUMIFS(Raw_Data_Daily!$D:$D, Raw_Data_Daily!$B:$B, "Variant", Raw_Data_Daily!$A:$A, $A23, Raw_Data_Daily!$C:$C, $C$3),""))</f>
        <v>0.7654</v>
      </c>
      <c r="CD23" s="197">
        <f t="shared" si="27"/>
        <v>-0.01543606895</v>
      </c>
      <c r="CE23" s="199">
        <f>IF($A23="","",IFERROR(SUMPRODUCT((Raw_Data_Daily!$B$2:$B$9999="Control")*(Raw_Data_Daily!$A$2:$A$9999=$A23)*(Raw_Data_Daily!$C$2:$C$9999=$C$3)*Raw_Data_Daily!$D$2:$D$9999*Raw_Data_Daily!$AD$2:$AD$9999)/SUMIFS(Raw_Data_Daily!$D:$D, Raw_Data_Daily!$B:$B, "Control", Raw_Data_Daily!$A:$A, $A23, Raw_Data_Daily!$C:$C, $C$3),""))</f>
        <v>28.08</v>
      </c>
      <c r="CF23" s="199">
        <f>IF($A23="","",IFERROR(SUMPRODUCT((Raw_Data_Daily!$B$2:$B$9999="Variant")*(Raw_Data_Daily!$A$2:$A$9999=$A23)*(Raw_Data_Daily!$C$2:$C$9999=$C$3)*Raw_Data_Daily!$D$2:$D$9999*Raw_Data_Daily!$AD$2:$AD$9999)/SUMIFS(Raw_Data_Daily!$D:$D, Raw_Data_Daily!$B:$B, "Variant", Raw_Data_Daily!$A:$A, $A23, Raw_Data_Daily!$C:$C, $C$3),""))</f>
        <v>26.52</v>
      </c>
      <c r="CG23" s="197">
        <f t="shared" si="28"/>
        <v>-0.05555555556</v>
      </c>
      <c r="CH23" s="199">
        <f>IF($A23="","",IFERROR(SUMPRODUCT((Raw_Data_Daily!$B$2:$B$9999="Control")*(Raw_Data_Daily!$A$2:$A$9999=$A23)*(Raw_Data_Daily!$C$2:$C$9999=$C$3)*Raw_Data_Daily!$D$2:$D$9999*Raw_Data_Daily!$AE$2:$AE$9999)/SUMIFS(Raw_Data_Daily!$D:$D, Raw_Data_Daily!$B:$B, "Control", Raw_Data_Daily!$A:$A, $A23, Raw_Data_Daily!$C:$C, $C$3),""))</f>
        <v>10</v>
      </c>
      <c r="CI23" s="199">
        <f>IF($A23="","",IFERROR(SUMPRODUCT((Raw_Data_Daily!$B$2:$B$9999="Variant")*(Raw_Data_Daily!$A$2:$A$9999=$A23)*(Raw_Data_Daily!$C$2:$C$9999=$C$3)*Raw_Data_Daily!$D$2:$D$9999*Raw_Data_Daily!$AE$2:$AE$9999)/SUMIFS(Raw_Data_Daily!$D:$D, Raw_Data_Daily!$B:$B, "Variant", Raw_Data_Daily!$A:$A, $A23, Raw_Data_Daily!$C:$C, $C$3),""))</f>
        <v>10</v>
      </c>
      <c r="CJ23" s="197">
        <f t="shared" si="29"/>
        <v>0</v>
      </c>
      <c r="CK23" s="199">
        <f>IF($A23="","",IFERROR(SUMPRODUCT((Raw_Data_Daily!$B$2:$B$9999="Control")*(Raw_Data_Daily!$A$2:$A$9999=$A23)*(Raw_Data_Daily!$C$2:$C$9999=$C$3)*Raw_Data_Daily!$D$2:$D$9999*Raw_Data_Daily!$AF$2:$AF$9999)/SUMIFS(Raw_Data_Daily!$D:$D, Raw_Data_Daily!$B:$B, "Control", Raw_Data_Daily!$A:$A, $A23, Raw_Data_Daily!$C:$C, $C$3),""))</f>
        <v>20</v>
      </c>
      <c r="CL23" s="199">
        <f>IF($A23="","",IFERROR(SUMPRODUCT((Raw_Data_Daily!$B$2:$B$9999="Variant")*(Raw_Data_Daily!$A$2:$A$9999=$A23)*(Raw_Data_Daily!$C$2:$C$9999=$C$3)*Raw_Data_Daily!$D$2:$D$9999*Raw_Data_Daily!$AF$2:$AF$9999)/SUMIFS(Raw_Data_Daily!$D:$D, Raw_Data_Daily!$B:$B, "Variant", Raw_Data_Daily!$A:$A, $A23, Raw_Data_Daily!$C:$C, $C$3),""))</f>
        <v>19</v>
      </c>
      <c r="CM23" s="197">
        <f t="shared" si="30"/>
        <v>-0.05</v>
      </c>
      <c r="CN23" s="199">
        <f>IF($A23="","",IFERROR(SUMPRODUCT((Raw_Data_Daily!$B$2:$B$9999="Control")*(Raw_Data_Daily!$A$2:$A$9999=$A23)*(Raw_Data_Daily!$C$2:$C$9999=$C$3)*Raw_Data_Daily!$D$2:$D$9999*Raw_Data_Daily!$AG$2:$AG$9999)/SUMIFS(Raw_Data_Daily!$D:$D, Raw_Data_Daily!$B:$B, "Control", Raw_Data_Daily!$A:$A, $A23, Raw_Data_Daily!$C:$C, $C$3),""))</f>
        <v>39</v>
      </c>
      <c r="CO23" s="199">
        <f>IF($A23="","",IFERROR(SUMPRODUCT((Raw_Data_Daily!$B$2:$B$9999="Variant")*(Raw_Data_Daily!$A$2:$A$9999=$A23)*(Raw_Data_Daily!$C$2:$C$9999=$C$3)*Raw_Data_Daily!$D$2:$D$9999*Raw_Data_Daily!$AG$2:$AG$9999)/SUMIFS(Raw_Data_Daily!$D:$D, Raw_Data_Daily!$B:$B, "Variant", Raw_Data_Daily!$A:$A, $A23, Raw_Data_Daily!$C:$C, $C$3),""))</f>
        <v>36</v>
      </c>
      <c r="CP23" s="197">
        <f t="shared" si="31"/>
        <v>-0.07692307692</v>
      </c>
      <c r="CQ23" s="199">
        <f>IF($A23="","",IFERROR(SUMPRODUCT((Raw_Data_Daily!$B$2:$B$9999="Control")*(Raw_Data_Daily!$A$2:$A$9999=$A23)*(Raw_Data_Daily!$C$2:$C$9999=$C$3)*Raw_Data_Daily!$D$2:$D$9999*Raw_Data_Daily!$AH$2:$AH$9999)/SUMIFS(Raw_Data_Daily!$D:$D, Raw_Data_Daily!$B:$B, "Control", Raw_Data_Daily!$A:$A, $A23, Raw_Data_Daily!$C:$C, $C$3),""))</f>
        <v>60</v>
      </c>
      <c r="CR23" s="199">
        <f>IF($A23="","",IFERROR(SUMPRODUCT((Raw_Data_Daily!$B$2:$B$9999="Variant")*(Raw_Data_Daily!$A$2:$A$9999=$A23)*(Raw_Data_Daily!$C$2:$C$9999=$C$3)*Raw_Data_Daily!$D$2:$D$9999*Raw_Data_Daily!$AH$2:$AH$9999)/SUMIFS(Raw_Data_Daily!$D:$D, Raw_Data_Daily!$B:$B, "Variant", Raw_Data_Daily!$A:$A, $A23, Raw_Data_Daily!$C:$C, $C$3),""))</f>
        <v>56</v>
      </c>
      <c r="CS23" s="197">
        <f t="shared" si="32"/>
        <v>-0.06666666667</v>
      </c>
      <c r="CT23" s="195">
        <f>IF($A23="","",IFERROR(SUMPRODUCT((Raw_Data_Daily!$B$2:$B$9999="Control")*(Raw_Data_Daily!$A$2:$A$9999=$A23)*(Raw_Data_Daily!$C$2:$C$9999=$C$3)*Raw_Data_Daily!$D$2:$D$9999*Raw_Data_Daily!$AI$2:$AI$9999)/SUMIFS(Raw_Data_Daily!$D:$D, Raw_Data_Daily!$B:$B, "Control", Raw_Data_Daily!$A:$A, $A23, Raw_Data_Daily!$C:$C, $C$3),""))</f>
        <v>37.87</v>
      </c>
      <c r="CU23" s="195">
        <f>IF($A23="","",IFERROR(SUMPRODUCT((Raw_Data_Daily!$B$2:$B$9999="Variant")*(Raw_Data_Daily!$A$2:$A$9999=$A23)*(Raw_Data_Daily!$C$2:$C$9999=$C$3)*Raw_Data_Daily!$D$2:$D$9999*Raw_Data_Daily!$AI$2:$AI$9999)/SUMIFS(Raw_Data_Daily!$D:$D, Raw_Data_Daily!$B:$B, "Variant", Raw_Data_Daily!$A:$A, $A23, Raw_Data_Daily!$C:$C, $C$3),""))</f>
        <v>34.89</v>
      </c>
      <c r="CV23" s="201">
        <f t="shared" si="33"/>
        <v>-0.07869025614</v>
      </c>
      <c r="CW23" s="195">
        <f>IF($A23="","",IFERROR(SUMPRODUCT((Raw_Data_Daily!$B$2:$B$9999="Control")*(Raw_Data_Daily!$A$2:$A$9999=$A23)*(Raw_Data_Daily!$C$2:$C$9999=$C$3)*Raw_Data_Daily!$D$2:$D$9999*Raw_Data_Daily!$AJ$2:$AJ$9999)/SUMIFS(Raw_Data_Daily!$D:$D, Raw_Data_Daily!$B:$B, "Control", Raw_Data_Daily!$A:$A, $A23, Raw_Data_Daily!$C:$C, $C$3),""))</f>
        <v>10.35</v>
      </c>
      <c r="CX23" s="195">
        <f>IF($A23="","",IFERROR(SUMPRODUCT((Raw_Data_Daily!$B$2:$B$9999="Variant")*(Raw_Data_Daily!$A$2:$A$9999=$A23)*(Raw_Data_Daily!$C$2:$C$9999=$C$3)*Raw_Data_Daily!$D$2:$D$9999*Raw_Data_Daily!$AJ$2:$AJ$9999)/SUMIFS(Raw_Data_Daily!$D:$D, Raw_Data_Daily!$B:$B, "Variant", Raw_Data_Daily!$A:$A, $A23, Raw_Data_Daily!$C:$C, $C$3),""))</f>
        <v>8.51</v>
      </c>
      <c r="CY23" s="201">
        <f t="shared" si="34"/>
        <v>-0.1777777778</v>
      </c>
      <c r="CZ23" s="195">
        <f>IF($A23="","",IFERROR(SUMPRODUCT((Raw_Data_Daily!$B$2:$B$9999="Control")*(Raw_Data_Daily!$A$2:$A$9999=$A23)*(Raw_Data_Daily!$C$2:$C$9999=$C$3)*Raw_Data_Daily!$D$2:$D$9999*Raw_Data_Daily!$AK$2:$AK$9999)/SUMIFS(Raw_Data_Daily!$D:$D, Raw_Data_Daily!$B:$B, "Control", Raw_Data_Daily!$A:$A, $A23, Raw_Data_Daily!$C:$C, $C$3),""))</f>
        <v>2.46</v>
      </c>
      <c r="DA23" s="195">
        <f>IF($A23="","",IFERROR(SUMPRODUCT((Raw_Data_Daily!$B$2:$B$9999="Variant")*(Raw_Data_Daily!$A$2:$A$9999=$A23)*(Raw_Data_Daily!$C$2:$C$9999=$C$3)*Raw_Data_Daily!$D$2:$D$9999*Raw_Data_Daily!$AK$2:$AK$9999)/SUMIFS(Raw_Data_Daily!$D:$D, Raw_Data_Daily!$B:$B, "Variant", Raw_Data_Daily!$A:$A, $A23, Raw_Data_Daily!$C:$C, $C$3),""))</f>
        <v>1.87</v>
      </c>
      <c r="DB23" s="197">
        <f t="shared" si="35"/>
        <v>-0.2398373984</v>
      </c>
      <c r="DC23" s="200">
        <f>IF($A23="","",IFERROR(SUMPRODUCT((Raw_Data_Daily!$B$2:$B$9999="Control")*(Raw_Data_Daily!$A$2:$A$9999=$A23)*(Raw_Data_Daily!$C$2:$C$9999=$C$3)*Raw_Data_Daily!$D$2:$D$9999*Raw_Data_Daily!$AL$2:$AL$9999)/SUMIFS(Raw_Data_Daily!$D:$D, Raw_Data_Daily!$B:$B, "Control", Raw_Data_Daily!$A:$A, $A23, Raw_Data_Daily!$C:$C, $C$3),""))</f>
        <v>0.1816</v>
      </c>
      <c r="DD23" s="200">
        <f>IF($A23="","",IFERROR(SUMPRODUCT((Raw_Data_Daily!$B$2:$B$9999="Variant")*(Raw_Data_Daily!$A$2:$A$9999=$A23)*(Raw_Data_Daily!$C$2:$C$9999=$C$3)*Raw_Data_Daily!$D$2:$D$9999*Raw_Data_Daily!$AL$2:$AL$9999)/SUMIFS(Raw_Data_Daily!$D:$D, Raw_Data_Daily!$B:$B, "Variant", Raw_Data_Daily!$A:$A, $A23, Raw_Data_Daily!$C:$C, $C$3),""))</f>
        <v>0.1748</v>
      </c>
      <c r="DE23" s="201">
        <f t="shared" si="36"/>
        <v>-0.03744493392</v>
      </c>
      <c r="DF23" s="202"/>
      <c r="DG23" s="195">
        <f>IF($A23="","",IFERROR(SUMPRODUCT((Raw_Data_Daily!$B$2:$B$9999="Variant")*(Raw_Data_Daily!$A$2:$A$9999=$A23)*(Raw_Data_Daily!$C$2:$C$9999=$C$3)*Raw_Data_Daily!$D$2:$D$9999*Raw_Data_Daily!$AM$2:$AM$9999)/SUMIFS(Raw_Data_Daily!$D:$D, Raw_Data_Daily!$B:$B, "Variant", Raw_Data_Daily!$A:$A, $A23, Raw_Data_Daily!$C:$C, $C$3),""))</f>
        <v>36.21</v>
      </c>
      <c r="DH23" s="203"/>
      <c r="DI23" s="202"/>
      <c r="DJ23" s="195">
        <f>IF($A23="","",IFERROR(SUMPRODUCT((Raw_Data_Daily!$B$2:$B$9999="Variant")*(Raw_Data_Daily!$A$2:$A$9999=$A23)*(Raw_Data_Daily!$C$2:$C$9999=$C$3)*Raw_Data_Daily!$D$2:$D$9999*Raw_Data_Daily!$AN$2:$AN$9999)/SUMIFS(Raw_Data_Daily!$D:$D, Raw_Data_Daily!$B:$B, "Variant", Raw_Data_Daily!$A:$A, $A23, Raw_Data_Daily!$C:$C, $C$3),""))</f>
        <v>36.21</v>
      </c>
      <c r="DK23" s="203"/>
      <c r="DL23" s="202"/>
      <c r="DM23" s="195">
        <f>IF($A23="","",IFERROR(SUMPRODUCT((Raw_Data_Daily!$B$2:$B$9999="Variant")*(Raw_Data_Daily!$A$2:$A$9999=$A23)*(Raw_Data_Daily!$C$2:$C$9999=$C$3)*Raw_Data_Daily!$D$2:$D$9999*Raw_Data_Daily!$AO$2:$AO$9999)/SUMIFS(Raw_Data_Daily!$D:$D, Raw_Data_Daily!$B:$B, "Variant", Raw_Data_Daily!$A:$A, $A23, Raw_Data_Daily!$C:$C, $C$3),""))</f>
        <v>21.9</v>
      </c>
      <c r="DN23" s="203"/>
      <c r="DO23" s="202"/>
      <c r="DP23" s="195">
        <f>IF($A23="","",IFERROR(SUMPRODUCT((Raw_Data_Daily!$B$2:$B$9999="Variant")*(Raw_Data_Daily!$A$2:$A$9999=$A23)*(Raw_Data_Daily!$C$2:$C$9999=$C$3)*Raw_Data_Daily!$D$2:$D$9999*Raw_Data_Daily!$AP$2:$AP$9999)/SUMIFS(Raw_Data_Daily!$D:$D, Raw_Data_Daily!$B:$B, "Variant", Raw_Data_Daily!$A:$A, $A23, Raw_Data_Daily!$C:$C, $C$3),""))</f>
        <v>13.91</v>
      </c>
      <c r="DQ23" s="203"/>
      <c r="DR23" s="200">
        <f>IF($A23="","",IFERROR(SUMPRODUCT((Raw_Data_Daily!$B$2:$B$9999="Control")*(Raw_Data_Daily!$A$2:$A$9999=$A23)*(Raw_Data_Daily!$C$2:$C$9999=$C$3)*Raw_Data_Daily!$D$2:$D$9999*Raw_Data_Daily!$AQ$2:$AQ$9999)/SUMIFS(Raw_Data_Daily!$D:$D, Raw_Data_Daily!$B:$B, "Control", Raw_Data_Daily!$A:$A, $A23, Raw_Data_Daily!$C:$C, $C$3),""))</f>
        <v>14.0585</v>
      </c>
      <c r="DS23" s="200">
        <f>IF($A23="","",IFERROR(SUMPRODUCT((Raw_Data_Daily!$B$2:$B$9999="Variant")*(Raw_Data_Daily!$A$2:$A$9999=$A23)*(Raw_Data_Daily!$C$2:$C$9999=$C$3)*Raw_Data_Daily!$D$2:$D$9999*Raw_Data_Daily!$AQ$2:$AQ$9999)/SUMIFS(Raw_Data_Daily!$D:$D, Raw_Data_Daily!$B:$B, "Variant", Raw_Data_Daily!$A:$A, $A23, Raw_Data_Daily!$C:$C, $C$3),""))</f>
        <v>13.7009</v>
      </c>
      <c r="DT23" s="204">
        <f t="shared" si="37"/>
        <v>-0.02543656862</v>
      </c>
      <c r="DU23" s="200">
        <f>IF($A23="","",IFERROR(SUMPRODUCT((Raw_Data_Daily!$B$2:$B$9999="Control")*(Raw_Data_Daily!$A$2:$A$9999=$A23)*(Raw_Data_Daily!$C$2:$C$9999=$C$3)*Raw_Data_Daily!$D$2:$D$9999*Raw_Data_Daily!$AR$2:$AR$9999)/SUMIFS(Raw_Data_Daily!$D:$D, Raw_Data_Daily!$B:$B, "Control", Raw_Data_Daily!$A:$A, $A23, Raw_Data_Daily!$C:$C, $C$3),""))</f>
        <v>0.388</v>
      </c>
      <c r="DV23" s="200">
        <f>IF($A23="","",IFERROR(SUMPRODUCT((Raw_Data_Daily!$B$2:$B$9999="Variant")*(Raw_Data_Daily!$A$2:$A$9999=$A23)*(Raw_Data_Daily!$C$2:$C$9999=$C$3)*Raw_Data_Daily!$D$2:$D$9999*Raw_Data_Daily!$AR$2:$AR$9999)/SUMIFS(Raw_Data_Daily!$D:$D, Raw_Data_Daily!$B:$B, "Variant", Raw_Data_Daily!$A:$A, $A23, Raw_Data_Daily!$C:$C, $C$3),""))</f>
        <v>0.3704</v>
      </c>
      <c r="DW23" s="204">
        <f t="shared" si="38"/>
        <v>-0.04536082474</v>
      </c>
      <c r="DX23" s="200">
        <f>IF($A23="","",IFERROR(SUMPRODUCT((Raw_Data_Daily!$B$2:$B$9999="Control")*(Raw_Data_Daily!$A$2:$A$9999=$A23)*(Raw_Data_Daily!$C$2:$C$9999=$C$3)*Raw_Data_Daily!$D$2:$D$9999*Raw_Data_Daily!$AS$2:$AS$9999)/SUMIFS(Raw_Data_Daily!$D:$D, Raw_Data_Daily!$B:$B, "Control", Raw_Data_Daily!$A:$A, $A23, Raw_Data_Daily!$C:$C, $C$3),""))</f>
        <v>13.6705</v>
      </c>
      <c r="DY23" s="200">
        <f>IF($A23="","",IFERROR(SUMPRODUCT((Raw_Data_Daily!$B$2:$B$9999="Variant")*(Raw_Data_Daily!$A$2:$A$9999=$A23)*(Raw_Data_Daily!$C$2:$C$9999=$C$3)*Raw_Data_Daily!$D$2:$D$9999*Raw_Data_Daily!$AS$2:$AS$9999)/SUMIFS(Raw_Data_Daily!$D:$D, Raw_Data_Daily!$B:$B, "Variant", Raw_Data_Daily!$A:$A, $A23, Raw_Data_Daily!$C:$C, $C$3),""))</f>
        <v>13.3305</v>
      </c>
      <c r="DZ23" s="205">
        <f t="shared" si="39"/>
        <v>-0.02487107275</v>
      </c>
      <c r="EA23" s="200">
        <f>IF($A23="","",IFERROR(SUMPRODUCT((Raw_Data_Daily!$B$2:$B$9999="Control")*(Raw_Data_Daily!$A$2:$A$9999=$A23)*(Raw_Data_Daily!$C$2:$C$9999=$C$3)*Raw_Data_Daily!$D$2:$D$9999*Raw_Data_Daily!$AT$2:$AT$9999)/SUMIFS(Raw_Data_Daily!$D:$D, Raw_Data_Daily!$B:$B, "Control", Raw_Data_Daily!$A:$A, $A23, Raw_Data_Daily!$C:$C, $C$3),""))</f>
        <v>13.6041</v>
      </c>
      <c r="EB23" s="200">
        <f>IF($A23="","",IFERROR(SUMPRODUCT((Raw_Data_Daily!$B$2:$B$9999="Variant")*(Raw_Data_Daily!$A$2:$A$9999=$A23)*(Raw_Data_Daily!$C$2:$C$9999=$C$3)*Raw_Data_Daily!$D$2:$D$9999*Raw_Data_Daily!$AT$2:$AT$9999)/SUMIFS(Raw_Data_Daily!$D:$D, Raw_Data_Daily!$B:$B, "Variant", Raw_Data_Daily!$A:$A, $A23, Raw_Data_Daily!$C:$C, $C$3),""))</f>
        <v>11.8541</v>
      </c>
      <c r="EC23" s="204">
        <f t="shared" si="40"/>
        <v>-0.1286376901</v>
      </c>
      <c r="ED23" s="200">
        <f>IF($A23="","",IFERROR(SUMPRODUCT((Raw_Data_Daily!$B$2:$B$9999="Control")*(Raw_Data_Daily!$A$2:$A$9999=$A23)*(Raw_Data_Daily!$C$2:$C$9999=$C$3)*Raw_Data_Daily!$D$2:$D$9999*(Raw_Data_Daily!$AQ$2:$AQ$9999-Raw_Data_Daily!$AT$2:$AT$9999))/SUMIFS(Raw_Data_Daily!$D:$D, Raw_Data_Daily!$B:$B, "Control", Raw_Data_Daily!$A:$A, $A23, Raw_Data_Daily!$C:$C, $C$3),""))</f>
        <v>0.4544</v>
      </c>
      <c r="EE23" s="200">
        <f>IF($A23="","",IFERROR(SUMPRODUCT((Raw_Data_Daily!$B$2:$B$9999="Variant")*(Raw_Data_Daily!$A$2:$A$9999=$A23)*(Raw_Data_Daily!$C$2:$C$9999=$C$3)*Raw_Data_Daily!$D$2:$D$9999*(Raw_Data_Daily!$AQ$2:$AQ$9999-Raw_Data_Daily!$AT$2:$AT$9999))/SUMIFS(Raw_Data_Daily!$D:$D, Raw_Data_Daily!$B:$B, "Variant", Raw_Data_Daily!$A:$A, $A23, Raw_Data_Daily!$C:$C, $C$3),""))</f>
        <v>1.8468</v>
      </c>
      <c r="EF23" s="205">
        <f t="shared" si="41"/>
        <v>3.064260563</v>
      </c>
      <c r="EG23" s="200">
        <f>IF($A23="","",IFERROR(SUMPRODUCT((Raw_Data_Daily!$B$2:$B$9999="Control")*(Raw_Data_Daily!$A$2:$A$9999=$A23)*(Raw_Data_Daily!$C$2:$C$9999=$C$3)*Raw_Data_Daily!$D$2:$D$9999*Raw_Data_Daily!$AU$2:$AU$9999)/SUMIFS(Raw_Data_Daily!$D:$D, Raw_Data_Daily!$B:$B, "Control", Raw_Data_Daily!$A:$A, $A23, Raw_Data_Daily!$C:$C, $C$3),""))</f>
        <v>0.2001</v>
      </c>
      <c r="EH23" s="200">
        <f>IF($A23="","",IFERROR(SUMPRODUCT((Raw_Data_Daily!$B$2:$B$9999="Variant")*(Raw_Data_Daily!$A$2:$A$9999=$A23)*(Raw_Data_Daily!$C$2:$C$9999=$C$3)*Raw_Data_Daily!$D$2:$D$9999*Raw_Data_Daily!$AU$2:$AU$9999)/SUMIFS(Raw_Data_Daily!$D:$D, Raw_Data_Daily!$B:$B, "Variant", Raw_Data_Daily!$A:$A, $A23, Raw_Data_Daily!$C:$C, $C$3),""))</f>
        <v>0.176</v>
      </c>
      <c r="EI23" s="204">
        <f t="shared" si="42"/>
        <v>-0.1204397801</v>
      </c>
    </row>
    <row r="24" ht="15.75" customHeight="1">
      <c r="A24" s="206">
        <v>46247.0</v>
      </c>
      <c r="B24" s="207">
        <f>IF($A24="","",SUMIFS(Raw_Data_Daily!$D:$D, Raw_Data_Daily!$B:$B, "Control", Raw_Data_Daily!$A:$A, $A24, Raw_Data_Daily!$C:$C, $C$3))</f>
        <v>3436</v>
      </c>
      <c r="C24" s="207">
        <f>IF($A24="","",SUMIFS(Raw_Data_Daily!$D:$D, Raw_Data_Daily!$B:$B, "Variant", Raw_Data_Daily!$A:$A, $A24, Raw_Data_Daily!$C:$C, $C$3))</f>
        <v>3277</v>
      </c>
      <c r="D24" s="208">
        <f t="shared" si="1"/>
        <v>-0.04627473807</v>
      </c>
      <c r="E24" s="209">
        <f>IF($A24="","",IFERROR(SUMPRODUCT((Raw_Data_Daily!$B$2:$B$9999="Control")*(Raw_Data_Daily!$A$2:$A$9999=$A24)*(Raw_Data_Daily!$C$2:$C$9999=$C$3)*Raw_Data_Daily!$D$2:$D$9999*Raw_Data_Daily!$E$2:$E$9999)/SUMIFS(Raw_Data_Daily!$D:$D, Raw_Data_Daily!$B:$B, "Control", Raw_Data_Daily!$A:$A, $A24, Raw_Data_Daily!$C:$C, $C$3),""))</f>
        <v>12.23</v>
      </c>
      <c r="F24" s="209">
        <f>IF($A24="","",IFERROR(SUMPRODUCT((Raw_Data_Daily!$B$2:$B$9999="Variant")*(Raw_Data_Daily!$A$2:$A$9999=$A24)*(Raw_Data_Daily!$C$2:$C$9999=$C$3)*Raw_Data_Daily!$D$2:$D$9999*Raw_Data_Daily!$E$2:$E$9999)/SUMIFS(Raw_Data_Daily!$D:$D, Raw_Data_Daily!$B:$B, "Variant", Raw_Data_Daily!$A:$A, $A24, Raw_Data_Daily!$C:$C, $C$3),""))</f>
        <v>11.74</v>
      </c>
      <c r="G24" s="208">
        <f t="shared" si="2"/>
        <v>-0.04006541292</v>
      </c>
      <c r="H24" s="210">
        <f>IF($A24="","",SUMIFS(Raw_Data_Daily!$F:$F, Raw_Data_Daily!$B:$B, "Control", Raw_Data_Daily!$A:$A, $A24, Raw_Data_Daily!$C:$C, $C$3))</f>
        <v>576.28</v>
      </c>
      <c r="I24" s="210">
        <f>IF($A24="","",SUMIFS(Raw_Data_Daily!$F:$F, Raw_Data_Daily!$B:$B, "Variant", Raw_Data_Daily!$A:$A, $A24, Raw_Data_Daily!$C:$C, $C$3))</f>
        <v>766.08</v>
      </c>
      <c r="J24" s="211">
        <f t="shared" si="3"/>
        <v>0.3293537864</v>
      </c>
      <c r="K24" s="212">
        <f>IF($A24="","",IFERROR(SUMIFS(Raw_Data_Daily!$F:$F, Raw_Data_Daily!$B:$B, "Control", Raw_Data_Daily!$A:$A, $A24, Raw_Data_Daily!$C:$C, $C$3)/SUMIFS(Raw_Data_Daily!$D:$D, Raw_Data_Daily!$B:$B, "Control", Raw_Data_Daily!$A:$A, $A24, Raw_Data_Daily!$C:$C, $C$3),""))</f>
        <v>0.1677182771</v>
      </c>
      <c r="L24" s="212">
        <f>IF($A24="","",IFERROR(SUMIFS(Raw_Data_Daily!$F:$F, Raw_Data_Daily!$B:$B, "Variant", Raw_Data_Daily!$A:$A, $A24, Raw_Data_Daily!$C:$C, $C$3)/SUMIFS(Raw_Data_Daily!$D:$D, Raw_Data_Daily!$B:$B, "Variant", Raw_Data_Daily!$A:$A, $A24, Raw_Data_Daily!$C:$C, $C$3),""))</f>
        <v>0.233774794</v>
      </c>
      <c r="M24" s="211">
        <f t="shared" si="4"/>
        <v>0.3938540158</v>
      </c>
      <c r="N24" s="209">
        <f>IF($A24="","",IFERROR(SUMPRODUCT((Raw_Data_Daily!$B$2:$B$9999="Control")*(Raw_Data_Daily!$A$2:$A$9999=$A24)*(Raw_Data_Daily!$C$2:$C$9999=$C$3)*Raw_Data_Daily!$D$2:$D$9999*Raw_Data_Daily!$H$2:$H$9999/100)/SUMIFS(Raw_Data_Daily!$D:$D, Raw_Data_Daily!$B:$B, "Control", Raw_Data_Daily!$A:$A, $A24, Raw_Data_Daily!$C:$C, $C$3)*100,""))</f>
        <v>3.96</v>
      </c>
      <c r="O24" s="209">
        <f>IF($A24="","",IFERROR(SUMPRODUCT((Raw_Data_Daily!$B$2:$B$9999="Variant")*(Raw_Data_Daily!$A$2:$A$9999=$A24)*(Raw_Data_Daily!$C$2:$C$9999=$C$3)*Raw_Data_Daily!$D$2:$D$9999*Raw_Data_Daily!$H$2:$H$9999/100)/SUMIFS(Raw_Data_Daily!$D:$D, Raw_Data_Daily!$B:$B, "Variant", Raw_Data_Daily!$A:$A, $A24, Raw_Data_Daily!$C:$C, $C$3)*100,""))</f>
        <v>4.06</v>
      </c>
      <c r="P24" s="211">
        <f t="shared" si="5"/>
        <v>0.02525252525</v>
      </c>
      <c r="Q24" s="212">
        <f>IF($A24="","",IFERROR(SUMIFS(Raw_Data_Daily!$F:$F, Raw_Data_Daily!$B:$B, "Control", Raw_Data_Daily!$A:$A, $A24, Raw_Data_Daily!$C:$C, $C$3)/SUMPRODUCT((Raw_Data_Daily!$B$2:$B$9999="Control")*(Raw_Data_Daily!$A$2:$A$9999=$A24)*(Raw_Data_Daily!$C$2:$C$9999=$C$3)*Raw_Data_Daily!$D$2:$D$9999*Raw_Data_Daily!$H$2:$H$9999/100),""))</f>
        <v>4.235310027</v>
      </c>
      <c r="R24" s="212">
        <f>IF($A24="","",IFERROR(SUMIFS(Raw_Data_Daily!$F:$F, Raw_Data_Daily!$B:$B, "Variant", Raw_Data_Daily!$A:$A, $A24, Raw_Data_Daily!$C:$C, $C$3)/SUMPRODUCT((Raw_Data_Daily!$B$2:$B$9999="Variant")*(Raw_Data_Daily!$A$2:$A$9999=$A24)*(Raw_Data_Daily!$C$2:$C$9999=$C$3)*Raw_Data_Daily!$D$2:$D$9999*Raw_Data_Daily!$H$2:$H$9999/100),""))</f>
        <v>5.757999853</v>
      </c>
      <c r="S24" s="211">
        <f t="shared" si="6"/>
        <v>0.3595226361</v>
      </c>
      <c r="T24" s="213">
        <f>IF($A24="","",IFERROR(SUMPRODUCT((Raw_Data_Daily!$B$2:$B$9999="Control")*(Raw_Data_Daily!$A$2:$A$9999=$A24)*(Raw_Data_Daily!$C$2:$C$9999=$C$3)*Raw_Data_Daily!$D$2:$D$9999*Raw_Data_Daily!$J$2:$J$9999)/SUMIFS(Raw_Data_Daily!$D:$D, Raw_Data_Daily!$B:$B, "Control", Raw_Data_Daily!$A:$A, $A24, Raw_Data_Daily!$C:$C, $C$3),""))</f>
        <v>108.3</v>
      </c>
      <c r="U24" s="213">
        <f>IF($A24="","",IFERROR(SUMPRODUCT((Raw_Data_Daily!$B$2:$B$9999="Variant")*(Raw_Data_Daily!$A$2:$A$9999=$A24)*(Raw_Data_Daily!$C$2:$C$9999=$C$3)*Raw_Data_Daily!$D$2:$D$9999*Raw_Data_Daily!$J$2:$J$9999)/SUMIFS(Raw_Data_Daily!$D:$D, Raw_Data_Daily!$B:$B, "Variant", Raw_Data_Daily!$A:$A, $A24, Raw_Data_Daily!$C:$C, $C$3),""))</f>
        <v>108.07</v>
      </c>
      <c r="V24" s="211">
        <f t="shared" si="7"/>
        <v>-0.002123730379</v>
      </c>
      <c r="W24" s="213">
        <f>IF($A24="","",IFERROR(SUMPRODUCT((Raw_Data_Daily!$B$2:$B$9999="Control")*(Raw_Data_Daily!$A$2:$A$9999=$A24)*(Raw_Data_Daily!$C$2:$C$9999=$C$3)*Raw_Data_Daily!$D$2:$D$9999*Raw_Data_Daily!$K$2:$K$9999)/SUMIFS(Raw_Data_Daily!$D:$D, Raw_Data_Daily!$B:$B, "Control", Raw_Data_Daily!$A:$A, $A24, Raw_Data_Daily!$C:$C, $C$3),""))</f>
        <v>68.58</v>
      </c>
      <c r="X24" s="213">
        <f>IF($A24="","",IFERROR(SUMPRODUCT((Raw_Data_Daily!$B$2:$B$9999="Variant")*(Raw_Data_Daily!$A$2:$A$9999=$A24)*(Raw_Data_Daily!$C$2:$C$9999=$C$3)*Raw_Data_Daily!$D$2:$D$9999*Raw_Data_Daily!$K$2:$K$9999)/SUMIFS(Raw_Data_Daily!$D:$D, Raw_Data_Daily!$B:$B, "Variant", Raw_Data_Daily!$A:$A, $A24, Raw_Data_Daily!$C:$C, $C$3),""))</f>
        <v>68.09</v>
      </c>
      <c r="Y24" s="211">
        <f t="shared" si="8"/>
        <v>-0.007144940216</v>
      </c>
      <c r="Z24" s="213">
        <f>IF($A24="","",IFERROR(SUMPRODUCT((Raw_Data_Daily!$B$2:$B$9999="Control")*(Raw_Data_Daily!$A$2:$A$9999=$A24)*(Raw_Data_Daily!$C$2:$C$9999=$C$3)*Raw_Data_Daily!$D$2:$D$9999*Raw_Data_Daily!$L$2:$L$9999)/SUMIFS(Raw_Data_Daily!$D:$D, Raw_Data_Daily!$B:$B, "Control", Raw_Data_Daily!$A:$A, $A24, Raw_Data_Daily!$C:$C, $C$3),""))</f>
        <v>51.63</v>
      </c>
      <c r="AA24" s="213">
        <f>IF($A24="","",IFERROR(SUMPRODUCT((Raw_Data_Daily!$B$2:$B$9999="Variant")*(Raw_Data_Daily!$A$2:$A$9999=$A24)*(Raw_Data_Daily!$C$2:$C$9999=$C$3)*Raw_Data_Daily!$D$2:$D$9999*Raw_Data_Daily!$L$2:$L$9999)/SUMIFS(Raw_Data_Daily!$D:$D, Raw_Data_Daily!$B:$B, "Variant", Raw_Data_Daily!$A:$A, $A24, Raw_Data_Daily!$C:$C, $C$3),""))</f>
        <v>48.3</v>
      </c>
      <c r="AB24" s="211">
        <f t="shared" si="9"/>
        <v>-0.06449738524</v>
      </c>
      <c r="AC24" s="214">
        <f>IF($A24="","",IFERROR(SUMPRODUCT((Raw_Data_Daily!$B$2:$B$9999="Control")*(Raw_Data_Daily!$A$2:$A$9999=$A24)*(Raw_Data_Daily!$C$2:$C$9999=$C$3)*Raw_Data_Daily!$D$2:$D$9999*Raw_Data_Daily!$M$2:$M$9999)/SUMIFS(Raw_Data_Daily!$D:$D, Raw_Data_Daily!$B:$B, "Control", Raw_Data_Daily!$A:$A, $A24, Raw_Data_Daily!$C:$C, $C$3),""))</f>
        <v>0.7528</v>
      </c>
      <c r="AD24" s="214">
        <f>IF($A24="","",IFERROR(SUMPRODUCT((Raw_Data_Daily!$B$2:$B$9999="Variant")*(Raw_Data_Daily!$A$2:$A$9999=$A24)*(Raw_Data_Daily!$C$2:$C$9999=$C$3)*Raw_Data_Daily!$D$2:$D$9999*Raw_Data_Daily!$M$2:$M$9999)/SUMIFS(Raw_Data_Daily!$D:$D, Raw_Data_Daily!$B:$B, "Variant", Raw_Data_Daily!$A:$A, $A24, Raw_Data_Daily!$C:$C, $C$3),""))</f>
        <v>0.7094</v>
      </c>
      <c r="AE24" s="215">
        <f t="shared" si="10"/>
        <v>-0.05765143464</v>
      </c>
      <c r="AF24" s="214">
        <f>IF($A24="","",IFERROR(SUMPRODUCT((Raw_Data_Daily!$B$2:$B$9999="Control")*(Raw_Data_Daily!$A$2:$A$9999=$A24)*(Raw_Data_Daily!$C$2:$C$9999=$C$3)*Raw_Data_Daily!$D$2:$D$9999*Raw_Data_Daily!$N$2:$N$9999)/SUMIFS(Raw_Data_Daily!$D:$D, Raw_Data_Daily!$B:$B, "Control", Raw_Data_Daily!$A:$A, $A24, Raw_Data_Daily!$C:$C, $C$3),""))</f>
        <v>0.3587</v>
      </c>
      <c r="AG24" s="214">
        <f>IF($A24="","",IFERROR(SUMPRODUCT((Raw_Data_Daily!$B$2:$B$9999="Variant")*(Raw_Data_Daily!$A$2:$A$9999=$A24)*(Raw_Data_Daily!$C$2:$C$9999=$C$3)*Raw_Data_Daily!$D$2:$D$9999*Raw_Data_Daily!$N$2:$N$9999)/SUMIFS(Raw_Data_Daily!$D:$D, Raw_Data_Daily!$B:$B, "Variant", Raw_Data_Daily!$A:$A, $A24, Raw_Data_Daily!$C:$C, $C$3),""))</f>
        <v>0.3917</v>
      </c>
      <c r="AH24" s="215">
        <f t="shared" si="11"/>
        <v>0.09199888486</v>
      </c>
      <c r="AI24" s="214">
        <f>IF($A24="","",IFERROR(SUMPRODUCT((Raw_Data_Daily!$B$2:$B$9999="Control")*(Raw_Data_Daily!$A$2:$A$9999=$A24)*(Raw_Data_Daily!$C$2:$C$9999=$C$3)*Raw_Data_Daily!$D$2:$D$9999*Raw_Data_Daily!$O$2:$O$9999)/SUMIFS(Raw_Data_Daily!$D:$D, Raw_Data_Daily!$B:$B, "Control", Raw_Data_Daily!$A:$A, $A24, Raw_Data_Daily!$C:$C, $C$3),""))</f>
        <v>0.233</v>
      </c>
      <c r="AJ24" s="214">
        <f>IF($A24="","",IFERROR(SUMPRODUCT((Raw_Data_Daily!$B$2:$B$9999="Variant")*(Raw_Data_Daily!$A$2:$A$9999=$A24)*(Raw_Data_Daily!$C$2:$C$9999=$C$3)*Raw_Data_Daily!$D$2:$D$9999*Raw_Data_Daily!$O$2:$O$9999)/SUMIFS(Raw_Data_Daily!$D:$D, Raw_Data_Daily!$B:$B, "Variant", Raw_Data_Daily!$A:$A, $A24, Raw_Data_Daily!$C:$C, $C$3),""))</f>
        <v>0.2439</v>
      </c>
      <c r="AK24" s="211">
        <f t="shared" si="12"/>
        <v>0.04678111588</v>
      </c>
      <c r="AL24" s="213">
        <f>IF($A24="","",IFERROR(SUMPRODUCT((Raw_Data_Daily!$B$2:$B$9999="Control")*(Raw_Data_Daily!$A$2:$A$9999=$A24)*(Raw_Data_Daily!$C$2:$C$9999=$C$3)*Raw_Data_Daily!$D$2:$D$9999*Raw_Data_Daily!$P$2:$P$9999)/SUMIFS(Raw_Data_Daily!$D:$D, Raw_Data_Daily!$B:$B, "Control", Raw_Data_Daily!$A:$A, $A24, Raw_Data_Daily!$C:$C, $C$3),""))</f>
        <v>1.3284</v>
      </c>
      <c r="AM24" s="213">
        <f>IF($A24="","",IFERROR(SUMPRODUCT((Raw_Data_Daily!$B$2:$B$9999="Variant")*(Raw_Data_Daily!$A$2:$A$9999=$A24)*(Raw_Data_Daily!$C$2:$C$9999=$C$3)*Raw_Data_Daily!$D$2:$D$9999*Raw_Data_Daily!$P$2:$P$9999)/SUMIFS(Raw_Data_Daily!$D:$D, Raw_Data_Daily!$B:$B, "Variant", Raw_Data_Daily!$A:$A, $A24, Raw_Data_Daily!$C:$C, $C$3),""))</f>
        <v>1.4097</v>
      </c>
      <c r="AN24" s="211">
        <f t="shared" si="13"/>
        <v>0.06120144535</v>
      </c>
      <c r="AO24" s="213">
        <f>IF($A24="","",IFERROR(SUMPRODUCT((Raw_Data_Daily!$B$2:$B$9999="Control")*(Raw_Data_Daily!$A$2:$A$9999=$A24)*(Raw_Data_Daily!$C$2:$C$9999=$C$3)*Raw_Data_Daily!$D$2:$D$9999*Raw_Data_Daily!$Q$2:$Q$9999)/SUMIFS(Raw_Data_Daily!$D:$D, Raw_Data_Daily!$B:$B, "Control", Raw_Data_Daily!$A:$A, $A24, Raw_Data_Daily!$C:$C, $C$3),""))</f>
        <v>348.07</v>
      </c>
      <c r="AP24" s="213">
        <f>IF($A24="","",IFERROR(SUMPRODUCT((Raw_Data_Daily!$B$2:$B$9999="Variant")*(Raw_Data_Daily!$A$2:$A$9999=$A24)*(Raw_Data_Daily!$C$2:$C$9999=$C$3)*Raw_Data_Daily!$D$2:$D$9999*Raw_Data_Daily!$Q$2:$Q$9999)/SUMIFS(Raw_Data_Daily!$D:$D, Raw_Data_Daily!$B:$B, "Variant", Raw_Data_Daily!$A:$A, $A24, Raw_Data_Daily!$C:$C, $C$3),""))</f>
        <v>202.68</v>
      </c>
      <c r="AQ24" s="208">
        <f t="shared" si="14"/>
        <v>-0.4177033355</v>
      </c>
      <c r="AR24" s="213">
        <f>IF($A24="","",IFERROR(SUMPRODUCT((Raw_Data_Daily!$B$2:$B$9999="Control")*(Raw_Data_Daily!$A$2:$A$9999=$A24)*(Raw_Data_Daily!$C$2:$C$9999=$C$3)*Raw_Data_Daily!$D$2:$D$9999*Raw_Data_Daily!$R$2:$R$9999)/SUMIFS(Raw_Data_Daily!$D:$D, Raw_Data_Daily!$B:$B, "Control", Raw_Data_Daily!$A:$A, $A24, Raw_Data_Daily!$C:$C, $C$3),""))</f>
        <v>295.6</v>
      </c>
      <c r="AS24" s="213">
        <f>IF($A24="","",IFERROR(SUMPRODUCT((Raw_Data_Daily!$B$2:$B$9999="Variant")*(Raw_Data_Daily!$A$2:$A$9999=$A24)*(Raw_Data_Daily!$C$2:$C$9999=$C$3)*Raw_Data_Daily!$D$2:$D$9999*Raw_Data_Daily!$R$2:$R$9999)/SUMIFS(Raw_Data_Daily!$D:$D, Raw_Data_Daily!$B:$B, "Variant", Raw_Data_Daily!$A:$A, $A24, Raw_Data_Daily!$C:$C, $C$3),""))</f>
        <v>173.85</v>
      </c>
      <c r="AT24" s="208">
        <f t="shared" si="15"/>
        <v>-0.4118741543</v>
      </c>
      <c r="AU24" s="213">
        <f>IF($A24="","",IFERROR(SUMPRODUCT((Raw_Data_Daily!$B$2:$B$9999="Control")*(Raw_Data_Daily!$A$2:$A$9999=$A24)*(Raw_Data_Daily!$C$2:$C$9999=$C$3)*Raw_Data_Daily!$D$2:$D$9999*Raw_Data_Daily!$S$2:$S$9999)/SUMIFS(Raw_Data_Daily!$D:$D, Raw_Data_Daily!$B:$B, "Control", Raw_Data_Daily!$A:$A, $A24, Raw_Data_Daily!$C:$C, $C$3),""))</f>
        <v>52.47</v>
      </c>
      <c r="AV24" s="213">
        <f>IF($A24="","",IFERROR(SUMPRODUCT((Raw_Data_Daily!$B$2:$B$9999="Variant")*(Raw_Data_Daily!$A$2:$A$9999=$A24)*(Raw_Data_Daily!$C$2:$C$9999=$C$3)*Raw_Data_Daily!$D$2:$D$9999*Raw_Data_Daily!$S$2:$S$9999)/SUMIFS(Raw_Data_Daily!$D:$D, Raw_Data_Daily!$B:$B, "Variant", Raw_Data_Daily!$A:$A, $A24, Raw_Data_Daily!$C:$C, $C$3),""))</f>
        <v>28.83</v>
      </c>
      <c r="AW24" s="208">
        <f t="shared" si="16"/>
        <v>-0.4505431675</v>
      </c>
      <c r="AX24" s="213">
        <f>IF($A24="","",IFERROR(SUMPRODUCT((Raw_Data_Daily!$B$2:$B$9999="Control")*(Raw_Data_Daily!$A$2:$A$9999=$A24)*(Raw_Data_Daily!$C$2:$C$9999=$C$3)*Raw_Data_Daily!$D$2:$D$9999*Raw_Data_Daily!$T$2:$T$9999)/SUMIFS(Raw_Data_Daily!$D:$D, Raw_Data_Daily!$B:$B, "Control", Raw_Data_Daily!$A:$A, $A24, Raw_Data_Daily!$C:$C, $C$3),""))</f>
        <v>17.81</v>
      </c>
      <c r="AY24" s="213">
        <f>IF($A24="","",IFERROR(SUMPRODUCT((Raw_Data_Daily!$B$2:$B$9999="Variant")*(Raw_Data_Daily!$A$2:$A$9999=$A24)*(Raw_Data_Daily!$C$2:$C$9999=$C$3)*Raw_Data_Daily!$D$2:$D$9999*Raw_Data_Daily!$T$2:$T$9999)/SUMIFS(Raw_Data_Daily!$D:$D, Raw_Data_Daily!$B:$B, "Variant", Raw_Data_Daily!$A:$A, $A24, Raw_Data_Daily!$C:$C, $C$3),""))</f>
        <v>20.22</v>
      </c>
      <c r="AZ24" s="211">
        <f t="shared" si="17"/>
        <v>0.1353172375</v>
      </c>
      <c r="BA24" s="213">
        <f>IF($A24="","",IFERROR(SUMPRODUCT((Raw_Data_Daily!$B$2:$B$9999="Control")*(Raw_Data_Daily!$A$2:$A$9999=$A24)*(Raw_Data_Daily!$C$2:$C$9999=$C$3)*Raw_Data_Daily!$D$2:$D$9999*Raw_Data_Daily!$U$2:$U$9999)/SUMIFS(Raw_Data_Daily!$D:$D, Raw_Data_Daily!$B:$B, "Control", Raw_Data_Daily!$A:$A, $A24, Raw_Data_Daily!$C:$C, $C$3),""))</f>
        <v>330.26</v>
      </c>
      <c r="BB24" s="213">
        <f>IF($A24="","",IFERROR(SUMPRODUCT((Raw_Data_Daily!$B$2:$B$9999="Variant")*(Raw_Data_Daily!$A$2:$A$9999=$A24)*(Raw_Data_Daily!$C$2:$C$9999=$C$3)*Raw_Data_Daily!$D$2:$D$9999*Raw_Data_Daily!$U$2:$U$9999)/SUMIFS(Raw_Data_Daily!$D:$D, Raw_Data_Daily!$B:$B, "Variant", Raw_Data_Daily!$A:$A, $A24, Raw_Data_Daily!$C:$C, $C$3),""))</f>
        <v>182.46</v>
      </c>
      <c r="BC24" s="208">
        <f t="shared" si="18"/>
        <v>-0.4475261915</v>
      </c>
      <c r="BD24" s="213">
        <f>IF($A24="","",IFERROR(SUMPRODUCT((Raw_Data_Daily!$B$2:$B$9999="Control")*(Raw_Data_Daily!$A$2:$A$9999=$A24)*(Raw_Data_Daily!$C$2:$C$9999=$C$3)*Raw_Data_Daily!$D$2:$D$9999*Raw_Data_Daily!$V$2:$V$9999)/SUMIFS(Raw_Data_Daily!$D:$D, Raw_Data_Daily!$B:$B, "Control", Raw_Data_Daily!$A:$A, $A24, Raw_Data_Daily!$C:$C, $C$3),""))</f>
        <v>319.06</v>
      </c>
      <c r="BE24" s="213">
        <f>IF($A24="","",IFERROR(SUMPRODUCT((Raw_Data_Daily!$B$2:$B$9999="Variant")*(Raw_Data_Daily!$A$2:$A$9999=$A24)*(Raw_Data_Daily!$C$2:$C$9999=$C$3)*Raw_Data_Daily!$D$2:$D$9999*Raw_Data_Daily!$V$2:$V$9999)/SUMIFS(Raw_Data_Daily!$D:$D, Raw_Data_Daily!$B:$B, "Variant", Raw_Data_Daily!$A:$A, $A24, Raw_Data_Daily!$C:$C, $C$3),""))</f>
        <v>228.35</v>
      </c>
      <c r="BF24" s="208">
        <f t="shared" si="19"/>
        <v>-0.2843038927</v>
      </c>
      <c r="BG24" s="213">
        <f>IF($A24="","",IFERROR(SUMPRODUCT((Raw_Data_Daily!$B$2:$B$9999="Control")*(Raw_Data_Daily!$A$2:$A$9999=$A24)*(Raw_Data_Daily!$C$2:$C$9999=$C$3)*Raw_Data_Daily!$D$2:$D$9999*(Raw_Data_Daily!$Q$2:$Q$9999-Raw_Data_Daily!$V$2:$V$9999))/SUMIFS(Raw_Data_Daily!$D:$D, Raw_Data_Daily!$B:$B, "Control", Raw_Data_Daily!$A:$A, $A24, Raw_Data_Daily!$C:$C, $C$3),""))</f>
        <v>29.01</v>
      </c>
      <c r="BH24" s="213">
        <f>IF($A24="","",IFERROR(SUMPRODUCT((Raw_Data_Daily!$B$2:$B$9999="Variant")*(Raw_Data_Daily!$A$2:$A$9999=$A24)*(Raw_Data_Daily!$C$2:$C$9999=$C$3)*Raw_Data_Daily!$D$2:$D$9999*(Raw_Data_Daily!$Q$2:$Q$9999-Raw_Data_Daily!$V$2:$V$9999))/SUMIFS(Raw_Data_Daily!$D:$D, Raw_Data_Daily!$B:$B, "Variant", Raw_Data_Daily!$A:$A, $A24, Raw_Data_Daily!$C:$C, $C$3),""))</f>
        <v>-25.67</v>
      </c>
      <c r="BI24" s="208">
        <f t="shared" si="20"/>
        <v>-1.884867287</v>
      </c>
      <c r="BJ24" s="213">
        <f>IF($A24="","",IFERROR(SUMPRODUCT((Raw_Data_Daily!$B$2:$B$9999="Control")*(Raw_Data_Daily!$A$2:$A$9999=$A24)*(Raw_Data_Daily!$C$2:$C$9999=$C$3)*Raw_Data_Daily!$D$2:$D$9999*Raw_Data_Daily!$W$2:$W$9999)/SUMIFS(Raw_Data_Daily!$D:$D, Raw_Data_Daily!$B:$B, "Control", Raw_Data_Daily!$A:$A, $A24, Raw_Data_Daily!$C:$C, $C$3),""))</f>
        <v>4.6526</v>
      </c>
      <c r="BK24" s="213">
        <f>IF($A24="","",IFERROR(SUMPRODUCT((Raw_Data_Daily!$B$2:$B$9999="Variant")*(Raw_Data_Daily!$A$2:$A$9999=$A24)*(Raw_Data_Daily!$C$2:$C$9999=$C$3)*Raw_Data_Daily!$D$2:$D$9999*Raw_Data_Daily!$W$2:$W$9999)/SUMIFS(Raw_Data_Daily!$D:$D, Raw_Data_Daily!$B:$B, "Variant", Raw_Data_Daily!$A:$A, $A24, Raw_Data_Daily!$C:$C, $C$3),""))</f>
        <v>3.3539</v>
      </c>
      <c r="BL24" s="208">
        <f t="shared" si="21"/>
        <v>-0.2791342475</v>
      </c>
      <c r="BM24" s="214">
        <f>IF($A24="","",IFERROR(SUMPRODUCT((Raw_Data_Daily!$B$2:$B$9999="Control")*(Raw_Data_Daily!$A$2:$A$9999=$A24)*(Raw_Data_Daily!$C$2:$C$9999=$C$3)*Raw_Data_Daily!$D$2:$D$9999*Raw_Data_Daily!$X$2:$X$9999)/SUMIFS(Raw_Data_Daily!$D:$D, Raw_Data_Daily!$B:$B, "Control", Raw_Data_Daily!$A:$A, $A24, Raw_Data_Daily!$C:$C, $C$3),""))</f>
        <v>5.12</v>
      </c>
      <c r="BN24" s="214">
        <f>IF($A24="","",IFERROR(SUMPRODUCT((Raw_Data_Daily!$B$2:$B$9999="Variant")*(Raw_Data_Daily!$A$2:$A$9999=$A24)*(Raw_Data_Daily!$C$2:$C$9999=$C$3)*Raw_Data_Daily!$D$2:$D$9999*Raw_Data_Daily!$X$2:$X$9999)/SUMIFS(Raw_Data_Daily!$D:$D, Raw_Data_Daily!$B:$B, "Variant", Raw_Data_Daily!$A:$A, $A24, Raw_Data_Daily!$C:$C, $C$3),""))</f>
        <v>9.97</v>
      </c>
      <c r="BO24" s="211">
        <f t="shared" si="22"/>
        <v>0.947265625</v>
      </c>
      <c r="BP24" s="207">
        <f>IF($A24="","",IFERROR(SUMPRODUCT((Raw_Data_Daily!$B$2:$B$9999="Control")*(Raw_Data_Daily!$A$2:$A$9999=$A24)*(Raw_Data_Daily!$C$2:$C$9999=$C$3)*Raw_Data_Daily!$D$2:$D$9999*Raw_Data_Daily!$Y$2:$Y$9999)/SUMIFS(Raw_Data_Daily!$D:$D, Raw_Data_Daily!$B:$B, "Control", Raw_Data_Daily!$A:$A, $A24, Raw_Data_Daily!$C:$C, $C$3),""))</f>
        <v>355</v>
      </c>
      <c r="BQ24" s="207">
        <f>IF($A24="","",IFERROR(SUMPRODUCT((Raw_Data_Daily!$B$2:$B$9999="Variant")*(Raw_Data_Daily!$A$2:$A$9999=$A24)*(Raw_Data_Daily!$C$2:$C$9999=$C$3)*Raw_Data_Daily!$D$2:$D$9999*Raw_Data_Daily!$Y$2:$Y$9999)/SUMIFS(Raw_Data_Daily!$D:$D, Raw_Data_Daily!$B:$B, "Variant", Raw_Data_Daily!$A:$A, $A24, Raw_Data_Daily!$C:$C, $C$3),""))</f>
        <v>266</v>
      </c>
      <c r="BR24" s="208">
        <f t="shared" si="23"/>
        <v>-0.2507042254</v>
      </c>
      <c r="BS24" s="207">
        <f>IF($A24="","",IFERROR(SUMPRODUCT((Raw_Data_Daily!$B$2:$B$9999="Control")*(Raw_Data_Daily!$A$2:$A$9999=$A24)*(Raw_Data_Daily!$C$2:$C$9999=$C$3)*Raw_Data_Daily!$D$2:$D$9999*Raw_Data_Daily!$Z$2:$Z$9999)/SUMIFS(Raw_Data_Daily!$D:$D, Raw_Data_Daily!$B:$B, "Control", Raw_Data_Daily!$A:$A, $A24, Raw_Data_Daily!$C:$C, $C$3),""))</f>
        <v>637</v>
      </c>
      <c r="BT24" s="207">
        <f>IF($A24="","",IFERROR(SUMPRODUCT((Raw_Data_Daily!$B$2:$B$9999="Variant")*(Raw_Data_Daily!$A$2:$A$9999=$A24)*(Raw_Data_Daily!$C$2:$C$9999=$C$3)*Raw_Data_Daily!$D$2:$D$9999*Raw_Data_Daily!$Z$2:$Z$9999)/SUMIFS(Raw_Data_Daily!$D:$D, Raw_Data_Daily!$B:$B, "Variant", Raw_Data_Daily!$A:$A, $A24, Raw_Data_Daily!$C:$C, $C$3),""))</f>
        <v>495</v>
      </c>
      <c r="BU24" s="208">
        <f t="shared" si="24"/>
        <v>-0.2229199372</v>
      </c>
      <c r="BV24" s="207">
        <f>IF($A24="","",IFERROR(SUMPRODUCT((Raw_Data_Daily!$B$2:$B$9999="Control")*(Raw_Data_Daily!$A$2:$A$9999=$A24)*(Raw_Data_Daily!$C$2:$C$9999=$C$3)*Raw_Data_Daily!$D$2:$D$9999*Raw_Data_Daily!$AA$2:$AA$9999)/SUMIFS(Raw_Data_Daily!$D:$D, Raw_Data_Daily!$B:$B, "Control", Raw_Data_Daily!$A:$A, $A24, Raw_Data_Daily!$C:$C, $C$3),""))</f>
        <v>1381</v>
      </c>
      <c r="BW24" s="207">
        <f>IF($A24="","",IFERROR(SUMPRODUCT((Raw_Data_Daily!$B$2:$B$9999="Variant")*(Raw_Data_Daily!$A$2:$A$9999=$A24)*(Raw_Data_Daily!$C$2:$C$9999=$C$3)*Raw_Data_Daily!$D$2:$D$9999*Raw_Data_Daily!$AA$2:$AA$9999)/SUMIFS(Raw_Data_Daily!$D:$D, Raw_Data_Daily!$B:$B, "Variant", Raw_Data_Daily!$A:$A, $A24, Raw_Data_Daily!$C:$C, $C$3),""))</f>
        <v>1160</v>
      </c>
      <c r="BX24" s="208">
        <f t="shared" si="25"/>
        <v>-0.1600289645</v>
      </c>
      <c r="BY24" s="213">
        <f>IF($A24="","",IFERROR(SUMPRODUCT((Raw_Data_Daily!$B$2:$B$9999="Control")*(Raw_Data_Daily!$A$2:$A$9999=$A24)*(Raw_Data_Daily!$C$2:$C$9999=$C$3)*Raw_Data_Daily!$D$2:$D$9999*Raw_Data_Daily!$AB$2:$AB$9999)/SUMIFS(Raw_Data_Daily!$D:$D, Raw_Data_Daily!$B:$B, "Control", Raw_Data_Daily!$A:$A, $A24, Raw_Data_Daily!$C:$C, $C$3),""))</f>
        <v>54.9223</v>
      </c>
      <c r="BZ24" s="213">
        <f>IF($A24="","",IFERROR(SUMPRODUCT((Raw_Data_Daily!$B$2:$B$9999="Variant")*(Raw_Data_Daily!$A$2:$A$9999=$A24)*(Raw_Data_Daily!$C$2:$C$9999=$C$3)*Raw_Data_Daily!$D$2:$D$9999*Raw_Data_Daily!$AB$2:$AB$9999)/SUMIFS(Raw_Data_Daily!$D:$D, Raw_Data_Daily!$B:$B, "Variant", Raw_Data_Daily!$A:$A, $A24, Raw_Data_Daily!$C:$C, $C$3),""))</f>
        <v>54.8181</v>
      </c>
      <c r="CA24" s="211">
        <f t="shared" si="26"/>
        <v>-0.001897225717</v>
      </c>
      <c r="CB24" s="213">
        <f>IF($A24="","",IFERROR(SUMPRODUCT((Raw_Data_Daily!$B$2:$B$9999="Control")*(Raw_Data_Daily!$A$2:$A$9999=$A24)*(Raw_Data_Daily!$C$2:$C$9999=$C$3)*Raw_Data_Daily!$D$2:$D$9999*Raw_Data_Daily!$AC$2:$AC$9999)/SUMIFS(Raw_Data_Daily!$D:$D, Raw_Data_Daily!$B:$B, "Control", Raw_Data_Daily!$A:$A, $A24, Raw_Data_Daily!$C:$C, $C$3),""))</f>
        <v>0.7704</v>
      </c>
      <c r="CC24" s="213">
        <f>IF($A24="","",IFERROR(SUMPRODUCT((Raw_Data_Daily!$B$2:$B$9999="Variant")*(Raw_Data_Daily!$A$2:$A$9999=$A24)*(Raw_Data_Daily!$C$2:$C$9999=$C$3)*Raw_Data_Daily!$D$2:$D$9999*Raw_Data_Daily!$AC$2:$AC$9999)/SUMIFS(Raw_Data_Daily!$D:$D, Raw_Data_Daily!$B:$B, "Variant", Raw_Data_Daily!$A:$A, $A24, Raw_Data_Daily!$C:$C, $C$3),""))</f>
        <v>0.7571</v>
      </c>
      <c r="CD24" s="211">
        <f t="shared" si="27"/>
        <v>-0.01726375909</v>
      </c>
      <c r="CE24" s="213">
        <f>IF($A24="","",IFERROR(SUMPRODUCT((Raw_Data_Daily!$B$2:$B$9999="Control")*(Raw_Data_Daily!$A$2:$A$9999=$A24)*(Raw_Data_Daily!$C$2:$C$9999=$C$3)*Raw_Data_Daily!$D$2:$D$9999*Raw_Data_Daily!$AD$2:$AD$9999)/SUMIFS(Raw_Data_Daily!$D:$D, Raw_Data_Daily!$B:$B, "Control", Raw_Data_Daily!$A:$A, $A24, Raw_Data_Daily!$C:$C, $C$3),""))</f>
        <v>30.14</v>
      </c>
      <c r="CF24" s="213">
        <f>IF($A24="","",IFERROR(SUMPRODUCT((Raw_Data_Daily!$B$2:$B$9999="Variant")*(Raw_Data_Daily!$A$2:$A$9999=$A24)*(Raw_Data_Daily!$C$2:$C$9999=$C$3)*Raw_Data_Daily!$D$2:$D$9999*Raw_Data_Daily!$AD$2:$AD$9999)/SUMIFS(Raw_Data_Daily!$D:$D, Raw_Data_Daily!$B:$B, "Variant", Raw_Data_Daily!$A:$A, $A24, Raw_Data_Daily!$C:$C, $C$3),""))</f>
        <v>25.17</v>
      </c>
      <c r="CG24" s="211">
        <f t="shared" si="28"/>
        <v>-0.1648971466</v>
      </c>
      <c r="CH24" s="213">
        <f>IF($A24="","",IFERROR(SUMPRODUCT((Raw_Data_Daily!$B$2:$B$9999="Control")*(Raw_Data_Daily!$A$2:$A$9999=$A24)*(Raw_Data_Daily!$C$2:$C$9999=$C$3)*Raw_Data_Daily!$D$2:$D$9999*Raw_Data_Daily!$AE$2:$AE$9999)/SUMIFS(Raw_Data_Daily!$D:$D, Raw_Data_Daily!$B:$B, "Control", Raw_Data_Daily!$A:$A, $A24, Raw_Data_Daily!$C:$C, $C$3),""))</f>
        <v>11</v>
      </c>
      <c r="CI24" s="213">
        <f>IF($A24="","",IFERROR(SUMPRODUCT((Raw_Data_Daily!$B$2:$B$9999="Variant")*(Raw_Data_Daily!$A$2:$A$9999=$A24)*(Raw_Data_Daily!$C$2:$C$9999=$C$3)*Raw_Data_Daily!$D$2:$D$9999*Raw_Data_Daily!$AE$2:$AE$9999)/SUMIFS(Raw_Data_Daily!$D:$D, Raw_Data_Daily!$B:$B, "Variant", Raw_Data_Daily!$A:$A, $A24, Raw_Data_Daily!$C:$C, $C$3),""))</f>
        <v>10</v>
      </c>
      <c r="CJ24" s="211">
        <f t="shared" si="29"/>
        <v>-0.09090909091</v>
      </c>
      <c r="CK24" s="213">
        <f>IF($A24="","",IFERROR(SUMPRODUCT((Raw_Data_Daily!$B$2:$B$9999="Control")*(Raw_Data_Daily!$A$2:$A$9999=$A24)*(Raw_Data_Daily!$C$2:$C$9999=$C$3)*Raw_Data_Daily!$D$2:$D$9999*Raw_Data_Daily!$AF$2:$AF$9999)/SUMIFS(Raw_Data_Daily!$D:$D, Raw_Data_Daily!$B:$B, "Control", Raw_Data_Daily!$A:$A, $A24, Raw_Data_Daily!$C:$C, $C$3),""))</f>
        <v>22</v>
      </c>
      <c r="CL24" s="213">
        <f>IF($A24="","",IFERROR(SUMPRODUCT((Raw_Data_Daily!$B$2:$B$9999="Variant")*(Raw_Data_Daily!$A$2:$A$9999=$A24)*(Raw_Data_Daily!$C$2:$C$9999=$C$3)*Raw_Data_Daily!$D$2:$D$9999*Raw_Data_Daily!$AF$2:$AF$9999)/SUMIFS(Raw_Data_Daily!$D:$D, Raw_Data_Daily!$B:$B, "Variant", Raw_Data_Daily!$A:$A, $A24, Raw_Data_Daily!$C:$C, $C$3),""))</f>
        <v>17</v>
      </c>
      <c r="CM24" s="211">
        <f t="shared" si="30"/>
        <v>-0.2272727273</v>
      </c>
      <c r="CN24" s="213">
        <f>IF($A24="","",IFERROR(SUMPRODUCT((Raw_Data_Daily!$B$2:$B$9999="Control")*(Raw_Data_Daily!$A$2:$A$9999=$A24)*(Raw_Data_Daily!$C$2:$C$9999=$C$3)*Raw_Data_Daily!$D$2:$D$9999*Raw_Data_Daily!$AG$2:$AG$9999)/SUMIFS(Raw_Data_Daily!$D:$D, Raw_Data_Daily!$B:$B, "Control", Raw_Data_Daily!$A:$A, $A24, Raw_Data_Daily!$C:$C, $C$3),""))</f>
        <v>42</v>
      </c>
      <c r="CO24" s="213">
        <f>IF($A24="","",IFERROR(SUMPRODUCT((Raw_Data_Daily!$B$2:$B$9999="Variant")*(Raw_Data_Daily!$A$2:$A$9999=$A24)*(Raw_Data_Daily!$C$2:$C$9999=$C$3)*Raw_Data_Daily!$D$2:$D$9999*Raw_Data_Daily!$AG$2:$AG$9999)/SUMIFS(Raw_Data_Daily!$D:$D, Raw_Data_Daily!$B:$B, "Variant", Raw_Data_Daily!$A:$A, $A24, Raw_Data_Daily!$C:$C, $C$3),""))</f>
        <v>34</v>
      </c>
      <c r="CP24" s="211">
        <f t="shared" si="31"/>
        <v>-0.1904761905</v>
      </c>
      <c r="CQ24" s="213">
        <f>IF($A24="","",IFERROR(SUMPRODUCT((Raw_Data_Daily!$B$2:$B$9999="Control")*(Raw_Data_Daily!$A$2:$A$9999=$A24)*(Raw_Data_Daily!$C$2:$C$9999=$C$3)*Raw_Data_Daily!$D$2:$D$9999*Raw_Data_Daily!$AH$2:$AH$9999)/SUMIFS(Raw_Data_Daily!$D:$D, Raw_Data_Daily!$B:$B, "Control", Raw_Data_Daily!$A:$A, $A24, Raw_Data_Daily!$C:$C, $C$3),""))</f>
        <v>64</v>
      </c>
      <c r="CR24" s="213">
        <f>IF($A24="","",IFERROR(SUMPRODUCT((Raw_Data_Daily!$B$2:$B$9999="Variant")*(Raw_Data_Daily!$A$2:$A$9999=$A24)*(Raw_Data_Daily!$C$2:$C$9999=$C$3)*Raw_Data_Daily!$D$2:$D$9999*Raw_Data_Daily!$AH$2:$AH$9999)/SUMIFS(Raw_Data_Daily!$D:$D, Raw_Data_Daily!$B:$B, "Variant", Raw_Data_Daily!$A:$A, $A24, Raw_Data_Daily!$C:$C, $C$3),""))</f>
        <v>55</v>
      </c>
      <c r="CS24" s="211">
        <f t="shared" si="32"/>
        <v>-0.140625</v>
      </c>
      <c r="CT24" s="209">
        <f>IF($A24="","",IFERROR(SUMPRODUCT((Raw_Data_Daily!$B$2:$B$9999="Control")*(Raw_Data_Daily!$A$2:$A$9999=$A24)*(Raw_Data_Daily!$C$2:$C$9999=$C$3)*Raw_Data_Daily!$D$2:$D$9999*Raw_Data_Daily!$AI$2:$AI$9999)/SUMIFS(Raw_Data_Daily!$D:$D, Raw_Data_Daily!$B:$B, "Control", Raw_Data_Daily!$A:$A, $A24, Raw_Data_Daily!$C:$C, $C$3),""))</f>
        <v>40.8</v>
      </c>
      <c r="CU24" s="209">
        <f>IF($A24="","",IFERROR(SUMPRODUCT((Raw_Data_Daily!$B$2:$B$9999="Variant")*(Raw_Data_Daily!$A$2:$A$9999=$A24)*(Raw_Data_Daily!$C$2:$C$9999=$C$3)*Raw_Data_Daily!$D$2:$D$9999*Raw_Data_Daily!$AI$2:$AI$9999)/SUMIFS(Raw_Data_Daily!$D:$D, Raw_Data_Daily!$B:$B, "Variant", Raw_Data_Daily!$A:$A, $A24, Raw_Data_Daily!$C:$C, $C$3),""))</f>
        <v>32.35</v>
      </c>
      <c r="CV24" s="215">
        <f t="shared" si="33"/>
        <v>-0.2071078431</v>
      </c>
      <c r="CW24" s="209">
        <f>IF($A24="","",IFERROR(SUMPRODUCT((Raw_Data_Daily!$B$2:$B$9999="Control")*(Raw_Data_Daily!$A$2:$A$9999=$A24)*(Raw_Data_Daily!$C$2:$C$9999=$C$3)*Raw_Data_Daily!$D$2:$D$9999*Raw_Data_Daily!$AJ$2:$AJ$9999)/SUMIFS(Raw_Data_Daily!$D:$D, Raw_Data_Daily!$B:$B, "Control", Raw_Data_Daily!$A:$A, $A24, Raw_Data_Daily!$C:$C, $C$3),""))</f>
        <v>11.96</v>
      </c>
      <c r="CX24" s="209">
        <f>IF($A24="","",IFERROR(SUMPRODUCT((Raw_Data_Daily!$B$2:$B$9999="Variant")*(Raw_Data_Daily!$A$2:$A$9999=$A24)*(Raw_Data_Daily!$C$2:$C$9999=$C$3)*Raw_Data_Daily!$D$2:$D$9999*Raw_Data_Daily!$AJ$2:$AJ$9999)/SUMIFS(Raw_Data_Daily!$D:$D, Raw_Data_Daily!$B:$B, "Variant", Raw_Data_Daily!$A:$A, $A24, Raw_Data_Daily!$C:$C, $C$3),""))</f>
        <v>8.24</v>
      </c>
      <c r="CY24" s="215">
        <f t="shared" si="34"/>
        <v>-0.3110367893</v>
      </c>
      <c r="CZ24" s="209">
        <f>IF($A24="","",IFERROR(SUMPRODUCT((Raw_Data_Daily!$B$2:$B$9999="Control")*(Raw_Data_Daily!$A$2:$A$9999=$A24)*(Raw_Data_Daily!$C$2:$C$9999=$C$3)*Raw_Data_Daily!$D$2:$D$9999*Raw_Data_Daily!$AK$2:$AK$9999)/SUMIFS(Raw_Data_Daily!$D:$D, Raw_Data_Daily!$B:$B, "Control", Raw_Data_Daily!$A:$A, $A24, Raw_Data_Daily!$C:$C, $C$3),""))</f>
        <v>3.06</v>
      </c>
      <c r="DA24" s="209">
        <f>IF($A24="","",IFERROR(SUMPRODUCT((Raw_Data_Daily!$B$2:$B$9999="Variant")*(Raw_Data_Daily!$A$2:$A$9999=$A24)*(Raw_Data_Daily!$C$2:$C$9999=$C$3)*Raw_Data_Daily!$D$2:$D$9999*Raw_Data_Daily!$AK$2:$AK$9999)/SUMIFS(Raw_Data_Daily!$D:$D, Raw_Data_Daily!$B:$B, "Variant", Raw_Data_Daily!$A:$A, $A24, Raw_Data_Daily!$C:$C, $C$3),""))</f>
        <v>1.65</v>
      </c>
      <c r="DB24" s="211">
        <f t="shared" si="35"/>
        <v>-0.4607843137</v>
      </c>
      <c r="DC24" s="214">
        <f>IF($A24="","",IFERROR(SUMPRODUCT((Raw_Data_Daily!$B$2:$B$9999="Control")*(Raw_Data_Daily!$A$2:$A$9999=$A24)*(Raw_Data_Daily!$C$2:$C$9999=$C$3)*Raw_Data_Daily!$D$2:$D$9999*Raw_Data_Daily!$AL$2:$AL$9999)/SUMIFS(Raw_Data_Daily!$D:$D, Raw_Data_Daily!$B:$B, "Control", Raw_Data_Daily!$A:$A, $A24, Raw_Data_Daily!$C:$C, $C$3),""))</f>
        <v>0.1918</v>
      </c>
      <c r="DD24" s="214">
        <f>IF($A24="","",IFERROR(SUMPRODUCT((Raw_Data_Daily!$B$2:$B$9999="Variant")*(Raw_Data_Daily!$A$2:$A$9999=$A24)*(Raw_Data_Daily!$C$2:$C$9999=$C$3)*Raw_Data_Daily!$D$2:$D$9999*Raw_Data_Daily!$AL$2:$AL$9999)/SUMIFS(Raw_Data_Daily!$D:$D, Raw_Data_Daily!$B:$B, "Variant", Raw_Data_Daily!$A:$A, $A24, Raw_Data_Daily!$C:$C, $C$3),""))</f>
        <v>0.181</v>
      </c>
      <c r="DE24" s="215">
        <f t="shared" si="36"/>
        <v>-0.05630865485</v>
      </c>
      <c r="DF24" s="216"/>
      <c r="DG24" s="209">
        <f>IF($A24="","",IFERROR(SUMPRODUCT((Raw_Data_Daily!$B$2:$B$9999="Variant")*(Raw_Data_Daily!$A$2:$A$9999=$A24)*(Raw_Data_Daily!$C$2:$C$9999=$C$3)*Raw_Data_Daily!$D$2:$D$9999*Raw_Data_Daily!$AM$2:$AM$9999)/SUMIFS(Raw_Data_Daily!$D:$D, Raw_Data_Daily!$B:$B, "Variant", Raw_Data_Daily!$A:$A, $A24, Raw_Data_Daily!$C:$C, $C$3),""))</f>
        <v>26.91</v>
      </c>
      <c r="DH24" s="217"/>
      <c r="DI24" s="216"/>
      <c r="DJ24" s="209">
        <f>IF($A24="","",IFERROR(SUMPRODUCT((Raw_Data_Daily!$B$2:$B$9999="Variant")*(Raw_Data_Daily!$A$2:$A$9999=$A24)*(Raw_Data_Daily!$C$2:$C$9999=$C$3)*Raw_Data_Daily!$D$2:$D$9999*Raw_Data_Daily!$AN$2:$AN$9999)/SUMIFS(Raw_Data_Daily!$D:$D, Raw_Data_Daily!$B:$B, "Variant", Raw_Data_Daily!$A:$A, $A24, Raw_Data_Daily!$C:$C, $C$3),""))</f>
        <v>26.91</v>
      </c>
      <c r="DK24" s="217"/>
      <c r="DL24" s="216"/>
      <c r="DM24" s="209">
        <f>IF($A24="","",IFERROR(SUMPRODUCT((Raw_Data_Daily!$B$2:$B$9999="Variant")*(Raw_Data_Daily!$A$2:$A$9999=$A24)*(Raw_Data_Daily!$C$2:$C$9999=$C$3)*Raw_Data_Daily!$D$2:$D$9999*Raw_Data_Daily!$AO$2:$AO$9999)/SUMIFS(Raw_Data_Daily!$D:$D, Raw_Data_Daily!$B:$B, "Variant", Raw_Data_Daily!$A:$A, $A24, Raw_Data_Daily!$C:$C, $C$3),""))</f>
        <v>16.2</v>
      </c>
      <c r="DN24" s="217"/>
      <c r="DO24" s="216"/>
      <c r="DP24" s="209">
        <f>IF($A24="","",IFERROR(SUMPRODUCT((Raw_Data_Daily!$B$2:$B$9999="Variant")*(Raw_Data_Daily!$A$2:$A$9999=$A24)*(Raw_Data_Daily!$C$2:$C$9999=$C$3)*Raw_Data_Daily!$D$2:$D$9999*Raw_Data_Daily!$AP$2:$AP$9999)/SUMIFS(Raw_Data_Daily!$D:$D, Raw_Data_Daily!$B:$B, "Variant", Raw_Data_Daily!$A:$A, $A24, Raw_Data_Daily!$C:$C, $C$3),""))</f>
        <v>9.95</v>
      </c>
      <c r="DQ24" s="217"/>
      <c r="DR24" s="214">
        <f>IF($A24="","",IFERROR(SUMPRODUCT((Raw_Data_Daily!$B$2:$B$9999="Control")*(Raw_Data_Daily!$A$2:$A$9999=$A24)*(Raw_Data_Daily!$C$2:$C$9999=$C$3)*Raw_Data_Daily!$D$2:$D$9999*Raw_Data_Daily!$AQ$2:$AQ$9999)/SUMIFS(Raw_Data_Daily!$D:$D, Raw_Data_Daily!$B:$B, "Control", Raw_Data_Daily!$A:$A, $A24, Raw_Data_Daily!$C:$C, $C$3),""))</f>
        <v>16.1938</v>
      </c>
      <c r="DS24" s="214">
        <f>IF($A24="","",IFERROR(SUMPRODUCT((Raw_Data_Daily!$B$2:$B$9999="Variant")*(Raw_Data_Daily!$A$2:$A$9999=$A24)*(Raw_Data_Daily!$C$2:$C$9999=$C$3)*Raw_Data_Daily!$D$2:$D$9999*Raw_Data_Daily!$AQ$2:$AQ$9999)/SUMIFS(Raw_Data_Daily!$D:$D, Raw_Data_Daily!$B:$B, "Variant", Raw_Data_Daily!$A:$A, $A24, Raw_Data_Daily!$C:$C, $C$3),""))</f>
        <v>12.0034</v>
      </c>
      <c r="DT24" s="218">
        <f t="shared" si="37"/>
        <v>-0.2587657005</v>
      </c>
      <c r="DU24" s="214">
        <f>IF($A24="","",IFERROR(SUMPRODUCT((Raw_Data_Daily!$B$2:$B$9999="Control")*(Raw_Data_Daily!$A$2:$A$9999=$A24)*(Raw_Data_Daily!$C$2:$C$9999=$C$3)*Raw_Data_Daily!$D$2:$D$9999*Raw_Data_Daily!$AR$2:$AR$9999)/SUMIFS(Raw_Data_Daily!$D:$D, Raw_Data_Daily!$B:$B, "Control", Raw_Data_Daily!$A:$A, $A24, Raw_Data_Daily!$C:$C, $C$3),""))</f>
        <v>0.4689</v>
      </c>
      <c r="DV24" s="214">
        <f>IF($A24="","",IFERROR(SUMPRODUCT((Raw_Data_Daily!$B$2:$B$9999="Variant")*(Raw_Data_Daily!$A$2:$A$9999=$A24)*(Raw_Data_Daily!$C$2:$C$9999=$C$3)*Raw_Data_Daily!$D$2:$D$9999*Raw_Data_Daily!$AR$2:$AR$9999)/SUMIFS(Raw_Data_Daily!$D:$D, Raw_Data_Daily!$B:$B, "Variant", Raw_Data_Daily!$A:$A, $A24, Raw_Data_Daily!$C:$C, $C$3),""))</f>
        <v>0.2737</v>
      </c>
      <c r="DW24" s="218">
        <f t="shared" si="38"/>
        <v>-0.4162934528</v>
      </c>
      <c r="DX24" s="214">
        <f>IF($A24="","",IFERROR(SUMPRODUCT((Raw_Data_Daily!$B$2:$B$9999="Control")*(Raw_Data_Daily!$A$2:$A$9999=$A24)*(Raw_Data_Daily!$C$2:$C$9999=$C$3)*Raw_Data_Daily!$D$2:$D$9999*Raw_Data_Daily!$AS$2:$AS$9999)/SUMIFS(Raw_Data_Daily!$D:$D, Raw_Data_Daily!$B:$B, "Control", Raw_Data_Daily!$A:$A, $A24, Raw_Data_Daily!$C:$C, $C$3),""))</f>
        <v>15.725</v>
      </c>
      <c r="DY24" s="214">
        <f>IF($A24="","",IFERROR(SUMPRODUCT((Raw_Data_Daily!$B$2:$B$9999="Variant")*(Raw_Data_Daily!$A$2:$A$9999=$A24)*(Raw_Data_Daily!$C$2:$C$9999=$C$3)*Raw_Data_Daily!$D$2:$D$9999*Raw_Data_Daily!$AS$2:$AS$9999)/SUMIFS(Raw_Data_Daily!$D:$D, Raw_Data_Daily!$B:$B, "Variant", Raw_Data_Daily!$A:$A, $A24, Raw_Data_Daily!$C:$C, $C$3),""))</f>
        <v>11.7296</v>
      </c>
      <c r="DZ24" s="219">
        <f t="shared" si="39"/>
        <v>-0.2540794913</v>
      </c>
      <c r="EA24" s="214">
        <f>IF($A24="","",IFERROR(SUMPRODUCT((Raw_Data_Daily!$B$2:$B$9999="Control")*(Raw_Data_Daily!$A$2:$A$9999=$A24)*(Raw_Data_Daily!$C$2:$C$9999=$C$3)*Raw_Data_Daily!$D$2:$D$9999*Raw_Data_Daily!$AT$2:$AT$9999)/SUMIFS(Raw_Data_Daily!$D:$D, Raw_Data_Daily!$B:$B, "Control", Raw_Data_Daily!$A:$A, $A24, Raw_Data_Daily!$C:$C, $C$3),""))</f>
        <v>13.2646</v>
      </c>
      <c r="EB24" s="214">
        <f>IF($A24="","",IFERROR(SUMPRODUCT((Raw_Data_Daily!$B$2:$B$9999="Variant")*(Raw_Data_Daily!$A$2:$A$9999=$A24)*(Raw_Data_Daily!$C$2:$C$9999=$C$3)*Raw_Data_Daily!$D$2:$D$9999*Raw_Data_Daily!$AT$2:$AT$9999)/SUMIFS(Raw_Data_Daily!$D:$D, Raw_Data_Daily!$B:$B, "Variant", Raw_Data_Daily!$A:$A, $A24, Raw_Data_Daily!$C:$C, $C$3),""))</f>
        <v>11.2377</v>
      </c>
      <c r="EC24" s="218">
        <f t="shared" si="40"/>
        <v>-0.1528052109</v>
      </c>
      <c r="ED24" s="214">
        <f>IF($A24="","",IFERROR(SUMPRODUCT((Raw_Data_Daily!$B$2:$B$9999="Control")*(Raw_Data_Daily!$A$2:$A$9999=$A24)*(Raw_Data_Daily!$C$2:$C$9999=$C$3)*Raw_Data_Daily!$D$2:$D$9999*(Raw_Data_Daily!$AQ$2:$AQ$9999-Raw_Data_Daily!$AT$2:$AT$9999))/SUMIFS(Raw_Data_Daily!$D:$D, Raw_Data_Daily!$B:$B, "Control", Raw_Data_Daily!$A:$A, $A24, Raw_Data_Daily!$C:$C, $C$3),""))</f>
        <v>2.9292</v>
      </c>
      <c r="EE24" s="214">
        <f>IF($A24="","",IFERROR(SUMPRODUCT((Raw_Data_Daily!$B$2:$B$9999="Variant")*(Raw_Data_Daily!$A$2:$A$9999=$A24)*(Raw_Data_Daily!$C$2:$C$9999=$C$3)*Raw_Data_Daily!$D$2:$D$9999*(Raw_Data_Daily!$AQ$2:$AQ$9999-Raw_Data_Daily!$AT$2:$AT$9999))/SUMIFS(Raw_Data_Daily!$D:$D, Raw_Data_Daily!$B:$B, "Variant", Raw_Data_Daily!$A:$A, $A24, Raw_Data_Daily!$C:$C, $C$3),""))</f>
        <v>0.7657</v>
      </c>
      <c r="EF24" s="219">
        <f t="shared" si="41"/>
        <v>-0.7385975693</v>
      </c>
      <c r="EG24" s="214">
        <f>IF($A24="","",IFERROR(SUMPRODUCT((Raw_Data_Daily!$B$2:$B$9999="Control")*(Raw_Data_Daily!$A$2:$A$9999=$A24)*(Raw_Data_Daily!$C$2:$C$9999=$C$3)*Raw_Data_Daily!$D$2:$D$9999*Raw_Data_Daily!$AU$2:$AU$9999)/SUMIFS(Raw_Data_Daily!$D:$D, Raw_Data_Daily!$B:$B, "Control", Raw_Data_Daily!$A:$A, $A24, Raw_Data_Daily!$C:$C, $C$3),""))</f>
        <v>0.1934</v>
      </c>
      <c r="EH24" s="214">
        <f>IF($A24="","",IFERROR(SUMPRODUCT((Raw_Data_Daily!$B$2:$B$9999="Variant")*(Raw_Data_Daily!$A$2:$A$9999=$A24)*(Raw_Data_Daily!$C$2:$C$9999=$C$3)*Raw_Data_Daily!$D$2:$D$9999*Raw_Data_Daily!$AU$2:$AU$9999)/SUMIFS(Raw_Data_Daily!$D:$D, Raw_Data_Daily!$B:$B, "Variant", Raw_Data_Daily!$A:$A, $A24, Raw_Data_Daily!$C:$C, $C$3),""))</f>
        <v>0.1651</v>
      </c>
      <c r="EI24" s="218">
        <f t="shared" si="42"/>
        <v>-0.1463288521</v>
      </c>
    </row>
    <row r="25" ht="15.75" customHeight="1">
      <c r="A25" s="220">
        <v>46248.0</v>
      </c>
      <c r="B25" s="221">
        <f>IF($A25="","",SUMIFS(Raw_Data_Daily!$D:$D, Raw_Data_Daily!$B:$B, "Control", Raw_Data_Daily!$A:$A, $A25, Raw_Data_Daily!$C:$C, $C$3))</f>
        <v>3249</v>
      </c>
      <c r="C25" s="221">
        <f>IF($A25="","",SUMIFS(Raw_Data_Daily!$D:$D, Raw_Data_Daily!$B:$B, "Variant", Raw_Data_Daily!$A:$A, $A25, Raw_Data_Daily!$C:$C, $C$3))</f>
        <v>3060</v>
      </c>
      <c r="D25" s="222">
        <f t="shared" si="1"/>
        <v>-0.05817174515</v>
      </c>
      <c r="E25" s="223">
        <f>IF($A25="","",IFERROR(SUMPRODUCT((Raw_Data_Daily!$B$2:$B$9999="Control")*(Raw_Data_Daily!$A$2:$A$9999=$A25)*(Raw_Data_Daily!$C$2:$C$9999=$C$3)*Raw_Data_Daily!$D$2:$D$9999*Raw_Data_Daily!$E$2:$E$9999)/SUMIFS(Raw_Data_Daily!$D:$D, Raw_Data_Daily!$B:$B, "Control", Raw_Data_Daily!$A:$A, $A25, Raw_Data_Daily!$C:$C, $C$3),""))</f>
        <v>12.13</v>
      </c>
      <c r="F25" s="223">
        <f>IF($A25="","",IFERROR(SUMPRODUCT((Raw_Data_Daily!$B$2:$B$9999="Variant")*(Raw_Data_Daily!$A$2:$A$9999=$A25)*(Raw_Data_Daily!$C$2:$C$9999=$C$3)*Raw_Data_Daily!$D$2:$D$9999*Raw_Data_Daily!$E$2:$E$9999)/SUMIFS(Raw_Data_Daily!$D:$D, Raw_Data_Daily!$B:$B, "Variant", Raw_Data_Daily!$A:$A, $A25, Raw_Data_Daily!$C:$C, $C$3),""))</f>
        <v>11.63</v>
      </c>
      <c r="G25" s="222">
        <f t="shared" si="2"/>
        <v>-0.04122011542</v>
      </c>
      <c r="H25" s="224">
        <f>IF($A25="","",SUMIFS(Raw_Data_Daily!$F:$F, Raw_Data_Daily!$B:$B, "Control", Raw_Data_Daily!$A:$A, $A25, Raw_Data_Daily!$C:$C, $C$3))</f>
        <v>638.3</v>
      </c>
      <c r="I25" s="224">
        <f>IF($A25="","",SUMIFS(Raw_Data_Daily!$F:$F, Raw_Data_Daily!$B:$B, "Variant", Raw_Data_Daily!$A:$A, $A25, Raw_Data_Daily!$C:$C, $C$3))</f>
        <v>589.87</v>
      </c>
      <c r="J25" s="225">
        <f t="shared" si="3"/>
        <v>-0.07587341376</v>
      </c>
      <c r="K25" s="226">
        <f>IF($A25="","",IFERROR(SUMIFS(Raw_Data_Daily!$F:$F, Raw_Data_Daily!$B:$B, "Control", Raw_Data_Daily!$A:$A, $A25, Raw_Data_Daily!$C:$C, $C$3)/SUMIFS(Raw_Data_Daily!$D:$D, Raw_Data_Daily!$B:$B, "Control", Raw_Data_Daily!$A:$A, $A25, Raw_Data_Daily!$C:$C, $C$3),""))</f>
        <v>0.1964604494</v>
      </c>
      <c r="L25" s="226">
        <f>IF($A25="","",IFERROR(SUMIFS(Raw_Data_Daily!$F:$F, Raw_Data_Daily!$B:$B, "Variant", Raw_Data_Daily!$A:$A, $A25, Raw_Data_Daily!$C:$C, $C$3)/SUMIFS(Raw_Data_Daily!$D:$D, Raw_Data_Daily!$B:$B, "Variant", Raw_Data_Daily!$A:$A, $A25, Raw_Data_Daily!$C:$C, $C$3),""))</f>
        <v>0.1927679739</v>
      </c>
      <c r="M25" s="225">
        <f t="shared" si="4"/>
        <v>-0.01879500696</v>
      </c>
      <c r="N25" s="223">
        <f>IF($A25="","",IFERROR(SUMPRODUCT((Raw_Data_Daily!$B$2:$B$9999="Control")*(Raw_Data_Daily!$A$2:$A$9999=$A25)*(Raw_Data_Daily!$C$2:$C$9999=$C$3)*Raw_Data_Daily!$D$2:$D$9999*Raw_Data_Daily!$H$2:$H$9999/100)/SUMIFS(Raw_Data_Daily!$D:$D, Raw_Data_Daily!$B:$B, "Control", Raw_Data_Daily!$A:$A, $A25, Raw_Data_Daily!$C:$C, $C$3)*100,""))</f>
        <v>4.46</v>
      </c>
      <c r="O25" s="223">
        <f>IF($A25="","",IFERROR(SUMPRODUCT((Raw_Data_Daily!$B$2:$B$9999="Variant")*(Raw_Data_Daily!$A$2:$A$9999=$A25)*(Raw_Data_Daily!$C$2:$C$9999=$C$3)*Raw_Data_Daily!$D$2:$D$9999*Raw_Data_Daily!$H$2:$H$9999/100)/SUMIFS(Raw_Data_Daily!$D:$D, Raw_Data_Daily!$B:$B, "Variant", Raw_Data_Daily!$A:$A, $A25, Raw_Data_Daily!$C:$C, $C$3)*100,""))</f>
        <v>4.02</v>
      </c>
      <c r="P25" s="225">
        <f t="shared" si="5"/>
        <v>-0.09865470852</v>
      </c>
      <c r="Q25" s="226">
        <f>IF($A25="","",IFERROR(SUMIFS(Raw_Data_Daily!$F:$F, Raw_Data_Daily!$B:$B, "Control", Raw_Data_Daily!$A:$A, $A25, Raw_Data_Daily!$C:$C, $C$3)/SUMPRODUCT((Raw_Data_Daily!$B$2:$B$9999="Control")*(Raw_Data_Daily!$A$2:$A$9999=$A25)*(Raw_Data_Daily!$C$2:$C$9999=$C$3)*Raw_Data_Daily!$D$2:$D$9999*Raw_Data_Daily!$H$2:$H$9999/100),""))</f>
        <v>4.404942811</v>
      </c>
      <c r="R25" s="226">
        <f>IF($A25="","",IFERROR(SUMIFS(Raw_Data_Daily!$F:$F, Raw_Data_Daily!$B:$B, "Variant", Raw_Data_Daily!$A:$A, $A25, Raw_Data_Daily!$C:$C, $C$3)/SUMPRODUCT((Raw_Data_Daily!$B$2:$B$9999="Variant")*(Raw_Data_Daily!$A$2:$A$9999=$A25)*(Raw_Data_Daily!$C$2:$C$9999=$C$3)*Raw_Data_Daily!$D$2:$D$9999*Raw_Data_Daily!$H$2:$H$9999/100),""))</f>
        <v>4.79522323</v>
      </c>
      <c r="S25" s="225">
        <f t="shared" si="6"/>
        <v>0.08860056442</v>
      </c>
      <c r="T25" s="227">
        <f>IF($A25="","",IFERROR(SUMPRODUCT((Raw_Data_Daily!$B$2:$B$9999="Control")*(Raw_Data_Daily!$A$2:$A$9999=$A25)*(Raw_Data_Daily!$C$2:$C$9999=$C$3)*Raw_Data_Daily!$D$2:$D$9999*Raw_Data_Daily!$J$2:$J$9999)/SUMIFS(Raw_Data_Daily!$D:$D, Raw_Data_Daily!$B:$B, "Control", Raw_Data_Daily!$A:$A, $A25, Raw_Data_Daily!$C:$C, $C$3),""))</f>
        <v>115.96</v>
      </c>
      <c r="U25" s="227">
        <f>IF($A25="","",IFERROR(SUMPRODUCT((Raw_Data_Daily!$B$2:$B$9999="Variant")*(Raw_Data_Daily!$A$2:$A$9999=$A25)*(Raw_Data_Daily!$C$2:$C$9999=$C$3)*Raw_Data_Daily!$D$2:$D$9999*Raw_Data_Daily!$J$2:$J$9999)/SUMIFS(Raw_Data_Daily!$D:$D, Raw_Data_Daily!$B:$B, "Variant", Raw_Data_Daily!$A:$A, $A25, Raw_Data_Daily!$C:$C, $C$3),""))</f>
        <v>114.66</v>
      </c>
      <c r="V25" s="225">
        <f t="shared" si="7"/>
        <v>-0.01121076233</v>
      </c>
      <c r="W25" s="227">
        <f>IF($A25="","",IFERROR(SUMPRODUCT((Raw_Data_Daily!$B$2:$B$9999="Control")*(Raw_Data_Daily!$A$2:$A$9999=$A25)*(Raw_Data_Daily!$C$2:$C$9999=$C$3)*Raw_Data_Daily!$D$2:$D$9999*Raw_Data_Daily!$K$2:$K$9999)/SUMIFS(Raw_Data_Daily!$D:$D, Raw_Data_Daily!$B:$B, "Control", Raw_Data_Daily!$A:$A, $A25, Raw_Data_Daily!$C:$C, $C$3),""))</f>
        <v>71.33</v>
      </c>
      <c r="X25" s="227">
        <f>IF($A25="","",IFERROR(SUMPRODUCT((Raw_Data_Daily!$B$2:$B$9999="Variant")*(Raw_Data_Daily!$A$2:$A$9999=$A25)*(Raw_Data_Daily!$C$2:$C$9999=$C$3)*Raw_Data_Daily!$D$2:$D$9999*Raw_Data_Daily!$K$2:$K$9999)/SUMIFS(Raw_Data_Daily!$D:$D, Raw_Data_Daily!$B:$B, "Variant", Raw_Data_Daily!$A:$A, $A25, Raw_Data_Daily!$C:$C, $C$3),""))</f>
        <v>69.44</v>
      </c>
      <c r="Y25" s="225">
        <f t="shared" si="8"/>
        <v>-0.02649656526</v>
      </c>
      <c r="Z25" s="227">
        <f>IF($A25="","",IFERROR(SUMPRODUCT((Raw_Data_Daily!$B$2:$B$9999="Control")*(Raw_Data_Daily!$A$2:$A$9999=$A25)*(Raw_Data_Daily!$C$2:$C$9999=$C$3)*Raw_Data_Daily!$D$2:$D$9999*Raw_Data_Daily!$L$2:$L$9999)/SUMIFS(Raw_Data_Daily!$D:$D, Raw_Data_Daily!$B:$B, "Control", Raw_Data_Daily!$A:$A, $A25, Raw_Data_Daily!$C:$C, $C$3),""))</f>
        <v>51.75</v>
      </c>
      <c r="AA25" s="227">
        <f>IF($A25="","",IFERROR(SUMPRODUCT((Raw_Data_Daily!$B$2:$B$9999="Variant")*(Raw_Data_Daily!$A$2:$A$9999=$A25)*(Raw_Data_Daily!$C$2:$C$9999=$C$3)*Raw_Data_Daily!$D$2:$D$9999*Raw_Data_Daily!$L$2:$L$9999)/SUMIFS(Raw_Data_Daily!$D:$D, Raw_Data_Daily!$B:$B, "Variant", Raw_Data_Daily!$A:$A, $A25, Raw_Data_Daily!$C:$C, $C$3),""))</f>
        <v>50.71</v>
      </c>
      <c r="AB25" s="225">
        <f t="shared" si="9"/>
        <v>-0.02009661836</v>
      </c>
      <c r="AC25" s="228">
        <f>IF($A25="","",IFERROR(SUMPRODUCT((Raw_Data_Daily!$B$2:$B$9999="Control")*(Raw_Data_Daily!$A$2:$A$9999=$A25)*(Raw_Data_Daily!$C$2:$C$9999=$C$3)*Raw_Data_Daily!$D$2:$D$9999*Raw_Data_Daily!$M$2:$M$9999)/SUMIFS(Raw_Data_Daily!$D:$D, Raw_Data_Daily!$B:$B, "Control", Raw_Data_Daily!$A:$A, $A25, Raw_Data_Daily!$C:$C, $C$3),""))</f>
        <v>0.7254</v>
      </c>
      <c r="AD25" s="228">
        <f>IF($A25="","",IFERROR(SUMPRODUCT((Raw_Data_Daily!$B$2:$B$9999="Variant")*(Raw_Data_Daily!$A$2:$A$9999=$A25)*(Raw_Data_Daily!$C$2:$C$9999=$C$3)*Raw_Data_Daily!$D$2:$D$9999*Raw_Data_Daily!$M$2:$M$9999)/SUMIFS(Raw_Data_Daily!$D:$D, Raw_Data_Daily!$B:$B, "Variant", Raw_Data_Daily!$A:$A, $A25, Raw_Data_Daily!$C:$C, $C$3),""))</f>
        <v>0.7302</v>
      </c>
      <c r="AE25" s="229">
        <f t="shared" si="10"/>
        <v>0.006617038875</v>
      </c>
      <c r="AF25" s="228">
        <f>IF($A25="","",IFERROR(SUMPRODUCT((Raw_Data_Daily!$B$2:$B$9999="Control")*(Raw_Data_Daily!$A$2:$A$9999=$A25)*(Raw_Data_Daily!$C$2:$C$9999=$C$3)*Raw_Data_Daily!$D$2:$D$9999*Raw_Data_Daily!$N$2:$N$9999)/SUMIFS(Raw_Data_Daily!$D:$D, Raw_Data_Daily!$B:$B, "Control", Raw_Data_Daily!$A:$A, $A25, Raw_Data_Daily!$C:$C, $C$3),""))</f>
        <v>0.3885</v>
      </c>
      <c r="AG25" s="228">
        <f>IF($A25="","",IFERROR(SUMPRODUCT((Raw_Data_Daily!$B$2:$B$9999="Variant")*(Raw_Data_Daily!$A$2:$A$9999=$A25)*(Raw_Data_Daily!$C$2:$C$9999=$C$3)*Raw_Data_Daily!$D$2:$D$9999*Raw_Data_Daily!$N$2:$N$9999)/SUMIFS(Raw_Data_Daily!$D:$D, Raw_Data_Daily!$B:$B, "Variant", Raw_Data_Daily!$A:$A, $A25, Raw_Data_Daily!$C:$C, $C$3),""))</f>
        <v>0.3853</v>
      </c>
      <c r="AH25" s="229">
        <f t="shared" si="11"/>
        <v>-0.008236808237</v>
      </c>
      <c r="AI25" s="228">
        <f>IF($A25="","",IFERROR(SUMPRODUCT((Raw_Data_Daily!$B$2:$B$9999="Control")*(Raw_Data_Daily!$A$2:$A$9999=$A25)*(Raw_Data_Daily!$C$2:$C$9999=$C$3)*Raw_Data_Daily!$D$2:$D$9999*Raw_Data_Daily!$O$2:$O$9999)/SUMIFS(Raw_Data_Daily!$D:$D, Raw_Data_Daily!$B:$B, "Control", Raw_Data_Daily!$A:$A, $A25, Raw_Data_Daily!$C:$C, $C$3),""))</f>
        <v>0.2579</v>
      </c>
      <c r="AJ25" s="228">
        <f>IF($A25="","",IFERROR(SUMPRODUCT((Raw_Data_Daily!$B$2:$B$9999="Variant")*(Raw_Data_Daily!$A$2:$A$9999=$A25)*(Raw_Data_Daily!$C$2:$C$9999=$C$3)*Raw_Data_Daily!$D$2:$D$9999*Raw_Data_Daily!$O$2:$O$9999)/SUMIFS(Raw_Data_Daily!$D:$D, Raw_Data_Daily!$B:$B, "Variant", Raw_Data_Daily!$A:$A, $A25, Raw_Data_Daily!$C:$C, $C$3),""))</f>
        <v>0.2609</v>
      </c>
      <c r="AK25" s="225">
        <f t="shared" si="12"/>
        <v>0.01163241566</v>
      </c>
      <c r="AL25" s="227">
        <f>IF($A25="","",IFERROR(SUMPRODUCT((Raw_Data_Daily!$B$2:$B$9999="Control")*(Raw_Data_Daily!$A$2:$A$9999=$A25)*(Raw_Data_Daily!$C$2:$C$9999=$C$3)*Raw_Data_Daily!$D$2:$D$9999*Raw_Data_Daily!$P$2:$P$9999)/SUMIFS(Raw_Data_Daily!$D:$D, Raw_Data_Daily!$B:$B, "Control", Raw_Data_Daily!$A:$A, $A25, Raw_Data_Daily!$C:$C, $C$3),""))</f>
        <v>1.3785</v>
      </c>
      <c r="AM25" s="227">
        <f>IF($A25="","",IFERROR(SUMPRODUCT((Raw_Data_Daily!$B$2:$B$9999="Variant")*(Raw_Data_Daily!$A$2:$A$9999=$A25)*(Raw_Data_Daily!$C$2:$C$9999=$C$3)*Raw_Data_Daily!$D$2:$D$9999*Raw_Data_Daily!$P$2:$P$9999)/SUMIFS(Raw_Data_Daily!$D:$D, Raw_Data_Daily!$B:$B, "Variant", Raw_Data_Daily!$A:$A, $A25, Raw_Data_Daily!$C:$C, $C$3),""))</f>
        <v>1.3695</v>
      </c>
      <c r="AN25" s="225">
        <f t="shared" si="13"/>
        <v>-0.006528835691</v>
      </c>
      <c r="AO25" s="227">
        <f>IF($A25="","",IFERROR(SUMPRODUCT((Raw_Data_Daily!$B$2:$B$9999="Control")*(Raw_Data_Daily!$A$2:$A$9999=$A25)*(Raw_Data_Daily!$C$2:$C$9999=$C$3)*Raw_Data_Daily!$D$2:$D$9999*Raw_Data_Daily!$Q$2:$Q$9999)/SUMIFS(Raw_Data_Daily!$D:$D, Raw_Data_Daily!$B:$B, "Control", Raw_Data_Daily!$A:$A, $A25, Raw_Data_Daily!$C:$C, $C$3),""))</f>
        <v>302.77</v>
      </c>
      <c r="AP25" s="227">
        <f>IF($A25="","",IFERROR(SUMPRODUCT((Raw_Data_Daily!$B$2:$B$9999="Variant")*(Raw_Data_Daily!$A$2:$A$9999=$A25)*(Raw_Data_Daily!$C$2:$C$9999=$C$3)*Raw_Data_Daily!$D$2:$D$9999*Raw_Data_Daily!$Q$2:$Q$9999)/SUMIFS(Raw_Data_Daily!$D:$D, Raw_Data_Daily!$B:$B, "Variant", Raw_Data_Daily!$A:$A, $A25, Raw_Data_Daily!$C:$C, $C$3),""))</f>
        <v>327.69</v>
      </c>
      <c r="AQ25" s="222">
        <f t="shared" si="14"/>
        <v>0.08230670146</v>
      </c>
      <c r="AR25" s="227">
        <f>IF($A25="","",IFERROR(SUMPRODUCT((Raw_Data_Daily!$B$2:$B$9999="Control")*(Raw_Data_Daily!$A$2:$A$9999=$A25)*(Raw_Data_Daily!$C$2:$C$9999=$C$3)*Raw_Data_Daily!$D$2:$D$9999*Raw_Data_Daily!$R$2:$R$9999)/SUMIFS(Raw_Data_Daily!$D:$D, Raw_Data_Daily!$B:$B, "Control", Raw_Data_Daily!$A:$A, $A25, Raw_Data_Daily!$C:$C, $C$3),""))</f>
        <v>254.23</v>
      </c>
      <c r="AS25" s="227">
        <f>IF($A25="","",IFERROR(SUMPRODUCT((Raw_Data_Daily!$B$2:$B$9999="Variant")*(Raw_Data_Daily!$A$2:$A$9999=$A25)*(Raw_Data_Daily!$C$2:$C$9999=$C$3)*Raw_Data_Daily!$D$2:$D$9999*Raw_Data_Daily!$R$2:$R$9999)/SUMIFS(Raw_Data_Daily!$D:$D, Raw_Data_Daily!$B:$B, "Variant", Raw_Data_Daily!$A:$A, $A25, Raw_Data_Daily!$C:$C, $C$3),""))</f>
        <v>296.92</v>
      </c>
      <c r="AT25" s="222">
        <f t="shared" si="15"/>
        <v>0.1679188137</v>
      </c>
      <c r="AU25" s="227">
        <f>IF($A25="","",IFERROR(SUMPRODUCT((Raw_Data_Daily!$B$2:$B$9999="Control")*(Raw_Data_Daily!$A$2:$A$9999=$A25)*(Raw_Data_Daily!$C$2:$C$9999=$C$3)*Raw_Data_Daily!$D$2:$D$9999*Raw_Data_Daily!$S$2:$S$9999)/SUMIFS(Raw_Data_Daily!$D:$D, Raw_Data_Daily!$B:$B, "Control", Raw_Data_Daily!$A:$A, $A25, Raw_Data_Daily!$C:$C, $C$3),""))</f>
        <v>48.55</v>
      </c>
      <c r="AV25" s="227">
        <f>IF($A25="","",IFERROR(SUMPRODUCT((Raw_Data_Daily!$B$2:$B$9999="Variant")*(Raw_Data_Daily!$A$2:$A$9999=$A25)*(Raw_Data_Daily!$C$2:$C$9999=$C$3)*Raw_Data_Daily!$D$2:$D$9999*Raw_Data_Daily!$S$2:$S$9999)/SUMIFS(Raw_Data_Daily!$D:$D, Raw_Data_Daily!$B:$B, "Variant", Raw_Data_Daily!$A:$A, $A25, Raw_Data_Daily!$C:$C, $C$3),""))</f>
        <v>30.77</v>
      </c>
      <c r="AW25" s="222">
        <f t="shared" si="16"/>
        <v>-0.3662203913</v>
      </c>
      <c r="AX25" s="227">
        <f>IF($A25="","",IFERROR(SUMPRODUCT((Raw_Data_Daily!$B$2:$B$9999="Control")*(Raw_Data_Daily!$A$2:$A$9999=$A25)*(Raw_Data_Daily!$C$2:$C$9999=$C$3)*Raw_Data_Daily!$D$2:$D$9999*Raw_Data_Daily!$T$2:$T$9999)/SUMIFS(Raw_Data_Daily!$D:$D, Raw_Data_Daily!$B:$B, "Control", Raw_Data_Daily!$A:$A, $A25, Raw_Data_Daily!$C:$C, $C$3),""))</f>
        <v>20.01</v>
      </c>
      <c r="AY25" s="227">
        <f>IF($A25="","",IFERROR(SUMPRODUCT((Raw_Data_Daily!$B$2:$B$9999="Variant")*(Raw_Data_Daily!$A$2:$A$9999=$A25)*(Raw_Data_Daily!$C$2:$C$9999=$C$3)*Raw_Data_Daily!$D$2:$D$9999*Raw_Data_Daily!$T$2:$T$9999)/SUMIFS(Raw_Data_Daily!$D:$D, Raw_Data_Daily!$B:$B, "Variant", Raw_Data_Daily!$A:$A, $A25, Raw_Data_Daily!$C:$C, $C$3),""))</f>
        <v>20.83</v>
      </c>
      <c r="AZ25" s="225">
        <f t="shared" si="17"/>
        <v>0.04097951024</v>
      </c>
      <c r="BA25" s="227">
        <f>IF($A25="","",IFERROR(SUMPRODUCT((Raw_Data_Daily!$B$2:$B$9999="Control")*(Raw_Data_Daily!$A$2:$A$9999=$A25)*(Raw_Data_Daily!$C$2:$C$9999=$C$3)*Raw_Data_Daily!$D$2:$D$9999*Raw_Data_Daily!$U$2:$U$9999)/SUMIFS(Raw_Data_Daily!$D:$D, Raw_Data_Daily!$B:$B, "Control", Raw_Data_Daily!$A:$A, $A25, Raw_Data_Daily!$C:$C, $C$3),""))</f>
        <v>282.77</v>
      </c>
      <c r="BB25" s="227">
        <f>IF($A25="","",IFERROR(SUMPRODUCT((Raw_Data_Daily!$B$2:$B$9999="Variant")*(Raw_Data_Daily!$A$2:$A$9999=$A25)*(Raw_Data_Daily!$C$2:$C$9999=$C$3)*Raw_Data_Daily!$D$2:$D$9999*Raw_Data_Daily!$U$2:$U$9999)/SUMIFS(Raw_Data_Daily!$D:$D, Raw_Data_Daily!$B:$B, "Variant", Raw_Data_Daily!$A:$A, $A25, Raw_Data_Daily!$C:$C, $C$3),""))</f>
        <v>306.86</v>
      </c>
      <c r="BC25" s="222">
        <f t="shared" si="18"/>
        <v>0.08519291297</v>
      </c>
      <c r="BD25" s="227">
        <f>IF($A25="","",IFERROR(SUMPRODUCT((Raw_Data_Daily!$B$2:$B$9999="Control")*(Raw_Data_Daily!$A$2:$A$9999=$A25)*(Raw_Data_Daily!$C$2:$C$9999=$C$3)*Raw_Data_Daily!$D$2:$D$9999*Raw_Data_Daily!$V$2:$V$9999)/SUMIFS(Raw_Data_Daily!$D:$D, Raw_Data_Daily!$B:$B, "Control", Raw_Data_Daily!$A:$A, $A25, Raw_Data_Daily!$C:$C, $C$3),""))</f>
        <v>319.08</v>
      </c>
      <c r="BE25" s="227">
        <f>IF($A25="","",IFERROR(SUMPRODUCT((Raw_Data_Daily!$B$2:$B$9999="Variant")*(Raw_Data_Daily!$A$2:$A$9999=$A25)*(Raw_Data_Daily!$C$2:$C$9999=$C$3)*Raw_Data_Daily!$D$2:$D$9999*Raw_Data_Daily!$V$2:$V$9999)/SUMIFS(Raw_Data_Daily!$D:$D, Raw_Data_Daily!$B:$B, "Variant", Raw_Data_Daily!$A:$A, $A25, Raw_Data_Daily!$C:$C, $C$3),""))</f>
        <v>299.07</v>
      </c>
      <c r="BF25" s="222">
        <f t="shared" si="19"/>
        <v>-0.06271154569</v>
      </c>
      <c r="BG25" s="227">
        <f>IF($A25="","",IFERROR(SUMPRODUCT((Raw_Data_Daily!$B$2:$B$9999="Control")*(Raw_Data_Daily!$A$2:$A$9999=$A25)*(Raw_Data_Daily!$C$2:$C$9999=$C$3)*Raw_Data_Daily!$D$2:$D$9999*(Raw_Data_Daily!$Q$2:$Q$9999-Raw_Data_Daily!$V$2:$V$9999))/SUMIFS(Raw_Data_Daily!$D:$D, Raw_Data_Daily!$B:$B, "Control", Raw_Data_Daily!$A:$A, $A25, Raw_Data_Daily!$C:$C, $C$3),""))</f>
        <v>-16.31</v>
      </c>
      <c r="BH25" s="227">
        <f>IF($A25="","",IFERROR(SUMPRODUCT((Raw_Data_Daily!$B$2:$B$9999="Variant")*(Raw_Data_Daily!$A$2:$A$9999=$A25)*(Raw_Data_Daily!$C$2:$C$9999=$C$3)*Raw_Data_Daily!$D$2:$D$9999*(Raw_Data_Daily!$Q$2:$Q$9999-Raw_Data_Daily!$V$2:$V$9999))/SUMIFS(Raw_Data_Daily!$D:$D, Raw_Data_Daily!$B:$B, "Variant", Raw_Data_Daily!$A:$A, $A25, Raw_Data_Daily!$C:$C, $C$3),""))</f>
        <v>28.62</v>
      </c>
      <c r="BI25" s="222">
        <f t="shared" si="20"/>
        <v>2.754751686</v>
      </c>
      <c r="BJ25" s="227">
        <f>IF($A25="","",IFERROR(SUMPRODUCT((Raw_Data_Daily!$B$2:$B$9999="Control")*(Raw_Data_Daily!$A$2:$A$9999=$A25)*(Raw_Data_Daily!$C$2:$C$9999=$C$3)*Raw_Data_Daily!$D$2:$D$9999*Raw_Data_Daily!$W$2:$W$9999)/SUMIFS(Raw_Data_Daily!$D:$D, Raw_Data_Daily!$B:$B, "Control", Raw_Data_Daily!$A:$A, $A25, Raw_Data_Daily!$C:$C, $C$3),""))</f>
        <v>4.4732</v>
      </c>
      <c r="BK25" s="227">
        <f>IF($A25="","",IFERROR(SUMPRODUCT((Raw_Data_Daily!$B$2:$B$9999="Variant")*(Raw_Data_Daily!$A$2:$A$9999=$A25)*(Raw_Data_Daily!$C$2:$C$9999=$C$3)*Raw_Data_Daily!$D$2:$D$9999*Raw_Data_Daily!$W$2:$W$9999)/SUMIFS(Raw_Data_Daily!$D:$D, Raw_Data_Daily!$B:$B, "Variant", Raw_Data_Daily!$A:$A, $A25, Raw_Data_Daily!$C:$C, $C$3),""))</f>
        <v>4.3067</v>
      </c>
      <c r="BL25" s="222">
        <f t="shared" si="21"/>
        <v>-0.03722167576</v>
      </c>
      <c r="BM25" s="228">
        <f>IF($A25="","",IFERROR(SUMPRODUCT((Raw_Data_Daily!$B$2:$B$9999="Control")*(Raw_Data_Daily!$A$2:$A$9999=$A25)*(Raw_Data_Daily!$C$2:$C$9999=$C$3)*Raw_Data_Daily!$D$2:$D$9999*Raw_Data_Daily!$X$2:$X$9999)/SUMIFS(Raw_Data_Daily!$D:$D, Raw_Data_Daily!$B:$B, "Control", Raw_Data_Daily!$A:$A, $A25, Raw_Data_Daily!$C:$C, $C$3),""))</f>
        <v>6.61</v>
      </c>
      <c r="BN25" s="228">
        <f>IF($A25="","",IFERROR(SUMPRODUCT((Raw_Data_Daily!$B$2:$B$9999="Variant")*(Raw_Data_Daily!$A$2:$A$9999=$A25)*(Raw_Data_Daily!$C$2:$C$9999=$C$3)*Raw_Data_Daily!$D$2:$D$9999*Raw_Data_Daily!$X$2:$X$9999)/SUMIFS(Raw_Data_Daily!$D:$D, Raw_Data_Daily!$B:$B, "Variant", Raw_Data_Daily!$A:$A, $A25, Raw_Data_Daily!$C:$C, $C$3),""))</f>
        <v>6.36</v>
      </c>
      <c r="BO25" s="225">
        <f t="shared" si="22"/>
        <v>-0.0378214826</v>
      </c>
      <c r="BP25" s="221">
        <f>IF($A25="","",IFERROR(SUMPRODUCT((Raw_Data_Daily!$B$2:$B$9999="Control")*(Raw_Data_Daily!$A$2:$A$9999=$A25)*(Raw_Data_Daily!$C$2:$C$9999=$C$3)*Raw_Data_Daily!$D$2:$D$9999*Raw_Data_Daily!$Y$2:$Y$9999)/SUMIFS(Raw_Data_Daily!$D:$D, Raw_Data_Daily!$B:$B, "Control", Raw_Data_Daily!$A:$A, $A25, Raw_Data_Daily!$C:$C, $C$3),""))</f>
        <v>328</v>
      </c>
      <c r="BQ25" s="221">
        <f>IF($A25="","",IFERROR(SUMPRODUCT((Raw_Data_Daily!$B$2:$B$9999="Variant")*(Raw_Data_Daily!$A$2:$A$9999=$A25)*(Raw_Data_Daily!$C$2:$C$9999=$C$3)*Raw_Data_Daily!$D$2:$D$9999*Raw_Data_Daily!$Y$2:$Y$9999)/SUMIFS(Raw_Data_Daily!$D:$D, Raw_Data_Daily!$B:$B, "Variant", Raw_Data_Daily!$A:$A, $A25, Raw_Data_Daily!$C:$C, $C$3),""))</f>
        <v>328</v>
      </c>
      <c r="BR25" s="222">
        <f t="shared" si="23"/>
        <v>0</v>
      </c>
      <c r="BS25" s="221">
        <f>IF($A25="","",IFERROR(SUMPRODUCT((Raw_Data_Daily!$B$2:$B$9999="Control")*(Raw_Data_Daily!$A$2:$A$9999=$A25)*(Raw_Data_Daily!$C$2:$C$9999=$C$3)*Raw_Data_Daily!$D$2:$D$9999*Raw_Data_Daily!$Z$2:$Z$9999)/SUMIFS(Raw_Data_Daily!$D:$D, Raw_Data_Daily!$B:$B, "Control", Raw_Data_Daily!$A:$A, $A25, Raw_Data_Daily!$C:$C, $C$3),""))</f>
        <v>664</v>
      </c>
      <c r="BT25" s="221">
        <f>IF($A25="","",IFERROR(SUMPRODUCT((Raw_Data_Daily!$B$2:$B$9999="Variant")*(Raw_Data_Daily!$A$2:$A$9999=$A25)*(Raw_Data_Daily!$C$2:$C$9999=$C$3)*Raw_Data_Daily!$D$2:$D$9999*Raw_Data_Daily!$Z$2:$Z$9999)/SUMIFS(Raw_Data_Daily!$D:$D, Raw_Data_Daily!$B:$B, "Variant", Raw_Data_Daily!$A:$A, $A25, Raw_Data_Daily!$C:$C, $C$3),""))</f>
        <v>574</v>
      </c>
      <c r="BU25" s="222">
        <f t="shared" si="24"/>
        <v>-0.1355421687</v>
      </c>
      <c r="BV25" s="221">
        <f>IF($A25="","",IFERROR(SUMPRODUCT((Raw_Data_Daily!$B$2:$B$9999="Control")*(Raw_Data_Daily!$A$2:$A$9999=$A25)*(Raw_Data_Daily!$C$2:$C$9999=$C$3)*Raw_Data_Daily!$D$2:$D$9999*Raw_Data_Daily!$AA$2:$AA$9999)/SUMIFS(Raw_Data_Daily!$D:$D, Raw_Data_Daily!$B:$B, "Control", Raw_Data_Daily!$A:$A, $A25, Raw_Data_Daily!$C:$C, $C$3),""))</f>
        <v>1434</v>
      </c>
      <c r="BW25" s="221">
        <f>IF($A25="","",IFERROR(SUMPRODUCT((Raw_Data_Daily!$B$2:$B$9999="Variant")*(Raw_Data_Daily!$A$2:$A$9999=$A25)*(Raw_Data_Daily!$C$2:$C$9999=$C$3)*Raw_Data_Daily!$D$2:$D$9999*Raw_Data_Daily!$AA$2:$AA$9999)/SUMIFS(Raw_Data_Daily!$D:$D, Raw_Data_Daily!$B:$B, "Variant", Raw_Data_Daily!$A:$A, $A25, Raw_Data_Daily!$C:$C, $C$3),""))</f>
        <v>1238</v>
      </c>
      <c r="BX25" s="222">
        <f t="shared" si="25"/>
        <v>-0.1366806137</v>
      </c>
      <c r="BY25" s="227">
        <f>IF($A25="","",IFERROR(SUMPRODUCT((Raw_Data_Daily!$B$2:$B$9999="Control")*(Raw_Data_Daily!$A$2:$A$9999=$A25)*(Raw_Data_Daily!$C$2:$C$9999=$C$3)*Raw_Data_Daily!$D$2:$D$9999*Raw_Data_Daily!$AB$2:$AB$9999)/SUMIFS(Raw_Data_Daily!$D:$D, Raw_Data_Daily!$B:$B, "Control", Raw_Data_Daily!$A:$A, $A25, Raw_Data_Daily!$C:$C, $C$3),""))</f>
        <v>55.1847</v>
      </c>
      <c r="BZ25" s="227">
        <f>IF($A25="","",IFERROR(SUMPRODUCT((Raw_Data_Daily!$B$2:$B$9999="Variant")*(Raw_Data_Daily!$A$2:$A$9999=$A25)*(Raw_Data_Daily!$C$2:$C$9999=$C$3)*Raw_Data_Daily!$D$2:$D$9999*Raw_Data_Daily!$AB$2:$AB$9999)/SUMIFS(Raw_Data_Daily!$D:$D, Raw_Data_Daily!$B:$B, "Variant", Raw_Data_Daily!$A:$A, $A25, Raw_Data_Daily!$C:$C, $C$3),""))</f>
        <v>54.7363</v>
      </c>
      <c r="CA25" s="225">
        <f t="shared" si="26"/>
        <v>-0.008125440566</v>
      </c>
      <c r="CB25" s="227">
        <f>IF($A25="","",IFERROR(SUMPRODUCT((Raw_Data_Daily!$B$2:$B$9999="Control")*(Raw_Data_Daily!$A$2:$A$9999=$A25)*(Raw_Data_Daily!$C$2:$C$9999=$C$3)*Raw_Data_Daily!$D$2:$D$9999*Raw_Data_Daily!$AC$2:$AC$9999)/SUMIFS(Raw_Data_Daily!$D:$D, Raw_Data_Daily!$B:$B, "Control", Raw_Data_Daily!$A:$A, $A25, Raw_Data_Daily!$C:$C, $C$3),""))</f>
        <v>0.7712</v>
      </c>
      <c r="CC25" s="227">
        <f>IF($A25="","",IFERROR(SUMPRODUCT((Raw_Data_Daily!$B$2:$B$9999="Variant")*(Raw_Data_Daily!$A$2:$A$9999=$A25)*(Raw_Data_Daily!$C$2:$C$9999=$C$3)*Raw_Data_Daily!$D$2:$D$9999*Raw_Data_Daily!$AC$2:$AC$9999)/SUMIFS(Raw_Data_Daily!$D:$D, Raw_Data_Daily!$B:$B, "Variant", Raw_Data_Daily!$A:$A, $A25, Raw_Data_Daily!$C:$C, $C$3),""))</f>
        <v>0.75</v>
      </c>
      <c r="CD25" s="225">
        <f t="shared" si="27"/>
        <v>-0.02748962656</v>
      </c>
      <c r="CE25" s="227">
        <f>IF($A25="","",IFERROR(SUMPRODUCT((Raw_Data_Daily!$B$2:$B$9999="Control")*(Raw_Data_Daily!$A$2:$A$9999=$A25)*(Raw_Data_Daily!$C$2:$C$9999=$C$3)*Raw_Data_Daily!$D$2:$D$9999*Raw_Data_Daily!$AD$2:$AD$9999)/SUMIFS(Raw_Data_Daily!$D:$D, Raw_Data_Daily!$B:$B, "Control", Raw_Data_Daily!$A:$A, $A25, Raw_Data_Daily!$C:$C, $C$3),""))</f>
        <v>28.51</v>
      </c>
      <c r="CF25" s="227">
        <f>IF($A25="","",IFERROR(SUMPRODUCT((Raw_Data_Daily!$B$2:$B$9999="Variant")*(Raw_Data_Daily!$A$2:$A$9999=$A25)*(Raw_Data_Daily!$C$2:$C$9999=$C$3)*Raw_Data_Daily!$D$2:$D$9999*Raw_Data_Daily!$AD$2:$AD$9999)/SUMIFS(Raw_Data_Daily!$D:$D, Raw_Data_Daily!$B:$B, "Variant", Raw_Data_Daily!$A:$A, $A25, Raw_Data_Daily!$C:$C, $C$3),""))</f>
        <v>26.74</v>
      </c>
      <c r="CG25" s="225">
        <f t="shared" si="28"/>
        <v>-0.06208347948</v>
      </c>
      <c r="CH25" s="227">
        <f>IF($A25="","",IFERROR(SUMPRODUCT((Raw_Data_Daily!$B$2:$B$9999="Control")*(Raw_Data_Daily!$A$2:$A$9999=$A25)*(Raw_Data_Daily!$C$2:$C$9999=$C$3)*Raw_Data_Daily!$D$2:$D$9999*Raw_Data_Daily!$AE$2:$AE$9999)/SUMIFS(Raw_Data_Daily!$D:$D, Raw_Data_Daily!$B:$B, "Control", Raw_Data_Daily!$A:$A, $A25, Raw_Data_Daily!$C:$C, $C$3),""))</f>
        <v>11</v>
      </c>
      <c r="CI25" s="227">
        <f>IF($A25="","",IFERROR(SUMPRODUCT((Raw_Data_Daily!$B$2:$B$9999="Variant")*(Raw_Data_Daily!$A$2:$A$9999=$A25)*(Raw_Data_Daily!$C$2:$C$9999=$C$3)*Raw_Data_Daily!$D$2:$D$9999*Raw_Data_Daily!$AE$2:$AE$9999)/SUMIFS(Raw_Data_Daily!$D:$D, Raw_Data_Daily!$B:$B, "Variant", Raw_Data_Daily!$A:$A, $A25, Raw_Data_Daily!$C:$C, $C$3),""))</f>
        <v>10</v>
      </c>
      <c r="CJ25" s="225">
        <f t="shared" si="29"/>
        <v>-0.09090909091</v>
      </c>
      <c r="CK25" s="227">
        <f>IF($A25="","",IFERROR(SUMPRODUCT((Raw_Data_Daily!$B$2:$B$9999="Control")*(Raw_Data_Daily!$A$2:$A$9999=$A25)*(Raw_Data_Daily!$C$2:$C$9999=$C$3)*Raw_Data_Daily!$D$2:$D$9999*Raw_Data_Daily!$AF$2:$AF$9999)/SUMIFS(Raw_Data_Daily!$D:$D, Raw_Data_Daily!$B:$B, "Control", Raw_Data_Daily!$A:$A, $A25, Raw_Data_Daily!$C:$C, $C$3),""))</f>
        <v>20</v>
      </c>
      <c r="CL25" s="227">
        <f>IF($A25="","",IFERROR(SUMPRODUCT((Raw_Data_Daily!$B$2:$B$9999="Variant")*(Raw_Data_Daily!$A$2:$A$9999=$A25)*(Raw_Data_Daily!$C$2:$C$9999=$C$3)*Raw_Data_Daily!$D$2:$D$9999*Raw_Data_Daily!$AF$2:$AF$9999)/SUMIFS(Raw_Data_Daily!$D:$D, Raw_Data_Daily!$B:$B, "Variant", Raw_Data_Daily!$A:$A, $A25, Raw_Data_Daily!$C:$C, $C$3),""))</f>
        <v>19</v>
      </c>
      <c r="CM25" s="225">
        <f t="shared" si="30"/>
        <v>-0.05</v>
      </c>
      <c r="CN25" s="227">
        <f>IF($A25="","",IFERROR(SUMPRODUCT((Raw_Data_Daily!$B$2:$B$9999="Control")*(Raw_Data_Daily!$A$2:$A$9999=$A25)*(Raw_Data_Daily!$C$2:$C$9999=$C$3)*Raw_Data_Daily!$D$2:$D$9999*Raw_Data_Daily!$AG$2:$AG$9999)/SUMIFS(Raw_Data_Daily!$D:$D, Raw_Data_Daily!$B:$B, "Control", Raw_Data_Daily!$A:$A, $A25, Raw_Data_Daily!$C:$C, $C$3),""))</f>
        <v>38</v>
      </c>
      <c r="CO25" s="227">
        <f>IF($A25="","",IFERROR(SUMPRODUCT((Raw_Data_Daily!$B$2:$B$9999="Variant")*(Raw_Data_Daily!$A$2:$A$9999=$A25)*(Raw_Data_Daily!$C$2:$C$9999=$C$3)*Raw_Data_Daily!$D$2:$D$9999*Raw_Data_Daily!$AG$2:$AG$9999)/SUMIFS(Raw_Data_Daily!$D:$D, Raw_Data_Daily!$B:$B, "Variant", Raw_Data_Daily!$A:$A, $A25, Raw_Data_Daily!$C:$C, $C$3),""))</f>
        <v>36</v>
      </c>
      <c r="CP25" s="225">
        <f t="shared" si="31"/>
        <v>-0.05263157895</v>
      </c>
      <c r="CQ25" s="227">
        <f>IF($A25="","",IFERROR(SUMPRODUCT((Raw_Data_Daily!$B$2:$B$9999="Control")*(Raw_Data_Daily!$A$2:$A$9999=$A25)*(Raw_Data_Daily!$C$2:$C$9999=$C$3)*Raw_Data_Daily!$D$2:$D$9999*Raw_Data_Daily!$AH$2:$AH$9999)/SUMIFS(Raw_Data_Daily!$D:$D, Raw_Data_Daily!$B:$B, "Control", Raw_Data_Daily!$A:$A, $A25, Raw_Data_Daily!$C:$C, $C$3),""))</f>
        <v>62</v>
      </c>
      <c r="CR25" s="227">
        <f>IF($A25="","",IFERROR(SUMPRODUCT((Raw_Data_Daily!$B$2:$B$9999="Variant")*(Raw_Data_Daily!$A$2:$A$9999=$A25)*(Raw_Data_Daily!$C$2:$C$9999=$C$3)*Raw_Data_Daily!$D$2:$D$9999*Raw_Data_Daily!$AH$2:$AH$9999)/SUMIFS(Raw_Data_Daily!$D:$D, Raw_Data_Daily!$B:$B, "Variant", Raw_Data_Daily!$A:$A, $A25, Raw_Data_Daily!$C:$C, $C$3),""))</f>
        <v>58</v>
      </c>
      <c r="CS25" s="225">
        <f t="shared" si="32"/>
        <v>-0.06451612903</v>
      </c>
      <c r="CT25" s="223">
        <f>IF($A25="","",IFERROR(SUMPRODUCT((Raw_Data_Daily!$B$2:$B$9999="Control")*(Raw_Data_Daily!$A$2:$A$9999=$A25)*(Raw_Data_Daily!$C$2:$C$9999=$C$3)*Raw_Data_Daily!$D$2:$D$9999*Raw_Data_Daily!$AI$2:$AI$9999)/SUMIFS(Raw_Data_Daily!$D:$D, Raw_Data_Daily!$B:$B, "Control", Raw_Data_Daily!$A:$A, $A25, Raw_Data_Daily!$C:$C, $C$3),""))</f>
        <v>35.73</v>
      </c>
      <c r="CU25" s="223">
        <f>IF($A25="","",IFERROR(SUMPRODUCT((Raw_Data_Daily!$B$2:$B$9999="Variant")*(Raw_Data_Daily!$A$2:$A$9999=$A25)*(Raw_Data_Daily!$C$2:$C$9999=$C$3)*Raw_Data_Daily!$D$2:$D$9999*Raw_Data_Daily!$AI$2:$AI$9999)/SUMIFS(Raw_Data_Daily!$D:$D, Raw_Data_Daily!$B:$B, "Variant", Raw_Data_Daily!$A:$A, $A25, Raw_Data_Daily!$C:$C, $C$3),""))</f>
        <v>34.64</v>
      </c>
      <c r="CV25" s="229">
        <f t="shared" si="33"/>
        <v>-0.03050657711</v>
      </c>
      <c r="CW25" s="223">
        <f>IF($A25="","",IFERROR(SUMPRODUCT((Raw_Data_Daily!$B$2:$B$9999="Control")*(Raw_Data_Daily!$A$2:$A$9999=$A25)*(Raw_Data_Daily!$C$2:$C$9999=$C$3)*Raw_Data_Daily!$D$2:$D$9999*Raw_Data_Daily!$AJ$2:$AJ$9999)/SUMIFS(Raw_Data_Daily!$D:$D, Raw_Data_Daily!$B:$B, "Control", Raw_Data_Daily!$A:$A, $A25, Raw_Data_Daily!$C:$C, $C$3),""))</f>
        <v>10.68</v>
      </c>
      <c r="CX25" s="223">
        <f>IF($A25="","",IFERROR(SUMPRODUCT((Raw_Data_Daily!$B$2:$B$9999="Variant")*(Raw_Data_Daily!$A$2:$A$9999=$A25)*(Raw_Data_Daily!$C$2:$C$9999=$C$3)*Raw_Data_Daily!$D$2:$D$9999*Raw_Data_Daily!$AJ$2:$AJ$9999)/SUMIFS(Raw_Data_Daily!$D:$D, Raw_Data_Daily!$B:$B, "Variant", Raw_Data_Daily!$A:$A, $A25, Raw_Data_Daily!$C:$C, $C$3),""))</f>
        <v>9.28</v>
      </c>
      <c r="CY25" s="229">
        <f t="shared" si="34"/>
        <v>-0.1310861423</v>
      </c>
      <c r="CZ25" s="223">
        <f>IF($A25="","",IFERROR(SUMPRODUCT((Raw_Data_Daily!$B$2:$B$9999="Control")*(Raw_Data_Daily!$A$2:$A$9999=$A25)*(Raw_Data_Daily!$C$2:$C$9999=$C$3)*Raw_Data_Daily!$D$2:$D$9999*Raw_Data_Daily!$AK$2:$AK$9999)/SUMIFS(Raw_Data_Daily!$D:$D, Raw_Data_Daily!$B:$B, "Control", Raw_Data_Daily!$A:$A, $A25, Raw_Data_Daily!$C:$C, $C$3),""))</f>
        <v>3.08</v>
      </c>
      <c r="DA25" s="223">
        <f>IF($A25="","",IFERROR(SUMPRODUCT((Raw_Data_Daily!$B$2:$B$9999="Variant")*(Raw_Data_Daily!$A$2:$A$9999=$A25)*(Raw_Data_Daily!$C$2:$C$9999=$C$3)*Raw_Data_Daily!$D$2:$D$9999*Raw_Data_Daily!$AK$2:$AK$9999)/SUMIFS(Raw_Data_Daily!$D:$D, Raw_Data_Daily!$B:$B, "Variant", Raw_Data_Daily!$A:$A, $A25, Raw_Data_Daily!$C:$C, $C$3),""))</f>
        <v>2.45</v>
      </c>
      <c r="DB25" s="225">
        <f t="shared" si="35"/>
        <v>-0.2045454545</v>
      </c>
      <c r="DC25" s="228">
        <f>IF($A25="","",IFERROR(SUMPRODUCT((Raw_Data_Daily!$B$2:$B$9999="Control")*(Raw_Data_Daily!$A$2:$A$9999=$A25)*(Raw_Data_Daily!$C$2:$C$9999=$C$3)*Raw_Data_Daily!$D$2:$D$9999*Raw_Data_Daily!$AL$2:$AL$9999)/SUMIFS(Raw_Data_Daily!$D:$D, Raw_Data_Daily!$B:$B, "Control", Raw_Data_Daily!$A:$A, $A25, Raw_Data_Daily!$C:$C, $C$3),""))</f>
        <v>0.2022</v>
      </c>
      <c r="DD25" s="228">
        <f>IF($A25="","",IFERROR(SUMPRODUCT((Raw_Data_Daily!$B$2:$B$9999="Variant")*(Raw_Data_Daily!$A$2:$A$9999=$A25)*(Raw_Data_Daily!$C$2:$C$9999=$C$3)*Raw_Data_Daily!$D$2:$D$9999*Raw_Data_Daily!$AL$2:$AL$9999)/SUMIFS(Raw_Data_Daily!$D:$D, Raw_Data_Daily!$B:$B, "Variant", Raw_Data_Daily!$A:$A, $A25, Raw_Data_Daily!$C:$C, $C$3),""))</f>
        <v>0.1892</v>
      </c>
      <c r="DE25" s="229">
        <f t="shared" si="36"/>
        <v>-0.06429277943</v>
      </c>
      <c r="DF25" s="230"/>
      <c r="DG25" s="223">
        <f>IF($A25="","",IFERROR(SUMPRODUCT((Raw_Data_Daily!$B$2:$B$9999="Variant")*(Raw_Data_Daily!$A$2:$A$9999=$A25)*(Raw_Data_Daily!$C$2:$C$9999=$C$3)*Raw_Data_Daily!$D$2:$D$9999*Raw_Data_Daily!$AM$2:$AM$9999)/SUMIFS(Raw_Data_Daily!$D:$D, Raw_Data_Daily!$B:$B, "Variant", Raw_Data_Daily!$A:$A, $A25, Raw_Data_Daily!$C:$C, $C$3),""))</f>
        <v>45.23</v>
      </c>
      <c r="DH25" s="231"/>
      <c r="DI25" s="230"/>
      <c r="DJ25" s="223">
        <f>IF($A25="","",IFERROR(SUMPRODUCT((Raw_Data_Daily!$B$2:$B$9999="Variant")*(Raw_Data_Daily!$A$2:$A$9999=$A25)*(Raw_Data_Daily!$C$2:$C$9999=$C$3)*Raw_Data_Daily!$D$2:$D$9999*Raw_Data_Daily!$AN$2:$AN$9999)/SUMIFS(Raw_Data_Daily!$D:$D, Raw_Data_Daily!$B:$B, "Variant", Raw_Data_Daily!$A:$A, $A25, Raw_Data_Daily!$C:$C, $C$3),""))</f>
        <v>45.23</v>
      </c>
      <c r="DK25" s="231"/>
      <c r="DL25" s="230"/>
      <c r="DM25" s="223">
        <f>IF($A25="","",IFERROR(SUMPRODUCT((Raw_Data_Daily!$B$2:$B$9999="Variant")*(Raw_Data_Daily!$A$2:$A$9999=$A25)*(Raw_Data_Daily!$C$2:$C$9999=$C$3)*Raw_Data_Daily!$D$2:$D$9999*Raw_Data_Daily!$AO$2:$AO$9999)/SUMIFS(Raw_Data_Daily!$D:$D, Raw_Data_Daily!$B:$B, "Variant", Raw_Data_Daily!$A:$A, $A25, Raw_Data_Daily!$C:$C, $C$3),""))</f>
        <v>29.58</v>
      </c>
      <c r="DN25" s="231"/>
      <c r="DO25" s="230"/>
      <c r="DP25" s="223">
        <f>IF($A25="","",IFERROR(SUMPRODUCT((Raw_Data_Daily!$B$2:$B$9999="Variant")*(Raw_Data_Daily!$A$2:$A$9999=$A25)*(Raw_Data_Daily!$C$2:$C$9999=$C$3)*Raw_Data_Daily!$D$2:$D$9999*Raw_Data_Daily!$AP$2:$AP$9999)/SUMIFS(Raw_Data_Daily!$D:$D, Raw_Data_Daily!$B:$B, "Variant", Raw_Data_Daily!$A:$A, $A25, Raw_Data_Daily!$C:$C, $C$3),""))</f>
        <v>21.05</v>
      </c>
      <c r="DQ25" s="231"/>
      <c r="DR25" s="228">
        <f>IF($A25="","",IFERROR(SUMPRODUCT((Raw_Data_Daily!$B$2:$B$9999="Control")*(Raw_Data_Daily!$A$2:$A$9999=$A25)*(Raw_Data_Daily!$C$2:$C$9999=$C$3)*Raw_Data_Daily!$D$2:$D$9999*Raw_Data_Daily!$AQ$2:$AQ$9999)/SUMIFS(Raw_Data_Daily!$D:$D, Raw_Data_Daily!$B:$B, "Control", Raw_Data_Daily!$A:$A, $A25, Raw_Data_Daily!$C:$C, $C$3),""))</f>
        <v>19.2675</v>
      </c>
      <c r="DS25" s="228">
        <f>IF($A25="","",IFERROR(SUMPRODUCT((Raw_Data_Daily!$B$2:$B$9999="Variant")*(Raw_Data_Daily!$A$2:$A$9999=$A25)*(Raw_Data_Daily!$C$2:$C$9999=$C$3)*Raw_Data_Daily!$D$2:$D$9999*Raw_Data_Daily!$AQ$2:$AQ$9999)/SUMIFS(Raw_Data_Daily!$D:$D, Raw_Data_Daily!$B:$B, "Variant", Raw_Data_Daily!$A:$A, $A25, Raw_Data_Daily!$C:$C, $C$3),""))</f>
        <v>14.3042</v>
      </c>
      <c r="DT25" s="232">
        <f t="shared" si="37"/>
        <v>-0.2575995848</v>
      </c>
      <c r="DU25" s="228">
        <f>IF($A25="","",IFERROR(SUMPRODUCT((Raw_Data_Daily!$B$2:$B$9999="Control")*(Raw_Data_Daily!$A$2:$A$9999=$A25)*(Raw_Data_Daily!$C$2:$C$9999=$C$3)*Raw_Data_Daily!$D$2:$D$9999*Raw_Data_Daily!$AR$2:$AR$9999)/SUMIFS(Raw_Data_Daily!$D:$D, Raw_Data_Daily!$B:$B, "Control", Raw_Data_Daily!$A:$A, $A25, Raw_Data_Daily!$C:$C, $C$3),""))</f>
        <v>0.6857</v>
      </c>
      <c r="DV25" s="228">
        <f>IF($A25="","",IFERROR(SUMPRODUCT((Raw_Data_Daily!$B$2:$B$9999="Variant")*(Raw_Data_Daily!$A$2:$A$9999=$A25)*(Raw_Data_Daily!$C$2:$C$9999=$C$3)*Raw_Data_Daily!$D$2:$D$9999*Raw_Data_Daily!$AR$2:$AR$9999)/SUMIFS(Raw_Data_Daily!$D:$D, Raw_Data_Daily!$B:$B, "Variant", Raw_Data_Daily!$A:$A, $A25, Raw_Data_Daily!$C:$C, $C$3),""))</f>
        <v>0.3984</v>
      </c>
      <c r="DW25" s="232">
        <f t="shared" si="38"/>
        <v>-0.4189878956</v>
      </c>
      <c r="DX25" s="228">
        <f>IF($A25="","",IFERROR(SUMPRODUCT((Raw_Data_Daily!$B$2:$B$9999="Control")*(Raw_Data_Daily!$A$2:$A$9999=$A25)*(Raw_Data_Daily!$C$2:$C$9999=$C$3)*Raw_Data_Daily!$D$2:$D$9999*Raw_Data_Daily!$AS$2:$AS$9999)/SUMIFS(Raw_Data_Daily!$D:$D, Raw_Data_Daily!$B:$B, "Control", Raw_Data_Daily!$A:$A, $A25, Raw_Data_Daily!$C:$C, $C$3),""))</f>
        <v>18.5817</v>
      </c>
      <c r="DY25" s="228">
        <f>IF($A25="","",IFERROR(SUMPRODUCT((Raw_Data_Daily!$B$2:$B$9999="Variant")*(Raw_Data_Daily!$A$2:$A$9999=$A25)*(Raw_Data_Daily!$C$2:$C$9999=$C$3)*Raw_Data_Daily!$D$2:$D$9999*Raw_Data_Daily!$AS$2:$AS$9999)/SUMIFS(Raw_Data_Daily!$D:$D, Raw_Data_Daily!$B:$B, "Variant", Raw_Data_Daily!$A:$A, $A25, Raw_Data_Daily!$C:$C, $C$3),""))</f>
        <v>13.9059</v>
      </c>
      <c r="DZ25" s="232">
        <f t="shared" si="39"/>
        <v>-0.2516346728</v>
      </c>
      <c r="EA25" s="228">
        <f>IF($A25="","",IFERROR(SUMPRODUCT((Raw_Data_Daily!$B$2:$B$9999="Control")*(Raw_Data_Daily!$A$2:$A$9999=$A25)*(Raw_Data_Daily!$C$2:$C$9999=$C$3)*Raw_Data_Daily!$D$2:$D$9999*Raw_Data_Daily!$AT$2:$AT$9999)/SUMIFS(Raw_Data_Daily!$D:$D, Raw_Data_Daily!$B:$B, "Control", Raw_Data_Daily!$A:$A, $A25, Raw_Data_Daily!$C:$C, $C$3),""))</f>
        <v>15.7233</v>
      </c>
      <c r="EB25" s="228">
        <f>IF($A25="","",IFERROR(SUMPRODUCT((Raw_Data_Daily!$B$2:$B$9999="Variant")*(Raw_Data_Daily!$A$2:$A$9999=$A25)*(Raw_Data_Daily!$C$2:$C$9999=$C$3)*Raw_Data_Daily!$D$2:$D$9999*Raw_Data_Daily!$AT$2:$AT$9999)/SUMIFS(Raw_Data_Daily!$D:$D, Raw_Data_Daily!$B:$B, "Variant", Raw_Data_Daily!$A:$A, $A25, Raw_Data_Daily!$C:$C, $C$3),""))</f>
        <v>12.3317</v>
      </c>
      <c r="EC25" s="232">
        <f t="shared" si="40"/>
        <v>-0.2157053545</v>
      </c>
      <c r="ED25" s="228">
        <f>IF($A25="","",IFERROR(SUMPRODUCT((Raw_Data_Daily!$B$2:$B$9999="Control")*(Raw_Data_Daily!$A$2:$A$9999=$A25)*(Raw_Data_Daily!$C$2:$C$9999=$C$3)*Raw_Data_Daily!$D$2:$D$9999*(Raw_Data_Daily!$AQ$2:$AQ$9999-Raw_Data_Daily!$AT$2:$AT$9999))/SUMIFS(Raw_Data_Daily!$D:$D, Raw_Data_Daily!$B:$B, "Control", Raw_Data_Daily!$A:$A, $A25, Raw_Data_Daily!$C:$C, $C$3),""))</f>
        <v>3.5442</v>
      </c>
      <c r="EE25" s="228">
        <f>IF($A25="","",IFERROR(SUMPRODUCT((Raw_Data_Daily!$B$2:$B$9999="Variant")*(Raw_Data_Daily!$A$2:$A$9999=$A25)*(Raw_Data_Daily!$C$2:$C$9999=$C$3)*Raw_Data_Daily!$D$2:$D$9999*(Raw_Data_Daily!$AQ$2:$AQ$9999-Raw_Data_Daily!$AT$2:$AT$9999))/SUMIFS(Raw_Data_Daily!$D:$D, Raw_Data_Daily!$B:$B, "Variant", Raw_Data_Daily!$A:$A, $A25, Raw_Data_Daily!$C:$C, $C$3),""))</f>
        <v>1.9725</v>
      </c>
      <c r="EF25" s="232">
        <f t="shared" si="41"/>
        <v>-0.4434569155</v>
      </c>
      <c r="EG25" s="228">
        <f>IF($A25="","",IFERROR(SUMPRODUCT((Raw_Data_Daily!$B$2:$B$9999="Control")*(Raw_Data_Daily!$A$2:$A$9999=$A25)*(Raw_Data_Daily!$C$2:$C$9999=$C$3)*Raw_Data_Daily!$D$2:$D$9999*Raw_Data_Daily!$AU$2:$AU$9999)/SUMIFS(Raw_Data_Daily!$D:$D, Raw_Data_Daily!$B:$B, "Control", Raw_Data_Daily!$A:$A, $A25, Raw_Data_Daily!$C:$C, $C$3),""))</f>
        <v>0.2204</v>
      </c>
      <c r="EH25" s="228">
        <f>IF($A25="","",IFERROR(SUMPRODUCT((Raw_Data_Daily!$B$2:$B$9999="Variant")*(Raw_Data_Daily!$A$2:$A$9999=$A25)*(Raw_Data_Daily!$C$2:$C$9999=$C$3)*Raw_Data_Daily!$D$2:$D$9999*Raw_Data_Daily!$AU$2:$AU$9999)/SUMIFS(Raw_Data_Daily!$D:$D, Raw_Data_Daily!$B:$B, "Variant", Raw_Data_Daily!$A:$A, $A25, Raw_Data_Daily!$C:$C, $C$3),""))</f>
        <v>0.1776</v>
      </c>
      <c r="EI25" s="232">
        <f t="shared" si="42"/>
        <v>-0.1941923775</v>
      </c>
    </row>
    <row r="26" ht="15.75" customHeight="1">
      <c r="A26" s="233">
        <v>46249.0</v>
      </c>
      <c r="B26" s="234">
        <f>IF($A26="","",SUMIFS(Raw_Data_Daily!$D:$D, Raw_Data_Daily!$B:$B, "Control", Raw_Data_Daily!$A:$A, $A26, Raw_Data_Daily!$C:$C, $C$3))</f>
        <v>2945</v>
      </c>
      <c r="C26" s="234">
        <f>IF($A26="","",SUMIFS(Raw_Data_Daily!$D:$D, Raw_Data_Daily!$B:$B, "Variant", Raw_Data_Daily!$A:$A, $A26, Raw_Data_Daily!$C:$C, $C$3))</f>
        <v>2755</v>
      </c>
      <c r="D26" s="235">
        <f t="shared" si="1"/>
        <v>-0.06451612903</v>
      </c>
      <c r="E26" s="236">
        <f>IF($A26="","",IFERROR(SUMPRODUCT((Raw_Data_Daily!$B$2:$B$9999="Control")*(Raw_Data_Daily!$A$2:$A$9999=$A26)*(Raw_Data_Daily!$C$2:$C$9999=$C$3)*Raw_Data_Daily!$D$2:$D$9999*Raw_Data_Daily!$E$2:$E$9999)/SUMIFS(Raw_Data_Daily!$D:$D, Raw_Data_Daily!$B:$B, "Control", Raw_Data_Daily!$A:$A, $A26, Raw_Data_Daily!$C:$C, $C$3),""))</f>
        <v>11.3</v>
      </c>
      <c r="F26" s="236">
        <f>IF($A26="","",IFERROR(SUMPRODUCT((Raw_Data_Daily!$B$2:$B$9999="Variant")*(Raw_Data_Daily!$A$2:$A$9999=$A26)*(Raw_Data_Daily!$C$2:$C$9999=$C$3)*Raw_Data_Daily!$D$2:$D$9999*Raw_Data_Daily!$E$2:$E$9999)/SUMIFS(Raw_Data_Daily!$D:$D, Raw_Data_Daily!$B:$B, "Variant", Raw_Data_Daily!$A:$A, $A26, Raw_Data_Daily!$C:$C, $C$3),""))</f>
        <v>10.59</v>
      </c>
      <c r="G26" s="235">
        <f t="shared" si="2"/>
        <v>-0.06283185841</v>
      </c>
      <c r="H26" s="237">
        <f>IF($A26="","",SUMIFS(Raw_Data_Daily!$F:$F, Raw_Data_Daily!$B:$B, "Control", Raw_Data_Daily!$A:$A, $A26, Raw_Data_Daily!$C:$C, $C$3))</f>
        <v>831.4</v>
      </c>
      <c r="I26" s="237">
        <f>IF($A26="","",SUMIFS(Raw_Data_Daily!$F:$F, Raw_Data_Daily!$B:$B, "Variant", Raw_Data_Daily!$A:$A, $A26, Raw_Data_Daily!$C:$C, $C$3))</f>
        <v>645.3</v>
      </c>
      <c r="J26" s="238">
        <f t="shared" si="3"/>
        <v>-0.2238393072</v>
      </c>
      <c r="K26" s="239">
        <f>IF($A26="","",IFERROR(SUMIFS(Raw_Data_Daily!$F:$F, Raw_Data_Daily!$B:$B, "Control", Raw_Data_Daily!$A:$A, $A26, Raw_Data_Daily!$C:$C, $C$3)/SUMIFS(Raw_Data_Daily!$D:$D, Raw_Data_Daily!$B:$B, "Control", Raw_Data_Daily!$A:$A, $A26, Raw_Data_Daily!$C:$C, $C$3),""))</f>
        <v>0.2823089983</v>
      </c>
      <c r="L26" s="239">
        <f>IF($A26="","",IFERROR(SUMIFS(Raw_Data_Daily!$F:$F, Raw_Data_Daily!$B:$B, "Variant", Raw_Data_Daily!$A:$A, $A26, Raw_Data_Daily!$C:$C, $C$3)/SUMIFS(Raw_Data_Daily!$D:$D, Raw_Data_Daily!$B:$B, "Variant", Raw_Data_Daily!$A:$A, $A26, Raw_Data_Daily!$C:$C, $C$3),""))</f>
        <v>0.2342286751</v>
      </c>
      <c r="M26" s="238">
        <f t="shared" si="4"/>
        <v>-0.1703109836</v>
      </c>
      <c r="N26" s="236">
        <f>IF($A26="","",IFERROR(SUMPRODUCT((Raw_Data_Daily!$B$2:$B$9999="Control")*(Raw_Data_Daily!$A$2:$A$9999=$A26)*(Raw_Data_Daily!$C$2:$C$9999=$C$3)*Raw_Data_Daily!$D$2:$D$9999*Raw_Data_Daily!$H$2:$H$9999/100)/SUMIFS(Raw_Data_Daily!$D:$D, Raw_Data_Daily!$B:$B, "Control", Raw_Data_Daily!$A:$A, $A26, Raw_Data_Daily!$C:$C, $C$3)*100,""))</f>
        <v>4.28</v>
      </c>
      <c r="O26" s="236">
        <f>IF($A26="","",IFERROR(SUMPRODUCT((Raw_Data_Daily!$B$2:$B$9999="Variant")*(Raw_Data_Daily!$A$2:$A$9999=$A26)*(Raw_Data_Daily!$C$2:$C$9999=$C$3)*Raw_Data_Daily!$D$2:$D$9999*Raw_Data_Daily!$H$2:$H$9999/100)/SUMIFS(Raw_Data_Daily!$D:$D, Raw_Data_Daily!$B:$B, "Variant", Raw_Data_Daily!$A:$A, $A26, Raw_Data_Daily!$C:$C, $C$3)*100,""))</f>
        <v>4.5</v>
      </c>
      <c r="P26" s="238">
        <f t="shared" si="5"/>
        <v>0.05140186916</v>
      </c>
      <c r="Q26" s="239">
        <f>IF($A26="","",IFERROR(SUMIFS(Raw_Data_Daily!$F:$F, Raw_Data_Daily!$B:$B, "Control", Raw_Data_Daily!$A:$A, $A26, Raw_Data_Daily!$C:$C, $C$3)/SUMPRODUCT((Raw_Data_Daily!$B$2:$B$9999="Control")*(Raw_Data_Daily!$A$2:$A$9999=$A26)*(Raw_Data_Daily!$C$2:$C$9999=$C$3)*Raw_Data_Daily!$D$2:$D$9999*Raw_Data_Daily!$H$2:$H$9999/100),""))</f>
        <v>6.596004633</v>
      </c>
      <c r="R26" s="239">
        <f>IF($A26="","",IFERROR(SUMIFS(Raw_Data_Daily!$F:$F, Raw_Data_Daily!$B:$B, "Variant", Raw_Data_Daily!$A:$A, $A26, Raw_Data_Daily!$C:$C, $C$3)/SUMPRODUCT((Raw_Data_Daily!$B$2:$B$9999="Variant")*(Raw_Data_Daily!$A$2:$A$9999=$A26)*(Raw_Data_Daily!$C$2:$C$9999=$C$3)*Raw_Data_Daily!$D$2:$D$9999*Raw_Data_Daily!$H$2:$H$9999/100),""))</f>
        <v>5.20508167</v>
      </c>
      <c r="S26" s="238">
        <f t="shared" si="6"/>
        <v>-0.2108735577</v>
      </c>
      <c r="T26" s="240">
        <f>IF($A26="","",IFERROR(SUMPRODUCT((Raw_Data_Daily!$B$2:$B$9999="Control")*(Raw_Data_Daily!$A$2:$A$9999=$A26)*(Raw_Data_Daily!$C$2:$C$9999=$C$3)*Raw_Data_Daily!$D$2:$D$9999*Raw_Data_Daily!$J$2:$J$9999)/SUMIFS(Raw_Data_Daily!$D:$D, Raw_Data_Daily!$B:$B, "Control", Raw_Data_Daily!$A:$A, $A26, Raw_Data_Daily!$C:$C, $C$3),""))</f>
        <v>110.19</v>
      </c>
      <c r="U26" s="240">
        <f>IF($A26="","",IFERROR(SUMPRODUCT((Raw_Data_Daily!$B$2:$B$9999="Variant")*(Raw_Data_Daily!$A$2:$A$9999=$A26)*(Raw_Data_Daily!$C$2:$C$9999=$C$3)*Raw_Data_Daily!$D$2:$D$9999*Raw_Data_Daily!$J$2:$J$9999)/SUMIFS(Raw_Data_Daily!$D:$D, Raw_Data_Daily!$B:$B, "Variant", Raw_Data_Daily!$A:$A, $A26, Raw_Data_Daily!$C:$C, $C$3),""))</f>
        <v>113.07</v>
      </c>
      <c r="V26" s="238">
        <f t="shared" si="7"/>
        <v>0.02613667302</v>
      </c>
      <c r="W26" s="240">
        <f>IF($A26="","",IFERROR(SUMPRODUCT((Raw_Data_Daily!$B$2:$B$9999="Control")*(Raw_Data_Daily!$A$2:$A$9999=$A26)*(Raw_Data_Daily!$C$2:$C$9999=$C$3)*Raw_Data_Daily!$D$2:$D$9999*Raw_Data_Daily!$K$2:$K$9999)/SUMIFS(Raw_Data_Daily!$D:$D, Raw_Data_Daily!$B:$B, "Control", Raw_Data_Daily!$A:$A, $A26, Raw_Data_Daily!$C:$C, $C$3),""))</f>
        <v>67.59</v>
      </c>
      <c r="X26" s="240">
        <f>IF($A26="","",IFERROR(SUMPRODUCT((Raw_Data_Daily!$B$2:$B$9999="Variant")*(Raw_Data_Daily!$A$2:$A$9999=$A26)*(Raw_Data_Daily!$C$2:$C$9999=$C$3)*Raw_Data_Daily!$D$2:$D$9999*Raw_Data_Daily!$K$2:$K$9999)/SUMIFS(Raw_Data_Daily!$D:$D, Raw_Data_Daily!$B:$B, "Variant", Raw_Data_Daily!$A:$A, $A26, Raw_Data_Daily!$C:$C, $C$3),""))</f>
        <v>68.43</v>
      </c>
      <c r="Y26" s="238">
        <f t="shared" si="8"/>
        <v>0.01242787395</v>
      </c>
      <c r="Z26" s="240">
        <f>IF($A26="","",IFERROR(SUMPRODUCT((Raw_Data_Daily!$B$2:$B$9999="Control")*(Raw_Data_Daily!$A$2:$A$9999=$A26)*(Raw_Data_Daily!$C$2:$C$9999=$C$3)*Raw_Data_Daily!$D$2:$D$9999*Raw_Data_Daily!$L$2:$L$9999)/SUMIFS(Raw_Data_Daily!$D:$D, Raw_Data_Daily!$B:$B, "Control", Raw_Data_Daily!$A:$A, $A26, Raw_Data_Daily!$C:$C, $C$3),""))</f>
        <v>49.73</v>
      </c>
      <c r="AA26" s="240">
        <f>IF($A26="","",IFERROR(SUMPRODUCT((Raw_Data_Daily!$B$2:$B$9999="Variant")*(Raw_Data_Daily!$A$2:$A$9999=$A26)*(Raw_Data_Daily!$C$2:$C$9999=$C$3)*Raw_Data_Daily!$D$2:$D$9999*Raw_Data_Daily!$L$2:$L$9999)/SUMIFS(Raw_Data_Daily!$D:$D, Raw_Data_Daily!$B:$B, "Variant", Raw_Data_Daily!$A:$A, $A26, Raw_Data_Daily!$C:$C, $C$3),""))</f>
        <v>49.01</v>
      </c>
      <c r="AB26" s="238">
        <f t="shared" si="9"/>
        <v>-0.01447818218</v>
      </c>
      <c r="AC26" s="241">
        <f>IF($A26="","",IFERROR(SUMPRODUCT((Raw_Data_Daily!$B$2:$B$9999="Control")*(Raw_Data_Daily!$A$2:$A$9999=$A26)*(Raw_Data_Daily!$C$2:$C$9999=$C$3)*Raw_Data_Daily!$D$2:$D$9999*Raw_Data_Daily!$M$2:$M$9999)/SUMIFS(Raw_Data_Daily!$D:$D, Raw_Data_Daily!$B:$B, "Control", Raw_Data_Daily!$A:$A, $A26, Raw_Data_Daily!$C:$C, $C$3),""))</f>
        <v>0.7358</v>
      </c>
      <c r="AD26" s="241">
        <f>IF($A26="","",IFERROR(SUMPRODUCT((Raw_Data_Daily!$B$2:$B$9999="Variant")*(Raw_Data_Daily!$A$2:$A$9999=$A26)*(Raw_Data_Daily!$C$2:$C$9999=$C$3)*Raw_Data_Daily!$D$2:$D$9999*Raw_Data_Daily!$M$2:$M$9999)/SUMIFS(Raw_Data_Daily!$D:$D, Raw_Data_Daily!$B:$B, "Variant", Raw_Data_Daily!$A:$A, $A26, Raw_Data_Daily!$C:$C, $C$3),""))</f>
        <v>0.7163</v>
      </c>
      <c r="AE26" s="242">
        <f t="shared" si="10"/>
        <v>-0.02650176678</v>
      </c>
      <c r="AF26" s="241">
        <f>IF($A26="","",IFERROR(SUMPRODUCT((Raw_Data_Daily!$B$2:$B$9999="Control")*(Raw_Data_Daily!$A$2:$A$9999=$A26)*(Raw_Data_Daily!$C$2:$C$9999=$C$3)*Raw_Data_Daily!$D$2:$D$9999*Raw_Data_Daily!$N$2:$N$9999)/SUMIFS(Raw_Data_Daily!$D:$D, Raw_Data_Daily!$B:$B, "Control", Raw_Data_Daily!$A:$A, $A26, Raw_Data_Daily!$C:$C, $C$3),""))</f>
        <v>0.3859</v>
      </c>
      <c r="AG26" s="241">
        <f>IF($A26="","",IFERROR(SUMPRODUCT((Raw_Data_Daily!$B$2:$B$9999="Variant")*(Raw_Data_Daily!$A$2:$A$9999=$A26)*(Raw_Data_Daily!$C$2:$C$9999=$C$3)*Raw_Data_Daily!$D$2:$D$9999*Raw_Data_Daily!$N$2:$N$9999)/SUMIFS(Raw_Data_Daily!$D:$D, Raw_Data_Daily!$B:$B, "Variant", Raw_Data_Daily!$A:$A, $A26, Raw_Data_Daily!$C:$C, $C$3),""))</f>
        <v>0.4003</v>
      </c>
      <c r="AH26" s="242">
        <f t="shared" si="11"/>
        <v>0.03731536668</v>
      </c>
      <c r="AI26" s="241">
        <f>IF($A26="","",IFERROR(SUMPRODUCT((Raw_Data_Daily!$B$2:$B$9999="Control")*(Raw_Data_Daily!$A$2:$A$9999=$A26)*(Raw_Data_Daily!$C$2:$C$9999=$C$3)*Raw_Data_Daily!$D$2:$D$9999*Raw_Data_Daily!$O$2:$O$9999)/SUMIFS(Raw_Data_Daily!$D:$D, Raw_Data_Daily!$B:$B, "Control", Raw_Data_Daily!$A:$A, $A26, Raw_Data_Daily!$C:$C, $C$3),""))</f>
        <v>0.2576</v>
      </c>
      <c r="AJ26" s="241">
        <f>IF($A26="","",IFERROR(SUMPRODUCT((Raw_Data_Daily!$B$2:$B$9999="Variant")*(Raw_Data_Daily!$A$2:$A$9999=$A26)*(Raw_Data_Daily!$C$2:$C$9999=$C$3)*Raw_Data_Daily!$D$2:$D$9999*Raw_Data_Daily!$O$2:$O$9999)/SUMIFS(Raw_Data_Daily!$D:$D, Raw_Data_Daily!$B:$B, "Variant", Raw_Data_Daily!$A:$A, $A26, Raw_Data_Daily!$C:$C, $C$3),""))</f>
        <v>0.2633</v>
      </c>
      <c r="AK26" s="238">
        <f t="shared" si="12"/>
        <v>0.02212732919</v>
      </c>
      <c r="AL26" s="240">
        <f>IF($A26="","",IFERROR(SUMPRODUCT((Raw_Data_Daily!$B$2:$B$9999="Control")*(Raw_Data_Daily!$A$2:$A$9999=$A26)*(Raw_Data_Daily!$C$2:$C$9999=$C$3)*Raw_Data_Daily!$D$2:$D$9999*Raw_Data_Daily!$P$2:$P$9999)/SUMIFS(Raw_Data_Daily!$D:$D, Raw_Data_Daily!$B:$B, "Control", Raw_Data_Daily!$A:$A, $A26, Raw_Data_Daily!$C:$C, $C$3),""))</f>
        <v>1.359</v>
      </c>
      <c r="AM26" s="240">
        <f>IF($A26="","",IFERROR(SUMPRODUCT((Raw_Data_Daily!$B$2:$B$9999="Variant")*(Raw_Data_Daily!$A$2:$A$9999=$A26)*(Raw_Data_Daily!$C$2:$C$9999=$C$3)*Raw_Data_Daily!$D$2:$D$9999*Raw_Data_Daily!$P$2:$P$9999)/SUMIFS(Raw_Data_Daily!$D:$D, Raw_Data_Daily!$B:$B, "Variant", Raw_Data_Daily!$A:$A, $A26, Raw_Data_Daily!$C:$C, $C$3),""))</f>
        <v>1.3961</v>
      </c>
      <c r="AN26" s="238">
        <f t="shared" si="13"/>
        <v>0.02729948492</v>
      </c>
      <c r="AO26" s="240">
        <f>IF($A26="","",IFERROR(SUMPRODUCT((Raw_Data_Daily!$B$2:$B$9999="Control")*(Raw_Data_Daily!$A$2:$A$9999=$A26)*(Raw_Data_Daily!$C$2:$C$9999=$C$3)*Raw_Data_Daily!$D$2:$D$9999*Raw_Data_Daily!$Q$2:$Q$9999)/SUMIFS(Raw_Data_Daily!$D:$D, Raw_Data_Daily!$B:$B, "Control", Raw_Data_Daily!$A:$A, $A26, Raw_Data_Daily!$C:$C, $C$3),""))</f>
        <v>310.15</v>
      </c>
      <c r="AP26" s="240">
        <f>IF($A26="","",IFERROR(SUMPRODUCT((Raw_Data_Daily!$B$2:$B$9999="Variant")*(Raw_Data_Daily!$A$2:$A$9999=$A26)*(Raw_Data_Daily!$C$2:$C$9999=$C$3)*Raw_Data_Daily!$D$2:$D$9999*Raw_Data_Daily!$Q$2:$Q$9999)/SUMIFS(Raw_Data_Daily!$D:$D, Raw_Data_Daily!$B:$B, "Variant", Raw_Data_Daily!$A:$A, $A26, Raw_Data_Daily!$C:$C, $C$3),""))</f>
        <v>253.89</v>
      </c>
      <c r="AQ26" s="235">
        <f t="shared" si="14"/>
        <v>-0.1813960987</v>
      </c>
      <c r="AR26" s="240">
        <f>IF($A26="","",IFERROR(SUMPRODUCT((Raw_Data_Daily!$B$2:$B$9999="Control")*(Raw_Data_Daily!$A$2:$A$9999=$A26)*(Raw_Data_Daily!$C$2:$C$9999=$C$3)*Raw_Data_Daily!$D$2:$D$9999*Raw_Data_Daily!$R$2:$R$9999)/SUMIFS(Raw_Data_Daily!$D:$D, Raw_Data_Daily!$B:$B, "Control", Raw_Data_Daily!$A:$A, $A26, Raw_Data_Daily!$C:$C, $C$3),""))</f>
        <v>265.18</v>
      </c>
      <c r="AS26" s="240">
        <f>IF($A26="","",IFERROR(SUMPRODUCT((Raw_Data_Daily!$B$2:$B$9999="Variant")*(Raw_Data_Daily!$A$2:$A$9999=$A26)*(Raw_Data_Daily!$C$2:$C$9999=$C$3)*Raw_Data_Daily!$D$2:$D$9999*Raw_Data_Daily!$R$2:$R$9999)/SUMIFS(Raw_Data_Daily!$D:$D, Raw_Data_Daily!$B:$B, "Variant", Raw_Data_Daily!$A:$A, $A26, Raw_Data_Daily!$C:$C, $C$3),""))</f>
        <v>224.58</v>
      </c>
      <c r="AT26" s="235">
        <f t="shared" si="15"/>
        <v>-0.1531035523</v>
      </c>
      <c r="AU26" s="240">
        <f>IF($A26="","",IFERROR(SUMPRODUCT((Raw_Data_Daily!$B$2:$B$9999="Control")*(Raw_Data_Daily!$A$2:$A$9999=$A26)*(Raw_Data_Daily!$C$2:$C$9999=$C$3)*Raw_Data_Daily!$D$2:$D$9999*Raw_Data_Daily!$S$2:$S$9999)/SUMIFS(Raw_Data_Daily!$D:$D, Raw_Data_Daily!$B:$B, "Control", Raw_Data_Daily!$A:$A, $A26, Raw_Data_Daily!$C:$C, $C$3),""))</f>
        <v>44.97</v>
      </c>
      <c r="AV26" s="240">
        <f>IF($A26="","",IFERROR(SUMPRODUCT((Raw_Data_Daily!$B$2:$B$9999="Variant")*(Raw_Data_Daily!$A$2:$A$9999=$A26)*(Raw_Data_Daily!$C$2:$C$9999=$C$3)*Raw_Data_Daily!$D$2:$D$9999*Raw_Data_Daily!$S$2:$S$9999)/SUMIFS(Raw_Data_Daily!$D:$D, Raw_Data_Daily!$B:$B, "Variant", Raw_Data_Daily!$A:$A, $A26, Raw_Data_Daily!$C:$C, $C$3),""))</f>
        <v>29.31</v>
      </c>
      <c r="AW26" s="235">
        <f t="shared" si="16"/>
        <v>-0.3482321548</v>
      </c>
      <c r="AX26" s="240">
        <f>IF($A26="","",IFERROR(SUMPRODUCT((Raw_Data_Daily!$B$2:$B$9999="Control")*(Raw_Data_Daily!$A$2:$A$9999=$A26)*(Raw_Data_Daily!$C$2:$C$9999=$C$3)*Raw_Data_Daily!$D$2:$D$9999*Raw_Data_Daily!$T$2:$T$9999)/SUMIFS(Raw_Data_Daily!$D:$D, Raw_Data_Daily!$B:$B, "Control", Raw_Data_Daily!$A:$A, $A26, Raw_Data_Daily!$C:$C, $C$3),""))</f>
        <v>27.11</v>
      </c>
      <c r="AY26" s="240">
        <f>IF($A26="","",IFERROR(SUMPRODUCT((Raw_Data_Daily!$B$2:$B$9999="Variant")*(Raw_Data_Daily!$A$2:$A$9999=$A26)*(Raw_Data_Daily!$C$2:$C$9999=$C$3)*Raw_Data_Daily!$D$2:$D$9999*Raw_Data_Daily!$T$2:$T$9999)/SUMIFS(Raw_Data_Daily!$D:$D, Raw_Data_Daily!$B:$B, "Variant", Raw_Data_Daily!$A:$A, $A26, Raw_Data_Daily!$C:$C, $C$3),""))</f>
        <v>24.05</v>
      </c>
      <c r="AZ26" s="238">
        <f t="shared" si="17"/>
        <v>-0.1128734784</v>
      </c>
      <c r="BA26" s="240">
        <f>IF($A26="","",IFERROR(SUMPRODUCT((Raw_Data_Daily!$B$2:$B$9999="Control")*(Raw_Data_Daily!$A$2:$A$9999=$A26)*(Raw_Data_Daily!$C$2:$C$9999=$C$3)*Raw_Data_Daily!$D$2:$D$9999*Raw_Data_Daily!$U$2:$U$9999)/SUMIFS(Raw_Data_Daily!$D:$D, Raw_Data_Daily!$B:$B, "Control", Raw_Data_Daily!$A:$A, $A26, Raw_Data_Daily!$C:$C, $C$3),""))</f>
        <v>283.03</v>
      </c>
      <c r="BB26" s="240">
        <f>IF($A26="","",IFERROR(SUMPRODUCT((Raw_Data_Daily!$B$2:$B$9999="Variant")*(Raw_Data_Daily!$A$2:$A$9999=$A26)*(Raw_Data_Daily!$C$2:$C$9999=$C$3)*Raw_Data_Daily!$D$2:$D$9999*Raw_Data_Daily!$U$2:$U$9999)/SUMIFS(Raw_Data_Daily!$D:$D, Raw_Data_Daily!$B:$B, "Variant", Raw_Data_Daily!$A:$A, $A26, Raw_Data_Daily!$C:$C, $C$3),""))</f>
        <v>229.84</v>
      </c>
      <c r="BC26" s="235">
        <f t="shared" si="18"/>
        <v>-0.1879306081</v>
      </c>
      <c r="BD26" s="240">
        <f>IF($A26="","",IFERROR(SUMPRODUCT((Raw_Data_Daily!$B$2:$B$9999="Control")*(Raw_Data_Daily!$A$2:$A$9999=$A26)*(Raw_Data_Daily!$C$2:$C$9999=$C$3)*Raw_Data_Daily!$D$2:$D$9999*Raw_Data_Daily!$V$2:$V$9999)/SUMIFS(Raw_Data_Daily!$D:$D, Raw_Data_Daily!$B:$B, "Control", Raw_Data_Daily!$A:$A, $A26, Raw_Data_Daily!$C:$C, $C$3),""))</f>
        <v>294.79</v>
      </c>
      <c r="BE26" s="240">
        <f>IF($A26="","",IFERROR(SUMPRODUCT((Raw_Data_Daily!$B$2:$B$9999="Variant")*(Raw_Data_Daily!$A$2:$A$9999=$A26)*(Raw_Data_Daily!$C$2:$C$9999=$C$3)*Raw_Data_Daily!$D$2:$D$9999*Raw_Data_Daily!$V$2:$V$9999)/SUMIFS(Raw_Data_Daily!$D:$D, Raw_Data_Daily!$B:$B, "Variant", Raw_Data_Daily!$A:$A, $A26, Raw_Data_Daily!$C:$C, $C$3),""))</f>
        <v>258.95</v>
      </c>
      <c r="BF26" s="235">
        <f t="shared" si="19"/>
        <v>-0.1215780725</v>
      </c>
      <c r="BG26" s="240">
        <f>IF($A26="","",IFERROR(SUMPRODUCT((Raw_Data_Daily!$B$2:$B$9999="Control")*(Raw_Data_Daily!$A$2:$A$9999=$A26)*(Raw_Data_Daily!$C$2:$C$9999=$C$3)*Raw_Data_Daily!$D$2:$D$9999*(Raw_Data_Daily!$Q$2:$Q$9999-Raw_Data_Daily!$V$2:$V$9999))/SUMIFS(Raw_Data_Daily!$D:$D, Raw_Data_Daily!$B:$B, "Control", Raw_Data_Daily!$A:$A, $A26, Raw_Data_Daily!$C:$C, $C$3),""))</f>
        <v>15.36</v>
      </c>
      <c r="BH26" s="240">
        <f>IF($A26="","",IFERROR(SUMPRODUCT((Raw_Data_Daily!$B$2:$B$9999="Variant")*(Raw_Data_Daily!$A$2:$A$9999=$A26)*(Raw_Data_Daily!$C$2:$C$9999=$C$3)*Raw_Data_Daily!$D$2:$D$9999*(Raw_Data_Daily!$Q$2:$Q$9999-Raw_Data_Daily!$V$2:$V$9999))/SUMIFS(Raw_Data_Daily!$D:$D, Raw_Data_Daily!$B:$B, "Variant", Raw_Data_Daily!$A:$A, $A26, Raw_Data_Daily!$C:$C, $C$3),""))</f>
        <v>-5.06</v>
      </c>
      <c r="BI26" s="235">
        <f t="shared" si="20"/>
        <v>-1.329427083</v>
      </c>
      <c r="BJ26" s="240">
        <f>IF($A26="","",IFERROR(SUMPRODUCT((Raw_Data_Daily!$B$2:$B$9999="Control")*(Raw_Data_Daily!$A$2:$A$9999=$A26)*(Raw_Data_Daily!$C$2:$C$9999=$C$3)*Raw_Data_Daily!$D$2:$D$9999*Raw_Data_Daily!$W$2:$W$9999)/SUMIFS(Raw_Data_Daily!$D:$D, Raw_Data_Daily!$B:$B, "Control", Raw_Data_Daily!$A:$A, $A26, Raw_Data_Daily!$C:$C, $C$3),""))</f>
        <v>4.3616</v>
      </c>
      <c r="BK26" s="240">
        <f>IF($A26="","",IFERROR(SUMPRODUCT((Raw_Data_Daily!$B$2:$B$9999="Variant")*(Raw_Data_Daily!$A$2:$A$9999=$A26)*(Raw_Data_Daily!$C$2:$C$9999=$C$3)*Raw_Data_Daily!$D$2:$D$9999*Raw_Data_Daily!$W$2:$W$9999)/SUMIFS(Raw_Data_Daily!$D:$D, Raw_Data_Daily!$B:$B, "Variant", Raw_Data_Daily!$A:$A, $A26, Raw_Data_Daily!$C:$C, $C$3),""))</f>
        <v>3.7843</v>
      </c>
      <c r="BL26" s="235">
        <f t="shared" si="21"/>
        <v>-0.1323596845</v>
      </c>
      <c r="BM26" s="241">
        <f>IF($A26="","",IFERROR(SUMPRODUCT((Raw_Data_Daily!$B$2:$B$9999="Control")*(Raw_Data_Daily!$A$2:$A$9999=$A26)*(Raw_Data_Daily!$C$2:$C$9999=$C$3)*Raw_Data_Daily!$D$2:$D$9999*Raw_Data_Daily!$X$2:$X$9999)/SUMIFS(Raw_Data_Daily!$D:$D, Raw_Data_Daily!$B:$B, "Control", Raw_Data_Daily!$A:$A, $A26, Raw_Data_Daily!$C:$C, $C$3),""))</f>
        <v>8.74</v>
      </c>
      <c r="BN26" s="241">
        <f>IF($A26="","",IFERROR(SUMPRODUCT((Raw_Data_Daily!$B$2:$B$9999="Variant")*(Raw_Data_Daily!$A$2:$A$9999=$A26)*(Raw_Data_Daily!$C$2:$C$9999=$C$3)*Raw_Data_Daily!$D$2:$D$9999*Raw_Data_Daily!$X$2:$X$9999)/SUMIFS(Raw_Data_Daily!$D:$D, Raw_Data_Daily!$B:$B, "Variant", Raw_Data_Daily!$A:$A, $A26, Raw_Data_Daily!$C:$C, $C$3),""))</f>
        <v>9.47</v>
      </c>
      <c r="BO26" s="238">
        <f t="shared" si="22"/>
        <v>0.08352402746</v>
      </c>
      <c r="BP26" s="234">
        <f>IF($A26="","",IFERROR(SUMPRODUCT((Raw_Data_Daily!$B$2:$B$9999="Control")*(Raw_Data_Daily!$A$2:$A$9999=$A26)*(Raw_Data_Daily!$C$2:$C$9999=$C$3)*Raw_Data_Daily!$D$2:$D$9999*Raw_Data_Daily!$Y$2:$Y$9999)/SUMIFS(Raw_Data_Daily!$D:$D, Raw_Data_Daily!$B:$B, "Control", Raw_Data_Daily!$A:$A, $A26, Raw_Data_Daily!$C:$C, $C$3),""))</f>
        <v>317</v>
      </c>
      <c r="BQ26" s="234">
        <f>IF($A26="","",IFERROR(SUMPRODUCT((Raw_Data_Daily!$B$2:$B$9999="Variant")*(Raw_Data_Daily!$A$2:$A$9999=$A26)*(Raw_Data_Daily!$C$2:$C$9999=$C$3)*Raw_Data_Daily!$D$2:$D$9999*Raw_Data_Daily!$Y$2:$Y$9999)/SUMIFS(Raw_Data_Daily!$D:$D, Raw_Data_Daily!$B:$B, "Variant", Raw_Data_Daily!$A:$A, $A26, Raw_Data_Daily!$C:$C, $C$3),""))</f>
        <v>270</v>
      </c>
      <c r="BR26" s="235">
        <f t="shared" si="23"/>
        <v>-0.1482649842</v>
      </c>
      <c r="BS26" s="234">
        <f>IF($A26="","",IFERROR(SUMPRODUCT((Raw_Data_Daily!$B$2:$B$9999="Control")*(Raw_Data_Daily!$A$2:$A$9999=$A26)*(Raw_Data_Daily!$C$2:$C$9999=$C$3)*Raw_Data_Daily!$D$2:$D$9999*Raw_Data_Daily!$Z$2:$Z$9999)/SUMIFS(Raw_Data_Daily!$D:$D, Raw_Data_Daily!$B:$B, "Control", Raw_Data_Daily!$A:$A, $A26, Raw_Data_Daily!$C:$C, $C$3),""))</f>
        <v>701</v>
      </c>
      <c r="BT26" s="234">
        <f>IF($A26="","",IFERROR(SUMPRODUCT((Raw_Data_Daily!$B$2:$B$9999="Variant")*(Raw_Data_Daily!$A$2:$A$9999=$A26)*(Raw_Data_Daily!$C$2:$C$9999=$C$3)*Raw_Data_Daily!$D$2:$D$9999*Raw_Data_Daily!$Z$2:$Z$9999)/SUMIFS(Raw_Data_Daily!$D:$D, Raw_Data_Daily!$B:$B, "Variant", Raw_Data_Daily!$A:$A, $A26, Raw_Data_Daily!$C:$C, $C$3),""))</f>
        <v>567</v>
      </c>
      <c r="BU26" s="235">
        <f t="shared" si="24"/>
        <v>-0.1911554922</v>
      </c>
      <c r="BV26" s="234">
        <f>IF($A26="","",IFERROR(SUMPRODUCT((Raw_Data_Daily!$B$2:$B$9999="Control")*(Raw_Data_Daily!$A$2:$A$9999=$A26)*(Raw_Data_Daily!$C$2:$C$9999=$C$3)*Raw_Data_Daily!$D$2:$D$9999*Raw_Data_Daily!$AA$2:$AA$9999)/SUMIFS(Raw_Data_Daily!$D:$D, Raw_Data_Daily!$B:$B, "Control", Raw_Data_Daily!$A:$A, $A26, Raw_Data_Daily!$C:$C, $C$3),""))</f>
        <v>1565</v>
      </c>
      <c r="BW26" s="234">
        <f>IF($A26="","",IFERROR(SUMPRODUCT((Raw_Data_Daily!$B$2:$B$9999="Variant")*(Raw_Data_Daily!$A$2:$A$9999=$A26)*(Raw_Data_Daily!$C$2:$C$9999=$C$3)*Raw_Data_Daily!$D$2:$D$9999*Raw_Data_Daily!$AA$2:$AA$9999)/SUMIFS(Raw_Data_Daily!$D:$D, Raw_Data_Daily!$B:$B, "Variant", Raw_Data_Daily!$A:$A, $A26, Raw_Data_Daily!$C:$C, $C$3),""))</f>
        <v>1266</v>
      </c>
      <c r="BX26" s="235">
        <f t="shared" si="25"/>
        <v>-0.1910543131</v>
      </c>
      <c r="BY26" s="240">
        <f>IF($A26="","",IFERROR(SUMPRODUCT((Raw_Data_Daily!$B$2:$B$9999="Control")*(Raw_Data_Daily!$A$2:$A$9999=$A26)*(Raw_Data_Daily!$C$2:$C$9999=$C$3)*Raw_Data_Daily!$D$2:$D$9999*Raw_Data_Daily!$AB$2:$AB$9999)/SUMIFS(Raw_Data_Daily!$D:$D, Raw_Data_Daily!$B:$B, "Control", Raw_Data_Daily!$A:$A, $A26, Raw_Data_Daily!$C:$C, $C$3),""))</f>
        <v>55.4259</v>
      </c>
      <c r="BZ26" s="240">
        <f>IF($A26="","",IFERROR(SUMPRODUCT((Raw_Data_Daily!$B$2:$B$9999="Variant")*(Raw_Data_Daily!$A$2:$A$9999=$A26)*(Raw_Data_Daily!$C$2:$C$9999=$C$3)*Raw_Data_Daily!$D$2:$D$9999*Raw_Data_Daily!$AB$2:$AB$9999)/SUMIFS(Raw_Data_Daily!$D:$D, Raw_Data_Daily!$B:$B, "Variant", Raw_Data_Daily!$A:$A, $A26, Raw_Data_Daily!$C:$C, $C$3),""))</f>
        <v>55.1954</v>
      </c>
      <c r="CA26" s="238">
        <f t="shared" si="26"/>
        <v>-0.004158705587</v>
      </c>
      <c r="CB26" s="240">
        <f>IF($A26="","",IFERROR(SUMPRODUCT((Raw_Data_Daily!$B$2:$B$9999="Control")*(Raw_Data_Daily!$A$2:$A$9999=$A26)*(Raw_Data_Daily!$C$2:$C$9999=$C$3)*Raw_Data_Daily!$D$2:$D$9999*Raw_Data_Daily!$AC$2:$AC$9999)/SUMIFS(Raw_Data_Daily!$D:$D, Raw_Data_Daily!$B:$B, "Control", Raw_Data_Daily!$A:$A, $A26, Raw_Data_Daily!$C:$C, $C$3),""))</f>
        <v>0.7727</v>
      </c>
      <c r="CC26" s="240">
        <f>IF($A26="","",IFERROR(SUMPRODUCT((Raw_Data_Daily!$B$2:$B$9999="Variant")*(Raw_Data_Daily!$A$2:$A$9999=$A26)*(Raw_Data_Daily!$C$2:$C$9999=$C$3)*Raw_Data_Daily!$D$2:$D$9999*Raw_Data_Daily!$AC$2:$AC$9999)/SUMIFS(Raw_Data_Daily!$D:$D, Raw_Data_Daily!$B:$B, "Variant", Raw_Data_Daily!$A:$A, $A26, Raw_Data_Daily!$C:$C, $C$3),""))</f>
        <v>0.7619</v>
      </c>
      <c r="CD26" s="238">
        <f t="shared" si="27"/>
        <v>-0.01397696389</v>
      </c>
      <c r="CE26" s="240">
        <f>IF($A26="","",IFERROR(SUMPRODUCT((Raw_Data_Daily!$B$2:$B$9999="Control")*(Raw_Data_Daily!$A$2:$A$9999=$A26)*(Raw_Data_Daily!$C$2:$C$9999=$C$3)*Raw_Data_Daily!$D$2:$D$9999*Raw_Data_Daily!$AD$2:$AD$9999)/SUMIFS(Raw_Data_Daily!$D:$D, Raw_Data_Daily!$B:$B, "Control", Raw_Data_Daily!$A:$A, $A26, Raw_Data_Daily!$C:$C, $C$3),""))</f>
        <v>28.31</v>
      </c>
      <c r="CF26" s="240">
        <f>IF($A26="","",IFERROR(SUMPRODUCT((Raw_Data_Daily!$B$2:$B$9999="Variant")*(Raw_Data_Daily!$A$2:$A$9999=$A26)*(Raw_Data_Daily!$C$2:$C$9999=$C$3)*Raw_Data_Daily!$D$2:$D$9999*Raw_Data_Daily!$AD$2:$AD$9999)/SUMIFS(Raw_Data_Daily!$D:$D, Raw_Data_Daily!$B:$B, "Variant", Raw_Data_Daily!$A:$A, $A26, Raw_Data_Daily!$C:$C, $C$3),""))</f>
        <v>26.59</v>
      </c>
      <c r="CG26" s="238">
        <f t="shared" si="28"/>
        <v>-0.06075591664</v>
      </c>
      <c r="CH26" s="240">
        <f>IF($A26="","",IFERROR(SUMPRODUCT((Raw_Data_Daily!$B$2:$B$9999="Control")*(Raw_Data_Daily!$A$2:$A$9999=$A26)*(Raw_Data_Daily!$C$2:$C$9999=$C$3)*Raw_Data_Daily!$D$2:$D$9999*Raw_Data_Daily!$AE$2:$AE$9999)/SUMIFS(Raw_Data_Daily!$D:$D, Raw_Data_Daily!$B:$B, "Control", Raw_Data_Daily!$A:$A, $A26, Raw_Data_Daily!$C:$C, $C$3),""))</f>
        <v>10</v>
      </c>
      <c r="CI26" s="240">
        <f>IF($A26="","",IFERROR(SUMPRODUCT((Raw_Data_Daily!$B$2:$B$9999="Variant")*(Raw_Data_Daily!$A$2:$A$9999=$A26)*(Raw_Data_Daily!$C$2:$C$9999=$C$3)*Raw_Data_Daily!$D$2:$D$9999*Raw_Data_Daily!$AE$2:$AE$9999)/SUMIFS(Raw_Data_Daily!$D:$D, Raw_Data_Daily!$B:$B, "Variant", Raw_Data_Daily!$A:$A, $A26, Raw_Data_Daily!$C:$C, $C$3),""))</f>
        <v>9</v>
      </c>
      <c r="CJ26" s="238">
        <f t="shared" si="29"/>
        <v>-0.1</v>
      </c>
      <c r="CK26" s="240">
        <f>IF($A26="","",IFERROR(SUMPRODUCT((Raw_Data_Daily!$B$2:$B$9999="Control")*(Raw_Data_Daily!$A$2:$A$9999=$A26)*(Raw_Data_Daily!$C$2:$C$9999=$C$3)*Raw_Data_Daily!$D$2:$D$9999*Raw_Data_Daily!$AF$2:$AF$9999)/SUMIFS(Raw_Data_Daily!$D:$D, Raw_Data_Daily!$B:$B, "Control", Raw_Data_Daily!$A:$A, $A26, Raw_Data_Daily!$C:$C, $C$3),""))</f>
        <v>20</v>
      </c>
      <c r="CL26" s="240">
        <f>IF($A26="","",IFERROR(SUMPRODUCT((Raw_Data_Daily!$B$2:$B$9999="Variant")*(Raw_Data_Daily!$A$2:$A$9999=$A26)*(Raw_Data_Daily!$C$2:$C$9999=$C$3)*Raw_Data_Daily!$D$2:$D$9999*Raw_Data_Daily!$AF$2:$AF$9999)/SUMIFS(Raw_Data_Daily!$D:$D, Raw_Data_Daily!$B:$B, "Variant", Raw_Data_Daily!$A:$A, $A26, Raw_Data_Daily!$C:$C, $C$3),""))</f>
        <v>18</v>
      </c>
      <c r="CM26" s="238">
        <f t="shared" si="30"/>
        <v>-0.1</v>
      </c>
      <c r="CN26" s="240">
        <f>IF($A26="","",IFERROR(SUMPRODUCT((Raw_Data_Daily!$B$2:$B$9999="Control")*(Raw_Data_Daily!$A$2:$A$9999=$A26)*(Raw_Data_Daily!$C$2:$C$9999=$C$3)*Raw_Data_Daily!$D$2:$D$9999*Raw_Data_Daily!$AG$2:$AG$9999)/SUMIFS(Raw_Data_Daily!$D:$D, Raw_Data_Daily!$B:$B, "Control", Raw_Data_Daily!$A:$A, $A26, Raw_Data_Daily!$C:$C, $C$3),""))</f>
        <v>40</v>
      </c>
      <c r="CO26" s="240">
        <f>IF($A26="","",IFERROR(SUMPRODUCT((Raw_Data_Daily!$B$2:$B$9999="Variant")*(Raw_Data_Daily!$A$2:$A$9999=$A26)*(Raw_Data_Daily!$C$2:$C$9999=$C$3)*Raw_Data_Daily!$D$2:$D$9999*Raw_Data_Daily!$AG$2:$AG$9999)/SUMIFS(Raw_Data_Daily!$D:$D, Raw_Data_Daily!$B:$B, "Variant", Raw_Data_Daily!$A:$A, $A26, Raw_Data_Daily!$C:$C, $C$3),""))</f>
        <v>36</v>
      </c>
      <c r="CP26" s="238">
        <f t="shared" si="31"/>
        <v>-0.1</v>
      </c>
      <c r="CQ26" s="240">
        <f>IF($A26="","",IFERROR(SUMPRODUCT((Raw_Data_Daily!$B$2:$B$9999="Control")*(Raw_Data_Daily!$A$2:$A$9999=$A26)*(Raw_Data_Daily!$C$2:$C$9999=$C$3)*Raw_Data_Daily!$D$2:$D$9999*Raw_Data_Daily!$AH$2:$AH$9999)/SUMIFS(Raw_Data_Daily!$D:$D, Raw_Data_Daily!$B:$B, "Control", Raw_Data_Daily!$A:$A, $A26, Raw_Data_Daily!$C:$C, $C$3),""))</f>
        <v>63</v>
      </c>
      <c r="CR26" s="240">
        <f>IF($A26="","",IFERROR(SUMPRODUCT((Raw_Data_Daily!$B$2:$B$9999="Variant")*(Raw_Data_Daily!$A$2:$A$9999=$A26)*(Raw_Data_Daily!$C$2:$C$9999=$C$3)*Raw_Data_Daily!$D$2:$D$9999*Raw_Data_Daily!$AH$2:$AH$9999)/SUMIFS(Raw_Data_Daily!$D:$D, Raw_Data_Daily!$B:$B, "Variant", Raw_Data_Daily!$A:$A, $A26, Raw_Data_Daily!$C:$C, $C$3),""))</f>
        <v>60</v>
      </c>
      <c r="CS26" s="238">
        <f t="shared" si="32"/>
        <v>-0.04761904762</v>
      </c>
      <c r="CT26" s="236">
        <f>IF($A26="","",IFERROR(SUMPRODUCT((Raw_Data_Daily!$B$2:$B$9999="Control")*(Raw_Data_Daily!$A$2:$A$9999=$A26)*(Raw_Data_Daily!$C$2:$C$9999=$C$3)*Raw_Data_Daily!$D$2:$D$9999*Raw_Data_Daily!$AI$2:$AI$9999)/SUMIFS(Raw_Data_Daily!$D:$D, Raw_Data_Daily!$B:$B, "Control", Raw_Data_Daily!$A:$A, $A26, Raw_Data_Daily!$C:$C, $C$3),""))</f>
        <v>38</v>
      </c>
      <c r="CU26" s="236">
        <f>IF($A26="","",IFERROR(SUMPRODUCT((Raw_Data_Daily!$B$2:$B$9999="Variant")*(Raw_Data_Daily!$A$2:$A$9999=$A26)*(Raw_Data_Daily!$C$2:$C$9999=$C$3)*Raw_Data_Daily!$D$2:$D$9999*Raw_Data_Daily!$AI$2:$AI$9999)/SUMIFS(Raw_Data_Daily!$D:$D, Raw_Data_Daily!$B:$B, "Variant", Raw_Data_Daily!$A:$A, $A26, Raw_Data_Daily!$C:$C, $C$3),""))</f>
        <v>34.19</v>
      </c>
      <c r="CV26" s="242">
        <f t="shared" si="33"/>
        <v>-0.1002631579</v>
      </c>
      <c r="CW26" s="236">
        <f>IF($A26="","",IFERROR(SUMPRODUCT((Raw_Data_Daily!$B$2:$B$9999="Control")*(Raw_Data_Daily!$A$2:$A$9999=$A26)*(Raw_Data_Daily!$C$2:$C$9999=$C$3)*Raw_Data_Daily!$D$2:$D$9999*Raw_Data_Daily!$AJ$2:$AJ$9999)/SUMIFS(Raw_Data_Daily!$D:$D, Raw_Data_Daily!$B:$B, "Control", Raw_Data_Daily!$A:$A, $A26, Raw_Data_Daily!$C:$C, $C$3),""))</f>
        <v>11.31</v>
      </c>
      <c r="CX26" s="236">
        <f>IF($A26="","",IFERROR(SUMPRODUCT((Raw_Data_Daily!$B$2:$B$9999="Variant")*(Raw_Data_Daily!$A$2:$A$9999=$A26)*(Raw_Data_Daily!$C$2:$C$9999=$C$3)*Raw_Data_Daily!$D$2:$D$9999*Raw_Data_Daily!$AJ$2:$AJ$9999)/SUMIFS(Raw_Data_Daily!$D:$D, Raw_Data_Daily!$B:$B, "Variant", Raw_Data_Daily!$A:$A, $A26, Raw_Data_Daily!$C:$C, $C$3),""))</f>
        <v>9.95</v>
      </c>
      <c r="CY26" s="242">
        <f t="shared" si="34"/>
        <v>-0.1202475685</v>
      </c>
      <c r="CZ26" s="236">
        <f>IF($A26="","",IFERROR(SUMPRODUCT((Raw_Data_Daily!$B$2:$B$9999="Control")*(Raw_Data_Daily!$A$2:$A$9999=$A26)*(Raw_Data_Daily!$C$2:$C$9999=$C$3)*Raw_Data_Daily!$D$2:$D$9999*Raw_Data_Daily!$AK$2:$AK$9999)/SUMIFS(Raw_Data_Daily!$D:$D, Raw_Data_Daily!$B:$B, "Control", Raw_Data_Daily!$A:$A, $A26, Raw_Data_Daily!$C:$C, $C$3),""))</f>
        <v>2.58</v>
      </c>
      <c r="DA26" s="236">
        <f>IF($A26="","",IFERROR(SUMPRODUCT((Raw_Data_Daily!$B$2:$B$9999="Variant")*(Raw_Data_Daily!$A$2:$A$9999=$A26)*(Raw_Data_Daily!$C$2:$C$9999=$C$3)*Raw_Data_Daily!$D$2:$D$9999*Raw_Data_Daily!$AK$2:$AK$9999)/SUMIFS(Raw_Data_Daily!$D:$D, Raw_Data_Daily!$B:$B, "Variant", Raw_Data_Daily!$A:$A, $A26, Raw_Data_Daily!$C:$C, $C$3),""))</f>
        <v>2.87</v>
      </c>
      <c r="DB26" s="238">
        <f t="shared" si="35"/>
        <v>0.1124031008</v>
      </c>
      <c r="DC26" s="241">
        <f>IF($A26="","",IFERROR(SUMPRODUCT((Raw_Data_Daily!$B$2:$B$9999="Control")*(Raw_Data_Daily!$A$2:$A$9999=$A26)*(Raw_Data_Daily!$C$2:$C$9999=$C$3)*Raw_Data_Daily!$D$2:$D$9999*Raw_Data_Daily!$AL$2:$AL$9999)/SUMIFS(Raw_Data_Daily!$D:$D, Raw_Data_Daily!$B:$B, "Control", Raw_Data_Daily!$A:$A, $A26, Raw_Data_Daily!$C:$C, $C$3),""))</f>
        <v>0.1847</v>
      </c>
      <c r="DD26" s="241">
        <f>IF($A26="","",IFERROR(SUMPRODUCT((Raw_Data_Daily!$B$2:$B$9999="Variant")*(Raw_Data_Daily!$A$2:$A$9999=$A26)*(Raw_Data_Daily!$C$2:$C$9999=$C$3)*Raw_Data_Daily!$D$2:$D$9999*Raw_Data_Daily!$AL$2:$AL$9999)/SUMIFS(Raw_Data_Daily!$D:$D, Raw_Data_Daily!$B:$B, "Variant", Raw_Data_Daily!$A:$A, $A26, Raw_Data_Daily!$C:$C, $C$3),""))</f>
        <v>0.1855</v>
      </c>
      <c r="DE26" s="242">
        <f t="shared" si="36"/>
        <v>0.004331348132</v>
      </c>
      <c r="DF26" s="243"/>
      <c r="DG26" s="236">
        <f>IF($A26="","",IFERROR(SUMPRODUCT((Raw_Data_Daily!$B$2:$B$9999="Variant")*(Raw_Data_Daily!$A$2:$A$9999=$A26)*(Raw_Data_Daily!$C$2:$C$9999=$C$3)*Raw_Data_Daily!$D$2:$D$9999*Raw_Data_Daily!$AM$2:$AM$9999)/SUMIFS(Raw_Data_Daily!$D:$D, Raw_Data_Daily!$B:$B, "Variant", Raw_Data_Daily!$A:$A, $A26, Raw_Data_Daily!$C:$C, $C$3),""))</f>
        <v>36.95</v>
      </c>
      <c r="DH26" s="244"/>
      <c r="DI26" s="243"/>
      <c r="DJ26" s="236">
        <f>IF($A26="","",IFERROR(SUMPRODUCT((Raw_Data_Daily!$B$2:$B$9999="Variant")*(Raw_Data_Daily!$A$2:$A$9999=$A26)*(Raw_Data_Daily!$C$2:$C$9999=$C$3)*Raw_Data_Daily!$D$2:$D$9999*Raw_Data_Daily!$AN$2:$AN$9999)/SUMIFS(Raw_Data_Daily!$D:$D, Raw_Data_Daily!$B:$B, "Variant", Raw_Data_Daily!$A:$A, $A26, Raw_Data_Daily!$C:$C, $C$3),""))</f>
        <v>36.95</v>
      </c>
      <c r="DK26" s="244"/>
      <c r="DL26" s="243"/>
      <c r="DM26" s="236">
        <f>IF($A26="","",IFERROR(SUMPRODUCT((Raw_Data_Daily!$B$2:$B$9999="Variant")*(Raw_Data_Daily!$A$2:$A$9999=$A26)*(Raw_Data_Daily!$C$2:$C$9999=$C$3)*Raw_Data_Daily!$D$2:$D$9999*Raw_Data_Daily!$AO$2:$AO$9999)/SUMIFS(Raw_Data_Daily!$D:$D, Raw_Data_Daily!$B:$B, "Variant", Raw_Data_Daily!$A:$A, $A26, Raw_Data_Daily!$C:$C, $C$3),""))</f>
        <v>21.67</v>
      </c>
      <c r="DN26" s="244"/>
      <c r="DO26" s="243"/>
      <c r="DP26" s="236">
        <f>IF($A26="","",IFERROR(SUMPRODUCT((Raw_Data_Daily!$B$2:$B$9999="Variant")*(Raw_Data_Daily!$A$2:$A$9999=$A26)*(Raw_Data_Daily!$C$2:$C$9999=$C$3)*Raw_Data_Daily!$D$2:$D$9999*Raw_Data_Daily!$AP$2:$AP$9999)/SUMIFS(Raw_Data_Daily!$D:$D, Raw_Data_Daily!$B:$B, "Variant", Raw_Data_Daily!$A:$A, $A26, Raw_Data_Daily!$C:$C, $C$3),""))</f>
        <v>13.68</v>
      </c>
      <c r="DQ26" s="244"/>
      <c r="DR26" s="241">
        <f>IF($A26="","",IFERROR(SUMPRODUCT((Raw_Data_Daily!$B$2:$B$9999="Control")*(Raw_Data_Daily!$A$2:$A$9999=$A26)*(Raw_Data_Daily!$C$2:$C$9999=$C$3)*Raw_Data_Daily!$D$2:$D$9999*Raw_Data_Daily!$AQ$2:$AQ$9999)/SUMIFS(Raw_Data_Daily!$D:$D, Raw_Data_Daily!$B:$B, "Control", Raw_Data_Daily!$A:$A, $A26, Raw_Data_Daily!$C:$C, $C$3),""))</f>
        <v>16.001</v>
      </c>
      <c r="DS26" s="241">
        <f>IF($A26="","",IFERROR(SUMPRODUCT((Raw_Data_Daily!$B$2:$B$9999="Variant")*(Raw_Data_Daily!$A$2:$A$9999=$A26)*(Raw_Data_Daily!$C$2:$C$9999=$C$3)*Raw_Data_Daily!$D$2:$D$9999*Raw_Data_Daily!$AQ$2:$AQ$9999)/SUMIFS(Raw_Data_Daily!$D:$D, Raw_Data_Daily!$B:$B, "Variant", Raw_Data_Daily!$A:$A, $A26, Raw_Data_Daily!$C:$C, $C$3),""))</f>
        <v>10.0138</v>
      </c>
      <c r="DT26" s="245">
        <f t="shared" si="37"/>
        <v>-0.374176614</v>
      </c>
      <c r="DU26" s="241">
        <f>IF($A26="","",IFERROR(SUMPRODUCT((Raw_Data_Daily!$B$2:$B$9999="Control")*(Raw_Data_Daily!$A$2:$A$9999=$A26)*(Raw_Data_Daily!$C$2:$C$9999=$C$3)*Raw_Data_Daily!$D$2:$D$9999*Raw_Data_Daily!$AR$2:$AR$9999)/SUMIFS(Raw_Data_Daily!$D:$D, Raw_Data_Daily!$B:$B, "Control", Raw_Data_Daily!$A:$A, $A26, Raw_Data_Daily!$C:$C, $C$3),""))</f>
        <v>0.307</v>
      </c>
      <c r="DV26" s="241">
        <f>IF($A26="","",IFERROR(SUMPRODUCT((Raw_Data_Daily!$B$2:$B$9999="Variant")*(Raw_Data_Daily!$A$2:$A$9999=$A26)*(Raw_Data_Daily!$C$2:$C$9999=$C$3)*Raw_Data_Daily!$D$2:$D$9999*Raw_Data_Daily!$AR$2:$AR$9999)/SUMIFS(Raw_Data_Daily!$D:$D, Raw_Data_Daily!$B:$B, "Variant", Raw_Data_Daily!$A:$A, $A26, Raw_Data_Daily!$C:$C, $C$3),""))</f>
        <v>0.3376</v>
      </c>
      <c r="DW26" s="245">
        <f t="shared" si="38"/>
        <v>0.0996742671</v>
      </c>
      <c r="DX26" s="241">
        <f>IF($A26="","",IFERROR(SUMPRODUCT((Raw_Data_Daily!$B$2:$B$9999="Control")*(Raw_Data_Daily!$A$2:$A$9999=$A26)*(Raw_Data_Daily!$C$2:$C$9999=$C$3)*Raw_Data_Daily!$D$2:$D$9999*Raw_Data_Daily!$AS$2:$AS$9999)/SUMIFS(Raw_Data_Daily!$D:$D, Raw_Data_Daily!$B:$B, "Control", Raw_Data_Daily!$A:$A, $A26, Raw_Data_Daily!$C:$C, $C$3),""))</f>
        <v>15.6941</v>
      </c>
      <c r="DY26" s="241">
        <f>IF($A26="","",IFERROR(SUMPRODUCT((Raw_Data_Daily!$B$2:$B$9999="Variant")*(Raw_Data_Daily!$A$2:$A$9999=$A26)*(Raw_Data_Daily!$C$2:$C$9999=$C$3)*Raw_Data_Daily!$D$2:$D$9999*Raw_Data_Daily!$AS$2:$AS$9999)/SUMIFS(Raw_Data_Daily!$D:$D, Raw_Data_Daily!$B:$B, "Variant", Raw_Data_Daily!$A:$A, $A26, Raw_Data_Daily!$C:$C, $C$3),""))</f>
        <v>9.6762</v>
      </c>
      <c r="DZ26" s="245">
        <f t="shared" si="39"/>
        <v>-0.3834498315</v>
      </c>
      <c r="EA26" s="241">
        <f>IF($A26="","",IFERROR(SUMPRODUCT((Raw_Data_Daily!$B$2:$B$9999="Control")*(Raw_Data_Daily!$A$2:$A$9999=$A26)*(Raw_Data_Daily!$C$2:$C$9999=$C$3)*Raw_Data_Daily!$D$2:$D$9999*Raw_Data_Daily!$AT$2:$AT$9999)/SUMIFS(Raw_Data_Daily!$D:$D, Raw_Data_Daily!$B:$B, "Control", Raw_Data_Daily!$A:$A, $A26, Raw_Data_Daily!$C:$C, $C$3),""))</f>
        <v>14.5188</v>
      </c>
      <c r="EB26" s="241">
        <f>IF($A26="","",IFERROR(SUMPRODUCT((Raw_Data_Daily!$B$2:$B$9999="Variant")*(Raw_Data_Daily!$A$2:$A$9999=$A26)*(Raw_Data_Daily!$C$2:$C$9999=$C$3)*Raw_Data_Daily!$D$2:$D$9999*Raw_Data_Daily!$AT$2:$AT$9999)/SUMIFS(Raw_Data_Daily!$D:$D, Raw_Data_Daily!$B:$B, "Variant", Raw_Data_Daily!$A:$A, $A26, Raw_Data_Daily!$C:$C, $C$3),""))</f>
        <v>10.6588</v>
      </c>
      <c r="EC26" s="245">
        <f t="shared" si="40"/>
        <v>-0.2658621925</v>
      </c>
      <c r="ED26" s="241">
        <f>IF($A26="","",IFERROR(SUMPRODUCT((Raw_Data_Daily!$B$2:$B$9999="Control")*(Raw_Data_Daily!$A$2:$A$9999=$A26)*(Raw_Data_Daily!$C$2:$C$9999=$C$3)*Raw_Data_Daily!$D$2:$D$9999*(Raw_Data_Daily!$AQ$2:$AQ$9999-Raw_Data_Daily!$AT$2:$AT$9999))/SUMIFS(Raw_Data_Daily!$D:$D, Raw_Data_Daily!$B:$B, "Control", Raw_Data_Daily!$A:$A, $A26, Raw_Data_Daily!$C:$C, $C$3),""))</f>
        <v>1.4822</v>
      </c>
      <c r="EE26" s="241">
        <f>IF($A26="","",IFERROR(SUMPRODUCT((Raw_Data_Daily!$B$2:$B$9999="Variant")*(Raw_Data_Daily!$A$2:$A$9999=$A26)*(Raw_Data_Daily!$C$2:$C$9999=$C$3)*Raw_Data_Daily!$D$2:$D$9999*(Raw_Data_Daily!$AQ$2:$AQ$9999-Raw_Data_Daily!$AT$2:$AT$9999))/SUMIFS(Raw_Data_Daily!$D:$D, Raw_Data_Daily!$B:$B, "Variant", Raw_Data_Daily!$A:$A, $A26, Raw_Data_Daily!$C:$C, $C$3),""))</f>
        <v>-0.645</v>
      </c>
      <c r="EF26" s="245">
        <f t="shared" si="41"/>
        <v>-1.435163945</v>
      </c>
      <c r="EG26" s="241">
        <f>IF($A26="","",IFERROR(SUMPRODUCT((Raw_Data_Daily!$B$2:$B$9999="Control")*(Raw_Data_Daily!$A$2:$A$9999=$A26)*(Raw_Data_Daily!$C$2:$C$9999=$C$3)*Raw_Data_Daily!$D$2:$D$9999*Raw_Data_Daily!$AU$2:$AU$9999)/SUMIFS(Raw_Data_Daily!$D:$D, Raw_Data_Daily!$B:$B, "Control", Raw_Data_Daily!$A:$A, $A26, Raw_Data_Daily!$C:$C, $C$3),""))</f>
        <v>0.2148</v>
      </c>
      <c r="EH26" s="241">
        <f>IF($A26="","",IFERROR(SUMPRODUCT((Raw_Data_Daily!$B$2:$B$9999="Variant")*(Raw_Data_Daily!$A$2:$A$9999=$A26)*(Raw_Data_Daily!$C$2:$C$9999=$C$3)*Raw_Data_Daily!$D$2:$D$9999*Raw_Data_Daily!$AU$2:$AU$9999)/SUMIFS(Raw_Data_Daily!$D:$D, Raw_Data_Daily!$B:$B, "Variant", Raw_Data_Daily!$A:$A, $A26, Raw_Data_Daily!$C:$C, $C$3),""))</f>
        <v>0.1558</v>
      </c>
      <c r="EI26" s="245">
        <f t="shared" si="42"/>
        <v>-0.2746741155</v>
      </c>
    </row>
    <row r="27" ht="15.75" customHeight="1">
      <c r="A27" s="177">
        <v>46250.0</v>
      </c>
      <c r="B27" s="178">
        <f>IF($A27="","",SUMIFS(Raw_Data_Daily!$D:$D, Raw_Data_Daily!$B:$B, "Control", Raw_Data_Daily!$A:$A, $A27, Raw_Data_Daily!$C:$C, $C$3))</f>
        <v>2931</v>
      </c>
      <c r="C27" s="178">
        <f>IF($A27="","",SUMIFS(Raw_Data_Daily!$D:$D, Raw_Data_Daily!$B:$B, "Variant", Raw_Data_Daily!$A:$A, $A27, Raw_Data_Daily!$C:$C, $C$3))</f>
        <v>2671</v>
      </c>
      <c r="D27" s="179">
        <f t="shared" si="1"/>
        <v>-0.08870692596</v>
      </c>
      <c r="E27" s="180">
        <f>IF($A27="","",IFERROR(SUMPRODUCT((Raw_Data_Daily!$B$2:$B$9999="Control")*(Raw_Data_Daily!$A$2:$A$9999=$A27)*(Raw_Data_Daily!$C$2:$C$9999=$C$3)*Raw_Data_Daily!$D$2:$D$9999*Raw_Data_Daily!$E$2:$E$9999)/SUMIFS(Raw_Data_Daily!$D:$D, Raw_Data_Daily!$B:$B, "Control", Raw_Data_Daily!$A:$A, $A27, Raw_Data_Daily!$C:$C, $C$3),""))</f>
        <v>11.27</v>
      </c>
      <c r="F27" s="180">
        <f>IF($A27="","",IFERROR(SUMPRODUCT((Raw_Data_Daily!$B$2:$B$9999="Variant")*(Raw_Data_Daily!$A$2:$A$9999=$A27)*(Raw_Data_Daily!$C$2:$C$9999=$C$3)*Raw_Data_Daily!$D$2:$D$9999*Raw_Data_Daily!$E$2:$E$9999)/SUMIFS(Raw_Data_Daily!$D:$D, Raw_Data_Daily!$B:$B, "Variant", Raw_Data_Daily!$A:$A, $A27, Raw_Data_Daily!$C:$C, $C$3),""))</f>
        <v>10.35</v>
      </c>
      <c r="G27" s="179">
        <f t="shared" si="2"/>
        <v>-0.08163265306</v>
      </c>
      <c r="H27" s="182">
        <f>IF($A27="","",SUMIFS(Raw_Data_Daily!$F:$F, Raw_Data_Daily!$B:$B, "Control", Raw_Data_Daily!$A:$A, $A27, Raw_Data_Daily!$C:$C, $C$3))</f>
        <v>935.48</v>
      </c>
      <c r="I27" s="182">
        <f>IF($A27="","",SUMIFS(Raw_Data_Daily!$F:$F, Raw_Data_Daily!$B:$B, "Variant", Raw_Data_Daily!$A:$A, $A27, Raw_Data_Daily!$C:$C, $C$3))</f>
        <v>683.83</v>
      </c>
      <c r="J27" s="183">
        <f t="shared" si="3"/>
        <v>-0.2690062855</v>
      </c>
      <c r="K27" s="184">
        <f>IF($A27="","",IFERROR(SUMIFS(Raw_Data_Daily!$F:$F, Raw_Data_Daily!$B:$B, "Control", Raw_Data_Daily!$A:$A, $A27, Raw_Data_Daily!$C:$C, $C$3)/SUMIFS(Raw_Data_Daily!$D:$D, Raw_Data_Daily!$B:$B, "Control", Raw_Data_Daily!$A:$A, $A27, Raw_Data_Daily!$C:$C, $C$3),""))</f>
        <v>0.3191675196</v>
      </c>
      <c r="L27" s="184">
        <f>IF($A27="","",IFERROR(SUMIFS(Raw_Data_Daily!$F:$F, Raw_Data_Daily!$B:$B, "Variant", Raw_Data_Daily!$A:$A, $A27, Raw_Data_Daily!$C:$C, $C$3)/SUMIFS(Raw_Data_Daily!$D:$D, Raw_Data_Daily!$B:$B, "Variant", Raw_Data_Daily!$A:$A, $A27, Raw_Data_Daily!$C:$C, $C$3),""))</f>
        <v>0.2560202171</v>
      </c>
      <c r="M27" s="183">
        <f t="shared" si="4"/>
        <v>-0.1978500273</v>
      </c>
      <c r="N27" s="180">
        <f>IF($A27="","",IFERROR(SUMPRODUCT((Raw_Data_Daily!$B$2:$B$9999="Control")*(Raw_Data_Daily!$A$2:$A$9999=$A27)*(Raw_Data_Daily!$C$2:$C$9999=$C$3)*Raw_Data_Daily!$D$2:$D$9999*Raw_Data_Daily!$H$2:$H$9999/100)/SUMIFS(Raw_Data_Daily!$D:$D, Raw_Data_Daily!$B:$B, "Control", Raw_Data_Daily!$A:$A, $A27, Raw_Data_Daily!$C:$C, $C$3)*100,""))</f>
        <v>5.15</v>
      </c>
      <c r="O27" s="180">
        <f>IF($A27="","",IFERROR(SUMPRODUCT((Raw_Data_Daily!$B$2:$B$9999="Variant")*(Raw_Data_Daily!$A$2:$A$9999=$A27)*(Raw_Data_Daily!$C$2:$C$9999=$C$3)*Raw_Data_Daily!$D$2:$D$9999*Raw_Data_Daily!$H$2:$H$9999/100)/SUMIFS(Raw_Data_Daily!$D:$D, Raw_Data_Daily!$B:$B, "Variant", Raw_Data_Daily!$A:$A, $A27, Raw_Data_Daily!$C:$C, $C$3)*100,""))</f>
        <v>5.24</v>
      </c>
      <c r="P27" s="183">
        <f t="shared" si="5"/>
        <v>0.01747572816</v>
      </c>
      <c r="Q27" s="184">
        <f>IF($A27="","",IFERROR(SUMIFS(Raw_Data_Daily!$F:$F, Raw_Data_Daily!$B:$B, "Control", Raw_Data_Daily!$A:$A, $A27, Raw_Data_Daily!$C:$C, $C$3)/SUMPRODUCT((Raw_Data_Daily!$B$2:$B$9999="Control")*(Raw_Data_Daily!$A$2:$A$9999=$A27)*(Raw_Data_Daily!$C$2:$C$9999=$C$3)*Raw_Data_Daily!$D$2:$D$9999*Raw_Data_Daily!$H$2:$H$9999/100),""))</f>
        <v>6.197427565</v>
      </c>
      <c r="R27" s="184">
        <f>IF($A27="","",IFERROR(SUMIFS(Raw_Data_Daily!$F:$F, Raw_Data_Daily!$B:$B, "Variant", Raw_Data_Daily!$A:$A, $A27, Raw_Data_Daily!$C:$C, $C$3)/SUMPRODUCT((Raw_Data_Daily!$B$2:$B$9999="Variant")*(Raw_Data_Daily!$A$2:$A$9999=$A27)*(Raw_Data_Daily!$C$2:$C$9999=$C$3)*Raw_Data_Daily!$D$2:$D$9999*Raw_Data_Daily!$H$2:$H$9999/100),""))</f>
        <v>4.885882007</v>
      </c>
      <c r="S27" s="183">
        <f t="shared" si="6"/>
        <v>-0.2116274123</v>
      </c>
      <c r="T27" s="185">
        <f>IF($A27="","",IFERROR(SUMPRODUCT((Raw_Data_Daily!$B$2:$B$9999="Control")*(Raw_Data_Daily!$A$2:$A$9999=$A27)*(Raw_Data_Daily!$C$2:$C$9999=$C$3)*Raw_Data_Daily!$D$2:$D$9999*Raw_Data_Daily!$J$2:$J$9999)/SUMIFS(Raw_Data_Daily!$D:$D, Raw_Data_Daily!$B:$B, "Control", Raw_Data_Daily!$A:$A, $A27, Raw_Data_Daily!$C:$C, $C$3),""))</f>
        <v>116.1</v>
      </c>
      <c r="U27" s="185">
        <f>IF($A27="","",IFERROR(SUMPRODUCT((Raw_Data_Daily!$B$2:$B$9999="Variant")*(Raw_Data_Daily!$A$2:$A$9999=$A27)*(Raw_Data_Daily!$C$2:$C$9999=$C$3)*Raw_Data_Daily!$D$2:$D$9999*Raw_Data_Daily!$J$2:$J$9999)/SUMIFS(Raw_Data_Daily!$D:$D, Raw_Data_Daily!$B:$B, "Variant", Raw_Data_Daily!$A:$A, $A27, Raw_Data_Daily!$C:$C, $C$3),""))</f>
        <v>115.48</v>
      </c>
      <c r="V27" s="183">
        <f t="shared" si="7"/>
        <v>-0.005340223945</v>
      </c>
      <c r="W27" s="185">
        <f>IF($A27="","",IFERROR(SUMPRODUCT((Raw_Data_Daily!$B$2:$B$9999="Control")*(Raw_Data_Daily!$A$2:$A$9999=$A27)*(Raw_Data_Daily!$C$2:$C$9999=$C$3)*Raw_Data_Daily!$D$2:$D$9999*Raw_Data_Daily!$K$2:$K$9999)/SUMIFS(Raw_Data_Daily!$D:$D, Raw_Data_Daily!$B:$B, "Control", Raw_Data_Daily!$A:$A, $A27, Raw_Data_Daily!$C:$C, $C$3),""))</f>
        <v>71.73</v>
      </c>
      <c r="X27" s="185">
        <f>IF($A27="","",IFERROR(SUMPRODUCT((Raw_Data_Daily!$B$2:$B$9999="Variant")*(Raw_Data_Daily!$A$2:$A$9999=$A27)*(Raw_Data_Daily!$C$2:$C$9999=$C$3)*Raw_Data_Daily!$D$2:$D$9999*Raw_Data_Daily!$K$2:$K$9999)/SUMIFS(Raw_Data_Daily!$D:$D, Raw_Data_Daily!$B:$B, "Variant", Raw_Data_Daily!$A:$A, $A27, Raw_Data_Daily!$C:$C, $C$3),""))</f>
        <v>71.32</v>
      </c>
      <c r="Y27" s="183">
        <f t="shared" si="8"/>
        <v>-0.005715878991</v>
      </c>
      <c r="Z27" s="185">
        <f>IF($A27="","",IFERROR(SUMPRODUCT((Raw_Data_Daily!$B$2:$B$9999="Control")*(Raw_Data_Daily!$A$2:$A$9999=$A27)*(Raw_Data_Daily!$C$2:$C$9999=$C$3)*Raw_Data_Daily!$D$2:$D$9999*Raw_Data_Daily!$L$2:$L$9999)/SUMIFS(Raw_Data_Daily!$D:$D, Raw_Data_Daily!$B:$B, "Control", Raw_Data_Daily!$A:$A, $A27, Raw_Data_Daily!$C:$C, $C$3),""))</f>
        <v>51.6</v>
      </c>
      <c r="AA27" s="185">
        <f>IF($A27="","",IFERROR(SUMPRODUCT((Raw_Data_Daily!$B$2:$B$9999="Variant")*(Raw_Data_Daily!$A$2:$A$9999=$A27)*(Raw_Data_Daily!$C$2:$C$9999=$C$3)*Raw_Data_Daily!$D$2:$D$9999*Raw_Data_Daily!$L$2:$L$9999)/SUMIFS(Raw_Data_Daily!$D:$D, Raw_Data_Daily!$B:$B, "Variant", Raw_Data_Daily!$A:$A, $A27, Raw_Data_Daily!$C:$C, $C$3),""))</f>
        <v>51.53</v>
      </c>
      <c r="AB27" s="183">
        <f t="shared" si="9"/>
        <v>-0.001356589147</v>
      </c>
      <c r="AC27" s="186">
        <f>IF($A27="","",IFERROR(SUMPRODUCT((Raw_Data_Daily!$B$2:$B$9999="Control")*(Raw_Data_Daily!$A$2:$A$9999=$A27)*(Raw_Data_Daily!$C$2:$C$9999=$C$3)*Raw_Data_Daily!$D$2:$D$9999*Raw_Data_Daily!$M$2:$M$9999)/SUMIFS(Raw_Data_Daily!$D:$D, Raw_Data_Daily!$B:$B, "Control", Raw_Data_Daily!$A:$A, $A27, Raw_Data_Daily!$C:$C, $C$3),""))</f>
        <v>0.7193</v>
      </c>
      <c r="AD27" s="186">
        <f>IF($A27="","",IFERROR(SUMPRODUCT((Raw_Data_Daily!$B$2:$B$9999="Variant")*(Raw_Data_Daily!$A$2:$A$9999=$A27)*(Raw_Data_Daily!$C$2:$C$9999=$C$3)*Raw_Data_Daily!$D$2:$D$9999*Raw_Data_Daily!$M$2:$M$9999)/SUMIFS(Raw_Data_Daily!$D:$D, Raw_Data_Daily!$B:$B, "Variant", Raw_Data_Daily!$A:$A, $A27, Raw_Data_Daily!$C:$C, $C$3),""))</f>
        <v>0.7225</v>
      </c>
      <c r="AE27" s="187">
        <f t="shared" si="10"/>
        <v>0.004448769637</v>
      </c>
      <c r="AF27" s="186">
        <f>IF($A27="","",IFERROR(SUMPRODUCT((Raw_Data_Daily!$B$2:$B$9999="Control")*(Raw_Data_Daily!$A$2:$A$9999=$A27)*(Raw_Data_Daily!$C$2:$C$9999=$C$3)*Raw_Data_Daily!$D$2:$D$9999*Raw_Data_Daily!$N$2:$N$9999)/SUMIFS(Raw_Data_Daily!$D:$D, Raw_Data_Daily!$B:$B, "Control", Raw_Data_Daily!$A:$A, $A27, Raw_Data_Daily!$C:$C, $C$3),""))</f>
        <v>0.4015</v>
      </c>
      <c r="AG27" s="186">
        <f>IF($A27="","",IFERROR(SUMPRODUCT((Raw_Data_Daily!$B$2:$B$9999="Variant")*(Raw_Data_Daily!$A$2:$A$9999=$A27)*(Raw_Data_Daily!$C$2:$C$9999=$C$3)*Raw_Data_Daily!$D$2:$D$9999*Raw_Data_Daily!$N$2:$N$9999)/SUMIFS(Raw_Data_Daily!$D:$D, Raw_Data_Daily!$B:$B, "Variant", Raw_Data_Daily!$A:$A, $A27, Raw_Data_Daily!$C:$C, $C$3),""))</f>
        <v>0.3969</v>
      </c>
      <c r="AH27" s="187">
        <f t="shared" si="11"/>
        <v>-0.01145703611</v>
      </c>
      <c r="AI27" s="186">
        <f>IF($A27="","",IFERROR(SUMPRODUCT((Raw_Data_Daily!$B$2:$B$9999="Control")*(Raw_Data_Daily!$A$2:$A$9999=$A27)*(Raw_Data_Daily!$C$2:$C$9999=$C$3)*Raw_Data_Daily!$D$2:$D$9999*Raw_Data_Daily!$O$2:$O$9999)/SUMIFS(Raw_Data_Daily!$D:$D, Raw_Data_Daily!$B:$B, "Control", Raw_Data_Daily!$A:$A, $A27, Raw_Data_Daily!$C:$C, $C$3),""))</f>
        <v>0.2595</v>
      </c>
      <c r="AJ27" s="186">
        <f>IF($A27="","",IFERROR(SUMPRODUCT((Raw_Data_Daily!$B$2:$B$9999="Variant")*(Raw_Data_Daily!$A$2:$A$9999=$A27)*(Raw_Data_Daily!$C$2:$C$9999=$C$3)*Raw_Data_Daily!$D$2:$D$9999*Raw_Data_Daily!$O$2:$O$9999)/SUMIFS(Raw_Data_Daily!$D:$D, Raw_Data_Daily!$B:$B, "Variant", Raw_Data_Daily!$A:$A, $A27, Raw_Data_Daily!$C:$C, $C$3),""))</f>
        <v>0.2593</v>
      </c>
      <c r="AK27" s="183">
        <f t="shared" si="12"/>
        <v>-0.0007707129094</v>
      </c>
      <c r="AL27" s="185">
        <f>IF($A27="","",IFERROR(SUMPRODUCT((Raw_Data_Daily!$B$2:$B$9999="Control")*(Raw_Data_Daily!$A$2:$A$9999=$A27)*(Raw_Data_Daily!$C$2:$C$9999=$C$3)*Raw_Data_Daily!$D$2:$D$9999*Raw_Data_Daily!$P$2:$P$9999)/SUMIFS(Raw_Data_Daily!$D:$D, Raw_Data_Daily!$B:$B, "Control", Raw_Data_Daily!$A:$A, $A27, Raw_Data_Daily!$C:$C, $C$3),""))</f>
        <v>1.3902</v>
      </c>
      <c r="AM27" s="185">
        <f>IF($A27="","",IFERROR(SUMPRODUCT((Raw_Data_Daily!$B$2:$B$9999="Variant")*(Raw_Data_Daily!$A$2:$A$9999=$A27)*(Raw_Data_Daily!$C$2:$C$9999=$C$3)*Raw_Data_Daily!$D$2:$D$9999*Raw_Data_Daily!$P$2:$P$9999)/SUMIFS(Raw_Data_Daily!$D:$D, Raw_Data_Daily!$B:$B, "Variant", Raw_Data_Daily!$A:$A, $A27, Raw_Data_Daily!$C:$C, $C$3),""))</f>
        <v>1.3841</v>
      </c>
      <c r="AN27" s="183">
        <f t="shared" si="13"/>
        <v>-0.004387857862</v>
      </c>
      <c r="AO27" s="185">
        <f>IF($A27="","",IFERROR(SUMPRODUCT((Raw_Data_Daily!$B$2:$B$9999="Control")*(Raw_Data_Daily!$A$2:$A$9999=$A27)*(Raw_Data_Daily!$C$2:$C$9999=$C$3)*Raw_Data_Daily!$D$2:$D$9999*Raw_Data_Daily!$Q$2:$Q$9999)/SUMIFS(Raw_Data_Daily!$D:$D, Raw_Data_Daily!$B:$B, "Control", Raw_Data_Daily!$A:$A, $A27, Raw_Data_Daily!$C:$C, $C$3),""))</f>
        <v>251.55</v>
      </c>
      <c r="AP27" s="185">
        <f>IF($A27="","",IFERROR(SUMPRODUCT((Raw_Data_Daily!$B$2:$B$9999="Variant")*(Raw_Data_Daily!$A$2:$A$9999=$A27)*(Raw_Data_Daily!$C$2:$C$9999=$C$3)*Raw_Data_Daily!$D$2:$D$9999*Raw_Data_Daily!$Q$2:$Q$9999)/SUMIFS(Raw_Data_Daily!$D:$D, Raw_Data_Daily!$B:$B, "Variant", Raw_Data_Daily!$A:$A, $A27, Raw_Data_Daily!$C:$C, $C$3),""))</f>
        <v>257.46</v>
      </c>
      <c r="AQ27" s="179">
        <f t="shared" si="14"/>
        <v>0.02349433512</v>
      </c>
      <c r="AR27" s="185">
        <f>IF($A27="","",IFERROR(SUMPRODUCT((Raw_Data_Daily!$B$2:$B$9999="Control")*(Raw_Data_Daily!$A$2:$A$9999=$A27)*(Raw_Data_Daily!$C$2:$C$9999=$C$3)*Raw_Data_Daily!$D$2:$D$9999*Raw_Data_Daily!$R$2:$R$9999)/SUMIFS(Raw_Data_Daily!$D:$D, Raw_Data_Daily!$B:$B, "Control", Raw_Data_Daily!$A:$A, $A27, Raw_Data_Daily!$C:$C, $C$3),""))</f>
        <v>205.59</v>
      </c>
      <c r="AS27" s="185">
        <f>IF($A27="","",IFERROR(SUMPRODUCT((Raw_Data_Daily!$B$2:$B$9999="Variant")*(Raw_Data_Daily!$A$2:$A$9999=$A27)*(Raw_Data_Daily!$C$2:$C$9999=$C$3)*Raw_Data_Daily!$D$2:$D$9999*Raw_Data_Daily!$R$2:$R$9999)/SUMIFS(Raw_Data_Daily!$D:$D, Raw_Data_Daily!$B:$B, "Variant", Raw_Data_Daily!$A:$A, $A27, Raw_Data_Daily!$C:$C, $C$3),""))</f>
        <v>226.17</v>
      </c>
      <c r="AT27" s="179">
        <f t="shared" si="15"/>
        <v>0.100102145</v>
      </c>
      <c r="AU27" s="185">
        <f>IF($A27="","",IFERROR(SUMPRODUCT((Raw_Data_Daily!$B$2:$B$9999="Control")*(Raw_Data_Daily!$A$2:$A$9999=$A27)*(Raw_Data_Daily!$C$2:$C$9999=$C$3)*Raw_Data_Daily!$D$2:$D$9999*Raw_Data_Daily!$S$2:$S$9999)/SUMIFS(Raw_Data_Daily!$D:$D, Raw_Data_Daily!$B:$B, "Control", Raw_Data_Daily!$A:$A, $A27, Raw_Data_Daily!$C:$C, $C$3),""))</f>
        <v>45.96</v>
      </c>
      <c r="AV27" s="185">
        <f>IF($A27="","",IFERROR(SUMPRODUCT((Raw_Data_Daily!$B$2:$B$9999="Variant")*(Raw_Data_Daily!$A$2:$A$9999=$A27)*(Raw_Data_Daily!$C$2:$C$9999=$C$3)*Raw_Data_Daily!$D$2:$D$9999*Raw_Data_Daily!$S$2:$S$9999)/SUMIFS(Raw_Data_Daily!$D:$D, Raw_Data_Daily!$B:$B, "Variant", Raw_Data_Daily!$A:$A, $A27, Raw_Data_Daily!$C:$C, $C$3),""))</f>
        <v>31.29</v>
      </c>
      <c r="AW27" s="179">
        <f t="shared" si="16"/>
        <v>-0.3191906005</v>
      </c>
      <c r="AX27" s="185">
        <f>IF($A27="","",IFERROR(SUMPRODUCT((Raw_Data_Daily!$B$2:$B$9999="Control")*(Raw_Data_Daily!$A$2:$A$9999=$A27)*(Raw_Data_Daily!$C$2:$C$9999=$C$3)*Raw_Data_Daily!$D$2:$D$9999*Raw_Data_Daily!$T$2:$T$9999)/SUMIFS(Raw_Data_Daily!$D:$D, Raw_Data_Daily!$B:$B, "Control", Raw_Data_Daily!$A:$A, $A27, Raw_Data_Daily!$C:$C, $C$3),""))</f>
        <v>24.99</v>
      </c>
      <c r="AY27" s="185">
        <f>IF($A27="","",IFERROR(SUMPRODUCT((Raw_Data_Daily!$B$2:$B$9999="Variant")*(Raw_Data_Daily!$A$2:$A$9999=$A27)*(Raw_Data_Daily!$C$2:$C$9999=$C$3)*Raw_Data_Daily!$D$2:$D$9999*Raw_Data_Daily!$T$2:$T$9999)/SUMIFS(Raw_Data_Daily!$D:$D, Raw_Data_Daily!$B:$B, "Variant", Raw_Data_Daily!$A:$A, $A27, Raw_Data_Daily!$C:$C, $C$3),""))</f>
        <v>24.49</v>
      </c>
      <c r="AZ27" s="183">
        <f t="shared" si="17"/>
        <v>-0.0200080032</v>
      </c>
      <c r="BA27" s="185">
        <f>IF($A27="","",IFERROR(SUMPRODUCT((Raw_Data_Daily!$B$2:$B$9999="Control")*(Raw_Data_Daily!$A$2:$A$9999=$A27)*(Raw_Data_Daily!$C$2:$C$9999=$C$3)*Raw_Data_Daily!$D$2:$D$9999*Raw_Data_Daily!$U$2:$U$9999)/SUMIFS(Raw_Data_Daily!$D:$D, Raw_Data_Daily!$B:$B, "Control", Raw_Data_Daily!$A:$A, $A27, Raw_Data_Daily!$C:$C, $C$3),""))</f>
        <v>226.56</v>
      </c>
      <c r="BB27" s="185">
        <f>IF($A27="","",IFERROR(SUMPRODUCT((Raw_Data_Daily!$B$2:$B$9999="Variant")*(Raw_Data_Daily!$A$2:$A$9999=$A27)*(Raw_Data_Daily!$C$2:$C$9999=$C$3)*Raw_Data_Daily!$D$2:$D$9999*Raw_Data_Daily!$U$2:$U$9999)/SUMIFS(Raw_Data_Daily!$D:$D, Raw_Data_Daily!$B:$B, "Variant", Raw_Data_Daily!$A:$A, $A27, Raw_Data_Daily!$C:$C, $C$3),""))</f>
        <v>232.98</v>
      </c>
      <c r="BC27" s="179">
        <f t="shared" si="18"/>
        <v>0.02833686441</v>
      </c>
      <c r="BD27" s="185">
        <f>IF($A27="","",IFERROR(SUMPRODUCT((Raw_Data_Daily!$B$2:$B$9999="Control")*(Raw_Data_Daily!$A$2:$A$9999=$A27)*(Raw_Data_Daily!$C$2:$C$9999=$C$3)*Raw_Data_Daily!$D$2:$D$9999*Raw_Data_Daily!$V$2:$V$9999)/SUMIFS(Raw_Data_Daily!$D:$D, Raw_Data_Daily!$B:$B, "Control", Raw_Data_Daily!$A:$A, $A27, Raw_Data_Daily!$C:$C, $C$3),""))</f>
        <v>279.65</v>
      </c>
      <c r="BE27" s="185">
        <f>IF($A27="","",IFERROR(SUMPRODUCT((Raw_Data_Daily!$B$2:$B$9999="Variant")*(Raw_Data_Daily!$A$2:$A$9999=$A27)*(Raw_Data_Daily!$C$2:$C$9999=$C$3)*Raw_Data_Daily!$D$2:$D$9999*Raw_Data_Daily!$V$2:$V$9999)/SUMIFS(Raw_Data_Daily!$D:$D, Raw_Data_Daily!$B:$B, "Variant", Raw_Data_Daily!$A:$A, $A27, Raw_Data_Daily!$C:$C, $C$3),""))</f>
        <v>270.24</v>
      </c>
      <c r="BF27" s="179">
        <f t="shared" si="19"/>
        <v>-0.03364920436</v>
      </c>
      <c r="BG27" s="185">
        <f>IF($A27="","",IFERROR(SUMPRODUCT((Raw_Data_Daily!$B$2:$B$9999="Control")*(Raw_Data_Daily!$A$2:$A$9999=$A27)*(Raw_Data_Daily!$C$2:$C$9999=$C$3)*Raw_Data_Daily!$D$2:$D$9999*(Raw_Data_Daily!$Q$2:$Q$9999-Raw_Data_Daily!$V$2:$V$9999))/SUMIFS(Raw_Data_Daily!$D:$D, Raw_Data_Daily!$B:$B, "Control", Raw_Data_Daily!$A:$A, $A27, Raw_Data_Daily!$C:$C, $C$3),""))</f>
        <v>-28.1</v>
      </c>
      <c r="BH27" s="185">
        <f>IF($A27="","",IFERROR(SUMPRODUCT((Raw_Data_Daily!$B$2:$B$9999="Variant")*(Raw_Data_Daily!$A$2:$A$9999=$A27)*(Raw_Data_Daily!$C$2:$C$9999=$C$3)*Raw_Data_Daily!$D$2:$D$9999*(Raw_Data_Daily!$Q$2:$Q$9999-Raw_Data_Daily!$V$2:$V$9999))/SUMIFS(Raw_Data_Daily!$D:$D, Raw_Data_Daily!$B:$B, "Variant", Raw_Data_Daily!$A:$A, $A27, Raw_Data_Daily!$C:$C, $C$3),""))</f>
        <v>-12.78</v>
      </c>
      <c r="BI27" s="179">
        <f t="shared" si="20"/>
        <v>0.5451957295</v>
      </c>
      <c r="BJ27" s="185">
        <f>IF($A27="","",IFERROR(SUMPRODUCT((Raw_Data_Daily!$B$2:$B$9999="Control")*(Raw_Data_Daily!$A$2:$A$9999=$A27)*(Raw_Data_Daily!$C$2:$C$9999=$C$3)*Raw_Data_Daily!$D$2:$D$9999*Raw_Data_Daily!$W$2:$W$9999)/SUMIFS(Raw_Data_Daily!$D:$D, Raw_Data_Daily!$B:$B, "Control", Raw_Data_Daily!$A:$A, $A27, Raw_Data_Daily!$C:$C, $C$3),""))</f>
        <v>3.8987</v>
      </c>
      <c r="BK27" s="185">
        <f>IF($A27="","",IFERROR(SUMPRODUCT((Raw_Data_Daily!$B$2:$B$9999="Variant")*(Raw_Data_Daily!$A$2:$A$9999=$A27)*(Raw_Data_Daily!$C$2:$C$9999=$C$3)*Raw_Data_Daily!$D$2:$D$9999*Raw_Data_Daily!$W$2:$W$9999)/SUMIFS(Raw_Data_Daily!$D:$D, Raw_Data_Daily!$B:$B, "Variant", Raw_Data_Daily!$A:$A, $A27, Raw_Data_Daily!$C:$C, $C$3),""))</f>
        <v>3.7891</v>
      </c>
      <c r="BL27" s="179">
        <f t="shared" si="21"/>
        <v>-0.02811193475</v>
      </c>
      <c r="BM27" s="186">
        <f>IF($A27="","",IFERROR(SUMPRODUCT((Raw_Data_Daily!$B$2:$B$9999="Control")*(Raw_Data_Daily!$A$2:$A$9999=$A27)*(Raw_Data_Daily!$C$2:$C$9999=$C$3)*Raw_Data_Daily!$D$2:$D$9999*Raw_Data_Daily!$X$2:$X$9999)/SUMIFS(Raw_Data_Daily!$D:$D, Raw_Data_Daily!$B:$B, "Control", Raw_Data_Daily!$A:$A, $A27, Raw_Data_Daily!$C:$C, $C$3),""))</f>
        <v>9.94</v>
      </c>
      <c r="BN27" s="186">
        <f>IF($A27="","",IFERROR(SUMPRODUCT((Raw_Data_Daily!$B$2:$B$9999="Variant")*(Raw_Data_Daily!$A$2:$A$9999=$A27)*(Raw_Data_Daily!$C$2:$C$9999=$C$3)*Raw_Data_Daily!$D$2:$D$9999*Raw_Data_Daily!$X$2:$X$9999)/SUMIFS(Raw_Data_Daily!$D:$D, Raw_Data_Daily!$B:$B, "Variant", Raw_Data_Daily!$A:$A, $A27, Raw_Data_Daily!$C:$C, $C$3),""))</f>
        <v>9.51</v>
      </c>
      <c r="BO27" s="183">
        <f t="shared" si="22"/>
        <v>-0.04325955734</v>
      </c>
      <c r="BP27" s="178">
        <f>IF($A27="","",IFERROR(SUMPRODUCT((Raw_Data_Daily!$B$2:$B$9999="Control")*(Raw_Data_Daily!$A$2:$A$9999=$A27)*(Raw_Data_Daily!$C$2:$C$9999=$C$3)*Raw_Data_Daily!$D$2:$D$9999*Raw_Data_Daily!$Y$2:$Y$9999)/SUMIFS(Raw_Data_Daily!$D:$D, Raw_Data_Daily!$B:$B, "Control", Raw_Data_Daily!$A:$A, $A27, Raw_Data_Daily!$C:$C, $C$3),""))</f>
        <v>282</v>
      </c>
      <c r="BQ27" s="178">
        <f>IF($A27="","",IFERROR(SUMPRODUCT((Raw_Data_Daily!$B$2:$B$9999="Variant")*(Raw_Data_Daily!$A$2:$A$9999=$A27)*(Raw_Data_Daily!$C$2:$C$9999=$C$3)*Raw_Data_Daily!$D$2:$D$9999*Raw_Data_Daily!$Y$2:$Y$9999)/SUMIFS(Raw_Data_Daily!$D:$D, Raw_Data_Daily!$B:$B, "Variant", Raw_Data_Daily!$A:$A, $A27, Raw_Data_Daily!$C:$C, $C$3),""))</f>
        <v>271</v>
      </c>
      <c r="BR27" s="179">
        <f t="shared" si="23"/>
        <v>-0.0390070922</v>
      </c>
      <c r="BS27" s="178">
        <f>IF($A27="","",IFERROR(SUMPRODUCT((Raw_Data_Daily!$B$2:$B$9999="Control")*(Raw_Data_Daily!$A$2:$A$9999=$A27)*(Raw_Data_Daily!$C$2:$C$9999=$C$3)*Raw_Data_Daily!$D$2:$D$9999*Raw_Data_Daily!$Z$2:$Z$9999)/SUMIFS(Raw_Data_Daily!$D:$D, Raw_Data_Daily!$B:$B, "Control", Raw_Data_Daily!$A:$A, $A27, Raw_Data_Daily!$C:$C, $C$3),""))</f>
        <v>647</v>
      </c>
      <c r="BT27" s="178">
        <f>IF($A27="","",IFERROR(SUMPRODUCT((Raw_Data_Daily!$B$2:$B$9999="Variant")*(Raw_Data_Daily!$A$2:$A$9999=$A27)*(Raw_Data_Daily!$C$2:$C$9999=$C$3)*Raw_Data_Daily!$D$2:$D$9999*Raw_Data_Daily!$Z$2:$Z$9999)/SUMIFS(Raw_Data_Daily!$D:$D, Raw_Data_Daily!$B:$B, "Variant", Raw_Data_Daily!$A:$A, $A27, Raw_Data_Daily!$C:$C, $C$3),""))</f>
        <v>575</v>
      </c>
      <c r="BU27" s="179">
        <f t="shared" si="24"/>
        <v>-0.1112828439</v>
      </c>
      <c r="BV27" s="178">
        <f>IF($A27="","",IFERROR(SUMPRODUCT((Raw_Data_Daily!$B$2:$B$9999="Control")*(Raw_Data_Daily!$A$2:$A$9999=$A27)*(Raw_Data_Daily!$C$2:$C$9999=$C$3)*Raw_Data_Daily!$D$2:$D$9999*Raw_Data_Daily!$AA$2:$AA$9999)/SUMIFS(Raw_Data_Daily!$D:$D, Raw_Data_Daily!$B:$B, "Control", Raw_Data_Daily!$A:$A, $A27, Raw_Data_Daily!$C:$C, $C$3),""))</f>
        <v>1615</v>
      </c>
      <c r="BW27" s="178">
        <f>IF($A27="","",IFERROR(SUMPRODUCT((Raw_Data_Daily!$B$2:$B$9999="Variant")*(Raw_Data_Daily!$A$2:$A$9999=$A27)*(Raw_Data_Daily!$C$2:$C$9999=$C$3)*Raw_Data_Daily!$D$2:$D$9999*Raw_Data_Daily!$AA$2:$AA$9999)/SUMIFS(Raw_Data_Daily!$D:$D, Raw_Data_Daily!$B:$B, "Variant", Raw_Data_Daily!$A:$A, $A27, Raw_Data_Daily!$C:$C, $C$3),""))</f>
        <v>1329</v>
      </c>
      <c r="BX27" s="179">
        <f t="shared" si="25"/>
        <v>-0.1770897833</v>
      </c>
      <c r="BY27" s="185">
        <f>IF($A27="","",IFERROR(SUMPRODUCT((Raw_Data_Daily!$B$2:$B$9999="Control")*(Raw_Data_Daily!$A$2:$A$9999=$A27)*(Raw_Data_Daily!$C$2:$C$9999=$C$3)*Raw_Data_Daily!$D$2:$D$9999*Raw_Data_Daily!$AB$2:$AB$9999)/SUMIFS(Raw_Data_Daily!$D:$D, Raw_Data_Daily!$B:$B, "Control", Raw_Data_Daily!$A:$A, $A27, Raw_Data_Daily!$C:$C, $C$3),""))</f>
        <v>55.8189</v>
      </c>
      <c r="BZ27" s="185">
        <f>IF($A27="","",IFERROR(SUMPRODUCT((Raw_Data_Daily!$B$2:$B$9999="Variant")*(Raw_Data_Daily!$A$2:$A$9999=$A27)*(Raw_Data_Daily!$C$2:$C$9999=$C$3)*Raw_Data_Daily!$D$2:$D$9999*Raw_Data_Daily!$AB$2:$AB$9999)/SUMIFS(Raw_Data_Daily!$D:$D, Raw_Data_Daily!$B:$B, "Variant", Raw_Data_Daily!$A:$A, $A27, Raw_Data_Daily!$C:$C, $C$3),""))</f>
        <v>55.5143</v>
      </c>
      <c r="CA27" s="183">
        <f t="shared" si="26"/>
        <v>-0.005456933046</v>
      </c>
      <c r="CB27" s="185">
        <f>IF($A27="","",IFERROR(SUMPRODUCT((Raw_Data_Daily!$B$2:$B$9999="Control")*(Raw_Data_Daily!$A$2:$A$9999=$A27)*(Raw_Data_Daily!$C$2:$C$9999=$C$3)*Raw_Data_Daily!$D$2:$D$9999*Raw_Data_Daily!$AC$2:$AC$9999)/SUMIFS(Raw_Data_Daily!$D:$D, Raw_Data_Daily!$B:$B, "Control", Raw_Data_Daily!$A:$A, $A27, Raw_Data_Daily!$C:$C, $C$3),""))</f>
        <v>0.7787</v>
      </c>
      <c r="CC27" s="185">
        <f>IF($A27="","",IFERROR(SUMPRODUCT((Raw_Data_Daily!$B$2:$B$9999="Variant")*(Raw_Data_Daily!$A$2:$A$9999=$A27)*(Raw_Data_Daily!$C$2:$C$9999=$C$3)*Raw_Data_Daily!$D$2:$D$9999*Raw_Data_Daily!$AC$2:$AC$9999)/SUMIFS(Raw_Data_Daily!$D:$D, Raw_Data_Daily!$B:$B, "Variant", Raw_Data_Daily!$A:$A, $A27, Raw_Data_Daily!$C:$C, $C$3),""))</f>
        <v>0.7584</v>
      </c>
      <c r="CD27" s="183">
        <f t="shared" si="27"/>
        <v>-0.02606908951</v>
      </c>
      <c r="CE27" s="185">
        <f>IF($A27="","",IFERROR(SUMPRODUCT((Raw_Data_Daily!$B$2:$B$9999="Control")*(Raw_Data_Daily!$A$2:$A$9999=$A27)*(Raw_Data_Daily!$C$2:$C$9999=$C$3)*Raw_Data_Daily!$D$2:$D$9999*Raw_Data_Daily!$AD$2:$AD$9999)/SUMIFS(Raw_Data_Daily!$D:$D, Raw_Data_Daily!$B:$B, "Control", Raw_Data_Daily!$A:$A, $A27, Raw_Data_Daily!$C:$C, $C$3),""))</f>
        <v>29.12</v>
      </c>
      <c r="CF27" s="185">
        <f>IF($A27="","",IFERROR(SUMPRODUCT((Raw_Data_Daily!$B$2:$B$9999="Variant")*(Raw_Data_Daily!$A$2:$A$9999=$A27)*(Raw_Data_Daily!$C$2:$C$9999=$C$3)*Raw_Data_Daily!$D$2:$D$9999*Raw_Data_Daily!$AD$2:$AD$9999)/SUMIFS(Raw_Data_Daily!$D:$D, Raw_Data_Daily!$B:$B, "Variant", Raw_Data_Daily!$A:$A, $A27, Raw_Data_Daily!$C:$C, $C$3),""))</f>
        <v>28.86</v>
      </c>
      <c r="CG27" s="183">
        <f t="shared" si="28"/>
        <v>-0.008928571429</v>
      </c>
      <c r="CH27" s="185">
        <f>IF($A27="","",IFERROR(SUMPRODUCT((Raw_Data_Daily!$B$2:$B$9999="Control")*(Raw_Data_Daily!$A$2:$A$9999=$A27)*(Raw_Data_Daily!$C$2:$C$9999=$C$3)*Raw_Data_Daily!$D$2:$D$9999*Raw_Data_Daily!$AE$2:$AE$9999)/SUMIFS(Raw_Data_Daily!$D:$D, Raw_Data_Daily!$B:$B, "Control", Raw_Data_Daily!$A:$A, $A27, Raw_Data_Daily!$C:$C, $C$3),""))</f>
        <v>10</v>
      </c>
      <c r="CI27" s="185">
        <f>IF($A27="","",IFERROR(SUMPRODUCT((Raw_Data_Daily!$B$2:$B$9999="Variant")*(Raw_Data_Daily!$A$2:$A$9999=$A27)*(Raw_Data_Daily!$C$2:$C$9999=$C$3)*Raw_Data_Daily!$D$2:$D$9999*Raw_Data_Daily!$AE$2:$AE$9999)/SUMIFS(Raw_Data_Daily!$D:$D, Raw_Data_Daily!$B:$B, "Variant", Raw_Data_Daily!$A:$A, $A27, Raw_Data_Daily!$C:$C, $C$3),""))</f>
        <v>10</v>
      </c>
      <c r="CJ27" s="183">
        <f t="shared" si="29"/>
        <v>0</v>
      </c>
      <c r="CK27" s="185">
        <f>IF($A27="","",IFERROR(SUMPRODUCT((Raw_Data_Daily!$B$2:$B$9999="Control")*(Raw_Data_Daily!$A$2:$A$9999=$A27)*(Raw_Data_Daily!$C$2:$C$9999=$C$3)*Raw_Data_Daily!$D$2:$D$9999*Raw_Data_Daily!$AF$2:$AF$9999)/SUMIFS(Raw_Data_Daily!$D:$D, Raw_Data_Daily!$B:$B, "Control", Raw_Data_Daily!$A:$A, $A27, Raw_Data_Daily!$C:$C, $C$3),""))</f>
        <v>20</v>
      </c>
      <c r="CL27" s="185">
        <f>IF($A27="","",IFERROR(SUMPRODUCT((Raw_Data_Daily!$B$2:$B$9999="Variant")*(Raw_Data_Daily!$A$2:$A$9999=$A27)*(Raw_Data_Daily!$C$2:$C$9999=$C$3)*Raw_Data_Daily!$D$2:$D$9999*Raw_Data_Daily!$AF$2:$AF$9999)/SUMIFS(Raw_Data_Daily!$D:$D, Raw_Data_Daily!$B:$B, "Variant", Raw_Data_Daily!$A:$A, $A27, Raw_Data_Daily!$C:$C, $C$3),""))</f>
        <v>19</v>
      </c>
      <c r="CM27" s="183">
        <f t="shared" si="30"/>
        <v>-0.05</v>
      </c>
      <c r="CN27" s="185">
        <f>IF($A27="","",IFERROR(SUMPRODUCT((Raw_Data_Daily!$B$2:$B$9999="Control")*(Raw_Data_Daily!$A$2:$A$9999=$A27)*(Raw_Data_Daily!$C$2:$C$9999=$C$3)*Raw_Data_Daily!$D$2:$D$9999*Raw_Data_Daily!$AG$2:$AG$9999)/SUMIFS(Raw_Data_Daily!$D:$D, Raw_Data_Daily!$B:$B, "Control", Raw_Data_Daily!$A:$A, $A27, Raw_Data_Daily!$C:$C, $C$3),""))</f>
        <v>41</v>
      </c>
      <c r="CO27" s="185">
        <f>IF($A27="","",IFERROR(SUMPRODUCT((Raw_Data_Daily!$B$2:$B$9999="Variant")*(Raw_Data_Daily!$A$2:$A$9999=$A27)*(Raw_Data_Daily!$C$2:$C$9999=$C$3)*Raw_Data_Daily!$D$2:$D$9999*Raw_Data_Daily!$AG$2:$AG$9999)/SUMIFS(Raw_Data_Daily!$D:$D, Raw_Data_Daily!$B:$B, "Variant", Raw_Data_Daily!$A:$A, $A27, Raw_Data_Daily!$C:$C, $C$3),""))</f>
        <v>38</v>
      </c>
      <c r="CP27" s="183">
        <f t="shared" si="31"/>
        <v>-0.07317073171</v>
      </c>
      <c r="CQ27" s="185">
        <f>IF($A27="","",IFERROR(SUMPRODUCT((Raw_Data_Daily!$B$2:$B$9999="Control")*(Raw_Data_Daily!$A$2:$A$9999=$A27)*(Raw_Data_Daily!$C$2:$C$9999=$C$3)*Raw_Data_Daily!$D$2:$D$9999*Raw_Data_Daily!$AH$2:$AH$9999)/SUMIFS(Raw_Data_Daily!$D:$D, Raw_Data_Daily!$B:$B, "Control", Raw_Data_Daily!$A:$A, $A27, Raw_Data_Daily!$C:$C, $C$3),""))</f>
        <v>64</v>
      </c>
      <c r="CR27" s="185">
        <f>IF($A27="","",IFERROR(SUMPRODUCT((Raw_Data_Daily!$B$2:$B$9999="Variant")*(Raw_Data_Daily!$A$2:$A$9999=$A27)*(Raw_Data_Daily!$C$2:$C$9999=$C$3)*Raw_Data_Daily!$D$2:$D$9999*Raw_Data_Daily!$AH$2:$AH$9999)/SUMIFS(Raw_Data_Daily!$D:$D, Raw_Data_Daily!$B:$B, "Variant", Raw_Data_Daily!$A:$A, $A27, Raw_Data_Daily!$C:$C, $C$3),""))</f>
        <v>66</v>
      </c>
      <c r="CS27" s="183">
        <f t="shared" si="32"/>
        <v>0.03125</v>
      </c>
      <c r="CT27" s="180">
        <f>IF($A27="","",IFERROR(SUMPRODUCT((Raw_Data_Daily!$B$2:$B$9999="Control")*(Raw_Data_Daily!$A$2:$A$9999=$A27)*(Raw_Data_Daily!$C$2:$C$9999=$C$3)*Raw_Data_Daily!$D$2:$D$9999*Raw_Data_Daily!$AI$2:$AI$9999)/SUMIFS(Raw_Data_Daily!$D:$D, Raw_Data_Daily!$B:$B, "Control", Raw_Data_Daily!$A:$A, $A27, Raw_Data_Daily!$C:$C, $C$3),""))</f>
        <v>38.76</v>
      </c>
      <c r="CU27" s="180">
        <f>IF($A27="","",IFERROR(SUMPRODUCT((Raw_Data_Daily!$B$2:$B$9999="Variant")*(Raw_Data_Daily!$A$2:$A$9999=$A27)*(Raw_Data_Daily!$C$2:$C$9999=$C$3)*Raw_Data_Daily!$D$2:$D$9999*Raw_Data_Daily!$AI$2:$AI$9999)/SUMIFS(Raw_Data_Daily!$D:$D, Raw_Data_Daily!$B:$B, "Variant", Raw_Data_Daily!$A:$A, $A27, Raw_Data_Daily!$C:$C, $C$3),""))</f>
        <v>36.39</v>
      </c>
      <c r="CV27" s="187">
        <f t="shared" si="33"/>
        <v>-0.06114551084</v>
      </c>
      <c r="CW27" s="180">
        <f>IF($A27="","",IFERROR(SUMPRODUCT((Raw_Data_Daily!$B$2:$B$9999="Control")*(Raw_Data_Daily!$A$2:$A$9999=$A27)*(Raw_Data_Daily!$C$2:$C$9999=$C$3)*Raw_Data_Daily!$D$2:$D$9999*Raw_Data_Daily!$AJ$2:$AJ$9999)/SUMIFS(Raw_Data_Daily!$D:$D, Raw_Data_Daily!$B:$B, "Control", Raw_Data_Daily!$A:$A, $A27, Raw_Data_Daily!$C:$C, $C$3),""))</f>
        <v>12.52</v>
      </c>
      <c r="CX27" s="180">
        <f>IF($A27="","",IFERROR(SUMPRODUCT((Raw_Data_Daily!$B$2:$B$9999="Variant")*(Raw_Data_Daily!$A$2:$A$9999=$A27)*(Raw_Data_Daily!$C$2:$C$9999=$C$3)*Raw_Data_Daily!$D$2:$D$9999*Raw_Data_Daily!$AJ$2:$AJ$9999)/SUMIFS(Raw_Data_Daily!$D:$D, Raw_Data_Daily!$B:$B, "Variant", Raw_Data_Daily!$A:$A, $A27, Raw_Data_Daily!$C:$C, $C$3),""))</f>
        <v>11.72</v>
      </c>
      <c r="CY27" s="187">
        <f t="shared" si="34"/>
        <v>-0.06389776358</v>
      </c>
      <c r="CZ27" s="180">
        <f>IF($A27="","",IFERROR(SUMPRODUCT((Raw_Data_Daily!$B$2:$B$9999="Control")*(Raw_Data_Daily!$A$2:$A$9999=$A27)*(Raw_Data_Daily!$C$2:$C$9999=$C$3)*Raw_Data_Daily!$D$2:$D$9999*Raw_Data_Daily!$AK$2:$AK$9999)/SUMIFS(Raw_Data_Daily!$D:$D, Raw_Data_Daily!$B:$B, "Control", Raw_Data_Daily!$A:$A, $A27, Raw_Data_Daily!$C:$C, $C$3),""))</f>
        <v>2.59</v>
      </c>
      <c r="DA27" s="180">
        <f>IF($A27="","",IFERROR(SUMPRODUCT((Raw_Data_Daily!$B$2:$B$9999="Variant")*(Raw_Data_Daily!$A$2:$A$9999=$A27)*(Raw_Data_Daily!$C$2:$C$9999=$C$3)*Raw_Data_Daily!$D$2:$D$9999*Raw_Data_Daily!$AK$2:$AK$9999)/SUMIFS(Raw_Data_Daily!$D:$D, Raw_Data_Daily!$B:$B, "Variant", Raw_Data_Daily!$A:$A, $A27, Raw_Data_Daily!$C:$C, $C$3),""))</f>
        <v>3.52</v>
      </c>
      <c r="DB27" s="183">
        <f t="shared" si="35"/>
        <v>0.3590733591</v>
      </c>
      <c r="DC27" s="186">
        <f>IF($A27="","",IFERROR(SUMPRODUCT((Raw_Data_Daily!$B$2:$B$9999="Control")*(Raw_Data_Daily!$A$2:$A$9999=$A27)*(Raw_Data_Daily!$C$2:$C$9999=$C$3)*Raw_Data_Daily!$D$2:$D$9999*Raw_Data_Daily!$AL$2:$AL$9999)/SUMIFS(Raw_Data_Daily!$D:$D, Raw_Data_Daily!$B:$B, "Control", Raw_Data_Daily!$A:$A, $A27, Raw_Data_Daily!$C:$C, $C$3),""))</f>
        <v>0</v>
      </c>
      <c r="DD27" s="186">
        <f>IF($A27="","",IFERROR(SUMPRODUCT((Raw_Data_Daily!$B$2:$B$9999="Variant")*(Raw_Data_Daily!$A$2:$A$9999=$A27)*(Raw_Data_Daily!$C$2:$C$9999=$C$3)*Raw_Data_Daily!$D$2:$D$9999*Raw_Data_Daily!$AL$2:$AL$9999)/SUMIFS(Raw_Data_Daily!$D:$D, Raw_Data_Daily!$B:$B, "Variant", Raw_Data_Daily!$A:$A, $A27, Raw_Data_Daily!$C:$C, $C$3),""))</f>
        <v>0</v>
      </c>
      <c r="DE27" s="187" t="str">
        <f t="shared" si="36"/>
        <v/>
      </c>
      <c r="DF27" s="188"/>
      <c r="DG27" s="180">
        <f>IF($A27="","",IFERROR(SUMPRODUCT((Raw_Data_Daily!$B$2:$B$9999="Variant")*(Raw_Data_Daily!$A$2:$A$9999=$A27)*(Raw_Data_Daily!$C$2:$C$9999=$C$3)*Raw_Data_Daily!$D$2:$D$9999*Raw_Data_Daily!$AM$2:$AM$9999)/SUMIFS(Raw_Data_Daily!$D:$D, Raw_Data_Daily!$B:$B, "Variant", Raw_Data_Daily!$A:$A, $A27, Raw_Data_Daily!$C:$C, $C$3),""))</f>
        <v>37.81</v>
      </c>
      <c r="DH27" s="189"/>
      <c r="DI27" s="188"/>
      <c r="DJ27" s="180">
        <f>IF($A27="","",IFERROR(SUMPRODUCT((Raw_Data_Daily!$B$2:$B$9999="Variant")*(Raw_Data_Daily!$A$2:$A$9999=$A27)*(Raw_Data_Daily!$C$2:$C$9999=$C$3)*Raw_Data_Daily!$D$2:$D$9999*Raw_Data_Daily!$AN$2:$AN$9999)/SUMIFS(Raw_Data_Daily!$D:$D, Raw_Data_Daily!$B:$B, "Variant", Raw_Data_Daily!$A:$A, $A27, Raw_Data_Daily!$C:$C, $C$3),""))</f>
        <v>37.81</v>
      </c>
      <c r="DK27" s="189"/>
      <c r="DL27" s="188"/>
      <c r="DM27" s="180">
        <f>IF($A27="","",IFERROR(SUMPRODUCT((Raw_Data_Daily!$B$2:$B$9999="Variant")*(Raw_Data_Daily!$A$2:$A$9999=$A27)*(Raw_Data_Daily!$C$2:$C$9999=$C$3)*Raw_Data_Daily!$D$2:$D$9999*Raw_Data_Daily!$AO$2:$AO$9999)/SUMIFS(Raw_Data_Daily!$D:$D, Raw_Data_Daily!$B:$B, "Variant", Raw_Data_Daily!$A:$A, $A27, Raw_Data_Daily!$C:$C, $C$3),""))</f>
        <v>21.45</v>
      </c>
      <c r="DN27" s="189"/>
      <c r="DO27" s="188"/>
      <c r="DP27" s="180">
        <f>IF($A27="","",IFERROR(SUMPRODUCT((Raw_Data_Daily!$B$2:$B$9999="Variant")*(Raw_Data_Daily!$A$2:$A$9999=$A27)*(Raw_Data_Daily!$C$2:$C$9999=$C$3)*Raw_Data_Daily!$D$2:$D$9999*Raw_Data_Daily!$AP$2:$AP$9999)/SUMIFS(Raw_Data_Daily!$D:$D, Raw_Data_Daily!$B:$B, "Variant", Raw_Data_Daily!$A:$A, $A27, Raw_Data_Daily!$C:$C, $C$3),""))</f>
        <v>13.52</v>
      </c>
      <c r="DQ27" s="189"/>
      <c r="DR27" s="186">
        <f>IF($A27="","",IFERROR(SUMPRODUCT((Raw_Data_Daily!$B$2:$B$9999="Control")*(Raw_Data_Daily!$A$2:$A$9999=$A27)*(Raw_Data_Daily!$C$2:$C$9999=$C$3)*Raw_Data_Daily!$D$2:$D$9999*Raw_Data_Daily!$AQ$2:$AQ$9999)/SUMIFS(Raw_Data_Daily!$D:$D, Raw_Data_Daily!$B:$B, "Control", Raw_Data_Daily!$A:$A, $A27, Raw_Data_Daily!$C:$C, $C$3),""))</f>
        <v>15.4333</v>
      </c>
      <c r="DS27" s="186">
        <f>IF($A27="","",IFERROR(SUMPRODUCT((Raw_Data_Daily!$B$2:$B$9999="Variant")*(Raw_Data_Daily!$A$2:$A$9999=$A27)*(Raw_Data_Daily!$C$2:$C$9999=$C$3)*Raw_Data_Daily!$D$2:$D$9999*Raw_Data_Daily!$AQ$2:$AQ$9999)/SUMIFS(Raw_Data_Daily!$D:$D, Raw_Data_Daily!$B:$B, "Variant", Raw_Data_Daily!$A:$A, $A27, Raw_Data_Daily!$C:$C, $C$3),""))</f>
        <v>9.9678</v>
      </c>
      <c r="DT27" s="190">
        <f t="shared" si="37"/>
        <v>-0.354136834</v>
      </c>
      <c r="DU27" s="186">
        <f>IF($A27="","",IFERROR(SUMPRODUCT((Raw_Data_Daily!$B$2:$B$9999="Control")*(Raw_Data_Daily!$A$2:$A$9999=$A27)*(Raw_Data_Daily!$C$2:$C$9999=$C$3)*Raw_Data_Daily!$D$2:$D$9999*Raw_Data_Daily!$AR$2:$AR$9999)/SUMIFS(Raw_Data_Daily!$D:$D, Raw_Data_Daily!$B:$B, "Control", Raw_Data_Daily!$A:$A, $A27, Raw_Data_Daily!$C:$C, $C$3),""))</f>
        <v>0.4104</v>
      </c>
      <c r="DV27" s="186">
        <f>IF($A27="","",IFERROR(SUMPRODUCT((Raw_Data_Daily!$B$2:$B$9999="Variant")*(Raw_Data_Daily!$A$2:$A$9999=$A27)*(Raw_Data_Daily!$C$2:$C$9999=$C$3)*Raw_Data_Daily!$D$2:$D$9999*Raw_Data_Daily!$AR$2:$AR$9999)/SUMIFS(Raw_Data_Daily!$D:$D, Raw_Data_Daily!$B:$B, "Variant", Raw_Data_Daily!$A:$A, $A27, Raw_Data_Daily!$C:$C, $C$3),""))</f>
        <v>0.3145</v>
      </c>
      <c r="DW27" s="190">
        <f t="shared" si="38"/>
        <v>-0.2336744639</v>
      </c>
      <c r="DX27" s="186">
        <f>IF($A27="","",IFERROR(SUMPRODUCT((Raw_Data_Daily!$B$2:$B$9999="Control")*(Raw_Data_Daily!$A$2:$A$9999=$A27)*(Raw_Data_Daily!$C$2:$C$9999=$C$3)*Raw_Data_Daily!$D$2:$D$9999*Raw_Data_Daily!$AS$2:$AS$9999)/SUMIFS(Raw_Data_Daily!$D:$D, Raw_Data_Daily!$B:$B, "Control", Raw_Data_Daily!$A:$A, $A27, Raw_Data_Daily!$C:$C, $C$3),""))</f>
        <v>15.0229</v>
      </c>
      <c r="DY27" s="186">
        <f>IF($A27="","",IFERROR(SUMPRODUCT((Raw_Data_Daily!$B$2:$B$9999="Variant")*(Raw_Data_Daily!$A$2:$A$9999=$A27)*(Raw_Data_Daily!$C$2:$C$9999=$C$3)*Raw_Data_Daily!$D$2:$D$9999*Raw_Data_Daily!$AS$2:$AS$9999)/SUMIFS(Raw_Data_Daily!$D:$D, Raw_Data_Daily!$B:$B, "Variant", Raw_Data_Daily!$A:$A, $A27, Raw_Data_Daily!$C:$C, $C$3),""))</f>
        <v>9.6533</v>
      </c>
      <c r="DZ27" s="190">
        <f t="shared" si="39"/>
        <v>-0.3574276604</v>
      </c>
      <c r="EA27" s="186">
        <f>IF($A27="","",IFERROR(SUMPRODUCT((Raw_Data_Daily!$B$2:$B$9999="Control")*(Raw_Data_Daily!$A$2:$A$9999=$A27)*(Raw_Data_Daily!$C$2:$C$9999=$C$3)*Raw_Data_Daily!$D$2:$D$9999*Raw_Data_Daily!$AT$2:$AT$9999)/SUMIFS(Raw_Data_Daily!$D:$D, Raw_Data_Daily!$B:$B, "Control", Raw_Data_Daily!$A:$A, $A27, Raw_Data_Daily!$C:$C, $C$3),""))</f>
        <v>14.5694</v>
      </c>
      <c r="EB27" s="186">
        <f>IF($A27="","",IFERROR(SUMPRODUCT((Raw_Data_Daily!$B$2:$B$9999="Variant")*(Raw_Data_Daily!$A$2:$A$9999=$A27)*(Raw_Data_Daily!$C$2:$C$9999=$C$3)*Raw_Data_Daily!$D$2:$D$9999*Raw_Data_Daily!$AT$2:$AT$9999)/SUMIFS(Raw_Data_Daily!$D:$D, Raw_Data_Daily!$B:$B, "Variant", Raw_Data_Daily!$A:$A, $A27, Raw_Data_Daily!$C:$C, $C$3),""))</f>
        <v>10.9068</v>
      </c>
      <c r="EC27" s="190">
        <f t="shared" si="40"/>
        <v>-0.2513898994</v>
      </c>
      <c r="ED27" s="186">
        <f>IF($A27="","",IFERROR(SUMPRODUCT((Raw_Data_Daily!$B$2:$B$9999="Control")*(Raw_Data_Daily!$A$2:$A$9999=$A27)*(Raw_Data_Daily!$C$2:$C$9999=$C$3)*Raw_Data_Daily!$D$2:$D$9999*(Raw_Data_Daily!$AQ$2:$AQ$9999-Raw_Data_Daily!$AT$2:$AT$9999))/SUMIFS(Raw_Data_Daily!$D:$D, Raw_Data_Daily!$B:$B, "Control", Raw_Data_Daily!$A:$A, $A27, Raw_Data_Daily!$C:$C, $C$3),""))</f>
        <v>0.8639</v>
      </c>
      <c r="EE27" s="186">
        <f>IF($A27="","",IFERROR(SUMPRODUCT((Raw_Data_Daily!$B$2:$B$9999="Variant")*(Raw_Data_Daily!$A$2:$A$9999=$A27)*(Raw_Data_Daily!$C$2:$C$9999=$C$3)*Raw_Data_Daily!$D$2:$D$9999*(Raw_Data_Daily!$AQ$2:$AQ$9999-Raw_Data_Daily!$AT$2:$AT$9999))/SUMIFS(Raw_Data_Daily!$D:$D, Raw_Data_Daily!$B:$B, "Variant", Raw_Data_Daily!$A:$A, $A27, Raw_Data_Daily!$C:$C, $C$3),""))</f>
        <v>-0.939</v>
      </c>
      <c r="EF27" s="190">
        <f t="shared" si="41"/>
        <v>-2.086931358</v>
      </c>
      <c r="EG27" s="186">
        <f>IF($A27="","",IFERROR(SUMPRODUCT((Raw_Data_Daily!$B$2:$B$9999="Control")*(Raw_Data_Daily!$A$2:$A$9999=$A27)*(Raw_Data_Daily!$C$2:$C$9999=$C$3)*Raw_Data_Daily!$D$2:$D$9999*Raw_Data_Daily!$AU$2:$AU$9999)/SUMIFS(Raw_Data_Daily!$D:$D, Raw_Data_Daily!$B:$B, "Control", Raw_Data_Daily!$A:$A, $A27, Raw_Data_Daily!$C:$C, $C$3),""))</f>
        <v>0.2031</v>
      </c>
      <c r="EH27" s="186">
        <f>IF($A27="","",IFERROR(SUMPRODUCT((Raw_Data_Daily!$B$2:$B$9999="Variant")*(Raw_Data_Daily!$A$2:$A$9999=$A27)*(Raw_Data_Daily!$C$2:$C$9999=$C$3)*Raw_Data_Daily!$D$2:$D$9999*Raw_Data_Daily!$AU$2:$AU$9999)/SUMIFS(Raw_Data_Daily!$D:$D, Raw_Data_Daily!$B:$B, "Variant", Raw_Data_Daily!$A:$A, $A27, Raw_Data_Daily!$C:$C, $C$3),""))</f>
        <v>0.1529</v>
      </c>
      <c r="EI27" s="190">
        <f t="shared" si="42"/>
        <v>-0.2471688823</v>
      </c>
    </row>
    <row r="28" ht="15.75" customHeight="1">
      <c r="A28" s="125">
        <v>46251.0</v>
      </c>
      <c r="B28" s="126">
        <f>IF($A28="","",SUMIFS(Raw_Data_Daily!$D:$D, Raw_Data_Daily!$B:$B, "Control", Raw_Data_Daily!$A:$A, $A28, Raw_Data_Daily!$C:$C, $C$3))</f>
        <v>0</v>
      </c>
      <c r="C28" s="126">
        <f>IF($A28="","",SUMIFS(Raw_Data_Daily!$D:$D, Raw_Data_Daily!$B:$B, "Variant", Raw_Data_Daily!$A:$A, $A28, Raw_Data_Daily!$C:$C, $C$3))</f>
        <v>0</v>
      </c>
      <c r="D28" s="127" t="str">
        <f t="shared" si="1"/>
        <v/>
      </c>
      <c r="E28" s="128" t="str">
        <f>IF($A28="","",IFERROR(SUMPRODUCT((Raw_Data_Daily!$B$2:$B$9999="Control")*(Raw_Data_Daily!$A$2:$A$9999=$A28)*(Raw_Data_Daily!$C$2:$C$9999=$C$3)*Raw_Data_Daily!$D$2:$D$9999*Raw_Data_Daily!$E$2:$E$9999)/SUMIFS(Raw_Data_Daily!$D:$D, Raw_Data_Daily!$B:$B, "Control", Raw_Data_Daily!$A:$A, $A28, Raw_Data_Daily!$C:$C, $C$3),""))</f>
        <v/>
      </c>
      <c r="F28" s="128" t="str">
        <f>IF($A28="","",IFERROR(SUMPRODUCT((Raw_Data_Daily!$B$2:$B$9999="Variant")*(Raw_Data_Daily!$A$2:$A$9999=$A28)*(Raw_Data_Daily!$C$2:$C$9999=$C$3)*Raw_Data_Daily!$D$2:$D$9999*Raw_Data_Daily!$E$2:$E$9999)/SUMIFS(Raw_Data_Daily!$D:$D, Raw_Data_Daily!$B:$B, "Variant", Raw_Data_Daily!$A:$A, $A28, Raw_Data_Daily!$C:$C, $C$3),""))</f>
        <v/>
      </c>
      <c r="G28" s="127" t="str">
        <f t="shared" si="2"/>
        <v/>
      </c>
      <c r="H28" s="129">
        <f>IF($A28="","",SUMIFS(Raw_Data_Daily!$F:$F, Raw_Data_Daily!$B:$B, "Control", Raw_Data_Daily!$A:$A, $A28, Raw_Data_Daily!$C:$C, $C$3))</f>
        <v>0</v>
      </c>
      <c r="I28" s="129">
        <f>IF($A28="","",SUMIFS(Raw_Data_Daily!$F:$F, Raw_Data_Daily!$B:$B, "Variant", Raw_Data_Daily!$A:$A, $A28, Raw_Data_Daily!$C:$C, $C$3))</f>
        <v>0</v>
      </c>
      <c r="J28" s="130" t="str">
        <f t="shared" si="3"/>
        <v/>
      </c>
      <c r="K28" s="131" t="str">
        <f>IF($A28="","",IFERROR(SUMIFS(Raw_Data_Daily!$F:$F, Raw_Data_Daily!$B:$B, "Control", Raw_Data_Daily!$A:$A, $A28, Raw_Data_Daily!$C:$C, $C$3)/SUMIFS(Raw_Data_Daily!$D:$D, Raw_Data_Daily!$B:$B, "Control", Raw_Data_Daily!$A:$A, $A28, Raw_Data_Daily!$C:$C, $C$3),""))</f>
        <v/>
      </c>
      <c r="L28" s="131" t="str">
        <f>IF($A28="","",IFERROR(SUMIFS(Raw_Data_Daily!$F:$F, Raw_Data_Daily!$B:$B, "Variant", Raw_Data_Daily!$A:$A, $A28, Raw_Data_Daily!$C:$C, $C$3)/SUMIFS(Raw_Data_Daily!$D:$D, Raw_Data_Daily!$B:$B, "Variant", Raw_Data_Daily!$A:$A, $A28, Raw_Data_Daily!$C:$C, $C$3),""))</f>
        <v/>
      </c>
      <c r="M28" s="130" t="str">
        <f t="shared" si="4"/>
        <v/>
      </c>
      <c r="N28" s="128" t="str">
        <f>IF($A28="","",IFERROR(SUMPRODUCT((Raw_Data_Daily!$B$2:$B$9999="Control")*(Raw_Data_Daily!$A$2:$A$9999=$A28)*(Raw_Data_Daily!$C$2:$C$9999=$C$3)*Raw_Data_Daily!$D$2:$D$9999*Raw_Data_Daily!$H$2:$H$9999/100)/SUMIFS(Raw_Data_Daily!$D:$D, Raw_Data_Daily!$B:$B, "Control", Raw_Data_Daily!$A:$A, $A28, Raw_Data_Daily!$C:$C, $C$3)*100,""))</f>
        <v/>
      </c>
      <c r="O28" s="128" t="str">
        <f>IF($A28="","",IFERROR(SUMPRODUCT((Raw_Data_Daily!$B$2:$B$9999="Variant")*(Raw_Data_Daily!$A$2:$A$9999=$A28)*(Raw_Data_Daily!$C$2:$C$9999=$C$3)*Raw_Data_Daily!$D$2:$D$9999*Raw_Data_Daily!$H$2:$H$9999/100)/SUMIFS(Raw_Data_Daily!$D:$D, Raw_Data_Daily!$B:$B, "Variant", Raw_Data_Daily!$A:$A, $A28, Raw_Data_Daily!$C:$C, $C$3)*100,""))</f>
        <v/>
      </c>
      <c r="P28" s="130" t="str">
        <f t="shared" si="5"/>
        <v/>
      </c>
      <c r="Q28" s="131" t="str">
        <f>IF($A28="","",IFERROR(SUMIFS(Raw_Data_Daily!$F:$F, Raw_Data_Daily!$B:$B, "Control", Raw_Data_Daily!$A:$A, $A28, Raw_Data_Daily!$C:$C, $C$3)/SUMPRODUCT((Raw_Data_Daily!$B$2:$B$9999="Control")*(Raw_Data_Daily!$A$2:$A$9999=$A28)*(Raw_Data_Daily!$C$2:$C$9999=$C$3)*Raw_Data_Daily!$D$2:$D$9999*Raw_Data_Daily!$H$2:$H$9999/100),""))</f>
        <v/>
      </c>
      <c r="R28" s="131" t="str">
        <f>IF($A28="","",IFERROR(SUMIFS(Raw_Data_Daily!$F:$F, Raw_Data_Daily!$B:$B, "Variant", Raw_Data_Daily!$A:$A, $A28, Raw_Data_Daily!$C:$C, $C$3)/SUMPRODUCT((Raw_Data_Daily!$B$2:$B$9999="Variant")*(Raw_Data_Daily!$A$2:$A$9999=$A28)*(Raw_Data_Daily!$C$2:$C$9999=$C$3)*Raw_Data_Daily!$D$2:$D$9999*Raw_Data_Daily!$H$2:$H$9999/100),""))</f>
        <v/>
      </c>
      <c r="S28" s="130" t="str">
        <f t="shared" si="6"/>
        <v/>
      </c>
      <c r="T28" s="132" t="str">
        <f>IF($A28="","",IFERROR(SUMPRODUCT((Raw_Data_Daily!$B$2:$B$9999="Control")*(Raw_Data_Daily!$A$2:$A$9999=$A28)*(Raw_Data_Daily!$C$2:$C$9999=$C$3)*Raw_Data_Daily!$D$2:$D$9999*Raw_Data_Daily!$J$2:$J$9999)/SUMIFS(Raw_Data_Daily!$D:$D, Raw_Data_Daily!$B:$B, "Control", Raw_Data_Daily!$A:$A, $A28, Raw_Data_Daily!$C:$C, $C$3),""))</f>
        <v/>
      </c>
      <c r="U28" s="132" t="str">
        <f>IF($A28="","",IFERROR(SUMPRODUCT((Raw_Data_Daily!$B$2:$B$9999="Variant")*(Raw_Data_Daily!$A$2:$A$9999=$A28)*(Raw_Data_Daily!$C$2:$C$9999=$C$3)*Raw_Data_Daily!$D$2:$D$9999*Raw_Data_Daily!$J$2:$J$9999)/SUMIFS(Raw_Data_Daily!$D:$D, Raw_Data_Daily!$B:$B, "Variant", Raw_Data_Daily!$A:$A, $A28, Raw_Data_Daily!$C:$C, $C$3),""))</f>
        <v/>
      </c>
      <c r="V28" s="130" t="str">
        <f t="shared" si="7"/>
        <v/>
      </c>
      <c r="W28" s="132" t="str">
        <f>IF($A28="","",IFERROR(SUMPRODUCT((Raw_Data_Daily!$B$2:$B$9999="Control")*(Raw_Data_Daily!$A$2:$A$9999=$A28)*(Raw_Data_Daily!$C$2:$C$9999=$C$3)*Raw_Data_Daily!$D$2:$D$9999*Raw_Data_Daily!$K$2:$K$9999)/SUMIFS(Raw_Data_Daily!$D:$D, Raw_Data_Daily!$B:$B, "Control", Raw_Data_Daily!$A:$A, $A28, Raw_Data_Daily!$C:$C, $C$3),""))</f>
        <v/>
      </c>
      <c r="X28" s="132" t="str">
        <f>IF($A28="","",IFERROR(SUMPRODUCT((Raw_Data_Daily!$B$2:$B$9999="Variant")*(Raw_Data_Daily!$A$2:$A$9999=$A28)*(Raw_Data_Daily!$C$2:$C$9999=$C$3)*Raw_Data_Daily!$D$2:$D$9999*Raw_Data_Daily!$K$2:$K$9999)/SUMIFS(Raw_Data_Daily!$D:$D, Raw_Data_Daily!$B:$B, "Variant", Raw_Data_Daily!$A:$A, $A28, Raw_Data_Daily!$C:$C, $C$3),""))</f>
        <v/>
      </c>
      <c r="Y28" s="130" t="str">
        <f t="shared" si="8"/>
        <v/>
      </c>
      <c r="Z28" s="132" t="str">
        <f>IF($A28="","",IFERROR(SUMPRODUCT((Raw_Data_Daily!$B$2:$B$9999="Control")*(Raw_Data_Daily!$A$2:$A$9999=$A28)*(Raw_Data_Daily!$C$2:$C$9999=$C$3)*Raw_Data_Daily!$D$2:$D$9999*Raw_Data_Daily!$L$2:$L$9999)/SUMIFS(Raw_Data_Daily!$D:$D, Raw_Data_Daily!$B:$B, "Control", Raw_Data_Daily!$A:$A, $A28, Raw_Data_Daily!$C:$C, $C$3),""))</f>
        <v/>
      </c>
      <c r="AA28" s="132" t="str">
        <f>IF($A28="","",IFERROR(SUMPRODUCT((Raw_Data_Daily!$B$2:$B$9999="Variant")*(Raw_Data_Daily!$A$2:$A$9999=$A28)*(Raw_Data_Daily!$C$2:$C$9999=$C$3)*Raw_Data_Daily!$D$2:$D$9999*Raw_Data_Daily!$L$2:$L$9999)/SUMIFS(Raw_Data_Daily!$D:$D, Raw_Data_Daily!$B:$B, "Variant", Raw_Data_Daily!$A:$A, $A28, Raw_Data_Daily!$C:$C, $C$3),""))</f>
        <v/>
      </c>
      <c r="AB28" s="130" t="str">
        <f t="shared" si="9"/>
        <v/>
      </c>
      <c r="AC28" s="137" t="str">
        <f>IF($A28="","",IFERROR(SUMPRODUCT((Raw_Data_Daily!$B$2:$B$9999="Control")*(Raw_Data_Daily!$A$2:$A$9999=$A28)*(Raw_Data_Daily!$C$2:$C$9999=$C$3)*Raw_Data_Daily!$D$2:$D$9999*Raw_Data_Daily!$M$2:$M$9999)/SUMIFS(Raw_Data_Daily!$D:$D, Raw_Data_Daily!$B:$B, "Control", Raw_Data_Daily!$A:$A, $A28, Raw_Data_Daily!$C:$C, $C$3),""))</f>
        <v/>
      </c>
      <c r="AD28" s="137" t="str">
        <f>IF($A28="","",IFERROR(SUMPRODUCT((Raw_Data_Daily!$B$2:$B$9999="Variant")*(Raw_Data_Daily!$A$2:$A$9999=$A28)*(Raw_Data_Daily!$C$2:$C$9999=$C$3)*Raw_Data_Daily!$D$2:$D$9999*Raw_Data_Daily!$M$2:$M$9999)/SUMIFS(Raw_Data_Daily!$D:$D, Raw_Data_Daily!$B:$B, "Variant", Raw_Data_Daily!$A:$A, $A28, Raw_Data_Daily!$C:$C, $C$3),""))</f>
        <v/>
      </c>
      <c r="AE28" s="139" t="str">
        <f t="shared" si="10"/>
        <v/>
      </c>
      <c r="AF28" s="137" t="str">
        <f>IF($A28="","",IFERROR(SUMPRODUCT((Raw_Data_Daily!$B$2:$B$9999="Control")*(Raw_Data_Daily!$A$2:$A$9999=$A28)*(Raw_Data_Daily!$C$2:$C$9999=$C$3)*Raw_Data_Daily!$D$2:$D$9999*Raw_Data_Daily!$N$2:$N$9999)/SUMIFS(Raw_Data_Daily!$D:$D, Raw_Data_Daily!$B:$B, "Control", Raw_Data_Daily!$A:$A, $A28, Raw_Data_Daily!$C:$C, $C$3),""))</f>
        <v/>
      </c>
      <c r="AG28" s="137" t="str">
        <f>IF($A28="","",IFERROR(SUMPRODUCT((Raw_Data_Daily!$B$2:$B$9999="Variant")*(Raw_Data_Daily!$A$2:$A$9999=$A28)*(Raw_Data_Daily!$C$2:$C$9999=$C$3)*Raw_Data_Daily!$D$2:$D$9999*Raw_Data_Daily!$N$2:$N$9999)/SUMIFS(Raw_Data_Daily!$D:$D, Raw_Data_Daily!$B:$B, "Variant", Raw_Data_Daily!$A:$A, $A28, Raw_Data_Daily!$C:$C, $C$3),""))</f>
        <v/>
      </c>
      <c r="AH28" s="139" t="str">
        <f t="shared" si="11"/>
        <v/>
      </c>
      <c r="AI28" s="137" t="str">
        <f>IF($A28="","",IFERROR(SUMPRODUCT((Raw_Data_Daily!$B$2:$B$9999="Control")*(Raw_Data_Daily!$A$2:$A$9999=$A28)*(Raw_Data_Daily!$C$2:$C$9999=$C$3)*Raw_Data_Daily!$D$2:$D$9999*Raw_Data_Daily!$O$2:$O$9999)/SUMIFS(Raw_Data_Daily!$D:$D, Raw_Data_Daily!$B:$B, "Control", Raw_Data_Daily!$A:$A, $A28, Raw_Data_Daily!$C:$C, $C$3),""))</f>
        <v/>
      </c>
      <c r="AJ28" s="137" t="str">
        <f>IF($A28="","",IFERROR(SUMPRODUCT((Raw_Data_Daily!$B$2:$B$9999="Variant")*(Raw_Data_Daily!$A$2:$A$9999=$A28)*(Raw_Data_Daily!$C$2:$C$9999=$C$3)*Raw_Data_Daily!$D$2:$D$9999*Raw_Data_Daily!$O$2:$O$9999)/SUMIFS(Raw_Data_Daily!$D:$D, Raw_Data_Daily!$B:$B, "Variant", Raw_Data_Daily!$A:$A, $A28, Raw_Data_Daily!$C:$C, $C$3),""))</f>
        <v/>
      </c>
      <c r="AK28" s="130" t="str">
        <f t="shared" si="12"/>
        <v/>
      </c>
      <c r="AL28" s="132" t="str">
        <f>IF($A28="","",IFERROR(SUMPRODUCT((Raw_Data_Daily!$B$2:$B$9999="Control")*(Raw_Data_Daily!$A$2:$A$9999=$A28)*(Raw_Data_Daily!$C$2:$C$9999=$C$3)*Raw_Data_Daily!$D$2:$D$9999*Raw_Data_Daily!$P$2:$P$9999)/SUMIFS(Raw_Data_Daily!$D:$D, Raw_Data_Daily!$B:$B, "Control", Raw_Data_Daily!$A:$A, $A28, Raw_Data_Daily!$C:$C, $C$3),""))</f>
        <v/>
      </c>
      <c r="AM28" s="132" t="str">
        <f>IF($A28="","",IFERROR(SUMPRODUCT((Raw_Data_Daily!$B$2:$B$9999="Variant")*(Raw_Data_Daily!$A$2:$A$9999=$A28)*(Raw_Data_Daily!$C$2:$C$9999=$C$3)*Raw_Data_Daily!$D$2:$D$9999*Raw_Data_Daily!$P$2:$P$9999)/SUMIFS(Raw_Data_Daily!$D:$D, Raw_Data_Daily!$B:$B, "Variant", Raw_Data_Daily!$A:$A, $A28, Raw_Data_Daily!$C:$C, $C$3),""))</f>
        <v/>
      </c>
      <c r="AN28" s="130" t="str">
        <f t="shared" si="13"/>
        <v/>
      </c>
      <c r="AO28" s="132" t="str">
        <f>IF($A28="","",IFERROR(SUMPRODUCT((Raw_Data_Daily!$B$2:$B$9999="Control")*(Raw_Data_Daily!$A$2:$A$9999=$A28)*(Raw_Data_Daily!$C$2:$C$9999=$C$3)*Raw_Data_Daily!$D$2:$D$9999*Raw_Data_Daily!$Q$2:$Q$9999)/SUMIFS(Raw_Data_Daily!$D:$D, Raw_Data_Daily!$B:$B, "Control", Raw_Data_Daily!$A:$A, $A28, Raw_Data_Daily!$C:$C, $C$3),""))</f>
        <v/>
      </c>
      <c r="AP28" s="132" t="str">
        <f>IF($A28="","",IFERROR(SUMPRODUCT((Raw_Data_Daily!$B$2:$B$9999="Variant")*(Raw_Data_Daily!$A$2:$A$9999=$A28)*(Raw_Data_Daily!$C$2:$C$9999=$C$3)*Raw_Data_Daily!$D$2:$D$9999*Raw_Data_Daily!$Q$2:$Q$9999)/SUMIFS(Raw_Data_Daily!$D:$D, Raw_Data_Daily!$B:$B, "Variant", Raw_Data_Daily!$A:$A, $A28, Raw_Data_Daily!$C:$C, $C$3),""))</f>
        <v/>
      </c>
      <c r="AQ28" s="127" t="str">
        <f t="shared" si="14"/>
        <v/>
      </c>
      <c r="AR28" s="132" t="str">
        <f>IF($A28="","",IFERROR(SUMPRODUCT((Raw_Data_Daily!$B$2:$B$9999="Control")*(Raw_Data_Daily!$A$2:$A$9999=$A28)*(Raw_Data_Daily!$C$2:$C$9999=$C$3)*Raw_Data_Daily!$D$2:$D$9999*Raw_Data_Daily!$R$2:$R$9999)/SUMIFS(Raw_Data_Daily!$D:$D, Raw_Data_Daily!$B:$B, "Control", Raw_Data_Daily!$A:$A, $A28, Raw_Data_Daily!$C:$C, $C$3),""))</f>
        <v/>
      </c>
      <c r="AS28" s="132" t="str">
        <f>IF($A28="","",IFERROR(SUMPRODUCT((Raw_Data_Daily!$B$2:$B$9999="Variant")*(Raw_Data_Daily!$A$2:$A$9999=$A28)*(Raw_Data_Daily!$C$2:$C$9999=$C$3)*Raw_Data_Daily!$D$2:$D$9999*Raw_Data_Daily!$R$2:$R$9999)/SUMIFS(Raw_Data_Daily!$D:$D, Raw_Data_Daily!$B:$B, "Variant", Raw_Data_Daily!$A:$A, $A28, Raw_Data_Daily!$C:$C, $C$3),""))</f>
        <v/>
      </c>
      <c r="AT28" s="127" t="str">
        <f t="shared" si="15"/>
        <v/>
      </c>
      <c r="AU28" s="132" t="str">
        <f>IF($A28="","",IFERROR(SUMPRODUCT((Raw_Data_Daily!$B$2:$B$9999="Control")*(Raw_Data_Daily!$A$2:$A$9999=$A28)*(Raw_Data_Daily!$C$2:$C$9999=$C$3)*Raw_Data_Daily!$D$2:$D$9999*Raw_Data_Daily!$S$2:$S$9999)/SUMIFS(Raw_Data_Daily!$D:$D, Raw_Data_Daily!$B:$B, "Control", Raw_Data_Daily!$A:$A, $A28, Raw_Data_Daily!$C:$C, $C$3),""))</f>
        <v/>
      </c>
      <c r="AV28" s="132" t="str">
        <f>IF($A28="","",IFERROR(SUMPRODUCT((Raw_Data_Daily!$B$2:$B$9999="Variant")*(Raw_Data_Daily!$A$2:$A$9999=$A28)*(Raw_Data_Daily!$C$2:$C$9999=$C$3)*Raw_Data_Daily!$D$2:$D$9999*Raw_Data_Daily!$S$2:$S$9999)/SUMIFS(Raw_Data_Daily!$D:$D, Raw_Data_Daily!$B:$B, "Variant", Raw_Data_Daily!$A:$A, $A28, Raw_Data_Daily!$C:$C, $C$3),""))</f>
        <v/>
      </c>
      <c r="AW28" s="127" t="str">
        <f t="shared" si="16"/>
        <v/>
      </c>
      <c r="AX28" s="132" t="str">
        <f>IF($A28="","",IFERROR(SUMPRODUCT((Raw_Data_Daily!$B$2:$B$9999="Control")*(Raw_Data_Daily!$A$2:$A$9999=$A28)*(Raw_Data_Daily!$C$2:$C$9999=$C$3)*Raw_Data_Daily!$D$2:$D$9999*Raw_Data_Daily!$T$2:$T$9999)/SUMIFS(Raw_Data_Daily!$D:$D, Raw_Data_Daily!$B:$B, "Control", Raw_Data_Daily!$A:$A, $A28, Raw_Data_Daily!$C:$C, $C$3),""))</f>
        <v/>
      </c>
      <c r="AY28" s="132" t="str">
        <f>IF($A28="","",IFERROR(SUMPRODUCT((Raw_Data_Daily!$B$2:$B$9999="Variant")*(Raw_Data_Daily!$A$2:$A$9999=$A28)*(Raw_Data_Daily!$C$2:$C$9999=$C$3)*Raw_Data_Daily!$D$2:$D$9999*Raw_Data_Daily!$T$2:$T$9999)/SUMIFS(Raw_Data_Daily!$D:$D, Raw_Data_Daily!$B:$B, "Variant", Raw_Data_Daily!$A:$A, $A28, Raw_Data_Daily!$C:$C, $C$3),""))</f>
        <v/>
      </c>
      <c r="AZ28" s="130" t="str">
        <f t="shared" si="17"/>
        <v/>
      </c>
      <c r="BA28" s="132" t="str">
        <f>IF($A28="","",IFERROR(SUMPRODUCT((Raw_Data_Daily!$B$2:$B$9999="Control")*(Raw_Data_Daily!$A$2:$A$9999=$A28)*(Raw_Data_Daily!$C$2:$C$9999=$C$3)*Raw_Data_Daily!$D$2:$D$9999*Raw_Data_Daily!$U$2:$U$9999)/SUMIFS(Raw_Data_Daily!$D:$D, Raw_Data_Daily!$B:$B, "Control", Raw_Data_Daily!$A:$A, $A28, Raw_Data_Daily!$C:$C, $C$3),""))</f>
        <v/>
      </c>
      <c r="BB28" s="132" t="str">
        <f>IF($A28="","",IFERROR(SUMPRODUCT((Raw_Data_Daily!$B$2:$B$9999="Variant")*(Raw_Data_Daily!$A$2:$A$9999=$A28)*(Raw_Data_Daily!$C$2:$C$9999=$C$3)*Raw_Data_Daily!$D$2:$D$9999*Raw_Data_Daily!$U$2:$U$9999)/SUMIFS(Raw_Data_Daily!$D:$D, Raw_Data_Daily!$B:$B, "Variant", Raw_Data_Daily!$A:$A, $A28, Raw_Data_Daily!$C:$C, $C$3),""))</f>
        <v/>
      </c>
      <c r="BC28" s="127" t="str">
        <f t="shared" si="18"/>
        <v/>
      </c>
      <c r="BD28" s="132" t="str">
        <f>IF($A28="","",IFERROR(SUMPRODUCT((Raw_Data_Daily!$B$2:$B$9999="Control")*(Raw_Data_Daily!$A$2:$A$9999=$A28)*(Raw_Data_Daily!$C$2:$C$9999=$C$3)*Raw_Data_Daily!$D$2:$D$9999*Raw_Data_Daily!$V$2:$V$9999)/SUMIFS(Raw_Data_Daily!$D:$D, Raw_Data_Daily!$B:$B, "Control", Raw_Data_Daily!$A:$A, $A28, Raw_Data_Daily!$C:$C, $C$3),""))</f>
        <v/>
      </c>
      <c r="BE28" s="132" t="str">
        <f>IF($A28="","",IFERROR(SUMPRODUCT((Raw_Data_Daily!$B$2:$B$9999="Variant")*(Raw_Data_Daily!$A$2:$A$9999=$A28)*(Raw_Data_Daily!$C$2:$C$9999=$C$3)*Raw_Data_Daily!$D$2:$D$9999*Raw_Data_Daily!$V$2:$V$9999)/SUMIFS(Raw_Data_Daily!$D:$D, Raw_Data_Daily!$B:$B, "Variant", Raw_Data_Daily!$A:$A, $A28, Raw_Data_Daily!$C:$C, $C$3),""))</f>
        <v/>
      </c>
      <c r="BF28" s="127" t="str">
        <f t="shared" si="19"/>
        <v/>
      </c>
      <c r="BG28" s="132" t="str">
        <f>IF($A28="","",IFERROR(SUMPRODUCT((Raw_Data_Daily!$B$2:$B$9999="Control")*(Raw_Data_Daily!$A$2:$A$9999=$A28)*(Raw_Data_Daily!$C$2:$C$9999=$C$3)*Raw_Data_Daily!$D$2:$D$9999*(Raw_Data_Daily!$Q$2:$Q$9999-Raw_Data_Daily!$V$2:$V$9999))/SUMIFS(Raw_Data_Daily!$D:$D, Raw_Data_Daily!$B:$B, "Control", Raw_Data_Daily!$A:$A, $A28, Raw_Data_Daily!$C:$C, $C$3),""))</f>
        <v/>
      </c>
      <c r="BH28" s="132" t="str">
        <f>IF($A28="","",IFERROR(SUMPRODUCT((Raw_Data_Daily!$B$2:$B$9999="Variant")*(Raw_Data_Daily!$A$2:$A$9999=$A28)*(Raw_Data_Daily!$C$2:$C$9999=$C$3)*Raw_Data_Daily!$D$2:$D$9999*(Raw_Data_Daily!$Q$2:$Q$9999-Raw_Data_Daily!$V$2:$V$9999))/SUMIFS(Raw_Data_Daily!$D:$D, Raw_Data_Daily!$B:$B, "Variant", Raw_Data_Daily!$A:$A, $A28, Raw_Data_Daily!$C:$C, $C$3),""))</f>
        <v/>
      </c>
      <c r="BI28" s="127" t="str">
        <f t="shared" si="20"/>
        <v/>
      </c>
      <c r="BJ28" s="132" t="str">
        <f>IF($A28="","",IFERROR(SUMPRODUCT((Raw_Data_Daily!$B$2:$B$9999="Control")*(Raw_Data_Daily!$A$2:$A$9999=$A28)*(Raw_Data_Daily!$C$2:$C$9999=$C$3)*Raw_Data_Daily!$D$2:$D$9999*Raw_Data_Daily!$W$2:$W$9999)/SUMIFS(Raw_Data_Daily!$D:$D, Raw_Data_Daily!$B:$B, "Control", Raw_Data_Daily!$A:$A, $A28, Raw_Data_Daily!$C:$C, $C$3),""))</f>
        <v/>
      </c>
      <c r="BK28" s="132" t="str">
        <f>IF($A28="","",IFERROR(SUMPRODUCT((Raw_Data_Daily!$B$2:$B$9999="Variant")*(Raw_Data_Daily!$A$2:$A$9999=$A28)*(Raw_Data_Daily!$C$2:$C$9999=$C$3)*Raw_Data_Daily!$D$2:$D$9999*Raw_Data_Daily!$W$2:$W$9999)/SUMIFS(Raw_Data_Daily!$D:$D, Raw_Data_Daily!$B:$B, "Variant", Raw_Data_Daily!$A:$A, $A28, Raw_Data_Daily!$C:$C, $C$3),""))</f>
        <v/>
      </c>
      <c r="BL28" s="127" t="str">
        <f t="shared" si="21"/>
        <v/>
      </c>
      <c r="BM28" s="137" t="str">
        <f>IF($A28="","",IFERROR(SUMPRODUCT((Raw_Data_Daily!$B$2:$B$9999="Control")*(Raw_Data_Daily!$A$2:$A$9999=$A28)*(Raw_Data_Daily!$C$2:$C$9999=$C$3)*Raw_Data_Daily!$D$2:$D$9999*Raw_Data_Daily!$X$2:$X$9999)/SUMIFS(Raw_Data_Daily!$D:$D, Raw_Data_Daily!$B:$B, "Control", Raw_Data_Daily!$A:$A, $A28, Raw_Data_Daily!$C:$C, $C$3),""))</f>
        <v/>
      </c>
      <c r="BN28" s="137" t="str">
        <f>IF($A28="","",IFERROR(SUMPRODUCT((Raw_Data_Daily!$B$2:$B$9999="Variant")*(Raw_Data_Daily!$A$2:$A$9999=$A28)*(Raw_Data_Daily!$C$2:$C$9999=$C$3)*Raw_Data_Daily!$D$2:$D$9999*Raw_Data_Daily!$X$2:$X$9999)/SUMIFS(Raw_Data_Daily!$D:$D, Raw_Data_Daily!$B:$B, "Variant", Raw_Data_Daily!$A:$A, $A28, Raw_Data_Daily!$C:$C, $C$3),""))</f>
        <v/>
      </c>
      <c r="BO28" s="130" t="str">
        <f t="shared" si="22"/>
        <v/>
      </c>
      <c r="BP28" s="126" t="str">
        <f>IF($A28="","",IFERROR(SUMPRODUCT((Raw_Data_Daily!$B$2:$B$9999="Control")*(Raw_Data_Daily!$A$2:$A$9999=$A28)*(Raw_Data_Daily!$C$2:$C$9999=$C$3)*Raw_Data_Daily!$D$2:$D$9999*Raw_Data_Daily!$Y$2:$Y$9999)/SUMIFS(Raw_Data_Daily!$D:$D, Raw_Data_Daily!$B:$B, "Control", Raw_Data_Daily!$A:$A, $A28, Raw_Data_Daily!$C:$C, $C$3),""))</f>
        <v/>
      </c>
      <c r="BQ28" s="126" t="str">
        <f>IF($A28="","",IFERROR(SUMPRODUCT((Raw_Data_Daily!$B$2:$B$9999="Variant")*(Raw_Data_Daily!$A$2:$A$9999=$A28)*(Raw_Data_Daily!$C$2:$C$9999=$C$3)*Raw_Data_Daily!$D$2:$D$9999*Raw_Data_Daily!$Y$2:$Y$9999)/SUMIFS(Raw_Data_Daily!$D:$D, Raw_Data_Daily!$B:$B, "Variant", Raw_Data_Daily!$A:$A, $A28, Raw_Data_Daily!$C:$C, $C$3),""))</f>
        <v/>
      </c>
      <c r="BR28" s="127" t="str">
        <f t="shared" si="23"/>
        <v/>
      </c>
      <c r="BS28" s="126" t="str">
        <f>IF($A28="","",IFERROR(SUMPRODUCT((Raw_Data_Daily!$B$2:$B$9999="Control")*(Raw_Data_Daily!$A$2:$A$9999=$A28)*(Raw_Data_Daily!$C$2:$C$9999=$C$3)*Raw_Data_Daily!$D$2:$D$9999*Raw_Data_Daily!$Z$2:$Z$9999)/SUMIFS(Raw_Data_Daily!$D:$D, Raw_Data_Daily!$B:$B, "Control", Raw_Data_Daily!$A:$A, $A28, Raw_Data_Daily!$C:$C, $C$3),""))</f>
        <v/>
      </c>
      <c r="BT28" s="126" t="str">
        <f>IF($A28="","",IFERROR(SUMPRODUCT((Raw_Data_Daily!$B$2:$B$9999="Variant")*(Raw_Data_Daily!$A$2:$A$9999=$A28)*(Raw_Data_Daily!$C$2:$C$9999=$C$3)*Raw_Data_Daily!$D$2:$D$9999*Raw_Data_Daily!$Z$2:$Z$9999)/SUMIFS(Raw_Data_Daily!$D:$D, Raw_Data_Daily!$B:$B, "Variant", Raw_Data_Daily!$A:$A, $A28, Raw_Data_Daily!$C:$C, $C$3),""))</f>
        <v/>
      </c>
      <c r="BU28" s="127" t="str">
        <f t="shared" si="24"/>
        <v/>
      </c>
      <c r="BV28" s="126" t="str">
        <f>IF($A28="","",IFERROR(SUMPRODUCT((Raw_Data_Daily!$B$2:$B$9999="Control")*(Raw_Data_Daily!$A$2:$A$9999=$A28)*(Raw_Data_Daily!$C$2:$C$9999=$C$3)*Raw_Data_Daily!$D$2:$D$9999*Raw_Data_Daily!$AA$2:$AA$9999)/SUMIFS(Raw_Data_Daily!$D:$D, Raw_Data_Daily!$B:$B, "Control", Raw_Data_Daily!$A:$A, $A28, Raw_Data_Daily!$C:$C, $C$3),""))</f>
        <v/>
      </c>
      <c r="BW28" s="126" t="str">
        <f>IF($A28="","",IFERROR(SUMPRODUCT((Raw_Data_Daily!$B$2:$B$9999="Variant")*(Raw_Data_Daily!$A$2:$A$9999=$A28)*(Raw_Data_Daily!$C$2:$C$9999=$C$3)*Raw_Data_Daily!$D$2:$D$9999*Raw_Data_Daily!$AA$2:$AA$9999)/SUMIFS(Raw_Data_Daily!$D:$D, Raw_Data_Daily!$B:$B, "Variant", Raw_Data_Daily!$A:$A, $A28, Raw_Data_Daily!$C:$C, $C$3),""))</f>
        <v/>
      </c>
      <c r="BX28" s="127" t="str">
        <f t="shared" si="25"/>
        <v/>
      </c>
      <c r="BY28" s="132" t="str">
        <f>IF($A28="","",IFERROR(SUMPRODUCT((Raw_Data_Daily!$B$2:$B$9999="Control")*(Raw_Data_Daily!$A$2:$A$9999=$A28)*(Raw_Data_Daily!$C$2:$C$9999=$C$3)*Raw_Data_Daily!$D$2:$D$9999*Raw_Data_Daily!$AB$2:$AB$9999)/SUMIFS(Raw_Data_Daily!$D:$D, Raw_Data_Daily!$B:$B, "Control", Raw_Data_Daily!$A:$A, $A28, Raw_Data_Daily!$C:$C, $C$3),""))</f>
        <v/>
      </c>
      <c r="BZ28" s="132" t="str">
        <f>IF($A28="","",IFERROR(SUMPRODUCT((Raw_Data_Daily!$B$2:$B$9999="Variant")*(Raw_Data_Daily!$A$2:$A$9999=$A28)*(Raw_Data_Daily!$C$2:$C$9999=$C$3)*Raw_Data_Daily!$D$2:$D$9999*Raw_Data_Daily!$AB$2:$AB$9999)/SUMIFS(Raw_Data_Daily!$D:$D, Raw_Data_Daily!$B:$B, "Variant", Raw_Data_Daily!$A:$A, $A28, Raw_Data_Daily!$C:$C, $C$3),""))</f>
        <v/>
      </c>
      <c r="CA28" s="130" t="str">
        <f t="shared" si="26"/>
        <v/>
      </c>
      <c r="CB28" s="132" t="str">
        <f>IF($A28="","",IFERROR(SUMPRODUCT((Raw_Data_Daily!$B$2:$B$9999="Control")*(Raw_Data_Daily!$A$2:$A$9999=$A28)*(Raw_Data_Daily!$C$2:$C$9999=$C$3)*Raw_Data_Daily!$D$2:$D$9999*Raw_Data_Daily!$AC$2:$AC$9999)/SUMIFS(Raw_Data_Daily!$D:$D, Raw_Data_Daily!$B:$B, "Control", Raw_Data_Daily!$A:$A, $A28, Raw_Data_Daily!$C:$C, $C$3),""))</f>
        <v/>
      </c>
      <c r="CC28" s="132" t="str">
        <f>IF($A28="","",IFERROR(SUMPRODUCT((Raw_Data_Daily!$B$2:$B$9999="Variant")*(Raw_Data_Daily!$A$2:$A$9999=$A28)*(Raw_Data_Daily!$C$2:$C$9999=$C$3)*Raw_Data_Daily!$D$2:$D$9999*Raw_Data_Daily!$AC$2:$AC$9999)/SUMIFS(Raw_Data_Daily!$D:$D, Raw_Data_Daily!$B:$B, "Variant", Raw_Data_Daily!$A:$A, $A28, Raw_Data_Daily!$C:$C, $C$3),""))</f>
        <v/>
      </c>
      <c r="CD28" s="130" t="str">
        <f t="shared" si="27"/>
        <v/>
      </c>
      <c r="CE28" s="132" t="str">
        <f>IF($A28="","",IFERROR(SUMPRODUCT((Raw_Data_Daily!$B$2:$B$9999="Control")*(Raw_Data_Daily!$A$2:$A$9999=$A28)*(Raw_Data_Daily!$C$2:$C$9999=$C$3)*Raw_Data_Daily!$D$2:$D$9999*Raw_Data_Daily!$AD$2:$AD$9999)/SUMIFS(Raw_Data_Daily!$D:$D, Raw_Data_Daily!$B:$B, "Control", Raw_Data_Daily!$A:$A, $A28, Raw_Data_Daily!$C:$C, $C$3),""))</f>
        <v/>
      </c>
      <c r="CF28" s="132" t="str">
        <f>IF($A28="","",IFERROR(SUMPRODUCT((Raw_Data_Daily!$B$2:$B$9999="Variant")*(Raw_Data_Daily!$A$2:$A$9999=$A28)*(Raw_Data_Daily!$C$2:$C$9999=$C$3)*Raw_Data_Daily!$D$2:$D$9999*Raw_Data_Daily!$AD$2:$AD$9999)/SUMIFS(Raw_Data_Daily!$D:$D, Raw_Data_Daily!$B:$B, "Variant", Raw_Data_Daily!$A:$A, $A28, Raw_Data_Daily!$C:$C, $C$3),""))</f>
        <v/>
      </c>
      <c r="CG28" s="130" t="str">
        <f t="shared" si="28"/>
        <v/>
      </c>
      <c r="CH28" s="132" t="str">
        <f>IF($A28="","",IFERROR(SUMPRODUCT((Raw_Data_Daily!$B$2:$B$9999="Control")*(Raw_Data_Daily!$A$2:$A$9999=$A28)*(Raw_Data_Daily!$C$2:$C$9999=$C$3)*Raw_Data_Daily!$D$2:$D$9999*Raw_Data_Daily!$AE$2:$AE$9999)/SUMIFS(Raw_Data_Daily!$D:$D, Raw_Data_Daily!$B:$B, "Control", Raw_Data_Daily!$A:$A, $A28, Raw_Data_Daily!$C:$C, $C$3),""))</f>
        <v/>
      </c>
      <c r="CI28" s="132" t="str">
        <f>IF($A28="","",IFERROR(SUMPRODUCT((Raw_Data_Daily!$B$2:$B$9999="Variant")*(Raw_Data_Daily!$A$2:$A$9999=$A28)*(Raw_Data_Daily!$C$2:$C$9999=$C$3)*Raw_Data_Daily!$D$2:$D$9999*Raw_Data_Daily!$AE$2:$AE$9999)/SUMIFS(Raw_Data_Daily!$D:$D, Raw_Data_Daily!$B:$B, "Variant", Raw_Data_Daily!$A:$A, $A28, Raw_Data_Daily!$C:$C, $C$3),""))</f>
        <v/>
      </c>
      <c r="CJ28" s="130" t="str">
        <f t="shared" si="29"/>
        <v/>
      </c>
      <c r="CK28" s="132" t="str">
        <f>IF($A28="","",IFERROR(SUMPRODUCT((Raw_Data_Daily!$B$2:$B$9999="Control")*(Raw_Data_Daily!$A$2:$A$9999=$A28)*(Raw_Data_Daily!$C$2:$C$9999=$C$3)*Raw_Data_Daily!$D$2:$D$9999*Raw_Data_Daily!$AF$2:$AF$9999)/SUMIFS(Raw_Data_Daily!$D:$D, Raw_Data_Daily!$B:$B, "Control", Raw_Data_Daily!$A:$A, $A28, Raw_Data_Daily!$C:$C, $C$3),""))</f>
        <v/>
      </c>
      <c r="CL28" s="132" t="str">
        <f>IF($A28="","",IFERROR(SUMPRODUCT((Raw_Data_Daily!$B$2:$B$9999="Variant")*(Raw_Data_Daily!$A$2:$A$9999=$A28)*(Raw_Data_Daily!$C$2:$C$9999=$C$3)*Raw_Data_Daily!$D$2:$D$9999*Raw_Data_Daily!$AF$2:$AF$9999)/SUMIFS(Raw_Data_Daily!$D:$D, Raw_Data_Daily!$B:$B, "Variant", Raw_Data_Daily!$A:$A, $A28, Raw_Data_Daily!$C:$C, $C$3),""))</f>
        <v/>
      </c>
      <c r="CM28" s="130" t="str">
        <f t="shared" si="30"/>
        <v/>
      </c>
      <c r="CN28" s="132" t="str">
        <f>IF($A28="","",IFERROR(SUMPRODUCT((Raw_Data_Daily!$B$2:$B$9999="Control")*(Raw_Data_Daily!$A$2:$A$9999=$A28)*(Raw_Data_Daily!$C$2:$C$9999=$C$3)*Raw_Data_Daily!$D$2:$D$9999*Raw_Data_Daily!$AG$2:$AG$9999)/SUMIFS(Raw_Data_Daily!$D:$D, Raw_Data_Daily!$B:$B, "Control", Raw_Data_Daily!$A:$A, $A28, Raw_Data_Daily!$C:$C, $C$3),""))</f>
        <v/>
      </c>
      <c r="CO28" s="132" t="str">
        <f>IF($A28="","",IFERROR(SUMPRODUCT((Raw_Data_Daily!$B$2:$B$9999="Variant")*(Raw_Data_Daily!$A$2:$A$9999=$A28)*(Raw_Data_Daily!$C$2:$C$9999=$C$3)*Raw_Data_Daily!$D$2:$D$9999*Raw_Data_Daily!$AG$2:$AG$9999)/SUMIFS(Raw_Data_Daily!$D:$D, Raw_Data_Daily!$B:$B, "Variant", Raw_Data_Daily!$A:$A, $A28, Raw_Data_Daily!$C:$C, $C$3),""))</f>
        <v/>
      </c>
      <c r="CP28" s="130" t="str">
        <f t="shared" si="31"/>
        <v/>
      </c>
      <c r="CQ28" s="132" t="str">
        <f>IF($A28="","",IFERROR(SUMPRODUCT((Raw_Data_Daily!$B$2:$B$9999="Control")*(Raw_Data_Daily!$A$2:$A$9999=$A28)*(Raw_Data_Daily!$C$2:$C$9999=$C$3)*Raw_Data_Daily!$D$2:$D$9999*Raw_Data_Daily!$AH$2:$AH$9999)/SUMIFS(Raw_Data_Daily!$D:$D, Raw_Data_Daily!$B:$B, "Control", Raw_Data_Daily!$A:$A, $A28, Raw_Data_Daily!$C:$C, $C$3),""))</f>
        <v/>
      </c>
      <c r="CR28" s="132" t="str">
        <f>IF($A28="","",IFERROR(SUMPRODUCT((Raw_Data_Daily!$B$2:$B$9999="Variant")*(Raw_Data_Daily!$A$2:$A$9999=$A28)*(Raw_Data_Daily!$C$2:$C$9999=$C$3)*Raw_Data_Daily!$D$2:$D$9999*Raw_Data_Daily!$AH$2:$AH$9999)/SUMIFS(Raw_Data_Daily!$D:$D, Raw_Data_Daily!$B:$B, "Variant", Raw_Data_Daily!$A:$A, $A28, Raw_Data_Daily!$C:$C, $C$3),""))</f>
        <v/>
      </c>
      <c r="CS28" s="130" t="str">
        <f t="shared" si="32"/>
        <v/>
      </c>
      <c r="CT28" s="128" t="str">
        <f>IF($A28="","",IFERROR(SUMPRODUCT((Raw_Data_Daily!$B$2:$B$9999="Control")*(Raw_Data_Daily!$A$2:$A$9999=$A28)*(Raw_Data_Daily!$C$2:$C$9999=$C$3)*Raw_Data_Daily!$D$2:$D$9999*Raw_Data_Daily!$AI$2:$AI$9999)/SUMIFS(Raw_Data_Daily!$D:$D, Raw_Data_Daily!$B:$B, "Control", Raw_Data_Daily!$A:$A, $A28, Raw_Data_Daily!$C:$C, $C$3),""))</f>
        <v/>
      </c>
      <c r="CU28" s="128" t="str">
        <f>IF($A28="","",IFERROR(SUMPRODUCT((Raw_Data_Daily!$B$2:$B$9999="Variant")*(Raw_Data_Daily!$A$2:$A$9999=$A28)*(Raw_Data_Daily!$C$2:$C$9999=$C$3)*Raw_Data_Daily!$D$2:$D$9999*Raw_Data_Daily!$AI$2:$AI$9999)/SUMIFS(Raw_Data_Daily!$D:$D, Raw_Data_Daily!$B:$B, "Variant", Raw_Data_Daily!$A:$A, $A28, Raw_Data_Daily!$C:$C, $C$3),""))</f>
        <v/>
      </c>
      <c r="CV28" s="139" t="str">
        <f t="shared" si="33"/>
        <v/>
      </c>
      <c r="CW28" s="128" t="str">
        <f>IF($A28="","",IFERROR(SUMPRODUCT((Raw_Data_Daily!$B$2:$B$9999="Control")*(Raw_Data_Daily!$A$2:$A$9999=$A28)*(Raw_Data_Daily!$C$2:$C$9999=$C$3)*Raw_Data_Daily!$D$2:$D$9999*Raw_Data_Daily!$AJ$2:$AJ$9999)/SUMIFS(Raw_Data_Daily!$D:$D, Raw_Data_Daily!$B:$B, "Control", Raw_Data_Daily!$A:$A, $A28, Raw_Data_Daily!$C:$C, $C$3),""))</f>
        <v/>
      </c>
      <c r="CX28" s="128" t="str">
        <f>IF($A28="","",IFERROR(SUMPRODUCT((Raw_Data_Daily!$B$2:$B$9999="Variant")*(Raw_Data_Daily!$A$2:$A$9999=$A28)*(Raw_Data_Daily!$C$2:$C$9999=$C$3)*Raw_Data_Daily!$D$2:$D$9999*Raw_Data_Daily!$AJ$2:$AJ$9999)/SUMIFS(Raw_Data_Daily!$D:$D, Raw_Data_Daily!$B:$B, "Variant", Raw_Data_Daily!$A:$A, $A28, Raw_Data_Daily!$C:$C, $C$3),""))</f>
        <v/>
      </c>
      <c r="CY28" s="139" t="str">
        <f t="shared" si="34"/>
        <v/>
      </c>
      <c r="CZ28" s="128" t="str">
        <f>IF($A28="","",IFERROR(SUMPRODUCT((Raw_Data_Daily!$B$2:$B$9999="Control")*(Raw_Data_Daily!$A$2:$A$9999=$A28)*(Raw_Data_Daily!$C$2:$C$9999=$C$3)*Raw_Data_Daily!$D$2:$D$9999*Raw_Data_Daily!$AK$2:$AK$9999)/SUMIFS(Raw_Data_Daily!$D:$D, Raw_Data_Daily!$B:$B, "Control", Raw_Data_Daily!$A:$A, $A28, Raw_Data_Daily!$C:$C, $C$3),""))</f>
        <v/>
      </c>
      <c r="DA28" s="128" t="str">
        <f>IF($A28="","",IFERROR(SUMPRODUCT((Raw_Data_Daily!$B$2:$B$9999="Variant")*(Raw_Data_Daily!$A$2:$A$9999=$A28)*(Raw_Data_Daily!$C$2:$C$9999=$C$3)*Raw_Data_Daily!$D$2:$D$9999*Raw_Data_Daily!$AK$2:$AK$9999)/SUMIFS(Raw_Data_Daily!$D:$D, Raw_Data_Daily!$B:$B, "Variant", Raw_Data_Daily!$A:$A, $A28, Raw_Data_Daily!$C:$C, $C$3),""))</f>
        <v/>
      </c>
      <c r="DB28" s="130" t="str">
        <f t="shared" si="35"/>
        <v/>
      </c>
      <c r="DC28" s="137" t="str">
        <f>IF($A28="","",IFERROR(SUMPRODUCT((Raw_Data_Daily!$B$2:$B$9999="Control")*(Raw_Data_Daily!$A$2:$A$9999=$A28)*(Raw_Data_Daily!$C$2:$C$9999=$C$3)*Raw_Data_Daily!$D$2:$D$9999*Raw_Data_Daily!$AL$2:$AL$9999)/SUMIFS(Raw_Data_Daily!$D:$D, Raw_Data_Daily!$B:$B, "Control", Raw_Data_Daily!$A:$A, $A28, Raw_Data_Daily!$C:$C, $C$3),""))</f>
        <v/>
      </c>
      <c r="DD28" s="137" t="str">
        <f>IF($A28="","",IFERROR(SUMPRODUCT((Raw_Data_Daily!$B$2:$B$9999="Variant")*(Raw_Data_Daily!$A$2:$A$9999=$A28)*(Raw_Data_Daily!$C$2:$C$9999=$C$3)*Raw_Data_Daily!$D$2:$D$9999*Raw_Data_Daily!$AL$2:$AL$9999)/SUMIFS(Raw_Data_Daily!$D:$D, Raw_Data_Daily!$B:$B, "Variant", Raw_Data_Daily!$A:$A, $A28, Raw_Data_Daily!$C:$C, $C$3),""))</f>
        <v/>
      </c>
      <c r="DE28" s="139" t="str">
        <f t="shared" si="36"/>
        <v/>
      </c>
      <c r="DF28" s="159"/>
      <c r="DG28" s="128" t="str">
        <f>IF($A28="","",IFERROR(SUMPRODUCT((Raw_Data_Daily!$B$2:$B$9999="Variant")*(Raw_Data_Daily!$A$2:$A$9999=$A28)*(Raw_Data_Daily!$C$2:$C$9999=$C$3)*Raw_Data_Daily!$D$2:$D$9999*Raw_Data_Daily!$AM$2:$AM$9999)/SUMIFS(Raw_Data_Daily!$D:$D, Raw_Data_Daily!$B:$B, "Variant", Raw_Data_Daily!$A:$A, $A28, Raw_Data_Daily!$C:$C, $C$3),""))</f>
        <v/>
      </c>
      <c r="DH28" s="160"/>
      <c r="DI28" s="159"/>
      <c r="DJ28" s="128" t="str">
        <f>IF($A28="","",IFERROR(SUMPRODUCT((Raw_Data_Daily!$B$2:$B$9999="Variant")*(Raw_Data_Daily!$A$2:$A$9999=$A28)*(Raw_Data_Daily!$C$2:$C$9999=$C$3)*Raw_Data_Daily!$D$2:$D$9999*Raw_Data_Daily!$AN$2:$AN$9999)/SUMIFS(Raw_Data_Daily!$D:$D, Raw_Data_Daily!$B:$B, "Variant", Raw_Data_Daily!$A:$A, $A28, Raw_Data_Daily!$C:$C, $C$3),""))</f>
        <v/>
      </c>
      <c r="DK28" s="160"/>
      <c r="DL28" s="159"/>
      <c r="DM28" s="128" t="str">
        <f>IF($A28="","",IFERROR(SUMPRODUCT((Raw_Data_Daily!$B$2:$B$9999="Variant")*(Raw_Data_Daily!$A$2:$A$9999=$A28)*(Raw_Data_Daily!$C$2:$C$9999=$C$3)*Raw_Data_Daily!$D$2:$D$9999*Raw_Data_Daily!$AO$2:$AO$9999)/SUMIFS(Raw_Data_Daily!$D:$D, Raw_Data_Daily!$B:$B, "Variant", Raw_Data_Daily!$A:$A, $A28, Raw_Data_Daily!$C:$C, $C$3),""))</f>
        <v/>
      </c>
      <c r="DN28" s="160"/>
      <c r="DO28" s="159"/>
      <c r="DP28" s="128" t="str">
        <f>IF($A28="","",IFERROR(SUMPRODUCT((Raw_Data_Daily!$B$2:$B$9999="Variant")*(Raw_Data_Daily!$A$2:$A$9999=$A28)*(Raw_Data_Daily!$C$2:$C$9999=$C$3)*Raw_Data_Daily!$D$2:$D$9999*Raw_Data_Daily!$AP$2:$AP$9999)/SUMIFS(Raw_Data_Daily!$D:$D, Raw_Data_Daily!$B:$B, "Variant", Raw_Data_Daily!$A:$A, $A28, Raw_Data_Daily!$C:$C, $C$3),""))</f>
        <v/>
      </c>
      <c r="DQ28" s="160"/>
      <c r="DR28" s="137" t="str">
        <f>IF($A28="","",IFERROR(SUMPRODUCT((Raw_Data_Daily!$B$2:$B$9999="Control")*(Raw_Data_Daily!$A$2:$A$9999=$A28)*(Raw_Data_Daily!$C$2:$C$9999=$C$3)*Raw_Data_Daily!$D$2:$D$9999*Raw_Data_Daily!$AQ$2:$AQ$9999)/SUMIFS(Raw_Data_Daily!$D:$D, Raw_Data_Daily!$B:$B, "Control", Raw_Data_Daily!$A:$A, $A28, Raw_Data_Daily!$C:$C, $C$3),""))</f>
        <v/>
      </c>
      <c r="DS28" s="137" t="str">
        <f>IF($A28="","",IFERROR(SUMPRODUCT((Raw_Data_Daily!$B$2:$B$9999="Variant")*(Raw_Data_Daily!$A$2:$A$9999=$A28)*(Raw_Data_Daily!$C$2:$C$9999=$C$3)*Raw_Data_Daily!$D$2:$D$9999*Raw_Data_Daily!$AQ$2:$AQ$9999)/SUMIFS(Raw_Data_Daily!$D:$D, Raw_Data_Daily!$B:$B, "Variant", Raw_Data_Daily!$A:$A, $A28, Raw_Data_Daily!$C:$C, $C$3),""))</f>
        <v/>
      </c>
      <c r="DT28" s="161" t="str">
        <f t="shared" si="37"/>
        <v/>
      </c>
      <c r="DU28" s="137" t="str">
        <f>IF($A28="","",IFERROR(SUMPRODUCT((Raw_Data_Daily!$B$2:$B$9999="Control")*(Raw_Data_Daily!$A$2:$A$9999=$A28)*(Raw_Data_Daily!$C$2:$C$9999=$C$3)*Raw_Data_Daily!$D$2:$D$9999*Raw_Data_Daily!$AR$2:$AR$9999)/SUMIFS(Raw_Data_Daily!$D:$D, Raw_Data_Daily!$B:$B, "Control", Raw_Data_Daily!$A:$A, $A28, Raw_Data_Daily!$C:$C, $C$3),""))</f>
        <v/>
      </c>
      <c r="DV28" s="137" t="str">
        <f>IF($A28="","",IFERROR(SUMPRODUCT((Raw_Data_Daily!$B$2:$B$9999="Variant")*(Raw_Data_Daily!$A$2:$A$9999=$A28)*(Raw_Data_Daily!$C$2:$C$9999=$C$3)*Raw_Data_Daily!$D$2:$D$9999*Raw_Data_Daily!$AR$2:$AR$9999)/SUMIFS(Raw_Data_Daily!$D:$D, Raw_Data_Daily!$B:$B, "Variant", Raw_Data_Daily!$A:$A, $A28, Raw_Data_Daily!$C:$C, $C$3),""))</f>
        <v/>
      </c>
      <c r="DW28" s="161" t="str">
        <f t="shared" si="38"/>
        <v/>
      </c>
      <c r="DX28" s="137" t="str">
        <f>IF($A28="","",IFERROR(SUMPRODUCT((Raw_Data_Daily!$B$2:$B$9999="Control")*(Raw_Data_Daily!$A$2:$A$9999=$A28)*(Raw_Data_Daily!$C$2:$C$9999=$C$3)*Raw_Data_Daily!$D$2:$D$9999*Raw_Data_Daily!$AS$2:$AS$9999)/SUMIFS(Raw_Data_Daily!$D:$D, Raw_Data_Daily!$B:$B, "Control", Raw_Data_Daily!$A:$A, $A28, Raw_Data_Daily!$C:$C, $C$3),""))</f>
        <v/>
      </c>
      <c r="DY28" s="137" t="str">
        <f>IF($A28="","",IFERROR(SUMPRODUCT((Raw_Data_Daily!$B$2:$B$9999="Variant")*(Raw_Data_Daily!$A$2:$A$9999=$A28)*(Raw_Data_Daily!$C$2:$C$9999=$C$3)*Raw_Data_Daily!$D$2:$D$9999*Raw_Data_Daily!$AS$2:$AS$9999)/SUMIFS(Raw_Data_Daily!$D:$D, Raw_Data_Daily!$B:$B, "Variant", Raw_Data_Daily!$A:$A, $A28, Raw_Data_Daily!$C:$C, $C$3),""))</f>
        <v/>
      </c>
      <c r="DZ28" s="162" t="str">
        <f t="shared" si="39"/>
        <v/>
      </c>
      <c r="EA28" s="137" t="str">
        <f>IF($A28="","",IFERROR(SUMPRODUCT((Raw_Data_Daily!$B$2:$B$9999="Control")*(Raw_Data_Daily!$A$2:$A$9999=$A28)*(Raw_Data_Daily!$C$2:$C$9999=$C$3)*Raw_Data_Daily!$D$2:$D$9999*Raw_Data_Daily!$AT$2:$AT$9999)/SUMIFS(Raw_Data_Daily!$D:$D, Raw_Data_Daily!$B:$B, "Control", Raw_Data_Daily!$A:$A, $A28, Raw_Data_Daily!$C:$C, $C$3),""))</f>
        <v/>
      </c>
      <c r="EB28" s="137" t="str">
        <f>IF($A28="","",IFERROR(SUMPRODUCT((Raw_Data_Daily!$B$2:$B$9999="Variant")*(Raw_Data_Daily!$A$2:$A$9999=$A28)*(Raw_Data_Daily!$C$2:$C$9999=$C$3)*Raw_Data_Daily!$D$2:$D$9999*Raw_Data_Daily!$AT$2:$AT$9999)/SUMIFS(Raw_Data_Daily!$D:$D, Raw_Data_Daily!$B:$B, "Variant", Raw_Data_Daily!$A:$A, $A28, Raw_Data_Daily!$C:$C, $C$3),""))</f>
        <v/>
      </c>
      <c r="EC28" s="161" t="str">
        <f t="shared" si="40"/>
        <v/>
      </c>
      <c r="ED28" s="137" t="str">
        <f>IF($A28="","",IFERROR(SUMPRODUCT((Raw_Data_Daily!$B$2:$B$9999="Control")*(Raw_Data_Daily!$A$2:$A$9999=$A28)*(Raw_Data_Daily!$C$2:$C$9999=$C$3)*Raw_Data_Daily!$D$2:$D$9999*(Raw_Data_Daily!$AQ$2:$AQ$9999-Raw_Data_Daily!$AT$2:$AT$9999))/SUMIFS(Raw_Data_Daily!$D:$D, Raw_Data_Daily!$B:$B, "Control", Raw_Data_Daily!$A:$A, $A28, Raw_Data_Daily!$C:$C, $C$3),""))</f>
        <v/>
      </c>
      <c r="EE28" s="137" t="str">
        <f>IF($A28="","",IFERROR(SUMPRODUCT((Raw_Data_Daily!$B$2:$B$9999="Variant")*(Raw_Data_Daily!$A$2:$A$9999=$A28)*(Raw_Data_Daily!$C$2:$C$9999=$C$3)*Raw_Data_Daily!$D$2:$D$9999*(Raw_Data_Daily!$AQ$2:$AQ$9999-Raw_Data_Daily!$AT$2:$AT$9999))/SUMIFS(Raw_Data_Daily!$D:$D, Raw_Data_Daily!$B:$B, "Variant", Raw_Data_Daily!$A:$A, $A28, Raw_Data_Daily!$C:$C, $C$3),""))</f>
        <v/>
      </c>
      <c r="EF28" s="162" t="str">
        <f t="shared" si="41"/>
        <v/>
      </c>
      <c r="EG28" s="137" t="str">
        <f>IF($A28="","",IFERROR(SUMPRODUCT((Raw_Data_Daily!$B$2:$B$9999="Control")*(Raw_Data_Daily!$A$2:$A$9999=$A28)*(Raw_Data_Daily!$C$2:$C$9999=$C$3)*Raw_Data_Daily!$D$2:$D$9999*Raw_Data_Daily!$AU$2:$AU$9999)/SUMIFS(Raw_Data_Daily!$D:$D, Raw_Data_Daily!$B:$B, "Control", Raw_Data_Daily!$A:$A, $A28, Raw_Data_Daily!$C:$C, $C$3),""))</f>
        <v/>
      </c>
      <c r="EH28" s="137" t="str">
        <f>IF($A28="","",IFERROR(SUMPRODUCT((Raw_Data_Daily!$B$2:$B$9999="Variant")*(Raw_Data_Daily!$A$2:$A$9999=$A28)*(Raw_Data_Daily!$C$2:$C$9999=$C$3)*Raw_Data_Daily!$D$2:$D$9999*Raw_Data_Daily!$AU$2:$AU$9999)/SUMIFS(Raw_Data_Daily!$D:$D, Raw_Data_Daily!$B:$B, "Variant", Raw_Data_Daily!$A:$A, $A28, Raw_Data_Daily!$C:$C, $C$3),""))</f>
        <v/>
      </c>
      <c r="EI28" s="161" t="str">
        <f t="shared" si="42"/>
        <v/>
      </c>
    </row>
    <row r="29" ht="15.75" customHeight="1">
      <c r="A29" s="125">
        <v>46252.0</v>
      </c>
      <c r="B29" s="126">
        <f>IF($A29="","",SUMIFS(Raw_Data_Daily!$D:$D, Raw_Data_Daily!$B:$B, "Control", Raw_Data_Daily!$A:$A, $A29, Raw_Data_Daily!$C:$C, $C$3))</f>
        <v>0</v>
      </c>
      <c r="C29" s="126">
        <f>IF($A29="","",SUMIFS(Raw_Data_Daily!$D:$D, Raw_Data_Daily!$B:$B, "Variant", Raw_Data_Daily!$A:$A, $A29, Raw_Data_Daily!$C:$C, $C$3))</f>
        <v>0</v>
      </c>
      <c r="D29" s="127" t="str">
        <f t="shared" si="1"/>
        <v/>
      </c>
      <c r="E29" s="128" t="str">
        <f>IF($A29="","",IFERROR(SUMPRODUCT((Raw_Data_Daily!$B$2:$B$9999="Control")*(Raw_Data_Daily!$A$2:$A$9999=$A29)*(Raw_Data_Daily!$C$2:$C$9999=$C$3)*Raw_Data_Daily!$D$2:$D$9999*Raw_Data_Daily!$E$2:$E$9999)/SUMIFS(Raw_Data_Daily!$D:$D, Raw_Data_Daily!$B:$B, "Control", Raw_Data_Daily!$A:$A, $A29, Raw_Data_Daily!$C:$C, $C$3),""))</f>
        <v/>
      </c>
      <c r="F29" s="128" t="str">
        <f>IF($A29="","",IFERROR(SUMPRODUCT((Raw_Data_Daily!$B$2:$B$9999="Variant")*(Raw_Data_Daily!$A$2:$A$9999=$A29)*(Raw_Data_Daily!$C$2:$C$9999=$C$3)*Raw_Data_Daily!$D$2:$D$9999*Raw_Data_Daily!$E$2:$E$9999)/SUMIFS(Raw_Data_Daily!$D:$D, Raw_Data_Daily!$B:$B, "Variant", Raw_Data_Daily!$A:$A, $A29, Raw_Data_Daily!$C:$C, $C$3),""))</f>
        <v/>
      </c>
      <c r="G29" s="127" t="str">
        <f t="shared" si="2"/>
        <v/>
      </c>
      <c r="H29" s="129">
        <f>IF($A29="","",SUMIFS(Raw_Data_Daily!$F:$F, Raw_Data_Daily!$B:$B, "Control", Raw_Data_Daily!$A:$A, $A29, Raw_Data_Daily!$C:$C, $C$3))</f>
        <v>0</v>
      </c>
      <c r="I29" s="129">
        <f>IF($A29="","",SUMIFS(Raw_Data_Daily!$F:$F, Raw_Data_Daily!$B:$B, "Variant", Raw_Data_Daily!$A:$A, $A29, Raw_Data_Daily!$C:$C, $C$3))</f>
        <v>0</v>
      </c>
      <c r="J29" s="130" t="str">
        <f t="shared" si="3"/>
        <v/>
      </c>
      <c r="K29" s="131" t="str">
        <f>IF($A29="","",IFERROR(SUMIFS(Raw_Data_Daily!$F:$F, Raw_Data_Daily!$B:$B, "Control", Raw_Data_Daily!$A:$A, $A29, Raw_Data_Daily!$C:$C, $C$3)/SUMIFS(Raw_Data_Daily!$D:$D, Raw_Data_Daily!$B:$B, "Control", Raw_Data_Daily!$A:$A, $A29, Raw_Data_Daily!$C:$C, $C$3),""))</f>
        <v/>
      </c>
      <c r="L29" s="131" t="str">
        <f>IF($A29="","",IFERROR(SUMIFS(Raw_Data_Daily!$F:$F, Raw_Data_Daily!$B:$B, "Variant", Raw_Data_Daily!$A:$A, $A29, Raw_Data_Daily!$C:$C, $C$3)/SUMIFS(Raw_Data_Daily!$D:$D, Raw_Data_Daily!$B:$B, "Variant", Raw_Data_Daily!$A:$A, $A29, Raw_Data_Daily!$C:$C, $C$3),""))</f>
        <v/>
      </c>
      <c r="M29" s="130" t="str">
        <f t="shared" si="4"/>
        <v/>
      </c>
      <c r="N29" s="128" t="str">
        <f>IF($A29="","",IFERROR(SUMPRODUCT((Raw_Data_Daily!$B$2:$B$9999="Control")*(Raw_Data_Daily!$A$2:$A$9999=$A29)*(Raw_Data_Daily!$C$2:$C$9999=$C$3)*Raw_Data_Daily!$D$2:$D$9999*Raw_Data_Daily!$H$2:$H$9999/100)/SUMIFS(Raw_Data_Daily!$D:$D, Raw_Data_Daily!$B:$B, "Control", Raw_Data_Daily!$A:$A, $A29, Raw_Data_Daily!$C:$C, $C$3)*100,""))</f>
        <v/>
      </c>
      <c r="O29" s="128" t="str">
        <f>IF($A29="","",IFERROR(SUMPRODUCT((Raw_Data_Daily!$B$2:$B$9999="Variant")*(Raw_Data_Daily!$A$2:$A$9999=$A29)*(Raw_Data_Daily!$C$2:$C$9999=$C$3)*Raw_Data_Daily!$D$2:$D$9999*Raw_Data_Daily!$H$2:$H$9999/100)/SUMIFS(Raw_Data_Daily!$D:$D, Raw_Data_Daily!$B:$B, "Variant", Raw_Data_Daily!$A:$A, $A29, Raw_Data_Daily!$C:$C, $C$3)*100,""))</f>
        <v/>
      </c>
      <c r="P29" s="130" t="str">
        <f t="shared" si="5"/>
        <v/>
      </c>
      <c r="Q29" s="131" t="str">
        <f>IF($A29="","",IFERROR(SUMIFS(Raw_Data_Daily!$F:$F, Raw_Data_Daily!$B:$B, "Control", Raw_Data_Daily!$A:$A, $A29, Raw_Data_Daily!$C:$C, $C$3)/SUMPRODUCT((Raw_Data_Daily!$B$2:$B$9999="Control")*(Raw_Data_Daily!$A$2:$A$9999=$A29)*(Raw_Data_Daily!$C$2:$C$9999=$C$3)*Raw_Data_Daily!$D$2:$D$9999*Raw_Data_Daily!$H$2:$H$9999/100),""))</f>
        <v/>
      </c>
      <c r="R29" s="131" t="str">
        <f>IF($A29="","",IFERROR(SUMIFS(Raw_Data_Daily!$F:$F, Raw_Data_Daily!$B:$B, "Variant", Raw_Data_Daily!$A:$A, $A29, Raw_Data_Daily!$C:$C, $C$3)/SUMPRODUCT((Raw_Data_Daily!$B$2:$B$9999="Variant")*(Raw_Data_Daily!$A$2:$A$9999=$A29)*(Raw_Data_Daily!$C$2:$C$9999=$C$3)*Raw_Data_Daily!$D$2:$D$9999*Raw_Data_Daily!$H$2:$H$9999/100),""))</f>
        <v/>
      </c>
      <c r="S29" s="130" t="str">
        <f t="shared" si="6"/>
        <v/>
      </c>
      <c r="T29" s="132" t="str">
        <f>IF($A29="","",IFERROR(SUMPRODUCT((Raw_Data_Daily!$B$2:$B$9999="Control")*(Raw_Data_Daily!$A$2:$A$9999=$A29)*(Raw_Data_Daily!$C$2:$C$9999=$C$3)*Raw_Data_Daily!$D$2:$D$9999*Raw_Data_Daily!$J$2:$J$9999)/SUMIFS(Raw_Data_Daily!$D:$D, Raw_Data_Daily!$B:$B, "Control", Raw_Data_Daily!$A:$A, $A29, Raw_Data_Daily!$C:$C, $C$3),""))</f>
        <v/>
      </c>
      <c r="U29" s="132" t="str">
        <f>IF($A29="","",IFERROR(SUMPRODUCT((Raw_Data_Daily!$B$2:$B$9999="Variant")*(Raw_Data_Daily!$A$2:$A$9999=$A29)*(Raw_Data_Daily!$C$2:$C$9999=$C$3)*Raw_Data_Daily!$D$2:$D$9999*Raw_Data_Daily!$J$2:$J$9999)/SUMIFS(Raw_Data_Daily!$D:$D, Raw_Data_Daily!$B:$B, "Variant", Raw_Data_Daily!$A:$A, $A29, Raw_Data_Daily!$C:$C, $C$3),""))</f>
        <v/>
      </c>
      <c r="V29" s="130" t="str">
        <f t="shared" si="7"/>
        <v/>
      </c>
      <c r="W29" s="132" t="str">
        <f>IF($A29="","",IFERROR(SUMPRODUCT((Raw_Data_Daily!$B$2:$B$9999="Control")*(Raw_Data_Daily!$A$2:$A$9999=$A29)*(Raw_Data_Daily!$C$2:$C$9999=$C$3)*Raw_Data_Daily!$D$2:$D$9999*Raw_Data_Daily!$K$2:$K$9999)/SUMIFS(Raw_Data_Daily!$D:$D, Raw_Data_Daily!$B:$B, "Control", Raw_Data_Daily!$A:$A, $A29, Raw_Data_Daily!$C:$C, $C$3),""))</f>
        <v/>
      </c>
      <c r="X29" s="132" t="str">
        <f>IF($A29="","",IFERROR(SUMPRODUCT((Raw_Data_Daily!$B$2:$B$9999="Variant")*(Raw_Data_Daily!$A$2:$A$9999=$A29)*(Raw_Data_Daily!$C$2:$C$9999=$C$3)*Raw_Data_Daily!$D$2:$D$9999*Raw_Data_Daily!$K$2:$K$9999)/SUMIFS(Raw_Data_Daily!$D:$D, Raw_Data_Daily!$B:$B, "Variant", Raw_Data_Daily!$A:$A, $A29, Raw_Data_Daily!$C:$C, $C$3),""))</f>
        <v/>
      </c>
      <c r="Y29" s="130" t="str">
        <f t="shared" si="8"/>
        <v/>
      </c>
      <c r="Z29" s="132" t="str">
        <f>IF($A29="","",IFERROR(SUMPRODUCT((Raw_Data_Daily!$B$2:$B$9999="Control")*(Raw_Data_Daily!$A$2:$A$9999=$A29)*(Raw_Data_Daily!$C$2:$C$9999=$C$3)*Raw_Data_Daily!$D$2:$D$9999*Raw_Data_Daily!$L$2:$L$9999)/SUMIFS(Raw_Data_Daily!$D:$D, Raw_Data_Daily!$B:$B, "Control", Raw_Data_Daily!$A:$A, $A29, Raw_Data_Daily!$C:$C, $C$3),""))</f>
        <v/>
      </c>
      <c r="AA29" s="132" t="str">
        <f>IF($A29="","",IFERROR(SUMPRODUCT((Raw_Data_Daily!$B$2:$B$9999="Variant")*(Raw_Data_Daily!$A$2:$A$9999=$A29)*(Raw_Data_Daily!$C$2:$C$9999=$C$3)*Raw_Data_Daily!$D$2:$D$9999*Raw_Data_Daily!$L$2:$L$9999)/SUMIFS(Raw_Data_Daily!$D:$D, Raw_Data_Daily!$B:$B, "Variant", Raw_Data_Daily!$A:$A, $A29, Raw_Data_Daily!$C:$C, $C$3),""))</f>
        <v/>
      </c>
      <c r="AB29" s="130" t="str">
        <f t="shared" si="9"/>
        <v/>
      </c>
      <c r="AC29" s="137" t="str">
        <f>IF($A29="","",IFERROR(SUMPRODUCT((Raw_Data_Daily!$B$2:$B$9999="Control")*(Raw_Data_Daily!$A$2:$A$9999=$A29)*(Raw_Data_Daily!$C$2:$C$9999=$C$3)*Raw_Data_Daily!$D$2:$D$9999*Raw_Data_Daily!$M$2:$M$9999)/SUMIFS(Raw_Data_Daily!$D:$D, Raw_Data_Daily!$B:$B, "Control", Raw_Data_Daily!$A:$A, $A29, Raw_Data_Daily!$C:$C, $C$3),""))</f>
        <v/>
      </c>
      <c r="AD29" s="137" t="str">
        <f>IF($A29="","",IFERROR(SUMPRODUCT((Raw_Data_Daily!$B$2:$B$9999="Variant")*(Raw_Data_Daily!$A$2:$A$9999=$A29)*(Raw_Data_Daily!$C$2:$C$9999=$C$3)*Raw_Data_Daily!$D$2:$D$9999*Raw_Data_Daily!$M$2:$M$9999)/SUMIFS(Raw_Data_Daily!$D:$D, Raw_Data_Daily!$B:$B, "Variant", Raw_Data_Daily!$A:$A, $A29, Raw_Data_Daily!$C:$C, $C$3),""))</f>
        <v/>
      </c>
      <c r="AE29" s="139" t="str">
        <f t="shared" si="10"/>
        <v/>
      </c>
      <c r="AF29" s="137" t="str">
        <f>IF($A29="","",IFERROR(SUMPRODUCT((Raw_Data_Daily!$B$2:$B$9999="Control")*(Raw_Data_Daily!$A$2:$A$9999=$A29)*(Raw_Data_Daily!$C$2:$C$9999=$C$3)*Raw_Data_Daily!$D$2:$D$9999*Raw_Data_Daily!$N$2:$N$9999)/SUMIFS(Raw_Data_Daily!$D:$D, Raw_Data_Daily!$B:$B, "Control", Raw_Data_Daily!$A:$A, $A29, Raw_Data_Daily!$C:$C, $C$3),""))</f>
        <v/>
      </c>
      <c r="AG29" s="137" t="str">
        <f>IF($A29="","",IFERROR(SUMPRODUCT((Raw_Data_Daily!$B$2:$B$9999="Variant")*(Raw_Data_Daily!$A$2:$A$9999=$A29)*(Raw_Data_Daily!$C$2:$C$9999=$C$3)*Raw_Data_Daily!$D$2:$D$9999*Raw_Data_Daily!$N$2:$N$9999)/SUMIFS(Raw_Data_Daily!$D:$D, Raw_Data_Daily!$B:$B, "Variant", Raw_Data_Daily!$A:$A, $A29, Raw_Data_Daily!$C:$C, $C$3),""))</f>
        <v/>
      </c>
      <c r="AH29" s="139" t="str">
        <f t="shared" si="11"/>
        <v/>
      </c>
      <c r="AI29" s="137" t="str">
        <f>IF($A29="","",IFERROR(SUMPRODUCT((Raw_Data_Daily!$B$2:$B$9999="Control")*(Raw_Data_Daily!$A$2:$A$9999=$A29)*(Raw_Data_Daily!$C$2:$C$9999=$C$3)*Raw_Data_Daily!$D$2:$D$9999*Raw_Data_Daily!$O$2:$O$9999)/SUMIFS(Raw_Data_Daily!$D:$D, Raw_Data_Daily!$B:$B, "Control", Raw_Data_Daily!$A:$A, $A29, Raw_Data_Daily!$C:$C, $C$3),""))</f>
        <v/>
      </c>
      <c r="AJ29" s="137" t="str">
        <f>IF($A29="","",IFERROR(SUMPRODUCT((Raw_Data_Daily!$B$2:$B$9999="Variant")*(Raw_Data_Daily!$A$2:$A$9999=$A29)*(Raw_Data_Daily!$C$2:$C$9999=$C$3)*Raw_Data_Daily!$D$2:$D$9999*Raw_Data_Daily!$O$2:$O$9999)/SUMIFS(Raw_Data_Daily!$D:$D, Raw_Data_Daily!$B:$B, "Variant", Raw_Data_Daily!$A:$A, $A29, Raw_Data_Daily!$C:$C, $C$3),""))</f>
        <v/>
      </c>
      <c r="AK29" s="130" t="str">
        <f t="shared" si="12"/>
        <v/>
      </c>
      <c r="AL29" s="132" t="str">
        <f>IF($A29="","",IFERROR(SUMPRODUCT((Raw_Data_Daily!$B$2:$B$9999="Control")*(Raw_Data_Daily!$A$2:$A$9999=$A29)*(Raw_Data_Daily!$C$2:$C$9999=$C$3)*Raw_Data_Daily!$D$2:$D$9999*Raw_Data_Daily!$P$2:$P$9999)/SUMIFS(Raw_Data_Daily!$D:$D, Raw_Data_Daily!$B:$B, "Control", Raw_Data_Daily!$A:$A, $A29, Raw_Data_Daily!$C:$C, $C$3),""))</f>
        <v/>
      </c>
      <c r="AM29" s="132" t="str">
        <f>IF($A29="","",IFERROR(SUMPRODUCT((Raw_Data_Daily!$B$2:$B$9999="Variant")*(Raw_Data_Daily!$A$2:$A$9999=$A29)*(Raw_Data_Daily!$C$2:$C$9999=$C$3)*Raw_Data_Daily!$D$2:$D$9999*Raw_Data_Daily!$P$2:$P$9999)/SUMIFS(Raw_Data_Daily!$D:$D, Raw_Data_Daily!$B:$B, "Variant", Raw_Data_Daily!$A:$A, $A29, Raw_Data_Daily!$C:$C, $C$3),""))</f>
        <v/>
      </c>
      <c r="AN29" s="130" t="str">
        <f t="shared" si="13"/>
        <v/>
      </c>
      <c r="AO29" s="132" t="str">
        <f>IF($A29="","",IFERROR(SUMPRODUCT((Raw_Data_Daily!$B$2:$B$9999="Control")*(Raw_Data_Daily!$A$2:$A$9999=$A29)*(Raw_Data_Daily!$C$2:$C$9999=$C$3)*Raw_Data_Daily!$D$2:$D$9999*Raw_Data_Daily!$Q$2:$Q$9999)/SUMIFS(Raw_Data_Daily!$D:$D, Raw_Data_Daily!$B:$B, "Control", Raw_Data_Daily!$A:$A, $A29, Raw_Data_Daily!$C:$C, $C$3),""))</f>
        <v/>
      </c>
      <c r="AP29" s="132" t="str">
        <f>IF($A29="","",IFERROR(SUMPRODUCT((Raw_Data_Daily!$B$2:$B$9999="Variant")*(Raw_Data_Daily!$A$2:$A$9999=$A29)*(Raw_Data_Daily!$C$2:$C$9999=$C$3)*Raw_Data_Daily!$D$2:$D$9999*Raw_Data_Daily!$Q$2:$Q$9999)/SUMIFS(Raw_Data_Daily!$D:$D, Raw_Data_Daily!$B:$B, "Variant", Raw_Data_Daily!$A:$A, $A29, Raw_Data_Daily!$C:$C, $C$3),""))</f>
        <v/>
      </c>
      <c r="AQ29" s="127" t="str">
        <f t="shared" si="14"/>
        <v/>
      </c>
      <c r="AR29" s="132" t="str">
        <f>IF($A29="","",IFERROR(SUMPRODUCT((Raw_Data_Daily!$B$2:$B$9999="Control")*(Raw_Data_Daily!$A$2:$A$9999=$A29)*(Raw_Data_Daily!$C$2:$C$9999=$C$3)*Raw_Data_Daily!$D$2:$D$9999*Raw_Data_Daily!$R$2:$R$9999)/SUMIFS(Raw_Data_Daily!$D:$D, Raw_Data_Daily!$B:$B, "Control", Raw_Data_Daily!$A:$A, $A29, Raw_Data_Daily!$C:$C, $C$3),""))</f>
        <v/>
      </c>
      <c r="AS29" s="132" t="str">
        <f>IF($A29="","",IFERROR(SUMPRODUCT((Raw_Data_Daily!$B$2:$B$9999="Variant")*(Raw_Data_Daily!$A$2:$A$9999=$A29)*(Raw_Data_Daily!$C$2:$C$9999=$C$3)*Raw_Data_Daily!$D$2:$D$9999*Raw_Data_Daily!$R$2:$R$9999)/SUMIFS(Raw_Data_Daily!$D:$D, Raw_Data_Daily!$B:$B, "Variant", Raw_Data_Daily!$A:$A, $A29, Raw_Data_Daily!$C:$C, $C$3),""))</f>
        <v/>
      </c>
      <c r="AT29" s="127" t="str">
        <f t="shared" si="15"/>
        <v/>
      </c>
      <c r="AU29" s="132" t="str">
        <f>IF($A29="","",IFERROR(SUMPRODUCT((Raw_Data_Daily!$B$2:$B$9999="Control")*(Raw_Data_Daily!$A$2:$A$9999=$A29)*(Raw_Data_Daily!$C$2:$C$9999=$C$3)*Raw_Data_Daily!$D$2:$D$9999*Raw_Data_Daily!$S$2:$S$9999)/SUMIFS(Raw_Data_Daily!$D:$D, Raw_Data_Daily!$B:$B, "Control", Raw_Data_Daily!$A:$A, $A29, Raw_Data_Daily!$C:$C, $C$3),""))</f>
        <v/>
      </c>
      <c r="AV29" s="132" t="str">
        <f>IF($A29="","",IFERROR(SUMPRODUCT((Raw_Data_Daily!$B$2:$B$9999="Variant")*(Raw_Data_Daily!$A$2:$A$9999=$A29)*(Raw_Data_Daily!$C$2:$C$9999=$C$3)*Raw_Data_Daily!$D$2:$D$9999*Raw_Data_Daily!$S$2:$S$9999)/SUMIFS(Raw_Data_Daily!$D:$D, Raw_Data_Daily!$B:$B, "Variant", Raw_Data_Daily!$A:$A, $A29, Raw_Data_Daily!$C:$C, $C$3),""))</f>
        <v/>
      </c>
      <c r="AW29" s="127" t="str">
        <f t="shared" si="16"/>
        <v/>
      </c>
      <c r="AX29" s="132" t="str">
        <f>IF($A29="","",IFERROR(SUMPRODUCT((Raw_Data_Daily!$B$2:$B$9999="Control")*(Raw_Data_Daily!$A$2:$A$9999=$A29)*(Raw_Data_Daily!$C$2:$C$9999=$C$3)*Raw_Data_Daily!$D$2:$D$9999*Raw_Data_Daily!$T$2:$T$9999)/SUMIFS(Raw_Data_Daily!$D:$D, Raw_Data_Daily!$B:$B, "Control", Raw_Data_Daily!$A:$A, $A29, Raw_Data_Daily!$C:$C, $C$3),""))</f>
        <v/>
      </c>
      <c r="AY29" s="132" t="str">
        <f>IF($A29="","",IFERROR(SUMPRODUCT((Raw_Data_Daily!$B$2:$B$9999="Variant")*(Raw_Data_Daily!$A$2:$A$9999=$A29)*(Raw_Data_Daily!$C$2:$C$9999=$C$3)*Raw_Data_Daily!$D$2:$D$9999*Raw_Data_Daily!$T$2:$T$9999)/SUMIFS(Raw_Data_Daily!$D:$D, Raw_Data_Daily!$B:$B, "Variant", Raw_Data_Daily!$A:$A, $A29, Raw_Data_Daily!$C:$C, $C$3),""))</f>
        <v/>
      </c>
      <c r="AZ29" s="130" t="str">
        <f t="shared" si="17"/>
        <v/>
      </c>
      <c r="BA29" s="132" t="str">
        <f>IF($A29="","",IFERROR(SUMPRODUCT((Raw_Data_Daily!$B$2:$B$9999="Control")*(Raw_Data_Daily!$A$2:$A$9999=$A29)*(Raw_Data_Daily!$C$2:$C$9999=$C$3)*Raw_Data_Daily!$D$2:$D$9999*Raw_Data_Daily!$U$2:$U$9999)/SUMIFS(Raw_Data_Daily!$D:$D, Raw_Data_Daily!$B:$B, "Control", Raw_Data_Daily!$A:$A, $A29, Raw_Data_Daily!$C:$C, $C$3),""))</f>
        <v/>
      </c>
      <c r="BB29" s="132" t="str">
        <f>IF($A29="","",IFERROR(SUMPRODUCT((Raw_Data_Daily!$B$2:$B$9999="Variant")*(Raw_Data_Daily!$A$2:$A$9999=$A29)*(Raw_Data_Daily!$C$2:$C$9999=$C$3)*Raw_Data_Daily!$D$2:$D$9999*Raw_Data_Daily!$U$2:$U$9999)/SUMIFS(Raw_Data_Daily!$D:$D, Raw_Data_Daily!$B:$B, "Variant", Raw_Data_Daily!$A:$A, $A29, Raw_Data_Daily!$C:$C, $C$3),""))</f>
        <v/>
      </c>
      <c r="BC29" s="127" t="str">
        <f t="shared" si="18"/>
        <v/>
      </c>
      <c r="BD29" s="132" t="str">
        <f>IF($A29="","",IFERROR(SUMPRODUCT((Raw_Data_Daily!$B$2:$B$9999="Control")*(Raw_Data_Daily!$A$2:$A$9999=$A29)*(Raw_Data_Daily!$C$2:$C$9999=$C$3)*Raw_Data_Daily!$D$2:$D$9999*Raw_Data_Daily!$V$2:$V$9999)/SUMIFS(Raw_Data_Daily!$D:$D, Raw_Data_Daily!$B:$B, "Control", Raw_Data_Daily!$A:$A, $A29, Raw_Data_Daily!$C:$C, $C$3),""))</f>
        <v/>
      </c>
      <c r="BE29" s="132" t="str">
        <f>IF($A29="","",IFERROR(SUMPRODUCT((Raw_Data_Daily!$B$2:$B$9999="Variant")*(Raw_Data_Daily!$A$2:$A$9999=$A29)*(Raw_Data_Daily!$C$2:$C$9999=$C$3)*Raw_Data_Daily!$D$2:$D$9999*Raw_Data_Daily!$V$2:$V$9999)/SUMIFS(Raw_Data_Daily!$D:$D, Raw_Data_Daily!$B:$B, "Variant", Raw_Data_Daily!$A:$A, $A29, Raw_Data_Daily!$C:$C, $C$3),""))</f>
        <v/>
      </c>
      <c r="BF29" s="127" t="str">
        <f t="shared" si="19"/>
        <v/>
      </c>
      <c r="BG29" s="132" t="str">
        <f>IF($A29="","",IFERROR(SUMPRODUCT((Raw_Data_Daily!$B$2:$B$9999="Control")*(Raw_Data_Daily!$A$2:$A$9999=$A29)*(Raw_Data_Daily!$C$2:$C$9999=$C$3)*Raw_Data_Daily!$D$2:$D$9999*(Raw_Data_Daily!$Q$2:$Q$9999-Raw_Data_Daily!$V$2:$V$9999))/SUMIFS(Raw_Data_Daily!$D:$D, Raw_Data_Daily!$B:$B, "Control", Raw_Data_Daily!$A:$A, $A29, Raw_Data_Daily!$C:$C, $C$3),""))</f>
        <v/>
      </c>
      <c r="BH29" s="132" t="str">
        <f>IF($A29="","",IFERROR(SUMPRODUCT((Raw_Data_Daily!$B$2:$B$9999="Variant")*(Raw_Data_Daily!$A$2:$A$9999=$A29)*(Raw_Data_Daily!$C$2:$C$9999=$C$3)*Raw_Data_Daily!$D$2:$D$9999*(Raw_Data_Daily!$Q$2:$Q$9999-Raw_Data_Daily!$V$2:$V$9999))/SUMIFS(Raw_Data_Daily!$D:$D, Raw_Data_Daily!$B:$B, "Variant", Raw_Data_Daily!$A:$A, $A29, Raw_Data_Daily!$C:$C, $C$3),""))</f>
        <v/>
      </c>
      <c r="BI29" s="127" t="str">
        <f t="shared" si="20"/>
        <v/>
      </c>
      <c r="BJ29" s="132" t="str">
        <f>IF($A29="","",IFERROR(SUMPRODUCT((Raw_Data_Daily!$B$2:$B$9999="Control")*(Raw_Data_Daily!$A$2:$A$9999=$A29)*(Raw_Data_Daily!$C$2:$C$9999=$C$3)*Raw_Data_Daily!$D$2:$D$9999*Raw_Data_Daily!$W$2:$W$9999)/SUMIFS(Raw_Data_Daily!$D:$D, Raw_Data_Daily!$B:$B, "Control", Raw_Data_Daily!$A:$A, $A29, Raw_Data_Daily!$C:$C, $C$3),""))</f>
        <v/>
      </c>
      <c r="BK29" s="132" t="str">
        <f>IF($A29="","",IFERROR(SUMPRODUCT((Raw_Data_Daily!$B$2:$B$9999="Variant")*(Raw_Data_Daily!$A$2:$A$9999=$A29)*(Raw_Data_Daily!$C$2:$C$9999=$C$3)*Raw_Data_Daily!$D$2:$D$9999*Raw_Data_Daily!$W$2:$W$9999)/SUMIFS(Raw_Data_Daily!$D:$D, Raw_Data_Daily!$B:$B, "Variant", Raw_Data_Daily!$A:$A, $A29, Raw_Data_Daily!$C:$C, $C$3),""))</f>
        <v/>
      </c>
      <c r="BL29" s="127" t="str">
        <f t="shared" si="21"/>
        <v/>
      </c>
      <c r="BM29" s="137" t="str">
        <f>IF($A29="","",IFERROR(SUMPRODUCT((Raw_Data_Daily!$B$2:$B$9999="Control")*(Raw_Data_Daily!$A$2:$A$9999=$A29)*(Raw_Data_Daily!$C$2:$C$9999=$C$3)*Raw_Data_Daily!$D$2:$D$9999*Raw_Data_Daily!$X$2:$X$9999)/SUMIFS(Raw_Data_Daily!$D:$D, Raw_Data_Daily!$B:$B, "Control", Raw_Data_Daily!$A:$A, $A29, Raw_Data_Daily!$C:$C, $C$3),""))</f>
        <v/>
      </c>
      <c r="BN29" s="137" t="str">
        <f>IF($A29="","",IFERROR(SUMPRODUCT((Raw_Data_Daily!$B$2:$B$9999="Variant")*(Raw_Data_Daily!$A$2:$A$9999=$A29)*(Raw_Data_Daily!$C$2:$C$9999=$C$3)*Raw_Data_Daily!$D$2:$D$9999*Raw_Data_Daily!$X$2:$X$9999)/SUMIFS(Raw_Data_Daily!$D:$D, Raw_Data_Daily!$B:$B, "Variant", Raw_Data_Daily!$A:$A, $A29, Raw_Data_Daily!$C:$C, $C$3),""))</f>
        <v/>
      </c>
      <c r="BO29" s="130" t="str">
        <f t="shared" si="22"/>
        <v/>
      </c>
      <c r="BP29" s="126" t="str">
        <f>IF($A29="","",IFERROR(SUMPRODUCT((Raw_Data_Daily!$B$2:$B$9999="Control")*(Raw_Data_Daily!$A$2:$A$9999=$A29)*(Raw_Data_Daily!$C$2:$C$9999=$C$3)*Raw_Data_Daily!$D$2:$D$9999*Raw_Data_Daily!$Y$2:$Y$9999)/SUMIFS(Raw_Data_Daily!$D:$D, Raw_Data_Daily!$B:$B, "Control", Raw_Data_Daily!$A:$A, $A29, Raw_Data_Daily!$C:$C, $C$3),""))</f>
        <v/>
      </c>
      <c r="BQ29" s="126" t="str">
        <f>IF($A29="","",IFERROR(SUMPRODUCT((Raw_Data_Daily!$B$2:$B$9999="Variant")*(Raw_Data_Daily!$A$2:$A$9999=$A29)*(Raw_Data_Daily!$C$2:$C$9999=$C$3)*Raw_Data_Daily!$D$2:$D$9999*Raw_Data_Daily!$Y$2:$Y$9999)/SUMIFS(Raw_Data_Daily!$D:$D, Raw_Data_Daily!$B:$B, "Variant", Raw_Data_Daily!$A:$A, $A29, Raw_Data_Daily!$C:$C, $C$3),""))</f>
        <v/>
      </c>
      <c r="BR29" s="127" t="str">
        <f t="shared" si="23"/>
        <v/>
      </c>
      <c r="BS29" s="126" t="str">
        <f>IF($A29="","",IFERROR(SUMPRODUCT((Raw_Data_Daily!$B$2:$B$9999="Control")*(Raw_Data_Daily!$A$2:$A$9999=$A29)*(Raw_Data_Daily!$C$2:$C$9999=$C$3)*Raw_Data_Daily!$D$2:$D$9999*Raw_Data_Daily!$Z$2:$Z$9999)/SUMIFS(Raw_Data_Daily!$D:$D, Raw_Data_Daily!$B:$B, "Control", Raw_Data_Daily!$A:$A, $A29, Raw_Data_Daily!$C:$C, $C$3),""))</f>
        <v/>
      </c>
      <c r="BT29" s="126" t="str">
        <f>IF($A29="","",IFERROR(SUMPRODUCT((Raw_Data_Daily!$B$2:$B$9999="Variant")*(Raw_Data_Daily!$A$2:$A$9999=$A29)*(Raw_Data_Daily!$C$2:$C$9999=$C$3)*Raw_Data_Daily!$D$2:$D$9999*Raw_Data_Daily!$Z$2:$Z$9999)/SUMIFS(Raw_Data_Daily!$D:$D, Raw_Data_Daily!$B:$B, "Variant", Raw_Data_Daily!$A:$A, $A29, Raw_Data_Daily!$C:$C, $C$3),""))</f>
        <v/>
      </c>
      <c r="BU29" s="127" t="str">
        <f t="shared" si="24"/>
        <v/>
      </c>
      <c r="BV29" s="126" t="str">
        <f>IF($A29="","",IFERROR(SUMPRODUCT((Raw_Data_Daily!$B$2:$B$9999="Control")*(Raw_Data_Daily!$A$2:$A$9999=$A29)*(Raw_Data_Daily!$C$2:$C$9999=$C$3)*Raw_Data_Daily!$D$2:$D$9999*Raw_Data_Daily!$AA$2:$AA$9999)/SUMIFS(Raw_Data_Daily!$D:$D, Raw_Data_Daily!$B:$B, "Control", Raw_Data_Daily!$A:$A, $A29, Raw_Data_Daily!$C:$C, $C$3),""))</f>
        <v/>
      </c>
      <c r="BW29" s="126" t="str">
        <f>IF($A29="","",IFERROR(SUMPRODUCT((Raw_Data_Daily!$B$2:$B$9999="Variant")*(Raw_Data_Daily!$A$2:$A$9999=$A29)*(Raw_Data_Daily!$C$2:$C$9999=$C$3)*Raw_Data_Daily!$D$2:$D$9999*Raw_Data_Daily!$AA$2:$AA$9999)/SUMIFS(Raw_Data_Daily!$D:$D, Raw_Data_Daily!$B:$B, "Variant", Raw_Data_Daily!$A:$A, $A29, Raw_Data_Daily!$C:$C, $C$3),""))</f>
        <v/>
      </c>
      <c r="BX29" s="127" t="str">
        <f t="shared" si="25"/>
        <v/>
      </c>
      <c r="BY29" s="132" t="str">
        <f>IF($A29="","",IFERROR(SUMPRODUCT((Raw_Data_Daily!$B$2:$B$9999="Control")*(Raw_Data_Daily!$A$2:$A$9999=$A29)*(Raw_Data_Daily!$C$2:$C$9999=$C$3)*Raw_Data_Daily!$D$2:$D$9999*Raw_Data_Daily!$AB$2:$AB$9999)/SUMIFS(Raw_Data_Daily!$D:$D, Raw_Data_Daily!$B:$B, "Control", Raw_Data_Daily!$A:$A, $A29, Raw_Data_Daily!$C:$C, $C$3),""))</f>
        <v/>
      </c>
      <c r="BZ29" s="132" t="str">
        <f>IF($A29="","",IFERROR(SUMPRODUCT((Raw_Data_Daily!$B$2:$B$9999="Variant")*(Raw_Data_Daily!$A$2:$A$9999=$A29)*(Raw_Data_Daily!$C$2:$C$9999=$C$3)*Raw_Data_Daily!$D$2:$D$9999*Raw_Data_Daily!$AB$2:$AB$9999)/SUMIFS(Raw_Data_Daily!$D:$D, Raw_Data_Daily!$B:$B, "Variant", Raw_Data_Daily!$A:$A, $A29, Raw_Data_Daily!$C:$C, $C$3),""))</f>
        <v/>
      </c>
      <c r="CA29" s="130" t="str">
        <f t="shared" si="26"/>
        <v/>
      </c>
      <c r="CB29" s="132" t="str">
        <f>IF($A29="","",IFERROR(SUMPRODUCT((Raw_Data_Daily!$B$2:$B$9999="Control")*(Raw_Data_Daily!$A$2:$A$9999=$A29)*(Raw_Data_Daily!$C$2:$C$9999=$C$3)*Raw_Data_Daily!$D$2:$D$9999*Raw_Data_Daily!$AC$2:$AC$9999)/SUMIFS(Raw_Data_Daily!$D:$D, Raw_Data_Daily!$B:$B, "Control", Raw_Data_Daily!$A:$A, $A29, Raw_Data_Daily!$C:$C, $C$3),""))</f>
        <v/>
      </c>
      <c r="CC29" s="132" t="str">
        <f>IF($A29="","",IFERROR(SUMPRODUCT((Raw_Data_Daily!$B$2:$B$9999="Variant")*(Raw_Data_Daily!$A$2:$A$9999=$A29)*(Raw_Data_Daily!$C$2:$C$9999=$C$3)*Raw_Data_Daily!$D$2:$D$9999*Raw_Data_Daily!$AC$2:$AC$9999)/SUMIFS(Raw_Data_Daily!$D:$D, Raw_Data_Daily!$B:$B, "Variant", Raw_Data_Daily!$A:$A, $A29, Raw_Data_Daily!$C:$C, $C$3),""))</f>
        <v/>
      </c>
      <c r="CD29" s="130" t="str">
        <f t="shared" si="27"/>
        <v/>
      </c>
      <c r="CE29" s="132" t="str">
        <f>IF($A29="","",IFERROR(SUMPRODUCT((Raw_Data_Daily!$B$2:$B$9999="Control")*(Raw_Data_Daily!$A$2:$A$9999=$A29)*(Raw_Data_Daily!$C$2:$C$9999=$C$3)*Raw_Data_Daily!$D$2:$D$9999*Raw_Data_Daily!$AD$2:$AD$9999)/SUMIFS(Raw_Data_Daily!$D:$D, Raw_Data_Daily!$B:$B, "Control", Raw_Data_Daily!$A:$A, $A29, Raw_Data_Daily!$C:$C, $C$3),""))</f>
        <v/>
      </c>
      <c r="CF29" s="132" t="str">
        <f>IF($A29="","",IFERROR(SUMPRODUCT((Raw_Data_Daily!$B$2:$B$9999="Variant")*(Raw_Data_Daily!$A$2:$A$9999=$A29)*(Raw_Data_Daily!$C$2:$C$9999=$C$3)*Raw_Data_Daily!$D$2:$D$9999*Raw_Data_Daily!$AD$2:$AD$9999)/SUMIFS(Raw_Data_Daily!$D:$D, Raw_Data_Daily!$B:$B, "Variant", Raw_Data_Daily!$A:$A, $A29, Raw_Data_Daily!$C:$C, $C$3),""))</f>
        <v/>
      </c>
      <c r="CG29" s="130" t="str">
        <f t="shared" si="28"/>
        <v/>
      </c>
      <c r="CH29" s="132" t="str">
        <f>IF($A29="","",IFERROR(SUMPRODUCT((Raw_Data_Daily!$B$2:$B$9999="Control")*(Raw_Data_Daily!$A$2:$A$9999=$A29)*(Raw_Data_Daily!$C$2:$C$9999=$C$3)*Raw_Data_Daily!$D$2:$D$9999*Raw_Data_Daily!$AE$2:$AE$9999)/SUMIFS(Raw_Data_Daily!$D:$D, Raw_Data_Daily!$B:$B, "Control", Raw_Data_Daily!$A:$A, $A29, Raw_Data_Daily!$C:$C, $C$3),""))</f>
        <v/>
      </c>
      <c r="CI29" s="132" t="str">
        <f>IF($A29="","",IFERROR(SUMPRODUCT((Raw_Data_Daily!$B$2:$B$9999="Variant")*(Raw_Data_Daily!$A$2:$A$9999=$A29)*(Raw_Data_Daily!$C$2:$C$9999=$C$3)*Raw_Data_Daily!$D$2:$D$9999*Raw_Data_Daily!$AE$2:$AE$9999)/SUMIFS(Raw_Data_Daily!$D:$D, Raw_Data_Daily!$B:$B, "Variant", Raw_Data_Daily!$A:$A, $A29, Raw_Data_Daily!$C:$C, $C$3),""))</f>
        <v/>
      </c>
      <c r="CJ29" s="130" t="str">
        <f t="shared" si="29"/>
        <v/>
      </c>
      <c r="CK29" s="132" t="str">
        <f>IF($A29="","",IFERROR(SUMPRODUCT((Raw_Data_Daily!$B$2:$B$9999="Control")*(Raw_Data_Daily!$A$2:$A$9999=$A29)*(Raw_Data_Daily!$C$2:$C$9999=$C$3)*Raw_Data_Daily!$D$2:$D$9999*Raw_Data_Daily!$AF$2:$AF$9999)/SUMIFS(Raw_Data_Daily!$D:$D, Raw_Data_Daily!$B:$B, "Control", Raw_Data_Daily!$A:$A, $A29, Raw_Data_Daily!$C:$C, $C$3),""))</f>
        <v/>
      </c>
      <c r="CL29" s="132" t="str">
        <f>IF($A29="","",IFERROR(SUMPRODUCT((Raw_Data_Daily!$B$2:$B$9999="Variant")*(Raw_Data_Daily!$A$2:$A$9999=$A29)*(Raw_Data_Daily!$C$2:$C$9999=$C$3)*Raw_Data_Daily!$D$2:$D$9999*Raw_Data_Daily!$AF$2:$AF$9999)/SUMIFS(Raw_Data_Daily!$D:$D, Raw_Data_Daily!$B:$B, "Variant", Raw_Data_Daily!$A:$A, $A29, Raw_Data_Daily!$C:$C, $C$3),""))</f>
        <v/>
      </c>
      <c r="CM29" s="130" t="str">
        <f t="shared" si="30"/>
        <v/>
      </c>
      <c r="CN29" s="132" t="str">
        <f>IF($A29="","",IFERROR(SUMPRODUCT((Raw_Data_Daily!$B$2:$B$9999="Control")*(Raw_Data_Daily!$A$2:$A$9999=$A29)*(Raw_Data_Daily!$C$2:$C$9999=$C$3)*Raw_Data_Daily!$D$2:$D$9999*Raw_Data_Daily!$AG$2:$AG$9999)/SUMIFS(Raw_Data_Daily!$D:$D, Raw_Data_Daily!$B:$B, "Control", Raw_Data_Daily!$A:$A, $A29, Raw_Data_Daily!$C:$C, $C$3),""))</f>
        <v/>
      </c>
      <c r="CO29" s="132" t="str">
        <f>IF($A29="","",IFERROR(SUMPRODUCT((Raw_Data_Daily!$B$2:$B$9999="Variant")*(Raw_Data_Daily!$A$2:$A$9999=$A29)*(Raw_Data_Daily!$C$2:$C$9999=$C$3)*Raw_Data_Daily!$D$2:$D$9999*Raw_Data_Daily!$AG$2:$AG$9999)/SUMIFS(Raw_Data_Daily!$D:$D, Raw_Data_Daily!$B:$B, "Variant", Raw_Data_Daily!$A:$A, $A29, Raw_Data_Daily!$C:$C, $C$3),""))</f>
        <v/>
      </c>
      <c r="CP29" s="130" t="str">
        <f t="shared" si="31"/>
        <v/>
      </c>
      <c r="CQ29" s="132" t="str">
        <f>IF($A29="","",IFERROR(SUMPRODUCT((Raw_Data_Daily!$B$2:$B$9999="Control")*(Raw_Data_Daily!$A$2:$A$9999=$A29)*(Raw_Data_Daily!$C$2:$C$9999=$C$3)*Raw_Data_Daily!$D$2:$D$9999*Raw_Data_Daily!$AH$2:$AH$9999)/SUMIFS(Raw_Data_Daily!$D:$D, Raw_Data_Daily!$B:$B, "Control", Raw_Data_Daily!$A:$A, $A29, Raw_Data_Daily!$C:$C, $C$3),""))</f>
        <v/>
      </c>
      <c r="CR29" s="132" t="str">
        <f>IF($A29="","",IFERROR(SUMPRODUCT((Raw_Data_Daily!$B$2:$B$9999="Variant")*(Raw_Data_Daily!$A$2:$A$9999=$A29)*(Raw_Data_Daily!$C$2:$C$9999=$C$3)*Raw_Data_Daily!$D$2:$D$9999*Raw_Data_Daily!$AH$2:$AH$9999)/SUMIFS(Raw_Data_Daily!$D:$D, Raw_Data_Daily!$B:$B, "Variant", Raw_Data_Daily!$A:$A, $A29, Raw_Data_Daily!$C:$C, $C$3),""))</f>
        <v/>
      </c>
      <c r="CS29" s="130" t="str">
        <f t="shared" si="32"/>
        <v/>
      </c>
      <c r="CT29" s="128" t="str">
        <f>IF($A29="","",IFERROR(SUMPRODUCT((Raw_Data_Daily!$B$2:$B$9999="Control")*(Raw_Data_Daily!$A$2:$A$9999=$A29)*(Raw_Data_Daily!$C$2:$C$9999=$C$3)*Raw_Data_Daily!$D$2:$D$9999*Raw_Data_Daily!$AI$2:$AI$9999)/SUMIFS(Raw_Data_Daily!$D:$D, Raw_Data_Daily!$B:$B, "Control", Raw_Data_Daily!$A:$A, $A29, Raw_Data_Daily!$C:$C, $C$3),""))</f>
        <v/>
      </c>
      <c r="CU29" s="128" t="str">
        <f>IF($A29="","",IFERROR(SUMPRODUCT((Raw_Data_Daily!$B$2:$B$9999="Variant")*(Raw_Data_Daily!$A$2:$A$9999=$A29)*(Raw_Data_Daily!$C$2:$C$9999=$C$3)*Raw_Data_Daily!$D$2:$D$9999*Raw_Data_Daily!$AI$2:$AI$9999)/SUMIFS(Raw_Data_Daily!$D:$D, Raw_Data_Daily!$B:$B, "Variant", Raw_Data_Daily!$A:$A, $A29, Raw_Data_Daily!$C:$C, $C$3),""))</f>
        <v/>
      </c>
      <c r="CV29" s="139" t="str">
        <f t="shared" si="33"/>
        <v/>
      </c>
      <c r="CW29" s="128" t="str">
        <f>IF($A29="","",IFERROR(SUMPRODUCT((Raw_Data_Daily!$B$2:$B$9999="Control")*(Raw_Data_Daily!$A$2:$A$9999=$A29)*(Raw_Data_Daily!$C$2:$C$9999=$C$3)*Raw_Data_Daily!$D$2:$D$9999*Raw_Data_Daily!$AJ$2:$AJ$9999)/SUMIFS(Raw_Data_Daily!$D:$D, Raw_Data_Daily!$B:$B, "Control", Raw_Data_Daily!$A:$A, $A29, Raw_Data_Daily!$C:$C, $C$3),""))</f>
        <v/>
      </c>
      <c r="CX29" s="128" t="str">
        <f>IF($A29="","",IFERROR(SUMPRODUCT((Raw_Data_Daily!$B$2:$B$9999="Variant")*(Raw_Data_Daily!$A$2:$A$9999=$A29)*(Raw_Data_Daily!$C$2:$C$9999=$C$3)*Raw_Data_Daily!$D$2:$D$9999*Raw_Data_Daily!$AJ$2:$AJ$9999)/SUMIFS(Raw_Data_Daily!$D:$D, Raw_Data_Daily!$B:$B, "Variant", Raw_Data_Daily!$A:$A, $A29, Raw_Data_Daily!$C:$C, $C$3),""))</f>
        <v/>
      </c>
      <c r="CY29" s="139" t="str">
        <f t="shared" si="34"/>
        <v/>
      </c>
      <c r="CZ29" s="128" t="str">
        <f>IF($A29="","",IFERROR(SUMPRODUCT((Raw_Data_Daily!$B$2:$B$9999="Control")*(Raw_Data_Daily!$A$2:$A$9999=$A29)*(Raw_Data_Daily!$C$2:$C$9999=$C$3)*Raw_Data_Daily!$D$2:$D$9999*Raw_Data_Daily!$AK$2:$AK$9999)/SUMIFS(Raw_Data_Daily!$D:$D, Raw_Data_Daily!$B:$B, "Control", Raw_Data_Daily!$A:$A, $A29, Raw_Data_Daily!$C:$C, $C$3),""))</f>
        <v/>
      </c>
      <c r="DA29" s="128" t="str">
        <f>IF($A29="","",IFERROR(SUMPRODUCT((Raw_Data_Daily!$B$2:$B$9999="Variant")*(Raw_Data_Daily!$A$2:$A$9999=$A29)*(Raw_Data_Daily!$C$2:$C$9999=$C$3)*Raw_Data_Daily!$D$2:$D$9999*Raw_Data_Daily!$AK$2:$AK$9999)/SUMIFS(Raw_Data_Daily!$D:$D, Raw_Data_Daily!$B:$B, "Variant", Raw_Data_Daily!$A:$A, $A29, Raw_Data_Daily!$C:$C, $C$3),""))</f>
        <v/>
      </c>
      <c r="DB29" s="130" t="str">
        <f t="shared" si="35"/>
        <v/>
      </c>
      <c r="DC29" s="137" t="str">
        <f>IF($A29="","",IFERROR(SUMPRODUCT((Raw_Data_Daily!$B$2:$B$9999="Control")*(Raw_Data_Daily!$A$2:$A$9999=$A29)*(Raw_Data_Daily!$C$2:$C$9999=$C$3)*Raw_Data_Daily!$D$2:$D$9999*Raw_Data_Daily!$AL$2:$AL$9999)/SUMIFS(Raw_Data_Daily!$D:$D, Raw_Data_Daily!$B:$B, "Control", Raw_Data_Daily!$A:$A, $A29, Raw_Data_Daily!$C:$C, $C$3),""))</f>
        <v/>
      </c>
      <c r="DD29" s="137" t="str">
        <f>IF($A29="","",IFERROR(SUMPRODUCT((Raw_Data_Daily!$B$2:$B$9999="Variant")*(Raw_Data_Daily!$A$2:$A$9999=$A29)*(Raw_Data_Daily!$C$2:$C$9999=$C$3)*Raw_Data_Daily!$D$2:$D$9999*Raw_Data_Daily!$AL$2:$AL$9999)/SUMIFS(Raw_Data_Daily!$D:$D, Raw_Data_Daily!$B:$B, "Variant", Raw_Data_Daily!$A:$A, $A29, Raw_Data_Daily!$C:$C, $C$3),""))</f>
        <v/>
      </c>
      <c r="DE29" s="139" t="str">
        <f t="shared" si="36"/>
        <v/>
      </c>
      <c r="DF29" s="159"/>
      <c r="DG29" s="128" t="str">
        <f>IF($A29="","",IFERROR(SUMPRODUCT((Raw_Data_Daily!$B$2:$B$9999="Variant")*(Raw_Data_Daily!$A$2:$A$9999=$A29)*(Raw_Data_Daily!$C$2:$C$9999=$C$3)*Raw_Data_Daily!$D$2:$D$9999*Raw_Data_Daily!$AM$2:$AM$9999)/SUMIFS(Raw_Data_Daily!$D:$D, Raw_Data_Daily!$B:$B, "Variant", Raw_Data_Daily!$A:$A, $A29, Raw_Data_Daily!$C:$C, $C$3),""))</f>
        <v/>
      </c>
      <c r="DH29" s="160"/>
      <c r="DI29" s="159"/>
      <c r="DJ29" s="128" t="str">
        <f>IF($A29="","",IFERROR(SUMPRODUCT((Raw_Data_Daily!$B$2:$B$9999="Variant")*(Raw_Data_Daily!$A$2:$A$9999=$A29)*(Raw_Data_Daily!$C$2:$C$9999=$C$3)*Raw_Data_Daily!$D$2:$D$9999*Raw_Data_Daily!$AN$2:$AN$9999)/SUMIFS(Raw_Data_Daily!$D:$D, Raw_Data_Daily!$B:$B, "Variant", Raw_Data_Daily!$A:$A, $A29, Raw_Data_Daily!$C:$C, $C$3),""))</f>
        <v/>
      </c>
      <c r="DK29" s="160"/>
      <c r="DL29" s="159"/>
      <c r="DM29" s="128" t="str">
        <f>IF($A29="","",IFERROR(SUMPRODUCT((Raw_Data_Daily!$B$2:$B$9999="Variant")*(Raw_Data_Daily!$A$2:$A$9999=$A29)*(Raw_Data_Daily!$C$2:$C$9999=$C$3)*Raw_Data_Daily!$D$2:$D$9999*Raw_Data_Daily!$AO$2:$AO$9999)/SUMIFS(Raw_Data_Daily!$D:$D, Raw_Data_Daily!$B:$B, "Variant", Raw_Data_Daily!$A:$A, $A29, Raw_Data_Daily!$C:$C, $C$3),""))</f>
        <v/>
      </c>
      <c r="DN29" s="160"/>
      <c r="DO29" s="159"/>
      <c r="DP29" s="128" t="str">
        <f>IF($A29="","",IFERROR(SUMPRODUCT((Raw_Data_Daily!$B$2:$B$9999="Variant")*(Raw_Data_Daily!$A$2:$A$9999=$A29)*(Raw_Data_Daily!$C$2:$C$9999=$C$3)*Raw_Data_Daily!$D$2:$D$9999*Raw_Data_Daily!$AP$2:$AP$9999)/SUMIFS(Raw_Data_Daily!$D:$D, Raw_Data_Daily!$B:$B, "Variant", Raw_Data_Daily!$A:$A, $A29, Raw_Data_Daily!$C:$C, $C$3),""))</f>
        <v/>
      </c>
      <c r="DQ29" s="160"/>
      <c r="DR29" s="137" t="str">
        <f>IF($A29="","",IFERROR(SUMPRODUCT((Raw_Data_Daily!$B$2:$B$9999="Control")*(Raw_Data_Daily!$A$2:$A$9999=$A29)*(Raw_Data_Daily!$C$2:$C$9999=$C$3)*Raw_Data_Daily!$D$2:$D$9999*Raw_Data_Daily!$AQ$2:$AQ$9999)/SUMIFS(Raw_Data_Daily!$D:$D, Raw_Data_Daily!$B:$B, "Control", Raw_Data_Daily!$A:$A, $A29, Raw_Data_Daily!$C:$C, $C$3),""))</f>
        <v/>
      </c>
      <c r="DS29" s="137" t="str">
        <f>IF($A29="","",IFERROR(SUMPRODUCT((Raw_Data_Daily!$B$2:$B$9999="Variant")*(Raw_Data_Daily!$A$2:$A$9999=$A29)*(Raw_Data_Daily!$C$2:$C$9999=$C$3)*Raw_Data_Daily!$D$2:$D$9999*Raw_Data_Daily!$AQ$2:$AQ$9999)/SUMIFS(Raw_Data_Daily!$D:$D, Raw_Data_Daily!$B:$B, "Variant", Raw_Data_Daily!$A:$A, $A29, Raw_Data_Daily!$C:$C, $C$3),""))</f>
        <v/>
      </c>
      <c r="DT29" s="161" t="str">
        <f t="shared" si="37"/>
        <v/>
      </c>
      <c r="DU29" s="137" t="str">
        <f>IF($A29="","",IFERROR(SUMPRODUCT((Raw_Data_Daily!$B$2:$B$9999="Control")*(Raw_Data_Daily!$A$2:$A$9999=$A29)*(Raw_Data_Daily!$C$2:$C$9999=$C$3)*Raw_Data_Daily!$D$2:$D$9999*Raw_Data_Daily!$AR$2:$AR$9999)/SUMIFS(Raw_Data_Daily!$D:$D, Raw_Data_Daily!$B:$B, "Control", Raw_Data_Daily!$A:$A, $A29, Raw_Data_Daily!$C:$C, $C$3),""))</f>
        <v/>
      </c>
      <c r="DV29" s="137" t="str">
        <f>IF($A29="","",IFERROR(SUMPRODUCT((Raw_Data_Daily!$B$2:$B$9999="Variant")*(Raw_Data_Daily!$A$2:$A$9999=$A29)*(Raw_Data_Daily!$C$2:$C$9999=$C$3)*Raw_Data_Daily!$D$2:$D$9999*Raw_Data_Daily!$AR$2:$AR$9999)/SUMIFS(Raw_Data_Daily!$D:$D, Raw_Data_Daily!$B:$B, "Variant", Raw_Data_Daily!$A:$A, $A29, Raw_Data_Daily!$C:$C, $C$3),""))</f>
        <v/>
      </c>
      <c r="DW29" s="161" t="str">
        <f t="shared" si="38"/>
        <v/>
      </c>
      <c r="DX29" s="137" t="str">
        <f>IF($A29="","",IFERROR(SUMPRODUCT((Raw_Data_Daily!$B$2:$B$9999="Control")*(Raw_Data_Daily!$A$2:$A$9999=$A29)*(Raw_Data_Daily!$C$2:$C$9999=$C$3)*Raw_Data_Daily!$D$2:$D$9999*Raw_Data_Daily!$AS$2:$AS$9999)/SUMIFS(Raw_Data_Daily!$D:$D, Raw_Data_Daily!$B:$B, "Control", Raw_Data_Daily!$A:$A, $A29, Raw_Data_Daily!$C:$C, $C$3),""))</f>
        <v/>
      </c>
      <c r="DY29" s="137" t="str">
        <f>IF($A29="","",IFERROR(SUMPRODUCT((Raw_Data_Daily!$B$2:$B$9999="Variant")*(Raw_Data_Daily!$A$2:$A$9999=$A29)*(Raw_Data_Daily!$C$2:$C$9999=$C$3)*Raw_Data_Daily!$D$2:$D$9999*Raw_Data_Daily!$AS$2:$AS$9999)/SUMIFS(Raw_Data_Daily!$D:$D, Raw_Data_Daily!$B:$B, "Variant", Raw_Data_Daily!$A:$A, $A29, Raw_Data_Daily!$C:$C, $C$3),""))</f>
        <v/>
      </c>
      <c r="DZ29" s="162" t="str">
        <f t="shared" si="39"/>
        <v/>
      </c>
      <c r="EA29" s="137" t="str">
        <f>IF($A29="","",IFERROR(SUMPRODUCT((Raw_Data_Daily!$B$2:$B$9999="Control")*(Raw_Data_Daily!$A$2:$A$9999=$A29)*(Raw_Data_Daily!$C$2:$C$9999=$C$3)*Raw_Data_Daily!$D$2:$D$9999*Raw_Data_Daily!$AT$2:$AT$9999)/SUMIFS(Raw_Data_Daily!$D:$D, Raw_Data_Daily!$B:$B, "Control", Raw_Data_Daily!$A:$A, $A29, Raw_Data_Daily!$C:$C, $C$3),""))</f>
        <v/>
      </c>
      <c r="EB29" s="137" t="str">
        <f>IF($A29="","",IFERROR(SUMPRODUCT((Raw_Data_Daily!$B$2:$B$9999="Variant")*(Raw_Data_Daily!$A$2:$A$9999=$A29)*(Raw_Data_Daily!$C$2:$C$9999=$C$3)*Raw_Data_Daily!$D$2:$D$9999*Raw_Data_Daily!$AT$2:$AT$9999)/SUMIFS(Raw_Data_Daily!$D:$D, Raw_Data_Daily!$B:$B, "Variant", Raw_Data_Daily!$A:$A, $A29, Raw_Data_Daily!$C:$C, $C$3),""))</f>
        <v/>
      </c>
      <c r="EC29" s="161" t="str">
        <f t="shared" si="40"/>
        <v/>
      </c>
      <c r="ED29" s="137" t="str">
        <f>IF($A29="","",IFERROR(SUMPRODUCT((Raw_Data_Daily!$B$2:$B$9999="Control")*(Raw_Data_Daily!$A$2:$A$9999=$A29)*(Raw_Data_Daily!$C$2:$C$9999=$C$3)*Raw_Data_Daily!$D$2:$D$9999*(Raw_Data_Daily!$AQ$2:$AQ$9999-Raw_Data_Daily!$AT$2:$AT$9999))/SUMIFS(Raw_Data_Daily!$D:$D, Raw_Data_Daily!$B:$B, "Control", Raw_Data_Daily!$A:$A, $A29, Raw_Data_Daily!$C:$C, $C$3),""))</f>
        <v/>
      </c>
      <c r="EE29" s="137" t="str">
        <f>IF($A29="","",IFERROR(SUMPRODUCT((Raw_Data_Daily!$B$2:$B$9999="Variant")*(Raw_Data_Daily!$A$2:$A$9999=$A29)*(Raw_Data_Daily!$C$2:$C$9999=$C$3)*Raw_Data_Daily!$D$2:$D$9999*(Raw_Data_Daily!$AQ$2:$AQ$9999-Raw_Data_Daily!$AT$2:$AT$9999))/SUMIFS(Raw_Data_Daily!$D:$D, Raw_Data_Daily!$B:$B, "Variant", Raw_Data_Daily!$A:$A, $A29, Raw_Data_Daily!$C:$C, $C$3),""))</f>
        <v/>
      </c>
      <c r="EF29" s="162" t="str">
        <f t="shared" si="41"/>
        <v/>
      </c>
      <c r="EG29" s="137" t="str">
        <f>IF($A29="","",IFERROR(SUMPRODUCT((Raw_Data_Daily!$B$2:$B$9999="Control")*(Raw_Data_Daily!$A$2:$A$9999=$A29)*(Raw_Data_Daily!$C$2:$C$9999=$C$3)*Raw_Data_Daily!$D$2:$D$9999*Raw_Data_Daily!$AU$2:$AU$9999)/SUMIFS(Raw_Data_Daily!$D:$D, Raw_Data_Daily!$B:$B, "Control", Raw_Data_Daily!$A:$A, $A29, Raw_Data_Daily!$C:$C, $C$3),""))</f>
        <v/>
      </c>
      <c r="EH29" s="137" t="str">
        <f>IF($A29="","",IFERROR(SUMPRODUCT((Raw_Data_Daily!$B$2:$B$9999="Variant")*(Raw_Data_Daily!$A$2:$A$9999=$A29)*(Raw_Data_Daily!$C$2:$C$9999=$C$3)*Raw_Data_Daily!$D$2:$D$9999*Raw_Data_Daily!$AU$2:$AU$9999)/SUMIFS(Raw_Data_Daily!$D:$D, Raw_Data_Daily!$B:$B, "Variant", Raw_Data_Daily!$A:$A, $A29, Raw_Data_Daily!$C:$C, $C$3),""))</f>
        <v/>
      </c>
      <c r="EI29" s="161" t="str">
        <f t="shared" si="42"/>
        <v/>
      </c>
    </row>
    <row r="30" ht="15.75" customHeight="1">
      <c r="A30" s="125">
        <v>46253.0</v>
      </c>
      <c r="B30" s="126">
        <f>IF($A30="","",SUMIFS(Raw_Data_Daily!$D:$D, Raw_Data_Daily!$B:$B, "Control", Raw_Data_Daily!$A:$A, $A30, Raw_Data_Daily!$C:$C, $C$3))</f>
        <v>0</v>
      </c>
      <c r="C30" s="126">
        <f>IF($A30="","",SUMIFS(Raw_Data_Daily!$D:$D, Raw_Data_Daily!$B:$B, "Variant", Raw_Data_Daily!$A:$A, $A30, Raw_Data_Daily!$C:$C, $C$3))</f>
        <v>0</v>
      </c>
      <c r="D30" s="127" t="str">
        <f t="shared" si="1"/>
        <v/>
      </c>
      <c r="E30" s="128" t="str">
        <f>IF($A30="","",IFERROR(SUMPRODUCT((Raw_Data_Daily!$B$2:$B$9999="Control")*(Raw_Data_Daily!$A$2:$A$9999=$A30)*(Raw_Data_Daily!$C$2:$C$9999=$C$3)*Raw_Data_Daily!$D$2:$D$9999*Raw_Data_Daily!$E$2:$E$9999)/SUMIFS(Raw_Data_Daily!$D:$D, Raw_Data_Daily!$B:$B, "Control", Raw_Data_Daily!$A:$A, $A30, Raw_Data_Daily!$C:$C, $C$3),""))</f>
        <v/>
      </c>
      <c r="F30" s="128" t="str">
        <f>IF($A30="","",IFERROR(SUMPRODUCT((Raw_Data_Daily!$B$2:$B$9999="Variant")*(Raw_Data_Daily!$A$2:$A$9999=$A30)*(Raw_Data_Daily!$C$2:$C$9999=$C$3)*Raw_Data_Daily!$D$2:$D$9999*Raw_Data_Daily!$E$2:$E$9999)/SUMIFS(Raw_Data_Daily!$D:$D, Raw_Data_Daily!$B:$B, "Variant", Raw_Data_Daily!$A:$A, $A30, Raw_Data_Daily!$C:$C, $C$3),""))</f>
        <v/>
      </c>
      <c r="G30" s="127" t="str">
        <f t="shared" si="2"/>
        <v/>
      </c>
      <c r="H30" s="129">
        <f>IF($A30="","",SUMIFS(Raw_Data_Daily!$F:$F, Raw_Data_Daily!$B:$B, "Control", Raw_Data_Daily!$A:$A, $A30, Raw_Data_Daily!$C:$C, $C$3))</f>
        <v>0</v>
      </c>
      <c r="I30" s="129">
        <f>IF($A30="","",SUMIFS(Raw_Data_Daily!$F:$F, Raw_Data_Daily!$B:$B, "Variant", Raw_Data_Daily!$A:$A, $A30, Raw_Data_Daily!$C:$C, $C$3))</f>
        <v>0</v>
      </c>
      <c r="J30" s="130" t="str">
        <f t="shared" si="3"/>
        <v/>
      </c>
      <c r="K30" s="131" t="str">
        <f>IF($A30="","",IFERROR(SUMIFS(Raw_Data_Daily!$F:$F, Raw_Data_Daily!$B:$B, "Control", Raw_Data_Daily!$A:$A, $A30, Raw_Data_Daily!$C:$C, $C$3)/SUMIFS(Raw_Data_Daily!$D:$D, Raw_Data_Daily!$B:$B, "Control", Raw_Data_Daily!$A:$A, $A30, Raw_Data_Daily!$C:$C, $C$3),""))</f>
        <v/>
      </c>
      <c r="L30" s="131" t="str">
        <f>IF($A30="","",IFERROR(SUMIFS(Raw_Data_Daily!$F:$F, Raw_Data_Daily!$B:$B, "Variant", Raw_Data_Daily!$A:$A, $A30, Raw_Data_Daily!$C:$C, $C$3)/SUMIFS(Raw_Data_Daily!$D:$D, Raw_Data_Daily!$B:$B, "Variant", Raw_Data_Daily!$A:$A, $A30, Raw_Data_Daily!$C:$C, $C$3),""))</f>
        <v/>
      </c>
      <c r="M30" s="130" t="str">
        <f t="shared" si="4"/>
        <v/>
      </c>
      <c r="N30" s="128" t="str">
        <f>IF($A30="","",IFERROR(SUMPRODUCT((Raw_Data_Daily!$B$2:$B$9999="Control")*(Raw_Data_Daily!$A$2:$A$9999=$A30)*(Raw_Data_Daily!$C$2:$C$9999=$C$3)*Raw_Data_Daily!$D$2:$D$9999*Raw_Data_Daily!$H$2:$H$9999/100)/SUMIFS(Raw_Data_Daily!$D:$D, Raw_Data_Daily!$B:$B, "Control", Raw_Data_Daily!$A:$A, $A30, Raw_Data_Daily!$C:$C, $C$3)*100,""))</f>
        <v/>
      </c>
      <c r="O30" s="128" t="str">
        <f>IF($A30="","",IFERROR(SUMPRODUCT((Raw_Data_Daily!$B$2:$B$9999="Variant")*(Raw_Data_Daily!$A$2:$A$9999=$A30)*(Raw_Data_Daily!$C$2:$C$9999=$C$3)*Raw_Data_Daily!$D$2:$D$9999*Raw_Data_Daily!$H$2:$H$9999/100)/SUMIFS(Raw_Data_Daily!$D:$D, Raw_Data_Daily!$B:$B, "Variant", Raw_Data_Daily!$A:$A, $A30, Raw_Data_Daily!$C:$C, $C$3)*100,""))</f>
        <v/>
      </c>
      <c r="P30" s="130" t="str">
        <f t="shared" si="5"/>
        <v/>
      </c>
      <c r="Q30" s="131" t="str">
        <f>IF($A30="","",IFERROR(SUMIFS(Raw_Data_Daily!$F:$F, Raw_Data_Daily!$B:$B, "Control", Raw_Data_Daily!$A:$A, $A30, Raw_Data_Daily!$C:$C, $C$3)/SUMPRODUCT((Raw_Data_Daily!$B$2:$B$9999="Control")*(Raw_Data_Daily!$A$2:$A$9999=$A30)*(Raw_Data_Daily!$C$2:$C$9999=$C$3)*Raw_Data_Daily!$D$2:$D$9999*Raw_Data_Daily!$H$2:$H$9999/100),""))</f>
        <v/>
      </c>
      <c r="R30" s="131" t="str">
        <f>IF($A30="","",IFERROR(SUMIFS(Raw_Data_Daily!$F:$F, Raw_Data_Daily!$B:$B, "Variant", Raw_Data_Daily!$A:$A, $A30, Raw_Data_Daily!$C:$C, $C$3)/SUMPRODUCT((Raw_Data_Daily!$B$2:$B$9999="Variant")*(Raw_Data_Daily!$A$2:$A$9999=$A30)*(Raw_Data_Daily!$C$2:$C$9999=$C$3)*Raw_Data_Daily!$D$2:$D$9999*Raw_Data_Daily!$H$2:$H$9999/100),""))</f>
        <v/>
      </c>
      <c r="S30" s="130" t="str">
        <f t="shared" si="6"/>
        <v/>
      </c>
      <c r="T30" s="132" t="str">
        <f>IF($A30="","",IFERROR(SUMPRODUCT((Raw_Data_Daily!$B$2:$B$9999="Control")*(Raw_Data_Daily!$A$2:$A$9999=$A30)*(Raw_Data_Daily!$C$2:$C$9999=$C$3)*Raw_Data_Daily!$D$2:$D$9999*Raw_Data_Daily!$J$2:$J$9999)/SUMIFS(Raw_Data_Daily!$D:$D, Raw_Data_Daily!$B:$B, "Control", Raw_Data_Daily!$A:$A, $A30, Raw_Data_Daily!$C:$C, $C$3),""))</f>
        <v/>
      </c>
      <c r="U30" s="132" t="str">
        <f>IF($A30="","",IFERROR(SUMPRODUCT((Raw_Data_Daily!$B$2:$B$9999="Variant")*(Raw_Data_Daily!$A$2:$A$9999=$A30)*(Raw_Data_Daily!$C$2:$C$9999=$C$3)*Raw_Data_Daily!$D$2:$D$9999*Raw_Data_Daily!$J$2:$J$9999)/SUMIFS(Raw_Data_Daily!$D:$D, Raw_Data_Daily!$B:$B, "Variant", Raw_Data_Daily!$A:$A, $A30, Raw_Data_Daily!$C:$C, $C$3),""))</f>
        <v/>
      </c>
      <c r="V30" s="130" t="str">
        <f t="shared" si="7"/>
        <v/>
      </c>
      <c r="W30" s="132" t="str">
        <f>IF($A30="","",IFERROR(SUMPRODUCT((Raw_Data_Daily!$B$2:$B$9999="Control")*(Raw_Data_Daily!$A$2:$A$9999=$A30)*(Raw_Data_Daily!$C$2:$C$9999=$C$3)*Raw_Data_Daily!$D$2:$D$9999*Raw_Data_Daily!$K$2:$K$9999)/SUMIFS(Raw_Data_Daily!$D:$D, Raw_Data_Daily!$B:$B, "Control", Raw_Data_Daily!$A:$A, $A30, Raw_Data_Daily!$C:$C, $C$3),""))</f>
        <v/>
      </c>
      <c r="X30" s="132" t="str">
        <f>IF($A30="","",IFERROR(SUMPRODUCT((Raw_Data_Daily!$B$2:$B$9999="Variant")*(Raw_Data_Daily!$A$2:$A$9999=$A30)*(Raw_Data_Daily!$C$2:$C$9999=$C$3)*Raw_Data_Daily!$D$2:$D$9999*Raw_Data_Daily!$K$2:$K$9999)/SUMIFS(Raw_Data_Daily!$D:$D, Raw_Data_Daily!$B:$B, "Variant", Raw_Data_Daily!$A:$A, $A30, Raw_Data_Daily!$C:$C, $C$3),""))</f>
        <v/>
      </c>
      <c r="Y30" s="130" t="str">
        <f t="shared" si="8"/>
        <v/>
      </c>
      <c r="Z30" s="132" t="str">
        <f>IF($A30="","",IFERROR(SUMPRODUCT((Raw_Data_Daily!$B$2:$B$9999="Control")*(Raw_Data_Daily!$A$2:$A$9999=$A30)*(Raw_Data_Daily!$C$2:$C$9999=$C$3)*Raw_Data_Daily!$D$2:$D$9999*Raw_Data_Daily!$L$2:$L$9999)/SUMIFS(Raw_Data_Daily!$D:$D, Raw_Data_Daily!$B:$B, "Control", Raw_Data_Daily!$A:$A, $A30, Raw_Data_Daily!$C:$C, $C$3),""))</f>
        <v/>
      </c>
      <c r="AA30" s="132" t="str">
        <f>IF($A30="","",IFERROR(SUMPRODUCT((Raw_Data_Daily!$B$2:$B$9999="Variant")*(Raw_Data_Daily!$A$2:$A$9999=$A30)*(Raw_Data_Daily!$C$2:$C$9999=$C$3)*Raw_Data_Daily!$D$2:$D$9999*Raw_Data_Daily!$L$2:$L$9999)/SUMIFS(Raw_Data_Daily!$D:$D, Raw_Data_Daily!$B:$B, "Variant", Raw_Data_Daily!$A:$A, $A30, Raw_Data_Daily!$C:$C, $C$3),""))</f>
        <v/>
      </c>
      <c r="AB30" s="130" t="str">
        <f t="shared" si="9"/>
        <v/>
      </c>
      <c r="AC30" s="137" t="str">
        <f>IF($A30="","",IFERROR(SUMPRODUCT((Raw_Data_Daily!$B$2:$B$9999="Control")*(Raw_Data_Daily!$A$2:$A$9999=$A30)*(Raw_Data_Daily!$C$2:$C$9999=$C$3)*Raw_Data_Daily!$D$2:$D$9999*Raw_Data_Daily!$M$2:$M$9999)/SUMIFS(Raw_Data_Daily!$D:$D, Raw_Data_Daily!$B:$B, "Control", Raw_Data_Daily!$A:$A, $A30, Raw_Data_Daily!$C:$C, $C$3),""))</f>
        <v/>
      </c>
      <c r="AD30" s="137" t="str">
        <f>IF($A30="","",IFERROR(SUMPRODUCT((Raw_Data_Daily!$B$2:$B$9999="Variant")*(Raw_Data_Daily!$A$2:$A$9999=$A30)*(Raw_Data_Daily!$C$2:$C$9999=$C$3)*Raw_Data_Daily!$D$2:$D$9999*Raw_Data_Daily!$M$2:$M$9999)/SUMIFS(Raw_Data_Daily!$D:$D, Raw_Data_Daily!$B:$B, "Variant", Raw_Data_Daily!$A:$A, $A30, Raw_Data_Daily!$C:$C, $C$3),""))</f>
        <v/>
      </c>
      <c r="AE30" s="139" t="str">
        <f t="shared" si="10"/>
        <v/>
      </c>
      <c r="AF30" s="137" t="str">
        <f>IF($A30="","",IFERROR(SUMPRODUCT((Raw_Data_Daily!$B$2:$B$9999="Control")*(Raw_Data_Daily!$A$2:$A$9999=$A30)*(Raw_Data_Daily!$C$2:$C$9999=$C$3)*Raw_Data_Daily!$D$2:$D$9999*Raw_Data_Daily!$N$2:$N$9999)/SUMIFS(Raw_Data_Daily!$D:$D, Raw_Data_Daily!$B:$B, "Control", Raw_Data_Daily!$A:$A, $A30, Raw_Data_Daily!$C:$C, $C$3),""))</f>
        <v/>
      </c>
      <c r="AG30" s="137" t="str">
        <f>IF($A30="","",IFERROR(SUMPRODUCT((Raw_Data_Daily!$B$2:$B$9999="Variant")*(Raw_Data_Daily!$A$2:$A$9999=$A30)*(Raw_Data_Daily!$C$2:$C$9999=$C$3)*Raw_Data_Daily!$D$2:$D$9999*Raw_Data_Daily!$N$2:$N$9999)/SUMIFS(Raw_Data_Daily!$D:$D, Raw_Data_Daily!$B:$B, "Variant", Raw_Data_Daily!$A:$A, $A30, Raw_Data_Daily!$C:$C, $C$3),""))</f>
        <v/>
      </c>
      <c r="AH30" s="139" t="str">
        <f t="shared" si="11"/>
        <v/>
      </c>
      <c r="AI30" s="137" t="str">
        <f>IF($A30="","",IFERROR(SUMPRODUCT((Raw_Data_Daily!$B$2:$B$9999="Control")*(Raw_Data_Daily!$A$2:$A$9999=$A30)*(Raw_Data_Daily!$C$2:$C$9999=$C$3)*Raw_Data_Daily!$D$2:$D$9999*Raw_Data_Daily!$O$2:$O$9999)/SUMIFS(Raw_Data_Daily!$D:$D, Raw_Data_Daily!$B:$B, "Control", Raw_Data_Daily!$A:$A, $A30, Raw_Data_Daily!$C:$C, $C$3),""))</f>
        <v/>
      </c>
      <c r="AJ30" s="137" t="str">
        <f>IF($A30="","",IFERROR(SUMPRODUCT((Raw_Data_Daily!$B$2:$B$9999="Variant")*(Raw_Data_Daily!$A$2:$A$9999=$A30)*(Raw_Data_Daily!$C$2:$C$9999=$C$3)*Raw_Data_Daily!$D$2:$D$9999*Raw_Data_Daily!$O$2:$O$9999)/SUMIFS(Raw_Data_Daily!$D:$D, Raw_Data_Daily!$B:$B, "Variant", Raw_Data_Daily!$A:$A, $A30, Raw_Data_Daily!$C:$C, $C$3),""))</f>
        <v/>
      </c>
      <c r="AK30" s="130" t="str">
        <f t="shared" si="12"/>
        <v/>
      </c>
      <c r="AL30" s="132" t="str">
        <f>IF($A30="","",IFERROR(SUMPRODUCT((Raw_Data_Daily!$B$2:$B$9999="Control")*(Raw_Data_Daily!$A$2:$A$9999=$A30)*(Raw_Data_Daily!$C$2:$C$9999=$C$3)*Raw_Data_Daily!$D$2:$D$9999*Raw_Data_Daily!$P$2:$P$9999)/SUMIFS(Raw_Data_Daily!$D:$D, Raw_Data_Daily!$B:$B, "Control", Raw_Data_Daily!$A:$A, $A30, Raw_Data_Daily!$C:$C, $C$3),""))</f>
        <v/>
      </c>
      <c r="AM30" s="132" t="str">
        <f>IF($A30="","",IFERROR(SUMPRODUCT((Raw_Data_Daily!$B$2:$B$9999="Variant")*(Raw_Data_Daily!$A$2:$A$9999=$A30)*(Raw_Data_Daily!$C$2:$C$9999=$C$3)*Raw_Data_Daily!$D$2:$D$9999*Raw_Data_Daily!$P$2:$P$9999)/SUMIFS(Raw_Data_Daily!$D:$D, Raw_Data_Daily!$B:$B, "Variant", Raw_Data_Daily!$A:$A, $A30, Raw_Data_Daily!$C:$C, $C$3),""))</f>
        <v/>
      </c>
      <c r="AN30" s="130" t="str">
        <f t="shared" si="13"/>
        <v/>
      </c>
      <c r="AO30" s="132" t="str">
        <f>IF($A30="","",IFERROR(SUMPRODUCT((Raw_Data_Daily!$B$2:$B$9999="Control")*(Raw_Data_Daily!$A$2:$A$9999=$A30)*(Raw_Data_Daily!$C$2:$C$9999=$C$3)*Raw_Data_Daily!$D$2:$D$9999*Raw_Data_Daily!$Q$2:$Q$9999)/SUMIFS(Raw_Data_Daily!$D:$D, Raw_Data_Daily!$B:$B, "Control", Raw_Data_Daily!$A:$A, $A30, Raw_Data_Daily!$C:$C, $C$3),""))</f>
        <v/>
      </c>
      <c r="AP30" s="132" t="str">
        <f>IF($A30="","",IFERROR(SUMPRODUCT((Raw_Data_Daily!$B$2:$B$9999="Variant")*(Raw_Data_Daily!$A$2:$A$9999=$A30)*(Raw_Data_Daily!$C$2:$C$9999=$C$3)*Raw_Data_Daily!$D$2:$D$9999*Raw_Data_Daily!$Q$2:$Q$9999)/SUMIFS(Raw_Data_Daily!$D:$D, Raw_Data_Daily!$B:$B, "Variant", Raw_Data_Daily!$A:$A, $A30, Raw_Data_Daily!$C:$C, $C$3),""))</f>
        <v/>
      </c>
      <c r="AQ30" s="127" t="str">
        <f t="shared" si="14"/>
        <v/>
      </c>
      <c r="AR30" s="132" t="str">
        <f>IF($A30="","",IFERROR(SUMPRODUCT((Raw_Data_Daily!$B$2:$B$9999="Control")*(Raw_Data_Daily!$A$2:$A$9999=$A30)*(Raw_Data_Daily!$C$2:$C$9999=$C$3)*Raw_Data_Daily!$D$2:$D$9999*Raw_Data_Daily!$R$2:$R$9999)/SUMIFS(Raw_Data_Daily!$D:$D, Raw_Data_Daily!$B:$B, "Control", Raw_Data_Daily!$A:$A, $A30, Raw_Data_Daily!$C:$C, $C$3),""))</f>
        <v/>
      </c>
      <c r="AS30" s="132" t="str">
        <f>IF($A30="","",IFERROR(SUMPRODUCT((Raw_Data_Daily!$B$2:$B$9999="Variant")*(Raw_Data_Daily!$A$2:$A$9999=$A30)*(Raw_Data_Daily!$C$2:$C$9999=$C$3)*Raw_Data_Daily!$D$2:$D$9999*Raw_Data_Daily!$R$2:$R$9999)/SUMIFS(Raw_Data_Daily!$D:$D, Raw_Data_Daily!$B:$B, "Variant", Raw_Data_Daily!$A:$A, $A30, Raw_Data_Daily!$C:$C, $C$3),""))</f>
        <v/>
      </c>
      <c r="AT30" s="127" t="str">
        <f t="shared" si="15"/>
        <v/>
      </c>
      <c r="AU30" s="132" t="str">
        <f>IF($A30="","",IFERROR(SUMPRODUCT((Raw_Data_Daily!$B$2:$B$9999="Control")*(Raw_Data_Daily!$A$2:$A$9999=$A30)*(Raw_Data_Daily!$C$2:$C$9999=$C$3)*Raw_Data_Daily!$D$2:$D$9999*Raw_Data_Daily!$S$2:$S$9999)/SUMIFS(Raw_Data_Daily!$D:$D, Raw_Data_Daily!$B:$B, "Control", Raw_Data_Daily!$A:$A, $A30, Raw_Data_Daily!$C:$C, $C$3),""))</f>
        <v/>
      </c>
      <c r="AV30" s="132" t="str">
        <f>IF($A30="","",IFERROR(SUMPRODUCT((Raw_Data_Daily!$B$2:$B$9999="Variant")*(Raw_Data_Daily!$A$2:$A$9999=$A30)*(Raw_Data_Daily!$C$2:$C$9999=$C$3)*Raw_Data_Daily!$D$2:$D$9999*Raw_Data_Daily!$S$2:$S$9999)/SUMIFS(Raw_Data_Daily!$D:$D, Raw_Data_Daily!$B:$B, "Variant", Raw_Data_Daily!$A:$A, $A30, Raw_Data_Daily!$C:$C, $C$3),""))</f>
        <v/>
      </c>
      <c r="AW30" s="127" t="str">
        <f t="shared" si="16"/>
        <v/>
      </c>
      <c r="AX30" s="132" t="str">
        <f>IF($A30="","",IFERROR(SUMPRODUCT((Raw_Data_Daily!$B$2:$B$9999="Control")*(Raw_Data_Daily!$A$2:$A$9999=$A30)*(Raw_Data_Daily!$C$2:$C$9999=$C$3)*Raw_Data_Daily!$D$2:$D$9999*Raw_Data_Daily!$T$2:$T$9999)/SUMIFS(Raw_Data_Daily!$D:$D, Raw_Data_Daily!$B:$B, "Control", Raw_Data_Daily!$A:$A, $A30, Raw_Data_Daily!$C:$C, $C$3),""))</f>
        <v/>
      </c>
      <c r="AY30" s="132" t="str">
        <f>IF($A30="","",IFERROR(SUMPRODUCT((Raw_Data_Daily!$B$2:$B$9999="Variant")*(Raw_Data_Daily!$A$2:$A$9999=$A30)*(Raw_Data_Daily!$C$2:$C$9999=$C$3)*Raw_Data_Daily!$D$2:$D$9999*Raw_Data_Daily!$T$2:$T$9999)/SUMIFS(Raw_Data_Daily!$D:$D, Raw_Data_Daily!$B:$B, "Variant", Raw_Data_Daily!$A:$A, $A30, Raw_Data_Daily!$C:$C, $C$3),""))</f>
        <v/>
      </c>
      <c r="AZ30" s="130" t="str">
        <f t="shared" si="17"/>
        <v/>
      </c>
      <c r="BA30" s="132" t="str">
        <f>IF($A30="","",IFERROR(SUMPRODUCT((Raw_Data_Daily!$B$2:$B$9999="Control")*(Raw_Data_Daily!$A$2:$A$9999=$A30)*(Raw_Data_Daily!$C$2:$C$9999=$C$3)*Raw_Data_Daily!$D$2:$D$9999*Raw_Data_Daily!$U$2:$U$9999)/SUMIFS(Raw_Data_Daily!$D:$D, Raw_Data_Daily!$B:$B, "Control", Raw_Data_Daily!$A:$A, $A30, Raw_Data_Daily!$C:$C, $C$3),""))</f>
        <v/>
      </c>
      <c r="BB30" s="132" t="str">
        <f>IF($A30="","",IFERROR(SUMPRODUCT((Raw_Data_Daily!$B$2:$B$9999="Variant")*(Raw_Data_Daily!$A$2:$A$9999=$A30)*(Raw_Data_Daily!$C$2:$C$9999=$C$3)*Raw_Data_Daily!$D$2:$D$9999*Raw_Data_Daily!$U$2:$U$9999)/SUMIFS(Raw_Data_Daily!$D:$D, Raw_Data_Daily!$B:$B, "Variant", Raw_Data_Daily!$A:$A, $A30, Raw_Data_Daily!$C:$C, $C$3),""))</f>
        <v/>
      </c>
      <c r="BC30" s="127" t="str">
        <f t="shared" si="18"/>
        <v/>
      </c>
      <c r="BD30" s="132" t="str">
        <f>IF($A30="","",IFERROR(SUMPRODUCT((Raw_Data_Daily!$B$2:$B$9999="Control")*(Raw_Data_Daily!$A$2:$A$9999=$A30)*(Raw_Data_Daily!$C$2:$C$9999=$C$3)*Raw_Data_Daily!$D$2:$D$9999*Raw_Data_Daily!$V$2:$V$9999)/SUMIFS(Raw_Data_Daily!$D:$D, Raw_Data_Daily!$B:$B, "Control", Raw_Data_Daily!$A:$A, $A30, Raw_Data_Daily!$C:$C, $C$3),""))</f>
        <v/>
      </c>
      <c r="BE30" s="132" t="str">
        <f>IF($A30="","",IFERROR(SUMPRODUCT((Raw_Data_Daily!$B$2:$B$9999="Variant")*(Raw_Data_Daily!$A$2:$A$9999=$A30)*(Raw_Data_Daily!$C$2:$C$9999=$C$3)*Raw_Data_Daily!$D$2:$D$9999*Raw_Data_Daily!$V$2:$V$9999)/SUMIFS(Raw_Data_Daily!$D:$D, Raw_Data_Daily!$B:$B, "Variant", Raw_Data_Daily!$A:$A, $A30, Raw_Data_Daily!$C:$C, $C$3),""))</f>
        <v/>
      </c>
      <c r="BF30" s="127" t="str">
        <f t="shared" si="19"/>
        <v/>
      </c>
      <c r="BG30" s="132" t="str">
        <f>IF($A30="","",IFERROR(SUMPRODUCT((Raw_Data_Daily!$B$2:$B$9999="Control")*(Raw_Data_Daily!$A$2:$A$9999=$A30)*(Raw_Data_Daily!$C$2:$C$9999=$C$3)*Raw_Data_Daily!$D$2:$D$9999*(Raw_Data_Daily!$Q$2:$Q$9999-Raw_Data_Daily!$V$2:$V$9999))/SUMIFS(Raw_Data_Daily!$D:$D, Raw_Data_Daily!$B:$B, "Control", Raw_Data_Daily!$A:$A, $A30, Raw_Data_Daily!$C:$C, $C$3),""))</f>
        <v/>
      </c>
      <c r="BH30" s="132" t="str">
        <f>IF($A30="","",IFERROR(SUMPRODUCT((Raw_Data_Daily!$B$2:$B$9999="Variant")*(Raw_Data_Daily!$A$2:$A$9999=$A30)*(Raw_Data_Daily!$C$2:$C$9999=$C$3)*Raw_Data_Daily!$D$2:$D$9999*(Raw_Data_Daily!$Q$2:$Q$9999-Raw_Data_Daily!$V$2:$V$9999))/SUMIFS(Raw_Data_Daily!$D:$D, Raw_Data_Daily!$B:$B, "Variant", Raw_Data_Daily!$A:$A, $A30, Raw_Data_Daily!$C:$C, $C$3),""))</f>
        <v/>
      </c>
      <c r="BI30" s="127" t="str">
        <f t="shared" si="20"/>
        <v/>
      </c>
      <c r="BJ30" s="132" t="str">
        <f>IF($A30="","",IFERROR(SUMPRODUCT((Raw_Data_Daily!$B$2:$B$9999="Control")*(Raw_Data_Daily!$A$2:$A$9999=$A30)*(Raw_Data_Daily!$C$2:$C$9999=$C$3)*Raw_Data_Daily!$D$2:$D$9999*Raw_Data_Daily!$W$2:$W$9999)/SUMIFS(Raw_Data_Daily!$D:$D, Raw_Data_Daily!$B:$B, "Control", Raw_Data_Daily!$A:$A, $A30, Raw_Data_Daily!$C:$C, $C$3),""))</f>
        <v/>
      </c>
      <c r="BK30" s="132" t="str">
        <f>IF($A30="","",IFERROR(SUMPRODUCT((Raw_Data_Daily!$B$2:$B$9999="Variant")*(Raw_Data_Daily!$A$2:$A$9999=$A30)*(Raw_Data_Daily!$C$2:$C$9999=$C$3)*Raw_Data_Daily!$D$2:$D$9999*Raw_Data_Daily!$W$2:$W$9999)/SUMIFS(Raw_Data_Daily!$D:$D, Raw_Data_Daily!$B:$B, "Variant", Raw_Data_Daily!$A:$A, $A30, Raw_Data_Daily!$C:$C, $C$3),""))</f>
        <v/>
      </c>
      <c r="BL30" s="127" t="str">
        <f t="shared" si="21"/>
        <v/>
      </c>
      <c r="BM30" s="137" t="str">
        <f>IF($A30="","",IFERROR(SUMPRODUCT((Raw_Data_Daily!$B$2:$B$9999="Control")*(Raw_Data_Daily!$A$2:$A$9999=$A30)*(Raw_Data_Daily!$C$2:$C$9999=$C$3)*Raw_Data_Daily!$D$2:$D$9999*Raw_Data_Daily!$X$2:$X$9999)/SUMIFS(Raw_Data_Daily!$D:$D, Raw_Data_Daily!$B:$B, "Control", Raw_Data_Daily!$A:$A, $A30, Raw_Data_Daily!$C:$C, $C$3),""))</f>
        <v/>
      </c>
      <c r="BN30" s="137" t="str">
        <f>IF($A30="","",IFERROR(SUMPRODUCT((Raw_Data_Daily!$B$2:$B$9999="Variant")*(Raw_Data_Daily!$A$2:$A$9999=$A30)*(Raw_Data_Daily!$C$2:$C$9999=$C$3)*Raw_Data_Daily!$D$2:$D$9999*Raw_Data_Daily!$X$2:$X$9999)/SUMIFS(Raw_Data_Daily!$D:$D, Raw_Data_Daily!$B:$B, "Variant", Raw_Data_Daily!$A:$A, $A30, Raw_Data_Daily!$C:$C, $C$3),""))</f>
        <v/>
      </c>
      <c r="BO30" s="130" t="str">
        <f t="shared" si="22"/>
        <v/>
      </c>
      <c r="BP30" s="126" t="str">
        <f>IF($A30="","",IFERROR(SUMPRODUCT((Raw_Data_Daily!$B$2:$B$9999="Control")*(Raw_Data_Daily!$A$2:$A$9999=$A30)*(Raw_Data_Daily!$C$2:$C$9999=$C$3)*Raw_Data_Daily!$D$2:$D$9999*Raw_Data_Daily!$Y$2:$Y$9999)/SUMIFS(Raw_Data_Daily!$D:$D, Raw_Data_Daily!$B:$B, "Control", Raw_Data_Daily!$A:$A, $A30, Raw_Data_Daily!$C:$C, $C$3),""))</f>
        <v/>
      </c>
      <c r="BQ30" s="126" t="str">
        <f>IF($A30="","",IFERROR(SUMPRODUCT((Raw_Data_Daily!$B$2:$B$9999="Variant")*(Raw_Data_Daily!$A$2:$A$9999=$A30)*(Raw_Data_Daily!$C$2:$C$9999=$C$3)*Raw_Data_Daily!$D$2:$D$9999*Raw_Data_Daily!$Y$2:$Y$9999)/SUMIFS(Raw_Data_Daily!$D:$D, Raw_Data_Daily!$B:$B, "Variant", Raw_Data_Daily!$A:$A, $A30, Raw_Data_Daily!$C:$C, $C$3),""))</f>
        <v/>
      </c>
      <c r="BR30" s="127" t="str">
        <f t="shared" si="23"/>
        <v/>
      </c>
      <c r="BS30" s="126" t="str">
        <f>IF($A30="","",IFERROR(SUMPRODUCT((Raw_Data_Daily!$B$2:$B$9999="Control")*(Raw_Data_Daily!$A$2:$A$9999=$A30)*(Raw_Data_Daily!$C$2:$C$9999=$C$3)*Raw_Data_Daily!$D$2:$D$9999*Raw_Data_Daily!$Z$2:$Z$9999)/SUMIFS(Raw_Data_Daily!$D:$D, Raw_Data_Daily!$B:$B, "Control", Raw_Data_Daily!$A:$A, $A30, Raw_Data_Daily!$C:$C, $C$3),""))</f>
        <v/>
      </c>
      <c r="BT30" s="126" t="str">
        <f>IF($A30="","",IFERROR(SUMPRODUCT((Raw_Data_Daily!$B$2:$B$9999="Variant")*(Raw_Data_Daily!$A$2:$A$9999=$A30)*(Raw_Data_Daily!$C$2:$C$9999=$C$3)*Raw_Data_Daily!$D$2:$D$9999*Raw_Data_Daily!$Z$2:$Z$9999)/SUMIFS(Raw_Data_Daily!$D:$D, Raw_Data_Daily!$B:$B, "Variant", Raw_Data_Daily!$A:$A, $A30, Raw_Data_Daily!$C:$C, $C$3),""))</f>
        <v/>
      </c>
      <c r="BU30" s="127" t="str">
        <f t="shared" si="24"/>
        <v/>
      </c>
      <c r="BV30" s="126" t="str">
        <f>IF($A30="","",IFERROR(SUMPRODUCT((Raw_Data_Daily!$B$2:$B$9999="Control")*(Raw_Data_Daily!$A$2:$A$9999=$A30)*(Raw_Data_Daily!$C$2:$C$9999=$C$3)*Raw_Data_Daily!$D$2:$D$9999*Raw_Data_Daily!$AA$2:$AA$9999)/SUMIFS(Raw_Data_Daily!$D:$D, Raw_Data_Daily!$B:$B, "Control", Raw_Data_Daily!$A:$A, $A30, Raw_Data_Daily!$C:$C, $C$3),""))</f>
        <v/>
      </c>
      <c r="BW30" s="126" t="str">
        <f>IF($A30="","",IFERROR(SUMPRODUCT((Raw_Data_Daily!$B$2:$B$9999="Variant")*(Raw_Data_Daily!$A$2:$A$9999=$A30)*(Raw_Data_Daily!$C$2:$C$9999=$C$3)*Raw_Data_Daily!$D$2:$D$9999*Raw_Data_Daily!$AA$2:$AA$9999)/SUMIFS(Raw_Data_Daily!$D:$D, Raw_Data_Daily!$B:$B, "Variant", Raw_Data_Daily!$A:$A, $A30, Raw_Data_Daily!$C:$C, $C$3),""))</f>
        <v/>
      </c>
      <c r="BX30" s="127" t="str">
        <f t="shared" si="25"/>
        <v/>
      </c>
      <c r="BY30" s="132" t="str">
        <f>IF($A30="","",IFERROR(SUMPRODUCT((Raw_Data_Daily!$B$2:$B$9999="Control")*(Raw_Data_Daily!$A$2:$A$9999=$A30)*(Raw_Data_Daily!$C$2:$C$9999=$C$3)*Raw_Data_Daily!$D$2:$D$9999*Raw_Data_Daily!$AB$2:$AB$9999)/SUMIFS(Raw_Data_Daily!$D:$D, Raw_Data_Daily!$B:$B, "Control", Raw_Data_Daily!$A:$A, $A30, Raw_Data_Daily!$C:$C, $C$3),""))</f>
        <v/>
      </c>
      <c r="BZ30" s="132" t="str">
        <f>IF($A30="","",IFERROR(SUMPRODUCT((Raw_Data_Daily!$B$2:$B$9999="Variant")*(Raw_Data_Daily!$A$2:$A$9999=$A30)*(Raw_Data_Daily!$C$2:$C$9999=$C$3)*Raw_Data_Daily!$D$2:$D$9999*Raw_Data_Daily!$AB$2:$AB$9999)/SUMIFS(Raw_Data_Daily!$D:$D, Raw_Data_Daily!$B:$B, "Variant", Raw_Data_Daily!$A:$A, $A30, Raw_Data_Daily!$C:$C, $C$3),""))</f>
        <v/>
      </c>
      <c r="CA30" s="130" t="str">
        <f t="shared" si="26"/>
        <v/>
      </c>
      <c r="CB30" s="132" t="str">
        <f>IF($A30="","",IFERROR(SUMPRODUCT((Raw_Data_Daily!$B$2:$B$9999="Control")*(Raw_Data_Daily!$A$2:$A$9999=$A30)*(Raw_Data_Daily!$C$2:$C$9999=$C$3)*Raw_Data_Daily!$D$2:$D$9999*Raw_Data_Daily!$AC$2:$AC$9999)/SUMIFS(Raw_Data_Daily!$D:$D, Raw_Data_Daily!$B:$B, "Control", Raw_Data_Daily!$A:$A, $A30, Raw_Data_Daily!$C:$C, $C$3),""))</f>
        <v/>
      </c>
      <c r="CC30" s="132" t="str">
        <f>IF($A30="","",IFERROR(SUMPRODUCT((Raw_Data_Daily!$B$2:$B$9999="Variant")*(Raw_Data_Daily!$A$2:$A$9999=$A30)*(Raw_Data_Daily!$C$2:$C$9999=$C$3)*Raw_Data_Daily!$D$2:$D$9999*Raw_Data_Daily!$AC$2:$AC$9999)/SUMIFS(Raw_Data_Daily!$D:$D, Raw_Data_Daily!$B:$B, "Variant", Raw_Data_Daily!$A:$A, $A30, Raw_Data_Daily!$C:$C, $C$3),""))</f>
        <v/>
      </c>
      <c r="CD30" s="130" t="str">
        <f t="shared" si="27"/>
        <v/>
      </c>
      <c r="CE30" s="132" t="str">
        <f>IF($A30="","",IFERROR(SUMPRODUCT((Raw_Data_Daily!$B$2:$B$9999="Control")*(Raw_Data_Daily!$A$2:$A$9999=$A30)*(Raw_Data_Daily!$C$2:$C$9999=$C$3)*Raw_Data_Daily!$D$2:$D$9999*Raw_Data_Daily!$AD$2:$AD$9999)/SUMIFS(Raw_Data_Daily!$D:$D, Raw_Data_Daily!$B:$B, "Control", Raw_Data_Daily!$A:$A, $A30, Raw_Data_Daily!$C:$C, $C$3),""))</f>
        <v/>
      </c>
      <c r="CF30" s="132" t="str">
        <f>IF($A30="","",IFERROR(SUMPRODUCT((Raw_Data_Daily!$B$2:$B$9999="Variant")*(Raw_Data_Daily!$A$2:$A$9999=$A30)*(Raw_Data_Daily!$C$2:$C$9999=$C$3)*Raw_Data_Daily!$D$2:$D$9999*Raw_Data_Daily!$AD$2:$AD$9999)/SUMIFS(Raw_Data_Daily!$D:$D, Raw_Data_Daily!$B:$B, "Variant", Raw_Data_Daily!$A:$A, $A30, Raw_Data_Daily!$C:$C, $C$3),""))</f>
        <v/>
      </c>
      <c r="CG30" s="130" t="str">
        <f t="shared" si="28"/>
        <v/>
      </c>
      <c r="CH30" s="132" t="str">
        <f>IF($A30="","",IFERROR(SUMPRODUCT((Raw_Data_Daily!$B$2:$B$9999="Control")*(Raw_Data_Daily!$A$2:$A$9999=$A30)*(Raw_Data_Daily!$C$2:$C$9999=$C$3)*Raw_Data_Daily!$D$2:$D$9999*Raw_Data_Daily!$AE$2:$AE$9999)/SUMIFS(Raw_Data_Daily!$D:$D, Raw_Data_Daily!$B:$B, "Control", Raw_Data_Daily!$A:$A, $A30, Raw_Data_Daily!$C:$C, $C$3),""))</f>
        <v/>
      </c>
      <c r="CI30" s="132" t="str">
        <f>IF($A30="","",IFERROR(SUMPRODUCT((Raw_Data_Daily!$B$2:$B$9999="Variant")*(Raw_Data_Daily!$A$2:$A$9999=$A30)*(Raw_Data_Daily!$C$2:$C$9999=$C$3)*Raw_Data_Daily!$D$2:$D$9999*Raw_Data_Daily!$AE$2:$AE$9999)/SUMIFS(Raw_Data_Daily!$D:$D, Raw_Data_Daily!$B:$B, "Variant", Raw_Data_Daily!$A:$A, $A30, Raw_Data_Daily!$C:$C, $C$3),""))</f>
        <v/>
      </c>
      <c r="CJ30" s="130" t="str">
        <f t="shared" si="29"/>
        <v/>
      </c>
      <c r="CK30" s="132" t="str">
        <f>IF($A30="","",IFERROR(SUMPRODUCT((Raw_Data_Daily!$B$2:$B$9999="Control")*(Raw_Data_Daily!$A$2:$A$9999=$A30)*(Raw_Data_Daily!$C$2:$C$9999=$C$3)*Raw_Data_Daily!$D$2:$D$9999*Raw_Data_Daily!$AF$2:$AF$9999)/SUMIFS(Raw_Data_Daily!$D:$D, Raw_Data_Daily!$B:$B, "Control", Raw_Data_Daily!$A:$A, $A30, Raw_Data_Daily!$C:$C, $C$3),""))</f>
        <v/>
      </c>
      <c r="CL30" s="132" t="str">
        <f>IF($A30="","",IFERROR(SUMPRODUCT((Raw_Data_Daily!$B$2:$B$9999="Variant")*(Raw_Data_Daily!$A$2:$A$9999=$A30)*(Raw_Data_Daily!$C$2:$C$9999=$C$3)*Raw_Data_Daily!$D$2:$D$9999*Raw_Data_Daily!$AF$2:$AF$9999)/SUMIFS(Raw_Data_Daily!$D:$D, Raw_Data_Daily!$B:$B, "Variant", Raw_Data_Daily!$A:$A, $A30, Raw_Data_Daily!$C:$C, $C$3),""))</f>
        <v/>
      </c>
      <c r="CM30" s="130" t="str">
        <f t="shared" si="30"/>
        <v/>
      </c>
      <c r="CN30" s="132" t="str">
        <f>IF($A30="","",IFERROR(SUMPRODUCT((Raw_Data_Daily!$B$2:$B$9999="Control")*(Raw_Data_Daily!$A$2:$A$9999=$A30)*(Raw_Data_Daily!$C$2:$C$9999=$C$3)*Raw_Data_Daily!$D$2:$D$9999*Raw_Data_Daily!$AG$2:$AG$9999)/SUMIFS(Raw_Data_Daily!$D:$D, Raw_Data_Daily!$B:$B, "Control", Raw_Data_Daily!$A:$A, $A30, Raw_Data_Daily!$C:$C, $C$3),""))</f>
        <v/>
      </c>
      <c r="CO30" s="132" t="str">
        <f>IF($A30="","",IFERROR(SUMPRODUCT((Raw_Data_Daily!$B$2:$B$9999="Variant")*(Raw_Data_Daily!$A$2:$A$9999=$A30)*(Raw_Data_Daily!$C$2:$C$9999=$C$3)*Raw_Data_Daily!$D$2:$D$9999*Raw_Data_Daily!$AG$2:$AG$9999)/SUMIFS(Raw_Data_Daily!$D:$D, Raw_Data_Daily!$B:$B, "Variant", Raw_Data_Daily!$A:$A, $A30, Raw_Data_Daily!$C:$C, $C$3),""))</f>
        <v/>
      </c>
      <c r="CP30" s="130" t="str">
        <f t="shared" si="31"/>
        <v/>
      </c>
      <c r="CQ30" s="132" t="str">
        <f>IF($A30="","",IFERROR(SUMPRODUCT((Raw_Data_Daily!$B$2:$B$9999="Control")*(Raw_Data_Daily!$A$2:$A$9999=$A30)*(Raw_Data_Daily!$C$2:$C$9999=$C$3)*Raw_Data_Daily!$D$2:$D$9999*Raw_Data_Daily!$AH$2:$AH$9999)/SUMIFS(Raw_Data_Daily!$D:$D, Raw_Data_Daily!$B:$B, "Control", Raw_Data_Daily!$A:$A, $A30, Raw_Data_Daily!$C:$C, $C$3),""))</f>
        <v/>
      </c>
      <c r="CR30" s="132" t="str">
        <f>IF($A30="","",IFERROR(SUMPRODUCT((Raw_Data_Daily!$B$2:$B$9999="Variant")*(Raw_Data_Daily!$A$2:$A$9999=$A30)*(Raw_Data_Daily!$C$2:$C$9999=$C$3)*Raw_Data_Daily!$D$2:$D$9999*Raw_Data_Daily!$AH$2:$AH$9999)/SUMIFS(Raw_Data_Daily!$D:$D, Raw_Data_Daily!$B:$B, "Variant", Raw_Data_Daily!$A:$A, $A30, Raw_Data_Daily!$C:$C, $C$3),""))</f>
        <v/>
      </c>
      <c r="CS30" s="130" t="str">
        <f t="shared" si="32"/>
        <v/>
      </c>
      <c r="CT30" s="128" t="str">
        <f>IF($A30="","",IFERROR(SUMPRODUCT((Raw_Data_Daily!$B$2:$B$9999="Control")*(Raw_Data_Daily!$A$2:$A$9999=$A30)*(Raw_Data_Daily!$C$2:$C$9999=$C$3)*Raw_Data_Daily!$D$2:$D$9999*Raw_Data_Daily!$AI$2:$AI$9999)/SUMIFS(Raw_Data_Daily!$D:$D, Raw_Data_Daily!$B:$B, "Control", Raw_Data_Daily!$A:$A, $A30, Raw_Data_Daily!$C:$C, $C$3),""))</f>
        <v/>
      </c>
      <c r="CU30" s="128" t="str">
        <f>IF($A30="","",IFERROR(SUMPRODUCT((Raw_Data_Daily!$B$2:$B$9999="Variant")*(Raw_Data_Daily!$A$2:$A$9999=$A30)*(Raw_Data_Daily!$C$2:$C$9999=$C$3)*Raw_Data_Daily!$D$2:$D$9999*Raw_Data_Daily!$AI$2:$AI$9999)/SUMIFS(Raw_Data_Daily!$D:$D, Raw_Data_Daily!$B:$B, "Variant", Raw_Data_Daily!$A:$A, $A30, Raw_Data_Daily!$C:$C, $C$3),""))</f>
        <v/>
      </c>
      <c r="CV30" s="139" t="str">
        <f t="shared" si="33"/>
        <v/>
      </c>
      <c r="CW30" s="128" t="str">
        <f>IF($A30="","",IFERROR(SUMPRODUCT((Raw_Data_Daily!$B$2:$B$9999="Control")*(Raw_Data_Daily!$A$2:$A$9999=$A30)*(Raw_Data_Daily!$C$2:$C$9999=$C$3)*Raw_Data_Daily!$D$2:$D$9999*Raw_Data_Daily!$AJ$2:$AJ$9999)/SUMIFS(Raw_Data_Daily!$D:$D, Raw_Data_Daily!$B:$B, "Control", Raw_Data_Daily!$A:$A, $A30, Raw_Data_Daily!$C:$C, $C$3),""))</f>
        <v/>
      </c>
      <c r="CX30" s="128" t="str">
        <f>IF($A30="","",IFERROR(SUMPRODUCT((Raw_Data_Daily!$B$2:$B$9999="Variant")*(Raw_Data_Daily!$A$2:$A$9999=$A30)*(Raw_Data_Daily!$C$2:$C$9999=$C$3)*Raw_Data_Daily!$D$2:$D$9999*Raw_Data_Daily!$AJ$2:$AJ$9999)/SUMIFS(Raw_Data_Daily!$D:$D, Raw_Data_Daily!$B:$B, "Variant", Raw_Data_Daily!$A:$A, $A30, Raw_Data_Daily!$C:$C, $C$3),""))</f>
        <v/>
      </c>
      <c r="CY30" s="139" t="str">
        <f t="shared" si="34"/>
        <v/>
      </c>
      <c r="CZ30" s="128" t="str">
        <f>IF($A30="","",IFERROR(SUMPRODUCT((Raw_Data_Daily!$B$2:$B$9999="Control")*(Raw_Data_Daily!$A$2:$A$9999=$A30)*(Raw_Data_Daily!$C$2:$C$9999=$C$3)*Raw_Data_Daily!$D$2:$D$9999*Raw_Data_Daily!$AK$2:$AK$9999)/SUMIFS(Raw_Data_Daily!$D:$D, Raw_Data_Daily!$B:$B, "Control", Raw_Data_Daily!$A:$A, $A30, Raw_Data_Daily!$C:$C, $C$3),""))</f>
        <v/>
      </c>
      <c r="DA30" s="128" t="str">
        <f>IF($A30="","",IFERROR(SUMPRODUCT((Raw_Data_Daily!$B$2:$B$9999="Variant")*(Raw_Data_Daily!$A$2:$A$9999=$A30)*(Raw_Data_Daily!$C$2:$C$9999=$C$3)*Raw_Data_Daily!$D$2:$D$9999*Raw_Data_Daily!$AK$2:$AK$9999)/SUMIFS(Raw_Data_Daily!$D:$D, Raw_Data_Daily!$B:$B, "Variant", Raw_Data_Daily!$A:$A, $A30, Raw_Data_Daily!$C:$C, $C$3),""))</f>
        <v/>
      </c>
      <c r="DB30" s="130" t="str">
        <f t="shared" si="35"/>
        <v/>
      </c>
      <c r="DC30" s="137" t="str">
        <f>IF($A30="","",IFERROR(SUMPRODUCT((Raw_Data_Daily!$B$2:$B$9999="Control")*(Raw_Data_Daily!$A$2:$A$9999=$A30)*(Raw_Data_Daily!$C$2:$C$9999=$C$3)*Raw_Data_Daily!$D$2:$D$9999*Raw_Data_Daily!$AL$2:$AL$9999)/SUMIFS(Raw_Data_Daily!$D:$D, Raw_Data_Daily!$B:$B, "Control", Raw_Data_Daily!$A:$A, $A30, Raw_Data_Daily!$C:$C, $C$3),""))</f>
        <v/>
      </c>
      <c r="DD30" s="137" t="str">
        <f>IF($A30="","",IFERROR(SUMPRODUCT((Raw_Data_Daily!$B$2:$B$9999="Variant")*(Raw_Data_Daily!$A$2:$A$9999=$A30)*(Raw_Data_Daily!$C$2:$C$9999=$C$3)*Raw_Data_Daily!$D$2:$D$9999*Raw_Data_Daily!$AL$2:$AL$9999)/SUMIFS(Raw_Data_Daily!$D:$D, Raw_Data_Daily!$B:$B, "Variant", Raw_Data_Daily!$A:$A, $A30, Raw_Data_Daily!$C:$C, $C$3),""))</f>
        <v/>
      </c>
      <c r="DE30" s="139" t="str">
        <f t="shared" si="36"/>
        <v/>
      </c>
      <c r="DF30" s="159"/>
      <c r="DG30" s="128" t="str">
        <f>IF($A30="","",IFERROR(SUMPRODUCT((Raw_Data_Daily!$B$2:$B$9999="Variant")*(Raw_Data_Daily!$A$2:$A$9999=$A30)*(Raw_Data_Daily!$C$2:$C$9999=$C$3)*Raw_Data_Daily!$D$2:$D$9999*Raw_Data_Daily!$AM$2:$AM$9999)/SUMIFS(Raw_Data_Daily!$D:$D, Raw_Data_Daily!$B:$B, "Variant", Raw_Data_Daily!$A:$A, $A30, Raw_Data_Daily!$C:$C, $C$3),""))</f>
        <v/>
      </c>
      <c r="DH30" s="160"/>
      <c r="DI30" s="159"/>
      <c r="DJ30" s="128" t="str">
        <f>IF($A30="","",IFERROR(SUMPRODUCT((Raw_Data_Daily!$B$2:$B$9999="Variant")*(Raw_Data_Daily!$A$2:$A$9999=$A30)*(Raw_Data_Daily!$C$2:$C$9999=$C$3)*Raw_Data_Daily!$D$2:$D$9999*Raw_Data_Daily!$AN$2:$AN$9999)/SUMIFS(Raw_Data_Daily!$D:$D, Raw_Data_Daily!$B:$B, "Variant", Raw_Data_Daily!$A:$A, $A30, Raw_Data_Daily!$C:$C, $C$3),""))</f>
        <v/>
      </c>
      <c r="DK30" s="160"/>
      <c r="DL30" s="159"/>
      <c r="DM30" s="128" t="str">
        <f>IF($A30="","",IFERROR(SUMPRODUCT((Raw_Data_Daily!$B$2:$B$9999="Variant")*(Raw_Data_Daily!$A$2:$A$9999=$A30)*(Raw_Data_Daily!$C$2:$C$9999=$C$3)*Raw_Data_Daily!$D$2:$D$9999*Raw_Data_Daily!$AO$2:$AO$9999)/SUMIFS(Raw_Data_Daily!$D:$D, Raw_Data_Daily!$B:$B, "Variant", Raw_Data_Daily!$A:$A, $A30, Raw_Data_Daily!$C:$C, $C$3),""))</f>
        <v/>
      </c>
      <c r="DN30" s="160"/>
      <c r="DO30" s="159"/>
      <c r="DP30" s="128" t="str">
        <f>IF($A30="","",IFERROR(SUMPRODUCT((Raw_Data_Daily!$B$2:$B$9999="Variant")*(Raw_Data_Daily!$A$2:$A$9999=$A30)*(Raw_Data_Daily!$C$2:$C$9999=$C$3)*Raw_Data_Daily!$D$2:$D$9999*Raw_Data_Daily!$AP$2:$AP$9999)/SUMIFS(Raw_Data_Daily!$D:$D, Raw_Data_Daily!$B:$B, "Variant", Raw_Data_Daily!$A:$A, $A30, Raw_Data_Daily!$C:$C, $C$3),""))</f>
        <v/>
      </c>
      <c r="DQ30" s="160"/>
      <c r="DR30" s="137" t="str">
        <f>IF($A30="","",IFERROR(SUMPRODUCT((Raw_Data_Daily!$B$2:$B$9999="Control")*(Raw_Data_Daily!$A$2:$A$9999=$A30)*(Raw_Data_Daily!$C$2:$C$9999=$C$3)*Raw_Data_Daily!$D$2:$D$9999*Raw_Data_Daily!$AQ$2:$AQ$9999)/SUMIFS(Raw_Data_Daily!$D:$D, Raw_Data_Daily!$B:$B, "Control", Raw_Data_Daily!$A:$A, $A30, Raw_Data_Daily!$C:$C, $C$3),""))</f>
        <v/>
      </c>
      <c r="DS30" s="137" t="str">
        <f>IF($A30="","",IFERROR(SUMPRODUCT((Raw_Data_Daily!$B$2:$B$9999="Variant")*(Raw_Data_Daily!$A$2:$A$9999=$A30)*(Raw_Data_Daily!$C$2:$C$9999=$C$3)*Raw_Data_Daily!$D$2:$D$9999*Raw_Data_Daily!$AQ$2:$AQ$9999)/SUMIFS(Raw_Data_Daily!$D:$D, Raw_Data_Daily!$B:$B, "Variant", Raw_Data_Daily!$A:$A, $A30, Raw_Data_Daily!$C:$C, $C$3),""))</f>
        <v/>
      </c>
      <c r="DT30" s="161" t="str">
        <f t="shared" si="37"/>
        <v/>
      </c>
      <c r="DU30" s="137" t="str">
        <f>IF($A30="","",IFERROR(SUMPRODUCT((Raw_Data_Daily!$B$2:$B$9999="Control")*(Raw_Data_Daily!$A$2:$A$9999=$A30)*(Raw_Data_Daily!$C$2:$C$9999=$C$3)*Raw_Data_Daily!$D$2:$D$9999*Raw_Data_Daily!$AR$2:$AR$9999)/SUMIFS(Raw_Data_Daily!$D:$D, Raw_Data_Daily!$B:$B, "Control", Raw_Data_Daily!$A:$A, $A30, Raw_Data_Daily!$C:$C, $C$3),""))</f>
        <v/>
      </c>
      <c r="DV30" s="137" t="str">
        <f>IF($A30="","",IFERROR(SUMPRODUCT((Raw_Data_Daily!$B$2:$B$9999="Variant")*(Raw_Data_Daily!$A$2:$A$9999=$A30)*(Raw_Data_Daily!$C$2:$C$9999=$C$3)*Raw_Data_Daily!$D$2:$D$9999*Raw_Data_Daily!$AR$2:$AR$9999)/SUMIFS(Raw_Data_Daily!$D:$D, Raw_Data_Daily!$B:$B, "Variant", Raw_Data_Daily!$A:$A, $A30, Raw_Data_Daily!$C:$C, $C$3),""))</f>
        <v/>
      </c>
      <c r="DW30" s="161" t="str">
        <f t="shared" si="38"/>
        <v/>
      </c>
      <c r="DX30" s="137" t="str">
        <f>IF($A30="","",IFERROR(SUMPRODUCT((Raw_Data_Daily!$B$2:$B$9999="Control")*(Raw_Data_Daily!$A$2:$A$9999=$A30)*(Raw_Data_Daily!$C$2:$C$9999=$C$3)*Raw_Data_Daily!$D$2:$D$9999*Raw_Data_Daily!$AS$2:$AS$9999)/SUMIFS(Raw_Data_Daily!$D:$D, Raw_Data_Daily!$B:$B, "Control", Raw_Data_Daily!$A:$A, $A30, Raw_Data_Daily!$C:$C, $C$3),""))</f>
        <v/>
      </c>
      <c r="DY30" s="137" t="str">
        <f>IF($A30="","",IFERROR(SUMPRODUCT((Raw_Data_Daily!$B$2:$B$9999="Variant")*(Raw_Data_Daily!$A$2:$A$9999=$A30)*(Raw_Data_Daily!$C$2:$C$9999=$C$3)*Raw_Data_Daily!$D$2:$D$9999*Raw_Data_Daily!$AS$2:$AS$9999)/SUMIFS(Raw_Data_Daily!$D:$D, Raw_Data_Daily!$B:$B, "Variant", Raw_Data_Daily!$A:$A, $A30, Raw_Data_Daily!$C:$C, $C$3),""))</f>
        <v/>
      </c>
      <c r="DZ30" s="162" t="str">
        <f t="shared" si="39"/>
        <v/>
      </c>
      <c r="EA30" s="137" t="str">
        <f>IF($A30="","",IFERROR(SUMPRODUCT((Raw_Data_Daily!$B$2:$B$9999="Control")*(Raw_Data_Daily!$A$2:$A$9999=$A30)*(Raw_Data_Daily!$C$2:$C$9999=$C$3)*Raw_Data_Daily!$D$2:$D$9999*Raw_Data_Daily!$AT$2:$AT$9999)/SUMIFS(Raw_Data_Daily!$D:$D, Raw_Data_Daily!$B:$B, "Control", Raw_Data_Daily!$A:$A, $A30, Raw_Data_Daily!$C:$C, $C$3),""))</f>
        <v/>
      </c>
      <c r="EB30" s="137" t="str">
        <f>IF($A30="","",IFERROR(SUMPRODUCT((Raw_Data_Daily!$B$2:$B$9999="Variant")*(Raw_Data_Daily!$A$2:$A$9999=$A30)*(Raw_Data_Daily!$C$2:$C$9999=$C$3)*Raw_Data_Daily!$D$2:$D$9999*Raw_Data_Daily!$AT$2:$AT$9999)/SUMIFS(Raw_Data_Daily!$D:$D, Raw_Data_Daily!$B:$B, "Variant", Raw_Data_Daily!$A:$A, $A30, Raw_Data_Daily!$C:$C, $C$3),""))</f>
        <v/>
      </c>
      <c r="EC30" s="161" t="str">
        <f t="shared" si="40"/>
        <v/>
      </c>
      <c r="ED30" s="137" t="str">
        <f>IF($A30="","",IFERROR(SUMPRODUCT((Raw_Data_Daily!$B$2:$B$9999="Control")*(Raw_Data_Daily!$A$2:$A$9999=$A30)*(Raw_Data_Daily!$C$2:$C$9999=$C$3)*Raw_Data_Daily!$D$2:$D$9999*(Raw_Data_Daily!$AQ$2:$AQ$9999-Raw_Data_Daily!$AT$2:$AT$9999))/SUMIFS(Raw_Data_Daily!$D:$D, Raw_Data_Daily!$B:$B, "Control", Raw_Data_Daily!$A:$A, $A30, Raw_Data_Daily!$C:$C, $C$3),""))</f>
        <v/>
      </c>
      <c r="EE30" s="137" t="str">
        <f>IF($A30="","",IFERROR(SUMPRODUCT((Raw_Data_Daily!$B$2:$B$9999="Variant")*(Raw_Data_Daily!$A$2:$A$9999=$A30)*(Raw_Data_Daily!$C$2:$C$9999=$C$3)*Raw_Data_Daily!$D$2:$D$9999*(Raw_Data_Daily!$AQ$2:$AQ$9999-Raw_Data_Daily!$AT$2:$AT$9999))/SUMIFS(Raw_Data_Daily!$D:$D, Raw_Data_Daily!$B:$B, "Variant", Raw_Data_Daily!$A:$A, $A30, Raw_Data_Daily!$C:$C, $C$3),""))</f>
        <v/>
      </c>
      <c r="EF30" s="162" t="str">
        <f t="shared" si="41"/>
        <v/>
      </c>
      <c r="EG30" s="137" t="str">
        <f>IF($A30="","",IFERROR(SUMPRODUCT((Raw_Data_Daily!$B$2:$B$9999="Control")*(Raw_Data_Daily!$A$2:$A$9999=$A30)*(Raw_Data_Daily!$C$2:$C$9999=$C$3)*Raw_Data_Daily!$D$2:$D$9999*Raw_Data_Daily!$AU$2:$AU$9999)/SUMIFS(Raw_Data_Daily!$D:$D, Raw_Data_Daily!$B:$B, "Control", Raw_Data_Daily!$A:$A, $A30, Raw_Data_Daily!$C:$C, $C$3),""))</f>
        <v/>
      </c>
      <c r="EH30" s="137" t="str">
        <f>IF($A30="","",IFERROR(SUMPRODUCT((Raw_Data_Daily!$B$2:$B$9999="Variant")*(Raw_Data_Daily!$A$2:$A$9999=$A30)*(Raw_Data_Daily!$C$2:$C$9999=$C$3)*Raw_Data_Daily!$D$2:$D$9999*Raw_Data_Daily!$AU$2:$AU$9999)/SUMIFS(Raw_Data_Daily!$D:$D, Raw_Data_Daily!$B:$B, "Variant", Raw_Data_Daily!$A:$A, $A30, Raw_Data_Daily!$C:$C, $C$3),""))</f>
        <v/>
      </c>
      <c r="EI30" s="161" t="str">
        <f t="shared" si="42"/>
        <v/>
      </c>
    </row>
    <row r="31" ht="15.75" customHeight="1">
      <c r="A31" s="125">
        <v>46254.0</v>
      </c>
      <c r="B31" s="126">
        <f>IF($A31="","",SUMIFS(Raw_Data_Daily!$D:$D, Raw_Data_Daily!$B:$B, "Control", Raw_Data_Daily!$A:$A, $A31, Raw_Data_Daily!$C:$C, $C$3))</f>
        <v>0</v>
      </c>
      <c r="C31" s="126">
        <f>IF($A31="","",SUMIFS(Raw_Data_Daily!$D:$D, Raw_Data_Daily!$B:$B, "Variant", Raw_Data_Daily!$A:$A, $A31, Raw_Data_Daily!$C:$C, $C$3))</f>
        <v>0</v>
      </c>
      <c r="D31" s="127" t="str">
        <f t="shared" si="1"/>
        <v/>
      </c>
      <c r="E31" s="128" t="str">
        <f>IF($A31="","",IFERROR(SUMPRODUCT((Raw_Data_Daily!$B$2:$B$9999="Control")*(Raw_Data_Daily!$A$2:$A$9999=$A31)*(Raw_Data_Daily!$C$2:$C$9999=$C$3)*Raw_Data_Daily!$D$2:$D$9999*Raw_Data_Daily!$E$2:$E$9999)/SUMIFS(Raw_Data_Daily!$D:$D, Raw_Data_Daily!$B:$B, "Control", Raw_Data_Daily!$A:$A, $A31, Raw_Data_Daily!$C:$C, $C$3),""))</f>
        <v/>
      </c>
      <c r="F31" s="128" t="str">
        <f>IF($A31="","",IFERROR(SUMPRODUCT((Raw_Data_Daily!$B$2:$B$9999="Variant")*(Raw_Data_Daily!$A$2:$A$9999=$A31)*(Raw_Data_Daily!$C$2:$C$9999=$C$3)*Raw_Data_Daily!$D$2:$D$9999*Raw_Data_Daily!$E$2:$E$9999)/SUMIFS(Raw_Data_Daily!$D:$D, Raw_Data_Daily!$B:$B, "Variant", Raw_Data_Daily!$A:$A, $A31, Raw_Data_Daily!$C:$C, $C$3),""))</f>
        <v/>
      </c>
      <c r="G31" s="127" t="str">
        <f t="shared" si="2"/>
        <v/>
      </c>
      <c r="H31" s="129">
        <f>IF($A31="","",SUMIFS(Raw_Data_Daily!$F:$F, Raw_Data_Daily!$B:$B, "Control", Raw_Data_Daily!$A:$A, $A31, Raw_Data_Daily!$C:$C, $C$3))</f>
        <v>0</v>
      </c>
      <c r="I31" s="129">
        <f>IF($A31="","",SUMIFS(Raw_Data_Daily!$F:$F, Raw_Data_Daily!$B:$B, "Variant", Raw_Data_Daily!$A:$A, $A31, Raw_Data_Daily!$C:$C, $C$3))</f>
        <v>0</v>
      </c>
      <c r="J31" s="130" t="str">
        <f t="shared" si="3"/>
        <v/>
      </c>
      <c r="K31" s="131" t="str">
        <f>IF($A31="","",IFERROR(SUMIFS(Raw_Data_Daily!$F:$F, Raw_Data_Daily!$B:$B, "Control", Raw_Data_Daily!$A:$A, $A31, Raw_Data_Daily!$C:$C, $C$3)/SUMIFS(Raw_Data_Daily!$D:$D, Raw_Data_Daily!$B:$B, "Control", Raw_Data_Daily!$A:$A, $A31, Raw_Data_Daily!$C:$C, $C$3),""))</f>
        <v/>
      </c>
      <c r="L31" s="131" t="str">
        <f>IF($A31="","",IFERROR(SUMIFS(Raw_Data_Daily!$F:$F, Raw_Data_Daily!$B:$B, "Variant", Raw_Data_Daily!$A:$A, $A31, Raw_Data_Daily!$C:$C, $C$3)/SUMIFS(Raw_Data_Daily!$D:$D, Raw_Data_Daily!$B:$B, "Variant", Raw_Data_Daily!$A:$A, $A31, Raw_Data_Daily!$C:$C, $C$3),""))</f>
        <v/>
      </c>
      <c r="M31" s="130" t="str">
        <f t="shared" si="4"/>
        <v/>
      </c>
      <c r="N31" s="128" t="str">
        <f>IF($A31="","",IFERROR(SUMPRODUCT((Raw_Data_Daily!$B$2:$B$9999="Control")*(Raw_Data_Daily!$A$2:$A$9999=$A31)*(Raw_Data_Daily!$C$2:$C$9999=$C$3)*Raw_Data_Daily!$D$2:$D$9999*Raw_Data_Daily!$H$2:$H$9999/100)/SUMIFS(Raw_Data_Daily!$D:$D, Raw_Data_Daily!$B:$B, "Control", Raw_Data_Daily!$A:$A, $A31, Raw_Data_Daily!$C:$C, $C$3)*100,""))</f>
        <v/>
      </c>
      <c r="O31" s="128" t="str">
        <f>IF($A31="","",IFERROR(SUMPRODUCT((Raw_Data_Daily!$B$2:$B$9999="Variant")*(Raw_Data_Daily!$A$2:$A$9999=$A31)*(Raw_Data_Daily!$C$2:$C$9999=$C$3)*Raw_Data_Daily!$D$2:$D$9999*Raw_Data_Daily!$H$2:$H$9999/100)/SUMIFS(Raw_Data_Daily!$D:$D, Raw_Data_Daily!$B:$B, "Variant", Raw_Data_Daily!$A:$A, $A31, Raw_Data_Daily!$C:$C, $C$3)*100,""))</f>
        <v/>
      </c>
      <c r="P31" s="130" t="str">
        <f t="shared" si="5"/>
        <v/>
      </c>
      <c r="Q31" s="131" t="str">
        <f>IF($A31="","",IFERROR(SUMIFS(Raw_Data_Daily!$F:$F, Raw_Data_Daily!$B:$B, "Control", Raw_Data_Daily!$A:$A, $A31, Raw_Data_Daily!$C:$C, $C$3)/SUMPRODUCT((Raw_Data_Daily!$B$2:$B$9999="Control")*(Raw_Data_Daily!$A$2:$A$9999=$A31)*(Raw_Data_Daily!$C$2:$C$9999=$C$3)*Raw_Data_Daily!$D$2:$D$9999*Raw_Data_Daily!$H$2:$H$9999/100),""))</f>
        <v/>
      </c>
      <c r="R31" s="131" t="str">
        <f>IF($A31="","",IFERROR(SUMIFS(Raw_Data_Daily!$F:$F, Raw_Data_Daily!$B:$B, "Variant", Raw_Data_Daily!$A:$A, $A31, Raw_Data_Daily!$C:$C, $C$3)/SUMPRODUCT((Raw_Data_Daily!$B$2:$B$9999="Variant")*(Raw_Data_Daily!$A$2:$A$9999=$A31)*(Raw_Data_Daily!$C$2:$C$9999=$C$3)*Raw_Data_Daily!$D$2:$D$9999*Raw_Data_Daily!$H$2:$H$9999/100),""))</f>
        <v/>
      </c>
      <c r="S31" s="130" t="str">
        <f t="shared" si="6"/>
        <v/>
      </c>
      <c r="T31" s="132" t="str">
        <f>IF($A31="","",IFERROR(SUMPRODUCT((Raw_Data_Daily!$B$2:$B$9999="Control")*(Raw_Data_Daily!$A$2:$A$9999=$A31)*(Raw_Data_Daily!$C$2:$C$9999=$C$3)*Raw_Data_Daily!$D$2:$D$9999*Raw_Data_Daily!$J$2:$J$9999)/SUMIFS(Raw_Data_Daily!$D:$D, Raw_Data_Daily!$B:$B, "Control", Raw_Data_Daily!$A:$A, $A31, Raw_Data_Daily!$C:$C, $C$3),""))</f>
        <v/>
      </c>
      <c r="U31" s="132" t="str">
        <f>IF($A31="","",IFERROR(SUMPRODUCT((Raw_Data_Daily!$B$2:$B$9999="Variant")*(Raw_Data_Daily!$A$2:$A$9999=$A31)*(Raw_Data_Daily!$C$2:$C$9999=$C$3)*Raw_Data_Daily!$D$2:$D$9999*Raw_Data_Daily!$J$2:$J$9999)/SUMIFS(Raw_Data_Daily!$D:$D, Raw_Data_Daily!$B:$B, "Variant", Raw_Data_Daily!$A:$A, $A31, Raw_Data_Daily!$C:$C, $C$3),""))</f>
        <v/>
      </c>
      <c r="V31" s="130" t="str">
        <f t="shared" si="7"/>
        <v/>
      </c>
      <c r="W31" s="132" t="str">
        <f>IF($A31="","",IFERROR(SUMPRODUCT((Raw_Data_Daily!$B$2:$B$9999="Control")*(Raw_Data_Daily!$A$2:$A$9999=$A31)*(Raw_Data_Daily!$C$2:$C$9999=$C$3)*Raw_Data_Daily!$D$2:$D$9999*Raw_Data_Daily!$K$2:$K$9999)/SUMIFS(Raw_Data_Daily!$D:$D, Raw_Data_Daily!$B:$B, "Control", Raw_Data_Daily!$A:$A, $A31, Raw_Data_Daily!$C:$C, $C$3),""))</f>
        <v/>
      </c>
      <c r="X31" s="132" t="str">
        <f>IF($A31="","",IFERROR(SUMPRODUCT((Raw_Data_Daily!$B$2:$B$9999="Variant")*(Raw_Data_Daily!$A$2:$A$9999=$A31)*(Raw_Data_Daily!$C$2:$C$9999=$C$3)*Raw_Data_Daily!$D$2:$D$9999*Raw_Data_Daily!$K$2:$K$9999)/SUMIFS(Raw_Data_Daily!$D:$D, Raw_Data_Daily!$B:$B, "Variant", Raw_Data_Daily!$A:$A, $A31, Raw_Data_Daily!$C:$C, $C$3),""))</f>
        <v/>
      </c>
      <c r="Y31" s="130" t="str">
        <f t="shared" si="8"/>
        <v/>
      </c>
      <c r="Z31" s="132" t="str">
        <f>IF($A31="","",IFERROR(SUMPRODUCT((Raw_Data_Daily!$B$2:$B$9999="Control")*(Raw_Data_Daily!$A$2:$A$9999=$A31)*(Raw_Data_Daily!$C$2:$C$9999=$C$3)*Raw_Data_Daily!$D$2:$D$9999*Raw_Data_Daily!$L$2:$L$9999)/SUMIFS(Raw_Data_Daily!$D:$D, Raw_Data_Daily!$B:$B, "Control", Raw_Data_Daily!$A:$A, $A31, Raw_Data_Daily!$C:$C, $C$3),""))</f>
        <v/>
      </c>
      <c r="AA31" s="132" t="str">
        <f>IF($A31="","",IFERROR(SUMPRODUCT((Raw_Data_Daily!$B$2:$B$9999="Variant")*(Raw_Data_Daily!$A$2:$A$9999=$A31)*(Raw_Data_Daily!$C$2:$C$9999=$C$3)*Raw_Data_Daily!$D$2:$D$9999*Raw_Data_Daily!$L$2:$L$9999)/SUMIFS(Raw_Data_Daily!$D:$D, Raw_Data_Daily!$B:$B, "Variant", Raw_Data_Daily!$A:$A, $A31, Raw_Data_Daily!$C:$C, $C$3),""))</f>
        <v/>
      </c>
      <c r="AB31" s="130" t="str">
        <f t="shared" si="9"/>
        <v/>
      </c>
      <c r="AC31" s="137" t="str">
        <f>IF($A31="","",IFERROR(SUMPRODUCT((Raw_Data_Daily!$B$2:$B$9999="Control")*(Raw_Data_Daily!$A$2:$A$9999=$A31)*(Raw_Data_Daily!$C$2:$C$9999=$C$3)*Raw_Data_Daily!$D$2:$D$9999*Raw_Data_Daily!$M$2:$M$9999)/SUMIFS(Raw_Data_Daily!$D:$D, Raw_Data_Daily!$B:$B, "Control", Raw_Data_Daily!$A:$A, $A31, Raw_Data_Daily!$C:$C, $C$3),""))</f>
        <v/>
      </c>
      <c r="AD31" s="137" t="str">
        <f>IF($A31="","",IFERROR(SUMPRODUCT((Raw_Data_Daily!$B$2:$B$9999="Variant")*(Raw_Data_Daily!$A$2:$A$9999=$A31)*(Raw_Data_Daily!$C$2:$C$9999=$C$3)*Raw_Data_Daily!$D$2:$D$9999*Raw_Data_Daily!$M$2:$M$9999)/SUMIFS(Raw_Data_Daily!$D:$D, Raw_Data_Daily!$B:$B, "Variant", Raw_Data_Daily!$A:$A, $A31, Raw_Data_Daily!$C:$C, $C$3),""))</f>
        <v/>
      </c>
      <c r="AE31" s="139" t="str">
        <f t="shared" si="10"/>
        <v/>
      </c>
      <c r="AF31" s="137" t="str">
        <f>IF($A31="","",IFERROR(SUMPRODUCT((Raw_Data_Daily!$B$2:$B$9999="Control")*(Raw_Data_Daily!$A$2:$A$9999=$A31)*(Raw_Data_Daily!$C$2:$C$9999=$C$3)*Raw_Data_Daily!$D$2:$D$9999*Raw_Data_Daily!$N$2:$N$9999)/SUMIFS(Raw_Data_Daily!$D:$D, Raw_Data_Daily!$B:$B, "Control", Raw_Data_Daily!$A:$A, $A31, Raw_Data_Daily!$C:$C, $C$3),""))</f>
        <v/>
      </c>
      <c r="AG31" s="137" t="str">
        <f>IF($A31="","",IFERROR(SUMPRODUCT((Raw_Data_Daily!$B$2:$B$9999="Variant")*(Raw_Data_Daily!$A$2:$A$9999=$A31)*(Raw_Data_Daily!$C$2:$C$9999=$C$3)*Raw_Data_Daily!$D$2:$D$9999*Raw_Data_Daily!$N$2:$N$9999)/SUMIFS(Raw_Data_Daily!$D:$D, Raw_Data_Daily!$B:$B, "Variant", Raw_Data_Daily!$A:$A, $A31, Raw_Data_Daily!$C:$C, $C$3),""))</f>
        <v/>
      </c>
      <c r="AH31" s="139" t="str">
        <f t="shared" si="11"/>
        <v/>
      </c>
      <c r="AI31" s="137" t="str">
        <f>IF($A31="","",IFERROR(SUMPRODUCT((Raw_Data_Daily!$B$2:$B$9999="Control")*(Raw_Data_Daily!$A$2:$A$9999=$A31)*(Raw_Data_Daily!$C$2:$C$9999=$C$3)*Raw_Data_Daily!$D$2:$D$9999*Raw_Data_Daily!$O$2:$O$9999)/SUMIFS(Raw_Data_Daily!$D:$D, Raw_Data_Daily!$B:$B, "Control", Raw_Data_Daily!$A:$A, $A31, Raw_Data_Daily!$C:$C, $C$3),""))</f>
        <v/>
      </c>
      <c r="AJ31" s="137" t="str">
        <f>IF($A31="","",IFERROR(SUMPRODUCT((Raw_Data_Daily!$B$2:$B$9999="Variant")*(Raw_Data_Daily!$A$2:$A$9999=$A31)*(Raw_Data_Daily!$C$2:$C$9999=$C$3)*Raw_Data_Daily!$D$2:$D$9999*Raw_Data_Daily!$O$2:$O$9999)/SUMIFS(Raw_Data_Daily!$D:$D, Raw_Data_Daily!$B:$B, "Variant", Raw_Data_Daily!$A:$A, $A31, Raw_Data_Daily!$C:$C, $C$3),""))</f>
        <v/>
      </c>
      <c r="AK31" s="130" t="str">
        <f t="shared" si="12"/>
        <v/>
      </c>
      <c r="AL31" s="132" t="str">
        <f>IF($A31="","",IFERROR(SUMPRODUCT((Raw_Data_Daily!$B$2:$B$9999="Control")*(Raw_Data_Daily!$A$2:$A$9999=$A31)*(Raw_Data_Daily!$C$2:$C$9999=$C$3)*Raw_Data_Daily!$D$2:$D$9999*Raw_Data_Daily!$P$2:$P$9999)/SUMIFS(Raw_Data_Daily!$D:$D, Raw_Data_Daily!$B:$B, "Control", Raw_Data_Daily!$A:$A, $A31, Raw_Data_Daily!$C:$C, $C$3),""))</f>
        <v/>
      </c>
      <c r="AM31" s="132" t="str">
        <f>IF($A31="","",IFERROR(SUMPRODUCT((Raw_Data_Daily!$B$2:$B$9999="Variant")*(Raw_Data_Daily!$A$2:$A$9999=$A31)*(Raw_Data_Daily!$C$2:$C$9999=$C$3)*Raw_Data_Daily!$D$2:$D$9999*Raw_Data_Daily!$P$2:$P$9999)/SUMIFS(Raw_Data_Daily!$D:$D, Raw_Data_Daily!$B:$B, "Variant", Raw_Data_Daily!$A:$A, $A31, Raw_Data_Daily!$C:$C, $C$3),""))</f>
        <v/>
      </c>
      <c r="AN31" s="130" t="str">
        <f t="shared" si="13"/>
        <v/>
      </c>
      <c r="AO31" s="132" t="str">
        <f>IF($A31="","",IFERROR(SUMPRODUCT((Raw_Data_Daily!$B$2:$B$9999="Control")*(Raw_Data_Daily!$A$2:$A$9999=$A31)*(Raw_Data_Daily!$C$2:$C$9999=$C$3)*Raw_Data_Daily!$D$2:$D$9999*Raw_Data_Daily!$Q$2:$Q$9999)/SUMIFS(Raw_Data_Daily!$D:$D, Raw_Data_Daily!$B:$B, "Control", Raw_Data_Daily!$A:$A, $A31, Raw_Data_Daily!$C:$C, $C$3),""))</f>
        <v/>
      </c>
      <c r="AP31" s="132" t="str">
        <f>IF($A31="","",IFERROR(SUMPRODUCT((Raw_Data_Daily!$B$2:$B$9999="Variant")*(Raw_Data_Daily!$A$2:$A$9999=$A31)*(Raw_Data_Daily!$C$2:$C$9999=$C$3)*Raw_Data_Daily!$D$2:$D$9999*Raw_Data_Daily!$Q$2:$Q$9999)/SUMIFS(Raw_Data_Daily!$D:$D, Raw_Data_Daily!$B:$B, "Variant", Raw_Data_Daily!$A:$A, $A31, Raw_Data_Daily!$C:$C, $C$3),""))</f>
        <v/>
      </c>
      <c r="AQ31" s="127" t="str">
        <f t="shared" si="14"/>
        <v/>
      </c>
      <c r="AR31" s="132" t="str">
        <f>IF($A31="","",IFERROR(SUMPRODUCT((Raw_Data_Daily!$B$2:$B$9999="Control")*(Raw_Data_Daily!$A$2:$A$9999=$A31)*(Raw_Data_Daily!$C$2:$C$9999=$C$3)*Raw_Data_Daily!$D$2:$D$9999*Raw_Data_Daily!$R$2:$R$9999)/SUMIFS(Raw_Data_Daily!$D:$D, Raw_Data_Daily!$B:$B, "Control", Raw_Data_Daily!$A:$A, $A31, Raw_Data_Daily!$C:$C, $C$3),""))</f>
        <v/>
      </c>
      <c r="AS31" s="132" t="str">
        <f>IF($A31="","",IFERROR(SUMPRODUCT((Raw_Data_Daily!$B$2:$B$9999="Variant")*(Raw_Data_Daily!$A$2:$A$9999=$A31)*(Raw_Data_Daily!$C$2:$C$9999=$C$3)*Raw_Data_Daily!$D$2:$D$9999*Raw_Data_Daily!$R$2:$R$9999)/SUMIFS(Raw_Data_Daily!$D:$D, Raw_Data_Daily!$B:$B, "Variant", Raw_Data_Daily!$A:$A, $A31, Raw_Data_Daily!$C:$C, $C$3),""))</f>
        <v/>
      </c>
      <c r="AT31" s="127" t="str">
        <f t="shared" si="15"/>
        <v/>
      </c>
      <c r="AU31" s="132" t="str">
        <f>IF($A31="","",IFERROR(SUMPRODUCT((Raw_Data_Daily!$B$2:$B$9999="Control")*(Raw_Data_Daily!$A$2:$A$9999=$A31)*(Raw_Data_Daily!$C$2:$C$9999=$C$3)*Raw_Data_Daily!$D$2:$D$9999*Raw_Data_Daily!$S$2:$S$9999)/SUMIFS(Raw_Data_Daily!$D:$D, Raw_Data_Daily!$B:$B, "Control", Raw_Data_Daily!$A:$A, $A31, Raw_Data_Daily!$C:$C, $C$3),""))</f>
        <v/>
      </c>
      <c r="AV31" s="132" t="str">
        <f>IF($A31="","",IFERROR(SUMPRODUCT((Raw_Data_Daily!$B$2:$B$9999="Variant")*(Raw_Data_Daily!$A$2:$A$9999=$A31)*(Raw_Data_Daily!$C$2:$C$9999=$C$3)*Raw_Data_Daily!$D$2:$D$9999*Raw_Data_Daily!$S$2:$S$9999)/SUMIFS(Raw_Data_Daily!$D:$D, Raw_Data_Daily!$B:$B, "Variant", Raw_Data_Daily!$A:$A, $A31, Raw_Data_Daily!$C:$C, $C$3),""))</f>
        <v/>
      </c>
      <c r="AW31" s="127" t="str">
        <f t="shared" si="16"/>
        <v/>
      </c>
      <c r="AX31" s="132" t="str">
        <f>IF($A31="","",IFERROR(SUMPRODUCT((Raw_Data_Daily!$B$2:$B$9999="Control")*(Raw_Data_Daily!$A$2:$A$9999=$A31)*(Raw_Data_Daily!$C$2:$C$9999=$C$3)*Raw_Data_Daily!$D$2:$D$9999*Raw_Data_Daily!$T$2:$T$9999)/SUMIFS(Raw_Data_Daily!$D:$D, Raw_Data_Daily!$B:$B, "Control", Raw_Data_Daily!$A:$A, $A31, Raw_Data_Daily!$C:$C, $C$3),""))</f>
        <v/>
      </c>
      <c r="AY31" s="132" t="str">
        <f>IF($A31="","",IFERROR(SUMPRODUCT((Raw_Data_Daily!$B$2:$B$9999="Variant")*(Raw_Data_Daily!$A$2:$A$9999=$A31)*(Raw_Data_Daily!$C$2:$C$9999=$C$3)*Raw_Data_Daily!$D$2:$D$9999*Raw_Data_Daily!$T$2:$T$9999)/SUMIFS(Raw_Data_Daily!$D:$D, Raw_Data_Daily!$B:$B, "Variant", Raw_Data_Daily!$A:$A, $A31, Raw_Data_Daily!$C:$C, $C$3),""))</f>
        <v/>
      </c>
      <c r="AZ31" s="130" t="str">
        <f t="shared" si="17"/>
        <v/>
      </c>
      <c r="BA31" s="132" t="str">
        <f>IF($A31="","",IFERROR(SUMPRODUCT((Raw_Data_Daily!$B$2:$B$9999="Control")*(Raw_Data_Daily!$A$2:$A$9999=$A31)*(Raw_Data_Daily!$C$2:$C$9999=$C$3)*Raw_Data_Daily!$D$2:$D$9999*Raw_Data_Daily!$U$2:$U$9999)/SUMIFS(Raw_Data_Daily!$D:$D, Raw_Data_Daily!$B:$B, "Control", Raw_Data_Daily!$A:$A, $A31, Raw_Data_Daily!$C:$C, $C$3),""))</f>
        <v/>
      </c>
      <c r="BB31" s="132" t="str">
        <f>IF($A31="","",IFERROR(SUMPRODUCT((Raw_Data_Daily!$B$2:$B$9999="Variant")*(Raw_Data_Daily!$A$2:$A$9999=$A31)*(Raw_Data_Daily!$C$2:$C$9999=$C$3)*Raw_Data_Daily!$D$2:$D$9999*Raw_Data_Daily!$U$2:$U$9999)/SUMIFS(Raw_Data_Daily!$D:$D, Raw_Data_Daily!$B:$B, "Variant", Raw_Data_Daily!$A:$A, $A31, Raw_Data_Daily!$C:$C, $C$3),""))</f>
        <v/>
      </c>
      <c r="BC31" s="127" t="str">
        <f t="shared" si="18"/>
        <v/>
      </c>
      <c r="BD31" s="132" t="str">
        <f>IF($A31="","",IFERROR(SUMPRODUCT((Raw_Data_Daily!$B$2:$B$9999="Control")*(Raw_Data_Daily!$A$2:$A$9999=$A31)*(Raw_Data_Daily!$C$2:$C$9999=$C$3)*Raw_Data_Daily!$D$2:$D$9999*Raw_Data_Daily!$V$2:$V$9999)/SUMIFS(Raw_Data_Daily!$D:$D, Raw_Data_Daily!$B:$B, "Control", Raw_Data_Daily!$A:$A, $A31, Raw_Data_Daily!$C:$C, $C$3),""))</f>
        <v/>
      </c>
      <c r="BE31" s="132" t="str">
        <f>IF($A31="","",IFERROR(SUMPRODUCT((Raw_Data_Daily!$B$2:$B$9999="Variant")*(Raw_Data_Daily!$A$2:$A$9999=$A31)*(Raw_Data_Daily!$C$2:$C$9999=$C$3)*Raw_Data_Daily!$D$2:$D$9999*Raw_Data_Daily!$V$2:$V$9999)/SUMIFS(Raw_Data_Daily!$D:$D, Raw_Data_Daily!$B:$B, "Variant", Raw_Data_Daily!$A:$A, $A31, Raw_Data_Daily!$C:$C, $C$3),""))</f>
        <v/>
      </c>
      <c r="BF31" s="127" t="str">
        <f t="shared" si="19"/>
        <v/>
      </c>
      <c r="BG31" s="132" t="str">
        <f>IF($A31="","",IFERROR(SUMPRODUCT((Raw_Data_Daily!$B$2:$B$9999="Control")*(Raw_Data_Daily!$A$2:$A$9999=$A31)*(Raw_Data_Daily!$C$2:$C$9999=$C$3)*Raw_Data_Daily!$D$2:$D$9999*(Raw_Data_Daily!$Q$2:$Q$9999-Raw_Data_Daily!$V$2:$V$9999))/SUMIFS(Raw_Data_Daily!$D:$D, Raw_Data_Daily!$B:$B, "Control", Raw_Data_Daily!$A:$A, $A31, Raw_Data_Daily!$C:$C, $C$3),""))</f>
        <v/>
      </c>
      <c r="BH31" s="132" t="str">
        <f>IF($A31="","",IFERROR(SUMPRODUCT((Raw_Data_Daily!$B$2:$B$9999="Variant")*(Raw_Data_Daily!$A$2:$A$9999=$A31)*(Raw_Data_Daily!$C$2:$C$9999=$C$3)*Raw_Data_Daily!$D$2:$D$9999*(Raw_Data_Daily!$Q$2:$Q$9999-Raw_Data_Daily!$V$2:$V$9999))/SUMIFS(Raw_Data_Daily!$D:$D, Raw_Data_Daily!$B:$B, "Variant", Raw_Data_Daily!$A:$A, $A31, Raw_Data_Daily!$C:$C, $C$3),""))</f>
        <v/>
      </c>
      <c r="BI31" s="127" t="str">
        <f t="shared" si="20"/>
        <v/>
      </c>
      <c r="BJ31" s="132" t="str">
        <f>IF($A31="","",IFERROR(SUMPRODUCT((Raw_Data_Daily!$B$2:$B$9999="Control")*(Raw_Data_Daily!$A$2:$A$9999=$A31)*(Raw_Data_Daily!$C$2:$C$9999=$C$3)*Raw_Data_Daily!$D$2:$D$9999*Raw_Data_Daily!$W$2:$W$9999)/SUMIFS(Raw_Data_Daily!$D:$D, Raw_Data_Daily!$B:$B, "Control", Raw_Data_Daily!$A:$A, $A31, Raw_Data_Daily!$C:$C, $C$3),""))</f>
        <v/>
      </c>
      <c r="BK31" s="132" t="str">
        <f>IF($A31="","",IFERROR(SUMPRODUCT((Raw_Data_Daily!$B$2:$B$9999="Variant")*(Raw_Data_Daily!$A$2:$A$9999=$A31)*(Raw_Data_Daily!$C$2:$C$9999=$C$3)*Raw_Data_Daily!$D$2:$D$9999*Raw_Data_Daily!$W$2:$W$9999)/SUMIFS(Raw_Data_Daily!$D:$D, Raw_Data_Daily!$B:$B, "Variant", Raw_Data_Daily!$A:$A, $A31, Raw_Data_Daily!$C:$C, $C$3),""))</f>
        <v/>
      </c>
      <c r="BL31" s="127" t="str">
        <f t="shared" si="21"/>
        <v/>
      </c>
      <c r="BM31" s="137" t="str">
        <f>IF($A31="","",IFERROR(SUMPRODUCT((Raw_Data_Daily!$B$2:$B$9999="Control")*(Raw_Data_Daily!$A$2:$A$9999=$A31)*(Raw_Data_Daily!$C$2:$C$9999=$C$3)*Raw_Data_Daily!$D$2:$D$9999*Raw_Data_Daily!$X$2:$X$9999)/SUMIFS(Raw_Data_Daily!$D:$D, Raw_Data_Daily!$B:$B, "Control", Raw_Data_Daily!$A:$A, $A31, Raw_Data_Daily!$C:$C, $C$3),""))</f>
        <v/>
      </c>
      <c r="BN31" s="137" t="str">
        <f>IF($A31="","",IFERROR(SUMPRODUCT((Raw_Data_Daily!$B$2:$B$9999="Variant")*(Raw_Data_Daily!$A$2:$A$9999=$A31)*(Raw_Data_Daily!$C$2:$C$9999=$C$3)*Raw_Data_Daily!$D$2:$D$9999*Raw_Data_Daily!$X$2:$X$9999)/SUMIFS(Raw_Data_Daily!$D:$D, Raw_Data_Daily!$B:$B, "Variant", Raw_Data_Daily!$A:$A, $A31, Raw_Data_Daily!$C:$C, $C$3),""))</f>
        <v/>
      </c>
      <c r="BO31" s="130" t="str">
        <f t="shared" si="22"/>
        <v/>
      </c>
      <c r="BP31" s="126" t="str">
        <f>IF($A31="","",IFERROR(SUMPRODUCT((Raw_Data_Daily!$B$2:$B$9999="Control")*(Raw_Data_Daily!$A$2:$A$9999=$A31)*(Raw_Data_Daily!$C$2:$C$9999=$C$3)*Raw_Data_Daily!$D$2:$D$9999*Raw_Data_Daily!$Y$2:$Y$9999)/SUMIFS(Raw_Data_Daily!$D:$D, Raw_Data_Daily!$B:$B, "Control", Raw_Data_Daily!$A:$A, $A31, Raw_Data_Daily!$C:$C, $C$3),""))</f>
        <v/>
      </c>
      <c r="BQ31" s="126" t="str">
        <f>IF($A31="","",IFERROR(SUMPRODUCT((Raw_Data_Daily!$B$2:$B$9999="Variant")*(Raw_Data_Daily!$A$2:$A$9999=$A31)*(Raw_Data_Daily!$C$2:$C$9999=$C$3)*Raw_Data_Daily!$D$2:$D$9999*Raw_Data_Daily!$Y$2:$Y$9999)/SUMIFS(Raw_Data_Daily!$D:$D, Raw_Data_Daily!$B:$B, "Variant", Raw_Data_Daily!$A:$A, $A31, Raw_Data_Daily!$C:$C, $C$3),""))</f>
        <v/>
      </c>
      <c r="BR31" s="127" t="str">
        <f t="shared" si="23"/>
        <v/>
      </c>
      <c r="BS31" s="126" t="str">
        <f>IF($A31="","",IFERROR(SUMPRODUCT((Raw_Data_Daily!$B$2:$B$9999="Control")*(Raw_Data_Daily!$A$2:$A$9999=$A31)*(Raw_Data_Daily!$C$2:$C$9999=$C$3)*Raw_Data_Daily!$D$2:$D$9999*Raw_Data_Daily!$Z$2:$Z$9999)/SUMIFS(Raw_Data_Daily!$D:$D, Raw_Data_Daily!$B:$B, "Control", Raw_Data_Daily!$A:$A, $A31, Raw_Data_Daily!$C:$C, $C$3),""))</f>
        <v/>
      </c>
      <c r="BT31" s="126" t="str">
        <f>IF($A31="","",IFERROR(SUMPRODUCT((Raw_Data_Daily!$B$2:$B$9999="Variant")*(Raw_Data_Daily!$A$2:$A$9999=$A31)*(Raw_Data_Daily!$C$2:$C$9999=$C$3)*Raw_Data_Daily!$D$2:$D$9999*Raw_Data_Daily!$Z$2:$Z$9999)/SUMIFS(Raw_Data_Daily!$D:$D, Raw_Data_Daily!$B:$B, "Variant", Raw_Data_Daily!$A:$A, $A31, Raw_Data_Daily!$C:$C, $C$3),""))</f>
        <v/>
      </c>
      <c r="BU31" s="127" t="str">
        <f t="shared" si="24"/>
        <v/>
      </c>
      <c r="BV31" s="126" t="str">
        <f>IF($A31="","",IFERROR(SUMPRODUCT((Raw_Data_Daily!$B$2:$B$9999="Control")*(Raw_Data_Daily!$A$2:$A$9999=$A31)*(Raw_Data_Daily!$C$2:$C$9999=$C$3)*Raw_Data_Daily!$D$2:$D$9999*Raw_Data_Daily!$AA$2:$AA$9999)/SUMIFS(Raw_Data_Daily!$D:$D, Raw_Data_Daily!$B:$B, "Control", Raw_Data_Daily!$A:$A, $A31, Raw_Data_Daily!$C:$C, $C$3),""))</f>
        <v/>
      </c>
      <c r="BW31" s="126" t="str">
        <f>IF($A31="","",IFERROR(SUMPRODUCT((Raw_Data_Daily!$B$2:$B$9999="Variant")*(Raw_Data_Daily!$A$2:$A$9999=$A31)*(Raw_Data_Daily!$C$2:$C$9999=$C$3)*Raw_Data_Daily!$D$2:$D$9999*Raw_Data_Daily!$AA$2:$AA$9999)/SUMIFS(Raw_Data_Daily!$D:$D, Raw_Data_Daily!$B:$B, "Variant", Raw_Data_Daily!$A:$A, $A31, Raw_Data_Daily!$C:$C, $C$3),""))</f>
        <v/>
      </c>
      <c r="BX31" s="127" t="str">
        <f t="shared" si="25"/>
        <v/>
      </c>
      <c r="BY31" s="132" t="str">
        <f>IF($A31="","",IFERROR(SUMPRODUCT((Raw_Data_Daily!$B$2:$B$9999="Control")*(Raw_Data_Daily!$A$2:$A$9999=$A31)*(Raw_Data_Daily!$C$2:$C$9999=$C$3)*Raw_Data_Daily!$D$2:$D$9999*Raw_Data_Daily!$AB$2:$AB$9999)/SUMIFS(Raw_Data_Daily!$D:$D, Raw_Data_Daily!$B:$B, "Control", Raw_Data_Daily!$A:$A, $A31, Raw_Data_Daily!$C:$C, $C$3),""))</f>
        <v/>
      </c>
      <c r="BZ31" s="132" t="str">
        <f>IF($A31="","",IFERROR(SUMPRODUCT((Raw_Data_Daily!$B$2:$B$9999="Variant")*(Raw_Data_Daily!$A$2:$A$9999=$A31)*(Raw_Data_Daily!$C$2:$C$9999=$C$3)*Raw_Data_Daily!$D$2:$D$9999*Raw_Data_Daily!$AB$2:$AB$9999)/SUMIFS(Raw_Data_Daily!$D:$D, Raw_Data_Daily!$B:$B, "Variant", Raw_Data_Daily!$A:$A, $A31, Raw_Data_Daily!$C:$C, $C$3),""))</f>
        <v/>
      </c>
      <c r="CA31" s="130" t="str">
        <f t="shared" si="26"/>
        <v/>
      </c>
      <c r="CB31" s="132" t="str">
        <f>IF($A31="","",IFERROR(SUMPRODUCT((Raw_Data_Daily!$B$2:$B$9999="Control")*(Raw_Data_Daily!$A$2:$A$9999=$A31)*(Raw_Data_Daily!$C$2:$C$9999=$C$3)*Raw_Data_Daily!$D$2:$D$9999*Raw_Data_Daily!$AC$2:$AC$9999)/SUMIFS(Raw_Data_Daily!$D:$D, Raw_Data_Daily!$B:$B, "Control", Raw_Data_Daily!$A:$A, $A31, Raw_Data_Daily!$C:$C, $C$3),""))</f>
        <v/>
      </c>
      <c r="CC31" s="132" t="str">
        <f>IF($A31="","",IFERROR(SUMPRODUCT((Raw_Data_Daily!$B$2:$B$9999="Variant")*(Raw_Data_Daily!$A$2:$A$9999=$A31)*(Raw_Data_Daily!$C$2:$C$9999=$C$3)*Raw_Data_Daily!$D$2:$D$9999*Raw_Data_Daily!$AC$2:$AC$9999)/SUMIFS(Raw_Data_Daily!$D:$D, Raw_Data_Daily!$B:$B, "Variant", Raw_Data_Daily!$A:$A, $A31, Raw_Data_Daily!$C:$C, $C$3),""))</f>
        <v/>
      </c>
      <c r="CD31" s="130" t="str">
        <f t="shared" si="27"/>
        <v/>
      </c>
      <c r="CE31" s="132" t="str">
        <f>IF($A31="","",IFERROR(SUMPRODUCT((Raw_Data_Daily!$B$2:$B$9999="Control")*(Raw_Data_Daily!$A$2:$A$9999=$A31)*(Raw_Data_Daily!$C$2:$C$9999=$C$3)*Raw_Data_Daily!$D$2:$D$9999*Raw_Data_Daily!$AD$2:$AD$9999)/SUMIFS(Raw_Data_Daily!$D:$D, Raw_Data_Daily!$B:$B, "Control", Raw_Data_Daily!$A:$A, $A31, Raw_Data_Daily!$C:$C, $C$3),""))</f>
        <v/>
      </c>
      <c r="CF31" s="132" t="str">
        <f>IF($A31="","",IFERROR(SUMPRODUCT((Raw_Data_Daily!$B$2:$B$9999="Variant")*(Raw_Data_Daily!$A$2:$A$9999=$A31)*(Raw_Data_Daily!$C$2:$C$9999=$C$3)*Raw_Data_Daily!$D$2:$D$9999*Raw_Data_Daily!$AD$2:$AD$9999)/SUMIFS(Raw_Data_Daily!$D:$D, Raw_Data_Daily!$B:$B, "Variant", Raw_Data_Daily!$A:$A, $A31, Raw_Data_Daily!$C:$C, $C$3),""))</f>
        <v/>
      </c>
      <c r="CG31" s="130" t="str">
        <f t="shared" si="28"/>
        <v/>
      </c>
      <c r="CH31" s="132" t="str">
        <f>IF($A31="","",IFERROR(SUMPRODUCT((Raw_Data_Daily!$B$2:$B$9999="Control")*(Raw_Data_Daily!$A$2:$A$9999=$A31)*(Raw_Data_Daily!$C$2:$C$9999=$C$3)*Raw_Data_Daily!$D$2:$D$9999*Raw_Data_Daily!$AE$2:$AE$9999)/SUMIFS(Raw_Data_Daily!$D:$D, Raw_Data_Daily!$B:$B, "Control", Raw_Data_Daily!$A:$A, $A31, Raw_Data_Daily!$C:$C, $C$3),""))</f>
        <v/>
      </c>
      <c r="CI31" s="132" t="str">
        <f>IF($A31="","",IFERROR(SUMPRODUCT((Raw_Data_Daily!$B$2:$B$9999="Variant")*(Raw_Data_Daily!$A$2:$A$9999=$A31)*(Raw_Data_Daily!$C$2:$C$9999=$C$3)*Raw_Data_Daily!$D$2:$D$9999*Raw_Data_Daily!$AE$2:$AE$9999)/SUMIFS(Raw_Data_Daily!$D:$D, Raw_Data_Daily!$B:$B, "Variant", Raw_Data_Daily!$A:$A, $A31, Raw_Data_Daily!$C:$C, $C$3),""))</f>
        <v/>
      </c>
      <c r="CJ31" s="130" t="str">
        <f t="shared" si="29"/>
        <v/>
      </c>
      <c r="CK31" s="132" t="str">
        <f>IF($A31="","",IFERROR(SUMPRODUCT((Raw_Data_Daily!$B$2:$B$9999="Control")*(Raw_Data_Daily!$A$2:$A$9999=$A31)*(Raw_Data_Daily!$C$2:$C$9999=$C$3)*Raw_Data_Daily!$D$2:$D$9999*Raw_Data_Daily!$AF$2:$AF$9999)/SUMIFS(Raw_Data_Daily!$D:$D, Raw_Data_Daily!$B:$B, "Control", Raw_Data_Daily!$A:$A, $A31, Raw_Data_Daily!$C:$C, $C$3),""))</f>
        <v/>
      </c>
      <c r="CL31" s="132" t="str">
        <f>IF($A31="","",IFERROR(SUMPRODUCT((Raw_Data_Daily!$B$2:$B$9999="Variant")*(Raw_Data_Daily!$A$2:$A$9999=$A31)*(Raw_Data_Daily!$C$2:$C$9999=$C$3)*Raw_Data_Daily!$D$2:$D$9999*Raw_Data_Daily!$AF$2:$AF$9999)/SUMIFS(Raw_Data_Daily!$D:$D, Raw_Data_Daily!$B:$B, "Variant", Raw_Data_Daily!$A:$A, $A31, Raw_Data_Daily!$C:$C, $C$3),""))</f>
        <v/>
      </c>
      <c r="CM31" s="130" t="str">
        <f t="shared" si="30"/>
        <v/>
      </c>
      <c r="CN31" s="132" t="str">
        <f>IF($A31="","",IFERROR(SUMPRODUCT((Raw_Data_Daily!$B$2:$B$9999="Control")*(Raw_Data_Daily!$A$2:$A$9999=$A31)*(Raw_Data_Daily!$C$2:$C$9999=$C$3)*Raw_Data_Daily!$D$2:$D$9999*Raw_Data_Daily!$AG$2:$AG$9999)/SUMIFS(Raw_Data_Daily!$D:$D, Raw_Data_Daily!$B:$B, "Control", Raw_Data_Daily!$A:$A, $A31, Raw_Data_Daily!$C:$C, $C$3),""))</f>
        <v/>
      </c>
      <c r="CO31" s="132" t="str">
        <f>IF($A31="","",IFERROR(SUMPRODUCT((Raw_Data_Daily!$B$2:$B$9999="Variant")*(Raw_Data_Daily!$A$2:$A$9999=$A31)*(Raw_Data_Daily!$C$2:$C$9999=$C$3)*Raw_Data_Daily!$D$2:$D$9999*Raw_Data_Daily!$AG$2:$AG$9999)/SUMIFS(Raw_Data_Daily!$D:$D, Raw_Data_Daily!$B:$B, "Variant", Raw_Data_Daily!$A:$A, $A31, Raw_Data_Daily!$C:$C, $C$3),""))</f>
        <v/>
      </c>
      <c r="CP31" s="130" t="str">
        <f t="shared" si="31"/>
        <v/>
      </c>
      <c r="CQ31" s="132" t="str">
        <f>IF($A31="","",IFERROR(SUMPRODUCT((Raw_Data_Daily!$B$2:$B$9999="Control")*(Raw_Data_Daily!$A$2:$A$9999=$A31)*(Raw_Data_Daily!$C$2:$C$9999=$C$3)*Raw_Data_Daily!$D$2:$D$9999*Raw_Data_Daily!$AH$2:$AH$9999)/SUMIFS(Raw_Data_Daily!$D:$D, Raw_Data_Daily!$B:$B, "Control", Raw_Data_Daily!$A:$A, $A31, Raw_Data_Daily!$C:$C, $C$3),""))</f>
        <v/>
      </c>
      <c r="CR31" s="132" t="str">
        <f>IF($A31="","",IFERROR(SUMPRODUCT((Raw_Data_Daily!$B$2:$B$9999="Variant")*(Raw_Data_Daily!$A$2:$A$9999=$A31)*(Raw_Data_Daily!$C$2:$C$9999=$C$3)*Raw_Data_Daily!$D$2:$D$9999*Raw_Data_Daily!$AH$2:$AH$9999)/SUMIFS(Raw_Data_Daily!$D:$D, Raw_Data_Daily!$B:$B, "Variant", Raw_Data_Daily!$A:$A, $A31, Raw_Data_Daily!$C:$C, $C$3),""))</f>
        <v/>
      </c>
      <c r="CS31" s="130" t="str">
        <f t="shared" si="32"/>
        <v/>
      </c>
      <c r="CT31" s="128" t="str">
        <f>IF($A31="","",IFERROR(SUMPRODUCT((Raw_Data_Daily!$B$2:$B$9999="Control")*(Raw_Data_Daily!$A$2:$A$9999=$A31)*(Raw_Data_Daily!$C$2:$C$9999=$C$3)*Raw_Data_Daily!$D$2:$D$9999*Raw_Data_Daily!$AI$2:$AI$9999)/SUMIFS(Raw_Data_Daily!$D:$D, Raw_Data_Daily!$B:$B, "Control", Raw_Data_Daily!$A:$A, $A31, Raw_Data_Daily!$C:$C, $C$3),""))</f>
        <v/>
      </c>
      <c r="CU31" s="128" t="str">
        <f>IF($A31="","",IFERROR(SUMPRODUCT((Raw_Data_Daily!$B$2:$B$9999="Variant")*(Raw_Data_Daily!$A$2:$A$9999=$A31)*(Raw_Data_Daily!$C$2:$C$9999=$C$3)*Raw_Data_Daily!$D$2:$D$9999*Raw_Data_Daily!$AI$2:$AI$9999)/SUMIFS(Raw_Data_Daily!$D:$D, Raw_Data_Daily!$B:$B, "Variant", Raw_Data_Daily!$A:$A, $A31, Raw_Data_Daily!$C:$C, $C$3),""))</f>
        <v/>
      </c>
      <c r="CV31" s="139" t="str">
        <f t="shared" si="33"/>
        <v/>
      </c>
      <c r="CW31" s="128" t="str">
        <f>IF($A31="","",IFERROR(SUMPRODUCT((Raw_Data_Daily!$B$2:$B$9999="Control")*(Raw_Data_Daily!$A$2:$A$9999=$A31)*(Raw_Data_Daily!$C$2:$C$9999=$C$3)*Raw_Data_Daily!$D$2:$D$9999*Raw_Data_Daily!$AJ$2:$AJ$9999)/SUMIFS(Raw_Data_Daily!$D:$D, Raw_Data_Daily!$B:$B, "Control", Raw_Data_Daily!$A:$A, $A31, Raw_Data_Daily!$C:$C, $C$3),""))</f>
        <v/>
      </c>
      <c r="CX31" s="128" t="str">
        <f>IF($A31="","",IFERROR(SUMPRODUCT((Raw_Data_Daily!$B$2:$B$9999="Variant")*(Raw_Data_Daily!$A$2:$A$9999=$A31)*(Raw_Data_Daily!$C$2:$C$9999=$C$3)*Raw_Data_Daily!$D$2:$D$9999*Raw_Data_Daily!$AJ$2:$AJ$9999)/SUMIFS(Raw_Data_Daily!$D:$D, Raw_Data_Daily!$B:$B, "Variant", Raw_Data_Daily!$A:$A, $A31, Raw_Data_Daily!$C:$C, $C$3),""))</f>
        <v/>
      </c>
      <c r="CY31" s="139" t="str">
        <f t="shared" si="34"/>
        <v/>
      </c>
      <c r="CZ31" s="128" t="str">
        <f>IF($A31="","",IFERROR(SUMPRODUCT((Raw_Data_Daily!$B$2:$B$9999="Control")*(Raw_Data_Daily!$A$2:$A$9999=$A31)*(Raw_Data_Daily!$C$2:$C$9999=$C$3)*Raw_Data_Daily!$D$2:$D$9999*Raw_Data_Daily!$AK$2:$AK$9999)/SUMIFS(Raw_Data_Daily!$D:$D, Raw_Data_Daily!$B:$B, "Control", Raw_Data_Daily!$A:$A, $A31, Raw_Data_Daily!$C:$C, $C$3),""))</f>
        <v/>
      </c>
      <c r="DA31" s="128" t="str">
        <f>IF($A31="","",IFERROR(SUMPRODUCT((Raw_Data_Daily!$B$2:$B$9999="Variant")*(Raw_Data_Daily!$A$2:$A$9999=$A31)*(Raw_Data_Daily!$C$2:$C$9999=$C$3)*Raw_Data_Daily!$D$2:$D$9999*Raw_Data_Daily!$AK$2:$AK$9999)/SUMIFS(Raw_Data_Daily!$D:$D, Raw_Data_Daily!$B:$B, "Variant", Raw_Data_Daily!$A:$A, $A31, Raw_Data_Daily!$C:$C, $C$3),""))</f>
        <v/>
      </c>
      <c r="DB31" s="130" t="str">
        <f t="shared" si="35"/>
        <v/>
      </c>
      <c r="DC31" s="137" t="str">
        <f>IF($A31="","",IFERROR(SUMPRODUCT((Raw_Data_Daily!$B$2:$B$9999="Control")*(Raw_Data_Daily!$A$2:$A$9999=$A31)*(Raw_Data_Daily!$C$2:$C$9999=$C$3)*Raw_Data_Daily!$D$2:$D$9999*Raw_Data_Daily!$AL$2:$AL$9999)/SUMIFS(Raw_Data_Daily!$D:$D, Raw_Data_Daily!$B:$B, "Control", Raw_Data_Daily!$A:$A, $A31, Raw_Data_Daily!$C:$C, $C$3),""))</f>
        <v/>
      </c>
      <c r="DD31" s="137" t="str">
        <f>IF($A31="","",IFERROR(SUMPRODUCT((Raw_Data_Daily!$B$2:$B$9999="Variant")*(Raw_Data_Daily!$A$2:$A$9999=$A31)*(Raw_Data_Daily!$C$2:$C$9999=$C$3)*Raw_Data_Daily!$D$2:$D$9999*Raw_Data_Daily!$AL$2:$AL$9999)/SUMIFS(Raw_Data_Daily!$D:$D, Raw_Data_Daily!$B:$B, "Variant", Raw_Data_Daily!$A:$A, $A31, Raw_Data_Daily!$C:$C, $C$3),""))</f>
        <v/>
      </c>
      <c r="DE31" s="139" t="str">
        <f t="shared" si="36"/>
        <v/>
      </c>
      <c r="DF31" s="159"/>
      <c r="DG31" s="128" t="str">
        <f>IF($A31="","",IFERROR(SUMPRODUCT((Raw_Data_Daily!$B$2:$B$9999="Variant")*(Raw_Data_Daily!$A$2:$A$9999=$A31)*(Raw_Data_Daily!$C$2:$C$9999=$C$3)*Raw_Data_Daily!$D$2:$D$9999*Raw_Data_Daily!$AM$2:$AM$9999)/SUMIFS(Raw_Data_Daily!$D:$D, Raw_Data_Daily!$B:$B, "Variant", Raw_Data_Daily!$A:$A, $A31, Raw_Data_Daily!$C:$C, $C$3),""))</f>
        <v/>
      </c>
      <c r="DH31" s="160"/>
      <c r="DI31" s="159"/>
      <c r="DJ31" s="128" t="str">
        <f>IF($A31="","",IFERROR(SUMPRODUCT((Raw_Data_Daily!$B$2:$B$9999="Variant")*(Raw_Data_Daily!$A$2:$A$9999=$A31)*(Raw_Data_Daily!$C$2:$C$9999=$C$3)*Raw_Data_Daily!$D$2:$D$9999*Raw_Data_Daily!$AN$2:$AN$9999)/SUMIFS(Raw_Data_Daily!$D:$D, Raw_Data_Daily!$B:$B, "Variant", Raw_Data_Daily!$A:$A, $A31, Raw_Data_Daily!$C:$C, $C$3),""))</f>
        <v/>
      </c>
      <c r="DK31" s="160"/>
      <c r="DL31" s="159"/>
      <c r="DM31" s="128" t="str">
        <f>IF($A31="","",IFERROR(SUMPRODUCT((Raw_Data_Daily!$B$2:$B$9999="Variant")*(Raw_Data_Daily!$A$2:$A$9999=$A31)*(Raw_Data_Daily!$C$2:$C$9999=$C$3)*Raw_Data_Daily!$D$2:$D$9999*Raw_Data_Daily!$AO$2:$AO$9999)/SUMIFS(Raw_Data_Daily!$D:$D, Raw_Data_Daily!$B:$B, "Variant", Raw_Data_Daily!$A:$A, $A31, Raw_Data_Daily!$C:$C, $C$3),""))</f>
        <v/>
      </c>
      <c r="DN31" s="160"/>
      <c r="DO31" s="159"/>
      <c r="DP31" s="128" t="str">
        <f>IF($A31="","",IFERROR(SUMPRODUCT((Raw_Data_Daily!$B$2:$B$9999="Variant")*(Raw_Data_Daily!$A$2:$A$9999=$A31)*(Raw_Data_Daily!$C$2:$C$9999=$C$3)*Raw_Data_Daily!$D$2:$D$9999*Raw_Data_Daily!$AP$2:$AP$9999)/SUMIFS(Raw_Data_Daily!$D:$D, Raw_Data_Daily!$B:$B, "Variant", Raw_Data_Daily!$A:$A, $A31, Raw_Data_Daily!$C:$C, $C$3),""))</f>
        <v/>
      </c>
      <c r="DQ31" s="160"/>
      <c r="DR31" s="137" t="str">
        <f>IF($A31="","",IFERROR(SUMPRODUCT((Raw_Data_Daily!$B$2:$B$9999="Control")*(Raw_Data_Daily!$A$2:$A$9999=$A31)*(Raw_Data_Daily!$C$2:$C$9999=$C$3)*Raw_Data_Daily!$D$2:$D$9999*Raw_Data_Daily!$AQ$2:$AQ$9999)/SUMIFS(Raw_Data_Daily!$D:$D, Raw_Data_Daily!$B:$B, "Control", Raw_Data_Daily!$A:$A, $A31, Raw_Data_Daily!$C:$C, $C$3),""))</f>
        <v/>
      </c>
      <c r="DS31" s="137" t="str">
        <f>IF($A31="","",IFERROR(SUMPRODUCT((Raw_Data_Daily!$B$2:$B$9999="Variant")*(Raw_Data_Daily!$A$2:$A$9999=$A31)*(Raw_Data_Daily!$C$2:$C$9999=$C$3)*Raw_Data_Daily!$D$2:$D$9999*Raw_Data_Daily!$AQ$2:$AQ$9999)/SUMIFS(Raw_Data_Daily!$D:$D, Raw_Data_Daily!$B:$B, "Variant", Raw_Data_Daily!$A:$A, $A31, Raw_Data_Daily!$C:$C, $C$3),""))</f>
        <v/>
      </c>
      <c r="DT31" s="161" t="str">
        <f t="shared" si="37"/>
        <v/>
      </c>
      <c r="DU31" s="137" t="str">
        <f>IF($A31="","",IFERROR(SUMPRODUCT((Raw_Data_Daily!$B$2:$B$9999="Control")*(Raw_Data_Daily!$A$2:$A$9999=$A31)*(Raw_Data_Daily!$C$2:$C$9999=$C$3)*Raw_Data_Daily!$D$2:$D$9999*Raw_Data_Daily!$AR$2:$AR$9999)/SUMIFS(Raw_Data_Daily!$D:$D, Raw_Data_Daily!$B:$B, "Control", Raw_Data_Daily!$A:$A, $A31, Raw_Data_Daily!$C:$C, $C$3),""))</f>
        <v/>
      </c>
      <c r="DV31" s="137" t="str">
        <f>IF($A31="","",IFERROR(SUMPRODUCT((Raw_Data_Daily!$B$2:$B$9999="Variant")*(Raw_Data_Daily!$A$2:$A$9999=$A31)*(Raw_Data_Daily!$C$2:$C$9999=$C$3)*Raw_Data_Daily!$D$2:$D$9999*Raw_Data_Daily!$AR$2:$AR$9999)/SUMIFS(Raw_Data_Daily!$D:$D, Raw_Data_Daily!$B:$B, "Variant", Raw_Data_Daily!$A:$A, $A31, Raw_Data_Daily!$C:$C, $C$3),""))</f>
        <v/>
      </c>
      <c r="DW31" s="161" t="str">
        <f t="shared" si="38"/>
        <v/>
      </c>
      <c r="DX31" s="137" t="str">
        <f>IF($A31="","",IFERROR(SUMPRODUCT((Raw_Data_Daily!$B$2:$B$9999="Control")*(Raw_Data_Daily!$A$2:$A$9999=$A31)*(Raw_Data_Daily!$C$2:$C$9999=$C$3)*Raw_Data_Daily!$D$2:$D$9999*Raw_Data_Daily!$AS$2:$AS$9999)/SUMIFS(Raw_Data_Daily!$D:$D, Raw_Data_Daily!$B:$B, "Control", Raw_Data_Daily!$A:$A, $A31, Raw_Data_Daily!$C:$C, $C$3),""))</f>
        <v/>
      </c>
      <c r="DY31" s="137" t="str">
        <f>IF($A31="","",IFERROR(SUMPRODUCT((Raw_Data_Daily!$B$2:$B$9999="Variant")*(Raw_Data_Daily!$A$2:$A$9999=$A31)*(Raw_Data_Daily!$C$2:$C$9999=$C$3)*Raw_Data_Daily!$D$2:$D$9999*Raw_Data_Daily!$AS$2:$AS$9999)/SUMIFS(Raw_Data_Daily!$D:$D, Raw_Data_Daily!$B:$B, "Variant", Raw_Data_Daily!$A:$A, $A31, Raw_Data_Daily!$C:$C, $C$3),""))</f>
        <v/>
      </c>
      <c r="DZ31" s="162" t="str">
        <f t="shared" si="39"/>
        <v/>
      </c>
      <c r="EA31" s="137" t="str">
        <f>IF($A31="","",IFERROR(SUMPRODUCT((Raw_Data_Daily!$B$2:$B$9999="Control")*(Raw_Data_Daily!$A$2:$A$9999=$A31)*(Raw_Data_Daily!$C$2:$C$9999=$C$3)*Raw_Data_Daily!$D$2:$D$9999*Raw_Data_Daily!$AT$2:$AT$9999)/SUMIFS(Raw_Data_Daily!$D:$D, Raw_Data_Daily!$B:$B, "Control", Raw_Data_Daily!$A:$A, $A31, Raw_Data_Daily!$C:$C, $C$3),""))</f>
        <v/>
      </c>
      <c r="EB31" s="137" t="str">
        <f>IF($A31="","",IFERROR(SUMPRODUCT((Raw_Data_Daily!$B$2:$B$9999="Variant")*(Raw_Data_Daily!$A$2:$A$9999=$A31)*(Raw_Data_Daily!$C$2:$C$9999=$C$3)*Raw_Data_Daily!$D$2:$D$9999*Raw_Data_Daily!$AT$2:$AT$9999)/SUMIFS(Raw_Data_Daily!$D:$D, Raw_Data_Daily!$B:$B, "Variant", Raw_Data_Daily!$A:$A, $A31, Raw_Data_Daily!$C:$C, $C$3),""))</f>
        <v/>
      </c>
      <c r="EC31" s="161" t="str">
        <f t="shared" si="40"/>
        <v/>
      </c>
      <c r="ED31" s="137" t="str">
        <f>IF($A31="","",IFERROR(SUMPRODUCT((Raw_Data_Daily!$B$2:$B$9999="Control")*(Raw_Data_Daily!$A$2:$A$9999=$A31)*(Raw_Data_Daily!$C$2:$C$9999=$C$3)*Raw_Data_Daily!$D$2:$D$9999*(Raw_Data_Daily!$AQ$2:$AQ$9999-Raw_Data_Daily!$AT$2:$AT$9999))/SUMIFS(Raw_Data_Daily!$D:$D, Raw_Data_Daily!$B:$B, "Control", Raw_Data_Daily!$A:$A, $A31, Raw_Data_Daily!$C:$C, $C$3),""))</f>
        <v/>
      </c>
      <c r="EE31" s="137" t="str">
        <f>IF($A31="","",IFERROR(SUMPRODUCT((Raw_Data_Daily!$B$2:$B$9999="Variant")*(Raw_Data_Daily!$A$2:$A$9999=$A31)*(Raw_Data_Daily!$C$2:$C$9999=$C$3)*Raw_Data_Daily!$D$2:$D$9999*(Raw_Data_Daily!$AQ$2:$AQ$9999-Raw_Data_Daily!$AT$2:$AT$9999))/SUMIFS(Raw_Data_Daily!$D:$D, Raw_Data_Daily!$B:$B, "Variant", Raw_Data_Daily!$A:$A, $A31, Raw_Data_Daily!$C:$C, $C$3),""))</f>
        <v/>
      </c>
      <c r="EF31" s="162" t="str">
        <f t="shared" si="41"/>
        <v/>
      </c>
      <c r="EG31" s="137" t="str">
        <f>IF($A31="","",IFERROR(SUMPRODUCT((Raw_Data_Daily!$B$2:$B$9999="Control")*(Raw_Data_Daily!$A$2:$A$9999=$A31)*(Raw_Data_Daily!$C$2:$C$9999=$C$3)*Raw_Data_Daily!$D$2:$D$9999*Raw_Data_Daily!$AU$2:$AU$9999)/SUMIFS(Raw_Data_Daily!$D:$D, Raw_Data_Daily!$B:$B, "Control", Raw_Data_Daily!$A:$A, $A31, Raw_Data_Daily!$C:$C, $C$3),""))</f>
        <v/>
      </c>
      <c r="EH31" s="137" t="str">
        <f>IF($A31="","",IFERROR(SUMPRODUCT((Raw_Data_Daily!$B$2:$B$9999="Variant")*(Raw_Data_Daily!$A$2:$A$9999=$A31)*(Raw_Data_Daily!$C$2:$C$9999=$C$3)*Raw_Data_Daily!$D$2:$D$9999*Raw_Data_Daily!$AU$2:$AU$9999)/SUMIFS(Raw_Data_Daily!$D:$D, Raw_Data_Daily!$B:$B, "Variant", Raw_Data_Daily!$A:$A, $A31, Raw_Data_Daily!$C:$C, $C$3),""))</f>
        <v/>
      </c>
      <c r="EI31" s="161" t="str">
        <f t="shared" si="42"/>
        <v/>
      </c>
    </row>
    <row r="32" ht="15.75" customHeight="1">
      <c r="A32" s="125">
        <v>46255.0</v>
      </c>
      <c r="B32" s="126">
        <f>IF($A32="","",SUMIFS(Raw_Data_Daily!$D:$D, Raw_Data_Daily!$B:$B, "Control", Raw_Data_Daily!$A:$A, $A32, Raw_Data_Daily!$C:$C, $C$3))</f>
        <v>0</v>
      </c>
      <c r="C32" s="126">
        <f>IF($A32="","",SUMIFS(Raw_Data_Daily!$D:$D, Raw_Data_Daily!$B:$B, "Variant", Raw_Data_Daily!$A:$A, $A32, Raw_Data_Daily!$C:$C, $C$3))</f>
        <v>0</v>
      </c>
      <c r="D32" s="127" t="str">
        <f t="shared" si="1"/>
        <v/>
      </c>
      <c r="E32" s="128" t="str">
        <f>IF($A32="","",IFERROR(SUMPRODUCT((Raw_Data_Daily!$B$2:$B$9999="Control")*(Raw_Data_Daily!$A$2:$A$9999=$A32)*(Raw_Data_Daily!$C$2:$C$9999=$C$3)*Raw_Data_Daily!$D$2:$D$9999*Raw_Data_Daily!$E$2:$E$9999)/SUMIFS(Raw_Data_Daily!$D:$D, Raw_Data_Daily!$B:$B, "Control", Raw_Data_Daily!$A:$A, $A32, Raw_Data_Daily!$C:$C, $C$3),""))</f>
        <v/>
      </c>
      <c r="F32" s="128" t="str">
        <f>IF($A32="","",IFERROR(SUMPRODUCT((Raw_Data_Daily!$B$2:$B$9999="Variant")*(Raw_Data_Daily!$A$2:$A$9999=$A32)*(Raw_Data_Daily!$C$2:$C$9999=$C$3)*Raw_Data_Daily!$D$2:$D$9999*Raw_Data_Daily!$E$2:$E$9999)/SUMIFS(Raw_Data_Daily!$D:$D, Raw_Data_Daily!$B:$B, "Variant", Raw_Data_Daily!$A:$A, $A32, Raw_Data_Daily!$C:$C, $C$3),""))</f>
        <v/>
      </c>
      <c r="G32" s="127" t="str">
        <f t="shared" si="2"/>
        <v/>
      </c>
      <c r="H32" s="129">
        <f>IF($A32="","",SUMIFS(Raw_Data_Daily!$F:$F, Raw_Data_Daily!$B:$B, "Control", Raw_Data_Daily!$A:$A, $A32, Raw_Data_Daily!$C:$C, $C$3))</f>
        <v>0</v>
      </c>
      <c r="I32" s="129">
        <f>IF($A32="","",SUMIFS(Raw_Data_Daily!$F:$F, Raw_Data_Daily!$B:$B, "Variant", Raw_Data_Daily!$A:$A, $A32, Raw_Data_Daily!$C:$C, $C$3))</f>
        <v>0</v>
      </c>
      <c r="J32" s="130" t="str">
        <f t="shared" si="3"/>
        <v/>
      </c>
      <c r="K32" s="131" t="str">
        <f>IF($A32="","",IFERROR(SUMIFS(Raw_Data_Daily!$F:$F, Raw_Data_Daily!$B:$B, "Control", Raw_Data_Daily!$A:$A, $A32, Raw_Data_Daily!$C:$C, $C$3)/SUMIFS(Raw_Data_Daily!$D:$D, Raw_Data_Daily!$B:$B, "Control", Raw_Data_Daily!$A:$A, $A32, Raw_Data_Daily!$C:$C, $C$3),""))</f>
        <v/>
      </c>
      <c r="L32" s="131" t="str">
        <f>IF($A32="","",IFERROR(SUMIFS(Raw_Data_Daily!$F:$F, Raw_Data_Daily!$B:$B, "Variant", Raw_Data_Daily!$A:$A, $A32, Raw_Data_Daily!$C:$C, $C$3)/SUMIFS(Raw_Data_Daily!$D:$D, Raw_Data_Daily!$B:$B, "Variant", Raw_Data_Daily!$A:$A, $A32, Raw_Data_Daily!$C:$C, $C$3),""))</f>
        <v/>
      </c>
      <c r="M32" s="130" t="str">
        <f t="shared" si="4"/>
        <v/>
      </c>
      <c r="N32" s="128" t="str">
        <f>IF($A32="","",IFERROR(SUMPRODUCT((Raw_Data_Daily!$B$2:$B$9999="Control")*(Raw_Data_Daily!$A$2:$A$9999=$A32)*(Raw_Data_Daily!$C$2:$C$9999=$C$3)*Raw_Data_Daily!$D$2:$D$9999*Raw_Data_Daily!$H$2:$H$9999/100)/SUMIFS(Raw_Data_Daily!$D:$D, Raw_Data_Daily!$B:$B, "Control", Raw_Data_Daily!$A:$A, $A32, Raw_Data_Daily!$C:$C, $C$3)*100,""))</f>
        <v/>
      </c>
      <c r="O32" s="128" t="str">
        <f>IF($A32="","",IFERROR(SUMPRODUCT((Raw_Data_Daily!$B$2:$B$9999="Variant")*(Raw_Data_Daily!$A$2:$A$9999=$A32)*(Raw_Data_Daily!$C$2:$C$9999=$C$3)*Raw_Data_Daily!$D$2:$D$9999*Raw_Data_Daily!$H$2:$H$9999/100)/SUMIFS(Raw_Data_Daily!$D:$D, Raw_Data_Daily!$B:$B, "Variant", Raw_Data_Daily!$A:$A, $A32, Raw_Data_Daily!$C:$C, $C$3)*100,""))</f>
        <v/>
      </c>
      <c r="P32" s="130" t="str">
        <f t="shared" si="5"/>
        <v/>
      </c>
      <c r="Q32" s="131" t="str">
        <f>IF($A32="","",IFERROR(SUMIFS(Raw_Data_Daily!$F:$F, Raw_Data_Daily!$B:$B, "Control", Raw_Data_Daily!$A:$A, $A32, Raw_Data_Daily!$C:$C, $C$3)/SUMPRODUCT((Raw_Data_Daily!$B$2:$B$9999="Control")*(Raw_Data_Daily!$A$2:$A$9999=$A32)*(Raw_Data_Daily!$C$2:$C$9999=$C$3)*Raw_Data_Daily!$D$2:$D$9999*Raw_Data_Daily!$H$2:$H$9999/100),""))</f>
        <v/>
      </c>
      <c r="R32" s="131" t="str">
        <f>IF($A32="","",IFERROR(SUMIFS(Raw_Data_Daily!$F:$F, Raw_Data_Daily!$B:$B, "Variant", Raw_Data_Daily!$A:$A, $A32, Raw_Data_Daily!$C:$C, $C$3)/SUMPRODUCT((Raw_Data_Daily!$B$2:$B$9999="Variant")*(Raw_Data_Daily!$A$2:$A$9999=$A32)*(Raw_Data_Daily!$C$2:$C$9999=$C$3)*Raw_Data_Daily!$D$2:$D$9999*Raw_Data_Daily!$H$2:$H$9999/100),""))</f>
        <v/>
      </c>
      <c r="S32" s="130" t="str">
        <f t="shared" si="6"/>
        <v/>
      </c>
      <c r="T32" s="132" t="str">
        <f>IF($A32="","",IFERROR(SUMPRODUCT((Raw_Data_Daily!$B$2:$B$9999="Control")*(Raw_Data_Daily!$A$2:$A$9999=$A32)*(Raw_Data_Daily!$C$2:$C$9999=$C$3)*Raw_Data_Daily!$D$2:$D$9999*Raw_Data_Daily!$J$2:$J$9999)/SUMIFS(Raw_Data_Daily!$D:$D, Raw_Data_Daily!$B:$B, "Control", Raw_Data_Daily!$A:$A, $A32, Raw_Data_Daily!$C:$C, $C$3),""))</f>
        <v/>
      </c>
      <c r="U32" s="132" t="str">
        <f>IF($A32="","",IFERROR(SUMPRODUCT((Raw_Data_Daily!$B$2:$B$9999="Variant")*(Raw_Data_Daily!$A$2:$A$9999=$A32)*(Raw_Data_Daily!$C$2:$C$9999=$C$3)*Raw_Data_Daily!$D$2:$D$9999*Raw_Data_Daily!$J$2:$J$9999)/SUMIFS(Raw_Data_Daily!$D:$D, Raw_Data_Daily!$B:$B, "Variant", Raw_Data_Daily!$A:$A, $A32, Raw_Data_Daily!$C:$C, $C$3),""))</f>
        <v/>
      </c>
      <c r="V32" s="130" t="str">
        <f t="shared" si="7"/>
        <v/>
      </c>
      <c r="W32" s="132" t="str">
        <f>IF($A32="","",IFERROR(SUMPRODUCT((Raw_Data_Daily!$B$2:$B$9999="Control")*(Raw_Data_Daily!$A$2:$A$9999=$A32)*(Raw_Data_Daily!$C$2:$C$9999=$C$3)*Raw_Data_Daily!$D$2:$D$9999*Raw_Data_Daily!$K$2:$K$9999)/SUMIFS(Raw_Data_Daily!$D:$D, Raw_Data_Daily!$B:$B, "Control", Raw_Data_Daily!$A:$A, $A32, Raw_Data_Daily!$C:$C, $C$3),""))</f>
        <v/>
      </c>
      <c r="X32" s="132" t="str">
        <f>IF($A32="","",IFERROR(SUMPRODUCT((Raw_Data_Daily!$B$2:$B$9999="Variant")*(Raw_Data_Daily!$A$2:$A$9999=$A32)*(Raw_Data_Daily!$C$2:$C$9999=$C$3)*Raw_Data_Daily!$D$2:$D$9999*Raw_Data_Daily!$K$2:$K$9999)/SUMIFS(Raw_Data_Daily!$D:$D, Raw_Data_Daily!$B:$B, "Variant", Raw_Data_Daily!$A:$A, $A32, Raw_Data_Daily!$C:$C, $C$3),""))</f>
        <v/>
      </c>
      <c r="Y32" s="130" t="str">
        <f t="shared" si="8"/>
        <v/>
      </c>
      <c r="Z32" s="132" t="str">
        <f>IF($A32="","",IFERROR(SUMPRODUCT((Raw_Data_Daily!$B$2:$B$9999="Control")*(Raw_Data_Daily!$A$2:$A$9999=$A32)*(Raw_Data_Daily!$C$2:$C$9999=$C$3)*Raw_Data_Daily!$D$2:$D$9999*Raw_Data_Daily!$L$2:$L$9999)/SUMIFS(Raw_Data_Daily!$D:$D, Raw_Data_Daily!$B:$B, "Control", Raw_Data_Daily!$A:$A, $A32, Raw_Data_Daily!$C:$C, $C$3),""))</f>
        <v/>
      </c>
      <c r="AA32" s="132" t="str">
        <f>IF($A32="","",IFERROR(SUMPRODUCT((Raw_Data_Daily!$B$2:$B$9999="Variant")*(Raw_Data_Daily!$A$2:$A$9999=$A32)*(Raw_Data_Daily!$C$2:$C$9999=$C$3)*Raw_Data_Daily!$D$2:$D$9999*Raw_Data_Daily!$L$2:$L$9999)/SUMIFS(Raw_Data_Daily!$D:$D, Raw_Data_Daily!$B:$B, "Variant", Raw_Data_Daily!$A:$A, $A32, Raw_Data_Daily!$C:$C, $C$3),""))</f>
        <v/>
      </c>
      <c r="AB32" s="130" t="str">
        <f t="shared" si="9"/>
        <v/>
      </c>
      <c r="AC32" s="137" t="str">
        <f>IF($A32="","",IFERROR(SUMPRODUCT((Raw_Data_Daily!$B$2:$B$9999="Control")*(Raw_Data_Daily!$A$2:$A$9999=$A32)*(Raw_Data_Daily!$C$2:$C$9999=$C$3)*Raw_Data_Daily!$D$2:$D$9999*Raw_Data_Daily!$M$2:$M$9999)/SUMIFS(Raw_Data_Daily!$D:$D, Raw_Data_Daily!$B:$B, "Control", Raw_Data_Daily!$A:$A, $A32, Raw_Data_Daily!$C:$C, $C$3),""))</f>
        <v/>
      </c>
      <c r="AD32" s="137" t="str">
        <f>IF($A32="","",IFERROR(SUMPRODUCT((Raw_Data_Daily!$B$2:$B$9999="Variant")*(Raw_Data_Daily!$A$2:$A$9999=$A32)*(Raw_Data_Daily!$C$2:$C$9999=$C$3)*Raw_Data_Daily!$D$2:$D$9999*Raw_Data_Daily!$M$2:$M$9999)/SUMIFS(Raw_Data_Daily!$D:$D, Raw_Data_Daily!$B:$B, "Variant", Raw_Data_Daily!$A:$A, $A32, Raw_Data_Daily!$C:$C, $C$3),""))</f>
        <v/>
      </c>
      <c r="AE32" s="139" t="str">
        <f t="shared" si="10"/>
        <v/>
      </c>
      <c r="AF32" s="137" t="str">
        <f>IF($A32="","",IFERROR(SUMPRODUCT((Raw_Data_Daily!$B$2:$B$9999="Control")*(Raw_Data_Daily!$A$2:$A$9999=$A32)*(Raw_Data_Daily!$C$2:$C$9999=$C$3)*Raw_Data_Daily!$D$2:$D$9999*Raw_Data_Daily!$N$2:$N$9999)/SUMIFS(Raw_Data_Daily!$D:$D, Raw_Data_Daily!$B:$B, "Control", Raw_Data_Daily!$A:$A, $A32, Raw_Data_Daily!$C:$C, $C$3),""))</f>
        <v/>
      </c>
      <c r="AG32" s="137" t="str">
        <f>IF($A32="","",IFERROR(SUMPRODUCT((Raw_Data_Daily!$B$2:$B$9999="Variant")*(Raw_Data_Daily!$A$2:$A$9999=$A32)*(Raw_Data_Daily!$C$2:$C$9999=$C$3)*Raw_Data_Daily!$D$2:$D$9999*Raw_Data_Daily!$N$2:$N$9999)/SUMIFS(Raw_Data_Daily!$D:$D, Raw_Data_Daily!$B:$B, "Variant", Raw_Data_Daily!$A:$A, $A32, Raw_Data_Daily!$C:$C, $C$3),""))</f>
        <v/>
      </c>
      <c r="AH32" s="139" t="str">
        <f t="shared" si="11"/>
        <v/>
      </c>
      <c r="AI32" s="137" t="str">
        <f>IF($A32="","",IFERROR(SUMPRODUCT((Raw_Data_Daily!$B$2:$B$9999="Control")*(Raw_Data_Daily!$A$2:$A$9999=$A32)*(Raw_Data_Daily!$C$2:$C$9999=$C$3)*Raw_Data_Daily!$D$2:$D$9999*Raw_Data_Daily!$O$2:$O$9999)/SUMIFS(Raw_Data_Daily!$D:$D, Raw_Data_Daily!$B:$B, "Control", Raw_Data_Daily!$A:$A, $A32, Raw_Data_Daily!$C:$C, $C$3),""))</f>
        <v/>
      </c>
      <c r="AJ32" s="137" t="str">
        <f>IF($A32="","",IFERROR(SUMPRODUCT((Raw_Data_Daily!$B$2:$B$9999="Variant")*(Raw_Data_Daily!$A$2:$A$9999=$A32)*(Raw_Data_Daily!$C$2:$C$9999=$C$3)*Raw_Data_Daily!$D$2:$D$9999*Raw_Data_Daily!$O$2:$O$9999)/SUMIFS(Raw_Data_Daily!$D:$D, Raw_Data_Daily!$B:$B, "Variant", Raw_Data_Daily!$A:$A, $A32, Raw_Data_Daily!$C:$C, $C$3),""))</f>
        <v/>
      </c>
      <c r="AK32" s="130" t="str">
        <f t="shared" si="12"/>
        <v/>
      </c>
      <c r="AL32" s="132" t="str">
        <f>IF($A32="","",IFERROR(SUMPRODUCT((Raw_Data_Daily!$B$2:$B$9999="Control")*(Raw_Data_Daily!$A$2:$A$9999=$A32)*(Raw_Data_Daily!$C$2:$C$9999=$C$3)*Raw_Data_Daily!$D$2:$D$9999*Raw_Data_Daily!$P$2:$P$9999)/SUMIFS(Raw_Data_Daily!$D:$D, Raw_Data_Daily!$B:$B, "Control", Raw_Data_Daily!$A:$A, $A32, Raw_Data_Daily!$C:$C, $C$3),""))</f>
        <v/>
      </c>
      <c r="AM32" s="132" t="str">
        <f>IF($A32="","",IFERROR(SUMPRODUCT((Raw_Data_Daily!$B$2:$B$9999="Variant")*(Raw_Data_Daily!$A$2:$A$9999=$A32)*(Raw_Data_Daily!$C$2:$C$9999=$C$3)*Raw_Data_Daily!$D$2:$D$9999*Raw_Data_Daily!$P$2:$P$9999)/SUMIFS(Raw_Data_Daily!$D:$D, Raw_Data_Daily!$B:$B, "Variant", Raw_Data_Daily!$A:$A, $A32, Raw_Data_Daily!$C:$C, $C$3),""))</f>
        <v/>
      </c>
      <c r="AN32" s="130" t="str">
        <f t="shared" si="13"/>
        <v/>
      </c>
      <c r="AO32" s="132" t="str">
        <f>IF($A32="","",IFERROR(SUMPRODUCT((Raw_Data_Daily!$B$2:$B$9999="Control")*(Raw_Data_Daily!$A$2:$A$9999=$A32)*(Raw_Data_Daily!$C$2:$C$9999=$C$3)*Raw_Data_Daily!$D$2:$D$9999*Raw_Data_Daily!$Q$2:$Q$9999)/SUMIFS(Raw_Data_Daily!$D:$D, Raw_Data_Daily!$B:$B, "Control", Raw_Data_Daily!$A:$A, $A32, Raw_Data_Daily!$C:$C, $C$3),""))</f>
        <v/>
      </c>
      <c r="AP32" s="132" t="str">
        <f>IF($A32="","",IFERROR(SUMPRODUCT((Raw_Data_Daily!$B$2:$B$9999="Variant")*(Raw_Data_Daily!$A$2:$A$9999=$A32)*(Raw_Data_Daily!$C$2:$C$9999=$C$3)*Raw_Data_Daily!$D$2:$D$9999*Raw_Data_Daily!$Q$2:$Q$9999)/SUMIFS(Raw_Data_Daily!$D:$D, Raw_Data_Daily!$B:$B, "Variant", Raw_Data_Daily!$A:$A, $A32, Raw_Data_Daily!$C:$C, $C$3),""))</f>
        <v/>
      </c>
      <c r="AQ32" s="127" t="str">
        <f t="shared" si="14"/>
        <v/>
      </c>
      <c r="AR32" s="132" t="str">
        <f>IF($A32="","",IFERROR(SUMPRODUCT((Raw_Data_Daily!$B$2:$B$9999="Control")*(Raw_Data_Daily!$A$2:$A$9999=$A32)*(Raw_Data_Daily!$C$2:$C$9999=$C$3)*Raw_Data_Daily!$D$2:$D$9999*Raw_Data_Daily!$R$2:$R$9999)/SUMIFS(Raw_Data_Daily!$D:$D, Raw_Data_Daily!$B:$B, "Control", Raw_Data_Daily!$A:$A, $A32, Raw_Data_Daily!$C:$C, $C$3),""))</f>
        <v/>
      </c>
      <c r="AS32" s="132" t="str">
        <f>IF($A32="","",IFERROR(SUMPRODUCT((Raw_Data_Daily!$B$2:$B$9999="Variant")*(Raw_Data_Daily!$A$2:$A$9999=$A32)*(Raw_Data_Daily!$C$2:$C$9999=$C$3)*Raw_Data_Daily!$D$2:$D$9999*Raw_Data_Daily!$R$2:$R$9999)/SUMIFS(Raw_Data_Daily!$D:$D, Raw_Data_Daily!$B:$B, "Variant", Raw_Data_Daily!$A:$A, $A32, Raw_Data_Daily!$C:$C, $C$3),""))</f>
        <v/>
      </c>
      <c r="AT32" s="127" t="str">
        <f t="shared" si="15"/>
        <v/>
      </c>
      <c r="AU32" s="132" t="str">
        <f>IF($A32="","",IFERROR(SUMPRODUCT((Raw_Data_Daily!$B$2:$B$9999="Control")*(Raw_Data_Daily!$A$2:$A$9999=$A32)*(Raw_Data_Daily!$C$2:$C$9999=$C$3)*Raw_Data_Daily!$D$2:$D$9999*Raw_Data_Daily!$S$2:$S$9999)/SUMIFS(Raw_Data_Daily!$D:$D, Raw_Data_Daily!$B:$B, "Control", Raw_Data_Daily!$A:$A, $A32, Raw_Data_Daily!$C:$C, $C$3),""))</f>
        <v/>
      </c>
      <c r="AV32" s="132" t="str">
        <f>IF($A32="","",IFERROR(SUMPRODUCT((Raw_Data_Daily!$B$2:$B$9999="Variant")*(Raw_Data_Daily!$A$2:$A$9999=$A32)*(Raw_Data_Daily!$C$2:$C$9999=$C$3)*Raw_Data_Daily!$D$2:$D$9999*Raw_Data_Daily!$S$2:$S$9999)/SUMIFS(Raw_Data_Daily!$D:$D, Raw_Data_Daily!$B:$B, "Variant", Raw_Data_Daily!$A:$A, $A32, Raw_Data_Daily!$C:$C, $C$3),""))</f>
        <v/>
      </c>
      <c r="AW32" s="127" t="str">
        <f t="shared" si="16"/>
        <v/>
      </c>
      <c r="AX32" s="132" t="str">
        <f>IF($A32="","",IFERROR(SUMPRODUCT((Raw_Data_Daily!$B$2:$B$9999="Control")*(Raw_Data_Daily!$A$2:$A$9999=$A32)*(Raw_Data_Daily!$C$2:$C$9999=$C$3)*Raw_Data_Daily!$D$2:$D$9999*Raw_Data_Daily!$T$2:$T$9999)/SUMIFS(Raw_Data_Daily!$D:$D, Raw_Data_Daily!$B:$B, "Control", Raw_Data_Daily!$A:$A, $A32, Raw_Data_Daily!$C:$C, $C$3),""))</f>
        <v/>
      </c>
      <c r="AY32" s="132" t="str">
        <f>IF($A32="","",IFERROR(SUMPRODUCT((Raw_Data_Daily!$B$2:$B$9999="Variant")*(Raw_Data_Daily!$A$2:$A$9999=$A32)*(Raw_Data_Daily!$C$2:$C$9999=$C$3)*Raw_Data_Daily!$D$2:$D$9999*Raw_Data_Daily!$T$2:$T$9999)/SUMIFS(Raw_Data_Daily!$D:$D, Raw_Data_Daily!$B:$B, "Variant", Raw_Data_Daily!$A:$A, $A32, Raw_Data_Daily!$C:$C, $C$3),""))</f>
        <v/>
      </c>
      <c r="AZ32" s="130" t="str">
        <f t="shared" si="17"/>
        <v/>
      </c>
      <c r="BA32" s="132" t="str">
        <f>IF($A32="","",IFERROR(SUMPRODUCT((Raw_Data_Daily!$B$2:$B$9999="Control")*(Raw_Data_Daily!$A$2:$A$9999=$A32)*(Raw_Data_Daily!$C$2:$C$9999=$C$3)*Raw_Data_Daily!$D$2:$D$9999*Raw_Data_Daily!$U$2:$U$9999)/SUMIFS(Raw_Data_Daily!$D:$D, Raw_Data_Daily!$B:$B, "Control", Raw_Data_Daily!$A:$A, $A32, Raw_Data_Daily!$C:$C, $C$3),""))</f>
        <v/>
      </c>
      <c r="BB32" s="132" t="str">
        <f>IF($A32="","",IFERROR(SUMPRODUCT((Raw_Data_Daily!$B$2:$B$9999="Variant")*(Raw_Data_Daily!$A$2:$A$9999=$A32)*(Raw_Data_Daily!$C$2:$C$9999=$C$3)*Raw_Data_Daily!$D$2:$D$9999*Raw_Data_Daily!$U$2:$U$9999)/SUMIFS(Raw_Data_Daily!$D:$D, Raw_Data_Daily!$B:$B, "Variant", Raw_Data_Daily!$A:$A, $A32, Raw_Data_Daily!$C:$C, $C$3),""))</f>
        <v/>
      </c>
      <c r="BC32" s="127" t="str">
        <f t="shared" si="18"/>
        <v/>
      </c>
      <c r="BD32" s="132" t="str">
        <f>IF($A32="","",IFERROR(SUMPRODUCT((Raw_Data_Daily!$B$2:$B$9999="Control")*(Raw_Data_Daily!$A$2:$A$9999=$A32)*(Raw_Data_Daily!$C$2:$C$9999=$C$3)*Raw_Data_Daily!$D$2:$D$9999*Raw_Data_Daily!$V$2:$V$9999)/SUMIFS(Raw_Data_Daily!$D:$D, Raw_Data_Daily!$B:$B, "Control", Raw_Data_Daily!$A:$A, $A32, Raw_Data_Daily!$C:$C, $C$3),""))</f>
        <v/>
      </c>
      <c r="BE32" s="132" t="str">
        <f>IF($A32="","",IFERROR(SUMPRODUCT((Raw_Data_Daily!$B$2:$B$9999="Variant")*(Raw_Data_Daily!$A$2:$A$9999=$A32)*(Raw_Data_Daily!$C$2:$C$9999=$C$3)*Raw_Data_Daily!$D$2:$D$9999*Raw_Data_Daily!$V$2:$V$9999)/SUMIFS(Raw_Data_Daily!$D:$D, Raw_Data_Daily!$B:$B, "Variant", Raw_Data_Daily!$A:$A, $A32, Raw_Data_Daily!$C:$C, $C$3),""))</f>
        <v/>
      </c>
      <c r="BF32" s="127" t="str">
        <f t="shared" si="19"/>
        <v/>
      </c>
      <c r="BG32" s="132" t="str">
        <f>IF($A32="","",IFERROR(SUMPRODUCT((Raw_Data_Daily!$B$2:$B$9999="Control")*(Raw_Data_Daily!$A$2:$A$9999=$A32)*(Raw_Data_Daily!$C$2:$C$9999=$C$3)*Raw_Data_Daily!$D$2:$D$9999*(Raw_Data_Daily!$Q$2:$Q$9999-Raw_Data_Daily!$V$2:$V$9999))/SUMIFS(Raw_Data_Daily!$D:$D, Raw_Data_Daily!$B:$B, "Control", Raw_Data_Daily!$A:$A, $A32, Raw_Data_Daily!$C:$C, $C$3),""))</f>
        <v/>
      </c>
      <c r="BH32" s="132" t="str">
        <f>IF($A32="","",IFERROR(SUMPRODUCT((Raw_Data_Daily!$B$2:$B$9999="Variant")*(Raw_Data_Daily!$A$2:$A$9999=$A32)*(Raw_Data_Daily!$C$2:$C$9999=$C$3)*Raw_Data_Daily!$D$2:$D$9999*(Raw_Data_Daily!$Q$2:$Q$9999-Raw_Data_Daily!$V$2:$V$9999))/SUMIFS(Raw_Data_Daily!$D:$D, Raw_Data_Daily!$B:$B, "Variant", Raw_Data_Daily!$A:$A, $A32, Raw_Data_Daily!$C:$C, $C$3),""))</f>
        <v/>
      </c>
      <c r="BI32" s="127" t="str">
        <f t="shared" si="20"/>
        <v/>
      </c>
      <c r="BJ32" s="132" t="str">
        <f>IF($A32="","",IFERROR(SUMPRODUCT((Raw_Data_Daily!$B$2:$B$9999="Control")*(Raw_Data_Daily!$A$2:$A$9999=$A32)*(Raw_Data_Daily!$C$2:$C$9999=$C$3)*Raw_Data_Daily!$D$2:$D$9999*Raw_Data_Daily!$W$2:$W$9999)/SUMIFS(Raw_Data_Daily!$D:$D, Raw_Data_Daily!$B:$B, "Control", Raw_Data_Daily!$A:$A, $A32, Raw_Data_Daily!$C:$C, $C$3),""))</f>
        <v/>
      </c>
      <c r="BK32" s="132" t="str">
        <f>IF($A32="","",IFERROR(SUMPRODUCT((Raw_Data_Daily!$B$2:$B$9999="Variant")*(Raw_Data_Daily!$A$2:$A$9999=$A32)*(Raw_Data_Daily!$C$2:$C$9999=$C$3)*Raw_Data_Daily!$D$2:$D$9999*Raw_Data_Daily!$W$2:$W$9999)/SUMIFS(Raw_Data_Daily!$D:$D, Raw_Data_Daily!$B:$B, "Variant", Raw_Data_Daily!$A:$A, $A32, Raw_Data_Daily!$C:$C, $C$3),""))</f>
        <v/>
      </c>
      <c r="BL32" s="127" t="str">
        <f t="shared" si="21"/>
        <v/>
      </c>
      <c r="BM32" s="137" t="str">
        <f>IF($A32="","",IFERROR(SUMPRODUCT((Raw_Data_Daily!$B$2:$B$9999="Control")*(Raw_Data_Daily!$A$2:$A$9999=$A32)*(Raw_Data_Daily!$C$2:$C$9999=$C$3)*Raw_Data_Daily!$D$2:$D$9999*Raw_Data_Daily!$X$2:$X$9999)/SUMIFS(Raw_Data_Daily!$D:$D, Raw_Data_Daily!$B:$B, "Control", Raw_Data_Daily!$A:$A, $A32, Raw_Data_Daily!$C:$C, $C$3),""))</f>
        <v/>
      </c>
      <c r="BN32" s="137" t="str">
        <f>IF($A32="","",IFERROR(SUMPRODUCT((Raw_Data_Daily!$B$2:$B$9999="Variant")*(Raw_Data_Daily!$A$2:$A$9999=$A32)*(Raw_Data_Daily!$C$2:$C$9999=$C$3)*Raw_Data_Daily!$D$2:$D$9999*Raw_Data_Daily!$X$2:$X$9999)/SUMIFS(Raw_Data_Daily!$D:$D, Raw_Data_Daily!$B:$B, "Variant", Raw_Data_Daily!$A:$A, $A32, Raw_Data_Daily!$C:$C, $C$3),""))</f>
        <v/>
      </c>
      <c r="BO32" s="130" t="str">
        <f t="shared" si="22"/>
        <v/>
      </c>
      <c r="BP32" s="126" t="str">
        <f>IF($A32="","",IFERROR(SUMPRODUCT((Raw_Data_Daily!$B$2:$B$9999="Control")*(Raw_Data_Daily!$A$2:$A$9999=$A32)*(Raw_Data_Daily!$C$2:$C$9999=$C$3)*Raw_Data_Daily!$D$2:$D$9999*Raw_Data_Daily!$Y$2:$Y$9999)/SUMIFS(Raw_Data_Daily!$D:$D, Raw_Data_Daily!$B:$B, "Control", Raw_Data_Daily!$A:$A, $A32, Raw_Data_Daily!$C:$C, $C$3),""))</f>
        <v/>
      </c>
      <c r="BQ32" s="126" t="str">
        <f>IF($A32="","",IFERROR(SUMPRODUCT((Raw_Data_Daily!$B$2:$B$9999="Variant")*(Raw_Data_Daily!$A$2:$A$9999=$A32)*(Raw_Data_Daily!$C$2:$C$9999=$C$3)*Raw_Data_Daily!$D$2:$D$9999*Raw_Data_Daily!$Y$2:$Y$9999)/SUMIFS(Raw_Data_Daily!$D:$D, Raw_Data_Daily!$B:$B, "Variant", Raw_Data_Daily!$A:$A, $A32, Raw_Data_Daily!$C:$C, $C$3),""))</f>
        <v/>
      </c>
      <c r="BR32" s="127" t="str">
        <f t="shared" si="23"/>
        <v/>
      </c>
      <c r="BS32" s="126" t="str">
        <f>IF($A32="","",IFERROR(SUMPRODUCT((Raw_Data_Daily!$B$2:$B$9999="Control")*(Raw_Data_Daily!$A$2:$A$9999=$A32)*(Raw_Data_Daily!$C$2:$C$9999=$C$3)*Raw_Data_Daily!$D$2:$D$9999*Raw_Data_Daily!$Z$2:$Z$9999)/SUMIFS(Raw_Data_Daily!$D:$D, Raw_Data_Daily!$B:$B, "Control", Raw_Data_Daily!$A:$A, $A32, Raw_Data_Daily!$C:$C, $C$3),""))</f>
        <v/>
      </c>
      <c r="BT32" s="126" t="str">
        <f>IF($A32="","",IFERROR(SUMPRODUCT((Raw_Data_Daily!$B$2:$B$9999="Variant")*(Raw_Data_Daily!$A$2:$A$9999=$A32)*(Raw_Data_Daily!$C$2:$C$9999=$C$3)*Raw_Data_Daily!$D$2:$D$9999*Raw_Data_Daily!$Z$2:$Z$9999)/SUMIFS(Raw_Data_Daily!$D:$D, Raw_Data_Daily!$B:$B, "Variant", Raw_Data_Daily!$A:$A, $A32, Raw_Data_Daily!$C:$C, $C$3),""))</f>
        <v/>
      </c>
      <c r="BU32" s="127" t="str">
        <f t="shared" si="24"/>
        <v/>
      </c>
      <c r="BV32" s="126" t="str">
        <f>IF($A32="","",IFERROR(SUMPRODUCT((Raw_Data_Daily!$B$2:$B$9999="Control")*(Raw_Data_Daily!$A$2:$A$9999=$A32)*(Raw_Data_Daily!$C$2:$C$9999=$C$3)*Raw_Data_Daily!$D$2:$D$9999*Raw_Data_Daily!$AA$2:$AA$9999)/SUMIFS(Raw_Data_Daily!$D:$D, Raw_Data_Daily!$B:$B, "Control", Raw_Data_Daily!$A:$A, $A32, Raw_Data_Daily!$C:$C, $C$3),""))</f>
        <v/>
      </c>
      <c r="BW32" s="126" t="str">
        <f>IF($A32="","",IFERROR(SUMPRODUCT((Raw_Data_Daily!$B$2:$B$9999="Variant")*(Raw_Data_Daily!$A$2:$A$9999=$A32)*(Raw_Data_Daily!$C$2:$C$9999=$C$3)*Raw_Data_Daily!$D$2:$D$9999*Raw_Data_Daily!$AA$2:$AA$9999)/SUMIFS(Raw_Data_Daily!$D:$D, Raw_Data_Daily!$B:$B, "Variant", Raw_Data_Daily!$A:$A, $A32, Raw_Data_Daily!$C:$C, $C$3),""))</f>
        <v/>
      </c>
      <c r="BX32" s="127" t="str">
        <f t="shared" si="25"/>
        <v/>
      </c>
      <c r="BY32" s="132" t="str">
        <f>IF($A32="","",IFERROR(SUMPRODUCT((Raw_Data_Daily!$B$2:$B$9999="Control")*(Raw_Data_Daily!$A$2:$A$9999=$A32)*(Raw_Data_Daily!$C$2:$C$9999=$C$3)*Raw_Data_Daily!$D$2:$D$9999*Raw_Data_Daily!$AB$2:$AB$9999)/SUMIFS(Raw_Data_Daily!$D:$D, Raw_Data_Daily!$B:$B, "Control", Raw_Data_Daily!$A:$A, $A32, Raw_Data_Daily!$C:$C, $C$3),""))</f>
        <v/>
      </c>
      <c r="BZ32" s="132" t="str">
        <f>IF($A32="","",IFERROR(SUMPRODUCT((Raw_Data_Daily!$B$2:$B$9999="Variant")*(Raw_Data_Daily!$A$2:$A$9999=$A32)*(Raw_Data_Daily!$C$2:$C$9999=$C$3)*Raw_Data_Daily!$D$2:$D$9999*Raw_Data_Daily!$AB$2:$AB$9999)/SUMIFS(Raw_Data_Daily!$D:$D, Raw_Data_Daily!$B:$B, "Variant", Raw_Data_Daily!$A:$A, $A32, Raw_Data_Daily!$C:$C, $C$3),""))</f>
        <v/>
      </c>
      <c r="CA32" s="130" t="str">
        <f t="shared" si="26"/>
        <v/>
      </c>
      <c r="CB32" s="132" t="str">
        <f>IF($A32="","",IFERROR(SUMPRODUCT((Raw_Data_Daily!$B$2:$B$9999="Control")*(Raw_Data_Daily!$A$2:$A$9999=$A32)*(Raw_Data_Daily!$C$2:$C$9999=$C$3)*Raw_Data_Daily!$D$2:$D$9999*Raw_Data_Daily!$AC$2:$AC$9999)/SUMIFS(Raw_Data_Daily!$D:$D, Raw_Data_Daily!$B:$B, "Control", Raw_Data_Daily!$A:$A, $A32, Raw_Data_Daily!$C:$C, $C$3),""))</f>
        <v/>
      </c>
      <c r="CC32" s="132" t="str">
        <f>IF($A32="","",IFERROR(SUMPRODUCT((Raw_Data_Daily!$B$2:$B$9999="Variant")*(Raw_Data_Daily!$A$2:$A$9999=$A32)*(Raw_Data_Daily!$C$2:$C$9999=$C$3)*Raw_Data_Daily!$D$2:$D$9999*Raw_Data_Daily!$AC$2:$AC$9999)/SUMIFS(Raw_Data_Daily!$D:$D, Raw_Data_Daily!$B:$B, "Variant", Raw_Data_Daily!$A:$A, $A32, Raw_Data_Daily!$C:$C, $C$3),""))</f>
        <v/>
      </c>
      <c r="CD32" s="130" t="str">
        <f t="shared" si="27"/>
        <v/>
      </c>
      <c r="CE32" s="132" t="str">
        <f>IF($A32="","",IFERROR(SUMPRODUCT((Raw_Data_Daily!$B$2:$B$9999="Control")*(Raw_Data_Daily!$A$2:$A$9999=$A32)*(Raw_Data_Daily!$C$2:$C$9999=$C$3)*Raw_Data_Daily!$D$2:$D$9999*Raw_Data_Daily!$AD$2:$AD$9999)/SUMIFS(Raw_Data_Daily!$D:$D, Raw_Data_Daily!$B:$B, "Control", Raw_Data_Daily!$A:$A, $A32, Raw_Data_Daily!$C:$C, $C$3),""))</f>
        <v/>
      </c>
      <c r="CF32" s="132" t="str">
        <f>IF($A32="","",IFERROR(SUMPRODUCT((Raw_Data_Daily!$B$2:$B$9999="Variant")*(Raw_Data_Daily!$A$2:$A$9999=$A32)*(Raw_Data_Daily!$C$2:$C$9999=$C$3)*Raw_Data_Daily!$D$2:$D$9999*Raw_Data_Daily!$AD$2:$AD$9999)/SUMIFS(Raw_Data_Daily!$D:$D, Raw_Data_Daily!$B:$B, "Variant", Raw_Data_Daily!$A:$A, $A32, Raw_Data_Daily!$C:$C, $C$3),""))</f>
        <v/>
      </c>
      <c r="CG32" s="130" t="str">
        <f t="shared" si="28"/>
        <v/>
      </c>
      <c r="CH32" s="132" t="str">
        <f>IF($A32="","",IFERROR(SUMPRODUCT((Raw_Data_Daily!$B$2:$B$9999="Control")*(Raw_Data_Daily!$A$2:$A$9999=$A32)*(Raw_Data_Daily!$C$2:$C$9999=$C$3)*Raw_Data_Daily!$D$2:$D$9999*Raw_Data_Daily!$AE$2:$AE$9999)/SUMIFS(Raw_Data_Daily!$D:$D, Raw_Data_Daily!$B:$B, "Control", Raw_Data_Daily!$A:$A, $A32, Raw_Data_Daily!$C:$C, $C$3),""))</f>
        <v/>
      </c>
      <c r="CI32" s="132" t="str">
        <f>IF($A32="","",IFERROR(SUMPRODUCT((Raw_Data_Daily!$B$2:$B$9999="Variant")*(Raw_Data_Daily!$A$2:$A$9999=$A32)*(Raw_Data_Daily!$C$2:$C$9999=$C$3)*Raw_Data_Daily!$D$2:$D$9999*Raw_Data_Daily!$AE$2:$AE$9999)/SUMIFS(Raw_Data_Daily!$D:$D, Raw_Data_Daily!$B:$B, "Variant", Raw_Data_Daily!$A:$A, $A32, Raw_Data_Daily!$C:$C, $C$3),""))</f>
        <v/>
      </c>
      <c r="CJ32" s="130" t="str">
        <f t="shared" si="29"/>
        <v/>
      </c>
      <c r="CK32" s="132" t="str">
        <f>IF($A32="","",IFERROR(SUMPRODUCT((Raw_Data_Daily!$B$2:$B$9999="Control")*(Raw_Data_Daily!$A$2:$A$9999=$A32)*(Raw_Data_Daily!$C$2:$C$9999=$C$3)*Raw_Data_Daily!$D$2:$D$9999*Raw_Data_Daily!$AF$2:$AF$9999)/SUMIFS(Raw_Data_Daily!$D:$D, Raw_Data_Daily!$B:$B, "Control", Raw_Data_Daily!$A:$A, $A32, Raw_Data_Daily!$C:$C, $C$3),""))</f>
        <v/>
      </c>
      <c r="CL32" s="132" t="str">
        <f>IF($A32="","",IFERROR(SUMPRODUCT((Raw_Data_Daily!$B$2:$B$9999="Variant")*(Raw_Data_Daily!$A$2:$A$9999=$A32)*(Raw_Data_Daily!$C$2:$C$9999=$C$3)*Raw_Data_Daily!$D$2:$D$9999*Raw_Data_Daily!$AF$2:$AF$9999)/SUMIFS(Raw_Data_Daily!$D:$D, Raw_Data_Daily!$B:$B, "Variant", Raw_Data_Daily!$A:$A, $A32, Raw_Data_Daily!$C:$C, $C$3),""))</f>
        <v/>
      </c>
      <c r="CM32" s="130" t="str">
        <f t="shared" si="30"/>
        <v/>
      </c>
      <c r="CN32" s="132" t="str">
        <f>IF($A32="","",IFERROR(SUMPRODUCT((Raw_Data_Daily!$B$2:$B$9999="Control")*(Raw_Data_Daily!$A$2:$A$9999=$A32)*(Raw_Data_Daily!$C$2:$C$9999=$C$3)*Raw_Data_Daily!$D$2:$D$9999*Raw_Data_Daily!$AG$2:$AG$9999)/SUMIFS(Raw_Data_Daily!$D:$D, Raw_Data_Daily!$B:$B, "Control", Raw_Data_Daily!$A:$A, $A32, Raw_Data_Daily!$C:$C, $C$3),""))</f>
        <v/>
      </c>
      <c r="CO32" s="132" t="str">
        <f>IF($A32="","",IFERROR(SUMPRODUCT((Raw_Data_Daily!$B$2:$B$9999="Variant")*(Raw_Data_Daily!$A$2:$A$9999=$A32)*(Raw_Data_Daily!$C$2:$C$9999=$C$3)*Raw_Data_Daily!$D$2:$D$9999*Raw_Data_Daily!$AG$2:$AG$9999)/SUMIFS(Raw_Data_Daily!$D:$D, Raw_Data_Daily!$B:$B, "Variant", Raw_Data_Daily!$A:$A, $A32, Raw_Data_Daily!$C:$C, $C$3),""))</f>
        <v/>
      </c>
      <c r="CP32" s="130" t="str">
        <f t="shared" si="31"/>
        <v/>
      </c>
      <c r="CQ32" s="132" t="str">
        <f>IF($A32="","",IFERROR(SUMPRODUCT((Raw_Data_Daily!$B$2:$B$9999="Control")*(Raw_Data_Daily!$A$2:$A$9999=$A32)*(Raw_Data_Daily!$C$2:$C$9999=$C$3)*Raw_Data_Daily!$D$2:$D$9999*Raw_Data_Daily!$AH$2:$AH$9999)/SUMIFS(Raw_Data_Daily!$D:$D, Raw_Data_Daily!$B:$B, "Control", Raw_Data_Daily!$A:$A, $A32, Raw_Data_Daily!$C:$C, $C$3),""))</f>
        <v/>
      </c>
      <c r="CR32" s="132" t="str">
        <f>IF($A32="","",IFERROR(SUMPRODUCT((Raw_Data_Daily!$B$2:$B$9999="Variant")*(Raw_Data_Daily!$A$2:$A$9999=$A32)*(Raw_Data_Daily!$C$2:$C$9999=$C$3)*Raw_Data_Daily!$D$2:$D$9999*Raw_Data_Daily!$AH$2:$AH$9999)/SUMIFS(Raw_Data_Daily!$D:$D, Raw_Data_Daily!$B:$B, "Variant", Raw_Data_Daily!$A:$A, $A32, Raw_Data_Daily!$C:$C, $C$3),""))</f>
        <v/>
      </c>
      <c r="CS32" s="130" t="str">
        <f t="shared" si="32"/>
        <v/>
      </c>
      <c r="CT32" s="128" t="str">
        <f>IF($A32="","",IFERROR(SUMPRODUCT((Raw_Data_Daily!$B$2:$B$9999="Control")*(Raw_Data_Daily!$A$2:$A$9999=$A32)*(Raw_Data_Daily!$C$2:$C$9999=$C$3)*Raw_Data_Daily!$D$2:$D$9999*Raw_Data_Daily!$AI$2:$AI$9999)/SUMIFS(Raw_Data_Daily!$D:$D, Raw_Data_Daily!$B:$B, "Control", Raw_Data_Daily!$A:$A, $A32, Raw_Data_Daily!$C:$C, $C$3),""))</f>
        <v/>
      </c>
      <c r="CU32" s="128" t="str">
        <f>IF($A32="","",IFERROR(SUMPRODUCT((Raw_Data_Daily!$B$2:$B$9999="Variant")*(Raw_Data_Daily!$A$2:$A$9999=$A32)*(Raw_Data_Daily!$C$2:$C$9999=$C$3)*Raw_Data_Daily!$D$2:$D$9999*Raw_Data_Daily!$AI$2:$AI$9999)/SUMIFS(Raw_Data_Daily!$D:$D, Raw_Data_Daily!$B:$B, "Variant", Raw_Data_Daily!$A:$A, $A32, Raw_Data_Daily!$C:$C, $C$3),""))</f>
        <v/>
      </c>
      <c r="CV32" s="139" t="str">
        <f t="shared" si="33"/>
        <v/>
      </c>
      <c r="CW32" s="128" t="str">
        <f>IF($A32="","",IFERROR(SUMPRODUCT((Raw_Data_Daily!$B$2:$B$9999="Control")*(Raw_Data_Daily!$A$2:$A$9999=$A32)*(Raw_Data_Daily!$C$2:$C$9999=$C$3)*Raw_Data_Daily!$D$2:$D$9999*Raw_Data_Daily!$AJ$2:$AJ$9999)/SUMIFS(Raw_Data_Daily!$D:$D, Raw_Data_Daily!$B:$B, "Control", Raw_Data_Daily!$A:$A, $A32, Raw_Data_Daily!$C:$C, $C$3),""))</f>
        <v/>
      </c>
      <c r="CX32" s="128" t="str">
        <f>IF($A32="","",IFERROR(SUMPRODUCT((Raw_Data_Daily!$B$2:$B$9999="Variant")*(Raw_Data_Daily!$A$2:$A$9999=$A32)*(Raw_Data_Daily!$C$2:$C$9999=$C$3)*Raw_Data_Daily!$D$2:$D$9999*Raw_Data_Daily!$AJ$2:$AJ$9999)/SUMIFS(Raw_Data_Daily!$D:$D, Raw_Data_Daily!$B:$B, "Variant", Raw_Data_Daily!$A:$A, $A32, Raw_Data_Daily!$C:$C, $C$3),""))</f>
        <v/>
      </c>
      <c r="CY32" s="139" t="str">
        <f t="shared" si="34"/>
        <v/>
      </c>
      <c r="CZ32" s="128" t="str">
        <f>IF($A32="","",IFERROR(SUMPRODUCT((Raw_Data_Daily!$B$2:$B$9999="Control")*(Raw_Data_Daily!$A$2:$A$9999=$A32)*(Raw_Data_Daily!$C$2:$C$9999=$C$3)*Raw_Data_Daily!$D$2:$D$9999*Raw_Data_Daily!$AK$2:$AK$9999)/SUMIFS(Raw_Data_Daily!$D:$D, Raw_Data_Daily!$B:$B, "Control", Raw_Data_Daily!$A:$A, $A32, Raw_Data_Daily!$C:$C, $C$3),""))</f>
        <v/>
      </c>
      <c r="DA32" s="128" t="str">
        <f>IF($A32="","",IFERROR(SUMPRODUCT((Raw_Data_Daily!$B$2:$B$9999="Variant")*(Raw_Data_Daily!$A$2:$A$9999=$A32)*(Raw_Data_Daily!$C$2:$C$9999=$C$3)*Raw_Data_Daily!$D$2:$D$9999*Raw_Data_Daily!$AK$2:$AK$9999)/SUMIFS(Raw_Data_Daily!$D:$D, Raw_Data_Daily!$B:$B, "Variant", Raw_Data_Daily!$A:$A, $A32, Raw_Data_Daily!$C:$C, $C$3),""))</f>
        <v/>
      </c>
      <c r="DB32" s="130" t="str">
        <f t="shared" si="35"/>
        <v/>
      </c>
      <c r="DC32" s="137" t="str">
        <f>IF($A32="","",IFERROR(SUMPRODUCT((Raw_Data_Daily!$B$2:$B$9999="Control")*(Raw_Data_Daily!$A$2:$A$9999=$A32)*(Raw_Data_Daily!$C$2:$C$9999=$C$3)*Raw_Data_Daily!$D$2:$D$9999*Raw_Data_Daily!$AL$2:$AL$9999)/SUMIFS(Raw_Data_Daily!$D:$D, Raw_Data_Daily!$B:$B, "Control", Raw_Data_Daily!$A:$A, $A32, Raw_Data_Daily!$C:$C, $C$3),""))</f>
        <v/>
      </c>
      <c r="DD32" s="137" t="str">
        <f>IF($A32="","",IFERROR(SUMPRODUCT((Raw_Data_Daily!$B$2:$B$9999="Variant")*(Raw_Data_Daily!$A$2:$A$9999=$A32)*(Raw_Data_Daily!$C$2:$C$9999=$C$3)*Raw_Data_Daily!$D$2:$D$9999*Raw_Data_Daily!$AL$2:$AL$9999)/SUMIFS(Raw_Data_Daily!$D:$D, Raw_Data_Daily!$B:$B, "Variant", Raw_Data_Daily!$A:$A, $A32, Raw_Data_Daily!$C:$C, $C$3),""))</f>
        <v/>
      </c>
      <c r="DE32" s="139" t="str">
        <f t="shared" si="36"/>
        <v/>
      </c>
      <c r="DF32" s="159"/>
      <c r="DG32" s="128" t="str">
        <f>IF($A32="","",IFERROR(SUMPRODUCT((Raw_Data_Daily!$B$2:$B$9999="Variant")*(Raw_Data_Daily!$A$2:$A$9999=$A32)*(Raw_Data_Daily!$C$2:$C$9999=$C$3)*Raw_Data_Daily!$D$2:$D$9999*Raw_Data_Daily!$AM$2:$AM$9999)/SUMIFS(Raw_Data_Daily!$D:$D, Raw_Data_Daily!$B:$B, "Variant", Raw_Data_Daily!$A:$A, $A32, Raw_Data_Daily!$C:$C, $C$3),""))</f>
        <v/>
      </c>
      <c r="DH32" s="160"/>
      <c r="DI32" s="159"/>
      <c r="DJ32" s="128" t="str">
        <f>IF($A32="","",IFERROR(SUMPRODUCT((Raw_Data_Daily!$B$2:$B$9999="Variant")*(Raw_Data_Daily!$A$2:$A$9999=$A32)*(Raw_Data_Daily!$C$2:$C$9999=$C$3)*Raw_Data_Daily!$D$2:$D$9999*Raw_Data_Daily!$AN$2:$AN$9999)/SUMIFS(Raw_Data_Daily!$D:$D, Raw_Data_Daily!$B:$B, "Variant", Raw_Data_Daily!$A:$A, $A32, Raw_Data_Daily!$C:$C, $C$3),""))</f>
        <v/>
      </c>
      <c r="DK32" s="160"/>
      <c r="DL32" s="159"/>
      <c r="DM32" s="128" t="str">
        <f>IF($A32="","",IFERROR(SUMPRODUCT((Raw_Data_Daily!$B$2:$B$9999="Variant")*(Raw_Data_Daily!$A$2:$A$9999=$A32)*(Raw_Data_Daily!$C$2:$C$9999=$C$3)*Raw_Data_Daily!$D$2:$D$9999*Raw_Data_Daily!$AO$2:$AO$9999)/SUMIFS(Raw_Data_Daily!$D:$D, Raw_Data_Daily!$B:$B, "Variant", Raw_Data_Daily!$A:$A, $A32, Raw_Data_Daily!$C:$C, $C$3),""))</f>
        <v/>
      </c>
      <c r="DN32" s="160"/>
      <c r="DO32" s="159"/>
      <c r="DP32" s="128" t="str">
        <f>IF($A32="","",IFERROR(SUMPRODUCT((Raw_Data_Daily!$B$2:$B$9999="Variant")*(Raw_Data_Daily!$A$2:$A$9999=$A32)*(Raw_Data_Daily!$C$2:$C$9999=$C$3)*Raw_Data_Daily!$D$2:$D$9999*Raw_Data_Daily!$AP$2:$AP$9999)/SUMIFS(Raw_Data_Daily!$D:$D, Raw_Data_Daily!$B:$B, "Variant", Raw_Data_Daily!$A:$A, $A32, Raw_Data_Daily!$C:$C, $C$3),""))</f>
        <v/>
      </c>
      <c r="DQ32" s="160"/>
      <c r="DR32" s="137" t="str">
        <f>IF($A32="","",IFERROR(SUMPRODUCT((Raw_Data_Daily!$B$2:$B$9999="Control")*(Raw_Data_Daily!$A$2:$A$9999=$A32)*(Raw_Data_Daily!$C$2:$C$9999=$C$3)*Raw_Data_Daily!$D$2:$D$9999*Raw_Data_Daily!$AQ$2:$AQ$9999)/SUMIFS(Raw_Data_Daily!$D:$D, Raw_Data_Daily!$B:$B, "Control", Raw_Data_Daily!$A:$A, $A32, Raw_Data_Daily!$C:$C, $C$3),""))</f>
        <v/>
      </c>
      <c r="DS32" s="137" t="str">
        <f>IF($A32="","",IFERROR(SUMPRODUCT((Raw_Data_Daily!$B$2:$B$9999="Variant")*(Raw_Data_Daily!$A$2:$A$9999=$A32)*(Raw_Data_Daily!$C$2:$C$9999=$C$3)*Raw_Data_Daily!$D$2:$D$9999*Raw_Data_Daily!$AQ$2:$AQ$9999)/SUMIFS(Raw_Data_Daily!$D:$D, Raw_Data_Daily!$B:$B, "Variant", Raw_Data_Daily!$A:$A, $A32, Raw_Data_Daily!$C:$C, $C$3),""))</f>
        <v/>
      </c>
      <c r="DT32" s="161" t="str">
        <f t="shared" si="37"/>
        <v/>
      </c>
      <c r="DU32" s="137" t="str">
        <f>IF($A32="","",IFERROR(SUMPRODUCT((Raw_Data_Daily!$B$2:$B$9999="Control")*(Raw_Data_Daily!$A$2:$A$9999=$A32)*(Raw_Data_Daily!$C$2:$C$9999=$C$3)*Raw_Data_Daily!$D$2:$D$9999*Raw_Data_Daily!$AR$2:$AR$9999)/SUMIFS(Raw_Data_Daily!$D:$D, Raw_Data_Daily!$B:$B, "Control", Raw_Data_Daily!$A:$A, $A32, Raw_Data_Daily!$C:$C, $C$3),""))</f>
        <v/>
      </c>
      <c r="DV32" s="137" t="str">
        <f>IF($A32="","",IFERROR(SUMPRODUCT((Raw_Data_Daily!$B$2:$B$9999="Variant")*(Raw_Data_Daily!$A$2:$A$9999=$A32)*(Raw_Data_Daily!$C$2:$C$9999=$C$3)*Raw_Data_Daily!$D$2:$D$9999*Raw_Data_Daily!$AR$2:$AR$9999)/SUMIFS(Raw_Data_Daily!$D:$D, Raw_Data_Daily!$B:$B, "Variant", Raw_Data_Daily!$A:$A, $A32, Raw_Data_Daily!$C:$C, $C$3),""))</f>
        <v/>
      </c>
      <c r="DW32" s="161" t="str">
        <f t="shared" si="38"/>
        <v/>
      </c>
      <c r="DX32" s="137" t="str">
        <f>IF($A32="","",IFERROR(SUMPRODUCT((Raw_Data_Daily!$B$2:$B$9999="Control")*(Raw_Data_Daily!$A$2:$A$9999=$A32)*(Raw_Data_Daily!$C$2:$C$9999=$C$3)*Raw_Data_Daily!$D$2:$D$9999*Raw_Data_Daily!$AS$2:$AS$9999)/SUMIFS(Raw_Data_Daily!$D:$D, Raw_Data_Daily!$B:$B, "Control", Raw_Data_Daily!$A:$A, $A32, Raw_Data_Daily!$C:$C, $C$3),""))</f>
        <v/>
      </c>
      <c r="DY32" s="137" t="str">
        <f>IF($A32="","",IFERROR(SUMPRODUCT((Raw_Data_Daily!$B$2:$B$9999="Variant")*(Raw_Data_Daily!$A$2:$A$9999=$A32)*(Raw_Data_Daily!$C$2:$C$9999=$C$3)*Raw_Data_Daily!$D$2:$D$9999*Raw_Data_Daily!$AS$2:$AS$9999)/SUMIFS(Raw_Data_Daily!$D:$D, Raw_Data_Daily!$B:$B, "Variant", Raw_Data_Daily!$A:$A, $A32, Raw_Data_Daily!$C:$C, $C$3),""))</f>
        <v/>
      </c>
      <c r="DZ32" s="162" t="str">
        <f t="shared" si="39"/>
        <v/>
      </c>
      <c r="EA32" s="137" t="str">
        <f>IF($A32="","",IFERROR(SUMPRODUCT((Raw_Data_Daily!$B$2:$B$9999="Control")*(Raw_Data_Daily!$A$2:$A$9999=$A32)*(Raw_Data_Daily!$C$2:$C$9999=$C$3)*Raw_Data_Daily!$D$2:$D$9999*Raw_Data_Daily!$AT$2:$AT$9999)/SUMIFS(Raw_Data_Daily!$D:$D, Raw_Data_Daily!$B:$B, "Control", Raw_Data_Daily!$A:$A, $A32, Raw_Data_Daily!$C:$C, $C$3),""))</f>
        <v/>
      </c>
      <c r="EB32" s="137" t="str">
        <f>IF($A32="","",IFERROR(SUMPRODUCT((Raw_Data_Daily!$B$2:$B$9999="Variant")*(Raw_Data_Daily!$A$2:$A$9999=$A32)*(Raw_Data_Daily!$C$2:$C$9999=$C$3)*Raw_Data_Daily!$D$2:$D$9999*Raw_Data_Daily!$AT$2:$AT$9999)/SUMIFS(Raw_Data_Daily!$D:$D, Raw_Data_Daily!$B:$B, "Variant", Raw_Data_Daily!$A:$A, $A32, Raw_Data_Daily!$C:$C, $C$3),""))</f>
        <v/>
      </c>
      <c r="EC32" s="161" t="str">
        <f t="shared" si="40"/>
        <v/>
      </c>
      <c r="ED32" s="137" t="str">
        <f>IF($A32="","",IFERROR(SUMPRODUCT((Raw_Data_Daily!$B$2:$B$9999="Control")*(Raw_Data_Daily!$A$2:$A$9999=$A32)*(Raw_Data_Daily!$C$2:$C$9999=$C$3)*Raw_Data_Daily!$D$2:$D$9999*(Raw_Data_Daily!$AQ$2:$AQ$9999-Raw_Data_Daily!$AT$2:$AT$9999))/SUMIFS(Raw_Data_Daily!$D:$D, Raw_Data_Daily!$B:$B, "Control", Raw_Data_Daily!$A:$A, $A32, Raw_Data_Daily!$C:$C, $C$3),""))</f>
        <v/>
      </c>
      <c r="EE32" s="137" t="str">
        <f>IF($A32="","",IFERROR(SUMPRODUCT((Raw_Data_Daily!$B$2:$B$9999="Variant")*(Raw_Data_Daily!$A$2:$A$9999=$A32)*(Raw_Data_Daily!$C$2:$C$9999=$C$3)*Raw_Data_Daily!$D$2:$D$9999*(Raw_Data_Daily!$AQ$2:$AQ$9999-Raw_Data_Daily!$AT$2:$AT$9999))/SUMIFS(Raw_Data_Daily!$D:$D, Raw_Data_Daily!$B:$B, "Variant", Raw_Data_Daily!$A:$A, $A32, Raw_Data_Daily!$C:$C, $C$3),""))</f>
        <v/>
      </c>
      <c r="EF32" s="162" t="str">
        <f t="shared" si="41"/>
        <v/>
      </c>
      <c r="EG32" s="137" t="str">
        <f>IF($A32="","",IFERROR(SUMPRODUCT((Raw_Data_Daily!$B$2:$B$9999="Control")*(Raw_Data_Daily!$A$2:$A$9999=$A32)*(Raw_Data_Daily!$C$2:$C$9999=$C$3)*Raw_Data_Daily!$D$2:$D$9999*Raw_Data_Daily!$AU$2:$AU$9999)/SUMIFS(Raw_Data_Daily!$D:$D, Raw_Data_Daily!$B:$B, "Control", Raw_Data_Daily!$A:$A, $A32, Raw_Data_Daily!$C:$C, $C$3),""))</f>
        <v/>
      </c>
      <c r="EH32" s="137" t="str">
        <f>IF($A32="","",IFERROR(SUMPRODUCT((Raw_Data_Daily!$B$2:$B$9999="Variant")*(Raw_Data_Daily!$A$2:$A$9999=$A32)*(Raw_Data_Daily!$C$2:$C$9999=$C$3)*Raw_Data_Daily!$D$2:$D$9999*Raw_Data_Daily!$AU$2:$AU$9999)/SUMIFS(Raw_Data_Daily!$D:$D, Raw_Data_Daily!$B:$B, "Variant", Raw_Data_Daily!$A:$A, $A32, Raw_Data_Daily!$C:$C, $C$3),""))</f>
        <v/>
      </c>
      <c r="EI32" s="161" t="str">
        <f t="shared" si="42"/>
        <v/>
      </c>
    </row>
    <row r="33" ht="15.75" customHeight="1">
      <c r="A33" s="125">
        <v>46256.0</v>
      </c>
      <c r="B33" s="126">
        <f>IF($A33="","",SUMIFS(Raw_Data_Daily!$D:$D, Raw_Data_Daily!$B:$B, "Control", Raw_Data_Daily!$A:$A, $A33, Raw_Data_Daily!$C:$C, $C$3))</f>
        <v>0</v>
      </c>
      <c r="C33" s="126">
        <f>IF($A33="","",SUMIFS(Raw_Data_Daily!$D:$D, Raw_Data_Daily!$B:$B, "Variant", Raw_Data_Daily!$A:$A, $A33, Raw_Data_Daily!$C:$C, $C$3))</f>
        <v>0</v>
      </c>
      <c r="D33" s="127" t="str">
        <f t="shared" si="1"/>
        <v/>
      </c>
      <c r="E33" s="128" t="str">
        <f>IF($A33="","",IFERROR(SUMPRODUCT((Raw_Data_Daily!$B$2:$B$9999="Control")*(Raw_Data_Daily!$A$2:$A$9999=$A33)*(Raw_Data_Daily!$C$2:$C$9999=$C$3)*Raw_Data_Daily!$D$2:$D$9999*Raw_Data_Daily!$E$2:$E$9999)/SUMIFS(Raw_Data_Daily!$D:$D, Raw_Data_Daily!$B:$B, "Control", Raw_Data_Daily!$A:$A, $A33, Raw_Data_Daily!$C:$C, $C$3),""))</f>
        <v/>
      </c>
      <c r="F33" s="128" t="str">
        <f>IF($A33="","",IFERROR(SUMPRODUCT((Raw_Data_Daily!$B$2:$B$9999="Variant")*(Raw_Data_Daily!$A$2:$A$9999=$A33)*(Raw_Data_Daily!$C$2:$C$9999=$C$3)*Raw_Data_Daily!$D$2:$D$9999*Raw_Data_Daily!$E$2:$E$9999)/SUMIFS(Raw_Data_Daily!$D:$D, Raw_Data_Daily!$B:$B, "Variant", Raw_Data_Daily!$A:$A, $A33, Raw_Data_Daily!$C:$C, $C$3),""))</f>
        <v/>
      </c>
      <c r="G33" s="127" t="str">
        <f t="shared" si="2"/>
        <v/>
      </c>
      <c r="H33" s="129">
        <f>IF($A33="","",SUMIFS(Raw_Data_Daily!$F:$F, Raw_Data_Daily!$B:$B, "Control", Raw_Data_Daily!$A:$A, $A33, Raw_Data_Daily!$C:$C, $C$3))</f>
        <v>0</v>
      </c>
      <c r="I33" s="129">
        <f>IF($A33="","",SUMIFS(Raw_Data_Daily!$F:$F, Raw_Data_Daily!$B:$B, "Variant", Raw_Data_Daily!$A:$A, $A33, Raw_Data_Daily!$C:$C, $C$3))</f>
        <v>0</v>
      </c>
      <c r="J33" s="130" t="str">
        <f t="shared" si="3"/>
        <v/>
      </c>
      <c r="K33" s="131" t="str">
        <f>IF($A33="","",IFERROR(SUMIFS(Raw_Data_Daily!$F:$F, Raw_Data_Daily!$B:$B, "Control", Raw_Data_Daily!$A:$A, $A33, Raw_Data_Daily!$C:$C, $C$3)/SUMIFS(Raw_Data_Daily!$D:$D, Raw_Data_Daily!$B:$B, "Control", Raw_Data_Daily!$A:$A, $A33, Raw_Data_Daily!$C:$C, $C$3),""))</f>
        <v/>
      </c>
      <c r="L33" s="131" t="str">
        <f>IF($A33="","",IFERROR(SUMIFS(Raw_Data_Daily!$F:$F, Raw_Data_Daily!$B:$B, "Variant", Raw_Data_Daily!$A:$A, $A33, Raw_Data_Daily!$C:$C, $C$3)/SUMIFS(Raw_Data_Daily!$D:$D, Raw_Data_Daily!$B:$B, "Variant", Raw_Data_Daily!$A:$A, $A33, Raw_Data_Daily!$C:$C, $C$3),""))</f>
        <v/>
      </c>
      <c r="M33" s="130" t="str">
        <f t="shared" si="4"/>
        <v/>
      </c>
      <c r="N33" s="128" t="str">
        <f>IF($A33="","",IFERROR(SUMPRODUCT((Raw_Data_Daily!$B$2:$B$9999="Control")*(Raw_Data_Daily!$A$2:$A$9999=$A33)*(Raw_Data_Daily!$C$2:$C$9999=$C$3)*Raw_Data_Daily!$D$2:$D$9999*Raw_Data_Daily!$H$2:$H$9999/100)/SUMIFS(Raw_Data_Daily!$D:$D, Raw_Data_Daily!$B:$B, "Control", Raw_Data_Daily!$A:$A, $A33, Raw_Data_Daily!$C:$C, $C$3)*100,""))</f>
        <v/>
      </c>
      <c r="O33" s="128" t="str">
        <f>IF($A33="","",IFERROR(SUMPRODUCT((Raw_Data_Daily!$B$2:$B$9999="Variant")*(Raw_Data_Daily!$A$2:$A$9999=$A33)*(Raw_Data_Daily!$C$2:$C$9999=$C$3)*Raw_Data_Daily!$D$2:$D$9999*Raw_Data_Daily!$H$2:$H$9999/100)/SUMIFS(Raw_Data_Daily!$D:$D, Raw_Data_Daily!$B:$B, "Variant", Raw_Data_Daily!$A:$A, $A33, Raw_Data_Daily!$C:$C, $C$3)*100,""))</f>
        <v/>
      </c>
      <c r="P33" s="130" t="str">
        <f t="shared" si="5"/>
        <v/>
      </c>
      <c r="Q33" s="131" t="str">
        <f>IF($A33="","",IFERROR(SUMIFS(Raw_Data_Daily!$F:$F, Raw_Data_Daily!$B:$B, "Control", Raw_Data_Daily!$A:$A, $A33, Raw_Data_Daily!$C:$C, $C$3)/SUMPRODUCT((Raw_Data_Daily!$B$2:$B$9999="Control")*(Raw_Data_Daily!$A$2:$A$9999=$A33)*(Raw_Data_Daily!$C$2:$C$9999=$C$3)*Raw_Data_Daily!$D$2:$D$9999*Raw_Data_Daily!$H$2:$H$9999/100),""))</f>
        <v/>
      </c>
      <c r="R33" s="131" t="str">
        <f>IF($A33="","",IFERROR(SUMIFS(Raw_Data_Daily!$F:$F, Raw_Data_Daily!$B:$B, "Variant", Raw_Data_Daily!$A:$A, $A33, Raw_Data_Daily!$C:$C, $C$3)/SUMPRODUCT((Raw_Data_Daily!$B$2:$B$9999="Variant")*(Raw_Data_Daily!$A$2:$A$9999=$A33)*(Raw_Data_Daily!$C$2:$C$9999=$C$3)*Raw_Data_Daily!$D$2:$D$9999*Raw_Data_Daily!$H$2:$H$9999/100),""))</f>
        <v/>
      </c>
      <c r="S33" s="130" t="str">
        <f t="shared" si="6"/>
        <v/>
      </c>
      <c r="T33" s="132" t="str">
        <f>IF($A33="","",IFERROR(SUMPRODUCT((Raw_Data_Daily!$B$2:$B$9999="Control")*(Raw_Data_Daily!$A$2:$A$9999=$A33)*(Raw_Data_Daily!$C$2:$C$9999=$C$3)*Raw_Data_Daily!$D$2:$D$9999*Raw_Data_Daily!$J$2:$J$9999)/SUMIFS(Raw_Data_Daily!$D:$D, Raw_Data_Daily!$B:$B, "Control", Raw_Data_Daily!$A:$A, $A33, Raw_Data_Daily!$C:$C, $C$3),""))</f>
        <v/>
      </c>
      <c r="U33" s="132" t="str">
        <f>IF($A33="","",IFERROR(SUMPRODUCT((Raw_Data_Daily!$B$2:$B$9999="Variant")*(Raw_Data_Daily!$A$2:$A$9999=$A33)*(Raw_Data_Daily!$C$2:$C$9999=$C$3)*Raw_Data_Daily!$D$2:$D$9999*Raw_Data_Daily!$J$2:$J$9999)/SUMIFS(Raw_Data_Daily!$D:$D, Raw_Data_Daily!$B:$B, "Variant", Raw_Data_Daily!$A:$A, $A33, Raw_Data_Daily!$C:$C, $C$3),""))</f>
        <v/>
      </c>
      <c r="V33" s="130" t="str">
        <f t="shared" si="7"/>
        <v/>
      </c>
      <c r="W33" s="132" t="str">
        <f>IF($A33="","",IFERROR(SUMPRODUCT((Raw_Data_Daily!$B$2:$B$9999="Control")*(Raw_Data_Daily!$A$2:$A$9999=$A33)*(Raw_Data_Daily!$C$2:$C$9999=$C$3)*Raw_Data_Daily!$D$2:$D$9999*Raw_Data_Daily!$K$2:$K$9999)/SUMIFS(Raw_Data_Daily!$D:$D, Raw_Data_Daily!$B:$B, "Control", Raw_Data_Daily!$A:$A, $A33, Raw_Data_Daily!$C:$C, $C$3),""))</f>
        <v/>
      </c>
      <c r="X33" s="132" t="str">
        <f>IF($A33="","",IFERROR(SUMPRODUCT((Raw_Data_Daily!$B$2:$B$9999="Variant")*(Raw_Data_Daily!$A$2:$A$9999=$A33)*(Raw_Data_Daily!$C$2:$C$9999=$C$3)*Raw_Data_Daily!$D$2:$D$9999*Raw_Data_Daily!$K$2:$K$9999)/SUMIFS(Raw_Data_Daily!$D:$D, Raw_Data_Daily!$B:$B, "Variant", Raw_Data_Daily!$A:$A, $A33, Raw_Data_Daily!$C:$C, $C$3),""))</f>
        <v/>
      </c>
      <c r="Y33" s="130" t="str">
        <f t="shared" si="8"/>
        <v/>
      </c>
      <c r="Z33" s="132" t="str">
        <f>IF($A33="","",IFERROR(SUMPRODUCT((Raw_Data_Daily!$B$2:$B$9999="Control")*(Raw_Data_Daily!$A$2:$A$9999=$A33)*(Raw_Data_Daily!$C$2:$C$9999=$C$3)*Raw_Data_Daily!$D$2:$D$9999*Raw_Data_Daily!$L$2:$L$9999)/SUMIFS(Raw_Data_Daily!$D:$D, Raw_Data_Daily!$B:$B, "Control", Raw_Data_Daily!$A:$A, $A33, Raw_Data_Daily!$C:$C, $C$3),""))</f>
        <v/>
      </c>
      <c r="AA33" s="132" t="str">
        <f>IF($A33="","",IFERROR(SUMPRODUCT((Raw_Data_Daily!$B$2:$B$9999="Variant")*(Raw_Data_Daily!$A$2:$A$9999=$A33)*(Raw_Data_Daily!$C$2:$C$9999=$C$3)*Raw_Data_Daily!$D$2:$D$9999*Raw_Data_Daily!$L$2:$L$9999)/SUMIFS(Raw_Data_Daily!$D:$D, Raw_Data_Daily!$B:$B, "Variant", Raw_Data_Daily!$A:$A, $A33, Raw_Data_Daily!$C:$C, $C$3),""))</f>
        <v/>
      </c>
      <c r="AB33" s="130" t="str">
        <f t="shared" si="9"/>
        <v/>
      </c>
      <c r="AC33" s="137" t="str">
        <f>IF($A33="","",IFERROR(SUMPRODUCT((Raw_Data_Daily!$B$2:$B$9999="Control")*(Raw_Data_Daily!$A$2:$A$9999=$A33)*(Raw_Data_Daily!$C$2:$C$9999=$C$3)*Raw_Data_Daily!$D$2:$D$9999*Raw_Data_Daily!$M$2:$M$9999)/SUMIFS(Raw_Data_Daily!$D:$D, Raw_Data_Daily!$B:$B, "Control", Raw_Data_Daily!$A:$A, $A33, Raw_Data_Daily!$C:$C, $C$3),""))</f>
        <v/>
      </c>
      <c r="AD33" s="137" t="str">
        <f>IF($A33="","",IFERROR(SUMPRODUCT((Raw_Data_Daily!$B$2:$B$9999="Variant")*(Raw_Data_Daily!$A$2:$A$9999=$A33)*(Raw_Data_Daily!$C$2:$C$9999=$C$3)*Raw_Data_Daily!$D$2:$D$9999*Raw_Data_Daily!$M$2:$M$9999)/SUMIFS(Raw_Data_Daily!$D:$D, Raw_Data_Daily!$B:$B, "Variant", Raw_Data_Daily!$A:$A, $A33, Raw_Data_Daily!$C:$C, $C$3),""))</f>
        <v/>
      </c>
      <c r="AE33" s="139" t="str">
        <f t="shared" si="10"/>
        <v/>
      </c>
      <c r="AF33" s="137" t="str">
        <f>IF($A33="","",IFERROR(SUMPRODUCT((Raw_Data_Daily!$B$2:$B$9999="Control")*(Raw_Data_Daily!$A$2:$A$9999=$A33)*(Raw_Data_Daily!$C$2:$C$9999=$C$3)*Raw_Data_Daily!$D$2:$D$9999*Raw_Data_Daily!$N$2:$N$9999)/SUMIFS(Raw_Data_Daily!$D:$D, Raw_Data_Daily!$B:$B, "Control", Raw_Data_Daily!$A:$A, $A33, Raw_Data_Daily!$C:$C, $C$3),""))</f>
        <v/>
      </c>
      <c r="AG33" s="137" t="str">
        <f>IF($A33="","",IFERROR(SUMPRODUCT((Raw_Data_Daily!$B$2:$B$9999="Variant")*(Raw_Data_Daily!$A$2:$A$9999=$A33)*(Raw_Data_Daily!$C$2:$C$9999=$C$3)*Raw_Data_Daily!$D$2:$D$9999*Raw_Data_Daily!$N$2:$N$9999)/SUMIFS(Raw_Data_Daily!$D:$D, Raw_Data_Daily!$B:$B, "Variant", Raw_Data_Daily!$A:$A, $A33, Raw_Data_Daily!$C:$C, $C$3),""))</f>
        <v/>
      </c>
      <c r="AH33" s="139" t="str">
        <f t="shared" si="11"/>
        <v/>
      </c>
      <c r="AI33" s="137" t="str">
        <f>IF($A33="","",IFERROR(SUMPRODUCT((Raw_Data_Daily!$B$2:$B$9999="Control")*(Raw_Data_Daily!$A$2:$A$9999=$A33)*(Raw_Data_Daily!$C$2:$C$9999=$C$3)*Raw_Data_Daily!$D$2:$D$9999*Raw_Data_Daily!$O$2:$O$9999)/SUMIFS(Raw_Data_Daily!$D:$D, Raw_Data_Daily!$B:$B, "Control", Raw_Data_Daily!$A:$A, $A33, Raw_Data_Daily!$C:$C, $C$3),""))</f>
        <v/>
      </c>
      <c r="AJ33" s="137" t="str">
        <f>IF($A33="","",IFERROR(SUMPRODUCT((Raw_Data_Daily!$B$2:$B$9999="Variant")*(Raw_Data_Daily!$A$2:$A$9999=$A33)*(Raw_Data_Daily!$C$2:$C$9999=$C$3)*Raw_Data_Daily!$D$2:$D$9999*Raw_Data_Daily!$O$2:$O$9999)/SUMIFS(Raw_Data_Daily!$D:$D, Raw_Data_Daily!$B:$B, "Variant", Raw_Data_Daily!$A:$A, $A33, Raw_Data_Daily!$C:$C, $C$3),""))</f>
        <v/>
      </c>
      <c r="AK33" s="130" t="str">
        <f t="shared" si="12"/>
        <v/>
      </c>
      <c r="AL33" s="132" t="str">
        <f>IF($A33="","",IFERROR(SUMPRODUCT((Raw_Data_Daily!$B$2:$B$9999="Control")*(Raw_Data_Daily!$A$2:$A$9999=$A33)*(Raw_Data_Daily!$C$2:$C$9999=$C$3)*Raw_Data_Daily!$D$2:$D$9999*Raw_Data_Daily!$P$2:$P$9999)/SUMIFS(Raw_Data_Daily!$D:$D, Raw_Data_Daily!$B:$B, "Control", Raw_Data_Daily!$A:$A, $A33, Raw_Data_Daily!$C:$C, $C$3),""))</f>
        <v/>
      </c>
      <c r="AM33" s="132" t="str">
        <f>IF($A33="","",IFERROR(SUMPRODUCT((Raw_Data_Daily!$B$2:$B$9999="Variant")*(Raw_Data_Daily!$A$2:$A$9999=$A33)*(Raw_Data_Daily!$C$2:$C$9999=$C$3)*Raw_Data_Daily!$D$2:$D$9999*Raw_Data_Daily!$P$2:$P$9999)/SUMIFS(Raw_Data_Daily!$D:$D, Raw_Data_Daily!$B:$B, "Variant", Raw_Data_Daily!$A:$A, $A33, Raw_Data_Daily!$C:$C, $C$3),""))</f>
        <v/>
      </c>
      <c r="AN33" s="130" t="str">
        <f t="shared" si="13"/>
        <v/>
      </c>
      <c r="AO33" s="132" t="str">
        <f>IF($A33="","",IFERROR(SUMPRODUCT((Raw_Data_Daily!$B$2:$B$9999="Control")*(Raw_Data_Daily!$A$2:$A$9999=$A33)*(Raw_Data_Daily!$C$2:$C$9999=$C$3)*Raw_Data_Daily!$D$2:$D$9999*Raw_Data_Daily!$Q$2:$Q$9999)/SUMIFS(Raw_Data_Daily!$D:$D, Raw_Data_Daily!$B:$B, "Control", Raw_Data_Daily!$A:$A, $A33, Raw_Data_Daily!$C:$C, $C$3),""))</f>
        <v/>
      </c>
      <c r="AP33" s="132" t="str">
        <f>IF($A33="","",IFERROR(SUMPRODUCT((Raw_Data_Daily!$B$2:$B$9999="Variant")*(Raw_Data_Daily!$A$2:$A$9999=$A33)*(Raw_Data_Daily!$C$2:$C$9999=$C$3)*Raw_Data_Daily!$D$2:$D$9999*Raw_Data_Daily!$Q$2:$Q$9999)/SUMIFS(Raw_Data_Daily!$D:$D, Raw_Data_Daily!$B:$B, "Variant", Raw_Data_Daily!$A:$A, $A33, Raw_Data_Daily!$C:$C, $C$3),""))</f>
        <v/>
      </c>
      <c r="AQ33" s="127" t="str">
        <f t="shared" si="14"/>
        <v/>
      </c>
      <c r="AR33" s="132" t="str">
        <f>IF($A33="","",IFERROR(SUMPRODUCT((Raw_Data_Daily!$B$2:$B$9999="Control")*(Raw_Data_Daily!$A$2:$A$9999=$A33)*(Raw_Data_Daily!$C$2:$C$9999=$C$3)*Raw_Data_Daily!$D$2:$D$9999*Raw_Data_Daily!$R$2:$R$9999)/SUMIFS(Raw_Data_Daily!$D:$D, Raw_Data_Daily!$B:$B, "Control", Raw_Data_Daily!$A:$A, $A33, Raw_Data_Daily!$C:$C, $C$3),""))</f>
        <v/>
      </c>
      <c r="AS33" s="132" t="str">
        <f>IF($A33="","",IFERROR(SUMPRODUCT((Raw_Data_Daily!$B$2:$B$9999="Variant")*(Raw_Data_Daily!$A$2:$A$9999=$A33)*(Raw_Data_Daily!$C$2:$C$9999=$C$3)*Raw_Data_Daily!$D$2:$D$9999*Raw_Data_Daily!$R$2:$R$9999)/SUMIFS(Raw_Data_Daily!$D:$D, Raw_Data_Daily!$B:$B, "Variant", Raw_Data_Daily!$A:$A, $A33, Raw_Data_Daily!$C:$C, $C$3),""))</f>
        <v/>
      </c>
      <c r="AT33" s="127" t="str">
        <f t="shared" si="15"/>
        <v/>
      </c>
      <c r="AU33" s="132" t="str">
        <f>IF($A33="","",IFERROR(SUMPRODUCT((Raw_Data_Daily!$B$2:$B$9999="Control")*(Raw_Data_Daily!$A$2:$A$9999=$A33)*(Raw_Data_Daily!$C$2:$C$9999=$C$3)*Raw_Data_Daily!$D$2:$D$9999*Raw_Data_Daily!$S$2:$S$9999)/SUMIFS(Raw_Data_Daily!$D:$D, Raw_Data_Daily!$B:$B, "Control", Raw_Data_Daily!$A:$A, $A33, Raw_Data_Daily!$C:$C, $C$3),""))</f>
        <v/>
      </c>
      <c r="AV33" s="132" t="str">
        <f>IF($A33="","",IFERROR(SUMPRODUCT((Raw_Data_Daily!$B$2:$B$9999="Variant")*(Raw_Data_Daily!$A$2:$A$9999=$A33)*(Raw_Data_Daily!$C$2:$C$9999=$C$3)*Raw_Data_Daily!$D$2:$D$9999*Raw_Data_Daily!$S$2:$S$9999)/SUMIFS(Raw_Data_Daily!$D:$D, Raw_Data_Daily!$B:$B, "Variant", Raw_Data_Daily!$A:$A, $A33, Raw_Data_Daily!$C:$C, $C$3),""))</f>
        <v/>
      </c>
      <c r="AW33" s="127" t="str">
        <f t="shared" si="16"/>
        <v/>
      </c>
      <c r="AX33" s="132" t="str">
        <f>IF($A33="","",IFERROR(SUMPRODUCT((Raw_Data_Daily!$B$2:$B$9999="Control")*(Raw_Data_Daily!$A$2:$A$9999=$A33)*(Raw_Data_Daily!$C$2:$C$9999=$C$3)*Raw_Data_Daily!$D$2:$D$9999*Raw_Data_Daily!$T$2:$T$9999)/SUMIFS(Raw_Data_Daily!$D:$D, Raw_Data_Daily!$B:$B, "Control", Raw_Data_Daily!$A:$A, $A33, Raw_Data_Daily!$C:$C, $C$3),""))</f>
        <v/>
      </c>
      <c r="AY33" s="132" t="str">
        <f>IF($A33="","",IFERROR(SUMPRODUCT((Raw_Data_Daily!$B$2:$B$9999="Variant")*(Raw_Data_Daily!$A$2:$A$9999=$A33)*(Raw_Data_Daily!$C$2:$C$9999=$C$3)*Raw_Data_Daily!$D$2:$D$9999*Raw_Data_Daily!$T$2:$T$9999)/SUMIFS(Raw_Data_Daily!$D:$D, Raw_Data_Daily!$B:$B, "Variant", Raw_Data_Daily!$A:$A, $A33, Raw_Data_Daily!$C:$C, $C$3),""))</f>
        <v/>
      </c>
      <c r="AZ33" s="130" t="str">
        <f t="shared" si="17"/>
        <v/>
      </c>
      <c r="BA33" s="132" t="str">
        <f>IF($A33="","",IFERROR(SUMPRODUCT((Raw_Data_Daily!$B$2:$B$9999="Control")*(Raw_Data_Daily!$A$2:$A$9999=$A33)*(Raw_Data_Daily!$C$2:$C$9999=$C$3)*Raw_Data_Daily!$D$2:$D$9999*Raw_Data_Daily!$U$2:$U$9999)/SUMIFS(Raw_Data_Daily!$D:$D, Raw_Data_Daily!$B:$B, "Control", Raw_Data_Daily!$A:$A, $A33, Raw_Data_Daily!$C:$C, $C$3),""))</f>
        <v/>
      </c>
      <c r="BB33" s="132" t="str">
        <f>IF($A33="","",IFERROR(SUMPRODUCT((Raw_Data_Daily!$B$2:$B$9999="Variant")*(Raw_Data_Daily!$A$2:$A$9999=$A33)*(Raw_Data_Daily!$C$2:$C$9999=$C$3)*Raw_Data_Daily!$D$2:$D$9999*Raw_Data_Daily!$U$2:$U$9999)/SUMIFS(Raw_Data_Daily!$D:$D, Raw_Data_Daily!$B:$B, "Variant", Raw_Data_Daily!$A:$A, $A33, Raw_Data_Daily!$C:$C, $C$3),""))</f>
        <v/>
      </c>
      <c r="BC33" s="127" t="str">
        <f t="shared" si="18"/>
        <v/>
      </c>
      <c r="BD33" s="132" t="str">
        <f>IF($A33="","",IFERROR(SUMPRODUCT((Raw_Data_Daily!$B$2:$B$9999="Control")*(Raw_Data_Daily!$A$2:$A$9999=$A33)*(Raw_Data_Daily!$C$2:$C$9999=$C$3)*Raw_Data_Daily!$D$2:$D$9999*Raw_Data_Daily!$V$2:$V$9999)/SUMIFS(Raw_Data_Daily!$D:$D, Raw_Data_Daily!$B:$B, "Control", Raw_Data_Daily!$A:$A, $A33, Raw_Data_Daily!$C:$C, $C$3),""))</f>
        <v/>
      </c>
      <c r="BE33" s="132" t="str">
        <f>IF($A33="","",IFERROR(SUMPRODUCT((Raw_Data_Daily!$B$2:$B$9999="Variant")*(Raw_Data_Daily!$A$2:$A$9999=$A33)*(Raw_Data_Daily!$C$2:$C$9999=$C$3)*Raw_Data_Daily!$D$2:$D$9999*Raw_Data_Daily!$V$2:$V$9999)/SUMIFS(Raw_Data_Daily!$D:$D, Raw_Data_Daily!$B:$B, "Variant", Raw_Data_Daily!$A:$A, $A33, Raw_Data_Daily!$C:$C, $C$3),""))</f>
        <v/>
      </c>
      <c r="BF33" s="127" t="str">
        <f t="shared" si="19"/>
        <v/>
      </c>
      <c r="BG33" s="132" t="str">
        <f>IF($A33="","",IFERROR(SUMPRODUCT((Raw_Data_Daily!$B$2:$B$9999="Control")*(Raw_Data_Daily!$A$2:$A$9999=$A33)*(Raw_Data_Daily!$C$2:$C$9999=$C$3)*Raw_Data_Daily!$D$2:$D$9999*(Raw_Data_Daily!$Q$2:$Q$9999-Raw_Data_Daily!$V$2:$V$9999))/SUMIFS(Raw_Data_Daily!$D:$D, Raw_Data_Daily!$B:$B, "Control", Raw_Data_Daily!$A:$A, $A33, Raw_Data_Daily!$C:$C, $C$3),""))</f>
        <v/>
      </c>
      <c r="BH33" s="132" t="str">
        <f>IF($A33="","",IFERROR(SUMPRODUCT((Raw_Data_Daily!$B$2:$B$9999="Variant")*(Raw_Data_Daily!$A$2:$A$9999=$A33)*(Raw_Data_Daily!$C$2:$C$9999=$C$3)*Raw_Data_Daily!$D$2:$D$9999*(Raw_Data_Daily!$Q$2:$Q$9999-Raw_Data_Daily!$V$2:$V$9999))/SUMIFS(Raw_Data_Daily!$D:$D, Raw_Data_Daily!$B:$B, "Variant", Raw_Data_Daily!$A:$A, $A33, Raw_Data_Daily!$C:$C, $C$3),""))</f>
        <v/>
      </c>
      <c r="BI33" s="127" t="str">
        <f t="shared" si="20"/>
        <v/>
      </c>
      <c r="BJ33" s="132" t="str">
        <f>IF($A33="","",IFERROR(SUMPRODUCT((Raw_Data_Daily!$B$2:$B$9999="Control")*(Raw_Data_Daily!$A$2:$A$9999=$A33)*(Raw_Data_Daily!$C$2:$C$9999=$C$3)*Raw_Data_Daily!$D$2:$D$9999*Raw_Data_Daily!$W$2:$W$9999)/SUMIFS(Raw_Data_Daily!$D:$D, Raw_Data_Daily!$B:$B, "Control", Raw_Data_Daily!$A:$A, $A33, Raw_Data_Daily!$C:$C, $C$3),""))</f>
        <v/>
      </c>
      <c r="BK33" s="132" t="str">
        <f>IF($A33="","",IFERROR(SUMPRODUCT((Raw_Data_Daily!$B$2:$B$9999="Variant")*(Raw_Data_Daily!$A$2:$A$9999=$A33)*(Raw_Data_Daily!$C$2:$C$9999=$C$3)*Raw_Data_Daily!$D$2:$D$9999*Raw_Data_Daily!$W$2:$W$9999)/SUMIFS(Raw_Data_Daily!$D:$D, Raw_Data_Daily!$B:$B, "Variant", Raw_Data_Daily!$A:$A, $A33, Raw_Data_Daily!$C:$C, $C$3),""))</f>
        <v/>
      </c>
      <c r="BL33" s="127" t="str">
        <f t="shared" si="21"/>
        <v/>
      </c>
      <c r="BM33" s="137" t="str">
        <f>IF($A33="","",IFERROR(SUMPRODUCT((Raw_Data_Daily!$B$2:$B$9999="Control")*(Raw_Data_Daily!$A$2:$A$9999=$A33)*(Raw_Data_Daily!$C$2:$C$9999=$C$3)*Raw_Data_Daily!$D$2:$D$9999*Raw_Data_Daily!$X$2:$X$9999)/SUMIFS(Raw_Data_Daily!$D:$D, Raw_Data_Daily!$B:$B, "Control", Raw_Data_Daily!$A:$A, $A33, Raw_Data_Daily!$C:$C, $C$3),""))</f>
        <v/>
      </c>
      <c r="BN33" s="137" t="str">
        <f>IF($A33="","",IFERROR(SUMPRODUCT((Raw_Data_Daily!$B$2:$B$9999="Variant")*(Raw_Data_Daily!$A$2:$A$9999=$A33)*(Raw_Data_Daily!$C$2:$C$9999=$C$3)*Raw_Data_Daily!$D$2:$D$9999*Raw_Data_Daily!$X$2:$X$9999)/SUMIFS(Raw_Data_Daily!$D:$D, Raw_Data_Daily!$B:$B, "Variant", Raw_Data_Daily!$A:$A, $A33, Raw_Data_Daily!$C:$C, $C$3),""))</f>
        <v/>
      </c>
      <c r="BO33" s="130" t="str">
        <f t="shared" si="22"/>
        <v/>
      </c>
      <c r="BP33" s="126" t="str">
        <f>IF($A33="","",IFERROR(SUMPRODUCT((Raw_Data_Daily!$B$2:$B$9999="Control")*(Raw_Data_Daily!$A$2:$A$9999=$A33)*(Raw_Data_Daily!$C$2:$C$9999=$C$3)*Raw_Data_Daily!$D$2:$D$9999*Raw_Data_Daily!$Y$2:$Y$9999)/SUMIFS(Raw_Data_Daily!$D:$D, Raw_Data_Daily!$B:$B, "Control", Raw_Data_Daily!$A:$A, $A33, Raw_Data_Daily!$C:$C, $C$3),""))</f>
        <v/>
      </c>
      <c r="BQ33" s="126" t="str">
        <f>IF($A33="","",IFERROR(SUMPRODUCT((Raw_Data_Daily!$B$2:$B$9999="Variant")*(Raw_Data_Daily!$A$2:$A$9999=$A33)*(Raw_Data_Daily!$C$2:$C$9999=$C$3)*Raw_Data_Daily!$D$2:$D$9999*Raw_Data_Daily!$Y$2:$Y$9999)/SUMIFS(Raw_Data_Daily!$D:$D, Raw_Data_Daily!$B:$B, "Variant", Raw_Data_Daily!$A:$A, $A33, Raw_Data_Daily!$C:$C, $C$3),""))</f>
        <v/>
      </c>
      <c r="BR33" s="127" t="str">
        <f t="shared" si="23"/>
        <v/>
      </c>
      <c r="BS33" s="126" t="str">
        <f>IF($A33="","",IFERROR(SUMPRODUCT((Raw_Data_Daily!$B$2:$B$9999="Control")*(Raw_Data_Daily!$A$2:$A$9999=$A33)*(Raw_Data_Daily!$C$2:$C$9999=$C$3)*Raw_Data_Daily!$D$2:$D$9999*Raw_Data_Daily!$Z$2:$Z$9999)/SUMIFS(Raw_Data_Daily!$D:$D, Raw_Data_Daily!$B:$B, "Control", Raw_Data_Daily!$A:$A, $A33, Raw_Data_Daily!$C:$C, $C$3),""))</f>
        <v/>
      </c>
      <c r="BT33" s="126" t="str">
        <f>IF($A33="","",IFERROR(SUMPRODUCT((Raw_Data_Daily!$B$2:$B$9999="Variant")*(Raw_Data_Daily!$A$2:$A$9999=$A33)*(Raw_Data_Daily!$C$2:$C$9999=$C$3)*Raw_Data_Daily!$D$2:$D$9999*Raw_Data_Daily!$Z$2:$Z$9999)/SUMIFS(Raw_Data_Daily!$D:$D, Raw_Data_Daily!$B:$B, "Variant", Raw_Data_Daily!$A:$A, $A33, Raw_Data_Daily!$C:$C, $C$3),""))</f>
        <v/>
      </c>
      <c r="BU33" s="127" t="str">
        <f t="shared" si="24"/>
        <v/>
      </c>
      <c r="BV33" s="126" t="str">
        <f>IF($A33="","",IFERROR(SUMPRODUCT((Raw_Data_Daily!$B$2:$B$9999="Control")*(Raw_Data_Daily!$A$2:$A$9999=$A33)*(Raw_Data_Daily!$C$2:$C$9999=$C$3)*Raw_Data_Daily!$D$2:$D$9999*Raw_Data_Daily!$AA$2:$AA$9999)/SUMIFS(Raw_Data_Daily!$D:$D, Raw_Data_Daily!$B:$B, "Control", Raw_Data_Daily!$A:$A, $A33, Raw_Data_Daily!$C:$C, $C$3),""))</f>
        <v/>
      </c>
      <c r="BW33" s="126" t="str">
        <f>IF($A33="","",IFERROR(SUMPRODUCT((Raw_Data_Daily!$B$2:$B$9999="Variant")*(Raw_Data_Daily!$A$2:$A$9999=$A33)*(Raw_Data_Daily!$C$2:$C$9999=$C$3)*Raw_Data_Daily!$D$2:$D$9999*Raw_Data_Daily!$AA$2:$AA$9999)/SUMIFS(Raw_Data_Daily!$D:$D, Raw_Data_Daily!$B:$B, "Variant", Raw_Data_Daily!$A:$A, $A33, Raw_Data_Daily!$C:$C, $C$3),""))</f>
        <v/>
      </c>
      <c r="BX33" s="127" t="str">
        <f t="shared" si="25"/>
        <v/>
      </c>
      <c r="BY33" s="132" t="str">
        <f>IF($A33="","",IFERROR(SUMPRODUCT((Raw_Data_Daily!$B$2:$B$9999="Control")*(Raw_Data_Daily!$A$2:$A$9999=$A33)*(Raw_Data_Daily!$C$2:$C$9999=$C$3)*Raw_Data_Daily!$D$2:$D$9999*Raw_Data_Daily!$AB$2:$AB$9999)/SUMIFS(Raw_Data_Daily!$D:$D, Raw_Data_Daily!$B:$B, "Control", Raw_Data_Daily!$A:$A, $A33, Raw_Data_Daily!$C:$C, $C$3),""))</f>
        <v/>
      </c>
      <c r="BZ33" s="132" t="str">
        <f>IF($A33="","",IFERROR(SUMPRODUCT((Raw_Data_Daily!$B$2:$B$9999="Variant")*(Raw_Data_Daily!$A$2:$A$9999=$A33)*(Raw_Data_Daily!$C$2:$C$9999=$C$3)*Raw_Data_Daily!$D$2:$D$9999*Raw_Data_Daily!$AB$2:$AB$9999)/SUMIFS(Raw_Data_Daily!$D:$D, Raw_Data_Daily!$B:$B, "Variant", Raw_Data_Daily!$A:$A, $A33, Raw_Data_Daily!$C:$C, $C$3),""))</f>
        <v/>
      </c>
      <c r="CA33" s="130" t="str">
        <f t="shared" si="26"/>
        <v/>
      </c>
      <c r="CB33" s="132" t="str">
        <f>IF($A33="","",IFERROR(SUMPRODUCT((Raw_Data_Daily!$B$2:$B$9999="Control")*(Raw_Data_Daily!$A$2:$A$9999=$A33)*(Raw_Data_Daily!$C$2:$C$9999=$C$3)*Raw_Data_Daily!$D$2:$D$9999*Raw_Data_Daily!$AC$2:$AC$9999)/SUMIFS(Raw_Data_Daily!$D:$D, Raw_Data_Daily!$B:$B, "Control", Raw_Data_Daily!$A:$A, $A33, Raw_Data_Daily!$C:$C, $C$3),""))</f>
        <v/>
      </c>
      <c r="CC33" s="132" t="str">
        <f>IF($A33="","",IFERROR(SUMPRODUCT((Raw_Data_Daily!$B$2:$B$9999="Variant")*(Raw_Data_Daily!$A$2:$A$9999=$A33)*(Raw_Data_Daily!$C$2:$C$9999=$C$3)*Raw_Data_Daily!$D$2:$D$9999*Raw_Data_Daily!$AC$2:$AC$9999)/SUMIFS(Raw_Data_Daily!$D:$D, Raw_Data_Daily!$B:$B, "Variant", Raw_Data_Daily!$A:$A, $A33, Raw_Data_Daily!$C:$C, $C$3),""))</f>
        <v/>
      </c>
      <c r="CD33" s="130" t="str">
        <f t="shared" si="27"/>
        <v/>
      </c>
      <c r="CE33" s="132" t="str">
        <f>IF($A33="","",IFERROR(SUMPRODUCT((Raw_Data_Daily!$B$2:$B$9999="Control")*(Raw_Data_Daily!$A$2:$A$9999=$A33)*(Raw_Data_Daily!$C$2:$C$9999=$C$3)*Raw_Data_Daily!$D$2:$D$9999*Raw_Data_Daily!$AD$2:$AD$9999)/SUMIFS(Raw_Data_Daily!$D:$D, Raw_Data_Daily!$B:$B, "Control", Raw_Data_Daily!$A:$A, $A33, Raw_Data_Daily!$C:$C, $C$3),""))</f>
        <v/>
      </c>
      <c r="CF33" s="132" t="str">
        <f>IF($A33="","",IFERROR(SUMPRODUCT((Raw_Data_Daily!$B$2:$B$9999="Variant")*(Raw_Data_Daily!$A$2:$A$9999=$A33)*(Raw_Data_Daily!$C$2:$C$9999=$C$3)*Raw_Data_Daily!$D$2:$D$9999*Raw_Data_Daily!$AD$2:$AD$9999)/SUMIFS(Raw_Data_Daily!$D:$D, Raw_Data_Daily!$B:$B, "Variant", Raw_Data_Daily!$A:$A, $A33, Raw_Data_Daily!$C:$C, $C$3),""))</f>
        <v/>
      </c>
      <c r="CG33" s="130" t="str">
        <f t="shared" si="28"/>
        <v/>
      </c>
      <c r="CH33" s="132" t="str">
        <f>IF($A33="","",IFERROR(SUMPRODUCT((Raw_Data_Daily!$B$2:$B$9999="Control")*(Raw_Data_Daily!$A$2:$A$9999=$A33)*(Raw_Data_Daily!$C$2:$C$9999=$C$3)*Raw_Data_Daily!$D$2:$D$9999*Raw_Data_Daily!$AE$2:$AE$9999)/SUMIFS(Raw_Data_Daily!$D:$D, Raw_Data_Daily!$B:$B, "Control", Raw_Data_Daily!$A:$A, $A33, Raw_Data_Daily!$C:$C, $C$3),""))</f>
        <v/>
      </c>
      <c r="CI33" s="132" t="str">
        <f>IF($A33="","",IFERROR(SUMPRODUCT((Raw_Data_Daily!$B$2:$B$9999="Variant")*(Raw_Data_Daily!$A$2:$A$9999=$A33)*(Raw_Data_Daily!$C$2:$C$9999=$C$3)*Raw_Data_Daily!$D$2:$D$9999*Raw_Data_Daily!$AE$2:$AE$9999)/SUMIFS(Raw_Data_Daily!$D:$D, Raw_Data_Daily!$B:$B, "Variant", Raw_Data_Daily!$A:$A, $A33, Raw_Data_Daily!$C:$C, $C$3),""))</f>
        <v/>
      </c>
      <c r="CJ33" s="130" t="str">
        <f t="shared" si="29"/>
        <v/>
      </c>
      <c r="CK33" s="132" t="str">
        <f>IF($A33="","",IFERROR(SUMPRODUCT((Raw_Data_Daily!$B$2:$B$9999="Control")*(Raw_Data_Daily!$A$2:$A$9999=$A33)*(Raw_Data_Daily!$C$2:$C$9999=$C$3)*Raw_Data_Daily!$D$2:$D$9999*Raw_Data_Daily!$AF$2:$AF$9999)/SUMIFS(Raw_Data_Daily!$D:$D, Raw_Data_Daily!$B:$B, "Control", Raw_Data_Daily!$A:$A, $A33, Raw_Data_Daily!$C:$C, $C$3),""))</f>
        <v/>
      </c>
      <c r="CL33" s="132" t="str">
        <f>IF($A33="","",IFERROR(SUMPRODUCT((Raw_Data_Daily!$B$2:$B$9999="Variant")*(Raw_Data_Daily!$A$2:$A$9999=$A33)*(Raw_Data_Daily!$C$2:$C$9999=$C$3)*Raw_Data_Daily!$D$2:$D$9999*Raw_Data_Daily!$AF$2:$AF$9999)/SUMIFS(Raw_Data_Daily!$D:$D, Raw_Data_Daily!$B:$B, "Variant", Raw_Data_Daily!$A:$A, $A33, Raw_Data_Daily!$C:$C, $C$3),""))</f>
        <v/>
      </c>
      <c r="CM33" s="130" t="str">
        <f t="shared" si="30"/>
        <v/>
      </c>
      <c r="CN33" s="132" t="str">
        <f>IF($A33="","",IFERROR(SUMPRODUCT((Raw_Data_Daily!$B$2:$B$9999="Control")*(Raw_Data_Daily!$A$2:$A$9999=$A33)*(Raw_Data_Daily!$C$2:$C$9999=$C$3)*Raw_Data_Daily!$D$2:$D$9999*Raw_Data_Daily!$AG$2:$AG$9999)/SUMIFS(Raw_Data_Daily!$D:$D, Raw_Data_Daily!$B:$B, "Control", Raw_Data_Daily!$A:$A, $A33, Raw_Data_Daily!$C:$C, $C$3),""))</f>
        <v/>
      </c>
      <c r="CO33" s="132" t="str">
        <f>IF($A33="","",IFERROR(SUMPRODUCT((Raw_Data_Daily!$B$2:$B$9999="Variant")*(Raw_Data_Daily!$A$2:$A$9999=$A33)*(Raw_Data_Daily!$C$2:$C$9999=$C$3)*Raw_Data_Daily!$D$2:$D$9999*Raw_Data_Daily!$AG$2:$AG$9999)/SUMIFS(Raw_Data_Daily!$D:$D, Raw_Data_Daily!$B:$B, "Variant", Raw_Data_Daily!$A:$A, $A33, Raw_Data_Daily!$C:$C, $C$3),""))</f>
        <v/>
      </c>
      <c r="CP33" s="130" t="str">
        <f t="shared" si="31"/>
        <v/>
      </c>
      <c r="CQ33" s="132" t="str">
        <f>IF($A33="","",IFERROR(SUMPRODUCT((Raw_Data_Daily!$B$2:$B$9999="Control")*(Raw_Data_Daily!$A$2:$A$9999=$A33)*(Raw_Data_Daily!$C$2:$C$9999=$C$3)*Raw_Data_Daily!$D$2:$D$9999*Raw_Data_Daily!$AH$2:$AH$9999)/SUMIFS(Raw_Data_Daily!$D:$D, Raw_Data_Daily!$B:$B, "Control", Raw_Data_Daily!$A:$A, $A33, Raw_Data_Daily!$C:$C, $C$3),""))</f>
        <v/>
      </c>
      <c r="CR33" s="132" t="str">
        <f>IF($A33="","",IFERROR(SUMPRODUCT((Raw_Data_Daily!$B$2:$B$9999="Variant")*(Raw_Data_Daily!$A$2:$A$9999=$A33)*(Raw_Data_Daily!$C$2:$C$9999=$C$3)*Raw_Data_Daily!$D$2:$D$9999*Raw_Data_Daily!$AH$2:$AH$9999)/SUMIFS(Raw_Data_Daily!$D:$D, Raw_Data_Daily!$B:$B, "Variant", Raw_Data_Daily!$A:$A, $A33, Raw_Data_Daily!$C:$C, $C$3),""))</f>
        <v/>
      </c>
      <c r="CS33" s="130" t="str">
        <f t="shared" si="32"/>
        <v/>
      </c>
      <c r="CT33" s="128" t="str">
        <f>IF($A33="","",IFERROR(SUMPRODUCT((Raw_Data_Daily!$B$2:$B$9999="Control")*(Raw_Data_Daily!$A$2:$A$9999=$A33)*(Raw_Data_Daily!$C$2:$C$9999=$C$3)*Raw_Data_Daily!$D$2:$D$9999*Raw_Data_Daily!$AI$2:$AI$9999)/SUMIFS(Raw_Data_Daily!$D:$D, Raw_Data_Daily!$B:$B, "Control", Raw_Data_Daily!$A:$A, $A33, Raw_Data_Daily!$C:$C, $C$3),""))</f>
        <v/>
      </c>
      <c r="CU33" s="128" t="str">
        <f>IF($A33="","",IFERROR(SUMPRODUCT((Raw_Data_Daily!$B$2:$B$9999="Variant")*(Raw_Data_Daily!$A$2:$A$9999=$A33)*(Raw_Data_Daily!$C$2:$C$9999=$C$3)*Raw_Data_Daily!$D$2:$D$9999*Raw_Data_Daily!$AI$2:$AI$9999)/SUMIFS(Raw_Data_Daily!$D:$D, Raw_Data_Daily!$B:$B, "Variant", Raw_Data_Daily!$A:$A, $A33, Raw_Data_Daily!$C:$C, $C$3),""))</f>
        <v/>
      </c>
      <c r="CV33" s="139" t="str">
        <f t="shared" si="33"/>
        <v/>
      </c>
      <c r="CW33" s="128" t="str">
        <f>IF($A33="","",IFERROR(SUMPRODUCT((Raw_Data_Daily!$B$2:$B$9999="Control")*(Raw_Data_Daily!$A$2:$A$9999=$A33)*(Raw_Data_Daily!$C$2:$C$9999=$C$3)*Raw_Data_Daily!$D$2:$D$9999*Raw_Data_Daily!$AJ$2:$AJ$9999)/SUMIFS(Raw_Data_Daily!$D:$D, Raw_Data_Daily!$B:$B, "Control", Raw_Data_Daily!$A:$A, $A33, Raw_Data_Daily!$C:$C, $C$3),""))</f>
        <v/>
      </c>
      <c r="CX33" s="128" t="str">
        <f>IF($A33="","",IFERROR(SUMPRODUCT((Raw_Data_Daily!$B$2:$B$9999="Variant")*(Raw_Data_Daily!$A$2:$A$9999=$A33)*(Raw_Data_Daily!$C$2:$C$9999=$C$3)*Raw_Data_Daily!$D$2:$D$9999*Raw_Data_Daily!$AJ$2:$AJ$9999)/SUMIFS(Raw_Data_Daily!$D:$D, Raw_Data_Daily!$B:$B, "Variant", Raw_Data_Daily!$A:$A, $A33, Raw_Data_Daily!$C:$C, $C$3),""))</f>
        <v/>
      </c>
      <c r="CY33" s="139" t="str">
        <f t="shared" si="34"/>
        <v/>
      </c>
      <c r="CZ33" s="128" t="str">
        <f>IF($A33="","",IFERROR(SUMPRODUCT((Raw_Data_Daily!$B$2:$B$9999="Control")*(Raw_Data_Daily!$A$2:$A$9999=$A33)*(Raw_Data_Daily!$C$2:$C$9999=$C$3)*Raw_Data_Daily!$D$2:$D$9999*Raw_Data_Daily!$AK$2:$AK$9999)/SUMIFS(Raw_Data_Daily!$D:$D, Raw_Data_Daily!$B:$B, "Control", Raw_Data_Daily!$A:$A, $A33, Raw_Data_Daily!$C:$C, $C$3),""))</f>
        <v/>
      </c>
      <c r="DA33" s="128" t="str">
        <f>IF($A33="","",IFERROR(SUMPRODUCT((Raw_Data_Daily!$B$2:$B$9999="Variant")*(Raw_Data_Daily!$A$2:$A$9999=$A33)*(Raw_Data_Daily!$C$2:$C$9999=$C$3)*Raw_Data_Daily!$D$2:$D$9999*Raw_Data_Daily!$AK$2:$AK$9999)/SUMIFS(Raw_Data_Daily!$D:$D, Raw_Data_Daily!$B:$B, "Variant", Raw_Data_Daily!$A:$A, $A33, Raw_Data_Daily!$C:$C, $C$3),""))</f>
        <v/>
      </c>
      <c r="DB33" s="130" t="str">
        <f t="shared" si="35"/>
        <v/>
      </c>
      <c r="DC33" s="137" t="str">
        <f>IF($A33="","",IFERROR(SUMPRODUCT((Raw_Data_Daily!$B$2:$B$9999="Control")*(Raw_Data_Daily!$A$2:$A$9999=$A33)*(Raw_Data_Daily!$C$2:$C$9999=$C$3)*Raw_Data_Daily!$D$2:$D$9999*Raw_Data_Daily!$AL$2:$AL$9999)/SUMIFS(Raw_Data_Daily!$D:$D, Raw_Data_Daily!$B:$B, "Control", Raw_Data_Daily!$A:$A, $A33, Raw_Data_Daily!$C:$C, $C$3),""))</f>
        <v/>
      </c>
      <c r="DD33" s="137" t="str">
        <f>IF($A33="","",IFERROR(SUMPRODUCT((Raw_Data_Daily!$B$2:$B$9999="Variant")*(Raw_Data_Daily!$A$2:$A$9999=$A33)*(Raw_Data_Daily!$C$2:$C$9999=$C$3)*Raw_Data_Daily!$D$2:$D$9999*Raw_Data_Daily!$AL$2:$AL$9999)/SUMIFS(Raw_Data_Daily!$D:$D, Raw_Data_Daily!$B:$B, "Variant", Raw_Data_Daily!$A:$A, $A33, Raw_Data_Daily!$C:$C, $C$3),""))</f>
        <v/>
      </c>
      <c r="DE33" s="139" t="str">
        <f t="shared" si="36"/>
        <v/>
      </c>
      <c r="DF33" s="159"/>
      <c r="DG33" s="128" t="str">
        <f>IF($A33="","",IFERROR(SUMPRODUCT((Raw_Data_Daily!$B$2:$B$9999="Variant")*(Raw_Data_Daily!$A$2:$A$9999=$A33)*(Raw_Data_Daily!$C$2:$C$9999=$C$3)*Raw_Data_Daily!$D$2:$D$9999*Raw_Data_Daily!$AM$2:$AM$9999)/SUMIFS(Raw_Data_Daily!$D:$D, Raw_Data_Daily!$B:$B, "Variant", Raw_Data_Daily!$A:$A, $A33, Raw_Data_Daily!$C:$C, $C$3),""))</f>
        <v/>
      </c>
      <c r="DH33" s="160"/>
      <c r="DI33" s="159"/>
      <c r="DJ33" s="128" t="str">
        <f>IF($A33="","",IFERROR(SUMPRODUCT((Raw_Data_Daily!$B$2:$B$9999="Variant")*(Raw_Data_Daily!$A$2:$A$9999=$A33)*(Raw_Data_Daily!$C$2:$C$9999=$C$3)*Raw_Data_Daily!$D$2:$D$9999*Raw_Data_Daily!$AN$2:$AN$9999)/SUMIFS(Raw_Data_Daily!$D:$D, Raw_Data_Daily!$B:$B, "Variant", Raw_Data_Daily!$A:$A, $A33, Raw_Data_Daily!$C:$C, $C$3),""))</f>
        <v/>
      </c>
      <c r="DK33" s="160"/>
      <c r="DL33" s="159"/>
      <c r="DM33" s="128" t="str">
        <f>IF($A33="","",IFERROR(SUMPRODUCT((Raw_Data_Daily!$B$2:$B$9999="Variant")*(Raw_Data_Daily!$A$2:$A$9999=$A33)*(Raw_Data_Daily!$C$2:$C$9999=$C$3)*Raw_Data_Daily!$D$2:$D$9999*Raw_Data_Daily!$AO$2:$AO$9999)/SUMIFS(Raw_Data_Daily!$D:$D, Raw_Data_Daily!$B:$B, "Variant", Raw_Data_Daily!$A:$A, $A33, Raw_Data_Daily!$C:$C, $C$3),""))</f>
        <v/>
      </c>
      <c r="DN33" s="160"/>
      <c r="DO33" s="159"/>
      <c r="DP33" s="128" t="str">
        <f>IF($A33="","",IFERROR(SUMPRODUCT((Raw_Data_Daily!$B$2:$B$9999="Variant")*(Raw_Data_Daily!$A$2:$A$9999=$A33)*(Raw_Data_Daily!$C$2:$C$9999=$C$3)*Raw_Data_Daily!$D$2:$D$9999*Raw_Data_Daily!$AP$2:$AP$9999)/SUMIFS(Raw_Data_Daily!$D:$D, Raw_Data_Daily!$B:$B, "Variant", Raw_Data_Daily!$A:$A, $A33, Raw_Data_Daily!$C:$C, $C$3),""))</f>
        <v/>
      </c>
      <c r="DQ33" s="160"/>
      <c r="DR33" s="137" t="str">
        <f>IF($A33="","",IFERROR(SUMPRODUCT((Raw_Data_Daily!$B$2:$B$9999="Control")*(Raw_Data_Daily!$A$2:$A$9999=$A33)*(Raw_Data_Daily!$C$2:$C$9999=$C$3)*Raw_Data_Daily!$D$2:$D$9999*Raw_Data_Daily!$AQ$2:$AQ$9999)/SUMIFS(Raw_Data_Daily!$D:$D, Raw_Data_Daily!$B:$B, "Control", Raw_Data_Daily!$A:$A, $A33, Raw_Data_Daily!$C:$C, $C$3),""))</f>
        <v/>
      </c>
      <c r="DS33" s="137" t="str">
        <f>IF($A33="","",IFERROR(SUMPRODUCT((Raw_Data_Daily!$B$2:$B$9999="Variant")*(Raw_Data_Daily!$A$2:$A$9999=$A33)*(Raw_Data_Daily!$C$2:$C$9999=$C$3)*Raw_Data_Daily!$D$2:$D$9999*Raw_Data_Daily!$AQ$2:$AQ$9999)/SUMIFS(Raw_Data_Daily!$D:$D, Raw_Data_Daily!$B:$B, "Variant", Raw_Data_Daily!$A:$A, $A33, Raw_Data_Daily!$C:$C, $C$3),""))</f>
        <v/>
      </c>
      <c r="DT33" s="161" t="str">
        <f t="shared" si="37"/>
        <v/>
      </c>
      <c r="DU33" s="137" t="str">
        <f>IF($A33="","",IFERROR(SUMPRODUCT((Raw_Data_Daily!$B$2:$B$9999="Control")*(Raw_Data_Daily!$A$2:$A$9999=$A33)*(Raw_Data_Daily!$C$2:$C$9999=$C$3)*Raw_Data_Daily!$D$2:$D$9999*Raw_Data_Daily!$AR$2:$AR$9999)/SUMIFS(Raw_Data_Daily!$D:$D, Raw_Data_Daily!$B:$B, "Control", Raw_Data_Daily!$A:$A, $A33, Raw_Data_Daily!$C:$C, $C$3),""))</f>
        <v/>
      </c>
      <c r="DV33" s="137" t="str">
        <f>IF($A33="","",IFERROR(SUMPRODUCT((Raw_Data_Daily!$B$2:$B$9999="Variant")*(Raw_Data_Daily!$A$2:$A$9999=$A33)*(Raw_Data_Daily!$C$2:$C$9999=$C$3)*Raw_Data_Daily!$D$2:$D$9999*Raw_Data_Daily!$AR$2:$AR$9999)/SUMIFS(Raw_Data_Daily!$D:$D, Raw_Data_Daily!$B:$B, "Variant", Raw_Data_Daily!$A:$A, $A33, Raw_Data_Daily!$C:$C, $C$3),""))</f>
        <v/>
      </c>
      <c r="DW33" s="161" t="str">
        <f t="shared" si="38"/>
        <v/>
      </c>
      <c r="DX33" s="137" t="str">
        <f>IF($A33="","",IFERROR(SUMPRODUCT((Raw_Data_Daily!$B$2:$B$9999="Control")*(Raw_Data_Daily!$A$2:$A$9999=$A33)*(Raw_Data_Daily!$C$2:$C$9999=$C$3)*Raw_Data_Daily!$D$2:$D$9999*Raw_Data_Daily!$AS$2:$AS$9999)/SUMIFS(Raw_Data_Daily!$D:$D, Raw_Data_Daily!$B:$B, "Control", Raw_Data_Daily!$A:$A, $A33, Raw_Data_Daily!$C:$C, $C$3),""))</f>
        <v/>
      </c>
      <c r="DY33" s="137" t="str">
        <f>IF($A33="","",IFERROR(SUMPRODUCT((Raw_Data_Daily!$B$2:$B$9999="Variant")*(Raw_Data_Daily!$A$2:$A$9999=$A33)*(Raw_Data_Daily!$C$2:$C$9999=$C$3)*Raw_Data_Daily!$D$2:$D$9999*Raw_Data_Daily!$AS$2:$AS$9999)/SUMIFS(Raw_Data_Daily!$D:$D, Raw_Data_Daily!$B:$B, "Variant", Raw_Data_Daily!$A:$A, $A33, Raw_Data_Daily!$C:$C, $C$3),""))</f>
        <v/>
      </c>
      <c r="DZ33" s="162" t="str">
        <f t="shared" si="39"/>
        <v/>
      </c>
      <c r="EA33" s="137" t="str">
        <f>IF($A33="","",IFERROR(SUMPRODUCT((Raw_Data_Daily!$B$2:$B$9999="Control")*(Raw_Data_Daily!$A$2:$A$9999=$A33)*(Raw_Data_Daily!$C$2:$C$9999=$C$3)*Raw_Data_Daily!$D$2:$D$9999*Raw_Data_Daily!$AT$2:$AT$9999)/SUMIFS(Raw_Data_Daily!$D:$D, Raw_Data_Daily!$B:$B, "Control", Raw_Data_Daily!$A:$A, $A33, Raw_Data_Daily!$C:$C, $C$3),""))</f>
        <v/>
      </c>
      <c r="EB33" s="137" t="str">
        <f>IF($A33="","",IFERROR(SUMPRODUCT((Raw_Data_Daily!$B$2:$B$9999="Variant")*(Raw_Data_Daily!$A$2:$A$9999=$A33)*(Raw_Data_Daily!$C$2:$C$9999=$C$3)*Raw_Data_Daily!$D$2:$D$9999*Raw_Data_Daily!$AT$2:$AT$9999)/SUMIFS(Raw_Data_Daily!$D:$D, Raw_Data_Daily!$B:$B, "Variant", Raw_Data_Daily!$A:$A, $A33, Raw_Data_Daily!$C:$C, $C$3),""))</f>
        <v/>
      </c>
      <c r="EC33" s="161" t="str">
        <f t="shared" si="40"/>
        <v/>
      </c>
      <c r="ED33" s="137" t="str">
        <f>IF($A33="","",IFERROR(SUMPRODUCT((Raw_Data_Daily!$B$2:$B$9999="Control")*(Raw_Data_Daily!$A$2:$A$9999=$A33)*(Raw_Data_Daily!$C$2:$C$9999=$C$3)*Raw_Data_Daily!$D$2:$D$9999*(Raw_Data_Daily!$AQ$2:$AQ$9999-Raw_Data_Daily!$AT$2:$AT$9999))/SUMIFS(Raw_Data_Daily!$D:$D, Raw_Data_Daily!$B:$B, "Control", Raw_Data_Daily!$A:$A, $A33, Raw_Data_Daily!$C:$C, $C$3),""))</f>
        <v/>
      </c>
      <c r="EE33" s="137" t="str">
        <f>IF($A33="","",IFERROR(SUMPRODUCT((Raw_Data_Daily!$B$2:$B$9999="Variant")*(Raw_Data_Daily!$A$2:$A$9999=$A33)*(Raw_Data_Daily!$C$2:$C$9999=$C$3)*Raw_Data_Daily!$D$2:$D$9999*(Raw_Data_Daily!$AQ$2:$AQ$9999-Raw_Data_Daily!$AT$2:$AT$9999))/SUMIFS(Raw_Data_Daily!$D:$D, Raw_Data_Daily!$B:$B, "Variant", Raw_Data_Daily!$A:$A, $A33, Raw_Data_Daily!$C:$C, $C$3),""))</f>
        <v/>
      </c>
      <c r="EF33" s="162" t="str">
        <f t="shared" si="41"/>
        <v/>
      </c>
      <c r="EG33" s="137" t="str">
        <f>IF($A33="","",IFERROR(SUMPRODUCT((Raw_Data_Daily!$B$2:$B$9999="Control")*(Raw_Data_Daily!$A$2:$A$9999=$A33)*(Raw_Data_Daily!$C$2:$C$9999=$C$3)*Raw_Data_Daily!$D$2:$D$9999*Raw_Data_Daily!$AU$2:$AU$9999)/SUMIFS(Raw_Data_Daily!$D:$D, Raw_Data_Daily!$B:$B, "Control", Raw_Data_Daily!$A:$A, $A33, Raw_Data_Daily!$C:$C, $C$3),""))</f>
        <v/>
      </c>
      <c r="EH33" s="137" t="str">
        <f>IF($A33="","",IFERROR(SUMPRODUCT((Raw_Data_Daily!$B$2:$B$9999="Variant")*(Raw_Data_Daily!$A$2:$A$9999=$A33)*(Raw_Data_Daily!$C$2:$C$9999=$C$3)*Raw_Data_Daily!$D$2:$D$9999*Raw_Data_Daily!$AU$2:$AU$9999)/SUMIFS(Raw_Data_Daily!$D:$D, Raw_Data_Daily!$B:$B, "Variant", Raw_Data_Daily!$A:$A, $A33, Raw_Data_Daily!$C:$C, $C$3),""))</f>
        <v/>
      </c>
      <c r="EI33" s="161" t="str">
        <f t="shared" si="42"/>
        <v/>
      </c>
    </row>
    <row r="34" ht="15.75" customHeight="1">
      <c r="A34" s="125">
        <v>46257.0</v>
      </c>
      <c r="B34" s="126">
        <f>IF($A34="","",SUMIFS(Raw_Data_Daily!$D:$D, Raw_Data_Daily!$B:$B, "Control", Raw_Data_Daily!$A:$A, $A34, Raw_Data_Daily!$C:$C, $C$3))</f>
        <v>0</v>
      </c>
      <c r="C34" s="126">
        <f>IF($A34="","",SUMIFS(Raw_Data_Daily!$D:$D, Raw_Data_Daily!$B:$B, "Variant", Raw_Data_Daily!$A:$A, $A34, Raw_Data_Daily!$C:$C, $C$3))</f>
        <v>0</v>
      </c>
      <c r="D34" s="127" t="str">
        <f t="shared" si="1"/>
        <v/>
      </c>
      <c r="E34" s="128" t="str">
        <f>IF($A34="","",IFERROR(SUMPRODUCT((Raw_Data_Daily!$B$2:$B$9999="Control")*(Raw_Data_Daily!$A$2:$A$9999=$A34)*(Raw_Data_Daily!$C$2:$C$9999=$C$3)*Raw_Data_Daily!$D$2:$D$9999*Raw_Data_Daily!$E$2:$E$9999)/SUMIFS(Raw_Data_Daily!$D:$D, Raw_Data_Daily!$B:$B, "Control", Raw_Data_Daily!$A:$A, $A34, Raw_Data_Daily!$C:$C, $C$3),""))</f>
        <v/>
      </c>
      <c r="F34" s="128" t="str">
        <f>IF($A34="","",IFERROR(SUMPRODUCT((Raw_Data_Daily!$B$2:$B$9999="Variant")*(Raw_Data_Daily!$A$2:$A$9999=$A34)*(Raw_Data_Daily!$C$2:$C$9999=$C$3)*Raw_Data_Daily!$D$2:$D$9999*Raw_Data_Daily!$E$2:$E$9999)/SUMIFS(Raw_Data_Daily!$D:$D, Raw_Data_Daily!$B:$B, "Variant", Raw_Data_Daily!$A:$A, $A34, Raw_Data_Daily!$C:$C, $C$3),""))</f>
        <v/>
      </c>
      <c r="G34" s="127" t="str">
        <f t="shared" si="2"/>
        <v/>
      </c>
      <c r="H34" s="129">
        <f>IF($A34="","",SUMIFS(Raw_Data_Daily!$F:$F, Raw_Data_Daily!$B:$B, "Control", Raw_Data_Daily!$A:$A, $A34, Raw_Data_Daily!$C:$C, $C$3))</f>
        <v>0</v>
      </c>
      <c r="I34" s="129">
        <f>IF($A34="","",SUMIFS(Raw_Data_Daily!$F:$F, Raw_Data_Daily!$B:$B, "Variant", Raw_Data_Daily!$A:$A, $A34, Raw_Data_Daily!$C:$C, $C$3))</f>
        <v>0</v>
      </c>
      <c r="J34" s="130" t="str">
        <f t="shared" si="3"/>
        <v/>
      </c>
      <c r="K34" s="131" t="str">
        <f>IF($A34="","",IFERROR(SUMIFS(Raw_Data_Daily!$F:$F, Raw_Data_Daily!$B:$B, "Control", Raw_Data_Daily!$A:$A, $A34, Raw_Data_Daily!$C:$C, $C$3)/SUMIFS(Raw_Data_Daily!$D:$D, Raw_Data_Daily!$B:$B, "Control", Raw_Data_Daily!$A:$A, $A34, Raw_Data_Daily!$C:$C, $C$3),""))</f>
        <v/>
      </c>
      <c r="L34" s="131" t="str">
        <f>IF($A34="","",IFERROR(SUMIFS(Raw_Data_Daily!$F:$F, Raw_Data_Daily!$B:$B, "Variant", Raw_Data_Daily!$A:$A, $A34, Raw_Data_Daily!$C:$C, $C$3)/SUMIFS(Raw_Data_Daily!$D:$D, Raw_Data_Daily!$B:$B, "Variant", Raw_Data_Daily!$A:$A, $A34, Raw_Data_Daily!$C:$C, $C$3),""))</f>
        <v/>
      </c>
      <c r="M34" s="130" t="str">
        <f t="shared" si="4"/>
        <v/>
      </c>
      <c r="N34" s="128" t="str">
        <f>IF($A34="","",IFERROR(SUMPRODUCT((Raw_Data_Daily!$B$2:$B$9999="Control")*(Raw_Data_Daily!$A$2:$A$9999=$A34)*(Raw_Data_Daily!$C$2:$C$9999=$C$3)*Raw_Data_Daily!$D$2:$D$9999*Raw_Data_Daily!$H$2:$H$9999/100)/SUMIFS(Raw_Data_Daily!$D:$D, Raw_Data_Daily!$B:$B, "Control", Raw_Data_Daily!$A:$A, $A34, Raw_Data_Daily!$C:$C, $C$3)*100,""))</f>
        <v/>
      </c>
      <c r="O34" s="128" t="str">
        <f>IF($A34="","",IFERROR(SUMPRODUCT((Raw_Data_Daily!$B$2:$B$9999="Variant")*(Raw_Data_Daily!$A$2:$A$9999=$A34)*(Raw_Data_Daily!$C$2:$C$9999=$C$3)*Raw_Data_Daily!$D$2:$D$9999*Raw_Data_Daily!$H$2:$H$9999/100)/SUMIFS(Raw_Data_Daily!$D:$D, Raw_Data_Daily!$B:$B, "Variant", Raw_Data_Daily!$A:$A, $A34, Raw_Data_Daily!$C:$C, $C$3)*100,""))</f>
        <v/>
      </c>
      <c r="P34" s="130" t="str">
        <f t="shared" si="5"/>
        <v/>
      </c>
      <c r="Q34" s="131" t="str">
        <f>IF($A34="","",IFERROR(SUMIFS(Raw_Data_Daily!$F:$F, Raw_Data_Daily!$B:$B, "Control", Raw_Data_Daily!$A:$A, $A34, Raw_Data_Daily!$C:$C, $C$3)/SUMPRODUCT((Raw_Data_Daily!$B$2:$B$9999="Control")*(Raw_Data_Daily!$A$2:$A$9999=$A34)*(Raw_Data_Daily!$C$2:$C$9999=$C$3)*Raw_Data_Daily!$D$2:$D$9999*Raw_Data_Daily!$H$2:$H$9999/100),""))</f>
        <v/>
      </c>
      <c r="R34" s="131" t="str">
        <f>IF($A34="","",IFERROR(SUMIFS(Raw_Data_Daily!$F:$F, Raw_Data_Daily!$B:$B, "Variant", Raw_Data_Daily!$A:$A, $A34, Raw_Data_Daily!$C:$C, $C$3)/SUMPRODUCT((Raw_Data_Daily!$B$2:$B$9999="Variant")*(Raw_Data_Daily!$A$2:$A$9999=$A34)*(Raw_Data_Daily!$C$2:$C$9999=$C$3)*Raw_Data_Daily!$D$2:$D$9999*Raw_Data_Daily!$H$2:$H$9999/100),""))</f>
        <v/>
      </c>
      <c r="S34" s="130" t="str">
        <f t="shared" si="6"/>
        <v/>
      </c>
      <c r="T34" s="132" t="str">
        <f>IF($A34="","",IFERROR(SUMPRODUCT((Raw_Data_Daily!$B$2:$B$9999="Control")*(Raw_Data_Daily!$A$2:$A$9999=$A34)*(Raw_Data_Daily!$C$2:$C$9999=$C$3)*Raw_Data_Daily!$D$2:$D$9999*Raw_Data_Daily!$J$2:$J$9999)/SUMIFS(Raw_Data_Daily!$D:$D, Raw_Data_Daily!$B:$B, "Control", Raw_Data_Daily!$A:$A, $A34, Raw_Data_Daily!$C:$C, $C$3),""))</f>
        <v/>
      </c>
      <c r="U34" s="132" t="str">
        <f>IF($A34="","",IFERROR(SUMPRODUCT((Raw_Data_Daily!$B$2:$B$9999="Variant")*(Raw_Data_Daily!$A$2:$A$9999=$A34)*(Raw_Data_Daily!$C$2:$C$9999=$C$3)*Raw_Data_Daily!$D$2:$D$9999*Raw_Data_Daily!$J$2:$J$9999)/SUMIFS(Raw_Data_Daily!$D:$D, Raw_Data_Daily!$B:$B, "Variant", Raw_Data_Daily!$A:$A, $A34, Raw_Data_Daily!$C:$C, $C$3),""))</f>
        <v/>
      </c>
      <c r="V34" s="130" t="str">
        <f t="shared" si="7"/>
        <v/>
      </c>
      <c r="W34" s="132" t="str">
        <f>IF($A34="","",IFERROR(SUMPRODUCT((Raw_Data_Daily!$B$2:$B$9999="Control")*(Raw_Data_Daily!$A$2:$A$9999=$A34)*(Raw_Data_Daily!$C$2:$C$9999=$C$3)*Raw_Data_Daily!$D$2:$D$9999*Raw_Data_Daily!$K$2:$K$9999)/SUMIFS(Raw_Data_Daily!$D:$D, Raw_Data_Daily!$B:$B, "Control", Raw_Data_Daily!$A:$A, $A34, Raw_Data_Daily!$C:$C, $C$3),""))</f>
        <v/>
      </c>
      <c r="X34" s="132" t="str">
        <f>IF($A34="","",IFERROR(SUMPRODUCT((Raw_Data_Daily!$B$2:$B$9999="Variant")*(Raw_Data_Daily!$A$2:$A$9999=$A34)*(Raw_Data_Daily!$C$2:$C$9999=$C$3)*Raw_Data_Daily!$D$2:$D$9999*Raw_Data_Daily!$K$2:$K$9999)/SUMIFS(Raw_Data_Daily!$D:$D, Raw_Data_Daily!$B:$B, "Variant", Raw_Data_Daily!$A:$A, $A34, Raw_Data_Daily!$C:$C, $C$3),""))</f>
        <v/>
      </c>
      <c r="Y34" s="130" t="str">
        <f t="shared" si="8"/>
        <v/>
      </c>
      <c r="Z34" s="132" t="str">
        <f>IF($A34="","",IFERROR(SUMPRODUCT((Raw_Data_Daily!$B$2:$B$9999="Control")*(Raw_Data_Daily!$A$2:$A$9999=$A34)*(Raw_Data_Daily!$C$2:$C$9999=$C$3)*Raw_Data_Daily!$D$2:$D$9999*Raw_Data_Daily!$L$2:$L$9999)/SUMIFS(Raw_Data_Daily!$D:$D, Raw_Data_Daily!$B:$B, "Control", Raw_Data_Daily!$A:$A, $A34, Raw_Data_Daily!$C:$C, $C$3),""))</f>
        <v/>
      </c>
      <c r="AA34" s="132" t="str">
        <f>IF($A34="","",IFERROR(SUMPRODUCT((Raw_Data_Daily!$B$2:$B$9999="Variant")*(Raw_Data_Daily!$A$2:$A$9999=$A34)*(Raw_Data_Daily!$C$2:$C$9999=$C$3)*Raw_Data_Daily!$D$2:$D$9999*Raw_Data_Daily!$L$2:$L$9999)/SUMIFS(Raw_Data_Daily!$D:$D, Raw_Data_Daily!$B:$B, "Variant", Raw_Data_Daily!$A:$A, $A34, Raw_Data_Daily!$C:$C, $C$3),""))</f>
        <v/>
      </c>
      <c r="AB34" s="130" t="str">
        <f t="shared" si="9"/>
        <v/>
      </c>
      <c r="AC34" s="137" t="str">
        <f>IF($A34="","",IFERROR(SUMPRODUCT((Raw_Data_Daily!$B$2:$B$9999="Control")*(Raw_Data_Daily!$A$2:$A$9999=$A34)*(Raw_Data_Daily!$C$2:$C$9999=$C$3)*Raw_Data_Daily!$D$2:$D$9999*Raw_Data_Daily!$M$2:$M$9999)/SUMIFS(Raw_Data_Daily!$D:$D, Raw_Data_Daily!$B:$B, "Control", Raw_Data_Daily!$A:$A, $A34, Raw_Data_Daily!$C:$C, $C$3),""))</f>
        <v/>
      </c>
      <c r="AD34" s="137" t="str">
        <f>IF($A34="","",IFERROR(SUMPRODUCT((Raw_Data_Daily!$B$2:$B$9999="Variant")*(Raw_Data_Daily!$A$2:$A$9999=$A34)*(Raw_Data_Daily!$C$2:$C$9999=$C$3)*Raw_Data_Daily!$D$2:$D$9999*Raw_Data_Daily!$M$2:$M$9999)/SUMIFS(Raw_Data_Daily!$D:$D, Raw_Data_Daily!$B:$B, "Variant", Raw_Data_Daily!$A:$A, $A34, Raw_Data_Daily!$C:$C, $C$3),""))</f>
        <v/>
      </c>
      <c r="AE34" s="139" t="str">
        <f t="shared" si="10"/>
        <v/>
      </c>
      <c r="AF34" s="137" t="str">
        <f>IF($A34="","",IFERROR(SUMPRODUCT((Raw_Data_Daily!$B$2:$B$9999="Control")*(Raw_Data_Daily!$A$2:$A$9999=$A34)*(Raw_Data_Daily!$C$2:$C$9999=$C$3)*Raw_Data_Daily!$D$2:$D$9999*Raw_Data_Daily!$N$2:$N$9999)/SUMIFS(Raw_Data_Daily!$D:$D, Raw_Data_Daily!$B:$B, "Control", Raw_Data_Daily!$A:$A, $A34, Raw_Data_Daily!$C:$C, $C$3),""))</f>
        <v/>
      </c>
      <c r="AG34" s="137" t="str">
        <f>IF($A34="","",IFERROR(SUMPRODUCT((Raw_Data_Daily!$B$2:$B$9999="Variant")*(Raw_Data_Daily!$A$2:$A$9999=$A34)*(Raw_Data_Daily!$C$2:$C$9999=$C$3)*Raw_Data_Daily!$D$2:$D$9999*Raw_Data_Daily!$N$2:$N$9999)/SUMIFS(Raw_Data_Daily!$D:$D, Raw_Data_Daily!$B:$B, "Variant", Raw_Data_Daily!$A:$A, $A34, Raw_Data_Daily!$C:$C, $C$3),""))</f>
        <v/>
      </c>
      <c r="AH34" s="139" t="str">
        <f t="shared" si="11"/>
        <v/>
      </c>
      <c r="AI34" s="137" t="str">
        <f>IF($A34="","",IFERROR(SUMPRODUCT((Raw_Data_Daily!$B$2:$B$9999="Control")*(Raw_Data_Daily!$A$2:$A$9999=$A34)*(Raw_Data_Daily!$C$2:$C$9999=$C$3)*Raw_Data_Daily!$D$2:$D$9999*Raw_Data_Daily!$O$2:$O$9999)/SUMIFS(Raw_Data_Daily!$D:$D, Raw_Data_Daily!$B:$B, "Control", Raw_Data_Daily!$A:$A, $A34, Raw_Data_Daily!$C:$C, $C$3),""))</f>
        <v/>
      </c>
      <c r="AJ34" s="137" t="str">
        <f>IF($A34="","",IFERROR(SUMPRODUCT((Raw_Data_Daily!$B$2:$B$9999="Variant")*(Raw_Data_Daily!$A$2:$A$9999=$A34)*(Raw_Data_Daily!$C$2:$C$9999=$C$3)*Raw_Data_Daily!$D$2:$D$9999*Raw_Data_Daily!$O$2:$O$9999)/SUMIFS(Raw_Data_Daily!$D:$D, Raw_Data_Daily!$B:$B, "Variant", Raw_Data_Daily!$A:$A, $A34, Raw_Data_Daily!$C:$C, $C$3),""))</f>
        <v/>
      </c>
      <c r="AK34" s="130" t="str">
        <f t="shared" si="12"/>
        <v/>
      </c>
      <c r="AL34" s="132" t="str">
        <f>IF($A34="","",IFERROR(SUMPRODUCT((Raw_Data_Daily!$B$2:$B$9999="Control")*(Raw_Data_Daily!$A$2:$A$9999=$A34)*(Raw_Data_Daily!$C$2:$C$9999=$C$3)*Raw_Data_Daily!$D$2:$D$9999*Raw_Data_Daily!$P$2:$P$9999)/SUMIFS(Raw_Data_Daily!$D:$D, Raw_Data_Daily!$B:$B, "Control", Raw_Data_Daily!$A:$A, $A34, Raw_Data_Daily!$C:$C, $C$3),""))</f>
        <v/>
      </c>
      <c r="AM34" s="132" t="str">
        <f>IF($A34="","",IFERROR(SUMPRODUCT((Raw_Data_Daily!$B$2:$B$9999="Variant")*(Raw_Data_Daily!$A$2:$A$9999=$A34)*(Raw_Data_Daily!$C$2:$C$9999=$C$3)*Raw_Data_Daily!$D$2:$D$9999*Raw_Data_Daily!$P$2:$P$9999)/SUMIFS(Raw_Data_Daily!$D:$D, Raw_Data_Daily!$B:$B, "Variant", Raw_Data_Daily!$A:$A, $A34, Raw_Data_Daily!$C:$C, $C$3),""))</f>
        <v/>
      </c>
      <c r="AN34" s="130" t="str">
        <f t="shared" si="13"/>
        <v/>
      </c>
      <c r="AO34" s="132" t="str">
        <f>IF($A34="","",IFERROR(SUMPRODUCT((Raw_Data_Daily!$B$2:$B$9999="Control")*(Raw_Data_Daily!$A$2:$A$9999=$A34)*(Raw_Data_Daily!$C$2:$C$9999=$C$3)*Raw_Data_Daily!$D$2:$D$9999*Raw_Data_Daily!$Q$2:$Q$9999)/SUMIFS(Raw_Data_Daily!$D:$D, Raw_Data_Daily!$B:$B, "Control", Raw_Data_Daily!$A:$A, $A34, Raw_Data_Daily!$C:$C, $C$3),""))</f>
        <v/>
      </c>
      <c r="AP34" s="132" t="str">
        <f>IF($A34="","",IFERROR(SUMPRODUCT((Raw_Data_Daily!$B$2:$B$9999="Variant")*(Raw_Data_Daily!$A$2:$A$9999=$A34)*(Raw_Data_Daily!$C$2:$C$9999=$C$3)*Raw_Data_Daily!$D$2:$D$9999*Raw_Data_Daily!$Q$2:$Q$9999)/SUMIFS(Raw_Data_Daily!$D:$D, Raw_Data_Daily!$B:$B, "Variant", Raw_Data_Daily!$A:$A, $A34, Raw_Data_Daily!$C:$C, $C$3),""))</f>
        <v/>
      </c>
      <c r="AQ34" s="127" t="str">
        <f t="shared" si="14"/>
        <v/>
      </c>
      <c r="AR34" s="132" t="str">
        <f>IF($A34="","",IFERROR(SUMPRODUCT((Raw_Data_Daily!$B$2:$B$9999="Control")*(Raw_Data_Daily!$A$2:$A$9999=$A34)*(Raw_Data_Daily!$C$2:$C$9999=$C$3)*Raw_Data_Daily!$D$2:$D$9999*Raw_Data_Daily!$R$2:$R$9999)/SUMIFS(Raw_Data_Daily!$D:$D, Raw_Data_Daily!$B:$B, "Control", Raw_Data_Daily!$A:$A, $A34, Raw_Data_Daily!$C:$C, $C$3),""))</f>
        <v/>
      </c>
      <c r="AS34" s="132" t="str">
        <f>IF($A34="","",IFERROR(SUMPRODUCT((Raw_Data_Daily!$B$2:$B$9999="Variant")*(Raw_Data_Daily!$A$2:$A$9999=$A34)*(Raw_Data_Daily!$C$2:$C$9999=$C$3)*Raw_Data_Daily!$D$2:$D$9999*Raw_Data_Daily!$R$2:$R$9999)/SUMIFS(Raw_Data_Daily!$D:$D, Raw_Data_Daily!$B:$B, "Variant", Raw_Data_Daily!$A:$A, $A34, Raw_Data_Daily!$C:$C, $C$3),""))</f>
        <v/>
      </c>
      <c r="AT34" s="127" t="str">
        <f t="shared" si="15"/>
        <v/>
      </c>
      <c r="AU34" s="132" t="str">
        <f>IF($A34="","",IFERROR(SUMPRODUCT((Raw_Data_Daily!$B$2:$B$9999="Control")*(Raw_Data_Daily!$A$2:$A$9999=$A34)*(Raw_Data_Daily!$C$2:$C$9999=$C$3)*Raw_Data_Daily!$D$2:$D$9999*Raw_Data_Daily!$S$2:$S$9999)/SUMIFS(Raw_Data_Daily!$D:$D, Raw_Data_Daily!$B:$B, "Control", Raw_Data_Daily!$A:$A, $A34, Raw_Data_Daily!$C:$C, $C$3),""))</f>
        <v/>
      </c>
      <c r="AV34" s="132" t="str">
        <f>IF($A34="","",IFERROR(SUMPRODUCT((Raw_Data_Daily!$B$2:$B$9999="Variant")*(Raw_Data_Daily!$A$2:$A$9999=$A34)*(Raw_Data_Daily!$C$2:$C$9999=$C$3)*Raw_Data_Daily!$D$2:$D$9999*Raw_Data_Daily!$S$2:$S$9999)/SUMIFS(Raw_Data_Daily!$D:$D, Raw_Data_Daily!$B:$B, "Variant", Raw_Data_Daily!$A:$A, $A34, Raw_Data_Daily!$C:$C, $C$3),""))</f>
        <v/>
      </c>
      <c r="AW34" s="127" t="str">
        <f t="shared" si="16"/>
        <v/>
      </c>
      <c r="AX34" s="132" t="str">
        <f>IF($A34="","",IFERROR(SUMPRODUCT((Raw_Data_Daily!$B$2:$B$9999="Control")*(Raw_Data_Daily!$A$2:$A$9999=$A34)*(Raw_Data_Daily!$C$2:$C$9999=$C$3)*Raw_Data_Daily!$D$2:$D$9999*Raw_Data_Daily!$T$2:$T$9999)/SUMIFS(Raw_Data_Daily!$D:$D, Raw_Data_Daily!$B:$B, "Control", Raw_Data_Daily!$A:$A, $A34, Raw_Data_Daily!$C:$C, $C$3),""))</f>
        <v/>
      </c>
      <c r="AY34" s="132" t="str">
        <f>IF($A34="","",IFERROR(SUMPRODUCT((Raw_Data_Daily!$B$2:$B$9999="Variant")*(Raw_Data_Daily!$A$2:$A$9999=$A34)*(Raw_Data_Daily!$C$2:$C$9999=$C$3)*Raw_Data_Daily!$D$2:$D$9999*Raw_Data_Daily!$T$2:$T$9999)/SUMIFS(Raw_Data_Daily!$D:$D, Raw_Data_Daily!$B:$B, "Variant", Raw_Data_Daily!$A:$A, $A34, Raw_Data_Daily!$C:$C, $C$3),""))</f>
        <v/>
      </c>
      <c r="AZ34" s="130" t="str">
        <f t="shared" si="17"/>
        <v/>
      </c>
      <c r="BA34" s="132" t="str">
        <f>IF($A34="","",IFERROR(SUMPRODUCT((Raw_Data_Daily!$B$2:$B$9999="Control")*(Raw_Data_Daily!$A$2:$A$9999=$A34)*(Raw_Data_Daily!$C$2:$C$9999=$C$3)*Raw_Data_Daily!$D$2:$D$9999*Raw_Data_Daily!$U$2:$U$9999)/SUMIFS(Raw_Data_Daily!$D:$D, Raw_Data_Daily!$B:$B, "Control", Raw_Data_Daily!$A:$A, $A34, Raw_Data_Daily!$C:$C, $C$3),""))</f>
        <v/>
      </c>
      <c r="BB34" s="132" t="str">
        <f>IF($A34="","",IFERROR(SUMPRODUCT((Raw_Data_Daily!$B$2:$B$9999="Variant")*(Raw_Data_Daily!$A$2:$A$9999=$A34)*(Raw_Data_Daily!$C$2:$C$9999=$C$3)*Raw_Data_Daily!$D$2:$D$9999*Raw_Data_Daily!$U$2:$U$9999)/SUMIFS(Raw_Data_Daily!$D:$D, Raw_Data_Daily!$B:$B, "Variant", Raw_Data_Daily!$A:$A, $A34, Raw_Data_Daily!$C:$C, $C$3),""))</f>
        <v/>
      </c>
      <c r="BC34" s="127" t="str">
        <f t="shared" si="18"/>
        <v/>
      </c>
      <c r="BD34" s="132" t="str">
        <f>IF($A34="","",IFERROR(SUMPRODUCT((Raw_Data_Daily!$B$2:$B$9999="Control")*(Raw_Data_Daily!$A$2:$A$9999=$A34)*(Raw_Data_Daily!$C$2:$C$9999=$C$3)*Raw_Data_Daily!$D$2:$D$9999*Raw_Data_Daily!$V$2:$V$9999)/SUMIFS(Raw_Data_Daily!$D:$D, Raw_Data_Daily!$B:$B, "Control", Raw_Data_Daily!$A:$A, $A34, Raw_Data_Daily!$C:$C, $C$3),""))</f>
        <v/>
      </c>
      <c r="BE34" s="132" t="str">
        <f>IF($A34="","",IFERROR(SUMPRODUCT((Raw_Data_Daily!$B$2:$B$9999="Variant")*(Raw_Data_Daily!$A$2:$A$9999=$A34)*(Raw_Data_Daily!$C$2:$C$9999=$C$3)*Raw_Data_Daily!$D$2:$D$9999*Raw_Data_Daily!$V$2:$V$9999)/SUMIFS(Raw_Data_Daily!$D:$D, Raw_Data_Daily!$B:$B, "Variant", Raw_Data_Daily!$A:$A, $A34, Raw_Data_Daily!$C:$C, $C$3),""))</f>
        <v/>
      </c>
      <c r="BF34" s="127" t="str">
        <f t="shared" si="19"/>
        <v/>
      </c>
      <c r="BG34" s="132" t="str">
        <f>IF($A34="","",IFERROR(SUMPRODUCT((Raw_Data_Daily!$B$2:$B$9999="Control")*(Raw_Data_Daily!$A$2:$A$9999=$A34)*(Raw_Data_Daily!$C$2:$C$9999=$C$3)*Raw_Data_Daily!$D$2:$D$9999*(Raw_Data_Daily!$Q$2:$Q$9999-Raw_Data_Daily!$V$2:$V$9999))/SUMIFS(Raw_Data_Daily!$D:$D, Raw_Data_Daily!$B:$B, "Control", Raw_Data_Daily!$A:$A, $A34, Raw_Data_Daily!$C:$C, $C$3),""))</f>
        <v/>
      </c>
      <c r="BH34" s="132" t="str">
        <f>IF($A34="","",IFERROR(SUMPRODUCT((Raw_Data_Daily!$B$2:$B$9999="Variant")*(Raw_Data_Daily!$A$2:$A$9999=$A34)*(Raw_Data_Daily!$C$2:$C$9999=$C$3)*Raw_Data_Daily!$D$2:$D$9999*(Raw_Data_Daily!$Q$2:$Q$9999-Raw_Data_Daily!$V$2:$V$9999))/SUMIFS(Raw_Data_Daily!$D:$D, Raw_Data_Daily!$B:$B, "Variant", Raw_Data_Daily!$A:$A, $A34, Raw_Data_Daily!$C:$C, $C$3),""))</f>
        <v/>
      </c>
      <c r="BI34" s="127" t="str">
        <f t="shared" si="20"/>
        <v/>
      </c>
      <c r="BJ34" s="132" t="str">
        <f>IF($A34="","",IFERROR(SUMPRODUCT((Raw_Data_Daily!$B$2:$B$9999="Control")*(Raw_Data_Daily!$A$2:$A$9999=$A34)*(Raw_Data_Daily!$C$2:$C$9999=$C$3)*Raw_Data_Daily!$D$2:$D$9999*Raw_Data_Daily!$W$2:$W$9999)/SUMIFS(Raw_Data_Daily!$D:$D, Raw_Data_Daily!$B:$B, "Control", Raw_Data_Daily!$A:$A, $A34, Raw_Data_Daily!$C:$C, $C$3),""))</f>
        <v/>
      </c>
      <c r="BK34" s="132" t="str">
        <f>IF($A34="","",IFERROR(SUMPRODUCT((Raw_Data_Daily!$B$2:$B$9999="Variant")*(Raw_Data_Daily!$A$2:$A$9999=$A34)*(Raw_Data_Daily!$C$2:$C$9999=$C$3)*Raw_Data_Daily!$D$2:$D$9999*Raw_Data_Daily!$W$2:$W$9999)/SUMIFS(Raw_Data_Daily!$D:$D, Raw_Data_Daily!$B:$B, "Variant", Raw_Data_Daily!$A:$A, $A34, Raw_Data_Daily!$C:$C, $C$3),""))</f>
        <v/>
      </c>
      <c r="BL34" s="127" t="str">
        <f t="shared" si="21"/>
        <v/>
      </c>
      <c r="BM34" s="137" t="str">
        <f>IF($A34="","",IFERROR(SUMPRODUCT((Raw_Data_Daily!$B$2:$B$9999="Control")*(Raw_Data_Daily!$A$2:$A$9999=$A34)*(Raw_Data_Daily!$C$2:$C$9999=$C$3)*Raw_Data_Daily!$D$2:$D$9999*Raw_Data_Daily!$X$2:$X$9999)/SUMIFS(Raw_Data_Daily!$D:$D, Raw_Data_Daily!$B:$B, "Control", Raw_Data_Daily!$A:$A, $A34, Raw_Data_Daily!$C:$C, $C$3),""))</f>
        <v/>
      </c>
      <c r="BN34" s="137" t="str">
        <f>IF($A34="","",IFERROR(SUMPRODUCT((Raw_Data_Daily!$B$2:$B$9999="Variant")*(Raw_Data_Daily!$A$2:$A$9999=$A34)*(Raw_Data_Daily!$C$2:$C$9999=$C$3)*Raw_Data_Daily!$D$2:$D$9999*Raw_Data_Daily!$X$2:$X$9999)/SUMIFS(Raw_Data_Daily!$D:$D, Raw_Data_Daily!$B:$B, "Variant", Raw_Data_Daily!$A:$A, $A34, Raw_Data_Daily!$C:$C, $C$3),""))</f>
        <v/>
      </c>
      <c r="BO34" s="130" t="str">
        <f t="shared" si="22"/>
        <v/>
      </c>
      <c r="BP34" s="126" t="str">
        <f>IF($A34="","",IFERROR(SUMPRODUCT((Raw_Data_Daily!$B$2:$B$9999="Control")*(Raw_Data_Daily!$A$2:$A$9999=$A34)*(Raw_Data_Daily!$C$2:$C$9999=$C$3)*Raw_Data_Daily!$D$2:$D$9999*Raw_Data_Daily!$Y$2:$Y$9999)/SUMIFS(Raw_Data_Daily!$D:$D, Raw_Data_Daily!$B:$B, "Control", Raw_Data_Daily!$A:$A, $A34, Raw_Data_Daily!$C:$C, $C$3),""))</f>
        <v/>
      </c>
      <c r="BQ34" s="126" t="str">
        <f>IF($A34="","",IFERROR(SUMPRODUCT((Raw_Data_Daily!$B$2:$B$9999="Variant")*(Raw_Data_Daily!$A$2:$A$9999=$A34)*(Raw_Data_Daily!$C$2:$C$9999=$C$3)*Raw_Data_Daily!$D$2:$D$9999*Raw_Data_Daily!$Y$2:$Y$9999)/SUMIFS(Raw_Data_Daily!$D:$D, Raw_Data_Daily!$B:$B, "Variant", Raw_Data_Daily!$A:$A, $A34, Raw_Data_Daily!$C:$C, $C$3),""))</f>
        <v/>
      </c>
      <c r="BR34" s="127" t="str">
        <f t="shared" si="23"/>
        <v/>
      </c>
      <c r="BS34" s="126" t="str">
        <f>IF($A34="","",IFERROR(SUMPRODUCT((Raw_Data_Daily!$B$2:$B$9999="Control")*(Raw_Data_Daily!$A$2:$A$9999=$A34)*(Raw_Data_Daily!$C$2:$C$9999=$C$3)*Raw_Data_Daily!$D$2:$D$9999*Raw_Data_Daily!$Z$2:$Z$9999)/SUMIFS(Raw_Data_Daily!$D:$D, Raw_Data_Daily!$B:$B, "Control", Raw_Data_Daily!$A:$A, $A34, Raw_Data_Daily!$C:$C, $C$3),""))</f>
        <v/>
      </c>
      <c r="BT34" s="126" t="str">
        <f>IF($A34="","",IFERROR(SUMPRODUCT((Raw_Data_Daily!$B$2:$B$9999="Variant")*(Raw_Data_Daily!$A$2:$A$9999=$A34)*(Raw_Data_Daily!$C$2:$C$9999=$C$3)*Raw_Data_Daily!$D$2:$D$9999*Raw_Data_Daily!$Z$2:$Z$9999)/SUMIFS(Raw_Data_Daily!$D:$D, Raw_Data_Daily!$B:$B, "Variant", Raw_Data_Daily!$A:$A, $A34, Raw_Data_Daily!$C:$C, $C$3),""))</f>
        <v/>
      </c>
      <c r="BU34" s="127" t="str">
        <f t="shared" si="24"/>
        <v/>
      </c>
      <c r="BV34" s="126" t="str">
        <f>IF($A34="","",IFERROR(SUMPRODUCT((Raw_Data_Daily!$B$2:$B$9999="Control")*(Raw_Data_Daily!$A$2:$A$9999=$A34)*(Raw_Data_Daily!$C$2:$C$9999=$C$3)*Raw_Data_Daily!$D$2:$D$9999*Raw_Data_Daily!$AA$2:$AA$9999)/SUMIFS(Raw_Data_Daily!$D:$D, Raw_Data_Daily!$B:$B, "Control", Raw_Data_Daily!$A:$A, $A34, Raw_Data_Daily!$C:$C, $C$3),""))</f>
        <v/>
      </c>
      <c r="BW34" s="126" t="str">
        <f>IF($A34="","",IFERROR(SUMPRODUCT((Raw_Data_Daily!$B$2:$B$9999="Variant")*(Raw_Data_Daily!$A$2:$A$9999=$A34)*(Raw_Data_Daily!$C$2:$C$9999=$C$3)*Raw_Data_Daily!$D$2:$D$9999*Raw_Data_Daily!$AA$2:$AA$9999)/SUMIFS(Raw_Data_Daily!$D:$D, Raw_Data_Daily!$B:$B, "Variant", Raw_Data_Daily!$A:$A, $A34, Raw_Data_Daily!$C:$C, $C$3),""))</f>
        <v/>
      </c>
      <c r="BX34" s="127" t="str">
        <f t="shared" si="25"/>
        <v/>
      </c>
      <c r="BY34" s="132" t="str">
        <f>IF($A34="","",IFERROR(SUMPRODUCT((Raw_Data_Daily!$B$2:$B$9999="Control")*(Raw_Data_Daily!$A$2:$A$9999=$A34)*(Raw_Data_Daily!$C$2:$C$9999=$C$3)*Raw_Data_Daily!$D$2:$D$9999*Raw_Data_Daily!$AB$2:$AB$9999)/SUMIFS(Raw_Data_Daily!$D:$D, Raw_Data_Daily!$B:$B, "Control", Raw_Data_Daily!$A:$A, $A34, Raw_Data_Daily!$C:$C, $C$3),""))</f>
        <v/>
      </c>
      <c r="BZ34" s="132" t="str">
        <f>IF($A34="","",IFERROR(SUMPRODUCT((Raw_Data_Daily!$B$2:$B$9999="Variant")*(Raw_Data_Daily!$A$2:$A$9999=$A34)*(Raw_Data_Daily!$C$2:$C$9999=$C$3)*Raw_Data_Daily!$D$2:$D$9999*Raw_Data_Daily!$AB$2:$AB$9999)/SUMIFS(Raw_Data_Daily!$D:$D, Raw_Data_Daily!$B:$B, "Variant", Raw_Data_Daily!$A:$A, $A34, Raw_Data_Daily!$C:$C, $C$3),""))</f>
        <v/>
      </c>
      <c r="CA34" s="130" t="str">
        <f t="shared" si="26"/>
        <v/>
      </c>
      <c r="CB34" s="132" t="str">
        <f>IF($A34="","",IFERROR(SUMPRODUCT((Raw_Data_Daily!$B$2:$B$9999="Control")*(Raw_Data_Daily!$A$2:$A$9999=$A34)*(Raw_Data_Daily!$C$2:$C$9999=$C$3)*Raw_Data_Daily!$D$2:$D$9999*Raw_Data_Daily!$AC$2:$AC$9999)/SUMIFS(Raw_Data_Daily!$D:$D, Raw_Data_Daily!$B:$B, "Control", Raw_Data_Daily!$A:$A, $A34, Raw_Data_Daily!$C:$C, $C$3),""))</f>
        <v/>
      </c>
      <c r="CC34" s="132" t="str">
        <f>IF($A34="","",IFERROR(SUMPRODUCT((Raw_Data_Daily!$B$2:$B$9999="Variant")*(Raw_Data_Daily!$A$2:$A$9999=$A34)*(Raw_Data_Daily!$C$2:$C$9999=$C$3)*Raw_Data_Daily!$D$2:$D$9999*Raw_Data_Daily!$AC$2:$AC$9999)/SUMIFS(Raw_Data_Daily!$D:$D, Raw_Data_Daily!$B:$B, "Variant", Raw_Data_Daily!$A:$A, $A34, Raw_Data_Daily!$C:$C, $C$3),""))</f>
        <v/>
      </c>
      <c r="CD34" s="130" t="str">
        <f t="shared" si="27"/>
        <v/>
      </c>
      <c r="CE34" s="132" t="str">
        <f>IF($A34="","",IFERROR(SUMPRODUCT((Raw_Data_Daily!$B$2:$B$9999="Control")*(Raw_Data_Daily!$A$2:$A$9999=$A34)*(Raw_Data_Daily!$C$2:$C$9999=$C$3)*Raw_Data_Daily!$D$2:$D$9999*Raw_Data_Daily!$AD$2:$AD$9999)/SUMIFS(Raw_Data_Daily!$D:$D, Raw_Data_Daily!$B:$B, "Control", Raw_Data_Daily!$A:$A, $A34, Raw_Data_Daily!$C:$C, $C$3),""))</f>
        <v/>
      </c>
      <c r="CF34" s="132" t="str">
        <f>IF($A34="","",IFERROR(SUMPRODUCT((Raw_Data_Daily!$B$2:$B$9999="Variant")*(Raw_Data_Daily!$A$2:$A$9999=$A34)*(Raw_Data_Daily!$C$2:$C$9999=$C$3)*Raw_Data_Daily!$D$2:$D$9999*Raw_Data_Daily!$AD$2:$AD$9999)/SUMIFS(Raw_Data_Daily!$D:$D, Raw_Data_Daily!$B:$B, "Variant", Raw_Data_Daily!$A:$A, $A34, Raw_Data_Daily!$C:$C, $C$3),""))</f>
        <v/>
      </c>
      <c r="CG34" s="130" t="str">
        <f t="shared" si="28"/>
        <v/>
      </c>
      <c r="CH34" s="132" t="str">
        <f>IF($A34="","",IFERROR(SUMPRODUCT((Raw_Data_Daily!$B$2:$B$9999="Control")*(Raw_Data_Daily!$A$2:$A$9999=$A34)*(Raw_Data_Daily!$C$2:$C$9999=$C$3)*Raw_Data_Daily!$D$2:$D$9999*Raw_Data_Daily!$AE$2:$AE$9999)/SUMIFS(Raw_Data_Daily!$D:$D, Raw_Data_Daily!$B:$B, "Control", Raw_Data_Daily!$A:$A, $A34, Raw_Data_Daily!$C:$C, $C$3),""))</f>
        <v/>
      </c>
      <c r="CI34" s="132" t="str">
        <f>IF($A34="","",IFERROR(SUMPRODUCT((Raw_Data_Daily!$B$2:$B$9999="Variant")*(Raw_Data_Daily!$A$2:$A$9999=$A34)*(Raw_Data_Daily!$C$2:$C$9999=$C$3)*Raw_Data_Daily!$D$2:$D$9999*Raw_Data_Daily!$AE$2:$AE$9999)/SUMIFS(Raw_Data_Daily!$D:$D, Raw_Data_Daily!$B:$B, "Variant", Raw_Data_Daily!$A:$A, $A34, Raw_Data_Daily!$C:$C, $C$3),""))</f>
        <v/>
      </c>
      <c r="CJ34" s="130" t="str">
        <f t="shared" si="29"/>
        <v/>
      </c>
      <c r="CK34" s="132" t="str">
        <f>IF($A34="","",IFERROR(SUMPRODUCT((Raw_Data_Daily!$B$2:$B$9999="Control")*(Raw_Data_Daily!$A$2:$A$9999=$A34)*(Raw_Data_Daily!$C$2:$C$9999=$C$3)*Raw_Data_Daily!$D$2:$D$9999*Raw_Data_Daily!$AF$2:$AF$9999)/SUMIFS(Raw_Data_Daily!$D:$D, Raw_Data_Daily!$B:$B, "Control", Raw_Data_Daily!$A:$A, $A34, Raw_Data_Daily!$C:$C, $C$3),""))</f>
        <v/>
      </c>
      <c r="CL34" s="132" t="str">
        <f>IF($A34="","",IFERROR(SUMPRODUCT((Raw_Data_Daily!$B$2:$B$9999="Variant")*(Raw_Data_Daily!$A$2:$A$9999=$A34)*(Raw_Data_Daily!$C$2:$C$9999=$C$3)*Raw_Data_Daily!$D$2:$D$9999*Raw_Data_Daily!$AF$2:$AF$9999)/SUMIFS(Raw_Data_Daily!$D:$D, Raw_Data_Daily!$B:$B, "Variant", Raw_Data_Daily!$A:$A, $A34, Raw_Data_Daily!$C:$C, $C$3),""))</f>
        <v/>
      </c>
      <c r="CM34" s="130" t="str">
        <f t="shared" si="30"/>
        <v/>
      </c>
      <c r="CN34" s="132" t="str">
        <f>IF($A34="","",IFERROR(SUMPRODUCT((Raw_Data_Daily!$B$2:$B$9999="Control")*(Raw_Data_Daily!$A$2:$A$9999=$A34)*(Raw_Data_Daily!$C$2:$C$9999=$C$3)*Raw_Data_Daily!$D$2:$D$9999*Raw_Data_Daily!$AG$2:$AG$9999)/SUMIFS(Raw_Data_Daily!$D:$D, Raw_Data_Daily!$B:$B, "Control", Raw_Data_Daily!$A:$A, $A34, Raw_Data_Daily!$C:$C, $C$3),""))</f>
        <v/>
      </c>
      <c r="CO34" s="132" t="str">
        <f>IF($A34="","",IFERROR(SUMPRODUCT((Raw_Data_Daily!$B$2:$B$9999="Variant")*(Raw_Data_Daily!$A$2:$A$9999=$A34)*(Raw_Data_Daily!$C$2:$C$9999=$C$3)*Raw_Data_Daily!$D$2:$D$9999*Raw_Data_Daily!$AG$2:$AG$9999)/SUMIFS(Raw_Data_Daily!$D:$D, Raw_Data_Daily!$B:$B, "Variant", Raw_Data_Daily!$A:$A, $A34, Raw_Data_Daily!$C:$C, $C$3),""))</f>
        <v/>
      </c>
      <c r="CP34" s="130" t="str">
        <f t="shared" si="31"/>
        <v/>
      </c>
      <c r="CQ34" s="132" t="str">
        <f>IF($A34="","",IFERROR(SUMPRODUCT((Raw_Data_Daily!$B$2:$B$9999="Control")*(Raw_Data_Daily!$A$2:$A$9999=$A34)*(Raw_Data_Daily!$C$2:$C$9999=$C$3)*Raw_Data_Daily!$D$2:$D$9999*Raw_Data_Daily!$AH$2:$AH$9999)/SUMIFS(Raw_Data_Daily!$D:$D, Raw_Data_Daily!$B:$B, "Control", Raw_Data_Daily!$A:$A, $A34, Raw_Data_Daily!$C:$C, $C$3),""))</f>
        <v/>
      </c>
      <c r="CR34" s="132" t="str">
        <f>IF($A34="","",IFERROR(SUMPRODUCT((Raw_Data_Daily!$B$2:$B$9999="Variant")*(Raw_Data_Daily!$A$2:$A$9999=$A34)*(Raw_Data_Daily!$C$2:$C$9999=$C$3)*Raw_Data_Daily!$D$2:$D$9999*Raw_Data_Daily!$AH$2:$AH$9999)/SUMIFS(Raw_Data_Daily!$D:$D, Raw_Data_Daily!$B:$B, "Variant", Raw_Data_Daily!$A:$A, $A34, Raw_Data_Daily!$C:$C, $C$3),""))</f>
        <v/>
      </c>
      <c r="CS34" s="130" t="str">
        <f t="shared" si="32"/>
        <v/>
      </c>
      <c r="CT34" s="128" t="str">
        <f>IF($A34="","",IFERROR(SUMPRODUCT((Raw_Data_Daily!$B$2:$B$9999="Control")*(Raw_Data_Daily!$A$2:$A$9999=$A34)*(Raw_Data_Daily!$C$2:$C$9999=$C$3)*Raw_Data_Daily!$D$2:$D$9999*Raw_Data_Daily!$AI$2:$AI$9999)/SUMIFS(Raw_Data_Daily!$D:$D, Raw_Data_Daily!$B:$B, "Control", Raw_Data_Daily!$A:$A, $A34, Raw_Data_Daily!$C:$C, $C$3),""))</f>
        <v/>
      </c>
      <c r="CU34" s="128" t="str">
        <f>IF($A34="","",IFERROR(SUMPRODUCT((Raw_Data_Daily!$B$2:$B$9999="Variant")*(Raw_Data_Daily!$A$2:$A$9999=$A34)*(Raw_Data_Daily!$C$2:$C$9999=$C$3)*Raw_Data_Daily!$D$2:$D$9999*Raw_Data_Daily!$AI$2:$AI$9999)/SUMIFS(Raw_Data_Daily!$D:$D, Raw_Data_Daily!$B:$B, "Variant", Raw_Data_Daily!$A:$A, $A34, Raw_Data_Daily!$C:$C, $C$3),""))</f>
        <v/>
      </c>
      <c r="CV34" s="139" t="str">
        <f t="shared" si="33"/>
        <v/>
      </c>
      <c r="CW34" s="128" t="str">
        <f>IF($A34="","",IFERROR(SUMPRODUCT((Raw_Data_Daily!$B$2:$B$9999="Control")*(Raw_Data_Daily!$A$2:$A$9999=$A34)*(Raw_Data_Daily!$C$2:$C$9999=$C$3)*Raw_Data_Daily!$D$2:$D$9999*Raw_Data_Daily!$AJ$2:$AJ$9999)/SUMIFS(Raw_Data_Daily!$D:$D, Raw_Data_Daily!$B:$B, "Control", Raw_Data_Daily!$A:$A, $A34, Raw_Data_Daily!$C:$C, $C$3),""))</f>
        <v/>
      </c>
      <c r="CX34" s="128" t="str">
        <f>IF($A34="","",IFERROR(SUMPRODUCT((Raw_Data_Daily!$B$2:$B$9999="Variant")*(Raw_Data_Daily!$A$2:$A$9999=$A34)*(Raw_Data_Daily!$C$2:$C$9999=$C$3)*Raw_Data_Daily!$D$2:$D$9999*Raw_Data_Daily!$AJ$2:$AJ$9999)/SUMIFS(Raw_Data_Daily!$D:$D, Raw_Data_Daily!$B:$B, "Variant", Raw_Data_Daily!$A:$A, $A34, Raw_Data_Daily!$C:$C, $C$3),""))</f>
        <v/>
      </c>
      <c r="CY34" s="139" t="str">
        <f t="shared" si="34"/>
        <v/>
      </c>
      <c r="CZ34" s="128" t="str">
        <f>IF($A34="","",IFERROR(SUMPRODUCT((Raw_Data_Daily!$B$2:$B$9999="Control")*(Raw_Data_Daily!$A$2:$A$9999=$A34)*(Raw_Data_Daily!$C$2:$C$9999=$C$3)*Raw_Data_Daily!$D$2:$D$9999*Raw_Data_Daily!$AK$2:$AK$9999)/SUMIFS(Raw_Data_Daily!$D:$D, Raw_Data_Daily!$B:$B, "Control", Raw_Data_Daily!$A:$A, $A34, Raw_Data_Daily!$C:$C, $C$3),""))</f>
        <v/>
      </c>
      <c r="DA34" s="128" t="str">
        <f>IF($A34="","",IFERROR(SUMPRODUCT((Raw_Data_Daily!$B$2:$B$9999="Variant")*(Raw_Data_Daily!$A$2:$A$9999=$A34)*(Raw_Data_Daily!$C$2:$C$9999=$C$3)*Raw_Data_Daily!$D$2:$D$9999*Raw_Data_Daily!$AK$2:$AK$9999)/SUMIFS(Raw_Data_Daily!$D:$D, Raw_Data_Daily!$B:$B, "Variant", Raw_Data_Daily!$A:$A, $A34, Raw_Data_Daily!$C:$C, $C$3),""))</f>
        <v/>
      </c>
      <c r="DB34" s="130" t="str">
        <f t="shared" si="35"/>
        <v/>
      </c>
      <c r="DC34" s="137" t="str">
        <f>IF($A34="","",IFERROR(SUMPRODUCT((Raw_Data_Daily!$B$2:$B$9999="Control")*(Raw_Data_Daily!$A$2:$A$9999=$A34)*(Raw_Data_Daily!$C$2:$C$9999=$C$3)*Raw_Data_Daily!$D$2:$D$9999*Raw_Data_Daily!$AL$2:$AL$9999)/SUMIFS(Raw_Data_Daily!$D:$D, Raw_Data_Daily!$B:$B, "Control", Raw_Data_Daily!$A:$A, $A34, Raw_Data_Daily!$C:$C, $C$3),""))</f>
        <v/>
      </c>
      <c r="DD34" s="137" t="str">
        <f>IF($A34="","",IFERROR(SUMPRODUCT((Raw_Data_Daily!$B$2:$B$9999="Variant")*(Raw_Data_Daily!$A$2:$A$9999=$A34)*(Raw_Data_Daily!$C$2:$C$9999=$C$3)*Raw_Data_Daily!$D$2:$D$9999*Raw_Data_Daily!$AL$2:$AL$9999)/SUMIFS(Raw_Data_Daily!$D:$D, Raw_Data_Daily!$B:$B, "Variant", Raw_Data_Daily!$A:$A, $A34, Raw_Data_Daily!$C:$C, $C$3),""))</f>
        <v/>
      </c>
      <c r="DE34" s="139" t="str">
        <f t="shared" si="36"/>
        <v/>
      </c>
      <c r="DF34" s="159"/>
      <c r="DG34" s="128" t="str">
        <f>IF($A34="","",IFERROR(SUMPRODUCT((Raw_Data_Daily!$B$2:$B$9999="Variant")*(Raw_Data_Daily!$A$2:$A$9999=$A34)*(Raw_Data_Daily!$C$2:$C$9999=$C$3)*Raw_Data_Daily!$D$2:$D$9999*Raw_Data_Daily!$AM$2:$AM$9999)/SUMIFS(Raw_Data_Daily!$D:$D, Raw_Data_Daily!$B:$B, "Variant", Raw_Data_Daily!$A:$A, $A34, Raw_Data_Daily!$C:$C, $C$3),""))</f>
        <v/>
      </c>
      <c r="DH34" s="160"/>
      <c r="DI34" s="159"/>
      <c r="DJ34" s="128" t="str">
        <f>IF($A34="","",IFERROR(SUMPRODUCT((Raw_Data_Daily!$B$2:$B$9999="Variant")*(Raw_Data_Daily!$A$2:$A$9999=$A34)*(Raw_Data_Daily!$C$2:$C$9999=$C$3)*Raw_Data_Daily!$D$2:$D$9999*Raw_Data_Daily!$AN$2:$AN$9999)/SUMIFS(Raw_Data_Daily!$D:$D, Raw_Data_Daily!$B:$B, "Variant", Raw_Data_Daily!$A:$A, $A34, Raw_Data_Daily!$C:$C, $C$3),""))</f>
        <v/>
      </c>
      <c r="DK34" s="160"/>
      <c r="DL34" s="159"/>
      <c r="DM34" s="128" t="str">
        <f>IF($A34="","",IFERROR(SUMPRODUCT((Raw_Data_Daily!$B$2:$B$9999="Variant")*(Raw_Data_Daily!$A$2:$A$9999=$A34)*(Raw_Data_Daily!$C$2:$C$9999=$C$3)*Raw_Data_Daily!$D$2:$D$9999*Raw_Data_Daily!$AO$2:$AO$9999)/SUMIFS(Raw_Data_Daily!$D:$D, Raw_Data_Daily!$B:$B, "Variant", Raw_Data_Daily!$A:$A, $A34, Raw_Data_Daily!$C:$C, $C$3),""))</f>
        <v/>
      </c>
      <c r="DN34" s="160"/>
      <c r="DO34" s="159"/>
      <c r="DP34" s="128" t="str">
        <f>IF($A34="","",IFERROR(SUMPRODUCT((Raw_Data_Daily!$B$2:$B$9999="Variant")*(Raw_Data_Daily!$A$2:$A$9999=$A34)*(Raw_Data_Daily!$C$2:$C$9999=$C$3)*Raw_Data_Daily!$D$2:$D$9999*Raw_Data_Daily!$AP$2:$AP$9999)/SUMIFS(Raw_Data_Daily!$D:$D, Raw_Data_Daily!$B:$B, "Variant", Raw_Data_Daily!$A:$A, $A34, Raw_Data_Daily!$C:$C, $C$3),""))</f>
        <v/>
      </c>
      <c r="DQ34" s="160"/>
      <c r="DR34" s="137" t="str">
        <f>IF($A34="","",IFERROR(SUMPRODUCT((Raw_Data_Daily!$B$2:$B$9999="Control")*(Raw_Data_Daily!$A$2:$A$9999=$A34)*(Raw_Data_Daily!$C$2:$C$9999=$C$3)*Raw_Data_Daily!$D$2:$D$9999*Raw_Data_Daily!$AQ$2:$AQ$9999)/SUMIFS(Raw_Data_Daily!$D:$D, Raw_Data_Daily!$B:$B, "Control", Raw_Data_Daily!$A:$A, $A34, Raw_Data_Daily!$C:$C, $C$3),""))</f>
        <v/>
      </c>
      <c r="DS34" s="137" t="str">
        <f>IF($A34="","",IFERROR(SUMPRODUCT((Raw_Data_Daily!$B$2:$B$9999="Variant")*(Raw_Data_Daily!$A$2:$A$9999=$A34)*(Raw_Data_Daily!$C$2:$C$9999=$C$3)*Raw_Data_Daily!$D$2:$D$9999*Raw_Data_Daily!$AQ$2:$AQ$9999)/SUMIFS(Raw_Data_Daily!$D:$D, Raw_Data_Daily!$B:$B, "Variant", Raw_Data_Daily!$A:$A, $A34, Raw_Data_Daily!$C:$C, $C$3),""))</f>
        <v/>
      </c>
      <c r="DT34" s="161" t="str">
        <f t="shared" si="37"/>
        <v/>
      </c>
      <c r="DU34" s="137" t="str">
        <f>IF($A34="","",IFERROR(SUMPRODUCT((Raw_Data_Daily!$B$2:$B$9999="Control")*(Raw_Data_Daily!$A$2:$A$9999=$A34)*(Raw_Data_Daily!$C$2:$C$9999=$C$3)*Raw_Data_Daily!$D$2:$D$9999*Raw_Data_Daily!$AR$2:$AR$9999)/SUMIFS(Raw_Data_Daily!$D:$D, Raw_Data_Daily!$B:$B, "Control", Raw_Data_Daily!$A:$A, $A34, Raw_Data_Daily!$C:$C, $C$3),""))</f>
        <v/>
      </c>
      <c r="DV34" s="137" t="str">
        <f>IF($A34="","",IFERROR(SUMPRODUCT((Raw_Data_Daily!$B$2:$B$9999="Variant")*(Raw_Data_Daily!$A$2:$A$9999=$A34)*(Raw_Data_Daily!$C$2:$C$9999=$C$3)*Raw_Data_Daily!$D$2:$D$9999*Raw_Data_Daily!$AR$2:$AR$9999)/SUMIFS(Raw_Data_Daily!$D:$D, Raw_Data_Daily!$B:$B, "Variant", Raw_Data_Daily!$A:$A, $A34, Raw_Data_Daily!$C:$C, $C$3),""))</f>
        <v/>
      </c>
      <c r="DW34" s="161" t="str">
        <f t="shared" si="38"/>
        <v/>
      </c>
      <c r="DX34" s="137" t="str">
        <f>IF($A34="","",IFERROR(SUMPRODUCT((Raw_Data_Daily!$B$2:$B$9999="Control")*(Raw_Data_Daily!$A$2:$A$9999=$A34)*(Raw_Data_Daily!$C$2:$C$9999=$C$3)*Raw_Data_Daily!$D$2:$D$9999*Raw_Data_Daily!$AS$2:$AS$9999)/SUMIFS(Raw_Data_Daily!$D:$D, Raw_Data_Daily!$B:$B, "Control", Raw_Data_Daily!$A:$A, $A34, Raw_Data_Daily!$C:$C, $C$3),""))</f>
        <v/>
      </c>
      <c r="DY34" s="137" t="str">
        <f>IF($A34="","",IFERROR(SUMPRODUCT((Raw_Data_Daily!$B$2:$B$9999="Variant")*(Raw_Data_Daily!$A$2:$A$9999=$A34)*(Raw_Data_Daily!$C$2:$C$9999=$C$3)*Raw_Data_Daily!$D$2:$D$9999*Raw_Data_Daily!$AS$2:$AS$9999)/SUMIFS(Raw_Data_Daily!$D:$D, Raw_Data_Daily!$B:$B, "Variant", Raw_Data_Daily!$A:$A, $A34, Raw_Data_Daily!$C:$C, $C$3),""))</f>
        <v/>
      </c>
      <c r="DZ34" s="162" t="str">
        <f t="shared" si="39"/>
        <v/>
      </c>
      <c r="EA34" s="137" t="str">
        <f>IF($A34="","",IFERROR(SUMPRODUCT((Raw_Data_Daily!$B$2:$B$9999="Control")*(Raw_Data_Daily!$A$2:$A$9999=$A34)*(Raw_Data_Daily!$C$2:$C$9999=$C$3)*Raw_Data_Daily!$D$2:$D$9999*Raw_Data_Daily!$AT$2:$AT$9999)/SUMIFS(Raw_Data_Daily!$D:$D, Raw_Data_Daily!$B:$B, "Control", Raw_Data_Daily!$A:$A, $A34, Raw_Data_Daily!$C:$C, $C$3),""))</f>
        <v/>
      </c>
      <c r="EB34" s="137" t="str">
        <f>IF($A34="","",IFERROR(SUMPRODUCT((Raw_Data_Daily!$B$2:$B$9999="Variant")*(Raw_Data_Daily!$A$2:$A$9999=$A34)*(Raw_Data_Daily!$C$2:$C$9999=$C$3)*Raw_Data_Daily!$D$2:$D$9999*Raw_Data_Daily!$AT$2:$AT$9999)/SUMIFS(Raw_Data_Daily!$D:$D, Raw_Data_Daily!$B:$B, "Variant", Raw_Data_Daily!$A:$A, $A34, Raw_Data_Daily!$C:$C, $C$3),""))</f>
        <v/>
      </c>
      <c r="EC34" s="161" t="str">
        <f t="shared" si="40"/>
        <v/>
      </c>
      <c r="ED34" s="137" t="str">
        <f>IF($A34="","",IFERROR(SUMPRODUCT((Raw_Data_Daily!$B$2:$B$9999="Control")*(Raw_Data_Daily!$A$2:$A$9999=$A34)*(Raw_Data_Daily!$C$2:$C$9999=$C$3)*Raw_Data_Daily!$D$2:$D$9999*(Raw_Data_Daily!$AQ$2:$AQ$9999-Raw_Data_Daily!$AT$2:$AT$9999))/SUMIFS(Raw_Data_Daily!$D:$D, Raw_Data_Daily!$B:$B, "Control", Raw_Data_Daily!$A:$A, $A34, Raw_Data_Daily!$C:$C, $C$3),""))</f>
        <v/>
      </c>
      <c r="EE34" s="137" t="str">
        <f>IF($A34="","",IFERROR(SUMPRODUCT((Raw_Data_Daily!$B$2:$B$9999="Variant")*(Raw_Data_Daily!$A$2:$A$9999=$A34)*(Raw_Data_Daily!$C$2:$C$9999=$C$3)*Raw_Data_Daily!$D$2:$D$9999*(Raw_Data_Daily!$AQ$2:$AQ$9999-Raw_Data_Daily!$AT$2:$AT$9999))/SUMIFS(Raw_Data_Daily!$D:$D, Raw_Data_Daily!$B:$B, "Variant", Raw_Data_Daily!$A:$A, $A34, Raw_Data_Daily!$C:$C, $C$3),""))</f>
        <v/>
      </c>
      <c r="EF34" s="162" t="str">
        <f t="shared" si="41"/>
        <v/>
      </c>
      <c r="EG34" s="137" t="str">
        <f>IF($A34="","",IFERROR(SUMPRODUCT((Raw_Data_Daily!$B$2:$B$9999="Control")*(Raw_Data_Daily!$A$2:$A$9999=$A34)*(Raw_Data_Daily!$C$2:$C$9999=$C$3)*Raw_Data_Daily!$D$2:$D$9999*Raw_Data_Daily!$AU$2:$AU$9999)/SUMIFS(Raw_Data_Daily!$D:$D, Raw_Data_Daily!$B:$B, "Control", Raw_Data_Daily!$A:$A, $A34, Raw_Data_Daily!$C:$C, $C$3),""))</f>
        <v/>
      </c>
      <c r="EH34" s="137" t="str">
        <f>IF($A34="","",IFERROR(SUMPRODUCT((Raw_Data_Daily!$B$2:$B$9999="Variant")*(Raw_Data_Daily!$A$2:$A$9999=$A34)*(Raw_Data_Daily!$C$2:$C$9999=$C$3)*Raw_Data_Daily!$D$2:$D$9999*Raw_Data_Daily!$AU$2:$AU$9999)/SUMIFS(Raw_Data_Daily!$D:$D, Raw_Data_Daily!$B:$B, "Variant", Raw_Data_Daily!$A:$A, $A34, Raw_Data_Daily!$C:$C, $C$3),""))</f>
        <v/>
      </c>
      <c r="EI34" s="161" t="str">
        <f t="shared" si="42"/>
        <v/>
      </c>
    </row>
    <row r="35" ht="15.75" customHeight="1">
      <c r="A35" s="125">
        <v>46258.0</v>
      </c>
      <c r="B35" s="126">
        <f>IF($A35="","",SUMIFS(Raw_Data_Daily!$D:$D, Raw_Data_Daily!$B:$B, "Control", Raw_Data_Daily!$A:$A, $A35, Raw_Data_Daily!$C:$C, $C$3))</f>
        <v>0</v>
      </c>
      <c r="C35" s="126">
        <f>IF($A35="","",SUMIFS(Raw_Data_Daily!$D:$D, Raw_Data_Daily!$B:$B, "Variant", Raw_Data_Daily!$A:$A, $A35, Raw_Data_Daily!$C:$C, $C$3))</f>
        <v>0</v>
      </c>
      <c r="D35" s="127" t="str">
        <f t="shared" si="1"/>
        <v/>
      </c>
      <c r="E35" s="128" t="str">
        <f>IF($A35="","",IFERROR(SUMPRODUCT((Raw_Data_Daily!$B$2:$B$9999="Control")*(Raw_Data_Daily!$A$2:$A$9999=$A35)*(Raw_Data_Daily!$C$2:$C$9999=$C$3)*Raw_Data_Daily!$D$2:$D$9999*Raw_Data_Daily!$E$2:$E$9999)/SUMIFS(Raw_Data_Daily!$D:$D, Raw_Data_Daily!$B:$B, "Control", Raw_Data_Daily!$A:$A, $A35, Raw_Data_Daily!$C:$C, $C$3),""))</f>
        <v/>
      </c>
      <c r="F35" s="128" t="str">
        <f>IF($A35="","",IFERROR(SUMPRODUCT((Raw_Data_Daily!$B$2:$B$9999="Variant")*(Raw_Data_Daily!$A$2:$A$9999=$A35)*(Raw_Data_Daily!$C$2:$C$9999=$C$3)*Raw_Data_Daily!$D$2:$D$9999*Raw_Data_Daily!$E$2:$E$9999)/SUMIFS(Raw_Data_Daily!$D:$D, Raw_Data_Daily!$B:$B, "Variant", Raw_Data_Daily!$A:$A, $A35, Raw_Data_Daily!$C:$C, $C$3),""))</f>
        <v/>
      </c>
      <c r="G35" s="127" t="str">
        <f t="shared" si="2"/>
        <v/>
      </c>
      <c r="H35" s="129">
        <f>IF($A35="","",SUMIFS(Raw_Data_Daily!$F:$F, Raw_Data_Daily!$B:$B, "Control", Raw_Data_Daily!$A:$A, $A35, Raw_Data_Daily!$C:$C, $C$3))</f>
        <v>0</v>
      </c>
      <c r="I35" s="129">
        <f>IF($A35="","",SUMIFS(Raw_Data_Daily!$F:$F, Raw_Data_Daily!$B:$B, "Variant", Raw_Data_Daily!$A:$A, $A35, Raw_Data_Daily!$C:$C, $C$3))</f>
        <v>0</v>
      </c>
      <c r="J35" s="130" t="str">
        <f t="shared" si="3"/>
        <v/>
      </c>
      <c r="K35" s="131" t="str">
        <f>IF($A35="","",IFERROR(SUMIFS(Raw_Data_Daily!$F:$F, Raw_Data_Daily!$B:$B, "Control", Raw_Data_Daily!$A:$A, $A35, Raw_Data_Daily!$C:$C, $C$3)/SUMIFS(Raw_Data_Daily!$D:$D, Raw_Data_Daily!$B:$B, "Control", Raw_Data_Daily!$A:$A, $A35, Raw_Data_Daily!$C:$C, $C$3),""))</f>
        <v/>
      </c>
      <c r="L35" s="131" t="str">
        <f>IF($A35="","",IFERROR(SUMIFS(Raw_Data_Daily!$F:$F, Raw_Data_Daily!$B:$B, "Variant", Raw_Data_Daily!$A:$A, $A35, Raw_Data_Daily!$C:$C, $C$3)/SUMIFS(Raw_Data_Daily!$D:$D, Raw_Data_Daily!$B:$B, "Variant", Raw_Data_Daily!$A:$A, $A35, Raw_Data_Daily!$C:$C, $C$3),""))</f>
        <v/>
      </c>
      <c r="M35" s="130" t="str">
        <f t="shared" si="4"/>
        <v/>
      </c>
      <c r="N35" s="128" t="str">
        <f>IF($A35="","",IFERROR(SUMPRODUCT((Raw_Data_Daily!$B$2:$B$9999="Control")*(Raw_Data_Daily!$A$2:$A$9999=$A35)*(Raw_Data_Daily!$C$2:$C$9999=$C$3)*Raw_Data_Daily!$D$2:$D$9999*Raw_Data_Daily!$H$2:$H$9999/100)/SUMIFS(Raw_Data_Daily!$D:$D, Raw_Data_Daily!$B:$B, "Control", Raw_Data_Daily!$A:$A, $A35, Raw_Data_Daily!$C:$C, $C$3)*100,""))</f>
        <v/>
      </c>
      <c r="O35" s="128" t="str">
        <f>IF($A35="","",IFERROR(SUMPRODUCT((Raw_Data_Daily!$B$2:$B$9999="Variant")*(Raw_Data_Daily!$A$2:$A$9999=$A35)*(Raw_Data_Daily!$C$2:$C$9999=$C$3)*Raw_Data_Daily!$D$2:$D$9999*Raw_Data_Daily!$H$2:$H$9999/100)/SUMIFS(Raw_Data_Daily!$D:$D, Raw_Data_Daily!$B:$B, "Variant", Raw_Data_Daily!$A:$A, $A35, Raw_Data_Daily!$C:$C, $C$3)*100,""))</f>
        <v/>
      </c>
      <c r="P35" s="130" t="str">
        <f t="shared" si="5"/>
        <v/>
      </c>
      <c r="Q35" s="131" t="str">
        <f>IF($A35="","",IFERROR(SUMIFS(Raw_Data_Daily!$F:$F, Raw_Data_Daily!$B:$B, "Control", Raw_Data_Daily!$A:$A, $A35, Raw_Data_Daily!$C:$C, $C$3)/SUMPRODUCT((Raw_Data_Daily!$B$2:$B$9999="Control")*(Raw_Data_Daily!$A$2:$A$9999=$A35)*(Raw_Data_Daily!$C$2:$C$9999=$C$3)*Raw_Data_Daily!$D$2:$D$9999*Raw_Data_Daily!$H$2:$H$9999/100),""))</f>
        <v/>
      </c>
      <c r="R35" s="131" t="str">
        <f>IF($A35="","",IFERROR(SUMIFS(Raw_Data_Daily!$F:$F, Raw_Data_Daily!$B:$B, "Variant", Raw_Data_Daily!$A:$A, $A35, Raw_Data_Daily!$C:$C, $C$3)/SUMPRODUCT((Raw_Data_Daily!$B$2:$B$9999="Variant")*(Raw_Data_Daily!$A$2:$A$9999=$A35)*(Raw_Data_Daily!$C$2:$C$9999=$C$3)*Raw_Data_Daily!$D$2:$D$9999*Raw_Data_Daily!$H$2:$H$9999/100),""))</f>
        <v/>
      </c>
      <c r="S35" s="130" t="str">
        <f t="shared" si="6"/>
        <v/>
      </c>
      <c r="T35" s="132" t="str">
        <f>IF($A35="","",IFERROR(SUMPRODUCT((Raw_Data_Daily!$B$2:$B$9999="Control")*(Raw_Data_Daily!$A$2:$A$9999=$A35)*(Raw_Data_Daily!$C$2:$C$9999=$C$3)*Raw_Data_Daily!$D$2:$D$9999*Raw_Data_Daily!$J$2:$J$9999)/SUMIFS(Raw_Data_Daily!$D:$D, Raw_Data_Daily!$B:$B, "Control", Raw_Data_Daily!$A:$A, $A35, Raw_Data_Daily!$C:$C, $C$3),""))</f>
        <v/>
      </c>
      <c r="U35" s="132" t="str">
        <f>IF($A35="","",IFERROR(SUMPRODUCT((Raw_Data_Daily!$B$2:$B$9999="Variant")*(Raw_Data_Daily!$A$2:$A$9999=$A35)*(Raw_Data_Daily!$C$2:$C$9999=$C$3)*Raw_Data_Daily!$D$2:$D$9999*Raw_Data_Daily!$J$2:$J$9999)/SUMIFS(Raw_Data_Daily!$D:$D, Raw_Data_Daily!$B:$B, "Variant", Raw_Data_Daily!$A:$A, $A35, Raw_Data_Daily!$C:$C, $C$3),""))</f>
        <v/>
      </c>
      <c r="V35" s="130" t="str">
        <f t="shared" si="7"/>
        <v/>
      </c>
      <c r="W35" s="132" t="str">
        <f>IF($A35="","",IFERROR(SUMPRODUCT((Raw_Data_Daily!$B$2:$B$9999="Control")*(Raw_Data_Daily!$A$2:$A$9999=$A35)*(Raw_Data_Daily!$C$2:$C$9999=$C$3)*Raw_Data_Daily!$D$2:$D$9999*Raw_Data_Daily!$K$2:$K$9999)/SUMIFS(Raw_Data_Daily!$D:$D, Raw_Data_Daily!$B:$B, "Control", Raw_Data_Daily!$A:$A, $A35, Raw_Data_Daily!$C:$C, $C$3),""))</f>
        <v/>
      </c>
      <c r="X35" s="132" t="str">
        <f>IF($A35="","",IFERROR(SUMPRODUCT((Raw_Data_Daily!$B$2:$B$9999="Variant")*(Raw_Data_Daily!$A$2:$A$9999=$A35)*(Raw_Data_Daily!$C$2:$C$9999=$C$3)*Raw_Data_Daily!$D$2:$D$9999*Raw_Data_Daily!$K$2:$K$9999)/SUMIFS(Raw_Data_Daily!$D:$D, Raw_Data_Daily!$B:$B, "Variant", Raw_Data_Daily!$A:$A, $A35, Raw_Data_Daily!$C:$C, $C$3),""))</f>
        <v/>
      </c>
      <c r="Y35" s="130" t="str">
        <f t="shared" si="8"/>
        <v/>
      </c>
      <c r="Z35" s="132" t="str">
        <f>IF($A35="","",IFERROR(SUMPRODUCT((Raw_Data_Daily!$B$2:$B$9999="Control")*(Raw_Data_Daily!$A$2:$A$9999=$A35)*(Raw_Data_Daily!$C$2:$C$9999=$C$3)*Raw_Data_Daily!$D$2:$D$9999*Raw_Data_Daily!$L$2:$L$9999)/SUMIFS(Raw_Data_Daily!$D:$D, Raw_Data_Daily!$B:$B, "Control", Raw_Data_Daily!$A:$A, $A35, Raw_Data_Daily!$C:$C, $C$3),""))</f>
        <v/>
      </c>
      <c r="AA35" s="132" t="str">
        <f>IF($A35="","",IFERROR(SUMPRODUCT((Raw_Data_Daily!$B$2:$B$9999="Variant")*(Raw_Data_Daily!$A$2:$A$9999=$A35)*(Raw_Data_Daily!$C$2:$C$9999=$C$3)*Raw_Data_Daily!$D$2:$D$9999*Raw_Data_Daily!$L$2:$L$9999)/SUMIFS(Raw_Data_Daily!$D:$D, Raw_Data_Daily!$B:$B, "Variant", Raw_Data_Daily!$A:$A, $A35, Raw_Data_Daily!$C:$C, $C$3),""))</f>
        <v/>
      </c>
      <c r="AB35" s="130" t="str">
        <f t="shared" si="9"/>
        <v/>
      </c>
      <c r="AC35" s="137" t="str">
        <f>IF($A35="","",IFERROR(SUMPRODUCT((Raw_Data_Daily!$B$2:$B$9999="Control")*(Raw_Data_Daily!$A$2:$A$9999=$A35)*(Raw_Data_Daily!$C$2:$C$9999=$C$3)*Raw_Data_Daily!$D$2:$D$9999*Raw_Data_Daily!$M$2:$M$9999)/SUMIFS(Raw_Data_Daily!$D:$D, Raw_Data_Daily!$B:$B, "Control", Raw_Data_Daily!$A:$A, $A35, Raw_Data_Daily!$C:$C, $C$3),""))</f>
        <v/>
      </c>
      <c r="AD35" s="137" t="str">
        <f>IF($A35="","",IFERROR(SUMPRODUCT((Raw_Data_Daily!$B$2:$B$9999="Variant")*(Raw_Data_Daily!$A$2:$A$9999=$A35)*(Raw_Data_Daily!$C$2:$C$9999=$C$3)*Raw_Data_Daily!$D$2:$D$9999*Raw_Data_Daily!$M$2:$M$9999)/SUMIFS(Raw_Data_Daily!$D:$D, Raw_Data_Daily!$B:$B, "Variant", Raw_Data_Daily!$A:$A, $A35, Raw_Data_Daily!$C:$C, $C$3),""))</f>
        <v/>
      </c>
      <c r="AE35" s="139" t="str">
        <f t="shared" si="10"/>
        <v/>
      </c>
      <c r="AF35" s="137" t="str">
        <f>IF($A35="","",IFERROR(SUMPRODUCT((Raw_Data_Daily!$B$2:$B$9999="Control")*(Raw_Data_Daily!$A$2:$A$9999=$A35)*(Raw_Data_Daily!$C$2:$C$9999=$C$3)*Raw_Data_Daily!$D$2:$D$9999*Raw_Data_Daily!$N$2:$N$9999)/SUMIFS(Raw_Data_Daily!$D:$D, Raw_Data_Daily!$B:$B, "Control", Raw_Data_Daily!$A:$A, $A35, Raw_Data_Daily!$C:$C, $C$3),""))</f>
        <v/>
      </c>
      <c r="AG35" s="137" t="str">
        <f>IF($A35="","",IFERROR(SUMPRODUCT((Raw_Data_Daily!$B$2:$B$9999="Variant")*(Raw_Data_Daily!$A$2:$A$9999=$A35)*(Raw_Data_Daily!$C$2:$C$9999=$C$3)*Raw_Data_Daily!$D$2:$D$9999*Raw_Data_Daily!$N$2:$N$9999)/SUMIFS(Raw_Data_Daily!$D:$D, Raw_Data_Daily!$B:$B, "Variant", Raw_Data_Daily!$A:$A, $A35, Raw_Data_Daily!$C:$C, $C$3),""))</f>
        <v/>
      </c>
      <c r="AH35" s="139" t="str">
        <f t="shared" si="11"/>
        <v/>
      </c>
      <c r="AI35" s="137" t="str">
        <f>IF($A35="","",IFERROR(SUMPRODUCT((Raw_Data_Daily!$B$2:$B$9999="Control")*(Raw_Data_Daily!$A$2:$A$9999=$A35)*(Raw_Data_Daily!$C$2:$C$9999=$C$3)*Raw_Data_Daily!$D$2:$D$9999*Raw_Data_Daily!$O$2:$O$9999)/SUMIFS(Raw_Data_Daily!$D:$D, Raw_Data_Daily!$B:$B, "Control", Raw_Data_Daily!$A:$A, $A35, Raw_Data_Daily!$C:$C, $C$3),""))</f>
        <v/>
      </c>
      <c r="AJ35" s="137" t="str">
        <f>IF($A35="","",IFERROR(SUMPRODUCT((Raw_Data_Daily!$B$2:$B$9999="Variant")*(Raw_Data_Daily!$A$2:$A$9999=$A35)*(Raw_Data_Daily!$C$2:$C$9999=$C$3)*Raw_Data_Daily!$D$2:$D$9999*Raw_Data_Daily!$O$2:$O$9999)/SUMIFS(Raw_Data_Daily!$D:$D, Raw_Data_Daily!$B:$B, "Variant", Raw_Data_Daily!$A:$A, $A35, Raw_Data_Daily!$C:$C, $C$3),""))</f>
        <v/>
      </c>
      <c r="AK35" s="130" t="str">
        <f t="shared" si="12"/>
        <v/>
      </c>
      <c r="AL35" s="132" t="str">
        <f>IF($A35="","",IFERROR(SUMPRODUCT((Raw_Data_Daily!$B$2:$B$9999="Control")*(Raw_Data_Daily!$A$2:$A$9999=$A35)*(Raw_Data_Daily!$C$2:$C$9999=$C$3)*Raw_Data_Daily!$D$2:$D$9999*Raw_Data_Daily!$P$2:$P$9999)/SUMIFS(Raw_Data_Daily!$D:$D, Raw_Data_Daily!$B:$B, "Control", Raw_Data_Daily!$A:$A, $A35, Raw_Data_Daily!$C:$C, $C$3),""))</f>
        <v/>
      </c>
      <c r="AM35" s="132" t="str">
        <f>IF($A35="","",IFERROR(SUMPRODUCT((Raw_Data_Daily!$B$2:$B$9999="Variant")*(Raw_Data_Daily!$A$2:$A$9999=$A35)*(Raw_Data_Daily!$C$2:$C$9999=$C$3)*Raw_Data_Daily!$D$2:$D$9999*Raw_Data_Daily!$P$2:$P$9999)/SUMIFS(Raw_Data_Daily!$D:$D, Raw_Data_Daily!$B:$B, "Variant", Raw_Data_Daily!$A:$A, $A35, Raw_Data_Daily!$C:$C, $C$3),""))</f>
        <v/>
      </c>
      <c r="AN35" s="130" t="str">
        <f t="shared" si="13"/>
        <v/>
      </c>
      <c r="AO35" s="132" t="str">
        <f>IF($A35="","",IFERROR(SUMPRODUCT((Raw_Data_Daily!$B$2:$B$9999="Control")*(Raw_Data_Daily!$A$2:$A$9999=$A35)*(Raw_Data_Daily!$C$2:$C$9999=$C$3)*Raw_Data_Daily!$D$2:$D$9999*Raw_Data_Daily!$Q$2:$Q$9999)/SUMIFS(Raw_Data_Daily!$D:$D, Raw_Data_Daily!$B:$B, "Control", Raw_Data_Daily!$A:$A, $A35, Raw_Data_Daily!$C:$C, $C$3),""))</f>
        <v/>
      </c>
      <c r="AP35" s="132" t="str">
        <f>IF($A35="","",IFERROR(SUMPRODUCT((Raw_Data_Daily!$B$2:$B$9999="Variant")*(Raw_Data_Daily!$A$2:$A$9999=$A35)*(Raw_Data_Daily!$C$2:$C$9999=$C$3)*Raw_Data_Daily!$D$2:$D$9999*Raw_Data_Daily!$Q$2:$Q$9999)/SUMIFS(Raw_Data_Daily!$D:$D, Raw_Data_Daily!$B:$B, "Variant", Raw_Data_Daily!$A:$A, $A35, Raw_Data_Daily!$C:$C, $C$3),""))</f>
        <v/>
      </c>
      <c r="AQ35" s="127" t="str">
        <f t="shared" si="14"/>
        <v/>
      </c>
      <c r="AR35" s="132" t="str">
        <f>IF($A35="","",IFERROR(SUMPRODUCT((Raw_Data_Daily!$B$2:$B$9999="Control")*(Raw_Data_Daily!$A$2:$A$9999=$A35)*(Raw_Data_Daily!$C$2:$C$9999=$C$3)*Raw_Data_Daily!$D$2:$D$9999*Raw_Data_Daily!$R$2:$R$9999)/SUMIFS(Raw_Data_Daily!$D:$D, Raw_Data_Daily!$B:$B, "Control", Raw_Data_Daily!$A:$A, $A35, Raw_Data_Daily!$C:$C, $C$3),""))</f>
        <v/>
      </c>
      <c r="AS35" s="132" t="str">
        <f>IF($A35="","",IFERROR(SUMPRODUCT((Raw_Data_Daily!$B$2:$B$9999="Variant")*(Raw_Data_Daily!$A$2:$A$9999=$A35)*(Raw_Data_Daily!$C$2:$C$9999=$C$3)*Raw_Data_Daily!$D$2:$D$9999*Raw_Data_Daily!$R$2:$R$9999)/SUMIFS(Raw_Data_Daily!$D:$D, Raw_Data_Daily!$B:$B, "Variant", Raw_Data_Daily!$A:$A, $A35, Raw_Data_Daily!$C:$C, $C$3),""))</f>
        <v/>
      </c>
      <c r="AT35" s="127" t="str">
        <f t="shared" si="15"/>
        <v/>
      </c>
      <c r="AU35" s="132" t="str">
        <f>IF($A35="","",IFERROR(SUMPRODUCT((Raw_Data_Daily!$B$2:$B$9999="Control")*(Raw_Data_Daily!$A$2:$A$9999=$A35)*(Raw_Data_Daily!$C$2:$C$9999=$C$3)*Raw_Data_Daily!$D$2:$D$9999*Raw_Data_Daily!$S$2:$S$9999)/SUMIFS(Raw_Data_Daily!$D:$D, Raw_Data_Daily!$B:$B, "Control", Raw_Data_Daily!$A:$A, $A35, Raw_Data_Daily!$C:$C, $C$3),""))</f>
        <v/>
      </c>
      <c r="AV35" s="132" t="str">
        <f>IF($A35="","",IFERROR(SUMPRODUCT((Raw_Data_Daily!$B$2:$B$9999="Variant")*(Raw_Data_Daily!$A$2:$A$9999=$A35)*(Raw_Data_Daily!$C$2:$C$9999=$C$3)*Raw_Data_Daily!$D$2:$D$9999*Raw_Data_Daily!$S$2:$S$9999)/SUMIFS(Raw_Data_Daily!$D:$D, Raw_Data_Daily!$B:$B, "Variant", Raw_Data_Daily!$A:$A, $A35, Raw_Data_Daily!$C:$C, $C$3),""))</f>
        <v/>
      </c>
      <c r="AW35" s="127" t="str">
        <f t="shared" si="16"/>
        <v/>
      </c>
      <c r="AX35" s="132" t="str">
        <f>IF($A35="","",IFERROR(SUMPRODUCT((Raw_Data_Daily!$B$2:$B$9999="Control")*(Raw_Data_Daily!$A$2:$A$9999=$A35)*(Raw_Data_Daily!$C$2:$C$9999=$C$3)*Raw_Data_Daily!$D$2:$D$9999*Raw_Data_Daily!$T$2:$T$9999)/SUMIFS(Raw_Data_Daily!$D:$D, Raw_Data_Daily!$B:$B, "Control", Raw_Data_Daily!$A:$A, $A35, Raw_Data_Daily!$C:$C, $C$3),""))</f>
        <v/>
      </c>
      <c r="AY35" s="132" t="str">
        <f>IF($A35="","",IFERROR(SUMPRODUCT((Raw_Data_Daily!$B$2:$B$9999="Variant")*(Raw_Data_Daily!$A$2:$A$9999=$A35)*(Raw_Data_Daily!$C$2:$C$9999=$C$3)*Raw_Data_Daily!$D$2:$D$9999*Raw_Data_Daily!$T$2:$T$9999)/SUMIFS(Raw_Data_Daily!$D:$D, Raw_Data_Daily!$B:$B, "Variant", Raw_Data_Daily!$A:$A, $A35, Raw_Data_Daily!$C:$C, $C$3),""))</f>
        <v/>
      </c>
      <c r="AZ35" s="130" t="str">
        <f t="shared" si="17"/>
        <v/>
      </c>
      <c r="BA35" s="132" t="str">
        <f>IF($A35="","",IFERROR(SUMPRODUCT((Raw_Data_Daily!$B$2:$B$9999="Control")*(Raw_Data_Daily!$A$2:$A$9999=$A35)*(Raw_Data_Daily!$C$2:$C$9999=$C$3)*Raw_Data_Daily!$D$2:$D$9999*Raw_Data_Daily!$U$2:$U$9999)/SUMIFS(Raw_Data_Daily!$D:$D, Raw_Data_Daily!$B:$B, "Control", Raw_Data_Daily!$A:$A, $A35, Raw_Data_Daily!$C:$C, $C$3),""))</f>
        <v/>
      </c>
      <c r="BB35" s="132" t="str">
        <f>IF($A35="","",IFERROR(SUMPRODUCT((Raw_Data_Daily!$B$2:$B$9999="Variant")*(Raw_Data_Daily!$A$2:$A$9999=$A35)*(Raw_Data_Daily!$C$2:$C$9999=$C$3)*Raw_Data_Daily!$D$2:$D$9999*Raw_Data_Daily!$U$2:$U$9999)/SUMIFS(Raw_Data_Daily!$D:$D, Raw_Data_Daily!$B:$B, "Variant", Raw_Data_Daily!$A:$A, $A35, Raw_Data_Daily!$C:$C, $C$3),""))</f>
        <v/>
      </c>
      <c r="BC35" s="127" t="str">
        <f t="shared" si="18"/>
        <v/>
      </c>
      <c r="BD35" s="132" t="str">
        <f>IF($A35="","",IFERROR(SUMPRODUCT((Raw_Data_Daily!$B$2:$B$9999="Control")*(Raw_Data_Daily!$A$2:$A$9999=$A35)*(Raw_Data_Daily!$C$2:$C$9999=$C$3)*Raw_Data_Daily!$D$2:$D$9999*Raw_Data_Daily!$V$2:$V$9999)/SUMIFS(Raw_Data_Daily!$D:$D, Raw_Data_Daily!$B:$B, "Control", Raw_Data_Daily!$A:$A, $A35, Raw_Data_Daily!$C:$C, $C$3),""))</f>
        <v/>
      </c>
      <c r="BE35" s="132" t="str">
        <f>IF($A35="","",IFERROR(SUMPRODUCT((Raw_Data_Daily!$B$2:$B$9999="Variant")*(Raw_Data_Daily!$A$2:$A$9999=$A35)*(Raw_Data_Daily!$C$2:$C$9999=$C$3)*Raw_Data_Daily!$D$2:$D$9999*Raw_Data_Daily!$V$2:$V$9999)/SUMIFS(Raw_Data_Daily!$D:$D, Raw_Data_Daily!$B:$B, "Variant", Raw_Data_Daily!$A:$A, $A35, Raw_Data_Daily!$C:$C, $C$3),""))</f>
        <v/>
      </c>
      <c r="BF35" s="127" t="str">
        <f t="shared" si="19"/>
        <v/>
      </c>
      <c r="BG35" s="132" t="str">
        <f>IF($A35="","",IFERROR(SUMPRODUCT((Raw_Data_Daily!$B$2:$B$9999="Control")*(Raw_Data_Daily!$A$2:$A$9999=$A35)*(Raw_Data_Daily!$C$2:$C$9999=$C$3)*Raw_Data_Daily!$D$2:$D$9999*(Raw_Data_Daily!$Q$2:$Q$9999-Raw_Data_Daily!$V$2:$V$9999))/SUMIFS(Raw_Data_Daily!$D:$D, Raw_Data_Daily!$B:$B, "Control", Raw_Data_Daily!$A:$A, $A35, Raw_Data_Daily!$C:$C, $C$3),""))</f>
        <v/>
      </c>
      <c r="BH35" s="132" t="str">
        <f>IF($A35="","",IFERROR(SUMPRODUCT((Raw_Data_Daily!$B$2:$B$9999="Variant")*(Raw_Data_Daily!$A$2:$A$9999=$A35)*(Raw_Data_Daily!$C$2:$C$9999=$C$3)*Raw_Data_Daily!$D$2:$D$9999*(Raw_Data_Daily!$Q$2:$Q$9999-Raw_Data_Daily!$V$2:$V$9999))/SUMIFS(Raw_Data_Daily!$D:$D, Raw_Data_Daily!$B:$B, "Variant", Raw_Data_Daily!$A:$A, $A35, Raw_Data_Daily!$C:$C, $C$3),""))</f>
        <v/>
      </c>
      <c r="BI35" s="127" t="str">
        <f t="shared" si="20"/>
        <v/>
      </c>
      <c r="BJ35" s="132" t="str">
        <f>IF($A35="","",IFERROR(SUMPRODUCT((Raw_Data_Daily!$B$2:$B$9999="Control")*(Raw_Data_Daily!$A$2:$A$9999=$A35)*(Raw_Data_Daily!$C$2:$C$9999=$C$3)*Raw_Data_Daily!$D$2:$D$9999*Raw_Data_Daily!$W$2:$W$9999)/SUMIFS(Raw_Data_Daily!$D:$D, Raw_Data_Daily!$B:$B, "Control", Raw_Data_Daily!$A:$A, $A35, Raw_Data_Daily!$C:$C, $C$3),""))</f>
        <v/>
      </c>
      <c r="BK35" s="132" t="str">
        <f>IF($A35="","",IFERROR(SUMPRODUCT((Raw_Data_Daily!$B$2:$B$9999="Variant")*(Raw_Data_Daily!$A$2:$A$9999=$A35)*(Raw_Data_Daily!$C$2:$C$9999=$C$3)*Raw_Data_Daily!$D$2:$D$9999*Raw_Data_Daily!$W$2:$W$9999)/SUMIFS(Raw_Data_Daily!$D:$D, Raw_Data_Daily!$B:$B, "Variant", Raw_Data_Daily!$A:$A, $A35, Raw_Data_Daily!$C:$C, $C$3),""))</f>
        <v/>
      </c>
      <c r="BL35" s="127" t="str">
        <f t="shared" si="21"/>
        <v/>
      </c>
      <c r="BM35" s="137" t="str">
        <f>IF($A35="","",IFERROR(SUMPRODUCT((Raw_Data_Daily!$B$2:$B$9999="Control")*(Raw_Data_Daily!$A$2:$A$9999=$A35)*(Raw_Data_Daily!$C$2:$C$9999=$C$3)*Raw_Data_Daily!$D$2:$D$9999*Raw_Data_Daily!$X$2:$X$9999)/SUMIFS(Raw_Data_Daily!$D:$D, Raw_Data_Daily!$B:$B, "Control", Raw_Data_Daily!$A:$A, $A35, Raw_Data_Daily!$C:$C, $C$3),""))</f>
        <v/>
      </c>
      <c r="BN35" s="137" t="str">
        <f>IF($A35="","",IFERROR(SUMPRODUCT((Raw_Data_Daily!$B$2:$B$9999="Variant")*(Raw_Data_Daily!$A$2:$A$9999=$A35)*(Raw_Data_Daily!$C$2:$C$9999=$C$3)*Raw_Data_Daily!$D$2:$D$9999*Raw_Data_Daily!$X$2:$X$9999)/SUMIFS(Raw_Data_Daily!$D:$D, Raw_Data_Daily!$B:$B, "Variant", Raw_Data_Daily!$A:$A, $A35, Raw_Data_Daily!$C:$C, $C$3),""))</f>
        <v/>
      </c>
      <c r="BO35" s="130" t="str">
        <f t="shared" si="22"/>
        <v/>
      </c>
      <c r="BP35" s="126" t="str">
        <f>IF($A35="","",IFERROR(SUMPRODUCT((Raw_Data_Daily!$B$2:$B$9999="Control")*(Raw_Data_Daily!$A$2:$A$9999=$A35)*(Raw_Data_Daily!$C$2:$C$9999=$C$3)*Raw_Data_Daily!$D$2:$D$9999*Raw_Data_Daily!$Y$2:$Y$9999)/SUMIFS(Raw_Data_Daily!$D:$D, Raw_Data_Daily!$B:$B, "Control", Raw_Data_Daily!$A:$A, $A35, Raw_Data_Daily!$C:$C, $C$3),""))</f>
        <v/>
      </c>
      <c r="BQ35" s="126" t="str">
        <f>IF($A35="","",IFERROR(SUMPRODUCT((Raw_Data_Daily!$B$2:$B$9999="Variant")*(Raw_Data_Daily!$A$2:$A$9999=$A35)*(Raw_Data_Daily!$C$2:$C$9999=$C$3)*Raw_Data_Daily!$D$2:$D$9999*Raw_Data_Daily!$Y$2:$Y$9999)/SUMIFS(Raw_Data_Daily!$D:$D, Raw_Data_Daily!$B:$B, "Variant", Raw_Data_Daily!$A:$A, $A35, Raw_Data_Daily!$C:$C, $C$3),""))</f>
        <v/>
      </c>
      <c r="BR35" s="127" t="str">
        <f t="shared" si="23"/>
        <v/>
      </c>
      <c r="BS35" s="126" t="str">
        <f>IF($A35="","",IFERROR(SUMPRODUCT((Raw_Data_Daily!$B$2:$B$9999="Control")*(Raw_Data_Daily!$A$2:$A$9999=$A35)*(Raw_Data_Daily!$C$2:$C$9999=$C$3)*Raw_Data_Daily!$D$2:$D$9999*Raw_Data_Daily!$Z$2:$Z$9999)/SUMIFS(Raw_Data_Daily!$D:$D, Raw_Data_Daily!$B:$B, "Control", Raw_Data_Daily!$A:$A, $A35, Raw_Data_Daily!$C:$C, $C$3),""))</f>
        <v/>
      </c>
      <c r="BT35" s="126" t="str">
        <f>IF($A35="","",IFERROR(SUMPRODUCT((Raw_Data_Daily!$B$2:$B$9999="Variant")*(Raw_Data_Daily!$A$2:$A$9999=$A35)*(Raw_Data_Daily!$C$2:$C$9999=$C$3)*Raw_Data_Daily!$D$2:$D$9999*Raw_Data_Daily!$Z$2:$Z$9999)/SUMIFS(Raw_Data_Daily!$D:$D, Raw_Data_Daily!$B:$B, "Variant", Raw_Data_Daily!$A:$A, $A35, Raw_Data_Daily!$C:$C, $C$3),""))</f>
        <v/>
      </c>
      <c r="BU35" s="127" t="str">
        <f t="shared" si="24"/>
        <v/>
      </c>
      <c r="BV35" s="126" t="str">
        <f>IF($A35="","",IFERROR(SUMPRODUCT((Raw_Data_Daily!$B$2:$B$9999="Control")*(Raw_Data_Daily!$A$2:$A$9999=$A35)*(Raw_Data_Daily!$C$2:$C$9999=$C$3)*Raw_Data_Daily!$D$2:$D$9999*Raw_Data_Daily!$AA$2:$AA$9999)/SUMIFS(Raw_Data_Daily!$D:$D, Raw_Data_Daily!$B:$B, "Control", Raw_Data_Daily!$A:$A, $A35, Raw_Data_Daily!$C:$C, $C$3),""))</f>
        <v/>
      </c>
      <c r="BW35" s="126" t="str">
        <f>IF($A35="","",IFERROR(SUMPRODUCT((Raw_Data_Daily!$B$2:$B$9999="Variant")*(Raw_Data_Daily!$A$2:$A$9999=$A35)*(Raw_Data_Daily!$C$2:$C$9999=$C$3)*Raw_Data_Daily!$D$2:$D$9999*Raw_Data_Daily!$AA$2:$AA$9999)/SUMIFS(Raw_Data_Daily!$D:$D, Raw_Data_Daily!$B:$B, "Variant", Raw_Data_Daily!$A:$A, $A35, Raw_Data_Daily!$C:$C, $C$3),""))</f>
        <v/>
      </c>
      <c r="BX35" s="127" t="str">
        <f t="shared" si="25"/>
        <v/>
      </c>
      <c r="BY35" s="132" t="str">
        <f>IF($A35="","",IFERROR(SUMPRODUCT((Raw_Data_Daily!$B$2:$B$9999="Control")*(Raw_Data_Daily!$A$2:$A$9999=$A35)*(Raw_Data_Daily!$C$2:$C$9999=$C$3)*Raw_Data_Daily!$D$2:$D$9999*Raw_Data_Daily!$AB$2:$AB$9999)/SUMIFS(Raw_Data_Daily!$D:$D, Raw_Data_Daily!$B:$B, "Control", Raw_Data_Daily!$A:$A, $A35, Raw_Data_Daily!$C:$C, $C$3),""))</f>
        <v/>
      </c>
      <c r="BZ35" s="132" t="str">
        <f>IF($A35="","",IFERROR(SUMPRODUCT((Raw_Data_Daily!$B$2:$B$9999="Variant")*(Raw_Data_Daily!$A$2:$A$9999=$A35)*(Raw_Data_Daily!$C$2:$C$9999=$C$3)*Raw_Data_Daily!$D$2:$D$9999*Raw_Data_Daily!$AB$2:$AB$9999)/SUMIFS(Raw_Data_Daily!$D:$D, Raw_Data_Daily!$B:$B, "Variant", Raw_Data_Daily!$A:$A, $A35, Raw_Data_Daily!$C:$C, $C$3),""))</f>
        <v/>
      </c>
      <c r="CA35" s="130" t="str">
        <f t="shared" si="26"/>
        <v/>
      </c>
      <c r="CB35" s="132" t="str">
        <f>IF($A35="","",IFERROR(SUMPRODUCT((Raw_Data_Daily!$B$2:$B$9999="Control")*(Raw_Data_Daily!$A$2:$A$9999=$A35)*(Raw_Data_Daily!$C$2:$C$9999=$C$3)*Raw_Data_Daily!$D$2:$D$9999*Raw_Data_Daily!$AC$2:$AC$9999)/SUMIFS(Raw_Data_Daily!$D:$D, Raw_Data_Daily!$B:$B, "Control", Raw_Data_Daily!$A:$A, $A35, Raw_Data_Daily!$C:$C, $C$3),""))</f>
        <v/>
      </c>
      <c r="CC35" s="132" t="str">
        <f>IF($A35="","",IFERROR(SUMPRODUCT((Raw_Data_Daily!$B$2:$B$9999="Variant")*(Raw_Data_Daily!$A$2:$A$9999=$A35)*(Raw_Data_Daily!$C$2:$C$9999=$C$3)*Raw_Data_Daily!$D$2:$D$9999*Raw_Data_Daily!$AC$2:$AC$9999)/SUMIFS(Raw_Data_Daily!$D:$D, Raw_Data_Daily!$B:$B, "Variant", Raw_Data_Daily!$A:$A, $A35, Raw_Data_Daily!$C:$C, $C$3),""))</f>
        <v/>
      </c>
      <c r="CD35" s="130" t="str">
        <f t="shared" si="27"/>
        <v/>
      </c>
      <c r="CE35" s="132" t="str">
        <f>IF($A35="","",IFERROR(SUMPRODUCT((Raw_Data_Daily!$B$2:$B$9999="Control")*(Raw_Data_Daily!$A$2:$A$9999=$A35)*(Raw_Data_Daily!$C$2:$C$9999=$C$3)*Raw_Data_Daily!$D$2:$D$9999*Raw_Data_Daily!$AD$2:$AD$9999)/SUMIFS(Raw_Data_Daily!$D:$D, Raw_Data_Daily!$B:$B, "Control", Raw_Data_Daily!$A:$A, $A35, Raw_Data_Daily!$C:$C, $C$3),""))</f>
        <v/>
      </c>
      <c r="CF35" s="132" t="str">
        <f>IF($A35="","",IFERROR(SUMPRODUCT((Raw_Data_Daily!$B$2:$B$9999="Variant")*(Raw_Data_Daily!$A$2:$A$9999=$A35)*(Raw_Data_Daily!$C$2:$C$9999=$C$3)*Raw_Data_Daily!$D$2:$D$9999*Raw_Data_Daily!$AD$2:$AD$9999)/SUMIFS(Raw_Data_Daily!$D:$D, Raw_Data_Daily!$B:$B, "Variant", Raw_Data_Daily!$A:$A, $A35, Raw_Data_Daily!$C:$C, $C$3),""))</f>
        <v/>
      </c>
      <c r="CG35" s="130" t="str">
        <f t="shared" si="28"/>
        <v/>
      </c>
      <c r="CH35" s="132" t="str">
        <f>IF($A35="","",IFERROR(SUMPRODUCT((Raw_Data_Daily!$B$2:$B$9999="Control")*(Raw_Data_Daily!$A$2:$A$9999=$A35)*(Raw_Data_Daily!$C$2:$C$9999=$C$3)*Raw_Data_Daily!$D$2:$D$9999*Raw_Data_Daily!$AE$2:$AE$9999)/SUMIFS(Raw_Data_Daily!$D:$D, Raw_Data_Daily!$B:$B, "Control", Raw_Data_Daily!$A:$A, $A35, Raw_Data_Daily!$C:$C, $C$3),""))</f>
        <v/>
      </c>
      <c r="CI35" s="132" t="str">
        <f>IF($A35="","",IFERROR(SUMPRODUCT((Raw_Data_Daily!$B$2:$B$9999="Variant")*(Raw_Data_Daily!$A$2:$A$9999=$A35)*(Raw_Data_Daily!$C$2:$C$9999=$C$3)*Raw_Data_Daily!$D$2:$D$9999*Raw_Data_Daily!$AE$2:$AE$9999)/SUMIFS(Raw_Data_Daily!$D:$D, Raw_Data_Daily!$B:$B, "Variant", Raw_Data_Daily!$A:$A, $A35, Raw_Data_Daily!$C:$C, $C$3),""))</f>
        <v/>
      </c>
      <c r="CJ35" s="130" t="str">
        <f t="shared" si="29"/>
        <v/>
      </c>
      <c r="CK35" s="132" t="str">
        <f>IF($A35="","",IFERROR(SUMPRODUCT((Raw_Data_Daily!$B$2:$B$9999="Control")*(Raw_Data_Daily!$A$2:$A$9999=$A35)*(Raw_Data_Daily!$C$2:$C$9999=$C$3)*Raw_Data_Daily!$D$2:$D$9999*Raw_Data_Daily!$AF$2:$AF$9999)/SUMIFS(Raw_Data_Daily!$D:$D, Raw_Data_Daily!$B:$B, "Control", Raw_Data_Daily!$A:$A, $A35, Raw_Data_Daily!$C:$C, $C$3),""))</f>
        <v/>
      </c>
      <c r="CL35" s="132" t="str">
        <f>IF($A35="","",IFERROR(SUMPRODUCT((Raw_Data_Daily!$B$2:$B$9999="Variant")*(Raw_Data_Daily!$A$2:$A$9999=$A35)*(Raw_Data_Daily!$C$2:$C$9999=$C$3)*Raw_Data_Daily!$D$2:$D$9999*Raw_Data_Daily!$AF$2:$AF$9999)/SUMIFS(Raw_Data_Daily!$D:$D, Raw_Data_Daily!$B:$B, "Variant", Raw_Data_Daily!$A:$A, $A35, Raw_Data_Daily!$C:$C, $C$3),""))</f>
        <v/>
      </c>
      <c r="CM35" s="130" t="str">
        <f t="shared" si="30"/>
        <v/>
      </c>
      <c r="CN35" s="132" t="str">
        <f>IF($A35="","",IFERROR(SUMPRODUCT((Raw_Data_Daily!$B$2:$B$9999="Control")*(Raw_Data_Daily!$A$2:$A$9999=$A35)*(Raw_Data_Daily!$C$2:$C$9999=$C$3)*Raw_Data_Daily!$D$2:$D$9999*Raw_Data_Daily!$AG$2:$AG$9999)/SUMIFS(Raw_Data_Daily!$D:$D, Raw_Data_Daily!$B:$B, "Control", Raw_Data_Daily!$A:$A, $A35, Raw_Data_Daily!$C:$C, $C$3),""))</f>
        <v/>
      </c>
      <c r="CO35" s="132" t="str">
        <f>IF($A35="","",IFERROR(SUMPRODUCT((Raw_Data_Daily!$B$2:$B$9999="Variant")*(Raw_Data_Daily!$A$2:$A$9999=$A35)*(Raw_Data_Daily!$C$2:$C$9999=$C$3)*Raw_Data_Daily!$D$2:$D$9999*Raw_Data_Daily!$AG$2:$AG$9999)/SUMIFS(Raw_Data_Daily!$D:$D, Raw_Data_Daily!$B:$B, "Variant", Raw_Data_Daily!$A:$A, $A35, Raw_Data_Daily!$C:$C, $C$3),""))</f>
        <v/>
      </c>
      <c r="CP35" s="130" t="str">
        <f t="shared" si="31"/>
        <v/>
      </c>
      <c r="CQ35" s="132" t="str">
        <f>IF($A35="","",IFERROR(SUMPRODUCT((Raw_Data_Daily!$B$2:$B$9999="Control")*(Raw_Data_Daily!$A$2:$A$9999=$A35)*(Raw_Data_Daily!$C$2:$C$9999=$C$3)*Raw_Data_Daily!$D$2:$D$9999*Raw_Data_Daily!$AH$2:$AH$9999)/SUMIFS(Raw_Data_Daily!$D:$D, Raw_Data_Daily!$B:$B, "Control", Raw_Data_Daily!$A:$A, $A35, Raw_Data_Daily!$C:$C, $C$3),""))</f>
        <v/>
      </c>
      <c r="CR35" s="132" t="str">
        <f>IF($A35="","",IFERROR(SUMPRODUCT((Raw_Data_Daily!$B$2:$B$9999="Variant")*(Raw_Data_Daily!$A$2:$A$9999=$A35)*(Raw_Data_Daily!$C$2:$C$9999=$C$3)*Raw_Data_Daily!$D$2:$D$9999*Raw_Data_Daily!$AH$2:$AH$9999)/SUMIFS(Raw_Data_Daily!$D:$D, Raw_Data_Daily!$B:$B, "Variant", Raw_Data_Daily!$A:$A, $A35, Raw_Data_Daily!$C:$C, $C$3),""))</f>
        <v/>
      </c>
      <c r="CS35" s="130" t="str">
        <f t="shared" si="32"/>
        <v/>
      </c>
      <c r="CT35" s="128" t="str">
        <f>IF($A35="","",IFERROR(SUMPRODUCT((Raw_Data_Daily!$B$2:$B$9999="Control")*(Raw_Data_Daily!$A$2:$A$9999=$A35)*(Raw_Data_Daily!$C$2:$C$9999=$C$3)*Raw_Data_Daily!$D$2:$D$9999*Raw_Data_Daily!$AI$2:$AI$9999)/SUMIFS(Raw_Data_Daily!$D:$D, Raw_Data_Daily!$B:$B, "Control", Raw_Data_Daily!$A:$A, $A35, Raw_Data_Daily!$C:$C, $C$3),""))</f>
        <v/>
      </c>
      <c r="CU35" s="128" t="str">
        <f>IF($A35="","",IFERROR(SUMPRODUCT((Raw_Data_Daily!$B$2:$B$9999="Variant")*(Raw_Data_Daily!$A$2:$A$9999=$A35)*(Raw_Data_Daily!$C$2:$C$9999=$C$3)*Raw_Data_Daily!$D$2:$D$9999*Raw_Data_Daily!$AI$2:$AI$9999)/SUMIFS(Raw_Data_Daily!$D:$D, Raw_Data_Daily!$B:$B, "Variant", Raw_Data_Daily!$A:$A, $A35, Raw_Data_Daily!$C:$C, $C$3),""))</f>
        <v/>
      </c>
      <c r="CV35" s="139" t="str">
        <f t="shared" si="33"/>
        <v/>
      </c>
      <c r="CW35" s="128" t="str">
        <f>IF($A35="","",IFERROR(SUMPRODUCT((Raw_Data_Daily!$B$2:$B$9999="Control")*(Raw_Data_Daily!$A$2:$A$9999=$A35)*(Raw_Data_Daily!$C$2:$C$9999=$C$3)*Raw_Data_Daily!$D$2:$D$9999*Raw_Data_Daily!$AJ$2:$AJ$9999)/SUMIFS(Raw_Data_Daily!$D:$D, Raw_Data_Daily!$B:$B, "Control", Raw_Data_Daily!$A:$A, $A35, Raw_Data_Daily!$C:$C, $C$3),""))</f>
        <v/>
      </c>
      <c r="CX35" s="128" t="str">
        <f>IF($A35="","",IFERROR(SUMPRODUCT((Raw_Data_Daily!$B$2:$B$9999="Variant")*(Raw_Data_Daily!$A$2:$A$9999=$A35)*(Raw_Data_Daily!$C$2:$C$9999=$C$3)*Raw_Data_Daily!$D$2:$D$9999*Raw_Data_Daily!$AJ$2:$AJ$9999)/SUMIFS(Raw_Data_Daily!$D:$D, Raw_Data_Daily!$B:$B, "Variant", Raw_Data_Daily!$A:$A, $A35, Raw_Data_Daily!$C:$C, $C$3),""))</f>
        <v/>
      </c>
      <c r="CY35" s="139" t="str">
        <f t="shared" si="34"/>
        <v/>
      </c>
      <c r="CZ35" s="128" t="str">
        <f>IF($A35="","",IFERROR(SUMPRODUCT((Raw_Data_Daily!$B$2:$B$9999="Control")*(Raw_Data_Daily!$A$2:$A$9999=$A35)*(Raw_Data_Daily!$C$2:$C$9999=$C$3)*Raw_Data_Daily!$D$2:$D$9999*Raw_Data_Daily!$AK$2:$AK$9999)/SUMIFS(Raw_Data_Daily!$D:$D, Raw_Data_Daily!$B:$B, "Control", Raw_Data_Daily!$A:$A, $A35, Raw_Data_Daily!$C:$C, $C$3),""))</f>
        <v/>
      </c>
      <c r="DA35" s="128" t="str">
        <f>IF($A35="","",IFERROR(SUMPRODUCT((Raw_Data_Daily!$B$2:$B$9999="Variant")*(Raw_Data_Daily!$A$2:$A$9999=$A35)*(Raw_Data_Daily!$C$2:$C$9999=$C$3)*Raw_Data_Daily!$D$2:$D$9999*Raw_Data_Daily!$AK$2:$AK$9999)/SUMIFS(Raw_Data_Daily!$D:$D, Raw_Data_Daily!$B:$B, "Variant", Raw_Data_Daily!$A:$A, $A35, Raw_Data_Daily!$C:$C, $C$3),""))</f>
        <v/>
      </c>
      <c r="DB35" s="130" t="str">
        <f t="shared" si="35"/>
        <v/>
      </c>
      <c r="DC35" s="137" t="str">
        <f>IF($A35="","",IFERROR(SUMPRODUCT((Raw_Data_Daily!$B$2:$B$9999="Control")*(Raw_Data_Daily!$A$2:$A$9999=$A35)*(Raw_Data_Daily!$C$2:$C$9999=$C$3)*Raw_Data_Daily!$D$2:$D$9999*Raw_Data_Daily!$AL$2:$AL$9999)/SUMIFS(Raw_Data_Daily!$D:$D, Raw_Data_Daily!$B:$B, "Control", Raw_Data_Daily!$A:$A, $A35, Raw_Data_Daily!$C:$C, $C$3),""))</f>
        <v/>
      </c>
      <c r="DD35" s="137" t="str">
        <f>IF($A35="","",IFERROR(SUMPRODUCT((Raw_Data_Daily!$B$2:$B$9999="Variant")*(Raw_Data_Daily!$A$2:$A$9999=$A35)*(Raw_Data_Daily!$C$2:$C$9999=$C$3)*Raw_Data_Daily!$D$2:$D$9999*Raw_Data_Daily!$AL$2:$AL$9999)/SUMIFS(Raw_Data_Daily!$D:$D, Raw_Data_Daily!$B:$B, "Variant", Raw_Data_Daily!$A:$A, $A35, Raw_Data_Daily!$C:$C, $C$3),""))</f>
        <v/>
      </c>
      <c r="DE35" s="139" t="str">
        <f t="shared" si="36"/>
        <v/>
      </c>
      <c r="DF35" s="159"/>
      <c r="DG35" s="128" t="str">
        <f>IF($A35="","",IFERROR(SUMPRODUCT((Raw_Data_Daily!$B$2:$B$9999="Variant")*(Raw_Data_Daily!$A$2:$A$9999=$A35)*(Raw_Data_Daily!$C$2:$C$9999=$C$3)*Raw_Data_Daily!$D$2:$D$9999*Raw_Data_Daily!$AM$2:$AM$9999)/SUMIFS(Raw_Data_Daily!$D:$D, Raw_Data_Daily!$B:$B, "Variant", Raw_Data_Daily!$A:$A, $A35, Raw_Data_Daily!$C:$C, $C$3),""))</f>
        <v/>
      </c>
      <c r="DH35" s="160"/>
      <c r="DI35" s="159"/>
      <c r="DJ35" s="128" t="str">
        <f>IF($A35="","",IFERROR(SUMPRODUCT((Raw_Data_Daily!$B$2:$B$9999="Variant")*(Raw_Data_Daily!$A$2:$A$9999=$A35)*(Raw_Data_Daily!$C$2:$C$9999=$C$3)*Raw_Data_Daily!$D$2:$D$9999*Raw_Data_Daily!$AN$2:$AN$9999)/SUMIFS(Raw_Data_Daily!$D:$D, Raw_Data_Daily!$B:$B, "Variant", Raw_Data_Daily!$A:$A, $A35, Raw_Data_Daily!$C:$C, $C$3),""))</f>
        <v/>
      </c>
      <c r="DK35" s="160"/>
      <c r="DL35" s="159"/>
      <c r="DM35" s="128" t="str">
        <f>IF($A35="","",IFERROR(SUMPRODUCT((Raw_Data_Daily!$B$2:$B$9999="Variant")*(Raw_Data_Daily!$A$2:$A$9999=$A35)*(Raw_Data_Daily!$C$2:$C$9999=$C$3)*Raw_Data_Daily!$D$2:$D$9999*Raw_Data_Daily!$AO$2:$AO$9999)/SUMIFS(Raw_Data_Daily!$D:$D, Raw_Data_Daily!$B:$B, "Variant", Raw_Data_Daily!$A:$A, $A35, Raw_Data_Daily!$C:$C, $C$3),""))</f>
        <v/>
      </c>
      <c r="DN35" s="160"/>
      <c r="DO35" s="159"/>
      <c r="DP35" s="128" t="str">
        <f>IF($A35="","",IFERROR(SUMPRODUCT((Raw_Data_Daily!$B$2:$B$9999="Variant")*(Raw_Data_Daily!$A$2:$A$9999=$A35)*(Raw_Data_Daily!$C$2:$C$9999=$C$3)*Raw_Data_Daily!$D$2:$D$9999*Raw_Data_Daily!$AP$2:$AP$9999)/SUMIFS(Raw_Data_Daily!$D:$D, Raw_Data_Daily!$B:$B, "Variant", Raw_Data_Daily!$A:$A, $A35, Raw_Data_Daily!$C:$C, $C$3),""))</f>
        <v/>
      </c>
      <c r="DQ35" s="160"/>
      <c r="DR35" s="137" t="str">
        <f>IF($A35="","",IFERROR(SUMPRODUCT((Raw_Data_Daily!$B$2:$B$9999="Control")*(Raw_Data_Daily!$A$2:$A$9999=$A35)*(Raw_Data_Daily!$C$2:$C$9999=$C$3)*Raw_Data_Daily!$D$2:$D$9999*Raw_Data_Daily!$AQ$2:$AQ$9999)/SUMIFS(Raw_Data_Daily!$D:$D, Raw_Data_Daily!$B:$B, "Control", Raw_Data_Daily!$A:$A, $A35, Raw_Data_Daily!$C:$C, $C$3),""))</f>
        <v/>
      </c>
      <c r="DS35" s="137" t="str">
        <f>IF($A35="","",IFERROR(SUMPRODUCT((Raw_Data_Daily!$B$2:$B$9999="Variant")*(Raw_Data_Daily!$A$2:$A$9999=$A35)*(Raw_Data_Daily!$C$2:$C$9999=$C$3)*Raw_Data_Daily!$D$2:$D$9999*Raw_Data_Daily!$AQ$2:$AQ$9999)/SUMIFS(Raw_Data_Daily!$D:$D, Raw_Data_Daily!$B:$B, "Variant", Raw_Data_Daily!$A:$A, $A35, Raw_Data_Daily!$C:$C, $C$3),""))</f>
        <v/>
      </c>
      <c r="DT35" s="161" t="str">
        <f t="shared" si="37"/>
        <v/>
      </c>
      <c r="DU35" s="137" t="str">
        <f>IF($A35="","",IFERROR(SUMPRODUCT((Raw_Data_Daily!$B$2:$B$9999="Control")*(Raw_Data_Daily!$A$2:$A$9999=$A35)*(Raw_Data_Daily!$C$2:$C$9999=$C$3)*Raw_Data_Daily!$D$2:$D$9999*Raw_Data_Daily!$AR$2:$AR$9999)/SUMIFS(Raw_Data_Daily!$D:$D, Raw_Data_Daily!$B:$B, "Control", Raw_Data_Daily!$A:$A, $A35, Raw_Data_Daily!$C:$C, $C$3),""))</f>
        <v/>
      </c>
      <c r="DV35" s="137" t="str">
        <f>IF($A35="","",IFERROR(SUMPRODUCT((Raw_Data_Daily!$B$2:$B$9999="Variant")*(Raw_Data_Daily!$A$2:$A$9999=$A35)*(Raw_Data_Daily!$C$2:$C$9999=$C$3)*Raw_Data_Daily!$D$2:$D$9999*Raw_Data_Daily!$AR$2:$AR$9999)/SUMIFS(Raw_Data_Daily!$D:$D, Raw_Data_Daily!$B:$B, "Variant", Raw_Data_Daily!$A:$A, $A35, Raw_Data_Daily!$C:$C, $C$3),""))</f>
        <v/>
      </c>
      <c r="DW35" s="161" t="str">
        <f t="shared" si="38"/>
        <v/>
      </c>
      <c r="DX35" s="137" t="str">
        <f>IF($A35="","",IFERROR(SUMPRODUCT((Raw_Data_Daily!$B$2:$B$9999="Control")*(Raw_Data_Daily!$A$2:$A$9999=$A35)*(Raw_Data_Daily!$C$2:$C$9999=$C$3)*Raw_Data_Daily!$D$2:$D$9999*Raw_Data_Daily!$AS$2:$AS$9999)/SUMIFS(Raw_Data_Daily!$D:$D, Raw_Data_Daily!$B:$B, "Control", Raw_Data_Daily!$A:$A, $A35, Raw_Data_Daily!$C:$C, $C$3),""))</f>
        <v/>
      </c>
      <c r="DY35" s="137" t="str">
        <f>IF($A35="","",IFERROR(SUMPRODUCT((Raw_Data_Daily!$B$2:$B$9999="Variant")*(Raw_Data_Daily!$A$2:$A$9999=$A35)*(Raw_Data_Daily!$C$2:$C$9999=$C$3)*Raw_Data_Daily!$D$2:$D$9999*Raw_Data_Daily!$AS$2:$AS$9999)/SUMIFS(Raw_Data_Daily!$D:$D, Raw_Data_Daily!$B:$B, "Variant", Raw_Data_Daily!$A:$A, $A35, Raw_Data_Daily!$C:$C, $C$3),""))</f>
        <v/>
      </c>
      <c r="DZ35" s="162" t="str">
        <f t="shared" si="39"/>
        <v/>
      </c>
      <c r="EA35" s="137" t="str">
        <f>IF($A35="","",IFERROR(SUMPRODUCT((Raw_Data_Daily!$B$2:$B$9999="Control")*(Raw_Data_Daily!$A$2:$A$9999=$A35)*(Raw_Data_Daily!$C$2:$C$9999=$C$3)*Raw_Data_Daily!$D$2:$D$9999*Raw_Data_Daily!$AT$2:$AT$9999)/SUMIFS(Raw_Data_Daily!$D:$D, Raw_Data_Daily!$B:$B, "Control", Raw_Data_Daily!$A:$A, $A35, Raw_Data_Daily!$C:$C, $C$3),""))</f>
        <v/>
      </c>
      <c r="EB35" s="137" t="str">
        <f>IF($A35="","",IFERROR(SUMPRODUCT((Raw_Data_Daily!$B$2:$B$9999="Variant")*(Raw_Data_Daily!$A$2:$A$9999=$A35)*(Raw_Data_Daily!$C$2:$C$9999=$C$3)*Raw_Data_Daily!$D$2:$D$9999*Raw_Data_Daily!$AT$2:$AT$9999)/SUMIFS(Raw_Data_Daily!$D:$D, Raw_Data_Daily!$B:$B, "Variant", Raw_Data_Daily!$A:$A, $A35, Raw_Data_Daily!$C:$C, $C$3),""))</f>
        <v/>
      </c>
      <c r="EC35" s="161" t="str">
        <f t="shared" si="40"/>
        <v/>
      </c>
      <c r="ED35" s="137" t="str">
        <f>IF($A35="","",IFERROR(SUMPRODUCT((Raw_Data_Daily!$B$2:$B$9999="Control")*(Raw_Data_Daily!$A$2:$A$9999=$A35)*(Raw_Data_Daily!$C$2:$C$9999=$C$3)*Raw_Data_Daily!$D$2:$D$9999*(Raw_Data_Daily!$AQ$2:$AQ$9999-Raw_Data_Daily!$AT$2:$AT$9999))/SUMIFS(Raw_Data_Daily!$D:$D, Raw_Data_Daily!$B:$B, "Control", Raw_Data_Daily!$A:$A, $A35, Raw_Data_Daily!$C:$C, $C$3),""))</f>
        <v/>
      </c>
      <c r="EE35" s="137" t="str">
        <f>IF($A35="","",IFERROR(SUMPRODUCT((Raw_Data_Daily!$B$2:$B$9999="Variant")*(Raw_Data_Daily!$A$2:$A$9999=$A35)*(Raw_Data_Daily!$C$2:$C$9999=$C$3)*Raw_Data_Daily!$D$2:$D$9999*(Raw_Data_Daily!$AQ$2:$AQ$9999-Raw_Data_Daily!$AT$2:$AT$9999))/SUMIFS(Raw_Data_Daily!$D:$D, Raw_Data_Daily!$B:$B, "Variant", Raw_Data_Daily!$A:$A, $A35, Raw_Data_Daily!$C:$C, $C$3),""))</f>
        <v/>
      </c>
      <c r="EF35" s="162" t="str">
        <f t="shared" si="41"/>
        <v/>
      </c>
      <c r="EG35" s="137" t="str">
        <f>IF($A35="","",IFERROR(SUMPRODUCT((Raw_Data_Daily!$B$2:$B$9999="Control")*(Raw_Data_Daily!$A$2:$A$9999=$A35)*(Raw_Data_Daily!$C$2:$C$9999=$C$3)*Raw_Data_Daily!$D$2:$D$9999*Raw_Data_Daily!$AU$2:$AU$9999)/SUMIFS(Raw_Data_Daily!$D:$D, Raw_Data_Daily!$B:$B, "Control", Raw_Data_Daily!$A:$A, $A35, Raw_Data_Daily!$C:$C, $C$3),""))</f>
        <v/>
      </c>
      <c r="EH35" s="137" t="str">
        <f>IF($A35="","",IFERROR(SUMPRODUCT((Raw_Data_Daily!$B$2:$B$9999="Variant")*(Raw_Data_Daily!$A$2:$A$9999=$A35)*(Raw_Data_Daily!$C$2:$C$9999=$C$3)*Raw_Data_Daily!$D$2:$D$9999*Raw_Data_Daily!$AU$2:$AU$9999)/SUMIFS(Raw_Data_Daily!$D:$D, Raw_Data_Daily!$B:$B, "Variant", Raw_Data_Daily!$A:$A, $A35, Raw_Data_Daily!$C:$C, $C$3),""))</f>
        <v/>
      </c>
      <c r="EI35" s="161" t="str">
        <f t="shared" si="42"/>
        <v/>
      </c>
    </row>
    <row r="36" ht="15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79"/>
      <c r="CY36" s="79"/>
      <c r="CZ36" s="79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79"/>
      <c r="DL36" s="79"/>
      <c r="DM36" s="79"/>
      <c r="DN36" s="79"/>
      <c r="DO36" s="79"/>
      <c r="DP36" s="79"/>
      <c r="DQ36" s="79"/>
      <c r="DR36" s="79"/>
      <c r="DS36" s="79"/>
      <c r="DT36" s="79"/>
      <c r="DU36" s="79"/>
      <c r="DV36" s="79"/>
      <c r="DW36" s="79"/>
      <c r="DX36" s="79"/>
      <c r="DY36" s="79"/>
      <c r="DZ36" s="79"/>
      <c r="EA36" s="79"/>
      <c r="EB36" s="79"/>
      <c r="EC36" s="79"/>
      <c r="ED36" s="79"/>
      <c r="EE36" s="79"/>
      <c r="EF36" s="79"/>
      <c r="EG36" s="79"/>
      <c r="EH36" s="79"/>
      <c r="EI36" s="79"/>
    </row>
    <row r="37" ht="15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</row>
    <row r="38" ht="15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9"/>
      <c r="CZ38" s="79"/>
      <c r="DA38" s="79"/>
      <c r="DB38" s="79"/>
      <c r="DC38" s="79"/>
      <c r="DD38" s="79"/>
      <c r="DE38" s="79"/>
      <c r="DF38" s="79"/>
      <c r="DG38" s="79"/>
      <c r="DH38" s="79"/>
      <c r="DI38" s="79"/>
      <c r="DJ38" s="79"/>
      <c r="DK38" s="79"/>
      <c r="DL38" s="79"/>
      <c r="DM38" s="79"/>
      <c r="DN38" s="79"/>
      <c r="DO38" s="79"/>
      <c r="DP38" s="79"/>
      <c r="DQ38" s="79"/>
      <c r="DR38" s="79"/>
      <c r="DS38" s="79"/>
      <c r="DT38" s="79"/>
      <c r="DU38" s="79"/>
      <c r="DV38" s="79"/>
      <c r="DW38" s="79"/>
      <c r="DX38" s="79"/>
      <c r="DY38" s="79"/>
      <c r="DZ38" s="79"/>
      <c r="EA38" s="79"/>
      <c r="EB38" s="79"/>
      <c r="EC38" s="79"/>
      <c r="ED38" s="79"/>
      <c r="EE38" s="79"/>
      <c r="EF38" s="79"/>
      <c r="EG38" s="79"/>
      <c r="EH38" s="79"/>
      <c r="EI38" s="79"/>
    </row>
    <row r="39" ht="15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79"/>
      <c r="CY39" s="79"/>
      <c r="CZ39" s="79"/>
      <c r="DA39" s="79"/>
      <c r="DB39" s="79"/>
      <c r="DC39" s="79"/>
      <c r="DD39" s="79"/>
      <c r="DE39" s="79"/>
      <c r="DF39" s="79"/>
      <c r="DG39" s="79"/>
      <c r="DH39" s="79"/>
      <c r="DI39" s="79"/>
      <c r="DJ39" s="79"/>
      <c r="DK39" s="79"/>
      <c r="DL39" s="79"/>
      <c r="DM39" s="79"/>
      <c r="DN39" s="79"/>
      <c r="DO39" s="79"/>
      <c r="DP39" s="79"/>
      <c r="DQ39" s="79"/>
      <c r="DR39" s="79"/>
      <c r="DS39" s="79"/>
      <c r="DT39" s="79"/>
      <c r="DU39" s="79"/>
      <c r="DV39" s="79"/>
      <c r="DW39" s="79"/>
      <c r="DX39" s="79"/>
      <c r="DY39" s="79"/>
      <c r="DZ39" s="79"/>
      <c r="EA39" s="79"/>
      <c r="EB39" s="79"/>
      <c r="EC39" s="79"/>
      <c r="ED39" s="79"/>
      <c r="EE39" s="79"/>
      <c r="EF39" s="79"/>
      <c r="EG39" s="79"/>
      <c r="EH39" s="79"/>
      <c r="EI39" s="79"/>
    </row>
    <row r="40" ht="15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79"/>
      <c r="CY40" s="79"/>
      <c r="CZ40" s="79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79"/>
      <c r="DL40" s="79"/>
      <c r="DM40" s="79"/>
      <c r="DN40" s="79"/>
      <c r="DO40" s="79"/>
      <c r="DP40" s="79"/>
      <c r="DQ40" s="79"/>
      <c r="DR40" s="79"/>
      <c r="DS40" s="79"/>
      <c r="DT40" s="79"/>
      <c r="DU40" s="79"/>
      <c r="DV40" s="79"/>
      <c r="DW40" s="79"/>
      <c r="DX40" s="79"/>
      <c r="DY40" s="79"/>
      <c r="DZ40" s="79"/>
      <c r="EA40" s="79"/>
      <c r="EB40" s="79"/>
      <c r="EC40" s="79"/>
      <c r="ED40" s="79"/>
      <c r="EE40" s="79"/>
      <c r="EF40" s="79"/>
      <c r="EG40" s="79"/>
      <c r="EH40" s="79"/>
      <c r="EI40" s="79"/>
    </row>
    <row r="41" ht="15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79"/>
      <c r="BT41" s="79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79"/>
      <c r="CY41" s="79"/>
      <c r="CZ41" s="79"/>
      <c r="DA41" s="79"/>
      <c r="DB41" s="79"/>
      <c r="DC41" s="79"/>
      <c r="DD41" s="79"/>
      <c r="DE41" s="79"/>
      <c r="DF41" s="79"/>
      <c r="DG41" s="79"/>
      <c r="DH41" s="79"/>
      <c r="DI41" s="79"/>
      <c r="DJ41" s="79"/>
      <c r="DK41" s="79"/>
      <c r="DL41" s="79"/>
      <c r="DM41" s="79"/>
      <c r="DN41" s="79"/>
      <c r="DO41" s="79"/>
      <c r="DP41" s="79"/>
      <c r="DQ41" s="79"/>
      <c r="DR41" s="79"/>
      <c r="DS41" s="79"/>
      <c r="DT41" s="79"/>
      <c r="DU41" s="79"/>
      <c r="DV41" s="79"/>
      <c r="DW41" s="79"/>
      <c r="DX41" s="79"/>
      <c r="DY41" s="79"/>
      <c r="DZ41" s="79"/>
      <c r="EA41" s="79"/>
      <c r="EB41" s="79"/>
      <c r="EC41" s="79"/>
      <c r="ED41" s="79"/>
      <c r="EE41" s="79"/>
      <c r="EF41" s="79"/>
      <c r="EG41" s="79"/>
      <c r="EH41" s="79"/>
      <c r="EI41" s="79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79"/>
      <c r="CY42" s="79"/>
      <c r="CZ42" s="79"/>
      <c r="DA42" s="79"/>
      <c r="DB42" s="79"/>
      <c r="DC42" s="79"/>
      <c r="DD42" s="79"/>
      <c r="DE42" s="79"/>
      <c r="DF42" s="79"/>
      <c r="DG42" s="79"/>
      <c r="DH42" s="79"/>
      <c r="DI42" s="79"/>
      <c r="DJ42" s="79"/>
      <c r="DK42" s="79"/>
      <c r="DL42" s="79"/>
      <c r="DM42" s="79"/>
      <c r="DN42" s="79"/>
      <c r="DO42" s="79"/>
      <c r="DP42" s="79"/>
      <c r="DQ42" s="79"/>
      <c r="DR42" s="79"/>
      <c r="DS42" s="79"/>
      <c r="DT42" s="79"/>
      <c r="DU42" s="79"/>
      <c r="DV42" s="79"/>
      <c r="DW42" s="79"/>
      <c r="DX42" s="79"/>
      <c r="DY42" s="79"/>
      <c r="DZ42" s="79"/>
      <c r="EA42" s="79"/>
      <c r="EB42" s="79"/>
      <c r="EC42" s="79"/>
      <c r="ED42" s="79"/>
      <c r="EE42" s="79"/>
      <c r="EF42" s="79"/>
      <c r="EG42" s="79"/>
      <c r="EH42" s="79"/>
      <c r="EI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79"/>
      <c r="CY43" s="79"/>
      <c r="CZ43" s="79"/>
      <c r="DA43" s="79"/>
      <c r="DB43" s="79"/>
      <c r="DC43" s="79"/>
      <c r="DD43" s="79"/>
      <c r="DE43" s="79"/>
      <c r="DF43" s="79"/>
      <c r="DG43" s="79"/>
      <c r="DH43" s="79"/>
      <c r="DI43" s="79"/>
      <c r="DJ43" s="79"/>
      <c r="DK43" s="79"/>
      <c r="DL43" s="79"/>
      <c r="DM43" s="79"/>
      <c r="DN43" s="79"/>
      <c r="DO43" s="79"/>
      <c r="DP43" s="79"/>
      <c r="DQ43" s="79"/>
      <c r="DR43" s="79"/>
      <c r="DS43" s="79"/>
      <c r="DT43" s="79"/>
      <c r="DU43" s="79"/>
      <c r="DV43" s="79"/>
      <c r="DW43" s="79"/>
      <c r="DX43" s="79"/>
      <c r="DY43" s="79"/>
      <c r="DZ43" s="79"/>
      <c r="EA43" s="79"/>
      <c r="EB43" s="79"/>
      <c r="EC43" s="79"/>
      <c r="ED43" s="79"/>
      <c r="EE43" s="79"/>
      <c r="EF43" s="79"/>
      <c r="EG43" s="79"/>
      <c r="EH43" s="79"/>
      <c r="EI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79"/>
      <c r="CY44" s="79"/>
      <c r="CZ44" s="79"/>
      <c r="DA44" s="79"/>
      <c r="DB44" s="79"/>
      <c r="DC44" s="79"/>
      <c r="DD44" s="79"/>
      <c r="DE44" s="79"/>
      <c r="DF44" s="79"/>
      <c r="DG44" s="79"/>
      <c r="DH44" s="79"/>
      <c r="DI44" s="79"/>
      <c r="DJ44" s="79"/>
      <c r="DK44" s="79"/>
      <c r="DL44" s="79"/>
      <c r="DM44" s="79"/>
      <c r="DN44" s="79"/>
      <c r="DO44" s="79"/>
      <c r="DP44" s="79"/>
      <c r="DQ44" s="79"/>
      <c r="DR44" s="79"/>
      <c r="DS44" s="79"/>
      <c r="DT44" s="79"/>
      <c r="DU44" s="79"/>
      <c r="DV44" s="79"/>
      <c r="DW44" s="79"/>
      <c r="DX44" s="79"/>
      <c r="DY44" s="79"/>
      <c r="DZ44" s="79"/>
      <c r="EA44" s="79"/>
      <c r="EB44" s="79"/>
      <c r="EC44" s="79"/>
      <c r="ED44" s="79"/>
      <c r="EE44" s="79"/>
      <c r="EF44" s="79"/>
      <c r="EG44" s="79"/>
      <c r="EH44" s="79"/>
      <c r="EI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79"/>
      <c r="CY45" s="79"/>
      <c r="CZ45" s="79"/>
      <c r="DA45" s="79"/>
      <c r="DB45" s="79"/>
      <c r="DC45" s="79"/>
      <c r="DD45" s="79"/>
      <c r="DE45" s="79"/>
      <c r="DF45" s="79"/>
      <c r="DG45" s="79"/>
      <c r="DH45" s="79"/>
      <c r="DI45" s="79"/>
      <c r="DJ45" s="79"/>
      <c r="DK45" s="79"/>
      <c r="DL45" s="79"/>
      <c r="DM45" s="79"/>
      <c r="DN45" s="79"/>
      <c r="DO45" s="79"/>
      <c r="DP45" s="79"/>
      <c r="DQ45" s="79"/>
      <c r="DR45" s="79"/>
      <c r="DS45" s="79"/>
      <c r="DT45" s="79"/>
      <c r="DU45" s="79"/>
      <c r="DV45" s="79"/>
      <c r="DW45" s="79"/>
      <c r="DX45" s="79"/>
      <c r="DY45" s="79"/>
      <c r="DZ45" s="79"/>
      <c r="EA45" s="79"/>
      <c r="EB45" s="79"/>
      <c r="EC45" s="79"/>
      <c r="ED45" s="79"/>
      <c r="EE45" s="79"/>
      <c r="EF45" s="79"/>
      <c r="EG45" s="79"/>
      <c r="EH45" s="79"/>
      <c r="EI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79"/>
      <c r="CY46" s="79"/>
      <c r="CZ46" s="79"/>
      <c r="DA46" s="79"/>
      <c r="DB46" s="79"/>
      <c r="DC46" s="79"/>
      <c r="DD46" s="79"/>
      <c r="DE46" s="79"/>
      <c r="DF46" s="79"/>
      <c r="DG46" s="79"/>
      <c r="DH46" s="79"/>
      <c r="DI46" s="79"/>
      <c r="DJ46" s="79"/>
      <c r="DK46" s="79"/>
      <c r="DL46" s="79"/>
      <c r="DM46" s="79"/>
      <c r="DN46" s="79"/>
      <c r="DO46" s="79"/>
      <c r="DP46" s="79"/>
      <c r="DQ46" s="79"/>
      <c r="DR46" s="79"/>
      <c r="DS46" s="79"/>
      <c r="DT46" s="79"/>
      <c r="DU46" s="79"/>
      <c r="DV46" s="79"/>
      <c r="DW46" s="79"/>
      <c r="DX46" s="79"/>
      <c r="DY46" s="79"/>
      <c r="DZ46" s="79"/>
      <c r="EA46" s="79"/>
      <c r="EB46" s="79"/>
      <c r="EC46" s="79"/>
      <c r="ED46" s="79"/>
      <c r="EE46" s="79"/>
      <c r="EF46" s="79"/>
      <c r="EG46" s="79"/>
      <c r="EH46" s="79"/>
      <c r="EI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  <c r="CX47" s="79"/>
      <c r="CY47" s="79"/>
      <c r="CZ47" s="79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79"/>
      <c r="DL47" s="79"/>
      <c r="DM47" s="79"/>
      <c r="DN47" s="79"/>
      <c r="DO47" s="79"/>
      <c r="DP47" s="79"/>
      <c r="DQ47" s="79"/>
      <c r="DR47" s="79"/>
      <c r="DS47" s="79"/>
      <c r="DT47" s="79"/>
      <c r="DU47" s="79"/>
      <c r="DV47" s="79"/>
      <c r="DW47" s="79"/>
      <c r="DX47" s="79"/>
      <c r="DY47" s="79"/>
      <c r="DZ47" s="79"/>
      <c r="EA47" s="79"/>
      <c r="EB47" s="79"/>
      <c r="EC47" s="79"/>
      <c r="ED47" s="79"/>
      <c r="EE47" s="79"/>
      <c r="EF47" s="79"/>
      <c r="EG47" s="79"/>
      <c r="EH47" s="79"/>
      <c r="EI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79"/>
      <c r="CY48" s="79"/>
      <c r="CZ48" s="79"/>
      <c r="DA48" s="79"/>
      <c r="DB48" s="79"/>
      <c r="DC48" s="79"/>
      <c r="DD48" s="79"/>
      <c r="DE48" s="79"/>
      <c r="DF48" s="79"/>
      <c r="DG48" s="79"/>
      <c r="DH48" s="79"/>
      <c r="DI48" s="79"/>
      <c r="DJ48" s="79"/>
      <c r="DK48" s="79"/>
      <c r="DL48" s="79"/>
      <c r="DM48" s="79"/>
      <c r="DN48" s="79"/>
      <c r="DO48" s="79"/>
      <c r="DP48" s="79"/>
      <c r="DQ48" s="79"/>
      <c r="DR48" s="79"/>
      <c r="DS48" s="79"/>
      <c r="DT48" s="79"/>
      <c r="DU48" s="79"/>
      <c r="DV48" s="79"/>
      <c r="DW48" s="79"/>
      <c r="DX48" s="79"/>
      <c r="DY48" s="79"/>
      <c r="DZ48" s="79"/>
      <c r="EA48" s="79"/>
      <c r="EB48" s="79"/>
      <c r="EC48" s="79"/>
      <c r="ED48" s="79"/>
      <c r="EE48" s="79"/>
      <c r="EF48" s="79"/>
      <c r="EG48" s="79"/>
      <c r="EH48" s="79"/>
      <c r="EI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79"/>
      <c r="CY49" s="79"/>
      <c r="CZ49" s="79"/>
      <c r="DA49" s="79"/>
      <c r="DB49" s="79"/>
      <c r="DC49" s="79"/>
      <c r="DD49" s="79"/>
      <c r="DE49" s="79"/>
      <c r="DF49" s="79"/>
      <c r="DG49" s="79"/>
      <c r="DH49" s="79"/>
      <c r="DI49" s="79"/>
      <c r="DJ49" s="79"/>
      <c r="DK49" s="79"/>
      <c r="DL49" s="79"/>
      <c r="DM49" s="79"/>
      <c r="DN49" s="79"/>
      <c r="DO49" s="79"/>
      <c r="DP49" s="79"/>
      <c r="DQ49" s="79"/>
      <c r="DR49" s="79"/>
      <c r="DS49" s="79"/>
      <c r="DT49" s="79"/>
      <c r="DU49" s="79"/>
      <c r="DV49" s="79"/>
      <c r="DW49" s="79"/>
      <c r="DX49" s="79"/>
      <c r="DY49" s="79"/>
      <c r="DZ49" s="79"/>
      <c r="EA49" s="79"/>
      <c r="EB49" s="79"/>
      <c r="EC49" s="79"/>
      <c r="ED49" s="79"/>
      <c r="EE49" s="79"/>
      <c r="EF49" s="79"/>
      <c r="EG49" s="79"/>
      <c r="EH49" s="79"/>
      <c r="EI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79"/>
      <c r="CY50" s="79"/>
      <c r="CZ50" s="79"/>
      <c r="DA50" s="79"/>
      <c r="DB50" s="79"/>
      <c r="DC50" s="79"/>
      <c r="DD50" s="79"/>
      <c r="DE50" s="79"/>
      <c r="DF50" s="79"/>
      <c r="DG50" s="79"/>
      <c r="DH50" s="79"/>
      <c r="DI50" s="79"/>
      <c r="DJ50" s="79"/>
      <c r="DK50" s="79"/>
      <c r="DL50" s="79"/>
      <c r="DM50" s="79"/>
      <c r="DN50" s="79"/>
      <c r="DO50" s="79"/>
      <c r="DP50" s="79"/>
      <c r="DQ50" s="79"/>
      <c r="DR50" s="79"/>
      <c r="DS50" s="79"/>
      <c r="DT50" s="79"/>
      <c r="DU50" s="79"/>
      <c r="DV50" s="79"/>
      <c r="DW50" s="79"/>
      <c r="DX50" s="79"/>
      <c r="DY50" s="79"/>
      <c r="DZ50" s="79"/>
      <c r="EA50" s="79"/>
      <c r="EB50" s="79"/>
      <c r="EC50" s="79"/>
      <c r="ED50" s="79"/>
      <c r="EE50" s="79"/>
      <c r="EF50" s="79"/>
      <c r="EG50" s="79"/>
      <c r="EH50" s="79"/>
      <c r="EI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79"/>
      <c r="DA51" s="79"/>
      <c r="DB51" s="79"/>
      <c r="DC51" s="79"/>
      <c r="DD51" s="79"/>
      <c r="DE51" s="79"/>
      <c r="DF51" s="79"/>
      <c r="DG51" s="79"/>
      <c r="DH51" s="79"/>
      <c r="DI51" s="79"/>
      <c r="DJ51" s="79"/>
      <c r="DK51" s="79"/>
      <c r="DL51" s="79"/>
      <c r="DM51" s="79"/>
      <c r="DN51" s="79"/>
      <c r="DO51" s="79"/>
      <c r="DP51" s="79"/>
      <c r="DQ51" s="79"/>
      <c r="DR51" s="79"/>
      <c r="DS51" s="79"/>
      <c r="DT51" s="79"/>
      <c r="DU51" s="79"/>
      <c r="DV51" s="79"/>
      <c r="DW51" s="79"/>
      <c r="DX51" s="79"/>
      <c r="DY51" s="79"/>
      <c r="DZ51" s="79"/>
      <c r="EA51" s="79"/>
      <c r="EB51" s="79"/>
      <c r="EC51" s="79"/>
      <c r="ED51" s="79"/>
      <c r="EE51" s="79"/>
      <c r="EF51" s="79"/>
      <c r="EG51" s="79"/>
      <c r="EH51" s="79"/>
      <c r="EI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9"/>
      <c r="CZ52" s="79"/>
      <c r="DA52" s="79"/>
      <c r="DB52" s="79"/>
      <c r="DC52" s="79"/>
      <c r="DD52" s="79"/>
      <c r="DE52" s="79"/>
      <c r="DF52" s="79"/>
      <c r="DG52" s="79"/>
      <c r="DH52" s="79"/>
      <c r="DI52" s="79"/>
      <c r="DJ52" s="79"/>
      <c r="DK52" s="79"/>
      <c r="DL52" s="79"/>
      <c r="DM52" s="79"/>
      <c r="DN52" s="79"/>
      <c r="DO52" s="79"/>
      <c r="DP52" s="79"/>
      <c r="DQ52" s="79"/>
      <c r="DR52" s="79"/>
      <c r="DS52" s="79"/>
      <c r="DT52" s="79"/>
      <c r="DU52" s="79"/>
      <c r="DV52" s="79"/>
      <c r="DW52" s="79"/>
      <c r="DX52" s="79"/>
      <c r="DY52" s="79"/>
      <c r="DZ52" s="79"/>
      <c r="EA52" s="79"/>
      <c r="EB52" s="79"/>
      <c r="EC52" s="79"/>
      <c r="ED52" s="79"/>
      <c r="EE52" s="79"/>
      <c r="EF52" s="79"/>
      <c r="EG52" s="79"/>
      <c r="EH52" s="79"/>
      <c r="EI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  <c r="DG53" s="79"/>
      <c r="DH53" s="79"/>
      <c r="DI53" s="79"/>
      <c r="DJ53" s="79"/>
      <c r="DK53" s="79"/>
      <c r="DL53" s="79"/>
      <c r="DM53" s="79"/>
      <c r="DN53" s="79"/>
      <c r="DO53" s="79"/>
      <c r="DP53" s="79"/>
      <c r="DQ53" s="79"/>
      <c r="DR53" s="79"/>
      <c r="DS53" s="79"/>
      <c r="DT53" s="79"/>
      <c r="DU53" s="79"/>
      <c r="DV53" s="79"/>
      <c r="DW53" s="79"/>
      <c r="DX53" s="79"/>
      <c r="DY53" s="79"/>
      <c r="DZ53" s="79"/>
      <c r="EA53" s="79"/>
      <c r="EB53" s="79"/>
      <c r="EC53" s="79"/>
      <c r="ED53" s="79"/>
      <c r="EE53" s="79"/>
      <c r="EF53" s="79"/>
      <c r="EG53" s="79"/>
      <c r="EH53" s="79"/>
      <c r="EI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79"/>
      <c r="CY54" s="79"/>
      <c r="CZ54" s="79"/>
      <c r="DA54" s="79"/>
      <c r="DB54" s="79"/>
      <c r="DC54" s="79"/>
      <c r="DD54" s="79"/>
      <c r="DE54" s="79"/>
      <c r="DF54" s="79"/>
      <c r="DG54" s="79"/>
      <c r="DH54" s="79"/>
      <c r="DI54" s="79"/>
      <c r="DJ54" s="79"/>
      <c r="DK54" s="79"/>
      <c r="DL54" s="79"/>
      <c r="DM54" s="79"/>
      <c r="DN54" s="79"/>
      <c r="DO54" s="79"/>
      <c r="DP54" s="79"/>
      <c r="DQ54" s="79"/>
      <c r="DR54" s="79"/>
      <c r="DS54" s="79"/>
      <c r="DT54" s="79"/>
      <c r="DU54" s="79"/>
      <c r="DV54" s="79"/>
      <c r="DW54" s="79"/>
      <c r="DX54" s="79"/>
      <c r="DY54" s="79"/>
      <c r="DZ54" s="79"/>
      <c r="EA54" s="79"/>
      <c r="EB54" s="79"/>
      <c r="EC54" s="79"/>
      <c r="ED54" s="79"/>
      <c r="EE54" s="79"/>
      <c r="EF54" s="79"/>
      <c r="EG54" s="79"/>
      <c r="EH54" s="79"/>
      <c r="EI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9"/>
      <c r="CZ55" s="79"/>
      <c r="DA55" s="79"/>
      <c r="DB55" s="79"/>
      <c r="DC55" s="79"/>
      <c r="DD55" s="79"/>
      <c r="DE55" s="79"/>
      <c r="DF55" s="79"/>
      <c r="DG55" s="79"/>
      <c r="DH55" s="79"/>
      <c r="DI55" s="79"/>
      <c r="DJ55" s="79"/>
      <c r="DK55" s="79"/>
      <c r="DL55" s="79"/>
      <c r="DM55" s="79"/>
      <c r="DN55" s="79"/>
      <c r="DO55" s="79"/>
      <c r="DP55" s="79"/>
      <c r="DQ55" s="79"/>
      <c r="DR55" s="79"/>
      <c r="DS55" s="79"/>
      <c r="DT55" s="79"/>
      <c r="DU55" s="79"/>
      <c r="DV55" s="79"/>
      <c r="DW55" s="79"/>
      <c r="DX55" s="79"/>
      <c r="DY55" s="79"/>
      <c r="DZ55" s="79"/>
      <c r="EA55" s="79"/>
      <c r="EB55" s="79"/>
      <c r="EC55" s="79"/>
      <c r="ED55" s="79"/>
      <c r="EE55" s="79"/>
      <c r="EF55" s="79"/>
      <c r="EG55" s="79"/>
      <c r="EH55" s="79"/>
      <c r="EI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79"/>
      <c r="DF56" s="79"/>
      <c r="DG56" s="79"/>
      <c r="DH56" s="79"/>
      <c r="DI56" s="79"/>
      <c r="DJ56" s="79"/>
      <c r="DK56" s="79"/>
      <c r="DL56" s="79"/>
      <c r="DM56" s="79"/>
      <c r="DN56" s="79"/>
      <c r="DO56" s="79"/>
      <c r="DP56" s="79"/>
      <c r="DQ56" s="79"/>
      <c r="DR56" s="79"/>
      <c r="DS56" s="79"/>
      <c r="DT56" s="79"/>
      <c r="DU56" s="79"/>
      <c r="DV56" s="79"/>
      <c r="DW56" s="79"/>
      <c r="DX56" s="79"/>
      <c r="DY56" s="79"/>
      <c r="DZ56" s="79"/>
      <c r="EA56" s="79"/>
      <c r="EB56" s="79"/>
      <c r="EC56" s="79"/>
      <c r="ED56" s="79"/>
      <c r="EE56" s="79"/>
      <c r="EF56" s="79"/>
      <c r="EG56" s="79"/>
      <c r="EH56" s="79"/>
      <c r="EI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  <c r="CZ57" s="79"/>
      <c r="DA57" s="79"/>
      <c r="DB57" s="79"/>
      <c r="DC57" s="79"/>
      <c r="DD57" s="79"/>
      <c r="DE57" s="79"/>
      <c r="DF57" s="79"/>
      <c r="DG57" s="79"/>
      <c r="DH57" s="79"/>
      <c r="DI57" s="79"/>
      <c r="DJ57" s="79"/>
      <c r="DK57" s="79"/>
      <c r="DL57" s="79"/>
      <c r="DM57" s="79"/>
      <c r="DN57" s="79"/>
      <c r="DO57" s="79"/>
      <c r="DP57" s="79"/>
      <c r="DQ57" s="79"/>
      <c r="DR57" s="79"/>
      <c r="DS57" s="79"/>
      <c r="DT57" s="79"/>
      <c r="DU57" s="79"/>
      <c r="DV57" s="79"/>
      <c r="DW57" s="79"/>
      <c r="DX57" s="79"/>
      <c r="DY57" s="79"/>
      <c r="DZ57" s="79"/>
      <c r="EA57" s="79"/>
      <c r="EB57" s="79"/>
      <c r="EC57" s="79"/>
      <c r="ED57" s="79"/>
      <c r="EE57" s="79"/>
      <c r="EF57" s="79"/>
      <c r="EG57" s="79"/>
      <c r="EH57" s="79"/>
      <c r="EI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9"/>
      <c r="CZ58" s="79"/>
      <c r="DA58" s="79"/>
      <c r="DB58" s="79"/>
      <c r="DC58" s="79"/>
      <c r="DD58" s="79"/>
      <c r="DE58" s="79"/>
      <c r="DF58" s="79"/>
      <c r="DG58" s="79"/>
      <c r="DH58" s="79"/>
      <c r="DI58" s="79"/>
      <c r="DJ58" s="79"/>
      <c r="DK58" s="79"/>
      <c r="DL58" s="79"/>
      <c r="DM58" s="79"/>
      <c r="DN58" s="79"/>
      <c r="DO58" s="79"/>
      <c r="DP58" s="79"/>
      <c r="DQ58" s="79"/>
      <c r="DR58" s="79"/>
      <c r="DS58" s="79"/>
      <c r="DT58" s="79"/>
      <c r="DU58" s="79"/>
      <c r="DV58" s="79"/>
      <c r="DW58" s="79"/>
      <c r="DX58" s="79"/>
      <c r="DY58" s="79"/>
      <c r="DZ58" s="79"/>
      <c r="EA58" s="79"/>
      <c r="EB58" s="79"/>
      <c r="EC58" s="79"/>
      <c r="ED58" s="79"/>
      <c r="EE58" s="79"/>
      <c r="EF58" s="79"/>
      <c r="EG58" s="79"/>
      <c r="EH58" s="79"/>
      <c r="EI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  <c r="CZ60" s="79"/>
      <c r="DA60" s="79"/>
      <c r="DB60" s="79"/>
      <c r="DC60" s="79"/>
      <c r="DD60" s="79"/>
      <c r="DE60" s="79"/>
      <c r="DF60" s="79"/>
      <c r="DG60" s="79"/>
      <c r="DH60" s="79"/>
      <c r="DI60" s="79"/>
      <c r="DJ60" s="79"/>
      <c r="DK60" s="79"/>
      <c r="DL60" s="79"/>
      <c r="DM60" s="79"/>
      <c r="DN60" s="79"/>
      <c r="DO60" s="79"/>
      <c r="DP60" s="79"/>
      <c r="DQ60" s="79"/>
      <c r="DR60" s="79"/>
      <c r="DS60" s="79"/>
      <c r="DT60" s="79"/>
      <c r="DU60" s="79"/>
      <c r="DV60" s="79"/>
      <c r="DW60" s="79"/>
      <c r="DX60" s="79"/>
      <c r="DY60" s="79"/>
      <c r="DZ60" s="79"/>
      <c r="EA60" s="79"/>
      <c r="EB60" s="79"/>
      <c r="EC60" s="79"/>
      <c r="ED60" s="79"/>
      <c r="EE60" s="79"/>
      <c r="EF60" s="79"/>
      <c r="EG60" s="79"/>
      <c r="EH60" s="79"/>
      <c r="EI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9"/>
      <c r="CZ61" s="79"/>
      <c r="DA61" s="79"/>
      <c r="DB61" s="79"/>
      <c r="DC61" s="79"/>
      <c r="DD61" s="79"/>
      <c r="DE61" s="79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/>
      <c r="DY61" s="79"/>
      <c r="DZ61" s="79"/>
      <c r="EA61" s="79"/>
      <c r="EB61" s="79"/>
      <c r="EC61" s="79"/>
      <c r="ED61" s="79"/>
      <c r="EE61" s="79"/>
      <c r="EF61" s="79"/>
      <c r="EG61" s="79"/>
      <c r="EH61" s="79"/>
      <c r="EI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79"/>
      <c r="CY62" s="79"/>
      <c r="CZ62" s="79"/>
      <c r="DA62" s="79"/>
      <c r="DB62" s="79"/>
      <c r="DC62" s="79"/>
      <c r="DD62" s="79"/>
      <c r="DE62" s="79"/>
      <c r="DF62" s="79"/>
      <c r="DG62" s="79"/>
      <c r="DH62" s="79"/>
      <c r="DI62" s="79"/>
      <c r="DJ62" s="79"/>
      <c r="DK62" s="79"/>
      <c r="DL62" s="79"/>
      <c r="DM62" s="79"/>
      <c r="DN62" s="79"/>
      <c r="DO62" s="79"/>
      <c r="DP62" s="79"/>
      <c r="DQ62" s="79"/>
      <c r="DR62" s="79"/>
      <c r="DS62" s="79"/>
      <c r="DT62" s="79"/>
      <c r="DU62" s="79"/>
      <c r="DV62" s="79"/>
      <c r="DW62" s="79"/>
      <c r="DX62" s="79"/>
      <c r="DY62" s="79"/>
      <c r="DZ62" s="79"/>
      <c r="EA62" s="79"/>
      <c r="EB62" s="79"/>
      <c r="EC62" s="79"/>
      <c r="ED62" s="79"/>
      <c r="EE62" s="79"/>
      <c r="EF62" s="79"/>
      <c r="EG62" s="79"/>
      <c r="EH62" s="79"/>
      <c r="EI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9"/>
      <c r="CZ63" s="79"/>
      <c r="DA63" s="79"/>
      <c r="DB63" s="79"/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9"/>
      <c r="CZ66" s="79"/>
      <c r="DA66" s="79"/>
      <c r="DB66" s="79"/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79"/>
      <c r="CY67" s="79"/>
      <c r="CZ67" s="79"/>
      <c r="DA67" s="79"/>
      <c r="DB67" s="79"/>
      <c r="DC67" s="79"/>
      <c r="DD67" s="79"/>
      <c r="DE67" s="79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79"/>
      <c r="CY69" s="79"/>
      <c r="CZ69" s="79"/>
      <c r="DA69" s="79"/>
      <c r="DB69" s="79"/>
      <c r="DC69" s="79"/>
      <c r="DD69" s="79"/>
      <c r="DE69" s="79"/>
      <c r="DF69" s="79"/>
      <c r="DG69" s="79"/>
      <c r="DH69" s="79"/>
      <c r="DI69" s="79"/>
      <c r="DJ69" s="79"/>
      <c r="DK69" s="79"/>
      <c r="DL69" s="79"/>
      <c r="DM69" s="79"/>
      <c r="DN69" s="79"/>
      <c r="DO69" s="79"/>
      <c r="DP69" s="79"/>
      <c r="DQ69" s="79"/>
      <c r="DR69" s="79"/>
      <c r="DS69" s="79"/>
      <c r="DT69" s="79"/>
      <c r="DU69" s="79"/>
      <c r="DV69" s="79"/>
      <c r="DW69" s="79"/>
      <c r="DX69" s="79"/>
      <c r="DY69" s="79"/>
      <c r="DZ69" s="79"/>
      <c r="EA69" s="79"/>
      <c r="EB69" s="79"/>
      <c r="EC69" s="79"/>
      <c r="ED69" s="79"/>
      <c r="EE69" s="79"/>
      <c r="EF69" s="79"/>
      <c r="EG69" s="79"/>
      <c r="EH69" s="79"/>
      <c r="EI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79"/>
      <c r="CY70" s="79"/>
      <c r="CZ70" s="79"/>
      <c r="DA70" s="79"/>
      <c r="DB70" s="79"/>
      <c r="DC70" s="79"/>
      <c r="DD70" s="79"/>
      <c r="DE70" s="79"/>
      <c r="DF70" s="79"/>
      <c r="DG70" s="79"/>
      <c r="DH70" s="79"/>
      <c r="DI70" s="79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9"/>
      <c r="DW70" s="79"/>
      <c r="DX70" s="79"/>
      <c r="DY70" s="79"/>
      <c r="DZ70" s="79"/>
      <c r="EA70" s="79"/>
      <c r="EB70" s="79"/>
      <c r="EC70" s="79"/>
      <c r="ED70" s="79"/>
      <c r="EE70" s="79"/>
      <c r="EF70" s="79"/>
      <c r="EG70" s="79"/>
      <c r="EH70" s="79"/>
      <c r="EI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79"/>
      <c r="CY71" s="79"/>
      <c r="CZ71" s="79"/>
      <c r="DA71" s="79"/>
      <c r="DB71" s="79"/>
      <c r="DC71" s="79"/>
      <c r="DD71" s="79"/>
      <c r="DE71" s="79"/>
      <c r="DF71" s="79"/>
      <c r="DG71" s="79"/>
      <c r="DH71" s="79"/>
      <c r="DI71" s="79"/>
      <c r="DJ71" s="79"/>
      <c r="DK71" s="79"/>
      <c r="DL71" s="79"/>
      <c r="DM71" s="79"/>
      <c r="DN71" s="79"/>
      <c r="DO71" s="79"/>
      <c r="DP71" s="79"/>
      <c r="DQ71" s="79"/>
      <c r="DR71" s="79"/>
      <c r="DS71" s="79"/>
      <c r="DT71" s="79"/>
      <c r="DU71" s="79"/>
      <c r="DV71" s="79"/>
      <c r="DW71" s="79"/>
      <c r="DX71" s="79"/>
      <c r="DY71" s="79"/>
      <c r="DZ71" s="79"/>
      <c r="EA71" s="79"/>
      <c r="EB71" s="79"/>
      <c r="EC71" s="79"/>
      <c r="ED71" s="79"/>
      <c r="EE71" s="79"/>
      <c r="EF71" s="79"/>
      <c r="EG71" s="79"/>
      <c r="EH71" s="79"/>
      <c r="EI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79"/>
      <c r="CY72" s="79"/>
      <c r="CZ72" s="79"/>
      <c r="DA72" s="79"/>
      <c r="DB72" s="79"/>
      <c r="DC72" s="79"/>
      <c r="DD72" s="79"/>
      <c r="DE72" s="79"/>
      <c r="DF72" s="79"/>
      <c r="DG72" s="79"/>
      <c r="DH72" s="79"/>
      <c r="DI72" s="79"/>
      <c r="DJ72" s="79"/>
      <c r="DK72" s="79"/>
      <c r="DL72" s="79"/>
      <c r="DM72" s="79"/>
      <c r="DN72" s="79"/>
      <c r="DO72" s="79"/>
      <c r="DP72" s="79"/>
      <c r="DQ72" s="79"/>
      <c r="DR72" s="79"/>
      <c r="DS72" s="79"/>
      <c r="DT72" s="79"/>
      <c r="DU72" s="79"/>
      <c r="DV72" s="79"/>
      <c r="DW72" s="79"/>
      <c r="DX72" s="79"/>
      <c r="DY72" s="79"/>
      <c r="DZ72" s="79"/>
      <c r="EA72" s="79"/>
      <c r="EB72" s="79"/>
      <c r="EC72" s="79"/>
      <c r="ED72" s="79"/>
      <c r="EE72" s="79"/>
      <c r="EF72" s="79"/>
      <c r="EG72" s="79"/>
      <c r="EH72" s="79"/>
      <c r="EI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9"/>
      <c r="CW73" s="79"/>
      <c r="CX73" s="79"/>
      <c r="CY73" s="79"/>
      <c r="CZ73" s="79"/>
      <c r="DA73" s="79"/>
      <c r="DB73" s="79"/>
      <c r="DC73" s="79"/>
      <c r="DD73" s="79"/>
      <c r="DE73" s="79"/>
      <c r="DF73" s="79"/>
      <c r="DG73" s="79"/>
      <c r="DH73" s="79"/>
      <c r="DI73" s="79"/>
      <c r="DJ73" s="79"/>
      <c r="DK73" s="79"/>
      <c r="DL73" s="79"/>
      <c r="DM73" s="79"/>
      <c r="DN73" s="79"/>
      <c r="DO73" s="79"/>
      <c r="DP73" s="79"/>
      <c r="DQ73" s="79"/>
      <c r="DR73" s="79"/>
      <c r="DS73" s="79"/>
      <c r="DT73" s="79"/>
      <c r="DU73" s="79"/>
      <c r="DV73" s="79"/>
      <c r="DW73" s="79"/>
      <c r="DX73" s="79"/>
      <c r="DY73" s="79"/>
      <c r="DZ73" s="79"/>
      <c r="EA73" s="79"/>
      <c r="EB73" s="79"/>
      <c r="EC73" s="79"/>
      <c r="ED73" s="79"/>
      <c r="EE73" s="79"/>
      <c r="EF73" s="79"/>
      <c r="EG73" s="79"/>
      <c r="EH73" s="79"/>
      <c r="EI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79"/>
      <c r="CY74" s="79"/>
      <c r="CZ74" s="79"/>
      <c r="DA74" s="79"/>
      <c r="DB74" s="79"/>
      <c r="DC74" s="79"/>
      <c r="DD74" s="79"/>
      <c r="DE74" s="79"/>
      <c r="DF74" s="79"/>
      <c r="DG74" s="79"/>
      <c r="DH74" s="79"/>
      <c r="DI74" s="79"/>
      <c r="DJ74" s="79"/>
      <c r="DK74" s="79"/>
      <c r="DL74" s="79"/>
      <c r="DM74" s="79"/>
      <c r="DN74" s="79"/>
      <c r="DO74" s="79"/>
      <c r="DP74" s="79"/>
      <c r="DQ74" s="79"/>
      <c r="DR74" s="79"/>
      <c r="DS74" s="79"/>
      <c r="DT74" s="79"/>
      <c r="DU74" s="79"/>
      <c r="DV74" s="79"/>
      <c r="DW74" s="79"/>
      <c r="DX74" s="79"/>
      <c r="DY74" s="79"/>
      <c r="DZ74" s="79"/>
      <c r="EA74" s="79"/>
      <c r="EB74" s="79"/>
      <c r="EC74" s="79"/>
      <c r="ED74" s="79"/>
      <c r="EE74" s="79"/>
      <c r="EF74" s="79"/>
      <c r="EG74" s="79"/>
      <c r="EH74" s="79"/>
      <c r="EI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79"/>
      <c r="CY75" s="79"/>
      <c r="CZ75" s="79"/>
      <c r="DA75" s="79"/>
      <c r="DB75" s="79"/>
      <c r="DC75" s="79"/>
      <c r="DD75" s="79"/>
      <c r="DE75" s="79"/>
      <c r="DF75" s="79"/>
      <c r="DG75" s="79"/>
      <c r="DH75" s="79"/>
      <c r="DI75" s="79"/>
      <c r="DJ75" s="79"/>
      <c r="DK75" s="79"/>
      <c r="DL75" s="79"/>
      <c r="DM75" s="79"/>
      <c r="DN75" s="79"/>
      <c r="DO75" s="79"/>
      <c r="DP75" s="79"/>
      <c r="DQ75" s="79"/>
      <c r="DR75" s="79"/>
      <c r="DS75" s="79"/>
      <c r="DT75" s="79"/>
      <c r="DU75" s="79"/>
      <c r="DV75" s="79"/>
      <c r="DW75" s="79"/>
      <c r="DX75" s="79"/>
      <c r="DY75" s="79"/>
      <c r="DZ75" s="79"/>
      <c r="EA75" s="79"/>
      <c r="EB75" s="79"/>
      <c r="EC75" s="79"/>
      <c r="ED75" s="79"/>
      <c r="EE75" s="79"/>
      <c r="EF75" s="79"/>
      <c r="EG75" s="79"/>
      <c r="EH75" s="79"/>
      <c r="EI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79"/>
      <c r="CY76" s="79"/>
      <c r="CZ76" s="79"/>
      <c r="DA76" s="79"/>
      <c r="DB76" s="79"/>
      <c r="DC76" s="79"/>
      <c r="DD76" s="79"/>
      <c r="DE76" s="79"/>
      <c r="DF76" s="79"/>
      <c r="DG76" s="79"/>
      <c r="DH76" s="79"/>
      <c r="DI76" s="79"/>
      <c r="DJ76" s="79"/>
      <c r="DK76" s="79"/>
      <c r="DL76" s="79"/>
      <c r="DM76" s="79"/>
      <c r="DN76" s="79"/>
      <c r="DO76" s="79"/>
      <c r="DP76" s="79"/>
      <c r="DQ76" s="79"/>
      <c r="DR76" s="79"/>
      <c r="DS76" s="79"/>
      <c r="DT76" s="79"/>
      <c r="DU76" s="79"/>
      <c r="DV76" s="79"/>
      <c r="DW76" s="79"/>
      <c r="DX76" s="79"/>
      <c r="DY76" s="79"/>
      <c r="DZ76" s="79"/>
      <c r="EA76" s="79"/>
      <c r="EB76" s="79"/>
      <c r="EC76" s="79"/>
      <c r="ED76" s="79"/>
      <c r="EE76" s="79"/>
      <c r="EF76" s="79"/>
      <c r="EG76" s="79"/>
      <c r="EH76" s="79"/>
      <c r="EI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79"/>
      <c r="CY77" s="79"/>
      <c r="CZ77" s="79"/>
      <c r="DA77" s="79"/>
      <c r="DB77" s="79"/>
      <c r="DC77" s="79"/>
      <c r="DD77" s="79"/>
      <c r="DE77" s="79"/>
      <c r="DF77" s="79"/>
      <c r="DG77" s="79"/>
      <c r="DH77" s="79"/>
      <c r="DI77" s="79"/>
      <c r="DJ77" s="79"/>
      <c r="DK77" s="79"/>
      <c r="DL77" s="79"/>
      <c r="DM77" s="79"/>
      <c r="DN77" s="79"/>
      <c r="DO77" s="79"/>
      <c r="DP77" s="79"/>
      <c r="DQ77" s="79"/>
      <c r="DR77" s="79"/>
      <c r="DS77" s="79"/>
      <c r="DT77" s="79"/>
      <c r="DU77" s="79"/>
      <c r="DV77" s="79"/>
      <c r="DW77" s="79"/>
      <c r="DX77" s="79"/>
      <c r="DY77" s="79"/>
      <c r="DZ77" s="79"/>
      <c r="EA77" s="79"/>
      <c r="EB77" s="79"/>
      <c r="EC77" s="79"/>
      <c r="ED77" s="79"/>
      <c r="EE77" s="79"/>
      <c r="EF77" s="79"/>
      <c r="EG77" s="79"/>
      <c r="EH77" s="79"/>
      <c r="EI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79"/>
      <c r="CY78" s="79"/>
      <c r="CZ78" s="79"/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79"/>
      <c r="DL78" s="79"/>
      <c r="DM78" s="79"/>
      <c r="DN78" s="79"/>
      <c r="DO78" s="79"/>
      <c r="DP78" s="79"/>
      <c r="DQ78" s="79"/>
      <c r="DR78" s="79"/>
      <c r="DS78" s="79"/>
      <c r="DT78" s="79"/>
      <c r="DU78" s="79"/>
      <c r="DV78" s="79"/>
      <c r="DW78" s="79"/>
      <c r="DX78" s="79"/>
      <c r="DY78" s="79"/>
      <c r="DZ78" s="79"/>
      <c r="EA78" s="79"/>
      <c r="EB78" s="79"/>
      <c r="EC78" s="79"/>
      <c r="ED78" s="79"/>
      <c r="EE78" s="79"/>
      <c r="EF78" s="79"/>
      <c r="EG78" s="79"/>
      <c r="EH78" s="79"/>
      <c r="EI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79"/>
      <c r="CY79" s="79"/>
      <c r="CZ79" s="79"/>
      <c r="DA79" s="79"/>
      <c r="DB79" s="79"/>
      <c r="DC79" s="79"/>
      <c r="DD79" s="79"/>
      <c r="DE79" s="79"/>
      <c r="DF79" s="79"/>
      <c r="DG79" s="79"/>
      <c r="DH79" s="79"/>
      <c r="DI79" s="79"/>
      <c r="DJ79" s="79"/>
      <c r="DK79" s="79"/>
      <c r="DL79" s="79"/>
      <c r="DM79" s="79"/>
      <c r="DN79" s="79"/>
      <c r="DO79" s="79"/>
      <c r="DP79" s="79"/>
      <c r="DQ79" s="79"/>
      <c r="DR79" s="79"/>
      <c r="DS79" s="79"/>
      <c r="DT79" s="79"/>
      <c r="DU79" s="79"/>
      <c r="DV79" s="79"/>
      <c r="DW79" s="79"/>
      <c r="DX79" s="79"/>
      <c r="DY79" s="79"/>
      <c r="DZ79" s="79"/>
      <c r="EA79" s="79"/>
      <c r="EB79" s="79"/>
      <c r="EC79" s="79"/>
      <c r="ED79" s="79"/>
      <c r="EE79" s="79"/>
      <c r="EF79" s="79"/>
      <c r="EG79" s="79"/>
      <c r="EH79" s="79"/>
      <c r="EI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79"/>
      <c r="CY80" s="79"/>
      <c r="CZ80" s="79"/>
      <c r="DA80" s="79"/>
      <c r="DB80" s="79"/>
      <c r="DC80" s="79"/>
      <c r="DD80" s="79"/>
      <c r="DE80" s="79"/>
      <c r="DF80" s="79"/>
      <c r="DG80" s="79"/>
      <c r="DH80" s="79"/>
      <c r="DI80" s="79"/>
      <c r="DJ80" s="79"/>
      <c r="DK80" s="79"/>
      <c r="DL80" s="79"/>
      <c r="DM80" s="79"/>
      <c r="DN80" s="79"/>
      <c r="DO80" s="79"/>
      <c r="DP80" s="79"/>
      <c r="DQ80" s="79"/>
      <c r="DR80" s="79"/>
      <c r="DS80" s="79"/>
      <c r="DT80" s="79"/>
      <c r="DU80" s="79"/>
      <c r="DV80" s="79"/>
      <c r="DW80" s="79"/>
      <c r="DX80" s="79"/>
      <c r="DY80" s="79"/>
      <c r="DZ80" s="79"/>
      <c r="EA80" s="79"/>
      <c r="EB80" s="79"/>
      <c r="EC80" s="79"/>
      <c r="ED80" s="79"/>
      <c r="EE80" s="79"/>
      <c r="EF80" s="79"/>
      <c r="EG80" s="79"/>
      <c r="EH80" s="79"/>
      <c r="EI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  <c r="CJ81" s="79"/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79"/>
      <c r="CV81" s="79"/>
      <c r="CW81" s="79"/>
      <c r="CX81" s="79"/>
      <c r="CY81" s="79"/>
      <c r="CZ81" s="79"/>
      <c r="DA81" s="79"/>
      <c r="DB81" s="79"/>
      <c r="DC81" s="79"/>
      <c r="DD81" s="79"/>
      <c r="DE81" s="79"/>
      <c r="DF81" s="79"/>
      <c r="DG81" s="79"/>
      <c r="DH81" s="79"/>
      <c r="DI81" s="79"/>
      <c r="DJ81" s="79"/>
      <c r="DK81" s="79"/>
      <c r="DL81" s="79"/>
      <c r="DM81" s="79"/>
      <c r="DN81" s="79"/>
      <c r="DO81" s="79"/>
      <c r="DP81" s="79"/>
      <c r="DQ81" s="79"/>
      <c r="DR81" s="79"/>
      <c r="DS81" s="79"/>
      <c r="DT81" s="79"/>
      <c r="DU81" s="79"/>
      <c r="DV81" s="79"/>
      <c r="DW81" s="79"/>
      <c r="DX81" s="79"/>
      <c r="DY81" s="79"/>
      <c r="DZ81" s="79"/>
      <c r="EA81" s="79"/>
      <c r="EB81" s="79"/>
      <c r="EC81" s="79"/>
      <c r="ED81" s="79"/>
      <c r="EE81" s="79"/>
      <c r="EF81" s="79"/>
      <c r="EG81" s="79"/>
      <c r="EH81" s="79"/>
      <c r="EI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  <c r="CH82" s="79"/>
      <c r="CI82" s="79"/>
      <c r="CJ82" s="79"/>
      <c r="CK82" s="79"/>
      <c r="CL82" s="79"/>
      <c r="CM82" s="79"/>
      <c r="CN82" s="79"/>
      <c r="CO82" s="79"/>
      <c r="CP82" s="79"/>
      <c r="CQ82" s="79"/>
      <c r="CR82" s="79"/>
      <c r="CS82" s="79"/>
      <c r="CT82" s="79"/>
      <c r="CU82" s="79"/>
      <c r="CV82" s="79"/>
      <c r="CW82" s="79"/>
      <c r="CX82" s="79"/>
      <c r="CY82" s="79"/>
      <c r="CZ82" s="79"/>
      <c r="DA82" s="79"/>
      <c r="DB82" s="79"/>
      <c r="DC82" s="79"/>
      <c r="DD82" s="79"/>
      <c r="DE82" s="79"/>
      <c r="DF82" s="79"/>
      <c r="DG82" s="79"/>
      <c r="DH82" s="79"/>
      <c r="DI82" s="79"/>
      <c r="DJ82" s="79"/>
      <c r="DK82" s="79"/>
      <c r="DL82" s="79"/>
      <c r="DM82" s="79"/>
      <c r="DN82" s="79"/>
      <c r="DO82" s="79"/>
      <c r="DP82" s="79"/>
      <c r="DQ82" s="79"/>
      <c r="DR82" s="79"/>
      <c r="DS82" s="79"/>
      <c r="DT82" s="79"/>
      <c r="DU82" s="79"/>
      <c r="DV82" s="79"/>
      <c r="DW82" s="79"/>
      <c r="DX82" s="79"/>
      <c r="DY82" s="79"/>
      <c r="DZ82" s="79"/>
      <c r="EA82" s="79"/>
      <c r="EB82" s="79"/>
      <c r="EC82" s="79"/>
      <c r="ED82" s="79"/>
      <c r="EE82" s="79"/>
      <c r="EF82" s="79"/>
      <c r="EG82" s="79"/>
      <c r="EH82" s="79"/>
      <c r="EI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  <c r="CK83" s="79"/>
      <c r="CL83" s="79"/>
      <c r="CM83" s="79"/>
      <c r="CN83" s="79"/>
      <c r="CO83" s="79"/>
      <c r="CP83" s="79"/>
      <c r="CQ83" s="79"/>
      <c r="CR83" s="79"/>
      <c r="CS83" s="79"/>
      <c r="CT83" s="79"/>
      <c r="CU83" s="79"/>
      <c r="CV83" s="79"/>
      <c r="CW83" s="79"/>
      <c r="CX83" s="79"/>
      <c r="CY83" s="79"/>
      <c r="CZ83" s="79"/>
      <c r="DA83" s="79"/>
      <c r="DB83" s="79"/>
      <c r="DC83" s="79"/>
      <c r="DD83" s="79"/>
      <c r="DE83" s="79"/>
      <c r="DF83" s="79"/>
      <c r="DG83" s="79"/>
      <c r="DH83" s="79"/>
      <c r="DI83" s="79"/>
      <c r="DJ83" s="79"/>
      <c r="DK83" s="79"/>
      <c r="DL83" s="79"/>
      <c r="DM83" s="79"/>
      <c r="DN83" s="79"/>
      <c r="DO83" s="79"/>
      <c r="DP83" s="79"/>
      <c r="DQ83" s="79"/>
      <c r="DR83" s="79"/>
      <c r="DS83" s="79"/>
      <c r="DT83" s="79"/>
      <c r="DU83" s="79"/>
      <c r="DV83" s="79"/>
      <c r="DW83" s="79"/>
      <c r="DX83" s="79"/>
      <c r="DY83" s="79"/>
      <c r="DZ83" s="79"/>
      <c r="EA83" s="79"/>
      <c r="EB83" s="79"/>
      <c r="EC83" s="79"/>
      <c r="ED83" s="79"/>
      <c r="EE83" s="79"/>
      <c r="EF83" s="79"/>
      <c r="EG83" s="79"/>
      <c r="EH83" s="79"/>
      <c r="EI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79"/>
      <c r="CY84" s="79"/>
      <c r="CZ84" s="79"/>
      <c r="DA84" s="79"/>
      <c r="DB84" s="79"/>
      <c r="DC84" s="79"/>
      <c r="DD84" s="79"/>
      <c r="DE84" s="79"/>
      <c r="DF84" s="79"/>
      <c r="DG84" s="79"/>
      <c r="DH84" s="79"/>
      <c r="DI84" s="79"/>
      <c r="DJ84" s="79"/>
      <c r="DK84" s="79"/>
      <c r="DL84" s="79"/>
      <c r="DM84" s="79"/>
      <c r="DN84" s="79"/>
      <c r="DO84" s="79"/>
      <c r="DP84" s="79"/>
      <c r="DQ84" s="79"/>
      <c r="DR84" s="79"/>
      <c r="DS84" s="79"/>
      <c r="DT84" s="79"/>
      <c r="DU84" s="79"/>
      <c r="DV84" s="79"/>
      <c r="DW84" s="79"/>
      <c r="DX84" s="79"/>
      <c r="DY84" s="79"/>
      <c r="DZ84" s="79"/>
      <c r="EA84" s="79"/>
      <c r="EB84" s="79"/>
      <c r="EC84" s="79"/>
      <c r="ED84" s="79"/>
      <c r="EE84" s="79"/>
      <c r="EF84" s="79"/>
      <c r="EG84" s="79"/>
      <c r="EH84" s="79"/>
      <c r="EI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79"/>
      <c r="CP86" s="79"/>
      <c r="CQ86" s="79"/>
      <c r="CR86" s="79"/>
      <c r="CS86" s="79"/>
      <c r="CT86" s="79"/>
      <c r="CU86" s="79"/>
      <c r="CV86" s="79"/>
      <c r="CW86" s="79"/>
      <c r="CX86" s="79"/>
      <c r="CY86" s="79"/>
      <c r="CZ86" s="79"/>
      <c r="DA86" s="79"/>
      <c r="DB86" s="79"/>
      <c r="DC86" s="79"/>
      <c r="DD86" s="79"/>
      <c r="DE86" s="79"/>
      <c r="DF86" s="79"/>
      <c r="DG86" s="79"/>
      <c r="DH86" s="79"/>
      <c r="DI86" s="79"/>
      <c r="DJ86" s="79"/>
      <c r="DK86" s="79"/>
      <c r="DL86" s="79"/>
      <c r="DM86" s="79"/>
      <c r="DN86" s="79"/>
      <c r="DO86" s="79"/>
      <c r="DP86" s="79"/>
      <c r="DQ86" s="79"/>
      <c r="DR86" s="79"/>
      <c r="DS86" s="79"/>
      <c r="DT86" s="79"/>
      <c r="DU86" s="79"/>
      <c r="DV86" s="79"/>
      <c r="DW86" s="79"/>
      <c r="DX86" s="79"/>
      <c r="DY86" s="79"/>
      <c r="DZ86" s="79"/>
      <c r="EA86" s="79"/>
      <c r="EB86" s="79"/>
      <c r="EC86" s="79"/>
      <c r="ED86" s="79"/>
      <c r="EE86" s="79"/>
      <c r="EF86" s="79"/>
      <c r="EG86" s="79"/>
      <c r="EH86" s="79"/>
      <c r="EI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79"/>
      <c r="CP87" s="79"/>
      <c r="CQ87" s="79"/>
      <c r="CR87" s="79"/>
      <c r="CS87" s="79"/>
      <c r="CT87" s="79"/>
      <c r="CU87" s="79"/>
      <c r="CV87" s="79"/>
      <c r="CW87" s="79"/>
      <c r="CX87" s="79"/>
      <c r="CY87" s="79"/>
      <c r="CZ87" s="79"/>
      <c r="DA87" s="79"/>
      <c r="DB87" s="79"/>
      <c r="DC87" s="79"/>
      <c r="DD87" s="79"/>
      <c r="DE87" s="79"/>
      <c r="DF87" s="79"/>
      <c r="DG87" s="79"/>
      <c r="DH87" s="79"/>
      <c r="DI87" s="79"/>
      <c r="DJ87" s="79"/>
      <c r="DK87" s="79"/>
      <c r="DL87" s="79"/>
      <c r="DM87" s="79"/>
      <c r="DN87" s="79"/>
      <c r="DO87" s="79"/>
      <c r="DP87" s="79"/>
      <c r="DQ87" s="79"/>
      <c r="DR87" s="79"/>
      <c r="DS87" s="79"/>
      <c r="DT87" s="79"/>
      <c r="DU87" s="79"/>
      <c r="DV87" s="79"/>
      <c r="DW87" s="79"/>
      <c r="DX87" s="79"/>
      <c r="DY87" s="79"/>
      <c r="DZ87" s="79"/>
      <c r="EA87" s="79"/>
      <c r="EB87" s="79"/>
      <c r="EC87" s="79"/>
      <c r="ED87" s="79"/>
      <c r="EE87" s="79"/>
      <c r="EF87" s="79"/>
      <c r="EG87" s="79"/>
      <c r="EH87" s="79"/>
      <c r="EI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  <c r="CQ88" s="79"/>
      <c r="CR88" s="79"/>
      <c r="CS88" s="79"/>
      <c r="CT88" s="79"/>
      <c r="CU88" s="79"/>
      <c r="CV88" s="79"/>
      <c r="CW88" s="79"/>
      <c r="CX88" s="79"/>
      <c r="CY88" s="79"/>
      <c r="CZ88" s="79"/>
      <c r="DA88" s="79"/>
      <c r="DB88" s="79"/>
      <c r="DC88" s="79"/>
      <c r="DD88" s="79"/>
      <c r="DE88" s="79"/>
      <c r="DF88" s="79"/>
      <c r="DG88" s="79"/>
      <c r="DH88" s="79"/>
      <c r="DI88" s="79"/>
      <c r="DJ88" s="79"/>
      <c r="DK88" s="79"/>
      <c r="DL88" s="79"/>
      <c r="DM88" s="79"/>
      <c r="DN88" s="79"/>
      <c r="DO88" s="79"/>
      <c r="DP88" s="79"/>
      <c r="DQ88" s="79"/>
      <c r="DR88" s="79"/>
      <c r="DS88" s="79"/>
      <c r="DT88" s="79"/>
      <c r="DU88" s="79"/>
      <c r="DV88" s="79"/>
      <c r="DW88" s="79"/>
      <c r="DX88" s="79"/>
      <c r="DY88" s="79"/>
      <c r="DZ88" s="79"/>
      <c r="EA88" s="79"/>
      <c r="EB88" s="79"/>
      <c r="EC88" s="79"/>
      <c r="ED88" s="79"/>
      <c r="EE88" s="79"/>
      <c r="EF88" s="79"/>
      <c r="EG88" s="79"/>
      <c r="EH88" s="79"/>
      <c r="EI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79"/>
      <c r="CP89" s="79"/>
      <c r="CQ89" s="79"/>
      <c r="CR89" s="79"/>
      <c r="CS89" s="79"/>
      <c r="CT89" s="79"/>
      <c r="CU89" s="79"/>
      <c r="CV89" s="79"/>
      <c r="CW89" s="79"/>
      <c r="CX89" s="79"/>
      <c r="CY89" s="79"/>
      <c r="CZ89" s="79"/>
      <c r="DA89" s="79"/>
      <c r="DB89" s="79"/>
      <c r="DC89" s="79"/>
      <c r="DD89" s="79"/>
      <c r="DE89" s="79"/>
      <c r="DF89" s="79"/>
      <c r="DG89" s="79"/>
      <c r="DH89" s="79"/>
      <c r="DI89" s="79"/>
      <c r="DJ89" s="79"/>
      <c r="DK89" s="79"/>
      <c r="DL89" s="79"/>
      <c r="DM89" s="79"/>
      <c r="DN89" s="79"/>
      <c r="DO89" s="79"/>
      <c r="DP89" s="79"/>
      <c r="DQ89" s="79"/>
      <c r="DR89" s="79"/>
      <c r="DS89" s="79"/>
      <c r="DT89" s="79"/>
      <c r="DU89" s="79"/>
      <c r="DV89" s="79"/>
      <c r="DW89" s="79"/>
      <c r="DX89" s="79"/>
      <c r="DY89" s="79"/>
      <c r="DZ89" s="79"/>
      <c r="EA89" s="79"/>
      <c r="EB89" s="79"/>
      <c r="EC89" s="79"/>
      <c r="ED89" s="79"/>
      <c r="EE89" s="79"/>
      <c r="EF89" s="79"/>
      <c r="EG89" s="79"/>
      <c r="EH89" s="79"/>
      <c r="EI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  <c r="CH90" s="79"/>
      <c r="CI90" s="79"/>
      <c r="CJ90" s="79"/>
      <c r="CK90" s="79"/>
      <c r="CL90" s="79"/>
      <c r="CM90" s="79"/>
      <c r="CN90" s="79"/>
      <c r="CO90" s="79"/>
      <c r="CP90" s="79"/>
      <c r="CQ90" s="79"/>
      <c r="CR90" s="79"/>
      <c r="CS90" s="79"/>
      <c r="CT90" s="79"/>
      <c r="CU90" s="79"/>
      <c r="CV90" s="79"/>
      <c r="CW90" s="79"/>
      <c r="CX90" s="79"/>
      <c r="CY90" s="79"/>
      <c r="CZ90" s="79"/>
      <c r="DA90" s="79"/>
      <c r="DB90" s="79"/>
      <c r="DC90" s="79"/>
      <c r="DD90" s="79"/>
      <c r="DE90" s="79"/>
      <c r="DF90" s="79"/>
      <c r="DG90" s="79"/>
      <c r="DH90" s="79"/>
      <c r="DI90" s="79"/>
      <c r="DJ90" s="79"/>
      <c r="DK90" s="79"/>
      <c r="DL90" s="79"/>
      <c r="DM90" s="79"/>
      <c r="DN90" s="79"/>
      <c r="DO90" s="79"/>
      <c r="DP90" s="79"/>
      <c r="DQ90" s="79"/>
      <c r="DR90" s="79"/>
      <c r="DS90" s="79"/>
      <c r="DT90" s="79"/>
      <c r="DU90" s="79"/>
      <c r="DV90" s="79"/>
      <c r="DW90" s="79"/>
      <c r="DX90" s="79"/>
      <c r="DY90" s="79"/>
      <c r="DZ90" s="79"/>
      <c r="EA90" s="79"/>
      <c r="EB90" s="79"/>
      <c r="EC90" s="79"/>
      <c r="ED90" s="79"/>
      <c r="EE90" s="79"/>
      <c r="EF90" s="79"/>
      <c r="EG90" s="79"/>
      <c r="EH90" s="79"/>
      <c r="EI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  <c r="CQ91" s="79"/>
      <c r="CR91" s="79"/>
      <c r="CS91" s="79"/>
      <c r="CT91" s="79"/>
      <c r="CU91" s="79"/>
      <c r="CV91" s="79"/>
      <c r="CW91" s="79"/>
      <c r="CX91" s="79"/>
      <c r="CY91" s="79"/>
      <c r="CZ91" s="79"/>
      <c r="DA91" s="79"/>
      <c r="DB91" s="79"/>
      <c r="DC91" s="79"/>
      <c r="DD91" s="79"/>
      <c r="DE91" s="79"/>
      <c r="DF91" s="79"/>
      <c r="DG91" s="79"/>
      <c r="DH91" s="79"/>
      <c r="DI91" s="79"/>
      <c r="DJ91" s="79"/>
      <c r="DK91" s="79"/>
      <c r="DL91" s="79"/>
      <c r="DM91" s="79"/>
      <c r="DN91" s="79"/>
      <c r="DO91" s="79"/>
      <c r="DP91" s="79"/>
      <c r="DQ91" s="79"/>
      <c r="DR91" s="79"/>
      <c r="DS91" s="79"/>
      <c r="DT91" s="79"/>
      <c r="DU91" s="79"/>
      <c r="DV91" s="79"/>
      <c r="DW91" s="79"/>
      <c r="DX91" s="79"/>
      <c r="DY91" s="79"/>
      <c r="DZ91" s="79"/>
      <c r="EA91" s="79"/>
      <c r="EB91" s="79"/>
      <c r="EC91" s="79"/>
      <c r="ED91" s="79"/>
      <c r="EE91" s="79"/>
      <c r="EF91" s="79"/>
      <c r="EG91" s="79"/>
      <c r="EH91" s="79"/>
      <c r="EI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79"/>
      <c r="CP92" s="79"/>
      <c r="CQ92" s="79"/>
      <c r="CR92" s="79"/>
      <c r="CS92" s="79"/>
      <c r="CT92" s="79"/>
      <c r="CU92" s="79"/>
      <c r="CV92" s="79"/>
      <c r="CW92" s="79"/>
      <c r="CX92" s="79"/>
      <c r="CY92" s="79"/>
      <c r="CZ92" s="79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79"/>
      <c r="DL92" s="79"/>
      <c r="DM92" s="79"/>
      <c r="DN92" s="79"/>
      <c r="DO92" s="79"/>
      <c r="DP92" s="79"/>
      <c r="DQ92" s="79"/>
      <c r="DR92" s="79"/>
      <c r="DS92" s="79"/>
      <c r="DT92" s="79"/>
      <c r="DU92" s="79"/>
      <c r="DV92" s="79"/>
      <c r="DW92" s="79"/>
      <c r="DX92" s="79"/>
      <c r="DY92" s="79"/>
      <c r="DZ92" s="79"/>
      <c r="EA92" s="79"/>
      <c r="EB92" s="79"/>
      <c r="EC92" s="79"/>
      <c r="ED92" s="79"/>
      <c r="EE92" s="79"/>
      <c r="EF92" s="79"/>
      <c r="EG92" s="79"/>
      <c r="EH92" s="79"/>
      <c r="EI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  <c r="CQ93" s="79"/>
      <c r="CR93" s="79"/>
      <c r="CS93" s="79"/>
      <c r="CT93" s="79"/>
      <c r="CU93" s="79"/>
      <c r="CV93" s="79"/>
      <c r="CW93" s="79"/>
      <c r="CX93" s="79"/>
      <c r="CY93" s="79"/>
      <c r="CZ93" s="79"/>
      <c r="DA93" s="79"/>
      <c r="DB93" s="79"/>
      <c r="DC93" s="79"/>
      <c r="DD93" s="79"/>
      <c r="DE93" s="79"/>
      <c r="DF93" s="79"/>
      <c r="DG93" s="79"/>
      <c r="DH93" s="79"/>
      <c r="DI93" s="79"/>
      <c r="DJ93" s="79"/>
      <c r="DK93" s="79"/>
      <c r="DL93" s="79"/>
      <c r="DM93" s="79"/>
      <c r="DN93" s="79"/>
      <c r="DO93" s="79"/>
      <c r="DP93" s="79"/>
      <c r="DQ93" s="79"/>
      <c r="DR93" s="79"/>
      <c r="DS93" s="79"/>
      <c r="DT93" s="79"/>
      <c r="DU93" s="79"/>
      <c r="DV93" s="79"/>
      <c r="DW93" s="79"/>
      <c r="DX93" s="79"/>
      <c r="DY93" s="79"/>
      <c r="DZ93" s="79"/>
      <c r="EA93" s="79"/>
      <c r="EB93" s="79"/>
      <c r="EC93" s="79"/>
      <c r="ED93" s="79"/>
      <c r="EE93" s="79"/>
      <c r="EF93" s="79"/>
      <c r="EG93" s="79"/>
      <c r="EH93" s="79"/>
      <c r="EI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  <c r="CH94" s="79"/>
      <c r="CI94" s="79"/>
      <c r="CJ94" s="79"/>
      <c r="CK94" s="79"/>
      <c r="CL94" s="79"/>
      <c r="CM94" s="79"/>
      <c r="CN94" s="79"/>
      <c r="CO94" s="79"/>
      <c r="CP94" s="79"/>
      <c r="CQ94" s="79"/>
      <c r="CR94" s="79"/>
      <c r="CS94" s="79"/>
      <c r="CT94" s="79"/>
      <c r="CU94" s="79"/>
      <c r="CV94" s="79"/>
      <c r="CW94" s="79"/>
      <c r="CX94" s="79"/>
      <c r="CY94" s="79"/>
      <c r="CZ94" s="79"/>
      <c r="DA94" s="79"/>
      <c r="DB94" s="79"/>
      <c r="DC94" s="79"/>
      <c r="DD94" s="79"/>
      <c r="DE94" s="79"/>
      <c r="DF94" s="79"/>
      <c r="DG94" s="79"/>
      <c r="DH94" s="79"/>
      <c r="DI94" s="79"/>
      <c r="DJ94" s="79"/>
      <c r="DK94" s="79"/>
      <c r="DL94" s="79"/>
      <c r="DM94" s="79"/>
      <c r="DN94" s="79"/>
      <c r="DO94" s="79"/>
      <c r="DP94" s="79"/>
      <c r="DQ94" s="79"/>
      <c r="DR94" s="79"/>
      <c r="DS94" s="79"/>
      <c r="DT94" s="79"/>
      <c r="DU94" s="79"/>
      <c r="DV94" s="79"/>
      <c r="DW94" s="79"/>
      <c r="DX94" s="79"/>
      <c r="DY94" s="79"/>
      <c r="DZ94" s="79"/>
      <c r="EA94" s="79"/>
      <c r="EB94" s="79"/>
      <c r="EC94" s="79"/>
      <c r="ED94" s="79"/>
      <c r="EE94" s="79"/>
      <c r="EF94" s="79"/>
      <c r="EG94" s="79"/>
      <c r="EH94" s="79"/>
      <c r="EI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  <c r="CH95" s="79"/>
      <c r="CI95" s="79"/>
      <c r="CJ95" s="79"/>
      <c r="CK95" s="79"/>
      <c r="CL95" s="79"/>
      <c r="CM95" s="79"/>
      <c r="CN95" s="79"/>
      <c r="CO95" s="79"/>
      <c r="CP95" s="79"/>
      <c r="CQ95" s="79"/>
      <c r="CR95" s="79"/>
      <c r="CS95" s="79"/>
      <c r="CT95" s="79"/>
      <c r="CU95" s="79"/>
      <c r="CV95" s="79"/>
      <c r="CW95" s="79"/>
      <c r="CX95" s="79"/>
      <c r="CY95" s="79"/>
      <c r="CZ95" s="79"/>
      <c r="DA95" s="79"/>
      <c r="DB95" s="79"/>
      <c r="DC95" s="79"/>
      <c r="DD95" s="79"/>
      <c r="DE95" s="79"/>
      <c r="DF95" s="79"/>
      <c r="DG95" s="79"/>
      <c r="DH95" s="79"/>
      <c r="DI95" s="79"/>
      <c r="DJ95" s="79"/>
      <c r="DK95" s="79"/>
      <c r="DL95" s="79"/>
      <c r="DM95" s="79"/>
      <c r="DN95" s="79"/>
      <c r="DO95" s="79"/>
      <c r="DP95" s="79"/>
      <c r="DQ95" s="79"/>
      <c r="DR95" s="79"/>
      <c r="DS95" s="79"/>
      <c r="DT95" s="79"/>
      <c r="DU95" s="79"/>
      <c r="DV95" s="79"/>
      <c r="DW95" s="79"/>
      <c r="DX95" s="79"/>
      <c r="DY95" s="79"/>
      <c r="DZ95" s="79"/>
      <c r="EA95" s="79"/>
      <c r="EB95" s="79"/>
      <c r="EC95" s="79"/>
      <c r="ED95" s="79"/>
      <c r="EE95" s="79"/>
      <c r="EF95" s="79"/>
      <c r="EG95" s="79"/>
      <c r="EH95" s="79"/>
      <c r="EI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  <c r="CH96" s="79"/>
      <c r="CI96" s="79"/>
      <c r="CJ96" s="79"/>
      <c r="CK96" s="79"/>
      <c r="CL96" s="79"/>
      <c r="CM96" s="79"/>
      <c r="CN96" s="79"/>
      <c r="CO96" s="79"/>
      <c r="CP96" s="79"/>
      <c r="CQ96" s="79"/>
      <c r="CR96" s="79"/>
      <c r="CS96" s="79"/>
      <c r="CT96" s="79"/>
      <c r="CU96" s="79"/>
      <c r="CV96" s="79"/>
      <c r="CW96" s="79"/>
      <c r="CX96" s="79"/>
      <c r="CY96" s="79"/>
      <c r="CZ96" s="79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79"/>
      <c r="DL96" s="79"/>
      <c r="DM96" s="79"/>
      <c r="DN96" s="79"/>
      <c r="DO96" s="79"/>
      <c r="DP96" s="79"/>
      <c r="DQ96" s="79"/>
      <c r="DR96" s="79"/>
      <c r="DS96" s="79"/>
      <c r="DT96" s="79"/>
      <c r="DU96" s="79"/>
      <c r="DV96" s="79"/>
      <c r="DW96" s="79"/>
      <c r="DX96" s="79"/>
      <c r="DY96" s="79"/>
      <c r="DZ96" s="79"/>
      <c r="EA96" s="79"/>
      <c r="EB96" s="79"/>
      <c r="EC96" s="79"/>
      <c r="ED96" s="79"/>
      <c r="EE96" s="79"/>
      <c r="EF96" s="79"/>
      <c r="EG96" s="79"/>
      <c r="EH96" s="79"/>
      <c r="EI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  <c r="CH97" s="79"/>
      <c r="CI97" s="79"/>
      <c r="CJ97" s="79"/>
      <c r="CK97" s="79"/>
      <c r="CL97" s="79"/>
      <c r="CM97" s="79"/>
      <c r="CN97" s="79"/>
      <c r="CO97" s="79"/>
      <c r="CP97" s="79"/>
      <c r="CQ97" s="79"/>
      <c r="CR97" s="79"/>
      <c r="CS97" s="79"/>
      <c r="CT97" s="79"/>
      <c r="CU97" s="79"/>
      <c r="CV97" s="79"/>
      <c r="CW97" s="79"/>
      <c r="CX97" s="79"/>
      <c r="CY97" s="79"/>
      <c r="CZ97" s="79"/>
      <c r="DA97" s="79"/>
      <c r="DB97" s="79"/>
      <c r="DC97" s="79"/>
      <c r="DD97" s="79"/>
      <c r="DE97" s="79"/>
      <c r="DF97" s="79"/>
      <c r="DG97" s="79"/>
      <c r="DH97" s="79"/>
      <c r="DI97" s="79"/>
      <c r="DJ97" s="79"/>
      <c r="DK97" s="79"/>
      <c r="DL97" s="79"/>
      <c r="DM97" s="79"/>
      <c r="DN97" s="79"/>
      <c r="DO97" s="79"/>
      <c r="DP97" s="79"/>
      <c r="DQ97" s="79"/>
      <c r="DR97" s="79"/>
      <c r="DS97" s="79"/>
      <c r="DT97" s="79"/>
      <c r="DU97" s="79"/>
      <c r="DV97" s="79"/>
      <c r="DW97" s="79"/>
      <c r="DX97" s="79"/>
      <c r="DY97" s="79"/>
      <c r="DZ97" s="79"/>
      <c r="EA97" s="79"/>
      <c r="EB97" s="79"/>
      <c r="EC97" s="79"/>
      <c r="ED97" s="79"/>
      <c r="EE97" s="79"/>
      <c r="EF97" s="79"/>
      <c r="EG97" s="79"/>
      <c r="EH97" s="79"/>
      <c r="EI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  <c r="CH98" s="79"/>
      <c r="CI98" s="79"/>
      <c r="CJ98" s="79"/>
      <c r="CK98" s="79"/>
      <c r="CL98" s="79"/>
      <c r="CM98" s="79"/>
      <c r="CN98" s="79"/>
      <c r="CO98" s="79"/>
      <c r="CP98" s="79"/>
      <c r="CQ98" s="79"/>
      <c r="CR98" s="79"/>
      <c r="CS98" s="79"/>
      <c r="CT98" s="79"/>
      <c r="CU98" s="79"/>
      <c r="CV98" s="79"/>
      <c r="CW98" s="79"/>
      <c r="CX98" s="79"/>
      <c r="CY98" s="79"/>
      <c r="CZ98" s="79"/>
      <c r="DA98" s="79"/>
      <c r="DB98" s="79"/>
      <c r="DC98" s="79"/>
      <c r="DD98" s="79"/>
      <c r="DE98" s="79"/>
      <c r="DF98" s="79"/>
      <c r="DG98" s="79"/>
      <c r="DH98" s="79"/>
      <c r="DI98" s="79"/>
      <c r="DJ98" s="79"/>
      <c r="DK98" s="79"/>
      <c r="DL98" s="79"/>
      <c r="DM98" s="79"/>
      <c r="DN98" s="79"/>
      <c r="DO98" s="79"/>
      <c r="DP98" s="79"/>
      <c r="DQ98" s="79"/>
      <c r="DR98" s="79"/>
      <c r="DS98" s="79"/>
      <c r="DT98" s="79"/>
      <c r="DU98" s="79"/>
      <c r="DV98" s="79"/>
      <c r="DW98" s="79"/>
      <c r="DX98" s="79"/>
      <c r="DY98" s="79"/>
      <c r="DZ98" s="79"/>
      <c r="EA98" s="79"/>
      <c r="EB98" s="79"/>
      <c r="EC98" s="79"/>
      <c r="ED98" s="79"/>
      <c r="EE98" s="79"/>
      <c r="EF98" s="79"/>
      <c r="EG98" s="79"/>
      <c r="EH98" s="79"/>
      <c r="EI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  <c r="CH99" s="79"/>
      <c r="CI99" s="79"/>
      <c r="CJ99" s="79"/>
      <c r="CK99" s="79"/>
      <c r="CL99" s="79"/>
      <c r="CM99" s="79"/>
      <c r="CN99" s="79"/>
      <c r="CO99" s="79"/>
      <c r="CP99" s="79"/>
      <c r="CQ99" s="79"/>
      <c r="CR99" s="79"/>
      <c r="CS99" s="79"/>
      <c r="CT99" s="79"/>
      <c r="CU99" s="79"/>
      <c r="CV99" s="79"/>
      <c r="CW99" s="79"/>
      <c r="CX99" s="79"/>
      <c r="CY99" s="79"/>
      <c r="CZ99" s="79"/>
      <c r="DA99" s="79"/>
      <c r="DB99" s="79"/>
      <c r="DC99" s="79"/>
      <c r="DD99" s="79"/>
      <c r="DE99" s="79"/>
      <c r="DF99" s="79"/>
      <c r="DG99" s="79"/>
      <c r="DH99" s="79"/>
      <c r="DI99" s="79"/>
      <c r="DJ99" s="79"/>
      <c r="DK99" s="79"/>
      <c r="DL99" s="79"/>
      <c r="DM99" s="79"/>
      <c r="DN99" s="79"/>
      <c r="DO99" s="79"/>
      <c r="DP99" s="79"/>
      <c r="DQ99" s="79"/>
      <c r="DR99" s="79"/>
      <c r="DS99" s="79"/>
      <c r="DT99" s="79"/>
      <c r="DU99" s="79"/>
      <c r="DV99" s="79"/>
      <c r="DW99" s="79"/>
      <c r="DX99" s="79"/>
      <c r="DY99" s="79"/>
      <c r="DZ99" s="79"/>
      <c r="EA99" s="79"/>
      <c r="EB99" s="79"/>
      <c r="EC99" s="79"/>
      <c r="ED99" s="79"/>
      <c r="EE99" s="79"/>
      <c r="EF99" s="79"/>
      <c r="EG99" s="79"/>
      <c r="EH99" s="79"/>
      <c r="EI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  <c r="CH100" s="79"/>
      <c r="CI100" s="79"/>
      <c r="CJ100" s="79"/>
      <c r="CK100" s="79"/>
      <c r="CL100" s="79"/>
      <c r="CM100" s="79"/>
      <c r="CN100" s="79"/>
      <c r="CO100" s="79"/>
      <c r="CP100" s="79"/>
      <c r="CQ100" s="79"/>
      <c r="CR100" s="79"/>
      <c r="CS100" s="79"/>
      <c r="CT100" s="79"/>
      <c r="CU100" s="79"/>
      <c r="CV100" s="79"/>
      <c r="CW100" s="79"/>
      <c r="CX100" s="79"/>
      <c r="CY100" s="79"/>
      <c r="CZ100" s="79"/>
      <c r="DA100" s="79"/>
      <c r="DB100" s="79"/>
      <c r="DC100" s="79"/>
      <c r="DD100" s="79"/>
      <c r="DE100" s="79"/>
      <c r="DF100" s="79"/>
      <c r="DG100" s="79"/>
      <c r="DH100" s="79"/>
      <c r="DI100" s="79"/>
      <c r="DJ100" s="79"/>
      <c r="DK100" s="79"/>
      <c r="DL100" s="79"/>
      <c r="DM100" s="79"/>
      <c r="DN100" s="79"/>
      <c r="DO100" s="79"/>
      <c r="DP100" s="79"/>
      <c r="DQ100" s="79"/>
      <c r="DR100" s="79"/>
      <c r="DS100" s="79"/>
      <c r="DT100" s="79"/>
      <c r="DU100" s="79"/>
      <c r="DV100" s="79"/>
      <c r="DW100" s="79"/>
      <c r="DX100" s="79"/>
      <c r="DY100" s="79"/>
      <c r="DZ100" s="79"/>
      <c r="EA100" s="79"/>
      <c r="EB100" s="79"/>
      <c r="EC100" s="79"/>
      <c r="ED100" s="79"/>
      <c r="EE100" s="79"/>
      <c r="EF100" s="79"/>
      <c r="EG100" s="79"/>
      <c r="EH100" s="79"/>
      <c r="EI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  <c r="CH101" s="79"/>
      <c r="CI101" s="79"/>
      <c r="CJ101" s="79"/>
      <c r="CK101" s="79"/>
      <c r="CL101" s="79"/>
      <c r="CM101" s="79"/>
      <c r="CN101" s="79"/>
      <c r="CO101" s="79"/>
      <c r="CP101" s="79"/>
      <c r="CQ101" s="79"/>
      <c r="CR101" s="79"/>
      <c r="CS101" s="79"/>
      <c r="CT101" s="79"/>
      <c r="CU101" s="79"/>
      <c r="CV101" s="79"/>
      <c r="CW101" s="79"/>
      <c r="CX101" s="79"/>
      <c r="CY101" s="79"/>
      <c r="CZ101" s="79"/>
      <c r="DA101" s="79"/>
      <c r="DB101" s="79"/>
      <c r="DC101" s="79"/>
      <c r="DD101" s="79"/>
      <c r="DE101" s="79"/>
      <c r="DF101" s="79"/>
      <c r="DG101" s="79"/>
      <c r="DH101" s="79"/>
      <c r="DI101" s="79"/>
      <c r="DJ101" s="79"/>
      <c r="DK101" s="79"/>
      <c r="DL101" s="79"/>
      <c r="DM101" s="79"/>
      <c r="DN101" s="79"/>
      <c r="DO101" s="79"/>
      <c r="DP101" s="79"/>
      <c r="DQ101" s="79"/>
      <c r="DR101" s="79"/>
      <c r="DS101" s="79"/>
      <c r="DT101" s="79"/>
      <c r="DU101" s="79"/>
      <c r="DV101" s="79"/>
      <c r="DW101" s="79"/>
      <c r="DX101" s="79"/>
      <c r="DY101" s="79"/>
      <c r="DZ101" s="79"/>
      <c r="EA101" s="79"/>
      <c r="EB101" s="79"/>
      <c r="EC101" s="79"/>
      <c r="ED101" s="79"/>
      <c r="EE101" s="79"/>
      <c r="EF101" s="79"/>
      <c r="EG101" s="79"/>
      <c r="EH101" s="79"/>
      <c r="EI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  <c r="CJ102" s="79"/>
      <c r="CK102" s="79"/>
      <c r="CL102" s="79"/>
      <c r="CM102" s="79"/>
      <c r="CN102" s="79"/>
      <c r="CO102" s="79"/>
      <c r="CP102" s="79"/>
      <c r="CQ102" s="79"/>
      <c r="CR102" s="79"/>
      <c r="CS102" s="79"/>
      <c r="CT102" s="79"/>
      <c r="CU102" s="79"/>
      <c r="CV102" s="79"/>
      <c r="CW102" s="79"/>
      <c r="CX102" s="79"/>
      <c r="CY102" s="79"/>
      <c r="CZ102" s="79"/>
      <c r="DA102" s="79"/>
      <c r="DB102" s="79"/>
      <c r="DC102" s="79"/>
      <c r="DD102" s="79"/>
      <c r="DE102" s="79"/>
      <c r="DF102" s="79"/>
      <c r="DG102" s="79"/>
      <c r="DH102" s="79"/>
      <c r="DI102" s="79"/>
      <c r="DJ102" s="79"/>
      <c r="DK102" s="79"/>
      <c r="DL102" s="79"/>
      <c r="DM102" s="79"/>
      <c r="DN102" s="79"/>
      <c r="DO102" s="79"/>
      <c r="DP102" s="79"/>
      <c r="DQ102" s="79"/>
      <c r="DR102" s="79"/>
      <c r="DS102" s="79"/>
      <c r="DT102" s="79"/>
      <c r="DU102" s="79"/>
      <c r="DV102" s="79"/>
      <c r="DW102" s="79"/>
      <c r="DX102" s="79"/>
      <c r="DY102" s="79"/>
      <c r="DZ102" s="79"/>
      <c r="EA102" s="79"/>
      <c r="EB102" s="79"/>
      <c r="EC102" s="79"/>
      <c r="ED102" s="79"/>
      <c r="EE102" s="79"/>
      <c r="EF102" s="79"/>
      <c r="EG102" s="79"/>
      <c r="EH102" s="79"/>
      <c r="EI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79"/>
      <c r="CT103" s="79"/>
      <c r="CU103" s="79"/>
      <c r="CV103" s="79"/>
      <c r="CW103" s="79"/>
      <c r="CX103" s="79"/>
      <c r="CY103" s="79"/>
      <c r="CZ103" s="79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79"/>
      <c r="DL103" s="79"/>
      <c r="DM103" s="79"/>
      <c r="DN103" s="79"/>
      <c r="DO103" s="79"/>
      <c r="DP103" s="79"/>
      <c r="DQ103" s="79"/>
      <c r="DR103" s="79"/>
      <c r="DS103" s="79"/>
      <c r="DT103" s="79"/>
      <c r="DU103" s="79"/>
      <c r="DV103" s="79"/>
      <c r="DW103" s="79"/>
      <c r="DX103" s="79"/>
      <c r="DY103" s="79"/>
      <c r="DZ103" s="79"/>
      <c r="EA103" s="79"/>
      <c r="EB103" s="79"/>
      <c r="EC103" s="79"/>
      <c r="ED103" s="79"/>
      <c r="EE103" s="79"/>
      <c r="EF103" s="79"/>
      <c r="EG103" s="79"/>
      <c r="EH103" s="79"/>
      <c r="EI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79"/>
      <c r="CY104" s="79"/>
      <c r="CZ104" s="79"/>
      <c r="DA104" s="79"/>
      <c r="DB104" s="79"/>
      <c r="DC104" s="79"/>
      <c r="DD104" s="79"/>
      <c r="DE104" s="79"/>
      <c r="DF104" s="79"/>
      <c r="DG104" s="79"/>
      <c r="DH104" s="79"/>
      <c r="DI104" s="79"/>
      <c r="DJ104" s="79"/>
      <c r="DK104" s="79"/>
      <c r="DL104" s="79"/>
      <c r="DM104" s="79"/>
      <c r="DN104" s="79"/>
      <c r="DO104" s="79"/>
      <c r="DP104" s="79"/>
      <c r="DQ104" s="79"/>
      <c r="DR104" s="79"/>
      <c r="DS104" s="79"/>
      <c r="DT104" s="79"/>
      <c r="DU104" s="79"/>
      <c r="DV104" s="79"/>
      <c r="DW104" s="79"/>
      <c r="DX104" s="79"/>
      <c r="DY104" s="79"/>
      <c r="DZ104" s="79"/>
      <c r="EA104" s="79"/>
      <c r="EB104" s="79"/>
      <c r="EC104" s="79"/>
      <c r="ED104" s="79"/>
      <c r="EE104" s="79"/>
      <c r="EF104" s="79"/>
      <c r="EG104" s="79"/>
      <c r="EH104" s="79"/>
      <c r="EI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79"/>
      <c r="CY105" s="79"/>
      <c r="CZ105" s="79"/>
      <c r="DA105" s="79"/>
      <c r="DB105" s="79"/>
      <c r="DC105" s="79"/>
      <c r="DD105" s="79"/>
      <c r="DE105" s="79"/>
      <c r="DF105" s="79"/>
      <c r="DG105" s="79"/>
      <c r="DH105" s="79"/>
      <c r="DI105" s="79"/>
      <c r="DJ105" s="79"/>
      <c r="DK105" s="79"/>
      <c r="DL105" s="79"/>
      <c r="DM105" s="79"/>
      <c r="DN105" s="79"/>
      <c r="DO105" s="79"/>
      <c r="DP105" s="79"/>
      <c r="DQ105" s="79"/>
      <c r="DR105" s="79"/>
      <c r="DS105" s="79"/>
      <c r="DT105" s="79"/>
      <c r="DU105" s="79"/>
      <c r="DV105" s="79"/>
      <c r="DW105" s="79"/>
      <c r="DX105" s="79"/>
      <c r="DY105" s="79"/>
      <c r="DZ105" s="79"/>
      <c r="EA105" s="79"/>
      <c r="EB105" s="79"/>
      <c r="EC105" s="79"/>
      <c r="ED105" s="79"/>
      <c r="EE105" s="79"/>
      <c r="EF105" s="79"/>
      <c r="EG105" s="79"/>
      <c r="EH105" s="79"/>
      <c r="EI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  <c r="CQ106" s="79"/>
      <c r="CR106" s="79"/>
      <c r="CS106" s="79"/>
      <c r="CT106" s="79"/>
      <c r="CU106" s="79"/>
      <c r="CV106" s="79"/>
      <c r="CW106" s="79"/>
      <c r="CX106" s="79"/>
      <c r="CY106" s="79"/>
      <c r="CZ106" s="79"/>
      <c r="DA106" s="79"/>
      <c r="DB106" s="79"/>
      <c r="DC106" s="79"/>
      <c r="DD106" s="79"/>
      <c r="DE106" s="79"/>
      <c r="DF106" s="79"/>
      <c r="DG106" s="79"/>
      <c r="DH106" s="79"/>
      <c r="DI106" s="79"/>
      <c r="DJ106" s="79"/>
      <c r="DK106" s="79"/>
      <c r="DL106" s="79"/>
      <c r="DM106" s="79"/>
      <c r="DN106" s="79"/>
      <c r="DO106" s="79"/>
      <c r="DP106" s="79"/>
      <c r="DQ106" s="79"/>
      <c r="DR106" s="79"/>
      <c r="DS106" s="79"/>
      <c r="DT106" s="79"/>
      <c r="DU106" s="79"/>
      <c r="DV106" s="79"/>
      <c r="DW106" s="79"/>
      <c r="DX106" s="79"/>
      <c r="DY106" s="79"/>
      <c r="DZ106" s="79"/>
      <c r="EA106" s="79"/>
      <c r="EB106" s="79"/>
      <c r="EC106" s="79"/>
      <c r="ED106" s="79"/>
      <c r="EE106" s="79"/>
      <c r="EF106" s="79"/>
      <c r="EG106" s="79"/>
      <c r="EH106" s="79"/>
      <c r="EI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  <c r="CJ107" s="79"/>
      <c r="CK107" s="79"/>
      <c r="CL107" s="79"/>
      <c r="CM107" s="79"/>
      <c r="CN107" s="79"/>
      <c r="CO107" s="79"/>
      <c r="CP107" s="79"/>
      <c r="CQ107" s="79"/>
      <c r="CR107" s="79"/>
      <c r="CS107" s="79"/>
      <c r="CT107" s="79"/>
      <c r="CU107" s="79"/>
      <c r="CV107" s="79"/>
      <c r="CW107" s="79"/>
      <c r="CX107" s="79"/>
      <c r="CY107" s="79"/>
      <c r="CZ107" s="79"/>
      <c r="DA107" s="79"/>
      <c r="DB107" s="79"/>
      <c r="DC107" s="79"/>
      <c r="DD107" s="79"/>
      <c r="DE107" s="79"/>
      <c r="DF107" s="79"/>
      <c r="DG107" s="79"/>
      <c r="DH107" s="79"/>
      <c r="DI107" s="79"/>
      <c r="DJ107" s="79"/>
      <c r="DK107" s="79"/>
      <c r="DL107" s="79"/>
      <c r="DM107" s="79"/>
      <c r="DN107" s="79"/>
      <c r="DO107" s="79"/>
      <c r="DP107" s="79"/>
      <c r="DQ107" s="79"/>
      <c r="DR107" s="79"/>
      <c r="DS107" s="79"/>
      <c r="DT107" s="79"/>
      <c r="DU107" s="79"/>
      <c r="DV107" s="79"/>
      <c r="DW107" s="79"/>
      <c r="DX107" s="79"/>
      <c r="DY107" s="79"/>
      <c r="DZ107" s="79"/>
      <c r="EA107" s="79"/>
      <c r="EB107" s="79"/>
      <c r="EC107" s="79"/>
      <c r="ED107" s="79"/>
      <c r="EE107" s="79"/>
      <c r="EF107" s="79"/>
      <c r="EG107" s="79"/>
      <c r="EH107" s="79"/>
      <c r="EI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  <c r="CJ108" s="79"/>
      <c r="CK108" s="79"/>
      <c r="CL108" s="79"/>
      <c r="CM108" s="79"/>
      <c r="CN108" s="79"/>
      <c r="CO108" s="79"/>
      <c r="CP108" s="79"/>
      <c r="CQ108" s="79"/>
      <c r="CR108" s="79"/>
      <c r="CS108" s="79"/>
      <c r="CT108" s="79"/>
      <c r="CU108" s="79"/>
      <c r="CV108" s="79"/>
      <c r="CW108" s="79"/>
      <c r="CX108" s="79"/>
      <c r="CY108" s="79"/>
      <c r="CZ108" s="79"/>
      <c r="DA108" s="79"/>
      <c r="DB108" s="79"/>
      <c r="DC108" s="79"/>
      <c r="DD108" s="79"/>
      <c r="DE108" s="79"/>
      <c r="DF108" s="79"/>
      <c r="DG108" s="79"/>
      <c r="DH108" s="79"/>
      <c r="DI108" s="79"/>
      <c r="DJ108" s="79"/>
      <c r="DK108" s="79"/>
      <c r="DL108" s="79"/>
      <c r="DM108" s="79"/>
      <c r="DN108" s="79"/>
      <c r="DO108" s="79"/>
      <c r="DP108" s="79"/>
      <c r="DQ108" s="79"/>
      <c r="DR108" s="79"/>
      <c r="DS108" s="79"/>
      <c r="DT108" s="79"/>
      <c r="DU108" s="79"/>
      <c r="DV108" s="79"/>
      <c r="DW108" s="79"/>
      <c r="DX108" s="79"/>
      <c r="DY108" s="79"/>
      <c r="DZ108" s="79"/>
      <c r="EA108" s="79"/>
      <c r="EB108" s="79"/>
      <c r="EC108" s="79"/>
      <c r="ED108" s="79"/>
      <c r="EE108" s="79"/>
      <c r="EF108" s="79"/>
      <c r="EG108" s="79"/>
      <c r="EH108" s="79"/>
      <c r="EI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79"/>
      <c r="CM109" s="79"/>
      <c r="CN109" s="79"/>
      <c r="CO109" s="79"/>
      <c r="CP109" s="79"/>
      <c r="CQ109" s="79"/>
      <c r="CR109" s="79"/>
      <c r="CS109" s="79"/>
      <c r="CT109" s="79"/>
      <c r="CU109" s="79"/>
      <c r="CV109" s="79"/>
      <c r="CW109" s="79"/>
      <c r="CX109" s="79"/>
      <c r="CY109" s="79"/>
      <c r="CZ109" s="79"/>
      <c r="DA109" s="79"/>
      <c r="DB109" s="79"/>
      <c r="DC109" s="79"/>
      <c r="DD109" s="79"/>
      <c r="DE109" s="79"/>
      <c r="DF109" s="79"/>
      <c r="DG109" s="79"/>
      <c r="DH109" s="79"/>
      <c r="DI109" s="79"/>
      <c r="DJ109" s="79"/>
      <c r="DK109" s="79"/>
      <c r="DL109" s="79"/>
      <c r="DM109" s="79"/>
      <c r="DN109" s="79"/>
      <c r="DO109" s="79"/>
      <c r="DP109" s="79"/>
      <c r="DQ109" s="79"/>
      <c r="DR109" s="79"/>
      <c r="DS109" s="79"/>
      <c r="DT109" s="79"/>
      <c r="DU109" s="79"/>
      <c r="DV109" s="79"/>
      <c r="DW109" s="79"/>
      <c r="DX109" s="79"/>
      <c r="DY109" s="79"/>
      <c r="DZ109" s="79"/>
      <c r="EA109" s="79"/>
      <c r="EB109" s="79"/>
      <c r="EC109" s="79"/>
      <c r="ED109" s="79"/>
      <c r="EE109" s="79"/>
      <c r="EF109" s="79"/>
      <c r="EG109" s="79"/>
      <c r="EH109" s="79"/>
      <c r="EI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/>
      <c r="CM110" s="79"/>
      <c r="CN110" s="79"/>
      <c r="CO110" s="79"/>
      <c r="CP110" s="79"/>
      <c r="CQ110" s="79"/>
      <c r="CR110" s="79"/>
      <c r="CS110" s="79"/>
      <c r="CT110" s="79"/>
      <c r="CU110" s="79"/>
      <c r="CV110" s="79"/>
      <c r="CW110" s="79"/>
      <c r="CX110" s="79"/>
      <c r="CY110" s="79"/>
      <c r="CZ110" s="79"/>
      <c r="DA110" s="79"/>
      <c r="DB110" s="79"/>
      <c r="DC110" s="79"/>
      <c r="DD110" s="79"/>
      <c r="DE110" s="79"/>
      <c r="DF110" s="79"/>
      <c r="DG110" s="79"/>
      <c r="DH110" s="79"/>
      <c r="DI110" s="79"/>
      <c r="DJ110" s="79"/>
      <c r="DK110" s="79"/>
      <c r="DL110" s="79"/>
      <c r="DM110" s="79"/>
      <c r="DN110" s="79"/>
      <c r="DO110" s="79"/>
      <c r="DP110" s="79"/>
      <c r="DQ110" s="79"/>
      <c r="DR110" s="79"/>
      <c r="DS110" s="79"/>
      <c r="DT110" s="79"/>
      <c r="DU110" s="79"/>
      <c r="DV110" s="79"/>
      <c r="DW110" s="79"/>
      <c r="DX110" s="79"/>
      <c r="DY110" s="79"/>
      <c r="DZ110" s="79"/>
      <c r="EA110" s="79"/>
      <c r="EB110" s="79"/>
      <c r="EC110" s="79"/>
      <c r="ED110" s="79"/>
      <c r="EE110" s="79"/>
      <c r="EF110" s="79"/>
      <c r="EG110" s="79"/>
      <c r="EH110" s="79"/>
      <c r="EI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  <c r="CH111" s="79"/>
      <c r="CI111" s="79"/>
      <c r="CJ111" s="79"/>
      <c r="CK111" s="79"/>
      <c r="CL111" s="79"/>
      <c r="CM111" s="79"/>
      <c r="CN111" s="79"/>
      <c r="CO111" s="79"/>
      <c r="CP111" s="79"/>
      <c r="CQ111" s="79"/>
      <c r="CR111" s="79"/>
      <c r="CS111" s="79"/>
      <c r="CT111" s="79"/>
      <c r="CU111" s="79"/>
      <c r="CV111" s="79"/>
      <c r="CW111" s="79"/>
      <c r="CX111" s="79"/>
      <c r="CY111" s="79"/>
      <c r="CZ111" s="79"/>
      <c r="DA111" s="79"/>
      <c r="DB111" s="79"/>
      <c r="DC111" s="79"/>
      <c r="DD111" s="79"/>
      <c r="DE111" s="79"/>
      <c r="DF111" s="79"/>
      <c r="DG111" s="79"/>
      <c r="DH111" s="79"/>
      <c r="DI111" s="79"/>
      <c r="DJ111" s="79"/>
      <c r="DK111" s="79"/>
      <c r="DL111" s="79"/>
      <c r="DM111" s="79"/>
      <c r="DN111" s="79"/>
      <c r="DO111" s="79"/>
      <c r="DP111" s="79"/>
      <c r="DQ111" s="79"/>
      <c r="DR111" s="79"/>
      <c r="DS111" s="79"/>
      <c r="DT111" s="79"/>
      <c r="DU111" s="79"/>
      <c r="DV111" s="79"/>
      <c r="DW111" s="79"/>
      <c r="DX111" s="79"/>
      <c r="DY111" s="79"/>
      <c r="DZ111" s="79"/>
      <c r="EA111" s="79"/>
      <c r="EB111" s="79"/>
      <c r="EC111" s="79"/>
      <c r="ED111" s="79"/>
      <c r="EE111" s="79"/>
      <c r="EF111" s="79"/>
      <c r="EG111" s="79"/>
      <c r="EH111" s="79"/>
      <c r="EI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79"/>
      <c r="CM112" s="79"/>
      <c r="CN112" s="79"/>
      <c r="CO112" s="79"/>
      <c r="CP112" s="79"/>
      <c r="CQ112" s="79"/>
      <c r="CR112" s="79"/>
      <c r="CS112" s="79"/>
      <c r="CT112" s="79"/>
      <c r="CU112" s="79"/>
      <c r="CV112" s="79"/>
      <c r="CW112" s="79"/>
      <c r="CX112" s="79"/>
      <c r="CY112" s="79"/>
      <c r="CZ112" s="79"/>
      <c r="DA112" s="79"/>
      <c r="DB112" s="79"/>
      <c r="DC112" s="79"/>
      <c r="DD112" s="79"/>
      <c r="DE112" s="79"/>
      <c r="DF112" s="79"/>
      <c r="DG112" s="79"/>
      <c r="DH112" s="79"/>
      <c r="DI112" s="79"/>
      <c r="DJ112" s="79"/>
      <c r="DK112" s="79"/>
      <c r="DL112" s="79"/>
      <c r="DM112" s="79"/>
      <c r="DN112" s="79"/>
      <c r="DO112" s="79"/>
      <c r="DP112" s="79"/>
      <c r="DQ112" s="79"/>
      <c r="DR112" s="79"/>
      <c r="DS112" s="79"/>
      <c r="DT112" s="79"/>
      <c r="DU112" s="79"/>
      <c r="DV112" s="79"/>
      <c r="DW112" s="79"/>
      <c r="DX112" s="79"/>
      <c r="DY112" s="79"/>
      <c r="DZ112" s="79"/>
      <c r="EA112" s="79"/>
      <c r="EB112" s="79"/>
      <c r="EC112" s="79"/>
      <c r="ED112" s="79"/>
      <c r="EE112" s="79"/>
      <c r="EF112" s="79"/>
      <c r="EG112" s="79"/>
      <c r="EH112" s="79"/>
      <c r="EI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79"/>
      <c r="CY113" s="79"/>
      <c r="CZ113" s="79"/>
      <c r="DA113" s="79"/>
      <c r="DB113" s="79"/>
      <c r="DC113" s="79"/>
      <c r="DD113" s="79"/>
      <c r="DE113" s="79"/>
      <c r="DF113" s="79"/>
      <c r="DG113" s="79"/>
      <c r="DH113" s="79"/>
      <c r="DI113" s="79"/>
      <c r="DJ113" s="79"/>
      <c r="DK113" s="79"/>
      <c r="DL113" s="79"/>
      <c r="DM113" s="79"/>
      <c r="DN113" s="79"/>
      <c r="DO113" s="79"/>
      <c r="DP113" s="79"/>
      <c r="DQ113" s="79"/>
      <c r="DR113" s="79"/>
      <c r="DS113" s="79"/>
      <c r="DT113" s="79"/>
      <c r="DU113" s="79"/>
      <c r="DV113" s="79"/>
      <c r="DW113" s="79"/>
      <c r="DX113" s="79"/>
      <c r="DY113" s="79"/>
      <c r="DZ113" s="79"/>
      <c r="EA113" s="79"/>
      <c r="EB113" s="79"/>
      <c r="EC113" s="79"/>
      <c r="ED113" s="79"/>
      <c r="EE113" s="79"/>
      <c r="EF113" s="79"/>
      <c r="EG113" s="79"/>
      <c r="EH113" s="79"/>
      <c r="EI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  <c r="CQ114" s="79"/>
      <c r="CR114" s="79"/>
      <c r="CS114" s="79"/>
      <c r="CT114" s="79"/>
      <c r="CU114" s="79"/>
      <c r="CV114" s="79"/>
      <c r="CW114" s="79"/>
      <c r="CX114" s="79"/>
      <c r="CY114" s="79"/>
      <c r="CZ114" s="79"/>
      <c r="DA114" s="79"/>
      <c r="DB114" s="79"/>
      <c r="DC114" s="79"/>
      <c r="DD114" s="79"/>
      <c r="DE114" s="79"/>
      <c r="DF114" s="79"/>
      <c r="DG114" s="79"/>
      <c r="DH114" s="79"/>
      <c r="DI114" s="79"/>
      <c r="DJ114" s="79"/>
      <c r="DK114" s="79"/>
      <c r="DL114" s="79"/>
      <c r="DM114" s="79"/>
      <c r="DN114" s="79"/>
      <c r="DO114" s="79"/>
      <c r="DP114" s="79"/>
      <c r="DQ114" s="79"/>
      <c r="DR114" s="79"/>
      <c r="DS114" s="79"/>
      <c r="DT114" s="79"/>
      <c r="DU114" s="79"/>
      <c r="DV114" s="79"/>
      <c r="DW114" s="79"/>
      <c r="DX114" s="79"/>
      <c r="DY114" s="79"/>
      <c r="DZ114" s="79"/>
      <c r="EA114" s="79"/>
      <c r="EB114" s="79"/>
      <c r="EC114" s="79"/>
      <c r="ED114" s="79"/>
      <c r="EE114" s="79"/>
      <c r="EF114" s="79"/>
      <c r="EG114" s="79"/>
      <c r="EH114" s="79"/>
      <c r="EI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79"/>
      <c r="CM115" s="79"/>
      <c r="CN115" s="79"/>
      <c r="CO115" s="79"/>
      <c r="CP115" s="79"/>
      <c r="CQ115" s="79"/>
      <c r="CR115" s="79"/>
      <c r="CS115" s="79"/>
      <c r="CT115" s="79"/>
      <c r="CU115" s="79"/>
      <c r="CV115" s="79"/>
      <c r="CW115" s="79"/>
      <c r="CX115" s="79"/>
      <c r="CY115" s="79"/>
      <c r="CZ115" s="79"/>
      <c r="DA115" s="79"/>
      <c r="DB115" s="79"/>
      <c r="DC115" s="79"/>
      <c r="DD115" s="79"/>
      <c r="DE115" s="79"/>
      <c r="DF115" s="79"/>
      <c r="DG115" s="79"/>
      <c r="DH115" s="79"/>
      <c r="DI115" s="79"/>
      <c r="DJ115" s="79"/>
      <c r="DK115" s="79"/>
      <c r="DL115" s="79"/>
      <c r="DM115" s="79"/>
      <c r="DN115" s="79"/>
      <c r="DO115" s="79"/>
      <c r="DP115" s="79"/>
      <c r="DQ115" s="79"/>
      <c r="DR115" s="79"/>
      <c r="DS115" s="79"/>
      <c r="DT115" s="79"/>
      <c r="DU115" s="79"/>
      <c r="DV115" s="79"/>
      <c r="DW115" s="79"/>
      <c r="DX115" s="79"/>
      <c r="DY115" s="79"/>
      <c r="DZ115" s="79"/>
      <c r="EA115" s="79"/>
      <c r="EB115" s="79"/>
      <c r="EC115" s="79"/>
      <c r="ED115" s="79"/>
      <c r="EE115" s="79"/>
      <c r="EF115" s="79"/>
      <c r="EG115" s="79"/>
      <c r="EH115" s="79"/>
      <c r="EI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  <c r="CQ116" s="79"/>
      <c r="CR116" s="79"/>
      <c r="CS116" s="79"/>
      <c r="CT116" s="79"/>
      <c r="CU116" s="79"/>
      <c r="CV116" s="79"/>
      <c r="CW116" s="79"/>
      <c r="CX116" s="79"/>
      <c r="CY116" s="79"/>
      <c r="CZ116" s="79"/>
      <c r="DA116" s="79"/>
      <c r="DB116" s="79"/>
      <c r="DC116" s="79"/>
      <c r="DD116" s="79"/>
      <c r="DE116" s="79"/>
      <c r="DF116" s="79"/>
      <c r="DG116" s="79"/>
      <c r="DH116" s="79"/>
      <c r="DI116" s="79"/>
      <c r="DJ116" s="79"/>
      <c r="DK116" s="79"/>
      <c r="DL116" s="79"/>
      <c r="DM116" s="79"/>
      <c r="DN116" s="79"/>
      <c r="DO116" s="79"/>
      <c r="DP116" s="79"/>
      <c r="DQ116" s="79"/>
      <c r="DR116" s="79"/>
      <c r="DS116" s="79"/>
      <c r="DT116" s="79"/>
      <c r="DU116" s="79"/>
      <c r="DV116" s="79"/>
      <c r="DW116" s="79"/>
      <c r="DX116" s="79"/>
      <c r="DY116" s="79"/>
      <c r="DZ116" s="79"/>
      <c r="EA116" s="79"/>
      <c r="EB116" s="79"/>
      <c r="EC116" s="79"/>
      <c r="ED116" s="79"/>
      <c r="EE116" s="79"/>
      <c r="EF116" s="79"/>
      <c r="EG116" s="79"/>
      <c r="EH116" s="79"/>
      <c r="EI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79"/>
      <c r="CY117" s="79"/>
      <c r="CZ117" s="79"/>
      <c r="DA117" s="79"/>
      <c r="DB117" s="79"/>
      <c r="DC117" s="79"/>
      <c r="DD117" s="79"/>
      <c r="DE117" s="79"/>
      <c r="DF117" s="79"/>
      <c r="DG117" s="79"/>
      <c r="DH117" s="79"/>
      <c r="DI117" s="79"/>
      <c r="DJ117" s="79"/>
      <c r="DK117" s="79"/>
      <c r="DL117" s="79"/>
      <c r="DM117" s="79"/>
      <c r="DN117" s="79"/>
      <c r="DO117" s="79"/>
      <c r="DP117" s="79"/>
      <c r="DQ117" s="79"/>
      <c r="DR117" s="79"/>
      <c r="DS117" s="79"/>
      <c r="DT117" s="79"/>
      <c r="DU117" s="79"/>
      <c r="DV117" s="79"/>
      <c r="DW117" s="79"/>
      <c r="DX117" s="79"/>
      <c r="DY117" s="79"/>
      <c r="DZ117" s="79"/>
      <c r="EA117" s="79"/>
      <c r="EB117" s="79"/>
      <c r="EC117" s="79"/>
      <c r="ED117" s="79"/>
      <c r="EE117" s="79"/>
      <c r="EF117" s="79"/>
      <c r="EG117" s="79"/>
      <c r="EH117" s="79"/>
      <c r="EI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  <c r="CH118" s="79"/>
      <c r="CI118" s="79"/>
      <c r="CJ118" s="79"/>
      <c r="CK118" s="79"/>
      <c r="CL118" s="79"/>
      <c r="CM118" s="79"/>
      <c r="CN118" s="79"/>
      <c r="CO118" s="79"/>
      <c r="CP118" s="79"/>
      <c r="CQ118" s="79"/>
      <c r="CR118" s="79"/>
      <c r="CS118" s="79"/>
      <c r="CT118" s="79"/>
      <c r="CU118" s="79"/>
      <c r="CV118" s="79"/>
      <c r="CW118" s="79"/>
      <c r="CX118" s="79"/>
      <c r="CY118" s="79"/>
      <c r="CZ118" s="79"/>
      <c r="DA118" s="79"/>
      <c r="DB118" s="79"/>
      <c r="DC118" s="79"/>
      <c r="DD118" s="79"/>
      <c r="DE118" s="79"/>
      <c r="DF118" s="79"/>
      <c r="DG118" s="79"/>
      <c r="DH118" s="79"/>
      <c r="DI118" s="79"/>
      <c r="DJ118" s="79"/>
      <c r="DK118" s="79"/>
      <c r="DL118" s="79"/>
      <c r="DM118" s="79"/>
      <c r="DN118" s="79"/>
      <c r="DO118" s="79"/>
      <c r="DP118" s="79"/>
      <c r="DQ118" s="79"/>
      <c r="DR118" s="79"/>
      <c r="DS118" s="79"/>
      <c r="DT118" s="79"/>
      <c r="DU118" s="79"/>
      <c r="DV118" s="79"/>
      <c r="DW118" s="79"/>
      <c r="DX118" s="79"/>
      <c r="DY118" s="79"/>
      <c r="DZ118" s="79"/>
      <c r="EA118" s="79"/>
      <c r="EB118" s="79"/>
      <c r="EC118" s="79"/>
      <c r="ED118" s="79"/>
      <c r="EE118" s="79"/>
      <c r="EF118" s="79"/>
      <c r="EG118" s="79"/>
      <c r="EH118" s="79"/>
      <c r="EI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  <c r="CJ119" s="79"/>
      <c r="CK119" s="79"/>
      <c r="CL119" s="79"/>
      <c r="CM119" s="79"/>
      <c r="CN119" s="79"/>
      <c r="CO119" s="79"/>
      <c r="CP119" s="79"/>
      <c r="CQ119" s="79"/>
      <c r="CR119" s="79"/>
      <c r="CS119" s="79"/>
      <c r="CT119" s="79"/>
      <c r="CU119" s="79"/>
      <c r="CV119" s="79"/>
      <c r="CW119" s="79"/>
      <c r="CX119" s="79"/>
      <c r="CY119" s="79"/>
      <c r="CZ119" s="79"/>
      <c r="DA119" s="79"/>
      <c r="DB119" s="79"/>
      <c r="DC119" s="79"/>
      <c r="DD119" s="79"/>
      <c r="DE119" s="79"/>
      <c r="DF119" s="79"/>
      <c r="DG119" s="79"/>
      <c r="DH119" s="79"/>
      <c r="DI119" s="79"/>
      <c r="DJ119" s="79"/>
      <c r="DK119" s="79"/>
      <c r="DL119" s="79"/>
      <c r="DM119" s="79"/>
      <c r="DN119" s="79"/>
      <c r="DO119" s="79"/>
      <c r="DP119" s="79"/>
      <c r="DQ119" s="79"/>
      <c r="DR119" s="79"/>
      <c r="DS119" s="79"/>
      <c r="DT119" s="79"/>
      <c r="DU119" s="79"/>
      <c r="DV119" s="79"/>
      <c r="DW119" s="79"/>
      <c r="DX119" s="79"/>
      <c r="DY119" s="79"/>
      <c r="DZ119" s="79"/>
      <c r="EA119" s="79"/>
      <c r="EB119" s="79"/>
      <c r="EC119" s="79"/>
      <c r="ED119" s="79"/>
      <c r="EE119" s="79"/>
      <c r="EF119" s="79"/>
      <c r="EG119" s="79"/>
      <c r="EH119" s="79"/>
      <c r="EI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79"/>
      <c r="CY120" s="79"/>
      <c r="CZ120" s="79"/>
      <c r="DA120" s="79"/>
      <c r="DB120" s="79"/>
      <c r="DC120" s="79"/>
      <c r="DD120" s="79"/>
      <c r="DE120" s="79"/>
      <c r="DF120" s="79"/>
      <c r="DG120" s="79"/>
      <c r="DH120" s="79"/>
      <c r="DI120" s="79"/>
      <c r="DJ120" s="79"/>
      <c r="DK120" s="79"/>
      <c r="DL120" s="79"/>
      <c r="DM120" s="79"/>
      <c r="DN120" s="79"/>
      <c r="DO120" s="79"/>
      <c r="DP120" s="79"/>
      <c r="DQ120" s="79"/>
      <c r="DR120" s="79"/>
      <c r="DS120" s="79"/>
      <c r="DT120" s="79"/>
      <c r="DU120" s="79"/>
      <c r="DV120" s="79"/>
      <c r="DW120" s="79"/>
      <c r="DX120" s="79"/>
      <c r="DY120" s="79"/>
      <c r="DZ120" s="79"/>
      <c r="EA120" s="79"/>
      <c r="EB120" s="79"/>
      <c r="EC120" s="79"/>
      <c r="ED120" s="79"/>
      <c r="EE120" s="79"/>
      <c r="EF120" s="79"/>
      <c r="EG120" s="79"/>
      <c r="EH120" s="79"/>
      <c r="EI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79"/>
      <c r="CK121" s="79"/>
      <c r="CL121" s="79"/>
      <c r="CM121" s="79"/>
      <c r="CN121" s="79"/>
      <c r="CO121" s="79"/>
      <c r="CP121" s="79"/>
      <c r="CQ121" s="79"/>
      <c r="CR121" s="79"/>
      <c r="CS121" s="79"/>
      <c r="CT121" s="79"/>
      <c r="CU121" s="79"/>
      <c r="CV121" s="79"/>
      <c r="CW121" s="79"/>
      <c r="CX121" s="79"/>
      <c r="CY121" s="79"/>
      <c r="CZ121" s="79"/>
      <c r="DA121" s="79"/>
      <c r="DB121" s="79"/>
      <c r="DC121" s="79"/>
      <c r="DD121" s="79"/>
      <c r="DE121" s="79"/>
      <c r="DF121" s="79"/>
      <c r="DG121" s="79"/>
      <c r="DH121" s="79"/>
      <c r="DI121" s="79"/>
      <c r="DJ121" s="79"/>
      <c r="DK121" s="79"/>
      <c r="DL121" s="79"/>
      <c r="DM121" s="79"/>
      <c r="DN121" s="79"/>
      <c r="DO121" s="79"/>
      <c r="DP121" s="79"/>
      <c r="DQ121" s="79"/>
      <c r="DR121" s="79"/>
      <c r="DS121" s="79"/>
      <c r="DT121" s="79"/>
      <c r="DU121" s="79"/>
      <c r="DV121" s="79"/>
      <c r="DW121" s="79"/>
      <c r="DX121" s="79"/>
      <c r="DY121" s="79"/>
      <c r="DZ121" s="79"/>
      <c r="EA121" s="79"/>
      <c r="EB121" s="79"/>
      <c r="EC121" s="79"/>
      <c r="ED121" s="79"/>
      <c r="EE121" s="79"/>
      <c r="EF121" s="79"/>
      <c r="EG121" s="79"/>
      <c r="EH121" s="79"/>
      <c r="EI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  <c r="CH122" s="79"/>
      <c r="CI122" s="79"/>
      <c r="CJ122" s="79"/>
      <c r="CK122" s="79"/>
      <c r="CL122" s="79"/>
      <c r="CM122" s="79"/>
      <c r="CN122" s="79"/>
      <c r="CO122" s="79"/>
      <c r="CP122" s="79"/>
      <c r="CQ122" s="79"/>
      <c r="CR122" s="79"/>
      <c r="CS122" s="79"/>
      <c r="CT122" s="79"/>
      <c r="CU122" s="79"/>
      <c r="CV122" s="79"/>
      <c r="CW122" s="79"/>
      <c r="CX122" s="79"/>
      <c r="CY122" s="79"/>
      <c r="CZ122" s="79"/>
      <c r="DA122" s="79"/>
      <c r="DB122" s="79"/>
      <c r="DC122" s="79"/>
      <c r="DD122" s="79"/>
      <c r="DE122" s="79"/>
      <c r="DF122" s="79"/>
      <c r="DG122" s="79"/>
      <c r="DH122" s="79"/>
      <c r="DI122" s="79"/>
      <c r="DJ122" s="79"/>
      <c r="DK122" s="79"/>
      <c r="DL122" s="79"/>
      <c r="DM122" s="79"/>
      <c r="DN122" s="79"/>
      <c r="DO122" s="79"/>
      <c r="DP122" s="79"/>
      <c r="DQ122" s="79"/>
      <c r="DR122" s="79"/>
      <c r="DS122" s="79"/>
      <c r="DT122" s="79"/>
      <c r="DU122" s="79"/>
      <c r="DV122" s="79"/>
      <c r="DW122" s="79"/>
      <c r="DX122" s="79"/>
      <c r="DY122" s="79"/>
      <c r="DZ122" s="79"/>
      <c r="EA122" s="79"/>
      <c r="EB122" s="79"/>
      <c r="EC122" s="79"/>
      <c r="ED122" s="79"/>
      <c r="EE122" s="79"/>
      <c r="EF122" s="79"/>
      <c r="EG122" s="79"/>
      <c r="EH122" s="79"/>
      <c r="EI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  <c r="CH123" s="79"/>
      <c r="CI123" s="79"/>
      <c r="CJ123" s="79"/>
      <c r="CK123" s="79"/>
      <c r="CL123" s="79"/>
      <c r="CM123" s="79"/>
      <c r="CN123" s="79"/>
      <c r="CO123" s="79"/>
      <c r="CP123" s="79"/>
      <c r="CQ123" s="79"/>
      <c r="CR123" s="79"/>
      <c r="CS123" s="79"/>
      <c r="CT123" s="79"/>
      <c r="CU123" s="79"/>
      <c r="CV123" s="79"/>
      <c r="CW123" s="79"/>
      <c r="CX123" s="79"/>
      <c r="CY123" s="79"/>
      <c r="CZ123" s="79"/>
      <c r="DA123" s="79"/>
      <c r="DB123" s="79"/>
      <c r="DC123" s="79"/>
      <c r="DD123" s="79"/>
      <c r="DE123" s="79"/>
      <c r="DF123" s="79"/>
      <c r="DG123" s="79"/>
      <c r="DH123" s="79"/>
      <c r="DI123" s="79"/>
      <c r="DJ123" s="79"/>
      <c r="DK123" s="79"/>
      <c r="DL123" s="79"/>
      <c r="DM123" s="79"/>
      <c r="DN123" s="79"/>
      <c r="DO123" s="79"/>
      <c r="DP123" s="79"/>
      <c r="DQ123" s="79"/>
      <c r="DR123" s="79"/>
      <c r="DS123" s="79"/>
      <c r="DT123" s="79"/>
      <c r="DU123" s="79"/>
      <c r="DV123" s="79"/>
      <c r="DW123" s="79"/>
      <c r="DX123" s="79"/>
      <c r="DY123" s="79"/>
      <c r="DZ123" s="79"/>
      <c r="EA123" s="79"/>
      <c r="EB123" s="79"/>
      <c r="EC123" s="79"/>
      <c r="ED123" s="79"/>
      <c r="EE123" s="79"/>
      <c r="EF123" s="79"/>
      <c r="EG123" s="79"/>
      <c r="EH123" s="79"/>
      <c r="EI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79"/>
      <c r="CM124" s="79"/>
      <c r="CN124" s="79"/>
      <c r="CO124" s="79"/>
      <c r="CP124" s="79"/>
      <c r="CQ124" s="79"/>
      <c r="CR124" s="79"/>
      <c r="CS124" s="79"/>
      <c r="CT124" s="79"/>
      <c r="CU124" s="79"/>
      <c r="CV124" s="79"/>
      <c r="CW124" s="79"/>
      <c r="CX124" s="79"/>
      <c r="CY124" s="79"/>
      <c r="CZ124" s="79"/>
      <c r="DA124" s="79"/>
      <c r="DB124" s="79"/>
      <c r="DC124" s="79"/>
      <c r="DD124" s="79"/>
      <c r="DE124" s="79"/>
      <c r="DF124" s="79"/>
      <c r="DG124" s="79"/>
      <c r="DH124" s="79"/>
      <c r="DI124" s="79"/>
      <c r="DJ124" s="79"/>
      <c r="DK124" s="79"/>
      <c r="DL124" s="79"/>
      <c r="DM124" s="79"/>
      <c r="DN124" s="79"/>
      <c r="DO124" s="79"/>
      <c r="DP124" s="79"/>
      <c r="DQ124" s="79"/>
      <c r="DR124" s="79"/>
      <c r="DS124" s="79"/>
      <c r="DT124" s="79"/>
      <c r="DU124" s="79"/>
      <c r="DV124" s="79"/>
      <c r="DW124" s="79"/>
      <c r="DX124" s="79"/>
      <c r="DY124" s="79"/>
      <c r="DZ124" s="79"/>
      <c r="EA124" s="79"/>
      <c r="EB124" s="79"/>
      <c r="EC124" s="79"/>
      <c r="ED124" s="79"/>
      <c r="EE124" s="79"/>
      <c r="EF124" s="79"/>
      <c r="EG124" s="79"/>
      <c r="EH124" s="79"/>
      <c r="EI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  <c r="CH125" s="79"/>
      <c r="CI125" s="79"/>
      <c r="CJ125" s="79"/>
      <c r="CK125" s="79"/>
      <c r="CL125" s="79"/>
      <c r="CM125" s="79"/>
      <c r="CN125" s="79"/>
      <c r="CO125" s="79"/>
      <c r="CP125" s="79"/>
      <c r="CQ125" s="79"/>
      <c r="CR125" s="79"/>
      <c r="CS125" s="79"/>
      <c r="CT125" s="79"/>
      <c r="CU125" s="79"/>
      <c r="CV125" s="79"/>
      <c r="CW125" s="79"/>
      <c r="CX125" s="79"/>
      <c r="CY125" s="79"/>
      <c r="CZ125" s="79"/>
      <c r="DA125" s="79"/>
      <c r="DB125" s="79"/>
      <c r="DC125" s="79"/>
      <c r="DD125" s="79"/>
      <c r="DE125" s="79"/>
      <c r="DF125" s="79"/>
      <c r="DG125" s="79"/>
      <c r="DH125" s="79"/>
      <c r="DI125" s="79"/>
      <c r="DJ125" s="79"/>
      <c r="DK125" s="79"/>
      <c r="DL125" s="79"/>
      <c r="DM125" s="79"/>
      <c r="DN125" s="79"/>
      <c r="DO125" s="79"/>
      <c r="DP125" s="79"/>
      <c r="DQ125" s="79"/>
      <c r="DR125" s="79"/>
      <c r="DS125" s="79"/>
      <c r="DT125" s="79"/>
      <c r="DU125" s="79"/>
      <c r="DV125" s="79"/>
      <c r="DW125" s="79"/>
      <c r="DX125" s="79"/>
      <c r="DY125" s="79"/>
      <c r="DZ125" s="79"/>
      <c r="EA125" s="79"/>
      <c r="EB125" s="79"/>
      <c r="EC125" s="79"/>
      <c r="ED125" s="79"/>
      <c r="EE125" s="79"/>
      <c r="EF125" s="79"/>
      <c r="EG125" s="79"/>
      <c r="EH125" s="79"/>
      <c r="EI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79"/>
      <c r="CY126" s="79"/>
      <c r="CZ126" s="79"/>
      <c r="DA126" s="79"/>
      <c r="DB126" s="79"/>
      <c r="DC126" s="79"/>
      <c r="DD126" s="79"/>
      <c r="DE126" s="79"/>
      <c r="DF126" s="79"/>
      <c r="DG126" s="79"/>
      <c r="DH126" s="79"/>
      <c r="DI126" s="79"/>
      <c r="DJ126" s="79"/>
      <c r="DK126" s="79"/>
      <c r="DL126" s="79"/>
      <c r="DM126" s="79"/>
      <c r="DN126" s="79"/>
      <c r="DO126" s="79"/>
      <c r="DP126" s="79"/>
      <c r="DQ126" s="79"/>
      <c r="DR126" s="79"/>
      <c r="DS126" s="79"/>
      <c r="DT126" s="79"/>
      <c r="DU126" s="79"/>
      <c r="DV126" s="79"/>
      <c r="DW126" s="79"/>
      <c r="DX126" s="79"/>
      <c r="DY126" s="79"/>
      <c r="DZ126" s="79"/>
      <c r="EA126" s="79"/>
      <c r="EB126" s="79"/>
      <c r="EC126" s="79"/>
      <c r="ED126" s="79"/>
      <c r="EE126" s="79"/>
      <c r="EF126" s="79"/>
      <c r="EG126" s="79"/>
      <c r="EH126" s="79"/>
      <c r="EI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79"/>
      <c r="CY127" s="79"/>
      <c r="CZ127" s="79"/>
      <c r="DA127" s="79"/>
      <c r="DB127" s="79"/>
      <c r="DC127" s="79"/>
      <c r="DD127" s="79"/>
      <c r="DE127" s="79"/>
      <c r="DF127" s="79"/>
      <c r="DG127" s="79"/>
      <c r="DH127" s="79"/>
      <c r="DI127" s="79"/>
      <c r="DJ127" s="79"/>
      <c r="DK127" s="79"/>
      <c r="DL127" s="79"/>
      <c r="DM127" s="79"/>
      <c r="DN127" s="79"/>
      <c r="DO127" s="79"/>
      <c r="DP127" s="79"/>
      <c r="DQ127" s="79"/>
      <c r="DR127" s="79"/>
      <c r="DS127" s="79"/>
      <c r="DT127" s="79"/>
      <c r="DU127" s="79"/>
      <c r="DV127" s="79"/>
      <c r="DW127" s="79"/>
      <c r="DX127" s="79"/>
      <c r="DY127" s="79"/>
      <c r="DZ127" s="79"/>
      <c r="EA127" s="79"/>
      <c r="EB127" s="79"/>
      <c r="EC127" s="79"/>
      <c r="ED127" s="79"/>
      <c r="EE127" s="79"/>
      <c r="EF127" s="79"/>
      <c r="EG127" s="79"/>
      <c r="EH127" s="79"/>
      <c r="EI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  <c r="CN128" s="79"/>
      <c r="CO128" s="79"/>
      <c r="CP128" s="79"/>
      <c r="CQ128" s="79"/>
      <c r="CR128" s="79"/>
      <c r="CS128" s="79"/>
      <c r="CT128" s="79"/>
      <c r="CU128" s="79"/>
      <c r="CV128" s="79"/>
      <c r="CW128" s="79"/>
      <c r="CX128" s="79"/>
      <c r="CY128" s="79"/>
      <c r="CZ128" s="79"/>
      <c r="DA128" s="79"/>
      <c r="DB128" s="79"/>
      <c r="DC128" s="79"/>
      <c r="DD128" s="79"/>
      <c r="DE128" s="79"/>
      <c r="DF128" s="79"/>
      <c r="DG128" s="79"/>
      <c r="DH128" s="79"/>
      <c r="DI128" s="79"/>
      <c r="DJ128" s="79"/>
      <c r="DK128" s="79"/>
      <c r="DL128" s="79"/>
      <c r="DM128" s="79"/>
      <c r="DN128" s="79"/>
      <c r="DO128" s="79"/>
      <c r="DP128" s="79"/>
      <c r="DQ128" s="79"/>
      <c r="DR128" s="79"/>
      <c r="DS128" s="79"/>
      <c r="DT128" s="79"/>
      <c r="DU128" s="79"/>
      <c r="DV128" s="79"/>
      <c r="DW128" s="79"/>
      <c r="DX128" s="79"/>
      <c r="DY128" s="79"/>
      <c r="DZ128" s="79"/>
      <c r="EA128" s="79"/>
      <c r="EB128" s="79"/>
      <c r="EC128" s="79"/>
      <c r="ED128" s="79"/>
      <c r="EE128" s="79"/>
      <c r="EF128" s="79"/>
      <c r="EG128" s="79"/>
      <c r="EH128" s="79"/>
      <c r="EI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  <c r="CN129" s="79"/>
      <c r="CO129" s="79"/>
      <c r="CP129" s="79"/>
      <c r="CQ129" s="79"/>
      <c r="CR129" s="79"/>
      <c r="CS129" s="79"/>
      <c r="CT129" s="79"/>
      <c r="CU129" s="79"/>
      <c r="CV129" s="79"/>
      <c r="CW129" s="79"/>
      <c r="CX129" s="79"/>
      <c r="CY129" s="79"/>
      <c r="CZ129" s="79"/>
      <c r="DA129" s="79"/>
      <c r="DB129" s="79"/>
      <c r="DC129" s="79"/>
      <c r="DD129" s="79"/>
      <c r="DE129" s="79"/>
      <c r="DF129" s="79"/>
      <c r="DG129" s="79"/>
      <c r="DH129" s="79"/>
      <c r="DI129" s="79"/>
      <c r="DJ129" s="79"/>
      <c r="DK129" s="79"/>
      <c r="DL129" s="79"/>
      <c r="DM129" s="79"/>
      <c r="DN129" s="79"/>
      <c r="DO129" s="79"/>
      <c r="DP129" s="79"/>
      <c r="DQ129" s="79"/>
      <c r="DR129" s="79"/>
      <c r="DS129" s="79"/>
      <c r="DT129" s="79"/>
      <c r="DU129" s="79"/>
      <c r="DV129" s="79"/>
      <c r="DW129" s="79"/>
      <c r="DX129" s="79"/>
      <c r="DY129" s="79"/>
      <c r="DZ129" s="79"/>
      <c r="EA129" s="79"/>
      <c r="EB129" s="79"/>
      <c r="EC129" s="79"/>
      <c r="ED129" s="79"/>
      <c r="EE129" s="79"/>
      <c r="EF129" s="79"/>
      <c r="EG129" s="79"/>
      <c r="EH129" s="79"/>
      <c r="EI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  <c r="CN130" s="79"/>
      <c r="CO130" s="79"/>
      <c r="CP130" s="79"/>
      <c r="CQ130" s="79"/>
      <c r="CR130" s="79"/>
      <c r="CS130" s="79"/>
      <c r="CT130" s="79"/>
      <c r="CU130" s="79"/>
      <c r="CV130" s="79"/>
      <c r="CW130" s="79"/>
      <c r="CX130" s="79"/>
      <c r="CY130" s="79"/>
      <c r="CZ130" s="79"/>
      <c r="DA130" s="79"/>
      <c r="DB130" s="79"/>
      <c r="DC130" s="79"/>
      <c r="DD130" s="79"/>
      <c r="DE130" s="79"/>
      <c r="DF130" s="79"/>
      <c r="DG130" s="79"/>
      <c r="DH130" s="79"/>
      <c r="DI130" s="79"/>
      <c r="DJ130" s="79"/>
      <c r="DK130" s="79"/>
      <c r="DL130" s="79"/>
      <c r="DM130" s="79"/>
      <c r="DN130" s="79"/>
      <c r="DO130" s="79"/>
      <c r="DP130" s="79"/>
      <c r="DQ130" s="79"/>
      <c r="DR130" s="79"/>
      <c r="DS130" s="79"/>
      <c r="DT130" s="79"/>
      <c r="DU130" s="79"/>
      <c r="DV130" s="79"/>
      <c r="DW130" s="79"/>
      <c r="DX130" s="79"/>
      <c r="DY130" s="79"/>
      <c r="DZ130" s="79"/>
      <c r="EA130" s="79"/>
      <c r="EB130" s="79"/>
      <c r="EC130" s="79"/>
      <c r="ED130" s="79"/>
      <c r="EE130" s="79"/>
      <c r="EF130" s="79"/>
      <c r="EG130" s="79"/>
      <c r="EH130" s="79"/>
      <c r="EI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  <c r="CN131" s="79"/>
      <c r="CO131" s="79"/>
      <c r="CP131" s="79"/>
      <c r="CQ131" s="79"/>
      <c r="CR131" s="79"/>
      <c r="CS131" s="79"/>
      <c r="CT131" s="79"/>
      <c r="CU131" s="79"/>
      <c r="CV131" s="79"/>
      <c r="CW131" s="79"/>
      <c r="CX131" s="79"/>
      <c r="CY131" s="79"/>
      <c r="CZ131" s="79"/>
      <c r="DA131" s="79"/>
      <c r="DB131" s="79"/>
      <c r="DC131" s="79"/>
      <c r="DD131" s="79"/>
      <c r="DE131" s="79"/>
      <c r="DF131" s="79"/>
      <c r="DG131" s="79"/>
      <c r="DH131" s="79"/>
      <c r="DI131" s="79"/>
      <c r="DJ131" s="79"/>
      <c r="DK131" s="79"/>
      <c r="DL131" s="79"/>
      <c r="DM131" s="79"/>
      <c r="DN131" s="79"/>
      <c r="DO131" s="79"/>
      <c r="DP131" s="79"/>
      <c r="DQ131" s="79"/>
      <c r="DR131" s="79"/>
      <c r="DS131" s="79"/>
      <c r="DT131" s="79"/>
      <c r="DU131" s="79"/>
      <c r="DV131" s="79"/>
      <c r="DW131" s="79"/>
      <c r="DX131" s="79"/>
      <c r="DY131" s="79"/>
      <c r="DZ131" s="79"/>
      <c r="EA131" s="79"/>
      <c r="EB131" s="79"/>
      <c r="EC131" s="79"/>
      <c r="ED131" s="79"/>
      <c r="EE131" s="79"/>
      <c r="EF131" s="79"/>
      <c r="EG131" s="79"/>
      <c r="EH131" s="79"/>
      <c r="EI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  <c r="CQ132" s="79"/>
      <c r="CR132" s="79"/>
      <c r="CS132" s="79"/>
      <c r="CT132" s="79"/>
      <c r="CU132" s="79"/>
      <c r="CV132" s="79"/>
      <c r="CW132" s="79"/>
      <c r="CX132" s="79"/>
      <c r="CY132" s="79"/>
      <c r="CZ132" s="79"/>
      <c r="DA132" s="79"/>
      <c r="DB132" s="79"/>
      <c r="DC132" s="79"/>
      <c r="DD132" s="79"/>
      <c r="DE132" s="79"/>
      <c r="DF132" s="79"/>
      <c r="DG132" s="79"/>
      <c r="DH132" s="79"/>
      <c r="DI132" s="79"/>
      <c r="DJ132" s="79"/>
      <c r="DK132" s="79"/>
      <c r="DL132" s="79"/>
      <c r="DM132" s="79"/>
      <c r="DN132" s="79"/>
      <c r="DO132" s="79"/>
      <c r="DP132" s="79"/>
      <c r="DQ132" s="79"/>
      <c r="DR132" s="79"/>
      <c r="DS132" s="79"/>
      <c r="DT132" s="79"/>
      <c r="DU132" s="79"/>
      <c r="DV132" s="79"/>
      <c r="DW132" s="79"/>
      <c r="DX132" s="79"/>
      <c r="DY132" s="79"/>
      <c r="DZ132" s="79"/>
      <c r="EA132" s="79"/>
      <c r="EB132" s="79"/>
      <c r="EC132" s="79"/>
      <c r="ED132" s="79"/>
      <c r="EE132" s="79"/>
      <c r="EF132" s="79"/>
      <c r="EG132" s="79"/>
      <c r="EH132" s="79"/>
      <c r="EI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79"/>
      <c r="CY133" s="79"/>
      <c r="CZ133" s="79"/>
      <c r="DA133" s="79"/>
      <c r="DB133" s="79"/>
      <c r="DC133" s="79"/>
      <c r="DD133" s="79"/>
      <c r="DE133" s="79"/>
      <c r="DF133" s="79"/>
      <c r="DG133" s="79"/>
      <c r="DH133" s="79"/>
      <c r="DI133" s="79"/>
      <c r="DJ133" s="79"/>
      <c r="DK133" s="79"/>
      <c r="DL133" s="79"/>
      <c r="DM133" s="79"/>
      <c r="DN133" s="79"/>
      <c r="DO133" s="79"/>
      <c r="DP133" s="79"/>
      <c r="DQ133" s="79"/>
      <c r="DR133" s="79"/>
      <c r="DS133" s="79"/>
      <c r="DT133" s="79"/>
      <c r="DU133" s="79"/>
      <c r="DV133" s="79"/>
      <c r="DW133" s="79"/>
      <c r="DX133" s="79"/>
      <c r="DY133" s="79"/>
      <c r="DZ133" s="79"/>
      <c r="EA133" s="79"/>
      <c r="EB133" s="79"/>
      <c r="EC133" s="79"/>
      <c r="ED133" s="79"/>
      <c r="EE133" s="79"/>
      <c r="EF133" s="79"/>
      <c r="EG133" s="79"/>
      <c r="EH133" s="79"/>
      <c r="EI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  <c r="CN134" s="79"/>
      <c r="CO134" s="79"/>
      <c r="CP134" s="79"/>
      <c r="CQ134" s="79"/>
      <c r="CR134" s="79"/>
      <c r="CS134" s="79"/>
      <c r="CT134" s="79"/>
      <c r="CU134" s="79"/>
      <c r="CV134" s="79"/>
      <c r="CW134" s="79"/>
      <c r="CX134" s="79"/>
      <c r="CY134" s="79"/>
      <c r="CZ134" s="79"/>
      <c r="DA134" s="79"/>
      <c r="DB134" s="79"/>
      <c r="DC134" s="79"/>
      <c r="DD134" s="79"/>
      <c r="DE134" s="79"/>
      <c r="DF134" s="79"/>
      <c r="DG134" s="79"/>
      <c r="DH134" s="79"/>
      <c r="DI134" s="79"/>
      <c r="DJ134" s="79"/>
      <c r="DK134" s="79"/>
      <c r="DL134" s="79"/>
      <c r="DM134" s="79"/>
      <c r="DN134" s="79"/>
      <c r="DO134" s="79"/>
      <c r="DP134" s="79"/>
      <c r="DQ134" s="79"/>
      <c r="DR134" s="79"/>
      <c r="DS134" s="79"/>
      <c r="DT134" s="79"/>
      <c r="DU134" s="79"/>
      <c r="DV134" s="79"/>
      <c r="DW134" s="79"/>
      <c r="DX134" s="79"/>
      <c r="DY134" s="79"/>
      <c r="DZ134" s="79"/>
      <c r="EA134" s="79"/>
      <c r="EB134" s="79"/>
      <c r="EC134" s="79"/>
      <c r="ED134" s="79"/>
      <c r="EE134" s="79"/>
      <c r="EF134" s="79"/>
      <c r="EG134" s="79"/>
      <c r="EH134" s="79"/>
      <c r="EI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  <c r="CN135" s="79"/>
      <c r="CO135" s="79"/>
      <c r="CP135" s="79"/>
      <c r="CQ135" s="79"/>
      <c r="CR135" s="79"/>
      <c r="CS135" s="79"/>
      <c r="CT135" s="79"/>
      <c r="CU135" s="79"/>
      <c r="CV135" s="79"/>
      <c r="CW135" s="79"/>
      <c r="CX135" s="79"/>
      <c r="CY135" s="79"/>
      <c r="CZ135" s="79"/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79"/>
      <c r="DL135" s="79"/>
      <c r="DM135" s="79"/>
      <c r="DN135" s="79"/>
      <c r="DO135" s="79"/>
      <c r="DP135" s="79"/>
      <c r="DQ135" s="79"/>
      <c r="DR135" s="79"/>
      <c r="DS135" s="79"/>
      <c r="DT135" s="79"/>
      <c r="DU135" s="79"/>
      <c r="DV135" s="79"/>
      <c r="DW135" s="79"/>
      <c r="DX135" s="79"/>
      <c r="DY135" s="79"/>
      <c r="DZ135" s="79"/>
      <c r="EA135" s="79"/>
      <c r="EB135" s="79"/>
      <c r="EC135" s="79"/>
      <c r="ED135" s="79"/>
      <c r="EE135" s="79"/>
      <c r="EF135" s="79"/>
      <c r="EG135" s="79"/>
      <c r="EH135" s="79"/>
      <c r="EI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  <c r="CN136" s="79"/>
      <c r="CO136" s="79"/>
      <c r="CP136" s="79"/>
      <c r="CQ136" s="79"/>
      <c r="CR136" s="79"/>
      <c r="CS136" s="79"/>
      <c r="CT136" s="79"/>
      <c r="CU136" s="79"/>
      <c r="CV136" s="79"/>
      <c r="CW136" s="79"/>
      <c r="CX136" s="79"/>
      <c r="CY136" s="79"/>
      <c r="CZ136" s="79"/>
      <c r="DA136" s="79"/>
      <c r="DB136" s="79"/>
      <c r="DC136" s="79"/>
      <c r="DD136" s="79"/>
      <c r="DE136" s="79"/>
      <c r="DF136" s="79"/>
      <c r="DG136" s="79"/>
      <c r="DH136" s="79"/>
      <c r="DI136" s="79"/>
      <c r="DJ136" s="79"/>
      <c r="DK136" s="79"/>
      <c r="DL136" s="79"/>
      <c r="DM136" s="79"/>
      <c r="DN136" s="79"/>
      <c r="DO136" s="79"/>
      <c r="DP136" s="79"/>
      <c r="DQ136" s="79"/>
      <c r="DR136" s="79"/>
      <c r="DS136" s="79"/>
      <c r="DT136" s="79"/>
      <c r="DU136" s="79"/>
      <c r="DV136" s="79"/>
      <c r="DW136" s="79"/>
      <c r="DX136" s="79"/>
      <c r="DY136" s="79"/>
      <c r="DZ136" s="79"/>
      <c r="EA136" s="79"/>
      <c r="EB136" s="79"/>
      <c r="EC136" s="79"/>
      <c r="ED136" s="79"/>
      <c r="EE136" s="79"/>
      <c r="EF136" s="79"/>
      <c r="EG136" s="79"/>
      <c r="EH136" s="79"/>
      <c r="EI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  <c r="CN137" s="79"/>
      <c r="CO137" s="79"/>
      <c r="CP137" s="79"/>
      <c r="CQ137" s="79"/>
      <c r="CR137" s="79"/>
      <c r="CS137" s="79"/>
      <c r="CT137" s="79"/>
      <c r="CU137" s="79"/>
      <c r="CV137" s="79"/>
      <c r="CW137" s="79"/>
      <c r="CX137" s="79"/>
      <c r="CY137" s="79"/>
      <c r="CZ137" s="79"/>
      <c r="DA137" s="79"/>
      <c r="DB137" s="79"/>
      <c r="DC137" s="79"/>
      <c r="DD137" s="79"/>
      <c r="DE137" s="79"/>
      <c r="DF137" s="79"/>
      <c r="DG137" s="79"/>
      <c r="DH137" s="79"/>
      <c r="DI137" s="79"/>
      <c r="DJ137" s="79"/>
      <c r="DK137" s="79"/>
      <c r="DL137" s="79"/>
      <c r="DM137" s="79"/>
      <c r="DN137" s="79"/>
      <c r="DO137" s="79"/>
      <c r="DP137" s="79"/>
      <c r="DQ137" s="79"/>
      <c r="DR137" s="79"/>
      <c r="DS137" s="79"/>
      <c r="DT137" s="79"/>
      <c r="DU137" s="79"/>
      <c r="DV137" s="79"/>
      <c r="DW137" s="79"/>
      <c r="DX137" s="79"/>
      <c r="DY137" s="79"/>
      <c r="DZ137" s="79"/>
      <c r="EA137" s="79"/>
      <c r="EB137" s="79"/>
      <c r="EC137" s="79"/>
      <c r="ED137" s="79"/>
      <c r="EE137" s="79"/>
      <c r="EF137" s="79"/>
      <c r="EG137" s="79"/>
      <c r="EH137" s="79"/>
      <c r="EI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  <c r="CN138" s="79"/>
      <c r="CO138" s="79"/>
      <c r="CP138" s="79"/>
      <c r="CQ138" s="79"/>
      <c r="CR138" s="79"/>
      <c r="CS138" s="79"/>
      <c r="CT138" s="79"/>
      <c r="CU138" s="79"/>
      <c r="CV138" s="79"/>
      <c r="CW138" s="79"/>
      <c r="CX138" s="79"/>
      <c r="CY138" s="79"/>
      <c r="CZ138" s="79"/>
      <c r="DA138" s="79"/>
      <c r="DB138" s="79"/>
      <c r="DC138" s="79"/>
      <c r="DD138" s="79"/>
      <c r="DE138" s="79"/>
      <c r="DF138" s="79"/>
      <c r="DG138" s="79"/>
      <c r="DH138" s="79"/>
      <c r="DI138" s="79"/>
      <c r="DJ138" s="79"/>
      <c r="DK138" s="79"/>
      <c r="DL138" s="79"/>
      <c r="DM138" s="79"/>
      <c r="DN138" s="79"/>
      <c r="DO138" s="79"/>
      <c r="DP138" s="79"/>
      <c r="DQ138" s="79"/>
      <c r="DR138" s="79"/>
      <c r="DS138" s="79"/>
      <c r="DT138" s="79"/>
      <c r="DU138" s="79"/>
      <c r="DV138" s="79"/>
      <c r="DW138" s="79"/>
      <c r="DX138" s="79"/>
      <c r="DY138" s="79"/>
      <c r="DZ138" s="79"/>
      <c r="EA138" s="79"/>
      <c r="EB138" s="79"/>
      <c r="EC138" s="79"/>
      <c r="ED138" s="79"/>
      <c r="EE138" s="79"/>
      <c r="EF138" s="79"/>
      <c r="EG138" s="79"/>
      <c r="EH138" s="79"/>
      <c r="EI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  <c r="CN139" s="79"/>
      <c r="CO139" s="79"/>
      <c r="CP139" s="79"/>
      <c r="CQ139" s="79"/>
      <c r="CR139" s="79"/>
      <c r="CS139" s="79"/>
      <c r="CT139" s="79"/>
      <c r="CU139" s="79"/>
      <c r="CV139" s="79"/>
      <c r="CW139" s="79"/>
      <c r="CX139" s="79"/>
      <c r="CY139" s="79"/>
      <c r="CZ139" s="79"/>
      <c r="DA139" s="79"/>
      <c r="DB139" s="79"/>
      <c r="DC139" s="79"/>
      <c r="DD139" s="79"/>
      <c r="DE139" s="79"/>
      <c r="DF139" s="79"/>
      <c r="DG139" s="79"/>
      <c r="DH139" s="79"/>
      <c r="DI139" s="79"/>
      <c r="DJ139" s="79"/>
      <c r="DK139" s="79"/>
      <c r="DL139" s="79"/>
      <c r="DM139" s="79"/>
      <c r="DN139" s="79"/>
      <c r="DO139" s="79"/>
      <c r="DP139" s="79"/>
      <c r="DQ139" s="79"/>
      <c r="DR139" s="79"/>
      <c r="DS139" s="79"/>
      <c r="DT139" s="79"/>
      <c r="DU139" s="79"/>
      <c r="DV139" s="79"/>
      <c r="DW139" s="79"/>
      <c r="DX139" s="79"/>
      <c r="DY139" s="79"/>
      <c r="DZ139" s="79"/>
      <c r="EA139" s="79"/>
      <c r="EB139" s="79"/>
      <c r="EC139" s="79"/>
      <c r="ED139" s="79"/>
      <c r="EE139" s="79"/>
      <c r="EF139" s="79"/>
      <c r="EG139" s="79"/>
      <c r="EH139" s="79"/>
      <c r="EI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  <c r="CN140" s="79"/>
      <c r="CO140" s="79"/>
      <c r="CP140" s="79"/>
      <c r="CQ140" s="79"/>
      <c r="CR140" s="79"/>
      <c r="CS140" s="79"/>
      <c r="CT140" s="79"/>
      <c r="CU140" s="79"/>
      <c r="CV140" s="79"/>
      <c r="CW140" s="79"/>
      <c r="CX140" s="79"/>
      <c r="CY140" s="79"/>
      <c r="CZ140" s="79"/>
      <c r="DA140" s="79"/>
      <c r="DB140" s="79"/>
      <c r="DC140" s="79"/>
      <c r="DD140" s="79"/>
      <c r="DE140" s="79"/>
      <c r="DF140" s="79"/>
      <c r="DG140" s="79"/>
      <c r="DH140" s="79"/>
      <c r="DI140" s="79"/>
      <c r="DJ140" s="79"/>
      <c r="DK140" s="79"/>
      <c r="DL140" s="79"/>
      <c r="DM140" s="79"/>
      <c r="DN140" s="79"/>
      <c r="DO140" s="79"/>
      <c r="DP140" s="79"/>
      <c r="DQ140" s="79"/>
      <c r="DR140" s="79"/>
      <c r="DS140" s="79"/>
      <c r="DT140" s="79"/>
      <c r="DU140" s="79"/>
      <c r="DV140" s="79"/>
      <c r="DW140" s="79"/>
      <c r="DX140" s="79"/>
      <c r="DY140" s="79"/>
      <c r="DZ140" s="79"/>
      <c r="EA140" s="79"/>
      <c r="EB140" s="79"/>
      <c r="EC140" s="79"/>
      <c r="ED140" s="79"/>
      <c r="EE140" s="79"/>
      <c r="EF140" s="79"/>
      <c r="EG140" s="79"/>
      <c r="EH140" s="79"/>
      <c r="EI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  <c r="CN141" s="79"/>
      <c r="CO141" s="79"/>
      <c r="CP141" s="79"/>
      <c r="CQ141" s="79"/>
      <c r="CR141" s="79"/>
      <c r="CS141" s="79"/>
      <c r="CT141" s="79"/>
      <c r="CU141" s="79"/>
      <c r="CV141" s="79"/>
      <c r="CW141" s="79"/>
      <c r="CX141" s="79"/>
      <c r="CY141" s="79"/>
      <c r="CZ141" s="79"/>
      <c r="DA141" s="79"/>
      <c r="DB141" s="79"/>
      <c r="DC141" s="79"/>
      <c r="DD141" s="79"/>
      <c r="DE141" s="79"/>
      <c r="DF141" s="79"/>
      <c r="DG141" s="79"/>
      <c r="DH141" s="79"/>
      <c r="DI141" s="79"/>
      <c r="DJ141" s="79"/>
      <c r="DK141" s="79"/>
      <c r="DL141" s="79"/>
      <c r="DM141" s="79"/>
      <c r="DN141" s="79"/>
      <c r="DO141" s="79"/>
      <c r="DP141" s="79"/>
      <c r="DQ141" s="79"/>
      <c r="DR141" s="79"/>
      <c r="DS141" s="79"/>
      <c r="DT141" s="79"/>
      <c r="DU141" s="79"/>
      <c r="DV141" s="79"/>
      <c r="DW141" s="79"/>
      <c r="DX141" s="79"/>
      <c r="DY141" s="79"/>
      <c r="DZ141" s="79"/>
      <c r="EA141" s="79"/>
      <c r="EB141" s="79"/>
      <c r="EC141" s="79"/>
      <c r="ED141" s="79"/>
      <c r="EE141" s="79"/>
      <c r="EF141" s="79"/>
      <c r="EG141" s="79"/>
      <c r="EH141" s="79"/>
      <c r="EI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  <c r="CN142" s="79"/>
      <c r="CO142" s="79"/>
      <c r="CP142" s="79"/>
      <c r="CQ142" s="79"/>
      <c r="CR142" s="79"/>
      <c r="CS142" s="79"/>
      <c r="CT142" s="79"/>
      <c r="CU142" s="79"/>
      <c r="CV142" s="79"/>
      <c r="CW142" s="79"/>
      <c r="CX142" s="79"/>
      <c r="CY142" s="79"/>
      <c r="CZ142" s="79"/>
      <c r="DA142" s="79"/>
      <c r="DB142" s="79"/>
      <c r="DC142" s="79"/>
      <c r="DD142" s="79"/>
      <c r="DE142" s="79"/>
      <c r="DF142" s="79"/>
      <c r="DG142" s="79"/>
      <c r="DH142" s="79"/>
      <c r="DI142" s="79"/>
      <c r="DJ142" s="79"/>
      <c r="DK142" s="79"/>
      <c r="DL142" s="79"/>
      <c r="DM142" s="79"/>
      <c r="DN142" s="79"/>
      <c r="DO142" s="79"/>
      <c r="DP142" s="79"/>
      <c r="DQ142" s="79"/>
      <c r="DR142" s="79"/>
      <c r="DS142" s="79"/>
      <c r="DT142" s="79"/>
      <c r="DU142" s="79"/>
      <c r="DV142" s="79"/>
      <c r="DW142" s="79"/>
      <c r="DX142" s="79"/>
      <c r="DY142" s="79"/>
      <c r="DZ142" s="79"/>
      <c r="EA142" s="79"/>
      <c r="EB142" s="79"/>
      <c r="EC142" s="79"/>
      <c r="ED142" s="79"/>
      <c r="EE142" s="79"/>
      <c r="EF142" s="79"/>
      <c r="EG142" s="79"/>
      <c r="EH142" s="79"/>
      <c r="EI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  <c r="CN143" s="79"/>
      <c r="CO143" s="79"/>
      <c r="CP143" s="79"/>
      <c r="CQ143" s="79"/>
      <c r="CR143" s="79"/>
      <c r="CS143" s="79"/>
      <c r="CT143" s="79"/>
      <c r="CU143" s="79"/>
      <c r="CV143" s="79"/>
      <c r="CW143" s="79"/>
      <c r="CX143" s="79"/>
      <c r="CY143" s="79"/>
      <c r="CZ143" s="79"/>
      <c r="DA143" s="79"/>
      <c r="DB143" s="79"/>
      <c r="DC143" s="79"/>
      <c r="DD143" s="79"/>
      <c r="DE143" s="79"/>
      <c r="DF143" s="79"/>
      <c r="DG143" s="79"/>
      <c r="DH143" s="79"/>
      <c r="DI143" s="79"/>
      <c r="DJ143" s="79"/>
      <c r="DK143" s="79"/>
      <c r="DL143" s="79"/>
      <c r="DM143" s="79"/>
      <c r="DN143" s="79"/>
      <c r="DO143" s="79"/>
      <c r="DP143" s="79"/>
      <c r="DQ143" s="79"/>
      <c r="DR143" s="79"/>
      <c r="DS143" s="79"/>
      <c r="DT143" s="79"/>
      <c r="DU143" s="79"/>
      <c r="DV143" s="79"/>
      <c r="DW143" s="79"/>
      <c r="DX143" s="79"/>
      <c r="DY143" s="79"/>
      <c r="DZ143" s="79"/>
      <c r="EA143" s="79"/>
      <c r="EB143" s="79"/>
      <c r="EC143" s="79"/>
      <c r="ED143" s="79"/>
      <c r="EE143" s="79"/>
      <c r="EF143" s="79"/>
      <c r="EG143" s="79"/>
      <c r="EH143" s="79"/>
      <c r="EI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  <c r="CN144" s="79"/>
      <c r="CO144" s="79"/>
      <c r="CP144" s="79"/>
      <c r="CQ144" s="79"/>
      <c r="CR144" s="79"/>
      <c r="CS144" s="79"/>
      <c r="CT144" s="79"/>
      <c r="CU144" s="79"/>
      <c r="CV144" s="79"/>
      <c r="CW144" s="79"/>
      <c r="CX144" s="79"/>
      <c r="CY144" s="79"/>
      <c r="CZ144" s="79"/>
      <c r="DA144" s="79"/>
      <c r="DB144" s="79"/>
      <c r="DC144" s="79"/>
      <c r="DD144" s="79"/>
      <c r="DE144" s="79"/>
      <c r="DF144" s="79"/>
      <c r="DG144" s="79"/>
      <c r="DH144" s="79"/>
      <c r="DI144" s="79"/>
      <c r="DJ144" s="79"/>
      <c r="DK144" s="79"/>
      <c r="DL144" s="79"/>
      <c r="DM144" s="79"/>
      <c r="DN144" s="79"/>
      <c r="DO144" s="79"/>
      <c r="DP144" s="79"/>
      <c r="DQ144" s="79"/>
      <c r="DR144" s="79"/>
      <c r="DS144" s="79"/>
      <c r="DT144" s="79"/>
      <c r="DU144" s="79"/>
      <c r="DV144" s="79"/>
      <c r="DW144" s="79"/>
      <c r="DX144" s="79"/>
      <c r="DY144" s="79"/>
      <c r="DZ144" s="79"/>
      <c r="EA144" s="79"/>
      <c r="EB144" s="79"/>
      <c r="EC144" s="79"/>
      <c r="ED144" s="79"/>
      <c r="EE144" s="79"/>
      <c r="EF144" s="79"/>
      <c r="EG144" s="79"/>
      <c r="EH144" s="79"/>
      <c r="EI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  <c r="CN145" s="79"/>
      <c r="CO145" s="79"/>
      <c r="CP145" s="79"/>
      <c r="CQ145" s="79"/>
      <c r="CR145" s="79"/>
      <c r="CS145" s="79"/>
      <c r="CT145" s="79"/>
      <c r="CU145" s="79"/>
      <c r="CV145" s="79"/>
      <c r="CW145" s="79"/>
      <c r="CX145" s="79"/>
      <c r="CY145" s="79"/>
      <c r="CZ145" s="79"/>
      <c r="DA145" s="79"/>
      <c r="DB145" s="79"/>
      <c r="DC145" s="79"/>
      <c r="DD145" s="79"/>
      <c r="DE145" s="79"/>
      <c r="DF145" s="79"/>
      <c r="DG145" s="79"/>
      <c r="DH145" s="79"/>
      <c r="DI145" s="79"/>
      <c r="DJ145" s="79"/>
      <c r="DK145" s="79"/>
      <c r="DL145" s="79"/>
      <c r="DM145" s="79"/>
      <c r="DN145" s="79"/>
      <c r="DO145" s="79"/>
      <c r="DP145" s="79"/>
      <c r="DQ145" s="79"/>
      <c r="DR145" s="79"/>
      <c r="DS145" s="79"/>
      <c r="DT145" s="79"/>
      <c r="DU145" s="79"/>
      <c r="DV145" s="79"/>
      <c r="DW145" s="79"/>
      <c r="DX145" s="79"/>
      <c r="DY145" s="79"/>
      <c r="DZ145" s="79"/>
      <c r="EA145" s="79"/>
      <c r="EB145" s="79"/>
      <c r="EC145" s="79"/>
      <c r="ED145" s="79"/>
      <c r="EE145" s="79"/>
      <c r="EF145" s="79"/>
      <c r="EG145" s="79"/>
      <c r="EH145" s="79"/>
      <c r="EI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  <c r="CN146" s="79"/>
      <c r="CO146" s="79"/>
      <c r="CP146" s="79"/>
      <c r="CQ146" s="79"/>
      <c r="CR146" s="79"/>
      <c r="CS146" s="79"/>
      <c r="CT146" s="79"/>
      <c r="CU146" s="79"/>
      <c r="CV146" s="79"/>
      <c r="CW146" s="79"/>
      <c r="CX146" s="79"/>
      <c r="CY146" s="79"/>
      <c r="CZ146" s="79"/>
      <c r="DA146" s="79"/>
      <c r="DB146" s="79"/>
      <c r="DC146" s="79"/>
      <c r="DD146" s="79"/>
      <c r="DE146" s="79"/>
      <c r="DF146" s="79"/>
      <c r="DG146" s="79"/>
      <c r="DH146" s="79"/>
      <c r="DI146" s="79"/>
      <c r="DJ146" s="79"/>
      <c r="DK146" s="79"/>
      <c r="DL146" s="79"/>
      <c r="DM146" s="79"/>
      <c r="DN146" s="79"/>
      <c r="DO146" s="79"/>
      <c r="DP146" s="79"/>
      <c r="DQ146" s="79"/>
      <c r="DR146" s="79"/>
      <c r="DS146" s="79"/>
      <c r="DT146" s="79"/>
      <c r="DU146" s="79"/>
      <c r="DV146" s="79"/>
      <c r="DW146" s="79"/>
      <c r="DX146" s="79"/>
      <c r="DY146" s="79"/>
      <c r="DZ146" s="79"/>
      <c r="EA146" s="79"/>
      <c r="EB146" s="79"/>
      <c r="EC146" s="79"/>
      <c r="ED146" s="79"/>
      <c r="EE146" s="79"/>
      <c r="EF146" s="79"/>
      <c r="EG146" s="79"/>
      <c r="EH146" s="79"/>
      <c r="EI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  <c r="CQ147" s="79"/>
      <c r="CR147" s="79"/>
      <c r="CS147" s="79"/>
      <c r="CT147" s="79"/>
      <c r="CU147" s="79"/>
      <c r="CV147" s="79"/>
      <c r="CW147" s="79"/>
      <c r="CX147" s="79"/>
      <c r="CY147" s="79"/>
      <c r="CZ147" s="79"/>
      <c r="DA147" s="79"/>
      <c r="DB147" s="79"/>
      <c r="DC147" s="79"/>
      <c r="DD147" s="79"/>
      <c r="DE147" s="79"/>
      <c r="DF147" s="79"/>
      <c r="DG147" s="79"/>
      <c r="DH147" s="79"/>
      <c r="DI147" s="79"/>
      <c r="DJ147" s="79"/>
      <c r="DK147" s="79"/>
      <c r="DL147" s="79"/>
      <c r="DM147" s="79"/>
      <c r="DN147" s="79"/>
      <c r="DO147" s="79"/>
      <c r="DP147" s="79"/>
      <c r="DQ147" s="79"/>
      <c r="DR147" s="79"/>
      <c r="DS147" s="79"/>
      <c r="DT147" s="79"/>
      <c r="DU147" s="79"/>
      <c r="DV147" s="79"/>
      <c r="DW147" s="79"/>
      <c r="DX147" s="79"/>
      <c r="DY147" s="79"/>
      <c r="DZ147" s="79"/>
      <c r="EA147" s="79"/>
      <c r="EB147" s="79"/>
      <c r="EC147" s="79"/>
      <c r="ED147" s="79"/>
      <c r="EE147" s="79"/>
      <c r="EF147" s="79"/>
      <c r="EG147" s="79"/>
      <c r="EH147" s="79"/>
      <c r="EI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  <c r="CN148" s="79"/>
      <c r="CO148" s="79"/>
      <c r="CP148" s="79"/>
      <c r="CQ148" s="79"/>
      <c r="CR148" s="79"/>
      <c r="CS148" s="79"/>
      <c r="CT148" s="79"/>
      <c r="CU148" s="79"/>
      <c r="CV148" s="79"/>
      <c r="CW148" s="79"/>
      <c r="CX148" s="79"/>
      <c r="CY148" s="79"/>
      <c r="CZ148" s="79"/>
      <c r="DA148" s="79"/>
      <c r="DB148" s="79"/>
      <c r="DC148" s="79"/>
      <c r="DD148" s="79"/>
      <c r="DE148" s="79"/>
      <c r="DF148" s="79"/>
      <c r="DG148" s="79"/>
      <c r="DH148" s="79"/>
      <c r="DI148" s="79"/>
      <c r="DJ148" s="79"/>
      <c r="DK148" s="79"/>
      <c r="DL148" s="79"/>
      <c r="DM148" s="79"/>
      <c r="DN148" s="79"/>
      <c r="DO148" s="79"/>
      <c r="DP148" s="79"/>
      <c r="DQ148" s="79"/>
      <c r="DR148" s="79"/>
      <c r="DS148" s="79"/>
      <c r="DT148" s="79"/>
      <c r="DU148" s="79"/>
      <c r="DV148" s="79"/>
      <c r="DW148" s="79"/>
      <c r="DX148" s="79"/>
      <c r="DY148" s="79"/>
      <c r="DZ148" s="79"/>
      <c r="EA148" s="79"/>
      <c r="EB148" s="79"/>
      <c r="EC148" s="79"/>
      <c r="ED148" s="79"/>
      <c r="EE148" s="79"/>
      <c r="EF148" s="79"/>
      <c r="EG148" s="79"/>
      <c r="EH148" s="79"/>
      <c r="EI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  <c r="CN149" s="79"/>
      <c r="CO149" s="79"/>
      <c r="CP149" s="79"/>
      <c r="CQ149" s="79"/>
      <c r="CR149" s="79"/>
      <c r="CS149" s="79"/>
      <c r="CT149" s="79"/>
      <c r="CU149" s="79"/>
      <c r="CV149" s="79"/>
      <c r="CW149" s="79"/>
      <c r="CX149" s="79"/>
      <c r="CY149" s="79"/>
      <c r="CZ149" s="79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79"/>
      <c r="DL149" s="79"/>
      <c r="DM149" s="79"/>
      <c r="DN149" s="79"/>
      <c r="DO149" s="79"/>
      <c r="DP149" s="79"/>
      <c r="DQ149" s="79"/>
      <c r="DR149" s="79"/>
      <c r="DS149" s="79"/>
      <c r="DT149" s="79"/>
      <c r="DU149" s="79"/>
      <c r="DV149" s="79"/>
      <c r="DW149" s="79"/>
      <c r="DX149" s="79"/>
      <c r="DY149" s="79"/>
      <c r="DZ149" s="79"/>
      <c r="EA149" s="79"/>
      <c r="EB149" s="79"/>
      <c r="EC149" s="79"/>
      <c r="ED149" s="79"/>
      <c r="EE149" s="79"/>
      <c r="EF149" s="79"/>
      <c r="EG149" s="79"/>
      <c r="EH149" s="79"/>
      <c r="EI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  <c r="CN150" s="79"/>
      <c r="CO150" s="79"/>
      <c r="CP150" s="79"/>
      <c r="CQ150" s="79"/>
      <c r="CR150" s="79"/>
      <c r="CS150" s="79"/>
      <c r="CT150" s="79"/>
      <c r="CU150" s="79"/>
      <c r="CV150" s="79"/>
      <c r="CW150" s="79"/>
      <c r="CX150" s="79"/>
      <c r="CY150" s="79"/>
      <c r="CZ150" s="79"/>
      <c r="DA150" s="79"/>
      <c r="DB150" s="79"/>
      <c r="DC150" s="79"/>
      <c r="DD150" s="79"/>
      <c r="DE150" s="79"/>
      <c r="DF150" s="79"/>
      <c r="DG150" s="79"/>
      <c r="DH150" s="79"/>
      <c r="DI150" s="79"/>
      <c r="DJ150" s="79"/>
      <c r="DK150" s="79"/>
      <c r="DL150" s="79"/>
      <c r="DM150" s="79"/>
      <c r="DN150" s="79"/>
      <c r="DO150" s="79"/>
      <c r="DP150" s="79"/>
      <c r="DQ150" s="79"/>
      <c r="DR150" s="79"/>
      <c r="DS150" s="79"/>
      <c r="DT150" s="79"/>
      <c r="DU150" s="79"/>
      <c r="DV150" s="79"/>
      <c r="DW150" s="79"/>
      <c r="DX150" s="79"/>
      <c r="DY150" s="79"/>
      <c r="DZ150" s="79"/>
      <c r="EA150" s="79"/>
      <c r="EB150" s="79"/>
      <c r="EC150" s="79"/>
      <c r="ED150" s="79"/>
      <c r="EE150" s="79"/>
      <c r="EF150" s="79"/>
      <c r="EG150" s="79"/>
      <c r="EH150" s="79"/>
      <c r="EI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  <c r="CN151" s="79"/>
      <c r="CO151" s="79"/>
      <c r="CP151" s="79"/>
      <c r="CQ151" s="79"/>
      <c r="CR151" s="79"/>
      <c r="CS151" s="79"/>
      <c r="CT151" s="79"/>
      <c r="CU151" s="79"/>
      <c r="CV151" s="79"/>
      <c r="CW151" s="79"/>
      <c r="CX151" s="79"/>
      <c r="CY151" s="79"/>
      <c r="CZ151" s="79"/>
      <c r="DA151" s="79"/>
      <c r="DB151" s="79"/>
      <c r="DC151" s="79"/>
      <c r="DD151" s="79"/>
      <c r="DE151" s="79"/>
      <c r="DF151" s="79"/>
      <c r="DG151" s="79"/>
      <c r="DH151" s="79"/>
      <c r="DI151" s="79"/>
      <c r="DJ151" s="79"/>
      <c r="DK151" s="79"/>
      <c r="DL151" s="79"/>
      <c r="DM151" s="79"/>
      <c r="DN151" s="79"/>
      <c r="DO151" s="79"/>
      <c r="DP151" s="79"/>
      <c r="DQ151" s="79"/>
      <c r="DR151" s="79"/>
      <c r="DS151" s="79"/>
      <c r="DT151" s="79"/>
      <c r="DU151" s="79"/>
      <c r="DV151" s="79"/>
      <c r="DW151" s="79"/>
      <c r="DX151" s="79"/>
      <c r="DY151" s="79"/>
      <c r="DZ151" s="79"/>
      <c r="EA151" s="79"/>
      <c r="EB151" s="79"/>
      <c r="EC151" s="79"/>
      <c r="ED151" s="79"/>
      <c r="EE151" s="79"/>
      <c r="EF151" s="79"/>
      <c r="EG151" s="79"/>
      <c r="EH151" s="79"/>
      <c r="EI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  <c r="CN152" s="79"/>
      <c r="CO152" s="79"/>
      <c r="CP152" s="79"/>
      <c r="CQ152" s="79"/>
      <c r="CR152" s="79"/>
      <c r="CS152" s="79"/>
      <c r="CT152" s="79"/>
      <c r="CU152" s="79"/>
      <c r="CV152" s="79"/>
      <c r="CW152" s="79"/>
      <c r="CX152" s="79"/>
      <c r="CY152" s="79"/>
      <c r="CZ152" s="79"/>
      <c r="DA152" s="79"/>
      <c r="DB152" s="79"/>
      <c r="DC152" s="79"/>
      <c r="DD152" s="79"/>
      <c r="DE152" s="79"/>
      <c r="DF152" s="79"/>
      <c r="DG152" s="79"/>
      <c r="DH152" s="79"/>
      <c r="DI152" s="79"/>
      <c r="DJ152" s="79"/>
      <c r="DK152" s="79"/>
      <c r="DL152" s="79"/>
      <c r="DM152" s="79"/>
      <c r="DN152" s="79"/>
      <c r="DO152" s="79"/>
      <c r="DP152" s="79"/>
      <c r="DQ152" s="79"/>
      <c r="DR152" s="79"/>
      <c r="DS152" s="79"/>
      <c r="DT152" s="79"/>
      <c r="DU152" s="79"/>
      <c r="DV152" s="79"/>
      <c r="DW152" s="79"/>
      <c r="DX152" s="79"/>
      <c r="DY152" s="79"/>
      <c r="DZ152" s="79"/>
      <c r="EA152" s="79"/>
      <c r="EB152" s="79"/>
      <c r="EC152" s="79"/>
      <c r="ED152" s="79"/>
      <c r="EE152" s="79"/>
      <c r="EF152" s="79"/>
      <c r="EG152" s="79"/>
      <c r="EH152" s="79"/>
      <c r="EI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  <c r="CN153" s="79"/>
      <c r="CO153" s="79"/>
      <c r="CP153" s="79"/>
      <c r="CQ153" s="79"/>
      <c r="CR153" s="79"/>
      <c r="CS153" s="79"/>
      <c r="CT153" s="79"/>
      <c r="CU153" s="79"/>
      <c r="CV153" s="79"/>
      <c r="CW153" s="79"/>
      <c r="CX153" s="79"/>
      <c r="CY153" s="79"/>
      <c r="CZ153" s="79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79"/>
      <c r="DL153" s="79"/>
      <c r="DM153" s="79"/>
      <c r="DN153" s="79"/>
      <c r="DO153" s="79"/>
      <c r="DP153" s="79"/>
      <c r="DQ153" s="79"/>
      <c r="DR153" s="79"/>
      <c r="DS153" s="79"/>
      <c r="DT153" s="79"/>
      <c r="DU153" s="79"/>
      <c r="DV153" s="79"/>
      <c r="DW153" s="79"/>
      <c r="DX153" s="79"/>
      <c r="DY153" s="79"/>
      <c r="DZ153" s="79"/>
      <c r="EA153" s="79"/>
      <c r="EB153" s="79"/>
      <c r="EC153" s="79"/>
      <c r="ED153" s="79"/>
      <c r="EE153" s="79"/>
      <c r="EF153" s="79"/>
      <c r="EG153" s="79"/>
      <c r="EH153" s="79"/>
      <c r="EI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  <c r="CQ154" s="79"/>
      <c r="CR154" s="79"/>
      <c r="CS154" s="79"/>
      <c r="CT154" s="79"/>
      <c r="CU154" s="79"/>
      <c r="CV154" s="79"/>
      <c r="CW154" s="79"/>
      <c r="CX154" s="79"/>
      <c r="CY154" s="79"/>
      <c r="CZ154" s="79"/>
      <c r="DA154" s="79"/>
      <c r="DB154" s="79"/>
      <c r="DC154" s="79"/>
      <c r="DD154" s="79"/>
      <c r="DE154" s="79"/>
      <c r="DF154" s="79"/>
      <c r="DG154" s="79"/>
      <c r="DH154" s="79"/>
      <c r="DI154" s="79"/>
      <c r="DJ154" s="79"/>
      <c r="DK154" s="79"/>
      <c r="DL154" s="79"/>
      <c r="DM154" s="79"/>
      <c r="DN154" s="79"/>
      <c r="DO154" s="79"/>
      <c r="DP154" s="79"/>
      <c r="DQ154" s="79"/>
      <c r="DR154" s="79"/>
      <c r="DS154" s="79"/>
      <c r="DT154" s="79"/>
      <c r="DU154" s="79"/>
      <c r="DV154" s="79"/>
      <c r="DW154" s="79"/>
      <c r="DX154" s="79"/>
      <c r="DY154" s="79"/>
      <c r="DZ154" s="79"/>
      <c r="EA154" s="79"/>
      <c r="EB154" s="79"/>
      <c r="EC154" s="79"/>
      <c r="ED154" s="79"/>
      <c r="EE154" s="79"/>
      <c r="EF154" s="79"/>
      <c r="EG154" s="79"/>
      <c r="EH154" s="79"/>
      <c r="EI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  <c r="CN155" s="79"/>
      <c r="CO155" s="79"/>
      <c r="CP155" s="79"/>
      <c r="CQ155" s="79"/>
      <c r="CR155" s="79"/>
      <c r="CS155" s="79"/>
      <c r="CT155" s="79"/>
      <c r="CU155" s="79"/>
      <c r="CV155" s="79"/>
      <c r="CW155" s="79"/>
      <c r="CX155" s="79"/>
      <c r="CY155" s="79"/>
      <c r="CZ155" s="79"/>
      <c r="DA155" s="79"/>
      <c r="DB155" s="79"/>
      <c r="DC155" s="79"/>
      <c r="DD155" s="79"/>
      <c r="DE155" s="79"/>
      <c r="DF155" s="79"/>
      <c r="DG155" s="79"/>
      <c r="DH155" s="79"/>
      <c r="DI155" s="79"/>
      <c r="DJ155" s="79"/>
      <c r="DK155" s="79"/>
      <c r="DL155" s="79"/>
      <c r="DM155" s="79"/>
      <c r="DN155" s="79"/>
      <c r="DO155" s="79"/>
      <c r="DP155" s="79"/>
      <c r="DQ155" s="79"/>
      <c r="DR155" s="79"/>
      <c r="DS155" s="79"/>
      <c r="DT155" s="79"/>
      <c r="DU155" s="79"/>
      <c r="DV155" s="79"/>
      <c r="DW155" s="79"/>
      <c r="DX155" s="79"/>
      <c r="DY155" s="79"/>
      <c r="DZ155" s="79"/>
      <c r="EA155" s="79"/>
      <c r="EB155" s="79"/>
      <c r="EC155" s="79"/>
      <c r="ED155" s="79"/>
      <c r="EE155" s="79"/>
      <c r="EF155" s="79"/>
      <c r="EG155" s="79"/>
      <c r="EH155" s="79"/>
      <c r="EI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  <c r="CQ156" s="79"/>
      <c r="CR156" s="79"/>
      <c r="CS156" s="79"/>
      <c r="CT156" s="79"/>
      <c r="CU156" s="79"/>
      <c r="CV156" s="79"/>
      <c r="CW156" s="79"/>
      <c r="CX156" s="79"/>
      <c r="CY156" s="79"/>
      <c r="CZ156" s="79"/>
      <c r="DA156" s="79"/>
      <c r="DB156" s="79"/>
      <c r="DC156" s="79"/>
      <c r="DD156" s="79"/>
      <c r="DE156" s="79"/>
      <c r="DF156" s="79"/>
      <c r="DG156" s="79"/>
      <c r="DH156" s="79"/>
      <c r="DI156" s="79"/>
      <c r="DJ156" s="79"/>
      <c r="DK156" s="79"/>
      <c r="DL156" s="79"/>
      <c r="DM156" s="79"/>
      <c r="DN156" s="79"/>
      <c r="DO156" s="79"/>
      <c r="DP156" s="79"/>
      <c r="DQ156" s="79"/>
      <c r="DR156" s="79"/>
      <c r="DS156" s="79"/>
      <c r="DT156" s="79"/>
      <c r="DU156" s="79"/>
      <c r="DV156" s="79"/>
      <c r="DW156" s="79"/>
      <c r="DX156" s="79"/>
      <c r="DY156" s="79"/>
      <c r="DZ156" s="79"/>
      <c r="EA156" s="79"/>
      <c r="EB156" s="79"/>
      <c r="EC156" s="79"/>
      <c r="ED156" s="79"/>
      <c r="EE156" s="79"/>
      <c r="EF156" s="79"/>
      <c r="EG156" s="79"/>
      <c r="EH156" s="79"/>
      <c r="EI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79"/>
      <c r="CM157" s="79"/>
      <c r="CN157" s="79"/>
      <c r="CO157" s="79"/>
      <c r="CP157" s="79"/>
      <c r="CQ157" s="79"/>
      <c r="CR157" s="79"/>
      <c r="CS157" s="79"/>
      <c r="CT157" s="79"/>
      <c r="CU157" s="79"/>
      <c r="CV157" s="79"/>
      <c r="CW157" s="79"/>
      <c r="CX157" s="79"/>
      <c r="CY157" s="79"/>
      <c r="CZ157" s="79"/>
      <c r="DA157" s="79"/>
      <c r="DB157" s="79"/>
      <c r="DC157" s="79"/>
      <c r="DD157" s="79"/>
      <c r="DE157" s="79"/>
      <c r="DF157" s="79"/>
      <c r="DG157" s="79"/>
      <c r="DH157" s="79"/>
      <c r="DI157" s="79"/>
      <c r="DJ157" s="79"/>
      <c r="DK157" s="79"/>
      <c r="DL157" s="79"/>
      <c r="DM157" s="79"/>
      <c r="DN157" s="79"/>
      <c r="DO157" s="79"/>
      <c r="DP157" s="79"/>
      <c r="DQ157" s="79"/>
      <c r="DR157" s="79"/>
      <c r="DS157" s="79"/>
      <c r="DT157" s="79"/>
      <c r="DU157" s="79"/>
      <c r="DV157" s="79"/>
      <c r="DW157" s="79"/>
      <c r="DX157" s="79"/>
      <c r="DY157" s="79"/>
      <c r="DZ157" s="79"/>
      <c r="EA157" s="79"/>
      <c r="EB157" s="79"/>
      <c r="EC157" s="79"/>
      <c r="ED157" s="79"/>
      <c r="EE157" s="79"/>
      <c r="EF157" s="79"/>
      <c r="EG157" s="79"/>
      <c r="EH157" s="79"/>
      <c r="EI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  <c r="CH158" s="79"/>
      <c r="CI158" s="79"/>
      <c r="CJ158" s="79"/>
      <c r="CK158" s="79"/>
      <c r="CL158" s="79"/>
      <c r="CM158" s="79"/>
      <c r="CN158" s="79"/>
      <c r="CO158" s="79"/>
      <c r="CP158" s="79"/>
      <c r="CQ158" s="79"/>
      <c r="CR158" s="79"/>
      <c r="CS158" s="79"/>
      <c r="CT158" s="79"/>
      <c r="CU158" s="79"/>
      <c r="CV158" s="79"/>
      <c r="CW158" s="79"/>
      <c r="CX158" s="79"/>
      <c r="CY158" s="79"/>
      <c r="CZ158" s="79"/>
      <c r="DA158" s="79"/>
      <c r="DB158" s="79"/>
      <c r="DC158" s="79"/>
      <c r="DD158" s="79"/>
      <c r="DE158" s="79"/>
      <c r="DF158" s="79"/>
      <c r="DG158" s="79"/>
      <c r="DH158" s="79"/>
      <c r="DI158" s="79"/>
      <c r="DJ158" s="79"/>
      <c r="DK158" s="79"/>
      <c r="DL158" s="79"/>
      <c r="DM158" s="79"/>
      <c r="DN158" s="79"/>
      <c r="DO158" s="79"/>
      <c r="DP158" s="79"/>
      <c r="DQ158" s="79"/>
      <c r="DR158" s="79"/>
      <c r="DS158" s="79"/>
      <c r="DT158" s="79"/>
      <c r="DU158" s="79"/>
      <c r="DV158" s="79"/>
      <c r="DW158" s="79"/>
      <c r="DX158" s="79"/>
      <c r="DY158" s="79"/>
      <c r="DZ158" s="79"/>
      <c r="EA158" s="79"/>
      <c r="EB158" s="79"/>
      <c r="EC158" s="79"/>
      <c r="ED158" s="79"/>
      <c r="EE158" s="79"/>
      <c r="EF158" s="79"/>
      <c r="EG158" s="79"/>
      <c r="EH158" s="79"/>
      <c r="EI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  <c r="CH159" s="79"/>
      <c r="CI159" s="79"/>
      <c r="CJ159" s="79"/>
      <c r="CK159" s="79"/>
      <c r="CL159" s="79"/>
      <c r="CM159" s="79"/>
      <c r="CN159" s="79"/>
      <c r="CO159" s="79"/>
      <c r="CP159" s="79"/>
      <c r="CQ159" s="79"/>
      <c r="CR159" s="79"/>
      <c r="CS159" s="79"/>
      <c r="CT159" s="79"/>
      <c r="CU159" s="79"/>
      <c r="CV159" s="79"/>
      <c r="CW159" s="79"/>
      <c r="CX159" s="79"/>
      <c r="CY159" s="79"/>
      <c r="CZ159" s="79"/>
      <c r="DA159" s="79"/>
      <c r="DB159" s="79"/>
      <c r="DC159" s="79"/>
      <c r="DD159" s="79"/>
      <c r="DE159" s="79"/>
      <c r="DF159" s="79"/>
      <c r="DG159" s="79"/>
      <c r="DH159" s="79"/>
      <c r="DI159" s="79"/>
      <c r="DJ159" s="79"/>
      <c r="DK159" s="79"/>
      <c r="DL159" s="79"/>
      <c r="DM159" s="79"/>
      <c r="DN159" s="79"/>
      <c r="DO159" s="79"/>
      <c r="DP159" s="79"/>
      <c r="DQ159" s="79"/>
      <c r="DR159" s="79"/>
      <c r="DS159" s="79"/>
      <c r="DT159" s="79"/>
      <c r="DU159" s="79"/>
      <c r="DV159" s="79"/>
      <c r="DW159" s="79"/>
      <c r="DX159" s="79"/>
      <c r="DY159" s="79"/>
      <c r="DZ159" s="79"/>
      <c r="EA159" s="79"/>
      <c r="EB159" s="79"/>
      <c r="EC159" s="79"/>
      <c r="ED159" s="79"/>
      <c r="EE159" s="79"/>
      <c r="EF159" s="79"/>
      <c r="EG159" s="79"/>
      <c r="EH159" s="79"/>
      <c r="EI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  <c r="CH160" s="79"/>
      <c r="CI160" s="79"/>
      <c r="CJ160" s="79"/>
      <c r="CK160" s="79"/>
      <c r="CL160" s="79"/>
      <c r="CM160" s="79"/>
      <c r="CN160" s="79"/>
      <c r="CO160" s="79"/>
      <c r="CP160" s="79"/>
      <c r="CQ160" s="79"/>
      <c r="CR160" s="79"/>
      <c r="CS160" s="79"/>
      <c r="CT160" s="79"/>
      <c r="CU160" s="79"/>
      <c r="CV160" s="79"/>
      <c r="CW160" s="79"/>
      <c r="CX160" s="79"/>
      <c r="CY160" s="79"/>
      <c r="CZ160" s="79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79"/>
      <c r="DL160" s="79"/>
      <c r="DM160" s="79"/>
      <c r="DN160" s="79"/>
      <c r="DO160" s="79"/>
      <c r="DP160" s="79"/>
      <c r="DQ160" s="79"/>
      <c r="DR160" s="79"/>
      <c r="DS160" s="79"/>
      <c r="DT160" s="79"/>
      <c r="DU160" s="79"/>
      <c r="DV160" s="79"/>
      <c r="DW160" s="79"/>
      <c r="DX160" s="79"/>
      <c r="DY160" s="79"/>
      <c r="DZ160" s="79"/>
      <c r="EA160" s="79"/>
      <c r="EB160" s="79"/>
      <c r="EC160" s="79"/>
      <c r="ED160" s="79"/>
      <c r="EE160" s="79"/>
      <c r="EF160" s="79"/>
      <c r="EG160" s="79"/>
      <c r="EH160" s="79"/>
      <c r="EI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  <c r="CH161" s="79"/>
      <c r="CI161" s="79"/>
      <c r="CJ161" s="79"/>
      <c r="CK161" s="79"/>
      <c r="CL161" s="79"/>
      <c r="CM161" s="79"/>
      <c r="CN161" s="79"/>
      <c r="CO161" s="79"/>
      <c r="CP161" s="79"/>
      <c r="CQ161" s="79"/>
      <c r="CR161" s="79"/>
      <c r="CS161" s="79"/>
      <c r="CT161" s="79"/>
      <c r="CU161" s="79"/>
      <c r="CV161" s="79"/>
      <c r="CW161" s="79"/>
      <c r="CX161" s="79"/>
      <c r="CY161" s="79"/>
      <c r="CZ161" s="79"/>
      <c r="DA161" s="79"/>
      <c r="DB161" s="79"/>
      <c r="DC161" s="79"/>
      <c r="DD161" s="79"/>
      <c r="DE161" s="79"/>
      <c r="DF161" s="79"/>
      <c r="DG161" s="79"/>
      <c r="DH161" s="79"/>
      <c r="DI161" s="79"/>
      <c r="DJ161" s="79"/>
      <c r="DK161" s="79"/>
      <c r="DL161" s="79"/>
      <c r="DM161" s="79"/>
      <c r="DN161" s="79"/>
      <c r="DO161" s="79"/>
      <c r="DP161" s="79"/>
      <c r="DQ161" s="79"/>
      <c r="DR161" s="79"/>
      <c r="DS161" s="79"/>
      <c r="DT161" s="79"/>
      <c r="DU161" s="79"/>
      <c r="DV161" s="79"/>
      <c r="DW161" s="79"/>
      <c r="DX161" s="79"/>
      <c r="DY161" s="79"/>
      <c r="DZ161" s="79"/>
      <c r="EA161" s="79"/>
      <c r="EB161" s="79"/>
      <c r="EC161" s="79"/>
      <c r="ED161" s="79"/>
      <c r="EE161" s="79"/>
      <c r="EF161" s="79"/>
      <c r="EG161" s="79"/>
      <c r="EH161" s="79"/>
      <c r="EI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  <c r="CH162" s="79"/>
      <c r="CI162" s="79"/>
      <c r="CJ162" s="79"/>
      <c r="CK162" s="79"/>
      <c r="CL162" s="79"/>
      <c r="CM162" s="79"/>
      <c r="CN162" s="79"/>
      <c r="CO162" s="79"/>
      <c r="CP162" s="79"/>
      <c r="CQ162" s="79"/>
      <c r="CR162" s="79"/>
      <c r="CS162" s="79"/>
      <c r="CT162" s="79"/>
      <c r="CU162" s="79"/>
      <c r="CV162" s="79"/>
      <c r="CW162" s="79"/>
      <c r="CX162" s="79"/>
      <c r="CY162" s="79"/>
      <c r="CZ162" s="79"/>
      <c r="DA162" s="79"/>
      <c r="DB162" s="79"/>
      <c r="DC162" s="79"/>
      <c r="DD162" s="79"/>
      <c r="DE162" s="79"/>
      <c r="DF162" s="79"/>
      <c r="DG162" s="79"/>
      <c r="DH162" s="79"/>
      <c r="DI162" s="79"/>
      <c r="DJ162" s="79"/>
      <c r="DK162" s="79"/>
      <c r="DL162" s="79"/>
      <c r="DM162" s="79"/>
      <c r="DN162" s="79"/>
      <c r="DO162" s="79"/>
      <c r="DP162" s="79"/>
      <c r="DQ162" s="79"/>
      <c r="DR162" s="79"/>
      <c r="DS162" s="79"/>
      <c r="DT162" s="79"/>
      <c r="DU162" s="79"/>
      <c r="DV162" s="79"/>
      <c r="DW162" s="79"/>
      <c r="DX162" s="79"/>
      <c r="DY162" s="79"/>
      <c r="DZ162" s="79"/>
      <c r="EA162" s="79"/>
      <c r="EB162" s="79"/>
      <c r="EC162" s="79"/>
      <c r="ED162" s="79"/>
      <c r="EE162" s="79"/>
      <c r="EF162" s="79"/>
      <c r="EG162" s="79"/>
      <c r="EH162" s="79"/>
      <c r="EI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  <c r="CH163" s="79"/>
      <c r="CI163" s="79"/>
      <c r="CJ163" s="79"/>
      <c r="CK163" s="79"/>
      <c r="CL163" s="79"/>
      <c r="CM163" s="79"/>
      <c r="CN163" s="79"/>
      <c r="CO163" s="79"/>
      <c r="CP163" s="79"/>
      <c r="CQ163" s="79"/>
      <c r="CR163" s="79"/>
      <c r="CS163" s="79"/>
      <c r="CT163" s="79"/>
      <c r="CU163" s="79"/>
      <c r="CV163" s="79"/>
      <c r="CW163" s="79"/>
      <c r="CX163" s="79"/>
      <c r="CY163" s="79"/>
      <c r="CZ163" s="79"/>
      <c r="DA163" s="79"/>
      <c r="DB163" s="79"/>
      <c r="DC163" s="79"/>
      <c r="DD163" s="79"/>
      <c r="DE163" s="79"/>
      <c r="DF163" s="79"/>
      <c r="DG163" s="79"/>
      <c r="DH163" s="79"/>
      <c r="DI163" s="79"/>
      <c r="DJ163" s="79"/>
      <c r="DK163" s="79"/>
      <c r="DL163" s="79"/>
      <c r="DM163" s="79"/>
      <c r="DN163" s="79"/>
      <c r="DO163" s="79"/>
      <c r="DP163" s="79"/>
      <c r="DQ163" s="79"/>
      <c r="DR163" s="79"/>
      <c r="DS163" s="79"/>
      <c r="DT163" s="79"/>
      <c r="DU163" s="79"/>
      <c r="DV163" s="79"/>
      <c r="DW163" s="79"/>
      <c r="DX163" s="79"/>
      <c r="DY163" s="79"/>
      <c r="DZ163" s="79"/>
      <c r="EA163" s="79"/>
      <c r="EB163" s="79"/>
      <c r="EC163" s="79"/>
      <c r="ED163" s="79"/>
      <c r="EE163" s="79"/>
      <c r="EF163" s="79"/>
      <c r="EG163" s="79"/>
      <c r="EH163" s="79"/>
      <c r="EI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  <c r="CH164" s="79"/>
      <c r="CI164" s="79"/>
      <c r="CJ164" s="79"/>
      <c r="CK164" s="79"/>
      <c r="CL164" s="79"/>
      <c r="CM164" s="79"/>
      <c r="CN164" s="79"/>
      <c r="CO164" s="79"/>
      <c r="CP164" s="79"/>
      <c r="CQ164" s="79"/>
      <c r="CR164" s="79"/>
      <c r="CS164" s="79"/>
      <c r="CT164" s="79"/>
      <c r="CU164" s="79"/>
      <c r="CV164" s="79"/>
      <c r="CW164" s="79"/>
      <c r="CX164" s="79"/>
      <c r="CY164" s="79"/>
      <c r="CZ164" s="79"/>
      <c r="DA164" s="79"/>
      <c r="DB164" s="79"/>
      <c r="DC164" s="79"/>
      <c r="DD164" s="79"/>
      <c r="DE164" s="79"/>
      <c r="DF164" s="79"/>
      <c r="DG164" s="79"/>
      <c r="DH164" s="79"/>
      <c r="DI164" s="79"/>
      <c r="DJ164" s="79"/>
      <c r="DK164" s="79"/>
      <c r="DL164" s="79"/>
      <c r="DM164" s="79"/>
      <c r="DN164" s="79"/>
      <c r="DO164" s="79"/>
      <c r="DP164" s="79"/>
      <c r="DQ164" s="79"/>
      <c r="DR164" s="79"/>
      <c r="DS164" s="79"/>
      <c r="DT164" s="79"/>
      <c r="DU164" s="79"/>
      <c r="DV164" s="79"/>
      <c r="DW164" s="79"/>
      <c r="DX164" s="79"/>
      <c r="DY164" s="79"/>
      <c r="DZ164" s="79"/>
      <c r="EA164" s="79"/>
      <c r="EB164" s="79"/>
      <c r="EC164" s="79"/>
      <c r="ED164" s="79"/>
      <c r="EE164" s="79"/>
      <c r="EF164" s="79"/>
      <c r="EG164" s="79"/>
      <c r="EH164" s="79"/>
      <c r="EI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  <c r="CH165" s="79"/>
      <c r="CI165" s="79"/>
      <c r="CJ165" s="79"/>
      <c r="CK165" s="79"/>
      <c r="CL165" s="79"/>
      <c r="CM165" s="79"/>
      <c r="CN165" s="79"/>
      <c r="CO165" s="79"/>
      <c r="CP165" s="79"/>
      <c r="CQ165" s="79"/>
      <c r="CR165" s="79"/>
      <c r="CS165" s="79"/>
      <c r="CT165" s="79"/>
      <c r="CU165" s="79"/>
      <c r="CV165" s="79"/>
      <c r="CW165" s="79"/>
      <c r="CX165" s="79"/>
      <c r="CY165" s="79"/>
      <c r="CZ165" s="79"/>
      <c r="DA165" s="79"/>
      <c r="DB165" s="79"/>
      <c r="DC165" s="79"/>
      <c r="DD165" s="79"/>
      <c r="DE165" s="79"/>
      <c r="DF165" s="79"/>
      <c r="DG165" s="79"/>
      <c r="DH165" s="79"/>
      <c r="DI165" s="79"/>
      <c r="DJ165" s="79"/>
      <c r="DK165" s="79"/>
      <c r="DL165" s="79"/>
      <c r="DM165" s="79"/>
      <c r="DN165" s="79"/>
      <c r="DO165" s="79"/>
      <c r="DP165" s="79"/>
      <c r="DQ165" s="79"/>
      <c r="DR165" s="79"/>
      <c r="DS165" s="79"/>
      <c r="DT165" s="79"/>
      <c r="DU165" s="79"/>
      <c r="DV165" s="79"/>
      <c r="DW165" s="79"/>
      <c r="DX165" s="79"/>
      <c r="DY165" s="79"/>
      <c r="DZ165" s="79"/>
      <c r="EA165" s="79"/>
      <c r="EB165" s="79"/>
      <c r="EC165" s="79"/>
      <c r="ED165" s="79"/>
      <c r="EE165" s="79"/>
      <c r="EF165" s="79"/>
      <c r="EG165" s="79"/>
      <c r="EH165" s="79"/>
      <c r="EI165" s="79"/>
    </row>
  </sheetData>
  <mergeCells count="47"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Y5"/>
    <mergeCell ref="DU5:DW5"/>
    <mergeCell ref="DX5:DZ5"/>
    <mergeCell ref="EA5:EC5"/>
    <mergeCell ref="ED5:EF5"/>
    <mergeCell ref="EG5:EI5"/>
    <mergeCell ref="CZ5:DB5"/>
    <mergeCell ref="DC5:DE5"/>
    <mergeCell ref="DF5:DH5"/>
    <mergeCell ref="DI5:DK5"/>
    <mergeCell ref="DL5:DN5"/>
    <mergeCell ref="DO5:DQ5"/>
    <mergeCell ref="DR5:DT5"/>
  </mergeCells>
  <conditionalFormatting sqref="J7:J145">
    <cfRule type="cellIs" dxfId="0" priority="1" operator="greaterThan">
      <formula>0</formula>
    </cfRule>
  </conditionalFormatting>
  <conditionalFormatting sqref="J7:J145">
    <cfRule type="cellIs" dxfId="1" priority="2" operator="lessThan">
      <formula>0</formula>
    </cfRule>
  </conditionalFormatting>
  <conditionalFormatting sqref="M7:M145">
    <cfRule type="cellIs" dxfId="0" priority="3" operator="greaterThan">
      <formula>0</formula>
    </cfRule>
  </conditionalFormatting>
  <conditionalFormatting sqref="M7:M145">
    <cfRule type="cellIs" dxfId="1" priority="4" operator="lessThan">
      <formula>0</formula>
    </cfRule>
  </conditionalFormatting>
  <conditionalFormatting sqref="P7:P145">
    <cfRule type="cellIs" dxfId="0" priority="5" operator="greaterThan">
      <formula>0</formula>
    </cfRule>
  </conditionalFormatting>
  <conditionalFormatting sqref="P7:P145">
    <cfRule type="cellIs" dxfId="1" priority="6" operator="lessThan">
      <formula>0</formula>
    </cfRule>
  </conditionalFormatting>
  <conditionalFormatting sqref="S7:S145">
    <cfRule type="cellIs" dxfId="0" priority="7" operator="greaterThan">
      <formula>0</formula>
    </cfRule>
  </conditionalFormatting>
  <conditionalFormatting sqref="S7:S145">
    <cfRule type="cellIs" dxfId="1" priority="8" operator="lessThan">
      <formula>0</formula>
    </cfRule>
  </conditionalFormatting>
  <conditionalFormatting sqref="V7:V145">
    <cfRule type="cellIs" dxfId="0" priority="9" operator="greaterThan">
      <formula>0</formula>
    </cfRule>
  </conditionalFormatting>
  <conditionalFormatting sqref="V7:V145">
    <cfRule type="cellIs" dxfId="1" priority="10" operator="lessThan">
      <formula>0</formula>
    </cfRule>
  </conditionalFormatting>
  <conditionalFormatting sqref="Y7:Y145">
    <cfRule type="cellIs" dxfId="0" priority="11" operator="greaterThan">
      <formula>0</formula>
    </cfRule>
  </conditionalFormatting>
  <conditionalFormatting sqref="Y7:Y145">
    <cfRule type="cellIs" dxfId="1" priority="12" operator="lessThan">
      <formula>0</formula>
    </cfRule>
  </conditionalFormatting>
  <dataValidations>
    <dataValidation type="list" allowBlank="1" sqref="B3">
      <formula1>"1-9,10-19,20-39,40-99,100+"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71"/>
    <col customWidth="1" min="3" max="15" width="7.57"/>
    <col customWidth="1" min="16" max="16" width="7.14"/>
    <col customWidth="1" min="17" max="29" width="6.0"/>
    <col customWidth="1" min="30" max="30" width="7.14"/>
    <col customWidth="1" min="31" max="33" width="9.43"/>
    <col customWidth="1" min="34" max="34" width="10.0"/>
    <col customWidth="1" min="35" max="37" width="12.29"/>
    <col customWidth="1" min="38" max="39" width="9.43"/>
    <col customWidth="1" min="40" max="41" width="10.0"/>
    <col customWidth="1" min="42" max="43" width="9.43"/>
  </cols>
  <sheetData>
    <row r="2">
      <c r="B2" s="76" t="s">
        <v>125</v>
      </c>
    </row>
    <row r="3">
      <c r="B3" s="78" t="s">
        <v>126</v>
      </c>
      <c r="C3" s="80" t="s">
        <v>127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>
      <c r="B4" s="82" t="s">
        <v>128</v>
      </c>
      <c r="C4" s="83" t="s">
        <v>129</v>
      </c>
      <c r="D4" s="83" t="s">
        <v>96</v>
      </c>
      <c r="E4" s="83" t="s">
        <v>102</v>
      </c>
      <c r="F4" s="83" t="s">
        <v>130</v>
      </c>
      <c r="G4" s="83" t="s">
        <v>78</v>
      </c>
      <c r="H4" s="83" t="s">
        <v>84</v>
      </c>
      <c r="I4" s="83" t="s">
        <v>90</v>
      </c>
      <c r="J4" s="83" t="s">
        <v>131</v>
      </c>
      <c r="K4" s="83" t="s">
        <v>132</v>
      </c>
      <c r="L4" s="83" t="s">
        <v>133</v>
      </c>
      <c r="M4" s="83" t="s">
        <v>134</v>
      </c>
      <c r="N4" s="83" t="s">
        <v>114</v>
      </c>
      <c r="O4" s="83" t="s">
        <v>135</v>
      </c>
      <c r="Q4" s="83" t="s">
        <v>129</v>
      </c>
      <c r="R4" s="83" t="s">
        <v>96</v>
      </c>
      <c r="S4" s="83" t="s">
        <v>102</v>
      </c>
      <c r="T4" s="83" t="s">
        <v>130</v>
      </c>
      <c r="U4" s="83" t="s">
        <v>78</v>
      </c>
      <c r="V4" s="83" t="s">
        <v>84</v>
      </c>
      <c r="W4" s="83" t="s">
        <v>90</v>
      </c>
      <c r="X4" s="83" t="s">
        <v>131</v>
      </c>
      <c r="Y4" s="83" t="s">
        <v>132</v>
      </c>
      <c r="Z4" s="83" t="s">
        <v>133</v>
      </c>
      <c r="AA4" s="83" t="s">
        <v>134</v>
      </c>
      <c r="AB4" s="83" t="s">
        <v>114</v>
      </c>
      <c r="AC4" s="83" t="s">
        <v>135</v>
      </c>
      <c r="AE4" s="83" t="s">
        <v>129</v>
      </c>
      <c r="AF4" s="83" t="s">
        <v>96</v>
      </c>
      <c r="AG4" s="83" t="s">
        <v>102</v>
      </c>
      <c r="AH4" s="83" t="s">
        <v>130</v>
      </c>
      <c r="AI4" s="83" t="s">
        <v>78</v>
      </c>
      <c r="AJ4" s="83" t="s">
        <v>84</v>
      </c>
      <c r="AK4" s="83" t="s">
        <v>90</v>
      </c>
      <c r="AL4" s="83" t="s">
        <v>131</v>
      </c>
      <c r="AM4" s="83" t="s">
        <v>132</v>
      </c>
      <c r="AN4" s="83" t="s">
        <v>133</v>
      </c>
      <c r="AO4" s="83" t="s">
        <v>134</v>
      </c>
      <c r="AP4" s="83" t="s">
        <v>114</v>
      </c>
      <c r="AQ4" s="83" t="s">
        <v>135</v>
      </c>
    </row>
    <row r="5">
      <c r="B5" s="84" t="s">
        <v>136</v>
      </c>
      <c r="C5" s="85">
        <f>IFERROR(__xludf.DUMMYFUNCTION("IMPORTRANGE(""https://docs.google.com/spreadsheets/d/1eztAhB20uWvgYlVFHiLyH560y-Egs-myTTOXmq-7uGk/edit?gid=722596098#gid=722596098"", ""EcoGainsSim_so_far!C8:O177"")"),8.839515151515153)</f>
        <v>8.839515152</v>
      </c>
      <c r="D5" s="86">
        <f>IFERROR(__xludf.DUMMYFUNCTION("""COMPUTED_VALUE"""),0.24644848484848486)</f>
        <v>0.2464484848</v>
      </c>
      <c r="E5" s="86">
        <f>IFERROR(__xludf.DUMMYFUNCTION("""COMPUTED_VALUE"""),0.2568242424242424)</f>
        <v>0.2568242424</v>
      </c>
      <c r="F5" s="86">
        <f>IFERROR(__xludf.DUMMYFUNCTION("""COMPUTED_VALUE"""),0.13558787878787879)</f>
        <v>0.1355878788</v>
      </c>
      <c r="G5" s="86">
        <f>IFERROR(__xludf.DUMMYFUNCTION("""COMPUTED_VALUE"""),0.0)</f>
        <v>0</v>
      </c>
      <c r="H5" s="86">
        <f>IFERROR(__xludf.DUMMYFUNCTION("""COMPUTED_VALUE"""),0.0)</f>
        <v>0</v>
      </c>
      <c r="I5" s="86">
        <f>IFERROR(__xludf.DUMMYFUNCTION("""COMPUTED_VALUE"""),0.0)</f>
        <v>0</v>
      </c>
      <c r="J5" s="86">
        <f>IFERROR(__xludf.DUMMYFUNCTION("""COMPUTED_VALUE"""),0.0)</f>
        <v>0</v>
      </c>
      <c r="K5" s="86">
        <f>IFERROR(__xludf.DUMMYFUNCTION("""COMPUTED_VALUE"""),0.0)</f>
        <v>0</v>
      </c>
      <c r="L5" s="86">
        <f>IFERROR(__xludf.DUMMYFUNCTION("""COMPUTED_VALUE"""),0.0)</f>
        <v>0</v>
      </c>
      <c r="M5" s="86">
        <f>IFERROR(__xludf.DUMMYFUNCTION("""COMPUTED_VALUE"""),2.9384242424242433)</f>
        <v>2.938424242</v>
      </c>
      <c r="N5" s="85">
        <f>IFERROR(__xludf.DUMMYFUNCTION("""COMPUTED_VALUE"""),0.0)</f>
        <v>0</v>
      </c>
      <c r="O5" s="85">
        <f>IFERROR(__xludf.DUMMYFUNCTION("""COMPUTED_VALUE"""),0.0)</f>
        <v>0</v>
      </c>
      <c r="Q5" s="85">
        <v>7.5061</v>
      </c>
      <c r="R5" s="86">
        <v>0.1702</v>
      </c>
      <c r="S5" s="86">
        <v>0.1704</v>
      </c>
      <c r="T5" s="86">
        <v>0.0794</v>
      </c>
      <c r="U5" s="86">
        <v>0.0</v>
      </c>
      <c r="V5" s="86">
        <v>0.0</v>
      </c>
      <c r="W5" s="86">
        <v>0.0</v>
      </c>
      <c r="X5" s="86">
        <v>0.0</v>
      </c>
      <c r="Y5" s="86">
        <v>0.0</v>
      </c>
      <c r="Z5" s="86">
        <v>0.0</v>
      </c>
      <c r="AA5" s="86">
        <v>2.5537</v>
      </c>
      <c r="AB5" s="85">
        <v>0.0</v>
      </c>
      <c r="AC5" s="85">
        <v>0.0</v>
      </c>
      <c r="AE5" s="87">
        <f t="shared" ref="AE5:AQ5" si="1">IFERROR((Q5-C5)/C5, "")</f>
        <v>-0.1508470916</v>
      </c>
      <c r="AF5" s="87">
        <f t="shared" si="1"/>
        <v>-0.3093891403</v>
      </c>
      <c r="AG5" s="87">
        <f t="shared" si="1"/>
        <v>-0.3365112328</v>
      </c>
      <c r="AH5" s="87">
        <f t="shared" si="1"/>
        <v>-0.414401931</v>
      </c>
      <c r="AI5" s="87" t="str">
        <f t="shared" si="1"/>
        <v/>
      </c>
      <c r="AJ5" s="87" t="str">
        <f t="shared" si="1"/>
        <v/>
      </c>
      <c r="AK5" s="87" t="str">
        <f t="shared" si="1"/>
        <v/>
      </c>
      <c r="AL5" s="87" t="str">
        <f t="shared" si="1"/>
        <v/>
      </c>
      <c r="AM5" s="87" t="str">
        <f t="shared" si="1"/>
        <v/>
      </c>
      <c r="AN5" s="87" t="str">
        <f t="shared" si="1"/>
        <v/>
      </c>
      <c r="AO5" s="87">
        <f t="shared" si="1"/>
        <v>-0.13092876</v>
      </c>
      <c r="AP5" s="87" t="str">
        <f t="shared" si="1"/>
        <v/>
      </c>
      <c r="AQ5" s="87" t="str">
        <f t="shared" si="1"/>
        <v/>
      </c>
    </row>
    <row r="6">
      <c r="B6" s="89" t="s">
        <v>138</v>
      </c>
      <c r="C6" s="91">
        <f>IFERROR(__xludf.DUMMYFUNCTION("""COMPUTED_VALUE"""),0.0)</f>
        <v>0</v>
      </c>
      <c r="D6" s="91">
        <f>IFERROR(__xludf.DUMMYFUNCTION("""COMPUTED_VALUE"""),0.0)</f>
        <v>0</v>
      </c>
      <c r="E6" s="91">
        <f>IFERROR(__xludf.DUMMYFUNCTION("""COMPUTED_VALUE"""),0.0)</f>
        <v>0</v>
      </c>
      <c r="F6" s="91">
        <f>IFERROR(__xludf.DUMMYFUNCTION("""COMPUTED_VALUE"""),0.0)</f>
        <v>0</v>
      </c>
      <c r="G6" s="91">
        <f>IFERROR(__xludf.DUMMYFUNCTION("""COMPUTED_VALUE"""),0.0)</f>
        <v>0</v>
      </c>
      <c r="H6" s="91">
        <f>IFERROR(__xludf.DUMMYFUNCTION("""COMPUTED_VALUE"""),0.0)</f>
        <v>0</v>
      </c>
      <c r="I6" s="91">
        <f>IFERROR(__xludf.DUMMYFUNCTION("""COMPUTED_VALUE"""),0.0)</f>
        <v>0</v>
      </c>
      <c r="J6" s="91">
        <f>IFERROR(__xludf.DUMMYFUNCTION("""COMPUTED_VALUE"""),0.0)</f>
        <v>0</v>
      </c>
      <c r="K6" s="91">
        <f>IFERROR(__xludf.DUMMYFUNCTION("""COMPUTED_VALUE"""),0.0)</f>
        <v>0</v>
      </c>
      <c r="L6" s="91">
        <f>IFERROR(__xludf.DUMMYFUNCTION("""COMPUTED_VALUE"""),0.0)</f>
        <v>0</v>
      </c>
      <c r="M6" s="91">
        <f>IFERROR(__xludf.DUMMYFUNCTION("""COMPUTED_VALUE"""),0.0)</f>
        <v>0</v>
      </c>
      <c r="N6" s="91">
        <f>IFERROR(__xludf.DUMMYFUNCTION("""COMPUTED_VALUE"""),0.0)</f>
        <v>0</v>
      </c>
      <c r="O6" s="91">
        <f>IFERROR(__xludf.DUMMYFUNCTION("""COMPUTED_VALUE"""),0.0)</f>
        <v>0</v>
      </c>
      <c r="Q6" s="91">
        <v>0.2213</v>
      </c>
      <c r="R6" s="91">
        <v>0.0106</v>
      </c>
      <c r="S6" s="91">
        <v>0.0047</v>
      </c>
      <c r="T6" s="91">
        <v>5.0E-4</v>
      </c>
      <c r="U6" s="91">
        <v>0.0</v>
      </c>
      <c r="V6" s="91">
        <v>0.0</v>
      </c>
      <c r="W6" s="91">
        <v>0.0</v>
      </c>
      <c r="X6" s="91">
        <v>0.0</v>
      </c>
      <c r="Y6" s="91">
        <v>0.0</v>
      </c>
      <c r="Z6" s="91">
        <v>0.0</v>
      </c>
      <c r="AA6" s="91">
        <v>0.0</v>
      </c>
      <c r="AB6" s="91">
        <v>0.0</v>
      </c>
      <c r="AC6" s="91">
        <v>0.0</v>
      </c>
      <c r="AE6" s="87" t="str">
        <f t="shared" ref="AE6:AQ6" si="2">IFERROR((Q6-C6)/C6, "")</f>
        <v/>
      </c>
      <c r="AF6" s="87" t="str">
        <f t="shared" si="2"/>
        <v/>
      </c>
      <c r="AG6" s="87" t="str">
        <f t="shared" si="2"/>
        <v/>
      </c>
      <c r="AH6" s="87" t="str">
        <f t="shared" si="2"/>
        <v/>
      </c>
      <c r="AI6" s="87" t="str">
        <f t="shared" si="2"/>
        <v/>
      </c>
      <c r="AJ6" s="87" t="str">
        <f t="shared" si="2"/>
        <v/>
      </c>
      <c r="AK6" s="87" t="str">
        <f t="shared" si="2"/>
        <v/>
      </c>
      <c r="AL6" s="87" t="str">
        <f t="shared" si="2"/>
        <v/>
      </c>
      <c r="AM6" s="87" t="str">
        <f t="shared" si="2"/>
        <v/>
      </c>
      <c r="AN6" s="87" t="str">
        <f t="shared" si="2"/>
        <v/>
      </c>
      <c r="AO6" s="87" t="str">
        <f t="shared" si="2"/>
        <v/>
      </c>
      <c r="AP6" s="87" t="str">
        <f t="shared" si="2"/>
        <v/>
      </c>
      <c r="AQ6" s="87" t="str">
        <f t="shared" si="2"/>
        <v/>
      </c>
    </row>
    <row r="7">
      <c r="B7" s="89" t="s">
        <v>144</v>
      </c>
      <c r="C7" s="91">
        <f>IFERROR(__xludf.DUMMYFUNCTION("""COMPUTED_VALUE"""),0.16969425358679205)</f>
        <v>0.1696942536</v>
      </c>
      <c r="D7" s="91">
        <f>IFERROR(__xludf.DUMMYFUNCTION("""COMPUTED_VALUE"""),8.653455052870577E-5)</f>
        <v>0.00008653455053</v>
      </c>
      <c r="E7" s="91">
        <f>IFERROR(__xludf.DUMMYFUNCTION("""COMPUTED_VALUE"""),0.0)</f>
        <v>0</v>
      </c>
      <c r="F7" s="91">
        <f>IFERROR(__xludf.DUMMYFUNCTION("""COMPUTED_VALUE"""),0.0)</f>
        <v>0</v>
      </c>
      <c r="G7" s="91">
        <f>IFERROR(__xludf.DUMMYFUNCTION("""COMPUTED_VALUE"""),6.922764042296462E-4)</f>
        <v>0.0006922764042</v>
      </c>
      <c r="H7" s="91">
        <f>IFERROR(__xludf.DUMMYFUNCTION("""COMPUTED_VALUE"""),0.232951010023276)</f>
        <v>0.23295101</v>
      </c>
      <c r="I7" s="91">
        <f>IFERROR(__xludf.DUMMYFUNCTION("""COMPUTED_VALUE"""),0.0)</f>
        <v>0</v>
      </c>
      <c r="J7" s="91">
        <f>IFERROR(__xludf.DUMMYFUNCTION("""COMPUTED_VALUE"""),0.0642086364922997)</f>
        <v>0.06420863649</v>
      </c>
      <c r="K7" s="91">
        <f>IFERROR(__xludf.DUMMYFUNCTION("""COMPUTED_VALUE"""),0.8925173541530717)</f>
        <v>0.8925173542</v>
      </c>
      <c r="L7" s="91">
        <f>IFERROR(__xludf.DUMMYFUNCTION("""COMPUTED_VALUE"""),1.5660157609179888)</f>
        <v>1.566015761</v>
      </c>
      <c r="M7" s="91">
        <f>IFERROR(__xludf.DUMMYFUNCTION("""COMPUTED_VALUE"""),0.7466201019616736)</f>
        <v>0.746620102</v>
      </c>
      <c r="N7" s="91">
        <f>IFERROR(__xludf.DUMMYFUNCTION("""COMPUTED_VALUE"""),1.7306910105741155E-4)</f>
        <v>0.0001730691011</v>
      </c>
      <c r="O7" s="91">
        <f>IFERROR(__xludf.DUMMYFUNCTION("""COMPUTED_VALUE"""),0.0)</f>
        <v>0</v>
      </c>
      <c r="Q7" s="91">
        <v>0.1163</v>
      </c>
      <c r="R7" s="91">
        <v>0.0</v>
      </c>
      <c r="S7" s="91">
        <v>0.0</v>
      </c>
      <c r="T7" s="91">
        <v>0.0</v>
      </c>
      <c r="U7" s="91">
        <v>8.0E-4</v>
      </c>
      <c r="V7" s="91">
        <v>0.1806</v>
      </c>
      <c r="W7" s="91">
        <v>0.0</v>
      </c>
      <c r="X7" s="91">
        <v>0.0129</v>
      </c>
      <c r="Y7" s="91">
        <v>0.4516</v>
      </c>
      <c r="Z7" s="91">
        <v>0.954</v>
      </c>
      <c r="AA7" s="91">
        <v>0.5453</v>
      </c>
      <c r="AB7" s="91">
        <v>0.0</v>
      </c>
      <c r="AC7" s="91">
        <v>0.0</v>
      </c>
      <c r="AE7" s="87">
        <f t="shared" ref="AE7:AQ7" si="3">IFERROR((Q7-C7)/C7, "")</f>
        <v>-0.3146497448</v>
      </c>
      <c r="AF7" s="87">
        <f t="shared" si="3"/>
        <v>-1</v>
      </c>
      <c r="AG7" s="87" t="str">
        <f t="shared" si="3"/>
        <v/>
      </c>
      <c r="AH7" s="87" t="str">
        <f t="shared" si="3"/>
        <v/>
      </c>
      <c r="AI7" s="87">
        <f t="shared" si="3"/>
        <v>0.155607782</v>
      </c>
      <c r="AJ7" s="87">
        <f t="shared" si="3"/>
        <v>-0.2247296975</v>
      </c>
      <c r="AK7" s="87" t="str">
        <f t="shared" si="3"/>
        <v/>
      </c>
      <c r="AL7" s="87">
        <f t="shared" si="3"/>
        <v>-0.7990924476</v>
      </c>
      <c r="AM7" s="87">
        <f t="shared" si="3"/>
        <v>-0.4940154408</v>
      </c>
      <c r="AN7" s="87">
        <f t="shared" si="3"/>
        <v>-0.3908107289</v>
      </c>
      <c r="AO7" s="87">
        <f t="shared" si="3"/>
        <v>-0.2696419524</v>
      </c>
      <c r="AP7" s="87">
        <f t="shared" si="3"/>
        <v>-1</v>
      </c>
      <c r="AQ7" s="87" t="str">
        <f t="shared" si="3"/>
        <v/>
      </c>
    </row>
    <row r="8">
      <c r="B8" s="89" t="s">
        <v>156</v>
      </c>
      <c r="C8" s="91">
        <f>IFERROR(__xludf.DUMMYFUNCTION("""COMPUTED_VALUE"""),0.23110059599999996)</f>
        <v>0.231100596</v>
      </c>
      <c r="D8" s="91">
        <f>IFERROR(__xludf.DUMMYFUNCTION("""COMPUTED_VALUE"""),0.03277141199999999)</f>
        <v>0.032771412</v>
      </c>
      <c r="E8" s="91">
        <f>IFERROR(__xludf.DUMMYFUNCTION("""COMPUTED_VALUE"""),0.009288504)</f>
        <v>0.009288504</v>
      </c>
      <c r="F8" s="91">
        <f>IFERROR(__xludf.DUMMYFUNCTION("""COMPUTED_VALUE"""),5.88708E-4)</f>
        <v>0.000588708</v>
      </c>
      <c r="G8" s="91">
        <f>IFERROR(__xludf.DUMMYFUNCTION("""COMPUTED_VALUE"""),0.0)</f>
        <v>0</v>
      </c>
      <c r="H8" s="91">
        <f>IFERROR(__xludf.DUMMYFUNCTION("""COMPUTED_VALUE"""),0.0)</f>
        <v>0</v>
      </c>
      <c r="I8" s="91">
        <f>IFERROR(__xludf.DUMMYFUNCTION("""COMPUTED_VALUE"""),0.0)</f>
        <v>0</v>
      </c>
      <c r="J8" s="91">
        <f>IFERROR(__xludf.DUMMYFUNCTION("""COMPUTED_VALUE"""),0.0)</f>
        <v>0</v>
      </c>
      <c r="K8" s="91">
        <f>IFERROR(__xludf.DUMMYFUNCTION("""COMPUTED_VALUE"""),0.0)</f>
        <v>0</v>
      </c>
      <c r="L8" s="91">
        <f>IFERROR(__xludf.DUMMYFUNCTION("""COMPUTED_VALUE"""),0.0)</f>
        <v>0</v>
      </c>
      <c r="M8" s="91">
        <f>IFERROR(__xludf.DUMMYFUNCTION("""COMPUTED_VALUE"""),0.0)</f>
        <v>0</v>
      </c>
      <c r="N8" s="91">
        <f>IFERROR(__xludf.DUMMYFUNCTION("""COMPUTED_VALUE"""),0.0)</f>
        <v>0</v>
      </c>
      <c r="O8" s="91">
        <f>IFERROR(__xludf.DUMMYFUNCTION("""COMPUTED_VALUE"""),0.0)</f>
        <v>0</v>
      </c>
      <c r="Q8" s="91">
        <v>0.0542</v>
      </c>
      <c r="R8" s="91">
        <v>0.0013</v>
      </c>
      <c r="S8" s="91">
        <v>9.0E-4</v>
      </c>
      <c r="T8" s="91">
        <v>1.0E-4</v>
      </c>
      <c r="U8" s="91">
        <v>0.0</v>
      </c>
      <c r="V8" s="91">
        <v>0.0</v>
      </c>
      <c r="W8" s="91">
        <v>0.0</v>
      </c>
      <c r="X8" s="91">
        <v>0.0</v>
      </c>
      <c r="Y8" s="91">
        <v>0.0</v>
      </c>
      <c r="Z8" s="91">
        <v>0.0</v>
      </c>
      <c r="AA8" s="91">
        <v>0.0</v>
      </c>
      <c r="AB8" s="91">
        <v>0.0</v>
      </c>
      <c r="AC8" s="91">
        <v>0.0</v>
      </c>
      <c r="AE8" s="87">
        <f t="shared" ref="AE8:AQ8" si="4">IFERROR((Q8-C8)/C8, "")</f>
        <v>-0.7654700986</v>
      </c>
      <c r="AF8" s="87">
        <f t="shared" si="4"/>
        <v>-0.960331279</v>
      </c>
      <c r="AG8" s="87">
        <f t="shared" si="4"/>
        <v>-0.903106033</v>
      </c>
      <c r="AH8" s="87">
        <f t="shared" si="4"/>
        <v>-0.8301365023</v>
      </c>
      <c r="AI8" s="87" t="str">
        <f t="shared" si="4"/>
        <v/>
      </c>
      <c r="AJ8" s="87" t="str">
        <f t="shared" si="4"/>
        <v/>
      </c>
      <c r="AK8" s="87" t="str">
        <f t="shared" si="4"/>
        <v/>
      </c>
      <c r="AL8" s="87" t="str">
        <f t="shared" si="4"/>
        <v/>
      </c>
      <c r="AM8" s="87" t="str">
        <f t="shared" si="4"/>
        <v/>
      </c>
      <c r="AN8" s="87" t="str">
        <f t="shared" si="4"/>
        <v/>
      </c>
      <c r="AO8" s="87" t="str">
        <f t="shared" si="4"/>
        <v/>
      </c>
      <c r="AP8" s="87" t="str">
        <f t="shared" si="4"/>
        <v/>
      </c>
      <c r="AQ8" s="87" t="str">
        <f t="shared" si="4"/>
        <v/>
      </c>
    </row>
    <row r="9">
      <c r="B9" s="89" t="s">
        <v>166</v>
      </c>
      <c r="C9" s="91">
        <f>IFERROR(__xludf.DUMMYFUNCTION("""COMPUTED_VALUE"""),4.972476772182378)</f>
        <v>4.972476772</v>
      </c>
      <c r="D9" s="91">
        <f>IFERROR(__xludf.DUMMYFUNCTION("""COMPUTED_VALUE"""),0.04828638771320681)</f>
        <v>0.04828638771</v>
      </c>
      <c r="E9" s="91">
        <f>IFERROR(__xludf.DUMMYFUNCTION("""COMPUTED_VALUE"""),0.07155429961730495)</f>
        <v>0.07155429962</v>
      </c>
      <c r="F9" s="91">
        <f>IFERROR(__xludf.DUMMYFUNCTION("""COMPUTED_VALUE"""),0.03369835517145248)</f>
        <v>0.03369835517</v>
      </c>
      <c r="G9" s="91">
        <f>IFERROR(__xludf.DUMMYFUNCTION("""COMPUTED_VALUE"""),0.018696995041015123)</f>
        <v>0.01869699504</v>
      </c>
      <c r="H9" s="91">
        <f>IFERROR(__xludf.DUMMYFUNCTION("""COMPUTED_VALUE"""),0.02355967255493323)</f>
        <v>0.02355967255</v>
      </c>
      <c r="I9" s="91">
        <f>IFERROR(__xludf.DUMMYFUNCTION("""COMPUTED_VALUE"""),0.019231889567546113)</f>
        <v>0.01923188957</v>
      </c>
      <c r="J9" s="91">
        <f>IFERROR(__xludf.DUMMYFUNCTION("""COMPUTED_VALUE"""),0.0)</f>
        <v>0</v>
      </c>
      <c r="K9" s="91">
        <f>IFERROR(__xludf.DUMMYFUNCTION("""COMPUTED_VALUE"""),0.0)</f>
        <v>0</v>
      </c>
      <c r="L9" s="91">
        <f>IFERROR(__xludf.DUMMYFUNCTION("""COMPUTED_VALUE"""),0.0)</f>
        <v>0</v>
      </c>
      <c r="M9" s="91">
        <f>IFERROR(__xludf.DUMMYFUNCTION("""COMPUTED_VALUE"""),3.1574823901124445)</f>
        <v>3.15748239</v>
      </c>
      <c r="N9" s="91">
        <f>IFERROR(__xludf.DUMMYFUNCTION("""COMPUTED_VALUE"""),71.02491639454097)</f>
        <v>71.02491639</v>
      </c>
      <c r="O9" s="91">
        <f>IFERROR(__xludf.DUMMYFUNCTION("""COMPUTED_VALUE"""),0.0)</f>
        <v>0</v>
      </c>
      <c r="Q9" s="91">
        <v>7.6775</v>
      </c>
      <c r="R9" s="91">
        <v>0.0538</v>
      </c>
      <c r="S9" s="91">
        <v>0.0857</v>
      </c>
      <c r="T9" s="91">
        <v>0.0375</v>
      </c>
      <c r="U9" s="91">
        <v>0.0276</v>
      </c>
      <c r="V9" s="91">
        <v>0.0324</v>
      </c>
      <c r="W9" s="91">
        <v>0.0252</v>
      </c>
      <c r="X9" s="91">
        <v>0.0</v>
      </c>
      <c r="Y9" s="91">
        <v>0.0</v>
      </c>
      <c r="Z9" s="91">
        <v>0.0</v>
      </c>
      <c r="AA9" s="91">
        <v>4.7796</v>
      </c>
      <c r="AB9" s="91">
        <v>99.2478</v>
      </c>
      <c r="AC9" s="91">
        <v>0.0</v>
      </c>
      <c r="AE9" s="87">
        <f t="shared" ref="AE9:AQ9" si="5">IFERROR((Q9-C9)/C9, "")</f>
        <v>0.5439991682</v>
      </c>
      <c r="AF9" s="87">
        <f t="shared" si="5"/>
        <v>0.1141856442</v>
      </c>
      <c r="AG9" s="87">
        <f t="shared" si="5"/>
        <v>0.1976918293</v>
      </c>
      <c r="AH9" s="87">
        <f t="shared" si="5"/>
        <v>0.1128139581</v>
      </c>
      <c r="AI9" s="87">
        <f t="shared" si="5"/>
        <v>0.4761730395</v>
      </c>
      <c r="AJ9" s="87">
        <f t="shared" si="5"/>
        <v>0.3752313376</v>
      </c>
      <c r="AK9" s="87">
        <f t="shared" si="5"/>
        <v>0.3103236638</v>
      </c>
      <c r="AL9" s="87" t="str">
        <f t="shared" si="5"/>
        <v/>
      </c>
      <c r="AM9" s="87" t="str">
        <f t="shared" si="5"/>
        <v/>
      </c>
      <c r="AN9" s="87" t="str">
        <f t="shared" si="5"/>
        <v/>
      </c>
      <c r="AO9" s="87">
        <f t="shared" si="5"/>
        <v>0.5137376585</v>
      </c>
      <c r="AP9" s="87">
        <f t="shared" si="5"/>
        <v>0.3973659532</v>
      </c>
      <c r="AQ9" s="87" t="str">
        <f t="shared" si="5"/>
        <v/>
      </c>
    </row>
    <row r="10">
      <c r="B10" s="89" t="s">
        <v>170</v>
      </c>
      <c r="C10" s="91">
        <f>IFERROR(__xludf.DUMMYFUNCTION("""COMPUTED_VALUE"""),23.978349088881586)</f>
        <v>23.97834909</v>
      </c>
      <c r="D10" s="91">
        <f>IFERROR(__xludf.DUMMYFUNCTION("""COMPUTED_VALUE"""),0.471582465299778)</f>
        <v>0.4715824653</v>
      </c>
      <c r="E10" s="91">
        <f>IFERROR(__xludf.DUMMYFUNCTION("""COMPUTED_VALUE"""),0.32336805467555413)</f>
        <v>0.3233680547</v>
      </c>
      <c r="F10" s="91">
        <f>IFERROR(__xludf.DUMMYFUNCTION("""COMPUTED_VALUE"""),0.05925172550709214)</f>
        <v>0.05925172551</v>
      </c>
      <c r="G10" s="91">
        <f>IFERROR(__xludf.DUMMYFUNCTION("""COMPUTED_VALUE"""),0.0)</f>
        <v>0</v>
      </c>
      <c r="H10" s="91">
        <f>IFERROR(__xludf.DUMMYFUNCTION("""COMPUTED_VALUE"""),0.0)</f>
        <v>0</v>
      </c>
      <c r="I10" s="91">
        <f>IFERROR(__xludf.DUMMYFUNCTION("""COMPUTED_VALUE"""),0.0)</f>
        <v>0</v>
      </c>
      <c r="J10" s="91">
        <f>IFERROR(__xludf.DUMMYFUNCTION("""COMPUTED_VALUE"""),5.4059115323854705)</f>
        <v>5.405911532</v>
      </c>
      <c r="K10" s="91">
        <f>IFERROR(__xludf.DUMMYFUNCTION("""COMPUTED_VALUE"""),3.7332477211479183)</f>
        <v>3.733247721</v>
      </c>
      <c r="L10" s="91">
        <f>IFERROR(__xludf.DUMMYFUNCTION("""COMPUTED_VALUE"""),3.2946585227800744)</f>
        <v>3.294658523</v>
      </c>
      <c r="M10" s="91">
        <f>IFERROR(__xludf.DUMMYFUNCTION("""COMPUTED_VALUE"""),37.027344197480815)</f>
        <v>37.0273442</v>
      </c>
      <c r="N10" s="91">
        <f>IFERROR(__xludf.DUMMYFUNCTION("""COMPUTED_VALUE"""),0.0)</f>
        <v>0</v>
      </c>
      <c r="O10" s="91">
        <f>IFERROR(__xludf.DUMMYFUNCTION("""COMPUTED_VALUE"""),0.10727066595703344)</f>
        <v>0.107270666</v>
      </c>
      <c r="Q10" s="91">
        <v>32.1943</v>
      </c>
      <c r="R10" s="91">
        <v>0.3998</v>
      </c>
      <c r="S10" s="91">
        <v>0.249</v>
      </c>
      <c r="T10" s="91">
        <v>0.0376</v>
      </c>
      <c r="U10" s="91">
        <v>0.0</v>
      </c>
      <c r="V10" s="91">
        <v>0.0</v>
      </c>
      <c r="W10" s="91">
        <v>0.0</v>
      </c>
      <c r="X10" s="91">
        <v>1.0499</v>
      </c>
      <c r="Y10" s="91">
        <v>2.3058</v>
      </c>
      <c r="Z10" s="91">
        <v>2.2814</v>
      </c>
      <c r="AA10" s="91">
        <v>38.356</v>
      </c>
      <c r="AB10" s="91">
        <v>0.0</v>
      </c>
      <c r="AC10" s="91">
        <v>0.0102</v>
      </c>
      <c r="AE10" s="87">
        <f t="shared" ref="AE10:AQ10" si="6">IFERROR((Q10-C10)/C10, "")</f>
        <v>0.3426403912</v>
      </c>
      <c r="AF10" s="87">
        <f t="shared" si="6"/>
        <v>-0.1522161458</v>
      </c>
      <c r="AG10" s="87">
        <f t="shared" si="6"/>
        <v>-0.2299795963</v>
      </c>
      <c r="AH10" s="87">
        <f t="shared" si="6"/>
        <v>-0.3654193244</v>
      </c>
      <c r="AI10" s="87" t="str">
        <f t="shared" si="6"/>
        <v/>
      </c>
      <c r="AJ10" s="87" t="str">
        <f t="shared" si="6"/>
        <v/>
      </c>
      <c r="AK10" s="87" t="str">
        <f t="shared" si="6"/>
        <v/>
      </c>
      <c r="AL10" s="87">
        <f t="shared" si="6"/>
        <v>-0.8057866849</v>
      </c>
      <c r="AM10" s="87">
        <f t="shared" si="6"/>
        <v>-0.3823608364</v>
      </c>
      <c r="AN10" s="87">
        <f t="shared" si="6"/>
        <v>-0.30754584</v>
      </c>
      <c r="AO10" s="87">
        <f t="shared" si="6"/>
        <v>0.03588309751</v>
      </c>
      <c r="AP10" s="87" t="str">
        <f t="shared" si="6"/>
        <v/>
      </c>
      <c r="AQ10" s="87">
        <f t="shared" si="6"/>
        <v>-0.9049134271</v>
      </c>
    </row>
    <row r="11">
      <c r="B11" s="89" t="s">
        <v>176</v>
      </c>
      <c r="C11" s="91">
        <f>IFERROR(__xludf.DUMMYFUNCTION("""COMPUTED_VALUE"""),3.950123138268665)</f>
        <v>3.950123138</v>
      </c>
      <c r="D11" s="91">
        <f>IFERROR(__xludf.DUMMYFUNCTION("""COMPUTED_VALUE"""),0.07977222461582653)</f>
        <v>0.07977222462</v>
      </c>
      <c r="E11" s="91">
        <f>IFERROR(__xludf.DUMMYFUNCTION("""COMPUTED_VALUE"""),2.4313387569590532E-5)</f>
        <v>0.00002431338757</v>
      </c>
      <c r="F11" s="91">
        <f>IFERROR(__xludf.DUMMYFUNCTION("""COMPUTED_VALUE"""),7.294016270877159E-5)</f>
        <v>0.00007294016271</v>
      </c>
      <c r="G11" s="91">
        <f>IFERROR(__xludf.DUMMYFUNCTION("""COMPUTED_VALUE"""),0.2400460754745673)</f>
        <v>0.2400460755</v>
      </c>
      <c r="H11" s="91">
        <f>IFERROR(__xludf.DUMMYFUNCTION("""COMPUTED_VALUE"""),0.06834493245811898)</f>
        <v>0.06834493246</v>
      </c>
      <c r="I11" s="91">
        <f>IFERROR(__xludf.DUMMYFUNCTION("""COMPUTED_VALUE"""),2.4313387569590532E-5)</f>
        <v>0.00002431338757</v>
      </c>
      <c r="J11" s="91">
        <f>IFERROR(__xludf.DUMMYFUNCTION("""COMPUTED_VALUE"""),0.0)</f>
        <v>0</v>
      </c>
      <c r="K11" s="91">
        <f>IFERROR(__xludf.DUMMYFUNCTION("""COMPUTED_VALUE"""),9.725355027836213E-5)</f>
        <v>0.00009725355028</v>
      </c>
      <c r="L11" s="91">
        <f>IFERROR(__xludf.DUMMYFUNCTION("""COMPUTED_VALUE"""),2.4313387569590532E-5)</f>
        <v>0.00002431338757</v>
      </c>
      <c r="M11" s="91">
        <f>IFERROR(__xludf.DUMMYFUNCTION("""COMPUTED_VALUE"""),11.297604548411352)</f>
        <v>11.29760455</v>
      </c>
      <c r="N11" s="91">
        <f>IFERROR(__xludf.DUMMYFUNCTION("""COMPUTED_VALUE"""),0.0)</f>
        <v>0</v>
      </c>
      <c r="O11" s="91">
        <f>IFERROR(__xludf.DUMMYFUNCTION("""COMPUTED_VALUE"""),0.0)</f>
        <v>0</v>
      </c>
      <c r="Q11" s="91">
        <v>11.3801</v>
      </c>
      <c r="R11" s="91">
        <v>0.2123</v>
      </c>
      <c r="S11" s="91">
        <v>0.0</v>
      </c>
      <c r="T11" s="91">
        <v>0.0</v>
      </c>
      <c r="U11" s="91">
        <v>0.6738</v>
      </c>
      <c r="V11" s="91">
        <v>0.2123</v>
      </c>
      <c r="W11" s="91">
        <v>0.0</v>
      </c>
      <c r="X11" s="91">
        <v>0.0</v>
      </c>
      <c r="Y11" s="91">
        <v>0.0</v>
      </c>
      <c r="Z11" s="91">
        <v>0.0</v>
      </c>
      <c r="AA11" s="91">
        <v>31.3602</v>
      </c>
      <c r="AB11" s="91">
        <v>0.0</v>
      </c>
      <c r="AC11" s="91">
        <v>0.0</v>
      </c>
      <c r="AE11" s="87">
        <f t="shared" ref="AE11:AQ11" si="7">IFERROR((Q11-C11)/C11, "")</f>
        <v>1.880948163</v>
      </c>
      <c r="AF11" s="87">
        <f t="shared" si="7"/>
        <v>1.661327311</v>
      </c>
      <c r="AG11" s="87">
        <f t="shared" si="7"/>
        <v>-1</v>
      </c>
      <c r="AH11" s="87">
        <f t="shared" si="7"/>
        <v>-1</v>
      </c>
      <c r="AI11" s="87">
        <f t="shared" si="7"/>
        <v>1.806961116</v>
      </c>
      <c r="AJ11" s="87">
        <f t="shared" si="7"/>
        <v>2.106301994</v>
      </c>
      <c r="AK11" s="87">
        <f t="shared" si="7"/>
        <v>-1</v>
      </c>
      <c r="AL11" s="87" t="str">
        <f t="shared" si="7"/>
        <v/>
      </c>
      <c r="AM11" s="87">
        <f t="shared" si="7"/>
        <v>-1</v>
      </c>
      <c r="AN11" s="87">
        <f t="shared" si="7"/>
        <v>-1</v>
      </c>
      <c r="AO11" s="87">
        <f t="shared" si="7"/>
        <v>1.775827377</v>
      </c>
      <c r="AP11" s="87" t="str">
        <f t="shared" si="7"/>
        <v/>
      </c>
      <c r="AQ11" s="87" t="str">
        <f t="shared" si="7"/>
        <v/>
      </c>
    </row>
    <row r="12">
      <c r="B12" s="89" t="s">
        <v>179</v>
      </c>
      <c r="C12" s="91">
        <f>IFERROR(__xludf.DUMMYFUNCTION("""COMPUTED_VALUE"""),0.0)</f>
        <v>0</v>
      </c>
      <c r="D12" s="91">
        <f>IFERROR(__xludf.DUMMYFUNCTION("""COMPUTED_VALUE"""),0.07697222222222219)</f>
        <v>0.07697222222</v>
      </c>
      <c r="E12" s="91">
        <f>IFERROR(__xludf.DUMMYFUNCTION("""COMPUTED_VALUE"""),0.0)</f>
        <v>0</v>
      </c>
      <c r="F12" s="91">
        <f>IFERROR(__xludf.DUMMYFUNCTION("""COMPUTED_VALUE"""),0.0)</f>
        <v>0</v>
      </c>
      <c r="G12" s="91">
        <f>IFERROR(__xludf.DUMMYFUNCTION("""COMPUTED_VALUE"""),0.0676111111111111)</f>
        <v>0.06761111111</v>
      </c>
      <c r="H12" s="91">
        <f>IFERROR(__xludf.DUMMYFUNCTION("""COMPUTED_VALUE"""),0.0659722222222222)</f>
        <v>0.06597222222</v>
      </c>
      <c r="I12" s="91">
        <f>IFERROR(__xludf.DUMMYFUNCTION("""COMPUTED_VALUE"""),0.07344444444444442)</f>
        <v>0.07344444444</v>
      </c>
      <c r="J12" s="91">
        <f>IFERROR(__xludf.DUMMYFUNCTION("""COMPUTED_VALUE"""),0.0)</f>
        <v>0</v>
      </c>
      <c r="K12" s="91">
        <f>IFERROR(__xludf.DUMMYFUNCTION("""COMPUTED_VALUE"""),0.0)</f>
        <v>0</v>
      </c>
      <c r="L12" s="91">
        <f>IFERROR(__xludf.DUMMYFUNCTION("""COMPUTED_VALUE"""),0.0)</f>
        <v>0</v>
      </c>
      <c r="M12" s="91">
        <f>IFERROR(__xludf.DUMMYFUNCTION("""COMPUTED_VALUE"""),49.09877777777776)</f>
        <v>49.09877778</v>
      </c>
      <c r="N12" s="91">
        <f>IFERROR(__xludf.DUMMYFUNCTION("""COMPUTED_VALUE"""),1.1444166666666664)</f>
        <v>1.144416667</v>
      </c>
      <c r="O12" s="91">
        <f>IFERROR(__xludf.DUMMYFUNCTION("""COMPUTED_VALUE"""),0.0)</f>
        <v>0</v>
      </c>
      <c r="Q12" s="91">
        <v>0.0</v>
      </c>
      <c r="R12" s="91">
        <v>0.0518</v>
      </c>
      <c r="S12" s="91">
        <v>0.0</v>
      </c>
      <c r="T12" s="91">
        <v>0.0</v>
      </c>
      <c r="U12" s="91">
        <v>0.0518</v>
      </c>
      <c r="V12" s="91">
        <v>0.0518</v>
      </c>
      <c r="W12" s="91">
        <v>0.0518</v>
      </c>
      <c r="X12" s="91">
        <v>0.0</v>
      </c>
      <c r="Y12" s="91">
        <v>0.0</v>
      </c>
      <c r="Z12" s="91">
        <v>0.0</v>
      </c>
      <c r="AA12" s="91">
        <v>38.3932</v>
      </c>
      <c r="AB12" s="91">
        <v>0.7885</v>
      </c>
      <c r="AC12" s="91">
        <v>0.0</v>
      </c>
      <c r="AE12" s="87" t="str">
        <f t="shared" ref="AE12:AQ12" si="8">IFERROR((Q12-C12)/C12, "")</f>
        <v/>
      </c>
      <c r="AF12" s="87">
        <f t="shared" si="8"/>
        <v>-0.3270299531</v>
      </c>
      <c r="AG12" s="87" t="str">
        <f t="shared" si="8"/>
        <v/>
      </c>
      <c r="AH12" s="87" t="str">
        <f t="shared" si="8"/>
        <v/>
      </c>
      <c r="AI12" s="87">
        <f t="shared" si="8"/>
        <v>-0.2338537387</v>
      </c>
      <c r="AJ12" s="87">
        <f t="shared" si="8"/>
        <v>-0.2148210526</v>
      </c>
      <c r="AK12" s="87">
        <f t="shared" si="8"/>
        <v>-0.2947049924</v>
      </c>
      <c r="AL12" s="87" t="str">
        <f t="shared" si="8"/>
        <v/>
      </c>
      <c r="AM12" s="87" t="str">
        <f t="shared" si="8"/>
        <v/>
      </c>
      <c r="AN12" s="87" t="str">
        <f t="shared" si="8"/>
        <v/>
      </c>
      <c r="AO12" s="87">
        <f t="shared" si="8"/>
        <v>-0.2180416349</v>
      </c>
      <c r="AP12" s="87">
        <f t="shared" si="8"/>
        <v>-0.3110026942</v>
      </c>
      <c r="AQ12" s="87" t="str">
        <f t="shared" si="8"/>
        <v/>
      </c>
    </row>
    <row r="13">
      <c r="B13" s="89" t="s">
        <v>180</v>
      </c>
      <c r="C13" s="91">
        <f>IFERROR(__xludf.DUMMYFUNCTION("""COMPUTED_VALUE"""),0.8820705241476996)</f>
        <v>0.8820705241</v>
      </c>
      <c r="D13" s="91">
        <f>IFERROR(__xludf.DUMMYFUNCTION("""COMPUTED_VALUE"""),0.003770147106377)</f>
        <v>0.003770147106</v>
      </c>
      <c r="E13" s="91">
        <f>IFERROR(__xludf.DUMMYFUNCTION("""COMPUTED_VALUE"""),0.01444743394962789)</f>
        <v>0.01444743395</v>
      </c>
      <c r="F13" s="91">
        <f>IFERROR(__xludf.DUMMYFUNCTION("""COMPUTED_VALUE"""),0.0020433621721585265)</f>
        <v>0.002043362172</v>
      </c>
      <c r="G13" s="91">
        <f>IFERROR(__xludf.DUMMYFUNCTION("""COMPUTED_VALUE"""),0.34104002450814846)</f>
        <v>0.3410400245</v>
      </c>
      <c r="H13" s="91">
        <f>IFERROR(__xludf.DUMMYFUNCTION("""COMPUTED_VALUE"""),0.0846988010234161)</f>
        <v>0.08469880102</v>
      </c>
      <c r="I13" s="91">
        <f>IFERROR(__xludf.DUMMYFUNCTION("""COMPUTED_VALUE"""),0.013296243993482244)</f>
        <v>0.01329624399</v>
      </c>
      <c r="J13" s="91">
        <f>IFERROR(__xludf.DUMMYFUNCTION("""COMPUTED_VALUE"""),0.0)</f>
        <v>0</v>
      </c>
      <c r="K13" s="91">
        <f>IFERROR(__xludf.DUMMYFUNCTION("""COMPUTED_VALUE"""),0.02175749017115276)</f>
        <v>0.02175749017</v>
      </c>
      <c r="L13" s="91">
        <f>IFERROR(__xludf.DUMMYFUNCTION("""COMPUTED_VALUE"""),0.04101114218768873)</f>
        <v>0.04101114219</v>
      </c>
      <c r="M13" s="91">
        <f>IFERROR(__xludf.DUMMYFUNCTION("""COMPUTED_VALUE"""),18.96832958590528)</f>
        <v>18.96832959</v>
      </c>
      <c r="N13" s="91">
        <f>IFERROR(__xludf.DUMMYFUNCTION("""COMPUTED_VALUE"""),0.0)</f>
        <v>0</v>
      </c>
      <c r="O13" s="91">
        <f>IFERROR(__xludf.DUMMYFUNCTION("""COMPUTED_VALUE"""),0.0)</f>
        <v>0</v>
      </c>
      <c r="Q13" s="91">
        <v>1.5304</v>
      </c>
      <c r="R13" s="91">
        <v>0.0025</v>
      </c>
      <c r="S13" s="91">
        <v>0.0083</v>
      </c>
      <c r="T13" s="91">
        <v>0.0192</v>
      </c>
      <c r="U13" s="91">
        <v>0.4458</v>
      </c>
      <c r="V13" s="91">
        <v>0.1436</v>
      </c>
      <c r="W13" s="91">
        <v>0.0253</v>
      </c>
      <c r="X13" s="91">
        <v>0.0</v>
      </c>
      <c r="Y13" s="91">
        <v>0.0104</v>
      </c>
      <c r="Z13" s="91">
        <v>0.0352</v>
      </c>
      <c r="AA13" s="91">
        <v>27.5086</v>
      </c>
      <c r="AB13" s="91">
        <v>0.0</v>
      </c>
      <c r="AC13" s="91">
        <v>0.0</v>
      </c>
      <c r="AE13" s="87">
        <f t="shared" ref="AE13:AQ13" si="9">IFERROR((Q13-C13)/C13, "")</f>
        <v>0.7350086621</v>
      </c>
      <c r="AF13" s="87">
        <f t="shared" si="9"/>
        <v>-0.336895901</v>
      </c>
      <c r="AG13" s="87">
        <f t="shared" si="9"/>
        <v>-0.4255035165</v>
      </c>
      <c r="AH13" s="87">
        <f t="shared" si="9"/>
        <v>8.396278478</v>
      </c>
      <c r="AI13" s="87">
        <f t="shared" si="9"/>
        <v>0.3071779497</v>
      </c>
      <c r="AJ13" s="87">
        <f t="shared" si="9"/>
        <v>0.6954195132</v>
      </c>
      <c r="AK13" s="87">
        <f t="shared" si="9"/>
        <v>0.9027930002</v>
      </c>
      <c r="AL13" s="87" t="str">
        <f t="shared" si="9"/>
        <v/>
      </c>
      <c r="AM13" s="87">
        <f t="shared" si="9"/>
        <v>-0.5220036908</v>
      </c>
      <c r="AN13" s="87">
        <f t="shared" si="9"/>
        <v>-0.1416966677</v>
      </c>
      <c r="AO13" s="87">
        <f t="shared" si="9"/>
        <v>0.4502384027</v>
      </c>
      <c r="AP13" s="87" t="str">
        <f t="shared" si="9"/>
        <v/>
      </c>
      <c r="AQ13" s="87" t="str">
        <f t="shared" si="9"/>
        <v/>
      </c>
    </row>
    <row r="14">
      <c r="B14" s="89" t="s">
        <v>182</v>
      </c>
      <c r="C14" s="91">
        <f>IFERROR(__xludf.DUMMYFUNCTION("""COMPUTED_VALUE"""),0.0)</f>
        <v>0</v>
      </c>
      <c r="D14" s="91">
        <f>IFERROR(__xludf.DUMMYFUNCTION("""COMPUTED_VALUE"""),0.0)</f>
        <v>0</v>
      </c>
      <c r="E14" s="91">
        <f>IFERROR(__xludf.DUMMYFUNCTION("""COMPUTED_VALUE"""),0.0)</f>
        <v>0</v>
      </c>
      <c r="F14" s="91">
        <f>IFERROR(__xludf.DUMMYFUNCTION("""COMPUTED_VALUE"""),0.0)</f>
        <v>0</v>
      </c>
      <c r="G14" s="91">
        <f>IFERROR(__xludf.DUMMYFUNCTION("""COMPUTED_VALUE"""),0.0)</f>
        <v>0</v>
      </c>
      <c r="H14" s="91">
        <f>IFERROR(__xludf.DUMMYFUNCTION("""COMPUTED_VALUE"""),0.0)</f>
        <v>0</v>
      </c>
      <c r="I14" s="91">
        <f>IFERROR(__xludf.DUMMYFUNCTION("""COMPUTED_VALUE"""),0.0)</f>
        <v>0</v>
      </c>
      <c r="J14" s="91">
        <f>IFERROR(__xludf.DUMMYFUNCTION("""COMPUTED_VALUE"""),0.0)</f>
        <v>0</v>
      </c>
      <c r="K14" s="91">
        <f>IFERROR(__xludf.DUMMYFUNCTION("""COMPUTED_VALUE"""),0.0)</f>
        <v>0</v>
      </c>
      <c r="L14" s="91">
        <f>IFERROR(__xludf.DUMMYFUNCTION("""COMPUTED_VALUE"""),0.0)</f>
        <v>0</v>
      </c>
      <c r="M14" s="91">
        <f>IFERROR(__xludf.DUMMYFUNCTION("""COMPUTED_VALUE"""),0.0)</f>
        <v>0</v>
      </c>
      <c r="N14" s="91">
        <f>IFERROR(__xludf.DUMMYFUNCTION("""COMPUTED_VALUE"""),0.0)</f>
        <v>0</v>
      </c>
      <c r="O14" s="91">
        <f>IFERROR(__xludf.DUMMYFUNCTION("""COMPUTED_VALUE"""),0.0)</f>
        <v>0</v>
      </c>
      <c r="Q14" s="91">
        <v>0.0835</v>
      </c>
      <c r="R14" s="91">
        <v>0.0</v>
      </c>
      <c r="S14" s="91">
        <v>0.0</v>
      </c>
      <c r="T14" s="91">
        <v>0.0</v>
      </c>
      <c r="U14" s="91">
        <v>0.0014</v>
      </c>
      <c r="V14" s="91">
        <v>0.0446</v>
      </c>
      <c r="W14" s="91">
        <v>0.0</v>
      </c>
      <c r="X14" s="91">
        <v>0.014</v>
      </c>
      <c r="Y14" s="91">
        <v>0.135</v>
      </c>
      <c r="Z14" s="91">
        <v>0.2554</v>
      </c>
      <c r="AA14" s="91">
        <v>0.2425</v>
      </c>
      <c r="AB14" s="91">
        <v>0.0</v>
      </c>
      <c r="AC14" s="91">
        <v>0.0</v>
      </c>
      <c r="AE14" s="87" t="str">
        <f t="shared" ref="AE14:AQ14" si="10">IFERROR((Q14-C14)/C14, "")</f>
        <v/>
      </c>
      <c r="AF14" s="87" t="str">
        <f t="shared" si="10"/>
        <v/>
      </c>
      <c r="AG14" s="87" t="str">
        <f t="shared" si="10"/>
        <v/>
      </c>
      <c r="AH14" s="87" t="str">
        <f t="shared" si="10"/>
        <v/>
      </c>
      <c r="AI14" s="87" t="str">
        <f t="shared" si="10"/>
        <v/>
      </c>
      <c r="AJ14" s="87" t="str">
        <f t="shared" si="10"/>
        <v/>
      </c>
      <c r="AK14" s="87" t="str">
        <f t="shared" si="10"/>
        <v/>
      </c>
      <c r="AL14" s="87" t="str">
        <f t="shared" si="10"/>
        <v/>
      </c>
      <c r="AM14" s="87" t="str">
        <f t="shared" si="10"/>
        <v/>
      </c>
      <c r="AN14" s="87" t="str">
        <f t="shared" si="10"/>
        <v/>
      </c>
      <c r="AO14" s="87" t="str">
        <f t="shared" si="10"/>
        <v/>
      </c>
      <c r="AP14" s="87" t="str">
        <f t="shared" si="10"/>
        <v/>
      </c>
      <c r="AQ14" s="87" t="str">
        <f t="shared" si="10"/>
        <v/>
      </c>
    </row>
    <row r="15">
      <c r="B15" s="89" t="s">
        <v>183</v>
      </c>
      <c r="C15" s="91">
        <f>IFERROR(__xludf.DUMMYFUNCTION("""COMPUTED_VALUE"""),0.08448578281744919)</f>
        <v>0.08448578282</v>
      </c>
      <c r="D15" s="91">
        <f>IFERROR(__xludf.DUMMYFUNCTION("""COMPUTED_VALUE"""),0.002150046022760534)</f>
        <v>0.002150046023</v>
      </c>
      <c r="E15" s="91">
        <f>IFERROR(__xludf.DUMMYFUNCTION("""COMPUTED_VALUE"""),7.166820075868446E-4)</f>
        <v>0.0007166820076</v>
      </c>
      <c r="F15" s="91">
        <f>IFERROR(__xludf.DUMMYFUNCTION("""COMPUTED_VALUE"""),8.269407779848207E-5)</f>
        <v>0.0000826940778</v>
      </c>
      <c r="G15" s="91">
        <f>IFERROR(__xludf.DUMMYFUNCTION("""COMPUTED_VALUE"""),0.001957093174564076)</f>
        <v>0.001957093175</v>
      </c>
      <c r="H15" s="91">
        <f>IFERROR(__xludf.DUMMYFUNCTION("""COMPUTED_VALUE"""),0.0015436227855716656)</f>
        <v>0.001543622786</v>
      </c>
      <c r="I15" s="91">
        <f>IFERROR(__xludf.DUMMYFUNCTION("""COMPUTED_VALUE"""),0.0012404111669772312)</f>
        <v>0.001240411167</v>
      </c>
      <c r="J15" s="91">
        <f>IFERROR(__xludf.DUMMYFUNCTION("""COMPUTED_VALUE"""),0.0)</f>
        <v>0</v>
      </c>
      <c r="K15" s="91">
        <f>IFERROR(__xludf.DUMMYFUNCTION("""COMPUTED_VALUE"""),0.0)</f>
        <v>0</v>
      </c>
      <c r="L15" s="91">
        <f>IFERROR(__xludf.DUMMYFUNCTION("""COMPUTED_VALUE"""),0.0)</f>
        <v>0</v>
      </c>
      <c r="M15" s="91">
        <f>IFERROR(__xludf.DUMMYFUNCTION("""COMPUTED_VALUE"""),2.3952890928182327)</f>
        <v>2.395289093</v>
      </c>
      <c r="N15" s="91">
        <f>IFERROR(__xludf.DUMMYFUNCTION("""COMPUTED_VALUE"""),1.2560403476811444)</f>
        <v>1.256040348</v>
      </c>
      <c r="O15" s="91">
        <f>IFERROR(__xludf.DUMMYFUNCTION("""COMPUTED_VALUE"""),0.0)</f>
        <v>0</v>
      </c>
      <c r="Q15" s="91">
        <v>0.1061</v>
      </c>
      <c r="R15" s="91">
        <v>0.0031</v>
      </c>
      <c r="S15" s="91">
        <v>7.0E-4</v>
      </c>
      <c r="T15" s="91">
        <v>0.0</v>
      </c>
      <c r="U15" s="91">
        <v>0.0027</v>
      </c>
      <c r="V15" s="91">
        <v>0.0025</v>
      </c>
      <c r="W15" s="91">
        <v>0.0023</v>
      </c>
      <c r="X15" s="91">
        <v>0.0</v>
      </c>
      <c r="Y15" s="91">
        <v>0.0</v>
      </c>
      <c r="Z15" s="91">
        <v>0.0</v>
      </c>
      <c r="AA15" s="91">
        <v>5.6469</v>
      </c>
      <c r="AB15" s="91">
        <v>1.5537</v>
      </c>
      <c r="AC15" s="91">
        <v>0.0</v>
      </c>
      <c r="AE15" s="87">
        <f t="shared" ref="AE15:AQ15" si="11">IFERROR((Q15-C15)/C15, "")</f>
        <v>0.2558325965</v>
      </c>
      <c r="AF15" s="87">
        <f t="shared" si="11"/>
        <v>0.4418296014</v>
      </c>
      <c r="AG15" s="87">
        <f t="shared" si="11"/>
        <v>-0.02327672163</v>
      </c>
      <c r="AH15" s="87">
        <f t="shared" si="11"/>
        <v>-1</v>
      </c>
      <c r="AI15" s="87">
        <f t="shared" si="11"/>
        <v>0.3795970652</v>
      </c>
      <c r="AJ15" s="87">
        <f t="shared" si="11"/>
        <v>0.6195666606</v>
      </c>
      <c r="AK15" s="87">
        <f t="shared" si="11"/>
        <v>0.8542238745</v>
      </c>
      <c r="AL15" s="87" t="str">
        <f t="shared" si="11"/>
        <v/>
      </c>
      <c r="AM15" s="87" t="str">
        <f t="shared" si="11"/>
        <v/>
      </c>
      <c r="AN15" s="87" t="str">
        <f t="shared" si="11"/>
        <v/>
      </c>
      <c r="AO15" s="87">
        <f t="shared" si="11"/>
        <v>1.35750249</v>
      </c>
      <c r="AP15" s="87">
        <f t="shared" si="11"/>
        <v>0.2369825562</v>
      </c>
      <c r="AQ15" s="87" t="str">
        <f t="shared" si="11"/>
        <v/>
      </c>
    </row>
    <row r="16">
      <c r="B16" s="89" t="s">
        <v>185</v>
      </c>
      <c r="C16" s="91">
        <f>IFERROR(__xludf.DUMMYFUNCTION("""COMPUTED_VALUE"""),0.0)</f>
        <v>0</v>
      </c>
      <c r="D16" s="91">
        <f>IFERROR(__xludf.DUMMYFUNCTION("""COMPUTED_VALUE"""),0.0)</f>
        <v>0</v>
      </c>
      <c r="E16" s="91">
        <f>IFERROR(__xludf.DUMMYFUNCTION("""COMPUTED_VALUE"""),0.0)</f>
        <v>0</v>
      </c>
      <c r="F16" s="91">
        <f>IFERROR(__xludf.DUMMYFUNCTION("""COMPUTED_VALUE"""),0.0)</f>
        <v>0</v>
      </c>
      <c r="G16" s="91">
        <f>IFERROR(__xludf.DUMMYFUNCTION("""COMPUTED_VALUE"""),0.0)</f>
        <v>0</v>
      </c>
      <c r="H16" s="91">
        <f>IFERROR(__xludf.DUMMYFUNCTION("""COMPUTED_VALUE"""),0.0)</f>
        <v>0</v>
      </c>
      <c r="I16" s="91">
        <f>IFERROR(__xludf.DUMMYFUNCTION("""COMPUTED_VALUE"""),0.0)</f>
        <v>0</v>
      </c>
      <c r="J16" s="91">
        <f>IFERROR(__xludf.DUMMYFUNCTION("""COMPUTED_VALUE"""),0.0)</f>
        <v>0</v>
      </c>
      <c r="K16" s="91">
        <f>IFERROR(__xludf.DUMMYFUNCTION("""COMPUTED_VALUE"""),0.0)</f>
        <v>0</v>
      </c>
      <c r="L16" s="91">
        <f>IFERROR(__xludf.DUMMYFUNCTION("""COMPUTED_VALUE"""),0.0)</f>
        <v>0</v>
      </c>
      <c r="M16" s="91">
        <f>IFERROR(__xludf.DUMMYFUNCTION("""COMPUTED_VALUE"""),0.0)</f>
        <v>0</v>
      </c>
      <c r="N16" s="91">
        <f>IFERROR(__xludf.DUMMYFUNCTION("""COMPUTED_VALUE"""),0.0)</f>
        <v>0</v>
      </c>
      <c r="O16" s="91">
        <f>IFERROR(__xludf.DUMMYFUNCTION("""COMPUTED_VALUE"""),0.0)</f>
        <v>0</v>
      </c>
      <c r="Q16" s="91">
        <v>0.0</v>
      </c>
      <c r="R16" s="91">
        <v>0.0</v>
      </c>
      <c r="S16" s="91">
        <v>0.0</v>
      </c>
      <c r="T16" s="91">
        <v>0.0</v>
      </c>
      <c r="U16" s="91">
        <v>0.0</v>
      </c>
      <c r="V16" s="91">
        <v>0.0</v>
      </c>
      <c r="W16" s="91">
        <v>0.0</v>
      </c>
      <c r="X16" s="91">
        <v>0.0</v>
      </c>
      <c r="Y16" s="91">
        <v>7.0E-4</v>
      </c>
      <c r="Z16" s="91">
        <v>0.0</v>
      </c>
      <c r="AA16" s="91">
        <v>0.0</v>
      </c>
      <c r="AB16" s="91">
        <v>0.0023</v>
      </c>
      <c r="AC16" s="91">
        <v>0.0</v>
      </c>
      <c r="AE16" s="87" t="str">
        <f t="shared" ref="AE16:AQ16" si="12">IFERROR((Q16-C16)/C16, "")</f>
        <v/>
      </c>
      <c r="AF16" s="87" t="str">
        <f t="shared" si="12"/>
        <v/>
      </c>
      <c r="AG16" s="87" t="str">
        <f t="shared" si="12"/>
        <v/>
      </c>
      <c r="AH16" s="87" t="str">
        <f t="shared" si="12"/>
        <v/>
      </c>
      <c r="AI16" s="87" t="str">
        <f t="shared" si="12"/>
        <v/>
      </c>
      <c r="AJ16" s="87" t="str">
        <f t="shared" si="12"/>
        <v/>
      </c>
      <c r="AK16" s="87" t="str">
        <f t="shared" si="12"/>
        <v/>
      </c>
      <c r="AL16" s="87" t="str">
        <f t="shared" si="12"/>
        <v/>
      </c>
      <c r="AM16" s="87" t="str">
        <f t="shared" si="12"/>
        <v/>
      </c>
      <c r="AN16" s="87" t="str">
        <f t="shared" si="12"/>
        <v/>
      </c>
      <c r="AO16" s="87" t="str">
        <f t="shared" si="12"/>
        <v/>
      </c>
      <c r="AP16" s="87" t="str">
        <f t="shared" si="12"/>
        <v/>
      </c>
      <c r="AQ16" s="87" t="str">
        <f t="shared" si="12"/>
        <v/>
      </c>
    </row>
    <row r="17">
      <c r="B17" s="84" t="s">
        <v>186</v>
      </c>
      <c r="C17" s="86">
        <f>IFERROR(__xludf.DUMMYFUNCTION("""COMPUTED_VALUE"""),3.09849696969697)</f>
        <v>3.09849697</v>
      </c>
      <c r="D17" s="86">
        <f>IFERROR(__xludf.DUMMYFUNCTION("""COMPUTED_VALUE"""),0.10637575757575758)</f>
        <v>0.1063757576</v>
      </c>
      <c r="E17" s="86">
        <f>IFERROR(__xludf.DUMMYFUNCTION("""COMPUTED_VALUE"""),0.0488969696969697)</f>
        <v>0.0488969697</v>
      </c>
      <c r="F17" s="86">
        <f>IFERROR(__xludf.DUMMYFUNCTION("""COMPUTED_VALUE"""),0.02538181818181818)</f>
        <v>0.02538181818</v>
      </c>
      <c r="G17" s="86">
        <f>IFERROR(__xludf.DUMMYFUNCTION("""COMPUTED_VALUE"""),0.43042424242424243)</f>
        <v>0.4304242424</v>
      </c>
      <c r="H17" s="86">
        <f>IFERROR(__xludf.DUMMYFUNCTION("""COMPUTED_VALUE"""),0.4319515151515151)</f>
        <v>0.4319515152</v>
      </c>
      <c r="I17" s="86">
        <f>IFERROR(__xludf.DUMMYFUNCTION("""COMPUTED_VALUE"""),0.48079999999999995)</f>
        <v>0.4808</v>
      </c>
      <c r="J17" s="86">
        <f>IFERROR(__xludf.DUMMYFUNCTION("""COMPUTED_VALUE"""),0.08189090909090908)</f>
        <v>0.08189090909</v>
      </c>
      <c r="K17" s="86">
        <f>IFERROR(__xludf.DUMMYFUNCTION("""COMPUTED_VALUE"""),0.02843636363636364)</f>
        <v>0.02843636364</v>
      </c>
      <c r="L17" s="86">
        <f>IFERROR(__xludf.DUMMYFUNCTION("""COMPUTED_VALUE"""),0.025066666666666675)</f>
        <v>0.02506666667</v>
      </c>
      <c r="M17" s="86">
        <f>IFERROR(__xludf.DUMMYFUNCTION("""COMPUTED_VALUE"""),1.899539393939394)</f>
        <v>1.899539394</v>
      </c>
      <c r="N17" s="85">
        <f>IFERROR(__xludf.DUMMYFUNCTION("""COMPUTED_VALUE"""),17.74887272727273)</f>
        <v>17.74887273</v>
      </c>
      <c r="O17" s="85">
        <f>IFERROR(__xludf.DUMMYFUNCTION("""COMPUTED_VALUE"""),0.0)</f>
        <v>0</v>
      </c>
      <c r="Q17" s="86">
        <v>2.7935</v>
      </c>
      <c r="R17" s="86">
        <v>0.0739</v>
      </c>
      <c r="S17" s="86">
        <v>0.0347</v>
      </c>
      <c r="T17" s="86">
        <v>0.0143</v>
      </c>
      <c r="U17" s="86">
        <v>0.4072</v>
      </c>
      <c r="V17" s="86">
        <v>0.4022</v>
      </c>
      <c r="W17" s="86">
        <v>0.3985</v>
      </c>
      <c r="X17" s="86">
        <v>0.0528</v>
      </c>
      <c r="Y17" s="86">
        <v>0.0528</v>
      </c>
      <c r="Z17" s="86">
        <v>0.0528</v>
      </c>
      <c r="AA17" s="86">
        <v>3.1557</v>
      </c>
      <c r="AB17" s="85">
        <v>13.3829</v>
      </c>
      <c r="AC17" s="85">
        <v>0.0</v>
      </c>
      <c r="AE17" s="87">
        <f t="shared" ref="AE17:AQ17" si="13">IFERROR((Q17-C17)/C17, "")</f>
        <v>-0.09843384476</v>
      </c>
      <c r="AF17" s="87">
        <f t="shared" si="13"/>
        <v>-0.3052928441</v>
      </c>
      <c r="AG17" s="87">
        <f t="shared" si="13"/>
        <v>-0.2903445711</v>
      </c>
      <c r="AH17" s="87">
        <f t="shared" si="13"/>
        <v>-0.4366045845</v>
      </c>
      <c r="AI17" s="87">
        <f t="shared" si="13"/>
        <v>-0.05395663193</v>
      </c>
      <c r="AJ17" s="87">
        <f t="shared" si="13"/>
        <v>-0.06887697834</v>
      </c>
      <c r="AK17" s="87">
        <f t="shared" si="13"/>
        <v>-0.1711730449</v>
      </c>
      <c r="AL17" s="87">
        <f t="shared" si="13"/>
        <v>-0.3552397869</v>
      </c>
      <c r="AM17" s="87">
        <f t="shared" si="13"/>
        <v>0.8567774936</v>
      </c>
      <c r="AN17" s="87">
        <f t="shared" si="13"/>
        <v>1.106382979</v>
      </c>
      <c r="AO17" s="87">
        <f t="shared" si="13"/>
        <v>0.6612974756</v>
      </c>
      <c r="AP17" s="87">
        <f t="shared" si="13"/>
        <v>-0.2459859166</v>
      </c>
      <c r="AQ17" s="87" t="str">
        <f t="shared" si="13"/>
        <v/>
      </c>
    </row>
    <row r="18">
      <c r="B18" s="89" t="s">
        <v>188</v>
      </c>
      <c r="C18" s="91">
        <f>IFERROR(__xludf.DUMMYFUNCTION("""COMPUTED_VALUE"""),0.0)</f>
        <v>0</v>
      </c>
      <c r="D18" s="91">
        <f>IFERROR(__xludf.DUMMYFUNCTION("""COMPUTED_VALUE"""),0.0)</f>
        <v>0</v>
      </c>
      <c r="E18" s="91">
        <f>IFERROR(__xludf.DUMMYFUNCTION("""COMPUTED_VALUE"""),0.0)</f>
        <v>0</v>
      </c>
      <c r="F18" s="91">
        <f>IFERROR(__xludf.DUMMYFUNCTION("""COMPUTED_VALUE"""),0.0)</f>
        <v>0</v>
      </c>
      <c r="G18" s="91">
        <f>IFERROR(__xludf.DUMMYFUNCTION("""COMPUTED_VALUE"""),0.0)</f>
        <v>0</v>
      </c>
      <c r="H18" s="91">
        <f>IFERROR(__xludf.DUMMYFUNCTION("""COMPUTED_VALUE"""),0.0)</f>
        <v>0</v>
      </c>
      <c r="I18" s="91">
        <f>IFERROR(__xludf.DUMMYFUNCTION("""COMPUTED_VALUE"""),0.0)</f>
        <v>0</v>
      </c>
      <c r="J18" s="91">
        <f>IFERROR(__xludf.DUMMYFUNCTION("""COMPUTED_VALUE"""),0.0)</f>
        <v>0</v>
      </c>
      <c r="K18" s="91">
        <f>IFERROR(__xludf.DUMMYFUNCTION("""COMPUTED_VALUE"""),0.0)</f>
        <v>0</v>
      </c>
      <c r="L18" s="91">
        <f>IFERROR(__xludf.DUMMYFUNCTION("""COMPUTED_VALUE"""),0.0)</f>
        <v>0</v>
      </c>
      <c r="M18" s="91">
        <f>IFERROR(__xludf.DUMMYFUNCTION("""COMPUTED_VALUE"""),0.0)</f>
        <v>0</v>
      </c>
      <c r="N18" s="91">
        <f>IFERROR(__xludf.DUMMYFUNCTION("""COMPUTED_VALUE"""),0.0)</f>
        <v>0</v>
      </c>
      <c r="O18" s="91">
        <f>IFERROR(__xludf.DUMMYFUNCTION("""COMPUTED_VALUE"""),0.0)</f>
        <v>0</v>
      </c>
      <c r="Q18" s="91">
        <v>0.0045</v>
      </c>
      <c r="R18" s="91">
        <v>0.0</v>
      </c>
      <c r="S18" s="91">
        <v>0.0</v>
      </c>
      <c r="T18" s="91">
        <v>0.0</v>
      </c>
      <c r="U18" s="91">
        <v>0.0</v>
      </c>
      <c r="V18" s="91">
        <v>0.0016</v>
      </c>
      <c r="W18" s="91">
        <v>0.0</v>
      </c>
      <c r="X18" s="91">
        <v>0.0</v>
      </c>
      <c r="Y18" s="91">
        <v>0.0</v>
      </c>
      <c r="Z18" s="91">
        <v>0.0</v>
      </c>
      <c r="AA18" s="91">
        <v>0.0217</v>
      </c>
      <c r="AB18" s="91">
        <v>0.0</v>
      </c>
      <c r="AC18" s="91">
        <v>0.0</v>
      </c>
      <c r="AE18" s="87" t="str">
        <f t="shared" ref="AE18:AQ18" si="14">IFERROR((Q18-C18)/C18, "")</f>
        <v/>
      </c>
      <c r="AF18" s="87" t="str">
        <f t="shared" si="14"/>
        <v/>
      </c>
      <c r="AG18" s="87" t="str">
        <f t="shared" si="14"/>
        <v/>
      </c>
      <c r="AH18" s="87" t="str">
        <f t="shared" si="14"/>
        <v/>
      </c>
      <c r="AI18" s="87" t="str">
        <f t="shared" si="14"/>
        <v/>
      </c>
      <c r="AJ18" s="87" t="str">
        <f t="shared" si="14"/>
        <v/>
      </c>
      <c r="AK18" s="87" t="str">
        <f t="shared" si="14"/>
        <v/>
      </c>
      <c r="AL18" s="87" t="str">
        <f t="shared" si="14"/>
        <v/>
      </c>
      <c r="AM18" s="87" t="str">
        <f t="shared" si="14"/>
        <v/>
      </c>
      <c r="AN18" s="87" t="str">
        <f t="shared" si="14"/>
        <v/>
      </c>
      <c r="AO18" s="87" t="str">
        <f t="shared" si="14"/>
        <v/>
      </c>
      <c r="AP18" s="87" t="str">
        <f t="shared" si="14"/>
        <v/>
      </c>
      <c r="AQ18" s="87" t="str">
        <f t="shared" si="14"/>
        <v/>
      </c>
    </row>
    <row r="19">
      <c r="B19" s="89" t="s">
        <v>189</v>
      </c>
      <c r="C19" s="91">
        <f>IFERROR(__xludf.DUMMYFUNCTION("""COMPUTED_VALUE"""),0.0)</f>
        <v>0</v>
      </c>
      <c r="D19" s="91">
        <f>IFERROR(__xludf.DUMMYFUNCTION("""COMPUTED_VALUE"""),0.0)</f>
        <v>0</v>
      </c>
      <c r="E19" s="91">
        <f>IFERROR(__xludf.DUMMYFUNCTION("""COMPUTED_VALUE"""),0.0)</f>
        <v>0</v>
      </c>
      <c r="F19" s="91">
        <f>IFERROR(__xludf.DUMMYFUNCTION("""COMPUTED_VALUE"""),0.0)</f>
        <v>0</v>
      </c>
      <c r="G19" s="91">
        <f>IFERROR(__xludf.DUMMYFUNCTION("""COMPUTED_VALUE"""),0.0)</f>
        <v>0</v>
      </c>
      <c r="H19" s="91">
        <f>IFERROR(__xludf.DUMMYFUNCTION("""COMPUTED_VALUE"""),0.0)</f>
        <v>0</v>
      </c>
      <c r="I19" s="91">
        <f>IFERROR(__xludf.DUMMYFUNCTION("""COMPUTED_VALUE"""),0.0)</f>
        <v>0</v>
      </c>
      <c r="J19" s="91">
        <f>IFERROR(__xludf.DUMMYFUNCTION("""COMPUTED_VALUE"""),0.0)</f>
        <v>0</v>
      </c>
      <c r="K19" s="91">
        <f>IFERROR(__xludf.DUMMYFUNCTION("""COMPUTED_VALUE"""),0.0)</f>
        <v>0</v>
      </c>
      <c r="L19" s="91">
        <f>IFERROR(__xludf.DUMMYFUNCTION("""COMPUTED_VALUE"""),0.0)</f>
        <v>0</v>
      </c>
      <c r="M19" s="91">
        <f>IFERROR(__xludf.DUMMYFUNCTION("""COMPUTED_VALUE"""),0.0)</f>
        <v>0</v>
      </c>
      <c r="N19" s="91">
        <f>IFERROR(__xludf.DUMMYFUNCTION("""COMPUTED_VALUE"""),0.0)</f>
        <v>0</v>
      </c>
      <c r="O19" s="91">
        <f>IFERROR(__xludf.DUMMYFUNCTION("""COMPUTED_VALUE"""),0.0)</f>
        <v>0</v>
      </c>
      <c r="Q19" s="91">
        <v>0.639</v>
      </c>
      <c r="R19" s="91">
        <v>0.1251</v>
      </c>
      <c r="S19" s="91">
        <v>0.0233</v>
      </c>
      <c r="T19" s="91">
        <v>9.0E-4</v>
      </c>
      <c r="U19" s="91">
        <v>0.0</v>
      </c>
      <c r="V19" s="91">
        <v>0.0</v>
      </c>
      <c r="W19" s="91">
        <v>0.0</v>
      </c>
      <c r="X19" s="91">
        <v>0.0</v>
      </c>
      <c r="Y19" s="91">
        <v>0.0</v>
      </c>
      <c r="Z19" s="91">
        <v>0.0</v>
      </c>
      <c r="AA19" s="91">
        <v>0.0</v>
      </c>
      <c r="AB19" s="91">
        <v>0.0</v>
      </c>
      <c r="AC19" s="91">
        <v>0.0</v>
      </c>
      <c r="AE19" s="87" t="str">
        <f t="shared" ref="AE19:AQ19" si="15">IFERROR((Q19-C19)/C19, "")</f>
        <v/>
      </c>
      <c r="AF19" s="87" t="str">
        <f t="shared" si="15"/>
        <v/>
      </c>
      <c r="AG19" s="87" t="str">
        <f t="shared" si="15"/>
        <v/>
      </c>
      <c r="AH19" s="87" t="str">
        <f t="shared" si="15"/>
        <v/>
      </c>
      <c r="AI19" s="87" t="str">
        <f t="shared" si="15"/>
        <v/>
      </c>
      <c r="AJ19" s="87" t="str">
        <f t="shared" si="15"/>
        <v/>
      </c>
      <c r="AK19" s="87" t="str">
        <f t="shared" si="15"/>
        <v/>
      </c>
      <c r="AL19" s="87" t="str">
        <f t="shared" si="15"/>
        <v/>
      </c>
      <c r="AM19" s="87" t="str">
        <f t="shared" si="15"/>
        <v/>
      </c>
      <c r="AN19" s="87" t="str">
        <f t="shared" si="15"/>
        <v/>
      </c>
      <c r="AO19" s="87" t="str">
        <f t="shared" si="15"/>
        <v/>
      </c>
      <c r="AP19" s="87" t="str">
        <f t="shared" si="15"/>
        <v/>
      </c>
      <c r="AQ19" s="87" t="str">
        <f t="shared" si="15"/>
        <v/>
      </c>
    </row>
    <row r="20">
      <c r="B20" s="89" t="s">
        <v>191</v>
      </c>
      <c r="C20" s="91">
        <f>IFERROR(__xludf.DUMMYFUNCTION("""COMPUTED_VALUE"""),0.0)</f>
        <v>0</v>
      </c>
      <c r="D20" s="91">
        <f>IFERROR(__xludf.DUMMYFUNCTION("""COMPUTED_VALUE"""),0.0)</f>
        <v>0</v>
      </c>
      <c r="E20" s="91">
        <f>IFERROR(__xludf.DUMMYFUNCTION("""COMPUTED_VALUE"""),0.0)</f>
        <v>0</v>
      </c>
      <c r="F20" s="91">
        <f>IFERROR(__xludf.DUMMYFUNCTION("""COMPUTED_VALUE"""),0.0)</f>
        <v>0</v>
      </c>
      <c r="G20" s="91">
        <f>IFERROR(__xludf.DUMMYFUNCTION("""COMPUTED_VALUE"""),0.0)</f>
        <v>0</v>
      </c>
      <c r="H20" s="91">
        <f>IFERROR(__xludf.DUMMYFUNCTION("""COMPUTED_VALUE"""),0.0)</f>
        <v>0</v>
      </c>
      <c r="I20" s="91">
        <f>IFERROR(__xludf.DUMMYFUNCTION("""COMPUTED_VALUE"""),0.0)</f>
        <v>0</v>
      </c>
      <c r="J20" s="91">
        <f>IFERROR(__xludf.DUMMYFUNCTION("""COMPUTED_VALUE"""),0.0)</f>
        <v>0</v>
      </c>
      <c r="K20" s="91">
        <f>IFERROR(__xludf.DUMMYFUNCTION("""COMPUTED_VALUE"""),0.0)</f>
        <v>0</v>
      </c>
      <c r="L20" s="91">
        <f>IFERROR(__xludf.DUMMYFUNCTION("""COMPUTED_VALUE"""),0.0)</f>
        <v>0</v>
      </c>
      <c r="M20" s="91">
        <f>IFERROR(__xludf.DUMMYFUNCTION("""COMPUTED_VALUE"""),0.0)</f>
        <v>0</v>
      </c>
      <c r="N20" s="91">
        <f>IFERROR(__xludf.DUMMYFUNCTION("""COMPUTED_VALUE"""),0.0)</f>
        <v>0</v>
      </c>
      <c r="O20" s="91">
        <f>IFERROR(__xludf.DUMMYFUNCTION("""COMPUTED_VALUE"""),0.0)</f>
        <v>0</v>
      </c>
      <c r="Q20" s="91">
        <v>0.0149</v>
      </c>
      <c r="R20" s="91">
        <v>1.0E-4</v>
      </c>
      <c r="S20" s="91">
        <v>5.0E-4</v>
      </c>
      <c r="T20" s="91">
        <v>5.0E-4</v>
      </c>
      <c r="U20" s="91">
        <v>1.0E-4</v>
      </c>
      <c r="V20" s="91">
        <v>1.0E-4</v>
      </c>
      <c r="W20" s="91">
        <v>0.0</v>
      </c>
      <c r="X20" s="91">
        <v>0.0</v>
      </c>
      <c r="Y20" s="91">
        <v>0.0</v>
      </c>
      <c r="Z20" s="91">
        <v>0.0</v>
      </c>
      <c r="AA20" s="91">
        <v>0.0</v>
      </c>
      <c r="AB20" s="91">
        <v>9.0E-4</v>
      </c>
      <c r="AC20" s="91">
        <v>5.0E-4</v>
      </c>
      <c r="AE20" s="87" t="str">
        <f t="shared" ref="AE20:AQ20" si="16">IFERROR((Q20-C20)/C20, "")</f>
        <v/>
      </c>
      <c r="AF20" s="87" t="str">
        <f t="shared" si="16"/>
        <v/>
      </c>
      <c r="AG20" s="87" t="str">
        <f t="shared" si="16"/>
        <v/>
      </c>
      <c r="AH20" s="87" t="str">
        <f t="shared" si="16"/>
        <v/>
      </c>
      <c r="AI20" s="87" t="str">
        <f t="shared" si="16"/>
        <v/>
      </c>
      <c r="AJ20" s="87" t="str">
        <f t="shared" si="16"/>
        <v/>
      </c>
      <c r="AK20" s="87" t="str">
        <f t="shared" si="16"/>
        <v/>
      </c>
      <c r="AL20" s="87" t="str">
        <f t="shared" si="16"/>
        <v/>
      </c>
      <c r="AM20" s="87" t="str">
        <f t="shared" si="16"/>
        <v/>
      </c>
      <c r="AN20" s="87" t="str">
        <f t="shared" si="16"/>
        <v/>
      </c>
      <c r="AO20" s="87" t="str">
        <f t="shared" si="16"/>
        <v/>
      </c>
      <c r="AP20" s="87" t="str">
        <f t="shared" si="16"/>
        <v/>
      </c>
      <c r="AQ20" s="87" t="str">
        <f t="shared" si="16"/>
        <v/>
      </c>
    </row>
    <row r="21">
      <c r="B21" s="89" t="s">
        <v>192</v>
      </c>
      <c r="C21" s="91">
        <f>IFERROR(__xludf.DUMMYFUNCTION("""COMPUTED_VALUE"""),12.971270071216775)</f>
        <v>12.97127007</v>
      </c>
      <c r="D21" s="91">
        <f>IFERROR(__xludf.DUMMYFUNCTION("""COMPUTED_VALUE"""),0.2163648359817862)</f>
        <v>0.216364836</v>
      </c>
      <c r="E21" s="91">
        <f>IFERROR(__xludf.DUMMYFUNCTION("""COMPUTED_VALUE"""),0.14814147046151513)</f>
        <v>0.1481414705</v>
      </c>
      <c r="F21" s="91">
        <f>IFERROR(__xludf.DUMMYFUNCTION("""COMPUTED_VALUE"""),0.0)</f>
        <v>0</v>
      </c>
      <c r="G21" s="91">
        <f>IFERROR(__xludf.DUMMYFUNCTION("""COMPUTED_VALUE"""),0.14527249072830348)</f>
        <v>0.1452724907</v>
      </c>
      <c r="H21" s="91">
        <f>IFERROR(__xludf.DUMMYFUNCTION("""COMPUTED_VALUE"""),0.1416011692052953)</f>
        <v>0.1416011692</v>
      </c>
      <c r="I21" s="91">
        <f>IFERROR(__xludf.DUMMYFUNCTION("""COMPUTED_VALUE"""),0.08881680479171425)</f>
        <v>0.08881680479</v>
      </c>
      <c r="J21" s="91">
        <f>IFERROR(__xludf.DUMMYFUNCTION("""COMPUTED_VALUE"""),0.0)</f>
        <v>0</v>
      </c>
      <c r="K21" s="91">
        <f>IFERROR(__xludf.DUMMYFUNCTION("""COMPUTED_VALUE"""),0.0)</f>
        <v>0</v>
      </c>
      <c r="L21" s="91">
        <f>IFERROR(__xludf.DUMMYFUNCTION("""COMPUTED_VALUE"""),4.862677513918108E-5)</f>
        <v>0.00004862677514</v>
      </c>
      <c r="M21" s="91">
        <f>IFERROR(__xludf.DUMMYFUNCTION("""COMPUTED_VALUE"""),23.314569294844187)</f>
        <v>23.31456929</v>
      </c>
      <c r="N21" s="91">
        <f>IFERROR(__xludf.DUMMYFUNCTION("""COMPUTED_VALUE"""),0.0)</f>
        <v>0</v>
      </c>
      <c r="O21" s="91">
        <f>IFERROR(__xludf.DUMMYFUNCTION("""COMPUTED_VALUE"""),0.0)</f>
        <v>0</v>
      </c>
      <c r="Q21" s="91">
        <v>9.3274</v>
      </c>
      <c r="R21" s="91">
        <v>0.1505</v>
      </c>
      <c r="S21" s="91">
        <v>0.1431</v>
      </c>
      <c r="T21" s="91">
        <v>0.0037</v>
      </c>
      <c r="U21" s="91">
        <v>0.1548</v>
      </c>
      <c r="V21" s="91">
        <v>0.1471</v>
      </c>
      <c r="W21" s="91">
        <v>0.1426</v>
      </c>
      <c r="X21" s="91">
        <v>0.0</v>
      </c>
      <c r="Y21" s="91">
        <v>0.0</v>
      </c>
      <c r="Z21" s="91">
        <v>0.0</v>
      </c>
      <c r="AA21" s="91">
        <v>37.2627</v>
      </c>
      <c r="AB21" s="91">
        <v>0.0</v>
      </c>
      <c r="AC21" s="91">
        <v>0.0</v>
      </c>
      <c r="AE21" s="87">
        <f t="shared" ref="AE21:AQ21" si="17">IFERROR((Q21-C21)/C21, "")</f>
        <v>-0.2809185262</v>
      </c>
      <c r="AF21" s="87">
        <f t="shared" si="17"/>
        <v>-0.3044156213</v>
      </c>
      <c r="AG21" s="87">
        <f t="shared" si="17"/>
        <v>-0.03403145956</v>
      </c>
      <c r="AH21" s="87" t="str">
        <f t="shared" si="17"/>
        <v/>
      </c>
      <c r="AI21" s="87">
        <f t="shared" si="17"/>
        <v>0.06558371254</v>
      </c>
      <c r="AJ21" s="87">
        <f t="shared" si="17"/>
        <v>0.03883323016</v>
      </c>
      <c r="AK21" s="87">
        <f t="shared" si="17"/>
        <v>0.6055520161</v>
      </c>
      <c r="AL21" s="87" t="str">
        <f t="shared" si="17"/>
        <v/>
      </c>
      <c r="AM21" s="87" t="str">
        <f t="shared" si="17"/>
        <v/>
      </c>
      <c r="AN21" s="87">
        <f t="shared" si="17"/>
        <v>-1</v>
      </c>
      <c r="AO21" s="87">
        <f t="shared" si="17"/>
        <v>0.5982581333</v>
      </c>
      <c r="AP21" s="87" t="str">
        <f t="shared" si="17"/>
        <v/>
      </c>
      <c r="AQ21" s="87" t="str">
        <f t="shared" si="17"/>
        <v/>
      </c>
    </row>
    <row r="22">
      <c r="B22" s="89" t="s">
        <v>194</v>
      </c>
      <c r="C22" s="91">
        <f>IFERROR(__xludf.DUMMYFUNCTION("""COMPUTED_VALUE"""),3.9685079835289523)</f>
        <v>3.968507984</v>
      </c>
      <c r="D22" s="91">
        <f>IFERROR(__xludf.DUMMYFUNCTION("""COMPUTED_VALUE"""),0.04785722513319233)</f>
        <v>0.04785722513</v>
      </c>
      <c r="E22" s="91">
        <f>IFERROR(__xludf.DUMMYFUNCTION("""COMPUTED_VALUE"""),0.1181673234076596)</f>
        <v>0.1181673234</v>
      </c>
      <c r="F22" s="91">
        <f>IFERROR(__xludf.DUMMYFUNCTION("""COMPUTED_VALUE"""),0.0)</f>
        <v>0</v>
      </c>
      <c r="G22" s="91">
        <f>IFERROR(__xludf.DUMMYFUNCTION("""COMPUTED_VALUE"""),0.2936335137167971)</f>
        <v>0.2936335137</v>
      </c>
      <c r="H22" s="91">
        <f>IFERROR(__xludf.DUMMYFUNCTION("""COMPUTED_VALUE"""),0.3035078330129256)</f>
        <v>0.303507833</v>
      </c>
      <c r="I22" s="91">
        <f>IFERROR(__xludf.DUMMYFUNCTION("""COMPUTED_VALUE"""),0.08740086062426085)</f>
        <v>0.08740086062</v>
      </c>
      <c r="J22" s="91">
        <f>IFERROR(__xludf.DUMMYFUNCTION("""COMPUTED_VALUE"""),0.8252860260537304)</f>
        <v>0.8252860261</v>
      </c>
      <c r="K22" s="91">
        <f>IFERROR(__xludf.DUMMYFUNCTION("""COMPUTED_VALUE"""),2.9470748115197853)</f>
        <v>2.947074812</v>
      </c>
      <c r="L22" s="91">
        <f>IFERROR(__xludf.DUMMYFUNCTION("""COMPUTED_VALUE"""),2.952514186155524)</f>
        <v>2.952514186</v>
      </c>
      <c r="M22" s="91">
        <f>IFERROR(__xludf.DUMMYFUNCTION("""COMPUTED_VALUE"""),11.454519438886068)</f>
        <v>11.45451944</v>
      </c>
      <c r="N22" s="91">
        <f>IFERROR(__xludf.DUMMYFUNCTION("""COMPUTED_VALUE"""),0.22099004734574862)</f>
        <v>0.2209900473</v>
      </c>
      <c r="O22" s="91">
        <f>IFERROR(__xludf.DUMMYFUNCTION("""COMPUTED_VALUE"""),0.0)</f>
        <v>0</v>
      </c>
      <c r="Q22" s="91">
        <v>6.4388</v>
      </c>
      <c r="R22" s="91">
        <v>0.0126</v>
      </c>
      <c r="S22" s="91">
        <v>0.0866</v>
      </c>
      <c r="T22" s="91">
        <v>0.0054</v>
      </c>
      <c r="U22" s="91">
        <v>0.3624</v>
      </c>
      <c r="V22" s="91">
        <v>0.3762</v>
      </c>
      <c r="W22" s="91">
        <v>0.029</v>
      </c>
      <c r="X22" s="91">
        <v>0.0474</v>
      </c>
      <c r="Y22" s="91">
        <v>2.3738</v>
      </c>
      <c r="Z22" s="91">
        <v>3.0247</v>
      </c>
      <c r="AA22" s="91">
        <v>14.8345</v>
      </c>
      <c r="AB22" s="91">
        <v>0.2453</v>
      </c>
      <c r="AC22" s="91">
        <v>0.0</v>
      </c>
      <c r="AE22" s="87">
        <f t="shared" ref="AE22:AQ22" si="18">IFERROR((Q22-C22)/C22, "")</f>
        <v>0.6224737425</v>
      </c>
      <c r="AF22" s="87">
        <f t="shared" si="18"/>
        <v>-0.7367168705</v>
      </c>
      <c r="AG22" s="87">
        <f t="shared" si="18"/>
        <v>-0.2671408855</v>
      </c>
      <c r="AH22" s="87" t="str">
        <f t="shared" si="18"/>
        <v/>
      </c>
      <c r="AI22" s="87">
        <f t="shared" si="18"/>
        <v>0.2341915451</v>
      </c>
      <c r="AJ22" s="87">
        <f t="shared" si="18"/>
        <v>0.2395067246</v>
      </c>
      <c r="AK22" s="87">
        <f t="shared" si="18"/>
        <v>-0.6681954869</v>
      </c>
      <c r="AL22" s="87">
        <f t="shared" si="18"/>
        <v>-0.942565367</v>
      </c>
      <c r="AM22" s="87">
        <f t="shared" si="18"/>
        <v>-0.1945233318</v>
      </c>
      <c r="AN22" s="87">
        <f t="shared" si="18"/>
        <v>0.0244489304</v>
      </c>
      <c r="AO22" s="87">
        <f t="shared" si="18"/>
        <v>0.2950783382</v>
      </c>
      <c r="AP22" s="87">
        <f t="shared" si="18"/>
        <v>0.1100047398</v>
      </c>
      <c r="AQ22" s="87" t="str">
        <f t="shared" si="18"/>
        <v/>
      </c>
    </row>
    <row r="23">
      <c r="B23" s="89" t="s">
        <v>195</v>
      </c>
      <c r="C23" s="91">
        <f>IFERROR(__xludf.DUMMYFUNCTION("""COMPUTED_VALUE"""),0.7574615823895379)</f>
        <v>0.7574615824</v>
      </c>
      <c r="D23" s="91">
        <f>IFERROR(__xludf.DUMMYFUNCTION("""COMPUTED_VALUE"""),0.0)</f>
        <v>0</v>
      </c>
      <c r="E23" s="91">
        <f>IFERROR(__xludf.DUMMYFUNCTION("""COMPUTED_VALUE"""),0.03498823209794001)</f>
        <v>0.0349882321</v>
      </c>
      <c r="F23" s="91">
        <f>IFERROR(__xludf.DUMMYFUNCTION("""COMPUTED_VALUE"""),0.0016821265431701928)</f>
        <v>0.001682126543</v>
      </c>
      <c r="G23" s="91">
        <f>IFERROR(__xludf.DUMMYFUNCTION("""COMPUTED_VALUE"""),1.2615949073776445E-4)</f>
        <v>0.0001261594907</v>
      </c>
      <c r="H23" s="91">
        <f>IFERROR(__xludf.DUMMYFUNCTION("""COMPUTED_VALUE"""),4.205316357925482E-5)</f>
        <v>0.00004205316358</v>
      </c>
      <c r="I23" s="91">
        <f>IFERROR(__xludf.DUMMYFUNCTION("""COMPUTED_VALUE"""),4.205316357925482E-5)</f>
        <v>0.00004205316358</v>
      </c>
      <c r="J23" s="91">
        <f>IFERROR(__xludf.DUMMYFUNCTION("""COMPUTED_VALUE"""),0.0)</f>
        <v>0</v>
      </c>
      <c r="K23" s="91">
        <f>IFERROR(__xludf.DUMMYFUNCTION("""COMPUTED_VALUE"""),0.0)</f>
        <v>0</v>
      </c>
      <c r="L23" s="91">
        <f>IFERROR(__xludf.DUMMYFUNCTION("""COMPUTED_VALUE"""),0.0)</f>
        <v>0</v>
      </c>
      <c r="M23" s="91">
        <f>IFERROR(__xludf.DUMMYFUNCTION("""COMPUTED_VALUE"""),9.825847829783628)</f>
        <v>9.82584783</v>
      </c>
      <c r="N23" s="91">
        <f>IFERROR(__xludf.DUMMYFUNCTION("""COMPUTED_VALUE"""),5.466911265303127E-4)</f>
        <v>0.0005466911265</v>
      </c>
      <c r="O23" s="91">
        <f>IFERROR(__xludf.DUMMYFUNCTION("""COMPUTED_VALUE"""),0.0)</f>
        <v>0</v>
      </c>
      <c r="Q23" s="91">
        <v>0.3915</v>
      </c>
      <c r="R23" s="91">
        <v>0.0229</v>
      </c>
      <c r="S23" s="91">
        <v>0.0065</v>
      </c>
      <c r="T23" s="91">
        <v>9.0E-4</v>
      </c>
      <c r="U23" s="91">
        <v>0.0714</v>
      </c>
      <c r="V23" s="91">
        <v>0.0268</v>
      </c>
      <c r="W23" s="91">
        <v>0.0025</v>
      </c>
      <c r="X23" s="91">
        <v>0.0</v>
      </c>
      <c r="Y23" s="91">
        <v>0.0</v>
      </c>
      <c r="Z23" s="91">
        <v>0.0</v>
      </c>
      <c r="AA23" s="91">
        <v>19.7887</v>
      </c>
      <c r="AB23" s="91">
        <v>5.0E-4</v>
      </c>
      <c r="AC23" s="91">
        <v>0.0</v>
      </c>
      <c r="AE23" s="87">
        <f t="shared" ref="AE23:AQ23" si="19">IFERROR((Q23-C23)/C23, "")</f>
        <v>-0.4831421037</v>
      </c>
      <c r="AF23" s="87" t="str">
        <f t="shared" si="19"/>
        <v/>
      </c>
      <c r="AG23" s="87">
        <f t="shared" si="19"/>
        <v>-0.8142232514</v>
      </c>
      <c r="AH23" s="87">
        <f t="shared" si="19"/>
        <v>-0.4649629639</v>
      </c>
      <c r="AI23" s="87">
        <f t="shared" si="19"/>
        <v>564.9502871</v>
      </c>
      <c r="AJ23" s="87">
        <f t="shared" si="19"/>
        <v>636.2885586</v>
      </c>
      <c r="AK23" s="87">
        <f t="shared" si="19"/>
        <v>58.44855957</v>
      </c>
      <c r="AL23" s="87" t="str">
        <f t="shared" si="19"/>
        <v/>
      </c>
      <c r="AM23" s="87" t="str">
        <f t="shared" si="19"/>
        <v/>
      </c>
      <c r="AN23" s="87" t="str">
        <f t="shared" si="19"/>
        <v/>
      </c>
      <c r="AO23" s="87">
        <f t="shared" si="19"/>
        <v>1.013943259</v>
      </c>
      <c r="AP23" s="87">
        <f t="shared" si="19"/>
        <v>-0.0854067759</v>
      </c>
      <c r="AQ23" s="87" t="str">
        <f t="shared" si="19"/>
        <v/>
      </c>
    </row>
    <row r="24">
      <c r="B24" s="84" t="s">
        <v>199</v>
      </c>
      <c r="C24" s="86">
        <f>IFERROR(__xludf.DUMMYFUNCTION("""COMPUTED_VALUE"""),12.387418980834639)</f>
        <v>12.38741898</v>
      </c>
      <c r="D24" s="86">
        <f>IFERROR(__xludf.DUMMYFUNCTION("""COMPUTED_VALUE"""),0.18826722557728365)</f>
        <v>0.1882672256</v>
      </c>
      <c r="E24" s="86">
        <f>IFERROR(__xludf.DUMMYFUNCTION("""COMPUTED_VALUE"""),0.10139098329669312)</f>
        <v>0.1013909833</v>
      </c>
      <c r="F24" s="86">
        <f>IFERROR(__xludf.DUMMYFUNCTION("""COMPUTED_VALUE"""),0.05086525470116647)</f>
        <v>0.0508652547</v>
      </c>
      <c r="G24" s="86">
        <f>IFERROR(__xludf.DUMMYFUNCTION("""COMPUTED_VALUE"""),0.0)</f>
        <v>0</v>
      </c>
      <c r="H24" s="86">
        <f>IFERROR(__xludf.DUMMYFUNCTION("""COMPUTED_VALUE"""),0.0)</f>
        <v>0</v>
      </c>
      <c r="I24" s="86">
        <f>IFERROR(__xludf.DUMMYFUNCTION("""COMPUTED_VALUE"""),0.0)</f>
        <v>0</v>
      </c>
      <c r="J24" s="86">
        <f>IFERROR(__xludf.DUMMYFUNCTION("""COMPUTED_VALUE"""),0.0)</f>
        <v>0</v>
      </c>
      <c r="K24" s="86">
        <f>IFERROR(__xludf.DUMMYFUNCTION("""COMPUTED_VALUE"""),0.0)</f>
        <v>0</v>
      </c>
      <c r="L24" s="86">
        <f>IFERROR(__xludf.DUMMYFUNCTION("""COMPUTED_VALUE"""),0.0)</f>
        <v>0</v>
      </c>
      <c r="M24" s="86">
        <f>IFERROR(__xludf.DUMMYFUNCTION("""COMPUTED_VALUE"""),0.0)</f>
        <v>0</v>
      </c>
      <c r="N24" s="85">
        <f>IFERROR(__xludf.DUMMYFUNCTION("""COMPUTED_VALUE"""),1.2732228961493484E-4)</f>
        <v>0.0001273222896</v>
      </c>
      <c r="O24" s="85">
        <f>IFERROR(__xludf.DUMMYFUNCTION("""COMPUTED_VALUE"""),0.0)</f>
        <v>0</v>
      </c>
      <c r="Q24" s="86">
        <v>16.6059</v>
      </c>
      <c r="R24" s="86">
        <v>0.1941</v>
      </c>
      <c r="S24" s="86">
        <v>0.1012</v>
      </c>
      <c r="T24" s="86">
        <v>0.0481</v>
      </c>
      <c r="U24" s="86">
        <v>0.0</v>
      </c>
      <c r="V24" s="86">
        <v>0.0</v>
      </c>
      <c r="W24" s="86">
        <v>0.0</v>
      </c>
      <c r="X24" s="86">
        <v>0.0</v>
      </c>
      <c r="Y24" s="86">
        <v>0.0</v>
      </c>
      <c r="Z24" s="86">
        <v>0.0</v>
      </c>
      <c r="AA24" s="86">
        <v>0.0</v>
      </c>
      <c r="AB24" s="85">
        <v>0.0</v>
      </c>
      <c r="AC24" s="85">
        <v>0.0</v>
      </c>
      <c r="AE24" s="87">
        <f t="shared" ref="AE24:AQ24" si="20">IFERROR((Q24-C24)/C24, "")</f>
        <v>0.3405455992</v>
      </c>
      <c r="AF24" s="87">
        <f t="shared" si="20"/>
        <v>0.03098135857</v>
      </c>
      <c r="AG24" s="87">
        <f t="shared" si="20"/>
        <v>-0.001883631961</v>
      </c>
      <c r="AH24" s="87">
        <f t="shared" si="20"/>
        <v>-0.05436431445</v>
      </c>
      <c r="AI24" s="87" t="str">
        <f t="shared" si="20"/>
        <v/>
      </c>
      <c r="AJ24" s="87" t="str">
        <f t="shared" si="20"/>
        <v/>
      </c>
      <c r="AK24" s="87" t="str">
        <f t="shared" si="20"/>
        <v/>
      </c>
      <c r="AL24" s="87" t="str">
        <f t="shared" si="20"/>
        <v/>
      </c>
      <c r="AM24" s="87" t="str">
        <f t="shared" si="20"/>
        <v/>
      </c>
      <c r="AN24" s="87" t="str">
        <f t="shared" si="20"/>
        <v/>
      </c>
      <c r="AO24" s="87" t="str">
        <f t="shared" si="20"/>
        <v/>
      </c>
      <c r="AP24" s="87">
        <f t="shared" si="20"/>
        <v>-1</v>
      </c>
      <c r="AQ24" s="87" t="str">
        <f t="shared" si="20"/>
        <v/>
      </c>
    </row>
    <row r="25">
      <c r="B25" s="84" t="s">
        <v>201</v>
      </c>
      <c r="C25" s="86">
        <f>IFERROR(__xludf.DUMMYFUNCTION("""COMPUTED_VALUE"""),13.897540000000001)</f>
        <v>13.89754</v>
      </c>
      <c r="D25" s="86">
        <f>IFERROR(__xludf.DUMMYFUNCTION("""COMPUTED_VALUE"""),0.11721999999999999)</f>
        <v>0.11722</v>
      </c>
      <c r="E25" s="86">
        <f>IFERROR(__xludf.DUMMYFUNCTION("""COMPUTED_VALUE"""),0.171)</f>
        <v>0.171</v>
      </c>
      <c r="F25" s="86">
        <f>IFERROR(__xludf.DUMMYFUNCTION("""COMPUTED_VALUE"""),0.28336)</f>
        <v>0.28336</v>
      </c>
      <c r="G25" s="86">
        <f>IFERROR(__xludf.DUMMYFUNCTION("""COMPUTED_VALUE"""),0.023860000000000003)</f>
        <v>0.02386</v>
      </c>
      <c r="H25" s="86">
        <f>IFERROR(__xludf.DUMMYFUNCTION("""COMPUTED_VALUE"""),0.04476)</f>
        <v>0.04476</v>
      </c>
      <c r="I25" s="86">
        <f>IFERROR(__xludf.DUMMYFUNCTION("""COMPUTED_VALUE"""),0.11752000000000001)</f>
        <v>0.11752</v>
      </c>
      <c r="J25" s="86">
        <f>IFERROR(__xludf.DUMMYFUNCTION("""COMPUTED_VALUE"""),1.6E-4)</f>
        <v>0.00016</v>
      </c>
      <c r="K25" s="86">
        <f>IFERROR(__xludf.DUMMYFUNCTION("""COMPUTED_VALUE"""),0.0)</f>
        <v>0</v>
      </c>
      <c r="L25" s="86">
        <f>IFERROR(__xludf.DUMMYFUNCTION("""COMPUTED_VALUE"""),0.0)</f>
        <v>0</v>
      </c>
      <c r="M25" s="86">
        <f>IFERROR(__xludf.DUMMYFUNCTION("""COMPUTED_VALUE"""),5.9999999999999995E-5)</f>
        <v>0.00006</v>
      </c>
      <c r="N25" s="85">
        <f>IFERROR(__xludf.DUMMYFUNCTION("""COMPUTED_VALUE"""),1.1999999999999999E-4)</f>
        <v>0.00012</v>
      </c>
      <c r="O25" s="85">
        <f>IFERROR(__xludf.DUMMYFUNCTION("""COMPUTED_VALUE"""),0.0)</f>
        <v>0</v>
      </c>
      <c r="Q25" s="86">
        <v>18.6477</v>
      </c>
      <c r="R25" s="86">
        <v>0.1219</v>
      </c>
      <c r="S25" s="86">
        <v>0.1634</v>
      </c>
      <c r="T25" s="86">
        <v>0.2603</v>
      </c>
      <c r="U25" s="86">
        <v>0.0285</v>
      </c>
      <c r="V25" s="86">
        <v>0.0496</v>
      </c>
      <c r="W25" s="86">
        <v>0.1415</v>
      </c>
      <c r="X25" s="86">
        <v>9.0E-4</v>
      </c>
      <c r="Y25" s="86">
        <v>0.0</v>
      </c>
      <c r="Z25" s="86">
        <v>0.0</v>
      </c>
      <c r="AA25" s="86">
        <v>0.0032</v>
      </c>
      <c r="AB25" s="85">
        <v>0.0</v>
      </c>
      <c r="AC25" s="85">
        <v>0.0</v>
      </c>
      <c r="AE25" s="87">
        <f t="shared" ref="AE25:AQ25" si="21">IFERROR((Q25-C25)/C25, "")</f>
        <v>0.3417986205</v>
      </c>
      <c r="AF25" s="87">
        <f t="shared" si="21"/>
        <v>0.03992492749</v>
      </c>
      <c r="AG25" s="87">
        <f t="shared" si="21"/>
        <v>-0.04444444444</v>
      </c>
      <c r="AH25" s="87">
        <f t="shared" si="21"/>
        <v>-0.08138057595</v>
      </c>
      <c r="AI25" s="87">
        <f t="shared" si="21"/>
        <v>0.1944677284</v>
      </c>
      <c r="AJ25" s="87">
        <f t="shared" si="21"/>
        <v>0.1081322609</v>
      </c>
      <c r="AK25" s="87">
        <f t="shared" si="21"/>
        <v>0.2040503744</v>
      </c>
      <c r="AL25" s="87">
        <f t="shared" si="21"/>
        <v>4.625</v>
      </c>
      <c r="AM25" s="87" t="str">
        <f t="shared" si="21"/>
        <v/>
      </c>
      <c r="AN25" s="87" t="str">
        <f t="shared" si="21"/>
        <v/>
      </c>
      <c r="AO25" s="87">
        <f t="shared" si="21"/>
        <v>52.33333333</v>
      </c>
      <c r="AP25" s="87">
        <f t="shared" si="21"/>
        <v>-1</v>
      </c>
      <c r="AQ25" s="87" t="str">
        <f t="shared" si="21"/>
        <v/>
      </c>
    </row>
    <row r="26">
      <c r="B26" s="89" t="s">
        <v>204</v>
      </c>
      <c r="C26" s="91">
        <f>IFERROR(__xludf.DUMMYFUNCTION("""COMPUTED_VALUE"""),1.097707142455746)</f>
        <v>1.097707142</v>
      </c>
      <c r="D26" s="91">
        <f>IFERROR(__xludf.DUMMYFUNCTION("""COMPUTED_VALUE"""),0.0)</f>
        <v>0</v>
      </c>
      <c r="E26" s="91">
        <f>IFERROR(__xludf.DUMMYFUNCTION("""COMPUTED_VALUE"""),0.023268727170553533)</f>
        <v>0.02326872717</v>
      </c>
      <c r="F26" s="91">
        <f>IFERROR(__xludf.DUMMYFUNCTION("""COMPUTED_VALUE"""),0.021076173082326503)</f>
        <v>0.02107617308</v>
      </c>
      <c r="G26" s="91">
        <f>IFERROR(__xludf.DUMMYFUNCTION("""COMPUTED_VALUE"""),0.004246838999719023)</f>
        <v>0.004246839</v>
      </c>
      <c r="H26" s="91">
        <f>IFERROR(__xludf.DUMMYFUNCTION("""COMPUTED_VALUE"""),0.008888732790109584)</f>
        <v>0.00888873279</v>
      </c>
      <c r="I26" s="91">
        <f>IFERROR(__xludf.DUMMYFUNCTION("""COMPUTED_VALUE"""),0.016375021073335213)</f>
        <v>0.01637502107</v>
      </c>
      <c r="J26" s="91">
        <f>IFERROR(__xludf.DUMMYFUNCTION("""COMPUTED_VALUE"""),0.0)</f>
        <v>0</v>
      </c>
      <c r="K26" s="91">
        <f>IFERROR(__xludf.DUMMYFUNCTION("""COMPUTED_VALUE"""),0.0)</f>
        <v>0</v>
      </c>
      <c r="L26" s="91">
        <f>IFERROR(__xludf.DUMMYFUNCTION("""COMPUTED_VALUE"""),0.0)</f>
        <v>0</v>
      </c>
      <c r="M26" s="91">
        <f>IFERROR(__xludf.DUMMYFUNCTION("""COMPUTED_VALUE"""),0.06492725484686712)</f>
        <v>0.06492725485</v>
      </c>
      <c r="N26" s="140">
        <f>IFERROR(__xludf.DUMMYFUNCTION("""COMPUTED_VALUE"""),3.5195628828322576)</f>
        <v>3.519562883</v>
      </c>
      <c r="O26" s="140">
        <f>IFERROR(__xludf.DUMMYFUNCTION("""COMPUTED_VALUE"""),0.0)</f>
        <v>0</v>
      </c>
      <c r="Q26" s="91">
        <v>1.6305</v>
      </c>
      <c r="R26" s="91">
        <v>0.0182</v>
      </c>
      <c r="S26" s="91">
        <v>0.0209</v>
      </c>
      <c r="T26" s="91">
        <v>0.0131</v>
      </c>
      <c r="U26" s="91">
        <v>0.0091</v>
      </c>
      <c r="V26" s="91">
        <v>0.0122</v>
      </c>
      <c r="W26" s="91">
        <v>0.022</v>
      </c>
      <c r="X26" s="91">
        <v>0.0</v>
      </c>
      <c r="Y26" s="91">
        <v>0.0</v>
      </c>
      <c r="Z26" s="91">
        <v>0.0</v>
      </c>
      <c r="AA26" s="91">
        <v>0.3346</v>
      </c>
      <c r="AB26" s="140">
        <v>4.289</v>
      </c>
      <c r="AC26" s="140">
        <v>0.0</v>
      </c>
      <c r="AE26" s="87">
        <f t="shared" ref="AE26:AQ26" si="22">IFERROR((Q26-C26)/C26, "")</f>
        <v>0.4853688538</v>
      </c>
      <c r="AF26" s="87" t="str">
        <f t="shared" si="22"/>
        <v/>
      </c>
      <c r="AG26" s="87">
        <f t="shared" si="22"/>
        <v>-0.1017987427</v>
      </c>
      <c r="AH26" s="87">
        <f t="shared" si="22"/>
        <v>-0.3784450361</v>
      </c>
      <c r="AI26" s="87">
        <f t="shared" si="22"/>
        <v>1.142770188</v>
      </c>
      <c r="AJ26" s="87">
        <f t="shared" si="22"/>
        <v>0.3725241031</v>
      </c>
      <c r="AK26" s="87">
        <f t="shared" si="22"/>
        <v>0.3435097214</v>
      </c>
      <c r="AL26" s="87" t="str">
        <f t="shared" si="22"/>
        <v/>
      </c>
      <c r="AM26" s="87" t="str">
        <f t="shared" si="22"/>
        <v/>
      </c>
      <c r="AN26" s="87" t="str">
        <f t="shared" si="22"/>
        <v/>
      </c>
      <c r="AO26" s="87">
        <f t="shared" si="22"/>
        <v>4.153459834</v>
      </c>
      <c r="AP26" s="87">
        <f t="shared" si="22"/>
        <v>0.2186172382</v>
      </c>
      <c r="AQ26" s="87" t="str">
        <f t="shared" si="22"/>
        <v/>
      </c>
    </row>
    <row r="27">
      <c r="B27" s="84" t="s">
        <v>205</v>
      </c>
      <c r="C27" s="86">
        <f>IFERROR(__xludf.DUMMYFUNCTION("""COMPUTED_VALUE"""),0.0)</f>
        <v>0</v>
      </c>
      <c r="D27" s="86">
        <f>IFERROR(__xludf.DUMMYFUNCTION("""COMPUTED_VALUE"""),0.0)</f>
        <v>0</v>
      </c>
      <c r="E27" s="86">
        <f>IFERROR(__xludf.DUMMYFUNCTION("""COMPUTED_VALUE"""),0.0)</f>
        <v>0</v>
      </c>
      <c r="F27" s="86">
        <f>IFERROR(__xludf.DUMMYFUNCTION("""COMPUTED_VALUE"""),2.424242424242424E-5)</f>
        <v>0.00002424242424</v>
      </c>
      <c r="G27" s="86">
        <f>IFERROR(__xludf.DUMMYFUNCTION("""COMPUTED_VALUE"""),0.0)</f>
        <v>0</v>
      </c>
      <c r="H27" s="86">
        <f>IFERROR(__xludf.DUMMYFUNCTION("""COMPUTED_VALUE"""),0.0)</f>
        <v>0</v>
      </c>
      <c r="I27" s="86">
        <f>IFERROR(__xludf.DUMMYFUNCTION("""COMPUTED_VALUE"""),2.424242424242424E-5)</f>
        <v>0.00002424242424</v>
      </c>
      <c r="J27" s="86">
        <f>IFERROR(__xludf.DUMMYFUNCTION("""COMPUTED_VALUE"""),0.0)</f>
        <v>0</v>
      </c>
      <c r="K27" s="86">
        <f>IFERROR(__xludf.DUMMYFUNCTION("""COMPUTED_VALUE"""),0.0)</f>
        <v>0</v>
      </c>
      <c r="L27" s="86">
        <f>IFERROR(__xludf.DUMMYFUNCTION("""COMPUTED_VALUE"""),4.848484848484848E-5)</f>
        <v>0.00004848484848</v>
      </c>
      <c r="M27" s="86">
        <f>IFERROR(__xludf.DUMMYFUNCTION("""COMPUTED_VALUE"""),7.272727272727271E-5)</f>
        <v>0.00007272727273</v>
      </c>
      <c r="N27" s="85">
        <f>IFERROR(__xludf.DUMMYFUNCTION("""COMPUTED_VALUE"""),0.0)</f>
        <v>0</v>
      </c>
      <c r="O27" s="85">
        <f>IFERROR(__xludf.DUMMYFUNCTION("""COMPUTED_VALUE"""),0.0)</f>
        <v>0</v>
      </c>
      <c r="Q27" s="86">
        <v>0.0</v>
      </c>
      <c r="R27" s="86">
        <v>0.0</v>
      </c>
      <c r="S27" s="86">
        <v>0.0</v>
      </c>
      <c r="T27" s="86">
        <v>2.0E-4</v>
      </c>
      <c r="U27" s="86">
        <v>0.0</v>
      </c>
      <c r="V27" s="86">
        <v>2.0E-4</v>
      </c>
      <c r="W27" s="86">
        <v>2.0E-4</v>
      </c>
      <c r="X27" s="86">
        <v>0.0</v>
      </c>
      <c r="Y27" s="86">
        <v>0.0</v>
      </c>
      <c r="Z27" s="86">
        <v>0.0014</v>
      </c>
      <c r="AA27" s="86">
        <v>0.0014</v>
      </c>
      <c r="AB27" s="85">
        <v>0.0</v>
      </c>
      <c r="AC27" s="85">
        <v>0.0</v>
      </c>
      <c r="AE27" s="87" t="str">
        <f t="shared" ref="AE27:AQ27" si="23">IFERROR((Q27-C27)/C27, "")</f>
        <v/>
      </c>
      <c r="AF27" s="87" t="str">
        <f t="shared" si="23"/>
        <v/>
      </c>
      <c r="AG27" s="87" t="str">
        <f t="shared" si="23"/>
        <v/>
      </c>
      <c r="AH27" s="87">
        <f t="shared" si="23"/>
        <v>7.25</v>
      </c>
      <c r="AI27" s="87" t="str">
        <f t="shared" si="23"/>
        <v/>
      </c>
      <c r="AJ27" s="87" t="str">
        <f t="shared" si="23"/>
        <v/>
      </c>
      <c r="AK27" s="87">
        <f t="shared" si="23"/>
        <v>7.25</v>
      </c>
      <c r="AL27" s="87" t="str">
        <f t="shared" si="23"/>
        <v/>
      </c>
      <c r="AM27" s="87" t="str">
        <f t="shared" si="23"/>
        <v/>
      </c>
      <c r="AN27" s="87">
        <f t="shared" si="23"/>
        <v>27.875</v>
      </c>
      <c r="AO27" s="87">
        <f t="shared" si="23"/>
        <v>18.25</v>
      </c>
      <c r="AP27" s="87" t="str">
        <f t="shared" si="23"/>
        <v/>
      </c>
      <c r="AQ27" s="87" t="str">
        <f t="shared" si="23"/>
        <v/>
      </c>
    </row>
    <row r="28">
      <c r="B28" s="89" t="s">
        <v>207</v>
      </c>
      <c r="C28" s="91">
        <f>IFERROR(__xludf.DUMMYFUNCTION("""COMPUTED_VALUE"""),17.504469751911046)</f>
        <v>17.50446975</v>
      </c>
      <c r="D28" s="91">
        <f>IFERROR(__xludf.DUMMYFUNCTION("""COMPUTED_VALUE"""),1.196495233773724)</f>
        <v>1.196495234</v>
      </c>
      <c r="E28" s="91">
        <f>IFERROR(__xludf.DUMMYFUNCTION("""COMPUTED_VALUE"""),0.242112998815586)</f>
        <v>0.2421129988</v>
      </c>
      <c r="F28" s="91">
        <f>IFERROR(__xludf.DUMMYFUNCTION("""COMPUTED_VALUE"""),0.0924330965613241)</f>
        <v>0.09243309656</v>
      </c>
      <c r="G28" s="91">
        <f>IFERROR(__xludf.DUMMYFUNCTION("""COMPUTED_VALUE"""),1.02991546981198)</f>
        <v>1.02991547</v>
      </c>
      <c r="H28" s="91">
        <f>IFERROR(__xludf.DUMMYFUNCTION("""COMPUTED_VALUE"""),0.8041577578232844)</f>
        <v>0.8041577578</v>
      </c>
      <c r="I28" s="91">
        <f>IFERROR(__xludf.DUMMYFUNCTION("""COMPUTED_VALUE"""),0.0)</f>
        <v>0</v>
      </c>
      <c r="J28" s="91">
        <f>IFERROR(__xludf.DUMMYFUNCTION("""COMPUTED_VALUE"""),0.0)</f>
        <v>0</v>
      </c>
      <c r="K28" s="91">
        <f>IFERROR(__xludf.DUMMYFUNCTION("""COMPUTED_VALUE"""),0.0)</f>
        <v>0</v>
      </c>
      <c r="L28" s="91">
        <f>IFERROR(__xludf.DUMMYFUNCTION("""COMPUTED_VALUE"""),0.4177220656757403)</f>
        <v>0.4177220657</v>
      </c>
      <c r="M28" s="91">
        <f>IFERROR(__xludf.DUMMYFUNCTION("""COMPUTED_VALUE"""),21.614962667489735)</f>
        <v>21.61496267</v>
      </c>
      <c r="N28" s="140">
        <f>IFERROR(__xludf.DUMMYFUNCTION("""COMPUTED_VALUE"""),43.43438654489091)</f>
        <v>43.43438654</v>
      </c>
      <c r="O28" s="140">
        <f>IFERROR(__xludf.DUMMYFUNCTION("""COMPUTED_VALUE"""),0.0)</f>
        <v>0</v>
      </c>
      <c r="Q28" s="91">
        <v>10.5821</v>
      </c>
      <c r="R28" s="91">
        <v>0.6372</v>
      </c>
      <c r="S28" s="91">
        <v>0.1386</v>
      </c>
      <c r="T28" s="91">
        <v>0.0556</v>
      </c>
      <c r="U28" s="91">
        <v>0.5683</v>
      </c>
      <c r="V28" s="91">
        <v>0.4504</v>
      </c>
      <c r="W28" s="91">
        <v>0.0021</v>
      </c>
      <c r="X28" s="91">
        <v>0.0</v>
      </c>
      <c r="Y28" s="91">
        <v>0.0</v>
      </c>
      <c r="Z28" s="91">
        <v>0.3967</v>
      </c>
      <c r="AA28" s="91">
        <v>17.0358</v>
      </c>
      <c r="AB28" s="140">
        <v>23.7645</v>
      </c>
      <c r="AC28" s="140">
        <v>7.0E-4</v>
      </c>
      <c r="AE28" s="87">
        <f t="shared" ref="AE28:AQ28" si="24">IFERROR((Q28-C28)/C28, "")</f>
        <v>-0.3954629789</v>
      </c>
      <c r="AF28" s="87">
        <f t="shared" si="24"/>
        <v>-0.4674445982</v>
      </c>
      <c r="AG28" s="87">
        <f t="shared" si="24"/>
        <v>-0.4275400302</v>
      </c>
      <c r="AH28" s="87">
        <f t="shared" si="24"/>
        <v>-0.3984838541</v>
      </c>
      <c r="AI28" s="87">
        <f t="shared" si="24"/>
        <v>-0.4482071426</v>
      </c>
      <c r="AJ28" s="87">
        <f t="shared" si="24"/>
        <v>-0.4399108936</v>
      </c>
      <c r="AK28" s="87" t="str">
        <f t="shared" si="24"/>
        <v/>
      </c>
      <c r="AL28" s="87" t="str">
        <f t="shared" si="24"/>
        <v/>
      </c>
      <c r="AM28" s="87" t="str">
        <f t="shared" si="24"/>
        <v/>
      </c>
      <c r="AN28" s="87">
        <f t="shared" si="24"/>
        <v>-0.0503254853</v>
      </c>
      <c r="AO28" s="87">
        <f t="shared" si="24"/>
        <v>-0.2118515187</v>
      </c>
      <c r="AP28" s="87">
        <f t="shared" si="24"/>
        <v>-0.4528643803</v>
      </c>
      <c r="AQ28" s="87" t="str">
        <f t="shared" si="24"/>
        <v/>
      </c>
    </row>
    <row r="29">
      <c r="B29" s="84" t="s">
        <v>208</v>
      </c>
      <c r="C29" s="86">
        <f>IFERROR(__xludf.DUMMYFUNCTION("""COMPUTED_VALUE"""),0.0)</f>
        <v>0</v>
      </c>
      <c r="D29" s="86">
        <f>IFERROR(__xludf.DUMMYFUNCTION("""COMPUTED_VALUE"""),0.0)</f>
        <v>0</v>
      </c>
      <c r="E29" s="86">
        <f>IFERROR(__xludf.DUMMYFUNCTION("""COMPUTED_VALUE"""),0.0)</f>
        <v>0</v>
      </c>
      <c r="F29" s="86">
        <f>IFERROR(__xludf.DUMMYFUNCTION("""COMPUTED_VALUE"""),0.0)</f>
        <v>0</v>
      </c>
      <c r="G29" s="86">
        <f>IFERROR(__xludf.DUMMYFUNCTION("""COMPUTED_VALUE"""),0.0)</f>
        <v>0</v>
      </c>
      <c r="H29" s="86">
        <f>IFERROR(__xludf.DUMMYFUNCTION("""COMPUTED_VALUE"""),0.0)</f>
        <v>0</v>
      </c>
      <c r="I29" s="86">
        <f>IFERROR(__xludf.DUMMYFUNCTION("""COMPUTED_VALUE"""),0.0)</f>
        <v>0</v>
      </c>
      <c r="J29" s="86">
        <f>IFERROR(__xludf.DUMMYFUNCTION("""COMPUTED_VALUE"""),0.0)</f>
        <v>0</v>
      </c>
      <c r="K29" s="86">
        <f>IFERROR(__xludf.DUMMYFUNCTION("""COMPUTED_VALUE"""),0.0)</f>
        <v>0</v>
      </c>
      <c r="L29" s="86">
        <f>IFERROR(__xludf.DUMMYFUNCTION("""COMPUTED_VALUE"""),0.0)</f>
        <v>0</v>
      </c>
      <c r="M29" s="86">
        <f>IFERROR(__xludf.DUMMYFUNCTION("""COMPUTED_VALUE"""),0.0)</f>
        <v>0</v>
      </c>
      <c r="N29" s="85">
        <f>IFERROR(__xludf.DUMMYFUNCTION("""COMPUTED_VALUE"""),0.0)</f>
        <v>0</v>
      </c>
      <c r="O29" s="85">
        <f>IFERROR(__xludf.DUMMYFUNCTION("""COMPUTED_VALUE"""),0.0)</f>
        <v>0</v>
      </c>
      <c r="Q29" s="86">
        <v>0.0</v>
      </c>
      <c r="R29" s="86">
        <v>0.0</v>
      </c>
      <c r="S29" s="86">
        <v>0.0</v>
      </c>
      <c r="T29" s="86">
        <v>0.0</v>
      </c>
      <c r="U29" s="86">
        <v>0.0</v>
      </c>
      <c r="V29" s="86">
        <v>0.0</v>
      </c>
      <c r="W29" s="86">
        <v>0.0</v>
      </c>
      <c r="X29" s="86">
        <v>0.0</v>
      </c>
      <c r="Y29" s="86">
        <v>0.0</v>
      </c>
      <c r="Z29" s="86">
        <v>0.0</v>
      </c>
      <c r="AA29" s="86">
        <v>0.0</v>
      </c>
      <c r="AB29" s="85">
        <v>0.0</v>
      </c>
      <c r="AC29" s="85">
        <v>0.0</v>
      </c>
      <c r="AE29" s="87" t="str">
        <f t="shared" ref="AE29:AQ29" si="25">IFERROR((Q29-C29)/C29, "")</f>
        <v/>
      </c>
      <c r="AF29" s="87" t="str">
        <f t="shared" si="25"/>
        <v/>
      </c>
      <c r="AG29" s="87" t="str">
        <f t="shared" si="25"/>
        <v/>
      </c>
      <c r="AH29" s="87" t="str">
        <f t="shared" si="25"/>
        <v/>
      </c>
      <c r="AI29" s="87" t="str">
        <f t="shared" si="25"/>
        <v/>
      </c>
      <c r="AJ29" s="87" t="str">
        <f t="shared" si="25"/>
        <v/>
      </c>
      <c r="AK29" s="87" t="str">
        <f t="shared" si="25"/>
        <v/>
      </c>
      <c r="AL29" s="87" t="str">
        <f t="shared" si="25"/>
        <v/>
      </c>
      <c r="AM29" s="87" t="str">
        <f t="shared" si="25"/>
        <v/>
      </c>
      <c r="AN29" s="87" t="str">
        <f t="shared" si="25"/>
        <v/>
      </c>
      <c r="AO29" s="87" t="str">
        <f t="shared" si="25"/>
        <v/>
      </c>
      <c r="AP29" s="87" t="str">
        <f t="shared" si="25"/>
        <v/>
      </c>
      <c r="AQ29" s="87" t="str">
        <f t="shared" si="25"/>
        <v/>
      </c>
    </row>
    <row r="30"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AE30" s="87" t="str">
        <f t="shared" ref="AE30:AQ30" si="26">IFERROR((Q30-C30)/C30, "")</f>
        <v/>
      </c>
      <c r="AF30" s="87" t="str">
        <f t="shared" si="26"/>
        <v/>
      </c>
      <c r="AG30" s="87" t="str">
        <f t="shared" si="26"/>
        <v/>
      </c>
      <c r="AH30" s="87" t="str">
        <f t="shared" si="26"/>
        <v/>
      </c>
      <c r="AI30" s="87" t="str">
        <f t="shared" si="26"/>
        <v/>
      </c>
      <c r="AJ30" s="87" t="str">
        <f t="shared" si="26"/>
        <v/>
      </c>
      <c r="AK30" s="87" t="str">
        <f t="shared" si="26"/>
        <v/>
      </c>
      <c r="AL30" s="87" t="str">
        <f t="shared" si="26"/>
        <v/>
      </c>
      <c r="AM30" s="87" t="str">
        <f t="shared" si="26"/>
        <v/>
      </c>
      <c r="AN30" s="87" t="str">
        <f t="shared" si="26"/>
        <v/>
      </c>
      <c r="AO30" s="87" t="str">
        <f t="shared" si="26"/>
        <v/>
      </c>
      <c r="AP30" s="87" t="str">
        <f t="shared" si="26"/>
        <v/>
      </c>
      <c r="AQ30" s="87" t="str">
        <f t="shared" si="26"/>
        <v/>
      </c>
    </row>
    <row r="31"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AE31" s="87" t="str">
        <f t="shared" ref="AE31:AQ31" si="27">IFERROR((Q31-C31)/C31, "")</f>
        <v/>
      </c>
      <c r="AF31" s="87" t="str">
        <f t="shared" si="27"/>
        <v/>
      </c>
      <c r="AG31" s="87" t="str">
        <f t="shared" si="27"/>
        <v/>
      </c>
      <c r="AH31" s="87" t="str">
        <f t="shared" si="27"/>
        <v/>
      </c>
      <c r="AI31" s="87" t="str">
        <f t="shared" si="27"/>
        <v/>
      </c>
      <c r="AJ31" s="87" t="str">
        <f t="shared" si="27"/>
        <v/>
      </c>
      <c r="AK31" s="87" t="str">
        <f t="shared" si="27"/>
        <v/>
      </c>
      <c r="AL31" s="87" t="str">
        <f t="shared" si="27"/>
        <v/>
      </c>
      <c r="AM31" s="87" t="str">
        <f t="shared" si="27"/>
        <v/>
      </c>
      <c r="AN31" s="87" t="str">
        <f t="shared" si="27"/>
        <v/>
      </c>
      <c r="AO31" s="87" t="str">
        <f t="shared" si="27"/>
        <v/>
      </c>
      <c r="AP31" s="87" t="str">
        <f t="shared" si="27"/>
        <v/>
      </c>
      <c r="AQ31" s="87" t="str">
        <f t="shared" si="27"/>
        <v/>
      </c>
    </row>
    <row r="32">
      <c r="B32" s="78" t="s">
        <v>143</v>
      </c>
      <c r="C32" s="80" t="str">
        <f>IFERROR(__xludf.DUMMYFUNCTION("""COMPUTED_VALUE"""),"10-19 Segment - Over Time Period")</f>
        <v>10-19 Segment - Over Time Period</v>
      </c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AE32" s="87" t="str">
        <f t="shared" ref="AE32:AQ32" si="28">IFERROR((Q32-C32)/C32, "")</f>
        <v/>
      </c>
      <c r="AF32" s="87" t="str">
        <f t="shared" si="28"/>
        <v/>
      </c>
      <c r="AG32" s="87" t="str">
        <f t="shared" si="28"/>
        <v/>
      </c>
      <c r="AH32" s="87" t="str">
        <f t="shared" si="28"/>
        <v/>
      </c>
      <c r="AI32" s="87" t="str">
        <f t="shared" si="28"/>
        <v/>
      </c>
      <c r="AJ32" s="87" t="str">
        <f t="shared" si="28"/>
        <v/>
      </c>
      <c r="AK32" s="87" t="str">
        <f t="shared" si="28"/>
        <v/>
      </c>
      <c r="AL32" s="87" t="str">
        <f t="shared" si="28"/>
        <v/>
      </c>
      <c r="AM32" s="87" t="str">
        <f t="shared" si="28"/>
        <v/>
      </c>
      <c r="AN32" s="87" t="str">
        <f t="shared" si="28"/>
        <v/>
      </c>
      <c r="AO32" s="87" t="str">
        <f t="shared" si="28"/>
        <v/>
      </c>
      <c r="AP32" s="87" t="str">
        <f t="shared" si="28"/>
        <v/>
      </c>
      <c r="AQ32" s="87" t="str">
        <f t="shared" si="28"/>
        <v/>
      </c>
    </row>
    <row r="33">
      <c r="B33" s="82" t="s">
        <v>128</v>
      </c>
      <c r="C33" s="83" t="str">
        <f>IFERROR(__xludf.DUMMYFUNCTION("""COMPUTED_VALUE"""),"HC")</f>
        <v>HC</v>
      </c>
      <c r="D33" s="83" t="str">
        <f>IFERROR(__xludf.DUMMYFUNCTION("""COMPUTED_VALUE"""),"Slingshot")</f>
        <v>Slingshot</v>
      </c>
      <c r="E33" s="83" t="str">
        <f>IFERROR(__xludf.DUMMYFUNCTION("""COMPUTED_VALUE"""),"Shuffle")</f>
        <v>Shuffle</v>
      </c>
      <c r="F33" s="83" t="str">
        <f>IFERROR(__xludf.DUMMYFUNCTION("""COMPUTED_VALUE"""),"Comet")</f>
        <v>Comet</v>
      </c>
      <c r="G33" s="83" t="str">
        <f>IFERROR(__xludf.DUMMYFUNCTION("""COMPUTED_VALUE"""),"Red")</f>
        <v>Red</v>
      </c>
      <c r="H33" s="83" t="str">
        <f>IFERROR(__xludf.DUMMYFUNCTION("""COMPUTED_VALUE"""),"Chuck")</f>
        <v>Chuck</v>
      </c>
      <c r="I33" s="83" t="str">
        <f>IFERROR(__xludf.DUMMYFUNCTION("""COMPUTED_VALUE"""),"Bomb")</f>
        <v>Bomb</v>
      </c>
      <c r="J33" s="83" t="str">
        <f>IFERROR(__xludf.DUMMYFUNCTION("""COMPUTED_VALUE"""),"UL Bomb")</f>
        <v>UL Bomb</v>
      </c>
      <c r="K33" s="83" t="str">
        <f>IFERROR(__xludf.DUMMYFUNCTION("""COMPUTED_VALUE"""),"UL Chuck")</f>
        <v>UL Chuck</v>
      </c>
      <c r="L33" s="83" t="str">
        <f>IFERROR(__xludf.DUMMYFUNCTION("""COMPUTED_VALUE"""),"UL Red")</f>
        <v>UL Red</v>
      </c>
      <c r="M33" s="83" t="str">
        <f>IFERROR(__xludf.DUMMYFUNCTION("""COMPUTED_VALUE"""),"Unlimited Lives")</f>
        <v>Unlimited Lives</v>
      </c>
      <c r="N33" s="83" t="str">
        <f>IFERROR(__xludf.DUMMYFUNCTION("""COMPUTED_VALUE"""),"SPT")</f>
        <v>SPT</v>
      </c>
      <c r="O33" s="83" t="str">
        <f>IFERROR(__xludf.DUMMYFUNCTION("""COMPUTED_VALUE"""),"SPTx2")</f>
        <v>SPTx2</v>
      </c>
      <c r="Q33" s="83" t="s">
        <v>129</v>
      </c>
      <c r="R33" s="83" t="s">
        <v>96</v>
      </c>
      <c r="S33" s="83" t="s">
        <v>102</v>
      </c>
      <c r="T33" s="83" t="s">
        <v>130</v>
      </c>
      <c r="U33" s="83" t="s">
        <v>78</v>
      </c>
      <c r="V33" s="83" t="s">
        <v>84</v>
      </c>
      <c r="W33" s="83" t="s">
        <v>90</v>
      </c>
      <c r="X33" s="83" t="s">
        <v>131</v>
      </c>
      <c r="Y33" s="83" t="s">
        <v>132</v>
      </c>
      <c r="Z33" s="83" t="s">
        <v>133</v>
      </c>
      <c r="AA33" s="83" t="s">
        <v>134</v>
      </c>
      <c r="AB33" s="83" t="s">
        <v>114</v>
      </c>
      <c r="AC33" s="83" t="s">
        <v>135</v>
      </c>
      <c r="AE33" s="87" t="str">
        <f t="shared" ref="AE33:AQ33" si="29">IFERROR((Q33-C33)/C33, "")</f>
        <v/>
      </c>
      <c r="AF33" s="87" t="str">
        <f t="shared" si="29"/>
        <v/>
      </c>
      <c r="AG33" s="87" t="str">
        <f t="shared" si="29"/>
        <v/>
      </c>
      <c r="AH33" s="87" t="str">
        <f t="shared" si="29"/>
        <v/>
      </c>
      <c r="AI33" s="87" t="str">
        <f t="shared" si="29"/>
        <v/>
      </c>
      <c r="AJ33" s="87" t="str">
        <f t="shared" si="29"/>
        <v/>
      </c>
      <c r="AK33" s="87" t="str">
        <f t="shared" si="29"/>
        <v/>
      </c>
      <c r="AL33" s="87" t="str">
        <f t="shared" si="29"/>
        <v/>
      </c>
      <c r="AM33" s="87" t="str">
        <f t="shared" si="29"/>
        <v/>
      </c>
      <c r="AN33" s="87" t="str">
        <f t="shared" si="29"/>
        <v/>
      </c>
      <c r="AO33" s="87" t="str">
        <f t="shared" si="29"/>
        <v/>
      </c>
      <c r="AP33" s="87" t="str">
        <f t="shared" si="29"/>
        <v/>
      </c>
      <c r="AQ33" s="87" t="str">
        <f t="shared" si="29"/>
        <v/>
      </c>
    </row>
    <row r="34">
      <c r="B34" s="84" t="s">
        <v>136</v>
      </c>
      <c r="C34" s="85">
        <f>IFERROR(__xludf.DUMMYFUNCTION("""COMPUTED_VALUE"""),6.994448484848484)</f>
        <v>6.994448485</v>
      </c>
      <c r="D34" s="86">
        <f>IFERROR(__xludf.DUMMYFUNCTION("""COMPUTED_VALUE"""),0.1813090909090909)</f>
        <v>0.1813090909</v>
      </c>
      <c r="E34" s="86">
        <f>IFERROR(__xludf.DUMMYFUNCTION("""COMPUTED_VALUE"""),0.18223030303030302)</f>
        <v>0.182230303</v>
      </c>
      <c r="F34" s="86">
        <f>IFERROR(__xludf.DUMMYFUNCTION("""COMPUTED_VALUE"""),0.09612121212121215)</f>
        <v>0.09612121212</v>
      </c>
      <c r="G34" s="86">
        <f>IFERROR(__xludf.DUMMYFUNCTION("""COMPUTED_VALUE"""),0.0)</f>
        <v>0</v>
      </c>
      <c r="H34" s="86">
        <f>IFERROR(__xludf.DUMMYFUNCTION("""COMPUTED_VALUE"""),0.0)</f>
        <v>0</v>
      </c>
      <c r="I34" s="86">
        <f>IFERROR(__xludf.DUMMYFUNCTION("""COMPUTED_VALUE"""),0.0)</f>
        <v>0</v>
      </c>
      <c r="J34" s="86">
        <f>IFERROR(__xludf.DUMMYFUNCTION("""COMPUTED_VALUE"""),0.0)</f>
        <v>0</v>
      </c>
      <c r="K34" s="86">
        <f>IFERROR(__xludf.DUMMYFUNCTION("""COMPUTED_VALUE"""),0.0)</f>
        <v>0</v>
      </c>
      <c r="L34" s="86">
        <f>IFERROR(__xludf.DUMMYFUNCTION("""COMPUTED_VALUE"""),0.0)</f>
        <v>0</v>
      </c>
      <c r="M34" s="86">
        <f>IFERROR(__xludf.DUMMYFUNCTION("""COMPUTED_VALUE"""),2.3284363636363636)</f>
        <v>2.328436364</v>
      </c>
      <c r="N34" s="85">
        <f>IFERROR(__xludf.DUMMYFUNCTION("""COMPUTED_VALUE"""),0.0)</f>
        <v>0</v>
      </c>
      <c r="O34" s="85">
        <f>IFERROR(__xludf.DUMMYFUNCTION("""COMPUTED_VALUE"""),0.0)</f>
        <v>0</v>
      </c>
      <c r="Q34" s="147">
        <v>10.0498</v>
      </c>
      <c r="R34" s="147">
        <v>0.2278</v>
      </c>
      <c r="S34" s="147">
        <v>0.233</v>
      </c>
      <c r="T34" s="147">
        <v>0.1042</v>
      </c>
      <c r="U34" s="147">
        <v>0.0</v>
      </c>
      <c r="V34" s="147">
        <v>0.0</v>
      </c>
      <c r="W34" s="147">
        <v>0.0</v>
      </c>
      <c r="X34" s="147">
        <v>0.0</v>
      </c>
      <c r="Y34" s="147">
        <v>0.0</v>
      </c>
      <c r="Z34" s="147">
        <v>0.0</v>
      </c>
      <c r="AA34" s="147">
        <v>3.3905</v>
      </c>
      <c r="AB34" s="147">
        <v>0.0</v>
      </c>
      <c r="AC34" s="147">
        <v>0.0</v>
      </c>
      <c r="AE34" s="87">
        <f t="shared" ref="AE34:AQ34" si="30">IFERROR((Q34-C34)/C34, "")</f>
        <v>0.4368252224</v>
      </c>
      <c r="AF34" s="87">
        <f t="shared" si="30"/>
        <v>0.2564179703</v>
      </c>
      <c r="AG34" s="87">
        <f t="shared" si="30"/>
        <v>0.2786018358</v>
      </c>
      <c r="AH34" s="87">
        <f t="shared" si="30"/>
        <v>0.08404791929</v>
      </c>
      <c r="AI34" s="87" t="str">
        <f t="shared" si="30"/>
        <v/>
      </c>
      <c r="AJ34" s="87" t="str">
        <f t="shared" si="30"/>
        <v/>
      </c>
      <c r="AK34" s="87" t="str">
        <f t="shared" si="30"/>
        <v/>
      </c>
      <c r="AL34" s="87" t="str">
        <f t="shared" si="30"/>
        <v/>
      </c>
      <c r="AM34" s="87" t="str">
        <f t="shared" si="30"/>
        <v/>
      </c>
      <c r="AN34" s="87" t="str">
        <f t="shared" si="30"/>
        <v/>
      </c>
      <c r="AO34" s="87">
        <f t="shared" si="30"/>
        <v>0.456127405</v>
      </c>
      <c r="AP34" s="87" t="str">
        <f t="shared" si="30"/>
        <v/>
      </c>
      <c r="AQ34" s="87" t="str">
        <f t="shared" si="30"/>
        <v/>
      </c>
    </row>
    <row r="35">
      <c r="B35" s="89" t="s">
        <v>138</v>
      </c>
      <c r="C35" s="91">
        <f>IFERROR(__xludf.DUMMYFUNCTION("""COMPUTED_VALUE"""),0.0)</f>
        <v>0</v>
      </c>
      <c r="D35" s="91">
        <f>IFERROR(__xludf.DUMMYFUNCTION("""COMPUTED_VALUE"""),0.0)</f>
        <v>0</v>
      </c>
      <c r="E35" s="91">
        <f>IFERROR(__xludf.DUMMYFUNCTION("""COMPUTED_VALUE"""),0.0)</f>
        <v>0</v>
      </c>
      <c r="F35" s="91">
        <f>IFERROR(__xludf.DUMMYFUNCTION("""COMPUTED_VALUE"""),0.0)</f>
        <v>0</v>
      </c>
      <c r="G35" s="91">
        <f>IFERROR(__xludf.DUMMYFUNCTION("""COMPUTED_VALUE"""),0.0)</f>
        <v>0</v>
      </c>
      <c r="H35" s="91">
        <f>IFERROR(__xludf.DUMMYFUNCTION("""COMPUTED_VALUE"""),0.0)</f>
        <v>0</v>
      </c>
      <c r="I35" s="91">
        <f>IFERROR(__xludf.DUMMYFUNCTION("""COMPUTED_VALUE"""),0.0)</f>
        <v>0</v>
      </c>
      <c r="J35" s="91">
        <f>IFERROR(__xludf.DUMMYFUNCTION("""COMPUTED_VALUE"""),0.0)</f>
        <v>0</v>
      </c>
      <c r="K35" s="91">
        <f>IFERROR(__xludf.DUMMYFUNCTION("""COMPUTED_VALUE"""),0.0)</f>
        <v>0</v>
      </c>
      <c r="L35" s="91">
        <f>IFERROR(__xludf.DUMMYFUNCTION("""COMPUTED_VALUE"""),0.0)</f>
        <v>0</v>
      </c>
      <c r="M35" s="91">
        <f>IFERROR(__xludf.DUMMYFUNCTION("""COMPUTED_VALUE"""),0.0)</f>
        <v>0</v>
      </c>
      <c r="N35" s="91">
        <f>IFERROR(__xludf.DUMMYFUNCTION("""COMPUTED_VALUE"""),0.0)</f>
        <v>0</v>
      </c>
      <c r="O35" s="91">
        <f>IFERROR(__xludf.DUMMYFUNCTION("""COMPUTED_VALUE"""),0.0)</f>
        <v>0</v>
      </c>
      <c r="Q35" s="147">
        <v>0.5398</v>
      </c>
      <c r="R35" s="147">
        <v>0.0143</v>
      </c>
      <c r="S35" s="147">
        <v>0.0087</v>
      </c>
      <c r="T35" s="147">
        <v>0.0013</v>
      </c>
      <c r="U35" s="147">
        <v>0.0</v>
      </c>
      <c r="V35" s="147">
        <v>0.0</v>
      </c>
      <c r="W35" s="147">
        <v>0.0</v>
      </c>
      <c r="X35" s="147">
        <v>0.0</v>
      </c>
      <c r="Y35" s="147">
        <v>0.0</v>
      </c>
      <c r="Z35" s="147">
        <v>0.0</v>
      </c>
      <c r="AA35" s="147">
        <v>0.0</v>
      </c>
      <c r="AB35" s="147">
        <v>0.0</v>
      </c>
      <c r="AC35" s="147">
        <v>0.0</v>
      </c>
      <c r="AE35" s="87" t="str">
        <f t="shared" ref="AE35:AQ35" si="31">IFERROR((Q35-C35)/C35, "")</f>
        <v/>
      </c>
      <c r="AF35" s="87" t="str">
        <f t="shared" si="31"/>
        <v/>
      </c>
      <c r="AG35" s="87" t="str">
        <f t="shared" si="31"/>
        <v/>
      </c>
      <c r="AH35" s="87" t="str">
        <f t="shared" si="31"/>
        <v/>
      </c>
      <c r="AI35" s="87" t="str">
        <f t="shared" si="31"/>
        <v/>
      </c>
      <c r="AJ35" s="87" t="str">
        <f t="shared" si="31"/>
        <v/>
      </c>
      <c r="AK35" s="87" t="str">
        <f t="shared" si="31"/>
        <v/>
      </c>
      <c r="AL35" s="87" t="str">
        <f t="shared" si="31"/>
        <v/>
      </c>
      <c r="AM35" s="87" t="str">
        <f t="shared" si="31"/>
        <v/>
      </c>
      <c r="AN35" s="87" t="str">
        <f t="shared" si="31"/>
        <v/>
      </c>
      <c r="AO35" s="87" t="str">
        <f t="shared" si="31"/>
        <v/>
      </c>
      <c r="AP35" s="87" t="str">
        <f t="shared" si="31"/>
        <v/>
      </c>
      <c r="AQ35" s="87" t="str">
        <f t="shared" si="31"/>
        <v/>
      </c>
    </row>
    <row r="36">
      <c r="B36" s="89" t="s">
        <v>144</v>
      </c>
      <c r="C36" s="91">
        <f>IFERROR(__xludf.DUMMYFUNCTION("""COMPUTED_VALUE"""),1.6704877202441235)</f>
        <v>1.67048772</v>
      </c>
      <c r="D36" s="91">
        <f>IFERROR(__xludf.DUMMYFUNCTION("""COMPUTED_VALUE"""),1.569269817044738E-4)</f>
        <v>0.0001569269817</v>
      </c>
      <c r="E36" s="91">
        <f>IFERROR(__xludf.DUMMYFUNCTION("""COMPUTED_VALUE"""),7.84634908522369E-5)</f>
        <v>0.00007846349085</v>
      </c>
      <c r="F36" s="91">
        <f>IFERROR(__xludf.DUMMYFUNCTION("""COMPUTED_VALUE"""),0.0)</f>
        <v>0</v>
      </c>
      <c r="G36" s="91">
        <f>IFERROR(__xludf.DUMMYFUNCTION("""COMPUTED_VALUE"""),0.017340431478344357)</f>
        <v>0.01734043148</v>
      </c>
      <c r="H36" s="91">
        <f>IFERROR(__xludf.DUMMYFUNCTION("""COMPUTED_VALUE"""),0.19764953345678477)</f>
        <v>0.1976495335</v>
      </c>
      <c r="I36" s="91">
        <f>IFERROR(__xludf.DUMMYFUNCTION("""COMPUTED_VALUE"""),0.0)</f>
        <v>0</v>
      </c>
      <c r="J36" s="91">
        <f>IFERROR(__xludf.DUMMYFUNCTION("""COMPUTED_VALUE"""),1.0921333291722854)</f>
        <v>1.092133329</v>
      </c>
      <c r="K36" s="91">
        <f>IFERROR(__xludf.DUMMYFUNCTION("""COMPUTED_VALUE"""),1.9584487316718333)</f>
        <v>1.958448732</v>
      </c>
      <c r="L36" s="91">
        <f>IFERROR(__xludf.DUMMYFUNCTION("""COMPUTED_VALUE"""),2.179244994930028)</f>
        <v>2.179244995</v>
      </c>
      <c r="M36" s="91">
        <f>IFERROR(__xludf.DUMMYFUNCTION("""COMPUTED_VALUE"""),3.4353670199834885)</f>
        <v>3.43536702</v>
      </c>
      <c r="N36" s="91">
        <f>IFERROR(__xludf.DUMMYFUNCTION("""COMPUTED_VALUE"""),0.0)</f>
        <v>0</v>
      </c>
      <c r="O36" s="91">
        <f>IFERROR(__xludf.DUMMYFUNCTION("""COMPUTED_VALUE"""),0.0)</f>
        <v>0</v>
      </c>
      <c r="Q36" s="147">
        <v>1.7615</v>
      </c>
      <c r="R36" s="147">
        <v>1.0E-4</v>
      </c>
      <c r="S36" s="147">
        <v>1.0E-4</v>
      </c>
      <c r="T36" s="147">
        <v>1.0E-4</v>
      </c>
      <c r="U36" s="147">
        <v>0.0111</v>
      </c>
      <c r="V36" s="147">
        <v>0.3035</v>
      </c>
      <c r="W36" s="147">
        <v>1.0E-4</v>
      </c>
      <c r="X36" s="147">
        <v>0.278</v>
      </c>
      <c r="Y36" s="147">
        <v>1.9127</v>
      </c>
      <c r="Z36" s="147">
        <v>2.5759</v>
      </c>
      <c r="AA36" s="147">
        <v>4.0883</v>
      </c>
      <c r="AB36" s="147">
        <v>0.0</v>
      </c>
      <c r="AC36" s="147">
        <v>0.0</v>
      </c>
      <c r="AE36" s="87">
        <f t="shared" ref="AE36:AQ36" si="32">IFERROR((Q36-C36)/C36, "")</f>
        <v>0.05448245962</v>
      </c>
      <c r="AF36" s="87">
        <f t="shared" si="32"/>
        <v>-0.3627609547</v>
      </c>
      <c r="AG36" s="87">
        <f t="shared" si="32"/>
        <v>0.2744780906</v>
      </c>
      <c r="AH36" s="87" t="str">
        <f t="shared" si="32"/>
        <v/>
      </c>
      <c r="AI36" s="87">
        <f t="shared" si="32"/>
        <v>-0.3598775201</v>
      </c>
      <c r="AJ36" s="87">
        <f t="shared" si="32"/>
        <v>0.5355462504</v>
      </c>
      <c r="AK36" s="87" t="str">
        <f t="shared" si="32"/>
        <v/>
      </c>
      <c r="AL36" s="87">
        <f t="shared" si="32"/>
        <v>-0.7454523248</v>
      </c>
      <c r="AM36" s="87">
        <f t="shared" si="32"/>
        <v>-0.02335967796</v>
      </c>
      <c r="AN36" s="87">
        <f t="shared" si="32"/>
        <v>0.1820148749</v>
      </c>
      <c r="AO36" s="87">
        <f t="shared" si="32"/>
        <v>0.1900620738</v>
      </c>
      <c r="AP36" s="87" t="str">
        <f t="shared" si="32"/>
        <v/>
      </c>
      <c r="AQ36" s="87" t="str">
        <f t="shared" si="32"/>
        <v/>
      </c>
    </row>
    <row r="37">
      <c r="B37" s="89" t="s">
        <v>156</v>
      </c>
      <c r="C37" s="91">
        <f>IFERROR(__xludf.DUMMYFUNCTION("""COMPUTED_VALUE"""),1.115996952)</f>
        <v>1.115996952</v>
      </c>
      <c r="D37" s="91">
        <f>IFERROR(__xludf.DUMMYFUNCTION("""COMPUTED_VALUE"""),0.040677252000000004)</f>
        <v>0.040677252</v>
      </c>
      <c r="E37" s="91">
        <f>IFERROR(__xludf.DUMMYFUNCTION("""COMPUTED_VALUE"""),0.025950400000000002)</f>
        <v>0.0259504</v>
      </c>
      <c r="F37" s="91">
        <f>IFERROR(__xludf.DUMMYFUNCTION("""COMPUTED_VALUE"""),0.00291942)</f>
        <v>0.00291942</v>
      </c>
      <c r="G37" s="91">
        <f>IFERROR(__xludf.DUMMYFUNCTION("""COMPUTED_VALUE"""),0.0)</f>
        <v>0</v>
      </c>
      <c r="H37" s="91">
        <f>IFERROR(__xludf.DUMMYFUNCTION("""COMPUTED_VALUE"""),0.0)</f>
        <v>0</v>
      </c>
      <c r="I37" s="91">
        <f>IFERROR(__xludf.DUMMYFUNCTION("""COMPUTED_VALUE"""),0.0)</f>
        <v>0</v>
      </c>
      <c r="J37" s="91">
        <f>IFERROR(__xludf.DUMMYFUNCTION("""COMPUTED_VALUE"""),0.0)</f>
        <v>0</v>
      </c>
      <c r="K37" s="91">
        <f>IFERROR(__xludf.DUMMYFUNCTION("""COMPUTED_VALUE"""),0.0)</f>
        <v>0</v>
      </c>
      <c r="L37" s="91">
        <f>IFERROR(__xludf.DUMMYFUNCTION("""COMPUTED_VALUE"""),0.0)</f>
        <v>0</v>
      </c>
      <c r="M37" s="91">
        <f>IFERROR(__xludf.DUMMYFUNCTION("""COMPUTED_VALUE"""),0.0)</f>
        <v>0</v>
      </c>
      <c r="N37" s="91">
        <f>IFERROR(__xludf.DUMMYFUNCTION("""COMPUTED_VALUE"""),0.0)</f>
        <v>0</v>
      </c>
      <c r="O37" s="91">
        <f>IFERROR(__xludf.DUMMYFUNCTION("""COMPUTED_VALUE"""),0.0)</f>
        <v>0</v>
      </c>
      <c r="Q37" s="147">
        <v>0.0209</v>
      </c>
      <c r="R37" s="147">
        <v>7.0E-4</v>
      </c>
      <c r="S37" s="147">
        <v>5.0E-4</v>
      </c>
      <c r="T37" s="147">
        <v>1.0E-4</v>
      </c>
      <c r="U37" s="147">
        <v>0.0</v>
      </c>
      <c r="V37" s="147">
        <v>0.0</v>
      </c>
      <c r="W37" s="147">
        <v>0.0</v>
      </c>
      <c r="X37" s="147">
        <v>0.0</v>
      </c>
      <c r="Y37" s="147">
        <v>0.0</v>
      </c>
      <c r="Z37" s="147">
        <v>0.0</v>
      </c>
      <c r="AA37" s="147">
        <v>0.0</v>
      </c>
      <c r="AB37" s="147">
        <v>0.0</v>
      </c>
      <c r="AC37" s="147">
        <v>0.0</v>
      </c>
      <c r="AE37" s="87">
        <f t="shared" ref="AE37:AQ37" si="33">IFERROR((Q37-C37)/C37, "")</f>
        <v>-0.9812723503</v>
      </c>
      <c r="AF37" s="87">
        <f t="shared" si="33"/>
        <v>-0.9827913646</v>
      </c>
      <c r="AG37" s="87">
        <f t="shared" si="33"/>
        <v>-0.9807324743</v>
      </c>
      <c r="AH37" s="87">
        <f t="shared" si="33"/>
        <v>-0.9657466209</v>
      </c>
      <c r="AI37" s="87" t="str">
        <f t="shared" si="33"/>
        <v/>
      </c>
      <c r="AJ37" s="87" t="str">
        <f t="shared" si="33"/>
        <v/>
      </c>
      <c r="AK37" s="87" t="str">
        <f t="shared" si="33"/>
        <v/>
      </c>
      <c r="AL37" s="87" t="str">
        <f t="shared" si="33"/>
        <v/>
      </c>
      <c r="AM37" s="87" t="str">
        <f t="shared" si="33"/>
        <v/>
      </c>
      <c r="AN37" s="87" t="str">
        <f t="shared" si="33"/>
        <v/>
      </c>
      <c r="AO37" s="87" t="str">
        <f t="shared" si="33"/>
        <v/>
      </c>
      <c r="AP37" s="87" t="str">
        <f t="shared" si="33"/>
        <v/>
      </c>
      <c r="AQ37" s="87" t="str">
        <f t="shared" si="33"/>
        <v/>
      </c>
    </row>
    <row r="38">
      <c r="B38" s="89" t="s">
        <v>166</v>
      </c>
      <c r="C38" s="91">
        <f>IFERROR(__xludf.DUMMYFUNCTION("""COMPUTED_VALUE"""),8.752073769989991)</f>
        <v>8.75207377</v>
      </c>
      <c r="D38" s="91">
        <f>IFERROR(__xludf.DUMMYFUNCTION("""COMPUTED_VALUE"""),0.0769898521588775)</f>
        <v>0.07698985216</v>
      </c>
      <c r="E38" s="91">
        <f>IFERROR(__xludf.DUMMYFUNCTION("""COMPUTED_VALUE"""),0.11375384742663788)</f>
        <v>0.1137538474</v>
      </c>
      <c r="F38" s="91">
        <f>IFERROR(__xludf.DUMMYFUNCTION("""COMPUTED_VALUE"""),0.05105026929090865)</f>
        <v>0.05105026929</v>
      </c>
      <c r="G38" s="91">
        <f>IFERROR(__xludf.DUMMYFUNCTION("""COMPUTED_VALUE"""),0.031912513133619584)</f>
        <v>0.03191251313</v>
      </c>
      <c r="H38" s="91">
        <f>IFERROR(__xludf.DUMMYFUNCTION("""COMPUTED_VALUE"""),0.03954323628932848)</f>
        <v>0.03954323629</v>
      </c>
      <c r="I38" s="91">
        <f>IFERROR(__xludf.DUMMYFUNCTION("""COMPUTED_VALUE"""),0.032643892349821714)</f>
        <v>0.03264389235</v>
      </c>
      <c r="J38" s="91">
        <f>IFERROR(__xludf.DUMMYFUNCTION("""COMPUTED_VALUE"""),0.0)</f>
        <v>0</v>
      </c>
      <c r="K38" s="91">
        <f>IFERROR(__xludf.DUMMYFUNCTION("""COMPUTED_VALUE"""),0.0)</f>
        <v>0</v>
      </c>
      <c r="L38" s="91">
        <f>IFERROR(__xludf.DUMMYFUNCTION("""COMPUTED_VALUE"""),0.0)</f>
        <v>0</v>
      </c>
      <c r="M38" s="91">
        <f>IFERROR(__xludf.DUMMYFUNCTION("""COMPUTED_VALUE"""),5.509455256343436)</f>
        <v>5.509455256</v>
      </c>
      <c r="N38" s="91">
        <f>IFERROR(__xludf.DUMMYFUNCTION("""COMPUTED_VALUE"""),109.3192527416423)</f>
        <v>109.3192527</v>
      </c>
      <c r="O38" s="91">
        <f>IFERROR(__xludf.DUMMYFUNCTION("""COMPUTED_VALUE"""),0.0)</f>
        <v>0</v>
      </c>
      <c r="Q38" s="147">
        <v>20.884</v>
      </c>
      <c r="R38" s="147">
        <v>0.1505</v>
      </c>
      <c r="S38" s="147">
        <v>0.2278</v>
      </c>
      <c r="T38" s="147">
        <v>0.0978</v>
      </c>
      <c r="U38" s="147">
        <v>0.0815</v>
      </c>
      <c r="V38" s="147">
        <v>0.0859</v>
      </c>
      <c r="W38" s="147">
        <v>0.0717</v>
      </c>
      <c r="X38" s="147">
        <v>0.0</v>
      </c>
      <c r="Y38" s="147">
        <v>0.0</v>
      </c>
      <c r="Z38" s="147">
        <v>0.0</v>
      </c>
      <c r="AA38" s="147">
        <v>12.7141</v>
      </c>
      <c r="AB38" s="147">
        <v>249.7398</v>
      </c>
      <c r="AC38" s="147">
        <v>0.0</v>
      </c>
      <c r="AE38" s="87">
        <f t="shared" ref="AE38:AQ38" si="34">IFERROR((Q38-C38)/C38, "")</f>
        <v>1.386177328</v>
      </c>
      <c r="AF38" s="87">
        <f t="shared" si="34"/>
        <v>0.9548030783</v>
      </c>
      <c r="AG38" s="87">
        <f t="shared" si="34"/>
        <v>1.002569629</v>
      </c>
      <c r="AH38" s="87">
        <f t="shared" si="34"/>
        <v>0.9157587484</v>
      </c>
      <c r="AI38" s="87">
        <f t="shared" si="34"/>
        <v>1.553857155</v>
      </c>
      <c r="AJ38" s="87">
        <f t="shared" si="34"/>
        <v>1.172305761</v>
      </c>
      <c r="AK38" s="87">
        <f t="shared" si="34"/>
        <v>1.19642925</v>
      </c>
      <c r="AL38" s="87" t="str">
        <f t="shared" si="34"/>
        <v/>
      </c>
      <c r="AM38" s="87" t="str">
        <f t="shared" si="34"/>
        <v/>
      </c>
      <c r="AN38" s="87" t="str">
        <f t="shared" si="34"/>
        <v/>
      </c>
      <c r="AO38" s="87">
        <f t="shared" si="34"/>
        <v>1.307687314</v>
      </c>
      <c r="AP38" s="87">
        <f t="shared" si="34"/>
        <v>1.284499699</v>
      </c>
      <c r="AQ38" s="87" t="str">
        <f t="shared" si="34"/>
        <v/>
      </c>
    </row>
    <row r="39">
      <c r="B39" s="89" t="s">
        <v>170</v>
      </c>
      <c r="C39" s="91">
        <f>IFERROR(__xludf.DUMMYFUNCTION("""COMPUTED_VALUE"""),16.744588990363923)</f>
        <v>16.74458899</v>
      </c>
      <c r="D39" s="91">
        <f>IFERROR(__xludf.DUMMYFUNCTION("""COMPUTED_VALUE"""),0.2869200665160955)</f>
        <v>0.2869200665</v>
      </c>
      <c r="E39" s="91">
        <f>IFERROR(__xludf.DUMMYFUNCTION("""COMPUTED_VALUE"""),0.1927184234692611)</f>
        <v>0.1927184235</v>
      </c>
      <c r="F39" s="91">
        <f>IFERROR(__xludf.DUMMYFUNCTION("""COMPUTED_VALUE"""),0.034326064547086615)</f>
        <v>0.03432606455</v>
      </c>
      <c r="G39" s="91">
        <f>IFERROR(__xludf.DUMMYFUNCTION("""COMPUTED_VALUE"""),0.0)</f>
        <v>0</v>
      </c>
      <c r="H39" s="91">
        <f>IFERROR(__xludf.DUMMYFUNCTION("""COMPUTED_VALUE"""),0.0)</f>
        <v>0</v>
      </c>
      <c r="I39" s="91">
        <f>IFERROR(__xludf.DUMMYFUNCTION("""COMPUTED_VALUE"""),0.0)</f>
        <v>0</v>
      </c>
      <c r="J39" s="91">
        <f>IFERROR(__xludf.DUMMYFUNCTION("""COMPUTED_VALUE"""),2.8152980169268575)</f>
        <v>2.815298017</v>
      </c>
      <c r="K39" s="91">
        <f>IFERROR(__xludf.DUMMYFUNCTION("""COMPUTED_VALUE"""),2.4083586210319923)</f>
        <v>2.408358621</v>
      </c>
      <c r="L39" s="91">
        <f>IFERROR(__xludf.DUMMYFUNCTION("""COMPUTED_VALUE"""),2.001760535438022)</f>
        <v>2.001760535</v>
      </c>
      <c r="M39" s="91">
        <f>IFERROR(__xludf.DUMMYFUNCTION("""COMPUTED_VALUE"""),24.291176011185293)</f>
        <v>24.29117601</v>
      </c>
      <c r="N39" s="91">
        <f>IFERROR(__xludf.DUMMYFUNCTION("""COMPUTED_VALUE"""),0.0)</f>
        <v>0</v>
      </c>
      <c r="O39" s="91">
        <f>IFERROR(__xludf.DUMMYFUNCTION("""COMPUTED_VALUE"""),0.05419519992057781)</f>
        <v>0.05419519992</v>
      </c>
      <c r="Q39" s="147">
        <v>34.9176</v>
      </c>
      <c r="R39" s="147">
        <v>0.4446</v>
      </c>
      <c r="S39" s="147">
        <v>0.2946</v>
      </c>
      <c r="T39" s="147">
        <v>0.0447</v>
      </c>
      <c r="U39" s="147">
        <v>0.0</v>
      </c>
      <c r="V39" s="147">
        <v>0.0</v>
      </c>
      <c r="W39" s="147">
        <v>0.0</v>
      </c>
      <c r="X39" s="147">
        <v>1.4082</v>
      </c>
      <c r="Y39" s="147">
        <v>2.6818</v>
      </c>
      <c r="Z39" s="147">
        <v>2.6067</v>
      </c>
      <c r="AA39" s="147">
        <v>41.2827</v>
      </c>
      <c r="AB39" s="147">
        <v>0.0</v>
      </c>
      <c r="AC39" s="147">
        <v>0.0055</v>
      </c>
      <c r="AE39" s="87">
        <f t="shared" ref="AE39:AQ39" si="35">IFERROR((Q39-C39)/C39, "")</f>
        <v>1.085306484</v>
      </c>
      <c r="AF39" s="87">
        <f t="shared" si="35"/>
        <v>0.549560494</v>
      </c>
      <c r="AG39" s="87">
        <f t="shared" si="35"/>
        <v>0.5286550953</v>
      </c>
      <c r="AH39" s="87">
        <f t="shared" si="35"/>
        <v>0.3022174429</v>
      </c>
      <c r="AI39" s="87" t="str">
        <f t="shared" si="35"/>
        <v/>
      </c>
      <c r="AJ39" s="87" t="str">
        <f t="shared" si="35"/>
        <v/>
      </c>
      <c r="AK39" s="87" t="str">
        <f t="shared" si="35"/>
        <v/>
      </c>
      <c r="AL39" s="87">
        <f t="shared" si="35"/>
        <v>-0.4998042866</v>
      </c>
      <c r="AM39" s="87">
        <f t="shared" si="35"/>
        <v>0.1135384808</v>
      </c>
      <c r="AN39" s="87">
        <f t="shared" si="35"/>
        <v>0.3022037121</v>
      </c>
      <c r="AO39" s="87">
        <f t="shared" si="35"/>
        <v>0.6994936754</v>
      </c>
      <c r="AP39" s="87" t="str">
        <f t="shared" si="35"/>
        <v/>
      </c>
      <c r="AQ39" s="87">
        <f t="shared" si="35"/>
        <v>-0.8985149975</v>
      </c>
    </row>
    <row r="40">
      <c r="B40" s="89" t="s">
        <v>176</v>
      </c>
      <c r="C40" s="91">
        <f>IFERROR(__xludf.DUMMYFUNCTION("""COMPUTED_VALUE"""),10.092204287144355)</f>
        <v>10.09220429</v>
      </c>
      <c r="D40" s="91">
        <f>IFERROR(__xludf.DUMMYFUNCTION("""COMPUTED_VALUE"""),0.15171242874752836)</f>
        <v>0.1517124287</v>
      </c>
      <c r="E40" s="91">
        <f>IFERROR(__xludf.DUMMYFUNCTION("""COMPUTED_VALUE"""),2.4379307206737643E-5)</f>
        <v>0.00002437930721</v>
      </c>
      <c r="F40" s="91">
        <f>IFERROR(__xludf.DUMMYFUNCTION("""COMPUTED_VALUE"""),4.875861441347529E-4)</f>
        <v>0.0004875861441</v>
      </c>
      <c r="G40" s="91">
        <f>IFERROR(__xludf.DUMMYFUNCTION("""COMPUTED_VALUE"""),0.2780703780000496)</f>
        <v>0.278070378</v>
      </c>
      <c r="H40" s="91">
        <f>IFERROR(__xludf.DUMMYFUNCTION("""COMPUTED_VALUE"""),0.1367922927370049)</f>
        <v>0.1367922927</v>
      </c>
      <c r="I40" s="91">
        <f>IFERROR(__xludf.DUMMYFUNCTION("""COMPUTED_VALUE"""),0.0)</f>
        <v>0</v>
      </c>
      <c r="J40" s="91">
        <f>IFERROR(__xludf.DUMMYFUNCTION("""COMPUTED_VALUE"""),0.0)</f>
        <v>0</v>
      </c>
      <c r="K40" s="91">
        <f>IFERROR(__xludf.DUMMYFUNCTION("""COMPUTED_VALUE"""),0.0)</f>
        <v>0</v>
      </c>
      <c r="L40" s="91">
        <f>IFERROR(__xludf.DUMMYFUNCTION("""COMPUTED_VALUE"""),0.0)</f>
        <v>0</v>
      </c>
      <c r="M40" s="91">
        <f>IFERROR(__xludf.DUMMYFUNCTION("""COMPUTED_VALUE"""),8.770138836630181)</f>
        <v>8.770138837</v>
      </c>
      <c r="N40" s="91">
        <f>IFERROR(__xludf.DUMMYFUNCTION("""COMPUTED_VALUE"""),0.0)</f>
        <v>0</v>
      </c>
      <c r="O40" s="91">
        <f>IFERROR(__xludf.DUMMYFUNCTION("""COMPUTED_VALUE"""),0.0)</f>
        <v>0</v>
      </c>
      <c r="Q40" s="147">
        <v>41.9584</v>
      </c>
      <c r="R40" s="147">
        <v>0.437</v>
      </c>
      <c r="S40" s="147">
        <v>1.0E-4</v>
      </c>
      <c r="T40" s="147">
        <v>0.0012</v>
      </c>
      <c r="U40" s="147">
        <v>0.905</v>
      </c>
      <c r="V40" s="147">
        <v>0.4359</v>
      </c>
      <c r="W40" s="147">
        <v>0.0</v>
      </c>
      <c r="X40" s="147">
        <v>0.0</v>
      </c>
      <c r="Y40" s="147">
        <v>0.0</v>
      </c>
      <c r="Z40" s="147">
        <v>0.0</v>
      </c>
      <c r="AA40" s="147">
        <v>32.1143</v>
      </c>
      <c r="AB40" s="147">
        <v>0.0</v>
      </c>
      <c r="AC40" s="147">
        <v>0.0</v>
      </c>
      <c r="AE40" s="87">
        <f t="shared" ref="AE40:AQ40" si="36">IFERROR((Q40-C40)/C40, "")</f>
        <v>3.157506012</v>
      </c>
      <c r="AF40" s="87">
        <f t="shared" si="36"/>
        <v>1.880449569</v>
      </c>
      <c r="AG40" s="87">
        <f t="shared" si="36"/>
        <v>3.101839283</v>
      </c>
      <c r="AH40" s="87">
        <f t="shared" si="36"/>
        <v>1.46110357</v>
      </c>
      <c r="AI40" s="87">
        <f t="shared" si="36"/>
        <v>2.254571762</v>
      </c>
      <c r="AJ40" s="87">
        <f t="shared" si="36"/>
        <v>2.18658304</v>
      </c>
      <c r="AK40" s="87" t="str">
        <f t="shared" si="36"/>
        <v/>
      </c>
      <c r="AL40" s="87" t="str">
        <f t="shared" si="36"/>
        <v/>
      </c>
      <c r="AM40" s="87" t="str">
        <f t="shared" si="36"/>
        <v/>
      </c>
      <c r="AN40" s="87" t="str">
        <f t="shared" si="36"/>
        <v/>
      </c>
      <c r="AO40" s="87">
        <f t="shared" si="36"/>
        <v>2.661777835</v>
      </c>
      <c r="AP40" s="87" t="str">
        <f t="shared" si="36"/>
        <v/>
      </c>
      <c r="AQ40" s="87" t="str">
        <f t="shared" si="36"/>
        <v/>
      </c>
    </row>
    <row r="41">
      <c r="B41" s="89" t="s">
        <v>179</v>
      </c>
      <c r="C41" s="91">
        <f>IFERROR(__xludf.DUMMYFUNCTION("""COMPUTED_VALUE"""),0.0)</f>
        <v>0</v>
      </c>
      <c r="D41" s="91">
        <f>IFERROR(__xludf.DUMMYFUNCTION("""COMPUTED_VALUE"""),0.14277777777777778)</f>
        <v>0.1427777778</v>
      </c>
      <c r="E41" s="91">
        <f>IFERROR(__xludf.DUMMYFUNCTION("""COMPUTED_VALUE"""),0.0)</f>
        <v>0</v>
      </c>
      <c r="F41" s="91">
        <f>IFERROR(__xludf.DUMMYFUNCTION("""COMPUTED_VALUE"""),0.0)</f>
        <v>0</v>
      </c>
      <c r="G41" s="91">
        <f>IFERROR(__xludf.DUMMYFUNCTION("""COMPUTED_VALUE"""),0.12958333333333333)</f>
        <v>0.1295833333</v>
      </c>
      <c r="H41" s="91">
        <f>IFERROR(__xludf.DUMMYFUNCTION("""COMPUTED_VALUE"""),0.1291111111111111)</f>
        <v>0.1291111111</v>
      </c>
      <c r="I41" s="91">
        <f>IFERROR(__xludf.DUMMYFUNCTION("""COMPUTED_VALUE"""),0.14047222222222222)</f>
        <v>0.1404722222</v>
      </c>
      <c r="J41" s="91">
        <f>IFERROR(__xludf.DUMMYFUNCTION("""COMPUTED_VALUE"""),0.0)</f>
        <v>0</v>
      </c>
      <c r="K41" s="91">
        <f>IFERROR(__xludf.DUMMYFUNCTION("""COMPUTED_VALUE"""),0.0)</f>
        <v>0</v>
      </c>
      <c r="L41" s="91">
        <f>IFERROR(__xludf.DUMMYFUNCTION("""COMPUTED_VALUE"""),0.0)</f>
        <v>0</v>
      </c>
      <c r="M41" s="91">
        <f>IFERROR(__xludf.DUMMYFUNCTION("""COMPUTED_VALUE"""),37.52861111111111)</f>
        <v>37.52861111</v>
      </c>
      <c r="N41" s="91">
        <f>IFERROR(__xludf.DUMMYFUNCTION("""COMPUTED_VALUE"""),2.391916666666667)</f>
        <v>2.391916667</v>
      </c>
      <c r="O41" s="91">
        <f>IFERROR(__xludf.DUMMYFUNCTION("""COMPUTED_VALUE"""),0.0)</f>
        <v>0</v>
      </c>
      <c r="Q41" s="147">
        <v>0.0</v>
      </c>
      <c r="R41" s="147">
        <v>0.1437</v>
      </c>
      <c r="S41" s="147">
        <v>0.0</v>
      </c>
      <c r="T41" s="147">
        <v>0.0</v>
      </c>
      <c r="U41" s="147">
        <v>0.1437</v>
      </c>
      <c r="V41" s="147">
        <v>0.1437</v>
      </c>
      <c r="W41" s="147">
        <v>0.1437</v>
      </c>
      <c r="X41" s="147">
        <v>0.0</v>
      </c>
      <c r="Y41" s="147">
        <v>0.0</v>
      </c>
      <c r="Z41" s="147">
        <v>0.0</v>
      </c>
      <c r="AA41" s="147">
        <v>51.6835</v>
      </c>
      <c r="AB41" s="147">
        <v>2.3939</v>
      </c>
      <c r="AC41" s="147">
        <v>0.0</v>
      </c>
      <c r="AE41" s="87" t="str">
        <f t="shared" ref="AE41:AQ41" si="37">IFERROR((Q41-C41)/C41, "")</f>
        <v/>
      </c>
      <c r="AF41" s="87">
        <f t="shared" si="37"/>
        <v>0.006459143969</v>
      </c>
      <c r="AG41" s="87" t="str">
        <f t="shared" si="37"/>
        <v/>
      </c>
      <c r="AH41" s="87" t="str">
        <f t="shared" si="37"/>
        <v/>
      </c>
      <c r="AI41" s="87">
        <f t="shared" si="37"/>
        <v>0.1089389068</v>
      </c>
      <c r="AJ41" s="87">
        <f t="shared" si="37"/>
        <v>0.1129948365</v>
      </c>
      <c r="AK41" s="87">
        <f t="shared" si="37"/>
        <v>0.02297805023</v>
      </c>
      <c r="AL41" s="87" t="str">
        <f t="shared" si="37"/>
        <v/>
      </c>
      <c r="AM41" s="87" t="str">
        <f t="shared" si="37"/>
        <v/>
      </c>
      <c r="AN41" s="87" t="str">
        <f t="shared" si="37"/>
        <v/>
      </c>
      <c r="AO41" s="87">
        <f t="shared" si="37"/>
        <v>0.3771759324</v>
      </c>
      <c r="AP41" s="87">
        <f t="shared" si="37"/>
        <v>0.0008291816186</v>
      </c>
      <c r="AQ41" s="87" t="str">
        <f t="shared" si="37"/>
        <v/>
      </c>
    </row>
    <row r="42">
      <c r="B42" s="89" t="s">
        <v>180</v>
      </c>
      <c r="C42" s="91">
        <f>IFERROR(__xludf.DUMMYFUNCTION("""COMPUTED_VALUE"""),2.490180893547591)</f>
        <v>2.490180894</v>
      </c>
      <c r="D42" s="91">
        <f>IFERROR(__xludf.DUMMYFUNCTION("""COMPUTED_VALUE"""),0.02574967892538435)</f>
        <v>0.02574967893</v>
      </c>
      <c r="E42" s="91">
        <f>IFERROR(__xludf.DUMMYFUNCTION("""COMPUTED_VALUE"""),0.11077789270709847)</f>
        <v>0.1107778927</v>
      </c>
      <c r="F42" s="91">
        <f>IFERROR(__xludf.DUMMYFUNCTION("""COMPUTED_VALUE"""),0.005819306829741429)</f>
        <v>0.00581930683</v>
      </c>
      <c r="G42" s="91">
        <f>IFERROR(__xludf.DUMMYFUNCTION("""COMPUTED_VALUE"""),0.3195492942051796)</f>
        <v>0.3195492942</v>
      </c>
      <c r="H42" s="91">
        <f>IFERROR(__xludf.DUMMYFUNCTION("""COMPUTED_VALUE"""),0.20738441645057792)</f>
        <v>0.2073844165</v>
      </c>
      <c r="I42" s="91">
        <f>IFERROR(__xludf.DUMMYFUNCTION("""COMPUTED_VALUE"""),0.10773255597236334)</f>
        <v>0.107732556</v>
      </c>
      <c r="J42" s="91">
        <f>IFERROR(__xludf.DUMMYFUNCTION("""COMPUTED_VALUE"""),0.0)</f>
        <v>0</v>
      </c>
      <c r="K42" s="91">
        <f>IFERROR(__xludf.DUMMYFUNCTION("""COMPUTED_VALUE"""),0.06398222327829695)</f>
        <v>0.06398222328</v>
      </c>
      <c r="L42" s="91">
        <f>IFERROR(__xludf.DUMMYFUNCTION("""COMPUTED_VALUE"""),0.28725666407744344)</f>
        <v>0.2872566641</v>
      </c>
      <c r="M42" s="91">
        <f>IFERROR(__xludf.DUMMYFUNCTION("""COMPUTED_VALUE"""),21.14341112707985)</f>
        <v>21.14341113</v>
      </c>
      <c r="N42" s="91">
        <f>IFERROR(__xludf.DUMMYFUNCTION("""COMPUTED_VALUE"""),0.0)</f>
        <v>0</v>
      </c>
      <c r="O42" s="91">
        <f>IFERROR(__xludf.DUMMYFUNCTION("""COMPUTED_VALUE"""),0.0)</f>
        <v>0</v>
      </c>
      <c r="Q42" s="147">
        <v>6.0947</v>
      </c>
      <c r="R42" s="147">
        <v>0.0282</v>
      </c>
      <c r="S42" s="147">
        <v>0.1304</v>
      </c>
      <c r="T42" s="147">
        <v>0.2091</v>
      </c>
      <c r="U42" s="147">
        <v>0.5978</v>
      </c>
      <c r="V42" s="147">
        <v>0.4249</v>
      </c>
      <c r="W42" s="147">
        <v>0.2628</v>
      </c>
      <c r="X42" s="147">
        <v>0.0</v>
      </c>
      <c r="Y42" s="147">
        <v>0.1497</v>
      </c>
      <c r="Z42" s="147">
        <v>0.8913</v>
      </c>
      <c r="AA42" s="147">
        <v>43.7514</v>
      </c>
      <c r="AB42" s="147">
        <v>0.0</v>
      </c>
      <c r="AC42" s="147">
        <v>0.0</v>
      </c>
      <c r="AE42" s="87">
        <f t="shared" ref="AE42:AQ42" si="38">IFERROR((Q42-C42)/C42, "")</f>
        <v>1.447492877</v>
      </c>
      <c r="AF42" s="87">
        <f t="shared" si="38"/>
        <v>0.09515928652</v>
      </c>
      <c r="AG42" s="87">
        <f t="shared" si="38"/>
        <v>0.1771301729</v>
      </c>
      <c r="AH42" s="87">
        <f t="shared" si="38"/>
        <v>34.93211462</v>
      </c>
      <c r="AI42" s="87">
        <f t="shared" si="38"/>
        <v>0.8707598822</v>
      </c>
      <c r="AJ42" s="87">
        <f t="shared" si="38"/>
        <v>1.048852114</v>
      </c>
      <c r="AK42" s="87">
        <f t="shared" si="38"/>
        <v>1.439374037</v>
      </c>
      <c r="AL42" s="87" t="str">
        <f t="shared" si="38"/>
        <v/>
      </c>
      <c r="AM42" s="87">
        <f t="shared" si="38"/>
        <v>1.339712381</v>
      </c>
      <c r="AN42" s="87">
        <f t="shared" si="38"/>
        <v>2.102800079</v>
      </c>
      <c r="AO42" s="87">
        <f t="shared" si="38"/>
        <v>1.069268754</v>
      </c>
      <c r="AP42" s="87" t="str">
        <f t="shared" si="38"/>
        <v/>
      </c>
      <c r="AQ42" s="87" t="str">
        <f t="shared" si="38"/>
        <v/>
      </c>
    </row>
    <row r="43">
      <c r="B43" s="89" t="s">
        <v>182</v>
      </c>
      <c r="C43" s="91">
        <f>IFERROR(__xludf.DUMMYFUNCTION("""COMPUTED_VALUE"""),0.0)</f>
        <v>0</v>
      </c>
      <c r="D43" s="91">
        <f>IFERROR(__xludf.DUMMYFUNCTION("""COMPUTED_VALUE"""),0.0)</f>
        <v>0</v>
      </c>
      <c r="E43" s="91">
        <f>IFERROR(__xludf.DUMMYFUNCTION("""COMPUTED_VALUE"""),0.0)</f>
        <v>0</v>
      </c>
      <c r="F43" s="91">
        <f>IFERROR(__xludf.DUMMYFUNCTION("""COMPUTED_VALUE"""),0.0)</f>
        <v>0</v>
      </c>
      <c r="G43" s="91">
        <f>IFERROR(__xludf.DUMMYFUNCTION("""COMPUTED_VALUE"""),0.0)</f>
        <v>0</v>
      </c>
      <c r="H43" s="91">
        <f>IFERROR(__xludf.DUMMYFUNCTION("""COMPUTED_VALUE"""),0.0)</f>
        <v>0</v>
      </c>
      <c r="I43" s="91">
        <f>IFERROR(__xludf.DUMMYFUNCTION("""COMPUTED_VALUE"""),0.0)</f>
        <v>0</v>
      </c>
      <c r="J43" s="91">
        <f>IFERROR(__xludf.DUMMYFUNCTION("""COMPUTED_VALUE"""),0.0)</f>
        <v>0</v>
      </c>
      <c r="K43" s="91">
        <f>IFERROR(__xludf.DUMMYFUNCTION("""COMPUTED_VALUE"""),0.0)</f>
        <v>0</v>
      </c>
      <c r="L43" s="91">
        <f>IFERROR(__xludf.DUMMYFUNCTION("""COMPUTED_VALUE"""),0.0)</f>
        <v>0</v>
      </c>
      <c r="M43" s="91">
        <f>IFERROR(__xludf.DUMMYFUNCTION("""COMPUTED_VALUE"""),0.0)</f>
        <v>0</v>
      </c>
      <c r="N43" s="91">
        <f>IFERROR(__xludf.DUMMYFUNCTION("""COMPUTED_VALUE"""),0.0)</f>
        <v>0</v>
      </c>
      <c r="O43" s="91">
        <f>IFERROR(__xludf.DUMMYFUNCTION("""COMPUTED_VALUE"""),0.0)</f>
        <v>0</v>
      </c>
      <c r="Q43" s="147">
        <v>0.1969</v>
      </c>
      <c r="R43" s="147">
        <v>1.0E-4</v>
      </c>
      <c r="S43" s="147">
        <v>0.0</v>
      </c>
      <c r="T43" s="147">
        <v>0.0</v>
      </c>
      <c r="U43" s="147">
        <v>0.0028</v>
      </c>
      <c r="V43" s="147">
        <v>0.0296</v>
      </c>
      <c r="W43" s="147">
        <v>0.0</v>
      </c>
      <c r="X43" s="147">
        <v>0.025</v>
      </c>
      <c r="Y43" s="147">
        <v>0.1677</v>
      </c>
      <c r="Z43" s="147">
        <v>0.2336</v>
      </c>
      <c r="AA43" s="147">
        <v>0.3818</v>
      </c>
      <c r="AB43" s="147">
        <v>0.0</v>
      </c>
      <c r="AC43" s="147">
        <v>0.0</v>
      </c>
      <c r="AE43" s="87" t="str">
        <f t="shared" ref="AE43:AQ43" si="39">IFERROR((Q43-C43)/C43, "")</f>
        <v/>
      </c>
      <c r="AF43" s="87" t="str">
        <f t="shared" si="39"/>
        <v/>
      </c>
      <c r="AG43" s="87" t="str">
        <f t="shared" si="39"/>
        <v/>
      </c>
      <c r="AH43" s="87" t="str">
        <f t="shared" si="39"/>
        <v/>
      </c>
      <c r="AI43" s="87" t="str">
        <f t="shared" si="39"/>
        <v/>
      </c>
      <c r="AJ43" s="87" t="str">
        <f t="shared" si="39"/>
        <v/>
      </c>
      <c r="AK43" s="87" t="str">
        <f t="shared" si="39"/>
        <v/>
      </c>
      <c r="AL43" s="87" t="str">
        <f t="shared" si="39"/>
        <v/>
      </c>
      <c r="AM43" s="87" t="str">
        <f t="shared" si="39"/>
        <v/>
      </c>
      <c r="AN43" s="87" t="str">
        <f t="shared" si="39"/>
        <v/>
      </c>
      <c r="AO43" s="87" t="str">
        <f t="shared" si="39"/>
        <v/>
      </c>
      <c r="AP43" s="87" t="str">
        <f t="shared" si="39"/>
        <v/>
      </c>
      <c r="AQ43" s="87" t="str">
        <f t="shared" si="39"/>
        <v/>
      </c>
    </row>
    <row r="44">
      <c r="B44" s="89" t="s">
        <v>183</v>
      </c>
      <c r="C44" s="91">
        <f>IFERROR(__xludf.DUMMYFUNCTION("""COMPUTED_VALUE"""),0.30786276252887884)</f>
        <v>0.3078627625</v>
      </c>
      <c r="D44" s="91">
        <f>IFERROR(__xludf.DUMMYFUNCTION("""COMPUTED_VALUE"""),0.00836224801722473)</f>
        <v>0.008362248017</v>
      </c>
      <c r="E44" s="91">
        <f>IFERROR(__xludf.DUMMYFUNCTION("""COMPUTED_VALUE"""),0.002503172926208719)</f>
        <v>0.002503172926</v>
      </c>
      <c r="F44" s="91">
        <f>IFERROR(__xludf.DUMMYFUNCTION("""COMPUTED_VALUE"""),1.650443687610144E-4)</f>
        <v>0.0001650443688</v>
      </c>
      <c r="G44" s="91">
        <f>IFERROR(__xludf.DUMMYFUNCTION("""COMPUTED_VALUE"""),0.005006345852417438)</f>
        <v>0.005006345852</v>
      </c>
      <c r="H44" s="91">
        <f>IFERROR(__xludf.DUMMYFUNCTION("""COMPUTED_VALUE"""),0.0045112127461343935)</f>
        <v>0.004511212746</v>
      </c>
      <c r="I44" s="91">
        <f>IFERROR(__xludf.DUMMYFUNCTION("""COMPUTED_VALUE"""),0.004786286694069417)</f>
        <v>0.004786286694</v>
      </c>
      <c r="J44" s="91">
        <f>IFERROR(__xludf.DUMMYFUNCTION("""COMPUTED_VALUE"""),0.0)</f>
        <v>0</v>
      </c>
      <c r="K44" s="91">
        <f>IFERROR(__xludf.DUMMYFUNCTION("""COMPUTED_VALUE"""),0.0)</f>
        <v>0</v>
      </c>
      <c r="L44" s="91">
        <f>IFERROR(__xludf.DUMMYFUNCTION("""COMPUTED_VALUE"""),0.0)</f>
        <v>0</v>
      </c>
      <c r="M44" s="91">
        <f>IFERROR(__xludf.DUMMYFUNCTION("""COMPUTED_VALUE"""),2.8522417661382637)</f>
        <v>2.852241766</v>
      </c>
      <c r="N44" s="91">
        <f>IFERROR(__xludf.DUMMYFUNCTION("""COMPUTED_VALUE"""),2.4998537005703025)</f>
        <v>2.499853701</v>
      </c>
      <c r="O44" s="91">
        <f>IFERROR(__xludf.DUMMYFUNCTION("""COMPUTED_VALUE"""),0.0)</f>
        <v>0</v>
      </c>
      <c r="Q44" s="147">
        <v>0.6258</v>
      </c>
      <c r="R44" s="147">
        <v>0.0153</v>
      </c>
      <c r="S44" s="147">
        <v>0.0045</v>
      </c>
      <c r="T44" s="147">
        <v>3.0E-4</v>
      </c>
      <c r="U44" s="147">
        <v>0.0114</v>
      </c>
      <c r="V44" s="147">
        <v>0.0107</v>
      </c>
      <c r="W44" s="147">
        <v>0.0099</v>
      </c>
      <c r="X44" s="147">
        <v>0.0</v>
      </c>
      <c r="Y44" s="147">
        <v>0.0</v>
      </c>
      <c r="Z44" s="147">
        <v>0.0</v>
      </c>
      <c r="AA44" s="147">
        <v>10.6613</v>
      </c>
      <c r="AB44" s="147">
        <v>6.2199</v>
      </c>
      <c r="AC44" s="147">
        <v>0.0</v>
      </c>
      <c r="AE44" s="87">
        <f t="shared" ref="AE44:AQ44" si="40">IFERROR((Q44-C44)/C44, "")</f>
        <v>1.032723915</v>
      </c>
      <c r="AF44" s="87">
        <f t="shared" si="40"/>
        <v>0.8296515445</v>
      </c>
      <c r="AG44" s="87">
        <f t="shared" si="40"/>
        <v>0.7977183889</v>
      </c>
      <c r="AH44" s="87">
        <f t="shared" si="40"/>
        <v>0.8176930376</v>
      </c>
      <c r="AI44" s="87">
        <f t="shared" si="40"/>
        <v>1.277109959</v>
      </c>
      <c r="AJ44" s="87">
        <f t="shared" si="40"/>
        <v>1.371867744</v>
      </c>
      <c r="AK44" s="87">
        <f t="shared" si="40"/>
        <v>1.068409319</v>
      </c>
      <c r="AL44" s="87" t="str">
        <f t="shared" si="40"/>
        <v/>
      </c>
      <c r="AM44" s="87" t="str">
        <f t="shared" si="40"/>
        <v/>
      </c>
      <c r="AN44" s="87" t="str">
        <f t="shared" si="40"/>
        <v/>
      </c>
      <c r="AO44" s="87">
        <f t="shared" si="40"/>
        <v>2.737866869</v>
      </c>
      <c r="AP44" s="87">
        <f t="shared" si="40"/>
        <v>1.488105603</v>
      </c>
      <c r="AQ44" s="87" t="str">
        <f t="shared" si="40"/>
        <v/>
      </c>
    </row>
    <row r="45">
      <c r="B45" s="89" t="s">
        <v>185</v>
      </c>
      <c r="C45" s="91">
        <f>IFERROR(__xludf.DUMMYFUNCTION("""COMPUTED_VALUE"""),0.0)</f>
        <v>0</v>
      </c>
      <c r="D45" s="91">
        <f>IFERROR(__xludf.DUMMYFUNCTION("""COMPUTED_VALUE"""),0.0)</f>
        <v>0</v>
      </c>
      <c r="E45" s="91">
        <f>IFERROR(__xludf.DUMMYFUNCTION("""COMPUTED_VALUE"""),0.0)</f>
        <v>0</v>
      </c>
      <c r="F45" s="91">
        <f>IFERROR(__xludf.DUMMYFUNCTION("""COMPUTED_VALUE"""),0.0)</f>
        <v>0</v>
      </c>
      <c r="G45" s="91">
        <f>IFERROR(__xludf.DUMMYFUNCTION("""COMPUTED_VALUE"""),0.0)</f>
        <v>0</v>
      </c>
      <c r="H45" s="91">
        <f>IFERROR(__xludf.DUMMYFUNCTION("""COMPUTED_VALUE"""),0.0)</f>
        <v>0</v>
      </c>
      <c r="I45" s="91">
        <f>IFERROR(__xludf.DUMMYFUNCTION("""COMPUTED_VALUE"""),0.0)</f>
        <v>0</v>
      </c>
      <c r="J45" s="91">
        <f>IFERROR(__xludf.DUMMYFUNCTION("""COMPUTED_VALUE"""),0.0)</f>
        <v>0</v>
      </c>
      <c r="K45" s="91">
        <f>IFERROR(__xludf.DUMMYFUNCTION("""COMPUTED_VALUE"""),0.0)</f>
        <v>0</v>
      </c>
      <c r="L45" s="91">
        <f>IFERROR(__xludf.DUMMYFUNCTION("""COMPUTED_VALUE"""),0.0)</f>
        <v>0</v>
      </c>
      <c r="M45" s="91">
        <f>IFERROR(__xludf.DUMMYFUNCTION("""COMPUTED_VALUE"""),0.0)</f>
        <v>0</v>
      </c>
      <c r="N45" s="91">
        <f>IFERROR(__xludf.DUMMYFUNCTION("""COMPUTED_VALUE"""),0.0)</f>
        <v>0</v>
      </c>
      <c r="O45" s="91">
        <f>IFERROR(__xludf.DUMMYFUNCTION("""COMPUTED_VALUE"""),0.0)</f>
        <v>0</v>
      </c>
      <c r="Q45" s="147">
        <v>0.0</v>
      </c>
      <c r="R45" s="147">
        <v>0.0</v>
      </c>
      <c r="S45" s="147">
        <v>0.0</v>
      </c>
      <c r="T45" s="147">
        <v>0.0</v>
      </c>
      <c r="U45" s="147">
        <v>0.0</v>
      </c>
      <c r="V45" s="147">
        <v>0.0</v>
      </c>
      <c r="W45" s="147">
        <v>0.0</v>
      </c>
      <c r="X45" s="147">
        <v>0.0</v>
      </c>
      <c r="Y45" s="147">
        <v>0.0</v>
      </c>
      <c r="Z45" s="147">
        <v>0.0</v>
      </c>
      <c r="AA45" s="147">
        <v>0.0</v>
      </c>
      <c r="AB45" s="147">
        <v>0.0</v>
      </c>
      <c r="AC45" s="147">
        <v>0.0</v>
      </c>
      <c r="AE45" s="87" t="str">
        <f t="shared" ref="AE45:AQ45" si="41">IFERROR((Q45-C45)/C45, "")</f>
        <v/>
      </c>
      <c r="AF45" s="87" t="str">
        <f t="shared" si="41"/>
        <v/>
      </c>
      <c r="AG45" s="87" t="str">
        <f t="shared" si="41"/>
        <v/>
      </c>
      <c r="AH45" s="87" t="str">
        <f t="shared" si="41"/>
        <v/>
      </c>
      <c r="AI45" s="87" t="str">
        <f t="shared" si="41"/>
        <v/>
      </c>
      <c r="AJ45" s="87" t="str">
        <f t="shared" si="41"/>
        <v/>
      </c>
      <c r="AK45" s="87" t="str">
        <f t="shared" si="41"/>
        <v/>
      </c>
      <c r="AL45" s="87" t="str">
        <f t="shared" si="41"/>
        <v/>
      </c>
      <c r="AM45" s="87" t="str">
        <f t="shared" si="41"/>
        <v/>
      </c>
      <c r="AN45" s="87" t="str">
        <f t="shared" si="41"/>
        <v/>
      </c>
      <c r="AO45" s="87" t="str">
        <f t="shared" si="41"/>
        <v/>
      </c>
      <c r="AP45" s="87" t="str">
        <f t="shared" si="41"/>
        <v/>
      </c>
      <c r="AQ45" s="87" t="str">
        <f t="shared" si="41"/>
        <v/>
      </c>
    </row>
    <row r="46">
      <c r="B46" s="84" t="s">
        <v>186</v>
      </c>
      <c r="C46" s="86">
        <f>IFERROR(__xludf.DUMMYFUNCTION("""COMPUTED_VALUE"""),6.958157575757576)</f>
        <v>6.958157576</v>
      </c>
      <c r="D46" s="86">
        <f>IFERROR(__xludf.DUMMYFUNCTION("""COMPUTED_VALUE"""),0.17020606060606064)</f>
        <v>0.1702060606</v>
      </c>
      <c r="E46" s="86">
        <f>IFERROR(__xludf.DUMMYFUNCTION("""COMPUTED_VALUE"""),0.11886060606060608)</f>
        <v>0.1188606061</v>
      </c>
      <c r="F46" s="86">
        <f>IFERROR(__xludf.DUMMYFUNCTION("""COMPUTED_VALUE"""),0.05558787878787879)</f>
        <v>0.05558787879</v>
      </c>
      <c r="G46" s="86">
        <f>IFERROR(__xludf.DUMMYFUNCTION("""COMPUTED_VALUE"""),0.31170909090909094)</f>
        <v>0.3117090909</v>
      </c>
      <c r="H46" s="86">
        <f>IFERROR(__xludf.DUMMYFUNCTION("""COMPUTED_VALUE"""),0.3371636363636364)</f>
        <v>0.3371636364</v>
      </c>
      <c r="I46" s="86">
        <f>IFERROR(__xludf.DUMMYFUNCTION("""COMPUTED_VALUE"""),0.3658424242424243)</f>
        <v>0.3658424242</v>
      </c>
      <c r="J46" s="86">
        <f>IFERROR(__xludf.DUMMYFUNCTION("""COMPUTED_VALUE"""),0.07292121212121212)</f>
        <v>0.07292121212</v>
      </c>
      <c r="K46" s="86">
        <f>IFERROR(__xludf.DUMMYFUNCTION("""COMPUTED_VALUE"""),0.03246060606060606)</f>
        <v>0.03246060606</v>
      </c>
      <c r="L46" s="86">
        <f>IFERROR(__xludf.DUMMYFUNCTION("""COMPUTED_VALUE"""),0.03056969696969697)</f>
        <v>0.03056969697</v>
      </c>
      <c r="M46" s="86">
        <f>IFERROR(__xludf.DUMMYFUNCTION("""COMPUTED_VALUE"""),4.390206060606061)</f>
        <v>4.390206061</v>
      </c>
      <c r="N46" s="85">
        <f>IFERROR(__xludf.DUMMYFUNCTION("""COMPUTED_VALUE"""),18.923248484848486)</f>
        <v>18.92324848</v>
      </c>
      <c r="O46" s="85">
        <f>IFERROR(__xludf.DUMMYFUNCTION("""COMPUTED_VALUE"""),0.0)</f>
        <v>0</v>
      </c>
      <c r="Q46" s="147">
        <v>9.1754</v>
      </c>
      <c r="R46" s="147">
        <v>0.1717</v>
      </c>
      <c r="S46" s="147">
        <v>0.1208</v>
      </c>
      <c r="T46" s="147">
        <v>0.039</v>
      </c>
      <c r="U46" s="147">
        <v>0.4298</v>
      </c>
      <c r="V46" s="147">
        <v>0.4276</v>
      </c>
      <c r="W46" s="147">
        <v>0.4264</v>
      </c>
      <c r="X46" s="147">
        <v>0.0462</v>
      </c>
      <c r="Y46" s="147">
        <v>0.0462</v>
      </c>
      <c r="Z46" s="147">
        <v>0.0462</v>
      </c>
      <c r="AA46" s="147">
        <v>3.377</v>
      </c>
      <c r="AB46" s="147">
        <v>15.2895</v>
      </c>
      <c r="AC46" s="147">
        <v>0.0</v>
      </c>
      <c r="AE46" s="87">
        <f t="shared" ref="AE46:AQ46" si="42">IFERROR((Q46-C46)/C46, "")</f>
        <v>0.3186536666</v>
      </c>
      <c r="AF46" s="87">
        <f t="shared" si="42"/>
        <v>0.008777239709</v>
      </c>
      <c r="AG46" s="87">
        <f t="shared" si="42"/>
        <v>0.01631654089</v>
      </c>
      <c r="AH46" s="87">
        <f t="shared" si="42"/>
        <v>-0.2984081989</v>
      </c>
      <c r="AI46" s="87">
        <f t="shared" si="42"/>
        <v>0.3788497434</v>
      </c>
      <c r="AJ46" s="87">
        <f t="shared" si="42"/>
        <v>0.2682269198</v>
      </c>
      <c r="AK46" s="87">
        <f t="shared" si="42"/>
        <v>0.1655291233</v>
      </c>
      <c r="AL46" s="87">
        <f t="shared" si="42"/>
        <v>-0.3664394947</v>
      </c>
      <c r="AM46" s="87">
        <f t="shared" si="42"/>
        <v>0.4232636296</v>
      </c>
      <c r="AN46" s="87">
        <f t="shared" si="42"/>
        <v>0.5113005551</v>
      </c>
      <c r="AO46" s="87">
        <f t="shared" si="42"/>
        <v>-0.2307878142</v>
      </c>
      <c r="AP46" s="87">
        <f t="shared" si="42"/>
        <v>-0.192025618</v>
      </c>
      <c r="AQ46" s="87" t="str">
        <f t="shared" si="42"/>
        <v/>
      </c>
    </row>
    <row r="47">
      <c r="B47" s="89" t="s">
        <v>188</v>
      </c>
      <c r="C47" s="91">
        <f>IFERROR(__xludf.DUMMYFUNCTION("""COMPUTED_VALUE"""),0.0)</f>
        <v>0</v>
      </c>
      <c r="D47" s="91">
        <f>IFERROR(__xludf.DUMMYFUNCTION("""COMPUTED_VALUE"""),0.0)</f>
        <v>0</v>
      </c>
      <c r="E47" s="91">
        <f>IFERROR(__xludf.DUMMYFUNCTION("""COMPUTED_VALUE"""),0.0)</f>
        <v>0</v>
      </c>
      <c r="F47" s="91">
        <f>IFERROR(__xludf.DUMMYFUNCTION("""COMPUTED_VALUE"""),0.0)</f>
        <v>0</v>
      </c>
      <c r="G47" s="91">
        <f>IFERROR(__xludf.DUMMYFUNCTION("""COMPUTED_VALUE"""),0.0)</f>
        <v>0</v>
      </c>
      <c r="H47" s="91">
        <f>IFERROR(__xludf.DUMMYFUNCTION("""COMPUTED_VALUE"""),0.0)</f>
        <v>0</v>
      </c>
      <c r="I47" s="91">
        <f>IFERROR(__xludf.DUMMYFUNCTION("""COMPUTED_VALUE"""),0.0)</f>
        <v>0</v>
      </c>
      <c r="J47" s="91">
        <f>IFERROR(__xludf.DUMMYFUNCTION("""COMPUTED_VALUE"""),0.0)</f>
        <v>0</v>
      </c>
      <c r="K47" s="91">
        <f>IFERROR(__xludf.DUMMYFUNCTION("""COMPUTED_VALUE"""),0.0)</f>
        <v>0</v>
      </c>
      <c r="L47" s="91">
        <f>IFERROR(__xludf.DUMMYFUNCTION("""COMPUTED_VALUE"""),0.0)</f>
        <v>0</v>
      </c>
      <c r="M47" s="91">
        <f>IFERROR(__xludf.DUMMYFUNCTION("""COMPUTED_VALUE"""),0.0)</f>
        <v>0</v>
      </c>
      <c r="N47" s="91">
        <f>IFERROR(__xludf.DUMMYFUNCTION("""COMPUTED_VALUE"""),0.0)</f>
        <v>0</v>
      </c>
      <c r="O47" s="91">
        <f>IFERROR(__xludf.DUMMYFUNCTION("""COMPUTED_VALUE"""),0.0)</f>
        <v>0</v>
      </c>
      <c r="Q47" s="147">
        <v>0.0261</v>
      </c>
      <c r="R47" s="147">
        <v>0.0</v>
      </c>
      <c r="S47" s="147">
        <v>0.0</v>
      </c>
      <c r="T47" s="147">
        <v>0.0</v>
      </c>
      <c r="U47" s="147">
        <v>2.0E-4</v>
      </c>
      <c r="V47" s="147">
        <v>0.0023</v>
      </c>
      <c r="W47" s="147">
        <v>0.0</v>
      </c>
      <c r="X47" s="147">
        <v>0.0</v>
      </c>
      <c r="Y47" s="147">
        <v>8.0E-4</v>
      </c>
      <c r="Z47" s="147">
        <v>0.0078</v>
      </c>
      <c r="AA47" s="147">
        <v>0.0735</v>
      </c>
      <c r="AB47" s="147">
        <v>0.0</v>
      </c>
      <c r="AC47" s="147">
        <v>0.0</v>
      </c>
      <c r="AE47" s="87" t="str">
        <f t="shared" ref="AE47:AQ47" si="43">IFERROR((Q47-C47)/C47, "")</f>
        <v/>
      </c>
      <c r="AF47" s="87" t="str">
        <f t="shared" si="43"/>
        <v/>
      </c>
      <c r="AG47" s="87" t="str">
        <f t="shared" si="43"/>
        <v/>
      </c>
      <c r="AH47" s="87" t="str">
        <f t="shared" si="43"/>
        <v/>
      </c>
      <c r="AI47" s="87" t="str">
        <f t="shared" si="43"/>
        <v/>
      </c>
      <c r="AJ47" s="87" t="str">
        <f t="shared" si="43"/>
        <v/>
      </c>
      <c r="AK47" s="87" t="str">
        <f t="shared" si="43"/>
        <v/>
      </c>
      <c r="AL47" s="87" t="str">
        <f t="shared" si="43"/>
        <v/>
      </c>
      <c r="AM47" s="87" t="str">
        <f t="shared" si="43"/>
        <v/>
      </c>
      <c r="AN47" s="87" t="str">
        <f t="shared" si="43"/>
        <v/>
      </c>
      <c r="AO47" s="87" t="str">
        <f t="shared" si="43"/>
        <v/>
      </c>
      <c r="AP47" s="87" t="str">
        <f t="shared" si="43"/>
        <v/>
      </c>
      <c r="AQ47" s="87" t="str">
        <f t="shared" si="43"/>
        <v/>
      </c>
    </row>
    <row r="48">
      <c r="B48" s="89" t="s">
        <v>189</v>
      </c>
      <c r="C48" s="91">
        <f>IFERROR(__xludf.DUMMYFUNCTION("""COMPUTED_VALUE"""),0.0)</f>
        <v>0</v>
      </c>
      <c r="D48" s="91">
        <f>IFERROR(__xludf.DUMMYFUNCTION("""COMPUTED_VALUE"""),0.0)</f>
        <v>0</v>
      </c>
      <c r="E48" s="91">
        <f>IFERROR(__xludf.DUMMYFUNCTION("""COMPUTED_VALUE"""),0.0)</f>
        <v>0</v>
      </c>
      <c r="F48" s="91">
        <f>IFERROR(__xludf.DUMMYFUNCTION("""COMPUTED_VALUE"""),0.0)</f>
        <v>0</v>
      </c>
      <c r="G48" s="91">
        <f>IFERROR(__xludf.DUMMYFUNCTION("""COMPUTED_VALUE"""),0.0)</f>
        <v>0</v>
      </c>
      <c r="H48" s="91">
        <f>IFERROR(__xludf.DUMMYFUNCTION("""COMPUTED_VALUE"""),0.0)</f>
        <v>0</v>
      </c>
      <c r="I48" s="91">
        <f>IFERROR(__xludf.DUMMYFUNCTION("""COMPUTED_VALUE"""),0.0)</f>
        <v>0</v>
      </c>
      <c r="J48" s="91">
        <f>IFERROR(__xludf.DUMMYFUNCTION("""COMPUTED_VALUE"""),0.0)</f>
        <v>0</v>
      </c>
      <c r="K48" s="91">
        <f>IFERROR(__xludf.DUMMYFUNCTION("""COMPUTED_VALUE"""),0.0)</f>
        <v>0</v>
      </c>
      <c r="L48" s="91">
        <f>IFERROR(__xludf.DUMMYFUNCTION("""COMPUTED_VALUE"""),0.0)</f>
        <v>0</v>
      </c>
      <c r="M48" s="91">
        <f>IFERROR(__xludf.DUMMYFUNCTION("""COMPUTED_VALUE"""),0.0)</f>
        <v>0</v>
      </c>
      <c r="N48" s="91">
        <f>IFERROR(__xludf.DUMMYFUNCTION("""COMPUTED_VALUE"""),0.0)</f>
        <v>0</v>
      </c>
      <c r="O48" s="91">
        <f>IFERROR(__xludf.DUMMYFUNCTION("""COMPUTED_VALUE"""),0.0)</f>
        <v>0</v>
      </c>
      <c r="Q48" s="147">
        <v>4.9755</v>
      </c>
      <c r="R48" s="147">
        <v>0.2962</v>
      </c>
      <c r="S48" s="147">
        <v>0.132</v>
      </c>
      <c r="T48" s="147">
        <v>0.0088</v>
      </c>
      <c r="U48" s="147">
        <v>0.0</v>
      </c>
      <c r="V48" s="147">
        <v>0.0</v>
      </c>
      <c r="W48" s="147">
        <v>0.0</v>
      </c>
      <c r="X48" s="147">
        <v>0.0</v>
      </c>
      <c r="Y48" s="147">
        <v>0.0</v>
      </c>
      <c r="Z48" s="147">
        <v>0.0</v>
      </c>
      <c r="AA48" s="147">
        <v>0.0</v>
      </c>
      <c r="AB48" s="147">
        <v>0.0</v>
      </c>
      <c r="AC48" s="147">
        <v>0.0</v>
      </c>
      <c r="AE48" s="87" t="str">
        <f t="shared" ref="AE48:AQ48" si="44">IFERROR((Q48-C48)/C48, "")</f>
        <v/>
      </c>
      <c r="AF48" s="87" t="str">
        <f t="shared" si="44"/>
        <v/>
      </c>
      <c r="AG48" s="87" t="str">
        <f t="shared" si="44"/>
        <v/>
      </c>
      <c r="AH48" s="87" t="str">
        <f t="shared" si="44"/>
        <v/>
      </c>
      <c r="AI48" s="87" t="str">
        <f t="shared" si="44"/>
        <v/>
      </c>
      <c r="AJ48" s="87" t="str">
        <f t="shared" si="44"/>
        <v/>
      </c>
      <c r="AK48" s="87" t="str">
        <f t="shared" si="44"/>
        <v/>
      </c>
      <c r="AL48" s="87" t="str">
        <f t="shared" si="44"/>
        <v/>
      </c>
      <c r="AM48" s="87" t="str">
        <f t="shared" si="44"/>
        <v/>
      </c>
      <c r="AN48" s="87" t="str">
        <f t="shared" si="44"/>
        <v/>
      </c>
      <c r="AO48" s="87" t="str">
        <f t="shared" si="44"/>
        <v/>
      </c>
      <c r="AP48" s="87" t="str">
        <f t="shared" si="44"/>
        <v/>
      </c>
      <c r="AQ48" s="87" t="str">
        <f t="shared" si="44"/>
        <v/>
      </c>
    </row>
    <row r="49">
      <c r="B49" s="89" t="s">
        <v>191</v>
      </c>
      <c r="C49" s="91">
        <f>IFERROR(__xludf.DUMMYFUNCTION("""COMPUTED_VALUE"""),0.0)</f>
        <v>0</v>
      </c>
      <c r="D49" s="91">
        <f>IFERROR(__xludf.DUMMYFUNCTION("""COMPUTED_VALUE"""),0.0)</f>
        <v>0</v>
      </c>
      <c r="E49" s="91">
        <f>IFERROR(__xludf.DUMMYFUNCTION("""COMPUTED_VALUE"""),0.0)</f>
        <v>0</v>
      </c>
      <c r="F49" s="91">
        <f>IFERROR(__xludf.DUMMYFUNCTION("""COMPUTED_VALUE"""),0.0)</f>
        <v>0</v>
      </c>
      <c r="G49" s="91">
        <f>IFERROR(__xludf.DUMMYFUNCTION("""COMPUTED_VALUE"""),0.0)</f>
        <v>0</v>
      </c>
      <c r="H49" s="91">
        <f>IFERROR(__xludf.DUMMYFUNCTION("""COMPUTED_VALUE"""),0.0)</f>
        <v>0</v>
      </c>
      <c r="I49" s="91">
        <f>IFERROR(__xludf.DUMMYFUNCTION("""COMPUTED_VALUE"""),0.0)</f>
        <v>0</v>
      </c>
      <c r="J49" s="91">
        <f>IFERROR(__xludf.DUMMYFUNCTION("""COMPUTED_VALUE"""),0.0)</f>
        <v>0</v>
      </c>
      <c r="K49" s="91">
        <f>IFERROR(__xludf.DUMMYFUNCTION("""COMPUTED_VALUE"""),0.0)</f>
        <v>0</v>
      </c>
      <c r="L49" s="91">
        <f>IFERROR(__xludf.DUMMYFUNCTION("""COMPUTED_VALUE"""),0.0)</f>
        <v>0</v>
      </c>
      <c r="M49" s="91">
        <f>IFERROR(__xludf.DUMMYFUNCTION("""COMPUTED_VALUE"""),0.0)</f>
        <v>0</v>
      </c>
      <c r="N49" s="91">
        <f>IFERROR(__xludf.DUMMYFUNCTION("""COMPUTED_VALUE"""),0.0)</f>
        <v>0</v>
      </c>
      <c r="O49" s="91">
        <f>IFERROR(__xludf.DUMMYFUNCTION("""COMPUTED_VALUE"""),0.0)</f>
        <v>0</v>
      </c>
      <c r="Q49" s="147">
        <v>0.0175</v>
      </c>
      <c r="R49" s="147">
        <v>0.0</v>
      </c>
      <c r="S49" s="147">
        <v>6.0E-4</v>
      </c>
      <c r="T49" s="147">
        <v>3.0E-4</v>
      </c>
      <c r="U49" s="147">
        <v>2.0E-4</v>
      </c>
      <c r="V49" s="147">
        <v>2.0E-4</v>
      </c>
      <c r="W49" s="147">
        <v>1.0E-4</v>
      </c>
      <c r="X49" s="147">
        <v>0.001</v>
      </c>
      <c r="Y49" s="147">
        <v>0.001</v>
      </c>
      <c r="Z49" s="147">
        <v>8.0E-4</v>
      </c>
      <c r="AA49" s="147">
        <v>0.0</v>
      </c>
      <c r="AB49" s="147">
        <v>0.0026</v>
      </c>
      <c r="AC49" s="147">
        <v>0.001</v>
      </c>
      <c r="AE49" s="87" t="str">
        <f t="shared" ref="AE49:AQ49" si="45">IFERROR((Q49-C49)/C49, "")</f>
        <v/>
      </c>
      <c r="AF49" s="87" t="str">
        <f t="shared" si="45"/>
        <v/>
      </c>
      <c r="AG49" s="87" t="str">
        <f t="shared" si="45"/>
        <v/>
      </c>
      <c r="AH49" s="87" t="str">
        <f t="shared" si="45"/>
        <v/>
      </c>
      <c r="AI49" s="87" t="str">
        <f t="shared" si="45"/>
        <v/>
      </c>
      <c r="AJ49" s="87" t="str">
        <f t="shared" si="45"/>
        <v/>
      </c>
      <c r="AK49" s="87" t="str">
        <f t="shared" si="45"/>
        <v/>
      </c>
      <c r="AL49" s="87" t="str">
        <f t="shared" si="45"/>
        <v/>
      </c>
      <c r="AM49" s="87" t="str">
        <f t="shared" si="45"/>
        <v/>
      </c>
      <c r="AN49" s="87" t="str">
        <f t="shared" si="45"/>
        <v/>
      </c>
      <c r="AO49" s="87" t="str">
        <f t="shared" si="45"/>
        <v/>
      </c>
      <c r="AP49" s="87" t="str">
        <f t="shared" si="45"/>
        <v/>
      </c>
      <c r="AQ49" s="87" t="str">
        <f t="shared" si="45"/>
        <v/>
      </c>
    </row>
    <row r="50">
      <c r="B50" s="89" t="s">
        <v>192</v>
      </c>
      <c r="C50" s="91">
        <f>IFERROR(__xludf.DUMMYFUNCTION("""COMPUTED_VALUE"""),21.554096563500533)</f>
        <v>21.55409656</v>
      </c>
      <c r="D50" s="91">
        <f>IFERROR(__xludf.DUMMYFUNCTION("""COMPUTED_VALUE"""),0.3229770618748604)</f>
        <v>0.3229770619</v>
      </c>
      <c r="E50" s="91">
        <f>IFERROR(__xludf.DUMMYFUNCTION("""COMPUTED_VALUE"""),0.21907245455974453)</f>
        <v>0.2190724546</v>
      </c>
      <c r="F50" s="91">
        <f>IFERROR(__xludf.DUMMYFUNCTION("""COMPUTED_VALUE"""),0.0)</f>
        <v>0</v>
      </c>
      <c r="G50" s="91">
        <f>IFERROR(__xludf.DUMMYFUNCTION("""COMPUTED_VALUE"""),0.23207475173667128)</f>
        <v>0.2320747517</v>
      </c>
      <c r="H50" s="91">
        <f>IFERROR(__xludf.DUMMYFUNCTION("""COMPUTED_VALUE"""),0.22975059111629567)</f>
        <v>0.2297505911</v>
      </c>
      <c r="I50" s="91">
        <f>IFERROR(__xludf.DUMMYFUNCTION("""COMPUTED_VALUE"""),0.1428789931029538)</f>
        <v>0.1428789931</v>
      </c>
      <c r="J50" s="91">
        <f>IFERROR(__xludf.DUMMYFUNCTION("""COMPUTED_VALUE"""),0.0)</f>
        <v>0</v>
      </c>
      <c r="K50" s="91">
        <f>IFERROR(__xludf.DUMMYFUNCTION("""COMPUTED_VALUE"""),0.0)</f>
        <v>0</v>
      </c>
      <c r="L50" s="91">
        <f>IFERROR(__xludf.DUMMYFUNCTION("""COMPUTED_VALUE"""),1.706551504471636E-4)</f>
        <v>0.0001706551504</v>
      </c>
      <c r="M50" s="91">
        <f>IFERROR(__xludf.DUMMYFUNCTION("""COMPUTED_VALUE"""),39.08948862359667)</f>
        <v>39.08948862</v>
      </c>
      <c r="N50" s="91">
        <f>IFERROR(__xludf.DUMMYFUNCTION("""COMPUTED_VALUE"""),0.0)</f>
        <v>0</v>
      </c>
      <c r="O50" s="91">
        <f>IFERROR(__xludf.DUMMYFUNCTION("""COMPUTED_VALUE"""),0.0)</f>
        <v>0</v>
      </c>
      <c r="Q50" s="147">
        <v>22.4565</v>
      </c>
      <c r="R50" s="147">
        <v>0.3775</v>
      </c>
      <c r="S50" s="147">
        <v>0.3388</v>
      </c>
      <c r="T50" s="147">
        <v>0.004</v>
      </c>
      <c r="U50" s="147">
        <v>0.3867</v>
      </c>
      <c r="V50" s="147">
        <v>0.3441</v>
      </c>
      <c r="W50" s="147">
        <v>0.3359</v>
      </c>
      <c r="X50" s="147">
        <v>0.0</v>
      </c>
      <c r="Y50" s="147">
        <v>0.0</v>
      </c>
      <c r="Z50" s="147">
        <v>0.0</v>
      </c>
      <c r="AA50" s="147">
        <v>92.1117</v>
      </c>
      <c r="AB50" s="147">
        <v>0.0</v>
      </c>
      <c r="AC50" s="147">
        <v>0.0</v>
      </c>
      <c r="AE50" s="87">
        <f t="shared" ref="AE50:AQ50" si="46">IFERROR((Q50-C50)/C50, "")</f>
        <v>0.04186691072</v>
      </c>
      <c r="AF50" s="87">
        <f t="shared" si="46"/>
        <v>0.1688136545</v>
      </c>
      <c r="AG50" s="87">
        <f t="shared" si="46"/>
        <v>0.5465203085</v>
      </c>
      <c r="AH50" s="87" t="str">
        <f t="shared" si="46"/>
        <v/>
      </c>
      <c r="AI50" s="87">
        <f t="shared" si="46"/>
        <v>0.6662734619</v>
      </c>
      <c r="AJ50" s="87">
        <f t="shared" si="46"/>
        <v>0.4977110541</v>
      </c>
      <c r="AK50" s="87">
        <f t="shared" si="46"/>
        <v>1.35094042</v>
      </c>
      <c r="AL50" s="87" t="str">
        <f t="shared" si="46"/>
        <v/>
      </c>
      <c r="AM50" s="87" t="str">
        <f t="shared" si="46"/>
        <v/>
      </c>
      <c r="AN50" s="87">
        <f t="shared" si="46"/>
        <v>-1</v>
      </c>
      <c r="AO50" s="87">
        <f t="shared" si="46"/>
        <v>1.356431441</v>
      </c>
      <c r="AP50" s="87" t="str">
        <f t="shared" si="46"/>
        <v/>
      </c>
      <c r="AQ50" s="87" t="str">
        <f t="shared" si="46"/>
        <v/>
      </c>
    </row>
    <row r="51">
      <c r="B51" s="89" t="s">
        <v>194</v>
      </c>
      <c r="C51" s="91">
        <f>IFERROR(__xludf.DUMMYFUNCTION("""COMPUTED_VALUE"""),9.837936598765369)</f>
        <v>9.837936599</v>
      </c>
      <c r="D51" s="91">
        <f>IFERROR(__xludf.DUMMYFUNCTION("""COMPUTED_VALUE"""),0.11190856941479124)</f>
        <v>0.1119085694</v>
      </c>
      <c r="E51" s="91">
        <f>IFERROR(__xludf.DUMMYFUNCTION("""COMPUTED_VALUE"""),0.1685662440805199)</f>
        <v>0.1685662441</v>
      </c>
      <c r="F51" s="91">
        <f>IFERROR(__xludf.DUMMYFUNCTION("""COMPUTED_VALUE"""),0.07186944870967875)</f>
        <v>0.07186944871</v>
      </c>
      <c r="G51" s="91">
        <f>IFERROR(__xludf.DUMMYFUNCTION("""COMPUTED_VALUE"""),0.3147476824540889)</f>
        <v>0.3147476825</v>
      </c>
      <c r="H51" s="91">
        <f>IFERROR(__xludf.DUMMYFUNCTION("""COMPUTED_VALUE"""),0.3397141611949216)</f>
        <v>0.3397141612</v>
      </c>
      <c r="I51" s="91">
        <f>IFERROR(__xludf.DUMMYFUNCTION("""COMPUTED_VALUE"""),0.17844462173710945)</f>
        <v>0.1784446217</v>
      </c>
      <c r="J51" s="91">
        <f>IFERROR(__xludf.DUMMYFUNCTION("""COMPUTED_VALUE"""),1.5372085117970156)</f>
        <v>1.537208512</v>
      </c>
      <c r="K51" s="91">
        <f>IFERROR(__xludf.DUMMYFUNCTION("""COMPUTED_VALUE"""),3.0842799421306575)</f>
        <v>3.084279942</v>
      </c>
      <c r="L51" s="91">
        <f>IFERROR(__xludf.DUMMYFUNCTION("""COMPUTED_VALUE"""),3.3270963393952138)</f>
        <v>3.327096339</v>
      </c>
      <c r="M51" s="91">
        <f>IFERROR(__xludf.DUMMYFUNCTION("""COMPUTED_VALUE"""),18.31375467843878)</f>
        <v>18.31375468</v>
      </c>
      <c r="N51" s="91">
        <f>IFERROR(__xludf.DUMMYFUNCTION("""COMPUTED_VALUE"""),0.30324609720134615)</f>
        <v>0.3032460972</v>
      </c>
      <c r="O51" s="91">
        <f>IFERROR(__xludf.DUMMYFUNCTION("""COMPUTED_VALUE"""),0.0)</f>
        <v>0</v>
      </c>
      <c r="Q51" s="147">
        <v>11.7537</v>
      </c>
      <c r="R51" s="147">
        <v>0.0405</v>
      </c>
      <c r="S51" s="147">
        <v>0.2453</v>
      </c>
      <c r="T51" s="147">
        <v>0.021</v>
      </c>
      <c r="U51" s="147">
        <v>0.7332</v>
      </c>
      <c r="V51" s="147">
        <v>0.5465</v>
      </c>
      <c r="W51" s="147">
        <v>0.1467</v>
      </c>
      <c r="X51" s="147">
        <v>0.1119</v>
      </c>
      <c r="Y51" s="147">
        <v>2.4179</v>
      </c>
      <c r="Z51" s="147">
        <v>3.6539</v>
      </c>
      <c r="AA51" s="147">
        <v>18.5436</v>
      </c>
      <c r="AB51" s="147">
        <v>0.2142</v>
      </c>
      <c r="AC51" s="147">
        <v>0.0</v>
      </c>
      <c r="AE51" s="87">
        <f t="shared" ref="AE51:AQ51" si="47">IFERROR((Q51-C51)/C51, "")</f>
        <v>0.194732237</v>
      </c>
      <c r="AF51" s="87">
        <f t="shared" si="47"/>
        <v>-0.63809742</v>
      </c>
      <c r="AG51" s="87">
        <f t="shared" si="47"/>
        <v>0.4552142473</v>
      </c>
      <c r="AH51" s="87">
        <f t="shared" si="47"/>
        <v>-0.7078035191</v>
      </c>
      <c r="AI51" s="87">
        <f t="shared" si="47"/>
        <v>1.329484984</v>
      </c>
      <c r="AJ51" s="87">
        <f t="shared" si="47"/>
        <v>0.6087053836</v>
      </c>
      <c r="AK51" s="87">
        <f t="shared" si="47"/>
        <v>-0.1778962091</v>
      </c>
      <c r="AL51" s="87">
        <f t="shared" si="47"/>
        <v>-0.9272057114</v>
      </c>
      <c r="AM51" s="87">
        <f t="shared" si="47"/>
        <v>-0.2160568932</v>
      </c>
      <c r="AN51" s="87">
        <f t="shared" si="47"/>
        <v>0.09822488659</v>
      </c>
      <c r="AO51" s="87">
        <f t="shared" si="47"/>
        <v>0.01255042047</v>
      </c>
      <c r="AP51" s="87">
        <f t="shared" si="47"/>
        <v>-0.2936430115</v>
      </c>
      <c r="AQ51" s="87" t="str">
        <f t="shared" si="47"/>
        <v/>
      </c>
    </row>
    <row r="52">
      <c r="B52" s="89" t="s">
        <v>195</v>
      </c>
      <c r="C52" s="91">
        <f>IFERROR(__xludf.DUMMYFUNCTION("""COMPUTED_VALUE"""),1.5744315550889838)</f>
        <v>1.574431555</v>
      </c>
      <c r="D52" s="91">
        <f>IFERROR(__xludf.DUMMYFUNCTION("""COMPUTED_VALUE"""),0.0)</f>
        <v>0</v>
      </c>
      <c r="E52" s="91">
        <f>IFERROR(__xludf.DUMMYFUNCTION("""COMPUTED_VALUE"""),0.0)</f>
        <v>0</v>
      </c>
      <c r="F52" s="91">
        <f>IFERROR(__xludf.DUMMYFUNCTION("""COMPUTED_VALUE"""),0.007843370935310005)</f>
        <v>0.007843370935</v>
      </c>
      <c r="G52" s="91">
        <f>IFERROR(__xludf.DUMMYFUNCTION("""COMPUTED_VALUE"""),8.344011633308517E-5)</f>
        <v>0.00008344011633</v>
      </c>
      <c r="H52" s="91">
        <f>IFERROR(__xludf.DUMMYFUNCTION("""COMPUTED_VALUE"""),4.172005816654259E-5)</f>
        <v>0.00004172005817</v>
      </c>
      <c r="I52" s="91">
        <f>IFERROR(__xludf.DUMMYFUNCTION("""COMPUTED_VALUE"""),4.172005816654259E-5)</f>
        <v>0.00004172005817</v>
      </c>
      <c r="J52" s="91">
        <f>IFERROR(__xludf.DUMMYFUNCTION("""COMPUTED_VALUE"""),0.0)</f>
        <v>0</v>
      </c>
      <c r="K52" s="91">
        <f>IFERROR(__xludf.DUMMYFUNCTION("""COMPUTED_VALUE"""),0.0)</f>
        <v>0</v>
      </c>
      <c r="L52" s="91">
        <f>IFERROR(__xludf.DUMMYFUNCTION("""COMPUTED_VALUE"""),0.0)</f>
        <v>0</v>
      </c>
      <c r="M52" s="91">
        <f>IFERROR(__xludf.DUMMYFUNCTION("""COMPUTED_VALUE"""),6.677337029613307)</f>
        <v>6.67733703</v>
      </c>
      <c r="N52" s="91">
        <f>IFERROR(__xludf.DUMMYFUNCTION("""COMPUTED_VALUE"""),5.423607561650536E-4)</f>
        <v>0.0005423607562</v>
      </c>
      <c r="O52" s="91">
        <f>IFERROR(__xludf.DUMMYFUNCTION("""COMPUTED_VALUE"""),0.0)</f>
        <v>0</v>
      </c>
      <c r="Q52" s="147">
        <v>1.9127</v>
      </c>
      <c r="R52" s="147">
        <v>0.0612</v>
      </c>
      <c r="S52" s="147">
        <v>0.0178</v>
      </c>
      <c r="T52" s="147">
        <v>0.0059</v>
      </c>
      <c r="U52" s="147">
        <v>0.1188</v>
      </c>
      <c r="V52" s="147">
        <v>0.0673</v>
      </c>
      <c r="W52" s="147">
        <v>0.0189</v>
      </c>
      <c r="X52" s="147">
        <v>0.0</v>
      </c>
      <c r="Y52" s="147">
        <v>0.0</v>
      </c>
      <c r="Z52" s="147">
        <v>0.0</v>
      </c>
      <c r="AA52" s="147">
        <v>19.5968</v>
      </c>
      <c r="AB52" s="147">
        <v>0.001</v>
      </c>
      <c r="AC52" s="147">
        <v>0.0</v>
      </c>
      <c r="AE52" s="87">
        <f t="shared" ref="AE52:AQ52" si="48">IFERROR((Q52-C52)/C52, "")</f>
        <v>0.2148511593</v>
      </c>
      <c r="AF52" s="87" t="str">
        <f t="shared" si="48"/>
        <v/>
      </c>
      <c r="AG52" s="87" t="str">
        <f t="shared" si="48"/>
        <v/>
      </c>
      <c r="AH52" s="87">
        <f t="shared" si="48"/>
        <v>-0.2477724121</v>
      </c>
      <c r="AI52" s="87">
        <f t="shared" si="48"/>
        <v>1422.77558</v>
      </c>
      <c r="AJ52" s="87">
        <f t="shared" si="48"/>
        <v>1612.132938</v>
      </c>
      <c r="AK52" s="87">
        <f t="shared" si="48"/>
        <v>452.0195026</v>
      </c>
      <c r="AL52" s="87" t="str">
        <f t="shared" si="48"/>
        <v/>
      </c>
      <c r="AM52" s="87" t="str">
        <f t="shared" si="48"/>
        <v/>
      </c>
      <c r="AN52" s="87" t="str">
        <f t="shared" si="48"/>
        <v/>
      </c>
      <c r="AO52" s="87">
        <f t="shared" si="48"/>
        <v>1.934822657</v>
      </c>
      <c r="AP52" s="87">
        <f t="shared" si="48"/>
        <v>0.8437912195</v>
      </c>
      <c r="AQ52" s="87" t="str">
        <f t="shared" si="48"/>
        <v/>
      </c>
    </row>
    <row r="53">
      <c r="B53" s="84" t="s">
        <v>199</v>
      </c>
      <c r="C53" s="86">
        <f>IFERROR(__xludf.DUMMYFUNCTION("""COMPUTED_VALUE"""),9.494810034727703)</f>
        <v>9.494810035</v>
      </c>
      <c r="D53" s="86">
        <f>IFERROR(__xludf.DUMMYFUNCTION("""COMPUTED_VALUE"""),0.1366205432650553)</f>
        <v>0.1366205433</v>
      </c>
      <c r="E53" s="86">
        <f>IFERROR(__xludf.DUMMYFUNCTION("""COMPUTED_VALUE"""),0.06318435357514107)</f>
        <v>0.06318435358</v>
      </c>
      <c r="F53" s="86">
        <f>IFERROR(__xludf.DUMMYFUNCTION("""COMPUTED_VALUE"""),0.03545779681018644)</f>
        <v>0.03545779681</v>
      </c>
      <c r="G53" s="86">
        <f>IFERROR(__xludf.DUMMYFUNCTION("""COMPUTED_VALUE"""),0.0)</f>
        <v>0</v>
      </c>
      <c r="H53" s="86">
        <f>IFERROR(__xludf.DUMMYFUNCTION("""COMPUTED_VALUE"""),0.0)</f>
        <v>0</v>
      </c>
      <c r="I53" s="86">
        <f>IFERROR(__xludf.DUMMYFUNCTION("""COMPUTED_VALUE"""),0.0)</f>
        <v>0</v>
      </c>
      <c r="J53" s="86">
        <f>IFERROR(__xludf.DUMMYFUNCTION("""COMPUTED_VALUE"""),0.0)</f>
        <v>0</v>
      </c>
      <c r="K53" s="86">
        <f>IFERROR(__xludf.DUMMYFUNCTION("""COMPUTED_VALUE"""),0.0)</f>
        <v>0</v>
      </c>
      <c r="L53" s="86">
        <f>IFERROR(__xludf.DUMMYFUNCTION("""COMPUTED_VALUE"""),0.0)</f>
        <v>0</v>
      </c>
      <c r="M53" s="86">
        <f>IFERROR(__xludf.DUMMYFUNCTION("""COMPUTED_VALUE"""),0.0)</f>
        <v>0</v>
      </c>
      <c r="N53" s="85">
        <f>IFERROR(__xludf.DUMMYFUNCTION("""COMPUTED_VALUE"""),0.0)</f>
        <v>0</v>
      </c>
      <c r="O53" s="85">
        <f>IFERROR(__xludf.DUMMYFUNCTION("""COMPUTED_VALUE"""),0.0)</f>
        <v>0</v>
      </c>
      <c r="Q53" s="147">
        <v>18.3379</v>
      </c>
      <c r="R53" s="147">
        <v>0.2235</v>
      </c>
      <c r="S53" s="147">
        <v>0.1012</v>
      </c>
      <c r="T53" s="147">
        <v>0.0542</v>
      </c>
      <c r="U53" s="147">
        <v>0.0</v>
      </c>
      <c r="V53" s="147">
        <v>0.0</v>
      </c>
      <c r="W53" s="147">
        <v>0.0</v>
      </c>
      <c r="X53" s="147">
        <v>0.0</v>
      </c>
      <c r="Y53" s="147">
        <v>0.0</v>
      </c>
      <c r="Z53" s="147">
        <v>0.0</v>
      </c>
      <c r="AA53" s="147">
        <v>0.0</v>
      </c>
      <c r="AB53" s="147">
        <v>0.0</v>
      </c>
      <c r="AC53" s="147">
        <v>0.0</v>
      </c>
      <c r="AE53" s="87">
        <f t="shared" ref="AE53:AQ53" si="49">IFERROR((Q53-C53)/C53, "")</f>
        <v>0.9313603888</v>
      </c>
      <c r="AF53" s="87">
        <f t="shared" si="49"/>
        <v>0.6359179568</v>
      </c>
      <c r="AG53" s="87">
        <f t="shared" si="49"/>
        <v>0.6016623464</v>
      </c>
      <c r="AH53" s="87">
        <f t="shared" si="49"/>
        <v>0.5285777706</v>
      </c>
      <c r="AI53" s="87" t="str">
        <f t="shared" si="49"/>
        <v/>
      </c>
      <c r="AJ53" s="87" t="str">
        <f t="shared" si="49"/>
        <v/>
      </c>
      <c r="AK53" s="87" t="str">
        <f t="shared" si="49"/>
        <v/>
      </c>
      <c r="AL53" s="87" t="str">
        <f t="shared" si="49"/>
        <v/>
      </c>
      <c r="AM53" s="87" t="str">
        <f t="shared" si="49"/>
        <v/>
      </c>
      <c r="AN53" s="87" t="str">
        <f t="shared" si="49"/>
        <v/>
      </c>
      <c r="AO53" s="87" t="str">
        <f t="shared" si="49"/>
        <v/>
      </c>
      <c r="AP53" s="87" t="str">
        <f t="shared" si="49"/>
        <v/>
      </c>
      <c r="AQ53" s="87" t="str">
        <f t="shared" si="49"/>
        <v/>
      </c>
    </row>
    <row r="54">
      <c r="B54" s="84" t="s">
        <v>201</v>
      </c>
      <c r="C54" s="86">
        <f>IFERROR(__xludf.DUMMYFUNCTION("""COMPUTED_VALUE"""),11.394300000000001)</f>
        <v>11.3943</v>
      </c>
      <c r="D54" s="86">
        <f>IFERROR(__xludf.DUMMYFUNCTION("""COMPUTED_VALUE"""),0.09066)</f>
        <v>0.09066</v>
      </c>
      <c r="E54" s="86">
        <f>IFERROR(__xludf.DUMMYFUNCTION("""COMPUTED_VALUE"""),0.12738000000000002)</f>
        <v>0.12738</v>
      </c>
      <c r="F54" s="86">
        <f>IFERROR(__xludf.DUMMYFUNCTION("""COMPUTED_VALUE"""),0.21136)</f>
        <v>0.21136</v>
      </c>
      <c r="G54" s="86">
        <f>IFERROR(__xludf.DUMMYFUNCTION("""COMPUTED_VALUE"""),0.015440000000000002)</f>
        <v>0.01544</v>
      </c>
      <c r="H54" s="86">
        <f>IFERROR(__xludf.DUMMYFUNCTION("""COMPUTED_VALUE"""),0.028360000000000003)</f>
        <v>0.02836</v>
      </c>
      <c r="I54" s="86">
        <f>IFERROR(__xludf.DUMMYFUNCTION("""COMPUTED_VALUE"""),0.08176)</f>
        <v>0.08176</v>
      </c>
      <c r="J54" s="86">
        <f>IFERROR(__xludf.DUMMYFUNCTION("""COMPUTED_VALUE"""),0.0)</f>
        <v>0</v>
      </c>
      <c r="K54" s="86">
        <f>IFERROR(__xludf.DUMMYFUNCTION("""COMPUTED_VALUE"""),0.0)</f>
        <v>0</v>
      </c>
      <c r="L54" s="86">
        <f>IFERROR(__xludf.DUMMYFUNCTION("""COMPUTED_VALUE"""),0.0)</f>
        <v>0</v>
      </c>
      <c r="M54" s="86">
        <f>IFERROR(__xludf.DUMMYFUNCTION("""COMPUTED_VALUE"""),4.0E-5)</f>
        <v>0.00004</v>
      </c>
      <c r="N54" s="85">
        <f>IFERROR(__xludf.DUMMYFUNCTION("""COMPUTED_VALUE"""),4.0E-5)</f>
        <v>0.00004</v>
      </c>
      <c r="O54" s="85">
        <f>IFERROR(__xludf.DUMMYFUNCTION("""COMPUTED_VALUE"""),0.0)</f>
        <v>0</v>
      </c>
      <c r="Q54" s="147">
        <v>22.4744</v>
      </c>
      <c r="R54" s="147">
        <v>0.154</v>
      </c>
      <c r="S54" s="147">
        <v>0.2116</v>
      </c>
      <c r="T54" s="147">
        <v>0.3185</v>
      </c>
      <c r="U54" s="147">
        <v>0.0286</v>
      </c>
      <c r="V54" s="147">
        <v>0.0538</v>
      </c>
      <c r="W54" s="147">
        <v>0.1514</v>
      </c>
      <c r="X54" s="147">
        <v>0.0</v>
      </c>
      <c r="Y54" s="147">
        <v>0.0</v>
      </c>
      <c r="Z54" s="147">
        <v>0.0</v>
      </c>
      <c r="AA54" s="147">
        <v>0.0</v>
      </c>
      <c r="AB54" s="147">
        <v>0.0</v>
      </c>
      <c r="AC54" s="147">
        <v>0.0</v>
      </c>
      <c r="AE54" s="87">
        <f t="shared" ref="AE54:AQ54" si="50">IFERROR((Q54-C54)/C54, "")</f>
        <v>0.9724248089</v>
      </c>
      <c r="AF54" s="87">
        <f t="shared" si="50"/>
        <v>0.6986543128</v>
      </c>
      <c r="AG54" s="87">
        <f t="shared" si="50"/>
        <v>0.6611712985</v>
      </c>
      <c r="AH54" s="87">
        <f t="shared" si="50"/>
        <v>0.5069076457</v>
      </c>
      <c r="AI54" s="87">
        <f t="shared" si="50"/>
        <v>0.8523316062</v>
      </c>
      <c r="AJ54" s="87">
        <f t="shared" si="50"/>
        <v>0.8970380818</v>
      </c>
      <c r="AK54" s="87">
        <f t="shared" si="50"/>
        <v>0.8517612524</v>
      </c>
      <c r="AL54" s="87" t="str">
        <f t="shared" si="50"/>
        <v/>
      </c>
      <c r="AM54" s="87" t="str">
        <f t="shared" si="50"/>
        <v/>
      </c>
      <c r="AN54" s="87" t="str">
        <f t="shared" si="50"/>
        <v/>
      </c>
      <c r="AO54" s="87">
        <f t="shared" si="50"/>
        <v>-1</v>
      </c>
      <c r="AP54" s="87">
        <f t="shared" si="50"/>
        <v>-1</v>
      </c>
      <c r="AQ54" s="87" t="str">
        <f t="shared" si="50"/>
        <v/>
      </c>
    </row>
    <row r="55">
      <c r="B55" s="89" t="s">
        <v>204</v>
      </c>
      <c r="C55" s="91">
        <f>IFERROR(__xludf.DUMMYFUNCTION("""COMPUTED_VALUE"""),3.9643798835812643)</f>
        <v>3.964379884</v>
      </c>
      <c r="D55" s="91">
        <f>IFERROR(__xludf.DUMMYFUNCTION("""COMPUTED_VALUE"""),0.0)</f>
        <v>0</v>
      </c>
      <c r="E55" s="91">
        <f>IFERROR(__xludf.DUMMYFUNCTION("""COMPUTED_VALUE"""),0.05900757460962767)</f>
        <v>0.05900757461</v>
      </c>
      <c r="F55" s="91">
        <f>IFERROR(__xludf.DUMMYFUNCTION("""COMPUTED_VALUE"""),0.06378986233022269)</f>
        <v>0.06378986233</v>
      </c>
      <c r="G55" s="91">
        <f>IFERROR(__xludf.DUMMYFUNCTION("""COMPUTED_VALUE"""),0.008471481105054055)</f>
        <v>0.008471481105</v>
      </c>
      <c r="H55" s="91">
        <f>IFERROR(__xludf.DUMMYFUNCTION("""COMPUTED_VALUE"""),0.01866068188117898)</f>
        <v>0.01866068188</v>
      </c>
      <c r="I55" s="91">
        <f>IFERROR(__xludf.DUMMYFUNCTION("""COMPUTED_VALUE"""),0.036384425759955666)</f>
        <v>0.03638442576</v>
      </c>
      <c r="J55" s="91">
        <f>IFERROR(__xludf.DUMMYFUNCTION("""COMPUTED_VALUE"""),0.0)</f>
        <v>0</v>
      </c>
      <c r="K55" s="91">
        <f>IFERROR(__xludf.DUMMYFUNCTION("""COMPUTED_VALUE"""),0.0)</f>
        <v>0</v>
      </c>
      <c r="L55" s="91">
        <f>IFERROR(__xludf.DUMMYFUNCTION("""COMPUTED_VALUE"""),0.0)</f>
        <v>0</v>
      </c>
      <c r="M55" s="91">
        <f>IFERROR(__xludf.DUMMYFUNCTION("""COMPUTED_VALUE"""),0.11436499491822974)</f>
        <v>0.1143649949</v>
      </c>
      <c r="N55" s="140">
        <f>IFERROR(__xludf.DUMMYFUNCTION("""COMPUTED_VALUE"""),9.76693453016724)</f>
        <v>9.76693453</v>
      </c>
      <c r="O55" s="140">
        <f>IFERROR(__xludf.DUMMYFUNCTION("""COMPUTED_VALUE"""),0.0)</f>
        <v>0</v>
      </c>
      <c r="Q55" s="147">
        <v>6.283</v>
      </c>
      <c r="R55" s="147">
        <v>0.0722</v>
      </c>
      <c r="S55" s="147">
        <v>0.0814</v>
      </c>
      <c r="T55" s="147">
        <v>0.0594</v>
      </c>
      <c r="U55" s="147">
        <v>0.0293</v>
      </c>
      <c r="V55" s="147">
        <v>0.0475</v>
      </c>
      <c r="W55" s="147">
        <v>0.0812</v>
      </c>
      <c r="X55" s="147">
        <v>0.0</v>
      </c>
      <c r="Y55" s="147">
        <v>0.0</v>
      </c>
      <c r="Z55" s="147">
        <v>0.0</v>
      </c>
      <c r="AA55" s="147">
        <v>0.8251</v>
      </c>
      <c r="AB55" s="147">
        <v>17.1902</v>
      </c>
      <c r="AC55" s="147">
        <v>0.0</v>
      </c>
      <c r="AE55" s="87">
        <f t="shared" ref="AE55:AQ55" si="51">IFERROR((Q55-C55)/C55, "")</f>
        <v>0.5848632534</v>
      </c>
      <c r="AF55" s="87" t="str">
        <f t="shared" si="51"/>
        <v/>
      </c>
      <c r="AG55" s="87">
        <f t="shared" si="51"/>
        <v>0.3794839144</v>
      </c>
      <c r="AH55" s="87">
        <f t="shared" si="51"/>
        <v>-0.06881755454</v>
      </c>
      <c r="AI55" s="87">
        <f t="shared" si="51"/>
        <v>2.458663206</v>
      </c>
      <c r="AJ55" s="87">
        <f t="shared" si="51"/>
        <v>1.545458966</v>
      </c>
      <c r="AK55" s="87">
        <f t="shared" si="51"/>
        <v>1.231724105</v>
      </c>
      <c r="AL55" s="87" t="str">
        <f t="shared" si="51"/>
        <v/>
      </c>
      <c r="AM55" s="87" t="str">
        <f t="shared" si="51"/>
        <v/>
      </c>
      <c r="AN55" s="87" t="str">
        <f t="shared" si="51"/>
        <v/>
      </c>
      <c r="AO55" s="87">
        <f t="shared" si="51"/>
        <v>6.214620178</v>
      </c>
      <c r="AP55" s="87">
        <f t="shared" si="51"/>
        <v>0.7600404658</v>
      </c>
      <c r="AQ55" s="87" t="str">
        <f t="shared" si="51"/>
        <v/>
      </c>
    </row>
    <row r="56">
      <c r="B56" s="84" t="s">
        <v>205</v>
      </c>
      <c r="C56" s="86">
        <f>IFERROR(__xludf.DUMMYFUNCTION("""COMPUTED_VALUE"""),0.0)</f>
        <v>0</v>
      </c>
      <c r="D56" s="86">
        <f>IFERROR(__xludf.DUMMYFUNCTION("""COMPUTED_VALUE"""),0.0)</f>
        <v>0</v>
      </c>
      <c r="E56" s="86">
        <f>IFERROR(__xludf.DUMMYFUNCTION("""COMPUTED_VALUE"""),0.0)</f>
        <v>0</v>
      </c>
      <c r="F56" s="86">
        <f>IFERROR(__xludf.DUMMYFUNCTION("""COMPUTED_VALUE"""),0.0)</f>
        <v>0</v>
      </c>
      <c r="G56" s="86">
        <f>IFERROR(__xludf.DUMMYFUNCTION("""COMPUTED_VALUE"""),0.0)</f>
        <v>0</v>
      </c>
      <c r="H56" s="86">
        <f>IFERROR(__xludf.DUMMYFUNCTION("""COMPUTED_VALUE"""),0.0)</f>
        <v>0</v>
      </c>
      <c r="I56" s="86">
        <f>IFERROR(__xludf.DUMMYFUNCTION("""COMPUTED_VALUE"""),0.0)</f>
        <v>0</v>
      </c>
      <c r="J56" s="86">
        <f>IFERROR(__xludf.DUMMYFUNCTION("""COMPUTED_VALUE"""),0.0)</f>
        <v>0</v>
      </c>
      <c r="K56" s="86">
        <f>IFERROR(__xludf.DUMMYFUNCTION("""COMPUTED_VALUE"""),0.0)</f>
        <v>0</v>
      </c>
      <c r="L56" s="86">
        <f>IFERROR(__xludf.DUMMYFUNCTION("""COMPUTED_VALUE"""),2.424242424242424E-5)</f>
        <v>0.00002424242424</v>
      </c>
      <c r="M56" s="86">
        <f>IFERROR(__xludf.DUMMYFUNCTION("""COMPUTED_VALUE"""),0.0)</f>
        <v>0</v>
      </c>
      <c r="N56" s="85">
        <f>IFERROR(__xludf.DUMMYFUNCTION("""COMPUTED_VALUE"""),0.0)</f>
        <v>0</v>
      </c>
      <c r="O56" s="85">
        <f>IFERROR(__xludf.DUMMYFUNCTION("""COMPUTED_VALUE"""),0.0)</f>
        <v>0</v>
      </c>
      <c r="Q56" s="147">
        <v>0.0</v>
      </c>
      <c r="R56" s="147">
        <v>0.0</v>
      </c>
      <c r="S56" s="147">
        <v>0.0</v>
      </c>
      <c r="T56" s="147">
        <v>0.0</v>
      </c>
      <c r="U56" s="147">
        <v>0.0</v>
      </c>
      <c r="V56" s="147">
        <v>0.0</v>
      </c>
      <c r="W56" s="147">
        <v>0.0</v>
      </c>
      <c r="X56" s="147">
        <v>0.0</v>
      </c>
      <c r="Y56" s="147">
        <v>0.0</v>
      </c>
      <c r="Z56" s="147">
        <v>0.0</v>
      </c>
      <c r="AA56" s="147">
        <v>0.0</v>
      </c>
      <c r="AB56" s="147">
        <v>0.0</v>
      </c>
      <c r="AC56" s="147">
        <v>0.0</v>
      </c>
      <c r="AE56" s="87" t="str">
        <f t="shared" ref="AE56:AQ56" si="52">IFERROR((Q56-C56)/C56, "")</f>
        <v/>
      </c>
      <c r="AF56" s="87" t="str">
        <f t="shared" si="52"/>
        <v/>
      </c>
      <c r="AG56" s="87" t="str">
        <f t="shared" si="52"/>
        <v/>
      </c>
      <c r="AH56" s="87" t="str">
        <f t="shared" si="52"/>
        <v/>
      </c>
      <c r="AI56" s="87" t="str">
        <f t="shared" si="52"/>
        <v/>
      </c>
      <c r="AJ56" s="87" t="str">
        <f t="shared" si="52"/>
        <v/>
      </c>
      <c r="AK56" s="87" t="str">
        <f t="shared" si="52"/>
        <v/>
      </c>
      <c r="AL56" s="87" t="str">
        <f t="shared" si="52"/>
        <v/>
      </c>
      <c r="AM56" s="87" t="str">
        <f t="shared" si="52"/>
        <v/>
      </c>
      <c r="AN56" s="87">
        <f t="shared" si="52"/>
        <v>-1</v>
      </c>
      <c r="AO56" s="87" t="str">
        <f t="shared" si="52"/>
        <v/>
      </c>
      <c r="AP56" s="87" t="str">
        <f t="shared" si="52"/>
        <v/>
      </c>
      <c r="AQ56" s="87" t="str">
        <f t="shared" si="52"/>
        <v/>
      </c>
    </row>
    <row r="57">
      <c r="B57" s="89" t="s">
        <v>207</v>
      </c>
      <c r="C57" s="91">
        <f>IFERROR(__xludf.DUMMYFUNCTION("""COMPUTED_VALUE"""),27.769182927195104)</f>
        <v>27.76918293</v>
      </c>
      <c r="D57" s="91">
        <f>IFERROR(__xludf.DUMMYFUNCTION("""COMPUTED_VALUE"""),2.113145387266136)</f>
        <v>2.113145387</v>
      </c>
      <c r="E57" s="91">
        <f>IFERROR(__xludf.DUMMYFUNCTION("""COMPUTED_VALUE"""),0.7572239089980084)</f>
        <v>0.757223909</v>
      </c>
      <c r="F57" s="91">
        <f>IFERROR(__xludf.DUMMYFUNCTION("""COMPUTED_VALUE"""),0.5838240355265603)</f>
        <v>0.5838240355</v>
      </c>
      <c r="G57" s="91">
        <f>IFERROR(__xludf.DUMMYFUNCTION("""COMPUTED_VALUE"""),1.0601453098622922)</f>
        <v>1.06014531</v>
      </c>
      <c r="H57" s="91">
        <f>IFERROR(__xludf.DUMMYFUNCTION("""COMPUTED_VALUE"""),1.0232972616219107)</f>
        <v>1.023297262</v>
      </c>
      <c r="I57" s="91">
        <f>IFERROR(__xludf.DUMMYFUNCTION("""COMPUTED_VALUE"""),0.19166147646512205)</f>
        <v>0.1916614765</v>
      </c>
      <c r="J57" s="91">
        <f>IFERROR(__xludf.DUMMYFUNCTION("""COMPUTED_VALUE"""),0.0)</f>
        <v>0</v>
      </c>
      <c r="K57" s="91">
        <f>IFERROR(__xludf.DUMMYFUNCTION("""COMPUTED_VALUE"""),0.0)</f>
        <v>0</v>
      </c>
      <c r="L57" s="91">
        <f>IFERROR(__xludf.DUMMYFUNCTION("""COMPUTED_VALUE"""),5.261601499115345)</f>
        <v>5.261601499</v>
      </c>
      <c r="M57" s="91">
        <f>IFERROR(__xludf.DUMMYFUNCTION("""COMPUTED_VALUE"""),42.800570754653705)</f>
        <v>42.80057075</v>
      </c>
      <c r="N57" s="140">
        <f>IFERROR(__xludf.DUMMYFUNCTION("""COMPUTED_VALUE"""),121.94221667004834)</f>
        <v>121.9422167</v>
      </c>
      <c r="O57" s="140">
        <f>IFERROR(__xludf.DUMMYFUNCTION("""COMPUTED_VALUE"""),0.0)</f>
        <v>0</v>
      </c>
      <c r="Q57" s="147">
        <v>17.0841</v>
      </c>
      <c r="R57" s="147">
        <v>1.1391</v>
      </c>
      <c r="S57" s="147">
        <v>0.42</v>
      </c>
      <c r="T57" s="147">
        <v>0.3113</v>
      </c>
      <c r="U57" s="147">
        <v>0.5707</v>
      </c>
      <c r="V57" s="147">
        <v>0.615</v>
      </c>
      <c r="W57" s="147">
        <v>0.1022</v>
      </c>
      <c r="X57" s="147">
        <v>0.0</v>
      </c>
      <c r="Y57" s="147">
        <v>0.0089</v>
      </c>
      <c r="Z57" s="147">
        <v>3.1204</v>
      </c>
      <c r="AA57" s="147">
        <v>33.5475</v>
      </c>
      <c r="AB57" s="147">
        <v>65.8856</v>
      </c>
      <c r="AC57" s="147">
        <v>0.0</v>
      </c>
      <c r="AE57" s="87">
        <f t="shared" ref="AE57:AQ57" si="53">IFERROR((Q57-C57)/C57, "")</f>
        <v>-0.3847820426</v>
      </c>
      <c r="AF57" s="87">
        <f t="shared" si="53"/>
        <v>-0.4609457509</v>
      </c>
      <c r="AG57" s="87">
        <f t="shared" si="53"/>
        <v>-0.4453423948</v>
      </c>
      <c r="AH57" s="87">
        <f t="shared" si="53"/>
        <v>-0.4667913942</v>
      </c>
      <c r="AI57" s="87">
        <f t="shared" si="53"/>
        <v>-0.4616775694</v>
      </c>
      <c r="AJ57" s="87">
        <f t="shared" si="53"/>
        <v>-0.3990016166</v>
      </c>
      <c r="AK57" s="87">
        <f t="shared" si="53"/>
        <v>-0.4667681691</v>
      </c>
      <c r="AL57" s="87" t="str">
        <f t="shared" si="53"/>
        <v/>
      </c>
      <c r="AM57" s="87" t="str">
        <f t="shared" si="53"/>
        <v/>
      </c>
      <c r="AN57" s="87">
        <f t="shared" si="53"/>
        <v>-0.4069486257</v>
      </c>
      <c r="AO57" s="87">
        <f t="shared" si="53"/>
        <v>-0.2161903589</v>
      </c>
      <c r="AP57" s="87">
        <f t="shared" si="53"/>
        <v>-0.4596981931</v>
      </c>
      <c r="AQ57" s="87" t="str">
        <f t="shared" si="53"/>
        <v/>
      </c>
    </row>
    <row r="58">
      <c r="B58" s="84" t="s">
        <v>208</v>
      </c>
      <c r="C58" s="86">
        <f>IFERROR(__xludf.DUMMYFUNCTION("""COMPUTED_VALUE"""),0.0)</f>
        <v>0</v>
      </c>
      <c r="D58" s="86">
        <f>IFERROR(__xludf.DUMMYFUNCTION("""COMPUTED_VALUE"""),0.0)</f>
        <v>0</v>
      </c>
      <c r="E58" s="86">
        <f>IFERROR(__xludf.DUMMYFUNCTION("""COMPUTED_VALUE"""),0.0)</f>
        <v>0</v>
      </c>
      <c r="F58" s="86">
        <f>IFERROR(__xludf.DUMMYFUNCTION("""COMPUTED_VALUE"""),0.0)</f>
        <v>0</v>
      </c>
      <c r="G58" s="86">
        <f>IFERROR(__xludf.DUMMYFUNCTION("""COMPUTED_VALUE"""),0.0)</f>
        <v>0</v>
      </c>
      <c r="H58" s="86">
        <f>IFERROR(__xludf.DUMMYFUNCTION("""COMPUTED_VALUE"""),0.0)</f>
        <v>0</v>
      </c>
      <c r="I58" s="86">
        <f>IFERROR(__xludf.DUMMYFUNCTION("""COMPUTED_VALUE"""),0.0)</f>
        <v>0</v>
      </c>
      <c r="J58" s="86">
        <f>IFERROR(__xludf.DUMMYFUNCTION("""COMPUTED_VALUE"""),0.0)</f>
        <v>0</v>
      </c>
      <c r="K58" s="86">
        <f>IFERROR(__xludf.DUMMYFUNCTION("""COMPUTED_VALUE"""),0.0)</f>
        <v>0</v>
      </c>
      <c r="L58" s="86">
        <f>IFERROR(__xludf.DUMMYFUNCTION("""COMPUTED_VALUE"""),0.0)</f>
        <v>0</v>
      </c>
      <c r="M58" s="86">
        <f>IFERROR(__xludf.DUMMYFUNCTION("""COMPUTED_VALUE"""),0.0)</f>
        <v>0</v>
      </c>
      <c r="N58" s="85">
        <f>IFERROR(__xludf.DUMMYFUNCTION("""COMPUTED_VALUE"""),0.0)</f>
        <v>0</v>
      </c>
      <c r="O58" s="85">
        <f>IFERROR(__xludf.DUMMYFUNCTION("""COMPUTED_VALUE"""),0.0)</f>
        <v>0</v>
      </c>
      <c r="Q58" s="147">
        <v>0.0</v>
      </c>
      <c r="R58" s="147">
        <v>0.0</v>
      </c>
      <c r="S58" s="147">
        <v>0.0</v>
      </c>
      <c r="T58" s="147">
        <v>0.0</v>
      </c>
      <c r="U58" s="147">
        <v>0.0</v>
      </c>
      <c r="V58" s="147">
        <v>0.0</v>
      </c>
      <c r="W58" s="147">
        <v>0.0</v>
      </c>
      <c r="X58" s="147">
        <v>0.0</v>
      </c>
      <c r="Y58" s="147">
        <v>0.0</v>
      </c>
      <c r="Z58" s="147">
        <v>0.0</v>
      </c>
      <c r="AA58" s="147">
        <v>0.0</v>
      </c>
      <c r="AB58" s="147">
        <v>0.0</v>
      </c>
      <c r="AC58" s="147">
        <v>0.0</v>
      </c>
      <c r="AE58" s="87" t="str">
        <f t="shared" ref="AE58:AQ58" si="54">IFERROR((Q58-C58)/C58, "")</f>
        <v/>
      </c>
      <c r="AF58" s="87" t="str">
        <f t="shared" si="54"/>
        <v/>
      </c>
      <c r="AG58" s="87" t="str">
        <f t="shared" si="54"/>
        <v/>
      </c>
      <c r="AH58" s="87" t="str">
        <f t="shared" si="54"/>
        <v/>
      </c>
      <c r="AI58" s="87" t="str">
        <f t="shared" si="54"/>
        <v/>
      </c>
      <c r="AJ58" s="87" t="str">
        <f t="shared" si="54"/>
        <v/>
      </c>
      <c r="AK58" s="87" t="str">
        <f t="shared" si="54"/>
        <v/>
      </c>
      <c r="AL58" s="87" t="str">
        <f t="shared" si="54"/>
        <v/>
      </c>
      <c r="AM58" s="87" t="str">
        <f t="shared" si="54"/>
        <v/>
      </c>
      <c r="AN58" s="87" t="str">
        <f t="shared" si="54"/>
        <v/>
      </c>
      <c r="AO58" s="87" t="str">
        <f t="shared" si="54"/>
        <v/>
      </c>
      <c r="AP58" s="87" t="str">
        <f t="shared" si="54"/>
        <v/>
      </c>
      <c r="AQ58" s="87" t="str">
        <f t="shared" si="54"/>
        <v/>
      </c>
    </row>
    <row r="59"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AE59" s="87" t="str">
        <f t="shared" ref="AE59:AQ59" si="55">IFERROR((Q59-C59)/C59, "")</f>
        <v/>
      </c>
      <c r="AF59" s="87" t="str">
        <f t="shared" si="55"/>
        <v/>
      </c>
      <c r="AG59" s="87" t="str">
        <f t="shared" si="55"/>
        <v/>
      </c>
      <c r="AH59" s="87" t="str">
        <f t="shared" si="55"/>
        <v/>
      </c>
      <c r="AI59" s="87" t="str">
        <f t="shared" si="55"/>
        <v/>
      </c>
      <c r="AJ59" s="87" t="str">
        <f t="shared" si="55"/>
        <v/>
      </c>
      <c r="AK59" s="87" t="str">
        <f t="shared" si="55"/>
        <v/>
      </c>
      <c r="AL59" s="87" t="str">
        <f t="shared" si="55"/>
        <v/>
      </c>
      <c r="AM59" s="87" t="str">
        <f t="shared" si="55"/>
        <v/>
      </c>
      <c r="AN59" s="87" t="str">
        <f t="shared" si="55"/>
        <v/>
      </c>
      <c r="AO59" s="87" t="str">
        <f t="shared" si="55"/>
        <v/>
      </c>
      <c r="AP59" s="87" t="str">
        <f t="shared" si="55"/>
        <v/>
      </c>
      <c r="AQ59" s="87" t="str">
        <f t="shared" si="55"/>
        <v/>
      </c>
    </row>
    <row r="60"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AE60" s="87" t="str">
        <f t="shared" ref="AE60:AQ60" si="56">IFERROR((Q60-C60)/C60, "")</f>
        <v/>
      </c>
      <c r="AF60" s="87" t="str">
        <f t="shared" si="56"/>
        <v/>
      </c>
      <c r="AG60" s="87" t="str">
        <f t="shared" si="56"/>
        <v/>
      </c>
      <c r="AH60" s="87" t="str">
        <f t="shared" si="56"/>
        <v/>
      </c>
      <c r="AI60" s="87" t="str">
        <f t="shared" si="56"/>
        <v/>
      </c>
      <c r="AJ60" s="87" t="str">
        <f t="shared" si="56"/>
        <v/>
      </c>
      <c r="AK60" s="87" t="str">
        <f t="shared" si="56"/>
        <v/>
      </c>
      <c r="AL60" s="87" t="str">
        <f t="shared" si="56"/>
        <v/>
      </c>
      <c r="AM60" s="87" t="str">
        <f t="shared" si="56"/>
        <v/>
      </c>
      <c r="AN60" s="87" t="str">
        <f t="shared" si="56"/>
        <v/>
      </c>
      <c r="AO60" s="87" t="str">
        <f t="shared" si="56"/>
        <v/>
      </c>
      <c r="AP60" s="87" t="str">
        <f t="shared" si="56"/>
        <v/>
      </c>
      <c r="AQ60" s="87" t="str">
        <f t="shared" si="56"/>
        <v/>
      </c>
    </row>
    <row r="61">
      <c r="B61" s="78" t="s">
        <v>145</v>
      </c>
      <c r="C61" s="80" t="str">
        <f>IFERROR(__xludf.DUMMYFUNCTION("""COMPUTED_VALUE"""),"20-39 Segment - Over Time Period")</f>
        <v>20-39 Segment - Over Time Period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AE61" s="87" t="str">
        <f t="shared" ref="AE61:AQ61" si="57">IFERROR((Q61-C61)/C61, "")</f>
        <v/>
      </c>
      <c r="AF61" s="87" t="str">
        <f t="shared" si="57"/>
        <v/>
      </c>
      <c r="AG61" s="87" t="str">
        <f t="shared" si="57"/>
        <v/>
      </c>
      <c r="AH61" s="87" t="str">
        <f t="shared" si="57"/>
        <v/>
      </c>
      <c r="AI61" s="87" t="str">
        <f t="shared" si="57"/>
        <v/>
      </c>
      <c r="AJ61" s="87" t="str">
        <f t="shared" si="57"/>
        <v/>
      </c>
      <c r="AK61" s="87" t="str">
        <f t="shared" si="57"/>
        <v/>
      </c>
      <c r="AL61" s="87" t="str">
        <f t="shared" si="57"/>
        <v/>
      </c>
      <c r="AM61" s="87" t="str">
        <f t="shared" si="57"/>
        <v/>
      </c>
      <c r="AN61" s="87" t="str">
        <f t="shared" si="57"/>
        <v/>
      </c>
      <c r="AO61" s="87" t="str">
        <f t="shared" si="57"/>
        <v/>
      </c>
      <c r="AP61" s="87" t="str">
        <f t="shared" si="57"/>
        <v/>
      </c>
      <c r="AQ61" s="87" t="str">
        <f t="shared" si="57"/>
        <v/>
      </c>
    </row>
    <row r="62">
      <c r="B62" s="82" t="s">
        <v>128</v>
      </c>
      <c r="C62" s="83" t="str">
        <f>IFERROR(__xludf.DUMMYFUNCTION("""COMPUTED_VALUE"""),"HC")</f>
        <v>HC</v>
      </c>
      <c r="D62" s="83" t="str">
        <f>IFERROR(__xludf.DUMMYFUNCTION("""COMPUTED_VALUE"""),"Slingshot")</f>
        <v>Slingshot</v>
      </c>
      <c r="E62" s="83" t="str">
        <f>IFERROR(__xludf.DUMMYFUNCTION("""COMPUTED_VALUE"""),"Shuffle")</f>
        <v>Shuffle</v>
      </c>
      <c r="F62" s="83" t="str">
        <f>IFERROR(__xludf.DUMMYFUNCTION("""COMPUTED_VALUE"""),"Comet")</f>
        <v>Comet</v>
      </c>
      <c r="G62" s="83" t="str">
        <f>IFERROR(__xludf.DUMMYFUNCTION("""COMPUTED_VALUE"""),"Red")</f>
        <v>Red</v>
      </c>
      <c r="H62" s="83" t="str">
        <f>IFERROR(__xludf.DUMMYFUNCTION("""COMPUTED_VALUE"""),"Chuck")</f>
        <v>Chuck</v>
      </c>
      <c r="I62" s="83" t="str">
        <f>IFERROR(__xludf.DUMMYFUNCTION("""COMPUTED_VALUE"""),"Bomb")</f>
        <v>Bomb</v>
      </c>
      <c r="J62" s="83" t="str">
        <f>IFERROR(__xludf.DUMMYFUNCTION("""COMPUTED_VALUE"""),"UL Bomb")</f>
        <v>UL Bomb</v>
      </c>
      <c r="K62" s="83" t="str">
        <f>IFERROR(__xludf.DUMMYFUNCTION("""COMPUTED_VALUE"""),"UL Chuck")</f>
        <v>UL Chuck</v>
      </c>
      <c r="L62" s="83" t="str">
        <f>IFERROR(__xludf.DUMMYFUNCTION("""COMPUTED_VALUE"""),"UL Red")</f>
        <v>UL Red</v>
      </c>
      <c r="M62" s="83" t="str">
        <f>IFERROR(__xludf.DUMMYFUNCTION("""COMPUTED_VALUE"""),"Unlimited Lives")</f>
        <v>Unlimited Lives</v>
      </c>
      <c r="N62" s="83" t="str">
        <f>IFERROR(__xludf.DUMMYFUNCTION("""COMPUTED_VALUE"""),"SPT")</f>
        <v>SPT</v>
      </c>
      <c r="O62" s="83" t="str">
        <f>IFERROR(__xludf.DUMMYFUNCTION("""COMPUTED_VALUE"""),"SPTx2")</f>
        <v>SPTx2</v>
      </c>
      <c r="Q62" s="83" t="s">
        <v>129</v>
      </c>
      <c r="R62" s="83" t="s">
        <v>96</v>
      </c>
      <c r="S62" s="83" t="s">
        <v>102</v>
      </c>
      <c r="T62" s="83" t="s">
        <v>130</v>
      </c>
      <c r="U62" s="83" t="s">
        <v>78</v>
      </c>
      <c r="V62" s="83" t="s">
        <v>84</v>
      </c>
      <c r="W62" s="83" t="s">
        <v>90</v>
      </c>
      <c r="X62" s="83" t="s">
        <v>131</v>
      </c>
      <c r="Y62" s="83" t="s">
        <v>132</v>
      </c>
      <c r="Z62" s="83" t="s">
        <v>133</v>
      </c>
      <c r="AA62" s="83" t="s">
        <v>134</v>
      </c>
      <c r="AB62" s="83" t="s">
        <v>114</v>
      </c>
      <c r="AC62" s="83" t="s">
        <v>135</v>
      </c>
      <c r="AE62" s="87" t="str">
        <f t="shared" ref="AE62:AQ62" si="58">IFERROR((Q62-C62)/C62, "")</f>
        <v/>
      </c>
      <c r="AF62" s="87" t="str">
        <f t="shared" si="58"/>
        <v/>
      </c>
      <c r="AG62" s="87" t="str">
        <f t="shared" si="58"/>
        <v/>
      </c>
      <c r="AH62" s="87" t="str">
        <f t="shared" si="58"/>
        <v/>
      </c>
      <c r="AI62" s="87" t="str">
        <f t="shared" si="58"/>
        <v/>
      </c>
      <c r="AJ62" s="87" t="str">
        <f t="shared" si="58"/>
        <v/>
      </c>
      <c r="AK62" s="87" t="str">
        <f t="shared" si="58"/>
        <v/>
      </c>
      <c r="AL62" s="87" t="str">
        <f t="shared" si="58"/>
        <v/>
      </c>
      <c r="AM62" s="87" t="str">
        <f t="shared" si="58"/>
        <v/>
      </c>
      <c r="AN62" s="87" t="str">
        <f t="shared" si="58"/>
        <v/>
      </c>
      <c r="AO62" s="87" t="str">
        <f t="shared" si="58"/>
        <v/>
      </c>
      <c r="AP62" s="87" t="str">
        <f t="shared" si="58"/>
        <v/>
      </c>
      <c r="AQ62" s="87" t="str">
        <f t="shared" si="58"/>
        <v/>
      </c>
    </row>
    <row r="63">
      <c r="B63" s="84" t="s">
        <v>136</v>
      </c>
      <c r="C63" s="85">
        <f>IFERROR(__xludf.DUMMYFUNCTION("""COMPUTED_VALUE"""),5.977987878787879)</f>
        <v>5.977987879</v>
      </c>
      <c r="D63" s="86">
        <f>IFERROR(__xludf.DUMMYFUNCTION("""COMPUTED_VALUE"""),0.14535757575757577)</f>
        <v>0.1453575758</v>
      </c>
      <c r="E63" s="86">
        <f>IFERROR(__xludf.DUMMYFUNCTION("""COMPUTED_VALUE"""),0.1439030303030303)</f>
        <v>0.1439030303</v>
      </c>
      <c r="F63" s="86">
        <f>IFERROR(__xludf.DUMMYFUNCTION("""COMPUTED_VALUE"""),0.07197575757575758)</f>
        <v>0.07197575758</v>
      </c>
      <c r="G63" s="86">
        <f>IFERROR(__xludf.DUMMYFUNCTION("""COMPUTED_VALUE"""),0.0)</f>
        <v>0</v>
      </c>
      <c r="H63" s="86">
        <f>IFERROR(__xludf.DUMMYFUNCTION("""COMPUTED_VALUE"""),0.0)</f>
        <v>0</v>
      </c>
      <c r="I63" s="86">
        <f>IFERROR(__xludf.DUMMYFUNCTION("""COMPUTED_VALUE"""),0.0)</f>
        <v>0</v>
      </c>
      <c r="J63" s="86">
        <f>IFERROR(__xludf.DUMMYFUNCTION("""COMPUTED_VALUE"""),0.0)</f>
        <v>0</v>
      </c>
      <c r="K63" s="86">
        <f>IFERROR(__xludf.DUMMYFUNCTION("""COMPUTED_VALUE"""),0.0)</f>
        <v>0</v>
      </c>
      <c r="L63" s="86">
        <f>IFERROR(__xludf.DUMMYFUNCTION("""COMPUTED_VALUE"""),0.0)</f>
        <v>0</v>
      </c>
      <c r="M63" s="86">
        <f>IFERROR(__xludf.DUMMYFUNCTION("""COMPUTED_VALUE"""),2.0050181818181816)</f>
        <v>2.005018182</v>
      </c>
      <c r="N63" s="85">
        <f>IFERROR(__xludf.DUMMYFUNCTION("""COMPUTED_VALUE"""),0.0)</f>
        <v>0</v>
      </c>
      <c r="O63" s="85">
        <f>IFERROR(__xludf.DUMMYFUNCTION("""COMPUTED_VALUE"""),0.0)</f>
        <v>0</v>
      </c>
      <c r="Q63" s="147">
        <v>11.3321</v>
      </c>
      <c r="R63" s="147">
        <v>0.2436</v>
      </c>
      <c r="S63" s="147">
        <v>0.2548</v>
      </c>
      <c r="T63" s="147">
        <v>0.1141</v>
      </c>
      <c r="U63" s="147">
        <v>0.0</v>
      </c>
      <c r="V63" s="147">
        <v>0.0</v>
      </c>
      <c r="W63" s="147">
        <v>0.0</v>
      </c>
      <c r="X63" s="147">
        <v>0.0</v>
      </c>
      <c r="Y63" s="147">
        <v>0.0</v>
      </c>
      <c r="Z63" s="147">
        <v>0.0</v>
      </c>
      <c r="AA63" s="147">
        <v>3.8653</v>
      </c>
      <c r="AB63" s="147">
        <v>0.0</v>
      </c>
      <c r="AC63" s="147">
        <v>0.0</v>
      </c>
      <c r="AE63" s="87">
        <f t="shared" ref="AE63:AQ63" si="59">IFERROR((Q63-C63)/C63, "")</f>
        <v>0.895637835</v>
      </c>
      <c r="AF63" s="87">
        <f t="shared" si="59"/>
        <v>0.6758672448</v>
      </c>
      <c r="AG63" s="87">
        <f t="shared" si="59"/>
        <v>0.7706367925</v>
      </c>
      <c r="AH63" s="87">
        <f t="shared" si="59"/>
        <v>0.5852559784</v>
      </c>
      <c r="AI63" s="87" t="str">
        <f t="shared" si="59"/>
        <v/>
      </c>
      <c r="AJ63" s="87" t="str">
        <f t="shared" si="59"/>
        <v/>
      </c>
      <c r="AK63" s="87" t="str">
        <f t="shared" si="59"/>
        <v/>
      </c>
      <c r="AL63" s="87" t="str">
        <f t="shared" si="59"/>
        <v/>
      </c>
      <c r="AM63" s="87" t="str">
        <f t="shared" si="59"/>
        <v/>
      </c>
      <c r="AN63" s="87" t="str">
        <f t="shared" si="59"/>
        <v/>
      </c>
      <c r="AO63" s="87">
        <f t="shared" si="59"/>
        <v>0.9278129421</v>
      </c>
      <c r="AP63" s="87" t="str">
        <f t="shared" si="59"/>
        <v/>
      </c>
      <c r="AQ63" s="87" t="str">
        <f t="shared" si="59"/>
        <v/>
      </c>
    </row>
    <row r="64">
      <c r="B64" s="89" t="s">
        <v>138</v>
      </c>
      <c r="C64" s="91">
        <f>IFERROR(__xludf.DUMMYFUNCTION("""COMPUTED_VALUE"""),0.0)</f>
        <v>0</v>
      </c>
      <c r="D64" s="91">
        <f>IFERROR(__xludf.DUMMYFUNCTION("""COMPUTED_VALUE"""),0.0)</f>
        <v>0</v>
      </c>
      <c r="E64" s="91">
        <f>IFERROR(__xludf.DUMMYFUNCTION("""COMPUTED_VALUE"""),0.0)</f>
        <v>0</v>
      </c>
      <c r="F64" s="91">
        <f>IFERROR(__xludf.DUMMYFUNCTION("""COMPUTED_VALUE"""),0.0)</f>
        <v>0</v>
      </c>
      <c r="G64" s="91">
        <f>IFERROR(__xludf.DUMMYFUNCTION("""COMPUTED_VALUE"""),0.0)</f>
        <v>0</v>
      </c>
      <c r="H64" s="91">
        <f>IFERROR(__xludf.DUMMYFUNCTION("""COMPUTED_VALUE"""),0.0)</f>
        <v>0</v>
      </c>
      <c r="I64" s="91">
        <f>IFERROR(__xludf.DUMMYFUNCTION("""COMPUTED_VALUE"""),0.0)</f>
        <v>0</v>
      </c>
      <c r="J64" s="91">
        <f>IFERROR(__xludf.DUMMYFUNCTION("""COMPUTED_VALUE"""),0.0)</f>
        <v>0</v>
      </c>
      <c r="K64" s="91">
        <f>IFERROR(__xludf.DUMMYFUNCTION("""COMPUTED_VALUE"""),0.0)</f>
        <v>0</v>
      </c>
      <c r="L64" s="91">
        <f>IFERROR(__xludf.DUMMYFUNCTION("""COMPUTED_VALUE"""),0.0)</f>
        <v>0</v>
      </c>
      <c r="M64" s="91">
        <f>IFERROR(__xludf.DUMMYFUNCTION("""COMPUTED_VALUE"""),0.0)</f>
        <v>0</v>
      </c>
      <c r="N64" s="91">
        <f>IFERROR(__xludf.DUMMYFUNCTION("""COMPUTED_VALUE"""),0.0)</f>
        <v>0</v>
      </c>
      <c r="O64" s="91">
        <f>IFERROR(__xludf.DUMMYFUNCTION("""COMPUTED_VALUE"""),0.0)</f>
        <v>0</v>
      </c>
      <c r="Q64" s="147">
        <v>0.9553</v>
      </c>
      <c r="R64" s="147">
        <v>0.0143</v>
      </c>
      <c r="S64" s="147">
        <v>0.0116</v>
      </c>
      <c r="T64" s="147">
        <v>0.0026</v>
      </c>
      <c r="U64" s="147">
        <v>0.0</v>
      </c>
      <c r="V64" s="147">
        <v>0.0</v>
      </c>
      <c r="W64" s="147">
        <v>0.0</v>
      </c>
      <c r="X64" s="147">
        <v>0.0</v>
      </c>
      <c r="Y64" s="147">
        <v>0.0</v>
      </c>
      <c r="Z64" s="147">
        <v>0.0</v>
      </c>
      <c r="AA64" s="147">
        <v>0.0</v>
      </c>
      <c r="AB64" s="147">
        <v>0.0</v>
      </c>
      <c r="AC64" s="147">
        <v>0.0</v>
      </c>
      <c r="AE64" s="87" t="str">
        <f t="shared" ref="AE64:AQ64" si="60">IFERROR((Q64-C64)/C64, "")</f>
        <v/>
      </c>
      <c r="AF64" s="87" t="str">
        <f t="shared" si="60"/>
        <v/>
      </c>
      <c r="AG64" s="87" t="str">
        <f t="shared" si="60"/>
        <v/>
      </c>
      <c r="AH64" s="87" t="str">
        <f t="shared" si="60"/>
        <v/>
      </c>
      <c r="AI64" s="87" t="str">
        <f t="shared" si="60"/>
        <v/>
      </c>
      <c r="AJ64" s="87" t="str">
        <f t="shared" si="60"/>
        <v/>
      </c>
      <c r="AK64" s="87" t="str">
        <f t="shared" si="60"/>
        <v/>
      </c>
      <c r="AL64" s="87" t="str">
        <f t="shared" si="60"/>
        <v/>
      </c>
      <c r="AM64" s="87" t="str">
        <f t="shared" si="60"/>
        <v/>
      </c>
      <c r="AN64" s="87" t="str">
        <f t="shared" si="60"/>
        <v/>
      </c>
      <c r="AO64" s="87" t="str">
        <f t="shared" si="60"/>
        <v/>
      </c>
      <c r="AP64" s="87" t="str">
        <f t="shared" si="60"/>
        <v/>
      </c>
      <c r="AQ64" s="87" t="str">
        <f t="shared" si="60"/>
        <v/>
      </c>
    </row>
    <row r="65">
      <c r="B65" s="89" t="s">
        <v>144</v>
      </c>
      <c r="C65" s="91">
        <f>IFERROR(__xludf.DUMMYFUNCTION("""COMPUTED_VALUE"""),3.126194298363561)</f>
        <v>3.126194298</v>
      </c>
      <c r="D65" s="91">
        <f>IFERROR(__xludf.DUMMYFUNCTION("""COMPUTED_VALUE"""),9.851054630645084E-4)</f>
        <v>0.0009851054631</v>
      </c>
      <c r="E65" s="91">
        <f>IFERROR(__xludf.DUMMYFUNCTION("""COMPUTED_VALUE"""),1.51554686625309E-4)</f>
        <v>0.0001515546866</v>
      </c>
      <c r="F65" s="91">
        <f>IFERROR(__xludf.DUMMYFUNCTION("""COMPUTED_VALUE"""),1.51554686625309E-4)</f>
        <v>0.0001515546866</v>
      </c>
      <c r="G65" s="91">
        <f>IFERROR(__xludf.DUMMYFUNCTION("""COMPUTED_VALUE"""),0.0709275933406446)</f>
        <v>0.07092759334</v>
      </c>
      <c r="H65" s="91">
        <f>IFERROR(__xludf.DUMMYFUNCTION("""COMPUTED_VALUE"""),0.17042324511015994)</f>
        <v>0.1704232451</v>
      </c>
      <c r="I65" s="91">
        <f>IFERROR(__xludf.DUMMYFUNCTION("""COMPUTED_VALUE"""),1.51554686625309E-4)</f>
        <v>0.0001515546866</v>
      </c>
      <c r="J65" s="91">
        <f>IFERROR(__xludf.DUMMYFUNCTION("""COMPUTED_VALUE"""),1.9683164925462007)</f>
        <v>1.968316493</v>
      </c>
      <c r="K65" s="91">
        <f>IFERROR(__xludf.DUMMYFUNCTION("""COMPUTED_VALUE"""),2.0490951405174904)</f>
        <v>2.049095141</v>
      </c>
      <c r="L65" s="91">
        <f>IFERROR(__xludf.DUMMYFUNCTION("""COMPUTED_VALUE"""),2.3498554161254157)</f>
        <v>2.349855416</v>
      </c>
      <c r="M65" s="91">
        <f>IFERROR(__xludf.DUMMYFUNCTION("""COMPUTED_VALUE"""),6.660449590465767)</f>
        <v>6.66044959</v>
      </c>
      <c r="N65" s="91">
        <f>IFERROR(__xludf.DUMMYFUNCTION("""COMPUTED_VALUE"""),0.0)</f>
        <v>0</v>
      </c>
      <c r="O65" s="91">
        <f>IFERROR(__xludf.DUMMYFUNCTION("""COMPUTED_VALUE"""),0.0)</f>
        <v>0</v>
      </c>
      <c r="Q65" s="147">
        <v>6.1705</v>
      </c>
      <c r="R65" s="147">
        <v>1.0E-4</v>
      </c>
      <c r="S65" s="147">
        <v>0.0</v>
      </c>
      <c r="T65" s="147">
        <v>0.0</v>
      </c>
      <c r="U65" s="147">
        <v>0.1262</v>
      </c>
      <c r="V65" s="147">
        <v>0.3679</v>
      </c>
      <c r="W65" s="147">
        <v>0.0</v>
      </c>
      <c r="X65" s="147">
        <v>1.7412</v>
      </c>
      <c r="Y65" s="147">
        <v>3.2503</v>
      </c>
      <c r="Z65" s="147">
        <v>3.9928</v>
      </c>
      <c r="AA65" s="147">
        <v>12.8612</v>
      </c>
      <c r="AB65" s="147">
        <v>0.0</v>
      </c>
      <c r="AC65" s="147">
        <v>0.0</v>
      </c>
      <c r="AE65" s="87">
        <f t="shared" ref="AE65:AQ65" si="61">IFERROR((Q65-C65)/C65, "")</f>
        <v>0.9738056599</v>
      </c>
      <c r="AF65" s="87">
        <f t="shared" si="61"/>
        <v>-0.8984880262</v>
      </c>
      <c r="AG65" s="87">
        <f t="shared" si="61"/>
        <v>-1</v>
      </c>
      <c r="AH65" s="87">
        <f t="shared" si="61"/>
        <v>-1</v>
      </c>
      <c r="AI65" s="87">
        <f t="shared" si="61"/>
        <v>0.7792793193</v>
      </c>
      <c r="AJ65" s="87">
        <f t="shared" si="61"/>
        <v>1.158743074</v>
      </c>
      <c r="AK65" s="87">
        <f t="shared" si="61"/>
        <v>-1</v>
      </c>
      <c r="AL65" s="87">
        <f t="shared" si="61"/>
        <v>-0.1153861655</v>
      </c>
      <c r="AM65" s="87">
        <f t="shared" si="61"/>
        <v>0.5862123411</v>
      </c>
      <c r="AN65" s="87">
        <f t="shared" si="61"/>
        <v>0.6991683712</v>
      </c>
      <c r="AO65" s="87">
        <f t="shared" si="61"/>
        <v>0.9309807582</v>
      </c>
      <c r="AP65" s="87" t="str">
        <f t="shared" si="61"/>
        <v/>
      </c>
      <c r="AQ65" s="87" t="str">
        <f t="shared" si="61"/>
        <v/>
      </c>
    </row>
    <row r="66">
      <c r="B66" s="89" t="s">
        <v>156</v>
      </c>
      <c r="C66" s="91">
        <f>IFERROR(__xludf.DUMMYFUNCTION("""COMPUTED_VALUE"""),3.0829554)</f>
        <v>3.0829554</v>
      </c>
      <c r="D66" s="91">
        <f>IFERROR(__xludf.DUMMYFUNCTION("""COMPUTED_VALUE"""),0.031197768)</f>
        <v>0.031197768</v>
      </c>
      <c r="E66" s="91">
        <f>IFERROR(__xludf.DUMMYFUNCTION("""COMPUTED_VALUE"""),0.039432372)</f>
        <v>0.039432372</v>
      </c>
      <c r="F66" s="91">
        <f>IFERROR(__xludf.DUMMYFUNCTION("""COMPUTED_VALUE"""),0.009506616)</f>
        <v>0.009506616</v>
      </c>
      <c r="G66" s="91">
        <f>IFERROR(__xludf.DUMMYFUNCTION("""COMPUTED_VALUE"""),0.0)</f>
        <v>0</v>
      </c>
      <c r="H66" s="91">
        <f>IFERROR(__xludf.DUMMYFUNCTION("""COMPUTED_VALUE"""),6.6948E-5)</f>
        <v>0.000066948</v>
      </c>
      <c r="I66" s="91">
        <f>IFERROR(__xludf.DUMMYFUNCTION("""COMPUTED_VALUE"""),0.0)</f>
        <v>0</v>
      </c>
      <c r="J66" s="91">
        <f>IFERROR(__xludf.DUMMYFUNCTION("""COMPUTED_VALUE"""),0.0)</f>
        <v>0</v>
      </c>
      <c r="K66" s="91">
        <f>IFERROR(__xludf.DUMMYFUNCTION("""COMPUTED_VALUE"""),0.0)</f>
        <v>0</v>
      </c>
      <c r="L66" s="91">
        <f>IFERROR(__xludf.DUMMYFUNCTION("""COMPUTED_VALUE"""),0.0)</f>
        <v>0</v>
      </c>
      <c r="M66" s="91">
        <f>IFERROR(__xludf.DUMMYFUNCTION("""COMPUTED_VALUE"""),0.0)</f>
        <v>0</v>
      </c>
      <c r="N66" s="91">
        <f>IFERROR(__xludf.DUMMYFUNCTION("""COMPUTED_VALUE"""),0.0)</f>
        <v>0</v>
      </c>
      <c r="O66" s="91">
        <f>IFERROR(__xludf.DUMMYFUNCTION("""COMPUTED_VALUE"""),0.0)</f>
        <v>0</v>
      </c>
      <c r="Q66" s="147">
        <v>0.0632</v>
      </c>
      <c r="R66" s="147">
        <v>0.0011</v>
      </c>
      <c r="S66" s="147">
        <v>8.0E-4</v>
      </c>
      <c r="T66" s="147">
        <v>1.0E-4</v>
      </c>
      <c r="U66" s="147">
        <v>0.0</v>
      </c>
      <c r="V66" s="147">
        <v>0.0</v>
      </c>
      <c r="W66" s="147">
        <v>0.0</v>
      </c>
      <c r="X66" s="147">
        <v>0.0</v>
      </c>
      <c r="Y66" s="147">
        <v>0.0</v>
      </c>
      <c r="Z66" s="147">
        <v>0.0</v>
      </c>
      <c r="AA66" s="147">
        <v>0.0</v>
      </c>
      <c r="AB66" s="147">
        <v>0.0</v>
      </c>
      <c r="AC66" s="147">
        <v>0.0</v>
      </c>
      <c r="AE66" s="87">
        <f t="shared" ref="AE66:AQ66" si="62">IFERROR((Q66-C66)/C66, "")</f>
        <v>-0.97950019</v>
      </c>
      <c r="AF66" s="87">
        <f t="shared" si="62"/>
        <v>-0.9647410674</v>
      </c>
      <c r="AG66" s="87">
        <f t="shared" si="62"/>
        <v>-0.9797121005</v>
      </c>
      <c r="AH66" s="87">
        <f t="shared" si="62"/>
        <v>-0.9894810099</v>
      </c>
      <c r="AI66" s="87" t="str">
        <f t="shared" si="62"/>
        <v/>
      </c>
      <c r="AJ66" s="87">
        <f t="shared" si="62"/>
        <v>-1</v>
      </c>
      <c r="AK66" s="87" t="str">
        <f t="shared" si="62"/>
        <v/>
      </c>
      <c r="AL66" s="87" t="str">
        <f t="shared" si="62"/>
        <v/>
      </c>
      <c r="AM66" s="87" t="str">
        <f t="shared" si="62"/>
        <v/>
      </c>
      <c r="AN66" s="87" t="str">
        <f t="shared" si="62"/>
        <v/>
      </c>
      <c r="AO66" s="87" t="str">
        <f t="shared" si="62"/>
        <v/>
      </c>
      <c r="AP66" s="87" t="str">
        <f t="shared" si="62"/>
        <v/>
      </c>
      <c r="AQ66" s="87" t="str">
        <f t="shared" si="62"/>
        <v/>
      </c>
    </row>
    <row r="67">
      <c r="B67" s="89" t="s">
        <v>166</v>
      </c>
      <c r="C67" s="91">
        <f>IFERROR(__xludf.DUMMYFUNCTION("""COMPUTED_VALUE"""),16.05729337829669)</f>
        <v>16.05729338</v>
      </c>
      <c r="D67" s="91">
        <f>IFERROR(__xludf.DUMMYFUNCTION("""COMPUTED_VALUE"""),0.13244467146527625)</f>
        <v>0.1324446715</v>
      </c>
      <c r="E67" s="91">
        <f>IFERROR(__xludf.DUMMYFUNCTION("""COMPUTED_VALUE"""),0.19243016889594206)</f>
        <v>0.1924301689</v>
      </c>
      <c r="F67" s="91">
        <f>IFERROR(__xludf.DUMMYFUNCTION("""COMPUTED_VALUE"""),0.08291469243557778)</f>
        <v>0.08291469244</v>
      </c>
      <c r="G67" s="91">
        <f>IFERROR(__xludf.DUMMYFUNCTION("""COMPUTED_VALUE"""),0.05818617565933653)</f>
        <v>0.05818617566</v>
      </c>
      <c r="H67" s="91">
        <f>IFERROR(__xludf.DUMMYFUNCTION("""COMPUTED_VALUE"""),0.06961430042318449)</f>
        <v>0.06961430042</v>
      </c>
      <c r="I67" s="91">
        <f>IFERROR(__xludf.DUMMYFUNCTION("""COMPUTED_VALUE"""),0.059474879090153435)</f>
        <v>0.05947487909</v>
      </c>
      <c r="J67" s="91">
        <f>IFERROR(__xludf.DUMMYFUNCTION("""COMPUTED_VALUE"""),0.0)</f>
        <v>0</v>
      </c>
      <c r="K67" s="91">
        <f>IFERROR(__xludf.DUMMYFUNCTION("""COMPUTED_VALUE"""),0.0)</f>
        <v>0</v>
      </c>
      <c r="L67" s="91">
        <f>IFERROR(__xludf.DUMMYFUNCTION("""COMPUTED_VALUE"""),0.0)</f>
        <v>0</v>
      </c>
      <c r="M67" s="91">
        <f>IFERROR(__xludf.DUMMYFUNCTION("""COMPUTED_VALUE"""),10.104115722058495)</f>
        <v>10.10411572</v>
      </c>
      <c r="N67" s="91">
        <f>IFERROR(__xludf.DUMMYFUNCTION("""COMPUTED_VALUE"""),155.5120357863804)</f>
        <v>155.5120358</v>
      </c>
      <c r="O67" s="91">
        <f>IFERROR(__xludf.DUMMYFUNCTION("""COMPUTED_VALUE"""),0.0)</f>
        <v>0</v>
      </c>
      <c r="Q67" s="147">
        <v>47.5739</v>
      </c>
      <c r="R67" s="147">
        <v>0.3398</v>
      </c>
      <c r="S67" s="147">
        <v>0.5278</v>
      </c>
      <c r="T67" s="147">
        <v>0.2154</v>
      </c>
      <c r="U67" s="147">
        <v>0.1835</v>
      </c>
      <c r="V67" s="147">
        <v>0.179</v>
      </c>
      <c r="W67" s="147">
        <v>0.1754</v>
      </c>
      <c r="X67" s="147">
        <v>0.0</v>
      </c>
      <c r="Y67" s="147">
        <v>0.0</v>
      </c>
      <c r="Z67" s="147">
        <v>0.0</v>
      </c>
      <c r="AA67" s="147">
        <v>29.7577</v>
      </c>
      <c r="AB67" s="147">
        <v>493.3856</v>
      </c>
      <c r="AC67" s="147">
        <v>0.0</v>
      </c>
      <c r="AE67" s="87">
        <f t="shared" ref="AE67:AQ67" si="63">IFERROR((Q67-C67)/C67, "")</f>
        <v>1.962759593</v>
      </c>
      <c r="AF67" s="87">
        <f t="shared" si="63"/>
        <v>1.565599629</v>
      </c>
      <c r="AG67" s="87">
        <f t="shared" si="63"/>
        <v>1.742813162</v>
      </c>
      <c r="AH67" s="87">
        <f t="shared" si="63"/>
        <v>1.597850799</v>
      </c>
      <c r="AI67" s="87">
        <f t="shared" si="63"/>
        <v>2.153670059</v>
      </c>
      <c r="AJ67" s="87">
        <f t="shared" si="63"/>
        <v>1.571310764</v>
      </c>
      <c r="AK67" s="87">
        <f t="shared" si="63"/>
        <v>1.949144289</v>
      </c>
      <c r="AL67" s="87" t="str">
        <f t="shared" si="63"/>
        <v/>
      </c>
      <c r="AM67" s="87" t="str">
        <f t="shared" si="63"/>
        <v/>
      </c>
      <c r="AN67" s="87" t="str">
        <f t="shared" si="63"/>
        <v/>
      </c>
      <c r="AO67" s="87">
        <f t="shared" si="63"/>
        <v>1.945106808</v>
      </c>
      <c r="AP67" s="87">
        <f t="shared" si="63"/>
        <v>2.172652184</v>
      </c>
      <c r="AQ67" s="87" t="str">
        <f t="shared" si="63"/>
        <v/>
      </c>
    </row>
    <row r="68">
      <c r="B68" s="89" t="s">
        <v>170</v>
      </c>
      <c r="C68" s="91">
        <f>IFERROR(__xludf.DUMMYFUNCTION("""COMPUTED_VALUE"""),13.676750725751573)</f>
        <v>13.67675073</v>
      </c>
      <c r="D68" s="91">
        <f>IFERROR(__xludf.DUMMYFUNCTION("""COMPUTED_VALUE"""),0.2254744700748131)</f>
        <v>0.2254744701</v>
      </c>
      <c r="E68" s="91">
        <f>IFERROR(__xludf.DUMMYFUNCTION("""COMPUTED_VALUE"""),0.1479820581122951)</f>
        <v>0.1479820581</v>
      </c>
      <c r="F68" s="91">
        <f>IFERROR(__xludf.DUMMYFUNCTION("""COMPUTED_VALUE"""),0.02407200748129677)</f>
        <v>0.02407200748</v>
      </c>
      <c r="G68" s="91">
        <f>IFERROR(__xludf.DUMMYFUNCTION("""COMPUTED_VALUE"""),0.0)</f>
        <v>0</v>
      </c>
      <c r="H68" s="91">
        <f>IFERROR(__xludf.DUMMYFUNCTION("""COMPUTED_VALUE"""),0.0)</f>
        <v>0</v>
      </c>
      <c r="I68" s="91">
        <f>IFERROR(__xludf.DUMMYFUNCTION("""COMPUTED_VALUE"""),0.0)</f>
        <v>0</v>
      </c>
      <c r="J68" s="91">
        <f>IFERROR(__xludf.DUMMYFUNCTION("""COMPUTED_VALUE"""),1.5028227216050787)</f>
        <v>1.502822722</v>
      </c>
      <c r="K68" s="91">
        <f>IFERROR(__xludf.DUMMYFUNCTION("""COMPUTED_VALUE"""),1.8175581406332662)</f>
        <v>1.817558141</v>
      </c>
      <c r="L68" s="91">
        <f>IFERROR(__xludf.DUMMYFUNCTION("""COMPUTED_VALUE"""),1.553373937315802)</f>
        <v>1.553373937</v>
      </c>
      <c r="M68" s="91">
        <f>IFERROR(__xludf.DUMMYFUNCTION("""COMPUTED_VALUE"""),20.034256480956707)</f>
        <v>20.03425648</v>
      </c>
      <c r="N68" s="91">
        <f>IFERROR(__xludf.DUMMYFUNCTION("""COMPUTED_VALUE"""),0.0)</f>
        <v>0</v>
      </c>
      <c r="O68" s="91">
        <f>IFERROR(__xludf.DUMMYFUNCTION("""COMPUTED_VALUE"""),0.04007138215068392)</f>
        <v>0.04007138215</v>
      </c>
      <c r="Q68" s="147">
        <v>38.4038</v>
      </c>
      <c r="R68" s="147">
        <v>0.474</v>
      </c>
      <c r="S68" s="147">
        <v>0.3145</v>
      </c>
      <c r="T68" s="147">
        <v>0.0459</v>
      </c>
      <c r="U68" s="147">
        <v>0.0</v>
      </c>
      <c r="V68" s="147">
        <v>0.0</v>
      </c>
      <c r="W68" s="147">
        <v>0.0</v>
      </c>
      <c r="X68" s="147">
        <v>1.593</v>
      </c>
      <c r="Y68" s="147">
        <v>3.1523</v>
      </c>
      <c r="Z68" s="147">
        <v>3.3125</v>
      </c>
      <c r="AA68" s="147">
        <v>45.327</v>
      </c>
      <c r="AB68" s="147">
        <v>0.0</v>
      </c>
      <c r="AC68" s="147">
        <v>0.0126</v>
      </c>
      <c r="AE68" s="87">
        <f t="shared" ref="AE68:AQ68" si="64">IFERROR((Q68-C68)/C68, "")</f>
        <v>1.807962269</v>
      </c>
      <c r="AF68" s="87">
        <f t="shared" si="64"/>
        <v>1.102233569</v>
      </c>
      <c r="AG68" s="87">
        <f t="shared" si="64"/>
        <v>1.125257643</v>
      </c>
      <c r="AH68" s="87">
        <f t="shared" si="64"/>
        <v>0.9067790684</v>
      </c>
      <c r="AI68" s="87" t="str">
        <f t="shared" si="64"/>
        <v/>
      </c>
      <c r="AJ68" s="87" t="str">
        <f t="shared" si="64"/>
        <v/>
      </c>
      <c r="AK68" s="87" t="str">
        <f t="shared" si="64"/>
        <v/>
      </c>
      <c r="AL68" s="87">
        <f t="shared" si="64"/>
        <v>0.06000526682</v>
      </c>
      <c r="AM68" s="87">
        <f t="shared" si="64"/>
        <v>0.7343599247</v>
      </c>
      <c r="AN68" s="87">
        <f t="shared" si="64"/>
        <v>1.132454987</v>
      </c>
      <c r="AO68" s="87">
        <f t="shared" si="64"/>
        <v>1.262474779</v>
      </c>
      <c r="AP68" s="87" t="str">
        <f t="shared" si="64"/>
        <v/>
      </c>
      <c r="AQ68" s="87">
        <f t="shared" si="64"/>
        <v>-0.6855611331</v>
      </c>
    </row>
    <row r="69">
      <c r="B69" s="89" t="s">
        <v>176</v>
      </c>
      <c r="C69" s="91">
        <f>IFERROR(__xludf.DUMMYFUNCTION("""COMPUTED_VALUE"""),19.018709547154845)</f>
        <v>19.01870955</v>
      </c>
      <c r="D69" s="91">
        <f>IFERROR(__xludf.DUMMYFUNCTION("""COMPUTED_VALUE"""),0.1715677624121515)</f>
        <v>0.1715677624</v>
      </c>
      <c r="E69" s="91">
        <f>IFERROR(__xludf.DUMMYFUNCTION("""COMPUTED_VALUE"""),4.863031814403387E-5)</f>
        <v>0.00004863031814</v>
      </c>
      <c r="F69" s="91">
        <f>IFERROR(__xludf.DUMMYFUNCTION("""COMPUTED_VALUE"""),0.0016048004987531176)</f>
        <v>0.001604800499</v>
      </c>
      <c r="G69" s="91">
        <f>IFERROR(__xludf.DUMMYFUNCTION("""COMPUTED_VALUE"""),0.27451814592307117)</f>
        <v>0.2745181459</v>
      </c>
      <c r="H69" s="91">
        <f>IFERROR(__xludf.DUMMYFUNCTION("""COMPUTED_VALUE"""),0.16045573471623975)</f>
        <v>0.1604557347</v>
      </c>
      <c r="I69" s="91">
        <f>IFERROR(__xludf.DUMMYFUNCTION("""COMPUTED_VALUE"""),2.4315159072016935E-5)</f>
        <v>0.00002431515907</v>
      </c>
      <c r="J69" s="91">
        <f>IFERROR(__xludf.DUMMYFUNCTION("""COMPUTED_VALUE"""),0.0)</f>
        <v>0</v>
      </c>
      <c r="K69" s="91">
        <f>IFERROR(__xludf.DUMMYFUNCTION("""COMPUTED_VALUE"""),2.1883643164815242E-4)</f>
        <v>0.0002188364316</v>
      </c>
      <c r="L69" s="91">
        <f>IFERROR(__xludf.DUMMYFUNCTION("""COMPUTED_VALUE"""),1.4589095443210158E-4)</f>
        <v>0.0001458909544</v>
      </c>
      <c r="M69" s="91">
        <f>IFERROR(__xludf.DUMMYFUNCTION("""COMPUTED_VALUE"""),7.982666723343159)</f>
        <v>7.982666723</v>
      </c>
      <c r="N69" s="91">
        <f>IFERROR(__xludf.DUMMYFUNCTION("""COMPUTED_VALUE"""),0.0)</f>
        <v>0</v>
      </c>
      <c r="O69" s="91">
        <f>IFERROR(__xludf.DUMMYFUNCTION("""COMPUTED_VALUE"""),0.0)</f>
        <v>0</v>
      </c>
      <c r="Q69" s="147">
        <v>91.6194</v>
      </c>
      <c r="R69" s="147">
        <v>0.5017</v>
      </c>
      <c r="S69" s="147">
        <v>0.0</v>
      </c>
      <c r="T69" s="147">
        <v>0.0077</v>
      </c>
      <c r="U69" s="147">
        <v>0.9338</v>
      </c>
      <c r="V69" s="147">
        <v>0.494</v>
      </c>
      <c r="W69" s="147">
        <v>0.0</v>
      </c>
      <c r="X69" s="147">
        <v>0.0</v>
      </c>
      <c r="Y69" s="147">
        <v>0.0</v>
      </c>
      <c r="Z69" s="147">
        <v>0.0</v>
      </c>
      <c r="AA69" s="147">
        <v>33.9931</v>
      </c>
      <c r="AB69" s="147">
        <v>0.0</v>
      </c>
      <c r="AC69" s="147">
        <v>0.0</v>
      </c>
      <c r="AE69" s="87">
        <f t="shared" ref="AE69:AQ69" si="65">IFERROR((Q69-C69)/C69, "")</f>
        <v>3.817329997</v>
      </c>
      <c r="AF69" s="87">
        <f t="shared" si="65"/>
        <v>1.924209029</v>
      </c>
      <c r="AG69" s="87">
        <f t="shared" si="65"/>
        <v>-1</v>
      </c>
      <c r="AH69" s="87">
        <f t="shared" si="65"/>
        <v>3.798104192</v>
      </c>
      <c r="AI69" s="87">
        <f t="shared" si="65"/>
        <v>2.40159663</v>
      </c>
      <c r="AJ69" s="87">
        <f t="shared" si="65"/>
        <v>2.078730722</v>
      </c>
      <c r="AK69" s="87">
        <f t="shared" si="65"/>
        <v>-1</v>
      </c>
      <c r="AL69" s="87" t="str">
        <f t="shared" si="65"/>
        <v/>
      </c>
      <c r="AM69" s="87">
        <f t="shared" si="65"/>
        <v>-1</v>
      </c>
      <c r="AN69" s="87">
        <f t="shared" si="65"/>
        <v>-1</v>
      </c>
      <c r="AO69" s="87">
        <f t="shared" si="65"/>
        <v>3.258363925</v>
      </c>
      <c r="AP69" s="87" t="str">
        <f t="shared" si="65"/>
        <v/>
      </c>
      <c r="AQ69" s="87" t="str">
        <f t="shared" si="65"/>
        <v/>
      </c>
    </row>
    <row r="70">
      <c r="B70" s="89" t="s">
        <v>179</v>
      </c>
      <c r="C70" s="91">
        <f>IFERROR(__xludf.DUMMYFUNCTION("""COMPUTED_VALUE"""),0.0)</f>
        <v>0</v>
      </c>
      <c r="D70" s="91">
        <f>IFERROR(__xludf.DUMMYFUNCTION("""COMPUTED_VALUE"""),0.21025000000000002)</f>
        <v>0.21025</v>
      </c>
      <c r="E70" s="91">
        <f>IFERROR(__xludf.DUMMYFUNCTION("""COMPUTED_VALUE"""),0.0)</f>
        <v>0</v>
      </c>
      <c r="F70" s="91">
        <f>IFERROR(__xludf.DUMMYFUNCTION("""COMPUTED_VALUE"""),0.0)</f>
        <v>0</v>
      </c>
      <c r="G70" s="91">
        <f>IFERROR(__xludf.DUMMYFUNCTION("""COMPUTED_VALUE"""),0.19922222222222224)</f>
        <v>0.1992222222</v>
      </c>
      <c r="H70" s="91">
        <f>IFERROR(__xludf.DUMMYFUNCTION("""COMPUTED_VALUE"""),0.1983611111111111)</f>
        <v>0.1983611111</v>
      </c>
      <c r="I70" s="91">
        <f>IFERROR(__xludf.DUMMYFUNCTION("""COMPUTED_VALUE"""),0.2083888888888889)</f>
        <v>0.2083888889</v>
      </c>
      <c r="J70" s="91">
        <f>IFERROR(__xludf.DUMMYFUNCTION("""COMPUTED_VALUE"""),0.0)</f>
        <v>0</v>
      </c>
      <c r="K70" s="91">
        <f>IFERROR(__xludf.DUMMYFUNCTION("""COMPUTED_VALUE"""),0.0)</f>
        <v>0</v>
      </c>
      <c r="L70" s="91">
        <f>IFERROR(__xludf.DUMMYFUNCTION("""COMPUTED_VALUE"""),0.0)</f>
        <v>0</v>
      </c>
      <c r="M70" s="91">
        <f>IFERROR(__xludf.DUMMYFUNCTION("""COMPUTED_VALUE"""),35.23558333333334)</f>
        <v>35.23558333</v>
      </c>
      <c r="N70" s="91">
        <f>IFERROR(__xludf.DUMMYFUNCTION("""COMPUTED_VALUE"""),3.8061666666666665)</f>
        <v>3.806166667</v>
      </c>
      <c r="O70" s="91">
        <f>IFERROR(__xludf.DUMMYFUNCTION("""COMPUTED_VALUE"""),0.0)</f>
        <v>0</v>
      </c>
      <c r="Q70" s="147">
        <v>0.0</v>
      </c>
      <c r="R70" s="147">
        <v>0.254</v>
      </c>
      <c r="S70" s="147">
        <v>0.0</v>
      </c>
      <c r="T70" s="147">
        <v>0.0</v>
      </c>
      <c r="U70" s="147">
        <v>0.254</v>
      </c>
      <c r="V70" s="147">
        <v>0.254</v>
      </c>
      <c r="W70" s="147">
        <v>0.254</v>
      </c>
      <c r="X70" s="147">
        <v>0.0</v>
      </c>
      <c r="Y70" s="147">
        <v>0.0</v>
      </c>
      <c r="Z70" s="147">
        <v>0.0</v>
      </c>
      <c r="AA70" s="147">
        <v>58.2904</v>
      </c>
      <c r="AB70" s="147">
        <v>4.3366</v>
      </c>
      <c r="AC70" s="147">
        <v>0.0</v>
      </c>
      <c r="AE70" s="87" t="str">
        <f t="shared" ref="AE70:AQ70" si="66">IFERROR((Q70-C70)/C70, "")</f>
        <v/>
      </c>
      <c r="AF70" s="87">
        <f t="shared" si="66"/>
        <v>0.2080856124</v>
      </c>
      <c r="AG70" s="87" t="str">
        <f t="shared" si="66"/>
        <v/>
      </c>
      <c r="AH70" s="87" t="str">
        <f t="shared" si="66"/>
        <v/>
      </c>
      <c r="AI70" s="87">
        <f t="shared" si="66"/>
        <v>0.2749581707</v>
      </c>
      <c r="AJ70" s="87">
        <f t="shared" si="66"/>
        <v>0.2804929282</v>
      </c>
      <c r="AK70" s="87">
        <f t="shared" si="66"/>
        <v>0.2188749667</v>
      </c>
      <c r="AL70" s="87" t="str">
        <f t="shared" si="66"/>
        <v/>
      </c>
      <c r="AM70" s="87" t="str">
        <f t="shared" si="66"/>
        <v/>
      </c>
      <c r="AN70" s="87" t="str">
        <f t="shared" si="66"/>
        <v/>
      </c>
      <c r="AO70" s="87">
        <f t="shared" si="66"/>
        <v>0.6543049521</v>
      </c>
      <c r="AP70" s="87">
        <f t="shared" si="66"/>
        <v>0.1393615624</v>
      </c>
      <c r="AQ70" s="87" t="str">
        <f t="shared" si="66"/>
        <v/>
      </c>
    </row>
    <row r="71">
      <c r="B71" s="89" t="s">
        <v>180</v>
      </c>
      <c r="C71" s="91">
        <f>IFERROR(__xludf.DUMMYFUNCTION("""COMPUTED_VALUE"""),5.8252483698234965)</f>
        <v>5.82524837</v>
      </c>
      <c r="D71" s="91">
        <f>IFERROR(__xludf.DUMMYFUNCTION("""COMPUTED_VALUE"""),0.12015421000992238)</f>
        <v>0.12015421</v>
      </c>
      <c r="E71" s="91">
        <f>IFERROR(__xludf.DUMMYFUNCTION("""COMPUTED_VALUE"""),0.19126145910037415)</f>
        <v>0.1912614591</v>
      </c>
      <c r="F71" s="91">
        <f>IFERROR(__xludf.DUMMYFUNCTION("""COMPUTED_VALUE"""),0.05332269093013833)</f>
        <v>0.05332269093</v>
      </c>
      <c r="G71" s="91">
        <f>IFERROR(__xludf.DUMMYFUNCTION("""COMPUTED_VALUE"""),0.30019962371999437)</f>
        <v>0.3001996237</v>
      </c>
      <c r="H71" s="91">
        <f>IFERROR(__xludf.DUMMYFUNCTION("""COMPUTED_VALUE"""),0.24105202523909136)</f>
        <v>0.2410520252</v>
      </c>
      <c r="I71" s="91">
        <f>IFERROR(__xludf.DUMMYFUNCTION("""COMPUTED_VALUE"""),0.19030096902551402)</f>
        <v>0.190300969</v>
      </c>
      <c r="J71" s="91">
        <f>IFERROR(__xludf.DUMMYFUNCTION("""COMPUTED_VALUE"""),0.0)</f>
        <v>0</v>
      </c>
      <c r="K71" s="91">
        <f>IFERROR(__xludf.DUMMYFUNCTION("""COMPUTED_VALUE"""),0.5917548367662476)</f>
        <v>0.5917548368</v>
      </c>
      <c r="L71" s="91">
        <f>IFERROR(__xludf.DUMMYFUNCTION("""COMPUTED_VALUE"""),1.3156235341519662)</f>
        <v>1.315623534</v>
      </c>
      <c r="M71" s="91">
        <f>IFERROR(__xludf.DUMMYFUNCTION("""COMPUTED_VALUE"""),22.78552014460212)</f>
        <v>22.78552014</v>
      </c>
      <c r="N71" s="91">
        <f>IFERROR(__xludf.DUMMYFUNCTION("""COMPUTED_VALUE"""),0.0)</f>
        <v>0</v>
      </c>
      <c r="O71" s="91">
        <f>IFERROR(__xludf.DUMMYFUNCTION("""COMPUTED_VALUE"""),0.0)</f>
        <v>0</v>
      </c>
      <c r="Q71" s="147">
        <v>16.2622</v>
      </c>
      <c r="R71" s="147">
        <v>0.2286</v>
      </c>
      <c r="S71" s="147">
        <v>0.3823</v>
      </c>
      <c r="T71" s="147">
        <v>0.3733</v>
      </c>
      <c r="U71" s="147">
        <v>0.5975</v>
      </c>
      <c r="V71" s="147">
        <v>0.5132</v>
      </c>
      <c r="W71" s="147">
        <v>0.4488</v>
      </c>
      <c r="X71" s="147">
        <v>0.0</v>
      </c>
      <c r="Y71" s="147">
        <v>1.8564</v>
      </c>
      <c r="Z71" s="147">
        <v>3.4368</v>
      </c>
      <c r="AA71" s="147">
        <v>49.3166</v>
      </c>
      <c r="AB71" s="147">
        <v>0.0</v>
      </c>
      <c r="AC71" s="147">
        <v>0.0</v>
      </c>
      <c r="AE71" s="87">
        <f t="shared" ref="AE71:AQ71" si="67">IFERROR((Q71-C71)/C71, "")</f>
        <v>1.791674958</v>
      </c>
      <c r="AF71" s="87">
        <f t="shared" si="67"/>
        <v>0.902555058</v>
      </c>
      <c r="AG71" s="87">
        <f t="shared" si="67"/>
        <v>0.9988344845</v>
      </c>
      <c r="AH71" s="87">
        <f t="shared" si="67"/>
        <v>6.000771969</v>
      </c>
      <c r="AI71" s="87">
        <f t="shared" si="67"/>
        <v>0.9903422682</v>
      </c>
      <c r="AJ71" s="87">
        <f t="shared" si="67"/>
        <v>1.129000988</v>
      </c>
      <c r="AK71" s="87">
        <f t="shared" si="67"/>
        <v>1.358369494</v>
      </c>
      <c r="AL71" s="87" t="str">
        <f t="shared" si="67"/>
        <v/>
      </c>
      <c r="AM71" s="87">
        <f t="shared" si="67"/>
        <v>2.137109973</v>
      </c>
      <c r="AN71" s="87">
        <f t="shared" si="67"/>
        <v>1.612297447</v>
      </c>
      <c r="AO71" s="87">
        <f t="shared" si="67"/>
        <v>1.164383331</v>
      </c>
      <c r="AP71" s="87" t="str">
        <f t="shared" si="67"/>
        <v/>
      </c>
      <c r="AQ71" s="87" t="str">
        <f t="shared" si="67"/>
        <v/>
      </c>
    </row>
    <row r="72">
      <c r="B72" s="89" t="s">
        <v>182</v>
      </c>
      <c r="C72" s="91">
        <f>IFERROR(__xludf.DUMMYFUNCTION("""COMPUTED_VALUE"""),0.0)</f>
        <v>0</v>
      </c>
      <c r="D72" s="91">
        <f>IFERROR(__xludf.DUMMYFUNCTION("""COMPUTED_VALUE"""),0.0)</f>
        <v>0</v>
      </c>
      <c r="E72" s="91">
        <f>IFERROR(__xludf.DUMMYFUNCTION("""COMPUTED_VALUE"""),0.0)</f>
        <v>0</v>
      </c>
      <c r="F72" s="91">
        <f>IFERROR(__xludf.DUMMYFUNCTION("""COMPUTED_VALUE"""),0.0)</f>
        <v>0</v>
      </c>
      <c r="G72" s="91">
        <f>IFERROR(__xludf.DUMMYFUNCTION("""COMPUTED_VALUE"""),0.0)</f>
        <v>0</v>
      </c>
      <c r="H72" s="91">
        <f>IFERROR(__xludf.DUMMYFUNCTION("""COMPUTED_VALUE"""),0.0)</f>
        <v>0</v>
      </c>
      <c r="I72" s="91">
        <f>IFERROR(__xludf.DUMMYFUNCTION("""COMPUTED_VALUE"""),0.0)</f>
        <v>0</v>
      </c>
      <c r="J72" s="91">
        <f>IFERROR(__xludf.DUMMYFUNCTION("""COMPUTED_VALUE"""),0.0)</f>
        <v>0</v>
      </c>
      <c r="K72" s="91">
        <f>IFERROR(__xludf.DUMMYFUNCTION("""COMPUTED_VALUE"""),0.0)</f>
        <v>0</v>
      </c>
      <c r="L72" s="91">
        <f>IFERROR(__xludf.DUMMYFUNCTION("""COMPUTED_VALUE"""),0.0)</f>
        <v>0</v>
      </c>
      <c r="M72" s="91">
        <f>IFERROR(__xludf.DUMMYFUNCTION("""COMPUTED_VALUE"""),0.0)</f>
        <v>0</v>
      </c>
      <c r="N72" s="91">
        <f>IFERROR(__xludf.DUMMYFUNCTION("""COMPUTED_VALUE"""),0.0)</f>
        <v>0</v>
      </c>
      <c r="O72" s="91">
        <f>IFERROR(__xludf.DUMMYFUNCTION("""COMPUTED_VALUE"""),0.0)</f>
        <v>0</v>
      </c>
      <c r="Q72" s="147">
        <v>0.2581</v>
      </c>
      <c r="R72" s="147">
        <v>2.0E-4</v>
      </c>
      <c r="S72" s="147">
        <v>0.0</v>
      </c>
      <c r="T72" s="147">
        <v>0.0</v>
      </c>
      <c r="U72" s="147">
        <v>0.0063</v>
      </c>
      <c r="V72" s="147">
        <v>0.0222</v>
      </c>
      <c r="W72" s="147">
        <v>0.0</v>
      </c>
      <c r="X72" s="147">
        <v>0.0611</v>
      </c>
      <c r="Y72" s="147">
        <v>0.1752</v>
      </c>
      <c r="Z72" s="147">
        <v>0.2332</v>
      </c>
      <c r="AA72" s="147">
        <v>0.5373</v>
      </c>
      <c r="AB72" s="147">
        <v>0.0</v>
      </c>
      <c r="AC72" s="147">
        <v>0.0</v>
      </c>
      <c r="AE72" s="87" t="str">
        <f t="shared" ref="AE72:AQ72" si="68">IFERROR((Q72-C72)/C72, "")</f>
        <v/>
      </c>
      <c r="AF72" s="87" t="str">
        <f t="shared" si="68"/>
        <v/>
      </c>
      <c r="AG72" s="87" t="str">
        <f t="shared" si="68"/>
        <v/>
      </c>
      <c r="AH72" s="87" t="str">
        <f t="shared" si="68"/>
        <v/>
      </c>
      <c r="AI72" s="87" t="str">
        <f t="shared" si="68"/>
        <v/>
      </c>
      <c r="AJ72" s="87" t="str">
        <f t="shared" si="68"/>
        <v/>
      </c>
      <c r="AK72" s="87" t="str">
        <f t="shared" si="68"/>
        <v/>
      </c>
      <c r="AL72" s="87" t="str">
        <f t="shared" si="68"/>
        <v/>
      </c>
      <c r="AM72" s="87" t="str">
        <f t="shared" si="68"/>
        <v/>
      </c>
      <c r="AN72" s="87" t="str">
        <f t="shared" si="68"/>
        <v/>
      </c>
      <c r="AO72" s="87" t="str">
        <f t="shared" si="68"/>
        <v/>
      </c>
      <c r="AP72" s="87" t="str">
        <f t="shared" si="68"/>
        <v/>
      </c>
      <c r="AQ72" s="87" t="str">
        <f t="shared" si="68"/>
        <v/>
      </c>
    </row>
    <row r="73">
      <c r="B73" s="89" t="s">
        <v>183</v>
      </c>
      <c r="C73" s="91">
        <f>IFERROR(__xludf.DUMMYFUNCTION("""COMPUTED_VALUE"""),1.5201248472929334)</f>
        <v>1.520124847</v>
      </c>
      <c r="D73" s="91">
        <f>IFERROR(__xludf.DUMMYFUNCTION("""COMPUTED_VALUE"""),0.020952734028399717)</f>
        <v>0.02095273403</v>
      </c>
      <c r="E73" s="91">
        <f>IFERROR(__xludf.DUMMYFUNCTION("""COMPUTED_VALUE"""),0.011102020444526916)</f>
        <v>0.01110202044</v>
      </c>
      <c r="F73" s="91">
        <f>IFERROR(__xludf.DUMMYFUNCTION("""COMPUTED_VALUE"""),8.785771574805472E-4)</f>
        <v>0.0008785771575</v>
      </c>
      <c r="G73" s="91">
        <f>IFERROR(__xludf.DUMMYFUNCTION("""COMPUTED_VALUE"""),0.006150040102363831)</f>
        <v>0.006150040102</v>
      </c>
      <c r="H73" s="91">
        <f>IFERROR(__xludf.DUMMYFUNCTION("""COMPUTED_VALUE"""),0.0068422524082575945)</f>
        <v>0.006842252408</v>
      </c>
      <c r="I73" s="91">
        <f>IFERROR(__xludf.DUMMYFUNCTION("""COMPUTED_VALUE"""),0.00753446471415136)</f>
        <v>0.007534464714</v>
      </c>
      <c r="J73" s="91">
        <f>IFERROR(__xludf.DUMMYFUNCTION("""COMPUTED_VALUE"""),0.0)</f>
        <v>0</v>
      </c>
      <c r="K73" s="91">
        <f>IFERROR(__xludf.DUMMYFUNCTION("""COMPUTED_VALUE"""),0.0)</f>
        <v>0</v>
      </c>
      <c r="L73" s="91">
        <f>IFERROR(__xludf.DUMMYFUNCTION("""COMPUTED_VALUE"""),0.0)</f>
        <v>0</v>
      </c>
      <c r="M73" s="91">
        <f>IFERROR(__xludf.DUMMYFUNCTION("""COMPUTED_VALUE"""),3.0137060150098636)</f>
        <v>3.013706015</v>
      </c>
      <c r="N73" s="91">
        <f>IFERROR(__xludf.DUMMYFUNCTION("""COMPUTED_VALUE"""),5.195461583502846)</f>
        <v>5.195461584</v>
      </c>
      <c r="O73" s="91">
        <f>IFERROR(__xludf.DUMMYFUNCTION("""COMPUTED_VALUE"""),0.0)</f>
        <v>0</v>
      </c>
      <c r="Q73" s="147">
        <v>4.311</v>
      </c>
      <c r="R73" s="147">
        <v>0.0542</v>
      </c>
      <c r="S73" s="147">
        <v>0.0302</v>
      </c>
      <c r="T73" s="147">
        <v>0.0014</v>
      </c>
      <c r="U73" s="147">
        <v>0.0167</v>
      </c>
      <c r="V73" s="147">
        <v>0.0208</v>
      </c>
      <c r="W73" s="147">
        <v>0.0207</v>
      </c>
      <c r="X73" s="147">
        <v>0.0</v>
      </c>
      <c r="Y73" s="147">
        <v>0.0</v>
      </c>
      <c r="Z73" s="147">
        <v>0.0</v>
      </c>
      <c r="AA73" s="147">
        <v>15.4966</v>
      </c>
      <c r="AB73" s="147">
        <v>17.0355</v>
      </c>
      <c r="AC73" s="147">
        <v>0.0</v>
      </c>
      <c r="AE73" s="87">
        <f t="shared" ref="AE73:AQ73" si="69">IFERROR((Q73-C73)/C73, "")</f>
        <v>1.835951276</v>
      </c>
      <c r="AF73" s="87">
        <f t="shared" si="69"/>
        <v>1.586774591</v>
      </c>
      <c r="AG73" s="87">
        <f t="shared" si="69"/>
        <v>1.72022558</v>
      </c>
      <c r="AH73" s="87">
        <f t="shared" si="69"/>
        <v>0.5934855443</v>
      </c>
      <c r="AI73" s="87">
        <f t="shared" si="69"/>
        <v>1.715429448</v>
      </c>
      <c r="AJ73" s="87">
        <f t="shared" si="69"/>
        <v>2.039934624</v>
      </c>
      <c r="AK73" s="87">
        <f t="shared" si="69"/>
        <v>1.747375001</v>
      </c>
      <c r="AL73" s="87" t="str">
        <f t="shared" si="69"/>
        <v/>
      </c>
      <c r="AM73" s="87" t="str">
        <f t="shared" si="69"/>
        <v/>
      </c>
      <c r="AN73" s="87" t="str">
        <f t="shared" si="69"/>
        <v/>
      </c>
      <c r="AO73" s="87">
        <f t="shared" si="69"/>
        <v>4.142041036</v>
      </c>
      <c r="AP73" s="87">
        <f t="shared" si="69"/>
        <v>2.278919443</v>
      </c>
      <c r="AQ73" s="87" t="str">
        <f t="shared" si="69"/>
        <v/>
      </c>
    </row>
    <row r="74">
      <c r="B74" s="89" t="s">
        <v>185</v>
      </c>
      <c r="C74" s="91">
        <f>IFERROR(__xludf.DUMMYFUNCTION("""COMPUTED_VALUE"""),0.0)</f>
        <v>0</v>
      </c>
      <c r="D74" s="91">
        <f>IFERROR(__xludf.DUMMYFUNCTION("""COMPUTED_VALUE"""),0.0)</f>
        <v>0</v>
      </c>
      <c r="E74" s="91">
        <f>IFERROR(__xludf.DUMMYFUNCTION("""COMPUTED_VALUE"""),0.0)</f>
        <v>0</v>
      </c>
      <c r="F74" s="91">
        <f>IFERROR(__xludf.DUMMYFUNCTION("""COMPUTED_VALUE"""),0.0)</f>
        <v>0</v>
      </c>
      <c r="G74" s="91">
        <f>IFERROR(__xludf.DUMMYFUNCTION("""COMPUTED_VALUE"""),0.0)</f>
        <v>0</v>
      </c>
      <c r="H74" s="91">
        <f>IFERROR(__xludf.DUMMYFUNCTION("""COMPUTED_VALUE"""),0.0)</f>
        <v>0</v>
      </c>
      <c r="I74" s="91">
        <f>IFERROR(__xludf.DUMMYFUNCTION("""COMPUTED_VALUE"""),0.0)</f>
        <v>0</v>
      </c>
      <c r="J74" s="91">
        <f>IFERROR(__xludf.DUMMYFUNCTION("""COMPUTED_VALUE"""),0.0)</f>
        <v>0</v>
      </c>
      <c r="K74" s="91">
        <f>IFERROR(__xludf.DUMMYFUNCTION("""COMPUTED_VALUE"""),0.0)</f>
        <v>0</v>
      </c>
      <c r="L74" s="91">
        <f>IFERROR(__xludf.DUMMYFUNCTION("""COMPUTED_VALUE"""),0.0)</f>
        <v>0</v>
      </c>
      <c r="M74" s="91">
        <f>IFERROR(__xludf.DUMMYFUNCTION("""COMPUTED_VALUE"""),0.0)</f>
        <v>0</v>
      </c>
      <c r="N74" s="91">
        <f>IFERROR(__xludf.DUMMYFUNCTION("""COMPUTED_VALUE"""),0.0)</f>
        <v>0</v>
      </c>
      <c r="O74" s="91">
        <f>IFERROR(__xludf.DUMMYFUNCTION("""COMPUTED_VALUE"""),0.0)</f>
        <v>0</v>
      </c>
      <c r="Q74" s="147">
        <v>0.0</v>
      </c>
      <c r="R74" s="147">
        <v>0.0</v>
      </c>
      <c r="S74" s="147">
        <v>0.0</v>
      </c>
      <c r="T74" s="147">
        <v>0.0</v>
      </c>
      <c r="U74" s="147">
        <v>0.0</v>
      </c>
      <c r="V74" s="147">
        <v>0.0</v>
      </c>
      <c r="W74" s="147">
        <v>0.0</v>
      </c>
      <c r="X74" s="147">
        <v>0.0</v>
      </c>
      <c r="Y74" s="147">
        <v>0.0</v>
      </c>
      <c r="Z74" s="147">
        <v>0.0</v>
      </c>
      <c r="AA74" s="147">
        <v>0.0</v>
      </c>
      <c r="AB74" s="147">
        <v>0.0</v>
      </c>
      <c r="AC74" s="147">
        <v>0.0</v>
      </c>
      <c r="AE74" s="87" t="str">
        <f t="shared" ref="AE74:AQ74" si="70">IFERROR((Q74-C74)/C74, "")</f>
        <v/>
      </c>
      <c r="AF74" s="87" t="str">
        <f t="shared" si="70"/>
        <v/>
      </c>
      <c r="AG74" s="87" t="str">
        <f t="shared" si="70"/>
        <v/>
      </c>
      <c r="AH74" s="87" t="str">
        <f t="shared" si="70"/>
        <v/>
      </c>
      <c r="AI74" s="87" t="str">
        <f t="shared" si="70"/>
        <v/>
      </c>
      <c r="AJ74" s="87" t="str">
        <f t="shared" si="70"/>
        <v/>
      </c>
      <c r="AK74" s="87" t="str">
        <f t="shared" si="70"/>
        <v/>
      </c>
      <c r="AL74" s="87" t="str">
        <f t="shared" si="70"/>
        <v/>
      </c>
      <c r="AM74" s="87" t="str">
        <f t="shared" si="70"/>
        <v/>
      </c>
      <c r="AN74" s="87" t="str">
        <f t="shared" si="70"/>
        <v/>
      </c>
      <c r="AO74" s="87" t="str">
        <f t="shared" si="70"/>
        <v/>
      </c>
      <c r="AP74" s="87" t="str">
        <f t="shared" si="70"/>
        <v/>
      </c>
      <c r="AQ74" s="87" t="str">
        <f t="shared" si="70"/>
        <v/>
      </c>
    </row>
    <row r="75">
      <c r="B75" s="84" t="s">
        <v>186</v>
      </c>
      <c r="C75" s="86">
        <f>IFERROR(__xludf.DUMMYFUNCTION("""COMPUTED_VALUE"""),13.206836363636366)</f>
        <v>13.20683636</v>
      </c>
      <c r="D75" s="86">
        <f>IFERROR(__xludf.DUMMYFUNCTION("""COMPUTED_VALUE"""),0.19903030303030306)</f>
        <v>0.199030303</v>
      </c>
      <c r="E75" s="86">
        <f>IFERROR(__xludf.DUMMYFUNCTION("""COMPUTED_VALUE"""),0.18235151515151515)</f>
        <v>0.1823515152</v>
      </c>
      <c r="F75" s="86">
        <f>IFERROR(__xludf.DUMMYFUNCTION("""COMPUTED_VALUE"""),0.09524848484848486)</f>
        <v>0.09524848485</v>
      </c>
      <c r="G75" s="86">
        <f>IFERROR(__xludf.DUMMYFUNCTION("""COMPUTED_VALUE"""),0.31716363636363637)</f>
        <v>0.3171636364</v>
      </c>
      <c r="H75" s="86">
        <f>IFERROR(__xludf.DUMMYFUNCTION("""COMPUTED_VALUE"""),0.35265454545454544)</f>
        <v>0.3526545455</v>
      </c>
      <c r="I75" s="86">
        <f>IFERROR(__xludf.DUMMYFUNCTION("""COMPUTED_VALUE"""),0.3687030303030303)</f>
        <v>0.3687030303</v>
      </c>
      <c r="J75" s="86">
        <f>IFERROR(__xludf.DUMMYFUNCTION("""COMPUTED_VALUE"""),0.09723636363636366)</f>
        <v>0.09723636364</v>
      </c>
      <c r="K75" s="86">
        <f>IFERROR(__xludf.DUMMYFUNCTION("""COMPUTED_VALUE"""),0.059830303030303025)</f>
        <v>0.05983030303</v>
      </c>
      <c r="L75" s="86">
        <f>IFERROR(__xludf.DUMMYFUNCTION("""COMPUTED_VALUE"""),0.05696969696969696)</f>
        <v>0.05696969697</v>
      </c>
      <c r="M75" s="86">
        <f>IFERROR(__xludf.DUMMYFUNCTION("""COMPUTED_VALUE"""),8.064218181818182)</f>
        <v>8.064218182</v>
      </c>
      <c r="N75" s="85">
        <f>IFERROR(__xludf.DUMMYFUNCTION("""COMPUTED_VALUE"""),23.759709090909094)</f>
        <v>23.75970909</v>
      </c>
      <c r="O75" s="85">
        <f>IFERROR(__xludf.DUMMYFUNCTION("""COMPUTED_VALUE"""),0.0)</f>
        <v>0</v>
      </c>
      <c r="Q75" s="147">
        <v>25.8977</v>
      </c>
      <c r="R75" s="147">
        <v>0.2147</v>
      </c>
      <c r="S75" s="147">
        <v>0.2569</v>
      </c>
      <c r="T75" s="147">
        <v>0.1053</v>
      </c>
      <c r="U75" s="147">
        <v>0.5031</v>
      </c>
      <c r="V75" s="147">
        <v>0.5004</v>
      </c>
      <c r="W75" s="147">
        <v>0.4977</v>
      </c>
      <c r="X75" s="147">
        <v>0.0443</v>
      </c>
      <c r="Y75" s="147">
        <v>0.0443</v>
      </c>
      <c r="Z75" s="147">
        <v>0.0443</v>
      </c>
      <c r="AA75" s="147">
        <v>4.9006</v>
      </c>
      <c r="AB75" s="147">
        <v>17.864</v>
      </c>
      <c r="AC75" s="147">
        <v>0.0</v>
      </c>
      <c r="AE75" s="87">
        <f t="shared" ref="AE75:AQ75" si="71">IFERROR((Q75-C75)/C75, "")</f>
        <v>0.9609313909</v>
      </c>
      <c r="AF75" s="87">
        <f t="shared" si="71"/>
        <v>0.07873020706</v>
      </c>
      <c r="AG75" s="87">
        <f t="shared" si="71"/>
        <v>0.4088174688</v>
      </c>
      <c r="AH75" s="87">
        <f t="shared" si="71"/>
        <v>0.1055293968</v>
      </c>
      <c r="AI75" s="87">
        <f t="shared" si="71"/>
        <v>0.5862474203</v>
      </c>
      <c r="AJ75" s="87">
        <f t="shared" si="71"/>
        <v>0.4189523613</v>
      </c>
      <c r="AK75" s="87">
        <f t="shared" si="71"/>
        <v>0.3498668552</v>
      </c>
      <c r="AL75" s="87">
        <f t="shared" si="71"/>
        <v>-0.5444091249</v>
      </c>
      <c r="AM75" s="87">
        <f t="shared" si="71"/>
        <v>-0.2595725284</v>
      </c>
      <c r="AN75" s="87">
        <f t="shared" si="71"/>
        <v>-0.222393617</v>
      </c>
      <c r="AO75" s="87">
        <f t="shared" si="71"/>
        <v>-0.3923031484</v>
      </c>
      <c r="AP75" s="87">
        <f t="shared" si="71"/>
        <v>-0.2481389426</v>
      </c>
      <c r="AQ75" s="87" t="str">
        <f t="shared" si="71"/>
        <v/>
      </c>
    </row>
    <row r="76">
      <c r="B76" s="89" t="s">
        <v>188</v>
      </c>
      <c r="C76" s="91">
        <f>IFERROR(__xludf.DUMMYFUNCTION("""COMPUTED_VALUE"""),0.0)</f>
        <v>0</v>
      </c>
      <c r="D76" s="91">
        <f>IFERROR(__xludf.DUMMYFUNCTION("""COMPUTED_VALUE"""),0.0)</f>
        <v>0</v>
      </c>
      <c r="E76" s="91">
        <f>IFERROR(__xludf.DUMMYFUNCTION("""COMPUTED_VALUE"""),0.0)</f>
        <v>0</v>
      </c>
      <c r="F76" s="91">
        <f>IFERROR(__xludf.DUMMYFUNCTION("""COMPUTED_VALUE"""),0.0)</f>
        <v>0</v>
      </c>
      <c r="G76" s="91">
        <f>IFERROR(__xludf.DUMMYFUNCTION("""COMPUTED_VALUE"""),0.0)</f>
        <v>0</v>
      </c>
      <c r="H76" s="91">
        <f>IFERROR(__xludf.DUMMYFUNCTION("""COMPUTED_VALUE"""),0.0)</f>
        <v>0</v>
      </c>
      <c r="I76" s="91">
        <f>IFERROR(__xludf.DUMMYFUNCTION("""COMPUTED_VALUE"""),0.0)</f>
        <v>0</v>
      </c>
      <c r="J76" s="91">
        <f>IFERROR(__xludf.DUMMYFUNCTION("""COMPUTED_VALUE"""),0.0)</f>
        <v>0</v>
      </c>
      <c r="K76" s="91">
        <f>IFERROR(__xludf.DUMMYFUNCTION("""COMPUTED_VALUE"""),0.0)</f>
        <v>0</v>
      </c>
      <c r="L76" s="91">
        <f>IFERROR(__xludf.DUMMYFUNCTION("""COMPUTED_VALUE"""),0.0)</f>
        <v>0</v>
      </c>
      <c r="M76" s="91">
        <f>IFERROR(__xludf.DUMMYFUNCTION("""COMPUTED_VALUE"""),0.0)</f>
        <v>0</v>
      </c>
      <c r="N76" s="91">
        <f>IFERROR(__xludf.DUMMYFUNCTION("""COMPUTED_VALUE"""),0.0)</f>
        <v>0</v>
      </c>
      <c r="O76" s="91">
        <f>IFERROR(__xludf.DUMMYFUNCTION("""COMPUTED_VALUE"""),0.0)</f>
        <v>0</v>
      </c>
      <c r="Q76" s="147">
        <v>0.0597</v>
      </c>
      <c r="R76" s="147">
        <v>0.0</v>
      </c>
      <c r="S76" s="147">
        <v>4.0E-4</v>
      </c>
      <c r="T76" s="147">
        <v>0.0</v>
      </c>
      <c r="U76" s="147">
        <v>0.0015</v>
      </c>
      <c r="V76" s="147">
        <v>0.0016</v>
      </c>
      <c r="W76" s="147">
        <v>0.0</v>
      </c>
      <c r="X76" s="147">
        <v>0.0053</v>
      </c>
      <c r="Y76" s="147">
        <v>0.0137</v>
      </c>
      <c r="Z76" s="147">
        <v>0.02</v>
      </c>
      <c r="AA76" s="147">
        <v>0.1412</v>
      </c>
      <c r="AB76" s="147">
        <v>0.0</v>
      </c>
      <c r="AC76" s="147">
        <v>0.0</v>
      </c>
      <c r="AE76" s="87" t="str">
        <f t="shared" ref="AE76:AQ76" si="72">IFERROR((Q76-C76)/C76, "")</f>
        <v/>
      </c>
      <c r="AF76" s="87" t="str">
        <f t="shared" si="72"/>
        <v/>
      </c>
      <c r="AG76" s="87" t="str">
        <f t="shared" si="72"/>
        <v/>
      </c>
      <c r="AH76" s="87" t="str">
        <f t="shared" si="72"/>
        <v/>
      </c>
      <c r="AI76" s="87" t="str">
        <f t="shared" si="72"/>
        <v/>
      </c>
      <c r="AJ76" s="87" t="str">
        <f t="shared" si="72"/>
        <v/>
      </c>
      <c r="AK76" s="87" t="str">
        <f t="shared" si="72"/>
        <v/>
      </c>
      <c r="AL76" s="87" t="str">
        <f t="shared" si="72"/>
        <v/>
      </c>
      <c r="AM76" s="87" t="str">
        <f t="shared" si="72"/>
        <v/>
      </c>
      <c r="AN76" s="87" t="str">
        <f t="shared" si="72"/>
        <v/>
      </c>
      <c r="AO76" s="87" t="str">
        <f t="shared" si="72"/>
        <v/>
      </c>
      <c r="AP76" s="87" t="str">
        <f t="shared" si="72"/>
        <v/>
      </c>
      <c r="AQ76" s="87" t="str">
        <f t="shared" si="72"/>
        <v/>
      </c>
    </row>
    <row r="77">
      <c r="B77" s="89" t="s">
        <v>189</v>
      </c>
      <c r="C77" s="91">
        <f>IFERROR(__xludf.DUMMYFUNCTION("""COMPUTED_VALUE"""),0.0)</f>
        <v>0</v>
      </c>
      <c r="D77" s="91">
        <f>IFERROR(__xludf.DUMMYFUNCTION("""COMPUTED_VALUE"""),0.0)</f>
        <v>0</v>
      </c>
      <c r="E77" s="91">
        <f>IFERROR(__xludf.DUMMYFUNCTION("""COMPUTED_VALUE"""),0.0)</f>
        <v>0</v>
      </c>
      <c r="F77" s="91">
        <f>IFERROR(__xludf.DUMMYFUNCTION("""COMPUTED_VALUE"""),0.0)</f>
        <v>0</v>
      </c>
      <c r="G77" s="91">
        <f>IFERROR(__xludf.DUMMYFUNCTION("""COMPUTED_VALUE"""),0.0)</f>
        <v>0</v>
      </c>
      <c r="H77" s="91">
        <f>IFERROR(__xludf.DUMMYFUNCTION("""COMPUTED_VALUE"""),0.0)</f>
        <v>0</v>
      </c>
      <c r="I77" s="91">
        <f>IFERROR(__xludf.DUMMYFUNCTION("""COMPUTED_VALUE"""),0.0)</f>
        <v>0</v>
      </c>
      <c r="J77" s="91">
        <f>IFERROR(__xludf.DUMMYFUNCTION("""COMPUTED_VALUE"""),0.0)</f>
        <v>0</v>
      </c>
      <c r="K77" s="91">
        <f>IFERROR(__xludf.DUMMYFUNCTION("""COMPUTED_VALUE"""),0.0)</f>
        <v>0</v>
      </c>
      <c r="L77" s="91">
        <f>IFERROR(__xludf.DUMMYFUNCTION("""COMPUTED_VALUE"""),0.0)</f>
        <v>0</v>
      </c>
      <c r="M77" s="91">
        <f>IFERROR(__xludf.DUMMYFUNCTION("""COMPUTED_VALUE"""),0.0)</f>
        <v>0</v>
      </c>
      <c r="N77" s="91">
        <f>IFERROR(__xludf.DUMMYFUNCTION("""COMPUTED_VALUE"""),0.0)</f>
        <v>0</v>
      </c>
      <c r="O77" s="91">
        <f>IFERROR(__xludf.DUMMYFUNCTION("""COMPUTED_VALUE"""),0.0)</f>
        <v>0</v>
      </c>
      <c r="Q77" s="147">
        <v>19.6319</v>
      </c>
      <c r="R77" s="147">
        <v>0.2917</v>
      </c>
      <c r="S77" s="147">
        <v>0.3039</v>
      </c>
      <c r="T77" s="147">
        <v>0.0445</v>
      </c>
      <c r="U77" s="147">
        <v>0.0</v>
      </c>
      <c r="V77" s="147">
        <v>0.0</v>
      </c>
      <c r="W77" s="147">
        <v>0.0</v>
      </c>
      <c r="X77" s="147">
        <v>0.0</v>
      </c>
      <c r="Y77" s="147">
        <v>0.0</v>
      </c>
      <c r="Z77" s="147">
        <v>0.0</v>
      </c>
      <c r="AA77" s="147">
        <v>0.0</v>
      </c>
      <c r="AB77" s="147">
        <v>0.0</v>
      </c>
      <c r="AC77" s="147">
        <v>0.0</v>
      </c>
      <c r="AE77" s="87" t="str">
        <f t="shared" ref="AE77:AQ77" si="73">IFERROR((Q77-C77)/C77, "")</f>
        <v/>
      </c>
      <c r="AF77" s="87" t="str">
        <f t="shared" si="73"/>
        <v/>
      </c>
      <c r="AG77" s="87" t="str">
        <f t="shared" si="73"/>
        <v/>
      </c>
      <c r="AH77" s="87" t="str">
        <f t="shared" si="73"/>
        <v/>
      </c>
      <c r="AI77" s="87" t="str">
        <f t="shared" si="73"/>
        <v/>
      </c>
      <c r="AJ77" s="87" t="str">
        <f t="shared" si="73"/>
        <v/>
      </c>
      <c r="AK77" s="87" t="str">
        <f t="shared" si="73"/>
        <v/>
      </c>
      <c r="AL77" s="87" t="str">
        <f t="shared" si="73"/>
        <v/>
      </c>
      <c r="AM77" s="87" t="str">
        <f t="shared" si="73"/>
        <v/>
      </c>
      <c r="AN77" s="87" t="str">
        <f t="shared" si="73"/>
        <v/>
      </c>
      <c r="AO77" s="87" t="str">
        <f t="shared" si="73"/>
        <v/>
      </c>
      <c r="AP77" s="87" t="str">
        <f t="shared" si="73"/>
        <v/>
      </c>
      <c r="AQ77" s="87" t="str">
        <f t="shared" si="73"/>
        <v/>
      </c>
    </row>
    <row r="78">
      <c r="B78" s="89" t="s">
        <v>191</v>
      </c>
      <c r="C78" s="91">
        <f>IFERROR(__xludf.DUMMYFUNCTION("""COMPUTED_VALUE"""),0.0)</f>
        <v>0</v>
      </c>
      <c r="D78" s="91">
        <f>IFERROR(__xludf.DUMMYFUNCTION("""COMPUTED_VALUE"""),0.0)</f>
        <v>0</v>
      </c>
      <c r="E78" s="91">
        <f>IFERROR(__xludf.DUMMYFUNCTION("""COMPUTED_VALUE"""),0.0)</f>
        <v>0</v>
      </c>
      <c r="F78" s="91">
        <f>IFERROR(__xludf.DUMMYFUNCTION("""COMPUTED_VALUE"""),0.0)</f>
        <v>0</v>
      </c>
      <c r="G78" s="91">
        <f>IFERROR(__xludf.DUMMYFUNCTION("""COMPUTED_VALUE"""),0.0)</f>
        <v>0</v>
      </c>
      <c r="H78" s="91">
        <f>IFERROR(__xludf.DUMMYFUNCTION("""COMPUTED_VALUE"""),0.0)</f>
        <v>0</v>
      </c>
      <c r="I78" s="91">
        <f>IFERROR(__xludf.DUMMYFUNCTION("""COMPUTED_VALUE"""),0.0)</f>
        <v>0</v>
      </c>
      <c r="J78" s="91">
        <f>IFERROR(__xludf.DUMMYFUNCTION("""COMPUTED_VALUE"""),0.0)</f>
        <v>0</v>
      </c>
      <c r="K78" s="91">
        <f>IFERROR(__xludf.DUMMYFUNCTION("""COMPUTED_VALUE"""),0.0)</f>
        <v>0</v>
      </c>
      <c r="L78" s="91">
        <f>IFERROR(__xludf.DUMMYFUNCTION("""COMPUTED_VALUE"""),0.0)</f>
        <v>0</v>
      </c>
      <c r="M78" s="91">
        <f>IFERROR(__xludf.DUMMYFUNCTION("""COMPUTED_VALUE"""),0.0)</f>
        <v>0</v>
      </c>
      <c r="N78" s="91">
        <f>IFERROR(__xludf.DUMMYFUNCTION("""COMPUTED_VALUE"""),0.0)</f>
        <v>0</v>
      </c>
      <c r="O78" s="91">
        <f>IFERROR(__xludf.DUMMYFUNCTION("""COMPUTED_VALUE"""),0.0)</f>
        <v>0</v>
      </c>
      <c r="Q78" s="147">
        <v>0.0186</v>
      </c>
      <c r="R78" s="147">
        <v>1.0E-4</v>
      </c>
      <c r="S78" s="147">
        <v>6.0E-4</v>
      </c>
      <c r="T78" s="147">
        <v>6.0E-4</v>
      </c>
      <c r="U78" s="147">
        <v>1.0E-4</v>
      </c>
      <c r="V78" s="147">
        <v>3.0E-4</v>
      </c>
      <c r="W78" s="147">
        <v>2.0E-4</v>
      </c>
      <c r="X78" s="147">
        <v>0.0</v>
      </c>
      <c r="Y78" s="147">
        <v>0.0014</v>
      </c>
      <c r="Z78" s="147">
        <v>0.0011</v>
      </c>
      <c r="AA78" s="147">
        <v>0.0</v>
      </c>
      <c r="AB78" s="147">
        <v>0.0</v>
      </c>
      <c r="AC78" s="147">
        <v>0.0</v>
      </c>
      <c r="AE78" s="87" t="str">
        <f t="shared" ref="AE78:AQ78" si="74">IFERROR((Q78-C78)/C78, "")</f>
        <v/>
      </c>
      <c r="AF78" s="87" t="str">
        <f t="shared" si="74"/>
        <v/>
      </c>
      <c r="AG78" s="87" t="str">
        <f t="shared" si="74"/>
        <v/>
      </c>
      <c r="AH78" s="87" t="str">
        <f t="shared" si="74"/>
        <v/>
      </c>
      <c r="AI78" s="87" t="str">
        <f t="shared" si="74"/>
        <v/>
      </c>
      <c r="AJ78" s="87" t="str">
        <f t="shared" si="74"/>
        <v/>
      </c>
      <c r="AK78" s="87" t="str">
        <f t="shared" si="74"/>
        <v/>
      </c>
      <c r="AL78" s="87" t="str">
        <f t="shared" si="74"/>
        <v/>
      </c>
      <c r="AM78" s="87" t="str">
        <f t="shared" si="74"/>
        <v/>
      </c>
      <c r="AN78" s="87" t="str">
        <f t="shared" si="74"/>
        <v/>
      </c>
      <c r="AO78" s="87" t="str">
        <f t="shared" si="74"/>
        <v/>
      </c>
      <c r="AP78" s="87" t="str">
        <f t="shared" si="74"/>
        <v/>
      </c>
      <c r="AQ78" s="87" t="str">
        <f t="shared" si="74"/>
        <v/>
      </c>
    </row>
    <row r="79">
      <c r="B79" s="89" t="s">
        <v>192</v>
      </c>
      <c r="C79" s="91">
        <f>IFERROR(__xludf.DUMMYFUNCTION("""COMPUTED_VALUE"""),35.49569716013)</f>
        <v>35.49569716</v>
      </c>
      <c r="D79" s="91">
        <f>IFERROR(__xludf.DUMMYFUNCTION("""COMPUTED_VALUE"""),0.5033724231088946)</f>
        <v>0.5033724231</v>
      </c>
      <c r="E79" s="91">
        <f>IFERROR(__xludf.DUMMYFUNCTION("""COMPUTED_VALUE"""),0.33463737672863314)</f>
        <v>0.3346373767</v>
      </c>
      <c r="F79" s="91">
        <f>IFERROR(__xludf.DUMMYFUNCTION("""COMPUTED_VALUE"""),0.0)</f>
        <v>0</v>
      </c>
      <c r="G79" s="91">
        <f>IFERROR(__xludf.DUMMYFUNCTION("""COMPUTED_VALUE"""),0.3727675986800677)</f>
        <v>0.3727675987</v>
      </c>
      <c r="H79" s="91">
        <f>IFERROR(__xludf.DUMMYFUNCTION("""COMPUTED_VALUE"""),0.371608576097635)</f>
        <v>0.3716085761</v>
      </c>
      <c r="I79" s="91">
        <f>IFERROR(__xludf.DUMMYFUNCTION("""COMPUTED_VALUE"""),0.22253233582709903)</f>
        <v>0.2225323358</v>
      </c>
      <c r="J79" s="91">
        <f>IFERROR(__xludf.DUMMYFUNCTION("""COMPUTED_VALUE"""),0.0)</f>
        <v>0</v>
      </c>
      <c r="K79" s="91">
        <f>IFERROR(__xludf.DUMMYFUNCTION("""COMPUTED_VALUE"""),0.0)</f>
        <v>0</v>
      </c>
      <c r="L79" s="91">
        <f>IFERROR(__xludf.DUMMYFUNCTION("""COMPUTED_VALUE"""),7.294547721605082E-5)</f>
        <v>0.00007294547722</v>
      </c>
      <c r="M79" s="91">
        <f>IFERROR(__xludf.DUMMYFUNCTION("""COMPUTED_VALUE"""),64.34442736718812)</f>
        <v>64.34442737</v>
      </c>
      <c r="N79" s="91">
        <f>IFERROR(__xludf.DUMMYFUNCTION("""COMPUTED_VALUE"""),0.0)</f>
        <v>0</v>
      </c>
      <c r="O79" s="91">
        <f>IFERROR(__xludf.DUMMYFUNCTION("""COMPUTED_VALUE"""),0.0)</f>
        <v>0</v>
      </c>
      <c r="Q79" s="147">
        <v>44.8132</v>
      </c>
      <c r="R79" s="147">
        <v>0.7476</v>
      </c>
      <c r="S79" s="147">
        <v>0.6804</v>
      </c>
      <c r="T79" s="147">
        <v>0.0093</v>
      </c>
      <c r="U79" s="147">
        <v>0.7672</v>
      </c>
      <c r="V79" s="147">
        <v>0.6922</v>
      </c>
      <c r="W79" s="147">
        <v>0.694</v>
      </c>
      <c r="X79" s="147">
        <v>0.0</v>
      </c>
      <c r="Y79" s="147">
        <v>0.0</v>
      </c>
      <c r="Z79" s="147">
        <v>0.0</v>
      </c>
      <c r="AA79" s="147">
        <v>187.1409</v>
      </c>
      <c r="AB79" s="147">
        <v>0.0</v>
      </c>
      <c r="AC79" s="147">
        <v>0.0</v>
      </c>
      <c r="AE79" s="87">
        <f t="shared" ref="AE79:AQ79" si="75">IFERROR((Q79-C79)/C79, "")</f>
        <v>0.2624966851</v>
      </c>
      <c r="AF79" s="87">
        <f t="shared" si="75"/>
        <v>0.4851826713</v>
      </c>
      <c r="AG79" s="87">
        <f t="shared" si="75"/>
        <v>1.033245678</v>
      </c>
      <c r="AH79" s="87" t="str">
        <f t="shared" si="75"/>
        <v/>
      </c>
      <c r="AI79" s="87">
        <f t="shared" si="75"/>
        <v>1.058118792</v>
      </c>
      <c r="AJ79" s="87">
        <f t="shared" si="75"/>
        <v>0.862712662</v>
      </c>
      <c r="AK79" s="87">
        <f t="shared" si="75"/>
        <v>2.118647892</v>
      </c>
      <c r="AL79" s="87" t="str">
        <f t="shared" si="75"/>
        <v/>
      </c>
      <c r="AM79" s="87" t="str">
        <f t="shared" si="75"/>
        <v/>
      </c>
      <c r="AN79" s="87">
        <f t="shared" si="75"/>
        <v>-1</v>
      </c>
      <c r="AO79" s="87">
        <f t="shared" si="75"/>
        <v>1.90842436</v>
      </c>
      <c r="AP79" s="87" t="str">
        <f t="shared" si="75"/>
        <v/>
      </c>
      <c r="AQ79" s="87" t="str">
        <f t="shared" si="75"/>
        <v/>
      </c>
    </row>
    <row r="80">
      <c r="B80" s="89" t="s">
        <v>194</v>
      </c>
      <c r="C80" s="91">
        <f>IFERROR(__xludf.DUMMYFUNCTION("""COMPUTED_VALUE"""),14.203335719922004)</f>
        <v>14.20333572</v>
      </c>
      <c r="D80" s="91">
        <f>IFERROR(__xludf.DUMMYFUNCTION("""COMPUTED_VALUE"""),0.15164150964059242)</f>
        <v>0.1516415096</v>
      </c>
      <c r="E80" s="91">
        <f>IFERROR(__xludf.DUMMYFUNCTION("""COMPUTED_VALUE"""),0.21423937941248025)</f>
        <v>0.2142393794</v>
      </c>
      <c r="F80" s="91">
        <f>IFERROR(__xludf.DUMMYFUNCTION("""COMPUTED_VALUE"""),0.1024733811212398)</f>
        <v>0.1024733811</v>
      </c>
      <c r="G80" s="91">
        <f>IFERROR(__xludf.DUMMYFUNCTION("""COMPUTED_VALUE"""),0.3552675745798014)</f>
        <v>0.3552675746</v>
      </c>
      <c r="H80" s="91">
        <f>IFERROR(__xludf.DUMMYFUNCTION("""COMPUTED_VALUE"""),0.38742575831365633)</f>
        <v>0.3874257583</v>
      </c>
      <c r="I80" s="91">
        <f>IFERROR(__xludf.DUMMYFUNCTION("""COMPUTED_VALUE"""),0.22451854155600834)</f>
        <v>0.2245185416</v>
      </c>
      <c r="J80" s="91">
        <f>IFERROR(__xludf.DUMMYFUNCTION("""COMPUTED_VALUE"""),1.6977006912994468)</f>
        <v>1.697700691</v>
      </c>
      <c r="K80" s="91">
        <f>IFERROR(__xludf.DUMMYFUNCTION("""COMPUTED_VALUE"""),3.4081946432233465)</f>
        <v>3.408194643</v>
      </c>
      <c r="L80" s="91">
        <f>IFERROR(__xludf.DUMMYFUNCTION("""COMPUTED_VALUE"""),3.7783240404688687)</f>
        <v>3.77832404</v>
      </c>
      <c r="M80" s="91">
        <f>IFERROR(__xludf.DUMMYFUNCTION("""COMPUTED_VALUE"""),24.108804174687318)</f>
        <v>24.10880417</v>
      </c>
      <c r="N80" s="91">
        <f>IFERROR(__xludf.DUMMYFUNCTION("""COMPUTED_VALUE"""),0.5585117511421611)</f>
        <v>0.5585117511</v>
      </c>
      <c r="O80" s="91">
        <f>IFERROR(__xludf.DUMMYFUNCTION("""COMPUTED_VALUE"""),0.0)</f>
        <v>0</v>
      </c>
      <c r="Q80" s="147">
        <v>21.3395</v>
      </c>
      <c r="R80" s="147">
        <v>0.149</v>
      </c>
      <c r="S80" s="147">
        <v>0.2884</v>
      </c>
      <c r="T80" s="147">
        <v>0.0379</v>
      </c>
      <c r="U80" s="147">
        <v>0.7844</v>
      </c>
      <c r="V80" s="147">
        <v>0.9711</v>
      </c>
      <c r="W80" s="147">
        <v>0.3962</v>
      </c>
      <c r="X80" s="147">
        <v>0.2718</v>
      </c>
      <c r="Y80" s="147">
        <v>2.7256</v>
      </c>
      <c r="Z80" s="147">
        <v>5.8197</v>
      </c>
      <c r="AA80" s="147">
        <v>27.1462</v>
      </c>
      <c r="AB80" s="147">
        <v>0.2312</v>
      </c>
      <c r="AC80" s="147">
        <v>0.0</v>
      </c>
      <c r="AE80" s="87">
        <f t="shared" ref="AE80:AQ80" si="76">IFERROR((Q80-C80)/C80, "")</f>
        <v>0.5024287548</v>
      </c>
      <c r="AF80" s="87">
        <f t="shared" si="76"/>
        <v>-0.01741943645</v>
      </c>
      <c r="AG80" s="87">
        <f t="shared" si="76"/>
        <v>0.3461577456</v>
      </c>
      <c r="AH80" s="87">
        <f t="shared" si="76"/>
        <v>-0.6301478532</v>
      </c>
      <c r="AI80" s="87">
        <f t="shared" si="76"/>
        <v>1.207913292</v>
      </c>
      <c r="AJ80" s="87">
        <f t="shared" si="76"/>
        <v>1.506544749</v>
      </c>
      <c r="AK80" s="87">
        <f t="shared" si="76"/>
        <v>0.764664946</v>
      </c>
      <c r="AL80" s="87">
        <f t="shared" si="76"/>
        <v>-0.8399011078</v>
      </c>
      <c r="AM80" s="87">
        <f t="shared" si="76"/>
        <v>-0.2002804167</v>
      </c>
      <c r="AN80" s="87">
        <f t="shared" si="76"/>
        <v>0.5402860998</v>
      </c>
      <c r="AO80" s="87">
        <f t="shared" si="76"/>
        <v>0.1259869964</v>
      </c>
      <c r="AP80" s="87">
        <f t="shared" si="76"/>
        <v>-0.5860427296</v>
      </c>
      <c r="AQ80" s="87" t="str">
        <f t="shared" si="76"/>
        <v/>
      </c>
    </row>
    <row r="81">
      <c r="B81" s="89" t="s">
        <v>195</v>
      </c>
      <c r="C81" s="91">
        <f>IFERROR(__xludf.DUMMYFUNCTION("""COMPUTED_VALUE"""),3.5222713086445343)</f>
        <v>3.522271309</v>
      </c>
      <c r="D81" s="91">
        <f>IFERROR(__xludf.DUMMYFUNCTION("""COMPUTED_VALUE"""),0.060893808511891384)</f>
        <v>0.06089380851</v>
      </c>
      <c r="E81" s="91">
        <f>IFERROR(__xludf.DUMMYFUNCTION("""COMPUTED_VALUE"""),0.04220382302572074)</f>
        <v>0.04220382303</v>
      </c>
      <c r="F81" s="91">
        <f>IFERROR(__xludf.DUMMYFUNCTION("""COMPUTED_VALUE"""),0.021951456307686308)</f>
        <v>0.02195145631</v>
      </c>
      <c r="G81" s="91">
        <f>IFERROR(__xludf.DUMMYFUNCTION("""COMPUTED_VALUE"""),1.5623812318637942E-4)</f>
        <v>0.0001562381232</v>
      </c>
      <c r="H81" s="91">
        <f>IFERROR(__xludf.DUMMYFUNCTION("""COMPUTED_VALUE"""),7.811906159318971E-5)</f>
        <v>0.00007811906159</v>
      </c>
      <c r="I81" s="91">
        <f>IFERROR(__xludf.DUMMYFUNCTION("""COMPUTED_VALUE"""),3.9059530796594856E-5)</f>
        <v>0.0000390595308</v>
      </c>
      <c r="J81" s="91">
        <f>IFERROR(__xludf.DUMMYFUNCTION("""COMPUTED_VALUE"""),0.0)</f>
        <v>0</v>
      </c>
      <c r="K81" s="91">
        <f>IFERROR(__xludf.DUMMYFUNCTION("""COMPUTED_VALUE"""),0.0)</f>
        <v>0</v>
      </c>
      <c r="L81" s="91">
        <f>IFERROR(__xludf.DUMMYFUNCTION("""COMPUTED_VALUE"""),0.0)</f>
        <v>0</v>
      </c>
      <c r="M81" s="91">
        <f>IFERROR(__xludf.DUMMYFUNCTION("""COMPUTED_VALUE"""),5.101291900627678)</f>
        <v>5.101291901</v>
      </c>
      <c r="N81" s="91">
        <f>IFERROR(__xludf.DUMMYFUNCTION("""COMPUTED_VALUE"""),5.46833431152328E-4)</f>
        <v>0.0005468334312</v>
      </c>
      <c r="O81" s="91">
        <f>IFERROR(__xludf.DUMMYFUNCTION("""COMPUTED_VALUE"""),0.0)</f>
        <v>0</v>
      </c>
      <c r="Q81" s="147">
        <v>7.196</v>
      </c>
      <c r="R81" s="147">
        <v>0.1176</v>
      </c>
      <c r="S81" s="147">
        <v>0.0554</v>
      </c>
      <c r="T81" s="147">
        <v>0.0299</v>
      </c>
      <c r="U81" s="147">
        <v>0.1116</v>
      </c>
      <c r="V81" s="147">
        <v>0.0999</v>
      </c>
      <c r="W81" s="147">
        <v>0.0545</v>
      </c>
      <c r="X81" s="147">
        <v>0.0</v>
      </c>
      <c r="Y81" s="147">
        <v>0.0</v>
      </c>
      <c r="Z81" s="147">
        <v>0.0</v>
      </c>
      <c r="AA81" s="147">
        <v>20.524</v>
      </c>
      <c r="AB81" s="147">
        <v>0.0</v>
      </c>
      <c r="AC81" s="147">
        <v>0.0</v>
      </c>
      <c r="AE81" s="87">
        <f t="shared" ref="AE81:AQ81" si="77">IFERROR((Q81-C81)/C81, "")</f>
        <v>1.042999919</v>
      </c>
      <c r="AF81" s="87">
        <f t="shared" si="77"/>
        <v>0.9312308242</v>
      </c>
      <c r="AG81" s="87">
        <f t="shared" si="77"/>
        <v>0.3126772891</v>
      </c>
      <c r="AH81" s="87">
        <f t="shared" si="77"/>
        <v>0.3620964177</v>
      </c>
      <c r="AI81" s="87">
        <f t="shared" si="77"/>
        <v>713.2942947</v>
      </c>
      <c r="AJ81" s="87">
        <f t="shared" si="77"/>
        <v>1277.817205</v>
      </c>
      <c r="AK81" s="87">
        <f t="shared" si="77"/>
        <v>1394.306059</v>
      </c>
      <c r="AL81" s="87" t="str">
        <f t="shared" si="77"/>
        <v/>
      </c>
      <c r="AM81" s="87" t="str">
        <f t="shared" si="77"/>
        <v/>
      </c>
      <c r="AN81" s="87" t="str">
        <f t="shared" si="77"/>
        <v/>
      </c>
      <c r="AO81" s="87">
        <f t="shared" si="77"/>
        <v>3.023294569</v>
      </c>
      <c r="AP81" s="87">
        <f t="shared" si="77"/>
        <v>-1</v>
      </c>
      <c r="AQ81" s="87" t="str">
        <f t="shared" si="77"/>
        <v/>
      </c>
    </row>
    <row r="82">
      <c r="B82" s="84" t="s">
        <v>199</v>
      </c>
      <c r="C82" s="86">
        <f>IFERROR(__xludf.DUMMYFUNCTION("""COMPUTED_VALUE"""),9.176208298542127)</f>
        <v>9.176208299</v>
      </c>
      <c r="D82" s="86">
        <f>IFERROR(__xludf.DUMMYFUNCTION("""COMPUTED_VALUE"""),0.13044446709995516)</f>
        <v>0.1304444671</v>
      </c>
      <c r="E82" s="86">
        <f>IFERROR(__xludf.DUMMYFUNCTION("""COMPUTED_VALUE"""),0.05904665330051936)</f>
        <v>0.0590466533</v>
      </c>
      <c r="F82" s="86">
        <f>IFERROR(__xludf.DUMMYFUNCTION("""COMPUTED_VALUE"""),0.02843540059595098)</f>
        <v>0.0284354006</v>
      </c>
      <c r="G82" s="86">
        <f>IFERROR(__xludf.DUMMYFUNCTION("""COMPUTED_VALUE"""),0.0)</f>
        <v>0</v>
      </c>
      <c r="H82" s="86">
        <f>IFERROR(__xludf.DUMMYFUNCTION("""COMPUTED_VALUE"""),0.0)</f>
        <v>0</v>
      </c>
      <c r="I82" s="86">
        <f>IFERROR(__xludf.DUMMYFUNCTION("""COMPUTED_VALUE"""),0.0)</f>
        <v>0</v>
      </c>
      <c r="J82" s="86">
        <f>IFERROR(__xludf.DUMMYFUNCTION("""COMPUTED_VALUE"""),0.0)</f>
        <v>0</v>
      </c>
      <c r="K82" s="86">
        <f>IFERROR(__xludf.DUMMYFUNCTION("""COMPUTED_VALUE"""),0.0)</f>
        <v>0</v>
      </c>
      <c r="L82" s="86">
        <f>IFERROR(__xludf.DUMMYFUNCTION("""COMPUTED_VALUE"""),0.0)</f>
        <v>0</v>
      </c>
      <c r="M82" s="86">
        <f>IFERROR(__xludf.DUMMYFUNCTION("""COMPUTED_VALUE"""),0.0)</f>
        <v>0</v>
      </c>
      <c r="N82" s="85">
        <f>IFERROR(__xludf.DUMMYFUNCTION("""COMPUTED_VALUE"""),0.0)</f>
        <v>0</v>
      </c>
      <c r="O82" s="85">
        <f>IFERROR(__xludf.DUMMYFUNCTION("""COMPUTED_VALUE"""),0.0)</f>
        <v>0</v>
      </c>
      <c r="Q82" s="147">
        <v>21.7363</v>
      </c>
      <c r="R82" s="147">
        <v>0.2666</v>
      </c>
      <c r="S82" s="147">
        <v>0.1278</v>
      </c>
      <c r="T82" s="147">
        <v>0.0616</v>
      </c>
      <c r="U82" s="147">
        <v>0.0</v>
      </c>
      <c r="V82" s="147">
        <v>0.0</v>
      </c>
      <c r="W82" s="147">
        <v>0.0</v>
      </c>
      <c r="X82" s="147">
        <v>0.0</v>
      </c>
      <c r="Y82" s="147">
        <v>0.0</v>
      </c>
      <c r="Z82" s="147">
        <v>0.0</v>
      </c>
      <c r="AA82" s="147">
        <v>0.0</v>
      </c>
      <c r="AB82" s="147">
        <v>0.0</v>
      </c>
      <c r="AC82" s="147">
        <v>0.0</v>
      </c>
      <c r="AE82" s="87">
        <f t="shared" ref="AE82:AQ82" si="78">IFERROR((Q82-C82)/C82, "")</f>
        <v>1.368767065</v>
      </c>
      <c r="AF82" s="87">
        <f t="shared" si="78"/>
        <v>1.043781587</v>
      </c>
      <c r="AG82" s="87">
        <f t="shared" si="78"/>
        <v>1.164390238</v>
      </c>
      <c r="AH82" s="87">
        <f t="shared" si="78"/>
        <v>1.166313775</v>
      </c>
      <c r="AI82" s="87" t="str">
        <f t="shared" si="78"/>
        <v/>
      </c>
      <c r="AJ82" s="87" t="str">
        <f t="shared" si="78"/>
        <v/>
      </c>
      <c r="AK82" s="87" t="str">
        <f t="shared" si="78"/>
        <v/>
      </c>
      <c r="AL82" s="87" t="str">
        <f t="shared" si="78"/>
        <v/>
      </c>
      <c r="AM82" s="87" t="str">
        <f t="shared" si="78"/>
        <v/>
      </c>
      <c r="AN82" s="87" t="str">
        <f t="shared" si="78"/>
        <v/>
      </c>
      <c r="AO82" s="87" t="str">
        <f t="shared" si="78"/>
        <v/>
      </c>
      <c r="AP82" s="87" t="str">
        <f t="shared" si="78"/>
        <v/>
      </c>
      <c r="AQ82" s="87" t="str">
        <f t="shared" si="78"/>
        <v/>
      </c>
    </row>
    <row r="83">
      <c r="B83" s="84" t="s">
        <v>201</v>
      </c>
      <c r="C83" s="86">
        <f>IFERROR(__xludf.DUMMYFUNCTION("""COMPUTED_VALUE"""),11.857240000000001)</f>
        <v>11.85724</v>
      </c>
      <c r="D83" s="86">
        <f>IFERROR(__xludf.DUMMYFUNCTION("""COMPUTED_VALUE"""),0.07654)</f>
        <v>0.07654</v>
      </c>
      <c r="E83" s="86">
        <f>IFERROR(__xludf.DUMMYFUNCTION("""COMPUTED_VALUE"""),0.11488000000000001)</f>
        <v>0.11488</v>
      </c>
      <c r="F83" s="86">
        <f>IFERROR(__xludf.DUMMYFUNCTION("""COMPUTED_VALUE"""),0.19492)</f>
        <v>0.19492</v>
      </c>
      <c r="G83" s="86">
        <f>IFERROR(__xludf.DUMMYFUNCTION("""COMPUTED_VALUE"""),0.01328)</f>
        <v>0.01328</v>
      </c>
      <c r="H83" s="86">
        <f>IFERROR(__xludf.DUMMYFUNCTION("""COMPUTED_VALUE"""),0.024260000000000004)</f>
        <v>0.02426</v>
      </c>
      <c r="I83" s="86">
        <f>IFERROR(__xludf.DUMMYFUNCTION("""COMPUTED_VALUE"""),0.07730000000000001)</f>
        <v>0.0773</v>
      </c>
      <c r="J83" s="86">
        <f>IFERROR(__xludf.DUMMYFUNCTION("""COMPUTED_VALUE"""),1.6E-4)</f>
        <v>0.00016</v>
      </c>
      <c r="K83" s="86">
        <f>IFERROR(__xludf.DUMMYFUNCTION("""COMPUTED_VALUE"""),0.0)</f>
        <v>0</v>
      </c>
      <c r="L83" s="86">
        <f>IFERROR(__xludf.DUMMYFUNCTION("""COMPUTED_VALUE"""),0.0)</f>
        <v>0</v>
      </c>
      <c r="M83" s="86">
        <f>IFERROR(__xludf.DUMMYFUNCTION("""COMPUTED_VALUE"""),1.0E-4)</f>
        <v>0.0001</v>
      </c>
      <c r="N83" s="85">
        <f>IFERROR(__xludf.DUMMYFUNCTION("""COMPUTED_VALUE"""),3.2E-4)</f>
        <v>0.00032</v>
      </c>
      <c r="O83" s="85">
        <f>IFERROR(__xludf.DUMMYFUNCTION("""COMPUTED_VALUE"""),0.0)</f>
        <v>0</v>
      </c>
      <c r="Q83" s="147">
        <v>26.6784</v>
      </c>
      <c r="R83" s="147">
        <v>0.1661</v>
      </c>
      <c r="S83" s="147">
        <v>0.2455</v>
      </c>
      <c r="T83" s="147">
        <v>0.3755</v>
      </c>
      <c r="U83" s="147">
        <v>0.0317</v>
      </c>
      <c r="V83" s="147">
        <v>0.0558</v>
      </c>
      <c r="W83" s="147">
        <v>0.1574</v>
      </c>
      <c r="X83" s="147">
        <v>0.0</v>
      </c>
      <c r="Y83" s="147">
        <v>0.0</v>
      </c>
      <c r="Z83" s="147">
        <v>0.0</v>
      </c>
      <c r="AA83" s="147">
        <v>0.0</v>
      </c>
      <c r="AB83" s="147">
        <v>0.0</v>
      </c>
      <c r="AC83" s="147">
        <v>0.0</v>
      </c>
      <c r="AE83" s="87">
        <f t="shared" ref="AE83:AQ83" si="79">IFERROR((Q83-C83)/C83, "")</f>
        <v>1.249967109</v>
      </c>
      <c r="AF83" s="87">
        <f t="shared" si="79"/>
        <v>1.170107134</v>
      </c>
      <c r="AG83" s="87">
        <f t="shared" si="79"/>
        <v>1.137012535</v>
      </c>
      <c r="AH83" s="87">
        <f t="shared" si="79"/>
        <v>0.9264313565</v>
      </c>
      <c r="AI83" s="87">
        <f t="shared" si="79"/>
        <v>1.387048193</v>
      </c>
      <c r="AJ83" s="87">
        <f t="shared" si="79"/>
        <v>1.30008244</v>
      </c>
      <c r="AK83" s="87">
        <f t="shared" si="79"/>
        <v>1.03622251</v>
      </c>
      <c r="AL83" s="87">
        <f t="shared" si="79"/>
        <v>-1</v>
      </c>
      <c r="AM83" s="87" t="str">
        <f t="shared" si="79"/>
        <v/>
      </c>
      <c r="AN83" s="87" t="str">
        <f t="shared" si="79"/>
        <v/>
      </c>
      <c r="AO83" s="87">
        <f t="shared" si="79"/>
        <v>-1</v>
      </c>
      <c r="AP83" s="87">
        <f t="shared" si="79"/>
        <v>-1</v>
      </c>
      <c r="AQ83" s="87" t="str">
        <f t="shared" si="79"/>
        <v/>
      </c>
    </row>
    <row r="84">
      <c r="B84" s="89" t="s">
        <v>204</v>
      </c>
      <c r="C84" s="91">
        <f>IFERROR(__xludf.DUMMYFUNCTION("""COMPUTED_VALUE"""),5.6056939687860075)</f>
        <v>5.605693969</v>
      </c>
      <c r="D84" s="91">
        <f>IFERROR(__xludf.DUMMYFUNCTION("""COMPUTED_VALUE"""),0.057166167382423805)</f>
        <v>0.05716616738</v>
      </c>
      <c r="E84" s="91">
        <f>IFERROR(__xludf.DUMMYFUNCTION("""COMPUTED_VALUE"""),0.0721932669948675)</f>
        <v>0.07219326699</v>
      </c>
      <c r="F84" s="91">
        <f>IFERROR(__xludf.DUMMYFUNCTION("""COMPUTED_VALUE"""),0.08615405467686187)</f>
        <v>0.08615405468</v>
      </c>
      <c r="G84" s="91">
        <f>IFERROR(__xludf.DUMMYFUNCTION("""COMPUTED_VALUE"""),0.008471255891903218)</f>
        <v>0.008471255892</v>
      </c>
      <c r="H84" s="91">
        <f>IFERROR(__xludf.DUMMYFUNCTION("""COMPUTED_VALUE"""),0.019450319472085476)</f>
        <v>0.01945031947</v>
      </c>
      <c r="I84" s="91">
        <f>IFERROR(__xludf.DUMMYFUNCTION("""COMPUTED_VALUE"""),0.038110778254949206)</f>
        <v>0.03811077825</v>
      </c>
      <c r="J84" s="91">
        <f>IFERROR(__xludf.DUMMYFUNCTION("""COMPUTED_VALUE"""),0.0)</f>
        <v>0</v>
      </c>
      <c r="K84" s="91">
        <f>IFERROR(__xludf.DUMMYFUNCTION("""COMPUTED_VALUE"""),0.0)</f>
        <v>0</v>
      </c>
      <c r="L84" s="91">
        <f>IFERROR(__xludf.DUMMYFUNCTION("""COMPUTED_VALUE"""),0.0)</f>
        <v>0</v>
      </c>
      <c r="M84" s="91">
        <f>IFERROR(__xludf.DUMMYFUNCTION("""COMPUTED_VALUE"""),0.14148379595684513)</f>
        <v>0.141483796</v>
      </c>
      <c r="N84" s="140">
        <f>IFERROR(__xludf.DUMMYFUNCTION("""COMPUTED_VALUE"""),12.553512638525195)</f>
        <v>12.55351264</v>
      </c>
      <c r="O84" s="140">
        <f>IFERROR(__xludf.DUMMYFUNCTION("""COMPUTED_VALUE"""),0.0)</f>
        <v>0</v>
      </c>
      <c r="Q84" s="147">
        <v>11.5189</v>
      </c>
      <c r="R84" s="147">
        <v>0.1168</v>
      </c>
      <c r="S84" s="147">
        <v>0.1462</v>
      </c>
      <c r="T84" s="147">
        <v>0.1189</v>
      </c>
      <c r="U84" s="147">
        <v>0.0413</v>
      </c>
      <c r="V84" s="147">
        <v>0.0778</v>
      </c>
      <c r="W84" s="147">
        <v>0.1383</v>
      </c>
      <c r="X84" s="147">
        <v>0.0</v>
      </c>
      <c r="Y84" s="147">
        <v>0.0</v>
      </c>
      <c r="Z84" s="147">
        <v>0.0</v>
      </c>
      <c r="AA84" s="147">
        <v>1.1705</v>
      </c>
      <c r="AB84" s="147">
        <v>29.9968</v>
      </c>
      <c r="AC84" s="147">
        <v>0.0</v>
      </c>
      <c r="AE84" s="87">
        <f t="shared" ref="AE84:AQ84" si="80">IFERROR((Q84-C84)/C84, "")</f>
        <v>1.054857091</v>
      </c>
      <c r="AF84" s="87">
        <f t="shared" si="80"/>
        <v>1.043166533</v>
      </c>
      <c r="AG84" s="87">
        <f t="shared" si="80"/>
        <v>1.0251196</v>
      </c>
      <c r="AH84" s="87">
        <f t="shared" si="80"/>
        <v>0.3800859454</v>
      </c>
      <c r="AI84" s="87">
        <f t="shared" si="80"/>
        <v>3.87531017</v>
      </c>
      <c r="AJ84" s="87">
        <f t="shared" si="80"/>
        <v>2.9999343</v>
      </c>
      <c r="AK84" s="87">
        <f t="shared" si="80"/>
        <v>2.628894668</v>
      </c>
      <c r="AL84" s="87" t="str">
        <f t="shared" si="80"/>
        <v/>
      </c>
      <c r="AM84" s="87" t="str">
        <f t="shared" si="80"/>
        <v/>
      </c>
      <c r="AN84" s="87" t="str">
        <f t="shared" si="80"/>
        <v/>
      </c>
      <c r="AO84" s="87">
        <f t="shared" si="80"/>
        <v>7.273032202</v>
      </c>
      <c r="AP84" s="87">
        <f t="shared" si="80"/>
        <v>1.389514462</v>
      </c>
      <c r="AQ84" s="87" t="str">
        <f t="shared" si="80"/>
        <v/>
      </c>
    </row>
    <row r="85">
      <c r="B85" s="84" t="s">
        <v>205</v>
      </c>
      <c r="C85" s="86">
        <f>IFERROR(__xludf.DUMMYFUNCTION("""COMPUTED_VALUE"""),0.0)</f>
        <v>0</v>
      </c>
      <c r="D85" s="86">
        <f>IFERROR(__xludf.DUMMYFUNCTION("""COMPUTED_VALUE"""),0.0)</f>
        <v>0</v>
      </c>
      <c r="E85" s="86">
        <f>IFERROR(__xludf.DUMMYFUNCTION("""COMPUTED_VALUE"""),0.0)</f>
        <v>0</v>
      </c>
      <c r="F85" s="86">
        <f>IFERROR(__xludf.DUMMYFUNCTION("""COMPUTED_VALUE"""),4.848484848484848E-5)</f>
        <v>0.00004848484848</v>
      </c>
      <c r="G85" s="86">
        <f>IFERROR(__xludf.DUMMYFUNCTION("""COMPUTED_VALUE"""),0.0)</f>
        <v>0</v>
      </c>
      <c r="H85" s="86">
        <f>IFERROR(__xludf.DUMMYFUNCTION("""COMPUTED_VALUE"""),4.848484848484848E-5)</f>
        <v>0.00004848484848</v>
      </c>
      <c r="I85" s="86">
        <f>IFERROR(__xludf.DUMMYFUNCTION("""COMPUTED_VALUE"""),2.424242424242424E-5)</f>
        <v>0.00002424242424</v>
      </c>
      <c r="J85" s="86">
        <f>IFERROR(__xludf.DUMMYFUNCTION("""COMPUTED_VALUE"""),0.0)</f>
        <v>0</v>
      </c>
      <c r="K85" s="86">
        <f>IFERROR(__xludf.DUMMYFUNCTION("""COMPUTED_VALUE"""),0.0)</f>
        <v>0</v>
      </c>
      <c r="L85" s="86">
        <f>IFERROR(__xludf.DUMMYFUNCTION("""COMPUTED_VALUE"""),9.696969696969696E-5)</f>
        <v>0.00009696969697</v>
      </c>
      <c r="M85" s="86">
        <f>IFERROR(__xludf.DUMMYFUNCTION("""COMPUTED_VALUE"""),3.151515151515152E-4)</f>
        <v>0.0003151515152</v>
      </c>
      <c r="N85" s="85">
        <f>IFERROR(__xludf.DUMMYFUNCTION("""COMPUTED_VALUE"""),0.0)</f>
        <v>0</v>
      </c>
      <c r="O85" s="85">
        <f>IFERROR(__xludf.DUMMYFUNCTION("""COMPUTED_VALUE"""),0.0)</f>
        <v>0</v>
      </c>
      <c r="Q85" s="147">
        <v>0.0</v>
      </c>
      <c r="R85" s="147">
        <v>0.0</v>
      </c>
      <c r="S85" s="147">
        <v>0.0</v>
      </c>
      <c r="T85" s="147">
        <v>0.0</v>
      </c>
      <c r="U85" s="147">
        <v>0.0</v>
      </c>
      <c r="V85" s="147">
        <v>0.0</v>
      </c>
      <c r="W85" s="147">
        <v>1.0E-4</v>
      </c>
      <c r="X85" s="147">
        <v>0.0</v>
      </c>
      <c r="Y85" s="147">
        <v>0.0</v>
      </c>
      <c r="Z85" s="147">
        <v>7.0E-4</v>
      </c>
      <c r="AA85" s="147">
        <v>0.0</v>
      </c>
      <c r="AB85" s="147">
        <v>0.0</v>
      </c>
      <c r="AC85" s="147">
        <v>0.0</v>
      </c>
      <c r="AE85" s="87" t="str">
        <f t="shared" ref="AE85:AQ85" si="81">IFERROR((Q85-C85)/C85, "")</f>
        <v/>
      </c>
      <c r="AF85" s="87" t="str">
        <f t="shared" si="81"/>
        <v/>
      </c>
      <c r="AG85" s="87" t="str">
        <f t="shared" si="81"/>
        <v/>
      </c>
      <c r="AH85" s="87">
        <f t="shared" si="81"/>
        <v>-1</v>
      </c>
      <c r="AI85" s="87" t="str">
        <f t="shared" si="81"/>
        <v/>
      </c>
      <c r="AJ85" s="87">
        <f t="shared" si="81"/>
        <v>-1</v>
      </c>
      <c r="AK85" s="87">
        <f t="shared" si="81"/>
        <v>3.125</v>
      </c>
      <c r="AL85" s="87" t="str">
        <f t="shared" si="81"/>
        <v/>
      </c>
      <c r="AM85" s="87" t="str">
        <f t="shared" si="81"/>
        <v/>
      </c>
      <c r="AN85" s="87">
        <f t="shared" si="81"/>
        <v>6.21875</v>
      </c>
      <c r="AO85" s="87">
        <f t="shared" si="81"/>
        <v>-1</v>
      </c>
      <c r="AP85" s="87" t="str">
        <f t="shared" si="81"/>
        <v/>
      </c>
      <c r="AQ85" s="87" t="str">
        <f t="shared" si="81"/>
        <v/>
      </c>
    </row>
    <row r="86">
      <c r="B86" s="89" t="s">
        <v>207</v>
      </c>
      <c r="C86" s="91">
        <f>IFERROR(__xludf.DUMMYFUNCTION("""COMPUTED_VALUE"""),34.69832844570399)</f>
        <v>34.69832845</v>
      </c>
      <c r="D86" s="91">
        <f>IFERROR(__xludf.DUMMYFUNCTION("""COMPUTED_VALUE"""),2.3736204208482783)</f>
        <v>2.373620421</v>
      </c>
      <c r="E86" s="91">
        <f>IFERROR(__xludf.DUMMYFUNCTION("""COMPUTED_VALUE"""),1.106131221142622)</f>
        <v>1.106131221</v>
      </c>
      <c r="F86" s="91">
        <f>IFERROR(__xludf.DUMMYFUNCTION("""COMPUTED_VALUE"""),0.7652733064364672)</f>
        <v>0.7652733064</v>
      </c>
      <c r="G86" s="91">
        <f>IFERROR(__xludf.DUMMYFUNCTION("""COMPUTED_VALUE"""),1.274723279985641)</f>
        <v>1.27472328</v>
      </c>
      <c r="H86" s="91">
        <f>IFERROR(__xludf.DUMMYFUNCTION("""COMPUTED_VALUE"""),0.9740498512529461)</f>
        <v>0.9740498513</v>
      </c>
      <c r="I86" s="91">
        <f>IFERROR(__xludf.DUMMYFUNCTION("""COMPUTED_VALUE"""),0.5009795840049718)</f>
        <v>0.500979584</v>
      </c>
      <c r="J86" s="91">
        <f>IFERROR(__xludf.DUMMYFUNCTION("""COMPUTED_VALUE"""),0.0)</f>
        <v>0</v>
      </c>
      <c r="K86" s="91">
        <f>IFERROR(__xludf.DUMMYFUNCTION("""COMPUTED_VALUE"""),0.0)</f>
        <v>0</v>
      </c>
      <c r="L86" s="91">
        <f>IFERROR(__xludf.DUMMYFUNCTION("""COMPUTED_VALUE"""),7.29669346262511)</f>
        <v>7.296693463</v>
      </c>
      <c r="M86" s="91">
        <f>IFERROR(__xludf.DUMMYFUNCTION("""COMPUTED_VALUE"""),55.68482269407197)</f>
        <v>55.68482269</v>
      </c>
      <c r="N86" s="140">
        <f>IFERROR(__xludf.DUMMYFUNCTION("""COMPUTED_VALUE"""),186.9514037798798)</f>
        <v>186.9514038</v>
      </c>
      <c r="O86" s="140">
        <f>IFERROR(__xludf.DUMMYFUNCTION("""COMPUTED_VALUE"""),0.0)</f>
        <v>0</v>
      </c>
      <c r="Q86" s="147">
        <v>22.785</v>
      </c>
      <c r="R86" s="147">
        <v>1.4714</v>
      </c>
      <c r="S86" s="147">
        <v>0.642</v>
      </c>
      <c r="T86" s="147">
        <v>0.4599</v>
      </c>
      <c r="U86" s="147">
        <v>0.6981</v>
      </c>
      <c r="V86" s="147">
        <v>0.6546</v>
      </c>
      <c r="W86" s="147">
        <v>0.3635</v>
      </c>
      <c r="X86" s="147">
        <v>0.0</v>
      </c>
      <c r="Y86" s="147">
        <v>0.1616</v>
      </c>
      <c r="Z86" s="147">
        <v>5.091</v>
      </c>
      <c r="AA86" s="147">
        <v>45.8892</v>
      </c>
      <c r="AB86" s="147">
        <v>116.4547</v>
      </c>
      <c r="AC86" s="147">
        <v>0.0</v>
      </c>
      <c r="AE86" s="87">
        <f t="shared" ref="AE86:AQ86" si="82">IFERROR((Q86-C86)/C86, "")</f>
        <v>-0.3433401256</v>
      </c>
      <c r="AF86" s="87">
        <f t="shared" si="82"/>
        <v>-0.380103075</v>
      </c>
      <c r="AG86" s="87">
        <f t="shared" si="82"/>
        <v>-0.4195986988</v>
      </c>
      <c r="AH86" s="87">
        <f t="shared" si="82"/>
        <v>-0.399038231</v>
      </c>
      <c r="AI86" s="87">
        <f t="shared" si="82"/>
        <v>-0.4523517292</v>
      </c>
      <c r="AJ86" s="87">
        <f t="shared" si="82"/>
        <v>-0.3279604743</v>
      </c>
      <c r="AK86" s="87">
        <f t="shared" si="82"/>
        <v>-0.2744215301</v>
      </c>
      <c r="AL86" s="87" t="str">
        <f t="shared" si="82"/>
        <v/>
      </c>
      <c r="AM86" s="87" t="str">
        <f t="shared" si="82"/>
        <v/>
      </c>
      <c r="AN86" s="87">
        <f t="shared" si="82"/>
        <v>-0.3022867103</v>
      </c>
      <c r="AO86" s="87">
        <f t="shared" si="82"/>
        <v>-0.1759118952</v>
      </c>
      <c r="AP86" s="87">
        <f t="shared" si="82"/>
        <v>-0.3770857151</v>
      </c>
      <c r="AQ86" s="87" t="str">
        <f t="shared" si="82"/>
        <v/>
      </c>
    </row>
    <row r="87">
      <c r="B87" s="84" t="s">
        <v>208</v>
      </c>
      <c r="C87" s="86">
        <f>IFERROR(__xludf.DUMMYFUNCTION("""COMPUTED_VALUE"""),0.0)</f>
        <v>0</v>
      </c>
      <c r="D87" s="86">
        <f>IFERROR(__xludf.DUMMYFUNCTION("""COMPUTED_VALUE"""),0.0)</f>
        <v>0</v>
      </c>
      <c r="E87" s="86">
        <f>IFERROR(__xludf.DUMMYFUNCTION("""COMPUTED_VALUE"""),0.0)</f>
        <v>0</v>
      </c>
      <c r="F87" s="86">
        <f>IFERROR(__xludf.DUMMYFUNCTION("""COMPUTED_VALUE"""),0.0)</f>
        <v>0</v>
      </c>
      <c r="G87" s="86">
        <f>IFERROR(__xludf.DUMMYFUNCTION("""COMPUTED_VALUE"""),0.0)</f>
        <v>0</v>
      </c>
      <c r="H87" s="86">
        <f>IFERROR(__xludf.DUMMYFUNCTION("""COMPUTED_VALUE"""),0.0)</f>
        <v>0</v>
      </c>
      <c r="I87" s="86">
        <f>IFERROR(__xludf.DUMMYFUNCTION("""COMPUTED_VALUE"""),0.0)</f>
        <v>0</v>
      </c>
      <c r="J87" s="86">
        <f>IFERROR(__xludf.DUMMYFUNCTION("""COMPUTED_VALUE"""),0.0)</f>
        <v>0</v>
      </c>
      <c r="K87" s="86">
        <f>IFERROR(__xludf.DUMMYFUNCTION("""COMPUTED_VALUE"""),0.0)</f>
        <v>0</v>
      </c>
      <c r="L87" s="86">
        <f>IFERROR(__xludf.DUMMYFUNCTION("""COMPUTED_VALUE"""),0.0)</f>
        <v>0</v>
      </c>
      <c r="M87" s="86">
        <f>IFERROR(__xludf.DUMMYFUNCTION("""COMPUTED_VALUE"""),0.0)</f>
        <v>0</v>
      </c>
      <c r="N87" s="85">
        <f>IFERROR(__xludf.DUMMYFUNCTION("""COMPUTED_VALUE"""),0.0)</f>
        <v>0</v>
      </c>
      <c r="O87" s="85">
        <f>IFERROR(__xludf.DUMMYFUNCTION("""COMPUTED_VALUE"""),0.0)</f>
        <v>0</v>
      </c>
      <c r="Q87" s="147">
        <v>0.0</v>
      </c>
      <c r="R87" s="147">
        <v>0.0</v>
      </c>
      <c r="S87" s="147">
        <v>0.0</v>
      </c>
      <c r="T87" s="147">
        <v>0.0</v>
      </c>
      <c r="U87" s="147">
        <v>0.0</v>
      </c>
      <c r="V87" s="147">
        <v>0.0</v>
      </c>
      <c r="W87" s="147">
        <v>0.0</v>
      </c>
      <c r="X87" s="147">
        <v>0.0</v>
      </c>
      <c r="Y87" s="147">
        <v>0.0</v>
      </c>
      <c r="Z87" s="147">
        <v>0.0</v>
      </c>
      <c r="AA87" s="147">
        <v>0.0</v>
      </c>
      <c r="AB87" s="147">
        <v>0.0</v>
      </c>
      <c r="AC87" s="147">
        <v>0.0</v>
      </c>
      <c r="AE87" s="87" t="str">
        <f t="shared" ref="AE87:AQ87" si="83">IFERROR((Q87-C87)/C87, "")</f>
        <v/>
      </c>
      <c r="AF87" s="87" t="str">
        <f t="shared" si="83"/>
        <v/>
      </c>
      <c r="AG87" s="87" t="str">
        <f t="shared" si="83"/>
        <v/>
      </c>
      <c r="AH87" s="87" t="str">
        <f t="shared" si="83"/>
        <v/>
      </c>
      <c r="AI87" s="87" t="str">
        <f t="shared" si="83"/>
        <v/>
      </c>
      <c r="AJ87" s="87" t="str">
        <f t="shared" si="83"/>
        <v/>
      </c>
      <c r="AK87" s="87" t="str">
        <f t="shared" si="83"/>
        <v/>
      </c>
      <c r="AL87" s="87" t="str">
        <f t="shared" si="83"/>
        <v/>
      </c>
      <c r="AM87" s="87" t="str">
        <f t="shared" si="83"/>
        <v/>
      </c>
      <c r="AN87" s="87" t="str">
        <f t="shared" si="83"/>
        <v/>
      </c>
      <c r="AO87" s="87" t="str">
        <f t="shared" si="83"/>
        <v/>
      </c>
      <c r="AP87" s="87" t="str">
        <f t="shared" si="83"/>
        <v/>
      </c>
      <c r="AQ87" s="87" t="str">
        <f t="shared" si="83"/>
        <v/>
      </c>
    </row>
    <row r="88"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AE88" s="87" t="str">
        <f t="shared" ref="AE88:AQ88" si="84">IFERROR((Q88-C88)/C88, "")</f>
        <v/>
      </c>
      <c r="AF88" s="87" t="str">
        <f t="shared" si="84"/>
        <v/>
      </c>
      <c r="AG88" s="87" t="str">
        <f t="shared" si="84"/>
        <v/>
      </c>
      <c r="AH88" s="87" t="str">
        <f t="shared" si="84"/>
        <v/>
      </c>
      <c r="AI88" s="87" t="str">
        <f t="shared" si="84"/>
        <v/>
      </c>
      <c r="AJ88" s="87" t="str">
        <f t="shared" si="84"/>
        <v/>
      </c>
      <c r="AK88" s="87" t="str">
        <f t="shared" si="84"/>
        <v/>
      </c>
      <c r="AL88" s="87" t="str">
        <f t="shared" si="84"/>
        <v/>
      </c>
      <c r="AM88" s="87" t="str">
        <f t="shared" si="84"/>
        <v/>
      </c>
      <c r="AN88" s="87" t="str">
        <f t="shared" si="84"/>
        <v/>
      </c>
      <c r="AO88" s="87" t="str">
        <f t="shared" si="84"/>
        <v/>
      </c>
      <c r="AP88" s="87" t="str">
        <f t="shared" si="84"/>
        <v/>
      </c>
      <c r="AQ88" s="87" t="str">
        <f t="shared" si="84"/>
        <v/>
      </c>
    </row>
    <row r="89"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AE89" s="87" t="str">
        <f t="shared" ref="AE89:AQ89" si="85">IFERROR((Q89-C89)/C89, "")</f>
        <v/>
      </c>
      <c r="AF89" s="87" t="str">
        <f t="shared" si="85"/>
        <v/>
      </c>
      <c r="AG89" s="87" t="str">
        <f t="shared" si="85"/>
        <v/>
      </c>
      <c r="AH89" s="87" t="str">
        <f t="shared" si="85"/>
        <v/>
      </c>
      <c r="AI89" s="87" t="str">
        <f t="shared" si="85"/>
        <v/>
      </c>
      <c r="AJ89" s="87" t="str">
        <f t="shared" si="85"/>
        <v/>
      </c>
      <c r="AK89" s="87" t="str">
        <f t="shared" si="85"/>
        <v/>
      </c>
      <c r="AL89" s="87" t="str">
        <f t="shared" si="85"/>
        <v/>
      </c>
      <c r="AM89" s="87" t="str">
        <f t="shared" si="85"/>
        <v/>
      </c>
      <c r="AN89" s="87" t="str">
        <f t="shared" si="85"/>
        <v/>
      </c>
      <c r="AO89" s="87" t="str">
        <f t="shared" si="85"/>
        <v/>
      </c>
      <c r="AP89" s="87" t="str">
        <f t="shared" si="85"/>
        <v/>
      </c>
      <c r="AQ89" s="87" t="str">
        <f t="shared" si="85"/>
        <v/>
      </c>
    </row>
    <row r="90">
      <c r="B90" s="78" t="s">
        <v>139</v>
      </c>
      <c r="C90" s="80" t="str">
        <f>IFERROR(__xludf.DUMMYFUNCTION("""COMPUTED_VALUE"""),"40-99 Segment - Over Time Period")</f>
        <v>40-99 Segment - Over Time Period</v>
      </c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AE90" s="87" t="str">
        <f t="shared" ref="AE90:AQ90" si="86">IFERROR((Q90-C90)/C90, "")</f>
        <v/>
      </c>
      <c r="AF90" s="87" t="str">
        <f t="shared" si="86"/>
        <v/>
      </c>
      <c r="AG90" s="87" t="str">
        <f t="shared" si="86"/>
        <v/>
      </c>
      <c r="AH90" s="87" t="str">
        <f t="shared" si="86"/>
        <v/>
      </c>
      <c r="AI90" s="87" t="str">
        <f t="shared" si="86"/>
        <v/>
      </c>
      <c r="AJ90" s="87" t="str">
        <f t="shared" si="86"/>
        <v/>
      </c>
      <c r="AK90" s="87" t="str">
        <f t="shared" si="86"/>
        <v/>
      </c>
      <c r="AL90" s="87" t="str">
        <f t="shared" si="86"/>
        <v/>
      </c>
      <c r="AM90" s="87" t="str">
        <f t="shared" si="86"/>
        <v/>
      </c>
      <c r="AN90" s="87" t="str">
        <f t="shared" si="86"/>
        <v/>
      </c>
      <c r="AO90" s="87" t="str">
        <f t="shared" si="86"/>
        <v/>
      </c>
      <c r="AP90" s="87" t="str">
        <f t="shared" si="86"/>
        <v/>
      </c>
      <c r="AQ90" s="87" t="str">
        <f t="shared" si="86"/>
        <v/>
      </c>
    </row>
    <row r="91">
      <c r="B91" s="82" t="s">
        <v>128</v>
      </c>
      <c r="C91" s="83" t="str">
        <f>IFERROR(__xludf.DUMMYFUNCTION("""COMPUTED_VALUE"""),"HC")</f>
        <v>HC</v>
      </c>
      <c r="D91" s="83" t="str">
        <f>IFERROR(__xludf.DUMMYFUNCTION("""COMPUTED_VALUE"""),"Slingshot")</f>
        <v>Slingshot</v>
      </c>
      <c r="E91" s="83" t="str">
        <f>IFERROR(__xludf.DUMMYFUNCTION("""COMPUTED_VALUE"""),"Shuffle")</f>
        <v>Shuffle</v>
      </c>
      <c r="F91" s="83" t="str">
        <f>IFERROR(__xludf.DUMMYFUNCTION("""COMPUTED_VALUE"""),"Comet")</f>
        <v>Comet</v>
      </c>
      <c r="G91" s="83" t="str">
        <f>IFERROR(__xludf.DUMMYFUNCTION("""COMPUTED_VALUE"""),"Red")</f>
        <v>Red</v>
      </c>
      <c r="H91" s="83" t="str">
        <f>IFERROR(__xludf.DUMMYFUNCTION("""COMPUTED_VALUE"""),"Chuck")</f>
        <v>Chuck</v>
      </c>
      <c r="I91" s="83" t="str">
        <f>IFERROR(__xludf.DUMMYFUNCTION("""COMPUTED_VALUE"""),"Bomb")</f>
        <v>Bomb</v>
      </c>
      <c r="J91" s="83" t="str">
        <f>IFERROR(__xludf.DUMMYFUNCTION("""COMPUTED_VALUE"""),"UL Bomb")</f>
        <v>UL Bomb</v>
      </c>
      <c r="K91" s="83" t="str">
        <f>IFERROR(__xludf.DUMMYFUNCTION("""COMPUTED_VALUE"""),"UL Chuck")</f>
        <v>UL Chuck</v>
      </c>
      <c r="L91" s="83" t="str">
        <f>IFERROR(__xludf.DUMMYFUNCTION("""COMPUTED_VALUE"""),"UL Red")</f>
        <v>UL Red</v>
      </c>
      <c r="M91" s="83" t="str">
        <f>IFERROR(__xludf.DUMMYFUNCTION("""COMPUTED_VALUE"""),"Unlimited Lives")</f>
        <v>Unlimited Lives</v>
      </c>
      <c r="N91" s="83" t="str">
        <f>IFERROR(__xludf.DUMMYFUNCTION("""COMPUTED_VALUE"""),"SPT")</f>
        <v>SPT</v>
      </c>
      <c r="O91" s="83" t="str">
        <f>IFERROR(__xludf.DUMMYFUNCTION("""COMPUTED_VALUE"""),"SPTx2")</f>
        <v>SPTx2</v>
      </c>
      <c r="Q91" s="83" t="s">
        <v>129</v>
      </c>
      <c r="R91" s="83" t="s">
        <v>96</v>
      </c>
      <c r="S91" s="83" t="s">
        <v>102</v>
      </c>
      <c r="T91" s="83" t="s">
        <v>130</v>
      </c>
      <c r="U91" s="83" t="s">
        <v>78</v>
      </c>
      <c r="V91" s="83" t="s">
        <v>84</v>
      </c>
      <c r="W91" s="83" t="s">
        <v>90</v>
      </c>
      <c r="X91" s="83" t="s">
        <v>131</v>
      </c>
      <c r="Y91" s="83" t="s">
        <v>132</v>
      </c>
      <c r="Z91" s="83" t="s">
        <v>133</v>
      </c>
      <c r="AA91" s="83" t="s">
        <v>134</v>
      </c>
      <c r="AB91" s="83" t="s">
        <v>114</v>
      </c>
      <c r="AC91" s="83" t="s">
        <v>135</v>
      </c>
      <c r="AE91" s="87" t="str">
        <f t="shared" ref="AE91:AQ91" si="87">IFERROR((Q91-C91)/C91, "")</f>
        <v/>
      </c>
      <c r="AF91" s="87" t="str">
        <f t="shared" si="87"/>
        <v/>
      </c>
      <c r="AG91" s="87" t="str">
        <f t="shared" si="87"/>
        <v/>
      </c>
      <c r="AH91" s="87" t="str">
        <f t="shared" si="87"/>
        <v/>
      </c>
      <c r="AI91" s="87" t="str">
        <f t="shared" si="87"/>
        <v/>
      </c>
      <c r="AJ91" s="87" t="str">
        <f t="shared" si="87"/>
        <v/>
      </c>
      <c r="AK91" s="87" t="str">
        <f t="shared" si="87"/>
        <v/>
      </c>
      <c r="AL91" s="87" t="str">
        <f t="shared" si="87"/>
        <v/>
      </c>
      <c r="AM91" s="87" t="str">
        <f t="shared" si="87"/>
        <v/>
      </c>
      <c r="AN91" s="87" t="str">
        <f t="shared" si="87"/>
        <v/>
      </c>
      <c r="AO91" s="87" t="str">
        <f t="shared" si="87"/>
        <v/>
      </c>
      <c r="AP91" s="87" t="str">
        <f t="shared" si="87"/>
        <v/>
      </c>
      <c r="AQ91" s="87" t="str">
        <f t="shared" si="87"/>
        <v/>
      </c>
    </row>
    <row r="92">
      <c r="B92" s="84" t="s">
        <v>136</v>
      </c>
      <c r="C92" s="85">
        <f>IFERROR(__xludf.DUMMYFUNCTION("""COMPUTED_VALUE"""),6.072606060606061)</f>
        <v>6.072606061</v>
      </c>
      <c r="D92" s="86">
        <f>IFERROR(__xludf.DUMMYFUNCTION("""COMPUTED_VALUE"""),0.14024242424242425)</f>
        <v>0.1402424242</v>
      </c>
      <c r="E92" s="86">
        <f>IFERROR(__xludf.DUMMYFUNCTION("""COMPUTED_VALUE"""),0.1382787878787879)</f>
        <v>0.1382787879</v>
      </c>
      <c r="F92" s="86">
        <f>IFERROR(__xludf.DUMMYFUNCTION("""COMPUTED_VALUE"""),0.06884848484848484)</f>
        <v>0.06884848485</v>
      </c>
      <c r="G92" s="86">
        <f>IFERROR(__xludf.DUMMYFUNCTION("""COMPUTED_VALUE"""),0.0)</f>
        <v>0</v>
      </c>
      <c r="H92" s="86">
        <f>IFERROR(__xludf.DUMMYFUNCTION("""COMPUTED_VALUE"""),0.0)</f>
        <v>0</v>
      </c>
      <c r="I92" s="86">
        <f>IFERROR(__xludf.DUMMYFUNCTION("""COMPUTED_VALUE"""),0.0)</f>
        <v>0</v>
      </c>
      <c r="J92" s="86">
        <f>IFERROR(__xludf.DUMMYFUNCTION("""COMPUTED_VALUE"""),0.0)</f>
        <v>0</v>
      </c>
      <c r="K92" s="86">
        <f>IFERROR(__xludf.DUMMYFUNCTION("""COMPUTED_VALUE"""),0.0)</f>
        <v>0</v>
      </c>
      <c r="L92" s="86">
        <f>IFERROR(__xludf.DUMMYFUNCTION("""COMPUTED_VALUE"""),0.0)</f>
        <v>0</v>
      </c>
      <c r="M92" s="86">
        <f>IFERROR(__xludf.DUMMYFUNCTION("""COMPUTED_VALUE"""),2.026739393939394)</f>
        <v>2.026739394</v>
      </c>
      <c r="N92" s="85">
        <f>IFERROR(__xludf.DUMMYFUNCTION("""COMPUTED_VALUE"""),0.0)</f>
        <v>0</v>
      </c>
      <c r="O92" s="85">
        <f>IFERROR(__xludf.DUMMYFUNCTION("""COMPUTED_VALUE"""),0.0)</f>
        <v>0</v>
      </c>
      <c r="Q92" s="147">
        <v>15.515</v>
      </c>
      <c r="R92" s="147">
        <v>0.3499</v>
      </c>
      <c r="S92" s="147">
        <v>0.343</v>
      </c>
      <c r="T92" s="147">
        <v>0.161</v>
      </c>
      <c r="U92" s="147">
        <v>0.0</v>
      </c>
      <c r="V92" s="147">
        <v>0.0</v>
      </c>
      <c r="W92" s="147">
        <v>0.0</v>
      </c>
      <c r="X92" s="147">
        <v>0.0</v>
      </c>
      <c r="Y92" s="147">
        <v>0.0</v>
      </c>
      <c r="Z92" s="147">
        <v>0.0</v>
      </c>
      <c r="AA92" s="147">
        <v>5.0355</v>
      </c>
      <c r="AB92" s="147">
        <v>0.0</v>
      </c>
      <c r="AC92" s="147">
        <v>0.0</v>
      </c>
      <c r="AE92" s="87">
        <f t="shared" ref="AE92:AQ92" si="88">IFERROR((Q92-C92)/C92, "")</f>
        <v>1.554916266</v>
      </c>
      <c r="AF92" s="87">
        <f t="shared" si="88"/>
        <v>1.494965428</v>
      </c>
      <c r="AG92" s="87">
        <f t="shared" si="88"/>
        <v>1.480496143</v>
      </c>
      <c r="AH92" s="87">
        <f t="shared" si="88"/>
        <v>1.33846831</v>
      </c>
      <c r="AI92" s="87" t="str">
        <f t="shared" si="88"/>
        <v/>
      </c>
      <c r="AJ92" s="87" t="str">
        <f t="shared" si="88"/>
        <v/>
      </c>
      <c r="AK92" s="87" t="str">
        <f t="shared" si="88"/>
        <v/>
      </c>
      <c r="AL92" s="87" t="str">
        <f t="shared" si="88"/>
        <v/>
      </c>
      <c r="AM92" s="87" t="str">
        <f t="shared" si="88"/>
        <v/>
      </c>
      <c r="AN92" s="87" t="str">
        <f t="shared" si="88"/>
        <v/>
      </c>
      <c r="AO92" s="87">
        <f t="shared" si="88"/>
        <v>1.484532553</v>
      </c>
      <c r="AP92" s="87" t="str">
        <f t="shared" si="88"/>
        <v/>
      </c>
      <c r="AQ92" s="87" t="str">
        <f t="shared" si="88"/>
        <v/>
      </c>
    </row>
    <row r="93">
      <c r="B93" s="89" t="s">
        <v>138</v>
      </c>
      <c r="C93" s="91">
        <f>IFERROR(__xludf.DUMMYFUNCTION("""COMPUTED_VALUE"""),0.0)</f>
        <v>0</v>
      </c>
      <c r="D93" s="91">
        <f>IFERROR(__xludf.DUMMYFUNCTION("""COMPUTED_VALUE"""),0.0)</f>
        <v>0</v>
      </c>
      <c r="E93" s="91">
        <f>IFERROR(__xludf.DUMMYFUNCTION("""COMPUTED_VALUE"""),0.0)</f>
        <v>0</v>
      </c>
      <c r="F93" s="91">
        <f>IFERROR(__xludf.DUMMYFUNCTION("""COMPUTED_VALUE"""),0.0)</f>
        <v>0</v>
      </c>
      <c r="G93" s="91">
        <f>IFERROR(__xludf.DUMMYFUNCTION("""COMPUTED_VALUE"""),0.0)</f>
        <v>0</v>
      </c>
      <c r="H93" s="91">
        <f>IFERROR(__xludf.DUMMYFUNCTION("""COMPUTED_VALUE"""),0.0)</f>
        <v>0</v>
      </c>
      <c r="I93" s="91">
        <f>IFERROR(__xludf.DUMMYFUNCTION("""COMPUTED_VALUE"""),0.0)</f>
        <v>0</v>
      </c>
      <c r="J93" s="91">
        <f>IFERROR(__xludf.DUMMYFUNCTION("""COMPUTED_VALUE"""),0.0)</f>
        <v>0</v>
      </c>
      <c r="K93" s="91">
        <f>IFERROR(__xludf.DUMMYFUNCTION("""COMPUTED_VALUE"""),0.0)</f>
        <v>0</v>
      </c>
      <c r="L93" s="91">
        <f>IFERROR(__xludf.DUMMYFUNCTION("""COMPUTED_VALUE"""),0.0)</f>
        <v>0</v>
      </c>
      <c r="M93" s="91">
        <f>IFERROR(__xludf.DUMMYFUNCTION("""COMPUTED_VALUE"""),0.0)</f>
        <v>0</v>
      </c>
      <c r="N93" s="91">
        <f>IFERROR(__xludf.DUMMYFUNCTION("""COMPUTED_VALUE"""),0.0)</f>
        <v>0</v>
      </c>
      <c r="O93" s="91">
        <f>IFERROR(__xludf.DUMMYFUNCTION("""COMPUTED_VALUE"""),0.0)</f>
        <v>0</v>
      </c>
      <c r="Q93" s="147">
        <v>1.5075</v>
      </c>
      <c r="R93" s="147">
        <v>0.0076</v>
      </c>
      <c r="S93" s="147">
        <v>0.0128</v>
      </c>
      <c r="T93" s="147">
        <v>0.0048</v>
      </c>
      <c r="U93" s="147">
        <v>0.0</v>
      </c>
      <c r="V93" s="147">
        <v>0.0</v>
      </c>
      <c r="W93" s="147">
        <v>3.0E-4</v>
      </c>
      <c r="X93" s="147">
        <v>0.0</v>
      </c>
      <c r="Y93" s="147">
        <v>0.0</v>
      </c>
      <c r="Z93" s="147">
        <v>0.0</v>
      </c>
      <c r="AA93" s="147">
        <v>0.0</v>
      </c>
      <c r="AB93" s="147">
        <v>0.0</v>
      </c>
      <c r="AC93" s="147">
        <v>0.0</v>
      </c>
      <c r="AE93" s="87" t="str">
        <f t="shared" ref="AE93:AQ93" si="89">IFERROR((Q93-C93)/C93, "")</f>
        <v/>
      </c>
      <c r="AF93" s="87" t="str">
        <f t="shared" si="89"/>
        <v/>
      </c>
      <c r="AG93" s="87" t="str">
        <f t="shared" si="89"/>
        <v/>
      </c>
      <c r="AH93" s="87" t="str">
        <f t="shared" si="89"/>
        <v/>
      </c>
      <c r="AI93" s="87" t="str">
        <f t="shared" si="89"/>
        <v/>
      </c>
      <c r="AJ93" s="87" t="str">
        <f t="shared" si="89"/>
        <v/>
      </c>
      <c r="AK93" s="87" t="str">
        <f t="shared" si="89"/>
        <v/>
      </c>
      <c r="AL93" s="87" t="str">
        <f t="shared" si="89"/>
        <v/>
      </c>
      <c r="AM93" s="87" t="str">
        <f t="shared" si="89"/>
        <v/>
      </c>
      <c r="AN93" s="87" t="str">
        <f t="shared" si="89"/>
        <v/>
      </c>
      <c r="AO93" s="87" t="str">
        <f t="shared" si="89"/>
        <v/>
      </c>
      <c r="AP93" s="87" t="str">
        <f t="shared" si="89"/>
        <v/>
      </c>
      <c r="AQ93" s="87" t="str">
        <f t="shared" si="89"/>
        <v/>
      </c>
    </row>
    <row r="94">
      <c r="B94" s="89" t="s">
        <v>144</v>
      </c>
      <c r="C94" s="91">
        <f>IFERROR(__xludf.DUMMYFUNCTION("""COMPUTED_VALUE"""),6.022287327992382)</f>
        <v>6.022287328</v>
      </c>
      <c r="D94" s="91">
        <f>IFERROR(__xludf.DUMMYFUNCTION("""COMPUTED_VALUE"""),0.0385753144596347)</f>
        <v>0.03857531446</v>
      </c>
      <c r="E94" s="91">
        <f>IFERROR(__xludf.DUMMYFUNCTION("""COMPUTED_VALUE"""),0.018758192129390994)</f>
        <v>0.01875819213</v>
      </c>
      <c r="F94" s="91">
        <f>IFERROR(__xludf.DUMMYFUNCTION("""COMPUTED_VALUE"""),0.019363295101306834)</f>
        <v>0.0193632951</v>
      </c>
      <c r="G94" s="91">
        <f>IFERROR(__xludf.DUMMYFUNCTION("""COMPUTED_VALUE"""),0.10876725920187195)</f>
        <v>0.1087672592</v>
      </c>
      <c r="H94" s="91">
        <f>IFERROR(__xludf.DUMMYFUNCTION("""COMPUTED_VALUE"""),0.15717549695513905)</f>
        <v>0.157175497</v>
      </c>
      <c r="I94" s="91">
        <f>IFERROR(__xludf.DUMMYFUNCTION("""COMPUTED_VALUE"""),0.018985105743859435)</f>
        <v>0.01898510574</v>
      </c>
      <c r="J94" s="91">
        <f>IFERROR(__xludf.DUMMYFUNCTION("""COMPUTED_VALUE"""),3.0258930489366396)</f>
        <v>3.025893049</v>
      </c>
      <c r="K94" s="91">
        <f>IFERROR(__xludf.DUMMYFUNCTION("""COMPUTED_VALUE"""),2.7204673238621204)</f>
        <v>2.720467324</v>
      </c>
      <c r="L94" s="91">
        <f>IFERROR(__xludf.DUMMYFUNCTION("""COMPUTED_VALUE"""),2.9734003661229407)</f>
        <v>2.973400366</v>
      </c>
      <c r="M94" s="91">
        <f>IFERROR(__xludf.DUMMYFUNCTION("""COMPUTED_VALUE"""),11.405661555513127)</f>
        <v>11.40566156</v>
      </c>
      <c r="N94" s="91">
        <f>IFERROR(__xludf.DUMMYFUNCTION("""COMPUTED_VALUE"""),0.0)</f>
        <v>0</v>
      </c>
      <c r="O94" s="91">
        <f>IFERROR(__xludf.DUMMYFUNCTION("""COMPUTED_VALUE"""),0.0)</f>
        <v>0</v>
      </c>
      <c r="Q94" s="147">
        <v>16.5007</v>
      </c>
      <c r="R94" s="147">
        <v>0.0765</v>
      </c>
      <c r="S94" s="147">
        <v>0.0276</v>
      </c>
      <c r="T94" s="147">
        <v>0.0273</v>
      </c>
      <c r="U94" s="147">
        <v>0.3374</v>
      </c>
      <c r="V94" s="147">
        <v>0.4694</v>
      </c>
      <c r="W94" s="147">
        <v>0.0273</v>
      </c>
      <c r="X94" s="147">
        <v>5.3438</v>
      </c>
      <c r="Y94" s="147">
        <v>6.6405</v>
      </c>
      <c r="Z94" s="147">
        <v>8.1869</v>
      </c>
      <c r="AA94" s="147">
        <v>33.4052</v>
      </c>
      <c r="AB94" s="147">
        <v>0.0</v>
      </c>
      <c r="AC94" s="147">
        <v>0.0</v>
      </c>
      <c r="AE94" s="87">
        <f t="shared" ref="AE94:AQ94" si="90">IFERROR((Q94-C94)/C94, "")</f>
        <v>1.739939013</v>
      </c>
      <c r="AF94" s="87">
        <f t="shared" si="90"/>
        <v>0.983133542</v>
      </c>
      <c r="AG94" s="87">
        <f t="shared" si="90"/>
        <v>0.4713571441</v>
      </c>
      <c r="AH94" s="87">
        <f t="shared" si="90"/>
        <v>0.4098840026</v>
      </c>
      <c r="AI94" s="87">
        <f t="shared" si="90"/>
        <v>2.102036426</v>
      </c>
      <c r="AJ94" s="87">
        <f t="shared" si="90"/>
        <v>1.986470596</v>
      </c>
      <c r="AK94" s="87">
        <f t="shared" si="90"/>
        <v>0.4379693412</v>
      </c>
      <c r="AL94" s="87">
        <f t="shared" si="90"/>
        <v>0.766024084</v>
      </c>
      <c r="AM94" s="87">
        <f t="shared" si="90"/>
        <v>1.440940915</v>
      </c>
      <c r="AN94" s="87">
        <f t="shared" si="90"/>
        <v>1.75337963</v>
      </c>
      <c r="AO94" s="87">
        <f t="shared" si="90"/>
        <v>1.928826166</v>
      </c>
      <c r="AP94" s="87" t="str">
        <f t="shared" si="90"/>
        <v/>
      </c>
      <c r="AQ94" s="87" t="str">
        <f t="shared" si="90"/>
        <v/>
      </c>
    </row>
    <row r="95">
      <c r="B95" s="89" t="s">
        <v>156</v>
      </c>
      <c r="C95" s="91">
        <f>IFERROR(__xludf.DUMMYFUNCTION("""COMPUTED_VALUE"""),7.36902326)</f>
        <v>7.36902326</v>
      </c>
      <c r="D95" s="91">
        <f>IFERROR(__xludf.DUMMYFUNCTION("""COMPUTED_VALUE"""),0.019301207999999997)</f>
        <v>0.019301208</v>
      </c>
      <c r="E95" s="91">
        <f>IFERROR(__xludf.DUMMYFUNCTION("""COMPUTED_VALUE"""),0.046678807999999995)</f>
        <v>0.046678808</v>
      </c>
      <c r="F95" s="91">
        <f>IFERROR(__xludf.DUMMYFUNCTION("""COMPUTED_VALUE"""),0.025940275999999998)</f>
        <v>0.025940276</v>
      </c>
      <c r="G95" s="91">
        <f>IFERROR(__xludf.DUMMYFUNCTION("""COMPUTED_VALUE"""),0.0)</f>
        <v>0</v>
      </c>
      <c r="H95" s="91">
        <f>IFERROR(__xludf.DUMMYFUNCTION("""COMPUTED_VALUE"""),0.0)</f>
        <v>0</v>
      </c>
      <c r="I95" s="91">
        <f>IFERROR(__xludf.DUMMYFUNCTION("""COMPUTED_VALUE"""),0.0)</f>
        <v>0</v>
      </c>
      <c r="J95" s="91">
        <f>IFERROR(__xludf.DUMMYFUNCTION("""COMPUTED_VALUE"""),0.0)</f>
        <v>0</v>
      </c>
      <c r="K95" s="91">
        <f>IFERROR(__xludf.DUMMYFUNCTION("""COMPUTED_VALUE"""),0.0)</f>
        <v>0</v>
      </c>
      <c r="L95" s="91">
        <f>IFERROR(__xludf.DUMMYFUNCTION("""COMPUTED_VALUE"""),0.0)</f>
        <v>0</v>
      </c>
      <c r="M95" s="91">
        <f>IFERROR(__xludf.DUMMYFUNCTION("""COMPUTED_VALUE"""),0.0)</f>
        <v>0</v>
      </c>
      <c r="N95" s="91">
        <f>IFERROR(__xludf.DUMMYFUNCTION("""COMPUTED_VALUE"""),0.0)</f>
        <v>0</v>
      </c>
      <c r="O95" s="91">
        <f>IFERROR(__xludf.DUMMYFUNCTION("""COMPUTED_VALUE"""),0.0)</f>
        <v>0</v>
      </c>
      <c r="Q95" s="147">
        <v>0.0546</v>
      </c>
      <c r="R95" s="147">
        <v>8.0E-4</v>
      </c>
      <c r="S95" s="147">
        <v>8.0E-4</v>
      </c>
      <c r="T95" s="147">
        <v>1.0E-4</v>
      </c>
      <c r="U95" s="147">
        <v>0.0</v>
      </c>
      <c r="V95" s="147">
        <v>0.0</v>
      </c>
      <c r="W95" s="147">
        <v>0.0</v>
      </c>
      <c r="X95" s="147">
        <v>0.0</v>
      </c>
      <c r="Y95" s="147">
        <v>0.0</v>
      </c>
      <c r="Z95" s="147">
        <v>0.0</v>
      </c>
      <c r="AA95" s="147">
        <v>0.0</v>
      </c>
      <c r="AB95" s="147">
        <v>0.0</v>
      </c>
      <c r="AC95" s="147">
        <v>0.0</v>
      </c>
      <c r="AE95" s="87">
        <f t="shared" ref="AE95:AQ95" si="91">IFERROR((Q95-C95)/C95, "")</f>
        <v>-0.9925906056</v>
      </c>
      <c r="AF95" s="87">
        <f t="shared" si="91"/>
        <v>-0.9585518171</v>
      </c>
      <c r="AG95" s="87">
        <f t="shared" si="91"/>
        <v>-0.9828616018</v>
      </c>
      <c r="AH95" s="87">
        <f t="shared" si="91"/>
        <v>-0.9961449909</v>
      </c>
      <c r="AI95" s="87" t="str">
        <f t="shared" si="91"/>
        <v/>
      </c>
      <c r="AJ95" s="87" t="str">
        <f t="shared" si="91"/>
        <v/>
      </c>
      <c r="AK95" s="87" t="str">
        <f t="shared" si="91"/>
        <v/>
      </c>
      <c r="AL95" s="87" t="str">
        <f t="shared" si="91"/>
        <v/>
      </c>
      <c r="AM95" s="87" t="str">
        <f t="shared" si="91"/>
        <v/>
      </c>
      <c r="AN95" s="87" t="str">
        <f t="shared" si="91"/>
        <v/>
      </c>
      <c r="AO95" s="87" t="str">
        <f t="shared" si="91"/>
        <v/>
      </c>
      <c r="AP95" s="87" t="str">
        <f t="shared" si="91"/>
        <v/>
      </c>
      <c r="AQ95" s="87" t="str">
        <f t="shared" si="91"/>
        <v/>
      </c>
    </row>
    <row r="96">
      <c r="B96" s="89" t="s">
        <v>166</v>
      </c>
      <c r="C96" s="91">
        <f>IFERROR(__xludf.DUMMYFUNCTION("""COMPUTED_VALUE"""),36.085872094268886)</f>
        <v>36.08587209</v>
      </c>
      <c r="D96" s="91">
        <f>IFERROR(__xludf.DUMMYFUNCTION("""COMPUTED_VALUE"""),0.2726419357887772)</f>
        <v>0.2726419358</v>
      </c>
      <c r="E96" s="91">
        <f>IFERROR(__xludf.DUMMYFUNCTION("""COMPUTED_VALUE"""),0.40598042786477206)</f>
        <v>0.4059804279</v>
      </c>
      <c r="F96" s="91">
        <f>IFERROR(__xludf.DUMMYFUNCTION("""COMPUTED_VALUE"""),0.1700011216484451)</f>
        <v>0.1700011216</v>
      </c>
      <c r="G96" s="91">
        <f>IFERROR(__xludf.DUMMYFUNCTION("""COMPUTED_VALUE"""),0.13224734238633856)</f>
        <v>0.1322473424</v>
      </c>
      <c r="H96" s="91">
        <f>IFERROR(__xludf.DUMMYFUNCTION("""COMPUTED_VALUE"""),0.14890556098175747)</f>
        <v>0.148905561</v>
      </c>
      <c r="I96" s="91">
        <f>IFERROR(__xludf.DUMMYFUNCTION("""COMPUTED_VALUE"""),0.12521548883077602)</f>
        <v>0.1252154888</v>
      </c>
      <c r="J96" s="91">
        <f>IFERROR(__xludf.DUMMYFUNCTION("""COMPUTED_VALUE"""),0.0)</f>
        <v>0</v>
      </c>
      <c r="K96" s="91">
        <f>IFERROR(__xludf.DUMMYFUNCTION("""COMPUTED_VALUE"""),0.0)</f>
        <v>0</v>
      </c>
      <c r="L96" s="91">
        <f>IFERROR(__xludf.DUMMYFUNCTION("""COMPUTED_VALUE"""),0.0)</f>
        <v>0</v>
      </c>
      <c r="M96" s="91">
        <f>IFERROR(__xludf.DUMMYFUNCTION("""COMPUTED_VALUE"""),22.69986593150383)</f>
        <v>22.69986593</v>
      </c>
      <c r="N96" s="91">
        <f>IFERROR(__xludf.DUMMYFUNCTION("""COMPUTED_VALUE"""),275.3385257161531)</f>
        <v>275.3385257</v>
      </c>
      <c r="O96" s="91">
        <f>IFERROR(__xludf.DUMMYFUNCTION("""COMPUTED_VALUE"""),0.0)</f>
        <v>0</v>
      </c>
      <c r="Q96" s="147">
        <v>131.4652</v>
      </c>
      <c r="R96" s="147">
        <v>0.946</v>
      </c>
      <c r="S96" s="147">
        <v>1.4518</v>
      </c>
      <c r="T96" s="147">
        <v>0.5872</v>
      </c>
      <c r="U96" s="147">
        <v>0.493</v>
      </c>
      <c r="V96" s="147">
        <v>0.5428</v>
      </c>
      <c r="W96" s="147">
        <v>0.4591</v>
      </c>
      <c r="X96" s="147">
        <v>0.0</v>
      </c>
      <c r="Y96" s="147">
        <v>0.0</v>
      </c>
      <c r="Z96" s="147">
        <v>0.0</v>
      </c>
      <c r="AA96" s="147">
        <v>82.2647</v>
      </c>
      <c r="AB96" s="147">
        <v>973.9038</v>
      </c>
      <c r="AC96" s="147">
        <v>0.0</v>
      </c>
      <c r="AE96" s="87">
        <f t="shared" ref="AE96:AQ96" si="92">IFERROR((Q96-C96)/C96, "")</f>
        <v>2.643121044</v>
      </c>
      <c r="AF96" s="87">
        <f t="shared" si="92"/>
        <v>2.469752359</v>
      </c>
      <c r="AG96" s="87">
        <f t="shared" si="92"/>
        <v>2.57603446</v>
      </c>
      <c r="AH96" s="87">
        <f t="shared" si="92"/>
        <v>2.454094857</v>
      </c>
      <c r="AI96" s="87">
        <f t="shared" si="92"/>
        <v>2.727863193</v>
      </c>
      <c r="AJ96" s="87">
        <f t="shared" si="92"/>
        <v>2.645263457</v>
      </c>
      <c r="AK96" s="87">
        <f t="shared" si="92"/>
        <v>2.666479317</v>
      </c>
      <c r="AL96" s="87" t="str">
        <f t="shared" si="92"/>
        <v/>
      </c>
      <c r="AM96" s="87" t="str">
        <f t="shared" si="92"/>
        <v/>
      </c>
      <c r="AN96" s="87" t="str">
        <f t="shared" si="92"/>
        <v/>
      </c>
      <c r="AO96" s="87">
        <f t="shared" si="92"/>
        <v>2.624016999</v>
      </c>
      <c r="AP96" s="87">
        <f t="shared" si="92"/>
        <v>2.537114167</v>
      </c>
      <c r="AQ96" s="87" t="str">
        <f t="shared" si="92"/>
        <v/>
      </c>
    </row>
    <row r="97">
      <c r="B97" s="89" t="s">
        <v>170</v>
      </c>
      <c r="C97" s="91">
        <f>IFERROR(__xludf.DUMMYFUNCTION("""COMPUTED_VALUE"""),13.85567688068714)</f>
        <v>13.85567688</v>
      </c>
      <c r="D97" s="91">
        <f>IFERROR(__xludf.DUMMYFUNCTION("""COMPUTED_VALUE"""),0.20547561044771417)</f>
        <v>0.2054756104</v>
      </c>
      <c r="E97" s="91">
        <f>IFERROR(__xludf.DUMMYFUNCTION("""COMPUTED_VALUE"""),0.14529264312045118)</f>
        <v>0.1452926431</v>
      </c>
      <c r="F97" s="91">
        <f>IFERROR(__xludf.DUMMYFUNCTION("""COMPUTED_VALUE"""),0.019325473392356407)</f>
        <v>0.01932547339</v>
      </c>
      <c r="G97" s="91">
        <f>IFERROR(__xludf.DUMMYFUNCTION("""COMPUTED_VALUE"""),0.0)</f>
        <v>0</v>
      </c>
      <c r="H97" s="91">
        <f>IFERROR(__xludf.DUMMYFUNCTION("""COMPUTED_VALUE"""),0.0)</f>
        <v>0</v>
      </c>
      <c r="I97" s="91">
        <f>IFERROR(__xludf.DUMMYFUNCTION("""COMPUTED_VALUE"""),0.0)</f>
        <v>0</v>
      </c>
      <c r="J97" s="91">
        <f>IFERROR(__xludf.DUMMYFUNCTION("""COMPUTED_VALUE"""),0.9476513815810202)</f>
        <v>0.9476513816</v>
      </c>
      <c r="K97" s="91">
        <f>IFERROR(__xludf.DUMMYFUNCTION("""COMPUTED_VALUE"""),1.5604410472919752)</f>
        <v>1.560441047</v>
      </c>
      <c r="L97" s="91">
        <f>IFERROR(__xludf.DUMMYFUNCTION("""COMPUTED_VALUE"""),1.9740595229843412)</f>
        <v>1.974059523</v>
      </c>
      <c r="M97" s="91">
        <f>IFERROR(__xludf.DUMMYFUNCTION("""COMPUTED_VALUE"""),19.376781675541135)</f>
        <v>19.37678168</v>
      </c>
      <c r="N97" s="91">
        <f>IFERROR(__xludf.DUMMYFUNCTION("""COMPUTED_VALUE"""),0.0)</f>
        <v>0</v>
      </c>
      <c r="O97" s="91">
        <f>IFERROR(__xludf.DUMMYFUNCTION("""COMPUTED_VALUE"""),0.05620633290273796)</f>
        <v>0.0562063329</v>
      </c>
      <c r="Q97" s="147">
        <v>49.8697</v>
      </c>
      <c r="R97" s="147">
        <v>0.5543</v>
      </c>
      <c r="S97" s="147">
        <v>0.4449</v>
      </c>
      <c r="T97" s="147">
        <v>0.0563</v>
      </c>
      <c r="U97" s="147">
        <v>0.0</v>
      </c>
      <c r="V97" s="147">
        <v>0.0</v>
      </c>
      <c r="W97" s="147">
        <v>0.0</v>
      </c>
      <c r="X97" s="147">
        <v>1.7231</v>
      </c>
      <c r="Y97" s="147">
        <v>4.412</v>
      </c>
      <c r="Z97" s="147">
        <v>6.5566</v>
      </c>
      <c r="AA97" s="147">
        <v>56.7926</v>
      </c>
      <c r="AB97" s="147">
        <v>0.0</v>
      </c>
      <c r="AC97" s="147">
        <v>0.0143</v>
      </c>
      <c r="AE97" s="87">
        <f t="shared" ref="AE97:AQ97" si="93">IFERROR((Q97-C97)/C97, "")</f>
        <v>2.5992251</v>
      </c>
      <c r="AF97" s="87">
        <f t="shared" si="93"/>
        <v>1.697643768</v>
      </c>
      <c r="AG97" s="87">
        <f t="shared" si="93"/>
        <v>2.062095853</v>
      </c>
      <c r="AH97" s="87">
        <f t="shared" si="93"/>
        <v>1.913253345</v>
      </c>
      <c r="AI97" s="87" t="str">
        <f t="shared" si="93"/>
        <v/>
      </c>
      <c r="AJ97" s="87" t="str">
        <f t="shared" si="93"/>
        <v/>
      </c>
      <c r="AK97" s="87" t="str">
        <f t="shared" si="93"/>
        <v/>
      </c>
      <c r="AL97" s="87">
        <f t="shared" si="93"/>
        <v>0.8182846915</v>
      </c>
      <c r="AM97" s="87">
        <f t="shared" si="93"/>
        <v>1.827405757</v>
      </c>
      <c r="AN97" s="87">
        <f t="shared" si="93"/>
        <v>2.321379079</v>
      </c>
      <c r="AO97" s="87">
        <f t="shared" si="93"/>
        <v>1.930961444</v>
      </c>
      <c r="AP97" s="87" t="str">
        <f t="shared" si="93"/>
        <v/>
      </c>
      <c r="AQ97" s="87">
        <f t="shared" si="93"/>
        <v>-0.7455802707</v>
      </c>
    </row>
    <row r="98">
      <c r="B98" s="89" t="s">
        <v>176</v>
      </c>
      <c r="C98" s="91">
        <f>IFERROR(__xludf.DUMMYFUNCTION("""COMPUTED_VALUE"""),38.35810645577993)</f>
        <v>38.35810646</v>
      </c>
      <c r="D98" s="91">
        <f>IFERROR(__xludf.DUMMYFUNCTION("""COMPUTED_VALUE"""),0.24531469800560815)</f>
        <v>0.245314698</v>
      </c>
      <c r="E98" s="91">
        <f>IFERROR(__xludf.DUMMYFUNCTION("""COMPUTED_VALUE"""),0.0)</f>
        <v>0</v>
      </c>
      <c r="F98" s="91">
        <f>IFERROR(__xludf.DUMMYFUNCTION("""COMPUTED_VALUE"""),0.019010252370900146)</f>
        <v>0.01901025237</v>
      </c>
      <c r="G98" s="91">
        <f>IFERROR(__xludf.DUMMYFUNCTION("""COMPUTED_VALUE"""),0.3248231387252275)</f>
        <v>0.3248231387</v>
      </c>
      <c r="H98" s="91">
        <f>IFERROR(__xludf.DUMMYFUNCTION("""COMPUTED_VALUE"""),0.22351595198336421)</f>
        <v>0.223515952</v>
      </c>
      <c r="I98" s="91">
        <f>IFERROR(__xludf.DUMMYFUNCTION("""COMPUTED_VALUE"""),0.0)</f>
        <v>0</v>
      </c>
      <c r="J98" s="91">
        <f>IFERROR(__xludf.DUMMYFUNCTION("""COMPUTED_VALUE"""),0.0)</f>
        <v>0</v>
      </c>
      <c r="K98" s="91">
        <f>IFERROR(__xludf.DUMMYFUNCTION("""COMPUTED_VALUE"""),1.212388544062509E-4)</f>
        <v>0.0001212388544</v>
      </c>
      <c r="L98" s="91">
        <f>IFERROR(__xludf.DUMMYFUNCTION("""COMPUTED_VALUE"""),0.0)</f>
        <v>0</v>
      </c>
      <c r="M98" s="91">
        <f>IFERROR(__xludf.DUMMYFUNCTION("""COMPUTED_VALUE"""),9.580221531869304)</f>
        <v>9.580221532</v>
      </c>
      <c r="N98" s="91">
        <f>IFERROR(__xludf.DUMMYFUNCTION("""COMPUTED_VALUE"""),0.0)</f>
        <v>0</v>
      </c>
      <c r="O98" s="91">
        <f>IFERROR(__xludf.DUMMYFUNCTION("""COMPUTED_VALUE"""),0.0)</f>
        <v>0</v>
      </c>
      <c r="Q98" s="147">
        <v>219.2101</v>
      </c>
      <c r="R98" s="147">
        <v>0.5719</v>
      </c>
      <c r="S98" s="147">
        <v>0.0</v>
      </c>
      <c r="T98" s="147">
        <v>0.1774</v>
      </c>
      <c r="U98" s="147">
        <v>0.987</v>
      </c>
      <c r="V98" s="147">
        <v>0.3945</v>
      </c>
      <c r="W98" s="147">
        <v>0.0</v>
      </c>
      <c r="X98" s="147">
        <v>0.0</v>
      </c>
      <c r="Y98" s="147">
        <v>0.0</v>
      </c>
      <c r="Z98" s="147">
        <v>0.0</v>
      </c>
      <c r="AA98" s="147">
        <v>47.1132</v>
      </c>
      <c r="AB98" s="147">
        <v>0.0</v>
      </c>
      <c r="AC98" s="147">
        <v>0.0</v>
      </c>
      <c r="AE98" s="87">
        <f t="shared" ref="AE98:AQ98" si="94">IFERROR((Q98-C98)/C98, "")</f>
        <v>4.714831108</v>
      </c>
      <c r="AF98" s="87">
        <f t="shared" si="94"/>
        <v>1.331291213</v>
      </c>
      <c r="AG98" s="87" t="str">
        <f t="shared" si="94"/>
        <v/>
      </c>
      <c r="AH98" s="87">
        <f t="shared" si="94"/>
        <v>8.331806677</v>
      </c>
      <c r="AI98" s="87">
        <f t="shared" si="94"/>
        <v>2.038576635</v>
      </c>
      <c r="AJ98" s="87">
        <f t="shared" si="94"/>
        <v>0.7649746987</v>
      </c>
      <c r="AK98" s="87" t="str">
        <f t="shared" si="94"/>
        <v/>
      </c>
      <c r="AL98" s="87" t="str">
        <f t="shared" si="94"/>
        <v/>
      </c>
      <c r="AM98" s="87">
        <f t="shared" si="94"/>
        <v>-1</v>
      </c>
      <c r="AN98" s="87" t="str">
        <f t="shared" si="94"/>
        <v/>
      </c>
      <c r="AO98" s="87">
        <f t="shared" si="94"/>
        <v>3.917756843</v>
      </c>
      <c r="AP98" s="87" t="str">
        <f t="shared" si="94"/>
        <v/>
      </c>
      <c r="AQ98" s="87" t="str">
        <f t="shared" si="94"/>
        <v/>
      </c>
    </row>
    <row r="99">
      <c r="B99" s="89" t="s">
        <v>179</v>
      </c>
      <c r="C99" s="91">
        <f>IFERROR(__xludf.DUMMYFUNCTION("""COMPUTED_VALUE"""),0.0)</f>
        <v>0</v>
      </c>
      <c r="D99" s="91">
        <f>IFERROR(__xludf.DUMMYFUNCTION("""COMPUTED_VALUE"""),0.30324999999999985)</f>
        <v>0.30325</v>
      </c>
      <c r="E99" s="91">
        <f>IFERROR(__xludf.DUMMYFUNCTION("""COMPUTED_VALUE"""),0.0)</f>
        <v>0</v>
      </c>
      <c r="F99" s="91">
        <f>IFERROR(__xludf.DUMMYFUNCTION("""COMPUTED_VALUE"""),0.0)</f>
        <v>0</v>
      </c>
      <c r="G99" s="91">
        <f>IFERROR(__xludf.DUMMYFUNCTION("""COMPUTED_VALUE"""),0.2995833333333332)</f>
        <v>0.2995833333</v>
      </c>
      <c r="H99" s="91">
        <f>IFERROR(__xludf.DUMMYFUNCTION("""COMPUTED_VALUE"""),0.29897222222222214)</f>
        <v>0.2989722222</v>
      </c>
      <c r="I99" s="91">
        <f>IFERROR(__xludf.DUMMYFUNCTION("""COMPUTED_VALUE"""),0.3040277777777777)</f>
        <v>0.3040277778</v>
      </c>
      <c r="J99" s="91">
        <f>IFERROR(__xludf.DUMMYFUNCTION("""COMPUTED_VALUE"""),0.0)</f>
        <v>0</v>
      </c>
      <c r="K99" s="91">
        <f>IFERROR(__xludf.DUMMYFUNCTION("""COMPUTED_VALUE"""),0.0)</f>
        <v>0</v>
      </c>
      <c r="L99" s="91">
        <f>IFERROR(__xludf.DUMMYFUNCTION("""COMPUTED_VALUE"""),0.0)</f>
        <v>0</v>
      </c>
      <c r="M99" s="91">
        <f>IFERROR(__xludf.DUMMYFUNCTION("""COMPUTED_VALUE"""),37.489055555555545)</f>
        <v>37.48905556</v>
      </c>
      <c r="N99" s="91">
        <f>IFERROR(__xludf.DUMMYFUNCTION("""COMPUTED_VALUE"""),5.906083333333331)</f>
        <v>5.906083333</v>
      </c>
      <c r="O99" s="91">
        <f>IFERROR(__xludf.DUMMYFUNCTION("""COMPUTED_VALUE"""),0.0)</f>
        <v>0</v>
      </c>
      <c r="Q99" s="147">
        <v>0.0</v>
      </c>
      <c r="R99" s="147">
        <v>0.4467</v>
      </c>
      <c r="S99" s="147">
        <v>0.0</v>
      </c>
      <c r="T99" s="147">
        <v>0.0</v>
      </c>
      <c r="U99" s="147">
        <v>0.4467</v>
      </c>
      <c r="V99" s="147">
        <v>0.4467</v>
      </c>
      <c r="W99" s="147">
        <v>0.4467</v>
      </c>
      <c r="X99" s="147">
        <v>0.0</v>
      </c>
      <c r="Y99" s="147">
        <v>0.0</v>
      </c>
      <c r="Z99" s="147">
        <v>0.0</v>
      </c>
      <c r="AA99" s="147">
        <v>79.1132</v>
      </c>
      <c r="AB99" s="147">
        <v>7.9673</v>
      </c>
      <c r="AC99" s="147">
        <v>0.0</v>
      </c>
      <c r="AE99" s="87" t="str">
        <f t="shared" ref="AE99:AQ99" si="95">IFERROR((Q99-C99)/C99, "")</f>
        <v/>
      </c>
      <c r="AF99" s="87">
        <f t="shared" si="95"/>
        <v>0.4730420445</v>
      </c>
      <c r="AG99" s="87" t="str">
        <f t="shared" si="95"/>
        <v/>
      </c>
      <c r="AH99" s="87" t="str">
        <f t="shared" si="95"/>
        <v/>
      </c>
      <c r="AI99" s="87">
        <f t="shared" si="95"/>
        <v>0.4910709318</v>
      </c>
      <c r="AJ99" s="87">
        <f t="shared" si="95"/>
        <v>0.4941187401</v>
      </c>
      <c r="AK99" s="87">
        <f t="shared" si="95"/>
        <v>0.4692736409</v>
      </c>
      <c r="AL99" s="87" t="str">
        <f t="shared" si="95"/>
        <v/>
      </c>
      <c r="AM99" s="87" t="str">
        <f t="shared" si="95"/>
        <v/>
      </c>
      <c r="AN99" s="87" t="str">
        <f t="shared" si="95"/>
        <v/>
      </c>
      <c r="AO99" s="87">
        <f t="shared" si="95"/>
        <v>1.110301229</v>
      </c>
      <c r="AP99" s="87">
        <f t="shared" si="95"/>
        <v>0.3489989135</v>
      </c>
      <c r="AQ99" s="87" t="str">
        <f t="shared" si="95"/>
        <v/>
      </c>
    </row>
    <row r="100">
      <c r="B100" s="89" t="s">
        <v>180</v>
      </c>
      <c r="C100" s="91">
        <f>IFERROR(__xludf.DUMMYFUNCTION("""COMPUTED_VALUE"""),12.52928525204161)</f>
        <v>12.52928525</v>
      </c>
      <c r="D100" s="91">
        <f>IFERROR(__xludf.DUMMYFUNCTION("""COMPUTED_VALUE"""),0.21432682115133395)</f>
        <v>0.2143268212</v>
      </c>
      <c r="E100" s="91">
        <f>IFERROR(__xludf.DUMMYFUNCTION("""COMPUTED_VALUE"""),0.25475710448676614)</f>
        <v>0.2547571045</v>
      </c>
      <c r="F100" s="91">
        <f>IFERROR(__xludf.DUMMYFUNCTION("""COMPUTED_VALUE"""),0.17297014834504074)</f>
        <v>0.1729701483</v>
      </c>
      <c r="G100" s="91">
        <f>IFERROR(__xludf.DUMMYFUNCTION("""COMPUTED_VALUE"""),0.3169575403874311)</f>
        <v>0.3169575404</v>
      </c>
      <c r="H100" s="91">
        <f>IFERROR(__xludf.DUMMYFUNCTION("""COMPUTED_VALUE"""),0.2834751780834562)</f>
        <v>0.2834751781</v>
      </c>
      <c r="I100" s="91">
        <f>IFERROR(__xludf.DUMMYFUNCTION("""COMPUTED_VALUE"""),0.2571392488404086)</f>
        <v>0.2571392488</v>
      </c>
      <c r="J100" s="91">
        <f>IFERROR(__xludf.DUMMYFUNCTION("""COMPUTED_VALUE"""),0.0)</f>
        <v>0</v>
      </c>
      <c r="K100" s="91">
        <f>IFERROR(__xludf.DUMMYFUNCTION("""COMPUTED_VALUE"""),1.9110753077096867)</f>
        <v>1.911075308</v>
      </c>
      <c r="L100" s="91">
        <f>IFERROR(__xludf.DUMMYFUNCTION("""COMPUTED_VALUE"""),2.302706456516161)</f>
        <v>2.302706457</v>
      </c>
      <c r="M100" s="91">
        <f>IFERROR(__xludf.DUMMYFUNCTION("""COMPUTED_VALUE"""),26.257516991406785)</f>
        <v>26.25751699</v>
      </c>
      <c r="N100" s="91">
        <f>IFERROR(__xludf.DUMMYFUNCTION("""COMPUTED_VALUE"""),0.0)</f>
        <v>0</v>
      </c>
      <c r="O100" s="91">
        <f>IFERROR(__xludf.DUMMYFUNCTION("""COMPUTED_VALUE"""),0.0)</f>
        <v>0</v>
      </c>
      <c r="Q100" s="147">
        <v>28.9263</v>
      </c>
      <c r="R100" s="147">
        <v>0.4888</v>
      </c>
      <c r="S100" s="147">
        <v>0.5374</v>
      </c>
      <c r="T100" s="147">
        <v>0.5458</v>
      </c>
      <c r="U100" s="147">
        <v>0.6378</v>
      </c>
      <c r="V100" s="147">
        <v>0.5993</v>
      </c>
      <c r="W100" s="147">
        <v>0.5643</v>
      </c>
      <c r="X100" s="147">
        <v>0.0</v>
      </c>
      <c r="Y100" s="147">
        <v>4.6958</v>
      </c>
      <c r="Z100" s="147">
        <v>5.2169</v>
      </c>
      <c r="AA100" s="147">
        <v>55.1951</v>
      </c>
      <c r="AB100" s="147">
        <v>0.0</v>
      </c>
      <c r="AC100" s="147">
        <v>0.0</v>
      </c>
      <c r="AE100" s="87">
        <f t="shared" ref="AE100:AQ100" si="96">IFERROR((Q100-C100)/C100, "")</f>
        <v>1.308695142</v>
      </c>
      <c r="AF100" s="87">
        <f t="shared" si="96"/>
        <v>1.280629169</v>
      </c>
      <c r="AG100" s="87">
        <f t="shared" si="96"/>
        <v>1.109460308</v>
      </c>
      <c r="AH100" s="87">
        <f t="shared" si="96"/>
        <v>2.155457778</v>
      </c>
      <c r="AI100" s="87">
        <f t="shared" si="96"/>
        <v>1.012256907</v>
      </c>
      <c r="AJ100" s="87">
        <f t="shared" si="96"/>
        <v>1.114118083</v>
      </c>
      <c r="AK100" s="87">
        <f t="shared" si="96"/>
        <v>1.194530794</v>
      </c>
      <c r="AL100" s="87" t="str">
        <f t="shared" si="96"/>
        <v/>
      </c>
      <c r="AM100" s="87">
        <f t="shared" si="96"/>
        <v>1.457150684</v>
      </c>
      <c r="AN100" s="87">
        <f t="shared" si="96"/>
        <v>1.265551471</v>
      </c>
      <c r="AO100" s="87">
        <f t="shared" si="96"/>
        <v>1.102068525</v>
      </c>
      <c r="AP100" s="87" t="str">
        <f t="shared" si="96"/>
        <v/>
      </c>
      <c r="AQ100" s="87" t="str">
        <f t="shared" si="96"/>
        <v/>
      </c>
    </row>
    <row r="101">
      <c r="B101" s="89" t="s">
        <v>182</v>
      </c>
      <c r="C101" s="91">
        <f>IFERROR(__xludf.DUMMYFUNCTION("""COMPUTED_VALUE"""),0.0)</f>
        <v>0</v>
      </c>
      <c r="D101" s="91">
        <f>IFERROR(__xludf.DUMMYFUNCTION("""COMPUTED_VALUE"""),0.0)</f>
        <v>0</v>
      </c>
      <c r="E101" s="91">
        <f>IFERROR(__xludf.DUMMYFUNCTION("""COMPUTED_VALUE"""),0.0)</f>
        <v>0</v>
      </c>
      <c r="F101" s="91">
        <f>IFERROR(__xludf.DUMMYFUNCTION("""COMPUTED_VALUE"""),0.0)</f>
        <v>0</v>
      </c>
      <c r="G101" s="91">
        <f>IFERROR(__xludf.DUMMYFUNCTION("""COMPUTED_VALUE"""),0.0)</f>
        <v>0</v>
      </c>
      <c r="H101" s="91">
        <f>IFERROR(__xludf.DUMMYFUNCTION("""COMPUTED_VALUE"""),0.0)</f>
        <v>0</v>
      </c>
      <c r="I101" s="91">
        <f>IFERROR(__xludf.DUMMYFUNCTION("""COMPUTED_VALUE"""),0.0)</f>
        <v>0</v>
      </c>
      <c r="J101" s="91">
        <f>IFERROR(__xludf.DUMMYFUNCTION("""COMPUTED_VALUE"""),0.0)</f>
        <v>0</v>
      </c>
      <c r="K101" s="91">
        <f>IFERROR(__xludf.DUMMYFUNCTION("""COMPUTED_VALUE"""),0.0)</f>
        <v>0</v>
      </c>
      <c r="L101" s="91">
        <f>IFERROR(__xludf.DUMMYFUNCTION("""COMPUTED_VALUE"""),0.0)</f>
        <v>0</v>
      </c>
      <c r="M101" s="91">
        <f>IFERROR(__xludf.DUMMYFUNCTION("""COMPUTED_VALUE"""),0.0)</f>
        <v>0</v>
      </c>
      <c r="N101" s="91">
        <f>IFERROR(__xludf.DUMMYFUNCTION("""COMPUTED_VALUE"""),0.0)</f>
        <v>0</v>
      </c>
      <c r="O101" s="91">
        <f>IFERROR(__xludf.DUMMYFUNCTION("""COMPUTED_VALUE"""),0.0)</f>
        <v>0</v>
      </c>
      <c r="Q101" s="147">
        <v>0.2115</v>
      </c>
      <c r="R101" s="147">
        <v>4.0E-4</v>
      </c>
      <c r="S101" s="147">
        <v>0.0</v>
      </c>
      <c r="T101" s="147">
        <v>0.0</v>
      </c>
      <c r="U101" s="147">
        <v>0.005</v>
      </c>
      <c r="V101" s="147">
        <v>0.0141</v>
      </c>
      <c r="W101" s="147">
        <v>0.0</v>
      </c>
      <c r="X101" s="147">
        <v>0.0477</v>
      </c>
      <c r="Y101" s="147">
        <v>0.103</v>
      </c>
      <c r="Z101" s="147">
        <v>0.1562</v>
      </c>
      <c r="AA101" s="147">
        <v>0.5157</v>
      </c>
      <c r="AB101" s="147">
        <v>0.0</v>
      </c>
      <c r="AC101" s="147">
        <v>0.0</v>
      </c>
      <c r="AE101" s="87" t="str">
        <f t="shared" ref="AE101:AQ101" si="97">IFERROR((Q101-C101)/C101, "")</f>
        <v/>
      </c>
      <c r="AF101" s="87" t="str">
        <f t="shared" si="97"/>
        <v/>
      </c>
      <c r="AG101" s="87" t="str">
        <f t="shared" si="97"/>
        <v/>
      </c>
      <c r="AH101" s="87" t="str">
        <f t="shared" si="97"/>
        <v/>
      </c>
      <c r="AI101" s="87" t="str">
        <f t="shared" si="97"/>
        <v/>
      </c>
      <c r="AJ101" s="87" t="str">
        <f t="shared" si="97"/>
        <v/>
      </c>
      <c r="AK101" s="87" t="str">
        <f t="shared" si="97"/>
        <v/>
      </c>
      <c r="AL101" s="87" t="str">
        <f t="shared" si="97"/>
        <v/>
      </c>
      <c r="AM101" s="87" t="str">
        <f t="shared" si="97"/>
        <v/>
      </c>
      <c r="AN101" s="87" t="str">
        <f t="shared" si="97"/>
        <v/>
      </c>
      <c r="AO101" s="87" t="str">
        <f t="shared" si="97"/>
        <v/>
      </c>
      <c r="AP101" s="87" t="str">
        <f t="shared" si="97"/>
        <v/>
      </c>
      <c r="AQ101" s="87" t="str">
        <f t="shared" si="97"/>
        <v/>
      </c>
    </row>
    <row r="102">
      <c r="B102" s="89" t="s">
        <v>183</v>
      </c>
      <c r="C102" s="91">
        <f>IFERROR(__xludf.DUMMYFUNCTION("""COMPUTED_VALUE"""),6.966692524020953)</f>
        <v>6.966692524</v>
      </c>
      <c r="D102" s="91">
        <f>IFERROR(__xludf.DUMMYFUNCTION("""COMPUTED_VALUE"""),0.0)</f>
        <v>0</v>
      </c>
      <c r="E102" s="91">
        <f>IFERROR(__xludf.DUMMYFUNCTION("""COMPUTED_VALUE"""),0.03807068614938251)</f>
        <v>0.03807068615</v>
      </c>
      <c r="F102" s="91">
        <f>IFERROR(__xludf.DUMMYFUNCTION("""COMPUTED_VALUE"""),0.010702497953075384)</f>
        <v>0.01070249795</v>
      </c>
      <c r="G102" s="91">
        <f>IFERROR(__xludf.DUMMYFUNCTION("""COMPUTED_VALUE"""),0.00455702467588368)</f>
        <v>0.004557024676</v>
      </c>
      <c r="H102" s="91">
        <f>IFERROR(__xludf.DUMMYFUNCTION("""COMPUTED_VALUE"""),0.0052080282010099205)</f>
        <v>0.005208028201</v>
      </c>
      <c r="I102" s="91">
        <f>IFERROR(__xludf.DUMMYFUNCTION("""COMPUTED_VALUE"""),0.0064319148282472515)</f>
        <v>0.006431914828</v>
      </c>
      <c r="J102" s="91">
        <f>IFERROR(__xludf.DUMMYFUNCTION("""COMPUTED_VALUE"""),0.0)</f>
        <v>0</v>
      </c>
      <c r="K102" s="91">
        <f>IFERROR(__xludf.DUMMYFUNCTION("""COMPUTED_VALUE"""),0.0)</f>
        <v>0</v>
      </c>
      <c r="L102" s="91">
        <f>IFERROR(__xludf.DUMMYFUNCTION("""COMPUTED_VALUE"""),0.0)</f>
        <v>0</v>
      </c>
      <c r="M102" s="91">
        <f>IFERROR(__xludf.DUMMYFUNCTION("""COMPUTED_VALUE"""),3.3506370234017417)</f>
        <v>3.350637023</v>
      </c>
      <c r="N102" s="91">
        <f>IFERROR(__xludf.DUMMYFUNCTION("""COMPUTED_VALUE"""),11.351788095440664)</f>
        <v>11.3517881</v>
      </c>
      <c r="O102" s="91">
        <f>IFERROR(__xludf.DUMMYFUNCTION("""COMPUTED_VALUE"""),0.0)</f>
        <v>0</v>
      </c>
      <c r="Q102" s="147">
        <v>26.6303</v>
      </c>
      <c r="R102" s="147">
        <v>0.0854</v>
      </c>
      <c r="S102" s="147">
        <v>0.1231</v>
      </c>
      <c r="T102" s="147">
        <v>0.0292</v>
      </c>
      <c r="U102" s="147">
        <v>0.0153</v>
      </c>
      <c r="V102" s="147">
        <v>0.0166</v>
      </c>
      <c r="W102" s="147">
        <v>0.0207</v>
      </c>
      <c r="X102" s="147">
        <v>0.0</v>
      </c>
      <c r="Y102" s="147">
        <v>0.0</v>
      </c>
      <c r="Z102" s="147">
        <v>0.0</v>
      </c>
      <c r="AA102" s="147">
        <v>23.2844</v>
      </c>
      <c r="AB102" s="147">
        <v>48.8759</v>
      </c>
      <c r="AC102" s="147">
        <v>0.0</v>
      </c>
      <c r="AE102" s="87">
        <f t="shared" ref="AE102:AQ102" si="98">IFERROR((Q102-C102)/C102, "")</f>
        <v>2.822516913</v>
      </c>
      <c r="AF102" s="87" t="str">
        <f t="shared" si="98"/>
        <v/>
      </c>
      <c r="AG102" s="87">
        <f t="shared" si="98"/>
        <v>2.233458927</v>
      </c>
      <c r="AH102" s="87">
        <f t="shared" si="98"/>
        <v>1.728335023</v>
      </c>
      <c r="AI102" s="87">
        <f t="shared" si="98"/>
        <v>2.357453841</v>
      </c>
      <c r="AJ102" s="87">
        <f t="shared" si="98"/>
        <v>2.187386734</v>
      </c>
      <c r="AK102" s="87">
        <f t="shared" si="98"/>
        <v>2.218326199</v>
      </c>
      <c r="AL102" s="87" t="str">
        <f t="shared" si="98"/>
        <v/>
      </c>
      <c r="AM102" s="87" t="str">
        <f t="shared" si="98"/>
        <v/>
      </c>
      <c r="AN102" s="87" t="str">
        <f t="shared" si="98"/>
        <v/>
      </c>
      <c r="AO102" s="87">
        <f t="shared" si="98"/>
        <v>5.949245722</v>
      </c>
      <c r="AP102" s="87">
        <f t="shared" si="98"/>
        <v>3.305568391</v>
      </c>
      <c r="AQ102" s="87" t="str">
        <f t="shared" si="98"/>
        <v/>
      </c>
    </row>
    <row r="103">
      <c r="B103" s="89" t="s">
        <v>185</v>
      </c>
      <c r="C103" s="91">
        <f>IFERROR(__xludf.DUMMYFUNCTION("""COMPUTED_VALUE"""),0.0)</f>
        <v>0</v>
      </c>
      <c r="D103" s="91">
        <f>IFERROR(__xludf.DUMMYFUNCTION("""COMPUTED_VALUE"""),0.0)</f>
        <v>0</v>
      </c>
      <c r="E103" s="91">
        <f>IFERROR(__xludf.DUMMYFUNCTION("""COMPUTED_VALUE"""),0.0)</f>
        <v>0</v>
      </c>
      <c r="F103" s="91">
        <f>IFERROR(__xludf.DUMMYFUNCTION("""COMPUTED_VALUE"""),0.0)</f>
        <v>0</v>
      </c>
      <c r="G103" s="91">
        <f>IFERROR(__xludf.DUMMYFUNCTION("""COMPUTED_VALUE"""),0.0)</f>
        <v>0</v>
      </c>
      <c r="H103" s="91">
        <f>IFERROR(__xludf.DUMMYFUNCTION("""COMPUTED_VALUE"""),0.0)</f>
        <v>0</v>
      </c>
      <c r="I103" s="91">
        <f>IFERROR(__xludf.DUMMYFUNCTION("""COMPUTED_VALUE"""),0.0)</f>
        <v>0</v>
      </c>
      <c r="J103" s="91">
        <f>IFERROR(__xludf.DUMMYFUNCTION("""COMPUTED_VALUE"""),0.0)</f>
        <v>0</v>
      </c>
      <c r="K103" s="91">
        <f>IFERROR(__xludf.DUMMYFUNCTION("""COMPUTED_VALUE"""),0.0)</f>
        <v>0</v>
      </c>
      <c r="L103" s="91">
        <f>IFERROR(__xludf.DUMMYFUNCTION("""COMPUTED_VALUE"""),0.0)</f>
        <v>0</v>
      </c>
      <c r="M103" s="91">
        <f>IFERROR(__xludf.DUMMYFUNCTION("""COMPUTED_VALUE"""),0.0)</f>
        <v>0</v>
      </c>
      <c r="N103" s="91">
        <f>IFERROR(__xludf.DUMMYFUNCTION("""COMPUTED_VALUE"""),0.0)</f>
        <v>0</v>
      </c>
      <c r="O103" s="91">
        <f>IFERROR(__xludf.DUMMYFUNCTION("""COMPUTED_VALUE"""),0.0)</f>
        <v>0</v>
      </c>
      <c r="Q103" s="147">
        <v>0.0</v>
      </c>
      <c r="R103" s="147">
        <v>0.0</v>
      </c>
      <c r="S103" s="147">
        <v>0.0</v>
      </c>
      <c r="T103" s="147">
        <v>0.0</v>
      </c>
      <c r="U103" s="147">
        <v>0.0</v>
      </c>
      <c r="V103" s="147">
        <v>0.0</v>
      </c>
      <c r="W103" s="147">
        <v>0.0</v>
      </c>
      <c r="X103" s="147">
        <v>0.0</v>
      </c>
      <c r="Y103" s="147">
        <v>0.0</v>
      </c>
      <c r="Z103" s="147">
        <v>0.0</v>
      </c>
      <c r="AA103" s="147">
        <v>0.0</v>
      </c>
      <c r="AB103" s="147">
        <v>0.0</v>
      </c>
      <c r="AC103" s="147">
        <v>0.0</v>
      </c>
      <c r="AE103" s="87" t="str">
        <f t="shared" ref="AE103:AQ103" si="99">IFERROR((Q103-C103)/C103, "")</f>
        <v/>
      </c>
      <c r="AF103" s="87" t="str">
        <f t="shared" si="99"/>
        <v/>
      </c>
      <c r="AG103" s="87" t="str">
        <f t="shared" si="99"/>
        <v/>
      </c>
      <c r="AH103" s="87" t="str">
        <f t="shared" si="99"/>
        <v/>
      </c>
      <c r="AI103" s="87" t="str">
        <f t="shared" si="99"/>
        <v/>
      </c>
      <c r="AJ103" s="87" t="str">
        <f t="shared" si="99"/>
        <v/>
      </c>
      <c r="AK103" s="87" t="str">
        <f t="shared" si="99"/>
        <v/>
      </c>
      <c r="AL103" s="87" t="str">
        <f t="shared" si="99"/>
        <v/>
      </c>
      <c r="AM103" s="87" t="str">
        <f t="shared" si="99"/>
        <v/>
      </c>
      <c r="AN103" s="87" t="str">
        <f t="shared" si="99"/>
        <v/>
      </c>
      <c r="AO103" s="87" t="str">
        <f t="shared" si="99"/>
        <v/>
      </c>
      <c r="AP103" s="87" t="str">
        <f t="shared" si="99"/>
        <v/>
      </c>
      <c r="AQ103" s="87" t="str">
        <f t="shared" si="99"/>
        <v/>
      </c>
    </row>
    <row r="104">
      <c r="B104" s="84" t="s">
        <v>186</v>
      </c>
      <c r="C104" s="86">
        <f>IFERROR(__xludf.DUMMYFUNCTION("""COMPUTED_VALUE"""),25.049648484848486)</f>
        <v>25.04964848</v>
      </c>
      <c r="D104" s="86">
        <f>IFERROR(__xludf.DUMMYFUNCTION("""COMPUTED_VALUE"""),0.28198787878787884)</f>
        <v>0.2819878788</v>
      </c>
      <c r="E104" s="86">
        <f>IFERROR(__xludf.DUMMYFUNCTION("""COMPUTED_VALUE"""),0.2834666666666667)</f>
        <v>0.2834666667</v>
      </c>
      <c r="F104" s="86">
        <f>IFERROR(__xludf.DUMMYFUNCTION("""COMPUTED_VALUE"""),0.18353939393939392)</f>
        <v>0.1835393939</v>
      </c>
      <c r="G104" s="86">
        <f>IFERROR(__xludf.DUMMYFUNCTION("""COMPUTED_VALUE"""),0.3829575757575757)</f>
        <v>0.3829575758</v>
      </c>
      <c r="H104" s="86">
        <f>IFERROR(__xludf.DUMMYFUNCTION("""COMPUTED_VALUE"""),0.4299878787878787)</f>
        <v>0.4299878788</v>
      </c>
      <c r="I104" s="86">
        <f>IFERROR(__xludf.DUMMYFUNCTION("""COMPUTED_VALUE"""),0.435660606060606)</f>
        <v>0.4356606061</v>
      </c>
      <c r="J104" s="86">
        <f>IFERROR(__xludf.DUMMYFUNCTION("""COMPUTED_VALUE"""),0.09789090909090911)</f>
        <v>0.09789090909</v>
      </c>
      <c r="K104" s="86">
        <f>IFERROR(__xludf.DUMMYFUNCTION("""COMPUTED_VALUE"""),0.07229090909090909)</f>
        <v>0.07229090909</v>
      </c>
      <c r="L104" s="86">
        <f>IFERROR(__xludf.DUMMYFUNCTION("""COMPUTED_VALUE"""),0.07163636363636362)</f>
        <v>0.07163636364</v>
      </c>
      <c r="M104" s="86">
        <f>IFERROR(__xludf.DUMMYFUNCTION("""COMPUTED_VALUE"""),17.126981818181818)</f>
        <v>17.12698182</v>
      </c>
      <c r="N104" s="85">
        <f>IFERROR(__xludf.DUMMYFUNCTION("""COMPUTED_VALUE"""),33.58244848484849)</f>
        <v>33.58244848</v>
      </c>
      <c r="O104" s="85">
        <f>IFERROR(__xludf.DUMMYFUNCTION("""COMPUTED_VALUE"""),0.0)</f>
        <v>0</v>
      </c>
      <c r="Q104" s="147">
        <v>54.6085</v>
      </c>
      <c r="R104" s="147">
        <v>0.2873</v>
      </c>
      <c r="S104" s="147">
        <v>0.43</v>
      </c>
      <c r="T104" s="147">
        <v>0.2636</v>
      </c>
      <c r="U104" s="147">
        <v>0.6903</v>
      </c>
      <c r="V104" s="147">
        <v>0.6944</v>
      </c>
      <c r="W104" s="147">
        <v>0.692</v>
      </c>
      <c r="X104" s="147">
        <v>0.0716</v>
      </c>
      <c r="Y104" s="147">
        <v>0.0744</v>
      </c>
      <c r="Z104" s="147">
        <v>0.0737</v>
      </c>
      <c r="AA104" s="147">
        <v>9.7675</v>
      </c>
      <c r="AB104" s="147">
        <v>25.2844</v>
      </c>
      <c r="AC104" s="147">
        <v>0.0</v>
      </c>
      <c r="AE104" s="87">
        <f t="shared" ref="AE104:AQ104" si="100">IFERROR((Q104-C104)/C104, "")</f>
        <v>1.180010631</v>
      </c>
      <c r="AF104" s="87">
        <f t="shared" si="100"/>
        <v>0.01883811898</v>
      </c>
      <c r="AG104" s="87">
        <f t="shared" si="100"/>
        <v>0.5169332079</v>
      </c>
      <c r="AH104" s="87">
        <f t="shared" si="100"/>
        <v>0.4362039361</v>
      </c>
      <c r="AI104" s="87">
        <f t="shared" si="100"/>
        <v>0.8025495347</v>
      </c>
      <c r="AJ104" s="87">
        <f t="shared" si="100"/>
        <v>0.614929244</v>
      </c>
      <c r="AK104" s="87">
        <f t="shared" si="100"/>
        <v>0.58839241</v>
      </c>
      <c r="AL104" s="87">
        <f t="shared" si="100"/>
        <v>-0.2685735513</v>
      </c>
      <c r="AM104" s="87">
        <f t="shared" si="100"/>
        <v>0.0291750503</v>
      </c>
      <c r="AN104" s="87">
        <f t="shared" si="100"/>
        <v>0.0288071066</v>
      </c>
      <c r="AO104" s="87">
        <f t="shared" si="100"/>
        <v>-0.4297010353</v>
      </c>
      <c r="AP104" s="87">
        <f t="shared" si="100"/>
        <v>-0.2470948028</v>
      </c>
      <c r="AQ104" s="87" t="str">
        <f t="shared" si="100"/>
        <v/>
      </c>
    </row>
    <row r="105">
      <c r="B105" s="89" t="s">
        <v>188</v>
      </c>
      <c r="C105" s="91">
        <f>IFERROR(__xludf.DUMMYFUNCTION("""COMPUTED_VALUE"""),0.0)</f>
        <v>0</v>
      </c>
      <c r="D105" s="91">
        <f>IFERROR(__xludf.DUMMYFUNCTION("""COMPUTED_VALUE"""),0.0)</f>
        <v>0</v>
      </c>
      <c r="E105" s="91">
        <f>IFERROR(__xludf.DUMMYFUNCTION("""COMPUTED_VALUE"""),0.0)</f>
        <v>0</v>
      </c>
      <c r="F105" s="91">
        <f>IFERROR(__xludf.DUMMYFUNCTION("""COMPUTED_VALUE"""),0.0)</f>
        <v>0</v>
      </c>
      <c r="G105" s="91">
        <f>IFERROR(__xludf.DUMMYFUNCTION("""COMPUTED_VALUE"""),0.0)</f>
        <v>0</v>
      </c>
      <c r="H105" s="91">
        <f>IFERROR(__xludf.DUMMYFUNCTION("""COMPUTED_VALUE"""),0.0)</f>
        <v>0</v>
      </c>
      <c r="I105" s="91">
        <f>IFERROR(__xludf.DUMMYFUNCTION("""COMPUTED_VALUE"""),0.0)</f>
        <v>0</v>
      </c>
      <c r="J105" s="91">
        <f>IFERROR(__xludf.DUMMYFUNCTION("""COMPUTED_VALUE"""),0.0)</f>
        <v>0</v>
      </c>
      <c r="K105" s="91">
        <f>IFERROR(__xludf.DUMMYFUNCTION("""COMPUTED_VALUE"""),0.0)</f>
        <v>0</v>
      </c>
      <c r="L105" s="91">
        <f>IFERROR(__xludf.DUMMYFUNCTION("""COMPUTED_VALUE"""),0.0)</f>
        <v>0</v>
      </c>
      <c r="M105" s="91">
        <f>IFERROR(__xludf.DUMMYFUNCTION("""COMPUTED_VALUE"""),0.0)</f>
        <v>0</v>
      </c>
      <c r="N105" s="91">
        <f>IFERROR(__xludf.DUMMYFUNCTION("""COMPUTED_VALUE"""),0.0)</f>
        <v>0</v>
      </c>
      <c r="O105" s="91">
        <f>IFERROR(__xludf.DUMMYFUNCTION("""COMPUTED_VALUE"""),0.0)</f>
        <v>0</v>
      </c>
      <c r="Q105" s="147">
        <v>0.1194</v>
      </c>
      <c r="R105" s="147">
        <v>0.0</v>
      </c>
      <c r="S105" s="147">
        <v>0.001</v>
      </c>
      <c r="T105" s="147">
        <v>0.0</v>
      </c>
      <c r="U105" s="147">
        <v>0.0016</v>
      </c>
      <c r="V105" s="147">
        <v>0.0014</v>
      </c>
      <c r="W105" s="147">
        <v>7.0E-4</v>
      </c>
      <c r="X105" s="147">
        <v>0.0205</v>
      </c>
      <c r="Y105" s="147">
        <v>0.0327</v>
      </c>
      <c r="Z105" s="147">
        <v>0.0266</v>
      </c>
      <c r="AA105" s="147">
        <v>0.3356</v>
      </c>
      <c r="AB105" s="147">
        <v>0.0</v>
      </c>
      <c r="AC105" s="147">
        <v>0.0</v>
      </c>
      <c r="AE105" s="87" t="str">
        <f t="shared" ref="AE105:AQ105" si="101">IFERROR((Q105-C105)/C105, "")</f>
        <v/>
      </c>
      <c r="AF105" s="87" t="str">
        <f t="shared" si="101"/>
        <v/>
      </c>
      <c r="AG105" s="87" t="str">
        <f t="shared" si="101"/>
        <v/>
      </c>
      <c r="AH105" s="87" t="str">
        <f t="shared" si="101"/>
        <v/>
      </c>
      <c r="AI105" s="87" t="str">
        <f t="shared" si="101"/>
        <v/>
      </c>
      <c r="AJ105" s="87" t="str">
        <f t="shared" si="101"/>
        <v/>
      </c>
      <c r="AK105" s="87" t="str">
        <f t="shared" si="101"/>
        <v/>
      </c>
      <c r="AL105" s="87" t="str">
        <f t="shared" si="101"/>
        <v/>
      </c>
      <c r="AM105" s="87" t="str">
        <f t="shared" si="101"/>
        <v/>
      </c>
      <c r="AN105" s="87" t="str">
        <f t="shared" si="101"/>
        <v/>
      </c>
      <c r="AO105" s="87" t="str">
        <f t="shared" si="101"/>
        <v/>
      </c>
      <c r="AP105" s="87" t="str">
        <f t="shared" si="101"/>
        <v/>
      </c>
      <c r="AQ105" s="87" t="str">
        <f t="shared" si="101"/>
        <v/>
      </c>
    </row>
    <row r="106">
      <c r="B106" s="89" t="s">
        <v>189</v>
      </c>
      <c r="C106" s="91">
        <f>IFERROR(__xludf.DUMMYFUNCTION("""COMPUTED_VALUE"""),0.0)</f>
        <v>0</v>
      </c>
      <c r="D106" s="91">
        <f>IFERROR(__xludf.DUMMYFUNCTION("""COMPUTED_VALUE"""),0.0)</f>
        <v>0</v>
      </c>
      <c r="E106" s="91">
        <f>IFERROR(__xludf.DUMMYFUNCTION("""COMPUTED_VALUE"""),0.0)</f>
        <v>0</v>
      </c>
      <c r="F106" s="91">
        <f>IFERROR(__xludf.DUMMYFUNCTION("""COMPUTED_VALUE"""),0.0)</f>
        <v>0</v>
      </c>
      <c r="G106" s="91">
        <f>IFERROR(__xludf.DUMMYFUNCTION("""COMPUTED_VALUE"""),0.0)</f>
        <v>0</v>
      </c>
      <c r="H106" s="91">
        <f>IFERROR(__xludf.DUMMYFUNCTION("""COMPUTED_VALUE"""),0.0)</f>
        <v>0</v>
      </c>
      <c r="I106" s="91">
        <f>IFERROR(__xludf.DUMMYFUNCTION("""COMPUTED_VALUE"""),0.0)</f>
        <v>0</v>
      </c>
      <c r="J106" s="91">
        <f>IFERROR(__xludf.DUMMYFUNCTION("""COMPUTED_VALUE"""),0.0)</f>
        <v>0</v>
      </c>
      <c r="K106" s="91">
        <f>IFERROR(__xludf.DUMMYFUNCTION("""COMPUTED_VALUE"""),0.0)</f>
        <v>0</v>
      </c>
      <c r="L106" s="91">
        <f>IFERROR(__xludf.DUMMYFUNCTION("""COMPUTED_VALUE"""),0.0)</f>
        <v>0</v>
      </c>
      <c r="M106" s="91">
        <f>IFERROR(__xludf.DUMMYFUNCTION("""COMPUTED_VALUE"""),0.0)</f>
        <v>0</v>
      </c>
      <c r="N106" s="91">
        <f>IFERROR(__xludf.DUMMYFUNCTION("""COMPUTED_VALUE"""),0.0)</f>
        <v>0</v>
      </c>
      <c r="O106" s="91">
        <f>IFERROR(__xludf.DUMMYFUNCTION("""COMPUTED_VALUE"""),0.0)</f>
        <v>0</v>
      </c>
      <c r="Q106" s="147">
        <v>66.7599</v>
      </c>
      <c r="R106" s="147">
        <v>0.1913</v>
      </c>
      <c r="S106" s="147">
        <v>0.5027</v>
      </c>
      <c r="T106" s="147">
        <v>0.2089</v>
      </c>
      <c r="U106" s="147">
        <v>0.0</v>
      </c>
      <c r="V106" s="147">
        <v>0.0</v>
      </c>
      <c r="W106" s="147">
        <v>0.0</v>
      </c>
      <c r="X106" s="147">
        <v>0.0</v>
      </c>
      <c r="Y106" s="147">
        <v>0.0</v>
      </c>
      <c r="Z106" s="147">
        <v>0.0</v>
      </c>
      <c r="AA106" s="147">
        <v>0.0</v>
      </c>
      <c r="AB106" s="147">
        <v>0.0</v>
      </c>
      <c r="AC106" s="147">
        <v>0.0</v>
      </c>
      <c r="AE106" s="87" t="str">
        <f t="shared" ref="AE106:AQ106" si="102">IFERROR((Q106-C106)/C106, "")</f>
        <v/>
      </c>
      <c r="AF106" s="87" t="str">
        <f t="shared" si="102"/>
        <v/>
      </c>
      <c r="AG106" s="87" t="str">
        <f t="shared" si="102"/>
        <v/>
      </c>
      <c r="AH106" s="87" t="str">
        <f t="shared" si="102"/>
        <v/>
      </c>
      <c r="AI106" s="87" t="str">
        <f t="shared" si="102"/>
        <v/>
      </c>
      <c r="AJ106" s="87" t="str">
        <f t="shared" si="102"/>
        <v/>
      </c>
      <c r="AK106" s="87" t="str">
        <f t="shared" si="102"/>
        <v/>
      </c>
      <c r="AL106" s="87" t="str">
        <f t="shared" si="102"/>
        <v/>
      </c>
      <c r="AM106" s="87" t="str">
        <f t="shared" si="102"/>
        <v/>
      </c>
      <c r="AN106" s="87" t="str">
        <f t="shared" si="102"/>
        <v/>
      </c>
      <c r="AO106" s="87" t="str">
        <f t="shared" si="102"/>
        <v/>
      </c>
      <c r="AP106" s="87" t="str">
        <f t="shared" si="102"/>
        <v/>
      </c>
      <c r="AQ106" s="87" t="str">
        <f t="shared" si="102"/>
        <v/>
      </c>
    </row>
    <row r="107">
      <c r="B107" s="89" t="s">
        <v>191</v>
      </c>
      <c r="C107" s="91">
        <f>IFERROR(__xludf.DUMMYFUNCTION("""COMPUTED_VALUE"""),0.0)</f>
        <v>0</v>
      </c>
      <c r="D107" s="91">
        <f>IFERROR(__xludf.DUMMYFUNCTION("""COMPUTED_VALUE"""),0.0)</f>
        <v>0</v>
      </c>
      <c r="E107" s="91">
        <f>IFERROR(__xludf.DUMMYFUNCTION("""COMPUTED_VALUE"""),0.0)</f>
        <v>0</v>
      </c>
      <c r="F107" s="91">
        <f>IFERROR(__xludf.DUMMYFUNCTION("""COMPUTED_VALUE"""),0.0)</f>
        <v>0</v>
      </c>
      <c r="G107" s="91">
        <f>IFERROR(__xludf.DUMMYFUNCTION("""COMPUTED_VALUE"""),0.0)</f>
        <v>0</v>
      </c>
      <c r="H107" s="91">
        <f>IFERROR(__xludf.DUMMYFUNCTION("""COMPUTED_VALUE"""),0.0)</f>
        <v>0</v>
      </c>
      <c r="I107" s="91">
        <f>IFERROR(__xludf.DUMMYFUNCTION("""COMPUTED_VALUE"""),0.0)</f>
        <v>0</v>
      </c>
      <c r="J107" s="91">
        <f>IFERROR(__xludf.DUMMYFUNCTION("""COMPUTED_VALUE"""),0.0)</f>
        <v>0</v>
      </c>
      <c r="K107" s="91">
        <f>IFERROR(__xludf.DUMMYFUNCTION("""COMPUTED_VALUE"""),0.0)</f>
        <v>0</v>
      </c>
      <c r="L107" s="91">
        <f>IFERROR(__xludf.DUMMYFUNCTION("""COMPUTED_VALUE"""),0.0)</f>
        <v>0</v>
      </c>
      <c r="M107" s="91">
        <f>IFERROR(__xludf.DUMMYFUNCTION("""COMPUTED_VALUE"""),0.0)</f>
        <v>0</v>
      </c>
      <c r="N107" s="91">
        <f>IFERROR(__xludf.DUMMYFUNCTION("""COMPUTED_VALUE"""),0.0)</f>
        <v>0</v>
      </c>
      <c r="O107" s="91">
        <f>IFERROR(__xludf.DUMMYFUNCTION("""COMPUTED_VALUE"""),0.0)</f>
        <v>0</v>
      </c>
      <c r="Q107" s="147">
        <v>0.0471</v>
      </c>
      <c r="R107" s="147">
        <v>4.0E-4</v>
      </c>
      <c r="S107" s="147">
        <v>5.0E-4</v>
      </c>
      <c r="T107" s="147">
        <v>7.0E-4</v>
      </c>
      <c r="U107" s="147">
        <v>5.0E-4</v>
      </c>
      <c r="V107" s="147">
        <v>1.0E-4</v>
      </c>
      <c r="W107" s="147">
        <v>1.0E-4</v>
      </c>
      <c r="X107" s="147">
        <v>0.0048</v>
      </c>
      <c r="Y107" s="147">
        <v>0.0068</v>
      </c>
      <c r="Z107" s="147">
        <v>0.0075</v>
      </c>
      <c r="AA107" s="147">
        <v>0.0027</v>
      </c>
      <c r="AB107" s="147">
        <v>0.0041</v>
      </c>
      <c r="AC107" s="147">
        <v>0.0034</v>
      </c>
      <c r="AE107" s="87" t="str">
        <f t="shared" ref="AE107:AQ107" si="103">IFERROR((Q107-C107)/C107, "")</f>
        <v/>
      </c>
      <c r="AF107" s="87" t="str">
        <f t="shared" si="103"/>
        <v/>
      </c>
      <c r="AG107" s="87" t="str">
        <f t="shared" si="103"/>
        <v/>
      </c>
      <c r="AH107" s="87" t="str">
        <f t="shared" si="103"/>
        <v/>
      </c>
      <c r="AI107" s="87" t="str">
        <f t="shared" si="103"/>
        <v/>
      </c>
      <c r="AJ107" s="87" t="str">
        <f t="shared" si="103"/>
        <v/>
      </c>
      <c r="AK107" s="87" t="str">
        <f t="shared" si="103"/>
        <v/>
      </c>
      <c r="AL107" s="87" t="str">
        <f t="shared" si="103"/>
        <v/>
      </c>
      <c r="AM107" s="87" t="str">
        <f t="shared" si="103"/>
        <v/>
      </c>
      <c r="AN107" s="87" t="str">
        <f t="shared" si="103"/>
        <v/>
      </c>
      <c r="AO107" s="87" t="str">
        <f t="shared" si="103"/>
        <v/>
      </c>
      <c r="AP107" s="87" t="str">
        <f t="shared" si="103"/>
        <v/>
      </c>
      <c r="AQ107" s="87" t="str">
        <f t="shared" si="103"/>
        <v/>
      </c>
    </row>
    <row r="108">
      <c r="B108" s="89" t="s">
        <v>192</v>
      </c>
      <c r="C108" s="91">
        <f>IFERROR(__xludf.DUMMYFUNCTION("""COMPUTED_VALUE"""),69.28883941649075)</f>
        <v>69.28883942</v>
      </c>
      <c r="D108" s="91">
        <f>IFERROR(__xludf.DUMMYFUNCTION("""COMPUTED_VALUE"""),0.9293443145656765)</f>
        <v>0.9293443146</v>
      </c>
      <c r="E108" s="91">
        <f>IFERROR(__xludf.DUMMYFUNCTION("""COMPUTED_VALUE"""),0.6190940861400802)</f>
        <v>0.6190940861</v>
      </c>
      <c r="F108" s="91">
        <f>IFERROR(__xludf.DUMMYFUNCTION("""COMPUTED_VALUE"""),0.0)</f>
        <v>0</v>
      </c>
      <c r="G108" s="91">
        <f>IFERROR(__xludf.DUMMYFUNCTION("""COMPUTED_VALUE"""),0.7191565539767061)</f>
        <v>0.719156554</v>
      </c>
      <c r="H108" s="91">
        <f>IFERROR(__xludf.DUMMYFUNCTION("""COMPUTED_VALUE"""),0.7174349622441373)</f>
        <v>0.7174349622</v>
      </c>
      <c r="I108" s="91">
        <f>IFERROR(__xludf.DUMMYFUNCTION("""COMPUTED_VALUE"""),0.419502601426216)</f>
        <v>0.4195026014</v>
      </c>
      <c r="J108" s="91">
        <f>IFERROR(__xludf.DUMMYFUNCTION("""COMPUTED_VALUE"""),0.0)</f>
        <v>0</v>
      </c>
      <c r="K108" s="91">
        <f>IFERROR(__xludf.DUMMYFUNCTION("""COMPUTED_VALUE"""),0.0)</f>
        <v>0</v>
      </c>
      <c r="L108" s="91">
        <f>IFERROR(__xludf.DUMMYFUNCTION("""COMPUTED_VALUE"""),0.0)</f>
        <v>0</v>
      </c>
      <c r="M108" s="91">
        <f>IFERROR(__xludf.DUMMYFUNCTION("""COMPUTED_VALUE"""),126.52666279340876)</f>
        <v>126.5266628</v>
      </c>
      <c r="N108" s="91">
        <f>IFERROR(__xludf.DUMMYFUNCTION("""COMPUTED_VALUE"""),0.0)</f>
        <v>0</v>
      </c>
      <c r="O108" s="91">
        <f>IFERROR(__xludf.DUMMYFUNCTION("""COMPUTED_VALUE"""),0.0)</f>
        <v>0</v>
      </c>
      <c r="Q108" s="147">
        <v>105.4823</v>
      </c>
      <c r="R108" s="147">
        <v>1.7437</v>
      </c>
      <c r="S108" s="147">
        <v>1.6986</v>
      </c>
      <c r="T108" s="147">
        <v>0.0045</v>
      </c>
      <c r="U108" s="147">
        <v>1.761</v>
      </c>
      <c r="V108" s="147">
        <v>1.7011</v>
      </c>
      <c r="W108" s="147">
        <v>1.7056</v>
      </c>
      <c r="X108" s="147">
        <v>0.0</v>
      </c>
      <c r="Y108" s="147">
        <v>0.0</v>
      </c>
      <c r="Z108" s="147">
        <v>0.0</v>
      </c>
      <c r="AA108" s="147">
        <v>454.8752</v>
      </c>
      <c r="AB108" s="147">
        <v>0.0</v>
      </c>
      <c r="AC108" s="147">
        <v>0.0</v>
      </c>
      <c r="AE108" s="87">
        <f t="shared" ref="AE108:AQ108" si="104">IFERROR((Q108-C108)/C108, "")</f>
        <v>0.5223562826</v>
      </c>
      <c r="AF108" s="87">
        <f t="shared" si="104"/>
        <v>0.8762690777</v>
      </c>
      <c r="AG108" s="87">
        <f t="shared" si="104"/>
        <v>1.74368636</v>
      </c>
      <c r="AH108" s="87" t="str">
        <f t="shared" si="104"/>
        <v/>
      </c>
      <c r="AI108" s="87">
        <f t="shared" si="104"/>
        <v>1.448701872</v>
      </c>
      <c r="AJ108" s="87">
        <f t="shared" si="104"/>
        <v>1.371086007</v>
      </c>
      <c r="AK108" s="87">
        <f t="shared" si="104"/>
        <v>3.065767397</v>
      </c>
      <c r="AL108" s="87" t="str">
        <f t="shared" si="104"/>
        <v/>
      </c>
      <c r="AM108" s="87" t="str">
        <f t="shared" si="104"/>
        <v/>
      </c>
      <c r="AN108" s="87" t="str">
        <f t="shared" si="104"/>
        <v/>
      </c>
      <c r="AO108" s="87">
        <f t="shared" si="104"/>
        <v>2.595093634</v>
      </c>
      <c r="AP108" s="87" t="str">
        <f t="shared" si="104"/>
        <v/>
      </c>
      <c r="AQ108" s="87" t="str">
        <f t="shared" si="104"/>
        <v/>
      </c>
    </row>
    <row r="109">
      <c r="B109" s="89" t="s">
        <v>194</v>
      </c>
      <c r="C109" s="91">
        <f>IFERROR(__xludf.DUMMYFUNCTION("""COMPUTED_VALUE"""),20.12263003119482)</f>
        <v>20.12263003</v>
      </c>
      <c r="D109" s="91">
        <f>IFERROR(__xludf.DUMMYFUNCTION("""COMPUTED_VALUE"""),0.1869623667356234)</f>
        <v>0.1869623667</v>
      </c>
      <c r="E109" s="91">
        <f>IFERROR(__xludf.DUMMYFUNCTION("""COMPUTED_VALUE"""),0.26959218405638835)</f>
        <v>0.2695921841</v>
      </c>
      <c r="F109" s="91">
        <f>IFERROR(__xludf.DUMMYFUNCTION("""COMPUTED_VALUE"""),0.1221795487456084)</f>
        <v>0.1221795487</v>
      </c>
      <c r="G109" s="91">
        <f>IFERROR(__xludf.DUMMYFUNCTION("""COMPUTED_VALUE"""),0.4457357225741915)</f>
        <v>0.4457357226</v>
      </c>
      <c r="H109" s="91">
        <f>IFERROR(__xludf.DUMMYFUNCTION("""COMPUTED_VALUE"""),0.4797377541159121)</f>
        <v>0.4797377541</v>
      </c>
      <c r="I109" s="91">
        <f>IFERROR(__xludf.DUMMYFUNCTION("""COMPUTED_VALUE"""),0.2874066455579118)</f>
        <v>0.2874066456</v>
      </c>
      <c r="J109" s="91">
        <f>IFERROR(__xludf.DUMMYFUNCTION("""COMPUTED_VALUE"""),1.7849439667941975)</f>
        <v>1.784943967</v>
      </c>
      <c r="K109" s="91">
        <f>IFERROR(__xludf.DUMMYFUNCTION("""COMPUTED_VALUE"""),3.7149415762802516)</f>
        <v>3.714941576</v>
      </c>
      <c r="L109" s="91">
        <f>IFERROR(__xludf.DUMMYFUNCTION("""COMPUTED_VALUE"""),4.405670884015577)</f>
        <v>4.405670884</v>
      </c>
      <c r="M109" s="91">
        <f>IFERROR(__xludf.DUMMYFUNCTION("""COMPUTED_VALUE"""),30.312306783090882)</f>
        <v>30.31230678</v>
      </c>
      <c r="N109" s="91">
        <f>IFERROR(__xludf.DUMMYFUNCTION("""COMPUTED_VALUE"""),1.084453310290914)</f>
        <v>1.08445331</v>
      </c>
      <c r="O109" s="91">
        <f>IFERROR(__xludf.DUMMYFUNCTION("""COMPUTED_VALUE"""),0.0)</f>
        <v>0</v>
      </c>
      <c r="Q109" s="147">
        <v>32.7299</v>
      </c>
      <c r="R109" s="147">
        <v>0.3258</v>
      </c>
      <c r="S109" s="147">
        <v>0.4963</v>
      </c>
      <c r="T109" s="147">
        <v>0.0658</v>
      </c>
      <c r="U109" s="147">
        <v>0.8112</v>
      </c>
      <c r="V109" s="147">
        <v>1.0783</v>
      </c>
      <c r="W109" s="147">
        <v>0.5724</v>
      </c>
      <c r="X109" s="147">
        <v>0.5744</v>
      </c>
      <c r="Y109" s="147">
        <v>2.998</v>
      </c>
      <c r="Z109" s="147">
        <v>6.925</v>
      </c>
      <c r="AA109" s="147">
        <v>38.5061</v>
      </c>
      <c r="AB109" s="147">
        <v>0.2057</v>
      </c>
      <c r="AC109" s="147">
        <v>0.0</v>
      </c>
      <c r="AE109" s="87">
        <f t="shared" ref="AE109:AQ109" si="105">IFERROR((Q109-C109)/C109, "")</f>
        <v>0.626521978</v>
      </c>
      <c r="AF109" s="87">
        <f t="shared" si="105"/>
        <v>0.7425966824</v>
      </c>
      <c r="AG109" s="87">
        <f t="shared" si="105"/>
        <v>0.8409287411</v>
      </c>
      <c r="AH109" s="87">
        <f t="shared" si="105"/>
        <v>-0.4614483301</v>
      </c>
      <c r="AI109" s="87">
        <f t="shared" si="105"/>
        <v>0.8199124704</v>
      </c>
      <c r="AJ109" s="87">
        <f t="shared" si="105"/>
        <v>1.247686347</v>
      </c>
      <c r="AK109" s="87">
        <f t="shared" si="105"/>
        <v>0.9916032174</v>
      </c>
      <c r="AL109" s="87">
        <f t="shared" si="105"/>
        <v>-0.6781971812</v>
      </c>
      <c r="AM109" s="87">
        <f t="shared" si="105"/>
        <v>-0.1929886545</v>
      </c>
      <c r="AN109" s="87">
        <f t="shared" si="105"/>
        <v>0.5718377932</v>
      </c>
      <c r="AO109" s="87">
        <f t="shared" si="105"/>
        <v>0.2703124271</v>
      </c>
      <c r="AP109" s="87">
        <f t="shared" si="105"/>
        <v>-0.8103191737</v>
      </c>
      <c r="AQ109" s="87" t="str">
        <f t="shared" si="105"/>
        <v/>
      </c>
    </row>
    <row r="110">
      <c r="B110" s="89" t="s">
        <v>195</v>
      </c>
      <c r="C110" s="91">
        <f>IFERROR(__xludf.DUMMYFUNCTION("""COMPUTED_VALUE"""),7.245608611518638)</f>
        <v>7.245608612</v>
      </c>
      <c r="D110" s="91">
        <f>IFERROR(__xludf.DUMMYFUNCTION("""COMPUTED_VALUE"""),0.03390099774856116)</f>
        <v>0.03390099775</v>
      </c>
      <c r="E110" s="91">
        <f>IFERROR(__xludf.DUMMYFUNCTION("""COMPUTED_VALUE"""),0.04297494030267383)</f>
        <v>0.0429749403</v>
      </c>
      <c r="F110" s="91">
        <f>IFERROR(__xludf.DUMMYFUNCTION("""COMPUTED_VALUE"""),0.05283466757281276)</f>
        <v>0.05283466757</v>
      </c>
      <c r="G110" s="91">
        <f>IFERROR(__xludf.DUMMYFUNCTION("""COMPUTED_VALUE"""),2.2450991886464343E-4)</f>
        <v>0.0002245099189</v>
      </c>
      <c r="H110" s="91">
        <f>IFERROR(__xludf.DUMMYFUNCTION("""COMPUTED_VALUE"""),1.4967327924309565E-4)</f>
        <v>0.0001496732792</v>
      </c>
      <c r="I110" s="91">
        <f>IFERROR(__xludf.DUMMYFUNCTION("""COMPUTED_VALUE"""),7.483663962154782E-5)</f>
        <v>0.00007483663962</v>
      </c>
      <c r="J110" s="91">
        <f>IFERROR(__xludf.DUMMYFUNCTION("""COMPUTED_VALUE"""),0.0)</f>
        <v>0</v>
      </c>
      <c r="K110" s="91">
        <f>IFERROR(__xludf.DUMMYFUNCTION("""COMPUTED_VALUE"""),0.0)</f>
        <v>0</v>
      </c>
      <c r="L110" s="91">
        <f>IFERROR(__xludf.DUMMYFUNCTION("""COMPUTED_VALUE"""),0.0)</f>
        <v>0</v>
      </c>
      <c r="M110" s="91">
        <f>IFERROR(__xludf.DUMMYFUNCTION("""COMPUTED_VALUE"""),4.741350139862783)</f>
        <v>4.74135014</v>
      </c>
      <c r="N110" s="91">
        <f>IFERROR(__xludf.DUMMYFUNCTION("""COMPUTED_VALUE"""),8.980396754585737E-4)</f>
        <v>0.0008980396755</v>
      </c>
      <c r="O110" s="91">
        <f>IFERROR(__xludf.DUMMYFUNCTION("""COMPUTED_VALUE"""),0.0)</f>
        <v>0</v>
      </c>
      <c r="Q110" s="147">
        <v>24.5805</v>
      </c>
      <c r="R110" s="147">
        <v>0.1512</v>
      </c>
      <c r="S110" s="147">
        <v>0.134</v>
      </c>
      <c r="T110" s="147">
        <v>0.1501</v>
      </c>
      <c r="U110" s="147">
        <v>0.0842</v>
      </c>
      <c r="V110" s="147">
        <v>0.0935</v>
      </c>
      <c r="W110" s="147">
        <v>0.1061</v>
      </c>
      <c r="X110" s="147">
        <v>0.0</v>
      </c>
      <c r="Y110" s="147">
        <v>0.0</v>
      </c>
      <c r="Z110" s="147">
        <v>0.0</v>
      </c>
      <c r="AA110" s="147">
        <v>22.7558</v>
      </c>
      <c r="AB110" s="147">
        <v>0.0027</v>
      </c>
      <c r="AC110" s="147">
        <v>0.0</v>
      </c>
      <c r="AE110" s="87">
        <f t="shared" ref="AE110:AQ110" si="106">IFERROR((Q110-C110)/C110, "")</f>
        <v>2.392468641</v>
      </c>
      <c r="AF110" s="87">
        <f t="shared" si="106"/>
        <v>3.460045723</v>
      </c>
      <c r="AG110" s="87">
        <f t="shared" si="106"/>
        <v>2.118096245</v>
      </c>
      <c r="AH110" s="87">
        <f t="shared" si="106"/>
        <v>1.840937719</v>
      </c>
      <c r="AI110" s="87">
        <f t="shared" si="106"/>
        <v>374.0391093</v>
      </c>
      <c r="AJ110" s="87">
        <f t="shared" si="106"/>
        <v>623.6940033</v>
      </c>
      <c r="AK110" s="87">
        <f t="shared" si="106"/>
        <v>1416.754733</v>
      </c>
      <c r="AL110" s="87" t="str">
        <f t="shared" si="106"/>
        <v/>
      </c>
      <c r="AM110" s="87" t="str">
        <f t="shared" si="106"/>
        <v/>
      </c>
      <c r="AN110" s="87" t="str">
        <f t="shared" si="106"/>
        <v/>
      </c>
      <c r="AO110" s="87">
        <f t="shared" si="106"/>
        <v>3.799434619</v>
      </c>
      <c r="AP110" s="87">
        <f t="shared" si="106"/>
        <v>2.006548679</v>
      </c>
      <c r="AQ110" s="87" t="str">
        <f t="shared" si="106"/>
        <v/>
      </c>
    </row>
    <row r="111">
      <c r="B111" s="84" t="s">
        <v>199</v>
      </c>
      <c r="C111" s="86">
        <f>IFERROR(__xludf.DUMMYFUNCTION("""COMPUTED_VALUE"""),10.552405782328407)</f>
        <v>10.55240578</v>
      </c>
      <c r="D111" s="86">
        <f>IFERROR(__xludf.DUMMYFUNCTION("""COMPUTED_VALUE"""),0.1293909535239108)</f>
        <v>0.1293909535</v>
      </c>
      <c r="E111" s="86">
        <f>IFERROR(__xludf.DUMMYFUNCTION("""COMPUTED_VALUE"""),0.0639772336893703)</f>
        <v>0.06397723369</v>
      </c>
      <c r="F111" s="86">
        <f>IFERROR(__xludf.DUMMYFUNCTION("""COMPUTED_VALUE"""),0.03192429656952828)</f>
        <v>0.03192429657</v>
      </c>
      <c r="G111" s="86">
        <f>IFERROR(__xludf.DUMMYFUNCTION("""COMPUTED_VALUE"""),0.0)</f>
        <v>0</v>
      </c>
      <c r="H111" s="86">
        <f>IFERROR(__xludf.DUMMYFUNCTION("""COMPUTED_VALUE"""),0.0)</f>
        <v>0</v>
      </c>
      <c r="I111" s="86">
        <f>IFERROR(__xludf.DUMMYFUNCTION("""COMPUTED_VALUE"""),0.0)</f>
        <v>0</v>
      </c>
      <c r="J111" s="86">
        <f>IFERROR(__xludf.DUMMYFUNCTION("""COMPUTED_VALUE"""),0.0)</f>
        <v>0</v>
      </c>
      <c r="K111" s="86">
        <f>IFERROR(__xludf.DUMMYFUNCTION("""COMPUTED_VALUE"""),3.0016128406541026E-4)</f>
        <v>0.0003001612841</v>
      </c>
      <c r="L111" s="86">
        <f>IFERROR(__xludf.DUMMYFUNCTION("""COMPUTED_VALUE"""),2.787211923464524E-4)</f>
        <v>0.0002787211923</v>
      </c>
      <c r="M111" s="86">
        <f>IFERROR(__xludf.DUMMYFUNCTION("""COMPUTED_VALUE"""),0.0)</f>
        <v>0</v>
      </c>
      <c r="N111" s="85">
        <f>IFERROR(__xludf.DUMMYFUNCTION("""COMPUTED_VALUE"""),0.0)</f>
        <v>0</v>
      </c>
      <c r="O111" s="85">
        <f>IFERROR(__xludf.DUMMYFUNCTION("""COMPUTED_VALUE"""),0.0)</f>
        <v>0</v>
      </c>
      <c r="Q111" s="147">
        <v>33.2033</v>
      </c>
      <c r="R111" s="147">
        <v>0.3523</v>
      </c>
      <c r="S111" s="147">
        <v>0.1839</v>
      </c>
      <c r="T111" s="147">
        <v>0.1091</v>
      </c>
      <c r="U111" s="147">
        <v>0.0</v>
      </c>
      <c r="V111" s="147">
        <v>0.0</v>
      </c>
      <c r="W111" s="147">
        <v>0.0</v>
      </c>
      <c r="X111" s="147">
        <v>0.0</v>
      </c>
      <c r="Y111" s="147">
        <v>0.0</v>
      </c>
      <c r="Z111" s="147">
        <v>0.0</v>
      </c>
      <c r="AA111" s="147">
        <v>0.0</v>
      </c>
      <c r="AB111" s="147">
        <v>0.0</v>
      </c>
      <c r="AC111" s="147">
        <v>0.0</v>
      </c>
      <c r="AE111" s="87">
        <f t="shared" ref="AE111:AQ111" si="107">IFERROR((Q111-C111)/C111, "")</f>
        <v>2.146514708</v>
      </c>
      <c r="AF111" s="87">
        <f t="shared" si="107"/>
        <v>1.722756038</v>
      </c>
      <c r="AG111" s="87">
        <f t="shared" si="107"/>
        <v>1.874460013</v>
      </c>
      <c r="AH111" s="87">
        <f t="shared" si="107"/>
        <v>2.417459795</v>
      </c>
      <c r="AI111" s="87" t="str">
        <f t="shared" si="107"/>
        <v/>
      </c>
      <c r="AJ111" s="87" t="str">
        <f t="shared" si="107"/>
        <v/>
      </c>
      <c r="AK111" s="87" t="str">
        <f t="shared" si="107"/>
        <v/>
      </c>
      <c r="AL111" s="87" t="str">
        <f t="shared" si="107"/>
        <v/>
      </c>
      <c r="AM111" s="87">
        <f t="shared" si="107"/>
        <v>-1</v>
      </c>
      <c r="AN111" s="87">
        <f t="shared" si="107"/>
        <v>-1</v>
      </c>
      <c r="AO111" s="87" t="str">
        <f t="shared" si="107"/>
        <v/>
      </c>
      <c r="AP111" s="87" t="str">
        <f t="shared" si="107"/>
        <v/>
      </c>
      <c r="AQ111" s="87" t="str">
        <f t="shared" si="107"/>
        <v/>
      </c>
    </row>
    <row r="112">
      <c r="B112" s="84" t="s">
        <v>201</v>
      </c>
      <c r="C112" s="86">
        <f>IFERROR(__xludf.DUMMYFUNCTION("""COMPUTED_VALUE"""),13.973740000000001)</f>
        <v>13.97374</v>
      </c>
      <c r="D112" s="86">
        <f>IFERROR(__xludf.DUMMYFUNCTION("""COMPUTED_VALUE"""),0.06134)</f>
        <v>0.06134</v>
      </c>
      <c r="E112" s="86">
        <f>IFERROR(__xludf.DUMMYFUNCTION("""COMPUTED_VALUE"""),0.1146)</f>
        <v>0.1146</v>
      </c>
      <c r="F112" s="86">
        <f>IFERROR(__xludf.DUMMYFUNCTION("""COMPUTED_VALUE"""),0.1986)</f>
        <v>0.1986</v>
      </c>
      <c r="G112" s="86">
        <f>IFERROR(__xludf.DUMMYFUNCTION("""COMPUTED_VALUE"""),0.011040000000000001)</f>
        <v>0.01104</v>
      </c>
      <c r="H112" s="86">
        <f>IFERROR(__xludf.DUMMYFUNCTION("""COMPUTED_VALUE"""),0.02178)</f>
        <v>0.02178</v>
      </c>
      <c r="I112" s="86">
        <f>IFERROR(__xludf.DUMMYFUNCTION("""COMPUTED_VALUE"""),0.08460000000000001)</f>
        <v>0.0846</v>
      </c>
      <c r="J112" s="86">
        <f>IFERROR(__xludf.DUMMYFUNCTION("""COMPUTED_VALUE"""),0.0)</f>
        <v>0</v>
      </c>
      <c r="K112" s="86">
        <f>IFERROR(__xludf.DUMMYFUNCTION("""COMPUTED_VALUE"""),0.0)</f>
        <v>0</v>
      </c>
      <c r="L112" s="86">
        <f>IFERROR(__xludf.DUMMYFUNCTION("""COMPUTED_VALUE"""),0.0)</f>
        <v>0</v>
      </c>
      <c r="M112" s="86">
        <f>IFERROR(__xludf.DUMMYFUNCTION("""COMPUTED_VALUE"""),0.0)</f>
        <v>0</v>
      </c>
      <c r="N112" s="85">
        <f>IFERROR(__xludf.DUMMYFUNCTION("""COMPUTED_VALUE"""),0.0)</f>
        <v>0</v>
      </c>
      <c r="O112" s="85">
        <f>IFERROR(__xludf.DUMMYFUNCTION("""COMPUTED_VALUE"""),0.0)</f>
        <v>0</v>
      </c>
      <c r="Q112" s="147">
        <v>34.3254</v>
      </c>
      <c r="R112" s="147">
        <v>0.1546</v>
      </c>
      <c r="S112" s="147">
        <v>0.2918</v>
      </c>
      <c r="T112" s="147">
        <v>0.4589</v>
      </c>
      <c r="U112" s="147">
        <v>0.033</v>
      </c>
      <c r="V112" s="147">
        <v>0.0596</v>
      </c>
      <c r="W112" s="147">
        <v>0.1859</v>
      </c>
      <c r="X112" s="147">
        <v>0.0</v>
      </c>
      <c r="Y112" s="147">
        <v>0.0</v>
      </c>
      <c r="Z112" s="147">
        <v>0.0</v>
      </c>
      <c r="AA112" s="147">
        <v>0.0</v>
      </c>
      <c r="AB112" s="147">
        <v>0.0</v>
      </c>
      <c r="AC112" s="147">
        <v>0.0</v>
      </c>
      <c r="AE112" s="87">
        <f t="shared" ref="AE112:AQ112" si="108">IFERROR((Q112-C112)/C112, "")</f>
        <v>1.456421831</v>
      </c>
      <c r="AF112" s="87">
        <f t="shared" si="108"/>
        <v>1.52037822</v>
      </c>
      <c r="AG112" s="87">
        <f t="shared" si="108"/>
        <v>1.546247818</v>
      </c>
      <c r="AH112" s="87">
        <f t="shared" si="108"/>
        <v>1.310674723</v>
      </c>
      <c r="AI112" s="87">
        <f t="shared" si="108"/>
        <v>1.989130435</v>
      </c>
      <c r="AJ112" s="87">
        <f t="shared" si="108"/>
        <v>1.736455464</v>
      </c>
      <c r="AK112" s="87">
        <f t="shared" si="108"/>
        <v>1.197399527</v>
      </c>
      <c r="AL112" s="87" t="str">
        <f t="shared" si="108"/>
        <v/>
      </c>
      <c r="AM112" s="87" t="str">
        <f t="shared" si="108"/>
        <v/>
      </c>
      <c r="AN112" s="87" t="str">
        <f t="shared" si="108"/>
        <v/>
      </c>
      <c r="AO112" s="87" t="str">
        <f t="shared" si="108"/>
        <v/>
      </c>
      <c r="AP112" s="87" t="str">
        <f t="shared" si="108"/>
        <v/>
      </c>
      <c r="AQ112" s="87" t="str">
        <f t="shared" si="108"/>
        <v/>
      </c>
    </row>
    <row r="113">
      <c r="B113" s="89" t="s">
        <v>204</v>
      </c>
      <c r="C113" s="91">
        <f>IFERROR(__xludf.DUMMYFUNCTION("""COMPUTED_VALUE"""),7.928494492395597)</f>
        <v>7.928494492</v>
      </c>
      <c r="D113" s="91">
        <f>IFERROR(__xludf.DUMMYFUNCTION("""COMPUTED_VALUE"""),0.0)</f>
        <v>0</v>
      </c>
      <c r="E113" s="91">
        <f>IFERROR(__xludf.DUMMYFUNCTION("""COMPUTED_VALUE"""),0.08210400416136865)</f>
        <v>0.08210400416</v>
      </c>
      <c r="F113" s="91">
        <f>IFERROR(__xludf.DUMMYFUNCTION("""COMPUTED_VALUE"""),0.11379467113628486)</f>
        <v>0.1137946711</v>
      </c>
      <c r="G113" s="91">
        <f>IFERROR(__xludf.DUMMYFUNCTION("""COMPUTED_VALUE"""),0.0074131383655068805)</f>
        <v>0.007413138366</v>
      </c>
      <c r="H113" s="91">
        <f>IFERROR(__xludf.DUMMYFUNCTION("""COMPUTED_VALUE"""),0.01788344700034679)</f>
        <v>0.017883447</v>
      </c>
      <c r="I113" s="91">
        <f>IFERROR(__xludf.DUMMYFUNCTION("""COMPUTED_VALUE"""),0.03596670905097678)</f>
        <v>0.03596670905</v>
      </c>
      <c r="J113" s="91">
        <f>IFERROR(__xludf.DUMMYFUNCTION("""COMPUTED_VALUE"""),0.0)</f>
        <v>0</v>
      </c>
      <c r="K113" s="91">
        <f>IFERROR(__xludf.DUMMYFUNCTION("""COMPUTED_VALUE"""),0.0)</f>
        <v>0</v>
      </c>
      <c r="L113" s="91">
        <f>IFERROR(__xludf.DUMMYFUNCTION("""COMPUTED_VALUE"""),0.0)</f>
        <v>0</v>
      </c>
      <c r="M113" s="91">
        <f>IFERROR(__xludf.DUMMYFUNCTION("""COMPUTED_VALUE"""),0.12832122529187381)</f>
        <v>0.1283212253</v>
      </c>
      <c r="N113" s="140">
        <f>IFERROR(__xludf.DUMMYFUNCTION("""COMPUTED_VALUE"""),15.246407855739225)</f>
        <v>15.24640786</v>
      </c>
      <c r="O113" s="140">
        <f>IFERROR(__xludf.DUMMYFUNCTION("""COMPUTED_VALUE"""),0.0)</f>
        <v>0</v>
      </c>
      <c r="Q113" s="147">
        <v>20.6739</v>
      </c>
      <c r="R113" s="147">
        <v>0.1574</v>
      </c>
      <c r="S113" s="147">
        <v>0.2342</v>
      </c>
      <c r="T113" s="147">
        <v>0.2469</v>
      </c>
      <c r="U113" s="147">
        <v>0.0494</v>
      </c>
      <c r="V113" s="147">
        <v>0.092</v>
      </c>
      <c r="W113" s="147">
        <v>0.2079</v>
      </c>
      <c r="X113" s="147">
        <v>0.0</v>
      </c>
      <c r="Y113" s="147">
        <v>0.0</v>
      </c>
      <c r="Z113" s="147">
        <v>0.0</v>
      </c>
      <c r="AA113" s="147">
        <v>1.0887</v>
      </c>
      <c r="AB113" s="147">
        <v>47.3506</v>
      </c>
      <c r="AC113" s="147">
        <v>0.0</v>
      </c>
      <c r="AE113" s="87">
        <f t="shared" ref="AE113:AQ113" si="109">IFERROR((Q113-C113)/C113, "")</f>
        <v>1.607544222</v>
      </c>
      <c r="AF113" s="87" t="str">
        <f t="shared" si="109"/>
        <v/>
      </c>
      <c r="AG113" s="87">
        <f t="shared" si="109"/>
        <v>1.852479637</v>
      </c>
      <c r="AH113" s="87">
        <f t="shared" si="109"/>
        <v>1.169697382</v>
      </c>
      <c r="AI113" s="87">
        <f t="shared" si="109"/>
        <v>5.663844321</v>
      </c>
      <c r="AJ113" s="87">
        <f t="shared" si="109"/>
        <v>4.144422102</v>
      </c>
      <c r="AK113" s="87">
        <f t="shared" si="109"/>
        <v>4.780345366</v>
      </c>
      <c r="AL113" s="87" t="str">
        <f t="shared" si="109"/>
        <v/>
      </c>
      <c r="AM113" s="87" t="str">
        <f t="shared" si="109"/>
        <v/>
      </c>
      <c r="AN113" s="87" t="str">
        <f t="shared" si="109"/>
        <v/>
      </c>
      <c r="AO113" s="87">
        <f t="shared" si="109"/>
        <v>7.484177092</v>
      </c>
      <c r="AP113" s="87">
        <f t="shared" si="109"/>
        <v>2.105688923</v>
      </c>
      <c r="AQ113" s="87" t="str">
        <f t="shared" si="109"/>
        <v/>
      </c>
    </row>
    <row r="114">
      <c r="B114" s="84" t="s">
        <v>205</v>
      </c>
      <c r="C114" s="86">
        <f>IFERROR(__xludf.DUMMYFUNCTION("""COMPUTED_VALUE"""),0.0)</f>
        <v>0</v>
      </c>
      <c r="D114" s="86">
        <f>IFERROR(__xludf.DUMMYFUNCTION("""COMPUTED_VALUE"""),0.0)</f>
        <v>0</v>
      </c>
      <c r="E114" s="86">
        <f>IFERROR(__xludf.DUMMYFUNCTION("""COMPUTED_VALUE"""),0.0)</f>
        <v>0</v>
      </c>
      <c r="F114" s="86">
        <f>IFERROR(__xludf.DUMMYFUNCTION("""COMPUTED_VALUE"""),4.848484848484848E-5)</f>
        <v>0.00004848484848</v>
      </c>
      <c r="G114" s="86">
        <f>IFERROR(__xludf.DUMMYFUNCTION("""COMPUTED_VALUE"""),0.0)</f>
        <v>0</v>
      </c>
      <c r="H114" s="86">
        <f>IFERROR(__xludf.DUMMYFUNCTION("""COMPUTED_VALUE"""),4.848484848484848E-5)</f>
        <v>0.00004848484848</v>
      </c>
      <c r="I114" s="86">
        <f>IFERROR(__xludf.DUMMYFUNCTION("""COMPUTED_VALUE"""),2.424242424242424E-5)</f>
        <v>0.00002424242424</v>
      </c>
      <c r="J114" s="86">
        <f>IFERROR(__xludf.DUMMYFUNCTION("""COMPUTED_VALUE"""),0.0)</f>
        <v>0</v>
      </c>
      <c r="K114" s="86">
        <f>IFERROR(__xludf.DUMMYFUNCTION("""COMPUTED_VALUE"""),0.0)</f>
        <v>0</v>
      </c>
      <c r="L114" s="86">
        <f>IFERROR(__xludf.DUMMYFUNCTION("""COMPUTED_VALUE"""),9.696969696969696E-5)</f>
        <v>0.00009696969697</v>
      </c>
      <c r="M114" s="86">
        <f>IFERROR(__xludf.DUMMYFUNCTION("""COMPUTED_VALUE"""),4.363636363636363E-4)</f>
        <v>0.0004363636364</v>
      </c>
      <c r="N114" s="85">
        <f>IFERROR(__xludf.DUMMYFUNCTION("""COMPUTED_VALUE"""),0.0)</f>
        <v>0</v>
      </c>
      <c r="O114" s="85">
        <f>IFERROR(__xludf.DUMMYFUNCTION("""COMPUTED_VALUE"""),0.0)</f>
        <v>0</v>
      </c>
      <c r="Q114" s="147">
        <v>0.0</v>
      </c>
      <c r="R114" s="147">
        <v>0.0</v>
      </c>
      <c r="S114" s="147">
        <v>0.0</v>
      </c>
      <c r="T114" s="147">
        <v>0.0</v>
      </c>
      <c r="U114" s="147">
        <v>0.0</v>
      </c>
      <c r="V114" s="147">
        <v>0.0</v>
      </c>
      <c r="W114" s="147">
        <v>0.0</v>
      </c>
      <c r="X114" s="147">
        <v>0.0</v>
      </c>
      <c r="Y114" s="147">
        <v>0.0</v>
      </c>
      <c r="Z114" s="147">
        <v>0.0</v>
      </c>
      <c r="AA114" s="147">
        <v>0.0</v>
      </c>
      <c r="AB114" s="147">
        <v>0.0</v>
      </c>
      <c r="AC114" s="147">
        <v>0.0</v>
      </c>
      <c r="AE114" s="87" t="str">
        <f t="shared" ref="AE114:AQ114" si="110">IFERROR((Q114-C114)/C114, "")</f>
        <v/>
      </c>
      <c r="AF114" s="87" t="str">
        <f t="shared" si="110"/>
        <v/>
      </c>
      <c r="AG114" s="87" t="str">
        <f t="shared" si="110"/>
        <v/>
      </c>
      <c r="AH114" s="87">
        <f t="shared" si="110"/>
        <v>-1</v>
      </c>
      <c r="AI114" s="87" t="str">
        <f t="shared" si="110"/>
        <v/>
      </c>
      <c r="AJ114" s="87">
        <f t="shared" si="110"/>
        <v>-1</v>
      </c>
      <c r="AK114" s="87">
        <f t="shared" si="110"/>
        <v>-1</v>
      </c>
      <c r="AL114" s="87" t="str">
        <f t="shared" si="110"/>
        <v/>
      </c>
      <c r="AM114" s="87" t="str">
        <f t="shared" si="110"/>
        <v/>
      </c>
      <c r="AN114" s="87">
        <f t="shared" si="110"/>
        <v>-1</v>
      </c>
      <c r="AO114" s="87">
        <f t="shared" si="110"/>
        <v>-1</v>
      </c>
      <c r="AP114" s="87" t="str">
        <f t="shared" si="110"/>
        <v/>
      </c>
      <c r="AQ114" s="87" t="str">
        <f t="shared" si="110"/>
        <v/>
      </c>
    </row>
    <row r="115">
      <c r="B115" s="89" t="s">
        <v>207</v>
      </c>
      <c r="C115" s="91">
        <f>IFERROR(__xludf.DUMMYFUNCTION("""COMPUTED_VALUE"""),60.71315254026136)</f>
        <v>60.71315254</v>
      </c>
      <c r="D115" s="91">
        <f>IFERROR(__xludf.DUMMYFUNCTION("""COMPUTED_VALUE"""),2.5267457429875084)</f>
        <v>2.526745743</v>
      </c>
      <c r="E115" s="91">
        <f>IFERROR(__xludf.DUMMYFUNCTION("""COMPUTED_VALUE"""),1.6066397059495579)</f>
        <v>1.606639706</v>
      </c>
      <c r="F115" s="91">
        <f>IFERROR(__xludf.DUMMYFUNCTION("""COMPUTED_VALUE"""),1.02843349570533)</f>
        <v>1.028433496</v>
      </c>
      <c r="G115" s="91">
        <f>IFERROR(__xludf.DUMMYFUNCTION("""COMPUTED_VALUE"""),1.8968266635769526)</f>
        <v>1.896826664</v>
      </c>
      <c r="H115" s="91">
        <f>IFERROR(__xludf.DUMMYFUNCTION("""COMPUTED_VALUE"""),1.468673170033525)</f>
        <v>1.46867317</v>
      </c>
      <c r="I115" s="91">
        <f>IFERROR(__xludf.DUMMYFUNCTION("""COMPUTED_VALUE"""),0.9497085750278613)</f>
        <v>0.949708575</v>
      </c>
      <c r="J115" s="91">
        <f>IFERROR(__xludf.DUMMYFUNCTION("""COMPUTED_VALUE"""),0.0)</f>
        <v>0</v>
      </c>
      <c r="K115" s="91">
        <f>IFERROR(__xludf.DUMMYFUNCTION("""COMPUTED_VALUE"""),3.305698913188923)</f>
        <v>3.305698913</v>
      </c>
      <c r="L115" s="91">
        <f>IFERROR(__xludf.DUMMYFUNCTION("""COMPUTED_VALUE"""),8.511185368727153)</f>
        <v>8.511185369</v>
      </c>
      <c r="M115" s="91">
        <f>IFERROR(__xludf.DUMMYFUNCTION("""COMPUTED_VALUE"""),81.42687544304017)</f>
        <v>81.42687544</v>
      </c>
      <c r="N115" s="140">
        <f>IFERROR(__xludf.DUMMYFUNCTION("""COMPUTED_VALUE"""),359.1923582015612)</f>
        <v>359.1923582</v>
      </c>
      <c r="O115" s="140">
        <f>IFERROR(__xludf.DUMMYFUNCTION("""COMPUTED_VALUE"""),0.0)</f>
        <v>0</v>
      </c>
      <c r="Q115" s="147">
        <v>53.6289</v>
      </c>
      <c r="R115" s="147">
        <v>1.9034</v>
      </c>
      <c r="S115" s="147">
        <v>1.2319</v>
      </c>
      <c r="T115" s="147">
        <v>0.7655</v>
      </c>
      <c r="U115" s="147">
        <v>1.3221</v>
      </c>
      <c r="V115" s="147">
        <v>1.0966</v>
      </c>
      <c r="W115" s="147">
        <v>0.7026</v>
      </c>
      <c r="X115" s="147">
        <v>0.0</v>
      </c>
      <c r="Y115" s="147">
        <v>2.6221</v>
      </c>
      <c r="Z115" s="147">
        <v>6.6221</v>
      </c>
      <c r="AA115" s="147">
        <v>80.9004</v>
      </c>
      <c r="AB115" s="147">
        <v>256.0812</v>
      </c>
      <c r="AC115" s="147">
        <v>0.0</v>
      </c>
      <c r="AE115" s="87">
        <f t="shared" ref="AE115:AQ115" si="111">IFERROR((Q115-C115)/C115, "")</f>
        <v>-0.1166839843</v>
      </c>
      <c r="AF115" s="87">
        <f t="shared" si="111"/>
        <v>-0.2466990376</v>
      </c>
      <c r="AG115" s="87">
        <f t="shared" si="111"/>
        <v>-0.2332443948</v>
      </c>
      <c r="AH115" s="87">
        <f t="shared" si="111"/>
        <v>-0.2556640724</v>
      </c>
      <c r="AI115" s="87">
        <f t="shared" si="111"/>
        <v>-0.3029937709</v>
      </c>
      <c r="AJ115" s="87">
        <f t="shared" si="111"/>
        <v>-0.2533396658</v>
      </c>
      <c r="AK115" s="87">
        <f t="shared" si="111"/>
        <v>-0.2601941075</v>
      </c>
      <c r="AL115" s="87" t="str">
        <f t="shared" si="111"/>
        <v/>
      </c>
      <c r="AM115" s="87">
        <f t="shared" si="111"/>
        <v>-0.2067940642</v>
      </c>
      <c r="AN115" s="87">
        <f t="shared" si="111"/>
        <v>-0.2219532635</v>
      </c>
      <c r="AO115" s="87">
        <f t="shared" si="111"/>
        <v>-0.006465622562</v>
      </c>
      <c r="AP115" s="87">
        <f t="shared" si="111"/>
        <v>-0.2870638972</v>
      </c>
      <c r="AQ115" s="87" t="str">
        <f t="shared" si="111"/>
        <v/>
      </c>
    </row>
    <row r="116">
      <c r="B116" s="84" t="s">
        <v>208</v>
      </c>
      <c r="C116" s="86">
        <f>IFERROR(__xludf.DUMMYFUNCTION("""COMPUTED_VALUE"""),0.0)</f>
        <v>0</v>
      </c>
      <c r="D116" s="86">
        <f>IFERROR(__xludf.DUMMYFUNCTION("""COMPUTED_VALUE"""),0.0)</f>
        <v>0</v>
      </c>
      <c r="E116" s="86">
        <f>IFERROR(__xludf.DUMMYFUNCTION("""COMPUTED_VALUE"""),0.0)</f>
        <v>0</v>
      </c>
      <c r="F116" s="86">
        <f>IFERROR(__xludf.DUMMYFUNCTION("""COMPUTED_VALUE"""),0.0)</f>
        <v>0</v>
      </c>
      <c r="G116" s="86">
        <f>IFERROR(__xludf.DUMMYFUNCTION("""COMPUTED_VALUE"""),0.0)</f>
        <v>0</v>
      </c>
      <c r="H116" s="86">
        <f>IFERROR(__xludf.DUMMYFUNCTION("""COMPUTED_VALUE"""),0.0)</f>
        <v>0</v>
      </c>
      <c r="I116" s="86">
        <f>IFERROR(__xludf.DUMMYFUNCTION("""COMPUTED_VALUE"""),0.0)</f>
        <v>0</v>
      </c>
      <c r="J116" s="86">
        <f>IFERROR(__xludf.DUMMYFUNCTION("""COMPUTED_VALUE"""),0.0)</f>
        <v>0</v>
      </c>
      <c r="K116" s="86">
        <f>IFERROR(__xludf.DUMMYFUNCTION("""COMPUTED_VALUE"""),0.0)</f>
        <v>0</v>
      </c>
      <c r="L116" s="86">
        <f>IFERROR(__xludf.DUMMYFUNCTION("""COMPUTED_VALUE"""),0.0)</f>
        <v>0</v>
      </c>
      <c r="M116" s="86">
        <f>IFERROR(__xludf.DUMMYFUNCTION("""COMPUTED_VALUE"""),0.0)</f>
        <v>0</v>
      </c>
      <c r="N116" s="85">
        <f>IFERROR(__xludf.DUMMYFUNCTION("""COMPUTED_VALUE"""),0.0)</f>
        <v>0</v>
      </c>
      <c r="O116" s="85">
        <f>IFERROR(__xludf.DUMMYFUNCTION("""COMPUTED_VALUE"""),0.0)</f>
        <v>0</v>
      </c>
      <c r="Q116" s="147">
        <v>0.0</v>
      </c>
      <c r="R116" s="147">
        <v>0.0</v>
      </c>
      <c r="S116" s="147">
        <v>0.0</v>
      </c>
      <c r="T116" s="147">
        <v>0.0</v>
      </c>
      <c r="U116" s="147">
        <v>0.0</v>
      </c>
      <c r="V116" s="147">
        <v>0.0</v>
      </c>
      <c r="W116" s="147">
        <v>0.0</v>
      </c>
      <c r="X116" s="147">
        <v>0.0</v>
      </c>
      <c r="Y116" s="147">
        <v>0.0</v>
      </c>
      <c r="Z116" s="147">
        <v>0.0</v>
      </c>
      <c r="AA116" s="147">
        <v>0.0</v>
      </c>
      <c r="AB116" s="147">
        <v>0.0</v>
      </c>
      <c r="AC116" s="147">
        <v>0.0</v>
      </c>
      <c r="AE116" s="87" t="str">
        <f t="shared" ref="AE116:AQ116" si="112">IFERROR((Q116-C116)/C116, "")</f>
        <v/>
      </c>
      <c r="AF116" s="87" t="str">
        <f t="shared" si="112"/>
        <v/>
      </c>
      <c r="AG116" s="87" t="str">
        <f t="shared" si="112"/>
        <v/>
      </c>
      <c r="AH116" s="87" t="str">
        <f t="shared" si="112"/>
        <v/>
      </c>
      <c r="AI116" s="87" t="str">
        <f t="shared" si="112"/>
        <v/>
      </c>
      <c r="AJ116" s="87" t="str">
        <f t="shared" si="112"/>
        <v/>
      </c>
      <c r="AK116" s="87" t="str">
        <f t="shared" si="112"/>
        <v/>
      </c>
      <c r="AL116" s="87" t="str">
        <f t="shared" si="112"/>
        <v/>
      </c>
      <c r="AM116" s="87" t="str">
        <f t="shared" si="112"/>
        <v/>
      </c>
      <c r="AN116" s="87" t="str">
        <f t="shared" si="112"/>
        <v/>
      </c>
      <c r="AO116" s="87" t="str">
        <f t="shared" si="112"/>
        <v/>
      </c>
      <c r="AP116" s="87" t="str">
        <f t="shared" si="112"/>
        <v/>
      </c>
      <c r="AQ116" s="87" t="str">
        <f t="shared" si="112"/>
        <v/>
      </c>
    </row>
    <row r="117"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AE117" s="87" t="str">
        <f t="shared" ref="AE117:AQ117" si="113">IFERROR((Q117-C117)/C117, "")</f>
        <v/>
      </c>
      <c r="AF117" s="87" t="str">
        <f t="shared" si="113"/>
        <v/>
      </c>
      <c r="AG117" s="87" t="str">
        <f t="shared" si="113"/>
        <v/>
      </c>
      <c r="AH117" s="87" t="str">
        <f t="shared" si="113"/>
        <v/>
      </c>
      <c r="AI117" s="87" t="str">
        <f t="shared" si="113"/>
        <v/>
      </c>
      <c r="AJ117" s="87" t="str">
        <f t="shared" si="113"/>
        <v/>
      </c>
      <c r="AK117" s="87" t="str">
        <f t="shared" si="113"/>
        <v/>
      </c>
      <c r="AL117" s="87" t="str">
        <f t="shared" si="113"/>
        <v/>
      </c>
      <c r="AM117" s="87" t="str">
        <f t="shared" si="113"/>
        <v/>
      </c>
      <c r="AN117" s="87" t="str">
        <f t="shared" si="113"/>
        <v/>
      </c>
      <c r="AO117" s="87" t="str">
        <f t="shared" si="113"/>
        <v/>
      </c>
      <c r="AP117" s="87" t="str">
        <f t="shared" si="113"/>
        <v/>
      </c>
      <c r="AQ117" s="87" t="str">
        <f t="shared" si="113"/>
        <v/>
      </c>
    </row>
    <row r="118"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AE118" s="87" t="str">
        <f t="shared" ref="AE118:AQ118" si="114">IFERROR((Q118-C118)/C118, "")</f>
        <v/>
      </c>
      <c r="AF118" s="87" t="str">
        <f t="shared" si="114"/>
        <v/>
      </c>
      <c r="AG118" s="87" t="str">
        <f t="shared" si="114"/>
        <v/>
      </c>
      <c r="AH118" s="87" t="str">
        <f t="shared" si="114"/>
        <v/>
      </c>
      <c r="AI118" s="87" t="str">
        <f t="shared" si="114"/>
        <v/>
      </c>
      <c r="AJ118" s="87" t="str">
        <f t="shared" si="114"/>
        <v/>
      </c>
      <c r="AK118" s="87" t="str">
        <f t="shared" si="114"/>
        <v/>
      </c>
      <c r="AL118" s="87" t="str">
        <f t="shared" si="114"/>
        <v/>
      </c>
      <c r="AM118" s="87" t="str">
        <f t="shared" si="114"/>
        <v/>
      </c>
      <c r="AN118" s="87" t="str">
        <f t="shared" si="114"/>
        <v/>
      </c>
      <c r="AO118" s="87" t="str">
        <f t="shared" si="114"/>
        <v/>
      </c>
      <c r="AP118" s="87" t="str">
        <f t="shared" si="114"/>
        <v/>
      </c>
      <c r="AQ118" s="87" t="str">
        <f t="shared" si="114"/>
        <v/>
      </c>
    </row>
    <row r="119">
      <c r="B119" s="78" t="s">
        <v>146</v>
      </c>
      <c r="C119" s="80" t="str">
        <f>IFERROR(__xludf.DUMMYFUNCTION("""COMPUTED_VALUE"""),"100+ Segment - Over Time Period")</f>
        <v>100+ Segment - Over Time Period</v>
      </c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AE119" s="87" t="str">
        <f t="shared" ref="AE119:AQ119" si="115">IFERROR((Q119-C119)/C119, "")</f>
        <v/>
      </c>
      <c r="AF119" s="87" t="str">
        <f t="shared" si="115"/>
        <v/>
      </c>
      <c r="AG119" s="87" t="str">
        <f t="shared" si="115"/>
        <v/>
      </c>
      <c r="AH119" s="87" t="str">
        <f t="shared" si="115"/>
        <v/>
      </c>
      <c r="AI119" s="87" t="str">
        <f t="shared" si="115"/>
        <v/>
      </c>
      <c r="AJ119" s="87" t="str">
        <f t="shared" si="115"/>
        <v/>
      </c>
      <c r="AK119" s="87" t="str">
        <f t="shared" si="115"/>
        <v/>
      </c>
      <c r="AL119" s="87" t="str">
        <f t="shared" si="115"/>
        <v/>
      </c>
      <c r="AM119" s="87" t="str">
        <f t="shared" si="115"/>
        <v/>
      </c>
      <c r="AN119" s="87" t="str">
        <f t="shared" si="115"/>
        <v/>
      </c>
      <c r="AO119" s="87" t="str">
        <f t="shared" si="115"/>
        <v/>
      </c>
      <c r="AP119" s="87" t="str">
        <f t="shared" si="115"/>
        <v/>
      </c>
      <c r="AQ119" s="87" t="str">
        <f t="shared" si="115"/>
        <v/>
      </c>
    </row>
    <row r="120">
      <c r="B120" s="82" t="s">
        <v>128</v>
      </c>
      <c r="C120" s="83" t="str">
        <f>IFERROR(__xludf.DUMMYFUNCTION("""COMPUTED_VALUE"""),"HC")</f>
        <v>HC</v>
      </c>
      <c r="D120" s="83" t="str">
        <f>IFERROR(__xludf.DUMMYFUNCTION("""COMPUTED_VALUE"""),"Slingshot")</f>
        <v>Slingshot</v>
      </c>
      <c r="E120" s="83" t="str">
        <f>IFERROR(__xludf.DUMMYFUNCTION("""COMPUTED_VALUE"""),"Shuffle")</f>
        <v>Shuffle</v>
      </c>
      <c r="F120" s="83" t="str">
        <f>IFERROR(__xludf.DUMMYFUNCTION("""COMPUTED_VALUE"""),"Comet")</f>
        <v>Comet</v>
      </c>
      <c r="G120" s="83" t="str">
        <f>IFERROR(__xludf.DUMMYFUNCTION("""COMPUTED_VALUE"""),"Red")</f>
        <v>Red</v>
      </c>
      <c r="H120" s="83" t="str">
        <f>IFERROR(__xludf.DUMMYFUNCTION("""COMPUTED_VALUE"""),"Chuck")</f>
        <v>Chuck</v>
      </c>
      <c r="I120" s="83" t="str">
        <f>IFERROR(__xludf.DUMMYFUNCTION("""COMPUTED_VALUE"""),"Bomb")</f>
        <v>Bomb</v>
      </c>
      <c r="J120" s="83" t="str">
        <f>IFERROR(__xludf.DUMMYFUNCTION("""COMPUTED_VALUE"""),"UL Bomb")</f>
        <v>UL Bomb</v>
      </c>
      <c r="K120" s="83" t="str">
        <f>IFERROR(__xludf.DUMMYFUNCTION("""COMPUTED_VALUE"""),"UL Chuck")</f>
        <v>UL Chuck</v>
      </c>
      <c r="L120" s="83" t="str">
        <f>IFERROR(__xludf.DUMMYFUNCTION("""COMPUTED_VALUE"""),"UL Red")</f>
        <v>UL Red</v>
      </c>
      <c r="M120" s="83" t="str">
        <f>IFERROR(__xludf.DUMMYFUNCTION("""COMPUTED_VALUE"""),"Unlimited Lives")</f>
        <v>Unlimited Lives</v>
      </c>
      <c r="N120" s="83" t="str">
        <f>IFERROR(__xludf.DUMMYFUNCTION("""COMPUTED_VALUE"""),"SPT")</f>
        <v>SPT</v>
      </c>
      <c r="O120" s="83" t="str">
        <f>IFERROR(__xludf.DUMMYFUNCTION("""COMPUTED_VALUE"""),"SPTx2")</f>
        <v>SPTx2</v>
      </c>
      <c r="Q120" s="83" t="s">
        <v>129</v>
      </c>
      <c r="R120" s="83" t="s">
        <v>96</v>
      </c>
      <c r="S120" s="83" t="s">
        <v>102</v>
      </c>
      <c r="T120" s="83" t="s">
        <v>130</v>
      </c>
      <c r="U120" s="83" t="s">
        <v>78</v>
      </c>
      <c r="V120" s="83" t="s">
        <v>84</v>
      </c>
      <c r="W120" s="83" t="s">
        <v>90</v>
      </c>
      <c r="X120" s="83" t="s">
        <v>131</v>
      </c>
      <c r="Y120" s="83" t="s">
        <v>132</v>
      </c>
      <c r="Z120" s="83" t="s">
        <v>133</v>
      </c>
      <c r="AA120" s="83" t="s">
        <v>134</v>
      </c>
      <c r="AB120" s="83" t="s">
        <v>114</v>
      </c>
      <c r="AC120" s="83" t="s">
        <v>135</v>
      </c>
      <c r="AE120" s="87" t="str">
        <f t="shared" ref="AE120:AQ120" si="116">IFERROR((Q120-C120)/C120, "")</f>
        <v/>
      </c>
      <c r="AF120" s="87" t="str">
        <f t="shared" si="116"/>
        <v/>
      </c>
      <c r="AG120" s="87" t="str">
        <f t="shared" si="116"/>
        <v/>
      </c>
      <c r="AH120" s="87" t="str">
        <f t="shared" si="116"/>
        <v/>
      </c>
      <c r="AI120" s="87" t="str">
        <f t="shared" si="116"/>
        <v/>
      </c>
      <c r="AJ120" s="87" t="str">
        <f t="shared" si="116"/>
        <v/>
      </c>
      <c r="AK120" s="87" t="str">
        <f t="shared" si="116"/>
        <v/>
      </c>
      <c r="AL120" s="87" t="str">
        <f t="shared" si="116"/>
        <v/>
      </c>
      <c r="AM120" s="87" t="str">
        <f t="shared" si="116"/>
        <v/>
      </c>
      <c r="AN120" s="87" t="str">
        <f t="shared" si="116"/>
        <v/>
      </c>
      <c r="AO120" s="87" t="str">
        <f t="shared" si="116"/>
        <v/>
      </c>
      <c r="AP120" s="87" t="str">
        <f t="shared" si="116"/>
        <v/>
      </c>
      <c r="AQ120" s="87" t="str">
        <f t="shared" si="116"/>
        <v/>
      </c>
    </row>
    <row r="121">
      <c r="B121" s="84" t="s">
        <v>136</v>
      </c>
      <c r="C121" s="85">
        <f>IFERROR(__xludf.DUMMYFUNCTION("""COMPUTED_VALUE"""),5.93801212121212)</f>
        <v>5.938012121</v>
      </c>
      <c r="D121" s="86">
        <f>IFERROR(__xludf.DUMMYFUNCTION("""COMPUTED_VALUE"""),0.13083636363636364)</f>
        <v>0.1308363636</v>
      </c>
      <c r="E121" s="86">
        <f>IFERROR(__xludf.DUMMYFUNCTION("""COMPUTED_VALUE"""),0.12989090909090908)</f>
        <v>0.1298909091</v>
      </c>
      <c r="F121" s="86">
        <f>IFERROR(__xludf.DUMMYFUNCTION("""COMPUTED_VALUE"""),0.06256969696969696)</f>
        <v>0.06256969697</v>
      </c>
      <c r="G121" s="86">
        <f>IFERROR(__xludf.DUMMYFUNCTION("""COMPUTED_VALUE"""),5.333333333333335E-4)</f>
        <v>0.0005333333333</v>
      </c>
      <c r="H121" s="86">
        <f>IFERROR(__xludf.DUMMYFUNCTION("""COMPUTED_VALUE"""),3.8787878787878785E-4)</f>
        <v>0.0003878787879</v>
      </c>
      <c r="I121" s="86">
        <f>IFERROR(__xludf.DUMMYFUNCTION("""COMPUTED_VALUE"""),9.696969696969696E-5)</f>
        <v>0.00009696969697</v>
      </c>
      <c r="J121" s="86">
        <f>IFERROR(__xludf.DUMMYFUNCTION("""COMPUTED_VALUE"""),0.0)</f>
        <v>0</v>
      </c>
      <c r="K121" s="86">
        <f>IFERROR(__xludf.DUMMYFUNCTION("""COMPUTED_VALUE"""),0.0)</f>
        <v>0</v>
      </c>
      <c r="L121" s="86">
        <f>IFERROR(__xludf.DUMMYFUNCTION("""COMPUTED_VALUE"""),0.0)</f>
        <v>0</v>
      </c>
      <c r="M121" s="86">
        <f>IFERROR(__xludf.DUMMYFUNCTION("""COMPUTED_VALUE"""),1.9718545454545457)</f>
        <v>1.971854545</v>
      </c>
      <c r="N121" s="85">
        <f>IFERROR(__xludf.DUMMYFUNCTION("""COMPUTED_VALUE"""),0.0)</f>
        <v>0</v>
      </c>
      <c r="O121" s="85">
        <f>IFERROR(__xludf.DUMMYFUNCTION("""COMPUTED_VALUE"""),0.0)</f>
        <v>0</v>
      </c>
      <c r="Q121" s="147">
        <v>17.5345</v>
      </c>
      <c r="R121" s="147">
        <v>0.4289</v>
      </c>
      <c r="S121" s="147">
        <v>0.4086</v>
      </c>
      <c r="T121" s="147">
        <v>0.199</v>
      </c>
      <c r="U121" s="147">
        <v>0.0016</v>
      </c>
      <c r="V121" s="147">
        <v>8.0E-4</v>
      </c>
      <c r="W121" s="147">
        <v>0.0</v>
      </c>
      <c r="X121" s="147">
        <v>0.0</v>
      </c>
      <c r="Y121" s="147">
        <v>0.0</v>
      </c>
      <c r="Z121" s="147">
        <v>0.0</v>
      </c>
      <c r="AA121" s="147">
        <v>6.2266</v>
      </c>
      <c r="AB121" s="147">
        <v>0.0</v>
      </c>
      <c r="AC121" s="147">
        <v>0.0</v>
      </c>
      <c r="AE121" s="87">
        <f t="shared" ref="AE121:AQ121" si="117">IFERROR((Q121-C121)/C121, "")</f>
        <v>1.952924252</v>
      </c>
      <c r="AF121" s="87">
        <f t="shared" si="117"/>
        <v>2.278140634</v>
      </c>
      <c r="AG121" s="87">
        <f t="shared" si="117"/>
        <v>2.145716685</v>
      </c>
      <c r="AH121" s="87">
        <f t="shared" si="117"/>
        <v>2.180453313</v>
      </c>
      <c r="AI121" s="87">
        <f t="shared" si="117"/>
        <v>2</v>
      </c>
      <c r="AJ121" s="87">
        <f t="shared" si="117"/>
        <v>1.0625</v>
      </c>
      <c r="AK121" s="87">
        <f t="shared" si="117"/>
        <v>-1</v>
      </c>
      <c r="AL121" s="87" t="str">
        <f t="shared" si="117"/>
        <v/>
      </c>
      <c r="AM121" s="87" t="str">
        <f t="shared" si="117"/>
        <v/>
      </c>
      <c r="AN121" s="87" t="str">
        <f t="shared" si="117"/>
        <v/>
      </c>
      <c r="AO121" s="87">
        <f t="shared" si="117"/>
        <v>2.157737985</v>
      </c>
      <c r="AP121" s="87" t="str">
        <f t="shared" si="117"/>
        <v/>
      </c>
      <c r="AQ121" s="87" t="str">
        <f t="shared" si="117"/>
        <v/>
      </c>
    </row>
    <row r="122">
      <c r="B122" s="89" t="s">
        <v>138</v>
      </c>
      <c r="C122" s="91">
        <f>IFERROR(__xludf.DUMMYFUNCTION("""COMPUTED_VALUE"""),0.0)</f>
        <v>0</v>
      </c>
      <c r="D122" s="91">
        <f>IFERROR(__xludf.DUMMYFUNCTION("""COMPUTED_VALUE"""),0.0)</f>
        <v>0</v>
      </c>
      <c r="E122" s="91">
        <f>IFERROR(__xludf.DUMMYFUNCTION("""COMPUTED_VALUE"""),0.0)</f>
        <v>0</v>
      </c>
      <c r="F122" s="91">
        <f>IFERROR(__xludf.DUMMYFUNCTION("""COMPUTED_VALUE"""),0.0)</f>
        <v>0</v>
      </c>
      <c r="G122" s="91">
        <f>IFERROR(__xludf.DUMMYFUNCTION("""COMPUTED_VALUE"""),0.0)</f>
        <v>0</v>
      </c>
      <c r="H122" s="91">
        <f>IFERROR(__xludf.DUMMYFUNCTION("""COMPUTED_VALUE"""),0.0)</f>
        <v>0</v>
      </c>
      <c r="I122" s="91">
        <f>IFERROR(__xludf.DUMMYFUNCTION("""COMPUTED_VALUE"""),0.0)</f>
        <v>0</v>
      </c>
      <c r="J122" s="91">
        <f>IFERROR(__xludf.DUMMYFUNCTION("""COMPUTED_VALUE"""),0.0)</f>
        <v>0</v>
      </c>
      <c r="K122" s="91">
        <f>IFERROR(__xludf.DUMMYFUNCTION("""COMPUTED_VALUE"""),0.0)</f>
        <v>0</v>
      </c>
      <c r="L122" s="91">
        <f>IFERROR(__xludf.DUMMYFUNCTION("""COMPUTED_VALUE"""),0.0)</f>
        <v>0</v>
      </c>
      <c r="M122" s="91">
        <f>IFERROR(__xludf.DUMMYFUNCTION("""COMPUTED_VALUE"""),0.0)</f>
        <v>0</v>
      </c>
      <c r="N122" s="91">
        <f>IFERROR(__xludf.DUMMYFUNCTION("""COMPUTED_VALUE"""),0.0)</f>
        <v>0</v>
      </c>
      <c r="O122" s="91">
        <f>IFERROR(__xludf.DUMMYFUNCTION("""COMPUTED_VALUE"""),0.0)</f>
        <v>0</v>
      </c>
      <c r="Q122" s="147">
        <v>1.1373</v>
      </c>
      <c r="R122" s="147">
        <v>0.0024</v>
      </c>
      <c r="S122" s="147">
        <v>0.0041</v>
      </c>
      <c r="T122" s="147">
        <v>0.0049</v>
      </c>
      <c r="U122" s="147">
        <v>0.0</v>
      </c>
      <c r="V122" s="147">
        <v>0.0</v>
      </c>
      <c r="W122" s="147">
        <v>0.0</v>
      </c>
      <c r="X122" s="147">
        <v>0.0</v>
      </c>
      <c r="Y122" s="147">
        <v>0.0</v>
      </c>
      <c r="Z122" s="147">
        <v>0.0</v>
      </c>
      <c r="AA122" s="147">
        <v>0.0</v>
      </c>
      <c r="AB122" s="147">
        <v>0.0</v>
      </c>
      <c r="AC122" s="147">
        <v>0.0</v>
      </c>
      <c r="AE122" s="87" t="str">
        <f t="shared" ref="AE122:AQ122" si="118">IFERROR((Q122-C122)/C122, "")</f>
        <v/>
      </c>
      <c r="AF122" s="87" t="str">
        <f t="shared" si="118"/>
        <v/>
      </c>
      <c r="AG122" s="87" t="str">
        <f t="shared" si="118"/>
        <v/>
      </c>
      <c r="AH122" s="87" t="str">
        <f t="shared" si="118"/>
        <v/>
      </c>
      <c r="AI122" s="87" t="str">
        <f t="shared" si="118"/>
        <v/>
      </c>
      <c r="AJ122" s="87" t="str">
        <f t="shared" si="118"/>
        <v/>
      </c>
      <c r="AK122" s="87" t="str">
        <f t="shared" si="118"/>
        <v/>
      </c>
      <c r="AL122" s="87" t="str">
        <f t="shared" si="118"/>
        <v/>
      </c>
      <c r="AM122" s="87" t="str">
        <f t="shared" si="118"/>
        <v/>
      </c>
      <c r="AN122" s="87" t="str">
        <f t="shared" si="118"/>
        <v/>
      </c>
      <c r="AO122" s="87" t="str">
        <f t="shared" si="118"/>
        <v/>
      </c>
      <c r="AP122" s="87" t="str">
        <f t="shared" si="118"/>
        <v/>
      </c>
      <c r="AQ122" s="87" t="str">
        <f t="shared" si="118"/>
        <v/>
      </c>
    </row>
    <row r="123">
      <c r="B123" s="89" t="s">
        <v>144</v>
      </c>
      <c r="C123" s="91">
        <f>IFERROR(__xludf.DUMMYFUNCTION("""COMPUTED_VALUE"""),9.294597850204076)</f>
        <v>9.29459785</v>
      </c>
      <c r="D123" s="91">
        <f>IFERROR(__xludf.DUMMYFUNCTION("""COMPUTED_VALUE"""),0.0907295724221899)</f>
        <v>0.09072957242</v>
      </c>
      <c r="E123" s="91">
        <f>IFERROR(__xludf.DUMMYFUNCTION("""COMPUTED_VALUE"""),0.06734036253431659)</f>
        <v>0.06734036253</v>
      </c>
      <c r="F123" s="91">
        <f>IFERROR(__xludf.DUMMYFUNCTION("""COMPUTED_VALUE"""),0.068197110149257)</f>
        <v>0.06819711015</v>
      </c>
      <c r="G123" s="91">
        <f>IFERROR(__xludf.DUMMYFUNCTION("""COMPUTED_VALUE"""),0.121915185606021)</f>
        <v>0.1219151856</v>
      </c>
      <c r="H123" s="91">
        <f>IFERROR(__xludf.DUMMYFUNCTION("""COMPUTED_VALUE"""),0.1336526279307047)</f>
        <v>0.1336526279</v>
      </c>
      <c r="I123" s="91">
        <f>IFERROR(__xludf.DUMMYFUNCTION("""COMPUTED_VALUE"""),0.068197110149257)</f>
        <v>0.06819711015</v>
      </c>
      <c r="J123" s="91">
        <f>IFERROR(__xludf.DUMMYFUNCTION("""COMPUTED_VALUE"""),3.7791994042636627)</f>
        <v>3.779199404</v>
      </c>
      <c r="K123" s="91">
        <f>IFERROR(__xludf.DUMMYFUNCTION("""COMPUTED_VALUE"""),3.1207031874204603)</f>
        <v>3.120703187</v>
      </c>
      <c r="L123" s="91">
        <f>IFERROR(__xludf.DUMMYFUNCTION("""COMPUTED_VALUE"""),3.2714050928884792)</f>
        <v>3.271405093</v>
      </c>
      <c r="M123" s="91">
        <f>IFERROR(__xludf.DUMMYFUNCTION("""COMPUTED_VALUE"""),15.731856729820375)</f>
        <v>15.73185673</v>
      </c>
      <c r="N123" s="91">
        <f>IFERROR(__xludf.DUMMYFUNCTION("""COMPUTED_VALUE"""),0.0)</f>
        <v>0</v>
      </c>
      <c r="O123" s="91">
        <f>IFERROR(__xludf.DUMMYFUNCTION("""COMPUTED_VALUE"""),0.0)</f>
        <v>0</v>
      </c>
      <c r="Q123" s="147">
        <v>30.9708</v>
      </c>
      <c r="R123" s="147">
        <v>0.3103</v>
      </c>
      <c r="S123" s="147">
        <v>0.2283</v>
      </c>
      <c r="T123" s="147">
        <v>0.2242</v>
      </c>
      <c r="U123" s="147">
        <v>0.4021</v>
      </c>
      <c r="V123" s="147">
        <v>0.4289</v>
      </c>
      <c r="W123" s="147">
        <v>0.2242</v>
      </c>
      <c r="X123" s="147">
        <v>9.1592</v>
      </c>
      <c r="Y123" s="147">
        <v>9.606</v>
      </c>
      <c r="Z123" s="147">
        <v>10.1665</v>
      </c>
      <c r="AA123" s="147">
        <v>53.9561</v>
      </c>
      <c r="AB123" s="147">
        <v>0.0</v>
      </c>
      <c r="AC123" s="147">
        <v>0.0</v>
      </c>
      <c r="AE123" s="87">
        <f t="shared" ref="AE123:AQ123" si="119">IFERROR((Q123-C123)/C123, "")</f>
        <v>2.332129103</v>
      </c>
      <c r="AF123" s="87">
        <f t="shared" si="119"/>
        <v>2.420053591</v>
      </c>
      <c r="AG123" s="87">
        <f t="shared" si="119"/>
        <v>2.390240138</v>
      </c>
      <c r="AH123" s="87">
        <f t="shared" si="119"/>
        <v>2.287529332</v>
      </c>
      <c r="AI123" s="87">
        <f t="shared" si="119"/>
        <v>2.298194544</v>
      </c>
      <c r="AJ123" s="87">
        <f t="shared" si="119"/>
        <v>2.209065221</v>
      </c>
      <c r="AK123" s="87">
        <f t="shared" si="119"/>
        <v>2.287529332</v>
      </c>
      <c r="AL123" s="87">
        <f t="shared" si="119"/>
        <v>1.423582092</v>
      </c>
      <c r="AM123" s="87">
        <f t="shared" si="119"/>
        <v>2.078152398</v>
      </c>
      <c r="AN123" s="87">
        <f t="shared" si="119"/>
        <v>2.107686059</v>
      </c>
      <c r="AO123" s="87">
        <f t="shared" si="119"/>
        <v>2.429735023</v>
      </c>
      <c r="AP123" s="87" t="str">
        <f t="shared" si="119"/>
        <v/>
      </c>
      <c r="AQ123" s="87" t="str">
        <f t="shared" si="119"/>
        <v/>
      </c>
    </row>
    <row r="124">
      <c r="B124" s="89" t="s">
        <v>156</v>
      </c>
      <c r="C124" s="91">
        <f>IFERROR(__xludf.DUMMYFUNCTION("""COMPUTED_VALUE"""),10.741803407999997)</f>
        <v>10.74180341</v>
      </c>
      <c r="D124" s="91">
        <f>IFERROR(__xludf.DUMMYFUNCTION("""COMPUTED_VALUE"""),0.007418471999999999)</f>
        <v>0.007418472</v>
      </c>
      <c r="E124" s="91">
        <f>IFERROR(__xludf.DUMMYFUNCTION("""COMPUTED_VALUE"""),0.028449479999999996)</f>
        <v>0.02844948</v>
      </c>
      <c r="F124" s="91">
        <f>IFERROR(__xludf.DUMMYFUNCTION("""COMPUTED_VALUE"""),0.045087023999999996)</f>
        <v>0.045087024</v>
      </c>
      <c r="G124" s="91">
        <f>IFERROR(__xludf.DUMMYFUNCTION("""COMPUTED_VALUE"""),0.0)</f>
        <v>0</v>
      </c>
      <c r="H124" s="91">
        <f>IFERROR(__xludf.DUMMYFUNCTION("""COMPUTED_VALUE"""),0.0)</f>
        <v>0</v>
      </c>
      <c r="I124" s="91">
        <f>IFERROR(__xludf.DUMMYFUNCTION("""COMPUTED_VALUE"""),0.0)</f>
        <v>0</v>
      </c>
      <c r="J124" s="91">
        <f>IFERROR(__xludf.DUMMYFUNCTION("""COMPUTED_VALUE"""),0.0)</f>
        <v>0</v>
      </c>
      <c r="K124" s="91">
        <f>IFERROR(__xludf.DUMMYFUNCTION("""COMPUTED_VALUE"""),0.0)</f>
        <v>0</v>
      </c>
      <c r="L124" s="91">
        <f>IFERROR(__xludf.DUMMYFUNCTION("""COMPUTED_VALUE"""),0.0)</f>
        <v>0</v>
      </c>
      <c r="M124" s="91">
        <f>IFERROR(__xludf.DUMMYFUNCTION("""COMPUTED_VALUE"""),0.0)</f>
        <v>0</v>
      </c>
      <c r="N124" s="91">
        <f>IFERROR(__xludf.DUMMYFUNCTION("""COMPUTED_VALUE"""),0.0)</f>
        <v>0</v>
      </c>
      <c r="O124" s="91">
        <f>IFERROR(__xludf.DUMMYFUNCTION("""COMPUTED_VALUE"""),0.0)</f>
        <v>0</v>
      </c>
      <c r="Q124" s="147">
        <v>0.0812</v>
      </c>
      <c r="R124" s="147">
        <v>0.0</v>
      </c>
      <c r="S124" s="147">
        <v>0.0016</v>
      </c>
      <c r="T124" s="147">
        <v>0.0</v>
      </c>
      <c r="U124" s="147">
        <v>0.0</v>
      </c>
      <c r="V124" s="147">
        <v>0.0</v>
      </c>
      <c r="W124" s="147">
        <v>0.0</v>
      </c>
      <c r="X124" s="147">
        <v>0.0</v>
      </c>
      <c r="Y124" s="147">
        <v>0.0</v>
      </c>
      <c r="Z124" s="147">
        <v>0.0</v>
      </c>
      <c r="AA124" s="147">
        <v>0.0</v>
      </c>
      <c r="AB124" s="147">
        <v>0.0</v>
      </c>
      <c r="AC124" s="147">
        <v>0.0</v>
      </c>
      <c r="AE124" s="87">
        <f t="shared" ref="AE124:AQ124" si="120">IFERROR((Q124-C124)/C124, "")</f>
        <v>-0.9924407479</v>
      </c>
      <c r="AF124" s="87">
        <f t="shared" si="120"/>
        <v>-1</v>
      </c>
      <c r="AG124" s="87">
        <f t="shared" si="120"/>
        <v>-0.9437599562</v>
      </c>
      <c r="AH124" s="87">
        <f t="shared" si="120"/>
        <v>-1</v>
      </c>
      <c r="AI124" s="87" t="str">
        <f t="shared" si="120"/>
        <v/>
      </c>
      <c r="AJ124" s="87" t="str">
        <f t="shared" si="120"/>
        <v/>
      </c>
      <c r="AK124" s="87" t="str">
        <f t="shared" si="120"/>
        <v/>
      </c>
      <c r="AL124" s="87" t="str">
        <f t="shared" si="120"/>
        <v/>
      </c>
      <c r="AM124" s="87" t="str">
        <f t="shared" si="120"/>
        <v/>
      </c>
      <c r="AN124" s="87" t="str">
        <f t="shared" si="120"/>
        <v/>
      </c>
      <c r="AO124" s="87" t="str">
        <f t="shared" si="120"/>
        <v/>
      </c>
      <c r="AP124" s="87" t="str">
        <f t="shared" si="120"/>
        <v/>
      </c>
      <c r="AQ124" s="87" t="str">
        <f t="shared" si="120"/>
        <v/>
      </c>
    </row>
    <row r="125">
      <c r="B125" s="89" t="s">
        <v>166</v>
      </c>
      <c r="C125" s="91">
        <f>IFERROR(__xludf.DUMMYFUNCTION("""COMPUTED_VALUE"""),83.2598066211463)</f>
        <v>83.25980662</v>
      </c>
      <c r="D125" s="91">
        <f>IFERROR(__xludf.DUMMYFUNCTION("""COMPUTED_VALUE"""),0.6466679908959239)</f>
        <v>0.6466679909</v>
      </c>
      <c r="E125" s="91">
        <f>IFERROR(__xludf.DUMMYFUNCTION("""COMPUTED_VALUE"""),0.8996752741568383)</f>
        <v>0.8996752742</v>
      </c>
      <c r="F125" s="91">
        <f>IFERROR(__xludf.DUMMYFUNCTION("""COMPUTED_VALUE"""),0.33846087316366646)</f>
        <v>0.3384608732</v>
      </c>
      <c r="G125" s="91">
        <f>IFERROR(__xludf.DUMMYFUNCTION("""COMPUTED_VALUE"""),0.291584440306228)</f>
        <v>0.2915844403</v>
      </c>
      <c r="H125" s="91">
        <f>IFERROR(__xludf.DUMMYFUNCTION("""COMPUTED_VALUE"""),0.4280399751707015)</f>
        <v>0.4280399752</v>
      </c>
      <c r="I125" s="91">
        <f>IFERROR(__xludf.DUMMYFUNCTION("""COMPUTED_VALUE"""),0.32273085040347615)</f>
        <v>0.3227308504</v>
      </c>
      <c r="J125" s="91">
        <f>IFERROR(__xludf.DUMMYFUNCTION("""COMPUTED_VALUE"""),0.0)</f>
        <v>0</v>
      </c>
      <c r="K125" s="91">
        <f>IFERROR(__xludf.DUMMYFUNCTION("""COMPUTED_VALUE"""),0.0)</f>
        <v>0</v>
      </c>
      <c r="L125" s="91">
        <f>IFERROR(__xludf.DUMMYFUNCTION("""COMPUTED_VALUE"""),0.0)</f>
        <v>0</v>
      </c>
      <c r="M125" s="91">
        <f>IFERROR(__xludf.DUMMYFUNCTION("""COMPUTED_VALUE"""),51.468923980964206)</f>
        <v>51.46892398</v>
      </c>
      <c r="N125" s="91">
        <f>IFERROR(__xludf.DUMMYFUNCTION("""COMPUTED_VALUE"""),478.7542302858325)</f>
        <v>478.7542303</v>
      </c>
      <c r="O125" s="91">
        <f>IFERROR(__xludf.DUMMYFUNCTION("""COMPUTED_VALUE"""),0.0)</f>
        <v>0</v>
      </c>
      <c r="Q125" s="147">
        <v>302.9488</v>
      </c>
      <c r="R125" s="147">
        <v>2.3582</v>
      </c>
      <c r="S125" s="147">
        <v>3.2624</v>
      </c>
      <c r="T125" s="147">
        <v>1.1998</v>
      </c>
      <c r="U125" s="147">
        <v>1.0431</v>
      </c>
      <c r="V125" s="147">
        <v>1.5662</v>
      </c>
      <c r="W125" s="147">
        <v>1.2031</v>
      </c>
      <c r="X125" s="147">
        <v>0.0</v>
      </c>
      <c r="Y125" s="147">
        <v>0.0</v>
      </c>
      <c r="Z125" s="147">
        <v>0.0</v>
      </c>
      <c r="AA125" s="147">
        <v>187.7254</v>
      </c>
      <c r="AB125" s="147">
        <v>1761.8944</v>
      </c>
      <c r="AC125" s="147">
        <v>0.0</v>
      </c>
      <c r="AE125" s="87">
        <f t="shared" ref="AE125:AQ125" si="121">IFERROR((Q125-C125)/C125, "")</f>
        <v>2.638596008</v>
      </c>
      <c r="AF125" s="87">
        <f t="shared" si="121"/>
        <v>2.646693563</v>
      </c>
      <c r="AG125" s="87">
        <f t="shared" si="121"/>
        <v>2.626197244</v>
      </c>
      <c r="AH125" s="87">
        <f t="shared" si="121"/>
        <v>2.544870604</v>
      </c>
      <c r="AI125" s="87">
        <f t="shared" si="121"/>
        <v>2.57735138</v>
      </c>
      <c r="AJ125" s="87">
        <f t="shared" si="121"/>
        <v>2.659004044</v>
      </c>
      <c r="AK125" s="87">
        <f t="shared" si="121"/>
        <v>2.727874167</v>
      </c>
      <c r="AL125" s="87" t="str">
        <f t="shared" si="121"/>
        <v/>
      </c>
      <c r="AM125" s="87" t="str">
        <f t="shared" si="121"/>
        <v/>
      </c>
      <c r="AN125" s="87" t="str">
        <f t="shared" si="121"/>
        <v/>
      </c>
      <c r="AO125" s="87">
        <f t="shared" si="121"/>
        <v>2.647354277</v>
      </c>
      <c r="AP125" s="87">
        <f t="shared" si="121"/>
        <v>2.680164662</v>
      </c>
      <c r="AQ125" s="87" t="str">
        <f t="shared" si="121"/>
        <v/>
      </c>
    </row>
    <row r="126">
      <c r="B126" s="89" t="s">
        <v>170</v>
      </c>
      <c r="C126" s="91">
        <f>IFERROR(__xludf.DUMMYFUNCTION("""COMPUTED_VALUE"""),8.364400855231397)</f>
        <v>8.364400855</v>
      </c>
      <c r="D126" s="91">
        <f>IFERROR(__xludf.DUMMYFUNCTION("""COMPUTED_VALUE"""),0.16851872542934)</f>
        <v>0.1685187254</v>
      </c>
      <c r="E126" s="91">
        <f>IFERROR(__xludf.DUMMYFUNCTION("""COMPUTED_VALUE"""),0.09486265259673082)</f>
        <v>0.0948626526</v>
      </c>
      <c r="F126" s="91">
        <f>IFERROR(__xludf.DUMMYFUNCTION("""COMPUTED_VALUE"""),0.009433188495758329)</f>
        <v>0.009433188496</v>
      </c>
      <c r="G126" s="91">
        <f>IFERROR(__xludf.DUMMYFUNCTION("""COMPUTED_VALUE"""),0.0)</f>
        <v>0</v>
      </c>
      <c r="H126" s="91">
        <f>IFERROR(__xludf.DUMMYFUNCTION("""COMPUTED_VALUE"""),0.0)</f>
        <v>0</v>
      </c>
      <c r="I126" s="91">
        <f>IFERROR(__xludf.DUMMYFUNCTION("""COMPUTED_VALUE"""),0.0)</f>
        <v>0</v>
      </c>
      <c r="J126" s="91">
        <f>IFERROR(__xludf.DUMMYFUNCTION("""COMPUTED_VALUE"""),0.4807307262569832)</f>
        <v>0.4807307263</v>
      </c>
      <c r="K126" s="91">
        <f>IFERROR(__xludf.DUMMYFUNCTION("""COMPUTED_VALUE"""),0.7753550175874199)</f>
        <v>0.7753550176</v>
      </c>
      <c r="L126" s="91">
        <f>IFERROR(__xludf.DUMMYFUNCTION("""COMPUTED_VALUE"""),1.1816093937512935)</f>
        <v>1.181609394</v>
      </c>
      <c r="M126" s="91">
        <f>IFERROR(__xludf.DUMMYFUNCTION("""COMPUTED_VALUE"""),12.022586674943101)</f>
        <v>12.02258667</v>
      </c>
      <c r="N126" s="91">
        <f>IFERROR(__xludf.DUMMYFUNCTION("""COMPUTED_VALUE"""),0.0)</f>
        <v>0</v>
      </c>
      <c r="O126" s="91">
        <f>IFERROR(__xludf.DUMMYFUNCTION("""COMPUTED_VALUE"""),0.10164200289675152)</f>
        <v>0.1016420029</v>
      </c>
      <c r="Q126" s="147">
        <v>36.3972</v>
      </c>
      <c r="R126" s="147">
        <v>0.6141</v>
      </c>
      <c r="S126" s="147">
        <v>0.3176</v>
      </c>
      <c r="T126" s="147">
        <v>0.039</v>
      </c>
      <c r="U126" s="147">
        <v>0.0</v>
      </c>
      <c r="V126" s="147">
        <v>0.0</v>
      </c>
      <c r="W126" s="147">
        <v>0.0</v>
      </c>
      <c r="X126" s="147">
        <v>1.4622</v>
      </c>
      <c r="Y126" s="147">
        <v>2.8757</v>
      </c>
      <c r="Z126" s="147">
        <v>4.3867</v>
      </c>
      <c r="AA126" s="147">
        <v>43.8546</v>
      </c>
      <c r="AB126" s="147">
        <v>0.0</v>
      </c>
      <c r="AC126" s="147">
        <v>0.0366</v>
      </c>
      <c r="AE126" s="87">
        <f t="shared" ref="AE126:AQ126" si="122">IFERROR((Q126-C126)/C126, "")</f>
        <v>3.35144138</v>
      </c>
      <c r="AF126" s="87">
        <f t="shared" si="122"/>
        <v>2.644105416</v>
      </c>
      <c r="AG126" s="87">
        <f t="shared" si="122"/>
        <v>2.347998304</v>
      </c>
      <c r="AH126" s="87">
        <f t="shared" si="122"/>
        <v>3.134339096</v>
      </c>
      <c r="AI126" s="87" t="str">
        <f t="shared" si="122"/>
        <v/>
      </c>
      <c r="AJ126" s="87" t="str">
        <f t="shared" si="122"/>
        <v/>
      </c>
      <c r="AK126" s="87" t="str">
        <f t="shared" si="122"/>
        <v/>
      </c>
      <c r="AL126" s="87">
        <f t="shared" si="122"/>
        <v>2.041619601</v>
      </c>
      <c r="AM126" s="87">
        <f t="shared" si="122"/>
        <v>2.708881654</v>
      </c>
      <c r="AN126" s="87">
        <f t="shared" si="122"/>
        <v>2.712478949</v>
      </c>
      <c r="AO126" s="87">
        <f t="shared" si="122"/>
        <v>2.647684245</v>
      </c>
      <c r="AP126" s="87" t="str">
        <f t="shared" si="122"/>
        <v/>
      </c>
      <c r="AQ126" s="87">
        <f t="shared" si="122"/>
        <v>-0.6399126448</v>
      </c>
    </row>
    <row r="127">
      <c r="B127" s="89" t="s">
        <v>176</v>
      </c>
      <c r="C127" s="91">
        <f>IFERROR(__xludf.DUMMYFUNCTION("""COMPUTED_VALUE"""),40.504108959238565)</f>
        <v>40.50410896</v>
      </c>
      <c r="D127" s="91">
        <f>IFERROR(__xludf.DUMMYFUNCTION("""COMPUTED_VALUE"""),0.2562401406993585)</f>
        <v>0.2562401407</v>
      </c>
      <c r="E127" s="91">
        <f>IFERROR(__xludf.DUMMYFUNCTION("""COMPUTED_VALUE"""),0.0)</f>
        <v>0</v>
      </c>
      <c r="F127" s="91">
        <f>IFERROR(__xludf.DUMMYFUNCTION("""COMPUTED_VALUE"""),0.036236954272708455)</f>
        <v>0.03623695427</v>
      </c>
      <c r="G127" s="91">
        <f>IFERROR(__xludf.DUMMYFUNCTION("""COMPUTED_VALUE"""),0.29184982412580174)</f>
        <v>0.2918498241</v>
      </c>
      <c r="H127" s="91">
        <f>IFERROR(__xludf.DUMMYFUNCTION("""COMPUTED_VALUE"""),0.21971367680529685)</f>
        <v>0.2197136768</v>
      </c>
      <c r="I127" s="91">
        <f>IFERROR(__xludf.DUMMYFUNCTION("""COMPUTED_VALUE"""),0.0)</f>
        <v>0</v>
      </c>
      <c r="J127" s="91">
        <f>IFERROR(__xludf.DUMMYFUNCTION("""COMPUTED_VALUE"""),0.0)</f>
        <v>0</v>
      </c>
      <c r="K127" s="91">
        <f>IFERROR(__xludf.DUMMYFUNCTION("""COMPUTED_VALUE"""),0.0)</f>
        <v>0</v>
      </c>
      <c r="L127" s="91">
        <f>IFERROR(__xludf.DUMMYFUNCTION("""COMPUTED_VALUE"""),0.0)</f>
        <v>0</v>
      </c>
      <c r="M127" s="91">
        <f>IFERROR(__xludf.DUMMYFUNCTION("""COMPUTED_VALUE"""),8.984279702048415)</f>
        <v>8.984279702</v>
      </c>
      <c r="N127" s="91">
        <f>IFERROR(__xludf.DUMMYFUNCTION("""COMPUTED_VALUE"""),0.0)</f>
        <v>0</v>
      </c>
      <c r="O127" s="91">
        <f>IFERROR(__xludf.DUMMYFUNCTION("""COMPUTED_VALUE"""),0.0)</f>
        <v>0</v>
      </c>
      <c r="Q127" s="147">
        <v>312.7011</v>
      </c>
      <c r="R127" s="147">
        <v>0.8448</v>
      </c>
      <c r="S127" s="147">
        <v>0.0</v>
      </c>
      <c r="T127" s="147">
        <v>0.3363</v>
      </c>
      <c r="U127" s="147">
        <v>1.1251</v>
      </c>
      <c r="V127" s="147">
        <v>0.5085</v>
      </c>
      <c r="W127" s="147">
        <v>0.0</v>
      </c>
      <c r="X127" s="147">
        <v>0.0</v>
      </c>
      <c r="Y127" s="147">
        <v>0.0</v>
      </c>
      <c r="Z127" s="147">
        <v>0.0</v>
      </c>
      <c r="AA127" s="147">
        <v>68.1966</v>
      </c>
      <c r="AB127" s="147">
        <v>0.0</v>
      </c>
      <c r="AC127" s="147">
        <v>0.0</v>
      </c>
      <c r="AE127" s="87">
        <f t="shared" ref="AE127:AQ127" si="123">IFERROR((Q127-C127)/C127, "")</f>
        <v>6.720231553</v>
      </c>
      <c r="AF127" s="87">
        <f t="shared" si="123"/>
        <v>2.296907337</v>
      </c>
      <c r="AG127" s="87" t="str">
        <f t="shared" si="123"/>
        <v/>
      </c>
      <c r="AH127" s="87">
        <f t="shared" si="123"/>
        <v>8.280581295</v>
      </c>
      <c r="AI127" s="87">
        <f t="shared" si="123"/>
        <v>2.855064855</v>
      </c>
      <c r="AJ127" s="87">
        <f t="shared" si="123"/>
        <v>1.314375725</v>
      </c>
      <c r="AK127" s="87" t="str">
        <f t="shared" si="123"/>
        <v/>
      </c>
      <c r="AL127" s="87" t="str">
        <f t="shared" si="123"/>
        <v/>
      </c>
      <c r="AM127" s="87" t="str">
        <f t="shared" si="123"/>
        <v/>
      </c>
      <c r="AN127" s="87" t="str">
        <f t="shared" si="123"/>
        <v/>
      </c>
      <c r="AO127" s="87">
        <f t="shared" si="123"/>
        <v>6.590658602</v>
      </c>
      <c r="AP127" s="87" t="str">
        <f t="shared" si="123"/>
        <v/>
      </c>
      <c r="AQ127" s="87" t="str">
        <f t="shared" si="123"/>
        <v/>
      </c>
    </row>
    <row r="128">
      <c r="B128" s="89" t="s">
        <v>179</v>
      </c>
      <c r="C128" s="91">
        <f>IFERROR(__xludf.DUMMYFUNCTION("""COMPUTED_VALUE"""),0.0)</f>
        <v>0</v>
      </c>
      <c r="D128" s="91">
        <f>IFERROR(__xludf.DUMMYFUNCTION("""COMPUTED_VALUE"""),0.28155555555555556)</f>
        <v>0.2815555556</v>
      </c>
      <c r="E128" s="91">
        <f>IFERROR(__xludf.DUMMYFUNCTION("""COMPUTED_VALUE"""),0.0)</f>
        <v>0</v>
      </c>
      <c r="F128" s="91">
        <f>IFERROR(__xludf.DUMMYFUNCTION("""COMPUTED_VALUE"""),0.0)</f>
        <v>0</v>
      </c>
      <c r="G128" s="91">
        <f>IFERROR(__xludf.DUMMYFUNCTION("""COMPUTED_VALUE"""),0.2820000000000001)</f>
        <v>0.282</v>
      </c>
      <c r="H128" s="91">
        <f>IFERROR(__xludf.DUMMYFUNCTION("""COMPUTED_VALUE"""),0.28119444444444447)</f>
        <v>0.2811944444</v>
      </c>
      <c r="I128" s="91">
        <f>IFERROR(__xludf.DUMMYFUNCTION("""COMPUTED_VALUE"""),0.28175)</f>
        <v>0.28175</v>
      </c>
      <c r="J128" s="91">
        <f>IFERROR(__xludf.DUMMYFUNCTION("""COMPUTED_VALUE"""),0.0)</f>
        <v>0</v>
      </c>
      <c r="K128" s="91">
        <f>IFERROR(__xludf.DUMMYFUNCTION("""COMPUTED_VALUE"""),0.0)</f>
        <v>0</v>
      </c>
      <c r="L128" s="91">
        <f>IFERROR(__xludf.DUMMYFUNCTION("""COMPUTED_VALUE"""),0.0)</f>
        <v>0</v>
      </c>
      <c r="M128" s="91">
        <f>IFERROR(__xludf.DUMMYFUNCTION("""COMPUTED_VALUE"""),28.64675)</f>
        <v>28.64675</v>
      </c>
      <c r="N128" s="91">
        <f>IFERROR(__xludf.DUMMYFUNCTION("""COMPUTED_VALUE"""),5.6153611111111115)</f>
        <v>5.615361111</v>
      </c>
      <c r="O128" s="91">
        <f>IFERROR(__xludf.DUMMYFUNCTION("""COMPUTED_VALUE"""),0.0)</f>
        <v>0</v>
      </c>
      <c r="Q128" s="147">
        <v>0.0</v>
      </c>
      <c r="R128" s="147">
        <v>0.5589</v>
      </c>
      <c r="S128" s="147">
        <v>0.0</v>
      </c>
      <c r="T128" s="147">
        <v>0.0</v>
      </c>
      <c r="U128" s="147">
        <v>0.5589</v>
      </c>
      <c r="V128" s="147">
        <v>0.5589</v>
      </c>
      <c r="W128" s="147">
        <v>0.5589</v>
      </c>
      <c r="X128" s="147">
        <v>0.0</v>
      </c>
      <c r="Y128" s="147">
        <v>0.0</v>
      </c>
      <c r="Z128" s="147">
        <v>0.0</v>
      </c>
      <c r="AA128" s="147">
        <v>74.4598</v>
      </c>
      <c r="AB128" s="147">
        <v>10.4143</v>
      </c>
      <c r="AC128" s="147">
        <v>0.0</v>
      </c>
      <c r="AE128" s="87" t="str">
        <f t="shared" ref="AE128:AQ128" si="124">IFERROR((Q128-C128)/C128, "")</f>
        <v/>
      </c>
      <c r="AF128" s="87">
        <f t="shared" si="124"/>
        <v>0.9850434096</v>
      </c>
      <c r="AG128" s="87" t="str">
        <f t="shared" si="124"/>
        <v/>
      </c>
      <c r="AH128" s="87" t="str">
        <f t="shared" si="124"/>
        <v/>
      </c>
      <c r="AI128" s="87">
        <f t="shared" si="124"/>
        <v>0.9819148936</v>
      </c>
      <c r="AJ128" s="87">
        <f t="shared" si="124"/>
        <v>0.9875926109</v>
      </c>
      <c r="AK128" s="87">
        <f t="shared" si="124"/>
        <v>0.9836734694</v>
      </c>
      <c r="AL128" s="87" t="str">
        <f t="shared" si="124"/>
        <v/>
      </c>
      <c r="AM128" s="87" t="str">
        <f t="shared" si="124"/>
        <v/>
      </c>
      <c r="AN128" s="87" t="str">
        <f t="shared" si="124"/>
        <v/>
      </c>
      <c r="AO128" s="87">
        <f t="shared" si="124"/>
        <v>1.599240752</v>
      </c>
      <c r="AP128" s="87">
        <f t="shared" si="124"/>
        <v>0.8546091327</v>
      </c>
      <c r="AQ128" s="87" t="str">
        <f t="shared" si="124"/>
        <v/>
      </c>
    </row>
    <row r="129">
      <c r="B129" s="89" t="s">
        <v>180</v>
      </c>
      <c r="C129" s="91">
        <f>IFERROR(__xludf.DUMMYFUNCTION("""COMPUTED_VALUE"""),16.664217780742945)</f>
        <v>16.66421778</v>
      </c>
      <c r="D129" s="91">
        <f>IFERROR(__xludf.DUMMYFUNCTION("""COMPUTED_VALUE"""),0.261589984385863)</f>
        <v>0.2615899844</v>
      </c>
      <c r="E129" s="91">
        <f>IFERROR(__xludf.DUMMYFUNCTION("""COMPUTED_VALUE"""),0.27129719769987015)</f>
        <v>0.2712971977</v>
      </c>
      <c r="F129" s="91">
        <f>IFERROR(__xludf.DUMMYFUNCTION("""COMPUTED_VALUE"""),0.24935889561021407)</f>
        <v>0.2493588956</v>
      </c>
      <c r="G129" s="91">
        <f>IFERROR(__xludf.DUMMYFUNCTION("""COMPUTED_VALUE"""),0.2959923483707042)</f>
        <v>0.2959923484</v>
      </c>
      <c r="H129" s="91">
        <f>IFERROR(__xludf.DUMMYFUNCTION("""COMPUTED_VALUE"""),0.2813538706931815)</f>
        <v>0.2813538707</v>
      </c>
      <c r="I129" s="91">
        <f>IFERROR(__xludf.DUMMYFUNCTION("""COMPUTED_VALUE"""),0.27184080164545454)</f>
        <v>0.2718408016</v>
      </c>
      <c r="J129" s="91">
        <f>IFERROR(__xludf.DUMMYFUNCTION("""COMPUTED_VALUE"""),0.0)</f>
        <v>0</v>
      </c>
      <c r="K129" s="91">
        <f>IFERROR(__xludf.DUMMYFUNCTION("""COMPUTED_VALUE"""),2.708467830021002)</f>
        <v>2.70846783</v>
      </c>
      <c r="L129" s="91">
        <f>IFERROR(__xludf.DUMMYFUNCTION("""COMPUTED_VALUE"""),2.7657015597203882)</f>
        <v>2.76570156</v>
      </c>
      <c r="M129" s="91">
        <f>IFERROR(__xludf.DUMMYFUNCTION("""COMPUTED_VALUE"""),25.807170199233433)</f>
        <v>25.8071702</v>
      </c>
      <c r="N129" s="91">
        <f>IFERROR(__xludf.DUMMYFUNCTION("""COMPUTED_VALUE"""),0.0)</f>
        <v>0</v>
      </c>
      <c r="O129" s="91">
        <f>IFERROR(__xludf.DUMMYFUNCTION("""COMPUTED_VALUE"""),0.0)</f>
        <v>0</v>
      </c>
      <c r="Q129" s="147">
        <v>30.9139</v>
      </c>
      <c r="R129" s="147">
        <v>0.5613</v>
      </c>
      <c r="S129" s="147">
        <v>0.5581</v>
      </c>
      <c r="T129" s="147">
        <v>0.5451</v>
      </c>
      <c r="U129" s="147">
        <v>0.5703</v>
      </c>
      <c r="V129" s="147">
        <v>0.567</v>
      </c>
      <c r="W129" s="147">
        <v>0.5597</v>
      </c>
      <c r="X129" s="147">
        <v>0.0</v>
      </c>
      <c r="Y129" s="147">
        <v>5.3209</v>
      </c>
      <c r="Z129" s="147">
        <v>5.4833</v>
      </c>
      <c r="AA129" s="147">
        <v>51.0073</v>
      </c>
      <c r="AB129" s="147">
        <v>0.0</v>
      </c>
      <c r="AC129" s="147">
        <v>0.0</v>
      </c>
      <c r="AE129" s="87">
        <f t="shared" ref="AE129:AQ129" si="125">IFERROR((Q129-C129)/C129, "")</f>
        <v>0.8551065767</v>
      </c>
      <c r="AF129" s="87">
        <f t="shared" si="125"/>
        <v>1.145724353</v>
      </c>
      <c r="AG129" s="87">
        <f t="shared" si="125"/>
        <v>1.057153574</v>
      </c>
      <c r="AH129" s="87">
        <f t="shared" si="125"/>
        <v>1.186005832</v>
      </c>
      <c r="AI129" s="87">
        <f t="shared" si="125"/>
        <v>0.9267389956</v>
      </c>
      <c r="AJ129" s="87">
        <f t="shared" si="125"/>
        <v>1.01525573</v>
      </c>
      <c r="AK129" s="87">
        <f t="shared" si="125"/>
        <v>1.058925653</v>
      </c>
      <c r="AL129" s="87" t="str">
        <f t="shared" si="125"/>
        <v/>
      </c>
      <c r="AM129" s="87">
        <f t="shared" si="125"/>
        <v>0.9645424402</v>
      </c>
      <c r="AN129" s="87">
        <f t="shared" si="125"/>
        <v>0.9826072631</v>
      </c>
      <c r="AO129" s="87">
        <f t="shared" si="125"/>
        <v>0.9764778395</v>
      </c>
      <c r="AP129" s="87" t="str">
        <f t="shared" si="125"/>
        <v/>
      </c>
      <c r="AQ129" s="87" t="str">
        <f t="shared" si="125"/>
        <v/>
      </c>
    </row>
    <row r="130">
      <c r="B130" s="89" t="s">
        <v>182</v>
      </c>
      <c r="C130" s="91">
        <f>IFERROR(__xludf.DUMMYFUNCTION("""COMPUTED_VALUE"""),0.0)</f>
        <v>0</v>
      </c>
      <c r="D130" s="91">
        <f>IFERROR(__xludf.DUMMYFUNCTION("""COMPUTED_VALUE"""),0.0)</f>
        <v>0</v>
      </c>
      <c r="E130" s="91">
        <f>IFERROR(__xludf.DUMMYFUNCTION("""COMPUTED_VALUE"""),0.0)</f>
        <v>0</v>
      </c>
      <c r="F130" s="91">
        <f>IFERROR(__xludf.DUMMYFUNCTION("""COMPUTED_VALUE"""),0.0)</f>
        <v>0</v>
      </c>
      <c r="G130" s="91">
        <f>IFERROR(__xludf.DUMMYFUNCTION("""COMPUTED_VALUE"""),0.0)</f>
        <v>0</v>
      </c>
      <c r="H130" s="91">
        <f>IFERROR(__xludf.DUMMYFUNCTION("""COMPUTED_VALUE"""),0.0)</f>
        <v>0</v>
      </c>
      <c r="I130" s="91">
        <f>IFERROR(__xludf.DUMMYFUNCTION("""COMPUTED_VALUE"""),0.0)</f>
        <v>0</v>
      </c>
      <c r="J130" s="91">
        <f>IFERROR(__xludf.DUMMYFUNCTION("""COMPUTED_VALUE"""),0.0)</f>
        <v>0</v>
      </c>
      <c r="K130" s="91">
        <f>IFERROR(__xludf.DUMMYFUNCTION("""COMPUTED_VALUE"""),0.0)</f>
        <v>0</v>
      </c>
      <c r="L130" s="91">
        <f>IFERROR(__xludf.DUMMYFUNCTION("""COMPUTED_VALUE"""),0.0)</f>
        <v>0</v>
      </c>
      <c r="M130" s="91">
        <f>IFERROR(__xludf.DUMMYFUNCTION("""COMPUTED_VALUE"""),0.0)</f>
        <v>0</v>
      </c>
      <c r="N130" s="91">
        <f>IFERROR(__xludf.DUMMYFUNCTION("""COMPUTED_VALUE"""),0.0)</f>
        <v>0</v>
      </c>
      <c r="O130" s="91">
        <f>IFERROR(__xludf.DUMMYFUNCTION("""COMPUTED_VALUE"""),0.0)</f>
        <v>0</v>
      </c>
      <c r="Q130" s="147">
        <v>0.0812</v>
      </c>
      <c r="R130" s="147">
        <v>8.0E-4</v>
      </c>
      <c r="S130" s="147">
        <v>0.0</v>
      </c>
      <c r="T130" s="147">
        <v>0.0</v>
      </c>
      <c r="U130" s="147">
        <v>0.0016</v>
      </c>
      <c r="V130" s="147">
        <v>0.0114</v>
      </c>
      <c r="W130" s="147">
        <v>0.0</v>
      </c>
      <c r="X130" s="147">
        <v>0.0162</v>
      </c>
      <c r="Y130" s="147">
        <v>0.1015</v>
      </c>
      <c r="Z130" s="147">
        <v>0.1097</v>
      </c>
      <c r="AA130" s="147">
        <v>0.3168</v>
      </c>
      <c r="AB130" s="147">
        <v>0.0</v>
      </c>
      <c r="AC130" s="147">
        <v>0.0</v>
      </c>
      <c r="AE130" s="87" t="str">
        <f t="shared" ref="AE130:AQ130" si="126">IFERROR((Q130-C130)/C130, "")</f>
        <v/>
      </c>
      <c r="AF130" s="87" t="str">
        <f t="shared" si="126"/>
        <v/>
      </c>
      <c r="AG130" s="87" t="str">
        <f t="shared" si="126"/>
        <v/>
      </c>
      <c r="AH130" s="87" t="str">
        <f t="shared" si="126"/>
        <v/>
      </c>
      <c r="AI130" s="87" t="str">
        <f t="shared" si="126"/>
        <v/>
      </c>
      <c r="AJ130" s="87" t="str">
        <f t="shared" si="126"/>
        <v/>
      </c>
      <c r="AK130" s="87" t="str">
        <f t="shared" si="126"/>
        <v/>
      </c>
      <c r="AL130" s="87" t="str">
        <f t="shared" si="126"/>
        <v/>
      </c>
      <c r="AM130" s="87" t="str">
        <f t="shared" si="126"/>
        <v/>
      </c>
      <c r="AN130" s="87" t="str">
        <f t="shared" si="126"/>
        <v/>
      </c>
      <c r="AO130" s="87" t="str">
        <f t="shared" si="126"/>
        <v/>
      </c>
      <c r="AP130" s="87" t="str">
        <f t="shared" si="126"/>
        <v/>
      </c>
      <c r="AQ130" s="87" t="str">
        <f t="shared" si="126"/>
        <v/>
      </c>
    </row>
    <row r="131">
      <c r="B131" s="89" t="s">
        <v>183</v>
      </c>
      <c r="C131" s="91">
        <f>IFERROR(__xludf.DUMMYFUNCTION("""COMPUTED_VALUE"""),8.292280726061874)</f>
        <v>8.292280726</v>
      </c>
      <c r="D131" s="91">
        <f>IFERROR(__xludf.DUMMYFUNCTION("""COMPUTED_VALUE"""),0.0)</f>
        <v>0</v>
      </c>
      <c r="E131" s="91">
        <f>IFERROR(__xludf.DUMMYFUNCTION("""COMPUTED_VALUE"""),0.024427055119244624)</f>
        <v>0.02442705512</v>
      </c>
      <c r="F131" s="91">
        <f>IFERROR(__xludf.DUMMYFUNCTION("""COMPUTED_VALUE"""),0.021691418619269754)</f>
        <v>0.02169141862</v>
      </c>
      <c r="G131" s="91">
        <f>IFERROR(__xludf.DUMMYFUNCTION("""COMPUTED_VALUE"""),0.0018398971150273451)</f>
        <v>0.001839897115</v>
      </c>
      <c r="H131" s="91">
        <f>IFERROR(__xludf.DUMMYFUNCTION("""COMPUTED_VALUE"""),0.001573596216799703)</f>
        <v>0.001573596217</v>
      </c>
      <c r="I131" s="91">
        <f>IFERROR(__xludf.DUMMYFUNCTION("""COMPUTED_VALUE"""),0.001960942977858091)</f>
        <v>0.001960942978</v>
      </c>
      <c r="J131" s="91">
        <f>IFERROR(__xludf.DUMMYFUNCTION("""COMPUTED_VALUE"""),0.0)</f>
        <v>0</v>
      </c>
      <c r="K131" s="91">
        <f>IFERROR(__xludf.DUMMYFUNCTION("""COMPUTED_VALUE"""),0.0)</f>
        <v>0</v>
      </c>
      <c r="L131" s="91">
        <f>IFERROR(__xludf.DUMMYFUNCTION("""COMPUTED_VALUE"""),0.0)</f>
        <v>0</v>
      </c>
      <c r="M131" s="91">
        <f>IFERROR(__xludf.DUMMYFUNCTION("""COMPUTED_VALUE"""),3.3452234651905073)</f>
        <v>3.345223465</v>
      </c>
      <c r="N131" s="91">
        <f>IFERROR(__xludf.DUMMYFUNCTION("""COMPUTED_VALUE"""),10.511510328492246)</f>
        <v>10.51151033</v>
      </c>
      <c r="O131" s="91">
        <f>IFERROR(__xludf.DUMMYFUNCTION("""COMPUTED_VALUE"""),0.0)</f>
        <v>0</v>
      </c>
      <c r="Q131" s="147">
        <v>53.6149</v>
      </c>
      <c r="R131" s="147">
        <v>0.0349</v>
      </c>
      <c r="S131" s="147">
        <v>0.1267</v>
      </c>
      <c r="T131" s="147">
        <v>0.108</v>
      </c>
      <c r="U131" s="147">
        <v>0.0032</v>
      </c>
      <c r="V131" s="147">
        <v>0.0065</v>
      </c>
      <c r="W131" s="147">
        <v>0.0089</v>
      </c>
      <c r="X131" s="147">
        <v>0.0</v>
      </c>
      <c r="Y131" s="147">
        <v>0.0</v>
      </c>
      <c r="Z131" s="147">
        <v>0.0</v>
      </c>
      <c r="AA131" s="147">
        <v>20.3899</v>
      </c>
      <c r="AB131" s="147">
        <v>77.2218</v>
      </c>
      <c r="AC131" s="147">
        <v>0.0</v>
      </c>
      <c r="AE131" s="87">
        <f t="shared" ref="AE131:AQ131" si="127">IFERROR((Q131-C131)/C131, "")</f>
        <v>5.465639764</v>
      </c>
      <c r="AF131" s="87" t="str">
        <f t="shared" si="127"/>
        <v/>
      </c>
      <c r="AG131" s="87">
        <f t="shared" si="127"/>
        <v>4.186871663</v>
      </c>
      <c r="AH131" s="87">
        <f t="shared" si="127"/>
        <v>3.978927469</v>
      </c>
      <c r="AI131" s="87">
        <f t="shared" si="127"/>
        <v>0.739227685</v>
      </c>
      <c r="AJ131" s="87">
        <f t="shared" si="127"/>
        <v>3.130665752</v>
      </c>
      <c r="AK131" s="87">
        <f t="shared" si="127"/>
        <v>3.53863274</v>
      </c>
      <c r="AL131" s="87" t="str">
        <f t="shared" si="127"/>
        <v/>
      </c>
      <c r="AM131" s="87" t="str">
        <f t="shared" si="127"/>
        <v/>
      </c>
      <c r="AN131" s="87" t="str">
        <f t="shared" si="127"/>
        <v/>
      </c>
      <c r="AO131" s="87">
        <f t="shared" si="127"/>
        <v>5.09522808</v>
      </c>
      <c r="AP131" s="87">
        <f t="shared" si="127"/>
        <v>6.346403855</v>
      </c>
      <c r="AQ131" s="87" t="str">
        <f t="shared" si="127"/>
        <v/>
      </c>
    </row>
    <row r="132">
      <c r="B132" s="89" t="s">
        <v>185</v>
      </c>
      <c r="C132" s="91">
        <f>IFERROR(__xludf.DUMMYFUNCTION("""COMPUTED_VALUE"""),0.0)</f>
        <v>0</v>
      </c>
      <c r="D132" s="91">
        <f>IFERROR(__xludf.DUMMYFUNCTION("""COMPUTED_VALUE"""),0.0)</f>
        <v>0</v>
      </c>
      <c r="E132" s="91">
        <f>IFERROR(__xludf.DUMMYFUNCTION("""COMPUTED_VALUE"""),0.0)</f>
        <v>0</v>
      </c>
      <c r="F132" s="91">
        <f>IFERROR(__xludf.DUMMYFUNCTION("""COMPUTED_VALUE"""),0.0)</f>
        <v>0</v>
      </c>
      <c r="G132" s="91">
        <f>IFERROR(__xludf.DUMMYFUNCTION("""COMPUTED_VALUE"""),0.0)</f>
        <v>0</v>
      </c>
      <c r="H132" s="91">
        <f>IFERROR(__xludf.DUMMYFUNCTION("""COMPUTED_VALUE"""),0.0)</f>
        <v>0</v>
      </c>
      <c r="I132" s="91">
        <f>IFERROR(__xludf.DUMMYFUNCTION("""COMPUTED_VALUE"""),0.0)</f>
        <v>0</v>
      </c>
      <c r="J132" s="91">
        <f>IFERROR(__xludf.DUMMYFUNCTION("""COMPUTED_VALUE"""),0.0)</f>
        <v>0</v>
      </c>
      <c r="K132" s="91">
        <f>IFERROR(__xludf.DUMMYFUNCTION("""COMPUTED_VALUE"""),0.0)</f>
        <v>0</v>
      </c>
      <c r="L132" s="91">
        <f>IFERROR(__xludf.DUMMYFUNCTION("""COMPUTED_VALUE"""),0.0)</f>
        <v>0</v>
      </c>
      <c r="M132" s="91">
        <f>IFERROR(__xludf.DUMMYFUNCTION("""COMPUTED_VALUE"""),0.0)</f>
        <v>0</v>
      </c>
      <c r="N132" s="91">
        <f>IFERROR(__xludf.DUMMYFUNCTION("""COMPUTED_VALUE"""),0.0)</f>
        <v>0</v>
      </c>
      <c r="O132" s="91">
        <f>IFERROR(__xludf.DUMMYFUNCTION("""COMPUTED_VALUE"""),0.0)</f>
        <v>0</v>
      </c>
      <c r="Q132" s="147">
        <v>0.0</v>
      </c>
      <c r="R132" s="147">
        <v>0.0</v>
      </c>
      <c r="S132" s="147">
        <v>0.0</v>
      </c>
      <c r="T132" s="147">
        <v>0.0</v>
      </c>
      <c r="U132" s="147">
        <v>0.0</v>
      </c>
      <c r="V132" s="147">
        <v>0.0</v>
      </c>
      <c r="W132" s="147">
        <v>0.0</v>
      </c>
      <c r="X132" s="147">
        <v>0.0</v>
      </c>
      <c r="Y132" s="147">
        <v>0.0</v>
      </c>
      <c r="Z132" s="147">
        <v>0.0</v>
      </c>
      <c r="AA132" s="147">
        <v>0.0</v>
      </c>
      <c r="AB132" s="147">
        <v>0.0</v>
      </c>
      <c r="AC132" s="147">
        <v>0.0</v>
      </c>
      <c r="AE132" s="87" t="str">
        <f t="shared" ref="AE132:AQ132" si="128">IFERROR((Q132-C132)/C132, "")</f>
        <v/>
      </c>
      <c r="AF132" s="87" t="str">
        <f t="shared" si="128"/>
        <v/>
      </c>
      <c r="AG132" s="87" t="str">
        <f t="shared" si="128"/>
        <v/>
      </c>
      <c r="AH132" s="87" t="str">
        <f t="shared" si="128"/>
        <v/>
      </c>
      <c r="AI132" s="87" t="str">
        <f t="shared" si="128"/>
        <v/>
      </c>
      <c r="AJ132" s="87" t="str">
        <f t="shared" si="128"/>
        <v/>
      </c>
      <c r="AK132" s="87" t="str">
        <f t="shared" si="128"/>
        <v/>
      </c>
      <c r="AL132" s="87" t="str">
        <f t="shared" si="128"/>
        <v/>
      </c>
      <c r="AM132" s="87" t="str">
        <f t="shared" si="128"/>
        <v/>
      </c>
      <c r="AN132" s="87" t="str">
        <f t="shared" si="128"/>
        <v/>
      </c>
      <c r="AO132" s="87" t="str">
        <f t="shared" si="128"/>
        <v/>
      </c>
      <c r="AP132" s="87" t="str">
        <f t="shared" si="128"/>
        <v/>
      </c>
      <c r="AQ132" s="87" t="str">
        <f t="shared" si="128"/>
        <v/>
      </c>
    </row>
    <row r="133">
      <c r="B133" s="84" t="s">
        <v>186</v>
      </c>
      <c r="C133" s="86">
        <f>IFERROR(__xludf.DUMMYFUNCTION("""COMPUTED_VALUE"""),29.924460606060613)</f>
        <v>29.92446061</v>
      </c>
      <c r="D133" s="86">
        <f>IFERROR(__xludf.DUMMYFUNCTION("""COMPUTED_VALUE"""),0.2976242424242424)</f>
        <v>0.2976242424</v>
      </c>
      <c r="E133" s="86">
        <f>IFERROR(__xludf.DUMMYFUNCTION("""COMPUTED_VALUE"""),0.3130181818181818)</f>
        <v>0.3130181818</v>
      </c>
      <c r="F133" s="86">
        <f>IFERROR(__xludf.DUMMYFUNCTION("""COMPUTED_VALUE"""),0.22601212121212116)</f>
        <v>0.2260121212</v>
      </c>
      <c r="G133" s="86">
        <f>IFERROR(__xludf.DUMMYFUNCTION("""COMPUTED_VALUE"""),0.37704242424242423)</f>
        <v>0.3770424242</v>
      </c>
      <c r="H133" s="86">
        <f>IFERROR(__xludf.DUMMYFUNCTION("""COMPUTED_VALUE"""),0.4165090909090909)</f>
        <v>0.4165090909</v>
      </c>
      <c r="I133" s="86">
        <f>IFERROR(__xludf.DUMMYFUNCTION("""COMPUTED_VALUE"""),0.41604848484848483)</f>
        <v>0.4160484848</v>
      </c>
      <c r="J133" s="86">
        <f>IFERROR(__xludf.DUMMYFUNCTION("""COMPUTED_VALUE"""),0.07267878787878788)</f>
        <v>0.07267878788</v>
      </c>
      <c r="K133" s="86">
        <f>IFERROR(__xludf.DUMMYFUNCTION("""COMPUTED_VALUE"""),0.05985454545454545)</f>
        <v>0.05985454545</v>
      </c>
      <c r="L133" s="86">
        <f>IFERROR(__xludf.DUMMYFUNCTION("""COMPUTED_VALUE"""),0.0579878787878788)</f>
        <v>0.05798787879</v>
      </c>
      <c r="M133" s="86">
        <f>IFERROR(__xludf.DUMMYFUNCTION("""COMPUTED_VALUE"""),20.768969696969695)</f>
        <v>20.7689697</v>
      </c>
      <c r="N133" s="85">
        <f>IFERROR(__xludf.DUMMYFUNCTION("""COMPUTED_VALUE"""),33.998400000000004)</f>
        <v>33.9984</v>
      </c>
      <c r="O133" s="85">
        <f>IFERROR(__xludf.DUMMYFUNCTION("""COMPUTED_VALUE"""),0.0)</f>
        <v>0</v>
      </c>
      <c r="Q133" s="147">
        <v>86.7498</v>
      </c>
      <c r="R133" s="147">
        <v>0.3582</v>
      </c>
      <c r="S133" s="147">
        <v>0.541</v>
      </c>
      <c r="T133" s="147">
        <v>0.4842</v>
      </c>
      <c r="U133" s="147">
        <v>0.8172</v>
      </c>
      <c r="V133" s="147">
        <v>0.8205</v>
      </c>
      <c r="W133" s="147">
        <v>0.8253</v>
      </c>
      <c r="X133" s="147">
        <v>0.0731</v>
      </c>
      <c r="Y133" s="147">
        <v>0.0731</v>
      </c>
      <c r="Z133" s="147">
        <v>0.0731</v>
      </c>
      <c r="AA133" s="147">
        <v>14.5402</v>
      </c>
      <c r="AB133" s="147">
        <v>29.7725</v>
      </c>
      <c r="AC133" s="147">
        <v>0.0</v>
      </c>
      <c r="AE133" s="87">
        <f t="shared" ref="AE133:AQ133" si="129">IFERROR((Q133-C133)/C133, "")</f>
        <v>1.898959522</v>
      </c>
      <c r="AF133" s="87">
        <f t="shared" si="129"/>
        <v>0.2035309929</v>
      </c>
      <c r="AG133" s="87">
        <f t="shared" si="129"/>
        <v>0.7283341078</v>
      </c>
      <c r="AH133" s="87">
        <f t="shared" si="129"/>
        <v>1.142362973</v>
      </c>
      <c r="AI133" s="87">
        <f t="shared" si="129"/>
        <v>1.167395358</v>
      </c>
      <c r="AJ133" s="87">
        <f t="shared" si="129"/>
        <v>0.9699449974</v>
      </c>
      <c r="AK133" s="87">
        <f t="shared" si="129"/>
        <v>0.9836630346</v>
      </c>
      <c r="AL133" s="87">
        <f t="shared" si="129"/>
        <v>0.005795530354</v>
      </c>
      <c r="AM133" s="87">
        <f t="shared" si="129"/>
        <v>0.2212940462</v>
      </c>
      <c r="AN133" s="87">
        <f t="shared" si="129"/>
        <v>0.2606082776</v>
      </c>
      <c r="AO133" s="87">
        <f t="shared" si="129"/>
        <v>-0.299907496</v>
      </c>
      <c r="AP133" s="87">
        <f t="shared" si="129"/>
        <v>-0.1242970257</v>
      </c>
      <c r="AQ133" s="87" t="str">
        <f t="shared" si="129"/>
        <v/>
      </c>
    </row>
    <row r="134">
      <c r="B134" s="89" t="s">
        <v>188</v>
      </c>
      <c r="C134" s="91">
        <f>IFERROR(__xludf.DUMMYFUNCTION("""COMPUTED_VALUE"""),0.0)</f>
        <v>0</v>
      </c>
      <c r="D134" s="91">
        <f>IFERROR(__xludf.DUMMYFUNCTION("""COMPUTED_VALUE"""),0.0)</f>
        <v>0</v>
      </c>
      <c r="E134" s="91">
        <f>IFERROR(__xludf.DUMMYFUNCTION("""COMPUTED_VALUE"""),0.0)</f>
        <v>0</v>
      </c>
      <c r="F134" s="91">
        <f>IFERROR(__xludf.DUMMYFUNCTION("""COMPUTED_VALUE"""),0.0)</f>
        <v>0</v>
      </c>
      <c r="G134" s="91">
        <f>IFERROR(__xludf.DUMMYFUNCTION("""COMPUTED_VALUE"""),0.0)</f>
        <v>0</v>
      </c>
      <c r="H134" s="91">
        <f>IFERROR(__xludf.DUMMYFUNCTION("""COMPUTED_VALUE"""),0.0)</f>
        <v>0</v>
      </c>
      <c r="I134" s="91">
        <f>IFERROR(__xludf.DUMMYFUNCTION("""COMPUTED_VALUE"""),0.0)</f>
        <v>0</v>
      </c>
      <c r="J134" s="91">
        <f>IFERROR(__xludf.DUMMYFUNCTION("""COMPUTED_VALUE"""),0.0)</f>
        <v>0</v>
      </c>
      <c r="K134" s="91">
        <f>IFERROR(__xludf.DUMMYFUNCTION("""COMPUTED_VALUE"""),0.0)</f>
        <v>0</v>
      </c>
      <c r="L134" s="91">
        <f>IFERROR(__xludf.DUMMYFUNCTION("""COMPUTED_VALUE"""),0.0)</f>
        <v>0</v>
      </c>
      <c r="M134" s="91">
        <f>IFERROR(__xludf.DUMMYFUNCTION("""COMPUTED_VALUE"""),0.0)</f>
        <v>0</v>
      </c>
      <c r="N134" s="91">
        <f>IFERROR(__xludf.DUMMYFUNCTION("""COMPUTED_VALUE"""),0.0)</f>
        <v>0</v>
      </c>
      <c r="O134" s="91">
        <f>IFERROR(__xludf.DUMMYFUNCTION("""COMPUTED_VALUE"""),0.0)</f>
        <v>0</v>
      </c>
      <c r="Q134" s="147">
        <v>0.0812</v>
      </c>
      <c r="R134" s="147">
        <v>0.0</v>
      </c>
      <c r="S134" s="147">
        <v>8.0E-4</v>
      </c>
      <c r="T134" s="147">
        <v>0.0</v>
      </c>
      <c r="U134" s="147">
        <v>0.0016</v>
      </c>
      <c r="V134" s="147">
        <v>0.0</v>
      </c>
      <c r="W134" s="147">
        <v>8.0E-4</v>
      </c>
      <c r="X134" s="147">
        <v>0.0122</v>
      </c>
      <c r="Y134" s="147">
        <v>0.0244</v>
      </c>
      <c r="Z134" s="147">
        <v>0.0122</v>
      </c>
      <c r="AA134" s="147">
        <v>0.2193</v>
      </c>
      <c r="AB134" s="147">
        <v>0.0</v>
      </c>
      <c r="AC134" s="147">
        <v>0.0</v>
      </c>
      <c r="AE134" s="87" t="str">
        <f t="shared" ref="AE134:AQ134" si="130">IFERROR((Q134-C134)/C134, "")</f>
        <v/>
      </c>
      <c r="AF134" s="87" t="str">
        <f t="shared" si="130"/>
        <v/>
      </c>
      <c r="AG134" s="87" t="str">
        <f t="shared" si="130"/>
        <v/>
      </c>
      <c r="AH134" s="87" t="str">
        <f t="shared" si="130"/>
        <v/>
      </c>
      <c r="AI134" s="87" t="str">
        <f t="shared" si="130"/>
        <v/>
      </c>
      <c r="AJ134" s="87" t="str">
        <f t="shared" si="130"/>
        <v/>
      </c>
      <c r="AK134" s="87" t="str">
        <f t="shared" si="130"/>
        <v/>
      </c>
      <c r="AL134" s="87" t="str">
        <f t="shared" si="130"/>
        <v/>
      </c>
      <c r="AM134" s="87" t="str">
        <f t="shared" si="130"/>
        <v/>
      </c>
      <c r="AN134" s="87" t="str">
        <f t="shared" si="130"/>
        <v/>
      </c>
      <c r="AO134" s="87" t="str">
        <f t="shared" si="130"/>
        <v/>
      </c>
      <c r="AP134" s="87" t="str">
        <f t="shared" si="130"/>
        <v/>
      </c>
      <c r="AQ134" s="87" t="str">
        <f t="shared" si="130"/>
        <v/>
      </c>
    </row>
    <row r="135">
      <c r="B135" s="89" t="s">
        <v>189</v>
      </c>
      <c r="C135" s="91">
        <f>IFERROR(__xludf.DUMMYFUNCTION("""COMPUTED_VALUE"""),0.0)</f>
        <v>0</v>
      </c>
      <c r="D135" s="91">
        <f>IFERROR(__xludf.DUMMYFUNCTION("""COMPUTED_VALUE"""),0.0)</f>
        <v>0</v>
      </c>
      <c r="E135" s="91">
        <f>IFERROR(__xludf.DUMMYFUNCTION("""COMPUTED_VALUE"""),0.0)</f>
        <v>0</v>
      </c>
      <c r="F135" s="91">
        <f>IFERROR(__xludf.DUMMYFUNCTION("""COMPUTED_VALUE"""),0.0)</f>
        <v>0</v>
      </c>
      <c r="G135" s="91">
        <f>IFERROR(__xludf.DUMMYFUNCTION("""COMPUTED_VALUE"""),0.0)</f>
        <v>0</v>
      </c>
      <c r="H135" s="91">
        <f>IFERROR(__xludf.DUMMYFUNCTION("""COMPUTED_VALUE"""),0.0)</f>
        <v>0</v>
      </c>
      <c r="I135" s="91">
        <f>IFERROR(__xludf.DUMMYFUNCTION("""COMPUTED_VALUE"""),0.0)</f>
        <v>0</v>
      </c>
      <c r="J135" s="91">
        <f>IFERROR(__xludf.DUMMYFUNCTION("""COMPUTED_VALUE"""),0.0)</f>
        <v>0</v>
      </c>
      <c r="K135" s="91">
        <f>IFERROR(__xludf.DUMMYFUNCTION("""COMPUTED_VALUE"""),0.0)</f>
        <v>0</v>
      </c>
      <c r="L135" s="91">
        <f>IFERROR(__xludf.DUMMYFUNCTION("""COMPUTED_VALUE"""),0.0)</f>
        <v>0</v>
      </c>
      <c r="M135" s="91">
        <f>IFERROR(__xludf.DUMMYFUNCTION("""COMPUTED_VALUE"""),0.0)</f>
        <v>0</v>
      </c>
      <c r="N135" s="91">
        <f>IFERROR(__xludf.DUMMYFUNCTION("""COMPUTED_VALUE"""),0.0)</f>
        <v>0</v>
      </c>
      <c r="O135" s="91">
        <f>IFERROR(__xludf.DUMMYFUNCTION("""COMPUTED_VALUE"""),0.0)</f>
        <v>0</v>
      </c>
      <c r="Q135" s="147">
        <v>117.8716</v>
      </c>
      <c r="R135" s="147">
        <v>0.0276</v>
      </c>
      <c r="S135" s="147">
        <v>0.2803</v>
      </c>
      <c r="T135" s="147">
        <v>0.4898</v>
      </c>
      <c r="U135" s="147">
        <v>0.0</v>
      </c>
      <c r="V135" s="147">
        <v>0.0</v>
      </c>
      <c r="W135" s="147">
        <v>0.0</v>
      </c>
      <c r="X135" s="147">
        <v>0.0</v>
      </c>
      <c r="Y135" s="147">
        <v>0.0</v>
      </c>
      <c r="Z135" s="147">
        <v>0.0</v>
      </c>
      <c r="AA135" s="147">
        <v>0.0</v>
      </c>
      <c r="AB135" s="147">
        <v>0.0</v>
      </c>
      <c r="AC135" s="147">
        <v>0.0</v>
      </c>
      <c r="AE135" s="87" t="str">
        <f t="shared" ref="AE135:AQ135" si="131">IFERROR((Q135-C135)/C135, "")</f>
        <v/>
      </c>
      <c r="AF135" s="87" t="str">
        <f t="shared" si="131"/>
        <v/>
      </c>
      <c r="AG135" s="87" t="str">
        <f t="shared" si="131"/>
        <v/>
      </c>
      <c r="AH135" s="87" t="str">
        <f t="shared" si="131"/>
        <v/>
      </c>
      <c r="AI135" s="87" t="str">
        <f t="shared" si="131"/>
        <v/>
      </c>
      <c r="AJ135" s="87" t="str">
        <f t="shared" si="131"/>
        <v/>
      </c>
      <c r="AK135" s="87" t="str">
        <f t="shared" si="131"/>
        <v/>
      </c>
      <c r="AL135" s="87" t="str">
        <f t="shared" si="131"/>
        <v/>
      </c>
      <c r="AM135" s="87" t="str">
        <f t="shared" si="131"/>
        <v/>
      </c>
      <c r="AN135" s="87" t="str">
        <f t="shared" si="131"/>
        <v/>
      </c>
      <c r="AO135" s="87" t="str">
        <f t="shared" si="131"/>
        <v/>
      </c>
      <c r="AP135" s="87" t="str">
        <f t="shared" si="131"/>
        <v/>
      </c>
      <c r="AQ135" s="87" t="str">
        <f t="shared" si="131"/>
        <v/>
      </c>
    </row>
    <row r="136">
      <c r="B136" s="89" t="s">
        <v>191</v>
      </c>
      <c r="C136" s="91">
        <f>IFERROR(__xludf.DUMMYFUNCTION("""COMPUTED_VALUE"""),0.0)</f>
        <v>0</v>
      </c>
      <c r="D136" s="91">
        <f>IFERROR(__xludf.DUMMYFUNCTION("""COMPUTED_VALUE"""),0.0)</f>
        <v>0</v>
      </c>
      <c r="E136" s="91">
        <f>IFERROR(__xludf.DUMMYFUNCTION("""COMPUTED_VALUE"""),0.0)</f>
        <v>0</v>
      </c>
      <c r="F136" s="91">
        <f>IFERROR(__xludf.DUMMYFUNCTION("""COMPUTED_VALUE"""),0.0)</f>
        <v>0</v>
      </c>
      <c r="G136" s="91">
        <f>IFERROR(__xludf.DUMMYFUNCTION("""COMPUTED_VALUE"""),0.0)</f>
        <v>0</v>
      </c>
      <c r="H136" s="91">
        <f>IFERROR(__xludf.DUMMYFUNCTION("""COMPUTED_VALUE"""),0.0)</f>
        <v>0</v>
      </c>
      <c r="I136" s="91">
        <f>IFERROR(__xludf.DUMMYFUNCTION("""COMPUTED_VALUE"""),0.0)</f>
        <v>0</v>
      </c>
      <c r="J136" s="91">
        <f>IFERROR(__xludf.DUMMYFUNCTION("""COMPUTED_VALUE"""),0.0)</f>
        <v>0</v>
      </c>
      <c r="K136" s="91">
        <f>IFERROR(__xludf.DUMMYFUNCTION("""COMPUTED_VALUE"""),0.0)</f>
        <v>0</v>
      </c>
      <c r="L136" s="91">
        <f>IFERROR(__xludf.DUMMYFUNCTION("""COMPUTED_VALUE"""),0.0)</f>
        <v>0</v>
      </c>
      <c r="M136" s="91">
        <f>IFERROR(__xludf.DUMMYFUNCTION("""COMPUTED_VALUE"""),0.0)</f>
        <v>0</v>
      </c>
      <c r="N136" s="91">
        <f>IFERROR(__xludf.DUMMYFUNCTION("""COMPUTED_VALUE"""),0.0)</f>
        <v>0</v>
      </c>
      <c r="O136" s="91">
        <f>IFERROR(__xludf.DUMMYFUNCTION("""COMPUTED_VALUE"""),0.0)</f>
        <v>0</v>
      </c>
      <c r="Q136" s="147">
        <v>0.0</v>
      </c>
      <c r="R136" s="147">
        <v>8.0E-4</v>
      </c>
      <c r="S136" s="147">
        <v>8.0E-4</v>
      </c>
      <c r="T136" s="147">
        <v>0.0016</v>
      </c>
      <c r="U136" s="147">
        <v>0.0</v>
      </c>
      <c r="V136" s="147">
        <v>8.0E-4</v>
      </c>
      <c r="W136" s="147">
        <v>0.0016</v>
      </c>
      <c r="X136" s="147">
        <v>0.0162</v>
      </c>
      <c r="Y136" s="147">
        <v>0.0122</v>
      </c>
      <c r="Z136" s="147">
        <v>0.0</v>
      </c>
      <c r="AA136" s="147">
        <v>0.0</v>
      </c>
      <c r="AB136" s="147">
        <v>0.0</v>
      </c>
      <c r="AC136" s="147">
        <v>0.0</v>
      </c>
      <c r="AE136" s="87" t="str">
        <f t="shared" ref="AE136:AQ136" si="132">IFERROR((Q136-C136)/C136, "")</f>
        <v/>
      </c>
      <c r="AF136" s="87" t="str">
        <f t="shared" si="132"/>
        <v/>
      </c>
      <c r="AG136" s="87" t="str">
        <f t="shared" si="132"/>
        <v/>
      </c>
      <c r="AH136" s="87" t="str">
        <f t="shared" si="132"/>
        <v/>
      </c>
      <c r="AI136" s="87" t="str">
        <f t="shared" si="132"/>
        <v/>
      </c>
      <c r="AJ136" s="87" t="str">
        <f t="shared" si="132"/>
        <v/>
      </c>
      <c r="AK136" s="87" t="str">
        <f t="shared" si="132"/>
        <v/>
      </c>
      <c r="AL136" s="87" t="str">
        <f t="shared" si="132"/>
        <v/>
      </c>
      <c r="AM136" s="87" t="str">
        <f t="shared" si="132"/>
        <v/>
      </c>
      <c r="AN136" s="87" t="str">
        <f t="shared" si="132"/>
        <v/>
      </c>
      <c r="AO136" s="87" t="str">
        <f t="shared" si="132"/>
        <v/>
      </c>
      <c r="AP136" s="87" t="str">
        <f t="shared" si="132"/>
        <v/>
      </c>
      <c r="AQ136" s="87" t="str">
        <f t="shared" si="132"/>
        <v/>
      </c>
    </row>
    <row r="137">
      <c r="B137" s="89" t="s">
        <v>192</v>
      </c>
      <c r="C137" s="91">
        <f>IFERROR(__xludf.DUMMYFUNCTION("""COMPUTED_VALUE"""),122.95419577074279)</f>
        <v>122.9541958</v>
      </c>
      <c r="D137" s="91">
        <f>IFERROR(__xludf.DUMMYFUNCTION("""COMPUTED_VALUE"""),1.5899385888681983)</f>
        <v>1.589938589</v>
      </c>
      <c r="E137" s="91">
        <f>IFERROR(__xludf.DUMMYFUNCTION("""COMPUTED_VALUE"""),1.0371802813987172)</f>
        <v>1.037180281</v>
      </c>
      <c r="F137" s="91">
        <f>IFERROR(__xludf.DUMMYFUNCTION("""COMPUTED_VALUE"""),0.0)</f>
        <v>0</v>
      </c>
      <c r="G137" s="91">
        <f>IFERROR(__xludf.DUMMYFUNCTION("""COMPUTED_VALUE"""),1.2375571280777988)</f>
        <v>1.237557128</v>
      </c>
      <c r="H137" s="91">
        <f>IFERROR(__xludf.DUMMYFUNCTION("""COMPUTED_VALUE"""),1.2327963031933238)</f>
        <v>1.232796303</v>
      </c>
      <c r="I137" s="91">
        <f>IFERROR(__xludf.DUMMYFUNCTION("""COMPUTED_VALUE"""),0.670254983102283)</f>
        <v>0.6702549831</v>
      </c>
      <c r="J137" s="91">
        <f>IFERROR(__xludf.DUMMYFUNCTION("""COMPUTED_VALUE"""),0.0)</f>
        <v>0</v>
      </c>
      <c r="K137" s="91">
        <f>IFERROR(__xludf.DUMMYFUNCTION("""COMPUTED_VALUE"""),0.0)</f>
        <v>0</v>
      </c>
      <c r="L137" s="91">
        <f>IFERROR(__xludf.DUMMYFUNCTION("""COMPUTED_VALUE"""),0.0)</f>
        <v>0</v>
      </c>
      <c r="M137" s="91">
        <f>IFERROR(__xludf.DUMMYFUNCTION("""COMPUTED_VALUE"""),211.8616933581626)</f>
        <v>211.8616934</v>
      </c>
      <c r="N137" s="91">
        <f>IFERROR(__xludf.DUMMYFUNCTION("""COMPUTED_VALUE"""),0.0)</f>
        <v>0</v>
      </c>
      <c r="O137" s="91">
        <f>IFERROR(__xludf.DUMMYFUNCTION("""COMPUTED_VALUE"""),0.0)</f>
        <v>0</v>
      </c>
      <c r="Q137" s="147">
        <v>210.3168</v>
      </c>
      <c r="R137" s="147">
        <v>3.433</v>
      </c>
      <c r="S137" s="147">
        <v>3.4135</v>
      </c>
      <c r="T137" s="147">
        <v>0.0089</v>
      </c>
      <c r="U137" s="147">
        <v>3.4785</v>
      </c>
      <c r="V137" s="147">
        <v>3.407</v>
      </c>
      <c r="W137" s="147">
        <v>3.4411</v>
      </c>
      <c r="X137" s="147">
        <v>0.0</v>
      </c>
      <c r="Y137" s="147">
        <v>0.0</v>
      </c>
      <c r="Z137" s="147">
        <v>0.0</v>
      </c>
      <c r="AA137" s="147">
        <v>914.3014</v>
      </c>
      <c r="AB137" s="147">
        <v>0.0</v>
      </c>
      <c r="AC137" s="147">
        <v>0.0</v>
      </c>
      <c r="AE137" s="87">
        <f t="shared" ref="AE137:AQ137" si="133">IFERROR((Q137-C137)/C137, "")</f>
        <v>0.7105296707</v>
      </c>
      <c r="AF137" s="87">
        <f t="shared" si="133"/>
        <v>1.159202893</v>
      </c>
      <c r="AG137" s="87">
        <f t="shared" si="133"/>
        <v>2.291134686</v>
      </c>
      <c r="AH137" s="87" t="str">
        <f t="shared" si="133"/>
        <v/>
      </c>
      <c r="AI137" s="87">
        <f t="shared" si="133"/>
        <v>1.810779334</v>
      </c>
      <c r="AJ137" s="87">
        <f t="shared" si="133"/>
        <v>1.763635802</v>
      </c>
      <c r="AK137" s="87">
        <f t="shared" si="133"/>
        <v>4.134016287</v>
      </c>
      <c r="AL137" s="87" t="str">
        <f t="shared" si="133"/>
        <v/>
      </c>
      <c r="AM137" s="87" t="str">
        <f t="shared" si="133"/>
        <v/>
      </c>
      <c r="AN137" s="87" t="str">
        <f t="shared" si="133"/>
        <v/>
      </c>
      <c r="AO137" s="87">
        <f t="shared" si="133"/>
        <v>3.315557879</v>
      </c>
      <c r="AP137" s="87" t="str">
        <f t="shared" si="133"/>
        <v/>
      </c>
      <c r="AQ137" s="87" t="str">
        <f t="shared" si="133"/>
        <v/>
      </c>
    </row>
    <row r="138">
      <c r="B138" s="89" t="s">
        <v>194</v>
      </c>
      <c r="C138" s="91">
        <f>IFERROR(__xludf.DUMMYFUNCTION("""COMPUTED_VALUE"""),29.364515040424063)</f>
        <v>29.36451504</v>
      </c>
      <c r="D138" s="91">
        <f>IFERROR(__xludf.DUMMYFUNCTION("""COMPUTED_VALUE"""),0.26353764038463934)</f>
        <v>0.2635376404</v>
      </c>
      <c r="E138" s="91">
        <f>IFERROR(__xludf.DUMMYFUNCTION("""COMPUTED_VALUE"""),0.3742114655562012)</f>
        <v>0.3742114656</v>
      </c>
      <c r="F138" s="91">
        <f>IFERROR(__xludf.DUMMYFUNCTION("""COMPUTED_VALUE"""),0.15926104427952292)</f>
        <v>0.1592610443</v>
      </c>
      <c r="G138" s="91">
        <f>IFERROR(__xludf.DUMMYFUNCTION("""COMPUTED_VALUE"""),0.63582817489885)</f>
        <v>0.6358281749</v>
      </c>
      <c r="H138" s="91">
        <f>IFERROR(__xludf.DUMMYFUNCTION("""COMPUTED_VALUE"""),0.6876580665914556)</f>
        <v>0.6876580666</v>
      </c>
      <c r="I138" s="91">
        <f>IFERROR(__xludf.DUMMYFUNCTION("""COMPUTED_VALUE"""),0.4302180605235934)</f>
        <v>0.4302180605</v>
      </c>
      <c r="J138" s="91">
        <f>IFERROR(__xludf.DUMMYFUNCTION("""COMPUTED_VALUE"""),2.075821527568964)</f>
        <v>2.075821528</v>
      </c>
      <c r="K138" s="91">
        <f>IFERROR(__xludf.DUMMYFUNCTION("""COMPUTED_VALUE"""),4.485479722371191)</f>
        <v>4.485479722</v>
      </c>
      <c r="L138" s="91">
        <f>IFERROR(__xludf.DUMMYFUNCTION("""COMPUTED_VALUE"""),5.757541406241972)</f>
        <v>5.757541406</v>
      </c>
      <c r="M138" s="91">
        <f>IFERROR(__xludf.DUMMYFUNCTION("""COMPUTED_VALUE"""),39.50264276021221)</f>
        <v>39.50264276</v>
      </c>
      <c r="N138" s="91">
        <f>IFERROR(__xludf.DUMMYFUNCTION("""COMPUTED_VALUE"""),1.395424227851821)</f>
        <v>1.395424228</v>
      </c>
      <c r="O138" s="91">
        <f>IFERROR(__xludf.DUMMYFUNCTION("""COMPUTED_VALUE"""),0.0)</f>
        <v>0</v>
      </c>
      <c r="Q138" s="147">
        <v>34.3501</v>
      </c>
      <c r="R138" s="147">
        <v>0.2323</v>
      </c>
      <c r="S138" s="147">
        <v>0.5467</v>
      </c>
      <c r="T138" s="147">
        <v>0.0755</v>
      </c>
      <c r="U138" s="147">
        <v>1.2949</v>
      </c>
      <c r="V138" s="147">
        <v>1.3591</v>
      </c>
      <c r="W138" s="147">
        <v>0.5719</v>
      </c>
      <c r="X138" s="147">
        <v>0.7027</v>
      </c>
      <c r="Y138" s="147">
        <v>4.5004</v>
      </c>
      <c r="Z138" s="147">
        <v>8.7693</v>
      </c>
      <c r="AA138" s="147">
        <v>45.9667</v>
      </c>
      <c r="AB138" s="147">
        <v>0.0203</v>
      </c>
      <c r="AC138" s="147">
        <v>0.0</v>
      </c>
      <c r="AE138" s="87">
        <f t="shared" ref="AE138:AQ138" si="134">IFERROR((Q138-C138)/C138, "")</f>
        <v>0.1697826425</v>
      </c>
      <c r="AF138" s="87">
        <f t="shared" si="134"/>
        <v>-0.1185319878</v>
      </c>
      <c r="AG138" s="87">
        <f t="shared" si="134"/>
        <v>0.4609386679</v>
      </c>
      <c r="AH138" s="87">
        <f t="shared" si="134"/>
        <v>-0.525935546</v>
      </c>
      <c r="AI138" s="87">
        <f t="shared" si="134"/>
        <v>1.036556496</v>
      </c>
      <c r="AJ138" s="87">
        <f t="shared" si="134"/>
        <v>0.976418319</v>
      </c>
      <c r="AK138" s="87">
        <f t="shared" si="134"/>
        <v>0.3293258756</v>
      </c>
      <c r="AL138" s="87">
        <f t="shared" si="134"/>
        <v>-0.661483422</v>
      </c>
      <c r="AM138" s="87">
        <f t="shared" si="134"/>
        <v>0.00332635048</v>
      </c>
      <c r="AN138" s="87">
        <f t="shared" si="134"/>
        <v>0.5230980346</v>
      </c>
      <c r="AO138" s="87">
        <f t="shared" si="134"/>
        <v>0.1636360706</v>
      </c>
      <c r="AP138" s="87">
        <f t="shared" si="134"/>
        <v>-0.9854524527</v>
      </c>
      <c r="AQ138" s="87" t="str">
        <f t="shared" si="134"/>
        <v/>
      </c>
    </row>
    <row r="139">
      <c r="B139" s="89" t="s">
        <v>195</v>
      </c>
      <c r="C139" s="91">
        <f>IFERROR(__xludf.DUMMYFUNCTION("""COMPUTED_VALUE"""),7.6517033491226485)</f>
        <v>7.651703349</v>
      </c>
      <c r="D139" s="91">
        <f>IFERROR(__xludf.DUMMYFUNCTION("""COMPUTED_VALUE"""),0.0065920548817619785)</f>
        <v>0.006592054882</v>
      </c>
      <c r="E139" s="91">
        <f>IFERROR(__xludf.DUMMYFUNCTION("""COMPUTED_VALUE"""),0.03636995796834196)</f>
        <v>0.03636995797</v>
      </c>
      <c r="F139" s="91">
        <f>IFERROR(__xludf.DUMMYFUNCTION("""COMPUTED_VALUE"""),0.06494635351489635)</f>
        <v>0.06494635351</v>
      </c>
      <c r="G139" s="91">
        <f>IFERROR(__xludf.DUMMYFUNCTION("""COMPUTED_VALUE"""),2.9225859081703353E-4)</f>
        <v>0.0002922585908</v>
      </c>
      <c r="H139" s="91">
        <f>IFERROR(__xludf.DUMMYFUNCTION("""COMPUTED_VALUE"""),1.2989270702979273E-4)</f>
        <v>0.000129892707</v>
      </c>
      <c r="I139" s="91">
        <f>IFERROR(__xludf.DUMMYFUNCTION("""COMPUTED_VALUE"""),0.0)</f>
        <v>0</v>
      </c>
      <c r="J139" s="91">
        <f>IFERROR(__xludf.DUMMYFUNCTION("""COMPUTED_VALUE"""),0.0)</f>
        <v>0</v>
      </c>
      <c r="K139" s="91">
        <f>IFERROR(__xludf.DUMMYFUNCTION("""COMPUTED_VALUE"""),0.0)</f>
        <v>0</v>
      </c>
      <c r="L139" s="91">
        <f>IFERROR(__xludf.DUMMYFUNCTION("""COMPUTED_VALUE"""),0.0)</f>
        <v>0</v>
      </c>
      <c r="M139" s="91">
        <f>IFERROR(__xludf.DUMMYFUNCTION("""COMPUTED_VALUE"""),2.6568903759408946)</f>
        <v>2.656890376</v>
      </c>
      <c r="N139" s="91">
        <f>IFERROR(__xludf.DUMMYFUNCTION("""COMPUTED_VALUE"""),0.0)</f>
        <v>0</v>
      </c>
      <c r="O139" s="91">
        <f>IFERROR(__xludf.DUMMYFUNCTION("""COMPUTED_VALUE"""),0.0)</f>
        <v>0</v>
      </c>
      <c r="Q139" s="147">
        <v>48.8018</v>
      </c>
      <c r="R139" s="147">
        <v>0.0626</v>
      </c>
      <c r="S139" s="147">
        <v>0.1397</v>
      </c>
      <c r="T139" s="147">
        <v>0.3948</v>
      </c>
      <c r="U139" s="147">
        <v>0.0211</v>
      </c>
      <c r="V139" s="147">
        <v>0.0317</v>
      </c>
      <c r="W139" s="147">
        <v>0.0723</v>
      </c>
      <c r="X139" s="147">
        <v>0.0</v>
      </c>
      <c r="Y139" s="147">
        <v>0.0</v>
      </c>
      <c r="Z139" s="147">
        <v>0.0</v>
      </c>
      <c r="AA139" s="147">
        <v>17.5467</v>
      </c>
      <c r="AB139" s="147">
        <v>0.0</v>
      </c>
      <c r="AC139" s="147">
        <v>0.0</v>
      </c>
      <c r="AE139" s="87">
        <f t="shared" ref="AE139:AQ139" si="135">IFERROR((Q139-C139)/C139, "")</f>
        <v>5.377900158</v>
      </c>
      <c r="AF139" s="87">
        <f t="shared" si="135"/>
        <v>8.496280162</v>
      </c>
      <c r="AG139" s="87">
        <f t="shared" si="135"/>
        <v>2.84108225</v>
      </c>
      <c r="AH139" s="87">
        <f t="shared" si="135"/>
        <v>5.078863225</v>
      </c>
      <c r="AI139" s="87">
        <f t="shared" si="135"/>
        <v>71.19633798</v>
      </c>
      <c r="AJ139" s="87">
        <f t="shared" si="135"/>
        <v>243.0475738</v>
      </c>
      <c r="AK139" s="87" t="str">
        <f t="shared" si="135"/>
        <v/>
      </c>
      <c r="AL139" s="87" t="str">
        <f t="shared" si="135"/>
        <v/>
      </c>
      <c r="AM139" s="87" t="str">
        <f t="shared" si="135"/>
        <v/>
      </c>
      <c r="AN139" s="87" t="str">
        <f t="shared" si="135"/>
        <v/>
      </c>
      <c r="AO139" s="87">
        <f t="shared" si="135"/>
        <v>5.604224306</v>
      </c>
      <c r="AP139" s="87" t="str">
        <f t="shared" si="135"/>
        <v/>
      </c>
      <c r="AQ139" s="87" t="str">
        <f t="shared" si="135"/>
        <v/>
      </c>
    </row>
    <row r="140">
      <c r="B140" s="84" t="s">
        <v>199</v>
      </c>
      <c r="C140" s="86">
        <f>IFERROR(__xludf.DUMMYFUNCTION("""COMPUTED_VALUE"""),9.284203374582638)</f>
        <v>9.284203375</v>
      </c>
      <c r="D140" s="86">
        <f>IFERROR(__xludf.DUMMYFUNCTION("""COMPUTED_VALUE"""),0.08983817157806524)</f>
        <v>0.08983817158</v>
      </c>
      <c r="E140" s="86">
        <f>IFERROR(__xludf.DUMMYFUNCTION("""COMPUTED_VALUE"""),0.05441056129383908)</f>
        <v>0.05441056129</v>
      </c>
      <c r="F140" s="86">
        <f>IFERROR(__xludf.DUMMYFUNCTION("""COMPUTED_VALUE"""),0.03169610448576511)</f>
        <v>0.03169610449</v>
      </c>
      <c r="G140" s="86">
        <f>IFERROR(__xludf.DUMMYFUNCTION("""COMPUTED_VALUE"""),0.0)</f>
        <v>0</v>
      </c>
      <c r="H140" s="86">
        <f>IFERROR(__xludf.DUMMYFUNCTION("""COMPUTED_VALUE"""),0.0)</f>
        <v>0</v>
      </c>
      <c r="I140" s="86">
        <f>IFERROR(__xludf.DUMMYFUNCTION("""COMPUTED_VALUE"""),0.0)</f>
        <v>0</v>
      </c>
      <c r="J140" s="86">
        <f>IFERROR(__xludf.DUMMYFUNCTION("""COMPUTED_VALUE"""),0.0)</f>
        <v>0</v>
      </c>
      <c r="K140" s="86">
        <f>IFERROR(__xludf.DUMMYFUNCTION("""COMPUTED_VALUE"""),0.0)</f>
        <v>0</v>
      </c>
      <c r="L140" s="86">
        <f>IFERROR(__xludf.DUMMYFUNCTION("""COMPUTED_VALUE"""),0.0)</f>
        <v>0</v>
      </c>
      <c r="M140" s="86">
        <f>IFERROR(__xludf.DUMMYFUNCTION("""COMPUTED_VALUE"""),0.0)</f>
        <v>0</v>
      </c>
      <c r="N140" s="85">
        <f>IFERROR(__xludf.DUMMYFUNCTION("""COMPUTED_VALUE"""),0.0)</f>
        <v>0</v>
      </c>
      <c r="O140" s="85">
        <f>IFERROR(__xludf.DUMMYFUNCTION("""COMPUTED_VALUE"""),0.0)</f>
        <v>0</v>
      </c>
      <c r="Q140" s="147">
        <v>36.9659</v>
      </c>
      <c r="R140" s="147">
        <v>0.3355</v>
      </c>
      <c r="S140" s="147">
        <v>0.1706</v>
      </c>
      <c r="T140" s="147">
        <v>0.143</v>
      </c>
      <c r="U140" s="147">
        <v>0.0</v>
      </c>
      <c r="V140" s="147">
        <v>0.0</v>
      </c>
      <c r="W140" s="147">
        <v>0.0</v>
      </c>
      <c r="X140" s="147">
        <v>0.0</v>
      </c>
      <c r="Y140" s="147">
        <v>0.0</v>
      </c>
      <c r="Z140" s="147">
        <v>0.0</v>
      </c>
      <c r="AA140" s="147">
        <v>0.0</v>
      </c>
      <c r="AB140" s="147">
        <v>0.0</v>
      </c>
      <c r="AC140" s="147">
        <v>0.0</v>
      </c>
      <c r="AE140" s="87">
        <f t="shared" ref="AE140:AQ140" si="136">IFERROR((Q140-C140)/C140, "")</f>
        <v>2.981590936</v>
      </c>
      <c r="AF140" s="87">
        <f t="shared" si="136"/>
        <v>2.734492745</v>
      </c>
      <c r="AG140" s="87">
        <f t="shared" si="136"/>
        <v>2.135420697</v>
      </c>
      <c r="AH140" s="87">
        <f t="shared" si="136"/>
        <v>3.511595425</v>
      </c>
      <c r="AI140" s="87" t="str">
        <f t="shared" si="136"/>
        <v/>
      </c>
      <c r="AJ140" s="87" t="str">
        <f t="shared" si="136"/>
        <v/>
      </c>
      <c r="AK140" s="87" t="str">
        <f t="shared" si="136"/>
        <v/>
      </c>
      <c r="AL140" s="87" t="str">
        <f t="shared" si="136"/>
        <v/>
      </c>
      <c r="AM140" s="87" t="str">
        <f t="shared" si="136"/>
        <v/>
      </c>
      <c r="AN140" s="87" t="str">
        <f t="shared" si="136"/>
        <v/>
      </c>
      <c r="AO140" s="87" t="str">
        <f t="shared" si="136"/>
        <v/>
      </c>
      <c r="AP140" s="87" t="str">
        <f t="shared" si="136"/>
        <v/>
      </c>
      <c r="AQ140" s="87" t="str">
        <f t="shared" si="136"/>
        <v/>
      </c>
    </row>
    <row r="141">
      <c r="B141" s="84" t="s">
        <v>201</v>
      </c>
      <c r="C141" s="86">
        <f>IFERROR(__xludf.DUMMYFUNCTION("""COMPUTED_VALUE"""),10.24104)</f>
        <v>10.24104</v>
      </c>
      <c r="D141" s="86">
        <f>IFERROR(__xludf.DUMMYFUNCTION("""COMPUTED_VALUE"""),0.027800000000000005)</f>
        <v>0.0278</v>
      </c>
      <c r="E141" s="86">
        <f>IFERROR(__xludf.DUMMYFUNCTION("""COMPUTED_VALUE"""),0.074)</f>
        <v>0.074</v>
      </c>
      <c r="F141" s="86">
        <f>IFERROR(__xludf.DUMMYFUNCTION("""COMPUTED_VALUE"""),0.13282000000000002)</f>
        <v>0.13282</v>
      </c>
      <c r="G141" s="86">
        <f>IFERROR(__xludf.DUMMYFUNCTION("""COMPUTED_VALUE"""),0.0047)</f>
        <v>0.0047</v>
      </c>
      <c r="H141" s="86">
        <f>IFERROR(__xludf.DUMMYFUNCTION("""COMPUTED_VALUE"""),0.01058)</f>
        <v>0.01058</v>
      </c>
      <c r="I141" s="86">
        <f>IFERROR(__xludf.DUMMYFUNCTION("""COMPUTED_VALUE"""),0.061680000000000006)</f>
        <v>0.06168</v>
      </c>
      <c r="J141" s="86">
        <f>IFERROR(__xludf.DUMMYFUNCTION("""COMPUTED_VALUE"""),0.0)</f>
        <v>0</v>
      </c>
      <c r="K141" s="86">
        <f>IFERROR(__xludf.DUMMYFUNCTION("""COMPUTED_VALUE"""),0.0)</f>
        <v>0</v>
      </c>
      <c r="L141" s="86">
        <f>IFERROR(__xludf.DUMMYFUNCTION("""COMPUTED_VALUE"""),0.0)</f>
        <v>0</v>
      </c>
      <c r="M141" s="86">
        <f>IFERROR(__xludf.DUMMYFUNCTION("""COMPUTED_VALUE"""),9.0E-4)</f>
        <v>0.0009</v>
      </c>
      <c r="N141" s="85">
        <f>IFERROR(__xludf.DUMMYFUNCTION("""COMPUTED_VALUE"""),0.0)</f>
        <v>0</v>
      </c>
      <c r="O141" s="85">
        <f>IFERROR(__xludf.DUMMYFUNCTION("""COMPUTED_VALUE"""),0.0)</f>
        <v>0</v>
      </c>
      <c r="Q141" s="147">
        <v>32.7295</v>
      </c>
      <c r="R141" s="147">
        <v>0.078</v>
      </c>
      <c r="S141" s="147">
        <v>0.2396</v>
      </c>
      <c r="T141" s="147">
        <v>0.4159</v>
      </c>
      <c r="U141" s="147">
        <v>0.0154</v>
      </c>
      <c r="V141" s="147">
        <v>0.0341</v>
      </c>
      <c r="W141" s="147">
        <v>0.1803</v>
      </c>
      <c r="X141" s="147">
        <v>0.0</v>
      </c>
      <c r="Y141" s="147">
        <v>0.0</v>
      </c>
      <c r="Z141" s="147">
        <v>0.0</v>
      </c>
      <c r="AA141" s="147">
        <v>0.0</v>
      </c>
      <c r="AB141" s="147">
        <v>0.0</v>
      </c>
      <c r="AC141" s="147">
        <v>0.0</v>
      </c>
      <c r="AE141" s="87">
        <f t="shared" ref="AE141:AQ141" si="137">IFERROR((Q141-C141)/C141, "")</f>
        <v>2.195915649</v>
      </c>
      <c r="AF141" s="87">
        <f t="shared" si="137"/>
        <v>1.805755396</v>
      </c>
      <c r="AG141" s="87">
        <f t="shared" si="137"/>
        <v>2.237837838</v>
      </c>
      <c r="AH141" s="87">
        <f t="shared" si="137"/>
        <v>2.131305526</v>
      </c>
      <c r="AI141" s="87">
        <f t="shared" si="137"/>
        <v>2.276595745</v>
      </c>
      <c r="AJ141" s="87">
        <f t="shared" si="137"/>
        <v>2.223062382</v>
      </c>
      <c r="AK141" s="87">
        <f t="shared" si="137"/>
        <v>1.923151751</v>
      </c>
      <c r="AL141" s="87" t="str">
        <f t="shared" si="137"/>
        <v/>
      </c>
      <c r="AM141" s="87" t="str">
        <f t="shared" si="137"/>
        <v/>
      </c>
      <c r="AN141" s="87" t="str">
        <f t="shared" si="137"/>
        <v/>
      </c>
      <c r="AO141" s="87">
        <f t="shared" si="137"/>
        <v>-1</v>
      </c>
      <c r="AP141" s="87" t="str">
        <f t="shared" si="137"/>
        <v/>
      </c>
      <c r="AQ141" s="87" t="str">
        <f t="shared" si="137"/>
        <v/>
      </c>
    </row>
    <row r="142">
      <c r="B142" s="89" t="s">
        <v>204</v>
      </c>
      <c r="C142" s="91">
        <f>IFERROR(__xludf.DUMMYFUNCTION("""COMPUTED_VALUE"""),8.073544219949554)</f>
        <v>8.07354422</v>
      </c>
      <c r="D142" s="91">
        <f>IFERROR(__xludf.DUMMYFUNCTION("""COMPUTED_VALUE"""),0.0)</f>
        <v>0</v>
      </c>
      <c r="E142" s="91">
        <f>IFERROR(__xludf.DUMMYFUNCTION("""COMPUTED_VALUE"""),0.06786439165329053)</f>
        <v>0.06786439165</v>
      </c>
      <c r="F142" s="91">
        <f>IFERROR(__xludf.DUMMYFUNCTION("""COMPUTED_VALUE"""),0.12348993900481542)</f>
        <v>0.123489939</v>
      </c>
      <c r="G142" s="91">
        <f>IFERROR(__xludf.DUMMYFUNCTION("""COMPUTED_VALUE"""),0.0051199165329052975)</f>
        <v>0.005119916533</v>
      </c>
      <c r="H142" s="91">
        <f>IFERROR(__xludf.DUMMYFUNCTION("""COMPUTED_VALUE"""),0.01052540609951846)</f>
        <v>0.0105254061</v>
      </c>
      <c r="I142" s="91">
        <f>IFERROR(__xludf.DUMMYFUNCTION("""COMPUTED_VALUE"""),0.023396590690208666)</f>
        <v>0.02339659069</v>
      </c>
      <c r="J142" s="91">
        <f>IFERROR(__xludf.DUMMYFUNCTION("""COMPUTED_VALUE"""),0.0)</f>
        <v>0</v>
      </c>
      <c r="K142" s="91">
        <f>IFERROR(__xludf.DUMMYFUNCTION("""COMPUTED_VALUE"""),0.0)</f>
        <v>0</v>
      </c>
      <c r="L142" s="91">
        <f>IFERROR(__xludf.DUMMYFUNCTION("""COMPUTED_VALUE"""),0.0)</f>
        <v>0</v>
      </c>
      <c r="M142" s="91">
        <f>IFERROR(__xludf.DUMMYFUNCTION("""COMPUTED_VALUE"""),0.09907344462279294)</f>
        <v>0.09907344462</v>
      </c>
      <c r="N142" s="140">
        <f>IFERROR(__xludf.DUMMYFUNCTION("""COMPUTED_VALUE"""),13.22558072552167)</f>
        <v>13.22558073</v>
      </c>
      <c r="O142" s="140">
        <f>IFERROR(__xludf.DUMMYFUNCTION("""COMPUTED_VALUE"""),0.0)</f>
        <v>0</v>
      </c>
      <c r="Q142" s="147">
        <v>26.7506</v>
      </c>
      <c r="R142" s="147">
        <v>0.1348</v>
      </c>
      <c r="S142" s="147">
        <v>0.2266</v>
      </c>
      <c r="T142" s="147">
        <v>0.3802</v>
      </c>
      <c r="U142" s="147">
        <v>0.0309</v>
      </c>
      <c r="V142" s="147">
        <v>0.0707</v>
      </c>
      <c r="W142" s="147">
        <v>0.1771</v>
      </c>
      <c r="X142" s="147">
        <v>0.0</v>
      </c>
      <c r="Y142" s="147">
        <v>0.0</v>
      </c>
      <c r="Z142" s="147">
        <v>0.0</v>
      </c>
      <c r="AA142" s="147">
        <v>0.8448</v>
      </c>
      <c r="AB142" s="147">
        <v>49.5085</v>
      </c>
      <c r="AC142" s="147">
        <v>0.0</v>
      </c>
      <c r="AE142" s="87">
        <f t="shared" ref="AE142:AQ142" si="138">IFERROR((Q142-C142)/C142, "")</f>
        <v>2.313365143</v>
      </c>
      <c r="AF142" s="87" t="str">
        <f t="shared" si="138"/>
        <v/>
      </c>
      <c r="AG142" s="87">
        <f t="shared" si="138"/>
        <v>2.339011733</v>
      </c>
      <c r="AH142" s="87">
        <f t="shared" si="138"/>
        <v>2.078793326</v>
      </c>
      <c r="AI142" s="87">
        <f t="shared" si="138"/>
        <v>5.035254638</v>
      </c>
      <c r="AJ142" s="87">
        <f t="shared" si="138"/>
        <v>5.717080494</v>
      </c>
      <c r="AK142" s="87">
        <f t="shared" si="138"/>
        <v>6.569478919</v>
      </c>
      <c r="AL142" s="87" t="str">
        <f t="shared" si="138"/>
        <v/>
      </c>
      <c r="AM142" s="87" t="str">
        <f t="shared" si="138"/>
        <v/>
      </c>
      <c r="AN142" s="87" t="str">
        <f t="shared" si="138"/>
        <v/>
      </c>
      <c r="AO142" s="87">
        <f t="shared" si="138"/>
        <v>7.527007446</v>
      </c>
      <c r="AP142" s="87">
        <f t="shared" si="138"/>
        <v>2.743389499</v>
      </c>
      <c r="AQ142" s="87" t="str">
        <f t="shared" si="138"/>
        <v/>
      </c>
    </row>
    <row r="143">
      <c r="B143" s="84" t="s">
        <v>205</v>
      </c>
      <c r="C143" s="86">
        <f>IFERROR(__xludf.DUMMYFUNCTION("""COMPUTED_VALUE"""),0.0)</f>
        <v>0</v>
      </c>
      <c r="D143" s="86">
        <f>IFERROR(__xludf.DUMMYFUNCTION("""COMPUTED_VALUE"""),0.0)</f>
        <v>0</v>
      </c>
      <c r="E143" s="86">
        <f>IFERROR(__xludf.DUMMYFUNCTION("""COMPUTED_VALUE"""),0.0)</f>
        <v>0</v>
      </c>
      <c r="F143" s="86">
        <f>IFERROR(__xludf.DUMMYFUNCTION("""COMPUTED_VALUE"""),0.0)</f>
        <v>0</v>
      </c>
      <c r="G143" s="86">
        <f>IFERROR(__xludf.DUMMYFUNCTION("""COMPUTED_VALUE"""),0.0)</f>
        <v>0</v>
      </c>
      <c r="H143" s="86">
        <f>IFERROR(__xludf.DUMMYFUNCTION("""COMPUTED_VALUE"""),0.0)</f>
        <v>0</v>
      </c>
      <c r="I143" s="86">
        <f>IFERROR(__xludf.DUMMYFUNCTION("""COMPUTED_VALUE"""),0.0)</f>
        <v>0</v>
      </c>
      <c r="J143" s="86">
        <f>IFERROR(__xludf.DUMMYFUNCTION("""COMPUTED_VALUE"""),0.0)</f>
        <v>0</v>
      </c>
      <c r="K143" s="86">
        <f>IFERROR(__xludf.DUMMYFUNCTION("""COMPUTED_VALUE"""),0.0)</f>
        <v>0</v>
      </c>
      <c r="L143" s="86">
        <f>IFERROR(__xludf.DUMMYFUNCTION("""COMPUTED_VALUE"""),0.0)</f>
        <v>0</v>
      </c>
      <c r="M143" s="86">
        <f>IFERROR(__xludf.DUMMYFUNCTION("""COMPUTED_VALUE"""),0.0)</f>
        <v>0</v>
      </c>
      <c r="N143" s="85">
        <f>IFERROR(__xludf.DUMMYFUNCTION("""COMPUTED_VALUE"""),0.0)</f>
        <v>0</v>
      </c>
      <c r="O143" s="85">
        <f>IFERROR(__xludf.DUMMYFUNCTION("""COMPUTED_VALUE"""),0.0)</f>
        <v>0</v>
      </c>
      <c r="Q143" s="147">
        <v>0.0</v>
      </c>
      <c r="R143" s="147">
        <v>0.0</v>
      </c>
      <c r="S143" s="147">
        <v>0.0</v>
      </c>
      <c r="T143" s="147">
        <v>0.0</v>
      </c>
      <c r="U143" s="147">
        <v>0.0</v>
      </c>
      <c r="V143" s="147">
        <v>0.0</v>
      </c>
      <c r="W143" s="147">
        <v>0.0</v>
      </c>
      <c r="X143" s="147">
        <v>0.0</v>
      </c>
      <c r="Y143" s="147">
        <v>0.0</v>
      </c>
      <c r="Z143" s="147">
        <v>0.0</v>
      </c>
      <c r="AA143" s="147">
        <v>0.0</v>
      </c>
      <c r="AB143" s="147">
        <v>0.0</v>
      </c>
      <c r="AC143" s="147">
        <v>0.0</v>
      </c>
      <c r="AE143" s="87" t="str">
        <f t="shared" ref="AE143:AQ143" si="139">IFERROR((Q143-C143)/C143, "")</f>
        <v/>
      </c>
      <c r="AF143" s="87" t="str">
        <f t="shared" si="139"/>
        <v/>
      </c>
      <c r="AG143" s="87" t="str">
        <f t="shared" si="139"/>
        <v/>
      </c>
      <c r="AH143" s="87" t="str">
        <f t="shared" si="139"/>
        <v/>
      </c>
      <c r="AI143" s="87" t="str">
        <f t="shared" si="139"/>
        <v/>
      </c>
      <c r="AJ143" s="87" t="str">
        <f t="shared" si="139"/>
        <v/>
      </c>
      <c r="AK143" s="87" t="str">
        <f t="shared" si="139"/>
        <v/>
      </c>
      <c r="AL143" s="87" t="str">
        <f t="shared" si="139"/>
        <v/>
      </c>
      <c r="AM143" s="87" t="str">
        <f t="shared" si="139"/>
        <v/>
      </c>
      <c r="AN143" s="87" t="str">
        <f t="shared" si="139"/>
        <v/>
      </c>
      <c r="AO143" s="87" t="str">
        <f t="shared" si="139"/>
        <v/>
      </c>
      <c r="AP143" s="87" t="str">
        <f t="shared" si="139"/>
        <v/>
      </c>
      <c r="AQ143" s="87" t="str">
        <f t="shared" si="139"/>
        <v/>
      </c>
    </row>
    <row r="144">
      <c r="B144" s="89" t="s">
        <v>207</v>
      </c>
      <c r="C144" s="91">
        <f>IFERROR(__xludf.DUMMYFUNCTION("""COMPUTED_VALUE"""),115.67788553250367)</f>
        <v>115.6778855</v>
      </c>
      <c r="D144" s="91">
        <f>IFERROR(__xludf.DUMMYFUNCTION("""COMPUTED_VALUE"""),2.366189894339163)</f>
        <v>2.366189894</v>
      </c>
      <c r="E144" s="91">
        <f>IFERROR(__xludf.DUMMYFUNCTION("""COMPUTED_VALUE"""),1.9652357538207401)</f>
        <v>1.965235754</v>
      </c>
      <c r="F144" s="91">
        <f>IFERROR(__xludf.DUMMYFUNCTION("""COMPUTED_VALUE"""),1.3153720931692303)</f>
        <v>1.315372093</v>
      </c>
      <c r="G144" s="91">
        <f>IFERROR(__xludf.DUMMYFUNCTION("""COMPUTED_VALUE"""),1.9295609544016972)</f>
        <v>1.929560954</v>
      </c>
      <c r="H144" s="91">
        <f>IFERROR(__xludf.DUMMYFUNCTION("""COMPUTED_VALUE"""),1.6888345767487376)</f>
        <v>1.688834577</v>
      </c>
      <c r="I144" s="91">
        <f>IFERROR(__xludf.DUMMYFUNCTION("""COMPUTED_VALUE"""),1.8640231511280605)</f>
        <v>1.864023151</v>
      </c>
      <c r="J144" s="91">
        <f>IFERROR(__xludf.DUMMYFUNCTION("""COMPUTED_VALUE"""),0.0)</f>
        <v>0</v>
      </c>
      <c r="K144" s="91">
        <f>IFERROR(__xludf.DUMMYFUNCTION("""COMPUTED_VALUE"""),5.0728380960044674)</f>
        <v>5.072838096</v>
      </c>
      <c r="L144" s="91">
        <f>IFERROR(__xludf.DUMMYFUNCTION("""COMPUTED_VALUE"""),7.120442479249668)</f>
        <v>7.120442479</v>
      </c>
      <c r="M144" s="91">
        <f>IFERROR(__xludf.DUMMYFUNCTION("""COMPUTED_VALUE"""),102.95685748276078)</f>
        <v>102.9568575</v>
      </c>
      <c r="N144" s="140">
        <f>IFERROR(__xludf.DUMMYFUNCTION("""COMPUTED_VALUE"""),593.9716635910403)</f>
        <v>593.9716636</v>
      </c>
      <c r="O144" s="140">
        <f>IFERROR(__xludf.DUMMYFUNCTION("""COMPUTED_VALUE"""),0.0)</f>
        <v>0</v>
      </c>
      <c r="Q144" s="147">
        <v>1147.5467</v>
      </c>
      <c r="R144" s="147">
        <v>12.5556</v>
      </c>
      <c r="S144" s="147">
        <v>12.2608</v>
      </c>
      <c r="T144" s="147">
        <v>11.6483</v>
      </c>
      <c r="U144" s="147">
        <v>1.5597</v>
      </c>
      <c r="V144" s="147">
        <v>1.3777</v>
      </c>
      <c r="W144" s="147">
        <v>1.6036</v>
      </c>
      <c r="X144" s="147">
        <v>0.0</v>
      </c>
      <c r="Y144" s="147">
        <v>4.2892</v>
      </c>
      <c r="Z144" s="147">
        <v>6.515</v>
      </c>
      <c r="AA144" s="147">
        <v>120.6174</v>
      </c>
      <c r="AB144" s="147">
        <v>475.922</v>
      </c>
      <c r="AC144" s="147">
        <v>0.0</v>
      </c>
      <c r="AE144" s="87">
        <f t="shared" ref="AE144:AQ144" si="140">IFERROR((Q144-C144)/C144, "")</f>
        <v>8.920190836</v>
      </c>
      <c r="AF144" s="87">
        <f t="shared" si="140"/>
        <v>4.306252059</v>
      </c>
      <c r="AG144" s="87">
        <f t="shared" si="140"/>
        <v>5.238844361</v>
      </c>
      <c r="AH144" s="87">
        <f t="shared" si="140"/>
        <v>7.855517051</v>
      </c>
      <c r="AI144" s="87">
        <f t="shared" si="140"/>
        <v>-0.1916814048</v>
      </c>
      <c r="AJ144" s="87">
        <f t="shared" si="140"/>
        <v>-0.184230345</v>
      </c>
      <c r="AK144" s="87">
        <f t="shared" si="140"/>
        <v>-0.1397102557</v>
      </c>
      <c r="AL144" s="87" t="str">
        <f t="shared" si="140"/>
        <v/>
      </c>
      <c r="AM144" s="87">
        <f t="shared" si="140"/>
        <v>-0.1544772534</v>
      </c>
      <c r="AN144" s="87">
        <f t="shared" si="140"/>
        <v>-0.08502877188</v>
      </c>
      <c r="AO144" s="87">
        <f t="shared" si="140"/>
        <v>0.1715334262</v>
      </c>
      <c r="AP144" s="87">
        <f t="shared" si="140"/>
        <v>-0.1987462885</v>
      </c>
      <c r="AQ144" s="87" t="str">
        <f t="shared" si="140"/>
        <v/>
      </c>
    </row>
    <row r="145">
      <c r="B145" s="84" t="s">
        <v>208</v>
      </c>
      <c r="C145" s="86">
        <f>IFERROR(__xludf.DUMMYFUNCTION("""COMPUTED_VALUE"""),0.0)</f>
        <v>0</v>
      </c>
      <c r="D145" s="86">
        <f>IFERROR(__xludf.DUMMYFUNCTION("""COMPUTED_VALUE"""),0.0)</f>
        <v>0</v>
      </c>
      <c r="E145" s="86">
        <f>IFERROR(__xludf.DUMMYFUNCTION("""COMPUTED_VALUE"""),0.0)</f>
        <v>0</v>
      </c>
      <c r="F145" s="86">
        <f>IFERROR(__xludf.DUMMYFUNCTION("""COMPUTED_VALUE"""),0.0)</f>
        <v>0</v>
      </c>
      <c r="G145" s="86">
        <f>IFERROR(__xludf.DUMMYFUNCTION("""COMPUTED_VALUE"""),0.0)</f>
        <v>0</v>
      </c>
      <c r="H145" s="86">
        <f>IFERROR(__xludf.DUMMYFUNCTION("""COMPUTED_VALUE"""),0.0)</f>
        <v>0</v>
      </c>
      <c r="I145" s="86">
        <f>IFERROR(__xludf.DUMMYFUNCTION("""COMPUTED_VALUE"""),0.0)</f>
        <v>0</v>
      </c>
      <c r="J145" s="86">
        <f>IFERROR(__xludf.DUMMYFUNCTION("""COMPUTED_VALUE"""),0.0)</f>
        <v>0</v>
      </c>
      <c r="K145" s="86">
        <f>IFERROR(__xludf.DUMMYFUNCTION("""COMPUTED_VALUE"""),0.0)</f>
        <v>0</v>
      </c>
      <c r="L145" s="86">
        <f>IFERROR(__xludf.DUMMYFUNCTION("""COMPUTED_VALUE"""),0.0)</f>
        <v>0</v>
      </c>
      <c r="M145" s="86">
        <f>IFERROR(__xludf.DUMMYFUNCTION("""COMPUTED_VALUE"""),0.0)</f>
        <v>0</v>
      </c>
      <c r="N145" s="85">
        <f>IFERROR(__xludf.DUMMYFUNCTION("""COMPUTED_VALUE"""),0.0)</f>
        <v>0</v>
      </c>
      <c r="O145" s="85">
        <f>IFERROR(__xludf.DUMMYFUNCTION("""COMPUTED_VALUE"""),0.0)</f>
        <v>0</v>
      </c>
      <c r="Q145" s="147">
        <v>0.0</v>
      </c>
      <c r="R145" s="147">
        <v>0.0</v>
      </c>
      <c r="S145" s="147">
        <v>0.0</v>
      </c>
      <c r="T145" s="147">
        <v>0.0</v>
      </c>
      <c r="U145" s="147">
        <v>0.0</v>
      </c>
      <c r="V145" s="147">
        <v>0.0</v>
      </c>
      <c r="W145" s="147">
        <v>0.0</v>
      </c>
      <c r="X145" s="147">
        <v>0.0</v>
      </c>
      <c r="Y145" s="147">
        <v>0.0</v>
      </c>
      <c r="Z145" s="147">
        <v>0.0</v>
      </c>
      <c r="AA145" s="147">
        <v>0.0</v>
      </c>
      <c r="AB145" s="147">
        <v>0.0</v>
      </c>
      <c r="AC145" s="147">
        <v>0.0</v>
      </c>
      <c r="AE145" s="87" t="str">
        <f t="shared" ref="AE145:AQ145" si="141">IFERROR((Q145-C145)/C145, "")</f>
        <v/>
      </c>
      <c r="AF145" s="87" t="str">
        <f t="shared" si="141"/>
        <v/>
      </c>
      <c r="AG145" s="87" t="str">
        <f t="shared" si="141"/>
        <v/>
      </c>
      <c r="AH145" s="87" t="str">
        <f t="shared" si="141"/>
        <v/>
      </c>
      <c r="AI145" s="87" t="str">
        <f t="shared" si="141"/>
        <v/>
      </c>
      <c r="AJ145" s="87" t="str">
        <f t="shared" si="141"/>
        <v/>
      </c>
      <c r="AK145" s="87" t="str">
        <f t="shared" si="141"/>
        <v/>
      </c>
      <c r="AL145" s="87" t="str">
        <f t="shared" si="141"/>
        <v/>
      </c>
      <c r="AM145" s="87" t="str">
        <f t="shared" si="141"/>
        <v/>
      </c>
      <c r="AN145" s="87" t="str">
        <f t="shared" si="141"/>
        <v/>
      </c>
      <c r="AO145" s="87" t="str">
        <f t="shared" si="141"/>
        <v/>
      </c>
      <c r="AP145" s="87" t="str">
        <f t="shared" si="141"/>
        <v/>
      </c>
      <c r="AQ145" s="87" t="str">
        <f t="shared" si="141"/>
        <v/>
      </c>
    </row>
    <row r="146"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AE146" s="87" t="str">
        <f t="shared" ref="AE146:AQ146" si="142">IFERROR((Q146-C146)/C146, "")</f>
        <v/>
      </c>
      <c r="AF146" s="87" t="str">
        <f t="shared" si="142"/>
        <v/>
      </c>
      <c r="AG146" s="87" t="str">
        <f t="shared" si="142"/>
        <v/>
      </c>
      <c r="AH146" s="87" t="str">
        <f t="shared" si="142"/>
        <v/>
      </c>
      <c r="AI146" s="87" t="str">
        <f t="shared" si="142"/>
        <v/>
      </c>
      <c r="AJ146" s="87" t="str">
        <f t="shared" si="142"/>
        <v/>
      </c>
      <c r="AK146" s="87" t="str">
        <f t="shared" si="142"/>
        <v/>
      </c>
      <c r="AL146" s="87" t="str">
        <f t="shared" si="142"/>
        <v/>
      </c>
      <c r="AM146" s="87" t="str">
        <f t="shared" si="142"/>
        <v/>
      </c>
      <c r="AN146" s="87" t="str">
        <f t="shared" si="142"/>
        <v/>
      </c>
      <c r="AO146" s="87" t="str">
        <f t="shared" si="142"/>
        <v/>
      </c>
      <c r="AP146" s="87" t="str">
        <f t="shared" si="142"/>
        <v/>
      </c>
      <c r="AQ146" s="87" t="str">
        <f t="shared" si="142"/>
        <v/>
      </c>
    </row>
    <row r="147"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AE147" s="87" t="str">
        <f t="shared" ref="AE147:AQ147" si="143">IFERROR((Q147-C147)/C147, "")</f>
        <v/>
      </c>
      <c r="AF147" s="87" t="str">
        <f t="shared" si="143"/>
        <v/>
      </c>
      <c r="AG147" s="87" t="str">
        <f t="shared" si="143"/>
        <v/>
      </c>
      <c r="AH147" s="87" t="str">
        <f t="shared" si="143"/>
        <v/>
      </c>
      <c r="AI147" s="87" t="str">
        <f t="shared" si="143"/>
        <v/>
      </c>
      <c r="AJ147" s="87" t="str">
        <f t="shared" si="143"/>
        <v/>
      </c>
      <c r="AK147" s="87" t="str">
        <f t="shared" si="143"/>
        <v/>
      </c>
      <c r="AL147" s="87" t="str">
        <f t="shared" si="143"/>
        <v/>
      </c>
      <c r="AM147" s="87" t="str">
        <f t="shared" si="143"/>
        <v/>
      </c>
      <c r="AN147" s="87" t="str">
        <f t="shared" si="143"/>
        <v/>
      </c>
      <c r="AO147" s="87" t="str">
        <f t="shared" si="143"/>
        <v/>
      </c>
      <c r="AP147" s="87" t="str">
        <f t="shared" si="143"/>
        <v/>
      </c>
      <c r="AQ147" s="87" t="str">
        <f t="shared" si="143"/>
        <v/>
      </c>
    </row>
    <row r="148">
      <c r="B148" s="78" t="s">
        <v>316</v>
      </c>
      <c r="C148" s="80" t="str">
        <f>IFERROR(__xludf.DUMMYFUNCTION("""COMPUTED_VALUE"""),"A. 0 Appendix - carried &amp; annotated (not simulated)")</f>
        <v>A. 0 Appendix - carried &amp; annotated (not simulated)</v>
      </c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AE148" s="87" t="str">
        <f t="shared" ref="AE148:AQ148" si="144">IFERROR((Q148-C148)/C148, "")</f>
        <v/>
      </c>
      <c r="AF148" s="87" t="str">
        <f t="shared" si="144"/>
        <v/>
      </c>
      <c r="AG148" s="87" t="str">
        <f t="shared" si="144"/>
        <v/>
      </c>
      <c r="AH148" s="87" t="str">
        <f t="shared" si="144"/>
        <v/>
      </c>
      <c r="AI148" s="87" t="str">
        <f t="shared" si="144"/>
        <v/>
      </c>
      <c r="AJ148" s="87" t="str">
        <f t="shared" si="144"/>
        <v/>
      </c>
      <c r="AK148" s="87" t="str">
        <f t="shared" si="144"/>
        <v/>
      </c>
      <c r="AL148" s="87" t="str">
        <f t="shared" si="144"/>
        <v/>
      </c>
      <c r="AM148" s="87" t="str">
        <f t="shared" si="144"/>
        <v/>
      </c>
      <c r="AN148" s="87" t="str">
        <f t="shared" si="144"/>
        <v/>
      </c>
      <c r="AO148" s="87" t="str">
        <f t="shared" si="144"/>
        <v/>
      </c>
      <c r="AP148" s="87" t="str">
        <f t="shared" si="144"/>
        <v/>
      </c>
      <c r="AQ148" s="87" t="str">
        <f t="shared" si="144"/>
        <v/>
      </c>
    </row>
    <row r="149">
      <c r="B149" s="82" t="s">
        <v>128</v>
      </c>
      <c r="C149" s="83" t="str">
        <f>IFERROR(__xludf.DUMMYFUNCTION("""COMPUTED_VALUE"""),"HC")</f>
        <v>HC</v>
      </c>
      <c r="D149" s="83" t="str">
        <f>IFERROR(__xludf.DUMMYFUNCTION("""COMPUTED_VALUE"""),"Slingshot")</f>
        <v>Slingshot</v>
      </c>
      <c r="E149" s="83" t="str">
        <f>IFERROR(__xludf.DUMMYFUNCTION("""COMPUTED_VALUE"""),"Shuffle")</f>
        <v>Shuffle</v>
      </c>
      <c r="F149" s="83" t="str">
        <f>IFERROR(__xludf.DUMMYFUNCTION("""COMPUTED_VALUE"""),"Comet")</f>
        <v>Comet</v>
      </c>
      <c r="G149" s="83" t="str">
        <f>IFERROR(__xludf.DUMMYFUNCTION("""COMPUTED_VALUE"""),"Red")</f>
        <v>Red</v>
      </c>
      <c r="H149" s="83" t="str">
        <f>IFERROR(__xludf.DUMMYFUNCTION("""COMPUTED_VALUE"""),"Chuck")</f>
        <v>Chuck</v>
      </c>
      <c r="I149" s="83" t="str">
        <f>IFERROR(__xludf.DUMMYFUNCTION("""COMPUTED_VALUE"""),"Bomb")</f>
        <v>Bomb</v>
      </c>
      <c r="J149" s="83" t="str">
        <f>IFERROR(__xludf.DUMMYFUNCTION("""COMPUTED_VALUE"""),"UL Bomb")</f>
        <v>UL Bomb</v>
      </c>
      <c r="K149" s="83" t="str">
        <f>IFERROR(__xludf.DUMMYFUNCTION("""COMPUTED_VALUE"""),"UL Chuck")</f>
        <v>UL Chuck</v>
      </c>
      <c r="L149" s="83" t="str">
        <f>IFERROR(__xludf.DUMMYFUNCTION("""COMPUTED_VALUE"""),"UL Red")</f>
        <v>UL Red</v>
      </c>
      <c r="M149" s="83" t="str">
        <f>IFERROR(__xludf.DUMMYFUNCTION("""COMPUTED_VALUE"""),"Unlimited Lives")</f>
        <v>Unlimited Lives</v>
      </c>
      <c r="N149" s="83" t="str">
        <f>IFERROR(__xludf.DUMMYFUNCTION("""COMPUTED_VALUE"""),"SPT")</f>
        <v>SPT</v>
      </c>
      <c r="O149" s="83" t="str">
        <f>IFERROR(__xludf.DUMMYFUNCTION("""COMPUTED_VALUE"""),"SPTx2")</f>
        <v>SPTx2</v>
      </c>
      <c r="Q149" s="83" t="s">
        <v>129</v>
      </c>
      <c r="R149" s="83" t="s">
        <v>96</v>
      </c>
      <c r="S149" s="83" t="s">
        <v>102</v>
      </c>
      <c r="T149" s="83" t="s">
        <v>130</v>
      </c>
      <c r="U149" s="83" t="s">
        <v>78</v>
      </c>
      <c r="V149" s="83" t="s">
        <v>84</v>
      </c>
      <c r="W149" s="83" t="s">
        <v>90</v>
      </c>
      <c r="X149" s="83" t="s">
        <v>131</v>
      </c>
      <c r="Y149" s="83" t="s">
        <v>132</v>
      </c>
      <c r="Z149" s="83" t="s">
        <v>133</v>
      </c>
      <c r="AA149" s="83" t="s">
        <v>134</v>
      </c>
      <c r="AB149" s="83" t="s">
        <v>114</v>
      </c>
      <c r="AC149" s="83" t="s">
        <v>135</v>
      </c>
      <c r="AE149" s="87" t="str">
        <f t="shared" ref="AE149:AQ149" si="145">IFERROR((Q149-C149)/C149, "")</f>
        <v/>
      </c>
      <c r="AF149" s="87" t="str">
        <f t="shared" si="145"/>
        <v/>
      </c>
      <c r="AG149" s="87" t="str">
        <f t="shared" si="145"/>
        <v/>
      </c>
      <c r="AH149" s="87" t="str">
        <f t="shared" si="145"/>
        <v/>
      </c>
      <c r="AI149" s="87" t="str">
        <f t="shared" si="145"/>
        <v/>
      </c>
      <c r="AJ149" s="87" t="str">
        <f t="shared" si="145"/>
        <v/>
      </c>
      <c r="AK149" s="87" t="str">
        <f t="shared" si="145"/>
        <v/>
      </c>
      <c r="AL149" s="87" t="str">
        <f t="shared" si="145"/>
        <v/>
      </c>
      <c r="AM149" s="87" t="str">
        <f t="shared" si="145"/>
        <v/>
      </c>
      <c r="AN149" s="87" t="str">
        <f t="shared" si="145"/>
        <v/>
      </c>
      <c r="AO149" s="87" t="str">
        <f t="shared" si="145"/>
        <v/>
      </c>
      <c r="AP149" s="87" t="str">
        <f t="shared" si="145"/>
        <v/>
      </c>
      <c r="AQ149" s="87" t="str">
        <f t="shared" si="145"/>
        <v/>
      </c>
    </row>
    <row r="150">
      <c r="B150" s="84" t="s">
        <v>136</v>
      </c>
      <c r="C150" s="85">
        <f>IFERROR(__xludf.DUMMYFUNCTION("""COMPUTED_VALUE"""),3.2698181818181813)</f>
        <v>3.269818182</v>
      </c>
      <c r="D150" s="86">
        <f>IFERROR(__xludf.DUMMYFUNCTION("""COMPUTED_VALUE"""),0.11636363636363635)</f>
        <v>0.1163636364</v>
      </c>
      <c r="E150" s="86">
        <f>IFERROR(__xludf.DUMMYFUNCTION("""COMPUTED_VALUE"""),0.1384969696969697)</f>
        <v>0.1384969697</v>
      </c>
      <c r="F150" s="86">
        <f>IFERROR(__xludf.DUMMYFUNCTION("""COMPUTED_VALUE"""),0.10705454545454549)</f>
        <v>0.1070545455</v>
      </c>
      <c r="G150" s="86">
        <f>IFERROR(__xludf.DUMMYFUNCTION("""COMPUTED_VALUE"""),0.0)</f>
        <v>0</v>
      </c>
      <c r="H150" s="86">
        <f>IFERROR(__xludf.DUMMYFUNCTION("""COMPUTED_VALUE"""),0.0)</f>
        <v>0</v>
      </c>
      <c r="I150" s="86">
        <f>IFERROR(__xludf.DUMMYFUNCTION("""COMPUTED_VALUE"""),0.0)</f>
        <v>0</v>
      </c>
      <c r="J150" s="86">
        <f>IFERROR(__xludf.DUMMYFUNCTION("""COMPUTED_VALUE"""),0.0)</f>
        <v>0</v>
      </c>
      <c r="K150" s="86">
        <f>IFERROR(__xludf.DUMMYFUNCTION("""COMPUTED_VALUE"""),0.0)</f>
        <v>0</v>
      </c>
      <c r="L150" s="86">
        <f>IFERROR(__xludf.DUMMYFUNCTION("""COMPUTED_VALUE"""),0.0)</f>
        <v>0</v>
      </c>
      <c r="M150" s="86">
        <f>IFERROR(__xludf.DUMMYFUNCTION("""COMPUTED_VALUE"""),1.263078787878788)</f>
        <v>1.263078788</v>
      </c>
      <c r="N150" s="85">
        <f>IFERROR(__xludf.DUMMYFUNCTION("""COMPUTED_VALUE"""),0.0)</f>
        <v>0</v>
      </c>
      <c r="O150" s="85">
        <f>IFERROR(__xludf.DUMMYFUNCTION("""COMPUTED_VALUE"""),0.0)</f>
        <v>0</v>
      </c>
      <c r="AE150" s="87">
        <f t="shared" ref="AE150:AQ150" si="146">IFERROR((Q150-C150)/C150, "")</f>
        <v>-1</v>
      </c>
      <c r="AF150" s="87">
        <f t="shared" si="146"/>
        <v>-1</v>
      </c>
      <c r="AG150" s="87">
        <f t="shared" si="146"/>
        <v>-1</v>
      </c>
      <c r="AH150" s="87">
        <f t="shared" si="146"/>
        <v>-1</v>
      </c>
      <c r="AI150" s="87" t="str">
        <f t="shared" si="146"/>
        <v/>
      </c>
      <c r="AJ150" s="87" t="str">
        <f t="shared" si="146"/>
        <v/>
      </c>
      <c r="AK150" s="87" t="str">
        <f t="shared" si="146"/>
        <v/>
      </c>
      <c r="AL150" s="87" t="str">
        <f t="shared" si="146"/>
        <v/>
      </c>
      <c r="AM150" s="87" t="str">
        <f t="shared" si="146"/>
        <v/>
      </c>
      <c r="AN150" s="87" t="str">
        <f t="shared" si="146"/>
        <v/>
      </c>
      <c r="AO150" s="87">
        <f t="shared" si="146"/>
        <v>-1</v>
      </c>
      <c r="AP150" s="87" t="str">
        <f t="shared" si="146"/>
        <v/>
      </c>
      <c r="AQ150" s="87" t="str">
        <f t="shared" si="146"/>
        <v/>
      </c>
    </row>
    <row r="151">
      <c r="B151" s="84" t="s">
        <v>138</v>
      </c>
      <c r="C151" s="85">
        <f>IFERROR(__xludf.DUMMYFUNCTION("""COMPUTED_VALUE"""),0.0)</f>
        <v>0</v>
      </c>
      <c r="D151" s="85">
        <f>IFERROR(__xludf.DUMMYFUNCTION("""COMPUTED_VALUE"""),0.0)</f>
        <v>0</v>
      </c>
      <c r="E151" s="85">
        <f>IFERROR(__xludf.DUMMYFUNCTION("""COMPUTED_VALUE"""),0.0)</f>
        <v>0</v>
      </c>
      <c r="F151" s="85">
        <f>IFERROR(__xludf.DUMMYFUNCTION("""COMPUTED_VALUE"""),0.0)</f>
        <v>0</v>
      </c>
      <c r="G151" s="85">
        <f>IFERROR(__xludf.DUMMYFUNCTION("""COMPUTED_VALUE"""),0.0)</f>
        <v>0</v>
      </c>
      <c r="H151" s="85">
        <f>IFERROR(__xludf.DUMMYFUNCTION("""COMPUTED_VALUE"""),0.0)</f>
        <v>0</v>
      </c>
      <c r="I151" s="85">
        <f>IFERROR(__xludf.DUMMYFUNCTION("""COMPUTED_VALUE"""),0.0)</f>
        <v>0</v>
      </c>
      <c r="J151" s="85">
        <f>IFERROR(__xludf.DUMMYFUNCTION("""COMPUTED_VALUE"""),0.0)</f>
        <v>0</v>
      </c>
      <c r="K151" s="85">
        <f>IFERROR(__xludf.DUMMYFUNCTION("""COMPUTED_VALUE"""),0.0)</f>
        <v>0</v>
      </c>
      <c r="L151" s="85">
        <f>IFERROR(__xludf.DUMMYFUNCTION("""COMPUTED_VALUE"""),0.0)</f>
        <v>0</v>
      </c>
      <c r="M151" s="85">
        <f>IFERROR(__xludf.DUMMYFUNCTION("""COMPUTED_VALUE"""),0.0)</f>
        <v>0</v>
      </c>
      <c r="N151" s="85">
        <f>IFERROR(__xludf.DUMMYFUNCTION("""COMPUTED_VALUE"""),0.0)</f>
        <v>0</v>
      </c>
      <c r="O151" s="85">
        <f>IFERROR(__xludf.DUMMYFUNCTION("""COMPUTED_VALUE"""),0.0)</f>
        <v>0</v>
      </c>
      <c r="AE151" s="87" t="str">
        <f t="shared" ref="AE151:AQ151" si="147">IFERROR((Q151-C151)/C151, "")</f>
        <v/>
      </c>
      <c r="AF151" s="87" t="str">
        <f t="shared" si="147"/>
        <v/>
      </c>
      <c r="AG151" s="87" t="str">
        <f t="shared" si="147"/>
        <v/>
      </c>
      <c r="AH151" s="87" t="str">
        <f t="shared" si="147"/>
        <v/>
      </c>
      <c r="AI151" s="87" t="str">
        <f t="shared" si="147"/>
        <v/>
      </c>
      <c r="AJ151" s="87" t="str">
        <f t="shared" si="147"/>
        <v/>
      </c>
      <c r="AK151" s="87" t="str">
        <f t="shared" si="147"/>
        <v/>
      </c>
      <c r="AL151" s="87" t="str">
        <f t="shared" si="147"/>
        <v/>
      </c>
      <c r="AM151" s="87" t="str">
        <f t="shared" si="147"/>
        <v/>
      </c>
      <c r="AN151" s="87" t="str">
        <f t="shared" si="147"/>
        <v/>
      </c>
      <c r="AO151" s="87" t="str">
        <f t="shared" si="147"/>
        <v/>
      </c>
      <c r="AP151" s="87" t="str">
        <f t="shared" si="147"/>
        <v/>
      </c>
      <c r="AQ151" s="87" t="str">
        <f t="shared" si="147"/>
        <v/>
      </c>
    </row>
    <row r="152">
      <c r="B152" s="84" t="s">
        <v>144</v>
      </c>
      <c r="C152" s="85">
        <f>IFERROR(__xludf.DUMMYFUNCTION("""COMPUTED_VALUE"""),0.06709999999999999)</f>
        <v>0.0671</v>
      </c>
      <c r="D152" s="85">
        <f>IFERROR(__xludf.DUMMYFUNCTION("""COMPUTED_VALUE"""),2.0E-4)</f>
        <v>0.0002</v>
      </c>
      <c r="E152" s="85">
        <f>IFERROR(__xludf.DUMMYFUNCTION("""COMPUTED_VALUE"""),1.0E-4)</f>
        <v>0.0001</v>
      </c>
      <c r="F152" s="85">
        <f>IFERROR(__xludf.DUMMYFUNCTION("""COMPUTED_VALUE"""),2.0E-4)</f>
        <v>0.0002</v>
      </c>
      <c r="G152" s="85">
        <f>IFERROR(__xludf.DUMMYFUNCTION("""COMPUTED_VALUE"""),0.0018999999999999998)</f>
        <v>0.0019</v>
      </c>
      <c r="H152" s="85">
        <f>IFERROR(__xludf.DUMMYFUNCTION("""COMPUTED_VALUE"""),0.0581)</f>
        <v>0.0581</v>
      </c>
      <c r="I152" s="85">
        <f>IFERROR(__xludf.DUMMYFUNCTION("""COMPUTED_VALUE"""),2.0E-4)</f>
        <v>0.0002</v>
      </c>
      <c r="J152" s="85">
        <f>IFERROR(__xludf.DUMMYFUNCTION("""COMPUTED_VALUE"""),0.20349999999999996)</f>
        <v>0.2035</v>
      </c>
      <c r="K152" s="85">
        <f>IFERROR(__xludf.DUMMYFUNCTION("""COMPUTED_VALUE"""),0.41579999999999995)</f>
        <v>0.4158</v>
      </c>
      <c r="L152" s="85">
        <f>IFERROR(__xludf.DUMMYFUNCTION("""COMPUTED_VALUE"""),0.5238)</f>
        <v>0.5238</v>
      </c>
      <c r="M152" s="85">
        <f>IFERROR(__xludf.DUMMYFUNCTION("""COMPUTED_VALUE"""),0.1833)</f>
        <v>0.1833</v>
      </c>
      <c r="N152" s="85">
        <f>IFERROR(__xludf.DUMMYFUNCTION("""COMPUTED_VALUE"""),0.0)</f>
        <v>0</v>
      </c>
      <c r="O152" s="85">
        <f>IFERROR(__xludf.DUMMYFUNCTION("""COMPUTED_VALUE"""),0.0)</f>
        <v>0</v>
      </c>
      <c r="AE152" s="87">
        <f t="shared" ref="AE152:AQ152" si="148">IFERROR((Q152-C152)/C152, "")</f>
        <v>-1</v>
      </c>
      <c r="AF152" s="87">
        <f t="shared" si="148"/>
        <v>-1</v>
      </c>
      <c r="AG152" s="87">
        <f t="shared" si="148"/>
        <v>-1</v>
      </c>
      <c r="AH152" s="87">
        <f t="shared" si="148"/>
        <v>-1</v>
      </c>
      <c r="AI152" s="87">
        <f t="shared" si="148"/>
        <v>-1</v>
      </c>
      <c r="AJ152" s="87">
        <f t="shared" si="148"/>
        <v>-1</v>
      </c>
      <c r="AK152" s="87">
        <f t="shared" si="148"/>
        <v>-1</v>
      </c>
      <c r="AL152" s="87">
        <f t="shared" si="148"/>
        <v>-1</v>
      </c>
      <c r="AM152" s="87">
        <f t="shared" si="148"/>
        <v>-1</v>
      </c>
      <c r="AN152" s="87">
        <f t="shared" si="148"/>
        <v>-1</v>
      </c>
      <c r="AO152" s="87">
        <f t="shared" si="148"/>
        <v>-1</v>
      </c>
      <c r="AP152" s="87" t="str">
        <f t="shared" si="148"/>
        <v/>
      </c>
      <c r="AQ152" s="87" t="str">
        <f t="shared" si="148"/>
        <v/>
      </c>
    </row>
    <row r="153">
      <c r="B153" s="84" t="s">
        <v>156</v>
      </c>
      <c r="C153" s="85">
        <f>IFERROR(__xludf.DUMMYFUNCTION("""COMPUTED_VALUE"""),0.3402)</f>
        <v>0.3402</v>
      </c>
      <c r="D153" s="85">
        <f>IFERROR(__xludf.DUMMYFUNCTION("""COMPUTED_VALUE"""),0.0234)</f>
        <v>0.0234</v>
      </c>
      <c r="E153" s="85">
        <f>IFERROR(__xludf.DUMMYFUNCTION("""COMPUTED_VALUE"""),0.012)</f>
        <v>0.012</v>
      </c>
      <c r="F153" s="85">
        <f>IFERROR(__xludf.DUMMYFUNCTION("""COMPUTED_VALUE"""),0.0026)</f>
        <v>0.0026</v>
      </c>
      <c r="G153" s="85">
        <f>IFERROR(__xludf.DUMMYFUNCTION("""COMPUTED_VALUE"""),0.0)</f>
        <v>0</v>
      </c>
      <c r="H153" s="85">
        <f>IFERROR(__xludf.DUMMYFUNCTION("""COMPUTED_VALUE"""),0.0)</f>
        <v>0</v>
      </c>
      <c r="I153" s="85">
        <f>IFERROR(__xludf.DUMMYFUNCTION("""COMPUTED_VALUE"""),0.0)</f>
        <v>0</v>
      </c>
      <c r="J153" s="85">
        <f>IFERROR(__xludf.DUMMYFUNCTION("""COMPUTED_VALUE"""),0.0)</f>
        <v>0</v>
      </c>
      <c r="K153" s="85">
        <f>IFERROR(__xludf.DUMMYFUNCTION("""COMPUTED_VALUE"""),0.0)</f>
        <v>0</v>
      </c>
      <c r="L153" s="85">
        <f>IFERROR(__xludf.DUMMYFUNCTION("""COMPUTED_VALUE"""),0.0)</f>
        <v>0</v>
      </c>
      <c r="M153" s="85">
        <f>IFERROR(__xludf.DUMMYFUNCTION("""COMPUTED_VALUE"""),0.0)</f>
        <v>0</v>
      </c>
      <c r="N153" s="85">
        <f>IFERROR(__xludf.DUMMYFUNCTION("""COMPUTED_VALUE"""),0.0)</f>
        <v>0</v>
      </c>
      <c r="O153" s="85">
        <f>IFERROR(__xludf.DUMMYFUNCTION("""COMPUTED_VALUE"""),0.0)</f>
        <v>0</v>
      </c>
      <c r="AE153" s="87">
        <f t="shared" ref="AE153:AQ153" si="149">IFERROR((Q153-C153)/C153, "")</f>
        <v>-1</v>
      </c>
      <c r="AF153" s="87">
        <f t="shared" si="149"/>
        <v>-1</v>
      </c>
      <c r="AG153" s="87">
        <f t="shared" si="149"/>
        <v>-1</v>
      </c>
      <c r="AH153" s="87">
        <f t="shared" si="149"/>
        <v>-1</v>
      </c>
      <c r="AI153" s="87" t="str">
        <f t="shared" si="149"/>
        <v/>
      </c>
      <c r="AJ153" s="87" t="str">
        <f t="shared" si="149"/>
        <v/>
      </c>
      <c r="AK153" s="87" t="str">
        <f t="shared" si="149"/>
        <v/>
      </c>
      <c r="AL153" s="87" t="str">
        <f t="shared" si="149"/>
        <v/>
      </c>
      <c r="AM153" s="87" t="str">
        <f t="shared" si="149"/>
        <v/>
      </c>
      <c r="AN153" s="87" t="str">
        <f t="shared" si="149"/>
        <v/>
      </c>
      <c r="AO153" s="87" t="str">
        <f t="shared" si="149"/>
        <v/>
      </c>
      <c r="AP153" s="87" t="str">
        <f t="shared" si="149"/>
        <v/>
      </c>
      <c r="AQ153" s="87" t="str">
        <f t="shared" si="149"/>
        <v/>
      </c>
    </row>
    <row r="154">
      <c r="B154" s="84" t="s">
        <v>166</v>
      </c>
      <c r="C154" s="85">
        <f>IFERROR(__xludf.DUMMYFUNCTION("""COMPUTED_VALUE"""),0.04218181818181818)</f>
        <v>0.04218181818</v>
      </c>
      <c r="D154" s="85">
        <f>IFERROR(__xludf.DUMMYFUNCTION("""COMPUTED_VALUE"""),5.333333333333335E-4)</f>
        <v>0.0005333333333</v>
      </c>
      <c r="E154" s="85">
        <f>IFERROR(__xludf.DUMMYFUNCTION("""COMPUTED_VALUE"""),8.484848484848485E-4)</f>
        <v>0.0008484848485</v>
      </c>
      <c r="F154" s="85">
        <f>IFERROR(__xludf.DUMMYFUNCTION("""COMPUTED_VALUE"""),5.575757575757576E-4)</f>
        <v>0.0005575757576</v>
      </c>
      <c r="G154" s="85">
        <f>IFERROR(__xludf.DUMMYFUNCTION("""COMPUTED_VALUE"""),3.393939393939393E-4)</f>
        <v>0.0003393939394</v>
      </c>
      <c r="H154" s="85">
        <f>IFERROR(__xludf.DUMMYFUNCTION("""COMPUTED_VALUE"""),2.6666666666666673E-4)</f>
        <v>0.0002666666667</v>
      </c>
      <c r="I154" s="85">
        <f>IFERROR(__xludf.DUMMYFUNCTION("""COMPUTED_VALUE"""),3.6363636363636367E-4)</f>
        <v>0.0003636363636</v>
      </c>
      <c r="J154" s="85">
        <f>IFERROR(__xludf.DUMMYFUNCTION("""COMPUTED_VALUE"""),0.0)</f>
        <v>0</v>
      </c>
      <c r="K154" s="85">
        <f>IFERROR(__xludf.DUMMYFUNCTION("""COMPUTED_VALUE"""),0.0)</f>
        <v>0</v>
      </c>
      <c r="L154" s="85">
        <f>IFERROR(__xludf.DUMMYFUNCTION("""COMPUTED_VALUE"""),0.0)</f>
        <v>0</v>
      </c>
      <c r="M154" s="85">
        <f>IFERROR(__xludf.DUMMYFUNCTION("""COMPUTED_VALUE"""),0.030739393939393934)</f>
        <v>0.03073939394</v>
      </c>
      <c r="N154" s="85">
        <f>IFERROR(__xludf.DUMMYFUNCTION("""COMPUTED_VALUE"""),0.0)</f>
        <v>0</v>
      </c>
      <c r="O154" s="85">
        <f>IFERROR(__xludf.DUMMYFUNCTION("""COMPUTED_VALUE"""),0.0)</f>
        <v>0</v>
      </c>
      <c r="AE154" s="87">
        <f t="shared" ref="AE154:AQ154" si="150">IFERROR((Q154-C154)/C154, "")</f>
        <v>-1</v>
      </c>
      <c r="AF154" s="87">
        <f t="shared" si="150"/>
        <v>-1</v>
      </c>
      <c r="AG154" s="87">
        <f t="shared" si="150"/>
        <v>-1</v>
      </c>
      <c r="AH154" s="87">
        <f t="shared" si="150"/>
        <v>-1</v>
      </c>
      <c r="AI154" s="87">
        <f t="shared" si="150"/>
        <v>-1</v>
      </c>
      <c r="AJ154" s="87">
        <f t="shared" si="150"/>
        <v>-1</v>
      </c>
      <c r="AK154" s="87">
        <f t="shared" si="150"/>
        <v>-1</v>
      </c>
      <c r="AL154" s="87" t="str">
        <f t="shared" si="150"/>
        <v/>
      </c>
      <c r="AM154" s="87" t="str">
        <f t="shared" si="150"/>
        <v/>
      </c>
      <c r="AN154" s="87" t="str">
        <f t="shared" si="150"/>
        <v/>
      </c>
      <c r="AO154" s="87">
        <f t="shared" si="150"/>
        <v>-1</v>
      </c>
      <c r="AP154" s="87" t="str">
        <f t="shared" si="150"/>
        <v/>
      </c>
      <c r="AQ154" s="87" t="str">
        <f t="shared" si="150"/>
        <v/>
      </c>
    </row>
    <row r="155">
      <c r="B155" s="167" t="s">
        <v>170</v>
      </c>
      <c r="C155" s="140">
        <f>IFERROR(__xludf.DUMMYFUNCTION("""COMPUTED_VALUE"""),12.296051423324151)</f>
        <v>12.29605142</v>
      </c>
      <c r="D155" s="140">
        <f>IFERROR(__xludf.DUMMYFUNCTION("""COMPUTED_VALUE"""),0.36019393939393934)</f>
        <v>0.3601939394</v>
      </c>
      <c r="E155" s="140">
        <f>IFERROR(__xludf.DUMMYFUNCTION("""COMPUTED_VALUE"""),0.2983030303030303)</f>
        <v>0.2983030303</v>
      </c>
      <c r="F155" s="140">
        <f>IFERROR(__xludf.DUMMYFUNCTION("""COMPUTED_VALUE"""),0.058157575757575755)</f>
        <v>0.05815757576</v>
      </c>
      <c r="G155" s="140">
        <f>IFERROR(__xludf.DUMMYFUNCTION("""COMPUTED_VALUE"""),0.0)</f>
        <v>0</v>
      </c>
      <c r="H155" s="140">
        <f>IFERROR(__xludf.DUMMYFUNCTION("""COMPUTED_VALUE"""),0.0)</f>
        <v>0</v>
      </c>
      <c r="I155" s="140">
        <f>IFERROR(__xludf.DUMMYFUNCTION("""COMPUTED_VALUE"""),0.0)</f>
        <v>0</v>
      </c>
      <c r="J155" s="140">
        <f>IFERROR(__xludf.DUMMYFUNCTION("""COMPUTED_VALUE"""),6.964848484848487)</f>
        <v>6.964848485</v>
      </c>
      <c r="K155" s="140">
        <f>IFERROR(__xludf.DUMMYFUNCTION("""COMPUTED_VALUE"""),5.554303030303031)</f>
        <v>5.55430303</v>
      </c>
      <c r="L155" s="140">
        <f>IFERROR(__xludf.DUMMYFUNCTION("""COMPUTED_VALUE"""),4.067660606060606)</f>
        <v>4.067660606</v>
      </c>
      <c r="M155" s="140">
        <f>IFERROR(__xludf.DUMMYFUNCTION("""COMPUTED_VALUE"""),19.586181818181817)</f>
        <v>19.58618182</v>
      </c>
      <c r="N155" s="140">
        <f>IFERROR(__xludf.DUMMYFUNCTION("""COMPUTED_VALUE"""),0.0)</f>
        <v>0</v>
      </c>
      <c r="O155" s="140">
        <f>IFERROR(__xludf.DUMMYFUNCTION("""COMPUTED_VALUE"""),5.768024242424241)</f>
        <v>5.768024242</v>
      </c>
      <c r="AE155" s="87">
        <f t="shared" ref="AE155:AQ155" si="151">IFERROR((Q155-C155)/C155, "")</f>
        <v>-1</v>
      </c>
      <c r="AF155" s="87">
        <f t="shared" si="151"/>
        <v>-1</v>
      </c>
      <c r="AG155" s="87">
        <f t="shared" si="151"/>
        <v>-1</v>
      </c>
      <c r="AH155" s="87">
        <f t="shared" si="151"/>
        <v>-1</v>
      </c>
      <c r="AI155" s="87" t="str">
        <f t="shared" si="151"/>
        <v/>
      </c>
      <c r="AJ155" s="87" t="str">
        <f t="shared" si="151"/>
        <v/>
      </c>
      <c r="AK155" s="87" t="str">
        <f t="shared" si="151"/>
        <v/>
      </c>
      <c r="AL155" s="87">
        <f t="shared" si="151"/>
        <v>-1</v>
      </c>
      <c r="AM155" s="87">
        <f t="shared" si="151"/>
        <v>-1</v>
      </c>
      <c r="AN155" s="87">
        <f t="shared" si="151"/>
        <v>-1</v>
      </c>
      <c r="AO155" s="87">
        <f t="shared" si="151"/>
        <v>-1</v>
      </c>
      <c r="AP155" s="87" t="str">
        <f t="shared" si="151"/>
        <v/>
      </c>
      <c r="AQ155" s="87">
        <f t="shared" si="151"/>
        <v>-1</v>
      </c>
    </row>
    <row r="156">
      <c r="B156" s="84" t="s">
        <v>176</v>
      </c>
      <c r="C156" s="85">
        <f>IFERROR(__xludf.DUMMYFUNCTION("""COMPUTED_VALUE"""),0.09250909090909097)</f>
        <v>0.09250909091</v>
      </c>
      <c r="D156" s="85">
        <f>IFERROR(__xludf.DUMMYFUNCTION("""COMPUTED_VALUE"""),6.545454545454552E-4)</f>
        <v>0.0006545454545</v>
      </c>
      <c r="E156" s="85">
        <f>IFERROR(__xludf.DUMMYFUNCTION("""COMPUTED_VALUE"""),2.424242424242426E-5)</f>
        <v>0.00002424242424</v>
      </c>
      <c r="F156" s="85">
        <f>IFERROR(__xludf.DUMMYFUNCTION("""COMPUTED_VALUE"""),2.4242424242424258E-4)</f>
        <v>0.0002424242424</v>
      </c>
      <c r="G156" s="85">
        <f>IFERROR(__xludf.DUMMYFUNCTION("""COMPUTED_VALUE"""),0.001793939393939395)</f>
        <v>0.001793939394</v>
      </c>
      <c r="H156" s="85">
        <f>IFERROR(__xludf.DUMMYFUNCTION("""COMPUTED_VALUE"""),6.303030303030306E-4)</f>
        <v>0.0006303030303</v>
      </c>
      <c r="I156" s="85">
        <f>IFERROR(__xludf.DUMMYFUNCTION("""COMPUTED_VALUE"""),0.0)</f>
        <v>0</v>
      </c>
      <c r="J156" s="85">
        <f>IFERROR(__xludf.DUMMYFUNCTION("""COMPUTED_VALUE"""),4.60606060606061E-4)</f>
        <v>0.0004606060606</v>
      </c>
      <c r="K156" s="85">
        <f>IFERROR(__xludf.DUMMYFUNCTION("""COMPUTED_VALUE"""),1.6969696969696983E-4)</f>
        <v>0.0001696969697</v>
      </c>
      <c r="L156" s="85">
        <f>IFERROR(__xludf.DUMMYFUNCTION("""COMPUTED_VALUE"""),1.6969696969696983E-4)</f>
        <v>0.0001696969697</v>
      </c>
      <c r="M156" s="85">
        <f>IFERROR(__xludf.DUMMYFUNCTION("""COMPUTED_VALUE"""),0.06947878787878793)</f>
        <v>0.06947878788</v>
      </c>
      <c r="N156" s="85">
        <f>IFERROR(__xludf.DUMMYFUNCTION("""COMPUTED_VALUE"""),0.0)</f>
        <v>0</v>
      </c>
      <c r="O156" s="85">
        <f>IFERROR(__xludf.DUMMYFUNCTION("""COMPUTED_VALUE"""),0.0)</f>
        <v>0</v>
      </c>
      <c r="AE156" s="87">
        <f t="shared" ref="AE156:AQ156" si="152">IFERROR((Q156-C156)/C156, "")</f>
        <v>-1</v>
      </c>
      <c r="AF156" s="87">
        <f t="shared" si="152"/>
        <v>-1</v>
      </c>
      <c r="AG156" s="87">
        <f t="shared" si="152"/>
        <v>-1</v>
      </c>
      <c r="AH156" s="87">
        <f t="shared" si="152"/>
        <v>-1</v>
      </c>
      <c r="AI156" s="87">
        <f t="shared" si="152"/>
        <v>-1</v>
      </c>
      <c r="AJ156" s="87">
        <f t="shared" si="152"/>
        <v>-1</v>
      </c>
      <c r="AK156" s="87" t="str">
        <f t="shared" si="152"/>
        <v/>
      </c>
      <c r="AL156" s="87">
        <f t="shared" si="152"/>
        <v>-1</v>
      </c>
      <c r="AM156" s="87">
        <f t="shared" si="152"/>
        <v>-1</v>
      </c>
      <c r="AN156" s="87">
        <f t="shared" si="152"/>
        <v>-1</v>
      </c>
      <c r="AO156" s="87">
        <f t="shared" si="152"/>
        <v>-1</v>
      </c>
      <c r="AP156" s="87" t="str">
        <f t="shared" si="152"/>
        <v/>
      </c>
      <c r="AQ156" s="87" t="str">
        <f t="shared" si="152"/>
        <v/>
      </c>
    </row>
    <row r="157">
      <c r="B157" s="84" t="s">
        <v>179</v>
      </c>
      <c r="C157" s="85">
        <f>IFERROR(__xludf.DUMMYFUNCTION("""COMPUTED_VALUE"""),0.0)</f>
        <v>0</v>
      </c>
      <c r="D157" s="85">
        <f>IFERROR(__xludf.DUMMYFUNCTION("""COMPUTED_VALUE"""),0.018944444444444437)</f>
        <v>0.01894444444</v>
      </c>
      <c r="E157" s="85">
        <f>IFERROR(__xludf.DUMMYFUNCTION("""COMPUTED_VALUE"""),0.0)</f>
        <v>0</v>
      </c>
      <c r="F157" s="85">
        <f>IFERROR(__xludf.DUMMYFUNCTION("""COMPUTED_VALUE"""),0.0)</f>
        <v>0</v>
      </c>
      <c r="G157" s="85">
        <f>IFERROR(__xludf.DUMMYFUNCTION("""COMPUTED_VALUE"""),0.025583333333333326)</f>
        <v>0.02558333333</v>
      </c>
      <c r="H157" s="85">
        <f>IFERROR(__xludf.DUMMYFUNCTION("""COMPUTED_VALUE"""),0.02294444444444444)</f>
        <v>0.02294444444</v>
      </c>
      <c r="I157" s="85">
        <f>IFERROR(__xludf.DUMMYFUNCTION("""COMPUTED_VALUE"""),0.029083333333333326)</f>
        <v>0.02908333333</v>
      </c>
      <c r="J157" s="85">
        <f>IFERROR(__xludf.DUMMYFUNCTION("""COMPUTED_VALUE"""),0.0)</f>
        <v>0</v>
      </c>
      <c r="K157" s="85">
        <f>IFERROR(__xludf.DUMMYFUNCTION("""COMPUTED_VALUE"""),0.0)</f>
        <v>0</v>
      </c>
      <c r="L157" s="85">
        <f>IFERROR(__xludf.DUMMYFUNCTION("""COMPUTED_VALUE"""),0.0)</f>
        <v>0</v>
      </c>
      <c r="M157" s="85">
        <f>IFERROR(__xludf.DUMMYFUNCTION("""COMPUTED_VALUE"""),14.75430555555555)</f>
        <v>14.75430556</v>
      </c>
      <c r="N157" s="85">
        <f>IFERROR(__xludf.DUMMYFUNCTION("""COMPUTED_VALUE"""),0.6264999999999998)</f>
        <v>0.6265</v>
      </c>
      <c r="O157" s="85">
        <f>IFERROR(__xludf.DUMMYFUNCTION("""COMPUTED_VALUE"""),0.0)</f>
        <v>0</v>
      </c>
      <c r="AE157" s="87" t="str">
        <f t="shared" ref="AE157:AQ157" si="153">IFERROR((Q157-C157)/C157, "")</f>
        <v/>
      </c>
      <c r="AF157" s="87">
        <f t="shared" si="153"/>
        <v>-1</v>
      </c>
      <c r="AG157" s="87" t="str">
        <f t="shared" si="153"/>
        <v/>
      </c>
      <c r="AH157" s="87" t="str">
        <f t="shared" si="153"/>
        <v/>
      </c>
      <c r="AI157" s="87">
        <f t="shared" si="153"/>
        <v>-1</v>
      </c>
      <c r="AJ157" s="87">
        <f t="shared" si="153"/>
        <v>-1</v>
      </c>
      <c r="AK157" s="87">
        <f t="shared" si="153"/>
        <v>-1</v>
      </c>
      <c r="AL157" s="87" t="str">
        <f t="shared" si="153"/>
        <v/>
      </c>
      <c r="AM157" s="87" t="str">
        <f t="shared" si="153"/>
        <v/>
      </c>
      <c r="AN157" s="87" t="str">
        <f t="shared" si="153"/>
        <v/>
      </c>
      <c r="AO157" s="87">
        <f t="shared" si="153"/>
        <v>-1</v>
      </c>
      <c r="AP157" s="87">
        <f t="shared" si="153"/>
        <v>-1</v>
      </c>
      <c r="AQ157" s="87" t="str">
        <f t="shared" si="153"/>
        <v/>
      </c>
    </row>
    <row r="158">
      <c r="B158" s="84" t="s">
        <v>180</v>
      </c>
      <c r="C158" s="85">
        <f>IFERROR(__xludf.DUMMYFUNCTION("""COMPUTED_VALUE"""),0.14230530000000002)</f>
        <v>0.1423053</v>
      </c>
      <c r="D158" s="85">
        <f>IFERROR(__xludf.DUMMYFUNCTION("""COMPUTED_VALUE"""),0.0017863600000000005)</f>
        <v>0.00178636</v>
      </c>
      <c r="E158" s="85">
        <f>IFERROR(__xludf.DUMMYFUNCTION("""COMPUTED_VALUE"""),0.0070247400000000015)</f>
        <v>0.00702474</v>
      </c>
      <c r="F158" s="85">
        <f>IFERROR(__xludf.DUMMYFUNCTION("""COMPUTED_VALUE"""),0.0012311400000000004)</f>
        <v>0.00123114</v>
      </c>
      <c r="G158" s="85">
        <f>IFERROR(__xludf.DUMMYFUNCTION("""COMPUTED_VALUE"""),0.05909472000000001)</f>
        <v>0.05909472</v>
      </c>
      <c r="H158" s="85">
        <f>IFERROR(__xludf.DUMMYFUNCTION("""COMPUTED_VALUE"""),0.01972238)</f>
        <v>0.01972238</v>
      </c>
      <c r="I158" s="85">
        <f>IFERROR(__xludf.DUMMYFUNCTION("""COMPUTED_VALUE"""),0.009004220000000002)</f>
        <v>0.00900422</v>
      </c>
      <c r="J158" s="85">
        <f>IFERROR(__xludf.DUMMYFUNCTION("""COMPUTED_VALUE"""),0.0)</f>
        <v>0</v>
      </c>
      <c r="K158" s="85">
        <f>IFERROR(__xludf.DUMMYFUNCTION("""COMPUTED_VALUE"""),0.024381400000000008)</f>
        <v>0.0243814</v>
      </c>
      <c r="L158" s="85">
        <f>IFERROR(__xludf.DUMMYFUNCTION("""COMPUTED_VALUE"""),0.04992152000000001)</f>
        <v>0.04992152</v>
      </c>
      <c r="M158" s="85">
        <f>IFERROR(__xludf.DUMMYFUNCTION("""COMPUTED_VALUE"""),2.059214420000001)</f>
        <v>2.05921442</v>
      </c>
      <c r="N158" s="85">
        <f>IFERROR(__xludf.DUMMYFUNCTION("""COMPUTED_VALUE"""),0.0)</f>
        <v>0</v>
      </c>
      <c r="O158" s="85">
        <f>IFERROR(__xludf.DUMMYFUNCTION("""COMPUTED_VALUE"""),0.0)</f>
        <v>0</v>
      </c>
      <c r="AE158" s="87">
        <f t="shared" ref="AE158:AQ158" si="154">IFERROR((Q158-C158)/C158, "")</f>
        <v>-1</v>
      </c>
      <c r="AF158" s="87">
        <f t="shared" si="154"/>
        <v>-1</v>
      </c>
      <c r="AG158" s="87">
        <f t="shared" si="154"/>
        <v>-1</v>
      </c>
      <c r="AH158" s="87">
        <f t="shared" si="154"/>
        <v>-1</v>
      </c>
      <c r="AI158" s="87">
        <f t="shared" si="154"/>
        <v>-1</v>
      </c>
      <c r="AJ158" s="87">
        <f t="shared" si="154"/>
        <v>-1</v>
      </c>
      <c r="AK158" s="87">
        <f t="shared" si="154"/>
        <v>-1</v>
      </c>
      <c r="AL158" s="87" t="str">
        <f t="shared" si="154"/>
        <v/>
      </c>
      <c r="AM158" s="87">
        <f t="shared" si="154"/>
        <v>-1</v>
      </c>
      <c r="AN158" s="87">
        <f t="shared" si="154"/>
        <v>-1</v>
      </c>
      <c r="AO158" s="87">
        <f t="shared" si="154"/>
        <v>-1</v>
      </c>
      <c r="AP158" s="87" t="str">
        <f t="shared" si="154"/>
        <v/>
      </c>
      <c r="AQ158" s="87" t="str">
        <f t="shared" si="154"/>
        <v/>
      </c>
    </row>
    <row r="159">
      <c r="B159" s="84" t="s">
        <v>182</v>
      </c>
      <c r="C159" s="85">
        <f>IFERROR(__xludf.DUMMYFUNCTION("""COMPUTED_VALUE"""),0.0)</f>
        <v>0</v>
      </c>
      <c r="D159" s="85">
        <f>IFERROR(__xludf.DUMMYFUNCTION("""COMPUTED_VALUE"""),0.0)</f>
        <v>0</v>
      </c>
      <c r="E159" s="85">
        <f>IFERROR(__xludf.DUMMYFUNCTION("""COMPUTED_VALUE"""),0.0)</f>
        <v>0</v>
      </c>
      <c r="F159" s="85">
        <f>IFERROR(__xludf.DUMMYFUNCTION("""COMPUTED_VALUE"""),0.0)</f>
        <v>0</v>
      </c>
      <c r="G159" s="85">
        <f>IFERROR(__xludf.DUMMYFUNCTION("""COMPUTED_VALUE"""),0.0)</f>
        <v>0</v>
      </c>
      <c r="H159" s="85">
        <f>IFERROR(__xludf.DUMMYFUNCTION("""COMPUTED_VALUE"""),0.0)</f>
        <v>0</v>
      </c>
      <c r="I159" s="85">
        <f>IFERROR(__xludf.DUMMYFUNCTION("""COMPUTED_VALUE"""),0.0)</f>
        <v>0</v>
      </c>
      <c r="J159" s="85">
        <f>IFERROR(__xludf.DUMMYFUNCTION("""COMPUTED_VALUE"""),0.0)</f>
        <v>0</v>
      </c>
      <c r="K159" s="85">
        <f>IFERROR(__xludf.DUMMYFUNCTION("""COMPUTED_VALUE"""),0.0)</f>
        <v>0</v>
      </c>
      <c r="L159" s="85">
        <f>IFERROR(__xludf.DUMMYFUNCTION("""COMPUTED_VALUE"""),0.0)</f>
        <v>0</v>
      </c>
      <c r="M159" s="85">
        <f>IFERROR(__xludf.DUMMYFUNCTION("""COMPUTED_VALUE"""),0.0)</f>
        <v>0</v>
      </c>
      <c r="N159" s="85">
        <f>IFERROR(__xludf.DUMMYFUNCTION("""COMPUTED_VALUE"""),0.0)</f>
        <v>0</v>
      </c>
      <c r="O159" s="85">
        <f>IFERROR(__xludf.DUMMYFUNCTION("""COMPUTED_VALUE"""),0.0)</f>
        <v>0</v>
      </c>
      <c r="AE159" s="87" t="str">
        <f t="shared" ref="AE159:AQ159" si="155">IFERROR((Q159-C159)/C159, "")</f>
        <v/>
      </c>
      <c r="AF159" s="87" t="str">
        <f t="shared" si="155"/>
        <v/>
      </c>
      <c r="AG159" s="87" t="str">
        <f t="shared" si="155"/>
        <v/>
      </c>
      <c r="AH159" s="87" t="str">
        <f t="shared" si="155"/>
        <v/>
      </c>
      <c r="AI159" s="87" t="str">
        <f t="shared" si="155"/>
        <v/>
      </c>
      <c r="AJ159" s="87" t="str">
        <f t="shared" si="155"/>
        <v/>
      </c>
      <c r="AK159" s="87" t="str">
        <f t="shared" si="155"/>
        <v/>
      </c>
      <c r="AL159" s="87" t="str">
        <f t="shared" si="155"/>
        <v/>
      </c>
      <c r="AM159" s="87" t="str">
        <f t="shared" si="155"/>
        <v/>
      </c>
      <c r="AN159" s="87" t="str">
        <f t="shared" si="155"/>
        <v/>
      </c>
      <c r="AO159" s="87" t="str">
        <f t="shared" si="155"/>
        <v/>
      </c>
      <c r="AP159" s="87" t="str">
        <f t="shared" si="155"/>
        <v/>
      </c>
      <c r="AQ159" s="87" t="str">
        <f t="shared" si="155"/>
        <v/>
      </c>
    </row>
    <row r="160">
      <c r="B160" s="84" t="s">
        <v>183</v>
      </c>
      <c r="C160" s="85">
        <f>IFERROR(__xludf.DUMMYFUNCTION("""COMPUTED_VALUE"""),0.1341)</f>
        <v>0.1341</v>
      </c>
      <c r="D160" s="85">
        <f>IFERROR(__xludf.DUMMYFUNCTION("""COMPUTED_VALUE"""),0.0025800000000000003)</f>
        <v>0.00258</v>
      </c>
      <c r="E160" s="85">
        <f>IFERROR(__xludf.DUMMYFUNCTION("""COMPUTED_VALUE"""),0.00134)</f>
        <v>0.00134</v>
      </c>
      <c r="F160" s="85">
        <f>IFERROR(__xludf.DUMMYFUNCTION("""COMPUTED_VALUE"""),3.2E-4)</f>
        <v>0.00032</v>
      </c>
      <c r="G160" s="85">
        <f>IFERROR(__xludf.DUMMYFUNCTION("""COMPUTED_VALUE"""),0.0018599999999999999)</f>
        <v>0.00186</v>
      </c>
      <c r="H160" s="85">
        <f>IFERROR(__xludf.DUMMYFUNCTION("""COMPUTED_VALUE"""),0.0017200000000000002)</f>
        <v>0.00172</v>
      </c>
      <c r="I160" s="85">
        <f>IFERROR(__xludf.DUMMYFUNCTION("""COMPUTED_VALUE"""),0.0016400000000000002)</f>
        <v>0.00164</v>
      </c>
      <c r="J160" s="85">
        <f>IFERROR(__xludf.DUMMYFUNCTION("""COMPUTED_VALUE"""),0.0)</f>
        <v>0</v>
      </c>
      <c r="K160" s="85">
        <f>IFERROR(__xludf.DUMMYFUNCTION("""COMPUTED_VALUE"""),0.0)</f>
        <v>0</v>
      </c>
      <c r="L160" s="85">
        <f>IFERROR(__xludf.DUMMYFUNCTION("""COMPUTED_VALUE"""),0.0)</f>
        <v>0</v>
      </c>
      <c r="M160" s="85">
        <f>IFERROR(__xludf.DUMMYFUNCTION("""COMPUTED_VALUE"""),0.10338000000000001)</f>
        <v>0.10338</v>
      </c>
      <c r="N160" s="85">
        <f>IFERROR(__xludf.DUMMYFUNCTION("""COMPUTED_VALUE"""),2.40236)</f>
        <v>2.40236</v>
      </c>
      <c r="O160" s="85">
        <f>IFERROR(__xludf.DUMMYFUNCTION("""COMPUTED_VALUE"""),0.0)</f>
        <v>0</v>
      </c>
      <c r="AE160" s="87">
        <f t="shared" ref="AE160:AQ160" si="156">IFERROR((Q160-C160)/C160, "")</f>
        <v>-1</v>
      </c>
      <c r="AF160" s="87">
        <f t="shared" si="156"/>
        <v>-1</v>
      </c>
      <c r="AG160" s="87">
        <f t="shared" si="156"/>
        <v>-1</v>
      </c>
      <c r="AH160" s="87">
        <f t="shared" si="156"/>
        <v>-1</v>
      </c>
      <c r="AI160" s="87">
        <f t="shared" si="156"/>
        <v>-1</v>
      </c>
      <c r="AJ160" s="87">
        <f t="shared" si="156"/>
        <v>-1</v>
      </c>
      <c r="AK160" s="87">
        <f t="shared" si="156"/>
        <v>-1</v>
      </c>
      <c r="AL160" s="87" t="str">
        <f t="shared" si="156"/>
        <v/>
      </c>
      <c r="AM160" s="87" t="str">
        <f t="shared" si="156"/>
        <v/>
      </c>
      <c r="AN160" s="87" t="str">
        <f t="shared" si="156"/>
        <v/>
      </c>
      <c r="AO160" s="87">
        <f t="shared" si="156"/>
        <v>-1</v>
      </c>
      <c r="AP160" s="87">
        <f t="shared" si="156"/>
        <v>-1</v>
      </c>
      <c r="AQ160" s="87" t="str">
        <f t="shared" si="156"/>
        <v/>
      </c>
    </row>
    <row r="161">
      <c r="B161" s="84" t="s">
        <v>185</v>
      </c>
      <c r="C161" s="85">
        <f>IFERROR(__xludf.DUMMYFUNCTION("""COMPUTED_VALUE"""),0.0)</f>
        <v>0</v>
      </c>
      <c r="D161" s="85">
        <f>IFERROR(__xludf.DUMMYFUNCTION("""COMPUTED_VALUE"""),0.0)</f>
        <v>0</v>
      </c>
      <c r="E161" s="85">
        <f>IFERROR(__xludf.DUMMYFUNCTION("""COMPUTED_VALUE"""),0.0)</f>
        <v>0</v>
      </c>
      <c r="F161" s="85">
        <f>IFERROR(__xludf.DUMMYFUNCTION("""COMPUTED_VALUE"""),0.0)</f>
        <v>0</v>
      </c>
      <c r="G161" s="85">
        <f>IFERROR(__xludf.DUMMYFUNCTION("""COMPUTED_VALUE"""),0.0)</f>
        <v>0</v>
      </c>
      <c r="H161" s="85">
        <f>IFERROR(__xludf.DUMMYFUNCTION("""COMPUTED_VALUE"""),0.0)</f>
        <v>0</v>
      </c>
      <c r="I161" s="85">
        <f>IFERROR(__xludf.DUMMYFUNCTION("""COMPUTED_VALUE"""),0.0)</f>
        <v>0</v>
      </c>
      <c r="J161" s="85">
        <f>IFERROR(__xludf.DUMMYFUNCTION("""COMPUTED_VALUE"""),0.0)</f>
        <v>0</v>
      </c>
      <c r="K161" s="85">
        <f>IFERROR(__xludf.DUMMYFUNCTION("""COMPUTED_VALUE"""),0.0)</f>
        <v>0</v>
      </c>
      <c r="L161" s="85">
        <f>IFERROR(__xludf.DUMMYFUNCTION("""COMPUTED_VALUE"""),0.0)</f>
        <v>0</v>
      </c>
      <c r="M161" s="85">
        <f>IFERROR(__xludf.DUMMYFUNCTION("""COMPUTED_VALUE"""),0.0)</f>
        <v>0</v>
      </c>
      <c r="N161" s="85">
        <f>IFERROR(__xludf.DUMMYFUNCTION("""COMPUTED_VALUE"""),0.0)</f>
        <v>0</v>
      </c>
      <c r="O161" s="85">
        <f>IFERROR(__xludf.DUMMYFUNCTION("""COMPUTED_VALUE"""),0.0)</f>
        <v>0</v>
      </c>
      <c r="AE161" s="87" t="str">
        <f t="shared" ref="AE161:AQ161" si="157">IFERROR((Q161-C161)/C161, "")</f>
        <v/>
      </c>
      <c r="AF161" s="87" t="str">
        <f t="shared" si="157"/>
        <v/>
      </c>
      <c r="AG161" s="87" t="str">
        <f t="shared" si="157"/>
        <v/>
      </c>
      <c r="AH161" s="87" t="str">
        <f t="shared" si="157"/>
        <v/>
      </c>
      <c r="AI161" s="87" t="str">
        <f t="shared" si="157"/>
        <v/>
      </c>
      <c r="AJ161" s="87" t="str">
        <f t="shared" si="157"/>
        <v/>
      </c>
      <c r="AK161" s="87" t="str">
        <f t="shared" si="157"/>
        <v/>
      </c>
      <c r="AL161" s="87" t="str">
        <f t="shared" si="157"/>
        <v/>
      </c>
      <c r="AM161" s="87" t="str">
        <f t="shared" si="157"/>
        <v/>
      </c>
      <c r="AN161" s="87" t="str">
        <f t="shared" si="157"/>
        <v/>
      </c>
      <c r="AO161" s="87" t="str">
        <f t="shared" si="157"/>
        <v/>
      </c>
      <c r="AP161" s="87" t="str">
        <f t="shared" si="157"/>
        <v/>
      </c>
      <c r="AQ161" s="87" t="str">
        <f t="shared" si="157"/>
        <v/>
      </c>
    </row>
    <row r="162">
      <c r="B162" s="84" t="s">
        <v>186</v>
      </c>
      <c r="C162" s="85">
        <f>IFERROR(__xludf.DUMMYFUNCTION("""COMPUTED_VALUE"""),1.0269818181818182)</f>
        <v>1.026981818</v>
      </c>
      <c r="D162" s="85">
        <f>IFERROR(__xludf.DUMMYFUNCTION("""COMPUTED_VALUE"""),0.02686060606060606)</f>
        <v>0.02686060606</v>
      </c>
      <c r="E162" s="85">
        <f>IFERROR(__xludf.DUMMYFUNCTION("""COMPUTED_VALUE"""),0.0168)</f>
        <v>0.0168</v>
      </c>
      <c r="F162" s="85">
        <f>IFERROR(__xludf.DUMMYFUNCTION("""COMPUTED_VALUE"""),0.0076363636363636364)</f>
        <v>0.007636363636</v>
      </c>
      <c r="G162" s="85">
        <f>IFERROR(__xludf.DUMMYFUNCTION("""COMPUTED_VALUE"""),0.24484848484848487)</f>
        <v>0.2448484848</v>
      </c>
      <c r="H162" s="85">
        <f>IFERROR(__xludf.DUMMYFUNCTION("""COMPUTED_VALUE"""),0.22106666666666672)</f>
        <v>0.2210666667</v>
      </c>
      <c r="I162" s="85">
        <f>IFERROR(__xludf.DUMMYFUNCTION("""COMPUTED_VALUE"""),0.2829575757575758)</f>
        <v>0.2829575758</v>
      </c>
      <c r="J162" s="85">
        <f>IFERROR(__xludf.DUMMYFUNCTION("""COMPUTED_VALUE"""),0.06172121212121212)</f>
        <v>0.06172121212</v>
      </c>
      <c r="K162" s="85">
        <f>IFERROR(__xludf.DUMMYFUNCTION("""COMPUTED_VALUE"""),0.02264242424242424)</f>
        <v>0.02264242424</v>
      </c>
      <c r="L162" s="85">
        <f>IFERROR(__xludf.DUMMYFUNCTION("""COMPUTED_VALUE"""),0.01718787878787879)</f>
        <v>0.01718787879</v>
      </c>
      <c r="M162" s="85">
        <f>IFERROR(__xludf.DUMMYFUNCTION("""COMPUTED_VALUE"""),0.2804121212121213)</f>
        <v>0.2804121212</v>
      </c>
      <c r="N162" s="85">
        <f>IFERROR(__xludf.DUMMYFUNCTION("""COMPUTED_VALUE"""),13.224484848484849)</f>
        <v>13.22448485</v>
      </c>
      <c r="O162" s="85">
        <f>IFERROR(__xludf.DUMMYFUNCTION("""COMPUTED_VALUE"""),0.0)</f>
        <v>0</v>
      </c>
      <c r="AE162" s="87">
        <f t="shared" ref="AE162:AQ162" si="158">IFERROR((Q162-C162)/C162, "")</f>
        <v>-1</v>
      </c>
      <c r="AF162" s="87">
        <f t="shared" si="158"/>
        <v>-1</v>
      </c>
      <c r="AG162" s="87">
        <f t="shared" si="158"/>
        <v>-1</v>
      </c>
      <c r="AH162" s="87">
        <f t="shared" si="158"/>
        <v>-1</v>
      </c>
      <c r="AI162" s="87">
        <f t="shared" si="158"/>
        <v>-1</v>
      </c>
      <c r="AJ162" s="87">
        <f t="shared" si="158"/>
        <v>-1</v>
      </c>
      <c r="AK162" s="87">
        <f t="shared" si="158"/>
        <v>-1</v>
      </c>
      <c r="AL162" s="87">
        <f t="shared" si="158"/>
        <v>-1</v>
      </c>
      <c r="AM162" s="87">
        <f t="shared" si="158"/>
        <v>-1</v>
      </c>
      <c r="AN162" s="87">
        <f t="shared" si="158"/>
        <v>-1</v>
      </c>
      <c r="AO162" s="87">
        <f t="shared" si="158"/>
        <v>-1</v>
      </c>
      <c r="AP162" s="87">
        <f t="shared" si="158"/>
        <v>-1</v>
      </c>
      <c r="AQ162" s="87" t="str">
        <f t="shared" si="158"/>
        <v/>
      </c>
    </row>
    <row r="163">
      <c r="B163" s="84" t="s">
        <v>188</v>
      </c>
      <c r="C163" s="85">
        <f>IFERROR(__xludf.DUMMYFUNCTION("""COMPUTED_VALUE"""),0.0)</f>
        <v>0</v>
      </c>
      <c r="D163" s="85">
        <f>IFERROR(__xludf.DUMMYFUNCTION("""COMPUTED_VALUE"""),0.0)</f>
        <v>0</v>
      </c>
      <c r="E163" s="85">
        <f>IFERROR(__xludf.DUMMYFUNCTION("""COMPUTED_VALUE"""),0.0)</f>
        <v>0</v>
      </c>
      <c r="F163" s="85">
        <f>IFERROR(__xludf.DUMMYFUNCTION("""COMPUTED_VALUE"""),0.0)</f>
        <v>0</v>
      </c>
      <c r="G163" s="85">
        <f>IFERROR(__xludf.DUMMYFUNCTION("""COMPUTED_VALUE"""),0.0)</f>
        <v>0</v>
      </c>
      <c r="H163" s="85">
        <f>IFERROR(__xludf.DUMMYFUNCTION("""COMPUTED_VALUE"""),0.0)</f>
        <v>0</v>
      </c>
      <c r="I163" s="85">
        <f>IFERROR(__xludf.DUMMYFUNCTION("""COMPUTED_VALUE"""),0.0)</f>
        <v>0</v>
      </c>
      <c r="J163" s="85">
        <f>IFERROR(__xludf.DUMMYFUNCTION("""COMPUTED_VALUE"""),0.0)</f>
        <v>0</v>
      </c>
      <c r="K163" s="85">
        <f>IFERROR(__xludf.DUMMYFUNCTION("""COMPUTED_VALUE"""),0.0)</f>
        <v>0</v>
      </c>
      <c r="L163" s="85">
        <f>IFERROR(__xludf.DUMMYFUNCTION("""COMPUTED_VALUE"""),0.0)</f>
        <v>0</v>
      </c>
      <c r="M163" s="85">
        <f>IFERROR(__xludf.DUMMYFUNCTION("""COMPUTED_VALUE"""),0.0)</f>
        <v>0</v>
      </c>
      <c r="N163" s="85">
        <f>IFERROR(__xludf.DUMMYFUNCTION("""COMPUTED_VALUE"""),0.0)</f>
        <v>0</v>
      </c>
      <c r="O163" s="85">
        <f>IFERROR(__xludf.DUMMYFUNCTION("""COMPUTED_VALUE"""),0.0)</f>
        <v>0</v>
      </c>
      <c r="AE163" s="87" t="str">
        <f t="shared" ref="AE163:AQ163" si="159">IFERROR((Q163-C163)/C163, "")</f>
        <v/>
      </c>
      <c r="AF163" s="87" t="str">
        <f t="shared" si="159"/>
        <v/>
      </c>
      <c r="AG163" s="87" t="str">
        <f t="shared" si="159"/>
        <v/>
      </c>
      <c r="AH163" s="87" t="str">
        <f t="shared" si="159"/>
        <v/>
      </c>
      <c r="AI163" s="87" t="str">
        <f t="shared" si="159"/>
        <v/>
      </c>
      <c r="AJ163" s="87" t="str">
        <f t="shared" si="159"/>
        <v/>
      </c>
      <c r="AK163" s="87" t="str">
        <f t="shared" si="159"/>
        <v/>
      </c>
      <c r="AL163" s="87" t="str">
        <f t="shared" si="159"/>
        <v/>
      </c>
      <c r="AM163" s="87" t="str">
        <f t="shared" si="159"/>
        <v/>
      </c>
      <c r="AN163" s="87" t="str">
        <f t="shared" si="159"/>
        <v/>
      </c>
      <c r="AO163" s="87" t="str">
        <f t="shared" si="159"/>
        <v/>
      </c>
      <c r="AP163" s="87" t="str">
        <f t="shared" si="159"/>
        <v/>
      </c>
      <c r="AQ163" s="87" t="str">
        <f t="shared" si="159"/>
        <v/>
      </c>
    </row>
    <row r="164">
      <c r="B164" s="84" t="s">
        <v>189</v>
      </c>
      <c r="C164" s="85">
        <f>IFERROR(__xludf.DUMMYFUNCTION("""COMPUTED_VALUE"""),0.0)</f>
        <v>0</v>
      </c>
      <c r="D164" s="85">
        <f>IFERROR(__xludf.DUMMYFUNCTION("""COMPUTED_VALUE"""),0.0)</f>
        <v>0</v>
      </c>
      <c r="E164" s="85">
        <f>IFERROR(__xludf.DUMMYFUNCTION("""COMPUTED_VALUE"""),0.0)</f>
        <v>0</v>
      </c>
      <c r="F164" s="85">
        <f>IFERROR(__xludf.DUMMYFUNCTION("""COMPUTED_VALUE"""),0.0)</f>
        <v>0</v>
      </c>
      <c r="G164" s="85">
        <f>IFERROR(__xludf.DUMMYFUNCTION("""COMPUTED_VALUE"""),0.0)</f>
        <v>0</v>
      </c>
      <c r="H164" s="85">
        <f>IFERROR(__xludf.DUMMYFUNCTION("""COMPUTED_VALUE"""),0.0)</f>
        <v>0</v>
      </c>
      <c r="I164" s="85">
        <f>IFERROR(__xludf.DUMMYFUNCTION("""COMPUTED_VALUE"""),0.0)</f>
        <v>0</v>
      </c>
      <c r="J164" s="85">
        <f>IFERROR(__xludf.DUMMYFUNCTION("""COMPUTED_VALUE"""),0.0)</f>
        <v>0</v>
      </c>
      <c r="K164" s="85">
        <f>IFERROR(__xludf.DUMMYFUNCTION("""COMPUTED_VALUE"""),0.0)</f>
        <v>0</v>
      </c>
      <c r="L164" s="85">
        <f>IFERROR(__xludf.DUMMYFUNCTION("""COMPUTED_VALUE"""),0.0)</f>
        <v>0</v>
      </c>
      <c r="M164" s="85">
        <f>IFERROR(__xludf.DUMMYFUNCTION("""COMPUTED_VALUE"""),0.0)</f>
        <v>0</v>
      </c>
      <c r="N164" s="85">
        <f>IFERROR(__xludf.DUMMYFUNCTION("""COMPUTED_VALUE"""),0.0)</f>
        <v>0</v>
      </c>
      <c r="O164" s="85">
        <f>IFERROR(__xludf.DUMMYFUNCTION("""COMPUTED_VALUE"""),0.0)</f>
        <v>0</v>
      </c>
      <c r="AE164" s="87" t="str">
        <f t="shared" ref="AE164:AQ164" si="160">IFERROR((Q164-C164)/C164, "")</f>
        <v/>
      </c>
      <c r="AF164" s="87" t="str">
        <f t="shared" si="160"/>
        <v/>
      </c>
      <c r="AG164" s="87" t="str">
        <f t="shared" si="160"/>
        <v/>
      </c>
      <c r="AH164" s="87" t="str">
        <f t="shared" si="160"/>
        <v/>
      </c>
      <c r="AI164" s="87" t="str">
        <f t="shared" si="160"/>
        <v/>
      </c>
      <c r="AJ164" s="87" t="str">
        <f t="shared" si="160"/>
        <v/>
      </c>
      <c r="AK164" s="87" t="str">
        <f t="shared" si="160"/>
        <v/>
      </c>
      <c r="AL164" s="87" t="str">
        <f t="shared" si="160"/>
        <v/>
      </c>
      <c r="AM164" s="87" t="str">
        <f t="shared" si="160"/>
        <v/>
      </c>
      <c r="AN164" s="87" t="str">
        <f t="shared" si="160"/>
        <v/>
      </c>
      <c r="AO164" s="87" t="str">
        <f t="shared" si="160"/>
        <v/>
      </c>
      <c r="AP164" s="87" t="str">
        <f t="shared" si="160"/>
        <v/>
      </c>
      <c r="AQ164" s="87" t="str">
        <f t="shared" si="160"/>
        <v/>
      </c>
    </row>
    <row r="165">
      <c r="B165" s="168" t="s">
        <v>191</v>
      </c>
      <c r="C165" s="140">
        <f>IFERROR(__xludf.DUMMYFUNCTION("""COMPUTED_VALUE"""),0.0)</f>
        <v>0</v>
      </c>
      <c r="D165" s="140">
        <f>IFERROR(__xludf.DUMMYFUNCTION("""COMPUTED_VALUE"""),0.0)</f>
        <v>0</v>
      </c>
      <c r="E165" s="140">
        <f>IFERROR(__xludf.DUMMYFUNCTION("""COMPUTED_VALUE"""),0.0)</f>
        <v>0</v>
      </c>
      <c r="F165" s="140">
        <f>IFERROR(__xludf.DUMMYFUNCTION("""COMPUTED_VALUE"""),0.0)</f>
        <v>0</v>
      </c>
      <c r="G165" s="140">
        <f>IFERROR(__xludf.DUMMYFUNCTION("""COMPUTED_VALUE"""),0.0)</f>
        <v>0</v>
      </c>
      <c r="H165" s="140">
        <f>IFERROR(__xludf.DUMMYFUNCTION("""COMPUTED_VALUE"""),0.0)</f>
        <v>0</v>
      </c>
      <c r="I165" s="140">
        <f>IFERROR(__xludf.DUMMYFUNCTION("""COMPUTED_VALUE"""),0.0)</f>
        <v>0</v>
      </c>
      <c r="J165" s="140">
        <f>IFERROR(__xludf.DUMMYFUNCTION("""COMPUTED_VALUE"""),0.0)</f>
        <v>0</v>
      </c>
      <c r="K165" s="140">
        <f>IFERROR(__xludf.DUMMYFUNCTION("""COMPUTED_VALUE"""),0.0)</f>
        <v>0</v>
      </c>
      <c r="L165" s="140">
        <f>IFERROR(__xludf.DUMMYFUNCTION("""COMPUTED_VALUE"""),0.0)</f>
        <v>0</v>
      </c>
      <c r="M165" s="140">
        <f>IFERROR(__xludf.DUMMYFUNCTION("""COMPUTED_VALUE"""),0.0)</f>
        <v>0</v>
      </c>
      <c r="N165" s="140">
        <f>IFERROR(__xludf.DUMMYFUNCTION("""COMPUTED_VALUE"""),0.0)</f>
        <v>0</v>
      </c>
      <c r="O165" s="140">
        <f>IFERROR(__xludf.DUMMYFUNCTION("""COMPUTED_VALUE"""),0.0)</f>
        <v>0</v>
      </c>
      <c r="AE165" s="87" t="str">
        <f t="shared" ref="AE165:AQ165" si="161">IFERROR((Q165-C165)/C165, "")</f>
        <v/>
      </c>
      <c r="AF165" s="87" t="str">
        <f t="shared" si="161"/>
        <v/>
      </c>
      <c r="AG165" s="87" t="str">
        <f t="shared" si="161"/>
        <v/>
      </c>
      <c r="AH165" s="87" t="str">
        <f t="shared" si="161"/>
        <v/>
      </c>
      <c r="AI165" s="87" t="str">
        <f t="shared" si="161"/>
        <v/>
      </c>
      <c r="AJ165" s="87" t="str">
        <f t="shared" si="161"/>
        <v/>
      </c>
      <c r="AK165" s="87" t="str">
        <f t="shared" si="161"/>
        <v/>
      </c>
      <c r="AL165" s="87" t="str">
        <f t="shared" si="161"/>
        <v/>
      </c>
      <c r="AM165" s="87" t="str">
        <f t="shared" si="161"/>
        <v/>
      </c>
      <c r="AN165" s="87" t="str">
        <f t="shared" si="161"/>
        <v/>
      </c>
      <c r="AO165" s="87" t="str">
        <f t="shared" si="161"/>
        <v/>
      </c>
      <c r="AP165" s="87" t="str">
        <f t="shared" si="161"/>
        <v/>
      </c>
      <c r="AQ165" s="87" t="str">
        <f t="shared" si="161"/>
        <v/>
      </c>
    </row>
    <row r="166">
      <c r="B166" s="167" t="s">
        <v>192</v>
      </c>
      <c r="C166" s="140">
        <f>IFERROR(__xludf.DUMMYFUNCTION("""COMPUTED_VALUE"""),0.05496242424242424)</f>
        <v>0.05496242424</v>
      </c>
      <c r="D166" s="140">
        <f>IFERROR(__xludf.DUMMYFUNCTION("""COMPUTED_VALUE"""),0.001066666666666667)</f>
        <v>0.001066666667</v>
      </c>
      <c r="E166" s="140">
        <f>IFERROR(__xludf.DUMMYFUNCTION("""COMPUTED_VALUE"""),8.484848484848485E-4)</f>
        <v>0.0008484848485</v>
      </c>
      <c r="F166" s="140">
        <f>IFERROR(__xludf.DUMMYFUNCTION("""COMPUTED_VALUE"""),0.0)</f>
        <v>0</v>
      </c>
      <c r="G166" s="140">
        <f>IFERROR(__xludf.DUMMYFUNCTION("""COMPUTED_VALUE"""),0.0011070707070707073)</f>
        <v>0.001107070707</v>
      </c>
      <c r="H166" s="140">
        <f>IFERROR(__xludf.DUMMYFUNCTION("""COMPUTED_VALUE"""),0.0010101010101010103)</f>
        <v>0.00101010101</v>
      </c>
      <c r="I166" s="140">
        <f>IFERROR(__xludf.DUMMYFUNCTION("""COMPUTED_VALUE"""),6.222222222222224E-4)</f>
        <v>0.0006222222222</v>
      </c>
      <c r="J166" s="140">
        <f>IFERROR(__xludf.DUMMYFUNCTION("""COMPUTED_VALUE"""),0.0)</f>
        <v>0</v>
      </c>
      <c r="K166" s="140">
        <f>IFERROR(__xludf.DUMMYFUNCTION("""COMPUTED_VALUE"""),0.0)</f>
        <v>0</v>
      </c>
      <c r="L166" s="140">
        <f>IFERROR(__xludf.DUMMYFUNCTION("""COMPUTED_VALUE"""),1.6969696969696966E-4)</f>
        <v>0.0001696969697</v>
      </c>
      <c r="M166" s="140">
        <f>IFERROR(__xludf.DUMMYFUNCTION("""COMPUTED_VALUE"""),0.1004121212121212)</f>
        <v>0.1004121212</v>
      </c>
      <c r="N166" s="140">
        <f>IFERROR(__xludf.DUMMYFUNCTION("""COMPUTED_VALUE"""),0.0)</f>
        <v>0</v>
      </c>
      <c r="O166" s="140">
        <f>IFERROR(__xludf.DUMMYFUNCTION("""COMPUTED_VALUE"""),0.0)</f>
        <v>0</v>
      </c>
      <c r="AE166" s="87">
        <f t="shared" ref="AE166:AQ166" si="162">IFERROR((Q166-C166)/C166, "")</f>
        <v>-1</v>
      </c>
      <c r="AF166" s="87">
        <f t="shared" si="162"/>
        <v>-1</v>
      </c>
      <c r="AG166" s="87">
        <f t="shared" si="162"/>
        <v>-1</v>
      </c>
      <c r="AH166" s="87" t="str">
        <f t="shared" si="162"/>
        <v/>
      </c>
      <c r="AI166" s="87">
        <f t="shared" si="162"/>
        <v>-1</v>
      </c>
      <c r="AJ166" s="87">
        <f t="shared" si="162"/>
        <v>-1</v>
      </c>
      <c r="AK166" s="87">
        <f t="shared" si="162"/>
        <v>-1</v>
      </c>
      <c r="AL166" s="87" t="str">
        <f t="shared" si="162"/>
        <v/>
      </c>
      <c r="AM166" s="87" t="str">
        <f t="shared" si="162"/>
        <v/>
      </c>
      <c r="AN166" s="87">
        <f t="shared" si="162"/>
        <v>-1</v>
      </c>
      <c r="AO166" s="87">
        <f t="shared" si="162"/>
        <v>-1</v>
      </c>
      <c r="AP166" s="87" t="str">
        <f t="shared" si="162"/>
        <v/>
      </c>
      <c r="AQ166" s="87" t="str">
        <f t="shared" si="162"/>
        <v/>
      </c>
    </row>
    <row r="167">
      <c r="B167" s="84" t="s">
        <v>194</v>
      </c>
      <c r="C167" s="85">
        <f>IFERROR(__xludf.DUMMYFUNCTION("""COMPUTED_VALUE"""),0.6410666666666668)</f>
        <v>0.6410666667</v>
      </c>
      <c r="D167" s="85">
        <f>IFERROR(__xludf.DUMMYFUNCTION("""COMPUTED_VALUE"""),0.004866666666666668)</f>
        <v>0.004866666667</v>
      </c>
      <c r="E167" s="85">
        <f>IFERROR(__xludf.DUMMYFUNCTION("""COMPUTED_VALUE"""),0.014546666666666668)</f>
        <v>0.01454666667</v>
      </c>
      <c r="F167" s="85">
        <f>IFERROR(__xludf.DUMMYFUNCTION("""COMPUTED_VALUE"""),0.005186666666666667)</f>
        <v>0.005186666667</v>
      </c>
      <c r="G167" s="85">
        <f>IFERROR(__xludf.DUMMYFUNCTION("""COMPUTED_VALUE"""),0.054173333333333344)</f>
        <v>0.05417333333</v>
      </c>
      <c r="H167" s="85">
        <f>IFERROR(__xludf.DUMMYFUNCTION("""COMPUTED_VALUE"""),0.06045333333333335)</f>
        <v>0.06045333333</v>
      </c>
      <c r="I167" s="85">
        <f>IFERROR(__xludf.DUMMYFUNCTION("""COMPUTED_VALUE"""),0.013720000000000006)</f>
        <v>0.01372</v>
      </c>
      <c r="J167" s="85">
        <f>IFERROR(__xludf.DUMMYFUNCTION("""COMPUTED_VALUE"""),0.6829999999999999)</f>
        <v>0.683</v>
      </c>
      <c r="K167" s="85">
        <f>IFERROR(__xludf.DUMMYFUNCTION("""COMPUTED_VALUE"""),1.4109600000000002)</f>
        <v>1.41096</v>
      </c>
      <c r="L167" s="85">
        <f>IFERROR(__xludf.DUMMYFUNCTION("""COMPUTED_VALUE"""),1.097733333333334)</f>
        <v>1.097733333</v>
      </c>
      <c r="M167" s="85">
        <f>IFERROR(__xludf.DUMMYFUNCTION("""COMPUTED_VALUE"""),2.2322266666666675)</f>
        <v>2.232226667</v>
      </c>
      <c r="N167" s="85">
        <f>IFERROR(__xludf.DUMMYFUNCTION("""COMPUTED_VALUE"""),3.2E-4)</f>
        <v>0.00032</v>
      </c>
      <c r="O167" s="85">
        <f>IFERROR(__xludf.DUMMYFUNCTION("""COMPUTED_VALUE"""),0.0)</f>
        <v>0</v>
      </c>
      <c r="AE167" s="87">
        <f t="shared" ref="AE167:AQ167" si="163">IFERROR((Q167-C167)/C167, "")</f>
        <v>-1</v>
      </c>
      <c r="AF167" s="87">
        <f t="shared" si="163"/>
        <v>-1</v>
      </c>
      <c r="AG167" s="87">
        <f t="shared" si="163"/>
        <v>-1</v>
      </c>
      <c r="AH167" s="87">
        <f t="shared" si="163"/>
        <v>-1</v>
      </c>
      <c r="AI167" s="87">
        <f t="shared" si="163"/>
        <v>-1</v>
      </c>
      <c r="AJ167" s="87">
        <f t="shared" si="163"/>
        <v>-1</v>
      </c>
      <c r="AK167" s="87">
        <f t="shared" si="163"/>
        <v>-1</v>
      </c>
      <c r="AL167" s="87">
        <f t="shared" si="163"/>
        <v>-1</v>
      </c>
      <c r="AM167" s="87">
        <f t="shared" si="163"/>
        <v>-1</v>
      </c>
      <c r="AN167" s="87">
        <f t="shared" si="163"/>
        <v>-1</v>
      </c>
      <c r="AO167" s="87">
        <f t="shared" si="163"/>
        <v>-1</v>
      </c>
      <c r="AP167" s="87">
        <f t="shared" si="163"/>
        <v>-1</v>
      </c>
      <c r="AQ167" s="87" t="str">
        <f t="shared" si="163"/>
        <v/>
      </c>
    </row>
    <row r="168">
      <c r="B168" s="84" t="s">
        <v>195</v>
      </c>
      <c r="C168" s="85">
        <f>IFERROR(__xludf.DUMMYFUNCTION("""COMPUTED_VALUE"""),0.24184000000000005)</f>
        <v>0.24184</v>
      </c>
      <c r="D168" s="85">
        <f>IFERROR(__xludf.DUMMYFUNCTION("""COMPUTED_VALUE"""),0.021500000000000002)</f>
        <v>0.0215</v>
      </c>
      <c r="E168" s="85">
        <f>IFERROR(__xludf.DUMMYFUNCTION("""COMPUTED_VALUE"""),0.010460000000000002)</f>
        <v>0.01046</v>
      </c>
      <c r="F168" s="85">
        <f>IFERROR(__xludf.DUMMYFUNCTION("""COMPUTED_VALUE"""),0.0015600000000000002)</f>
        <v>0.00156</v>
      </c>
      <c r="G168" s="85">
        <f>IFERROR(__xludf.DUMMYFUNCTION("""COMPUTED_VALUE"""),4.000000000000001E-5)</f>
        <v>0.00004</v>
      </c>
      <c r="H168" s="85">
        <f>IFERROR(__xludf.DUMMYFUNCTION("""COMPUTED_VALUE"""),0.0)</f>
        <v>0</v>
      </c>
      <c r="I168" s="85">
        <f>IFERROR(__xludf.DUMMYFUNCTION("""COMPUTED_VALUE"""),0.0)</f>
        <v>0</v>
      </c>
      <c r="J168" s="85">
        <f>IFERROR(__xludf.DUMMYFUNCTION("""COMPUTED_VALUE"""),0.0)</f>
        <v>0</v>
      </c>
      <c r="K168" s="85">
        <f>IFERROR(__xludf.DUMMYFUNCTION("""COMPUTED_VALUE"""),0.0)</f>
        <v>0</v>
      </c>
      <c r="L168" s="85">
        <f>IFERROR(__xludf.DUMMYFUNCTION("""COMPUTED_VALUE"""),0.0)</f>
        <v>0</v>
      </c>
      <c r="M168" s="85">
        <f>IFERROR(__xludf.DUMMYFUNCTION("""COMPUTED_VALUE"""),0.014720000000000004)</f>
        <v>0.01472</v>
      </c>
      <c r="N168" s="85">
        <f>IFERROR(__xludf.DUMMYFUNCTION("""COMPUTED_VALUE"""),2.4000000000000003E-4)</f>
        <v>0.00024</v>
      </c>
      <c r="O168" s="85">
        <f>IFERROR(__xludf.DUMMYFUNCTION("""COMPUTED_VALUE"""),0.0)</f>
        <v>0</v>
      </c>
      <c r="AE168" s="87">
        <f t="shared" ref="AE168:AQ168" si="164">IFERROR((Q168-C168)/C168, "")</f>
        <v>-1</v>
      </c>
      <c r="AF168" s="87">
        <f t="shared" si="164"/>
        <v>-1</v>
      </c>
      <c r="AG168" s="87">
        <f t="shared" si="164"/>
        <v>-1</v>
      </c>
      <c r="AH168" s="87">
        <f t="shared" si="164"/>
        <v>-1</v>
      </c>
      <c r="AI168" s="87">
        <f t="shared" si="164"/>
        <v>-1</v>
      </c>
      <c r="AJ168" s="87" t="str">
        <f t="shared" si="164"/>
        <v/>
      </c>
      <c r="AK168" s="87" t="str">
        <f t="shared" si="164"/>
        <v/>
      </c>
      <c r="AL168" s="87" t="str">
        <f t="shared" si="164"/>
        <v/>
      </c>
      <c r="AM168" s="87" t="str">
        <f t="shared" si="164"/>
        <v/>
      </c>
      <c r="AN168" s="87" t="str">
        <f t="shared" si="164"/>
        <v/>
      </c>
      <c r="AO168" s="87">
        <f t="shared" si="164"/>
        <v>-1</v>
      </c>
      <c r="AP168" s="87">
        <f t="shared" si="164"/>
        <v>-1</v>
      </c>
      <c r="AQ168" s="87" t="str">
        <f t="shared" si="164"/>
        <v/>
      </c>
    </row>
    <row r="169">
      <c r="B169" s="84" t="s">
        <v>199</v>
      </c>
      <c r="C169" s="85">
        <f>IFERROR(__xludf.DUMMYFUNCTION("""COMPUTED_VALUE"""),2.85448)</f>
        <v>2.85448</v>
      </c>
      <c r="D169" s="85">
        <f>IFERROR(__xludf.DUMMYFUNCTION("""COMPUTED_VALUE"""),0.05832000000000001)</f>
        <v>0.05832</v>
      </c>
      <c r="E169" s="85">
        <f>IFERROR(__xludf.DUMMYFUNCTION("""COMPUTED_VALUE"""),0.03126)</f>
        <v>0.03126</v>
      </c>
      <c r="F169" s="85">
        <f>IFERROR(__xludf.DUMMYFUNCTION("""COMPUTED_VALUE"""),0.021900000000000003)</f>
        <v>0.0219</v>
      </c>
      <c r="G169" s="85">
        <f>IFERROR(__xludf.DUMMYFUNCTION("""COMPUTED_VALUE"""),0.0)</f>
        <v>0</v>
      </c>
      <c r="H169" s="85">
        <f>IFERROR(__xludf.DUMMYFUNCTION("""COMPUTED_VALUE"""),0.0)</f>
        <v>0</v>
      </c>
      <c r="I169" s="85">
        <f>IFERROR(__xludf.DUMMYFUNCTION("""COMPUTED_VALUE"""),0.0)</f>
        <v>0</v>
      </c>
      <c r="J169" s="85">
        <f>IFERROR(__xludf.DUMMYFUNCTION("""COMPUTED_VALUE"""),0.0)</f>
        <v>0</v>
      </c>
      <c r="K169" s="85">
        <f>IFERROR(__xludf.DUMMYFUNCTION("""COMPUTED_VALUE"""),0.0)</f>
        <v>0</v>
      </c>
      <c r="L169" s="85">
        <f>IFERROR(__xludf.DUMMYFUNCTION("""COMPUTED_VALUE"""),0.0)</f>
        <v>0</v>
      </c>
      <c r="M169" s="85">
        <f>IFERROR(__xludf.DUMMYFUNCTION("""COMPUTED_VALUE"""),0.0)</f>
        <v>0</v>
      </c>
      <c r="N169" s="85">
        <f>IFERROR(__xludf.DUMMYFUNCTION("""COMPUTED_VALUE"""),0.0)</f>
        <v>0</v>
      </c>
      <c r="O169" s="85">
        <f>IFERROR(__xludf.DUMMYFUNCTION("""COMPUTED_VALUE"""),0.0)</f>
        <v>0</v>
      </c>
      <c r="AE169" s="87">
        <f t="shared" ref="AE169:AQ169" si="165">IFERROR((Q169-C169)/C169, "")</f>
        <v>-1</v>
      </c>
      <c r="AF169" s="87">
        <f t="shared" si="165"/>
        <v>-1</v>
      </c>
      <c r="AG169" s="87">
        <f t="shared" si="165"/>
        <v>-1</v>
      </c>
      <c r="AH169" s="87">
        <f t="shared" si="165"/>
        <v>-1</v>
      </c>
      <c r="AI169" s="87" t="str">
        <f t="shared" si="165"/>
        <v/>
      </c>
      <c r="AJ169" s="87" t="str">
        <f t="shared" si="165"/>
        <v/>
      </c>
      <c r="AK169" s="87" t="str">
        <f t="shared" si="165"/>
        <v/>
      </c>
      <c r="AL169" s="87" t="str">
        <f t="shared" si="165"/>
        <v/>
      </c>
      <c r="AM169" s="87" t="str">
        <f t="shared" si="165"/>
        <v/>
      </c>
      <c r="AN169" s="87" t="str">
        <f t="shared" si="165"/>
        <v/>
      </c>
      <c r="AO169" s="87" t="str">
        <f t="shared" si="165"/>
        <v/>
      </c>
      <c r="AP169" s="87" t="str">
        <f t="shared" si="165"/>
        <v/>
      </c>
      <c r="AQ169" s="87" t="str">
        <f t="shared" si="165"/>
        <v/>
      </c>
    </row>
    <row r="170">
      <c r="B170" s="84" t="s">
        <v>201</v>
      </c>
      <c r="C170" s="85">
        <f>IFERROR(__xludf.DUMMYFUNCTION("""COMPUTED_VALUE"""),3.7928600000000006)</f>
        <v>3.79286</v>
      </c>
      <c r="D170" s="85">
        <f>IFERROR(__xludf.DUMMYFUNCTION("""COMPUTED_VALUE"""),0.04814)</f>
        <v>0.04814</v>
      </c>
      <c r="E170" s="85">
        <f>IFERROR(__xludf.DUMMYFUNCTION("""COMPUTED_VALUE"""),0.07022)</f>
        <v>0.07022</v>
      </c>
      <c r="F170" s="85">
        <f>IFERROR(__xludf.DUMMYFUNCTION("""COMPUTED_VALUE"""),0.16848000000000002)</f>
        <v>0.16848</v>
      </c>
      <c r="G170" s="85">
        <f>IFERROR(__xludf.DUMMYFUNCTION("""COMPUTED_VALUE"""),0.015300000000000001)</f>
        <v>0.0153</v>
      </c>
      <c r="H170" s="85">
        <f>IFERROR(__xludf.DUMMYFUNCTION("""COMPUTED_VALUE"""),0.024620000000000003)</f>
        <v>0.02462</v>
      </c>
      <c r="I170" s="85">
        <f>IFERROR(__xludf.DUMMYFUNCTION("""COMPUTED_VALUE"""),0.0609)</f>
        <v>0.0609</v>
      </c>
      <c r="J170" s="85">
        <f>IFERROR(__xludf.DUMMYFUNCTION("""COMPUTED_VALUE"""),7.8E-4)</f>
        <v>0.00078</v>
      </c>
      <c r="K170" s="85">
        <f>IFERROR(__xludf.DUMMYFUNCTION("""COMPUTED_VALUE"""),0.0)</f>
        <v>0</v>
      </c>
      <c r="L170" s="85">
        <f>IFERROR(__xludf.DUMMYFUNCTION("""COMPUTED_VALUE"""),0.0)</f>
        <v>0</v>
      </c>
      <c r="M170" s="85">
        <f>IFERROR(__xludf.DUMMYFUNCTION("""COMPUTED_VALUE"""),1.8E-4)</f>
        <v>0.00018</v>
      </c>
      <c r="N170" s="85">
        <f>IFERROR(__xludf.DUMMYFUNCTION("""COMPUTED_VALUE"""),0.0)</f>
        <v>0</v>
      </c>
      <c r="O170" s="85">
        <f>IFERROR(__xludf.DUMMYFUNCTION("""COMPUTED_VALUE"""),0.0)</f>
        <v>0</v>
      </c>
      <c r="AE170" s="87">
        <f t="shared" ref="AE170:AQ170" si="166">IFERROR((Q170-C170)/C170, "")</f>
        <v>-1</v>
      </c>
      <c r="AF170" s="87">
        <f t="shared" si="166"/>
        <v>-1</v>
      </c>
      <c r="AG170" s="87">
        <f t="shared" si="166"/>
        <v>-1</v>
      </c>
      <c r="AH170" s="87">
        <f t="shared" si="166"/>
        <v>-1</v>
      </c>
      <c r="AI170" s="87">
        <f t="shared" si="166"/>
        <v>-1</v>
      </c>
      <c r="AJ170" s="87">
        <f t="shared" si="166"/>
        <v>-1</v>
      </c>
      <c r="AK170" s="87">
        <f t="shared" si="166"/>
        <v>-1</v>
      </c>
      <c r="AL170" s="87">
        <f t="shared" si="166"/>
        <v>-1</v>
      </c>
      <c r="AM170" s="87" t="str">
        <f t="shared" si="166"/>
        <v/>
      </c>
      <c r="AN170" s="87" t="str">
        <f t="shared" si="166"/>
        <v/>
      </c>
      <c r="AO170" s="87">
        <f t="shared" si="166"/>
        <v>-1</v>
      </c>
      <c r="AP170" s="87" t="str">
        <f t="shared" si="166"/>
        <v/>
      </c>
      <c r="AQ170" s="87" t="str">
        <f t="shared" si="166"/>
        <v/>
      </c>
    </row>
    <row r="171">
      <c r="B171" s="84" t="s">
        <v>204</v>
      </c>
      <c r="C171" s="85">
        <f>IFERROR(__xludf.DUMMYFUNCTION("""COMPUTED_VALUE"""),0.2784400000000001)</f>
        <v>0.27844</v>
      </c>
      <c r="D171" s="85">
        <f>IFERROR(__xludf.DUMMYFUNCTION("""COMPUTED_VALUE"""),0.0026000000000000007)</f>
        <v>0.0026</v>
      </c>
      <c r="E171" s="85">
        <f>IFERROR(__xludf.DUMMYFUNCTION("""COMPUTED_VALUE"""),0.0032200000000000006)</f>
        <v>0.00322</v>
      </c>
      <c r="F171" s="85">
        <f>IFERROR(__xludf.DUMMYFUNCTION("""COMPUTED_VALUE"""),0.004480000000000001)</f>
        <v>0.00448</v>
      </c>
      <c r="G171" s="85">
        <f>IFERROR(__xludf.DUMMYFUNCTION("""COMPUTED_VALUE"""),5.400000000000001E-4)</f>
        <v>0.00054</v>
      </c>
      <c r="H171" s="85">
        <f>IFERROR(__xludf.DUMMYFUNCTION("""COMPUTED_VALUE"""),0.0013000000000000004)</f>
        <v>0.0013</v>
      </c>
      <c r="I171" s="85">
        <f>IFERROR(__xludf.DUMMYFUNCTION("""COMPUTED_VALUE"""),0.0029200000000000007)</f>
        <v>0.00292</v>
      </c>
      <c r="J171" s="85">
        <f>IFERROR(__xludf.DUMMYFUNCTION("""COMPUTED_VALUE"""),0.0)</f>
        <v>0</v>
      </c>
      <c r="K171" s="85">
        <f>IFERROR(__xludf.DUMMYFUNCTION("""COMPUTED_VALUE"""),0.0)</f>
        <v>0</v>
      </c>
      <c r="L171" s="85">
        <f>IFERROR(__xludf.DUMMYFUNCTION("""COMPUTED_VALUE"""),0.0)</f>
        <v>0</v>
      </c>
      <c r="M171" s="85">
        <f>IFERROR(__xludf.DUMMYFUNCTION("""COMPUTED_VALUE"""),0.03350000000000001)</f>
        <v>0.0335</v>
      </c>
      <c r="N171" s="85">
        <f>IFERROR(__xludf.DUMMYFUNCTION("""COMPUTED_VALUE"""),0.8591200000000003)</f>
        <v>0.85912</v>
      </c>
      <c r="O171" s="85">
        <f>IFERROR(__xludf.DUMMYFUNCTION("""COMPUTED_VALUE"""),0.0)</f>
        <v>0</v>
      </c>
      <c r="AE171" s="87">
        <f t="shared" ref="AE171:AQ171" si="167">IFERROR((Q171-C171)/C171, "")</f>
        <v>-1</v>
      </c>
      <c r="AF171" s="87">
        <f t="shared" si="167"/>
        <v>-1</v>
      </c>
      <c r="AG171" s="87">
        <f t="shared" si="167"/>
        <v>-1</v>
      </c>
      <c r="AH171" s="87">
        <f t="shared" si="167"/>
        <v>-1</v>
      </c>
      <c r="AI171" s="87">
        <f t="shared" si="167"/>
        <v>-1</v>
      </c>
      <c r="AJ171" s="87">
        <f t="shared" si="167"/>
        <v>-1</v>
      </c>
      <c r="AK171" s="87">
        <f t="shared" si="167"/>
        <v>-1</v>
      </c>
      <c r="AL171" s="87" t="str">
        <f t="shared" si="167"/>
        <v/>
      </c>
      <c r="AM171" s="87" t="str">
        <f t="shared" si="167"/>
        <v/>
      </c>
      <c r="AN171" s="87" t="str">
        <f t="shared" si="167"/>
        <v/>
      </c>
      <c r="AO171" s="87">
        <f t="shared" si="167"/>
        <v>-1</v>
      </c>
      <c r="AP171" s="87">
        <f t="shared" si="167"/>
        <v>-1</v>
      </c>
      <c r="AQ171" s="87" t="str">
        <f t="shared" si="167"/>
        <v/>
      </c>
    </row>
    <row r="172">
      <c r="B172" s="84" t="s">
        <v>205</v>
      </c>
      <c r="C172" s="85">
        <f>IFERROR(__xludf.DUMMYFUNCTION("""COMPUTED_VALUE"""),0.001624242424242424)</f>
        <v>0.001624242424</v>
      </c>
      <c r="D172" s="85">
        <f>IFERROR(__xludf.DUMMYFUNCTION("""COMPUTED_VALUE"""),0.0)</f>
        <v>0</v>
      </c>
      <c r="E172" s="85">
        <f>IFERROR(__xludf.DUMMYFUNCTION("""COMPUTED_VALUE"""),0.0)</f>
        <v>0</v>
      </c>
      <c r="F172" s="85">
        <f>IFERROR(__xludf.DUMMYFUNCTION("""COMPUTED_VALUE"""),9.696969696969696E-5)</f>
        <v>0.00009696969697</v>
      </c>
      <c r="G172" s="85">
        <f>IFERROR(__xludf.DUMMYFUNCTION("""COMPUTED_VALUE"""),0.0)</f>
        <v>0</v>
      </c>
      <c r="H172" s="85">
        <f>IFERROR(__xludf.DUMMYFUNCTION("""COMPUTED_VALUE"""),4.848484848484848E-5)</f>
        <v>0.00004848484848</v>
      </c>
      <c r="I172" s="85">
        <f>IFERROR(__xludf.DUMMYFUNCTION("""COMPUTED_VALUE"""),7.272727272727271E-5)</f>
        <v>0.00007272727273</v>
      </c>
      <c r="J172" s="85">
        <f>IFERROR(__xludf.DUMMYFUNCTION("""COMPUTED_VALUE"""),0.001406060606060606)</f>
        <v>0.001406060606</v>
      </c>
      <c r="K172" s="85">
        <f>IFERROR(__xludf.DUMMYFUNCTION("""COMPUTED_VALUE"""),0.0)</f>
        <v>0</v>
      </c>
      <c r="L172" s="85">
        <f>IFERROR(__xludf.DUMMYFUNCTION("""COMPUTED_VALUE"""),1.212121212121212E-4)</f>
        <v>0.0001212121212</v>
      </c>
      <c r="M172" s="85">
        <f>IFERROR(__xludf.DUMMYFUNCTION("""COMPUTED_VALUE"""),1.6969696969696966E-4)</f>
        <v>0.0001696969697</v>
      </c>
      <c r="N172" s="85">
        <f>IFERROR(__xludf.DUMMYFUNCTION("""COMPUTED_VALUE"""),0.0)</f>
        <v>0</v>
      </c>
      <c r="O172" s="85">
        <f>IFERROR(__xludf.DUMMYFUNCTION("""COMPUTED_VALUE"""),0.0)</f>
        <v>0</v>
      </c>
      <c r="AE172" s="87">
        <f t="shared" ref="AE172:AQ172" si="168">IFERROR((Q172-C172)/C172, "")</f>
        <v>-1</v>
      </c>
      <c r="AF172" s="87" t="str">
        <f t="shared" si="168"/>
        <v/>
      </c>
      <c r="AG172" s="87" t="str">
        <f t="shared" si="168"/>
        <v/>
      </c>
      <c r="AH172" s="87">
        <f t="shared" si="168"/>
        <v>-1</v>
      </c>
      <c r="AI172" s="87" t="str">
        <f t="shared" si="168"/>
        <v/>
      </c>
      <c r="AJ172" s="87">
        <f t="shared" si="168"/>
        <v>-1</v>
      </c>
      <c r="AK172" s="87">
        <f t="shared" si="168"/>
        <v>-1</v>
      </c>
      <c r="AL172" s="87">
        <f t="shared" si="168"/>
        <v>-1</v>
      </c>
      <c r="AM172" s="87" t="str">
        <f t="shared" si="168"/>
        <v/>
      </c>
      <c r="AN172" s="87">
        <f t="shared" si="168"/>
        <v>-1</v>
      </c>
      <c r="AO172" s="87">
        <f t="shared" si="168"/>
        <v>-1</v>
      </c>
      <c r="AP172" s="87" t="str">
        <f t="shared" si="168"/>
        <v/>
      </c>
      <c r="AQ172" s="87" t="str">
        <f t="shared" si="168"/>
        <v/>
      </c>
    </row>
    <row r="173">
      <c r="B173" s="84" t="s">
        <v>207</v>
      </c>
      <c r="C173" s="85">
        <f>IFERROR(__xludf.DUMMYFUNCTION("""COMPUTED_VALUE"""),0.0)</f>
        <v>0</v>
      </c>
      <c r="D173" s="85">
        <f>IFERROR(__xludf.DUMMYFUNCTION("""COMPUTED_VALUE"""),0.0)</f>
        <v>0</v>
      </c>
      <c r="E173" s="85">
        <f>IFERROR(__xludf.DUMMYFUNCTION("""COMPUTED_VALUE"""),0.0)</f>
        <v>0</v>
      </c>
      <c r="F173" s="85">
        <f>IFERROR(__xludf.DUMMYFUNCTION("""COMPUTED_VALUE"""),0.0)</f>
        <v>0</v>
      </c>
      <c r="G173" s="85">
        <f>IFERROR(__xludf.DUMMYFUNCTION("""COMPUTED_VALUE"""),0.0)</f>
        <v>0</v>
      </c>
      <c r="H173" s="85">
        <f>IFERROR(__xludf.DUMMYFUNCTION("""COMPUTED_VALUE"""),0.0)</f>
        <v>0</v>
      </c>
      <c r="I173" s="85">
        <f>IFERROR(__xludf.DUMMYFUNCTION("""COMPUTED_VALUE"""),0.0)</f>
        <v>0</v>
      </c>
      <c r="J173" s="85">
        <f>IFERROR(__xludf.DUMMYFUNCTION("""COMPUTED_VALUE"""),0.0)</f>
        <v>0</v>
      </c>
      <c r="K173" s="85">
        <f>IFERROR(__xludf.DUMMYFUNCTION("""COMPUTED_VALUE"""),0.0)</f>
        <v>0</v>
      </c>
      <c r="L173" s="85">
        <f>IFERROR(__xludf.DUMMYFUNCTION("""COMPUTED_VALUE"""),0.0)</f>
        <v>0</v>
      </c>
      <c r="M173" s="85">
        <f>IFERROR(__xludf.DUMMYFUNCTION("""COMPUTED_VALUE"""),0.0)</f>
        <v>0</v>
      </c>
      <c r="N173" s="85">
        <f>IFERROR(__xludf.DUMMYFUNCTION("""COMPUTED_VALUE"""),0.0)</f>
        <v>0</v>
      </c>
      <c r="O173" s="85">
        <f>IFERROR(__xludf.DUMMYFUNCTION("""COMPUTED_VALUE"""),0.0)</f>
        <v>0</v>
      </c>
      <c r="AE173" s="87" t="str">
        <f t="shared" ref="AE173:AQ173" si="169">IFERROR((Q173-C173)/C173, "")</f>
        <v/>
      </c>
      <c r="AF173" s="87" t="str">
        <f t="shared" si="169"/>
        <v/>
      </c>
      <c r="AG173" s="87" t="str">
        <f t="shared" si="169"/>
        <v/>
      </c>
      <c r="AH173" s="87" t="str">
        <f t="shared" si="169"/>
        <v/>
      </c>
      <c r="AI173" s="87" t="str">
        <f t="shared" si="169"/>
        <v/>
      </c>
      <c r="AJ173" s="87" t="str">
        <f t="shared" si="169"/>
        <v/>
      </c>
      <c r="AK173" s="87" t="str">
        <f t="shared" si="169"/>
        <v/>
      </c>
      <c r="AL173" s="87" t="str">
        <f t="shared" si="169"/>
        <v/>
      </c>
      <c r="AM173" s="87" t="str">
        <f t="shared" si="169"/>
        <v/>
      </c>
      <c r="AN173" s="87" t="str">
        <f t="shared" si="169"/>
        <v/>
      </c>
      <c r="AO173" s="87" t="str">
        <f t="shared" si="169"/>
        <v/>
      </c>
      <c r="AP173" s="87" t="str">
        <f t="shared" si="169"/>
        <v/>
      </c>
      <c r="AQ173" s="87" t="str">
        <f t="shared" si="169"/>
        <v/>
      </c>
    </row>
    <row r="174">
      <c r="B174" s="84" t="s">
        <v>208</v>
      </c>
      <c r="C174" s="85">
        <f>IFERROR(__xludf.DUMMYFUNCTION("""COMPUTED_VALUE"""),0.0)</f>
        <v>0</v>
      </c>
      <c r="D174" s="85">
        <f>IFERROR(__xludf.DUMMYFUNCTION("""COMPUTED_VALUE"""),0.0)</f>
        <v>0</v>
      </c>
      <c r="E174" s="85">
        <f>IFERROR(__xludf.DUMMYFUNCTION("""COMPUTED_VALUE"""),0.0)</f>
        <v>0</v>
      </c>
      <c r="F174" s="85">
        <f>IFERROR(__xludf.DUMMYFUNCTION("""COMPUTED_VALUE"""),0.0)</f>
        <v>0</v>
      </c>
      <c r="G174" s="85">
        <f>IFERROR(__xludf.DUMMYFUNCTION("""COMPUTED_VALUE"""),0.0)</f>
        <v>0</v>
      </c>
      <c r="H174" s="85">
        <f>IFERROR(__xludf.DUMMYFUNCTION("""COMPUTED_VALUE"""),0.0)</f>
        <v>0</v>
      </c>
      <c r="I174" s="85">
        <f>IFERROR(__xludf.DUMMYFUNCTION("""COMPUTED_VALUE"""),0.0)</f>
        <v>0</v>
      </c>
      <c r="J174" s="85">
        <f>IFERROR(__xludf.DUMMYFUNCTION("""COMPUTED_VALUE"""),0.0)</f>
        <v>0</v>
      </c>
      <c r="K174" s="85">
        <f>IFERROR(__xludf.DUMMYFUNCTION("""COMPUTED_VALUE"""),0.0)</f>
        <v>0</v>
      </c>
      <c r="L174" s="85">
        <f>IFERROR(__xludf.DUMMYFUNCTION("""COMPUTED_VALUE"""),0.0)</f>
        <v>0</v>
      </c>
      <c r="M174" s="85">
        <f>IFERROR(__xludf.DUMMYFUNCTION("""COMPUTED_VALUE"""),0.0)</f>
        <v>0</v>
      </c>
      <c r="N174" s="85">
        <f>IFERROR(__xludf.DUMMYFUNCTION("""COMPUTED_VALUE"""),0.0)</f>
        <v>0</v>
      </c>
      <c r="O174" s="85">
        <f>IFERROR(__xludf.DUMMYFUNCTION("""COMPUTED_VALUE"""),0.0)</f>
        <v>0</v>
      </c>
      <c r="AE174" s="87" t="str">
        <f t="shared" ref="AE174:AQ174" si="170">IFERROR((Q174-C174)/C174, "")</f>
        <v/>
      </c>
      <c r="AF174" s="87" t="str">
        <f t="shared" si="170"/>
        <v/>
      </c>
      <c r="AG174" s="87" t="str">
        <f t="shared" si="170"/>
        <v/>
      </c>
      <c r="AH174" s="87" t="str">
        <f t="shared" si="170"/>
        <v/>
      </c>
      <c r="AI174" s="87" t="str">
        <f t="shared" si="170"/>
        <v/>
      </c>
      <c r="AJ174" s="87" t="str">
        <f t="shared" si="170"/>
        <v/>
      </c>
      <c r="AK174" s="87" t="str">
        <f t="shared" si="170"/>
        <v/>
      </c>
      <c r="AL174" s="87" t="str">
        <f t="shared" si="170"/>
        <v/>
      </c>
      <c r="AM174" s="87" t="str">
        <f t="shared" si="170"/>
        <v/>
      </c>
      <c r="AN174" s="87" t="str">
        <f t="shared" si="170"/>
        <v/>
      </c>
      <c r="AO174" s="87" t="str">
        <f t="shared" si="170"/>
        <v/>
      </c>
      <c r="AP174" s="87" t="str">
        <f t="shared" si="170"/>
        <v/>
      </c>
      <c r="AQ174" s="87" t="str">
        <f t="shared" si="170"/>
        <v/>
      </c>
    </row>
    <row r="175"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</row>
    <row r="176"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</row>
    <row r="177"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4.0"/>
    <col customWidth="1" min="2" max="2" width="42.0"/>
    <col customWidth="1" min="3" max="7" width="34.29"/>
    <col customWidth="1" min="8" max="8" width="8.71"/>
    <col customWidth="1" min="9" max="9" width="4.0"/>
    <col customWidth="1" min="10" max="26" width="8.71"/>
  </cols>
  <sheetData>
    <row r="1">
      <c r="A1" s="93" t="s">
        <v>140</v>
      </c>
    </row>
    <row r="3">
      <c r="A3" s="94" t="s">
        <v>141</v>
      </c>
      <c r="B3" s="94" t="s">
        <v>3</v>
      </c>
      <c r="C3" s="95" t="s">
        <v>142</v>
      </c>
      <c r="D3" s="95" t="s">
        <v>143</v>
      </c>
      <c r="E3" s="95" t="s">
        <v>145</v>
      </c>
      <c r="F3" s="95" t="s">
        <v>139</v>
      </c>
      <c r="G3" s="95" t="s">
        <v>146</v>
      </c>
    </row>
    <row r="4">
      <c r="A4" s="96"/>
      <c r="B4" s="97"/>
      <c r="C4" s="98" t="s">
        <v>147</v>
      </c>
      <c r="D4" s="98" t="s">
        <v>148</v>
      </c>
      <c r="E4" s="98" t="s">
        <v>149</v>
      </c>
      <c r="F4" s="98" t="s">
        <v>150</v>
      </c>
      <c r="G4" s="98" t="s">
        <v>151</v>
      </c>
    </row>
    <row r="5">
      <c r="A5" s="4" t="s">
        <v>152</v>
      </c>
      <c r="B5" s="99"/>
      <c r="C5" s="99"/>
      <c r="D5" s="99"/>
      <c r="E5" s="99"/>
      <c r="F5" s="99"/>
      <c r="G5" s="99"/>
    </row>
    <row r="6">
      <c r="A6" s="100"/>
      <c r="B6" s="102" t="s">
        <v>153</v>
      </c>
      <c r="C6" s="103">
        <v>2.0</v>
      </c>
      <c r="D6" s="103">
        <v>6.0</v>
      </c>
      <c r="E6" s="103">
        <v>11.0</v>
      </c>
      <c r="F6" s="103">
        <v>28.0</v>
      </c>
      <c r="G6" s="103">
        <v>80.0</v>
      </c>
      <c r="I6" s="104"/>
    </row>
    <row r="7">
      <c r="A7" s="100"/>
      <c r="B7" s="102" t="s">
        <v>154</v>
      </c>
      <c r="C7" s="103">
        <v>5.0</v>
      </c>
      <c r="D7" s="103">
        <v>13.0</v>
      </c>
      <c r="E7" s="103">
        <v>26.0</v>
      </c>
      <c r="F7" s="103">
        <v>60.0</v>
      </c>
      <c r="G7" s="103">
        <v>175.0</v>
      </c>
    </row>
    <row r="8">
      <c r="A8" s="100"/>
      <c r="B8" s="102" t="s">
        <v>155</v>
      </c>
      <c r="C8" s="105">
        <v>10.0</v>
      </c>
      <c r="D8" s="105">
        <v>26.0</v>
      </c>
      <c r="E8" s="105">
        <v>42.0</v>
      </c>
      <c r="F8" s="105">
        <v>100.0</v>
      </c>
      <c r="G8" s="105">
        <v>280.0</v>
      </c>
    </row>
    <row r="9">
      <c r="A9" s="100"/>
      <c r="B9" s="102" t="s">
        <v>157</v>
      </c>
      <c r="C9" s="106">
        <v>0.0</v>
      </c>
      <c r="D9" s="106">
        <v>10.0</v>
      </c>
      <c r="E9" s="106">
        <v>15.0</v>
      </c>
      <c r="F9" s="106">
        <v>50.0</v>
      </c>
      <c r="G9" s="106">
        <v>100.0</v>
      </c>
      <c r="I9" s="104"/>
    </row>
    <row r="10">
      <c r="A10" s="100"/>
      <c r="B10" s="102" t="s">
        <v>158</v>
      </c>
      <c r="C10" s="103">
        <v>10.0</v>
      </c>
      <c r="D10" s="103">
        <v>30.0</v>
      </c>
      <c r="E10" s="103">
        <v>50.0</v>
      </c>
      <c r="F10" s="103">
        <v>120.0</v>
      </c>
      <c r="G10" s="103">
        <v>300.0</v>
      </c>
    </row>
    <row r="11">
      <c r="A11" s="100"/>
      <c r="B11" s="102" t="s">
        <v>159</v>
      </c>
      <c r="C11" s="105">
        <v>15.0</v>
      </c>
      <c r="D11" s="105">
        <v>60.0</v>
      </c>
      <c r="E11" s="105">
        <v>100.0</v>
      </c>
      <c r="F11" s="105">
        <v>250.0</v>
      </c>
      <c r="G11" s="105">
        <v>400.0</v>
      </c>
    </row>
    <row r="12">
      <c r="A12" s="100"/>
      <c r="B12" s="108" t="s">
        <v>161</v>
      </c>
      <c r="C12" s="109">
        <v>0.0</v>
      </c>
      <c r="D12" s="111">
        <v>10.0</v>
      </c>
      <c r="E12" s="111">
        <v>15.0</v>
      </c>
      <c r="F12" s="114">
        <v>60.0</v>
      </c>
      <c r="G12" s="114">
        <v>125.0</v>
      </c>
    </row>
    <row r="13">
      <c r="A13" s="100"/>
      <c r="B13" s="108" t="s">
        <v>163</v>
      </c>
      <c r="C13" s="115">
        <v>10.0</v>
      </c>
      <c r="D13" s="116">
        <v>35.0</v>
      </c>
      <c r="E13" s="116">
        <v>75.0</v>
      </c>
      <c r="F13" s="116">
        <v>160.0</v>
      </c>
      <c r="G13" s="116">
        <v>350.0</v>
      </c>
    </row>
    <row r="14">
      <c r="A14" s="100"/>
      <c r="B14" s="108" t="s">
        <v>165</v>
      </c>
      <c r="C14" s="117">
        <v>15.0</v>
      </c>
      <c r="D14" s="118">
        <v>70.0</v>
      </c>
      <c r="E14" s="118">
        <v>140.0</v>
      </c>
      <c r="F14" s="118">
        <v>300.0</v>
      </c>
      <c r="G14" s="118">
        <v>500.0</v>
      </c>
    </row>
    <row r="15">
      <c r="A15" s="119"/>
      <c r="B15" s="120" t="s">
        <v>167</v>
      </c>
      <c r="C15" s="121">
        <f t="shared" ref="C15:G15" si="1">if(C12-C9&gt;0, "+"&amp;C12-C9, C12-C9)</f>
        <v>0</v>
      </c>
      <c r="D15" s="121">
        <f t="shared" si="1"/>
        <v>0</v>
      </c>
      <c r="E15" s="121">
        <f t="shared" si="1"/>
        <v>0</v>
      </c>
      <c r="F15" s="122" t="str">
        <f t="shared" si="1"/>
        <v>+10</v>
      </c>
      <c r="G15" s="122" t="str">
        <f t="shared" si="1"/>
        <v>+25</v>
      </c>
    </row>
    <row r="16">
      <c r="A16" s="119"/>
      <c r="B16" s="120" t="s">
        <v>169</v>
      </c>
      <c r="C16" s="40">
        <f t="shared" ref="C16:G16" si="2">if(C13-C10&gt;0, "+"&amp;C13-C10, C13-C10)</f>
        <v>0</v>
      </c>
      <c r="D16" s="40" t="str">
        <f t="shared" si="2"/>
        <v>+5</v>
      </c>
      <c r="E16" s="40" t="str">
        <f t="shared" si="2"/>
        <v>+25</v>
      </c>
      <c r="F16" s="40" t="str">
        <f t="shared" si="2"/>
        <v>+40</v>
      </c>
      <c r="G16" s="40" t="str">
        <f t="shared" si="2"/>
        <v>+50</v>
      </c>
    </row>
    <row r="17">
      <c r="A17" s="119"/>
      <c r="B17" s="120" t="s">
        <v>171</v>
      </c>
      <c r="C17" s="40">
        <f t="shared" ref="C17:G17" si="3">if(C14-C11&gt;0, "+"&amp;C14-C11, C14-C11)</f>
        <v>0</v>
      </c>
      <c r="D17" s="40" t="str">
        <f t="shared" si="3"/>
        <v>+10</v>
      </c>
      <c r="E17" s="40" t="str">
        <f t="shared" si="3"/>
        <v>+40</v>
      </c>
      <c r="F17" s="40" t="str">
        <f t="shared" si="3"/>
        <v>+50</v>
      </c>
      <c r="G17" s="40" t="str">
        <f t="shared" si="3"/>
        <v>+100</v>
      </c>
    </row>
    <row r="18">
      <c r="A18" s="69" t="s">
        <v>172</v>
      </c>
      <c r="B18" s="99"/>
      <c r="C18" s="123"/>
      <c r="D18" s="123"/>
      <c r="E18" s="123"/>
      <c r="F18" s="123"/>
      <c r="G18" s="123"/>
    </row>
    <row r="19">
      <c r="A19" s="10"/>
      <c r="B19" s="10" t="s">
        <v>173</v>
      </c>
      <c r="C19" s="40">
        <f>IFERROR(SUMPRODUCT((Raw_Data_Daily!$B$2:$B$9999="Variant")*(Raw_Data_Daily!$C$2:$C$9999=C$4)*Raw_Data_Daily!$D$2:$D$9999*Raw_Data_Daily!$AI$2:$AI$9999)/SUMIFS(Raw_Data_Daily!$D:$D, Raw_Data_Daily!$B:$B, "Variant", Raw_Data_Daily!$C:$C, C$4),"")</f>
        <v>74.82814746</v>
      </c>
      <c r="D19" s="40">
        <f>IFERROR(SUMPRODUCT((Raw_Data_Daily!$B$2:$B$9999="Variant")*(Raw_Data_Daily!$C$2:$C$9999=D$4)*Raw_Data_Daily!$D$2:$D$9999*Raw_Data_Daily!$AI$2:$AI$9999)/SUMIFS(Raw_Data_Daily!$D:$D, Raw_Data_Daily!$B:$B, "Variant", Raw_Data_Daily!$C:$C, D$4),"")</f>
        <v>65.04197912</v>
      </c>
      <c r="E19" s="40">
        <f>IFERROR(SUMPRODUCT((Raw_Data_Daily!$B$2:$B$9999="Variant")*(Raw_Data_Daily!$C$2:$C$9999=E$4)*Raw_Data_Daily!$D$2:$D$9999*Raw_Data_Daily!$AI$2:$AI$9999)/SUMIFS(Raw_Data_Daily!$D:$D, Raw_Data_Daily!$B:$B, "Variant", Raw_Data_Daily!$C:$C, E$4),"")</f>
        <v>57.45439009</v>
      </c>
      <c r="F19" s="40">
        <f>IFERROR(SUMPRODUCT((Raw_Data_Daily!$B$2:$B$9999="Variant")*(Raw_Data_Daily!$C$2:$C$9999=F$4)*Raw_Data_Daily!$D$2:$D$9999*Raw_Data_Daily!$AI$2:$AI$9999)/SUMIFS(Raw_Data_Daily!$D:$D, Raw_Data_Daily!$B:$B, "Variant", Raw_Data_Daily!$C:$C, F$4),"")</f>
        <v>37.82226056</v>
      </c>
      <c r="G19" s="40">
        <f>IFERROR(SUMPRODUCT((Raw_Data_Daily!$B$2:$B$9999="Variant")*(Raw_Data_Daily!$C$2:$C$9999=G$4)*Raw_Data_Daily!$D$2:$D$9999*Raw_Data_Daily!$AI$2:$AI$9999)/SUMIFS(Raw_Data_Daily!$D:$D, Raw_Data_Daily!$B:$B, "Variant", Raw_Data_Daily!$C:$C, G$4),"")</f>
        <v>18.88710658</v>
      </c>
      <c r="I19" s="104"/>
    </row>
    <row r="20" ht="15.75" customHeight="1">
      <c r="A20" s="10"/>
      <c r="B20" s="10" t="s">
        <v>181</v>
      </c>
      <c r="C20" s="40">
        <f>IFERROR(SUMPRODUCT((Raw_Data_Daily!$B$2:$B$9999="Variant")*(Raw_Data_Daily!$C$2:$C$9999=C$4)*Raw_Data_Daily!$D$2:$D$9999*Raw_Data_Daily!$AJ$2:$AJ$9999)/SUMIFS(Raw_Data_Daily!$D:$D, Raw_Data_Daily!$B:$B, "Variant", Raw_Data_Daily!$C:$C, C$4),"")</f>
        <v>33.5311581</v>
      </c>
      <c r="D20" s="40">
        <f>IFERROR(SUMPRODUCT((Raw_Data_Daily!$B$2:$B$9999="Variant")*(Raw_Data_Daily!$C$2:$C$9999=D$4)*Raw_Data_Daily!$D$2:$D$9999*Raw_Data_Daily!$AJ$2:$AJ$9999)/SUMIFS(Raw_Data_Daily!$D:$D, Raw_Data_Daily!$B:$B, "Variant", Raw_Data_Daily!$C:$C, D$4),"")</f>
        <v>26.79617368</v>
      </c>
      <c r="E20" s="40">
        <f>IFERROR(SUMPRODUCT((Raw_Data_Daily!$B$2:$B$9999="Variant")*(Raw_Data_Daily!$C$2:$C$9999=E$4)*Raw_Data_Daily!$D$2:$D$9999*Raw_Data_Daily!$AJ$2:$AJ$9999)/SUMIFS(Raw_Data_Daily!$D:$D, Raw_Data_Daily!$B:$B, "Variant", Raw_Data_Daily!$C:$C, E$4),"")</f>
        <v>19.56835219</v>
      </c>
      <c r="F20" s="40">
        <f>IFERROR(SUMPRODUCT((Raw_Data_Daily!$B$2:$B$9999="Variant")*(Raw_Data_Daily!$C$2:$C$9999=F$4)*Raw_Data_Daily!$D$2:$D$9999*Raw_Data_Daily!$AJ$2:$AJ$9999)/SUMIFS(Raw_Data_Daily!$D:$D, Raw_Data_Daily!$B:$B, "Variant", Raw_Data_Daily!$C:$C, F$4),"")</f>
        <v>9.579756739</v>
      </c>
      <c r="G20" s="40">
        <f>IFERROR(SUMPRODUCT((Raw_Data_Daily!$B$2:$B$9999="Variant")*(Raw_Data_Daily!$C$2:$C$9999=G$4)*Raw_Data_Daily!$D$2:$D$9999*Raw_Data_Daily!$AJ$2:$AJ$9999)/SUMIFS(Raw_Data_Daily!$D:$D, Raw_Data_Daily!$B:$B, "Variant", Raw_Data_Daily!$C:$C, G$4),"")</f>
        <v>3.005620495</v>
      </c>
    </row>
    <row r="21" ht="15.75" customHeight="1">
      <c r="A21" s="10"/>
      <c r="B21" s="10" t="s">
        <v>184</v>
      </c>
      <c r="C21" s="40">
        <f>IFERROR(SUMPRODUCT((Raw_Data_Daily!$B$2:$B$9999="Variant")*(Raw_Data_Daily!$C$2:$C$9999=C$4)*Raw_Data_Daily!$D$2:$D$9999*Raw_Data_Daily!$AK$2:$AK$9999)/SUMIFS(Raw_Data_Daily!$D:$D, Raw_Data_Daily!$B:$B, "Variant", Raw_Data_Daily!$C:$C, C$4),"")</f>
        <v>6.221211599</v>
      </c>
      <c r="D21" s="40">
        <f>IFERROR(SUMPRODUCT((Raw_Data_Daily!$B$2:$B$9999="Variant")*(Raw_Data_Daily!$C$2:$C$9999=D$4)*Raw_Data_Daily!$D$2:$D$9999*Raw_Data_Daily!$AK$2:$AK$9999)/SUMIFS(Raw_Data_Daily!$D:$D, Raw_Data_Daily!$B:$B, "Variant", Raw_Data_Daily!$C:$C, D$4),"")</f>
        <v>3.264937481</v>
      </c>
      <c r="E21" s="40">
        <f>IFERROR(SUMPRODUCT((Raw_Data_Daily!$B$2:$B$9999="Variant")*(Raw_Data_Daily!$C$2:$C$9999=E$4)*Raw_Data_Daily!$D$2:$D$9999*Raw_Data_Daily!$AK$2:$AK$9999)/SUMIFS(Raw_Data_Daily!$D:$D, Raw_Data_Daily!$B:$B, "Variant", Raw_Data_Daily!$C:$C, E$4),"")</f>
        <v>4.176480466</v>
      </c>
      <c r="F21" s="40">
        <f>IFERROR(SUMPRODUCT((Raw_Data_Daily!$B$2:$B$9999="Variant")*(Raw_Data_Daily!$C$2:$C$9999=F$4)*Raw_Data_Daily!$D$2:$D$9999*Raw_Data_Daily!$AK$2:$AK$9999)/SUMIFS(Raw_Data_Daily!$D:$D, Raw_Data_Daily!$B:$B, "Variant", Raw_Data_Daily!$C:$C, F$4),"")</f>
        <v>2.123863028</v>
      </c>
      <c r="G21" s="40">
        <f>IFERROR(SUMPRODUCT((Raw_Data_Daily!$B$2:$B$9999="Variant")*(Raw_Data_Daily!$C$2:$C$9999=G$4)*Raw_Data_Daily!$D$2:$D$9999*Raw_Data_Daily!$AK$2:$AK$9999)/SUMIFS(Raw_Data_Daily!$D:$D, Raw_Data_Daily!$B:$B, "Variant", Raw_Data_Daily!$C:$C, G$4),"")</f>
        <v>0.3557180881</v>
      </c>
    </row>
    <row r="22" ht="15.75" customHeight="1">
      <c r="A22" s="10"/>
      <c r="B22" s="10" t="s">
        <v>187</v>
      </c>
      <c r="C22" s="40">
        <f>IFERROR(SUMPRODUCT((Raw_Data_Daily!$B$2:$B$9999="Variant")*(Raw_Data_Daily!$C$2:$C$9999=C$4)*Raw_Data_Daily!$D$2:$D$9999*Raw_Data_Daily!$AF$2:$AF$9999)/SUMIFS(Raw_Data_Daily!$D:$D, Raw_Data_Daily!$B:$B, "Variant", Raw_Data_Daily!$C:$C, C$4),"")</f>
        <v>3</v>
      </c>
      <c r="D22" s="40">
        <f>IFERROR(SUMPRODUCT((Raw_Data_Daily!$B$2:$B$9999="Variant")*(Raw_Data_Daily!$C$2:$C$9999=D$4)*Raw_Data_Daily!$D$2:$D$9999*Raw_Data_Daily!$AF$2:$AF$9999)/SUMIFS(Raw_Data_Daily!$D:$D, Raw_Data_Daily!$B:$B, "Variant", Raw_Data_Daily!$C:$C, D$4),"")</f>
        <v>8.154628863</v>
      </c>
      <c r="E22" s="40">
        <f>IFERROR(SUMPRODUCT((Raw_Data_Daily!$B$2:$B$9999="Variant")*(Raw_Data_Daily!$C$2:$C$9999=E$4)*Raw_Data_Daily!$D$2:$D$9999*Raw_Data_Daily!$AF$2:$AF$9999)/SUMIFS(Raw_Data_Daily!$D:$D, Raw_Data_Daily!$B:$B, "Variant", Raw_Data_Daily!$C:$C, E$4),"")</f>
        <v>12.67275996</v>
      </c>
      <c r="F22" s="40">
        <f>IFERROR(SUMPRODUCT((Raw_Data_Daily!$B$2:$B$9999="Variant")*(Raw_Data_Daily!$C$2:$C$9999=F$4)*Raw_Data_Daily!$D$2:$D$9999*Raw_Data_Daily!$AF$2:$AF$9999)/SUMIFS(Raw_Data_Daily!$D:$D, Raw_Data_Daily!$B:$B, "Variant", Raw_Data_Daily!$C:$C, F$4),"")</f>
        <v>20.145909</v>
      </c>
      <c r="G22" s="40">
        <f>IFERROR(SUMPRODUCT((Raw_Data_Daily!$B$2:$B$9999="Variant")*(Raw_Data_Daily!$C$2:$C$9999=G$4)*Raw_Data_Daily!$D$2:$D$9999*Raw_Data_Daily!$AF$2:$AF$9999)/SUMIFS(Raw_Data_Daily!$D:$D, Raw_Data_Daily!$B:$B, "Variant", Raw_Data_Daily!$C:$C, G$4),"")</f>
        <v>35.58323167</v>
      </c>
    </row>
    <row r="23" ht="15.75" customHeight="1">
      <c r="A23" s="10"/>
      <c r="B23" s="10" t="s">
        <v>190</v>
      </c>
      <c r="C23" s="40">
        <f>IFERROR(SUMPRODUCT((Raw_Data_Daily!$B$2:$B$9999="Variant")*(Raw_Data_Daily!$C$2:$C$9999=C$4)*Raw_Data_Daily!$D$2:$D$9999*Raw_Data_Daily!$AG$2:$AG$9999)/SUMIFS(Raw_Data_Daily!$D:$D, Raw_Data_Daily!$B:$B, "Variant", Raw_Data_Daily!$C:$C, C$4),"")</f>
        <v>5.28445761</v>
      </c>
      <c r="D23" s="40">
        <f>IFERROR(SUMPRODUCT((Raw_Data_Daily!$B$2:$B$9999="Variant")*(Raw_Data_Daily!$C$2:$C$9999=D$4)*Raw_Data_Daily!$D$2:$D$9999*Raw_Data_Daily!$AG$2:$AG$9999)/SUMIFS(Raw_Data_Daily!$D:$D, Raw_Data_Daily!$B:$B, "Variant", Raw_Data_Daily!$C:$C, D$4),"")</f>
        <v>12.96530095</v>
      </c>
      <c r="E23" s="40">
        <f>IFERROR(SUMPRODUCT((Raw_Data_Daily!$B$2:$B$9999="Variant")*(Raw_Data_Daily!$C$2:$C$9999=E$4)*Raw_Data_Daily!$D$2:$D$9999*Raw_Data_Daily!$AG$2:$AG$9999)/SUMIFS(Raw_Data_Daily!$D:$D, Raw_Data_Daily!$B:$B, "Variant", Raw_Data_Daily!$C:$C, E$4),"")</f>
        <v>22.38708455</v>
      </c>
      <c r="F23" s="40">
        <f>IFERROR(SUMPRODUCT((Raw_Data_Daily!$B$2:$B$9999="Variant")*(Raw_Data_Daily!$C$2:$C$9999=F$4)*Raw_Data_Daily!$D$2:$D$9999*Raw_Data_Daily!$AG$2:$AG$9999)/SUMIFS(Raw_Data_Daily!$D:$D, Raw_Data_Daily!$B:$B, "Variant", Raw_Data_Daily!$C:$C, F$4),"")</f>
        <v>38.59235009</v>
      </c>
      <c r="G23" s="40">
        <f>IFERROR(SUMPRODUCT((Raw_Data_Daily!$B$2:$B$9999="Variant")*(Raw_Data_Daily!$C$2:$C$9999=G$4)*Raw_Data_Daily!$D$2:$D$9999*Raw_Data_Daily!$AG$2:$AG$9999)/SUMIFS(Raw_Data_Daily!$D:$D, Raw_Data_Daily!$B:$B, "Variant", Raw_Data_Daily!$C:$C, G$4),"")</f>
        <v>64.22590662</v>
      </c>
    </row>
    <row r="24" ht="15.75" customHeight="1">
      <c r="A24" s="10"/>
      <c r="B24" s="10" t="s">
        <v>193</v>
      </c>
      <c r="C24" s="40">
        <f>IFERROR(SUMPRODUCT((Raw_Data_Daily!$B$2:$B$9999="Variant")*(Raw_Data_Daily!$C$2:$C$9999=C$4)*Raw_Data_Daily!$D$2:$D$9999*Raw_Data_Daily!$AH$2:$AH$9999)/SUMIFS(Raw_Data_Daily!$D:$D, Raw_Data_Daily!$B:$B, "Variant", Raw_Data_Daily!$C:$C, C$4),"")</f>
        <v>8.188280927</v>
      </c>
      <c r="D24" s="40">
        <f>IFERROR(SUMPRODUCT((Raw_Data_Daily!$B$2:$B$9999="Variant")*(Raw_Data_Daily!$C$2:$C$9999=D$4)*Raw_Data_Daily!$D$2:$D$9999*Raw_Data_Daily!$AH$2:$AH$9999)/SUMIFS(Raw_Data_Daily!$D:$D, Raw_Data_Daily!$B:$B, "Variant", Raw_Data_Daily!$C:$C, D$4),"")</f>
        <v>18.30106672</v>
      </c>
      <c r="E24" s="40">
        <f>IFERROR(SUMPRODUCT((Raw_Data_Daily!$B$2:$B$9999="Variant")*(Raw_Data_Daily!$C$2:$C$9999=E$4)*Raw_Data_Daily!$D$2:$D$9999*Raw_Data_Daily!$AH$2:$AH$9999)/SUMIFS(Raw_Data_Daily!$D:$D, Raw_Data_Daily!$B:$B, "Variant", Raw_Data_Daily!$C:$C, E$4),"")</f>
        <v>32.57253644</v>
      </c>
      <c r="F24" s="40">
        <f>IFERROR(SUMPRODUCT((Raw_Data_Daily!$B$2:$B$9999="Variant")*(Raw_Data_Daily!$C$2:$C$9999=F$4)*Raw_Data_Daily!$D$2:$D$9999*Raw_Data_Daily!$AH$2:$AH$9999)/SUMIFS(Raw_Data_Daily!$D:$D, Raw_Data_Daily!$B:$B, "Variant", Raw_Data_Daily!$C:$C, F$4),"")</f>
        <v>58.50669088</v>
      </c>
      <c r="G24" s="40">
        <f>IFERROR(SUMPRODUCT((Raw_Data_Daily!$B$2:$B$9999="Variant")*(Raw_Data_Daily!$C$2:$C$9999=G$4)*Raw_Data_Daily!$D$2:$D$9999*Raw_Data_Daily!$AH$2:$AH$9999)/SUMIFS(Raw_Data_Daily!$D:$D, Raw_Data_Daily!$B:$B, "Variant", Raw_Data_Daily!$C:$C, G$4),"")</f>
        <v>110.2813574</v>
      </c>
    </row>
    <row r="25" ht="15.75" customHeight="1">
      <c r="A25" s="4" t="s">
        <v>196</v>
      </c>
      <c r="B25" s="99"/>
      <c r="C25" s="99"/>
      <c r="D25" s="99"/>
      <c r="E25" s="99"/>
      <c r="F25" s="99"/>
      <c r="G25" s="99"/>
    </row>
    <row r="26" ht="15.75" customHeight="1">
      <c r="A26" s="10"/>
      <c r="B26" s="67" t="s">
        <v>197</v>
      </c>
      <c r="C26" s="133">
        <f t="shared" ref="C26:G26" si="4">SUMPRODUCT(C19:C21/100,C9:C11)</f>
        <v>4.286297549</v>
      </c>
      <c r="D26" s="133">
        <f t="shared" si="4"/>
        <v>16.5020125</v>
      </c>
      <c r="E26" s="133">
        <f t="shared" si="4"/>
        <v>22.57881507</v>
      </c>
      <c r="F26" s="133">
        <f t="shared" si="4"/>
        <v>35.71649594</v>
      </c>
      <c r="G26" s="133">
        <f t="shared" si="4"/>
        <v>29.32684041</v>
      </c>
    </row>
    <row r="27" ht="15.75" customHeight="1">
      <c r="A27" s="10"/>
      <c r="B27" s="67" t="s">
        <v>198</v>
      </c>
      <c r="C27" s="133">
        <f t="shared" ref="C27:G27" si="5">SUMPRODUCT(C19:C21/100,C12:C14)</f>
        <v>4.286297549</v>
      </c>
      <c r="D27" s="133">
        <f t="shared" si="5"/>
        <v>18.16831494</v>
      </c>
      <c r="E27" s="133">
        <f t="shared" si="5"/>
        <v>29.14149531</v>
      </c>
      <c r="F27" s="133">
        <f t="shared" si="5"/>
        <v>44.3925562</v>
      </c>
      <c r="G27" s="133">
        <f t="shared" si="5"/>
        <v>35.90714539</v>
      </c>
    </row>
    <row r="28" ht="15.75" customHeight="1">
      <c r="A28" s="10"/>
      <c r="B28" s="70" t="s">
        <v>200</v>
      </c>
      <c r="C28" s="136">
        <f t="shared" ref="C28:G28" si="6">if(C27-C26&gt;0, "+"&amp;mround(C27-C26, 0.01), C27-C26)</f>
        <v>0</v>
      </c>
      <c r="D28" s="136" t="str">
        <f t="shared" si="6"/>
        <v>+1.67</v>
      </c>
      <c r="E28" s="136" t="str">
        <f t="shared" si="6"/>
        <v>+6.56</v>
      </c>
      <c r="F28" s="136" t="str">
        <f t="shared" si="6"/>
        <v>+8.68</v>
      </c>
      <c r="G28" s="136" t="str">
        <f t="shared" si="6"/>
        <v>+6.58</v>
      </c>
    </row>
    <row r="29" ht="15.75" customHeight="1">
      <c r="A29" s="10"/>
      <c r="B29" s="10" t="s">
        <v>202</v>
      </c>
      <c r="C29" s="138">
        <f t="shared" ref="C29:G29" si="7">IFERROR(C27/C26-1,"")</f>
        <v>0</v>
      </c>
      <c r="D29" s="138">
        <f t="shared" si="7"/>
        <v>0.1009757102</v>
      </c>
      <c r="E29" s="138">
        <f t="shared" si="7"/>
        <v>0.2906565385</v>
      </c>
      <c r="F29" s="138">
        <f t="shared" si="7"/>
        <v>0.2429146544</v>
      </c>
      <c r="G29" s="138">
        <f t="shared" si="7"/>
        <v>0.2243782449</v>
      </c>
    </row>
    <row r="30" ht="15.75" customHeight="1">
      <c r="A30" s="4" t="s">
        <v>203</v>
      </c>
      <c r="B30" s="99"/>
      <c r="C30" s="99"/>
      <c r="D30" s="99"/>
      <c r="E30" s="99"/>
      <c r="F30" s="99"/>
      <c r="G30" s="99"/>
    </row>
    <row r="31" ht="15.75" customHeight="1">
      <c r="A31" s="10"/>
      <c r="B31" s="10" t="s">
        <v>4</v>
      </c>
      <c r="C31" s="133">
        <f>IFERROR(SUMPRODUCT((Raw_Data_Daily!$B$2:$B$9999="Control")*(Raw_Data_Daily!$C$2:$C$9999=C$4)*Raw_Data_Daily!$D$2:$D$9999*Raw_Data_Daily!$Q$2:$Q$9999)/SUMIFS(Raw_Data_Daily!$D:$D, Raw_Data_Daily!$B:$B, "Control", Raw_Data_Daily!$C:$C, C$4),"")</f>
        <v>47.21371756</v>
      </c>
      <c r="D31" s="133">
        <f>IFERROR(SUMPRODUCT((Raw_Data_Daily!$B$2:$B$9999="Control")*(Raw_Data_Daily!$C$2:$C$9999=D$4)*Raw_Data_Daily!$D$2:$D$9999*Raw_Data_Daily!$Q$2:$Q$9999)/SUMIFS(Raw_Data_Daily!$D:$D, Raw_Data_Daily!$B:$B, "Control", Raw_Data_Daily!$C:$C, D$4),"")</f>
        <v>98.0588162</v>
      </c>
      <c r="E31" s="133">
        <f>IFERROR(SUMPRODUCT((Raw_Data_Daily!$B$2:$B$9999="Control")*(Raw_Data_Daily!$C$2:$C$9999=E$4)*Raw_Data_Daily!$D$2:$D$9999*Raw_Data_Daily!$Q$2:$Q$9999)/SUMIFS(Raw_Data_Daily!$D:$D, Raw_Data_Daily!$B:$B, "Control", Raw_Data_Daily!$C:$C, E$4),"")</f>
        <v>169.2485786</v>
      </c>
      <c r="F31" s="133">
        <f>IFERROR(SUMPRODUCT((Raw_Data_Daily!$B$2:$B$9999="Control")*(Raw_Data_Daily!$C$2:$C$9999=F$4)*Raw_Data_Daily!$D$2:$D$9999*Raw_Data_Daily!$Q$2:$Q$9999)/SUMIFS(Raw_Data_Daily!$D:$D, Raw_Data_Daily!$B:$B, "Control", Raw_Data_Daily!$C:$C, F$4),"")</f>
        <v>320.7932965</v>
      </c>
      <c r="G31" s="133">
        <f>IFERROR(SUMPRODUCT((Raw_Data_Daily!$B$2:$B$9999="Control")*(Raw_Data_Daily!$C$2:$C$9999=G$4)*Raw_Data_Daily!$D$2:$D$9999*Raw_Data_Daily!$Q$2:$Q$9999)/SUMIFS(Raw_Data_Daily!$D:$D, Raw_Data_Daily!$B:$B, "Control", Raw_Data_Daily!$C:$C, G$4),"")</f>
        <v>670.49958</v>
      </c>
    </row>
    <row r="32" ht="15.75" customHeight="1">
      <c r="A32" s="10"/>
      <c r="B32" s="10" t="s">
        <v>206</v>
      </c>
      <c r="C32" s="133">
        <f>IFERROR(SUMPRODUCT((Raw_Data_Daily!$B$2:$B$9999="Variant")*(Raw_Data_Daily!$C$2:$C$9999=C$4)*Raw_Data_Daily!$D$2:$D$9999*Raw_Data_Daily!$Q$2:$Q$9999)/SUMIFS(Raw_Data_Daily!$D:$D, Raw_Data_Daily!$B:$B, "Variant", Raw_Data_Daily!$C:$C, C$4),"")</f>
        <v>40.32115958</v>
      </c>
      <c r="D32" s="133">
        <f>IFERROR(SUMPRODUCT((Raw_Data_Daily!$B$2:$B$9999="Variant")*(Raw_Data_Daily!$C$2:$C$9999=D$4)*Raw_Data_Daily!$D$2:$D$9999*Raw_Data_Daily!$Q$2:$Q$9999)/SUMIFS(Raw_Data_Daily!$D:$D, Raw_Data_Daily!$B:$B, "Variant", Raw_Data_Daily!$C:$C, D$4),"")</f>
        <v>84.74901364</v>
      </c>
      <c r="E32" s="133">
        <f>IFERROR(SUMPRODUCT((Raw_Data_Daily!$B$2:$B$9999="Variant")*(Raw_Data_Daily!$C$2:$C$9999=E$4)*Raw_Data_Daily!$D$2:$D$9999*Raw_Data_Daily!$Q$2:$Q$9999)/SUMIFS(Raw_Data_Daily!$D:$D, Raw_Data_Daily!$B:$B, "Variant", Raw_Data_Daily!$C:$C, E$4),"")</f>
        <v>146.5085842</v>
      </c>
      <c r="F32" s="133">
        <f>IFERROR(SUMPRODUCT((Raw_Data_Daily!$B$2:$B$9999="Variant")*(Raw_Data_Daily!$C$2:$C$9999=F$4)*Raw_Data_Daily!$D$2:$D$9999*Raw_Data_Daily!$Q$2:$Q$9999)/SUMIFS(Raw_Data_Daily!$D:$D, Raw_Data_Daily!$B:$B, "Variant", Raw_Data_Daily!$C:$C, F$4),"")</f>
        <v>276.659755</v>
      </c>
      <c r="G32" s="133">
        <f>IFERROR(SUMPRODUCT((Raw_Data_Daily!$B$2:$B$9999="Variant")*(Raw_Data_Daily!$C$2:$C$9999=G$4)*Raw_Data_Daily!$D$2:$D$9999*Raw_Data_Daily!$Q$2:$Q$9999)/SUMIFS(Raw_Data_Daily!$D:$D, Raw_Data_Daily!$B:$B, "Variant", Raw_Data_Daily!$C:$C, G$4),"")</f>
        <v>547.0506632</v>
      </c>
    </row>
    <row r="33" ht="15.75" customHeight="1">
      <c r="A33" s="10"/>
      <c r="B33" s="53" t="s">
        <v>209</v>
      </c>
      <c r="C33" s="136">
        <f t="shared" ref="C33:G33" si="8">C32+C28</f>
        <v>40.32115958</v>
      </c>
      <c r="D33" s="136">
        <f t="shared" si="8"/>
        <v>86.41901364</v>
      </c>
      <c r="E33" s="136">
        <f t="shared" si="8"/>
        <v>153.0685842</v>
      </c>
      <c r="F33" s="136">
        <f t="shared" si="8"/>
        <v>285.339755</v>
      </c>
      <c r="G33" s="136">
        <f t="shared" si="8"/>
        <v>553.6306632</v>
      </c>
    </row>
    <row r="34" ht="15.75" customHeight="1">
      <c r="A34" s="10"/>
      <c r="B34" s="10" t="s">
        <v>210</v>
      </c>
      <c r="C34" s="142">
        <f t="shared" ref="C34:G34" si="9">IFERROR(C26/C32,"")</f>
        <v>0.1063039256</v>
      </c>
      <c r="D34" s="142">
        <f t="shared" si="9"/>
        <v>0.1947162781</v>
      </c>
      <c r="E34" s="142">
        <f t="shared" si="9"/>
        <v>0.1541125744</v>
      </c>
      <c r="F34" s="142">
        <f t="shared" si="9"/>
        <v>0.1290989936</v>
      </c>
      <c r="G34" s="142">
        <f t="shared" si="9"/>
        <v>0.05360900258</v>
      </c>
    </row>
    <row r="35" ht="15.75" customHeight="1">
      <c r="A35" s="10"/>
      <c r="B35" s="67" t="s">
        <v>211</v>
      </c>
      <c r="C35" s="138">
        <f t="shared" ref="C35:G35" si="10">IFERROR(C32/C31-1,"")</f>
        <v>-0.1459863433</v>
      </c>
      <c r="D35" s="138">
        <f t="shared" si="10"/>
        <v>-0.1357328497</v>
      </c>
      <c r="E35" s="138">
        <f t="shared" si="10"/>
        <v>-0.134358555</v>
      </c>
      <c r="F35" s="138">
        <f t="shared" si="10"/>
        <v>-0.1375762585</v>
      </c>
      <c r="G35" s="138">
        <f t="shared" si="10"/>
        <v>-0.184114831</v>
      </c>
    </row>
    <row r="36" ht="15.75" customHeight="1">
      <c r="A36" s="10"/>
      <c r="B36" s="70" t="s">
        <v>212</v>
      </c>
      <c r="C36" s="144">
        <f t="shared" ref="C36:G36" si="11">IFERROR(C33/C31-1,"")</f>
        <v>-0.1459863433</v>
      </c>
      <c r="D36" s="144">
        <f t="shared" si="11"/>
        <v>-0.1187022546</v>
      </c>
      <c r="E36" s="144">
        <f t="shared" si="11"/>
        <v>-0.09559899761</v>
      </c>
      <c r="F36" s="144">
        <f t="shared" si="11"/>
        <v>-0.1105183365</v>
      </c>
      <c r="G36" s="144">
        <f t="shared" si="11"/>
        <v>-0.1743012529</v>
      </c>
    </row>
    <row r="37" ht="15.75" customHeight="1"/>
    <row r="38" ht="15.75" customHeight="1">
      <c r="A38" s="104"/>
    </row>
    <row r="39" ht="15.75" customHeight="1">
      <c r="A39" s="104"/>
    </row>
    <row r="40" ht="15.75" customHeight="1">
      <c r="A40" s="104"/>
    </row>
    <row r="41" ht="15.75" customHeight="1">
      <c r="A41" s="104"/>
    </row>
    <row r="42" ht="15.75" customHeight="1">
      <c r="A42" s="104"/>
    </row>
    <row r="43" ht="15.75" customHeight="1">
      <c r="A43" s="104"/>
    </row>
    <row r="44" ht="15.75" customHeight="1">
      <c r="A44" s="10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conditionalFormatting sqref="C35:G35">
    <cfRule type="cellIs" dxfId="2" priority="1" operator="greaterThan">
      <formula>0</formula>
    </cfRule>
  </conditionalFormatting>
  <conditionalFormatting sqref="C35:G35">
    <cfRule type="cellIs" dxfId="3" priority="2" operator="lessThan">
      <formula>0</formula>
    </cfRule>
  </conditionalFormatting>
  <conditionalFormatting sqref="C29:G29">
    <cfRule type="cellIs" dxfId="2" priority="3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5.29"/>
    <col customWidth="1" min="2" max="2" width="12.0"/>
    <col customWidth="1" min="3" max="3" width="22.0"/>
    <col customWidth="1" min="4" max="5" width="12.0"/>
    <col customWidth="1" min="6" max="6" width="15.0"/>
    <col customWidth="1" min="7" max="7" width="12.0"/>
    <col customWidth="1" min="8" max="8" width="16.0"/>
    <col customWidth="1" min="9" max="9" width="12.0"/>
    <col customWidth="1" min="10" max="10" width="21.0"/>
    <col customWidth="1" min="11" max="11" width="20.0"/>
    <col customWidth="1" min="12" max="12" width="21.0"/>
    <col customWidth="1" min="13" max="16" width="12.0"/>
    <col customWidth="1" min="17" max="17" width="19.0"/>
    <col customWidth="1" min="18" max="18" width="22.0"/>
    <col customWidth="1" min="19" max="21" width="18.0"/>
    <col customWidth="1" min="22" max="22" width="14.0"/>
    <col customWidth="1" min="23" max="24" width="22.0"/>
    <col customWidth="1" min="25" max="27" width="16.0"/>
    <col customWidth="1" min="28" max="29" width="22.0"/>
    <col customWidth="1" min="30" max="34" width="18.0"/>
    <col customWidth="1" min="35" max="37" width="22.0"/>
    <col customWidth="1" min="38" max="38" width="15.0"/>
    <col customWidth="1" min="39" max="39" width="12.0"/>
  </cols>
  <sheetData>
    <row r="1">
      <c r="A1" s="148" t="s">
        <v>213</v>
      </c>
      <c r="B1" s="148" t="s">
        <v>214</v>
      </c>
      <c r="C1" s="148" t="s">
        <v>215</v>
      </c>
      <c r="D1" s="148" t="s">
        <v>216</v>
      </c>
      <c r="E1" s="148" t="s">
        <v>217</v>
      </c>
      <c r="F1" s="148" t="s">
        <v>218</v>
      </c>
      <c r="G1" s="148" t="s">
        <v>219</v>
      </c>
      <c r="H1" s="148" t="s">
        <v>220</v>
      </c>
      <c r="I1" s="148" t="s">
        <v>221</v>
      </c>
      <c r="J1" s="148" t="s">
        <v>222</v>
      </c>
      <c r="K1" s="148" t="s">
        <v>223</v>
      </c>
      <c r="L1" s="148" t="s">
        <v>224</v>
      </c>
      <c r="M1" s="148" t="s">
        <v>225</v>
      </c>
      <c r="N1" s="148" t="s">
        <v>226</v>
      </c>
      <c r="O1" s="148" t="s">
        <v>227</v>
      </c>
      <c r="P1" s="148" t="s">
        <v>228</v>
      </c>
      <c r="Q1" s="148" t="s">
        <v>229</v>
      </c>
      <c r="R1" s="148" t="s">
        <v>230</v>
      </c>
      <c r="S1" s="148" t="s">
        <v>231</v>
      </c>
      <c r="T1" s="148" t="s">
        <v>232</v>
      </c>
      <c r="U1" s="148" t="s">
        <v>233</v>
      </c>
      <c r="V1" s="148" t="s">
        <v>234</v>
      </c>
      <c r="W1" s="148" t="s">
        <v>235</v>
      </c>
      <c r="X1" s="148" t="s">
        <v>236</v>
      </c>
      <c r="Y1" s="148" t="s">
        <v>237</v>
      </c>
      <c r="Z1" s="148" t="s">
        <v>238</v>
      </c>
      <c r="AA1" s="148" t="s">
        <v>239</v>
      </c>
      <c r="AB1" s="148" t="s">
        <v>240</v>
      </c>
      <c r="AC1" s="148" t="s">
        <v>241</v>
      </c>
      <c r="AD1" s="148" t="s">
        <v>242</v>
      </c>
      <c r="AE1" s="148" t="s">
        <v>243</v>
      </c>
      <c r="AF1" s="148" t="s">
        <v>244</v>
      </c>
      <c r="AG1" s="148" t="s">
        <v>245</v>
      </c>
      <c r="AH1" s="148" t="s">
        <v>246</v>
      </c>
      <c r="AI1" s="148" t="s">
        <v>247</v>
      </c>
      <c r="AJ1" s="148" t="s">
        <v>248</v>
      </c>
      <c r="AK1" s="148" t="s">
        <v>249</v>
      </c>
      <c r="AL1" s="148" t="s">
        <v>250</v>
      </c>
      <c r="AM1" s="148" t="s">
        <v>251</v>
      </c>
      <c r="AN1" s="148" t="s">
        <v>252</v>
      </c>
      <c r="AO1" s="148" t="s">
        <v>253</v>
      </c>
      <c r="AP1" s="148" t="s">
        <v>254</v>
      </c>
      <c r="AQ1" s="148" t="s">
        <v>255</v>
      </c>
      <c r="AR1" s="148" t="s">
        <v>256</v>
      </c>
      <c r="AS1" s="148" t="s">
        <v>257</v>
      </c>
      <c r="AT1" s="148" t="s">
        <v>258</v>
      </c>
      <c r="AU1" s="148" t="s">
        <v>259</v>
      </c>
      <c r="AV1" s="150" t="s">
        <v>260</v>
      </c>
      <c r="AW1" s="150" t="s">
        <v>261</v>
      </c>
      <c r="AX1" s="150" t="s">
        <v>262</v>
      </c>
      <c r="AY1" s="150" t="s">
        <v>263</v>
      </c>
      <c r="AZ1" s="150" t="s">
        <v>264</v>
      </c>
      <c r="BA1" s="150" t="s">
        <v>265</v>
      </c>
      <c r="BB1" s="150" t="s">
        <v>266</v>
      </c>
      <c r="BC1" s="150" t="s">
        <v>267</v>
      </c>
      <c r="BD1" s="150" t="s">
        <v>268</v>
      </c>
      <c r="BE1" s="150" t="s">
        <v>269</v>
      </c>
      <c r="BF1" s="150" t="s">
        <v>270</v>
      </c>
      <c r="BG1" s="150" t="s">
        <v>271</v>
      </c>
      <c r="BH1" s="150" t="s">
        <v>272</v>
      </c>
      <c r="BI1" s="150" t="s">
        <v>273</v>
      </c>
      <c r="BJ1" s="150" t="s">
        <v>274</v>
      </c>
      <c r="BK1" s="150" t="s">
        <v>275</v>
      </c>
      <c r="BL1" s="150" t="s">
        <v>276</v>
      </c>
      <c r="BM1" s="150" t="s">
        <v>277</v>
      </c>
      <c r="BN1" s="150" t="s">
        <v>278</v>
      </c>
      <c r="BO1" s="150" t="s">
        <v>279</v>
      </c>
      <c r="BP1" s="150" t="s">
        <v>280</v>
      </c>
      <c r="BQ1" s="150" t="s">
        <v>281</v>
      </c>
      <c r="BR1" s="150" t="s">
        <v>282</v>
      </c>
      <c r="BS1" s="150" t="s">
        <v>283</v>
      </c>
      <c r="BT1" s="150" t="s">
        <v>284</v>
      </c>
      <c r="BU1" s="150" t="s">
        <v>285</v>
      </c>
      <c r="BV1" s="150" t="s">
        <v>286</v>
      </c>
      <c r="BW1" s="150" t="s">
        <v>287</v>
      </c>
      <c r="BX1" s="150" t="s">
        <v>288</v>
      </c>
      <c r="BY1" s="150" t="s">
        <v>289</v>
      </c>
      <c r="BZ1" s="150" t="s">
        <v>290</v>
      </c>
      <c r="CA1" s="150" t="s">
        <v>291</v>
      </c>
      <c r="CB1" s="150" t="s">
        <v>292</v>
      </c>
      <c r="CC1" s="150" t="s">
        <v>293</v>
      </c>
      <c r="CD1" s="150" t="s">
        <v>294</v>
      </c>
      <c r="CE1" s="150" t="s">
        <v>295</v>
      </c>
      <c r="CF1" s="150" t="s">
        <v>296</v>
      </c>
      <c r="CG1" s="150" t="s">
        <v>297</v>
      </c>
      <c r="CH1" s="150" t="s">
        <v>298</v>
      </c>
      <c r="CI1" s="150" t="s">
        <v>299</v>
      </c>
      <c r="CJ1" s="150" t="s">
        <v>300</v>
      </c>
      <c r="CK1" s="150" t="s">
        <v>301</v>
      </c>
      <c r="CL1" s="150" t="s">
        <v>302</v>
      </c>
      <c r="CM1" s="150" t="s">
        <v>303</v>
      </c>
      <c r="CN1" s="150" t="s">
        <v>304</v>
      </c>
      <c r="CO1" s="150" t="s">
        <v>305</v>
      </c>
      <c r="CP1" s="150" t="s">
        <v>306</v>
      </c>
      <c r="CQ1" s="150" t="s">
        <v>307</v>
      </c>
      <c r="CR1" s="150" t="s">
        <v>308</v>
      </c>
      <c r="CS1" s="150" t="s">
        <v>309</v>
      </c>
      <c r="CT1" s="150" t="s">
        <v>310</v>
      </c>
      <c r="CU1" s="150" t="s">
        <v>311</v>
      </c>
      <c r="CV1" s="150" t="s">
        <v>312</v>
      </c>
      <c r="CW1" s="150" t="s">
        <v>313</v>
      </c>
      <c r="CX1" s="150" t="s">
        <v>314</v>
      </c>
      <c r="CY1" s="150" t="s">
        <v>315</v>
      </c>
    </row>
    <row r="2">
      <c r="A2" s="151">
        <v>46230.0</v>
      </c>
      <c r="B2" s="152" t="s">
        <v>4</v>
      </c>
      <c r="C2" s="152" t="s">
        <v>316</v>
      </c>
      <c r="D2" s="152">
        <v>4318.0</v>
      </c>
      <c r="E2" s="152">
        <v>15.82</v>
      </c>
      <c r="F2" s="152">
        <v>0.0</v>
      </c>
      <c r="G2" s="152">
        <v>0.0</v>
      </c>
      <c r="H2" s="152">
        <v>0.0</v>
      </c>
      <c r="I2" s="152"/>
      <c r="J2" s="152">
        <v>4.11</v>
      </c>
      <c r="K2" s="152">
        <v>1.58</v>
      </c>
      <c r="L2" s="152">
        <v>0.16</v>
      </c>
      <c r="M2" s="152">
        <v>0.0991</v>
      </c>
      <c r="N2" s="152">
        <v>0.9155</v>
      </c>
      <c r="O2" s="152">
        <v>0.5449</v>
      </c>
      <c r="P2" s="152">
        <v>10.0929</v>
      </c>
      <c r="Q2" s="152">
        <v>23.57</v>
      </c>
      <c r="R2" s="152">
        <v>23.32</v>
      </c>
      <c r="S2" s="152">
        <v>0.25</v>
      </c>
      <c r="T2" s="152">
        <v>0.0</v>
      </c>
      <c r="U2" s="152">
        <v>23.57</v>
      </c>
      <c r="V2" s="152">
        <v>2.81</v>
      </c>
      <c r="W2" s="152">
        <v>1.7755</v>
      </c>
      <c r="X2" s="152">
        <v>0.0</v>
      </c>
      <c r="Y2" s="152">
        <v>200.0</v>
      </c>
      <c r="Z2" s="152">
        <v>383.0</v>
      </c>
      <c r="AA2" s="152">
        <v>3101.0</v>
      </c>
      <c r="AB2" s="152">
        <v>49.7155</v>
      </c>
      <c r="AC2" s="152">
        <v>0.5911</v>
      </c>
      <c r="AD2" s="153"/>
      <c r="AE2" s="153"/>
      <c r="AF2" s="153"/>
      <c r="AG2" s="153"/>
      <c r="AH2" s="153"/>
      <c r="AI2" s="152">
        <v>0.0</v>
      </c>
      <c r="AJ2" s="152">
        <v>0.0</v>
      </c>
      <c r="AK2" s="152">
        <v>0.0</v>
      </c>
      <c r="AL2" s="152">
        <v>0.6237</v>
      </c>
      <c r="AM2" s="153"/>
      <c r="AQ2" s="76">
        <v>1.0373</v>
      </c>
      <c r="AR2" s="76">
        <v>0.0063</v>
      </c>
      <c r="AS2" s="76">
        <v>1.031</v>
      </c>
      <c r="AT2" s="76">
        <v>0.2992</v>
      </c>
      <c r="AU2" s="76">
        <v>0.1888</v>
      </c>
      <c r="AV2" s="76">
        <v>4318.0</v>
      </c>
      <c r="AW2" s="76">
        <v>0.0</v>
      </c>
      <c r="AX2" s="76">
        <v>10.67</v>
      </c>
      <c r="AY2" s="76">
        <v>11.97</v>
      </c>
      <c r="AZ2" s="76">
        <v>0.84</v>
      </c>
      <c r="BA2" s="76">
        <v>0.0</v>
      </c>
      <c r="BB2" s="76">
        <v>0.1</v>
      </c>
      <c r="BD2" s="76">
        <v>27133.0</v>
      </c>
      <c r="BE2" s="76">
        <v>0.4514</v>
      </c>
      <c r="BF2" s="76">
        <v>0.0049</v>
      </c>
      <c r="BG2" s="76">
        <v>0.4465</v>
      </c>
      <c r="BH2" s="76">
        <v>0.1881</v>
      </c>
      <c r="BI2" s="76">
        <v>0.1187</v>
      </c>
      <c r="BJ2" s="76">
        <v>0.5859</v>
      </c>
      <c r="BK2" s="76">
        <v>0.0014</v>
      </c>
      <c r="BL2" s="76">
        <v>0.5845</v>
      </c>
      <c r="BM2" s="76">
        <v>0.1112</v>
      </c>
      <c r="BN2" s="76">
        <v>0.0701</v>
      </c>
      <c r="BO2" s="76">
        <v>0.1563</v>
      </c>
      <c r="BP2" s="76">
        <v>0.0028</v>
      </c>
      <c r="BQ2" s="76">
        <v>0.1535</v>
      </c>
      <c r="BR2" s="76">
        <v>0.0706</v>
      </c>
      <c r="BS2" s="76">
        <v>0.1688</v>
      </c>
      <c r="BT2" s="76">
        <v>0.0014</v>
      </c>
      <c r="BU2" s="76">
        <v>0.1674</v>
      </c>
      <c r="BV2" s="76">
        <v>0.0739</v>
      </c>
      <c r="BW2" s="76">
        <v>0.1262</v>
      </c>
      <c r="BX2" s="76">
        <v>7.0E-4</v>
      </c>
      <c r="BY2" s="76">
        <v>0.1255</v>
      </c>
      <c r="BZ2" s="76">
        <v>0.0435</v>
      </c>
      <c r="CA2" s="76">
        <v>0.1429</v>
      </c>
      <c r="CB2" s="76">
        <v>0.0</v>
      </c>
      <c r="CC2" s="76">
        <v>0.1429</v>
      </c>
      <c r="CD2" s="76">
        <v>0.0181</v>
      </c>
      <c r="CE2" s="76">
        <v>0.2429</v>
      </c>
      <c r="CF2" s="76">
        <v>7.0E-4</v>
      </c>
      <c r="CG2" s="76">
        <v>0.2422</v>
      </c>
      <c r="CH2" s="76">
        <v>0.0514</v>
      </c>
      <c r="CI2" s="76">
        <v>0.2001</v>
      </c>
      <c r="CJ2" s="76">
        <v>7.0E-4</v>
      </c>
      <c r="CK2" s="76">
        <v>0.1994</v>
      </c>
      <c r="CL2" s="76">
        <v>0.0417</v>
      </c>
      <c r="CM2" s="76">
        <v>4.45</v>
      </c>
      <c r="CN2" s="76">
        <v>5.03</v>
      </c>
      <c r="CO2" s="76">
        <v>88.6</v>
      </c>
      <c r="CP2" s="76">
        <v>2.71</v>
      </c>
      <c r="CQ2" s="76">
        <v>0.0</v>
      </c>
      <c r="CR2" s="76">
        <v>1.14</v>
      </c>
      <c r="CS2" s="76">
        <v>0.6</v>
      </c>
      <c r="CT2" s="76">
        <v>0.0</v>
      </c>
      <c r="CU2" s="76">
        <v>0.0</v>
      </c>
      <c r="CV2" s="76">
        <v>0.0</v>
      </c>
      <c r="CW2" s="76">
        <v>23.57</v>
      </c>
      <c r="CX2" s="76">
        <v>0.0</v>
      </c>
      <c r="CY2" s="76">
        <v>0.0</v>
      </c>
    </row>
    <row r="3">
      <c r="A3" s="151">
        <v>46230.0</v>
      </c>
      <c r="B3" s="152" t="s">
        <v>4</v>
      </c>
      <c r="C3" s="152" t="s">
        <v>147</v>
      </c>
      <c r="D3" s="152">
        <v>8408.0</v>
      </c>
      <c r="E3" s="152">
        <v>30.8</v>
      </c>
      <c r="F3" s="152">
        <v>118.98</v>
      </c>
      <c r="G3" s="152">
        <v>0.0142</v>
      </c>
      <c r="H3" s="152">
        <v>0.52</v>
      </c>
      <c r="I3" s="152">
        <v>2.7041</v>
      </c>
      <c r="J3" s="152">
        <v>18.65</v>
      </c>
      <c r="K3" s="152">
        <v>9.92</v>
      </c>
      <c r="L3" s="152">
        <v>4.99</v>
      </c>
      <c r="M3" s="152">
        <v>0.5028</v>
      </c>
      <c r="N3" s="152">
        <v>0.5981</v>
      </c>
      <c r="O3" s="152">
        <v>0.3424</v>
      </c>
      <c r="P3" s="152">
        <v>1.9889</v>
      </c>
      <c r="Q3" s="152">
        <v>51.25</v>
      </c>
      <c r="R3" s="152">
        <v>43.46</v>
      </c>
      <c r="S3" s="152">
        <v>7.79</v>
      </c>
      <c r="T3" s="152">
        <v>1.2</v>
      </c>
      <c r="U3" s="152">
        <v>50.05</v>
      </c>
      <c r="V3" s="152">
        <v>40.07</v>
      </c>
      <c r="W3" s="152">
        <v>4.0397</v>
      </c>
      <c r="X3" s="152">
        <v>2.33</v>
      </c>
      <c r="Y3" s="152">
        <v>200.0</v>
      </c>
      <c r="Z3" s="152">
        <v>297.0</v>
      </c>
      <c r="AA3" s="152">
        <v>976.0</v>
      </c>
      <c r="AB3" s="152">
        <v>49.5469</v>
      </c>
      <c r="AC3" s="152">
        <v>0.5937</v>
      </c>
      <c r="AD3" s="152">
        <v>3.92</v>
      </c>
      <c r="AE3" s="152">
        <v>2.0</v>
      </c>
      <c r="AF3" s="152">
        <v>3.0</v>
      </c>
      <c r="AG3" s="152">
        <v>5.0</v>
      </c>
      <c r="AH3" s="152">
        <v>8.0</v>
      </c>
      <c r="AI3" s="152">
        <v>75.77</v>
      </c>
      <c r="AJ3" s="152">
        <v>34.1</v>
      </c>
      <c r="AK3" s="152">
        <v>5.2</v>
      </c>
      <c r="AL3" s="152">
        <v>0.5645</v>
      </c>
      <c r="AM3" s="153"/>
      <c r="AQ3" s="76">
        <v>2.8437</v>
      </c>
      <c r="AR3" s="76">
        <v>0.0441</v>
      </c>
      <c r="AS3" s="76">
        <v>2.7996</v>
      </c>
      <c r="AT3" s="76">
        <v>2.1497</v>
      </c>
      <c r="AU3" s="76">
        <v>0.2167</v>
      </c>
      <c r="AV3" s="76">
        <v>8408.0</v>
      </c>
      <c r="AW3" s="76">
        <v>0.0</v>
      </c>
      <c r="AX3" s="76">
        <v>25.1</v>
      </c>
      <c r="AY3" s="76">
        <v>22.64</v>
      </c>
      <c r="AZ3" s="76">
        <v>1.78</v>
      </c>
      <c r="BA3" s="76">
        <v>1.2</v>
      </c>
      <c r="BB3" s="76">
        <v>0.53</v>
      </c>
      <c r="BC3" s="76">
        <v>15.0</v>
      </c>
      <c r="BD3" s="76">
        <v>16950.0</v>
      </c>
      <c r="BE3" s="76">
        <v>1.6243</v>
      </c>
      <c r="BF3" s="76">
        <v>0.0307</v>
      </c>
      <c r="BG3" s="76">
        <v>1.5936</v>
      </c>
      <c r="BH3" s="76">
        <v>1.2104</v>
      </c>
      <c r="BI3" s="76">
        <v>0.122</v>
      </c>
      <c r="BJ3" s="76">
        <v>1.2194</v>
      </c>
      <c r="BK3" s="76">
        <v>0.0134</v>
      </c>
      <c r="BL3" s="76">
        <v>1.206</v>
      </c>
      <c r="BM3" s="76">
        <v>0.9393</v>
      </c>
      <c r="BN3" s="76">
        <v>0.0947</v>
      </c>
      <c r="BO3" s="76">
        <v>0.5827</v>
      </c>
      <c r="BP3" s="76">
        <v>0.0094</v>
      </c>
      <c r="BQ3" s="76">
        <v>0.5733</v>
      </c>
      <c r="BR3" s="76">
        <v>0.4811</v>
      </c>
      <c r="BS3" s="76">
        <v>0.7041</v>
      </c>
      <c r="BT3" s="76">
        <v>0.0087</v>
      </c>
      <c r="BU3" s="76">
        <v>0.6954</v>
      </c>
      <c r="BV3" s="76">
        <v>0.4635</v>
      </c>
      <c r="BW3" s="76">
        <v>0.3375</v>
      </c>
      <c r="BX3" s="76">
        <v>0.0126</v>
      </c>
      <c r="BY3" s="76">
        <v>0.3249</v>
      </c>
      <c r="BZ3" s="76">
        <v>0.2658</v>
      </c>
      <c r="CA3" s="76">
        <v>0.3164</v>
      </c>
      <c r="CB3" s="76">
        <v>0.0031</v>
      </c>
      <c r="CC3" s="76">
        <v>0.3133</v>
      </c>
      <c r="CD3" s="76">
        <v>0.2086</v>
      </c>
      <c r="CE3" s="76">
        <v>0.4773</v>
      </c>
      <c r="CF3" s="76">
        <v>0.0057</v>
      </c>
      <c r="CG3" s="76">
        <v>0.4716</v>
      </c>
      <c r="CH3" s="76">
        <v>0.4001</v>
      </c>
      <c r="CI3" s="76">
        <v>0.4258</v>
      </c>
      <c r="CJ3" s="76">
        <v>0.0046</v>
      </c>
      <c r="CK3" s="76">
        <v>0.4211</v>
      </c>
      <c r="CL3" s="76">
        <v>0.3306</v>
      </c>
      <c r="CM3" s="76">
        <v>67.32</v>
      </c>
      <c r="CN3" s="76">
        <v>59.07</v>
      </c>
      <c r="CO3" s="76">
        <v>113.95</v>
      </c>
      <c r="CP3" s="76">
        <v>63.13</v>
      </c>
      <c r="CQ3" s="76">
        <v>0.0</v>
      </c>
      <c r="CR3" s="76">
        <v>3.16</v>
      </c>
      <c r="CS3" s="76">
        <v>1.03</v>
      </c>
      <c r="CT3" s="76">
        <v>0.0</v>
      </c>
      <c r="CU3" s="76">
        <v>0.0</v>
      </c>
      <c r="CV3" s="76">
        <v>0.0</v>
      </c>
      <c r="CW3" s="76">
        <v>51.25</v>
      </c>
      <c r="CX3" s="76">
        <v>0.0</v>
      </c>
      <c r="CY3" s="76">
        <v>0.0</v>
      </c>
    </row>
    <row r="4">
      <c r="A4" s="151">
        <v>46230.0</v>
      </c>
      <c r="B4" s="152" t="s">
        <v>4</v>
      </c>
      <c r="C4" s="152" t="s">
        <v>148</v>
      </c>
      <c r="D4" s="152">
        <v>6323.0</v>
      </c>
      <c r="E4" s="152">
        <v>23.16</v>
      </c>
      <c r="F4" s="152">
        <v>355.46</v>
      </c>
      <c r="G4" s="152">
        <v>0.0562</v>
      </c>
      <c r="H4" s="152">
        <v>1.79</v>
      </c>
      <c r="I4" s="152">
        <v>3.1457</v>
      </c>
      <c r="J4" s="152">
        <v>40.13</v>
      </c>
      <c r="K4" s="152">
        <v>22.11</v>
      </c>
      <c r="L4" s="152">
        <v>13.52</v>
      </c>
      <c r="M4" s="152">
        <v>0.6112</v>
      </c>
      <c r="N4" s="152">
        <v>0.5117</v>
      </c>
      <c r="O4" s="152">
        <v>0.3088</v>
      </c>
      <c r="P4" s="152">
        <v>1.6362</v>
      </c>
      <c r="Q4" s="152">
        <v>110.2</v>
      </c>
      <c r="R4" s="152">
        <v>85.96</v>
      </c>
      <c r="S4" s="152">
        <v>24.23</v>
      </c>
      <c r="T4" s="152">
        <v>4.23</v>
      </c>
      <c r="U4" s="152">
        <v>105.97</v>
      </c>
      <c r="V4" s="152">
        <v>97.08</v>
      </c>
      <c r="W4" s="152">
        <v>4.3902</v>
      </c>
      <c r="X4" s="152">
        <v>3.84</v>
      </c>
      <c r="Y4" s="152">
        <v>246.0</v>
      </c>
      <c r="Z4" s="152">
        <v>400.0</v>
      </c>
      <c r="AA4" s="152">
        <v>1241.0</v>
      </c>
      <c r="AB4" s="152">
        <v>51.7513</v>
      </c>
      <c r="AC4" s="152">
        <v>0.6662</v>
      </c>
      <c r="AD4" s="152">
        <v>9.66</v>
      </c>
      <c r="AE4" s="152">
        <v>4.0</v>
      </c>
      <c r="AF4" s="152">
        <v>9.0</v>
      </c>
      <c r="AG4" s="152">
        <v>13.0</v>
      </c>
      <c r="AH4" s="152">
        <v>18.0</v>
      </c>
      <c r="AI4" s="152">
        <v>67.48</v>
      </c>
      <c r="AJ4" s="152">
        <v>28.25</v>
      </c>
      <c r="AK4" s="152">
        <v>2.88</v>
      </c>
      <c r="AL4" s="152">
        <v>0.3788</v>
      </c>
      <c r="AM4" s="153"/>
      <c r="AQ4" s="76">
        <v>6.5192</v>
      </c>
      <c r="AR4" s="76">
        <v>0.1129</v>
      </c>
      <c r="AS4" s="76">
        <v>6.4063</v>
      </c>
      <c r="AT4" s="76">
        <v>4.9125</v>
      </c>
      <c r="AU4" s="76">
        <v>0.2222</v>
      </c>
      <c r="AV4" s="76">
        <v>6323.0</v>
      </c>
      <c r="AW4" s="76">
        <v>0.0</v>
      </c>
      <c r="AX4" s="76">
        <v>58.05</v>
      </c>
      <c r="AY4" s="76">
        <v>43.7</v>
      </c>
      <c r="AZ4" s="76">
        <v>3.13</v>
      </c>
      <c r="BA4" s="76">
        <v>4.22</v>
      </c>
      <c r="BB4" s="76">
        <v>1.09</v>
      </c>
      <c r="BC4" s="76">
        <v>34.0</v>
      </c>
      <c r="BD4" s="76">
        <v>21380.0</v>
      </c>
      <c r="BE4" s="76">
        <v>3.8363</v>
      </c>
      <c r="BF4" s="76">
        <v>0.0759</v>
      </c>
      <c r="BG4" s="76">
        <v>3.7604</v>
      </c>
      <c r="BH4" s="76">
        <v>2.6655</v>
      </c>
      <c r="BI4" s="76">
        <v>0.1205</v>
      </c>
      <c r="BJ4" s="76">
        <v>2.6829</v>
      </c>
      <c r="BK4" s="76">
        <v>0.037</v>
      </c>
      <c r="BL4" s="76">
        <v>2.6459</v>
      </c>
      <c r="BM4" s="76">
        <v>2.247</v>
      </c>
      <c r="BN4" s="76">
        <v>0.1016</v>
      </c>
      <c r="BO4" s="76">
        <v>1.4316</v>
      </c>
      <c r="BP4" s="76">
        <v>0.0263</v>
      </c>
      <c r="BQ4" s="76">
        <v>1.4053</v>
      </c>
      <c r="BR4" s="76">
        <v>1.0538</v>
      </c>
      <c r="BS4" s="76">
        <v>1.6592</v>
      </c>
      <c r="BT4" s="76">
        <v>0.0153</v>
      </c>
      <c r="BU4" s="76">
        <v>1.6438</v>
      </c>
      <c r="BV4" s="76">
        <v>1.0348</v>
      </c>
      <c r="BW4" s="76">
        <v>0.7455</v>
      </c>
      <c r="BX4" s="76">
        <v>0.0343</v>
      </c>
      <c r="BY4" s="76">
        <v>0.7112</v>
      </c>
      <c r="BZ4" s="76">
        <v>0.5769</v>
      </c>
      <c r="CA4" s="76">
        <v>0.6053</v>
      </c>
      <c r="CB4" s="76">
        <v>0.0074</v>
      </c>
      <c r="CC4" s="76">
        <v>0.5978</v>
      </c>
      <c r="CD4" s="76">
        <v>0.5402</v>
      </c>
      <c r="CE4" s="76">
        <v>1.0514</v>
      </c>
      <c r="CF4" s="76">
        <v>0.016</v>
      </c>
      <c r="CG4" s="76">
        <v>1.0354</v>
      </c>
      <c r="CH4" s="76">
        <v>0.8743</v>
      </c>
      <c r="CI4" s="76">
        <v>1.0263</v>
      </c>
      <c r="CJ4" s="76">
        <v>0.0136</v>
      </c>
      <c r="CK4" s="76">
        <v>1.0127</v>
      </c>
      <c r="CL4" s="76">
        <v>0.8325</v>
      </c>
      <c r="CM4" s="76">
        <v>158.53</v>
      </c>
      <c r="CN4" s="76">
        <v>79.84</v>
      </c>
      <c r="CO4" s="76">
        <v>198.57</v>
      </c>
      <c r="CP4" s="76">
        <v>151.38</v>
      </c>
      <c r="CQ4" s="76">
        <v>0.0</v>
      </c>
      <c r="CR4" s="76">
        <v>3.94</v>
      </c>
      <c r="CS4" s="76">
        <v>3.21</v>
      </c>
      <c r="CT4" s="76">
        <v>0.0</v>
      </c>
      <c r="CU4" s="76">
        <v>0.0</v>
      </c>
      <c r="CV4" s="76">
        <v>0.0</v>
      </c>
      <c r="CW4" s="76">
        <v>110.2</v>
      </c>
      <c r="CX4" s="76">
        <v>0.0</v>
      </c>
      <c r="CY4" s="76">
        <v>0.0</v>
      </c>
    </row>
    <row r="5">
      <c r="A5" s="151">
        <v>46230.0</v>
      </c>
      <c r="B5" s="152" t="s">
        <v>4</v>
      </c>
      <c r="C5" s="152" t="s">
        <v>149</v>
      </c>
      <c r="D5" s="152">
        <v>4762.0</v>
      </c>
      <c r="E5" s="152">
        <v>17.45</v>
      </c>
      <c r="F5" s="152">
        <v>810.12</v>
      </c>
      <c r="G5" s="152">
        <v>0.1701</v>
      </c>
      <c r="H5" s="152">
        <v>2.86</v>
      </c>
      <c r="I5" s="152">
        <v>5.9568</v>
      </c>
      <c r="J5" s="152">
        <v>62.5</v>
      </c>
      <c r="K5" s="152">
        <v>35.94</v>
      </c>
      <c r="L5" s="152">
        <v>26.01</v>
      </c>
      <c r="M5" s="152">
        <v>0.7237</v>
      </c>
      <c r="N5" s="152">
        <v>0.4058</v>
      </c>
      <c r="O5" s="152">
        <v>0.2658</v>
      </c>
      <c r="P5" s="152">
        <v>1.3818</v>
      </c>
      <c r="Q5" s="152">
        <v>194.5</v>
      </c>
      <c r="R5" s="152">
        <v>145.26</v>
      </c>
      <c r="S5" s="152">
        <v>49.23</v>
      </c>
      <c r="T5" s="152">
        <v>14.52</v>
      </c>
      <c r="U5" s="152">
        <v>179.98</v>
      </c>
      <c r="V5" s="152">
        <v>175.12</v>
      </c>
      <c r="W5" s="152">
        <v>4.8722</v>
      </c>
      <c r="X5" s="152">
        <v>7.47</v>
      </c>
      <c r="Y5" s="152">
        <v>295.0</v>
      </c>
      <c r="Z5" s="152">
        <v>482.0</v>
      </c>
      <c r="AA5" s="152">
        <v>1160.0</v>
      </c>
      <c r="AB5" s="152">
        <v>53.2659</v>
      </c>
      <c r="AC5" s="152">
        <v>0.7333</v>
      </c>
      <c r="AD5" s="152">
        <v>16.94</v>
      </c>
      <c r="AE5" s="152">
        <v>7.0</v>
      </c>
      <c r="AF5" s="152">
        <v>14.0</v>
      </c>
      <c r="AG5" s="152">
        <v>24.0</v>
      </c>
      <c r="AH5" s="152">
        <v>33.0</v>
      </c>
      <c r="AI5" s="152">
        <v>61.61</v>
      </c>
      <c r="AJ5" s="152">
        <v>21.78</v>
      </c>
      <c r="AK5" s="152">
        <v>3.72</v>
      </c>
      <c r="AL5" s="152">
        <v>0.3087</v>
      </c>
      <c r="AM5" s="153"/>
      <c r="AQ5" s="76">
        <v>10.6436</v>
      </c>
      <c r="AR5" s="76">
        <v>0.2587</v>
      </c>
      <c r="AS5" s="76">
        <v>10.3849</v>
      </c>
      <c r="AT5" s="76">
        <v>7.9584</v>
      </c>
      <c r="AU5" s="76">
        <v>0.2214</v>
      </c>
      <c r="AV5" s="76">
        <v>4762.0</v>
      </c>
      <c r="AW5" s="76">
        <v>0.0</v>
      </c>
      <c r="AX5" s="76">
        <v>104.43</v>
      </c>
      <c r="AY5" s="76">
        <v>70.38</v>
      </c>
      <c r="AZ5" s="76">
        <v>3.0</v>
      </c>
      <c r="BA5" s="76">
        <v>14.52</v>
      </c>
      <c r="BB5" s="76">
        <v>2.17</v>
      </c>
      <c r="BC5" s="76">
        <v>60.0</v>
      </c>
      <c r="BD5" s="76">
        <v>17984.0</v>
      </c>
      <c r="BE5" s="76">
        <v>6.278</v>
      </c>
      <c r="BF5" s="76">
        <v>0.1562</v>
      </c>
      <c r="BG5" s="76">
        <v>6.1218</v>
      </c>
      <c r="BH5" s="76">
        <v>4.219</v>
      </c>
      <c r="BI5" s="76">
        <v>0.1174</v>
      </c>
      <c r="BJ5" s="76">
        <v>4.3656</v>
      </c>
      <c r="BK5" s="76">
        <v>0.1025</v>
      </c>
      <c r="BL5" s="76">
        <v>4.2631</v>
      </c>
      <c r="BM5" s="76">
        <v>3.7394</v>
      </c>
      <c r="BN5" s="76">
        <v>0.104</v>
      </c>
      <c r="BO5" s="76">
        <v>2.1703</v>
      </c>
      <c r="BP5" s="76">
        <v>0.0493</v>
      </c>
      <c r="BQ5" s="76">
        <v>2.121</v>
      </c>
      <c r="BR5" s="76">
        <v>1.5779</v>
      </c>
      <c r="BS5" s="76">
        <v>2.8205</v>
      </c>
      <c r="BT5" s="76">
        <v>0.0449</v>
      </c>
      <c r="BU5" s="76">
        <v>2.7755</v>
      </c>
      <c r="BV5" s="76">
        <v>1.7476</v>
      </c>
      <c r="BW5" s="76">
        <v>1.2873</v>
      </c>
      <c r="BX5" s="76">
        <v>0.0619</v>
      </c>
      <c r="BY5" s="76">
        <v>1.2253</v>
      </c>
      <c r="BZ5" s="76">
        <v>0.8935</v>
      </c>
      <c r="CA5" s="76">
        <v>0.9015</v>
      </c>
      <c r="CB5" s="76">
        <v>0.0269</v>
      </c>
      <c r="CC5" s="76">
        <v>0.8746</v>
      </c>
      <c r="CD5" s="76">
        <v>0.8322</v>
      </c>
      <c r="CE5" s="76">
        <v>1.7075</v>
      </c>
      <c r="CF5" s="76">
        <v>0.0422</v>
      </c>
      <c r="CG5" s="76">
        <v>1.6653</v>
      </c>
      <c r="CH5" s="76">
        <v>1.4454</v>
      </c>
      <c r="CI5" s="76">
        <v>1.7566</v>
      </c>
      <c r="CJ5" s="76">
        <v>0.0334</v>
      </c>
      <c r="CK5" s="76">
        <v>1.7232</v>
      </c>
      <c r="CL5" s="76">
        <v>1.4618</v>
      </c>
      <c r="CM5" s="76">
        <v>291.41</v>
      </c>
      <c r="CN5" s="76">
        <v>91.85</v>
      </c>
      <c r="CO5" s="76">
        <v>317.26</v>
      </c>
      <c r="CP5" s="76">
        <v>280.24</v>
      </c>
      <c r="CQ5" s="76">
        <v>0.05</v>
      </c>
      <c r="CR5" s="76">
        <v>5.44</v>
      </c>
      <c r="CS5" s="76">
        <v>5.68</v>
      </c>
      <c r="CT5" s="76">
        <v>0.0</v>
      </c>
      <c r="CU5" s="76">
        <v>1.0</v>
      </c>
      <c r="CV5" s="76">
        <v>0.0</v>
      </c>
      <c r="CW5" s="76">
        <v>194.5</v>
      </c>
      <c r="CX5" s="76">
        <v>0.0</v>
      </c>
      <c r="CY5" s="76">
        <v>0.05</v>
      </c>
    </row>
    <row r="6">
      <c r="A6" s="151">
        <v>46230.0</v>
      </c>
      <c r="B6" s="152" t="s">
        <v>4</v>
      </c>
      <c r="C6" s="152" t="s">
        <v>150</v>
      </c>
      <c r="D6" s="152">
        <v>3044.0</v>
      </c>
      <c r="E6" s="152">
        <v>11.15</v>
      </c>
      <c r="F6" s="152">
        <v>729.96</v>
      </c>
      <c r="G6" s="152">
        <v>0.2398</v>
      </c>
      <c r="H6" s="152">
        <v>3.94</v>
      </c>
      <c r="I6" s="152">
        <v>6.083</v>
      </c>
      <c r="J6" s="152">
        <v>120.43</v>
      </c>
      <c r="K6" s="152">
        <v>73.8</v>
      </c>
      <c r="L6" s="152">
        <v>55.81</v>
      </c>
      <c r="M6" s="152">
        <v>0.7562</v>
      </c>
      <c r="N6" s="152">
        <v>0.3552</v>
      </c>
      <c r="O6" s="152">
        <v>0.2333</v>
      </c>
      <c r="P6" s="152">
        <v>1.3225</v>
      </c>
      <c r="Q6" s="152">
        <v>367.79</v>
      </c>
      <c r="R6" s="152">
        <v>257.89</v>
      </c>
      <c r="S6" s="152">
        <v>109.89</v>
      </c>
      <c r="T6" s="152">
        <v>20.15</v>
      </c>
      <c r="U6" s="152">
        <v>347.63</v>
      </c>
      <c r="V6" s="152">
        <v>348.18</v>
      </c>
      <c r="W6" s="152">
        <v>4.7176</v>
      </c>
      <c r="X6" s="152">
        <v>5.48</v>
      </c>
      <c r="Y6" s="152">
        <v>382.0</v>
      </c>
      <c r="Z6" s="152">
        <v>632.0</v>
      </c>
      <c r="AA6" s="152">
        <v>1569.0</v>
      </c>
      <c r="AB6" s="152">
        <v>55.2403</v>
      </c>
      <c r="AC6" s="152">
        <v>0.751</v>
      </c>
      <c r="AD6" s="152">
        <v>30.76</v>
      </c>
      <c r="AE6" s="152">
        <v>12.0</v>
      </c>
      <c r="AF6" s="152">
        <v>24.0</v>
      </c>
      <c r="AG6" s="152">
        <v>43.0</v>
      </c>
      <c r="AH6" s="152">
        <v>63.0</v>
      </c>
      <c r="AI6" s="152">
        <v>45.07</v>
      </c>
      <c r="AJ6" s="152">
        <v>11.53</v>
      </c>
      <c r="AK6" s="152">
        <v>2.14</v>
      </c>
      <c r="AL6" s="152">
        <v>0.1643</v>
      </c>
      <c r="AM6" s="153"/>
      <c r="AQ6" s="76">
        <v>18.2789</v>
      </c>
      <c r="AR6" s="76">
        <v>0.3223</v>
      </c>
      <c r="AS6" s="76">
        <v>17.9566</v>
      </c>
      <c r="AT6" s="76">
        <v>14.7559</v>
      </c>
      <c r="AU6" s="76">
        <v>0.1999</v>
      </c>
      <c r="AV6" s="76">
        <v>3044.0</v>
      </c>
      <c r="AW6" s="76">
        <v>0.0</v>
      </c>
      <c r="AX6" s="76">
        <v>209.88</v>
      </c>
      <c r="AY6" s="76">
        <v>128.01</v>
      </c>
      <c r="AZ6" s="76">
        <v>4.24</v>
      </c>
      <c r="BA6" s="76">
        <v>20.15</v>
      </c>
      <c r="BB6" s="76">
        <v>5.5</v>
      </c>
      <c r="BC6" s="76">
        <v>119.0</v>
      </c>
      <c r="BD6" s="76">
        <v>18840.0</v>
      </c>
      <c r="BE6" s="76">
        <v>10.6015</v>
      </c>
      <c r="BF6" s="76">
        <v>0.1577</v>
      </c>
      <c r="BG6" s="76">
        <v>10.4438</v>
      </c>
      <c r="BH6" s="76">
        <v>7.4767</v>
      </c>
      <c r="BI6" s="76">
        <v>0.1013</v>
      </c>
      <c r="BJ6" s="76">
        <v>7.6774</v>
      </c>
      <c r="BK6" s="76">
        <v>0.1646</v>
      </c>
      <c r="BL6" s="76">
        <v>7.5128</v>
      </c>
      <c r="BM6" s="76">
        <v>7.2792</v>
      </c>
      <c r="BN6" s="76">
        <v>0.0986</v>
      </c>
      <c r="BO6" s="76">
        <v>3.9402</v>
      </c>
      <c r="BP6" s="76">
        <v>0.0457</v>
      </c>
      <c r="BQ6" s="76">
        <v>3.8945</v>
      </c>
      <c r="BR6" s="76">
        <v>2.7684</v>
      </c>
      <c r="BS6" s="76">
        <v>4.6659</v>
      </c>
      <c r="BT6" s="76">
        <v>0.0506</v>
      </c>
      <c r="BU6" s="76">
        <v>4.6153</v>
      </c>
      <c r="BV6" s="76">
        <v>3.1557</v>
      </c>
      <c r="BW6" s="76">
        <v>1.9954</v>
      </c>
      <c r="BX6" s="76">
        <v>0.0614</v>
      </c>
      <c r="BY6" s="76">
        <v>1.934</v>
      </c>
      <c r="BZ6" s="76">
        <v>1.5526</v>
      </c>
      <c r="CA6" s="76">
        <v>1.6616</v>
      </c>
      <c r="CB6" s="76">
        <v>0.0532</v>
      </c>
      <c r="CC6" s="76">
        <v>1.6084</v>
      </c>
      <c r="CD6" s="76">
        <v>1.7057</v>
      </c>
      <c r="CE6" s="76">
        <v>2.8328</v>
      </c>
      <c r="CF6" s="76">
        <v>0.066</v>
      </c>
      <c r="CG6" s="76">
        <v>2.7668</v>
      </c>
      <c r="CH6" s="76">
        <v>2.6468</v>
      </c>
      <c r="CI6" s="76">
        <v>3.183</v>
      </c>
      <c r="CJ6" s="76">
        <v>0.0453</v>
      </c>
      <c r="CK6" s="76">
        <v>3.1376</v>
      </c>
      <c r="CL6" s="76">
        <v>2.9267</v>
      </c>
      <c r="CM6" s="76">
        <v>639.6</v>
      </c>
      <c r="CN6" s="76">
        <v>99.34</v>
      </c>
      <c r="CO6" s="76">
        <v>643.83</v>
      </c>
      <c r="CP6" s="76">
        <v>622.53</v>
      </c>
      <c r="CQ6" s="76">
        <v>0.0</v>
      </c>
      <c r="CR6" s="76">
        <v>8.12</v>
      </c>
      <c r="CS6" s="76">
        <v>8.95</v>
      </c>
      <c r="CT6" s="76">
        <v>0.0</v>
      </c>
      <c r="CU6" s="76">
        <v>0.0</v>
      </c>
      <c r="CV6" s="76">
        <v>0.0</v>
      </c>
      <c r="CW6" s="76">
        <v>367.79</v>
      </c>
      <c r="CX6" s="76">
        <v>0.0</v>
      </c>
      <c r="CY6" s="76">
        <v>0.0</v>
      </c>
    </row>
    <row r="7">
      <c r="A7" s="151">
        <v>46230.0</v>
      </c>
      <c r="B7" s="152" t="s">
        <v>4</v>
      </c>
      <c r="C7" s="152" t="s">
        <v>151</v>
      </c>
      <c r="D7" s="152">
        <v>441.0</v>
      </c>
      <c r="E7" s="152">
        <v>1.62</v>
      </c>
      <c r="F7" s="152">
        <v>129.73</v>
      </c>
      <c r="G7" s="152">
        <v>0.2942</v>
      </c>
      <c r="H7" s="152">
        <v>6.12</v>
      </c>
      <c r="I7" s="152">
        <v>4.8048</v>
      </c>
      <c r="J7" s="152">
        <v>247.04</v>
      </c>
      <c r="K7" s="152">
        <v>169.1</v>
      </c>
      <c r="L7" s="152">
        <v>129.78</v>
      </c>
      <c r="M7" s="152">
        <v>0.7675</v>
      </c>
      <c r="N7" s="152">
        <v>0.3191</v>
      </c>
      <c r="O7" s="152">
        <v>0.2023</v>
      </c>
      <c r="P7" s="152">
        <v>1.3029</v>
      </c>
      <c r="Q7" s="152">
        <v>754.03</v>
      </c>
      <c r="R7" s="152">
        <v>482.2</v>
      </c>
      <c r="S7" s="152">
        <v>271.83</v>
      </c>
      <c r="T7" s="152">
        <v>32.09</v>
      </c>
      <c r="U7" s="152">
        <v>721.94</v>
      </c>
      <c r="V7" s="152">
        <v>736.51</v>
      </c>
      <c r="W7" s="152">
        <v>4.3554</v>
      </c>
      <c r="X7" s="152">
        <v>4.26</v>
      </c>
      <c r="Y7" s="152">
        <v>470.0</v>
      </c>
      <c r="Z7" s="152">
        <v>783.0</v>
      </c>
      <c r="AA7" s="152">
        <v>1510.0</v>
      </c>
      <c r="AB7" s="152">
        <v>57.4282</v>
      </c>
      <c r="AC7" s="152">
        <v>0.7907</v>
      </c>
      <c r="AD7" s="152">
        <v>60.36</v>
      </c>
      <c r="AE7" s="152">
        <v>24.0</v>
      </c>
      <c r="AF7" s="152">
        <v>43.0</v>
      </c>
      <c r="AG7" s="152">
        <v>83.0</v>
      </c>
      <c r="AH7" s="152">
        <v>133.0</v>
      </c>
      <c r="AI7" s="152">
        <v>26.08</v>
      </c>
      <c r="AJ7" s="152">
        <v>4.54</v>
      </c>
      <c r="AK7" s="152">
        <v>0.68</v>
      </c>
      <c r="AL7" s="152">
        <v>0.0975</v>
      </c>
      <c r="AM7" s="153"/>
      <c r="AQ7" s="76">
        <v>36.6848</v>
      </c>
      <c r="AR7" s="76">
        <v>0.4807</v>
      </c>
      <c r="AS7" s="76">
        <v>36.2041</v>
      </c>
      <c r="AT7" s="76">
        <v>32.8571</v>
      </c>
      <c r="AU7" s="76">
        <v>0.1943</v>
      </c>
      <c r="AV7" s="76">
        <v>441.0</v>
      </c>
      <c r="AW7" s="76">
        <v>0.0</v>
      </c>
      <c r="AX7" s="76">
        <v>473.38</v>
      </c>
      <c r="AY7" s="76">
        <v>229.5</v>
      </c>
      <c r="AZ7" s="76">
        <v>5.68</v>
      </c>
      <c r="BA7" s="76">
        <v>32.09</v>
      </c>
      <c r="BB7" s="76">
        <v>13.38</v>
      </c>
      <c r="BC7" s="76">
        <v>244.0</v>
      </c>
      <c r="BD7" s="76">
        <v>13513.0</v>
      </c>
      <c r="BE7" s="76">
        <v>21.542</v>
      </c>
      <c r="BF7" s="76">
        <v>0.1837</v>
      </c>
      <c r="BG7" s="76">
        <v>21.3583</v>
      </c>
      <c r="BH7" s="76">
        <v>16.9116</v>
      </c>
      <c r="BI7" s="76">
        <v>0.1</v>
      </c>
      <c r="BJ7" s="76">
        <v>15.1429</v>
      </c>
      <c r="BK7" s="76">
        <v>0.2971</v>
      </c>
      <c r="BL7" s="76">
        <v>14.8458</v>
      </c>
      <c r="BM7" s="76">
        <v>15.9456</v>
      </c>
      <c r="BN7" s="76">
        <v>0.0943</v>
      </c>
      <c r="BO7" s="76">
        <v>8.263</v>
      </c>
      <c r="BP7" s="76">
        <v>0.0567</v>
      </c>
      <c r="BQ7" s="76">
        <v>8.2063</v>
      </c>
      <c r="BR7" s="76">
        <v>6.3741</v>
      </c>
      <c r="BS7" s="76">
        <v>9.3968</v>
      </c>
      <c r="BT7" s="76">
        <v>0.0431</v>
      </c>
      <c r="BU7" s="76">
        <v>9.3537</v>
      </c>
      <c r="BV7" s="76">
        <v>7.0975</v>
      </c>
      <c r="BW7" s="76">
        <v>3.8821</v>
      </c>
      <c r="BX7" s="76">
        <v>0.0839</v>
      </c>
      <c r="BY7" s="76">
        <v>3.7982</v>
      </c>
      <c r="BZ7" s="76">
        <v>3.4399</v>
      </c>
      <c r="CA7" s="76">
        <v>3.3946</v>
      </c>
      <c r="CB7" s="76">
        <v>0.0612</v>
      </c>
      <c r="CC7" s="76">
        <v>3.3333</v>
      </c>
      <c r="CD7" s="76">
        <v>4.4603</v>
      </c>
      <c r="CE7" s="76">
        <v>5.4603</v>
      </c>
      <c r="CF7" s="76">
        <v>0.1383</v>
      </c>
      <c r="CG7" s="76">
        <v>5.322</v>
      </c>
      <c r="CH7" s="76">
        <v>5.6236</v>
      </c>
      <c r="CI7" s="76">
        <v>6.288</v>
      </c>
      <c r="CJ7" s="76">
        <v>0.0975</v>
      </c>
      <c r="CK7" s="76">
        <v>6.1905</v>
      </c>
      <c r="CL7" s="76">
        <v>5.8617</v>
      </c>
      <c r="CM7" s="76">
        <v>1476.82</v>
      </c>
      <c r="CN7" s="76">
        <v>99.77</v>
      </c>
      <c r="CO7" s="76">
        <v>1480.18</v>
      </c>
      <c r="CP7" s="76">
        <v>1450.12</v>
      </c>
      <c r="CQ7" s="76">
        <v>0.0</v>
      </c>
      <c r="CR7" s="76">
        <v>12.83</v>
      </c>
      <c r="CS7" s="76">
        <v>13.86</v>
      </c>
      <c r="CT7" s="76">
        <v>0.0</v>
      </c>
      <c r="CU7" s="76">
        <v>0.0</v>
      </c>
      <c r="CV7" s="76">
        <v>0.0</v>
      </c>
      <c r="CW7" s="76">
        <v>754.03</v>
      </c>
      <c r="CX7" s="76">
        <v>0.0</v>
      </c>
      <c r="CY7" s="76">
        <v>0.0</v>
      </c>
    </row>
    <row r="8">
      <c r="A8" s="151">
        <v>46230.0</v>
      </c>
      <c r="B8" s="152" t="s">
        <v>5</v>
      </c>
      <c r="C8" s="152" t="s">
        <v>316</v>
      </c>
      <c r="D8" s="152">
        <v>4459.0</v>
      </c>
      <c r="E8" s="152">
        <v>16.23</v>
      </c>
      <c r="F8" s="152">
        <v>96.12</v>
      </c>
      <c r="G8" s="152">
        <v>0.0216</v>
      </c>
      <c r="H8" s="152">
        <v>0.04</v>
      </c>
      <c r="I8" s="152">
        <v>48.06</v>
      </c>
      <c r="J8" s="152">
        <v>3.8</v>
      </c>
      <c r="K8" s="152">
        <v>1.5</v>
      </c>
      <c r="L8" s="152">
        <v>0.11</v>
      </c>
      <c r="M8" s="152">
        <v>0.0712</v>
      </c>
      <c r="N8" s="152">
        <v>0.9403</v>
      </c>
      <c r="O8" s="152">
        <v>0.6331</v>
      </c>
      <c r="P8" s="152">
        <v>14.0504</v>
      </c>
      <c r="Q8" s="152">
        <v>20.72</v>
      </c>
      <c r="R8" s="152">
        <v>20.61</v>
      </c>
      <c r="S8" s="152">
        <v>0.11</v>
      </c>
      <c r="T8" s="152">
        <v>2.94</v>
      </c>
      <c r="U8" s="152">
        <v>17.78</v>
      </c>
      <c r="V8" s="152">
        <v>2.57</v>
      </c>
      <c r="W8" s="152">
        <v>1.712</v>
      </c>
      <c r="X8" s="152">
        <v>14.18</v>
      </c>
      <c r="Y8" s="152">
        <v>200.0</v>
      </c>
      <c r="Z8" s="152">
        <v>303.0</v>
      </c>
      <c r="AA8" s="152">
        <v>1933.0</v>
      </c>
      <c r="AB8" s="152">
        <v>49.4995</v>
      </c>
      <c r="AC8" s="152">
        <v>0.5721</v>
      </c>
      <c r="AD8" s="153"/>
      <c r="AE8" s="153"/>
      <c r="AF8" s="153"/>
      <c r="AG8" s="153"/>
      <c r="AH8" s="153"/>
      <c r="AI8" s="152">
        <v>0.0</v>
      </c>
      <c r="AJ8" s="152">
        <v>0.0</v>
      </c>
      <c r="AK8" s="152">
        <v>0.0</v>
      </c>
      <c r="AL8" s="152">
        <v>0.6575</v>
      </c>
      <c r="AM8" s="152">
        <v>0.34</v>
      </c>
      <c r="AN8" s="76">
        <v>0.34</v>
      </c>
      <c r="AO8" s="76">
        <v>0.07</v>
      </c>
      <c r="AP8" s="76">
        <v>0.02</v>
      </c>
      <c r="AQ8" s="76">
        <v>0.9942</v>
      </c>
      <c r="AR8" s="76">
        <v>0.0713</v>
      </c>
      <c r="AS8" s="76">
        <v>0.9229</v>
      </c>
      <c r="AT8" s="76">
        <v>0.2945</v>
      </c>
      <c r="AU8" s="76">
        <v>0.1963</v>
      </c>
      <c r="AV8" s="76">
        <v>4459.0</v>
      </c>
      <c r="AW8" s="76">
        <v>0.0</v>
      </c>
      <c r="AX8" s="76">
        <v>6.38</v>
      </c>
      <c r="AY8" s="76">
        <v>10.64</v>
      </c>
      <c r="AZ8" s="76">
        <v>0.64</v>
      </c>
      <c r="BA8" s="76">
        <v>2.94</v>
      </c>
      <c r="BB8" s="76">
        <v>0.11</v>
      </c>
      <c r="BD8" s="76">
        <v>24888.0</v>
      </c>
      <c r="BE8" s="76">
        <v>0.4355</v>
      </c>
      <c r="BF8" s="76">
        <v>0.035</v>
      </c>
      <c r="BG8" s="76">
        <v>0.4005</v>
      </c>
      <c r="BH8" s="76">
        <v>0.1812</v>
      </c>
      <c r="BI8" s="76">
        <v>0.1208</v>
      </c>
      <c r="BJ8" s="76">
        <v>0.5586</v>
      </c>
      <c r="BK8" s="76">
        <v>0.0363</v>
      </c>
      <c r="BL8" s="76">
        <v>0.5223</v>
      </c>
      <c r="BM8" s="76">
        <v>0.1133</v>
      </c>
      <c r="BN8" s="76">
        <v>0.0755</v>
      </c>
      <c r="BO8" s="76">
        <v>0.1529</v>
      </c>
      <c r="BP8" s="76">
        <v>0.0119</v>
      </c>
      <c r="BQ8" s="76">
        <v>0.1411</v>
      </c>
      <c r="BR8" s="76">
        <v>0.0724</v>
      </c>
      <c r="BS8" s="76">
        <v>0.1722</v>
      </c>
      <c r="BT8" s="76">
        <v>0.0112</v>
      </c>
      <c r="BU8" s="76">
        <v>0.161</v>
      </c>
      <c r="BV8" s="76">
        <v>0.0718</v>
      </c>
      <c r="BW8" s="76">
        <v>0.1103</v>
      </c>
      <c r="BX8" s="76">
        <v>0.0119</v>
      </c>
      <c r="BY8" s="76">
        <v>0.0985</v>
      </c>
      <c r="BZ8" s="76">
        <v>0.037</v>
      </c>
      <c r="CA8" s="76">
        <v>0.131</v>
      </c>
      <c r="CB8" s="76">
        <v>0.0112</v>
      </c>
      <c r="CC8" s="76">
        <v>0.1198</v>
      </c>
      <c r="CD8" s="76">
        <v>0.0191</v>
      </c>
      <c r="CE8" s="76">
        <v>0.2339</v>
      </c>
      <c r="CF8" s="76">
        <v>0.0132</v>
      </c>
      <c r="CG8" s="76">
        <v>0.2207</v>
      </c>
      <c r="CH8" s="76">
        <v>0.0478</v>
      </c>
      <c r="CI8" s="76">
        <v>0.1938</v>
      </c>
      <c r="CJ8" s="76">
        <v>0.0119</v>
      </c>
      <c r="CK8" s="76">
        <v>0.1819</v>
      </c>
      <c r="CL8" s="76">
        <v>0.0464</v>
      </c>
      <c r="CM8" s="76">
        <v>11.4</v>
      </c>
      <c r="CN8" s="76">
        <v>4.55</v>
      </c>
      <c r="CO8" s="76">
        <v>250.44</v>
      </c>
      <c r="CP8" s="76">
        <v>9.71</v>
      </c>
      <c r="CQ8" s="76">
        <v>0.27</v>
      </c>
      <c r="CR8" s="76">
        <v>0.83</v>
      </c>
      <c r="CS8" s="76">
        <v>0.58</v>
      </c>
      <c r="CT8" s="76">
        <v>0.0</v>
      </c>
      <c r="CU8" s="76">
        <v>554.0</v>
      </c>
      <c r="CV8" s="76">
        <v>0.02</v>
      </c>
      <c r="CW8" s="76">
        <v>20.73</v>
      </c>
      <c r="CX8" s="76">
        <v>0.01</v>
      </c>
      <c r="CY8" s="76">
        <v>0.29</v>
      </c>
    </row>
    <row r="9">
      <c r="A9" s="151">
        <v>46230.0</v>
      </c>
      <c r="B9" s="152" t="s">
        <v>5</v>
      </c>
      <c r="C9" s="152" t="s">
        <v>147</v>
      </c>
      <c r="D9" s="152">
        <v>8273.0</v>
      </c>
      <c r="E9" s="152">
        <v>30.12</v>
      </c>
      <c r="F9" s="152">
        <v>103.04</v>
      </c>
      <c r="G9" s="152">
        <v>0.0125</v>
      </c>
      <c r="H9" s="152">
        <v>0.64</v>
      </c>
      <c r="I9" s="152">
        <v>1.9442</v>
      </c>
      <c r="J9" s="152">
        <v>19.66</v>
      </c>
      <c r="K9" s="152">
        <v>10.35</v>
      </c>
      <c r="L9" s="152">
        <v>5.07</v>
      </c>
      <c r="M9" s="152">
        <v>0.4901</v>
      </c>
      <c r="N9" s="152">
        <v>0.6088</v>
      </c>
      <c r="O9" s="152">
        <v>0.3391</v>
      </c>
      <c r="P9" s="152">
        <v>2.0405</v>
      </c>
      <c r="Q9" s="152">
        <v>47.1</v>
      </c>
      <c r="R9" s="152">
        <v>44.37</v>
      </c>
      <c r="S9" s="152">
        <v>2.73</v>
      </c>
      <c r="T9" s="152">
        <v>0.99</v>
      </c>
      <c r="U9" s="152">
        <v>46.11</v>
      </c>
      <c r="V9" s="152">
        <v>39.34</v>
      </c>
      <c r="W9" s="152">
        <v>3.8019</v>
      </c>
      <c r="X9" s="152">
        <v>2.09</v>
      </c>
      <c r="Y9" s="152">
        <v>200.0</v>
      </c>
      <c r="Z9" s="152">
        <v>283.0</v>
      </c>
      <c r="AA9" s="152">
        <v>966.0</v>
      </c>
      <c r="AB9" s="152">
        <v>49.4988</v>
      </c>
      <c r="AC9" s="152">
        <v>0.5956</v>
      </c>
      <c r="AD9" s="152">
        <v>4.03</v>
      </c>
      <c r="AE9" s="152">
        <v>2.0</v>
      </c>
      <c r="AF9" s="152">
        <v>3.0</v>
      </c>
      <c r="AG9" s="152">
        <v>5.0</v>
      </c>
      <c r="AH9" s="152">
        <v>8.0</v>
      </c>
      <c r="AI9" s="152">
        <v>75.7</v>
      </c>
      <c r="AJ9" s="152">
        <v>34.9</v>
      </c>
      <c r="AK9" s="152">
        <v>5.91</v>
      </c>
      <c r="AL9" s="152">
        <v>0.5635</v>
      </c>
      <c r="AM9" s="152">
        <v>28.89</v>
      </c>
      <c r="AN9" s="76">
        <v>28.89</v>
      </c>
      <c r="AO9" s="76">
        <v>14.05</v>
      </c>
      <c r="AP9" s="76">
        <v>4.62</v>
      </c>
      <c r="AQ9" s="76">
        <v>3.4154</v>
      </c>
      <c r="AR9" s="76">
        <v>0.0265</v>
      </c>
      <c r="AS9" s="76">
        <v>3.389</v>
      </c>
      <c r="AT9" s="76">
        <v>2.2856</v>
      </c>
      <c r="AU9" s="76">
        <v>0.2209</v>
      </c>
      <c r="AV9" s="76">
        <v>8273.0</v>
      </c>
      <c r="AW9" s="76">
        <v>0.0</v>
      </c>
      <c r="AX9" s="76">
        <v>16.3</v>
      </c>
      <c r="AY9" s="76">
        <v>27.8</v>
      </c>
      <c r="AZ9" s="76">
        <v>1.61</v>
      </c>
      <c r="BA9" s="76">
        <v>0.99</v>
      </c>
      <c r="BB9" s="76">
        <v>0.4</v>
      </c>
      <c r="BC9" s="76">
        <v>17.0</v>
      </c>
      <c r="BD9" s="76">
        <v>15759.0</v>
      </c>
      <c r="BE9" s="76">
        <v>2.1001</v>
      </c>
      <c r="BF9" s="76">
        <v>0.0167</v>
      </c>
      <c r="BG9" s="76">
        <v>2.0834</v>
      </c>
      <c r="BH9" s="76">
        <v>1.3029</v>
      </c>
      <c r="BI9" s="76">
        <v>0.1259</v>
      </c>
      <c r="BJ9" s="76">
        <v>1.3154</v>
      </c>
      <c r="BK9" s="76">
        <v>0.0098</v>
      </c>
      <c r="BL9" s="76">
        <v>1.3056</v>
      </c>
      <c r="BM9" s="76">
        <v>0.9827</v>
      </c>
      <c r="BN9" s="76">
        <v>0.095</v>
      </c>
      <c r="BO9" s="76">
        <v>1.0241</v>
      </c>
      <c r="BP9" s="76">
        <v>0.0077</v>
      </c>
      <c r="BQ9" s="76">
        <v>1.0163</v>
      </c>
      <c r="BR9" s="76">
        <v>0.6062</v>
      </c>
      <c r="BS9" s="76">
        <v>0.7776</v>
      </c>
      <c r="BT9" s="76">
        <v>0.0019</v>
      </c>
      <c r="BU9" s="76">
        <v>0.7757</v>
      </c>
      <c r="BV9" s="76">
        <v>0.4609</v>
      </c>
      <c r="BW9" s="76">
        <v>0.2984</v>
      </c>
      <c r="BX9" s="76">
        <v>0.007</v>
      </c>
      <c r="BY9" s="76">
        <v>0.2914</v>
      </c>
      <c r="BZ9" s="76">
        <v>0.2358</v>
      </c>
      <c r="CA9" s="76">
        <v>0.2669</v>
      </c>
      <c r="CB9" s="76">
        <v>0.0012</v>
      </c>
      <c r="CC9" s="76">
        <v>0.2657</v>
      </c>
      <c r="CD9" s="76">
        <v>0.1912</v>
      </c>
      <c r="CE9" s="76">
        <v>0.6758</v>
      </c>
      <c r="CF9" s="76">
        <v>0.0048</v>
      </c>
      <c r="CG9" s="76">
        <v>0.671</v>
      </c>
      <c r="CH9" s="76">
        <v>0.4727</v>
      </c>
      <c r="CI9" s="76">
        <v>0.3727</v>
      </c>
      <c r="CJ9" s="76">
        <v>0.0037</v>
      </c>
      <c r="CK9" s="76">
        <v>0.3689</v>
      </c>
      <c r="CL9" s="76">
        <v>0.3187</v>
      </c>
      <c r="CM9" s="76">
        <v>48.31</v>
      </c>
      <c r="CN9" s="76">
        <v>58.37</v>
      </c>
      <c r="CO9" s="76">
        <v>82.76</v>
      </c>
      <c r="CP9" s="76">
        <v>37.66</v>
      </c>
      <c r="CQ9" s="76">
        <v>7.33</v>
      </c>
      <c r="CR9" s="76">
        <v>2.37</v>
      </c>
      <c r="CS9" s="76">
        <v>0.94</v>
      </c>
      <c r="CT9" s="76">
        <v>0.0</v>
      </c>
      <c r="CU9" s="76">
        <v>1765.0</v>
      </c>
      <c r="CV9" s="76">
        <v>0.62</v>
      </c>
      <c r="CW9" s="76">
        <v>47.72</v>
      </c>
      <c r="CX9" s="76">
        <v>0.58</v>
      </c>
      <c r="CY9" s="76">
        <v>7.91</v>
      </c>
    </row>
    <row r="10">
      <c r="A10" s="151">
        <v>46230.0</v>
      </c>
      <c r="B10" s="152" t="s">
        <v>5</v>
      </c>
      <c r="C10" s="152" t="s">
        <v>148</v>
      </c>
      <c r="D10" s="152">
        <v>6235.0</v>
      </c>
      <c r="E10" s="152">
        <v>22.7</v>
      </c>
      <c r="F10" s="152">
        <v>351.06</v>
      </c>
      <c r="G10" s="152">
        <v>0.0563</v>
      </c>
      <c r="H10" s="152">
        <v>1.67</v>
      </c>
      <c r="I10" s="152">
        <v>3.3756</v>
      </c>
      <c r="J10" s="152">
        <v>43.85</v>
      </c>
      <c r="K10" s="152">
        <v>23.3</v>
      </c>
      <c r="L10" s="152">
        <v>14.34</v>
      </c>
      <c r="M10" s="152">
        <v>0.6153</v>
      </c>
      <c r="N10" s="152">
        <v>0.5086</v>
      </c>
      <c r="O10" s="152">
        <v>0.3028</v>
      </c>
      <c r="P10" s="152">
        <v>1.6251</v>
      </c>
      <c r="Q10" s="152">
        <v>110.55</v>
      </c>
      <c r="R10" s="152">
        <v>101.43</v>
      </c>
      <c r="S10" s="152">
        <v>9.12</v>
      </c>
      <c r="T10" s="152">
        <v>4.87</v>
      </c>
      <c r="U10" s="152">
        <v>105.68</v>
      </c>
      <c r="V10" s="152">
        <v>97.2</v>
      </c>
      <c r="W10" s="152">
        <v>4.1714</v>
      </c>
      <c r="X10" s="152">
        <v>4.4</v>
      </c>
      <c r="Y10" s="152">
        <v>232.0</v>
      </c>
      <c r="Z10" s="152">
        <v>365.0</v>
      </c>
      <c r="AA10" s="152">
        <v>1092.0</v>
      </c>
      <c r="AB10" s="152">
        <v>51.6093</v>
      </c>
      <c r="AC10" s="152">
        <v>0.6734</v>
      </c>
      <c r="AD10" s="152">
        <v>10.21</v>
      </c>
      <c r="AE10" s="152">
        <v>5.0</v>
      </c>
      <c r="AF10" s="152">
        <v>9.0</v>
      </c>
      <c r="AG10" s="152">
        <v>14.0</v>
      </c>
      <c r="AH10" s="152">
        <v>19.0</v>
      </c>
      <c r="AI10" s="152">
        <v>69.61</v>
      </c>
      <c r="AJ10" s="152">
        <v>31.11</v>
      </c>
      <c r="AK10" s="152">
        <v>3.79</v>
      </c>
      <c r="AL10" s="152">
        <v>0.3867</v>
      </c>
      <c r="AM10" s="152">
        <v>37.75</v>
      </c>
      <c r="AN10" s="76">
        <v>37.75</v>
      </c>
      <c r="AO10" s="76">
        <v>23.18</v>
      </c>
      <c r="AP10" s="76">
        <v>11.31</v>
      </c>
      <c r="AQ10" s="76">
        <v>7.8245</v>
      </c>
      <c r="AR10" s="76">
        <v>0.0957</v>
      </c>
      <c r="AS10" s="76">
        <v>7.7288</v>
      </c>
      <c r="AT10" s="76">
        <v>5.5408</v>
      </c>
      <c r="AU10" s="76">
        <v>0.2378</v>
      </c>
      <c r="AV10" s="76">
        <v>6235.0</v>
      </c>
      <c r="AW10" s="76">
        <v>0.0</v>
      </c>
      <c r="AX10" s="76">
        <v>38.52</v>
      </c>
      <c r="AY10" s="76">
        <v>63.43</v>
      </c>
      <c r="AZ10" s="76">
        <v>2.63</v>
      </c>
      <c r="BA10" s="76">
        <v>4.87</v>
      </c>
      <c r="BB10" s="76">
        <v>1.1</v>
      </c>
      <c r="BC10" s="76">
        <v>36.0</v>
      </c>
      <c r="BD10" s="76">
        <v>18863.0</v>
      </c>
      <c r="BE10" s="76">
        <v>4.345</v>
      </c>
      <c r="BF10" s="76">
        <v>0.0592</v>
      </c>
      <c r="BG10" s="76">
        <v>4.2858</v>
      </c>
      <c r="BH10" s="76">
        <v>2.9601</v>
      </c>
      <c r="BI10" s="76">
        <v>0.127</v>
      </c>
      <c r="BJ10" s="76">
        <v>3.4796</v>
      </c>
      <c r="BK10" s="76">
        <v>0.0366</v>
      </c>
      <c r="BL10" s="76">
        <v>3.443</v>
      </c>
      <c r="BM10" s="76">
        <v>2.5808</v>
      </c>
      <c r="BN10" s="76">
        <v>0.1108</v>
      </c>
      <c r="BO10" s="76">
        <v>1.9785</v>
      </c>
      <c r="BP10" s="76">
        <v>0.0257</v>
      </c>
      <c r="BQ10" s="76">
        <v>1.9528</v>
      </c>
      <c r="BR10" s="76">
        <v>1.3129</v>
      </c>
      <c r="BS10" s="76">
        <v>1.6581</v>
      </c>
      <c r="BT10" s="76">
        <v>0.0122</v>
      </c>
      <c r="BU10" s="76">
        <v>1.6459</v>
      </c>
      <c r="BV10" s="76">
        <v>1.0704</v>
      </c>
      <c r="BW10" s="76">
        <v>0.7084</v>
      </c>
      <c r="BX10" s="76">
        <v>0.0213</v>
      </c>
      <c r="BY10" s="76">
        <v>0.6871</v>
      </c>
      <c r="BZ10" s="76">
        <v>0.5767</v>
      </c>
      <c r="CA10" s="76">
        <v>0.5596</v>
      </c>
      <c r="CB10" s="76">
        <v>0.0077</v>
      </c>
      <c r="CC10" s="76">
        <v>0.5519</v>
      </c>
      <c r="CD10" s="76">
        <v>0.4948</v>
      </c>
      <c r="CE10" s="76">
        <v>1.856</v>
      </c>
      <c r="CF10" s="76">
        <v>0.0125</v>
      </c>
      <c r="CG10" s="76">
        <v>1.8435</v>
      </c>
      <c r="CH10" s="76">
        <v>1.2191</v>
      </c>
      <c r="CI10" s="76">
        <v>1.064</v>
      </c>
      <c r="CJ10" s="76">
        <v>0.0164</v>
      </c>
      <c r="CK10" s="76">
        <v>1.0476</v>
      </c>
      <c r="CL10" s="76">
        <v>0.8669</v>
      </c>
      <c r="CM10" s="76">
        <v>122.56</v>
      </c>
      <c r="CN10" s="76">
        <v>79.41</v>
      </c>
      <c r="CO10" s="76">
        <v>154.35</v>
      </c>
      <c r="CP10" s="76">
        <v>85.58</v>
      </c>
      <c r="CQ10" s="76">
        <v>30.63</v>
      </c>
      <c r="CR10" s="76">
        <v>3.65</v>
      </c>
      <c r="CS10" s="76">
        <v>2.7</v>
      </c>
      <c r="CT10" s="76">
        <v>0.0</v>
      </c>
      <c r="CU10" s="76">
        <v>2188.0</v>
      </c>
      <c r="CV10" s="76">
        <v>2.0</v>
      </c>
      <c r="CW10" s="76">
        <v>112.55</v>
      </c>
      <c r="CX10" s="76">
        <v>2.73</v>
      </c>
      <c r="CY10" s="76">
        <v>33.35</v>
      </c>
    </row>
    <row r="11">
      <c r="A11" s="151">
        <v>46230.0</v>
      </c>
      <c r="B11" s="152" t="s">
        <v>5</v>
      </c>
      <c r="C11" s="152" t="s">
        <v>149</v>
      </c>
      <c r="D11" s="152">
        <v>5093.0</v>
      </c>
      <c r="E11" s="152">
        <v>18.54</v>
      </c>
      <c r="F11" s="152">
        <v>645.21</v>
      </c>
      <c r="G11" s="152">
        <v>0.1267</v>
      </c>
      <c r="H11" s="152">
        <v>2.49</v>
      </c>
      <c r="I11" s="152">
        <v>5.0804</v>
      </c>
      <c r="J11" s="152">
        <v>69.66</v>
      </c>
      <c r="K11" s="152">
        <v>39.21</v>
      </c>
      <c r="L11" s="152">
        <v>28.06</v>
      </c>
      <c r="M11" s="152">
        <v>0.7158</v>
      </c>
      <c r="N11" s="152">
        <v>0.4101</v>
      </c>
      <c r="O11" s="152">
        <v>0.2588</v>
      </c>
      <c r="P11" s="152">
        <v>1.3971</v>
      </c>
      <c r="Q11" s="152">
        <v>196.67</v>
      </c>
      <c r="R11" s="152">
        <v>180.9</v>
      </c>
      <c r="S11" s="152">
        <v>15.78</v>
      </c>
      <c r="T11" s="152">
        <v>10.36</v>
      </c>
      <c r="U11" s="152">
        <v>186.32</v>
      </c>
      <c r="V11" s="152">
        <v>172.84</v>
      </c>
      <c r="W11" s="152">
        <v>4.4081</v>
      </c>
      <c r="X11" s="152">
        <v>5.27</v>
      </c>
      <c r="Y11" s="152">
        <v>274.0</v>
      </c>
      <c r="Z11" s="152">
        <v>446.0</v>
      </c>
      <c r="AA11" s="152">
        <v>1089.0</v>
      </c>
      <c r="AB11" s="152">
        <v>53.2363</v>
      </c>
      <c r="AC11" s="152">
        <v>0.72</v>
      </c>
      <c r="AD11" s="152">
        <v>17.85</v>
      </c>
      <c r="AE11" s="152">
        <v>7.0</v>
      </c>
      <c r="AF11" s="152">
        <v>15.0</v>
      </c>
      <c r="AG11" s="152">
        <v>25.0</v>
      </c>
      <c r="AH11" s="152">
        <v>36.0</v>
      </c>
      <c r="AI11" s="152">
        <v>62.79</v>
      </c>
      <c r="AJ11" s="152">
        <v>24.35</v>
      </c>
      <c r="AK11" s="152">
        <v>4.73</v>
      </c>
      <c r="AL11" s="152">
        <v>0.3108</v>
      </c>
      <c r="AM11" s="152">
        <v>38.94</v>
      </c>
      <c r="AN11" s="76">
        <v>38.94</v>
      </c>
      <c r="AO11" s="76">
        <v>22.82</v>
      </c>
      <c r="AP11" s="76">
        <v>12.19</v>
      </c>
      <c r="AQ11" s="76">
        <v>12.3036</v>
      </c>
      <c r="AR11" s="76">
        <v>0.1704</v>
      </c>
      <c r="AS11" s="76">
        <v>12.1331</v>
      </c>
      <c r="AT11" s="76">
        <v>8.6705</v>
      </c>
      <c r="AU11" s="76">
        <v>0.2211</v>
      </c>
      <c r="AV11" s="76">
        <v>5093.0</v>
      </c>
      <c r="AW11" s="76">
        <v>0.0</v>
      </c>
      <c r="AX11" s="76">
        <v>69.14</v>
      </c>
      <c r="AY11" s="76">
        <v>111.92</v>
      </c>
      <c r="AZ11" s="76">
        <v>3.27</v>
      </c>
      <c r="BA11" s="76">
        <v>10.36</v>
      </c>
      <c r="BB11" s="76">
        <v>1.99</v>
      </c>
      <c r="BC11" s="76">
        <v>64.0</v>
      </c>
      <c r="BD11" s="76">
        <v>17688.0</v>
      </c>
      <c r="BE11" s="76">
        <v>6.5154</v>
      </c>
      <c r="BF11" s="76">
        <v>0.0978</v>
      </c>
      <c r="BG11" s="76">
        <v>6.4176</v>
      </c>
      <c r="BH11" s="76">
        <v>4.2368</v>
      </c>
      <c r="BI11" s="76">
        <v>0.1081</v>
      </c>
      <c r="BJ11" s="76">
        <v>5.7881</v>
      </c>
      <c r="BK11" s="76">
        <v>0.0726</v>
      </c>
      <c r="BL11" s="76">
        <v>5.7155</v>
      </c>
      <c r="BM11" s="76">
        <v>4.4337</v>
      </c>
      <c r="BN11" s="76">
        <v>0.1131</v>
      </c>
      <c r="BO11" s="76">
        <v>2.6825</v>
      </c>
      <c r="BP11" s="76">
        <v>0.0351</v>
      </c>
      <c r="BQ11" s="76">
        <v>2.6474</v>
      </c>
      <c r="BR11" s="76">
        <v>1.7273</v>
      </c>
      <c r="BS11" s="76">
        <v>2.5125</v>
      </c>
      <c r="BT11" s="76">
        <v>0.0263</v>
      </c>
      <c r="BU11" s="76">
        <v>2.4862</v>
      </c>
      <c r="BV11" s="76">
        <v>1.5924</v>
      </c>
      <c r="BW11" s="76">
        <v>1.3204</v>
      </c>
      <c r="BX11" s="76">
        <v>0.0363</v>
      </c>
      <c r="BY11" s="76">
        <v>1.2841</v>
      </c>
      <c r="BZ11" s="76">
        <v>0.9171</v>
      </c>
      <c r="CA11" s="76">
        <v>1.0399</v>
      </c>
      <c r="CB11" s="76">
        <v>0.02</v>
      </c>
      <c r="CC11" s="76">
        <v>1.0198</v>
      </c>
      <c r="CD11" s="76">
        <v>1.0139</v>
      </c>
      <c r="CE11" s="76">
        <v>2.8302</v>
      </c>
      <c r="CF11" s="76">
        <v>0.0269</v>
      </c>
      <c r="CG11" s="76">
        <v>2.8033</v>
      </c>
      <c r="CH11" s="76">
        <v>1.873</v>
      </c>
      <c r="CI11" s="76">
        <v>1.9181</v>
      </c>
      <c r="CJ11" s="76">
        <v>0.0257</v>
      </c>
      <c r="CK11" s="76">
        <v>1.8924</v>
      </c>
      <c r="CL11" s="76">
        <v>1.5468</v>
      </c>
      <c r="CM11" s="76">
        <v>218.45</v>
      </c>
      <c r="CN11" s="76">
        <v>92.3</v>
      </c>
      <c r="CO11" s="76">
        <v>236.67</v>
      </c>
      <c r="CP11" s="76">
        <v>147.86</v>
      </c>
      <c r="CQ11" s="76">
        <v>60.5</v>
      </c>
      <c r="CR11" s="76">
        <v>5.16</v>
      </c>
      <c r="CS11" s="76">
        <v>4.93</v>
      </c>
      <c r="CT11" s="76">
        <v>0.0</v>
      </c>
      <c r="CU11" s="76">
        <v>2158.0</v>
      </c>
      <c r="CV11" s="76">
        <v>3.38</v>
      </c>
      <c r="CW11" s="76">
        <v>200.06</v>
      </c>
      <c r="CX11" s="76">
        <v>5.98</v>
      </c>
      <c r="CY11" s="76">
        <v>66.48</v>
      </c>
    </row>
    <row r="12">
      <c r="A12" s="151">
        <v>46230.0</v>
      </c>
      <c r="B12" s="152" t="s">
        <v>5</v>
      </c>
      <c r="C12" s="152" t="s">
        <v>150</v>
      </c>
      <c r="D12" s="152">
        <v>3021.0</v>
      </c>
      <c r="E12" s="152">
        <v>11.0</v>
      </c>
      <c r="F12" s="152">
        <v>742.68</v>
      </c>
      <c r="G12" s="152">
        <v>0.2458</v>
      </c>
      <c r="H12" s="152">
        <v>4.07</v>
      </c>
      <c r="I12" s="152">
        <v>6.038</v>
      </c>
      <c r="J12" s="152">
        <v>124.73</v>
      </c>
      <c r="K12" s="152">
        <v>76.03</v>
      </c>
      <c r="L12" s="152">
        <v>56.97</v>
      </c>
      <c r="M12" s="152">
        <v>0.7492</v>
      </c>
      <c r="N12" s="152">
        <v>0.3607</v>
      </c>
      <c r="O12" s="152">
        <v>0.2298</v>
      </c>
      <c r="P12" s="152">
        <v>1.3347</v>
      </c>
      <c r="Q12" s="152">
        <v>356.24</v>
      </c>
      <c r="R12" s="152">
        <v>324.8</v>
      </c>
      <c r="S12" s="152">
        <v>31.44</v>
      </c>
      <c r="T12" s="152">
        <v>20.99</v>
      </c>
      <c r="U12" s="152">
        <v>335.25</v>
      </c>
      <c r="V12" s="152">
        <v>332.17</v>
      </c>
      <c r="W12" s="152">
        <v>4.3687</v>
      </c>
      <c r="X12" s="152">
        <v>5.89</v>
      </c>
      <c r="Y12" s="152">
        <v>342.0</v>
      </c>
      <c r="Z12" s="152">
        <v>563.0</v>
      </c>
      <c r="AA12" s="152">
        <v>1418.0</v>
      </c>
      <c r="AB12" s="152">
        <v>55.1229</v>
      </c>
      <c r="AC12" s="152">
        <v>0.7354</v>
      </c>
      <c r="AD12" s="152">
        <v>31.05</v>
      </c>
      <c r="AE12" s="152">
        <v>12.0</v>
      </c>
      <c r="AF12" s="152">
        <v>24.0</v>
      </c>
      <c r="AG12" s="152">
        <v>43.0</v>
      </c>
      <c r="AH12" s="152">
        <v>63.0</v>
      </c>
      <c r="AI12" s="152">
        <v>45.28</v>
      </c>
      <c r="AJ12" s="152">
        <v>11.49</v>
      </c>
      <c r="AK12" s="152">
        <v>2.42</v>
      </c>
      <c r="AL12" s="152">
        <v>0.184</v>
      </c>
      <c r="AM12" s="152">
        <v>45.58</v>
      </c>
      <c r="AN12" s="76">
        <v>45.58</v>
      </c>
      <c r="AO12" s="76">
        <v>29.63</v>
      </c>
      <c r="AP12" s="76">
        <v>18.01</v>
      </c>
      <c r="AQ12" s="76">
        <v>20.2148</v>
      </c>
      <c r="AR12" s="76">
        <v>0.6246</v>
      </c>
      <c r="AS12" s="76">
        <v>19.5902</v>
      </c>
      <c r="AT12" s="76">
        <v>15.1675</v>
      </c>
      <c r="AU12" s="76">
        <v>0.1995</v>
      </c>
      <c r="AV12" s="76">
        <v>3021.0</v>
      </c>
      <c r="AW12" s="76">
        <v>0.0</v>
      </c>
      <c r="AX12" s="76">
        <v>125.46</v>
      </c>
      <c r="AY12" s="76">
        <v>201.26</v>
      </c>
      <c r="AZ12" s="76">
        <v>3.88</v>
      </c>
      <c r="BA12" s="76">
        <v>20.99</v>
      </c>
      <c r="BB12" s="76">
        <v>4.66</v>
      </c>
      <c r="BC12" s="76">
        <v>120.0</v>
      </c>
      <c r="BD12" s="76">
        <v>16532.0</v>
      </c>
      <c r="BE12" s="76">
        <v>10.2307</v>
      </c>
      <c r="BF12" s="76">
        <v>0.4598</v>
      </c>
      <c r="BG12" s="76">
        <v>9.7709</v>
      </c>
      <c r="BH12" s="76">
        <v>7.0205</v>
      </c>
      <c r="BI12" s="76">
        <v>0.0923</v>
      </c>
      <c r="BJ12" s="76">
        <v>9.9841</v>
      </c>
      <c r="BK12" s="76">
        <v>0.1648</v>
      </c>
      <c r="BL12" s="76">
        <v>9.8193</v>
      </c>
      <c r="BM12" s="76">
        <v>8.147</v>
      </c>
      <c r="BN12" s="76">
        <v>0.1071</v>
      </c>
      <c r="BO12" s="76">
        <v>3.7756</v>
      </c>
      <c r="BP12" s="76">
        <v>0.143</v>
      </c>
      <c r="BQ12" s="76">
        <v>3.6326</v>
      </c>
      <c r="BR12" s="76">
        <v>2.6058</v>
      </c>
      <c r="BS12" s="76">
        <v>3.9603</v>
      </c>
      <c r="BT12" s="76">
        <v>0.1529</v>
      </c>
      <c r="BU12" s="76">
        <v>3.8073</v>
      </c>
      <c r="BV12" s="76">
        <v>2.669</v>
      </c>
      <c r="BW12" s="76">
        <v>2.4949</v>
      </c>
      <c r="BX12" s="76">
        <v>0.1639</v>
      </c>
      <c r="BY12" s="76">
        <v>2.331</v>
      </c>
      <c r="BZ12" s="76">
        <v>1.7458</v>
      </c>
      <c r="CA12" s="76">
        <v>2.0156</v>
      </c>
      <c r="CB12" s="76">
        <v>0.0414</v>
      </c>
      <c r="CC12" s="76">
        <v>1.9742</v>
      </c>
      <c r="CD12" s="76">
        <v>1.8252</v>
      </c>
      <c r="CE12" s="76">
        <v>4.4919</v>
      </c>
      <c r="CF12" s="76">
        <v>0.0712</v>
      </c>
      <c r="CG12" s="76">
        <v>4.4207</v>
      </c>
      <c r="CH12" s="76">
        <v>3.2688</v>
      </c>
      <c r="CI12" s="76">
        <v>3.4767</v>
      </c>
      <c r="CJ12" s="76">
        <v>0.0523</v>
      </c>
      <c r="CK12" s="76">
        <v>3.4244</v>
      </c>
      <c r="CL12" s="76">
        <v>3.053</v>
      </c>
      <c r="CM12" s="76">
        <v>442.31</v>
      </c>
      <c r="CN12" s="76">
        <v>99.01</v>
      </c>
      <c r="CO12" s="76">
        <v>446.74</v>
      </c>
      <c r="CP12" s="76">
        <v>305.79</v>
      </c>
      <c r="CQ12" s="76">
        <v>121.95</v>
      </c>
      <c r="CR12" s="76">
        <v>7.84</v>
      </c>
      <c r="CS12" s="76">
        <v>6.72</v>
      </c>
      <c r="CT12" s="76">
        <v>0.0</v>
      </c>
      <c r="CU12" s="76">
        <v>1633.0</v>
      </c>
      <c r="CV12" s="76">
        <v>5.33</v>
      </c>
      <c r="CW12" s="76">
        <v>361.58</v>
      </c>
      <c r="CX12" s="76">
        <v>10.86</v>
      </c>
      <c r="CY12" s="76">
        <v>132.81</v>
      </c>
    </row>
    <row r="13">
      <c r="A13" s="151">
        <v>46230.0</v>
      </c>
      <c r="B13" s="152" t="s">
        <v>5</v>
      </c>
      <c r="C13" s="152" t="s">
        <v>151</v>
      </c>
      <c r="D13" s="152">
        <v>388.0</v>
      </c>
      <c r="E13" s="152">
        <v>1.41</v>
      </c>
      <c r="F13" s="152">
        <v>162.75</v>
      </c>
      <c r="G13" s="152">
        <v>0.4195</v>
      </c>
      <c r="H13" s="152">
        <v>4.64</v>
      </c>
      <c r="I13" s="152">
        <v>9.0417</v>
      </c>
      <c r="J13" s="152">
        <v>253.06</v>
      </c>
      <c r="K13" s="152">
        <v>169.1</v>
      </c>
      <c r="L13" s="152">
        <v>125.53</v>
      </c>
      <c r="M13" s="152">
        <v>0.7423</v>
      </c>
      <c r="N13" s="152">
        <v>0.3393</v>
      </c>
      <c r="O13" s="152">
        <v>0.2075</v>
      </c>
      <c r="P13" s="152">
        <v>1.3471</v>
      </c>
      <c r="Q13" s="152">
        <v>620.87</v>
      </c>
      <c r="R13" s="152">
        <v>542.17</v>
      </c>
      <c r="S13" s="152">
        <v>78.7</v>
      </c>
      <c r="T13" s="152">
        <v>31.96</v>
      </c>
      <c r="U13" s="152">
        <v>588.91</v>
      </c>
      <c r="V13" s="152">
        <v>594.46</v>
      </c>
      <c r="W13" s="152">
        <v>3.5155</v>
      </c>
      <c r="X13" s="152">
        <v>5.15</v>
      </c>
      <c r="Y13" s="152">
        <v>425.0</v>
      </c>
      <c r="Z13" s="152">
        <v>679.0</v>
      </c>
      <c r="AA13" s="152">
        <v>1462.0</v>
      </c>
      <c r="AB13" s="152">
        <v>56.9135</v>
      </c>
      <c r="AC13" s="152">
        <v>0.7692</v>
      </c>
      <c r="AD13" s="152">
        <v>56.49</v>
      </c>
      <c r="AE13" s="152">
        <v>25.0</v>
      </c>
      <c r="AF13" s="152">
        <v>41.0</v>
      </c>
      <c r="AG13" s="152">
        <v>74.0</v>
      </c>
      <c r="AH13" s="152">
        <v>112.0</v>
      </c>
      <c r="AI13" s="152">
        <v>22.42</v>
      </c>
      <c r="AJ13" s="152">
        <v>3.87</v>
      </c>
      <c r="AK13" s="152">
        <v>0.52</v>
      </c>
      <c r="AL13" s="152">
        <v>0.0902</v>
      </c>
      <c r="AM13" s="152">
        <v>65.72</v>
      </c>
      <c r="AN13" s="76">
        <v>65.72</v>
      </c>
      <c r="AO13" s="76">
        <v>53.09</v>
      </c>
      <c r="AP13" s="76">
        <v>45.62</v>
      </c>
      <c r="AQ13" s="76">
        <v>34.8041</v>
      </c>
      <c r="AR13" s="76">
        <v>0.9021</v>
      </c>
      <c r="AS13" s="76">
        <v>33.9021</v>
      </c>
      <c r="AT13" s="76">
        <v>29.6598</v>
      </c>
      <c r="AU13" s="76">
        <v>0.1754</v>
      </c>
      <c r="AV13" s="76">
        <v>388.0</v>
      </c>
      <c r="AW13" s="76">
        <v>0.0</v>
      </c>
      <c r="AX13" s="76">
        <v>265.12</v>
      </c>
      <c r="AY13" s="76">
        <v>309.39</v>
      </c>
      <c r="AZ13" s="76">
        <v>4.56</v>
      </c>
      <c r="BA13" s="76">
        <v>31.96</v>
      </c>
      <c r="BB13" s="76">
        <v>9.84</v>
      </c>
      <c r="BC13" s="76">
        <v>233.0</v>
      </c>
      <c r="BD13" s="76">
        <v>11500.0</v>
      </c>
      <c r="BE13" s="76">
        <v>17.6933</v>
      </c>
      <c r="BF13" s="76">
        <v>0.6649</v>
      </c>
      <c r="BG13" s="76">
        <v>17.0284</v>
      </c>
      <c r="BH13" s="76">
        <v>11.6933</v>
      </c>
      <c r="BI13" s="76">
        <v>0.0692</v>
      </c>
      <c r="BJ13" s="76">
        <v>17.1108</v>
      </c>
      <c r="BK13" s="76">
        <v>0.2371</v>
      </c>
      <c r="BL13" s="76">
        <v>16.8737</v>
      </c>
      <c r="BM13" s="76">
        <v>17.9665</v>
      </c>
      <c r="BN13" s="76">
        <v>0.1063</v>
      </c>
      <c r="BO13" s="76">
        <v>6.1675</v>
      </c>
      <c r="BP13" s="76">
        <v>0.1495</v>
      </c>
      <c r="BQ13" s="76">
        <v>6.018</v>
      </c>
      <c r="BR13" s="76">
        <v>4.1469</v>
      </c>
      <c r="BS13" s="76">
        <v>6.5258</v>
      </c>
      <c r="BT13" s="76">
        <v>0.1727</v>
      </c>
      <c r="BU13" s="76">
        <v>6.3531</v>
      </c>
      <c r="BV13" s="76">
        <v>4.3067</v>
      </c>
      <c r="BW13" s="76">
        <v>5.0</v>
      </c>
      <c r="BX13" s="76">
        <v>0.3428</v>
      </c>
      <c r="BY13" s="76">
        <v>4.6572</v>
      </c>
      <c r="BZ13" s="76">
        <v>3.2397</v>
      </c>
      <c r="CA13" s="76">
        <v>3.5412</v>
      </c>
      <c r="CB13" s="76">
        <v>0.0644</v>
      </c>
      <c r="CC13" s="76">
        <v>3.4768</v>
      </c>
      <c r="CD13" s="76">
        <v>5.3351</v>
      </c>
      <c r="CE13" s="76">
        <v>7.3402</v>
      </c>
      <c r="CF13" s="76">
        <v>0.0979</v>
      </c>
      <c r="CG13" s="76">
        <v>7.2423</v>
      </c>
      <c r="CH13" s="76">
        <v>6.3969</v>
      </c>
      <c r="CI13" s="76">
        <v>6.2294</v>
      </c>
      <c r="CJ13" s="76">
        <v>0.0747</v>
      </c>
      <c r="CK13" s="76">
        <v>6.1546</v>
      </c>
      <c r="CL13" s="76">
        <v>6.2345</v>
      </c>
      <c r="CM13" s="76">
        <v>914.06</v>
      </c>
      <c r="CN13" s="76">
        <v>99.74</v>
      </c>
      <c r="CO13" s="76">
        <v>916.42</v>
      </c>
      <c r="CP13" s="76">
        <v>649.77</v>
      </c>
      <c r="CQ13" s="76">
        <v>243.69</v>
      </c>
      <c r="CR13" s="76">
        <v>10.93</v>
      </c>
      <c r="CS13" s="76">
        <v>9.66</v>
      </c>
      <c r="CT13" s="76">
        <v>0.0</v>
      </c>
      <c r="CU13" s="76">
        <v>231.0</v>
      </c>
      <c r="CV13" s="76">
        <v>10.41</v>
      </c>
      <c r="CW13" s="76">
        <v>631.28</v>
      </c>
      <c r="CX13" s="76">
        <v>20.86</v>
      </c>
      <c r="CY13" s="76">
        <v>264.55</v>
      </c>
    </row>
    <row r="14">
      <c r="A14" s="151">
        <v>46231.0</v>
      </c>
      <c r="B14" s="152" t="s">
        <v>4</v>
      </c>
      <c r="C14" s="152" t="s">
        <v>316</v>
      </c>
      <c r="D14" s="152">
        <v>4657.0</v>
      </c>
      <c r="E14" s="152">
        <v>17.07</v>
      </c>
      <c r="F14" s="152">
        <v>226.82</v>
      </c>
      <c r="G14" s="152">
        <v>0.0487</v>
      </c>
      <c r="H14" s="152">
        <v>0.67</v>
      </c>
      <c r="I14" s="152">
        <v>7.3168</v>
      </c>
      <c r="J14" s="152">
        <v>10.46</v>
      </c>
      <c r="K14" s="152">
        <v>5.6</v>
      </c>
      <c r="L14" s="152">
        <v>3.59</v>
      </c>
      <c r="M14" s="152">
        <v>0.6407</v>
      </c>
      <c r="N14" s="152">
        <v>0.4609</v>
      </c>
      <c r="O14" s="152">
        <v>0.2133</v>
      </c>
      <c r="P14" s="152">
        <v>1.5607</v>
      </c>
      <c r="Q14" s="152">
        <v>31.72</v>
      </c>
      <c r="R14" s="152">
        <v>31.58</v>
      </c>
      <c r="S14" s="152">
        <v>0.15</v>
      </c>
      <c r="T14" s="152">
        <v>4.91</v>
      </c>
      <c r="U14" s="152">
        <v>26.82</v>
      </c>
      <c r="V14" s="152">
        <v>19.72</v>
      </c>
      <c r="W14" s="152">
        <v>3.5229</v>
      </c>
      <c r="X14" s="152">
        <v>15.47</v>
      </c>
      <c r="Y14" s="152">
        <v>200.0</v>
      </c>
      <c r="Z14" s="152">
        <v>407.0</v>
      </c>
      <c r="AA14" s="152">
        <v>2770.0</v>
      </c>
      <c r="AB14" s="152">
        <v>49.6388</v>
      </c>
      <c r="AC14" s="152">
        <v>0.5422</v>
      </c>
      <c r="AD14" s="153"/>
      <c r="AE14" s="153"/>
      <c r="AF14" s="153"/>
      <c r="AG14" s="153"/>
      <c r="AH14" s="153"/>
      <c r="AI14" s="152">
        <v>0.0</v>
      </c>
      <c r="AJ14" s="152">
        <v>0.0</v>
      </c>
      <c r="AK14" s="152">
        <v>0.0</v>
      </c>
      <c r="AL14" s="152">
        <v>0.5922</v>
      </c>
      <c r="AM14" s="153"/>
      <c r="AQ14" s="76">
        <v>0.9255</v>
      </c>
      <c r="AR14" s="76">
        <v>0.0369</v>
      </c>
      <c r="AS14" s="76">
        <v>0.8886</v>
      </c>
      <c r="AT14" s="76">
        <v>0.67</v>
      </c>
      <c r="AU14" s="76">
        <v>0.1197</v>
      </c>
      <c r="AV14" s="76">
        <v>4657.0</v>
      </c>
      <c r="AW14" s="76">
        <v>0.0</v>
      </c>
      <c r="AX14" s="76">
        <v>9.18</v>
      </c>
      <c r="AY14" s="76">
        <v>16.07</v>
      </c>
      <c r="AZ14" s="76">
        <v>1.42</v>
      </c>
      <c r="BA14" s="76">
        <v>4.91</v>
      </c>
      <c r="BB14" s="76">
        <v>0.15</v>
      </c>
      <c r="BD14" s="76">
        <v>26667.0</v>
      </c>
      <c r="BE14" s="76">
        <v>0.335</v>
      </c>
      <c r="BF14" s="76">
        <v>0.0135</v>
      </c>
      <c r="BG14" s="76">
        <v>0.3215</v>
      </c>
      <c r="BH14" s="76">
        <v>0.3496</v>
      </c>
      <c r="BI14" s="76">
        <v>0.0624</v>
      </c>
      <c r="BJ14" s="76">
        <v>0.5905</v>
      </c>
      <c r="BK14" s="76">
        <v>0.0234</v>
      </c>
      <c r="BL14" s="76">
        <v>0.5671</v>
      </c>
      <c r="BM14" s="76">
        <v>0.3204</v>
      </c>
      <c r="BN14" s="76">
        <v>0.0572</v>
      </c>
      <c r="BO14" s="76">
        <v>0.1153</v>
      </c>
      <c r="BP14" s="76">
        <v>0.0054</v>
      </c>
      <c r="BQ14" s="76">
        <v>0.1099</v>
      </c>
      <c r="BR14" s="76">
        <v>0.1422</v>
      </c>
      <c r="BS14" s="76">
        <v>0.1432</v>
      </c>
      <c r="BT14" s="76">
        <v>0.0041</v>
      </c>
      <c r="BU14" s="76">
        <v>0.1391</v>
      </c>
      <c r="BV14" s="76">
        <v>0.1303</v>
      </c>
      <c r="BW14" s="76">
        <v>0.0764</v>
      </c>
      <c r="BX14" s="76">
        <v>0.0041</v>
      </c>
      <c r="BY14" s="76">
        <v>0.0724</v>
      </c>
      <c r="BZ14" s="76">
        <v>0.0771</v>
      </c>
      <c r="CA14" s="76">
        <v>0.117</v>
      </c>
      <c r="CB14" s="76">
        <v>0.0034</v>
      </c>
      <c r="CC14" s="76">
        <v>0.1136</v>
      </c>
      <c r="CD14" s="76">
        <v>0.0777</v>
      </c>
      <c r="CE14" s="76">
        <v>0.2547</v>
      </c>
      <c r="CF14" s="76">
        <v>0.0155</v>
      </c>
      <c r="CG14" s="76">
        <v>0.2392</v>
      </c>
      <c r="CH14" s="76">
        <v>0.1132</v>
      </c>
      <c r="CI14" s="76">
        <v>0.2188</v>
      </c>
      <c r="CJ14" s="76">
        <v>0.0045</v>
      </c>
      <c r="CK14" s="76">
        <v>0.2143</v>
      </c>
      <c r="CL14" s="76">
        <v>0.1295</v>
      </c>
      <c r="CM14" s="76">
        <v>52.63</v>
      </c>
      <c r="CN14" s="76">
        <v>7.3</v>
      </c>
      <c r="CO14" s="76">
        <v>720.83</v>
      </c>
      <c r="CP14" s="76">
        <v>49.56</v>
      </c>
      <c r="CQ14" s="76">
        <v>0.0</v>
      </c>
      <c r="CR14" s="76">
        <v>0.77</v>
      </c>
      <c r="CS14" s="76">
        <v>2.29</v>
      </c>
      <c r="CT14" s="76">
        <v>0.0</v>
      </c>
      <c r="CU14" s="76">
        <v>1.0</v>
      </c>
      <c r="CV14" s="76">
        <v>0.0</v>
      </c>
      <c r="CW14" s="76">
        <v>31.72</v>
      </c>
      <c r="CX14" s="76">
        <v>0.0</v>
      </c>
      <c r="CY14" s="76">
        <v>0.0</v>
      </c>
    </row>
    <row r="15">
      <c r="A15" s="151">
        <v>46231.0</v>
      </c>
      <c r="B15" s="152" t="s">
        <v>4</v>
      </c>
      <c r="C15" s="152" t="s">
        <v>147</v>
      </c>
      <c r="D15" s="152">
        <v>8069.0</v>
      </c>
      <c r="E15" s="152">
        <v>29.57</v>
      </c>
      <c r="F15" s="152">
        <v>90.88</v>
      </c>
      <c r="G15" s="152">
        <v>0.0113</v>
      </c>
      <c r="H15" s="152">
        <v>0.59</v>
      </c>
      <c r="I15" s="152">
        <v>1.8933</v>
      </c>
      <c r="J15" s="152">
        <v>17.59</v>
      </c>
      <c r="K15" s="152">
        <v>9.52</v>
      </c>
      <c r="L15" s="152">
        <v>4.97</v>
      </c>
      <c r="M15" s="152">
        <v>0.5225</v>
      </c>
      <c r="N15" s="152">
        <v>0.5863</v>
      </c>
      <c r="O15" s="152">
        <v>0.3491</v>
      </c>
      <c r="P15" s="152">
        <v>1.9139</v>
      </c>
      <c r="Q15" s="152">
        <v>40.63</v>
      </c>
      <c r="R15" s="152">
        <v>32.39</v>
      </c>
      <c r="S15" s="152">
        <v>8.25</v>
      </c>
      <c r="T15" s="152">
        <v>1.04</v>
      </c>
      <c r="U15" s="152">
        <v>39.59</v>
      </c>
      <c r="V15" s="152">
        <v>40.47</v>
      </c>
      <c r="W15" s="152">
        <v>4.2514</v>
      </c>
      <c r="X15" s="152">
        <v>2.56</v>
      </c>
      <c r="Y15" s="152">
        <v>202.0</v>
      </c>
      <c r="Z15" s="152">
        <v>301.0</v>
      </c>
      <c r="AA15" s="152">
        <v>1015.0</v>
      </c>
      <c r="AB15" s="152">
        <v>49.6339</v>
      </c>
      <c r="AC15" s="152">
        <v>0.5927</v>
      </c>
      <c r="AD15" s="152">
        <v>4.03</v>
      </c>
      <c r="AE15" s="152">
        <v>2.0</v>
      </c>
      <c r="AF15" s="152">
        <v>3.0</v>
      </c>
      <c r="AG15" s="152">
        <v>6.0</v>
      </c>
      <c r="AH15" s="152">
        <v>8.0</v>
      </c>
      <c r="AI15" s="152">
        <v>75.45</v>
      </c>
      <c r="AJ15" s="152">
        <v>34.73</v>
      </c>
      <c r="AK15" s="152">
        <v>6.61</v>
      </c>
      <c r="AL15" s="152">
        <v>0.5365</v>
      </c>
      <c r="AM15" s="153"/>
      <c r="AQ15" s="76">
        <v>2.2977</v>
      </c>
      <c r="AR15" s="76">
        <v>0.0342</v>
      </c>
      <c r="AS15" s="76">
        <v>2.2635</v>
      </c>
      <c r="AT15" s="76">
        <v>2.0602</v>
      </c>
      <c r="AU15" s="76">
        <v>0.2164</v>
      </c>
      <c r="AV15" s="76">
        <v>8069.0</v>
      </c>
      <c r="AW15" s="76">
        <v>0.0</v>
      </c>
      <c r="AX15" s="76">
        <v>25.55</v>
      </c>
      <c r="AY15" s="76">
        <v>11.66</v>
      </c>
      <c r="AZ15" s="76">
        <v>1.8</v>
      </c>
      <c r="BA15" s="76">
        <v>1.04</v>
      </c>
      <c r="BB15" s="76">
        <v>0.59</v>
      </c>
      <c r="BC15" s="76">
        <v>16.0</v>
      </c>
      <c r="BD15" s="76">
        <v>16460.0</v>
      </c>
      <c r="BE15" s="76">
        <v>1.3388</v>
      </c>
      <c r="BF15" s="76">
        <v>0.0193</v>
      </c>
      <c r="BG15" s="76">
        <v>1.3195</v>
      </c>
      <c r="BH15" s="76">
        <v>1.1219</v>
      </c>
      <c r="BI15" s="76">
        <v>0.1179</v>
      </c>
      <c r="BJ15" s="76">
        <v>0.9589</v>
      </c>
      <c r="BK15" s="76">
        <v>0.0149</v>
      </c>
      <c r="BL15" s="76">
        <v>0.944</v>
      </c>
      <c r="BM15" s="76">
        <v>0.9383</v>
      </c>
      <c r="BN15" s="76">
        <v>0.0986</v>
      </c>
      <c r="BO15" s="76">
        <v>0.48</v>
      </c>
      <c r="BP15" s="76">
        <v>0.0087</v>
      </c>
      <c r="BQ15" s="76">
        <v>0.4713</v>
      </c>
      <c r="BR15" s="76">
        <v>0.455</v>
      </c>
      <c r="BS15" s="76">
        <v>0.6236</v>
      </c>
      <c r="BT15" s="76">
        <v>0.0027</v>
      </c>
      <c r="BU15" s="76">
        <v>0.6209</v>
      </c>
      <c r="BV15" s="76">
        <v>0.4447</v>
      </c>
      <c r="BW15" s="76">
        <v>0.2352</v>
      </c>
      <c r="BX15" s="76">
        <v>0.0079</v>
      </c>
      <c r="BY15" s="76">
        <v>0.2273</v>
      </c>
      <c r="BZ15" s="76">
        <v>0.2223</v>
      </c>
      <c r="CA15" s="76">
        <v>0.1711</v>
      </c>
      <c r="CB15" s="76">
        <v>0.0037</v>
      </c>
      <c r="CC15" s="76">
        <v>0.1674</v>
      </c>
      <c r="CD15" s="76">
        <v>0.1861</v>
      </c>
      <c r="CE15" s="76">
        <v>0.4496</v>
      </c>
      <c r="CF15" s="76">
        <v>0.0082</v>
      </c>
      <c r="CG15" s="76">
        <v>0.4414</v>
      </c>
      <c r="CH15" s="76">
        <v>0.4158</v>
      </c>
      <c r="CI15" s="76">
        <v>0.3381</v>
      </c>
      <c r="CJ15" s="76">
        <v>0.003</v>
      </c>
      <c r="CK15" s="76">
        <v>0.3351</v>
      </c>
      <c r="CL15" s="76">
        <v>0.3363</v>
      </c>
      <c r="CM15" s="76">
        <v>68.25</v>
      </c>
      <c r="CN15" s="76">
        <v>62.83</v>
      </c>
      <c r="CO15" s="76">
        <v>108.62</v>
      </c>
      <c r="CP15" s="76">
        <v>63.34</v>
      </c>
      <c r="CQ15" s="76">
        <v>0.0</v>
      </c>
      <c r="CR15" s="76">
        <v>2.45</v>
      </c>
      <c r="CS15" s="76">
        <v>2.46</v>
      </c>
      <c r="CT15" s="76">
        <v>0.0</v>
      </c>
      <c r="CU15" s="76">
        <v>0.0</v>
      </c>
      <c r="CV15" s="76">
        <v>0.0</v>
      </c>
      <c r="CW15" s="76">
        <v>40.63</v>
      </c>
      <c r="CX15" s="76">
        <v>0.0</v>
      </c>
      <c r="CY15" s="76">
        <v>0.0</v>
      </c>
    </row>
    <row r="16">
      <c r="A16" s="151">
        <v>46231.0</v>
      </c>
      <c r="B16" s="152" t="s">
        <v>4</v>
      </c>
      <c r="C16" s="152" t="s">
        <v>148</v>
      </c>
      <c r="D16" s="152">
        <v>6189.0</v>
      </c>
      <c r="E16" s="152">
        <v>22.68</v>
      </c>
      <c r="F16" s="152">
        <v>380.87</v>
      </c>
      <c r="G16" s="152">
        <v>0.0615</v>
      </c>
      <c r="H16" s="152">
        <v>1.91</v>
      </c>
      <c r="I16" s="152">
        <v>3.2277</v>
      </c>
      <c r="J16" s="152">
        <v>37.06</v>
      </c>
      <c r="K16" s="152">
        <v>20.57</v>
      </c>
      <c r="L16" s="152">
        <v>13.31</v>
      </c>
      <c r="M16" s="152">
        <v>0.6472</v>
      </c>
      <c r="N16" s="152">
        <v>0.48</v>
      </c>
      <c r="O16" s="152">
        <v>0.2996</v>
      </c>
      <c r="P16" s="152">
        <v>1.545</v>
      </c>
      <c r="Q16" s="152">
        <v>93.41</v>
      </c>
      <c r="R16" s="152">
        <v>68.96</v>
      </c>
      <c r="S16" s="152">
        <v>24.45</v>
      </c>
      <c r="T16" s="152">
        <v>4.9</v>
      </c>
      <c r="U16" s="152">
        <v>88.51</v>
      </c>
      <c r="V16" s="152">
        <v>89.41</v>
      </c>
      <c r="W16" s="152">
        <v>4.3473</v>
      </c>
      <c r="X16" s="152">
        <v>5.24</v>
      </c>
      <c r="Y16" s="152">
        <v>243.0</v>
      </c>
      <c r="Z16" s="152">
        <v>407.0</v>
      </c>
      <c r="AA16" s="152">
        <v>1322.0</v>
      </c>
      <c r="AB16" s="152">
        <v>51.8578</v>
      </c>
      <c r="AC16" s="152">
        <v>0.6842</v>
      </c>
      <c r="AD16" s="152">
        <v>9.62</v>
      </c>
      <c r="AE16" s="152">
        <v>4.0</v>
      </c>
      <c r="AF16" s="152">
        <v>9.0</v>
      </c>
      <c r="AG16" s="152">
        <v>13.0</v>
      </c>
      <c r="AH16" s="152">
        <v>18.0</v>
      </c>
      <c r="AI16" s="152">
        <v>66.12</v>
      </c>
      <c r="AJ16" s="152">
        <v>28.34</v>
      </c>
      <c r="AK16" s="152">
        <v>3.17</v>
      </c>
      <c r="AL16" s="152">
        <v>0.3686</v>
      </c>
      <c r="AM16" s="153"/>
      <c r="AQ16" s="76">
        <v>5.2385</v>
      </c>
      <c r="AR16" s="76">
        <v>0.0973</v>
      </c>
      <c r="AS16" s="76">
        <v>5.1412</v>
      </c>
      <c r="AT16" s="76">
        <v>4.5317</v>
      </c>
      <c r="AU16" s="76">
        <v>0.2203</v>
      </c>
      <c r="AV16" s="76">
        <v>6189.0</v>
      </c>
      <c r="AW16" s="76">
        <v>0.0</v>
      </c>
      <c r="AX16" s="76">
        <v>56.18</v>
      </c>
      <c r="AY16" s="76">
        <v>28.2</v>
      </c>
      <c r="AZ16" s="76">
        <v>2.87</v>
      </c>
      <c r="BA16" s="76">
        <v>4.9</v>
      </c>
      <c r="BB16" s="76">
        <v>1.26</v>
      </c>
      <c r="BC16" s="76">
        <v>32.0</v>
      </c>
      <c r="BD16" s="76">
        <v>22837.0</v>
      </c>
      <c r="BE16" s="76">
        <v>3.1601</v>
      </c>
      <c r="BF16" s="76">
        <v>0.064</v>
      </c>
      <c r="BG16" s="76">
        <v>3.0961</v>
      </c>
      <c r="BH16" s="76">
        <v>2.4818</v>
      </c>
      <c r="BI16" s="76">
        <v>0.1207</v>
      </c>
      <c r="BJ16" s="76">
        <v>2.0784</v>
      </c>
      <c r="BK16" s="76">
        <v>0.0333</v>
      </c>
      <c r="BL16" s="76">
        <v>2.0451</v>
      </c>
      <c r="BM16" s="76">
        <v>2.0499</v>
      </c>
      <c r="BN16" s="76">
        <v>0.0997</v>
      </c>
      <c r="BO16" s="76">
        <v>1.2047</v>
      </c>
      <c r="BP16" s="76">
        <v>0.025</v>
      </c>
      <c r="BQ16" s="76">
        <v>1.1797</v>
      </c>
      <c r="BR16" s="76">
        <v>0.9924</v>
      </c>
      <c r="BS16" s="76">
        <v>1.4106</v>
      </c>
      <c r="BT16" s="76">
        <v>0.0139</v>
      </c>
      <c r="BU16" s="76">
        <v>1.3967</v>
      </c>
      <c r="BV16" s="76">
        <v>0.9948</v>
      </c>
      <c r="BW16" s="76">
        <v>0.5448</v>
      </c>
      <c r="BX16" s="76">
        <v>0.025</v>
      </c>
      <c r="BY16" s="76">
        <v>0.5198</v>
      </c>
      <c r="BZ16" s="76">
        <v>0.4946</v>
      </c>
      <c r="CA16" s="76">
        <v>0.3359</v>
      </c>
      <c r="CB16" s="76">
        <v>0.0073</v>
      </c>
      <c r="CC16" s="76">
        <v>0.3286</v>
      </c>
      <c r="CD16" s="76">
        <v>0.3997</v>
      </c>
      <c r="CE16" s="76">
        <v>0.9386</v>
      </c>
      <c r="CF16" s="76">
        <v>0.0142</v>
      </c>
      <c r="CG16" s="76">
        <v>0.9244</v>
      </c>
      <c r="CH16" s="76">
        <v>0.8572</v>
      </c>
      <c r="CI16" s="76">
        <v>0.8038</v>
      </c>
      <c r="CJ16" s="76">
        <v>0.0118</v>
      </c>
      <c r="CK16" s="76">
        <v>0.7921</v>
      </c>
      <c r="CL16" s="76">
        <v>0.793</v>
      </c>
      <c r="CM16" s="76">
        <v>152.73</v>
      </c>
      <c r="CN16" s="76">
        <v>81.98</v>
      </c>
      <c r="CO16" s="76">
        <v>186.3</v>
      </c>
      <c r="CP16" s="76">
        <v>137.94</v>
      </c>
      <c r="CQ16" s="76">
        <v>0.0</v>
      </c>
      <c r="CR16" s="76">
        <v>3.89</v>
      </c>
      <c r="CS16" s="76">
        <v>10.9</v>
      </c>
      <c r="CT16" s="76">
        <v>0.0</v>
      </c>
      <c r="CU16" s="76">
        <v>0.0</v>
      </c>
      <c r="CV16" s="76">
        <v>0.0</v>
      </c>
      <c r="CW16" s="76">
        <v>93.41</v>
      </c>
      <c r="CX16" s="76">
        <v>0.0</v>
      </c>
      <c r="CY16" s="76">
        <v>0.0</v>
      </c>
    </row>
    <row r="17">
      <c r="A17" s="151">
        <v>46231.0</v>
      </c>
      <c r="B17" s="152" t="s">
        <v>4</v>
      </c>
      <c r="C17" s="152" t="s">
        <v>149</v>
      </c>
      <c r="D17" s="152">
        <v>4839.0</v>
      </c>
      <c r="E17" s="152">
        <v>17.73</v>
      </c>
      <c r="F17" s="152">
        <v>654.21</v>
      </c>
      <c r="G17" s="152">
        <v>0.1352</v>
      </c>
      <c r="H17" s="152">
        <v>2.67</v>
      </c>
      <c r="I17" s="152">
        <v>5.0714</v>
      </c>
      <c r="J17" s="152">
        <v>58.9</v>
      </c>
      <c r="K17" s="152">
        <v>35.03</v>
      </c>
      <c r="L17" s="152">
        <v>26.08</v>
      </c>
      <c r="M17" s="152">
        <v>0.7444</v>
      </c>
      <c r="N17" s="152">
        <v>0.3784</v>
      </c>
      <c r="O17" s="152">
        <v>0.2486</v>
      </c>
      <c r="P17" s="152">
        <v>1.3433</v>
      </c>
      <c r="Q17" s="152">
        <v>171.67</v>
      </c>
      <c r="R17" s="152">
        <v>123.13</v>
      </c>
      <c r="S17" s="152">
        <v>48.54</v>
      </c>
      <c r="T17" s="152">
        <v>10.55</v>
      </c>
      <c r="U17" s="152">
        <v>161.12</v>
      </c>
      <c r="V17" s="152">
        <v>164.65</v>
      </c>
      <c r="W17" s="152">
        <v>4.7003</v>
      </c>
      <c r="X17" s="152">
        <v>6.15</v>
      </c>
      <c r="Y17" s="152">
        <v>294.0</v>
      </c>
      <c r="Z17" s="152">
        <v>487.0</v>
      </c>
      <c r="AA17" s="152">
        <v>1190.0</v>
      </c>
      <c r="AB17" s="152">
        <v>53.2329</v>
      </c>
      <c r="AC17" s="152">
        <v>0.753</v>
      </c>
      <c r="AD17" s="152">
        <v>16.83</v>
      </c>
      <c r="AE17" s="152">
        <v>7.0</v>
      </c>
      <c r="AF17" s="152">
        <v>14.0</v>
      </c>
      <c r="AG17" s="152">
        <v>24.0</v>
      </c>
      <c r="AH17" s="152">
        <v>33.0</v>
      </c>
      <c r="AI17" s="152">
        <v>59.95</v>
      </c>
      <c r="AJ17" s="152">
        <v>21.76</v>
      </c>
      <c r="AK17" s="152">
        <v>4.32</v>
      </c>
      <c r="AL17" s="152">
        <v>0.3207</v>
      </c>
      <c r="AM17" s="153"/>
      <c r="AQ17" s="76">
        <v>8.8119</v>
      </c>
      <c r="AR17" s="76">
        <v>0.1918</v>
      </c>
      <c r="AS17" s="76">
        <v>8.6202</v>
      </c>
      <c r="AT17" s="76">
        <v>7.328</v>
      </c>
      <c r="AU17" s="76">
        <v>0.2092</v>
      </c>
      <c r="AV17" s="76">
        <v>4839.0</v>
      </c>
      <c r="AW17" s="76">
        <v>0.0</v>
      </c>
      <c r="AX17" s="76">
        <v>99.75</v>
      </c>
      <c r="AY17" s="76">
        <v>55.99</v>
      </c>
      <c r="AZ17" s="76">
        <v>2.9</v>
      </c>
      <c r="BA17" s="76">
        <v>10.55</v>
      </c>
      <c r="BB17" s="76">
        <v>2.47</v>
      </c>
      <c r="BC17" s="76">
        <v>61.0</v>
      </c>
      <c r="BD17" s="76">
        <v>18847.0</v>
      </c>
      <c r="BE17" s="76">
        <v>5.2707</v>
      </c>
      <c r="BF17" s="76">
        <v>0.1141</v>
      </c>
      <c r="BG17" s="76">
        <v>5.1566</v>
      </c>
      <c r="BH17" s="76">
        <v>3.7781</v>
      </c>
      <c r="BI17" s="76">
        <v>0.1079</v>
      </c>
      <c r="BJ17" s="76">
        <v>3.5412</v>
      </c>
      <c r="BK17" s="76">
        <v>0.0777</v>
      </c>
      <c r="BL17" s="76">
        <v>3.4635</v>
      </c>
      <c r="BM17" s="76">
        <v>3.5499</v>
      </c>
      <c r="BN17" s="76">
        <v>0.1013</v>
      </c>
      <c r="BO17" s="76">
        <v>1.9357</v>
      </c>
      <c r="BP17" s="76">
        <v>0.0322</v>
      </c>
      <c r="BQ17" s="76">
        <v>1.9035</v>
      </c>
      <c r="BR17" s="76">
        <v>1.4313</v>
      </c>
      <c r="BS17" s="76">
        <v>2.3542</v>
      </c>
      <c r="BT17" s="76">
        <v>0.0329</v>
      </c>
      <c r="BU17" s="76">
        <v>2.3213</v>
      </c>
      <c r="BV17" s="76">
        <v>1.5627</v>
      </c>
      <c r="BW17" s="76">
        <v>0.9808</v>
      </c>
      <c r="BX17" s="76">
        <v>0.049</v>
      </c>
      <c r="BY17" s="76">
        <v>0.9318</v>
      </c>
      <c r="BZ17" s="76">
        <v>0.784</v>
      </c>
      <c r="CA17" s="76">
        <v>0.6005</v>
      </c>
      <c r="CB17" s="76">
        <v>0.0203</v>
      </c>
      <c r="CC17" s="76">
        <v>0.5803</v>
      </c>
      <c r="CD17" s="76">
        <v>0.7342</v>
      </c>
      <c r="CE17" s="76">
        <v>1.4406</v>
      </c>
      <c r="CF17" s="76">
        <v>0.0275</v>
      </c>
      <c r="CG17" s="76">
        <v>1.4131</v>
      </c>
      <c r="CH17" s="76">
        <v>1.341</v>
      </c>
      <c r="CI17" s="76">
        <v>1.5001</v>
      </c>
      <c r="CJ17" s="76">
        <v>0.03</v>
      </c>
      <c r="CK17" s="76">
        <v>1.4701</v>
      </c>
      <c r="CL17" s="76">
        <v>1.4747</v>
      </c>
      <c r="CM17" s="76">
        <v>307.96</v>
      </c>
      <c r="CN17" s="76">
        <v>93.24</v>
      </c>
      <c r="CO17" s="76">
        <v>330.28</v>
      </c>
      <c r="CP17" s="76">
        <v>284.08</v>
      </c>
      <c r="CQ17" s="76">
        <v>0.0</v>
      </c>
      <c r="CR17" s="76">
        <v>5.37</v>
      </c>
      <c r="CS17" s="76">
        <v>18.52</v>
      </c>
      <c r="CT17" s="76">
        <v>0.0</v>
      </c>
      <c r="CU17" s="76">
        <v>0.0</v>
      </c>
      <c r="CV17" s="76">
        <v>0.0</v>
      </c>
      <c r="CW17" s="76">
        <v>171.67</v>
      </c>
      <c r="CX17" s="76">
        <v>0.0</v>
      </c>
      <c r="CY17" s="76">
        <v>0.0</v>
      </c>
    </row>
    <row r="18">
      <c r="A18" s="151">
        <v>46231.0</v>
      </c>
      <c r="B18" s="152" t="s">
        <v>4</v>
      </c>
      <c r="C18" s="152" t="s">
        <v>150</v>
      </c>
      <c r="D18" s="152">
        <v>3066.0</v>
      </c>
      <c r="E18" s="152">
        <v>11.24</v>
      </c>
      <c r="F18" s="152">
        <v>508.06</v>
      </c>
      <c r="G18" s="152">
        <v>0.1657</v>
      </c>
      <c r="H18" s="152">
        <v>3.36</v>
      </c>
      <c r="I18" s="152">
        <v>4.9326</v>
      </c>
      <c r="J18" s="152">
        <v>110.17</v>
      </c>
      <c r="K18" s="152">
        <v>68.59</v>
      </c>
      <c r="L18" s="152">
        <v>52.1</v>
      </c>
      <c r="M18" s="152">
        <v>0.7595</v>
      </c>
      <c r="N18" s="152">
        <v>0.3492</v>
      </c>
      <c r="O18" s="152">
        <v>0.2311</v>
      </c>
      <c r="P18" s="152">
        <v>1.3166</v>
      </c>
      <c r="Q18" s="152">
        <v>347.71</v>
      </c>
      <c r="R18" s="152">
        <v>240.66</v>
      </c>
      <c r="S18" s="152">
        <v>107.05</v>
      </c>
      <c r="T18" s="152">
        <v>19.91</v>
      </c>
      <c r="U18" s="152">
        <v>327.8</v>
      </c>
      <c r="V18" s="152">
        <v>322.73</v>
      </c>
      <c r="W18" s="152">
        <v>4.705</v>
      </c>
      <c r="X18" s="152">
        <v>5.73</v>
      </c>
      <c r="Y18" s="152">
        <v>370.0</v>
      </c>
      <c r="Z18" s="152">
        <v>611.0</v>
      </c>
      <c r="AA18" s="152">
        <v>1432.0</v>
      </c>
      <c r="AB18" s="152">
        <v>55.2714</v>
      </c>
      <c r="AC18" s="152">
        <v>0.7848</v>
      </c>
      <c r="AD18" s="152">
        <v>29.85</v>
      </c>
      <c r="AE18" s="152">
        <v>11.0</v>
      </c>
      <c r="AF18" s="152">
        <v>23.0</v>
      </c>
      <c r="AG18" s="152">
        <v>42.0</v>
      </c>
      <c r="AH18" s="152">
        <v>61.0</v>
      </c>
      <c r="AI18" s="152">
        <v>41.45</v>
      </c>
      <c r="AJ18" s="152">
        <v>10.93</v>
      </c>
      <c r="AK18" s="152">
        <v>2.02</v>
      </c>
      <c r="AL18" s="152">
        <v>0.1791</v>
      </c>
      <c r="AM18" s="153"/>
      <c r="AQ18" s="76">
        <v>15.4279</v>
      </c>
      <c r="AR18" s="76">
        <v>0.3767</v>
      </c>
      <c r="AS18" s="76">
        <v>15.0512</v>
      </c>
      <c r="AT18" s="76">
        <v>13.122</v>
      </c>
      <c r="AU18" s="76">
        <v>0.1913</v>
      </c>
      <c r="AV18" s="76">
        <v>3066.0</v>
      </c>
      <c r="AW18" s="76">
        <v>0.0</v>
      </c>
      <c r="AX18" s="76">
        <v>200.43</v>
      </c>
      <c r="AY18" s="76">
        <v>118.42</v>
      </c>
      <c r="AZ18" s="76">
        <v>3.72</v>
      </c>
      <c r="BA18" s="76">
        <v>19.91</v>
      </c>
      <c r="BB18" s="76">
        <v>5.22</v>
      </c>
      <c r="BC18" s="76">
        <v>127.0</v>
      </c>
      <c r="BD18" s="76">
        <v>15325.0</v>
      </c>
      <c r="BE18" s="76">
        <v>8.8995</v>
      </c>
      <c r="BF18" s="76">
        <v>0.1879</v>
      </c>
      <c r="BG18" s="76">
        <v>8.7117</v>
      </c>
      <c r="BH18" s="76">
        <v>6.5894</v>
      </c>
      <c r="BI18" s="76">
        <v>0.0961</v>
      </c>
      <c r="BJ18" s="76">
        <v>6.5284</v>
      </c>
      <c r="BK18" s="76">
        <v>0.1888</v>
      </c>
      <c r="BL18" s="76">
        <v>6.3395</v>
      </c>
      <c r="BM18" s="76">
        <v>6.5326</v>
      </c>
      <c r="BN18" s="76">
        <v>0.0952</v>
      </c>
      <c r="BO18" s="76">
        <v>3.5391</v>
      </c>
      <c r="BP18" s="76">
        <v>0.0568</v>
      </c>
      <c r="BQ18" s="76">
        <v>3.4824</v>
      </c>
      <c r="BR18" s="76">
        <v>2.5525</v>
      </c>
      <c r="BS18" s="76">
        <v>3.8519</v>
      </c>
      <c r="BT18" s="76">
        <v>0.0587</v>
      </c>
      <c r="BU18" s="76">
        <v>3.7932</v>
      </c>
      <c r="BV18" s="76">
        <v>2.7508</v>
      </c>
      <c r="BW18" s="76">
        <v>1.5085</v>
      </c>
      <c r="BX18" s="76">
        <v>0.0724</v>
      </c>
      <c r="BY18" s="76">
        <v>1.4361</v>
      </c>
      <c r="BZ18" s="76">
        <v>1.286</v>
      </c>
      <c r="CA18" s="76">
        <v>1.2893</v>
      </c>
      <c r="CB18" s="76">
        <v>0.0672</v>
      </c>
      <c r="CC18" s="76">
        <v>1.2221</v>
      </c>
      <c r="CD18" s="76">
        <v>1.5796</v>
      </c>
      <c r="CE18" s="76">
        <v>2.3777</v>
      </c>
      <c r="CF18" s="76">
        <v>0.0682</v>
      </c>
      <c r="CG18" s="76">
        <v>2.3095</v>
      </c>
      <c r="CH18" s="76">
        <v>2.3206</v>
      </c>
      <c r="CI18" s="76">
        <v>2.8614</v>
      </c>
      <c r="CJ18" s="76">
        <v>0.0535</v>
      </c>
      <c r="CK18" s="76">
        <v>2.8079</v>
      </c>
      <c r="CL18" s="76">
        <v>2.6324</v>
      </c>
      <c r="CM18" s="76">
        <v>606.86</v>
      </c>
      <c r="CN18" s="76">
        <v>99.12</v>
      </c>
      <c r="CO18" s="76">
        <v>612.25</v>
      </c>
      <c r="CP18" s="76">
        <v>567.12</v>
      </c>
      <c r="CQ18" s="76">
        <v>0.06</v>
      </c>
      <c r="CR18" s="76">
        <v>7.66</v>
      </c>
      <c r="CS18" s="76">
        <v>32.02</v>
      </c>
      <c r="CT18" s="76">
        <v>0.0</v>
      </c>
      <c r="CU18" s="76">
        <v>1.0</v>
      </c>
      <c r="CV18" s="76">
        <v>0.0</v>
      </c>
      <c r="CW18" s="76">
        <v>347.71</v>
      </c>
      <c r="CX18" s="76">
        <v>0.0</v>
      </c>
      <c r="CY18" s="76">
        <v>0.07</v>
      </c>
    </row>
    <row r="19">
      <c r="A19" s="151">
        <v>46231.0</v>
      </c>
      <c r="B19" s="152" t="s">
        <v>4</v>
      </c>
      <c r="C19" s="152" t="s">
        <v>151</v>
      </c>
      <c r="D19" s="152">
        <v>468.0</v>
      </c>
      <c r="E19" s="152">
        <v>1.72</v>
      </c>
      <c r="F19" s="152">
        <v>217.78</v>
      </c>
      <c r="G19" s="152">
        <v>0.4653</v>
      </c>
      <c r="H19" s="152">
        <v>5.98</v>
      </c>
      <c r="I19" s="152">
        <v>7.7779</v>
      </c>
      <c r="J19" s="152">
        <v>234.59</v>
      </c>
      <c r="K19" s="152">
        <v>160.07</v>
      </c>
      <c r="L19" s="152">
        <v>124.4</v>
      </c>
      <c r="M19" s="152">
        <v>0.7771</v>
      </c>
      <c r="N19" s="152">
        <v>0.307</v>
      </c>
      <c r="O19" s="152">
        <v>0.1985</v>
      </c>
      <c r="P19" s="152">
        <v>1.2868</v>
      </c>
      <c r="Q19" s="152">
        <v>712.35</v>
      </c>
      <c r="R19" s="152">
        <v>450.19</v>
      </c>
      <c r="S19" s="152">
        <v>262.17</v>
      </c>
      <c r="T19" s="152">
        <v>39.0</v>
      </c>
      <c r="U19" s="152">
        <v>673.36</v>
      </c>
      <c r="V19" s="152">
        <v>675.53</v>
      </c>
      <c r="W19" s="152">
        <v>4.2201</v>
      </c>
      <c r="X19" s="152">
        <v>5.47</v>
      </c>
      <c r="Y19" s="152">
        <v>477.0</v>
      </c>
      <c r="Z19" s="152">
        <v>877.0</v>
      </c>
      <c r="AA19" s="152">
        <v>1667.0</v>
      </c>
      <c r="AB19" s="152">
        <v>57.8386</v>
      </c>
      <c r="AC19" s="152">
        <v>0.8077</v>
      </c>
      <c r="AD19" s="152">
        <v>58.51</v>
      </c>
      <c r="AE19" s="152">
        <v>23.0</v>
      </c>
      <c r="AF19" s="152">
        <v>40.0</v>
      </c>
      <c r="AG19" s="152">
        <v>77.0</v>
      </c>
      <c r="AH19" s="152">
        <v>134.0</v>
      </c>
      <c r="AI19" s="152">
        <v>23.72</v>
      </c>
      <c r="AJ19" s="152">
        <v>3.85</v>
      </c>
      <c r="AK19" s="152">
        <v>0.21</v>
      </c>
      <c r="AL19" s="152">
        <v>0.1175</v>
      </c>
      <c r="AM19" s="153"/>
      <c r="AQ19" s="76">
        <v>32.3654</v>
      </c>
      <c r="AR19" s="76">
        <v>0.5748</v>
      </c>
      <c r="AS19" s="76">
        <v>31.7906</v>
      </c>
      <c r="AT19" s="76">
        <v>32.5534</v>
      </c>
      <c r="AU19" s="76">
        <v>0.2034</v>
      </c>
      <c r="AV19" s="76">
        <v>468.0</v>
      </c>
      <c r="AW19" s="76">
        <v>0.0</v>
      </c>
      <c r="AX19" s="76">
        <v>457.78</v>
      </c>
      <c r="AY19" s="76">
        <v>196.89</v>
      </c>
      <c r="AZ19" s="76">
        <v>6.93</v>
      </c>
      <c r="BA19" s="76">
        <v>39.0</v>
      </c>
      <c r="BB19" s="76">
        <v>11.76</v>
      </c>
      <c r="BC19" s="76">
        <v>268.0</v>
      </c>
      <c r="BD19" s="76">
        <v>16673.0</v>
      </c>
      <c r="BE19" s="76">
        <v>18.9765</v>
      </c>
      <c r="BF19" s="76">
        <v>0.25</v>
      </c>
      <c r="BG19" s="76">
        <v>18.7265</v>
      </c>
      <c r="BH19" s="76">
        <v>14.5534</v>
      </c>
      <c r="BI19" s="76">
        <v>0.0909</v>
      </c>
      <c r="BJ19" s="76">
        <v>13.3889</v>
      </c>
      <c r="BK19" s="76">
        <v>0.3248</v>
      </c>
      <c r="BL19" s="76">
        <v>13.0641</v>
      </c>
      <c r="BM19" s="76">
        <v>18.0</v>
      </c>
      <c r="BN19" s="76">
        <v>0.1124</v>
      </c>
      <c r="BO19" s="76">
        <v>7.4017</v>
      </c>
      <c r="BP19" s="76">
        <v>0.0791</v>
      </c>
      <c r="BQ19" s="76">
        <v>7.3226</v>
      </c>
      <c r="BR19" s="76">
        <v>5.7201</v>
      </c>
      <c r="BS19" s="76">
        <v>8.3141</v>
      </c>
      <c r="BT19" s="76">
        <v>0.0791</v>
      </c>
      <c r="BU19" s="76">
        <v>8.235</v>
      </c>
      <c r="BV19" s="76">
        <v>6.1325</v>
      </c>
      <c r="BW19" s="76">
        <v>3.2607</v>
      </c>
      <c r="BX19" s="76">
        <v>0.0919</v>
      </c>
      <c r="BY19" s="76">
        <v>3.1688</v>
      </c>
      <c r="BZ19" s="76">
        <v>2.7009</v>
      </c>
      <c r="CA19" s="76">
        <v>2.7244</v>
      </c>
      <c r="CB19" s="76">
        <v>0.1026</v>
      </c>
      <c r="CC19" s="76">
        <v>2.6218</v>
      </c>
      <c r="CD19" s="76">
        <v>5.609</v>
      </c>
      <c r="CE19" s="76">
        <v>4.891</v>
      </c>
      <c r="CF19" s="76">
        <v>0.1239</v>
      </c>
      <c r="CG19" s="76">
        <v>4.7671</v>
      </c>
      <c r="CH19" s="76">
        <v>5.3483</v>
      </c>
      <c r="CI19" s="76">
        <v>5.7735</v>
      </c>
      <c r="CJ19" s="76">
        <v>0.0983</v>
      </c>
      <c r="CK19" s="76">
        <v>5.6752</v>
      </c>
      <c r="CL19" s="76">
        <v>7.0427</v>
      </c>
      <c r="CM19" s="76">
        <v>1433.33</v>
      </c>
      <c r="CN19" s="76">
        <v>100.0</v>
      </c>
      <c r="CO19" s="76">
        <v>1433.33</v>
      </c>
      <c r="CP19" s="76">
        <v>1379.03</v>
      </c>
      <c r="CQ19" s="76">
        <v>0.0</v>
      </c>
      <c r="CR19" s="76">
        <v>13.25</v>
      </c>
      <c r="CS19" s="76">
        <v>41.06</v>
      </c>
      <c r="CT19" s="76">
        <v>0.0</v>
      </c>
      <c r="CU19" s="76">
        <v>0.0</v>
      </c>
      <c r="CV19" s="76">
        <v>0.0</v>
      </c>
      <c r="CW19" s="76">
        <v>712.35</v>
      </c>
      <c r="CX19" s="76">
        <v>0.0</v>
      </c>
      <c r="CY19" s="76">
        <v>0.0</v>
      </c>
    </row>
    <row r="20" ht="15.75" customHeight="1">
      <c r="A20" s="151">
        <v>46231.0</v>
      </c>
      <c r="B20" s="152" t="s">
        <v>5</v>
      </c>
      <c r="C20" s="152" t="s">
        <v>316</v>
      </c>
      <c r="D20" s="152">
        <v>4670.0</v>
      </c>
      <c r="E20" s="152">
        <v>17.3</v>
      </c>
      <c r="F20" s="152">
        <v>162.19</v>
      </c>
      <c r="G20" s="152">
        <v>0.0347</v>
      </c>
      <c r="H20" s="152">
        <v>0.49</v>
      </c>
      <c r="I20" s="152">
        <v>7.0517</v>
      </c>
      <c r="J20" s="152">
        <v>15.68</v>
      </c>
      <c r="K20" s="152">
        <v>8.39</v>
      </c>
      <c r="L20" s="152">
        <v>5.59</v>
      </c>
      <c r="M20" s="152">
        <v>0.6664</v>
      </c>
      <c r="N20" s="152">
        <v>0.4499</v>
      </c>
      <c r="O20" s="152">
        <v>0.2247</v>
      </c>
      <c r="P20" s="152">
        <v>1.5007</v>
      </c>
      <c r="Q20" s="152">
        <v>31.41</v>
      </c>
      <c r="R20" s="152">
        <v>31.31</v>
      </c>
      <c r="S20" s="152">
        <v>0.11</v>
      </c>
      <c r="T20" s="152">
        <v>3.58</v>
      </c>
      <c r="U20" s="152">
        <v>27.84</v>
      </c>
      <c r="V20" s="152">
        <v>24.34</v>
      </c>
      <c r="W20" s="152">
        <v>2.9016</v>
      </c>
      <c r="X20" s="152">
        <v>11.38</v>
      </c>
      <c r="Y20" s="152">
        <v>200.0</v>
      </c>
      <c r="Z20" s="152">
        <v>366.0</v>
      </c>
      <c r="AA20" s="152">
        <v>2395.0</v>
      </c>
      <c r="AB20" s="152">
        <v>49.5224</v>
      </c>
      <c r="AC20" s="152">
        <v>0.527</v>
      </c>
      <c r="AD20" s="153"/>
      <c r="AE20" s="153"/>
      <c r="AF20" s="153"/>
      <c r="AG20" s="153"/>
      <c r="AH20" s="153"/>
      <c r="AI20" s="152">
        <v>0.0</v>
      </c>
      <c r="AJ20" s="152">
        <v>0.0</v>
      </c>
      <c r="AK20" s="152">
        <v>0.0</v>
      </c>
      <c r="AL20" s="152">
        <v>0.594</v>
      </c>
      <c r="AM20" s="152">
        <v>4.54</v>
      </c>
      <c r="AN20" s="76">
        <v>4.54</v>
      </c>
      <c r="AO20" s="76">
        <v>2.91</v>
      </c>
      <c r="AP20" s="76">
        <v>1.46</v>
      </c>
      <c r="AQ20" s="76">
        <v>1.4403</v>
      </c>
      <c r="AR20" s="76">
        <v>0.0452</v>
      </c>
      <c r="AS20" s="76">
        <v>1.3951</v>
      </c>
      <c r="AT20" s="76">
        <v>1.4544</v>
      </c>
      <c r="AU20" s="76">
        <v>0.1734</v>
      </c>
      <c r="AV20" s="76">
        <v>4670.0</v>
      </c>
      <c r="AW20" s="76">
        <v>0.0</v>
      </c>
      <c r="AX20" s="76">
        <v>7.49</v>
      </c>
      <c r="AY20" s="76">
        <v>18.48</v>
      </c>
      <c r="AZ20" s="76">
        <v>1.68</v>
      </c>
      <c r="BA20" s="76">
        <v>3.58</v>
      </c>
      <c r="BB20" s="76">
        <v>0.18</v>
      </c>
      <c r="BD20" s="76">
        <v>24742.0</v>
      </c>
      <c r="BE20" s="76">
        <v>0.6077</v>
      </c>
      <c r="BF20" s="76">
        <v>0.0186</v>
      </c>
      <c r="BG20" s="76">
        <v>0.5891</v>
      </c>
      <c r="BH20" s="76">
        <v>0.6966</v>
      </c>
      <c r="BI20" s="76">
        <v>0.0831</v>
      </c>
      <c r="BJ20" s="76">
        <v>0.8325</v>
      </c>
      <c r="BK20" s="76">
        <v>0.0266</v>
      </c>
      <c r="BL20" s="76">
        <v>0.806</v>
      </c>
      <c r="BM20" s="76">
        <v>0.7578</v>
      </c>
      <c r="BN20" s="76">
        <v>0.0904</v>
      </c>
      <c r="BO20" s="76">
        <v>0.231</v>
      </c>
      <c r="BP20" s="76">
        <v>0.006</v>
      </c>
      <c r="BQ20" s="76">
        <v>0.2251</v>
      </c>
      <c r="BR20" s="76">
        <v>0.2784</v>
      </c>
      <c r="BS20" s="76">
        <v>0.2227</v>
      </c>
      <c r="BT20" s="76">
        <v>0.0066</v>
      </c>
      <c r="BU20" s="76">
        <v>0.2161</v>
      </c>
      <c r="BV20" s="76">
        <v>0.2351</v>
      </c>
      <c r="BW20" s="76">
        <v>0.154</v>
      </c>
      <c r="BX20" s="76">
        <v>0.006</v>
      </c>
      <c r="BY20" s="76">
        <v>0.148</v>
      </c>
      <c r="BZ20" s="76">
        <v>0.1831</v>
      </c>
      <c r="CA20" s="76">
        <v>0.1794</v>
      </c>
      <c r="CB20" s="76">
        <v>0.0075</v>
      </c>
      <c r="CC20" s="76">
        <v>0.1719</v>
      </c>
      <c r="CD20" s="76">
        <v>0.1681</v>
      </c>
      <c r="CE20" s="76">
        <v>0.3743</v>
      </c>
      <c r="CF20" s="76">
        <v>0.0118</v>
      </c>
      <c r="CG20" s="76">
        <v>0.3625</v>
      </c>
      <c r="CH20" s="76">
        <v>0.239</v>
      </c>
      <c r="CI20" s="76">
        <v>0.2788</v>
      </c>
      <c r="CJ20" s="76">
        <v>0.0073</v>
      </c>
      <c r="CK20" s="76">
        <v>0.2715</v>
      </c>
      <c r="CL20" s="76">
        <v>0.3507</v>
      </c>
      <c r="CM20" s="76">
        <v>50.35</v>
      </c>
      <c r="CN20" s="76">
        <v>10.71</v>
      </c>
      <c r="CO20" s="76">
        <v>470.25</v>
      </c>
      <c r="CP20" s="76">
        <v>35.3</v>
      </c>
      <c r="CQ20" s="76">
        <v>13.46</v>
      </c>
      <c r="CR20" s="76">
        <v>0.69</v>
      </c>
      <c r="CS20" s="76">
        <v>0.9</v>
      </c>
      <c r="CT20" s="76">
        <v>0.0</v>
      </c>
      <c r="CU20" s="76">
        <v>844.0</v>
      </c>
      <c r="CV20" s="76">
        <v>5.44</v>
      </c>
      <c r="CW20" s="76">
        <v>36.86</v>
      </c>
      <c r="CX20" s="76">
        <v>1.35</v>
      </c>
      <c r="CY20" s="76">
        <v>14.81</v>
      </c>
    </row>
    <row r="21" ht="15.75" customHeight="1">
      <c r="A21" s="151">
        <v>46231.0</v>
      </c>
      <c r="B21" s="152" t="s">
        <v>5</v>
      </c>
      <c r="C21" s="152" t="s">
        <v>147</v>
      </c>
      <c r="D21" s="152">
        <v>7877.0</v>
      </c>
      <c r="E21" s="152">
        <v>29.19</v>
      </c>
      <c r="F21" s="152">
        <v>105.73</v>
      </c>
      <c r="G21" s="152">
        <v>0.0134</v>
      </c>
      <c r="H21" s="152">
        <v>0.61</v>
      </c>
      <c r="I21" s="152">
        <v>2.2027</v>
      </c>
      <c r="J21" s="152">
        <v>19.12</v>
      </c>
      <c r="K21" s="152">
        <v>10.02</v>
      </c>
      <c r="L21" s="152">
        <v>4.9</v>
      </c>
      <c r="M21" s="152">
        <v>0.4889</v>
      </c>
      <c r="N21" s="152">
        <v>0.61</v>
      </c>
      <c r="O21" s="152">
        <v>0.3484</v>
      </c>
      <c r="P21" s="152">
        <v>2.0452</v>
      </c>
      <c r="Q21" s="152">
        <v>34.04</v>
      </c>
      <c r="R21" s="152">
        <v>31.43</v>
      </c>
      <c r="S21" s="152">
        <v>2.61</v>
      </c>
      <c r="T21" s="152">
        <v>1.28</v>
      </c>
      <c r="U21" s="152">
        <v>32.75</v>
      </c>
      <c r="V21" s="152">
        <v>36.35</v>
      </c>
      <c r="W21" s="152">
        <v>3.6281</v>
      </c>
      <c r="X21" s="152">
        <v>3.77</v>
      </c>
      <c r="Y21" s="152">
        <v>200.0</v>
      </c>
      <c r="Z21" s="152">
        <v>281.0</v>
      </c>
      <c r="AA21" s="152">
        <v>980.0</v>
      </c>
      <c r="AB21" s="152">
        <v>49.4744</v>
      </c>
      <c r="AC21" s="152">
        <v>0.5999</v>
      </c>
      <c r="AD21" s="152">
        <v>3.94</v>
      </c>
      <c r="AE21" s="152">
        <v>2.0</v>
      </c>
      <c r="AF21" s="152">
        <v>3.0</v>
      </c>
      <c r="AG21" s="152">
        <v>5.0</v>
      </c>
      <c r="AH21" s="152">
        <v>8.0</v>
      </c>
      <c r="AI21" s="152">
        <v>75.33</v>
      </c>
      <c r="AJ21" s="152">
        <v>33.81</v>
      </c>
      <c r="AK21" s="152">
        <v>5.26</v>
      </c>
      <c r="AL21" s="152">
        <v>0.5473</v>
      </c>
      <c r="AM21" s="152">
        <v>28.31</v>
      </c>
      <c r="AN21" s="76">
        <v>28.31</v>
      </c>
      <c r="AO21" s="76">
        <v>12.64</v>
      </c>
      <c r="AP21" s="76">
        <v>3.59</v>
      </c>
      <c r="AQ21" s="76">
        <v>2.6852</v>
      </c>
      <c r="AR21" s="76">
        <v>0.0621</v>
      </c>
      <c r="AS21" s="76">
        <v>2.6231</v>
      </c>
      <c r="AT21" s="76">
        <v>2.2191</v>
      </c>
      <c r="AU21" s="76">
        <v>0.2215</v>
      </c>
      <c r="AV21" s="76">
        <v>7877.0</v>
      </c>
      <c r="AW21" s="76">
        <v>0.0</v>
      </c>
      <c r="AX21" s="76">
        <v>15.5</v>
      </c>
      <c r="AY21" s="76">
        <v>15.22</v>
      </c>
      <c r="AZ21" s="76">
        <v>1.55</v>
      </c>
      <c r="BA21" s="76">
        <v>1.28</v>
      </c>
      <c r="BB21" s="76">
        <v>0.49</v>
      </c>
      <c r="BC21" s="76">
        <v>15.0</v>
      </c>
      <c r="BD21" s="76">
        <v>17176.0</v>
      </c>
      <c r="BE21" s="76">
        <v>1.6401</v>
      </c>
      <c r="BF21" s="76">
        <v>0.0514</v>
      </c>
      <c r="BG21" s="76">
        <v>1.5887</v>
      </c>
      <c r="BH21" s="76">
        <v>1.2688</v>
      </c>
      <c r="BI21" s="76">
        <v>0.1266</v>
      </c>
      <c r="BJ21" s="76">
        <v>1.0451</v>
      </c>
      <c r="BK21" s="76">
        <v>0.0107</v>
      </c>
      <c r="BL21" s="76">
        <v>1.0344</v>
      </c>
      <c r="BM21" s="76">
        <v>0.9504</v>
      </c>
      <c r="BN21" s="76">
        <v>0.0949</v>
      </c>
      <c r="BO21" s="76">
        <v>0.7352</v>
      </c>
      <c r="BP21" s="76">
        <v>0.0176</v>
      </c>
      <c r="BQ21" s="76">
        <v>0.7175</v>
      </c>
      <c r="BR21" s="76">
        <v>0.5657</v>
      </c>
      <c r="BS21" s="76">
        <v>0.6806</v>
      </c>
      <c r="BT21" s="76">
        <v>0.0146</v>
      </c>
      <c r="BU21" s="76">
        <v>0.666</v>
      </c>
      <c r="BV21" s="76">
        <v>0.4748</v>
      </c>
      <c r="BW21" s="76">
        <v>0.2243</v>
      </c>
      <c r="BX21" s="76">
        <v>0.0192</v>
      </c>
      <c r="BY21" s="76">
        <v>0.2052</v>
      </c>
      <c r="BZ21" s="76">
        <v>0.2283</v>
      </c>
      <c r="CA21" s="76">
        <v>0.1303</v>
      </c>
      <c r="CB21" s="76">
        <v>0.0024</v>
      </c>
      <c r="CC21" s="76">
        <v>0.1278</v>
      </c>
      <c r="CD21" s="76">
        <v>0.1653</v>
      </c>
      <c r="CE21" s="76">
        <v>0.6298</v>
      </c>
      <c r="CF21" s="76">
        <v>0.0039</v>
      </c>
      <c r="CG21" s="76">
        <v>0.6259</v>
      </c>
      <c r="CH21" s="76">
        <v>0.4782</v>
      </c>
      <c r="CI21" s="76">
        <v>0.285</v>
      </c>
      <c r="CJ21" s="76">
        <v>0.0043</v>
      </c>
      <c r="CK21" s="76">
        <v>0.2807</v>
      </c>
      <c r="CL21" s="76">
        <v>0.3068</v>
      </c>
      <c r="CM21" s="76">
        <v>46.92</v>
      </c>
      <c r="CN21" s="76">
        <v>61.18</v>
      </c>
      <c r="CO21" s="76">
        <v>76.69</v>
      </c>
      <c r="CP21" s="76">
        <v>33.78</v>
      </c>
      <c r="CQ21" s="76">
        <v>10.26</v>
      </c>
      <c r="CR21" s="76">
        <v>2.11</v>
      </c>
      <c r="CS21" s="76">
        <v>0.76</v>
      </c>
      <c r="CT21" s="76">
        <v>0.0</v>
      </c>
      <c r="CU21" s="76">
        <v>1792.0</v>
      </c>
      <c r="CV21" s="76">
        <v>0.66</v>
      </c>
      <c r="CW21" s="76">
        <v>34.7</v>
      </c>
      <c r="CX21" s="76">
        <v>1.09</v>
      </c>
      <c r="CY21" s="76">
        <v>11.35</v>
      </c>
    </row>
    <row r="22" ht="15.75" customHeight="1">
      <c r="A22" s="151">
        <v>46231.0</v>
      </c>
      <c r="B22" s="152" t="s">
        <v>5</v>
      </c>
      <c r="C22" s="152" t="s">
        <v>148</v>
      </c>
      <c r="D22" s="152">
        <v>6158.0</v>
      </c>
      <c r="E22" s="152">
        <v>22.82</v>
      </c>
      <c r="F22" s="152">
        <v>320.84</v>
      </c>
      <c r="G22" s="152">
        <v>0.0521</v>
      </c>
      <c r="H22" s="152">
        <v>1.88</v>
      </c>
      <c r="I22" s="152">
        <v>2.7659</v>
      </c>
      <c r="J22" s="152">
        <v>43.0</v>
      </c>
      <c r="K22" s="152">
        <v>22.97</v>
      </c>
      <c r="L22" s="152">
        <v>13.85</v>
      </c>
      <c r="M22" s="152">
        <v>0.6031</v>
      </c>
      <c r="N22" s="152">
        <v>0.5174</v>
      </c>
      <c r="O22" s="152">
        <v>0.306</v>
      </c>
      <c r="P22" s="152">
        <v>1.6582</v>
      </c>
      <c r="Q22" s="152">
        <v>76.53</v>
      </c>
      <c r="R22" s="152">
        <v>68.08</v>
      </c>
      <c r="S22" s="152">
        <v>8.44</v>
      </c>
      <c r="T22" s="152">
        <v>4.79</v>
      </c>
      <c r="U22" s="152">
        <v>71.74</v>
      </c>
      <c r="V22" s="152">
        <v>85.27</v>
      </c>
      <c r="W22" s="152">
        <v>3.713</v>
      </c>
      <c r="X22" s="152">
        <v>6.26</v>
      </c>
      <c r="Y22" s="152">
        <v>223.0</v>
      </c>
      <c r="Z22" s="152">
        <v>346.0</v>
      </c>
      <c r="AA22" s="152">
        <v>1024.0</v>
      </c>
      <c r="AB22" s="152">
        <v>51.5577</v>
      </c>
      <c r="AC22" s="152">
        <v>0.6812</v>
      </c>
      <c r="AD22" s="152">
        <v>9.7</v>
      </c>
      <c r="AE22" s="152">
        <v>4.0</v>
      </c>
      <c r="AF22" s="152">
        <v>8.0</v>
      </c>
      <c r="AG22" s="152">
        <v>13.0</v>
      </c>
      <c r="AH22" s="152">
        <v>19.0</v>
      </c>
      <c r="AI22" s="152">
        <v>66.42</v>
      </c>
      <c r="AJ22" s="152">
        <v>28.06</v>
      </c>
      <c r="AK22" s="152">
        <v>3.43</v>
      </c>
      <c r="AL22" s="152">
        <v>0.3668</v>
      </c>
      <c r="AM22" s="152">
        <v>36.34</v>
      </c>
      <c r="AN22" s="76">
        <v>36.34</v>
      </c>
      <c r="AO22" s="76">
        <v>21.06</v>
      </c>
      <c r="AP22" s="76">
        <v>10.67</v>
      </c>
      <c r="AQ22" s="76">
        <v>5.7826</v>
      </c>
      <c r="AR22" s="76">
        <v>0.0822</v>
      </c>
      <c r="AS22" s="76">
        <v>5.7004</v>
      </c>
      <c r="AT22" s="76">
        <v>5.1327</v>
      </c>
      <c r="AU22" s="76">
        <v>0.2235</v>
      </c>
      <c r="AV22" s="76">
        <v>6158.0</v>
      </c>
      <c r="AW22" s="76">
        <v>0.0</v>
      </c>
      <c r="AX22" s="76">
        <v>34.89</v>
      </c>
      <c r="AY22" s="76">
        <v>33.16</v>
      </c>
      <c r="AZ22" s="76">
        <v>2.78</v>
      </c>
      <c r="BA22" s="76">
        <v>4.79</v>
      </c>
      <c r="BB22" s="76">
        <v>0.9</v>
      </c>
      <c r="BC22" s="76">
        <v>33.0</v>
      </c>
      <c r="BD22" s="76">
        <v>18101.0</v>
      </c>
      <c r="BE22" s="76">
        <v>3.2286</v>
      </c>
      <c r="BF22" s="76">
        <v>0.057</v>
      </c>
      <c r="BG22" s="76">
        <v>3.1716</v>
      </c>
      <c r="BH22" s="76">
        <v>2.7309</v>
      </c>
      <c r="BI22" s="76">
        <v>0.1189</v>
      </c>
      <c r="BJ22" s="76">
        <v>2.5539</v>
      </c>
      <c r="BK22" s="76">
        <v>0.0252</v>
      </c>
      <c r="BL22" s="76">
        <v>2.5287</v>
      </c>
      <c r="BM22" s="76">
        <v>2.4018</v>
      </c>
      <c r="BN22" s="76">
        <v>0.1046</v>
      </c>
      <c r="BO22" s="76">
        <v>1.3688</v>
      </c>
      <c r="BP22" s="76">
        <v>0.0291</v>
      </c>
      <c r="BQ22" s="76">
        <v>1.3397</v>
      </c>
      <c r="BR22" s="76">
        <v>1.1718</v>
      </c>
      <c r="BS22" s="76">
        <v>1.3019</v>
      </c>
      <c r="BT22" s="76">
        <v>0.0101</v>
      </c>
      <c r="BU22" s="76">
        <v>1.2918</v>
      </c>
      <c r="BV22" s="76">
        <v>1.0166</v>
      </c>
      <c r="BW22" s="76">
        <v>0.558</v>
      </c>
      <c r="BX22" s="76">
        <v>0.0179</v>
      </c>
      <c r="BY22" s="76">
        <v>0.5401</v>
      </c>
      <c r="BZ22" s="76">
        <v>0.5425</v>
      </c>
      <c r="CA22" s="76">
        <v>0.3819</v>
      </c>
      <c r="CB22" s="76">
        <v>0.0049</v>
      </c>
      <c r="CC22" s="76">
        <v>0.3771</v>
      </c>
      <c r="CD22" s="76">
        <v>0.4513</v>
      </c>
      <c r="CE22" s="76">
        <v>1.3649</v>
      </c>
      <c r="CF22" s="76">
        <v>0.0109</v>
      </c>
      <c r="CG22" s="76">
        <v>1.354</v>
      </c>
      <c r="CH22" s="76">
        <v>1.1122</v>
      </c>
      <c r="CI22" s="76">
        <v>0.8071</v>
      </c>
      <c r="CJ22" s="76">
        <v>0.0094</v>
      </c>
      <c r="CK22" s="76">
        <v>0.7977</v>
      </c>
      <c r="CL22" s="76">
        <v>0.8383</v>
      </c>
      <c r="CM22" s="76">
        <v>108.13</v>
      </c>
      <c r="CN22" s="76">
        <v>82.12</v>
      </c>
      <c r="CO22" s="76">
        <v>131.67</v>
      </c>
      <c r="CP22" s="76">
        <v>70.47</v>
      </c>
      <c r="CQ22" s="76">
        <v>31.85</v>
      </c>
      <c r="CR22" s="76">
        <v>3.48</v>
      </c>
      <c r="CS22" s="76">
        <v>2.33</v>
      </c>
      <c r="CT22" s="76">
        <v>0.0</v>
      </c>
      <c r="CU22" s="76">
        <v>2268.0</v>
      </c>
      <c r="CV22" s="76">
        <v>1.83</v>
      </c>
      <c r="CW22" s="76">
        <v>78.36</v>
      </c>
      <c r="CX22" s="76">
        <v>3.88</v>
      </c>
      <c r="CY22" s="76">
        <v>35.72</v>
      </c>
    </row>
    <row r="23" ht="15.75" customHeight="1">
      <c r="A23" s="151">
        <v>46231.0</v>
      </c>
      <c r="B23" s="152" t="s">
        <v>5</v>
      </c>
      <c r="C23" s="152" t="s">
        <v>149</v>
      </c>
      <c r="D23" s="152">
        <v>4971.0</v>
      </c>
      <c r="E23" s="152">
        <v>18.42</v>
      </c>
      <c r="F23" s="152">
        <v>514.95</v>
      </c>
      <c r="G23" s="152">
        <v>0.1036</v>
      </c>
      <c r="H23" s="152">
        <v>2.45</v>
      </c>
      <c r="I23" s="152">
        <v>4.2209</v>
      </c>
      <c r="J23" s="152">
        <v>65.8</v>
      </c>
      <c r="K23" s="152">
        <v>37.28</v>
      </c>
      <c r="L23" s="152">
        <v>26.46</v>
      </c>
      <c r="M23" s="152">
        <v>0.7098</v>
      </c>
      <c r="N23" s="152">
        <v>0.407</v>
      </c>
      <c r="O23" s="152">
        <v>0.254</v>
      </c>
      <c r="P23" s="152">
        <v>1.4089</v>
      </c>
      <c r="Q23" s="152">
        <v>128.58</v>
      </c>
      <c r="R23" s="152">
        <v>113.32</v>
      </c>
      <c r="S23" s="152">
        <v>15.26</v>
      </c>
      <c r="T23" s="152">
        <v>8.76</v>
      </c>
      <c r="U23" s="152">
        <v>119.82</v>
      </c>
      <c r="V23" s="152">
        <v>138.72</v>
      </c>
      <c r="W23" s="152">
        <v>3.7214</v>
      </c>
      <c r="X23" s="152">
        <v>6.81</v>
      </c>
      <c r="Y23" s="152">
        <v>256.0</v>
      </c>
      <c r="Z23" s="152">
        <v>422.0</v>
      </c>
      <c r="AA23" s="152">
        <v>1025.0</v>
      </c>
      <c r="AB23" s="152">
        <v>53.4842</v>
      </c>
      <c r="AC23" s="152">
        <v>0.7464</v>
      </c>
      <c r="AD23" s="152">
        <v>16.71</v>
      </c>
      <c r="AE23" s="152">
        <v>7.0</v>
      </c>
      <c r="AF23" s="152">
        <v>13.0</v>
      </c>
      <c r="AG23" s="152">
        <v>23.0</v>
      </c>
      <c r="AH23" s="152">
        <v>33.0</v>
      </c>
      <c r="AI23" s="152">
        <v>59.51</v>
      </c>
      <c r="AJ23" s="152">
        <v>20.94</v>
      </c>
      <c r="AK23" s="152">
        <v>4.53</v>
      </c>
      <c r="AL23" s="152">
        <v>0.2991</v>
      </c>
      <c r="AM23" s="152">
        <v>37.34</v>
      </c>
      <c r="AN23" s="76">
        <v>37.34</v>
      </c>
      <c r="AO23" s="76">
        <v>21.67</v>
      </c>
      <c r="AP23" s="76">
        <v>11.55</v>
      </c>
      <c r="AQ23" s="76">
        <v>8.8954</v>
      </c>
      <c r="AR23" s="76">
        <v>0.1452</v>
      </c>
      <c r="AS23" s="76">
        <v>8.7502</v>
      </c>
      <c r="AT23" s="76">
        <v>7.6399</v>
      </c>
      <c r="AU23" s="76">
        <v>0.2049</v>
      </c>
      <c r="AV23" s="76">
        <v>4971.0</v>
      </c>
      <c r="AW23" s="76">
        <v>0.0</v>
      </c>
      <c r="AX23" s="76">
        <v>60.78</v>
      </c>
      <c r="AY23" s="76">
        <v>53.84</v>
      </c>
      <c r="AZ23" s="76">
        <v>3.05</v>
      </c>
      <c r="BA23" s="76">
        <v>8.76</v>
      </c>
      <c r="BB23" s="76">
        <v>2.15</v>
      </c>
      <c r="BC23" s="76">
        <v>63.0</v>
      </c>
      <c r="BD23" s="76">
        <v>16086.0</v>
      </c>
      <c r="BE23" s="76">
        <v>4.9167</v>
      </c>
      <c r="BF23" s="76">
        <v>0.0833</v>
      </c>
      <c r="BG23" s="76">
        <v>4.8334</v>
      </c>
      <c r="BH23" s="76">
        <v>3.8228</v>
      </c>
      <c r="BI23" s="76">
        <v>0.1025</v>
      </c>
      <c r="BJ23" s="76">
        <v>3.9787</v>
      </c>
      <c r="BK23" s="76">
        <v>0.062</v>
      </c>
      <c r="BL23" s="76">
        <v>3.9167</v>
      </c>
      <c r="BM23" s="76">
        <v>3.8171</v>
      </c>
      <c r="BN23" s="76">
        <v>0.1024</v>
      </c>
      <c r="BO23" s="76">
        <v>1.8175</v>
      </c>
      <c r="BP23" s="76">
        <v>0.0292</v>
      </c>
      <c r="BQ23" s="76">
        <v>1.7884</v>
      </c>
      <c r="BR23" s="76">
        <v>1.4715</v>
      </c>
      <c r="BS23" s="76">
        <v>1.9139</v>
      </c>
      <c r="BT23" s="76">
        <v>0.0231</v>
      </c>
      <c r="BU23" s="76">
        <v>1.8908</v>
      </c>
      <c r="BV23" s="76">
        <v>1.4359</v>
      </c>
      <c r="BW23" s="76">
        <v>1.1853</v>
      </c>
      <c r="BX23" s="76">
        <v>0.031</v>
      </c>
      <c r="BY23" s="76">
        <v>1.1543</v>
      </c>
      <c r="BZ23" s="76">
        <v>0.9153</v>
      </c>
      <c r="CA23" s="76">
        <v>0.7047</v>
      </c>
      <c r="CB23" s="76">
        <v>0.0139</v>
      </c>
      <c r="CC23" s="76">
        <v>0.6908</v>
      </c>
      <c r="CD23" s="76">
        <v>0.7988</v>
      </c>
      <c r="CE23" s="76">
        <v>1.9121</v>
      </c>
      <c r="CF23" s="76">
        <v>0.0255</v>
      </c>
      <c r="CG23" s="76">
        <v>1.8865</v>
      </c>
      <c r="CH23" s="76">
        <v>1.6055</v>
      </c>
      <c r="CI23" s="76">
        <v>1.3619</v>
      </c>
      <c r="CJ23" s="76">
        <v>0.0225</v>
      </c>
      <c r="CK23" s="76">
        <v>1.3394</v>
      </c>
      <c r="CL23" s="76">
        <v>1.4128</v>
      </c>
      <c r="CM23" s="76">
        <v>204.75</v>
      </c>
      <c r="CN23" s="76">
        <v>92.52</v>
      </c>
      <c r="CO23" s="76">
        <v>221.31</v>
      </c>
      <c r="CP23" s="76">
        <v>138.87</v>
      </c>
      <c r="CQ23" s="76">
        <v>57.3</v>
      </c>
      <c r="CR23" s="76">
        <v>4.65</v>
      </c>
      <c r="CS23" s="76">
        <v>3.92</v>
      </c>
      <c r="CT23" s="76">
        <v>0.0</v>
      </c>
      <c r="CU23" s="76">
        <v>2189.0</v>
      </c>
      <c r="CV23" s="76">
        <v>2.42</v>
      </c>
      <c r="CW23" s="76">
        <v>131.0</v>
      </c>
      <c r="CX23" s="76">
        <v>6.71</v>
      </c>
      <c r="CY23" s="76">
        <v>64.01</v>
      </c>
    </row>
    <row r="24" ht="15.75" customHeight="1">
      <c r="A24" s="151">
        <v>46231.0</v>
      </c>
      <c r="B24" s="152" t="s">
        <v>5</v>
      </c>
      <c r="C24" s="152" t="s">
        <v>150</v>
      </c>
      <c r="D24" s="152">
        <v>2898.0</v>
      </c>
      <c r="E24" s="152">
        <v>10.74</v>
      </c>
      <c r="F24" s="152">
        <v>692.03</v>
      </c>
      <c r="G24" s="152">
        <v>0.2388</v>
      </c>
      <c r="H24" s="152">
        <v>3.76</v>
      </c>
      <c r="I24" s="152">
        <v>6.3489</v>
      </c>
      <c r="J24" s="152">
        <v>116.37</v>
      </c>
      <c r="K24" s="152">
        <v>70.63</v>
      </c>
      <c r="L24" s="152">
        <v>52.27</v>
      </c>
      <c r="M24" s="152">
        <v>0.7401</v>
      </c>
      <c r="N24" s="152">
        <v>0.3627</v>
      </c>
      <c r="O24" s="152">
        <v>0.2306</v>
      </c>
      <c r="P24" s="152">
        <v>1.3512</v>
      </c>
      <c r="Q24" s="152">
        <v>232.56</v>
      </c>
      <c r="R24" s="152">
        <v>201.43</v>
      </c>
      <c r="S24" s="152">
        <v>31.12</v>
      </c>
      <c r="T24" s="152">
        <v>20.48</v>
      </c>
      <c r="U24" s="152">
        <v>212.08</v>
      </c>
      <c r="V24" s="152">
        <v>256.19</v>
      </c>
      <c r="W24" s="152">
        <v>3.6273</v>
      </c>
      <c r="X24" s="152">
        <v>8.81</v>
      </c>
      <c r="Y24" s="152">
        <v>302.0</v>
      </c>
      <c r="Z24" s="152">
        <v>509.0</v>
      </c>
      <c r="AA24" s="152">
        <v>1250.0</v>
      </c>
      <c r="AB24" s="152">
        <v>55.1871</v>
      </c>
      <c r="AC24" s="152">
        <v>0.7821</v>
      </c>
      <c r="AD24" s="152">
        <v>29.1</v>
      </c>
      <c r="AE24" s="152">
        <v>11.0</v>
      </c>
      <c r="AF24" s="152">
        <v>21.0</v>
      </c>
      <c r="AG24" s="152">
        <v>41.0</v>
      </c>
      <c r="AH24" s="152">
        <v>60.0</v>
      </c>
      <c r="AI24" s="152">
        <v>40.48</v>
      </c>
      <c r="AJ24" s="152">
        <v>10.25</v>
      </c>
      <c r="AK24" s="152">
        <v>2.31</v>
      </c>
      <c r="AL24" s="152">
        <v>0.1932</v>
      </c>
      <c r="AM24" s="152">
        <v>41.03</v>
      </c>
      <c r="AN24" s="76">
        <v>41.03</v>
      </c>
      <c r="AO24" s="76">
        <v>24.29</v>
      </c>
      <c r="AP24" s="76">
        <v>15.73</v>
      </c>
      <c r="AQ24" s="76">
        <v>14.6021</v>
      </c>
      <c r="AR24" s="76">
        <v>0.3282</v>
      </c>
      <c r="AS24" s="76">
        <v>14.274</v>
      </c>
      <c r="AT24" s="76">
        <v>12.8806</v>
      </c>
      <c r="AU24" s="76">
        <v>0.1824</v>
      </c>
      <c r="AV24" s="76">
        <v>2898.0</v>
      </c>
      <c r="AW24" s="76">
        <v>0.0</v>
      </c>
      <c r="AX24" s="76">
        <v>119.23</v>
      </c>
      <c r="AY24" s="76">
        <v>84.89</v>
      </c>
      <c r="AZ24" s="76">
        <v>3.57</v>
      </c>
      <c r="BA24" s="76">
        <v>20.48</v>
      </c>
      <c r="BB24" s="76">
        <v>4.38</v>
      </c>
      <c r="BC24" s="76">
        <v>120.0</v>
      </c>
      <c r="BD24" s="76">
        <v>16592.0</v>
      </c>
      <c r="BE24" s="76">
        <v>7.8727</v>
      </c>
      <c r="BF24" s="76">
        <v>0.1822</v>
      </c>
      <c r="BG24" s="76">
        <v>7.6905</v>
      </c>
      <c r="BH24" s="76">
        <v>6.0669</v>
      </c>
      <c r="BI24" s="76">
        <v>0.0859</v>
      </c>
      <c r="BJ24" s="76">
        <v>6.7295</v>
      </c>
      <c r="BK24" s="76">
        <v>0.146</v>
      </c>
      <c r="BL24" s="76">
        <v>6.5835</v>
      </c>
      <c r="BM24" s="76">
        <v>6.8137</v>
      </c>
      <c r="BN24" s="76">
        <v>0.0965</v>
      </c>
      <c r="BO24" s="76">
        <v>2.775</v>
      </c>
      <c r="BP24" s="76">
        <v>0.0611</v>
      </c>
      <c r="BQ24" s="76">
        <v>2.7139</v>
      </c>
      <c r="BR24" s="76">
        <v>2.1998</v>
      </c>
      <c r="BS24" s="76">
        <v>2.8747</v>
      </c>
      <c r="BT24" s="76">
        <v>0.06</v>
      </c>
      <c r="BU24" s="76">
        <v>2.8147</v>
      </c>
      <c r="BV24" s="76">
        <v>2.2233</v>
      </c>
      <c r="BW24" s="76">
        <v>2.2229</v>
      </c>
      <c r="BX24" s="76">
        <v>0.0611</v>
      </c>
      <c r="BY24" s="76">
        <v>2.1618</v>
      </c>
      <c r="BZ24" s="76">
        <v>1.6439</v>
      </c>
      <c r="CA24" s="76">
        <v>1.0932</v>
      </c>
      <c r="CB24" s="76">
        <v>0.0397</v>
      </c>
      <c r="CC24" s="76">
        <v>1.0535</v>
      </c>
      <c r="CD24" s="76">
        <v>1.3965</v>
      </c>
      <c r="CE24" s="76">
        <v>3.1598</v>
      </c>
      <c r="CF24" s="76">
        <v>0.0531</v>
      </c>
      <c r="CG24" s="76">
        <v>3.1066</v>
      </c>
      <c r="CH24" s="76">
        <v>2.8751</v>
      </c>
      <c r="CI24" s="76">
        <v>2.4765</v>
      </c>
      <c r="CJ24" s="76">
        <v>0.0531</v>
      </c>
      <c r="CK24" s="76">
        <v>2.4234</v>
      </c>
      <c r="CL24" s="76">
        <v>2.5421</v>
      </c>
      <c r="CM24" s="76">
        <v>385.94</v>
      </c>
      <c r="CN24" s="76">
        <v>99.03</v>
      </c>
      <c r="CO24" s="76">
        <v>389.71</v>
      </c>
      <c r="CP24" s="76">
        <v>271.98</v>
      </c>
      <c r="CQ24" s="76">
        <v>100.84</v>
      </c>
      <c r="CR24" s="76">
        <v>7.3</v>
      </c>
      <c r="CS24" s="76">
        <v>5.82</v>
      </c>
      <c r="CT24" s="76">
        <v>0.0</v>
      </c>
      <c r="CU24" s="76">
        <v>1610.0</v>
      </c>
      <c r="CV24" s="76">
        <v>3.1</v>
      </c>
      <c r="CW24" s="76">
        <v>235.65</v>
      </c>
      <c r="CX24" s="76">
        <v>9.77</v>
      </c>
      <c r="CY24" s="76">
        <v>110.61</v>
      </c>
    </row>
    <row r="25" ht="15.75" customHeight="1">
      <c r="A25" s="151">
        <v>46231.0</v>
      </c>
      <c r="B25" s="152" t="s">
        <v>5</v>
      </c>
      <c r="C25" s="152" t="s">
        <v>151</v>
      </c>
      <c r="D25" s="152">
        <v>414.0</v>
      </c>
      <c r="E25" s="152">
        <v>1.53</v>
      </c>
      <c r="F25" s="152">
        <v>114.76</v>
      </c>
      <c r="G25" s="152">
        <v>0.2772</v>
      </c>
      <c r="H25" s="152">
        <v>6.28</v>
      </c>
      <c r="I25" s="152">
        <v>4.4138</v>
      </c>
      <c r="J25" s="152">
        <v>253.81</v>
      </c>
      <c r="K25" s="152">
        <v>171.27</v>
      </c>
      <c r="L25" s="152">
        <v>131.3</v>
      </c>
      <c r="M25" s="152">
        <v>0.7666</v>
      </c>
      <c r="N25" s="152">
        <v>0.3115</v>
      </c>
      <c r="O25" s="152">
        <v>0.1969</v>
      </c>
      <c r="P25" s="152">
        <v>1.3044</v>
      </c>
      <c r="Q25" s="152">
        <v>493.38</v>
      </c>
      <c r="R25" s="152">
        <v>412.03</v>
      </c>
      <c r="S25" s="152">
        <v>81.34</v>
      </c>
      <c r="T25" s="152">
        <v>32.25</v>
      </c>
      <c r="U25" s="152">
        <v>461.13</v>
      </c>
      <c r="V25" s="152">
        <v>533.33</v>
      </c>
      <c r="W25" s="152">
        <v>3.1139</v>
      </c>
      <c r="X25" s="152">
        <v>6.54</v>
      </c>
      <c r="Y25" s="152">
        <v>397.0</v>
      </c>
      <c r="Z25" s="152">
        <v>704.0</v>
      </c>
      <c r="AA25" s="152">
        <v>1447.0</v>
      </c>
      <c r="AB25" s="152">
        <v>58.2731</v>
      </c>
      <c r="AC25" s="152">
        <v>0.7986</v>
      </c>
      <c r="AD25" s="152">
        <v>60.44</v>
      </c>
      <c r="AE25" s="152">
        <v>22.0</v>
      </c>
      <c r="AF25" s="152">
        <v>41.0</v>
      </c>
      <c r="AG25" s="152">
        <v>82.0</v>
      </c>
      <c r="AH25" s="152">
        <v>141.0</v>
      </c>
      <c r="AI25" s="152">
        <v>25.85</v>
      </c>
      <c r="AJ25" s="152">
        <v>5.31</v>
      </c>
      <c r="AK25" s="152">
        <v>0.97</v>
      </c>
      <c r="AL25" s="152">
        <v>0.1039</v>
      </c>
      <c r="AM25" s="152">
        <v>65.46</v>
      </c>
      <c r="AN25" s="76">
        <v>65.46</v>
      </c>
      <c r="AO25" s="76">
        <v>51.93</v>
      </c>
      <c r="AP25" s="76">
        <v>44.44</v>
      </c>
      <c r="AQ25" s="76">
        <v>29.7778</v>
      </c>
      <c r="AR25" s="76">
        <v>0.3961</v>
      </c>
      <c r="AS25" s="76">
        <v>29.3816</v>
      </c>
      <c r="AT25" s="76">
        <v>34.9203</v>
      </c>
      <c r="AU25" s="76">
        <v>0.2039</v>
      </c>
      <c r="AV25" s="76">
        <v>414.0</v>
      </c>
      <c r="AW25" s="76">
        <v>0.0</v>
      </c>
      <c r="AX25" s="76">
        <v>276.88</v>
      </c>
      <c r="AY25" s="76">
        <v>165.69</v>
      </c>
      <c r="AZ25" s="76">
        <v>4.81</v>
      </c>
      <c r="BA25" s="76">
        <v>32.25</v>
      </c>
      <c r="BB25" s="76">
        <v>13.75</v>
      </c>
      <c r="BC25" s="76">
        <v>275.0</v>
      </c>
      <c r="BD25" s="76">
        <v>16217.0</v>
      </c>
      <c r="BE25" s="76">
        <v>16.3019</v>
      </c>
      <c r="BF25" s="76">
        <v>0.1449</v>
      </c>
      <c r="BG25" s="76">
        <v>16.157</v>
      </c>
      <c r="BH25" s="76">
        <v>12.2319</v>
      </c>
      <c r="BI25" s="76">
        <v>0.0714</v>
      </c>
      <c r="BJ25" s="76">
        <v>13.4758</v>
      </c>
      <c r="BK25" s="76">
        <v>0.2512</v>
      </c>
      <c r="BL25" s="76">
        <v>13.2246</v>
      </c>
      <c r="BM25" s="76">
        <v>22.6884</v>
      </c>
      <c r="BN25" s="76">
        <v>0.1325</v>
      </c>
      <c r="BO25" s="76">
        <v>5.6739</v>
      </c>
      <c r="BP25" s="76">
        <v>0.0531</v>
      </c>
      <c r="BQ25" s="76">
        <v>5.6208</v>
      </c>
      <c r="BR25" s="76">
        <v>4.3502</v>
      </c>
      <c r="BS25" s="76">
        <v>6.1546</v>
      </c>
      <c r="BT25" s="76">
        <v>0.0459</v>
      </c>
      <c r="BU25" s="76">
        <v>6.1087</v>
      </c>
      <c r="BV25" s="76">
        <v>4.5411</v>
      </c>
      <c r="BW25" s="76">
        <v>4.4734</v>
      </c>
      <c r="BX25" s="76">
        <v>0.0459</v>
      </c>
      <c r="BY25" s="76">
        <v>4.4275</v>
      </c>
      <c r="BZ25" s="76">
        <v>3.3406</v>
      </c>
      <c r="CA25" s="76">
        <v>2.0966</v>
      </c>
      <c r="CB25" s="76">
        <v>0.0676</v>
      </c>
      <c r="CC25" s="76">
        <v>2.029</v>
      </c>
      <c r="CD25" s="76">
        <v>10.3333</v>
      </c>
      <c r="CE25" s="76">
        <v>5.9952</v>
      </c>
      <c r="CF25" s="76">
        <v>0.0918</v>
      </c>
      <c r="CG25" s="76">
        <v>5.9034</v>
      </c>
      <c r="CH25" s="76">
        <v>6.0338</v>
      </c>
      <c r="CI25" s="76">
        <v>5.3841</v>
      </c>
      <c r="CJ25" s="76">
        <v>0.0918</v>
      </c>
      <c r="CK25" s="76">
        <v>5.2923</v>
      </c>
      <c r="CL25" s="76">
        <v>6.3213</v>
      </c>
      <c r="CM25" s="76">
        <v>1007.48</v>
      </c>
      <c r="CN25" s="76">
        <v>99.03</v>
      </c>
      <c r="CO25" s="76">
        <v>1017.31</v>
      </c>
      <c r="CP25" s="76">
        <v>704.54</v>
      </c>
      <c r="CQ25" s="76">
        <v>282.73</v>
      </c>
      <c r="CR25" s="76">
        <v>13.33</v>
      </c>
      <c r="CS25" s="76">
        <v>6.88</v>
      </c>
      <c r="CT25" s="76">
        <v>0.0</v>
      </c>
      <c r="CU25" s="76">
        <v>243.0</v>
      </c>
      <c r="CV25" s="76">
        <v>13.4</v>
      </c>
      <c r="CW25" s="76">
        <v>506.78</v>
      </c>
      <c r="CX25" s="76">
        <v>29.88</v>
      </c>
      <c r="CY25" s="76">
        <v>312.61</v>
      </c>
    </row>
    <row r="26" ht="15.75" customHeight="1">
      <c r="A26" s="151">
        <v>46232.0</v>
      </c>
      <c r="B26" s="152" t="s">
        <v>4</v>
      </c>
      <c r="C26" s="152" t="s">
        <v>316</v>
      </c>
      <c r="D26" s="152">
        <v>4972.0</v>
      </c>
      <c r="E26" s="152">
        <v>18.43</v>
      </c>
      <c r="F26" s="152">
        <v>427.24</v>
      </c>
      <c r="G26" s="152">
        <v>0.0859</v>
      </c>
      <c r="H26" s="152">
        <v>0.84</v>
      </c>
      <c r="I26" s="152">
        <v>10.1724</v>
      </c>
      <c r="J26" s="152">
        <v>17.97</v>
      </c>
      <c r="K26" s="152">
        <v>9.59</v>
      </c>
      <c r="L26" s="152">
        <v>6.24</v>
      </c>
      <c r="M26" s="152">
        <v>0.6503</v>
      </c>
      <c r="N26" s="152">
        <v>0.4578</v>
      </c>
      <c r="O26" s="152">
        <v>0.215</v>
      </c>
      <c r="P26" s="152">
        <v>1.5376</v>
      </c>
      <c r="Q26" s="152">
        <v>25.73</v>
      </c>
      <c r="R26" s="152">
        <v>25.63</v>
      </c>
      <c r="S26" s="152">
        <v>0.1</v>
      </c>
      <c r="T26" s="152">
        <v>6.27</v>
      </c>
      <c r="U26" s="152">
        <v>19.47</v>
      </c>
      <c r="V26" s="152">
        <v>24.5</v>
      </c>
      <c r="W26" s="152">
        <v>2.5532</v>
      </c>
      <c r="X26" s="152">
        <v>24.35</v>
      </c>
      <c r="Y26" s="152">
        <v>200.0</v>
      </c>
      <c r="Z26" s="152">
        <v>394.0</v>
      </c>
      <c r="AA26" s="152">
        <v>2936.0</v>
      </c>
      <c r="AB26" s="152">
        <v>50.0925</v>
      </c>
      <c r="AC26" s="152">
        <v>0.5166</v>
      </c>
      <c r="AD26" s="153"/>
      <c r="AE26" s="153"/>
      <c r="AF26" s="153"/>
      <c r="AG26" s="153"/>
      <c r="AH26" s="153"/>
      <c r="AI26" s="152">
        <v>0.0</v>
      </c>
      <c r="AJ26" s="152">
        <v>0.0</v>
      </c>
      <c r="AK26" s="152">
        <v>0.0</v>
      </c>
      <c r="AL26" s="152">
        <v>0.5392</v>
      </c>
      <c r="AM26" s="153"/>
      <c r="AQ26" s="76">
        <v>0.9829</v>
      </c>
      <c r="AR26" s="76">
        <v>0.0708</v>
      </c>
      <c r="AS26" s="76">
        <v>0.9121</v>
      </c>
      <c r="AT26" s="76">
        <v>1.077</v>
      </c>
      <c r="AU26" s="76">
        <v>0.1123</v>
      </c>
      <c r="AV26" s="76">
        <v>4972.0</v>
      </c>
      <c r="AW26" s="76">
        <v>0.0</v>
      </c>
      <c r="AX26" s="76">
        <v>10.86</v>
      </c>
      <c r="AY26" s="76">
        <v>6.01</v>
      </c>
      <c r="AZ26" s="76">
        <v>2.38</v>
      </c>
      <c r="BA26" s="76">
        <v>6.27</v>
      </c>
      <c r="BB26" s="76">
        <v>0.22</v>
      </c>
      <c r="BD26" s="76">
        <v>27260.0</v>
      </c>
      <c r="BE26" s="76">
        <v>0.4085</v>
      </c>
      <c r="BF26" s="76">
        <v>0.0284</v>
      </c>
      <c r="BG26" s="76">
        <v>0.3801</v>
      </c>
      <c r="BH26" s="76">
        <v>0.5535</v>
      </c>
      <c r="BI26" s="76">
        <v>0.0577</v>
      </c>
      <c r="BJ26" s="76">
        <v>0.5744</v>
      </c>
      <c r="BK26" s="76">
        <v>0.0424</v>
      </c>
      <c r="BL26" s="76">
        <v>0.532</v>
      </c>
      <c r="BM26" s="76">
        <v>0.5235</v>
      </c>
      <c r="BN26" s="76">
        <v>0.0546</v>
      </c>
      <c r="BO26" s="76">
        <v>0.1364</v>
      </c>
      <c r="BP26" s="76">
        <v>0.0105</v>
      </c>
      <c r="BQ26" s="76">
        <v>0.1259</v>
      </c>
      <c r="BR26" s="76">
        <v>0.2228</v>
      </c>
      <c r="BS26" s="76">
        <v>0.1593</v>
      </c>
      <c r="BT26" s="76">
        <v>0.0093</v>
      </c>
      <c r="BU26" s="76">
        <v>0.15</v>
      </c>
      <c r="BV26" s="76">
        <v>0.1935</v>
      </c>
      <c r="BW26" s="76">
        <v>0.1128</v>
      </c>
      <c r="BX26" s="76">
        <v>0.0086</v>
      </c>
      <c r="BY26" s="76">
        <v>0.1042</v>
      </c>
      <c r="BZ26" s="76">
        <v>0.1372</v>
      </c>
      <c r="CA26" s="76">
        <v>0.0748</v>
      </c>
      <c r="CB26" s="76">
        <v>0.0097</v>
      </c>
      <c r="CC26" s="76">
        <v>0.0652</v>
      </c>
      <c r="CD26" s="76">
        <v>0.0939</v>
      </c>
      <c r="CE26" s="76">
        <v>0.2745</v>
      </c>
      <c r="CF26" s="76">
        <v>0.0191</v>
      </c>
      <c r="CG26" s="76">
        <v>0.2554</v>
      </c>
      <c r="CH26" s="76">
        <v>0.2104</v>
      </c>
      <c r="CI26" s="76">
        <v>0.2251</v>
      </c>
      <c r="CJ26" s="76">
        <v>0.0137</v>
      </c>
      <c r="CK26" s="76">
        <v>0.2114</v>
      </c>
      <c r="CL26" s="76">
        <v>0.2192</v>
      </c>
      <c r="CM26" s="76">
        <v>70.96</v>
      </c>
      <c r="CN26" s="76">
        <v>11.06</v>
      </c>
      <c r="CO26" s="76">
        <v>641.49</v>
      </c>
      <c r="CP26" s="76">
        <v>69.33</v>
      </c>
      <c r="CQ26" s="76">
        <v>0.0</v>
      </c>
      <c r="CR26" s="76">
        <v>0.46</v>
      </c>
      <c r="CS26" s="76">
        <v>1.18</v>
      </c>
      <c r="CT26" s="76">
        <v>0.0</v>
      </c>
      <c r="CU26" s="76">
        <v>1.0</v>
      </c>
      <c r="CV26" s="76">
        <v>0.0</v>
      </c>
      <c r="CW26" s="76">
        <v>25.73</v>
      </c>
      <c r="CX26" s="76">
        <v>0.0</v>
      </c>
      <c r="CY26" s="76">
        <v>0.0</v>
      </c>
    </row>
    <row r="27" ht="15.75" customHeight="1">
      <c r="A27" s="151">
        <v>46232.0</v>
      </c>
      <c r="B27" s="152" t="s">
        <v>4</v>
      </c>
      <c r="C27" s="152" t="s">
        <v>147</v>
      </c>
      <c r="D27" s="152">
        <v>7931.0</v>
      </c>
      <c r="E27" s="152">
        <v>29.39</v>
      </c>
      <c r="F27" s="152">
        <v>124.35</v>
      </c>
      <c r="G27" s="152">
        <v>0.0157</v>
      </c>
      <c r="H27" s="152">
        <v>0.67</v>
      </c>
      <c r="I27" s="152">
        <v>2.3462</v>
      </c>
      <c r="J27" s="152">
        <v>19.28</v>
      </c>
      <c r="K27" s="152">
        <v>10.42</v>
      </c>
      <c r="L27" s="152">
        <v>4.95</v>
      </c>
      <c r="M27" s="152">
        <v>0.4748</v>
      </c>
      <c r="N27" s="152">
        <v>0.6231</v>
      </c>
      <c r="O27" s="152">
        <v>0.3618</v>
      </c>
      <c r="P27" s="152">
        <v>2.1063</v>
      </c>
      <c r="Q27" s="152">
        <v>37.73</v>
      </c>
      <c r="R27" s="152">
        <v>29.58</v>
      </c>
      <c r="S27" s="152">
        <v>8.14</v>
      </c>
      <c r="T27" s="152">
        <v>1.75</v>
      </c>
      <c r="U27" s="152">
        <v>35.98</v>
      </c>
      <c r="V27" s="152">
        <v>37.52</v>
      </c>
      <c r="W27" s="152">
        <v>3.6009</v>
      </c>
      <c r="X27" s="152">
        <v>4.63</v>
      </c>
      <c r="Y27" s="152">
        <v>202.0</v>
      </c>
      <c r="Z27" s="152">
        <v>316.0</v>
      </c>
      <c r="AA27" s="152">
        <v>1103.0</v>
      </c>
      <c r="AB27" s="152">
        <v>49.802</v>
      </c>
      <c r="AC27" s="152">
        <v>0.6025</v>
      </c>
      <c r="AD27" s="152">
        <v>3.92</v>
      </c>
      <c r="AE27" s="152">
        <v>1.0</v>
      </c>
      <c r="AF27" s="152">
        <v>3.0</v>
      </c>
      <c r="AG27" s="152">
        <v>5.0</v>
      </c>
      <c r="AH27" s="152">
        <v>8.0</v>
      </c>
      <c r="AI27" s="152">
        <v>74.32</v>
      </c>
      <c r="AJ27" s="152">
        <v>34.06</v>
      </c>
      <c r="AK27" s="152">
        <v>5.5</v>
      </c>
      <c r="AL27" s="152">
        <v>0.5224</v>
      </c>
      <c r="AM27" s="153"/>
      <c r="AQ27" s="76">
        <v>1.9919</v>
      </c>
      <c r="AR27" s="76">
        <v>0.0488</v>
      </c>
      <c r="AS27" s="76">
        <v>1.9431</v>
      </c>
      <c r="AT27" s="76">
        <v>2.0149</v>
      </c>
      <c r="AU27" s="76">
        <v>0.1934</v>
      </c>
      <c r="AV27" s="76">
        <v>7931.0</v>
      </c>
      <c r="AW27" s="76">
        <v>0.0</v>
      </c>
      <c r="AX27" s="76">
        <v>25.96</v>
      </c>
      <c r="AY27" s="76">
        <v>7.51</v>
      </c>
      <c r="AZ27" s="76">
        <v>1.94</v>
      </c>
      <c r="BA27" s="76">
        <v>1.75</v>
      </c>
      <c r="BB27" s="76">
        <v>0.56</v>
      </c>
      <c r="BC27" s="76">
        <v>15.0</v>
      </c>
      <c r="BD27" s="76">
        <v>18182.0</v>
      </c>
      <c r="BE27" s="76">
        <v>1.2027</v>
      </c>
      <c r="BF27" s="76">
        <v>0.0329</v>
      </c>
      <c r="BG27" s="76">
        <v>1.1698</v>
      </c>
      <c r="BH27" s="76">
        <v>1.1391</v>
      </c>
      <c r="BI27" s="76">
        <v>0.1093</v>
      </c>
      <c r="BJ27" s="76">
        <v>0.7892</v>
      </c>
      <c r="BK27" s="76">
        <v>0.0159</v>
      </c>
      <c r="BL27" s="76">
        <v>0.7733</v>
      </c>
      <c r="BM27" s="76">
        <v>0.8758</v>
      </c>
      <c r="BN27" s="76">
        <v>0.0841</v>
      </c>
      <c r="BO27" s="76">
        <v>0.4279</v>
      </c>
      <c r="BP27" s="76">
        <v>0.0131</v>
      </c>
      <c r="BQ27" s="76">
        <v>0.4148</v>
      </c>
      <c r="BR27" s="76">
        <v>0.4611</v>
      </c>
      <c r="BS27" s="76">
        <v>0.5682</v>
      </c>
      <c r="BT27" s="76">
        <v>0.0067</v>
      </c>
      <c r="BU27" s="76">
        <v>0.5615</v>
      </c>
      <c r="BV27" s="76">
        <v>0.4524</v>
      </c>
      <c r="BW27" s="76">
        <v>0.2067</v>
      </c>
      <c r="BX27" s="76">
        <v>0.0131</v>
      </c>
      <c r="BY27" s="76">
        <v>0.1935</v>
      </c>
      <c r="BZ27" s="76">
        <v>0.2256</v>
      </c>
      <c r="CA27" s="76">
        <v>0.1286</v>
      </c>
      <c r="CB27" s="76">
        <v>0.003</v>
      </c>
      <c r="CC27" s="76">
        <v>0.1256</v>
      </c>
      <c r="CD27" s="76">
        <v>0.1647</v>
      </c>
      <c r="CE27" s="76">
        <v>0.3566</v>
      </c>
      <c r="CF27" s="76">
        <v>0.0076</v>
      </c>
      <c r="CG27" s="76">
        <v>0.349</v>
      </c>
      <c r="CH27" s="76">
        <v>0.3818</v>
      </c>
      <c r="CI27" s="76">
        <v>0.304</v>
      </c>
      <c r="CJ27" s="76">
        <v>0.0053</v>
      </c>
      <c r="CK27" s="76">
        <v>0.2987</v>
      </c>
      <c r="CL27" s="76">
        <v>0.3293</v>
      </c>
      <c r="CM27" s="76">
        <v>43.97</v>
      </c>
      <c r="CN27" s="76">
        <v>44.58</v>
      </c>
      <c r="CO27" s="76">
        <v>98.62</v>
      </c>
      <c r="CP27" s="76">
        <v>40.93</v>
      </c>
      <c r="CQ27" s="76">
        <v>0.0</v>
      </c>
      <c r="CR27" s="76">
        <v>1.52</v>
      </c>
      <c r="CS27" s="76">
        <v>1.51</v>
      </c>
      <c r="CT27" s="76">
        <v>0.0</v>
      </c>
      <c r="CU27" s="76">
        <v>0.0</v>
      </c>
      <c r="CV27" s="76">
        <v>0.0</v>
      </c>
      <c r="CW27" s="76">
        <v>37.73</v>
      </c>
      <c r="CX27" s="76">
        <v>0.0</v>
      </c>
      <c r="CY27" s="76">
        <v>0.0</v>
      </c>
    </row>
    <row r="28" ht="15.75" customHeight="1">
      <c r="A28" s="151">
        <v>46232.0</v>
      </c>
      <c r="B28" s="152" t="s">
        <v>4</v>
      </c>
      <c r="C28" s="152" t="s">
        <v>148</v>
      </c>
      <c r="D28" s="152">
        <v>5969.0</v>
      </c>
      <c r="E28" s="152">
        <v>22.12</v>
      </c>
      <c r="F28" s="152">
        <v>349.46</v>
      </c>
      <c r="G28" s="152">
        <v>0.0585</v>
      </c>
      <c r="H28" s="152">
        <v>1.78</v>
      </c>
      <c r="I28" s="152">
        <v>3.2968</v>
      </c>
      <c r="J28" s="152">
        <v>39.91</v>
      </c>
      <c r="K28" s="152">
        <v>22.29</v>
      </c>
      <c r="L28" s="152">
        <v>13.54</v>
      </c>
      <c r="M28" s="152">
        <v>0.6074</v>
      </c>
      <c r="N28" s="152">
        <v>0.5121</v>
      </c>
      <c r="O28" s="152">
        <v>0.3063</v>
      </c>
      <c r="P28" s="152">
        <v>1.6464</v>
      </c>
      <c r="Q28" s="152">
        <v>79.18</v>
      </c>
      <c r="R28" s="152">
        <v>54.5</v>
      </c>
      <c r="S28" s="152">
        <v>24.68</v>
      </c>
      <c r="T28" s="152">
        <v>4.81</v>
      </c>
      <c r="U28" s="152">
        <v>74.37</v>
      </c>
      <c r="V28" s="152">
        <v>82.05</v>
      </c>
      <c r="W28" s="152">
        <v>3.6817</v>
      </c>
      <c r="X28" s="152">
        <v>6.08</v>
      </c>
      <c r="Y28" s="152">
        <v>239.0</v>
      </c>
      <c r="Z28" s="152">
        <v>390.0</v>
      </c>
      <c r="AA28" s="152">
        <v>1167.0</v>
      </c>
      <c r="AB28" s="152">
        <v>51.8027</v>
      </c>
      <c r="AC28" s="152">
        <v>0.6894</v>
      </c>
      <c r="AD28" s="152">
        <v>9.21</v>
      </c>
      <c r="AE28" s="152">
        <v>4.0</v>
      </c>
      <c r="AF28" s="152">
        <v>8.0</v>
      </c>
      <c r="AG28" s="152">
        <v>13.0</v>
      </c>
      <c r="AH28" s="152">
        <v>18.0</v>
      </c>
      <c r="AI28" s="152">
        <v>64.28</v>
      </c>
      <c r="AJ28" s="152">
        <v>25.77</v>
      </c>
      <c r="AK28" s="152">
        <v>2.7</v>
      </c>
      <c r="AL28" s="152">
        <v>0.3806</v>
      </c>
      <c r="AM28" s="153"/>
      <c r="AQ28" s="76">
        <v>4.5264</v>
      </c>
      <c r="AR28" s="76">
        <v>0.0978</v>
      </c>
      <c r="AS28" s="76">
        <v>4.4285</v>
      </c>
      <c r="AT28" s="76">
        <v>4.3222</v>
      </c>
      <c r="AU28" s="76">
        <v>0.1939</v>
      </c>
      <c r="AV28" s="76">
        <v>5969.0</v>
      </c>
      <c r="AW28" s="76">
        <v>0.0</v>
      </c>
      <c r="AX28" s="76">
        <v>56.84</v>
      </c>
      <c r="AY28" s="76">
        <v>13.92</v>
      </c>
      <c r="AZ28" s="76">
        <v>2.51</v>
      </c>
      <c r="BA28" s="76">
        <v>4.81</v>
      </c>
      <c r="BB28" s="76">
        <v>1.11</v>
      </c>
      <c r="BC28" s="76">
        <v>32.0</v>
      </c>
      <c r="BD28" s="76">
        <v>21107.0</v>
      </c>
      <c r="BE28" s="76">
        <v>2.9152</v>
      </c>
      <c r="BF28" s="76">
        <v>0.0623</v>
      </c>
      <c r="BG28" s="76">
        <v>2.8529</v>
      </c>
      <c r="BH28" s="76">
        <v>2.4671</v>
      </c>
      <c r="BI28" s="76">
        <v>0.1107</v>
      </c>
      <c r="BJ28" s="76">
        <v>1.6112</v>
      </c>
      <c r="BK28" s="76">
        <v>0.0355</v>
      </c>
      <c r="BL28" s="76">
        <v>1.5756</v>
      </c>
      <c r="BM28" s="76">
        <v>1.8551</v>
      </c>
      <c r="BN28" s="76">
        <v>0.0832</v>
      </c>
      <c r="BO28" s="76">
        <v>1.1139</v>
      </c>
      <c r="BP28" s="76">
        <v>0.0209</v>
      </c>
      <c r="BQ28" s="76">
        <v>1.093</v>
      </c>
      <c r="BR28" s="76">
        <v>0.9846</v>
      </c>
      <c r="BS28" s="76">
        <v>1.2955</v>
      </c>
      <c r="BT28" s="76">
        <v>0.0134</v>
      </c>
      <c r="BU28" s="76">
        <v>1.2821</v>
      </c>
      <c r="BV28" s="76">
        <v>0.9854</v>
      </c>
      <c r="BW28" s="76">
        <v>0.5058</v>
      </c>
      <c r="BX28" s="76">
        <v>0.028</v>
      </c>
      <c r="BY28" s="76">
        <v>0.4778</v>
      </c>
      <c r="BZ28" s="76">
        <v>0.4971</v>
      </c>
      <c r="CA28" s="76">
        <v>0.2441</v>
      </c>
      <c r="CB28" s="76">
        <v>0.0069</v>
      </c>
      <c r="CC28" s="76">
        <v>0.2372</v>
      </c>
      <c r="CD28" s="76">
        <v>0.3386</v>
      </c>
      <c r="CE28" s="76">
        <v>0.745</v>
      </c>
      <c r="CF28" s="76">
        <v>0.0151</v>
      </c>
      <c r="CG28" s="76">
        <v>0.7299</v>
      </c>
      <c r="CH28" s="76">
        <v>0.7675</v>
      </c>
      <c r="CI28" s="76">
        <v>0.622</v>
      </c>
      <c r="CJ28" s="76">
        <v>0.0136</v>
      </c>
      <c r="CK28" s="76">
        <v>0.6085</v>
      </c>
      <c r="CL28" s="76">
        <v>0.749</v>
      </c>
      <c r="CM28" s="76">
        <v>109.61</v>
      </c>
      <c r="CN28" s="76">
        <v>62.79</v>
      </c>
      <c r="CO28" s="76">
        <v>174.56</v>
      </c>
      <c r="CP28" s="76">
        <v>102.28</v>
      </c>
      <c r="CQ28" s="76">
        <v>0.01</v>
      </c>
      <c r="CR28" s="76">
        <v>2.44</v>
      </c>
      <c r="CS28" s="76">
        <v>4.88</v>
      </c>
      <c r="CT28" s="76">
        <v>0.0</v>
      </c>
      <c r="CU28" s="76">
        <v>0.0</v>
      </c>
      <c r="CV28" s="76">
        <v>0.0</v>
      </c>
      <c r="CW28" s="76">
        <v>79.18</v>
      </c>
      <c r="CX28" s="76">
        <v>0.0</v>
      </c>
      <c r="CY28" s="76">
        <v>0.01</v>
      </c>
    </row>
    <row r="29" ht="15.75" customHeight="1">
      <c r="A29" s="151">
        <v>46232.0</v>
      </c>
      <c r="B29" s="152" t="s">
        <v>4</v>
      </c>
      <c r="C29" s="152" t="s">
        <v>149</v>
      </c>
      <c r="D29" s="152">
        <v>4629.0</v>
      </c>
      <c r="E29" s="152">
        <v>17.15</v>
      </c>
      <c r="F29" s="152">
        <v>648.0</v>
      </c>
      <c r="G29" s="152">
        <v>0.14</v>
      </c>
      <c r="H29" s="152">
        <v>2.83</v>
      </c>
      <c r="I29" s="152">
        <v>4.9466</v>
      </c>
      <c r="J29" s="152">
        <v>57.74</v>
      </c>
      <c r="K29" s="152">
        <v>34.35</v>
      </c>
      <c r="L29" s="152">
        <v>24.48</v>
      </c>
      <c r="M29" s="152">
        <v>0.7127</v>
      </c>
      <c r="N29" s="152">
        <v>0.4019</v>
      </c>
      <c r="O29" s="152">
        <v>0.2544</v>
      </c>
      <c r="P29" s="152">
        <v>1.4032</v>
      </c>
      <c r="Q29" s="152">
        <v>142.42</v>
      </c>
      <c r="R29" s="152">
        <v>93.75</v>
      </c>
      <c r="S29" s="152">
        <v>48.66</v>
      </c>
      <c r="T29" s="152">
        <v>11.68</v>
      </c>
      <c r="U29" s="152">
        <v>130.74</v>
      </c>
      <c r="V29" s="152">
        <v>153.24</v>
      </c>
      <c r="W29" s="152">
        <v>4.4614</v>
      </c>
      <c r="X29" s="152">
        <v>8.2</v>
      </c>
      <c r="Y29" s="152">
        <v>279.0</v>
      </c>
      <c r="Z29" s="152">
        <v>474.0</v>
      </c>
      <c r="AA29" s="152">
        <v>1159.0</v>
      </c>
      <c r="AB29" s="152">
        <v>53.2494</v>
      </c>
      <c r="AC29" s="152">
        <v>0.7785</v>
      </c>
      <c r="AD29" s="152">
        <v>16.1</v>
      </c>
      <c r="AE29" s="152">
        <v>7.0</v>
      </c>
      <c r="AF29" s="152">
        <v>13.0</v>
      </c>
      <c r="AG29" s="152">
        <v>22.0</v>
      </c>
      <c r="AH29" s="152">
        <v>32.0</v>
      </c>
      <c r="AI29" s="152">
        <v>57.68</v>
      </c>
      <c r="AJ29" s="152">
        <v>19.44</v>
      </c>
      <c r="AK29" s="152">
        <v>3.78</v>
      </c>
      <c r="AL29" s="152">
        <v>0.3102</v>
      </c>
      <c r="AM29" s="153"/>
      <c r="AQ29" s="76">
        <v>7.7038</v>
      </c>
      <c r="AR29" s="76">
        <v>0.1964</v>
      </c>
      <c r="AS29" s="76">
        <v>7.5075</v>
      </c>
      <c r="AT29" s="76">
        <v>6.9216</v>
      </c>
      <c r="AU29" s="76">
        <v>0.2015</v>
      </c>
      <c r="AV29" s="76">
        <v>4629.0</v>
      </c>
      <c r="AW29" s="76">
        <v>0.0</v>
      </c>
      <c r="AX29" s="76">
        <v>100.08</v>
      </c>
      <c r="AY29" s="76">
        <v>25.76</v>
      </c>
      <c r="AZ29" s="76">
        <v>2.4</v>
      </c>
      <c r="BA29" s="76">
        <v>11.68</v>
      </c>
      <c r="BB29" s="76">
        <v>2.49</v>
      </c>
      <c r="BC29" s="76">
        <v>61.0</v>
      </c>
      <c r="BD29" s="76">
        <v>18113.0</v>
      </c>
      <c r="BE29" s="76">
        <v>4.8743</v>
      </c>
      <c r="BF29" s="76">
        <v>0.1231</v>
      </c>
      <c r="BG29" s="76">
        <v>4.7511</v>
      </c>
      <c r="BH29" s="76">
        <v>3.7691</v>
      </c>
      <c r="BI29" s="76">
        <v>0.1097</v>
      </c>
      <c r="BJ29" s="76">
        <v>2.8296</v>
      </c>
      <c r="BK29" s="76">
        <v>0.0732</v>
      </c>
      <c r="BL29" s="76">
        <v>2.7563</v>
      </c>
      <c r="BM29" s="76">
        <v>3.1525</v>
      </c>
      <c r="BN29" s="76">
        <v>0.0918</v>
      </c>
      <c r="BO29" s="76">
        <v>1.7583</v>
      </c>
      <c r="BP29" s="76">
        <v>0.0363</v>
      </c>
      <c r="BQ29" s="76">
        <v>1.722</v>
      </c>
      <c r="BR29" s="76">
        <v>1.4398</v>
      </c>
      <c r="BS29" s="76">
        <v>2.2</v>
      </c>
      <c r="BT29" s="76">
        <v>0.0389</v>
      </c>
      <c r="BU29" s="76">
        <v>2.1612</v>
      </c>
      <c r="BV29" s="76">
        <v>1.5509</v>
      </c>
      <c r="BW29" s="76">
        <v>0.916</v>
      </c>
      <c r="BX29" s="76">
        <v>0.048</v>
      </c>
      <c r="BY29" s="76">
        <v>0.868</v>
      </c>
      <c r="BZ29" s="76">
        <v>0.7784</v>
      </c>
      <c r="CA29" s="76">
        <v>0.461</v>
      </c>
      <c r="CB29" s="76">
        <v>0.0199</v>
      </c>
      <c r="CC29" s="76">
        <v>0.4411</v>
      </c>
      <c r="CD29" s="76">
        <v>0.6369</v>
      </c>
      <c r="CE29" s="76">
        <v>1.2322</v>
      </c>
      <c r="CF29" s="76">
        <v>0.0264</v>
      </c>
      <c r="CG29" s="76">
        <v>1.2059</v>
      </c>
      <c r="CH29" s="76">
        <v>1.2426</v>
      </c>
      <c r="CI29" s="76">
        <v>1.1363</v>
      </c>
      <c r="CJ29" s="76">
        <v>0.027</v>
      </c>
      <c r="CK29" s="76">
        <v>1.1093</v>
      </c>
      <c r="CL29" s="76">
        <v>1.2731</v>
      </c>
      <c r="CM29" s="76">
        <v>203.74</v>
      </c>
      <c r="CN29" s="76">
        <v>76.0</v>
      </c>
      <c r="CO29" s="76">
        <v>268.08</v>
      </c>
      <c r="CP29" s="76">
        <v>192.94</v>
      </c>
      <c r="CQ29" s="76">
        <v>0.0</v>
      </c>
      <c r="CR29" s="76">
        <v>3.28</v>
      </c>
      <c r="CS29" s="76">
        <v>7.52</v>
      </c>
      <c r="CT29" s="76">
        <v>0.0</v>
      </c>
      <c r="CU29" s="76">
        <v>0.0</v>
      </c>
      <c r="CV29" s="76">
        <v>0.0</v>
      </c>
      <c r="CW29" s="76">
        <v>142.42</v>
      </c>
      <c r="CX29" s="76">
        <v>0.0</v>
      </c>
      <c r="CY29" s="76">
        <v>0.0</v>
      </c>
    </row>
    <row r="30" ht="15.75" customHeight="1">
      <c r="A30" s="151">
        <v>46232.0</v>
      </c>
      <c r="B30" s="152" t="s">
        <v>4</v>
      </c>
      <c r="C30" s="152" t="s">
        <v>150</v>
      </c>
      <c r="D30" s="152">
        <v>3029.0</v>
      </c>
      <c r="E30" s="152">
        <v>11.22</v>
      </c>
      <c r="F30" s="152">
        <v>565.12</v>
      </c>
      <c r="G30" s="152">
        <v>0.1866</v>
      </c>
      <c r="H30" s="152">
        <v>3.53</v>
      </c>
      <c r="I30" s="152">
        <v>5.2815</v>
      </c>
      <c r="J30" s="152">
        <v>113.52</v>
      </c>
      <c r="K30" s="152">
        <v>70.96</v>
      </c>
      <c r="L30" s="152">
        <v>52.26</v>
      </c>
      <c r="M30" s="152">
        <v>0.7364</v>
      </c>
      <c r="N30" s="152">
        <v>0.3703</v>
      </c>
      <c r="O30" s="152">
        <v>0.2359</v>
      </c>
      <c r="P30" s="152">
        <v>1.358</v>
      </c>
      <c r="Q30" s="152">
        <v>266.36</v>
      </c>
      <c r="R30" s="152">
        <v>158.66</v>
      </c>
      <c r="S30" s="152">
        <v>107.7</v>
      </c>
      <c r="T30" s="152">
        <v>20.24</v>
      </c>
      <c r="U30" s="152">
        <v>246.12</v>
      </c>
      <c r="V30" s="152">
        <v>311.08</v>
      </c>
      <c r="W30" s="152">
        <v>4.3836</v>
      </c>
      <c r="X30" s="152">
        <v>7.6</v>
      </c>
      <c r="Y30" s="152">
        <v>328.0</v>
      </c>
      <c r="Z30" s="152">
        <v>597.0</v>
      </c>
      <c r="AA30" s="152">
        <v>1410.0</v>
      </c>
      <c r="AB30" s="152">
        <v>55.2414</v>
      </c>
      <c r="AC30" s="152">
        <v>0.786</v>
      </c>
      <c r="AD30" s="152">
        <v>29.38</v>
      </c>
      <c r="AE30" s="152">
        <v>11.0</v>
      </c>
      <c r="AF30" s="152">
        <v>21.0</v>
      </c>
      <c r="AG30" s="152">
        <v>41.0</v>
      </c>
      <c r="AH30" s="152">
        <v>62.0</v>
      </c>
      <c r="AI30" s="152">
        <v>40.28</v>
      </c>
      <c r="AJ30" s="152">
        <v>11.22</v>
      </c>
      <c r="AK30" s="152">
        <v>2.21</v>
      </c>
      <c r="AL30" s="152">
        <v>0.1737</v>
      </c>
      <c r="AM30" s="153"/>
      <c r="AQ30" s="76">
        <v>14.689</v>
      </c>
      <c r="AR30" s="76">
        <v>0.6193</v>
      </c>
      <c r="AS30" s="76">
        <v>14.0697</v>
      </c>
      <c r="AT30" s="76">
        <v>13.4279</v>
      </c>
      <c r="AU30" s="76">
        <v>0.1892</v>
      </c>
      <c r="AV30" s="76">
        <v>3029.0</v>
      </c>
      <c r="AW30" s="76">
        <v>0.0</v>
      </c>
      <c r="AX30" s="76">
        <v>200.0</v>
      </c>
      <c r="AY30" s="76">
        <v>38.24</v>
      </c>
      <c r="AZ30" s="76">
        <v>3.72</v>
      </c>
      <c r="BA30" s="76">
        <v>20.24</v>
      </c>
      <c r="BB30" s="76">
        <v>4.17</v>
      </c>
      <c r="BC30" s="76">
        <v>129.0</v>
      </c>
      <c r="BD30" s="76">
        <v>14163.0</v>
      </c>
      <c r="BE30" s="76">
        <v>9.0928</v>
      </c>
      <c r="BF30" s="76">
        <v>0.4338</v>
      </c>
      <c r="BG30" s="76">
        <v>8.659</v>
      </c>
      <c r="BH30" s="76">
        <v>7.0716</v>
      </c>
      <c r="BI30" s="76">
        <v>0.0997</v>
      </c>
      <c r="BJ30" s="76">
        <v>5.5962</v>
      </c>
      <c r="BK30" s="76">
        <v>0.1855</v>
      </c>
      <c r="BL30" s="76">
        <v>5.4107</v>
      </c>
      <c r="BM30" s="76">
        <v>6.3562</v>
      </c>
      <c r="BN30" s="76">
        <v>0.0896</v>
      </c>
      <c r="BO30" s="76">
        <v>3.555</v>
      </c>
      <c r="BP30" s="76">
        <v>0.1113</v>
      </c>
      <c r="BQ30" s="76">
        <v>3.4437</v>
      </c>
      <c r="BR30" s="76">
        <v>2.7696</v>
      </c>
      <c r="BS30" s="76">
        <v>3.8313</v>
      </c>
      <c r="BT30" s="76">
        <v>0.135</v>
      </c>
      <c r="BU30" s="76">
        <v>3.6963</v>
      </c>
      <c r="BV30" s="76">
        <v>2.8874</v>
      </c>
      <c r="BW30" s="76">
        <v>1.7065</v>
      </c>
      <c r="BX30" s="76">
        <v>0.1875</v>
      </c>
      <c r="BY30" s="76">
        <v>1.519</v>
      </c>
      <c r="BZ30" s="76">
        <v>1.4147</v>
      </c>
      <c r="CA30" s="76">
        <v>0.9396</v>
      </c>
      <c r="CB30" s="76">
        <v>0.068</v>
      </c>
      <c r="CC30" s="76">
        <v>0.8716</v>
      </c>
      <c r="CD30" s="76">
        <v>1.3516</v>
      </c>
      <c r="CE30" s="76">
        <v>2.3133</v>
      </c>
      <c r="CF30" s="76">
        <v>0.0647</v>
      </c>
      <c r="CG30" s="76">
        <v>2.2486</v>
      </c>
      <c r="CH30" s="76">
        <v>2.3189</v>
      </c>
      <c r="CI30" s="76">
        <v>2.3433</v>
      </c>
      <c r="CJ30" s="76">
        <v>0.0528</v>
      </c>
      <c r="CK30" s="76">
        <v>2.2905</v>
      </c>
      <c r="CL30" s="76">
        <v>2.6857</v>
      </c>
      <c r="CM30" s="76">
        <v>475.23</v>
      </c>
      <c r="CN30" s="76">
        <v>89.37</v>
      </c>
      <c r="CO30" s="76">
        <v>531.76</v>
      </c>
      <c r="CP30" s="76">
        <v>458.16</v>
      </c>
      <c r="CQ30" s="76">
        <v>0.0</v>
      </c>
      <c r="CR30" s="76">
        <v>5.76</v>
      </c>
      <c r="CS30" s="76">
        <v>11.3</v>
      </c>
      <c r="CT30" s="76">
        <v>0.0</v>
      </c>
      <c r="CU30" s="76">
        <v>0.0</v>
      </c>
      <c r="CV30" s="76">
        <v>0.0</v>
      </c>
      <c r="CW30" s="76">
        <v>266.36</v>
      </c>
      <c r="CX30" s="76">
        <v>0.0</v>
      </c>
      <c r="CY30" s="76">
        <v>0.0</v>
      </c>
    </row>
    <row r="31" ht="15.75" customHeight="1">
      <c r="A31" s="151">
        <v>46232.0</v>
      </c>
      <c r="B31" s="152" t="s">
        <v>4</v>
      </c>
      <c r="C31" s="152" t="s">
        <v>151</v>
      </c>
      <c r="D31" s="152">
        <v>455.0</v>
      </c>
      <c r="E31" s="152">
        <v>1.69</v>
      </c>
      <c r="F31" s="152">
        <v>121.73</v>
      </c>
      <c r="G31" s="152">
        <v>0.2675</v>
      </c>
      <c r="H31" s="152">
        <v>5.71</v>
      </c>
      <c r="I31" s="152">
        <v>4.6819</v>
      </c>
      <c r="J31" s="152">
        <v>232.2</v>
      </c>
      <c r="K31" s="152">
        <v>158.08</v>
      </c>
      <c r="L31" s="152">
        <v>119.44</v>
      </c>
      <c r="M31" s="152">
        <v>0.7556</v>
      </c>
      <c r="N31" s="152">
        <v>0.3245</v>
      </c>
      <c r="O31" s="152">
        <v>0.2044</v>
      </c>
      <c r="P31" s="152">
        <v>1.3235</v>
      </c>
      <c r="Q31" s="152">
        <v>546.55</v>
      </c>
      <c r="R31" s="152">
        <v>293.35</v>
      </c>
      <c r="S31" s="152">
        <v>253.2</v>
      </c>
      <c r="T31" s="152">
        <v>26.59</v>
      </c>
      <c r="U31" s="152">
        <v>519.96</v>
      </c>
      <c r="V31" s="152">
        <v>611.1</v>
      </c>
      <c r="W31" s="152">
        <v>3.8657</v>
      </c>
      <c r="X31" s="152">
        <v>4.87</v>
      </c>
      <c r="Y31" s="152">
        <v>416.0</v>
      </c>
      <c r="Z31" s="152">
        <v>717.0</v>
      </c>
      <c r="AA31" s="152">
        <v>1457.0</v>
      </c>
      <c r="AB31" s="152">
        <v>58.3162</v>
      </c>
      <c r="AC31" s="152">
        <v>0.8178</v>
      </c>
      <c r="AD31" s="152">
        <v>53.96</v>
      </c>
      <c r="AE31" s="152">
        <v>19.0</v>
      </c>
      <c r="AF31" s="152">
        <v>37.0</v>
      </c>
      <c r="AG31" s="152">
        <v>67.0</v>
      </c>
      <c r="AH31" s="152">
        <v>120.0</v>
      </c>
      <c r="AI31" s="152">
        <v>20.44</v>
      </c>
      <c r="AJ31" s="152">
        <v>3.52</v>
      </c>
      <c r="AK31" s="152">
        <v>0.88</v>
      </c>
      <c r="AL31" s="152">
        <v>0.1011</v>
      </c>
      <c r="AM31" s="153"/>
      <c r="AQ31" s="76">
        <v>31.0396</v>
      </c>
      <c r="AR31" s="76">
        <v>1.0484</v>
      </c>
      <c r="AS31" s="76">
        <v>29.9912</v>
      </c>
      <c r="AT31" s="76">
        <v>28.3275</v>
      </c>
      <c r="AU31" s="76">
        <v>0.1792</v>
      </c>
      <c r="AV31" s="76">
        <v>455.0</v>
      </c>
      <c r="AW31" s="76">
        <v>0.0</v>
      </c>
      <c r="AX31" s="76">
        <v>441.14</v>
      </c>
      <c r="AY31" s="76">
        <v>56.81</v>
      </c>
      <c r="AZ31" s="76">
        <v>5.54</v>
      </c>
      <c r="BA31" s="76">
        <v>26.59</v>
      </c>
      <c r="BB31" s="76">
        <v>16.46</v>
      </c>
      <c r="BC31" s="76">
        <v>273.0</v>
      </c>
      <c r="BD31" s="76">
        <v>15903.0</v>
      </c>
      <c r="BE31" s="76">
        <v>19.2044</v>
      </c>
      <c r="BF31" s="76">
        <v>0.8374</v>
      </c>
      <c r="BG31" s="76">
        <v>18.367</v>
      </c>
      <c r="BH31" s="76">
        <v>15.0308</v>
      </c>
      <c r="BI31" s="76">
        <v>0.0951</v>
      </c>
      <c r="BJ31" s="76">
        <v>11.8352</v>
      </c>
      <c r="BK31" s="76">
        <v>0.211</v>
      </c>
      <c r="BL31" s="76">
        <v>11.6242</v>
      </c>
      <c r="BM31" s="76">
        <v>13.2967</v>
      </c>
      <c r="BN31" s="76">
        <v>0.0841</v>
      </c>
      <c r="BO31" s="76">
        <v>7.2703</v>
      </c>
      <c r="BP31" s="76">
        <v>0.0901</v>
      </c>
      <c r="BQ31" s="76">
        <v>7.1802</v>
      </c>
      <c r="BR31" s="76">
        <v>5.8659</v>
      </c>
      <c r="BS31" s="76">
        <v>8.0923</v>
      </c>
      <c r="BT31" s="76">
        <v>0.1429</v>
      </c>
      <c r="BU31" s="76">
        <v>7.9495</v>
      </c>
      <c r="BV31" s="76">
        <v>6.1978</v>
      </c>
      <c r="BW31" s="76">
        <v>3.8418</v>
      </c>
      <c r="BX31" s="76">
        <v>0.6044</v>
      </c>
      <c r="BY31" s="76">
        <v>3.2374</v>
      </c>
      <c r="BZ31" s="76">
        <v>2.967</v>
      </c>
      <c r="CA31" s="76">
        <v>2.0813</v>
      </c>
      <c r="CB31" s="76">
        <v>0.0484</v>
      </c>
      <c r="CC31" s="76">
        <v>2.033</v>
      </c>
      <c r="CD31" s="76">
        <v>2.9956</v>
      </c>
      <c r="CE31" s="76">
        <v>4.6901</v>
      </c>
      <c r="CF31" s="76">
        <v>0.0879</v>
      </c>
      <c r="CG31" s="76">
        <v>4.6022</v>
      </c>
      <c r="CH31" s="76">
        <v>4.8681</v>
      </c>
      <c r="CI31" s="76">
        <v>5.0637</v>
      </c>
      <c r="CJ31" s="76">
        <v>0.0747</v>
      </c>
      <c r="CK31" s="76">
        <v>4.989</v>
      </c>
      <c r="CL31" s="76">
        <v>5.433</v>
      </c>
      <c r="CM31" s="76">
        <v>1170.13</v>
      </c>
      <c r="CN31" s="76">
        <v>95.82</v>
      </c>
      <c r="CO31" s="76">
        <v>1221.12</v>
      </c>
      <c r="CP31" s="76">
        <v>1144.29</v>
      </c>
      <c r="CQ31" s="76">
        <v>0.0</v>
      </c>
      <c r="CR31" s="76">
        <v>8.48</v>
      </c>
      <c r="CS31" s="76">
        <v>17.35</v>
      </c>
      <c r="CT31" s="76">
        <v>0.0</v>
      </c>
      <c r="CU31" s="76">
        <v>0.0</v>
      </c>
      <c r="CV31" s="76">
        <v>0.0</v>
      </c>
      <c r="CW31" s="76">
        <v>546.55</v>
      </c>
      <c r="CX31" s="76">
        <v>0.0</v>
      </c>
      <c r="CY31" s="76">
        <v>0.0</v>
      </c>
    </row>
    <row r="32" ht="15.75" customHeight="1">
      <c r="A32" s="151">
        <v>46232.0</v>
      </c>
      <c r="B32" s="152" t="s">
        <v>5</v>
      </c>
      <c r="C32" s="152" t="s">
        <v>316</v>
      </c>
      <c r="D32" s="152">
        <v>4903.0</v>
      </c>
      <c r="E32" s="152">
        <v>18.27</v>
      </c>
      <c r="F32" s="152">
        <v>305.57</v>
      </c>
      <c r="G32" s="152">
        <v>0.0623</v>
      </c>
      <c r="H32" s="152">
        <v>0.98</v>
      </c>
      <c r="I32" s="152">
        <v>6.366</v>
      </c>
      <c r="J32" s="152">
        <v>21.82</v>
      </c>
      <c r="K32" s="152">
        <v>11.88</v>
      </c>
      <c r="L32" s="152">
        <v>8.42</v>
      </c>
      <c r="M32" s="152">
        <v>0.7085</v>
      </c>
      <c r="N32" s="152">
        <v>0.4137</v>
      </c>
      <c r="O32" s="152">
        <v>0.2192</v>
      </c>
      <c r="P32" s="152">
        <v>1.4114</v>
      </c>
      <c r="Q32" s="152">
        <v>49.01</v>
      </c>
      <c r="R32" s="152">
        <v>48.91</v>
      </c>
      <c r="S32" s="152">
        <v>0.1</v>
      </c>
      <c r="T32" s="152">
        <v>4.75</v>
      </c>
      <c r="U32" s="152">
        <v>44.26</v>
      </c>
      <c r="V32" s="152">
        <v>42.32</v>
      </c>
      <c r="W32" s="152">
        <v>3.563</v>
      </c>
      <c r="X32" s="152">
        <v>9.7</v>
      </c>
      <c r="Y32" s="152">
        <v>200.0</v>
      </c>
      <c r="Z32" s="152">
        <v>373.0</v>
      </c>
      <c r="AA32" s="152">
        <v>2394.0</v>
      </c>
      <c r="AB32" s="152">
        <v>49.785</v>
      </c>
      <c r="AC32" s="152">
        <v>0.4989</v>
      </c>
      <c r="AD32" s="153"/>
      <c r="AE32" s="153"/>
      <c r="AF32" s="153"/>
      <c r="AG32" s="153"/>
      <c r="AH32" s="153"/>
      <c r="AI32" s="152">
        <v>0.0</v>
      </c>
      <c r="AJ32" s="152">
        <v>0.0</v>
      </c>
      <c r="AK32" s="152">
        <v>0.0</v>
      </c>
      <c r="AL32" s="152">
        <v>0.555</v>
      </c>
      <c r="AM32" s="152">
        <v>8.32</v>
      </c>
      <c r="AN32" s="76">
        <v>8.32</v>
      </c>
      <c r="AO32" s="76">
        <v>5.04</v>
      </c>
      <c r="AP32" s="76">
        <v>2.71</v>
      </c>
      <c r="AQ32" s="76">
        <v>2.9345</v>
      </c>
      <c r="AR32" s="76">
        <v>0.0518</v>
      </c>
      <c r="AS32" s="76">
        <v>2.8827</v>
      </c>
      <c r="AT32" s="76">
        <v>1.7675</v>
      </c>
      <c r="AU32" s="76">
        <v>0.1488</v>
      </c>
      <c r="AV32" s="76">
        <v>4903.0</v>
      </c>
      <c r="AW32" s="76">
        <v>0.0</v>
      </c>
      <c r="AX32" s="76">
        <v>8.49</v>
      </c>
      <c r="AY32" s="76">
        <v>33.09</v>
      </c>
      <c r="AZ32" s="76">
        <v>2.49</v>
      </c>
      <c r="BA32" s="76">
        <v>4.75</v>
      </c>
      <c r="BB32" s="76">
        <v>0.19</v>
      </c>
      <c r="BD32" s="76">
        <v>25797.0</v>
      </c>
      <c r="BE32" s="76">
        <v>0.7192</v>
      </c>
      <c r="BF32" s="76">
        <v>0.0196</v>
      </c>
      <c r="BG32" s="76">
        <v>0.6996</v>
      </c>
      <c r="BH32" s="76">
        <v>0.7812</v>
      </c>
      <c r="BI32" s="76">
        <v>0.0658</v>
      </c>
      <c r="BJ32" s="76">
        <v>2.2154</v>
      </c>
      <c r="BK32" s="76">
        <v>0.0322</v>
      </c>
      <c r="BL32" s="76">
        <v>2.1832</v>
      </c>
      <c r="BM32" s="76">
        <v>0.9863</v>
      </c>
      <c r="BN32" s="76">
        <v>0.083</v>
      </c>
      <c r="BO32" s="76">
        <v>0.2692</v>
      </c>
      <c r="BP32" s="76">
        <v>0.008</v>
      </c>
      <c r="BQ32" s="76">
        <v>0.2613</v>
      </c>
      <c r="BR32" s="76">
        <v>0.3078</v>
      </c>
      <c r="BS32" s="76">
        <v>0.2515</v>
      </c>
      <c r="BT32" s="76">
        <v>0.0061</v>
      </c>
      <c r="BU32" s="76">
        <v>0.2454</v>
      </c>
      <c r="BV32" s="76">
        <v>0.2735</v>
      </c>
      <c r="BW32" s="76">
        <v>0.1984</v>
      </c>
      <c r="BX32" s="76">
        <v>0.0055</v>
      </c>
      <c r="BY32" s="76">
        <v>0.1929</v>
      </c>
      <c r="BZ32" s="76">
        <v>0.1999</v>
      </c>
      <c r="CA32" s="76">
        <v>0.5782</v>
      </c>
      <c r="CB32" s="76">
        <v>0.008</v>
      </c>
      <c r="CC32" s="76">
        <v>0.5703</v>
      </c>
      <c r="CD32" s="76">
        <v>0.2217</v>
      </c>
      <c r="CE32" s="76">
        <v>0.8476</v>
      </c>
      <c r="CF32" s="76">
        <v>0.0137</v>
      </c>
      <c r="CG32" s="76">
        <v>0.834</v>
      </c>
      <c r="CH32" s="76">
        <v>0.34</v>
      </c>
      <c r="CI32" s="76">
        <v>0.7895</v>
      </c>
      <c r="CJ32" s="76">
        <v>0.0106</v>
      </c>
      <c r="CK32" s="76">
        <v>0.7789</v>
      </c>
      <c r="CL32" s="76">
        <v>0.4246</v>
      </c>
      <c r="CM32" s="76">
        <v>66.06</v>
      </c>
      <c r="CN32" s="76">
        <v>13.73</v>
      </c>
      <c r="CO32" s="76">
        <v>481.24</v>
      </c>
      <c r="CP32" s="76">
        <v>46.81</v>
      </c>
      <c r="CQ32" s="76">
        <v>17.83</v>
      </c>
      <c r="CR32" s="76">
        <v>0.67</v>
      </c>
      <c r="CS32" s="76">
        <v>0.74</v>
      </c>
      <c r="CT32" s="76">
        <v>0.0</v>
      </c>
      <c r="CU32" s="76">
        <v>1081.0</v>
      </c>
      <c r="CV32" s="76">
        <v>41.62</v>
      </c>
      <c r="CW32" s="76">
        <v>90.63</v>
      </c>
      <c r="CX32" s="76">
        <v>1.98</v>
      </c>
      <c r="CY32" s="76">
        <v>19.81</v>
      </c>
    </row>
    <row r="33" ht="15.75" customHeight="1">
      <c r="A33" s="151">
        <v>46232.0</v>
      </c>
      <c r="B33" s="152" t="s">
        <v>5</v>
      </c>
      <c r="C33" s="152" t="s">
        <v>147</v>
      </c>
      <c r="D33" s="152">
        <v>7688.0</v>
      </c>
      <c r="E33" s="152">
        <v>28.64</v>
      </c>
      <c r="F33" s="152">
        <v>98.99</v>
      </c>
      <c r="G33" s="152">
        <v>0.0129</v>
      </c>
      <c r="H33" s="152">
        <v>0.56</v>
      </c>
      <c r="I33" s="152">
        <v>2.3021</v>
      </c>
      <c r="J33" s="152">
        <v>19.48</v>
      </c>
      <c r="K33" s="152">
        <v>10.29</v>
      </c>
      <c r="L33" s="152">
        <v>4.97</v>
      </c>
      <c r="M33" s="152">
        <v>0.4828</v>
      </c>
      <c r="N33" s="152">
        <v>0.6146</v>
      </c>
      <c r="O33" s="152">
        <v>0.3528</v>
      </c>
      <c r="P33" s="152">
        <v>2.0713</v>
      </c>
      <c r="Q33" s="152">
        <v>32.07</v>
      </c>
      <c r="R33" s="152">
        <v>29.16</v>
      </c>
      <c r="S33" s="152">
        <v>2.91</v>
      </c>
      <c r="T33" s="152">
        <v>1.09</v>
      </c>
      <c r="U33" s="152">
        <v>30.98</v>
      </c>
      <c r="V33" s="152">
        <v>32.29</v>
      </c>
      <c r="W33" s="152">
        <v>3.1395</v>
      </c>
      <c r="X33" s="152">
        <v>3.41</v>
      </c>
      <c r="Y33" s="152">
        <v>200.0</v>
      </c>
      <c r="Z33" s="152">
        <v>289.0</v>
      </c>
      <c r="AA33" s="152">
        <v>1024.0</v>
      </c>
      <c r="AB33" s="152">
        <v>49.4469</v>
      </c>
      <c r="AC33" s="152">
        <v>0.6046</v>
      </c>
      <c r="AD33" s="152">
        <v>3.93</v>
      </c>
      <c r="AE33" s="152">
        <v>2.0</v>
      </c>
      <c r="AF33" s="152">
        <v>3.0</v>
      </c>
      <c r="AG33" s="152">
        <v>5.0</v>
      </c>
      <c r="AH33" s="152">
        <v>8.0</v>
      </c>
      <c r="AI33" s="152">
        <v>75.27</v>
      </c>
      <c r="AJ33" s="152">
        <v>33.22</v>
      </c>
      <c r="AK33" s="152">
        <v>5.75</v>
      </c>
      <c r="AL33" s="152">
        <v>0.5405</v>
      </c>
      <c r="AM33" s="152">
        <v>28.92</v>
      </c>
      <c r="AN33" s="76">
        <v>28.92</v>
      </c>
      <c r="AO33" s="76">
        <v>13.25</v>
      </c>
      <c r="AP33" s="76">
        <v>3.93</v>
      </c>
      <c r="AQ33" s="76">
        <v>2.5592</v>
      </c>
      <c r="AR33" s="76">
        <v>0.0369</v>
      </c>
      <c r="AS33" s="76">
        <v>2.5222</v>
      </c>
      <c r="AT33" s="76">
        <v>2.1406</v>
      </c>
      <c r="AU33" s="76">
        <v>0.2081</v>
      </c>
      <c r="AV33" s="76">
        <v>7688.0</v>
      </c>
      <c r="AW33" s="76">
        <v>0.0</v>
      </c>
      <c r="AX33" s="76">
        <v>16.16</v>
      </c>
      <c r="AY33" s="76">
        <v>12.69</v>
      </c>
      <c r="AZ33" s="76">
        <v>1.62</v>
      </c>
      <c r="BA33" s="76">
        <v>1.09</v>
      </c>
      <c r="BB33" s="76">
        <v>0.51</v>
      </c>
      <c r="BC33" s="76">
        <v>15.0</v>
      </c>
      <c r="BD33" s="76">
        <v>16567.0</v>
      </c>
      <c r="BE33" s="76">
        <v>1.4648</v>
      </c>
      <c r="BF33" s="76">
        <v>0.025</v>
      </c>
      <c r="BG33" s="76">
        <v>1.4398</v>
      </c>
      <c r="BH33" s="76">
        <v>1.1893</v>
      </c>
      <c r="BI33" s="76">
        <v>0.1156</v>
      </c>
      <c r="BJ33" s="76">
        <v>1.0944</v>
      </c>
      <c r="BK33" s="76">
        <v>0.012</v>
      </c>
      <c r="BL33" s="76">
        <v>1.0825</v>
      </c>
      <c r="BM33" s="76">
        <v>0.9514</v>
      </c>
      <c r="BN33" s="76">
        <v>0.0925</v>
      </c>
      <c r="BO33" s="76">
        <v>0.6401</v>
      </c>
      <c r="BP33" s="76">
        <v>0.0104</v>
      </c>
      <c r="BQ33" s="76">
        <v>0.6297</v>
      </c>
      <c r="BR33" s="76">
        <v>0.5294</v>
      </c>
      <c r="BS33" s="76">
        <v>0.6237</v>
      </c>
      <c r="BT33" s="76">
        <v>0.0057</v>
      </c>
      <c r="BU33" s="76">
        <v>0.618</v>
      </c>
      <c r="BV33" s="76">
        <v>0.4519</v>
      </c>
      <c r="BW33" s="76">
        <v>0.201</v>
      </c>
      <c r="BX33" s="76">
        <v>0.0088</v>
      </c>
      <c r="BY33" s="76">
        <v>0.1921</v>
      </c>
      <c r="BZ33" s="76">
        <v>0.208</v>
      </c>
      <c r="CA33" s="76">
        <v>0.113</v>
      </c>
      <c r="CB33" s="76">
        <v>0.002</v>
      </c>
      <c r="CC33" s="76">
        <v>0.1111</v>
      </c>
      <c r="CD33" s="76">
        <v>0.1318</v>
      </c>
      <c r="CE33" s="76">
        <v>0.6579</v>
      </c>
      <c r="CF33" s="76">
        <v>0.004</v>
      </c>
      <c r="CG33" s="76">
        <v>0.6539</v>
      </c>
      <c r="CH33" s="76">
        <v>0.4939</v>
      </c>
      <c r="CI33" s="76">
        <v>0.3235</v>
      </c>
      <c r="CJ33" s="76">
        <v>0.006</v>
      </c>
      <c r="CK33" s="76">
        <v>0.3175</v>
      </c>
      <c r="CL33" s="76">
        <v>0.3257</v>
      </c>
      <c r="CM33" s="76">
        <v>39.47</v>
      </c>
      <c r="CN33" s="76">
        <v>45.02</v>
      </c>
      <c r="CO33" s="76">
        <v>87.68</v>
      </c>
      <c r="CP33" s="76">
        <v>30.98</v>
      </c>
      <c r="CQ33" s="76">
        <v>6.52</v>
      </c>
      <c r="CR33" s="76">
        <v>1.33</v>
      </c>
      <c r="CS33" s="76">
        <v>0.65</v>
      </c>
      <c r="CT33" s="76">
        <v>0.0</v>
      </c>
      <c r="CU33" s="76">
        <v>1854.0</v>
      </c>
      <c r="CV33" s="76">
        <v>0.77</v>
      </c>
      <c r="CW33" s="76">
        <v>32.85</v>
      </c>
      <c r="CX33" s="76">
        <v>0.79</v>
      </c>
      <c r="CY33" s="76">
        <v>7.31</v>
      </c>
    </row>
    <row r="34" ht="15.75" customHeight="1">
      <c r="A34" s="151">
        <v>46232.0</v>
      </c>
      <c r="B34" s="152" t="s">
        <v>5</v>
      </c>
      <c r="C34" s="152" t="s">
        <v>148</v>
      </c>
      <c r="D34" s="152">
        <v>5972.0</v>
      </c>
      <c r="E34" s="152">
        <v>22.25</v>
      </c>
      <c r="F34" s="152">
        <v>476.58</v>
      </c>
      <c r="G34" s="152">
        <v>0.0798</v>
      </c>
      <c r="H34" s="152">
        <v>2.39</v>
      </c>
      <c r="I34" s="152">
        <v>3.3327</v>
      </c>
      <c r="J34" s="152">
        <v>41.6</v>
      </c>
      <c r="K34" s="152">
        <v>22.36</v>
      </c>
      <c r="L34" s="152">
        <v>13.61</v>
      </c>
      <c r="M34" s="152">
        <v>0.6089</v>
      </c>
      <c r="N34" s="152">
        <v>0.5063</v>
      </c>
      <c r="O34" s="152">
        <v>0.2938</v>
      </c>
      <c r="P34" s="152">
        <v>1.6424</v>
      </c>
      <c r="Q34" s="152">
        <v>73.29</v>
      </c>
      <c r="R34" s="152">
        <v>65.21</v>
      </c>
      <c r="S34" s="152">
        <v>8.08</v>
      </c>
      <c r="T34" s="152">
        <v>7.23</v>
      </c>
      <c r="U34" s="152">
        <v>66.06</v>
      </c>
      <c r="V34" s="152">
        <v>77.5</v>
      </c>
      <c r="W34" s="152">
        <v>3.4663</v>
      </c>
      <c r="X34" s="152">
        <v>9.87</v>
      </c>
      <c r="Y34" s="152">
        <v>222.0</v>
      </c>
      <c r="Z34" s="152">
        <v>356.0</v>
      </c>
      <c r="AA34" s="152">
        <v>1129.0</v>
      </c>
      <c r="AB34" s="152">
        <v>51.6897</v>
      </c>
      <c r="AC34" s="152">
        <v>0.6999</v>
      </c>
      <c r="AD34" s="152">
        <v>9.52</v>
      </c>
      <c r="AE34" s="152">
        <v>4.0</v>
      </c>
      <c r="AF34" s="152">
        <v>8.0</v>
      </c>
      <c r="AG34" s="152">
        <v>13.0</v>
      </c>
      <c r="AH34" s="152">
        <v>18.0</v>
      </c>
      <c r="AI34" s="152">
        <v>66.23</v>
      </c>
      <c r="AJ34" s="152">
        <v>27.19</v>
      </c>
      <c r="AK34" s="152">
        <v>3.18</v>
      </c>
      <c r="AL34" s="152">
        <v>0.3948</v>
      </c>
      <c r="AM34" s="152">
        <v>34.76</v>
      </c>
      <c r="AN34" s="76">
        <v>34.76</v>
      </c>
      <c r="AO34" s="76">
        <v>20.11</v>
      </c>
      <c r="AP34" s="76">
        <v>9.21</v>
      </c>
      <c r="AQ34" s="76">
        <v>5.3552</v>
      </c>
      <c r="AR34" s="76">
        <v>0.1256</v>
      </c>
      <c r="AS34" s="76">
        <v>5.2296</v>
      </c>
      <c r="AT34" s="76">
        <v>4.6934</v>
      </c>
      <c r="AU34" s="76">
        <v>0.2099</v>
      </c>
      <c r="AV34" s="76">
        <v>5972.0</v>
      </c>
      <c r="AW34" s="76">
        <v>0.0</v>
      </c>
      <c r="AX34" s="76">
        <v>34.25</v>
      </c>
      <c r="AY34" s="76">
        <v>27.98</v>
      </c>
      <c r="AZ34" s="76">
        <v>2.63</v>
      </c>
      <c r="BA34" s="76">
        <v>7.23</v>
      </c>
      <c r="BB34" s="76">
        <v>1.2</v>
      </c>
      <c r="BC34" s="76">
        <v>33.0</v>
      </c>
      <c r="BD34" s="76">
        <v>18590.0</v>
      </c>
      <c r="BE34" s="76">
        <v>2.7649</v>
      </c>
      <c r="BF34" s="76">
        <v>0.0794</v>
      </c>
      <c r="BG34" s="76">
        <v>2.6855</v>
      </c>
      <c r="BH34" s="76">
        <v>2.4148</v>
      </c>
      <c r="BI34" s="76">
        <v>0.108</v>
      </c>
      <c r="BJ34" s="76">
        <v>2.5903</v>
      </c>
      <c r="BK34" s="76">
        <v>0.0462</v>
      </c>
      <c r="BL34" s="76">
        <v>2.544</v>
      </c>
      <c r="BM34" s="76">
        <v>2.2786</v>
      </c>
      <c r="BN34" s="76">
        <v>0.1019</v>
      </c>
      <c r="BO34" s="76">
        <v>1.1077</v>
      </c>
      <c r="BP34" s="76">
        <v>0.0311</v>
      </c>
      <c r="BQ34" s="76">
        <v>1.0765</v>
      </c>
      <c r="BR34" s="76">
        <v>1.0069</v>
      </c>
      <c r="BS34" s="76">
        <v>1.0812</v>
      </c>
      <c r="BT34" s="76">
        <v>0.0216</v>
      </c>
      <c r="BU34" s="76">
        <v>1.0596</v>
      </c>
      <c r="BV34" s="76">
        <v>0.8853</v>
      </c>
      <c r="BW34" s="76">
        <v>0.576</v>
      </c>
      <c r="BX34" s="76">
        <v>0.0266</v>
      </c>
      <c r="BY34" s="76">
        <v>0.5494</v>
      </c>
      <c r="BZ34" s="76">
        <v>0.5226</v>
      </c>
      <c r="CA34" s="76">
        <v>0.4151</v>
      </c>
      <c r="CB34" s="76">
        <v>0.0117</v>
      </c>
      <c r="CC34" s="76">
        <v>0.4034</v>
      </c>
      <c r="CD34" s="76">
        <v>0.43</v>
      </c>
      <c r="CE34" s="76">
        <v>1.3523</v>
      </c>
      <c r="CF34" s="76">
        <v>0.0188</v>
      </c>
      <c r="CG34" s="76">
        <v>1.3336</v>
      </c>
      <c r="CH34" s="76">
        <v>1.0573</v>
      </c>
      <c r="CI34" s="76">
        <v>0.8228</v>
      </c>
      <c r="CJ34" s="76">
        <v>0.0157</v>
      </c>
      <c r="CK34" s="76">
        <v>0.8071</v>
      </c>
      <c r="CL34" s="76">
        <v>0.7914</v>
      </c>
      <c r="CM34" s="76">
        <v>77.43</v>
      </c>
      <c r="CN34" s="76">
        <v>61.3</v>
      </c>
      <c r="CO34" s="76">
        <v>126.31</v>
      </c>
      <c r="CP34" s="76">
        <v>55.13</v>
      </c>
      <c r="CQ34" s="76">
        <v>19.13</v>
      </c>
      <c r="CR34" s="76">
        <v>2.0</v>
      </c>
      <c r="CS34" s="76">
        <v>1.17</v>
      </c>
      <c r="CT34" s="76">
        <v>0.0</v>
      </c>
      <c r="CU34" s="76">
        <v>2189.0</v>
      </c>
      <c r="CV34" s="76">
        <v>1.37</v>
      </c>
      <c r="CW34" s="76">
        <v>74.66</v>
      </c>
      <c r="CX34" s="76">
        <v>2.53</v>
      </c>
      <c r="CY34" s="76">
        <v>21.66</v>
      </c>
    </row>
    <row r="35" ht="15.75" customHeight="1">
      <c r="A35" s="151">
        <v>46232.0</v>
      </c>
      <c r="B35" s="152" t="s">
        <v>5</v>
      </c>
      <c r="C35" s="152" t="s">
        <v>149</v>
      </c>
      <c r="D35" s="152">
        <v>4843.0</v>
      </c>
      <c r="E35" s="152">
        <v>18.04</v>
      </c>
      <c r="F35" s="152">
        <v>397.39</v>
      </c>
      <c r="G35" s="152">
        <v>0.0821</v>
      </c>
      <c r="H35" s="152">
        <v>2.13</v>
      </c>
      <c r="I35" s="152">
        <v>3.8582</v>
      </c>
      <c r="J35" s="152">
        <v>62.92</v>
      </c>
      <c r="K35" s="152">
        <v>36.17</v>
      </c>
      <c r="L35" s="152">
        <v>25.5</v>
      </c>
      <c r="M35" s="152">
        <v>0.7049</v>
      </c>
      <c r="N35" s="152">
        <v>0.4122</v>
      </c>
      <c r="O35" s="152">
        <v>0.2578</v>
      </c>
      <c r="P35" s="152">
        <v>1.4186</v>
      </c>
      <c r="Q35" s="152">
        <v>131.8</v>
      </c>
      <c r="R35" s="152">
        <v>115.88</v>
      </c>
      <c r="S35" s="152">
        <v>15.92</v>
      </c>
      <c r="T35" s="152">
        <v>6.96</v>
      </c>
      <c r="U35" s="152">
        <v>124.85</v>
      </c>
      <c r="V35" s="152">
        <v>139.49</v>
      </c>
      <c r="W35" s="152">
        <v>3.8567</v>
      </c>
      <c r="X35" s="152">
        <v>5.28</v>
      </c>
      <c r="Y35" s="152">
        <v>250.0</v>
      </c>
      <c r="Z35" s="152">
        <v>402.0</v>
      </c>
      <c r="AA35" s="152">
        <v>1009.0</v>
      </c>
      <c r="AB35" s="152">
        <v>53.3962</v>
      </c>
      <c r="AC35" s="152">
        <v>0.7716</v>
      </c>
      <c r="AD35" s="152">
        <v>16.75</v>
      </c>
      <c r="AE35" s="152">
        <v>7.0</v>
      </c>
      <c r="AF35" s="152">
        <v>14.0</v>
      </c>
      <c r="AG35" s="152">
        <v>23.0</v>
      </c>
      <c r="AH35" s="152">
        <v>34.0</v>
      </c>
      <c r="AI35" s="152">
        <v>60.64</v>
      </c>
      <c r="AJ35" s="152">
        <v>20.79</v>
      </c>
      <c r="AK35" s="152">
        <v>4.27</v>
      </c>
      <c r="AL35" s="152">
        <v>0.3079</v>
      </c>
      <c r="AM35" s="152">
        <v>37.04</v>
      </c>
      <c r="AN35" s="76">
        <v>37.04</v>
      </c>
      <c r="AO35" s="76">
        <v>20.48</v>
      </c>
      <c r="AP35" s="76">
        <v>10.39</v>
      </c>
      <c r="AQ35" s="76">
        <v>8.6054</v>
      </c>
      <c r="AR35" s="76">
        <v>0.2059</v>
      </c>
      <c r="AS35" s="76">
        <v>8.3995</v>
      </c>
      <c r="AT35" s="76">
        <v>7.4859</v>
      </c>
      <c r="AU35" s="76">
        <v>0.207</v>
      </c>
      <c r="AV35" s="76">
        <v>4843.0</v>
      </c>
      <c r="AW35" s="76">
        <v>0.0</v>
      </c>
      <c r="AX35" s="76">
        <v>62.13</v>
      </c>
      <c r="AY35" s="76">
        <v>57.54</v>
      </c>
      <c r="AZ35" s="76">
        <v>2.58</v>
      </c>
      <c r="BA35" s="76">
        <v>6.96</v>
      </c>
      <c r="BB35" s="76">
        <v>2.59</v>
      </c>
      <c r="BC35" s="76">
        <v>59.0</v>
      </c>
      <c r="BD35" s="76">
        <v>16688.0</v>
      </c>
      <c r="BE35" s="76">
        <v>4.4846</v>
      </c>
      <c r="BF35" s="76">
        <v>0.1493</v>
      </c>
      <c r="BG35" s="76">
        <v>4.3353</v>
      </c>
      <c r="BH35" s="76">
        <v>3.4908</v>
      </c>
      <c r="BI35" s="76">
        <v>0.0965</v>
      </c>
      <c r="BJ35" s="76">
        <v>4.1208</v>
      </c>
      <c r="BK35" s="76">
        <v>0.0566</v>
      </c>
      <c r="BL35" s="76">
        <v>4.0642</v>
      </c>
      <c r="BM35" s="76">
        <v>3.995</v>
      </c>
      <c r="BN35" s="76">
        <v>0.1105</v>
      </c>
      <c r="BO35" s="76">
        <v>1.5897</v>
      </c>
      <c r="BP35" s="76">
        <v>0.0502</v>
      </c>
      <c r="BQ35" s="76">
        <v>1.5395</v>
      </c>
      <c r="BR35" s="76">
        <v>1.3093</v>
      </c>
      <c r="BS35" s="76">
        <v>1.6727</v>
      </c>
      <c r="BT35" s="76">
        <v>0.0471</v>
      </c>
      <c r="BU35" s="76">
        <v>1.6256</v>
      </c>
      <c r="BV35" s="76">
        <v>1.2893</v>
      </c>
      <c r="BW35" s="76">
        <v>1.2222</v>
      </c>
      <c r="BX35" s="76">
        <v>0.052</v>
      </c>
      <c r="BY35" s="76">
        <v>1.1701</v>
      </c>
      <c r="BZ35" s="76">
        <v>0.8922</v>
      </c>
      <c r="CA35" s="76">
        <v>0.61</v>
      </c>
      <c r="CB35" s="76">
        <v>0.0136</v>
      </c>
      <c r="CC35" s="76">
        <v>0.5963</v>
      </c>
      <c r="CD35" s="76">
        <v>0.9273</v>
      </c>
      <c r="CE35" s="76">
        <v>1.973</v>
      </c>
      <c r="CF35" s="76">
        <v>0.0227</v>
      </c>
      <c r="CG35" s="76">
        <v>1.9502</v>
      </c>
      <c r="CH35" s="76">
        <v>1.6273</v>
      </c>
      <c r="CI35" s="76">
        <v>1.5379</v>
      </c>
      <c r="CJ35" s="76">
        <v>0.0202</v>
      </c>
      <c r="CK35" s="76">
        <v>1.5177</v>
      </c>
      <c r="CL35" s="76">
        <v>1.4404</v>
      </c>
      <c r="CM35" s="76">
        <v>150.64</v>
      </c>
      <c r="CN35" s="76">
        <v>76.61</v>
      </c>
      <c r="CO35" s="76">
        <v>196.64</v>
      </c>
      <c r="CP35" s="76">
        <v>110.37</v>
      </c>
      <c r="CQ35" s="76">
        <v>35.45</v>
      </c>
      <c r="CR35" s="76">
        <v>2.92</v>
      </c>
      <c r="CS35" s="76">
        <v>1.91</v>
      </c>
      <c r="CT35" s="76">
        <v>0.0</v>
      </c>
      <c r="CU35" s="76">
        <v>2166.0</v>
      </c>
      <c r="CV35" s="76">
        <v>1.74</v>
      </c>
      <c r="CW35" s="76">
        <v>133.54</v>
      </c>
      <c r="CX35" s="76">
        <v>4.51</v>
      </c>
      <c r="CY35" s="76">
        <v>39.96</v>
      </c>
    </row>
    <row r="36" ht="15.75" customHeight="1">
      <c r="A36" s="151">
        <v>46232.0</v>
      </c>
      <c r="B36" s="152" t="s">
        <v>5</v>
      </c>
      <c r="C36" s="152" t="s">
        <v>150</v>
      </c>
      <c r="D36" s="152">
        <v>2999.0</v>
      </c>
      <c r="E36" s="152">
        <v>11.17</v>
      </c>
      <c r="F36" s="152">
        <v>891.95</v>
      </c>
      <c r="G36" s="152">
        <v>0.2974</v>
      </c>
      <c r="H36" s="152">
        <v>3.77</v>
      </c>
      <c r="I36" s="152">
        <v>7.8934</v>
      </c>
      <c r="J36" s="152">
        <v>114.71</v>
      </c>
      <c r="K36" s="152">
        <v>70.88</v>
      </c>
      <c r="L36" s="152">
        <v>52.51</v>
      </c>
      <c r="M36" s="152">
        <v>0.7408</v>
      </c>
      <c r="N36" s="152">
        <v>0.3622</v>
      </c>
      <c r="O36" s="152">
        <v>0.2306</v>
      </c>
      <c r="P36" s="152">
        <v>1.3499</v>
      </c>
      <c r="Q36" s="152">
        <v>296.95</v>
      </c>
      <c r="R36" s="152">
        <v>265.98</v>
      </c>
      <c r="S36" s="152">
        <v>30.97</v>
      </c>
      <c r="T36" s="152">
        <v>28.51</v>
      </c>
      <c r="U36" s="152">
        <v>268.44</v>
      </c>
      <c r="V36" s="152">
        <v>278.29</v>
      </c>
      <c r="W36" s="152">
        <v>3.926</v>
      </c>
      <c r="X36" s="152">
        <v>9.6</v>
      </c>
      <c r="Y36" s="152">
        <v>322.0</v>
      </c>
      <c r="Z36" s="152">
        <v>526.0</v>
      </c>
      <c r="AA36" s="152">
        <v>1234.0</v>
      </c>
      <c r="AB36" s="152">
        <v>55.4129</v>
      </c>
      <c r="AC36" s="152">
        <v>0.7843</v>
      </c>
      <c r="AD36" s="152">
        <v>29.49</v>
      </c>
      <c r="AE36" s="152">
        <v>11.0</v>
      </c>
      <c r="AF36" s="152">
        <v>22.0</v>
      </c>
      <c r="AG36" s="152">
        <v>41.0</v>
      </c>
      <c r="AH36" s="152">
        <v>61.0</v>
      </c>
      <c r="AI36" s="152">
        <v>41.31</v>
      </c>
      <c r="AJ36" s="152">
        <v>10.7</v>
      </c>
      <c r="AK36" s="152">
        <v>2.13</v>
      </c>
      <c r="AL36" s="152">
        <v>0.1774</v>
      </c>
      <c r="AM36" s="152">
        <v>42.78</v>
      </c>
      <c r="AN36" s="76">
        <v>42.78</v>
      </c>
      <c r="AO36" s="76">
        <v>26.74</v>
      </c>
      <c r="AP36" s="76">
        <v>15.97</v>
      </c>
      <c r="AQ36" s="76">
        <v>14.5432</v>
      </c>
      <c r="AR36" s="76">
        <v>0.3491</v>
      </c>
      <c r="AS36" s="76">
        <v>14.1941</v>
      </c>
      <c r="AT36" s="76">
        <v>12.2621</v>
      </c>
      <c r="AU36" s="76">
        <v>0.173</v>
      </c>
      <c r="AV36" s="76">
        <v>2999.0</v>
      </c>
      <c r="AW36" s="76">
        <v>0.0</v>
      </c>
      <c r="AX36" s="76">
        <v>118.2</v>
      </c>
      <c r="AY36" s="76">
        <v>142.27</v>
      </c>
      <c r="AZ36" s="76">
        <v>3.58</v>
      </c>
      <c r="BA36" s="76">
        <v>28.49</v>
      </c>
      <c r="BB36" s="76">
        <v>4.41</v>
      </c>
      <c r="BC36" s="76">
        <v>119.0</v>
      </c>
      <c r="BD36" s="76">
        <v>14611.0</v>
      </c>
      <c r="BE36" s="76">
        <v>7.4732</v>
      </c>
      <c r="BF36" s="76">
        <v>0.146</v>
      </c>
      <c r="BG36" s="76">
        <v>7.3271</v>
      </c>
      <c r="BH36" s="76">
        <v>5.7489</v>
      </c>
      <c r="BI36" s="76">
        <v>0.0811</v>
      </c>
      <c r="BJ36" s="76">
        <v>7.07</v>
      </c>
      <c r="BK36" s="76">
        <v>0.2031</v>
      </c>
      <c r="BL36" s="76">
        <v>6.867</v>
      </c>
      <c r="BM36" s="76">
        <v>6.5132</v>
      </c>
      <c r="BN36" s="76">
        <v>0.0919</v>
      </c>
      <c r="BO36" s="76">
        <v>2.7066</v>
      </c>
      <c r="BP36" s="76">
        <v>0.0467</v>
      </c>
      <c r="BQ36" s="76">
        <v>2.6599</v>
      </c>
      <c r="BR36" s="76">
        <v>2.107</v>
      </c>
      <c r="BS36" s="76">
        <v>2.7529</v>
      </c>
      <c r="BT36" s="76">
        <v>0.0497</v>
      </c>
      <c r="BU36" s="76">
        <v>2.7032</v>
      </c>
      <c r="BV36" s="76">
        <v>2.1</v>
      </c>
      <c r="BW36" s="76">
        <v>2.0137</v>
      </c>
      <c r="BX36" s="76">
        <v>0.0497</v>
      </c>
      <c r="BY36" s="76">
        <v>1.964</v>
      </c>
      <c r="BZ36" s="76">
        <v>1.5418</v>
      </c>
      <c r="CA36" s="76">
        <v>1.0917</v>
      </c>
      <c r="CB36" s="76">
        <v>0.0584</v>
      </c>
      <c r="CC36" s="76">
        <v>1.0333</v>
      </c>
      <c r="CD36" s="76">
        <v>1.2361</v>
      </c>
      <c r="CE36" s="76">
        <v>3.089</v>
      </c>
      <c r="CF36" s="76">
        <v>0.0764</v>
      </c>
      <c r="CG36" s="76">
        <v>3.0127</v>
      </c>
      <c r="CH36" s="76">
        <v>2.6869</v>
      </c>
      <c r="CI36" s="76">
        <v>2.8893</v>
      </c>
      <c r="CJ36" s="76">
        <v>0.0684</v>
      </c>
      <c r="CK36" s="76">
        <v>2.8209</v>
      </c>
      <c r="CL36" s="76">
        <v>2.5902</v>
      </c>
      <c r="CM36" s="76">
        <v>328.85</v>
      </c>
      <c r="CN36" s="76">
        <v>89.3</v>
      </c>
      <c r="CO36" s="76">
        <v>368.26</v>
      </c>
      <c r="CP36" s="76">
        <v>238.53</v>
      </c>
      <c r="CQ36" s="76">
        <v>80.45</v>
      </c>
      <c r="CR36" s="76">
        <v>6.75</v>
      </c>
      <c r="CS36" s="76">
        <v>3.12</v>
      </c>
      <c r="CT36" s="76">
        <v>0.0</v>
      </c>
      <c r="CU36" s="76">
        <v>1647.0</v>
      </c>
      <c r="CV36" s="76">
        <v>6.71</v>
      </c>
      <c r="CW36" s="76">
        <v>303.66</v>
      </c>
      <c r="CX36" s="76">
        <v>8.98</v>
      </c>
      <c r="CY36" s="76">
        <v>89.43</v>
      </c>
    </row>
    <row r="37" ht="15.75" customHeight="1">
      <c r="A37" s="151">
        <v>46232.0</v>
      </c>
      <c r="B37" s="152" t="s">
        <v>5</v>
      </c>
      <c r="C37" s="152" t="s">
        <v>151</v>
      </c>
      <c r="D37" s="152">
        <v>436.0</v>
      </c>
      <c r="E37" s="152">
        <v>1.62</v>
      </c>
      <c r="F37" s="152">
        <v>101.66</v>
      </c>
      <c r="G37" s="152">
        <v>0.2332</v>
      </c>
      <c r="H37" s="152">
        <v>5.05</v>
      </c>
      <c r="I37" s="152">
        <v>4.6209</v>
      </c>
      <c r="J37" s="152">
        <v>247.8</v>
      </c>
      <c r="K37" s="152">
        <v>170.08</v>
      </c>
      <c r="L37" s="152">
        <v>129.16</v>
      </c>
      <c r="M37" s="152">
        <v>0.7594</v>
      </c>
      <c r="N37" s="152">
        <v>0.3162</v>
      </c>
      <c r="O37" s="152">
        <v>0.2008</v>
      </c>
      <c r="P37" s="152">
        <v>1.3169</v>
      </c>
      <c r="Q37" s="152">
        <v>574.54</v>
      </c>
      <c r="R37" s="152">
        <v>494.8</v>
      </c>
      <c r="S37" s="152">
        <v>79.75</v>
      </c>
      <c r="T37" s="152">
        <v>21.1</v>
      </c>
      <c r="U37" s="152">
        <v>553.44</v>
      </c>
      <c r="V37" s="152">
        <v>540.48</v>
      </c>
      <c r="W37" s="152">
        <v>3.1778</v>
      </c>
      <c r="X37" s="152">
        <v>3.67</v>
      </c>
      <c r="Y37" s="152">
        <v>385.0</v>
      </c>
      <c r="Z37" s="152">
        <v>715.0</v>
      </c>
      <c r="AA37" s="152">
        <v>1370.0</v>
      </c>
      <c r="AB37" s="152">
        <v>58.9602</v>
      </c>
      <c r="AC37" s="152">
        <v>0.8148</v>
      </c>
      <c r="AD37" s="152">
        <v>55.91</v>
      </c>
      <c r="AE37" s="152">
        <v>24.0</v>
      </c>
      <c r="AF37" s="152">
        <v>44.0</v>
      </c>
      <c r="AG37" s="152">
        <v>72.0</v>
      </c>
      <c r="AH37" s="152">
        <v>114.0</v>
      </c>
      <c r="AI37" s="152">
        <v>22.71</v>
      </c>
      <c r="AJ37" s="152">
        <v>2.06</v>
      </c>
      <c r="AK37" s="152">
        <v>0.0</v>
      </c>
      <c r="AL37" s="152">
        <v>0.094</v>
      </c>
      <c r="AM37" s="152">
        <v>69.04</v>
      </c>
      <c r="AN37" s="76">
        <v>69.04</v>
      </c>
      <c r="AO37" s="76">
        <v>55.05</v>
      </c>
      <c r="AP37" s="76">
        <v>47.02</v>
      </c>
      <c r="AQ37" s="76">
        <v>38.5138</v>
      </c>
      <c r="AR37" s="76">
        <v>0.3693</v>
      </c>
      <c r="AS37" s="76">
        <v>38.1445</v>
      </c>
      <c r="AT37" s="76">
        <v>30.3761</v>
      </c>
      <c r="AU37" s="76">
        <v>0.1786</v>
      </c>
      <c r="AV37" s="76">
        <v>436.0</v>
      </c>
      <c r="AW37" s="76">
        <v>0.0</v>
      </c>
      <c r="AX37" s="76">
        <v>276.58</v>
      </c>
      <c r="AY37" s="76">
        <v>260.16</v>
      </c>
      <c r="AZ37" s="76">
        <v>4.22</v>
      </c>
      <c r="BA37" s="76">
        <v>21.1</v>
      </c>
      <c r="BB37" s="76">
        <v>12.48</v>
      </c>
      <c r="BC37" s="76">
        <v>203.0</v>
      </c>
      <c r="BD37" s="76">
        <v>19713.0</v>
      </c>
      <c r="BE37" s="76">
        <v>15.8073</v>
      </c>
      <c r="BF37" s="76">
        <v>0.117</v>
      </c>
      <c r="BG37" s="76">
        <v>15.6904</v>
      </c>
      <c r="BH37" s="76">
        <v>12.2844</v>
      </c>
      <c r="BI37" s="76">
        <v>0.0722</v>
      </c>
      <c r="BJ37" s="76">
        <v>22.7064</v>
      </c>
      <c r="BK37" s="76">
        <v>0.2523</v>
      </c>
      <c r="BL37" s="76">
        <v>22.4541</v>
      </c>
      <c r="BM37" s="76">
        <v>18.0917</v>
      </c>
      <c r="BN37" s="76">
        <v>0.1064</v>
      </c>
      <c r="BO37" s="76">
        <v>5.2982</v>
      </c>
      <c r="BP37" s="76">
        <v>0.0367</v>
      </c>
      <c r="BQ37" s="76">
        <v>5.2615</v>
      </c>
      <c r="BR37" s="76">
        <v>4.2317</v>
      </c>
      <c r="BS37" s="76">
        <v>5.9817</v>
      </c>
      <c r="BT37" s="76">
        <v>0.0367</v>
      </c>
      <c r="BU37" s="76">
        <v>5.945</v>
      </c>
      <c r="BV37" s="76">
        <v>4.5711</v>
      </c>
      <c r="BW37" s="76">
        <v>4.5275</v>
      </c>
      <c r="BX37" s="76">
        <v>0.0436</v>
      </c>
      <c r="BY37" s="76">
        <v>4.4839</v>
      </c>
      <c r="BZ37" s="76">
        <v>3.4817</v>
      </c>
      <c r="CA37" s="76">
        <v>5.4794</v>
      </c>
      <c r="CB37" s="76">
        <v>0.0436</v>
      </c>
      <c r="CC37" s="76">
        <v>5.4358</v>
      </c>
      <c r="CD37" s="76">
        <v>7.2202</v>
      </c>
      <c r="CE37" s="76">
        <v>8.9771</v>
      </c>
      <c r="CF37" s="76">
        <v>0.1284</v>
      </c>
      <c r="CG37" s="76">
        <v>8.8486</v>
      </c>
      <c r="CH37" s="76">
        <v>5.0367</v>
      </c>
      <c r="CI37" s="76">
        <v>8.25</v>
      </c>
      <c r="CJ37" s="76">
        <v>0.0803</v>
      </c>
      <c r="CK37" s="76">
        <v>8.1697</v>
      </c>
      <c r="CL37" s="76">
        <v>5.8349</v>
      </c>
      <c r="CM37" s="76">
        <v>884.78</v>
      </c>
      <c r="CN37" s="76">
        <v>96.33</v>
      </c>
      <c r="CO37" s="76">
        <v>918.48</v>
      </c>
      <c r="CP37" s="76">
        <v>626.07</v>
      </c>
      <c r="CQ37" s="76">
        <v>238.7</v>
      </c>
      <c r="CR37" s="76">
        <v>12.94</v>
      </c>
      <c r="CS37" s="76">
        <v>7.08</v>
      </c>
      <c r="CT37" s="76">
        <v>0.0</v>
      </c>
      <c r="CU37" s="76">
        <v>270.0</v>
      </c>
      <c r="CV37" s="76">
        <v>312.2</v>
      </c>
      <c r="CW37" s="76">
        <v>886.74</v>
      </c>
      <c r="CX37" s="76">
        <v>21.91</v>
      </c>
      <c r="CY37" s="76">
        <v>260.61</v>
      </c>
    </row>
    <row r="38" ht="15.75" customHeight="1">
      <c r="A38" s="151">
        <v>46233.0</v>
      </c>
      <c r="B38" s="152" t="s">
        <v>4</v>
      </c>
      <c r="C38" s="152" t="s">
        <v>316</v>
      </c>
      <c r="D38" s="152">
        <v>5190.0</v>
      </c>
      <c r="E38" s="152">
        <v>19.66</v>
      </c>
      <c r="F38" s="152">
        <v>448.7</v>
      </c>
      <c r="G38" s="152">
        <v>0.0865</v>
      </c>
      <c r="H38" s="152">
        <v>1.29</v>
      </c>
      <c r="I38" s="152">
        <v>6.697</v>
      </c>
      <c r="J38" s="152">
        <v>21.14</v>
      </c>
      <c r="K38" s="152">
        <v>11.81</v>
      </c>
      <c r="L38" s="152">
        <v>8.43</v>
      </c>
      <c r="M38" s="152">
        <v>0.7139</v>
      </c>
      <c r="N38" s="152">
        <v>0.4009</v>
      </c>
      <c r="O38" s="152">
        <v>0.2014</v>
      </c>
      <c r="P38" s="152">
        <v>1.4007</v>
      </c>
      <c r="Q38" s="152">
        <v>61.64</v>
      </c>
      <c r="R38" s="152">
        <v>61.46</v>
      </c>
      <c r="S38" s="152">
        <v>0.18</v>
      </c>
      <c r="T38" s="152">
        <v>6.92</v>
      </c>
      <c r="U38" s="152">
        <v>54.72</v>
      </c>
      <c r="V38" s="152">
        <v>37.74</v>
      </c>
      <c r="W38" s="152">
        <v>3.1954</v>
      </c>
      <c r="X38" s="152">
        <v>11.22</v>
      </c>
      <c r="Y38" s="152">
        <v>199.0</v>
      </c>
      <c r="Z38" s="152">
        <v>449.0</v>
      </c>
      <c r="AA38" s="152">
        <v>3182.0</v>
      </c>
      <c r="AB38" s="152">
        <v>49.8882</v>
      </c>
      <c r="AC38" s="152">
        <v>0.4998</v>
      </c>
      <c r="AD38" s="153"/>
      <c r="AE38" s="153"/>
      <c r="AF38" s="153"/>
      <c r="AG38" s="153"/>
      <c r="AH38" s="153"/>
      <c r="AI38" s="152">
        <v>0.0</v>
      </c>
      <c r="AJ38" s="152">
        <v>0.0</v>
      </c>
      <c r="AK38" s="152">
        <v>0.0</v>
      </c>
      <c r="AL38" s="152">
        <v>0.5119</v>
      </c>
      <c r="AM38" s="153"/>
      <c r="AQ38" s="76">
        <v>1.604</v>
      </c>
      <c r="AR38" s="76">
        <v>0.0603</v>
      </c>
      <c r="AS38" s="76">
        <v>1.5437</v>
      </c>
      <c r="AT38" s="76">
        <v>1.311</v>
      </c>
      <c r="AU38" s="76">
        <v>0.111</v>
      </c>
      <c r="AV38" s="76">
        <v>5190.0</v>
      </c>
      <c r="AW38" s="76">
        <v>0.0</v>
      </c>
      <c r="AX38" s="76">
        <v>12.89</v>
      </c>
      <c r="AY38" s="76">
        <v>39.25</v>
      </c>
      <c r="AZ38" s="76">
        <v>2.35</v>
      </c>
      <c r="BA38" s="76">
        <v>6.92</v>
      </c>
      <c r="BB38" s="76">
        <v>0.23</v>
      </c>
      <c r="BD38" s="76">
        <v>29150.0</v>
      </c>
      <c r="BE38" s="76">
        <v>0.4784</v>
      </c>
      <c r="BF38" s="76">
        <v>0.0208</v>
      </c>
      <c r="BG38" s="76">
        <v>0.4576</v>
      </c>
      <c r="BH38" s="76">
        <v>0.5048</v>
      </c>
      <c r="BI38" s="76">
        <v>0.0427</v>
      </c>
      <c r="BJ38" s="76">
        <v>1.1256</v>
      </c>
      <c r="BK38" s="76">
        <v>0.0395</v>
      </c>
      <c r="BL38" s="76">
        <v>1.0861</v>
      </c>
      <c r="BM38" s="76">
        <v>0.8062</v>
      </c>
      <c r="BN38" s="76">
        <v>0.0683</v>
      </c>
      <c r="BO38" s="76">
        <v>0.1703</v>
      </c>
      <c r="BP38" s="76">
        <v>0.0079</v>
      </c>
      <c r="BQ38" s="76">
        <v>0.1624</v>
      </c>
      <c r="BR38" s="76">
        <v>0.2</v>
      </c>
      <c r="BS38" s="76">
        <v>0.1775</v>
      </c>
      <c r="BT38" s="76">
        <v>0.0062</v>
      </c>
      <c r="BU38" s="76">
        <v>0.1713</v>
      </c>
      <c r="BV38" s="76">
        <v>0.1817</v>
      </c>
      <c r="BW38" s="76">
        <v>0.1306</v>
      </c>
      <c r="BX38" s="76">
        <v>0.0067</v>
      </c>
      <c r="BY38" s="76">
        <v>0.1239</v>
      </c>
      <c r="BZ38" s="76">
        <v>0.1231</v>
      </c>
      <c r="CA38" s="76">
        <v>0.2495</v>
      </c>
      <c r="CB38" s="76">
        <v>0.0081</v>
      </c>
      <c r="CC38" s="76">
        <v>0.2414</v>
      </c>
      <c r="CD38" s="76">
        <v>0.1973</v>
      </c>
      <c r="CE38" s="76">
        <v>0.41</v>
      </c>
      <c r="CF38" s="76">
        <v>0.0206</v>
      </c>
      <c r="CG38" s="76">
        <v>0.3894</v>
      </c>
      <c r="CH38" s="76">
        <v>0.2651</v>
      </c>
      <c r="CI38" s="76">
        <v>0.4661</v>
      </c>
      <c r="CJ38" s="76">
        <v>0.0108</v>
      </c>
      <c r="CK38" s="76">
        <v>0.4553</v>
      </c>
      <c r="CL38" s="76">
        <v>0.3437</v>
      </c>
      <c r="CM38" s="76">
        <v>136.7</v>
      </c>
      <c r="CN38" s="76">
        <v>17.57</v>
      </c>
      <c r="CO38" s="76">
        <v>777.94</v>
      </c>
      <c r="CP38" s="76">
        <v>109.16</v>
      </c>
      <c r="CQ38" s="76">
        <v>0.0</v>
      </c>
      <c r="CR38" s="76">
        <v>0.92</v>
      </c>
      <c r="CS38" s="76">
        <v>26.62</v>
      </c>
      <c r="CT38" s="76">
        <v>0.0</v>
      </c>
      <c r="CU38" s="76">
        <v>0.0</v>
      </c>
      <c r="CV38" s="76">
        <v>0.0</v>
      </c>
      <c r="CW38" s="76">
        <v>61.64</v>
      </c>
      <c r="CX38" s="76">
        <v>0.0</v>
      </c>
      <c r="CY38" s="76">
        <v>0.0</v>
      </c>
    </row>
    <row r="39" ht="15.75" customHeight="1">
      <c r="A39" s="151">
        <v>46233.0</v>
      </c>
      <c r="B39" s="152" t="s">
        <v>4</v>
      </c>
      <c r="C39" s="152" t="s">
        <v>147</v>
      </c>
      <c r="D39" s="152">
        <v>7640.0</v>
      </c>
      <c r="E39" s="152">
        <v>28.94</v>
      </c>
      <c r="F39" s="152">
        <v>64.7</v>
      </c>
      <c r="G39" s="152">
        <v>0.0085</v>
      </c>
      <c r="H39" s="152">
        <v>0.5</v>
      </c>
      <c r="I39" s="152">
        <v>1.7026</v>
      </c>
      <c r="J39" s="152">
        <v>17.9</v>
      </c>
      <c r="K39" s="152">
        <v>9.57</v>
      </c>
      <c r="L39" s="152">
        <v>4.76</v>
      </c>
      <c r="M39" s="152">
        <v>0.4974</v>
      </c>
      <c r="N39" s="152">
        <v>0.6086</v>
      </c>
      <c r="O39" s="152">
        <v>0.3675</v>
      </c>
      <c r="P39" s="152">
        <v>2.0105</v>
      </c>
      <c r="Q39" s="152">
        <v>37.15</v>
      </c>
      <c r="R39" s="152">
        <v>29.35</v>
      </c>
      <c r="S39" s="152">
        <v>7.8</v>
      </c>
      <c r="T39" s="152">
        <v>1.0</v>
      </c>
      <c r="U39" s="152">
        <v>36.15</v>
      </c>
      <c r="V39" s="152">
        <v>37.63</v>
      </c>
      <c r="W39" s="152">
        <v>3.9315</v>
      </c>
      <c r="X39" s="152">
        <v>2.7</v>
      </c>
      <c r="Y39" s="152">
        <v>200.0</v>
      </c>
      <c r="Z39" s="152">
        <v>322.0</v>
      </c>
      <c r="AA39" s="152">
        <v>1203.0</v>
      </c>
      <c r="AB39" s="152">
        <v>49.7605</v>
      </c>
      <c r="AC39" s="152">
        <v>0.5961</v>
      </c>
      <c r="AD39" s="152">
        <v>3.8</v>
      </c>
      <c r="AE39" s="152">
        <v>1.0</v>
      </c>
      <c r="AF39" s="152">
        <v>3.0</v>
      </c>
      <c r="AG39" s="152">
        <v>5.0</v>
      </c>
      <c r="AH39" s="152">
        <v>8.0</v>
      </c>
      <c r="AI39" s="152">
        <v>73.57</v>
      </c>
      <c r="AJ39" s="152">
        <v>31.74</v>
      </c>
      <c r="AK39" s="152">
        <v>5.42</v>
      </c>
      <c r="AL39" s="152">
        <v>0.5075</v>
      </c>
      <c r="AM39" s="153"/>
      <c r="AQ39" s="76">
        <v>2.0107</v>
      </c>
      <c r="AR39" s="76">
        <v>0.0357</v>
      </c>
      <c r="AS39" s="76">
        <v>1.975</v>
      </c>
      <c r="AT39" s="76">
        <v>1.9501</v>
      </c>
      <c r="AU39" s="76">
        <v>0.2037</v>
      </c>
      <c r="AV39" s="76">
        <v>7640.0</v>
      </c>
      <c r="AW39" s="76">
        <v>0.0</v>
      </c>
      <c r="AX39" s="76">
        <v>26.05</v>
      </c>
      <c r="AY39" s="76">
        <v>7.87</v>
      </c>
      <c r="AZ39" s="76">
        <v>1.83</v>
      </c>
      <c r="BA39" s="76">
        <v>1.0</v>
      </c>
      <c r="BB39" s="76">
        <v>0.39</v>
      </c>
      <c r="BC39" s="76">
        <v>15.0</v>
      </c>
      <c r="BD39" s="76">
        <v>17860.0</v>
      </c>
      <c r="BE39" s="76">
        <v>1.1263</v>
      </c>
      <c r="BF39" s="76">
        <v>0.0243</v>
      </c>
      <c r="BG39" s="76">
        <v>1.102</v>
      </c>
      <c r="BH39" s="76">
        <v>1.064</v>
      </c>
      <c r="BI39" s="76">
        <v>0.1112</v>
      </c>
      <c r="BJ39" s="76">
        <v>0.8844</v>
      </c>
      <c r="BK39" s="76">
        <v>0.0114</v>
      </c>
      <c r="BL39" s="76">
        <v>0.873</v>
      </c>
      <c r="BM39" s="76">
        <v>0.8861</v>
      </c>
      <c r="BN39" s="76">
        <v>0.0926</v>
      </c>
      <c r="BO39" s="76">
        <v>0.4171</v>
      </c>
      <c r="BP39" s="76">
        <v>0.0153</v>
      </c>
      <c r="BQ39" s="76">
        <v>0.4018</v>
      </c>
      <c r="BR39" s="76">
        <v>0.4338</v>
      </c>
      <c r="BS39" s="76">
        <v>0.5291</v>
      </c>
      <c r="BT39" s="76">
        <v>0.0039</v>
      </c>
      <c r="BU39" s="76">
        <v>0.5251</v>
      </c>
      <c r="BV39" s="76">
        <v>0.4255</v>
      </c>
      <c r="BW39" s="76">
        <v>0.1801</v>
      </c>
      <c r="BX39" s="76">
        <v>0.0051</v>
      </c>
      <c r="BY39" s="76">
        <v>0.175</v>
      </c>
      <c r="BZ39" s="76">
        <v>0.2047</v>
      </c>
      <c r="CA39" s="76">
        <v>0.1153</v>
      </c>
      <c r="CB39" s="76">
        <v>7.0E-4</v>
      </c>
      <c r="CC39" s="76">
        <v>0.1147</v>
      </c>
      <c r="CD39" s="76">
        <v>0.1457</v>
      </c>
      <c r="CE39" s="76">
        <v>0.4359</v>
      </c>
      <c r="CF39" s="76">
        <v>0.0065</v>
      </c>
      <c r="CG39" s="76">
        <v>0.4293</v>
      </c>
      <c r="CH39" s="76">
        <v>0.4056</v>
      </c>
      <c r="CI39" s="76">
        <v>0.3332</v>
      </c>
      <c r="CJ39" s="76">
        <v>0.0042</v>
      </c>
      <c r="CK39" s="76">
        <v>0.3291</v>
      </c>
      <c r="CL39" s="76">
        <v>0.3348</v>
      </c>
      <c r="CM39" s="76">
        <v>49.91</v>
      </c>
      <c r="CN39" s="76">
        <v>52.66</v>
      </c>
      <c r="CO39" s="76">
        <v>94.78</v>
      </c>
      <c r="CP39" s="76">
        <v>45.25</v>
      </c>
      <c r="CQ39" s="76">
        <v>0.0</v>
      </c>
      <c r="CR39" s="76">
        <v>1.32</v>
      </c>
      <c r="CS39" s="76">
        <v>3.33</v>
      </c>
      <c r="CT39" s="76">
        <v>0.0</v>
      </c>
      <c r="CU39" s="76">
        <v>0.0</v>
      </c>
      <c r="CV39" s="76">
        <v>0.0</v>
      </c>
      <c r="CW39" s="76">
        <v>37.15</v>
      </c>
      <c r="CX39" s="76">
        <v>0.0</v>
      </c>
      <c r="CY39" s="76">
        <v>0.0</v>
      </c>
    </row>
    <row r="40" ht="15.75" customHeight="1">
      <c r="A40" s="151">
        <v>46233.0</v>
      </c>
      <c r="B40" s="152" t="s">
        <v>4</v>
      </c>
      <c r="C40" s="152" t="s">
        <v>148</v>
      </c>
      <c r="D40" s="152">
        <v>5628.0</v>
      </c>
      <c r="E40" s="152">
        <v>21.32</v>
      </c>
      <c r="F40" s="152">
        <v>325.92</v>
      </c>
      <c r="G40" s="152">
        <v>0.0579</v>
      </c>
      <c r="H40" s="152">
        <v>1.58</v>
      </c>
      <c r="I40" s="152">
        <v>3.662</v>
      </c>
      <c r="J40" s="152">
        <v>36.22</v>
      </c>
      <c r="K40" s="152">
        <v>20.18</v>
      </c>
      <c r="L40" s="152">
        <v>13.1</v>
      </c>
      <c r="M40" s="152">
        <v>0.649</v>
      </c>
      <c r="N40" s="152">
        <v>0.4754</v>
      </c>
      <c r="O40" s="152">
        <v>0.294</v>
      </c>
      <c r="P40" s="152">
        <v>1.5408</v>
      </c>
      <c r="Q40" s="152">
        <v>92.15</v>
      </c>
      <c r="R40" s="152">
        <v>67.42</v>
      </c>
      <c r="S40" s="152">
        <v>24.73</v>
      </c>
      <c r="T40" s="152">
        <v>4.8</v>
      </c>
      <c r="U40" s="152">
        <v>87.35</v>
      </c>
      <c r="V40" s="152">
        <v>85.32</v>
      </c>
      <c r="W40" s="152">
        <v>4.2286</v>
      </c>
      <c r="X40" s="152">
        <v>5.21</v>
      </c>
      <c r="Y40" s="152">
        <v>240.0</v>
      </c>
      <c r="Z40" s="152">
        <v>402.0</v>
      </c>
      <c r="AA40" s="152">
        <v>1195.0</v>
      </c>
      <c r="AB40" s="152">
        <v>51.8577</v>
      </c>
      <c r="AC40" s="152">
        <v>0.7084</v>
      </c>
      <c r="AD40" s="152">
        <v>9.5</v>
      </c>
      <c r="AE40" s="152">
        <v>4.0</v>
      </c>
      <c r="AF40" s="152">
        <v>8.0</v>
      </c>
      <c r="AG40" s="152">
        <v>13.0</v>
      </c>
      <c r="AH40" s="152">
        <v>19.0</v>
      </c>
      <c r="AI40" s="152">
        <v>64.13</v>
      </c>
      <c r="AJ40" s="152">
        <v>27.9</v>
      </c>
      <c r="AK40" s="152">
        <v>3.23</v>
      </c>
      <c r="AL40" s="152">
        <v>0.3868</v>
      </c>
      <c r="AM40" s="153"/>
      <c r="AQ40" s="76">
        <v>4.9684</v>
      </c>
      <c r="AR40" s="76">
        <v>0.1103</v>
      </c>
      <c r="AS40" s="76">
        <v>4.858</v>
      </c>
      <c r="AT40" s="76">
        <v>4.1811</v>
      </c>
      <c r="AU40" s="76">
        <v>0.2072</v>
      </c>
      <c r="AV40" s="76">
        <v>5628.0</v>
      </c>
      <c r="AW40" s="76">
        <v>0.0</v>
      </c>
      <c r="AX40" s="76">
        <v>56.8</v>
      </c>
      <c r="AY40" s="76">
        <v>26.64</v>
      </c>
      <c r="AZ40" s="76">
        <v>2.61</v>
      </c>
      <c r="BA40" s="76">
        <v>4.8</v>
      </c>
      <c r="BB40" s="76">
        <v>1.3</v>
      </c>
      <c r="BC40" s="76">
        <v>36.0</v>
      </c>
      <c r="BD40" s="76">
        <v>21005.0</v>
      </c>
      <c r="BE40" s="76">
        <v>2.8797</v>
      </c>
      <c r="BF40" s="76">
        <v>0.0762</v>
      </c>
      <c r="BG40" s="76">
        <v>2.8035</v>
      </c>
      <c r="BH40" s="76">
        <v>2.202</v>
      </c>
      <c r="BI40" s="76">
        <v>0.1091</v>
      </c>
      <c r="BJ40" s="76">
        <v>2.0887</v>
      </c>
      <c r="BK40" s="76">
        <v>0.0341</v>
      </c>
      <c r="BL40" s="76">
        <v>2.0545</v>
      </c>
      <c r="BM40" s="76">
        <v>1.979</v>
      </c>
      <c r="BN40" s="76">
        <v>0.0981</v>
      </c>
      <c r="BO40" s="76">
        <v>1.0739</v>
      </c>
      <c r="BP40" s="76">
        <v>0.0211</v>
      </c>
      <c r="BQ40" s="76">
        <v>1.0528</v>
      </c>
      <c r="BR40" s="76">
        <v>0.8699</v>
      </c>
      <c r="BS40" s="76">
        <v>1.2752</v>
      </c>
      <c r="BT40" s="76">
        <v>0.0153</v>
      </c>
      <c r="BU40" s="76">
        <v>1.26</v>
      </c>
      <c r="BV40" s="76">
        <v>0.8772</v>
      </c>
      <c r="BW40" s="76">
        <v>0.5306</v>
      </c>
      <c r="BX40" s="76">
        <v>0.0398</v>
      </c>
      <c r="BY40" s="76">
        <v>0.4908</v>
      </c>
      <c r="BZ40" s="76">
        <v>0.4549</v>
      </c>
      <c r="CA40" s="76">
        <v>0.3225</v>
      </c>
      <c r="CB40" s="76">
        <v>0.0073</v>
      </c>
      <c r="CC40" s="76">
        <v>0.3152</v>
      </c>
      <c r="CD40" s="76">
        <v>0.3779</v>
      </c>
      <c r="CE40" s="76">
        <v>0.9042</v>
      </c>
      <c r="CF40" s="76">
        <v>0.0158</v>
      </c>
      <c r="CG40" s="76">
        <v>0.8884</v>
      </c>
      <c r="CH40" s="76">
        <v>0.8303</v>
      </c>
      <c r="CI40" s="76">
        <v>0.8619</v>
      </c>
      <c r="CJ40" s="76">
        <v>0.011</v>
      </c>
      <c r="CK40" s="76">
        <v>0.8509</v>
      </c>
      <c r="CL40" s="76">
        <v>0.7708</v>
      </c>
      <c r="CM40" s="76">
        <v>142.47</v>
      </c>
      <c r="CN40" s="76">
        <v>68.51</v>
      </c>
      <c r="CO40" s="76">
        <v>207.94</v>
      </c>
      <c r="CP40" s="76">
        <v>123.89</v>
      </c>
      <c r="CQ40" s="76">
        <v>0.0</v>
      </c>
      <c r="CR40" s="76">
        <v>1.95</v>
      </c>
      <c r="CS40" s="76">
        <v>16.63</v>
      </c>
      <c r="CT40" s="76">
        <v>0.0</v>
      </c>
      <c r="CU40" s="76">
        <v>0.0</v>
      </c>
      <c r="CV40" s="76">
        <v>0.0</v>
      </c>
      <c r="CW40" s="76">
        <v>92.15</v>
      </c>
      <c r="CX40" s="76">
        <v>0.0</v>
      </c>
      <c r="CY40" s="76">
        <v>0.0</v>
      </c>
    </row>
    <row r="41" ht="15.75" customHeight="1">
      <c r="A41" s="151">
        <v>46233.0</v>
      </c>
      <c r="B41" s="152" t="s">
        <v>4</v>
      </c>
      <c r="C41" s="152" t="s">
        <v>149</v>
      </c>
      <c r="D41" s="152">
        <v>4497.0</v>
      </c>
      <c r="E41" s="152">
        <v>17.04</v>
      </c>
      <c r="F41" s="152">
        <v>590.12</v>
      </c>
      <c r="G41" s="152">
        <v>0.1312</v>
      </c>
      <c r="H41" s="152">
        <v>2.56</v>
      </c>
      <c r="I41" s="152">
        <v>5.1315</v>
      </c>
      <c r="J41" s="152">
        <v>55.96</v>
      </c>
      <c r="K41" s="152">
        <v>33.19</v>
      </c>
      <c r="L41" s="152">
        <v>24.26</v>
      </c>
      <c r="M41" s="152">
        <v>0.7311</v>
      </c>
      <c r="N41" s="152">
        <v>0.3879</v>
      </c>
      <c r="O41" s="152">
        <v>0.2548</v>
      </c>
      <c r="P41" s="152">
        <v>1.3678</v>
      </c>
      <c r="Q41" s="152">
        <v>175.73</v>
      </c>
      <c r="R41" s="152">
        <v>126.52</v>
      </c>
      <c r="S41" s="152">
        <v>49.21</v>
      </c>
      <c r="T41" s="152">
        <v>11.7</v>
      </c>
      <c r="U41" s="152">
        <v>164.03</v>
      </c>
      <c r="V41" s="152">
        <v>163.61</v>
      </c>
      <c r="W41" s="152">
        <v>4.9295</v>
      </c>
      <c r="X41" s="152">
        <v>6.66</v>
      </c>
      <c r="Y41" s="152">
        <v>282.0</v>
      </c>
      <c r="Z41" s="152">
        <v>468.0</v>
      </c>
      <c r="AA41" s="152">
        <v>1120.0</v>
      </c>
      <c r="AB41" s="152">
        <v>53.1917</v>
      </c>
      <c r="AC41" s="152">
        <v>0.7763</v>
      </c>
      <c r="AD41" s="152">
        <v>16.44</v>
      </c>
      <c r="AE41" s="152">
        <v>6.0</v>
      </c>
      <c r="AF41" s="152">
        <v>13.0</v>
      </c>
      <c r="AG41" s="152">
        <v>23.0</v>
      </c>
      <c r="AH41" s="152">
        <v>34.0</v>
      </c>
      <c r="AI41" s="152">
        <v>57.99</v>
      </c>
      <c r="AJ41" s="152">
        <v>20.66</v>
      </c>
      <c r="AK41" s="152">
        <v>4.94</v>
      </c>
      <c r="AL41" s="152">
        <v>0.318</v>
      </c>
      <c r="AM41" s="153"/>
      <c r="AQ41" s="76">
        <v>8.7392</v>
      </c>
      <c r="AR41" s="76">
        <v>0.366</v>
      </c>
      <c r="AS41" s="76">
        <v>8.3731</v>
      </c>
      <c r="AT41" s="76">
        <v>7.0925</v>
      </c>
      <c r="AU41" s="76">
        <v>0.2137</v>
      </c>
      <c r="AV41" s="76">
        <v>4497.0</v>
      </c>
      <c r="AW41" s="76">
        <v>0.0</v>
      </c>
      <c r="AX41" s="76">
        <v>101.12</v>
      </c>
      <c r="AY41" s="76">
        <v>58.02</v>
      </c>
      <c r="AZ41" s="76">
        <v>2.48</v>
      </c>
      <c r="BA41" s="76">
        <v>11.7</v>
      </c>
      <c r="BB41" s="76">
        <v>2.41</v>
      </c>
      <c r="BC41" s="76">
        <v>61.0</v>
      </c>
      <c r="BD41" s="76">
        <v>17897.0</v>
      </c>
      <c r="BE41" s="76">
        <v>4.9242</v>
      </c>
      <c r="BF41" s="76">
        <v>0.2722</v>
      </c>
      <c r="BG41" s="76">
        <v>4.652</v>
      </c>
      <c r="BH41" s="76">
        <v>3.5239</v>
      </c>
      <c r="BI41" s="76">
        <v>0.1062</v>
      </c>
      <c r="BJ41" s="76">
        <v>3.815</v>
      </c>
      <c r="BK41" s="76">
        <v>0.0938</v>
      </c>
      <c r="BL41" s="76">
        <v>3.7211</v>
      </c>
      <c r="BM41" s="76">
        <v>3.5686</v>
      </c>
      <c r="BN41" s="76">
        <v>0.1075</v>
      </c>
      <c r="BO41" s="76">
        <v>1.8303</v>
      </c>
      <c r="BP41" s="76">
        <v>0.0825</v>
      </c>
      <c r="BQ41" s="76">
        <v>1.7478</v>
      </c>
      <c r="BR41" s="76">
        <v>1.3273</v>
      </c>
      <c r="BS41" s="76">
        <v>2.1256</v>
      </c>
      <c r="BT41" s="76">
        <v>0.0798</v>
      </c>
      <c r="BU41" s="76">
        <v>2.0458</v>
      </c>
      <c r="BV41" s="76">
        <v>1.447</v>
      </c>
      <c r="BW41" s="76">
        <v>0.9682</v>
      </c>
      <c r="BX41" s="76">
        <v>0.1099</v>
      </c>
      <c r="BY41" s="76">
        <v>0.8584</v>
      </c>
      <c r="BZ41" s="76">
        <v>0.7496</v>
      </c>
      <c r="CA41" s="76">
        <v>0.6613</v>
      </c>
      <c r="CB41" s="76">
        <v>0.0247</v>
      </c>
      <c r="CC41" s="76">
        <v>0.6366</v>
      </c>
      <c r="CD41" s="76">
        <v>0.775</v>
      </c>
      <c r="CE41" s="76">
        <v>1.4928</v>
      </c>
      <c r="CF41" s="76">
        <v>0.0342</v>
      </c>
      <c r="CG41" s="76">
        <v>1.4585</v>
      </c>
      <c r="CH41" s="76">
        <v>1.3053</v>
      </c>
      <c r="CI41" s="76">
        <v>1.6609</v>
      </c>
      <c r="CJ41" s="76">
        <v>0.0349</v>
      </c>
      <c r="CK41" s="76">
        <v>1.626</v>
      </c>
      <c r="CL41" s="76">
        <v>1.4883</v>
      </c>
      <c r="CM41" s="76">
        <v>276.47</v>
      </c>
      <c r="CN41" s="76">
        <v>83.37</v>
      </c>
      <c r="CO41" s="76">
        <v>331.63</v>
      </c>
      <c r="CP41" s="76">
        <v>237.68</v>
      </c>
      <c r="CQ41" s="76">
        <v>0.03</v>
      </c>
      <c r="CR41" s="76">
        <v>3.73</v>
      </c>
      <c r="CS41" s="76">
        <v>35.03</v>
      </c>
      <c r="CT41" s="76">
        <v>0.0</v>
      </c>
      <c r="CU41" s="76">
        <v>1.0</v>
      </c>
      <c r="CV41" s="76">
        <v>0.0</v>
      </c>
      <c r="CW41" s="76">
        <v>175.73</v>
      </c>
      <c r="CX41" s="76">
        <v>0.0</v>
      </c>
      <c r="CY41" s="76">
        <v>0.03</v>
      </c>
    </row>
    <row r="42" ht="15.75" customHeight="1">
      <c r="A42" s="151">
        <v>46233.0</v>
      </c>
      <c r="B42" s="152" t="s">
        <v>4</v>
      </c>
      <c r="C42" s="152" t="s">
        <v>150</v>
      </c>
      <c r="D42" s="152">
        <v>3018.0</v>
      </c>
      <c r="E42" s="152">
        <v>11.43</v>
      </c>
      <c r="F42" s="152">
        <v>456.9</v>
      </c>
      <c r="G42" s="152">
        <v>0.1514</v>
      </c>
      <c r="H42" s="152">
        <v>3.21</v>
      </c>
      <c r="I42" s="152">
        <v>4.7103</v>
      </c>
      <c r="J42" s="152">
        <v>109.86</v>
      </c>
      <c r="K42" s="152">
        <v>68.45</v>
      </c>
      <c r="L42" s="152">
        <v>52.18</v>
      </c>
      <c r="M42" s="152">
        <v>0.7623</v>
      </c>
      <c r="N42" s="152">
        <v>0.3487</v>
      </c>
      <c r="O42" s="152">
        <v>0.2334</v>
      </c>
      <c r="P42" s="152">
        <v>1.3118</v>
      </c>
      <c r="Q42" s="152">
        <v>365.34</v>
      </c>
      <c r="R42" s="152">
        <v>257.14</v>
      </c>
      <c r="S42" s="152">
        <v>108.2</v>
      </c>
      <c r="T42" s="152">
        <v>16.29</v>
      </c>
      <c r="U42" s="152">
        <v>349.05</v>
      </c>
      <c r="V42" s="152">
        <v>336.86</v>
      </c>
      <c r="W42" s="152">
        <v>4.9212</v>
      </c>
      <c r="X42" s="152">
        <v>4.46</v>
      </c>
      <c r="Y42" s="152">
        <v>373.0</v>
      </c>
      <c r="Z42" s="152">
        <v>665.0</v>
      </c>
      <c r="AA42" s="152">
        <v>1609.0</v>
      </c>
      <c r="AB42" s="152">
        <v>55.4082</v>
      </c>
      <c r="AC42" s="152">
        <v>0.7809</v>
      </c>
      <c r="AD42" s="152">
        <v>30.22</v>
      </c>
      <c r="AE42" s="152">
        <v>11.0</v>
      </c>
      <c r="AF42" s="152">
        <v>22.0</v>
      </c>
      <c r="AG42" s="152">
        <v>42.0</v>
      </c>
      <c r="AH42" s="152">
        <v>64.0</v>
      </c>
      <c r="AI42" s="152">
        <v>41.92</v>
      </c>
      <c r="AJ42" s="152">
        <v>12.26</v>
      </c>
      <c r="AK42" s="152">
        <v>2.49</v>
      </c>
      <c r="AL42" s="152">
        <v>0.1915</v>
      </c>
      <c r="AM42" s="153"/>
      <c r="AQ42" s="76">
        <v>15.8032</v>
      </c>
      <c r="AR42" s="76">
        <v>0.6064</v>
      </c>
      <c r="AS42" s="76">
        <v>15.1968</v>
      </c>
      <c r="AT42" s="76">
        <v>12.7727</v>
      </c>
      <c r="AU42" s="76">
        <v>0.1866</v>
      </c>
      <c r="AV42" s="76">
        <v>3018.0</v>
      </c>
      <c r="AW42" s="76">
        <v>0.0</v>
      </c>
      <c r="AX42" s="76">
        <v>197.79</v>
      </c>
      <c r="AY42" s="76">
        <v>142.26</v>
      </c>
      <c r="AZ42" s="76">
        <v>3.68</v>
      </c>
      <c r="BA42" s="76">
        <v>16.29</v>
      </c>
      <c r="BB42" s="76">
        <v>5.32</v>
      </c>
      <c r="BC42" s="76">
        <v>126.0</v>
      </c>
      <c r="BD42" s="76">
        <v>14688.0</v>
      </c>
      <c r="BE42" s="76">
        <v>8.8002</v>
      </c>
      <c r="BF42" s="76">
        <v>0.4622</v>
      </c>
      <c r="BG42" s="76">
        <v>8.338</v>
      </c>
      <c r="BH42" s="76">
        <v>6.1375</v>
      </c>
      <c r="BI42" s="76">
        <v>0.0897</v>
      </c>
      <c r="BJ42" s="76">
        <v>7.003</v>
      </c>
      <c r="BK42" s="76">
        <v>0.1441</v>
      </c>
      <c r="BL42" s="76">
        <v>6.8588</v>
      </c>
      <c r="BM42" s="76">
        <v>6.6352</v>
      </c>
      <c r="BN42" s="76">
        <v>0.0969</v>
      </c>
      <c r="BO42" s="76">
        <v>3.4347</v>
      </c>
      <c r="BP42" s="76">
        <v>0.1325</v>
      </c>
      <c r="BQ42" s="76">
        <v>3.3022</v>
      </c>
      <c r="BR42" s="76">
        <v>2.3824</v>
      </c>
      <c r="BS42" s="76">
        <v>3.721</v>
      </c>
      <c r="BT42" s="76">
        <v>0.1484</v>
      </c>
      <c r="BU42" s="76">
        <v>3.5726</v>
      </c>
      <c r="BV42" s="76">
        <v>2.5149</v>
      </c>
      <c r="BW42" s="76">
        <v>1.6445</v>
      </c>
      <c r="BX42" s="76">
        <v>0.1812</v>
      </c>
      <c r="BY42" s="76">
        <v>1.4632</v>
      </c>
      <c r="BZ42" s="76">
        <v>1.2402</v>
      </c>
      <c r="CA42" s="76">
        <v>1.4264</v>
      </c>
      <c r="CB42" s="76">
        <v>0.0461</v>
      </c>
      <c r="CC42" s="76">
        <v>1.3804</v>
      </c>
      <c r="CD42" s="76">
        <v>1.4645</v>
      </c>
      <c r="CE42" s="76">
        <v>2.4254</v>
      </c>
      <c r="CF42" s="76">
        <v>0.059</v>
      </c>
      <c r="CG42" s="76">
        <v>2.3665</v>
      </c>
      <c r="CH42" s="76">
        <v>2.3486</v>
      </c>
      <c r="CI42" s="76">
        <v>3.1511</v>
      </c>
      <c r="CJ42" s="76">
        <v>0.0391</v>
      </c>
      <c r="CK42" s="76">
        <v>3.112</v>
      </c>
      <c r="CL42" s="76">
        <v>2.8221</v>
      </c>
      <c r="CM42" s="76">
        <v>638.57</v>
      </c>
      <c r="CN42" s="76">
        <v>94.3</v>
      </c>
      <c r="CO42" s="76">
        <v>677.16</v>
      </c>
      <c r="CP42" s="76">
        <v>557.68</v>
      </c>
      <c r="CQ42" s="76">
        <v>0.04</v>
      </c>
      <c r="CR42" s="76">
        <v>5.49</v>
      </c>
      <c r="CS42" s="76">
        <v>75.36</v>
      </c>
      <c r="CT42" s="76">
        <v>0.0</v>
      </c>
      <c r="CU42" s="76">
        <v>1.0</v>
      </c>
      <c r="CV42" s="76">
        <v>0.0</v>
      </c>
      <c r="CW42" s="76">
        <v>365.34</v>
      </c>
      <c r="CX42" s="76">
        <v>0.0</v>
      </c>
      <c r="CY42" s="76">
        <v>0.04</v>
      </c>
    </row>
    <row r="43" ht="15.75" customHeight="1">
      <c r="A43" s="151">
        <v>46233.0</v>
      </c>
      <c r="B43" s="152" t="s">
        <v>4</v>
      </c>
      <c r="C43" s="152" t="s">
        <v>151</v>
      </c>
      <c r="D43" s="152">
        <v>425.0</v>
      </c>
      <c r="E43" s="152">
        <v>1.61</v>
      </c>
      <c r="F43" s="152">
        <v>188.83</v>
      </c>
      <c r="G43" s="152">
        <v>0.4443</v>
      </c>
      <c r="H43" s="152">
        <v>5.65</v>
      </c>
      <c r="I43" s="152">
        <v>7.8679</v>
      </c>
      <c r="J43" s="152">
        <v>236.39</v>
      </c>
      <c r="K43" s="152">
        <v>162.23</v>
      </c>
      <c r="L43" s="152">
        <v>126.8</v>
      </c>
      <c r="M43" s="152">
        <v>0.7816</v>
      </c>
      <c r="N43" s="152">
        <v>0.3095</v>
      </c>
      <c r="O43" s="152">
        <v>0.2045</v>
      </c>
      <c r="P43" s="152">
        <v>1.2794</v>
      </c>
      <c r="Q43" s="152">
        <v>775.43</v>
      </c>
      <c r="R43" s="152">
        <v>509.07</v>
      </c>
      <c r="S43" s="152">
        <v>266.36</v>
      </c>
      <c r="T43" s="152">
        <v>40.35</v>
      </c>
      <c r="U43" s="152">
        <v>735.08</v>
      </c>
      <c r="V43" s="152">
        <v>670.47</v>
      </c>
      <c r="W43" s="152">
        <v>4.1329</v>
      </c>
      <c r="X43" s="152">
        <v>5.2</v>
      </c>
      <c r="Y43" s="152">
        <v>532.0</v>
      </c>
      <c r="Z43" s="152">
        <v>897.0</v>
      </c>
      <c r="AA43" s="152">
        <v>1657.0</v>
      </c>
      <c r="AB43" s="152">
        <v>59.0346</v>
      </c>
      <c r="AC43" s="152">
        <v>0.8032</v>
      </c>
      <c r="AD43" s="152">
        <v>61.37</v>
      </c>
      <c r="AE43" s="152">
        <v>23.0</v>
      </c>
      <c r="AF43" s="152">
        <v>44.0</v>
      </c>
      <c r="AG43" s="152">
        <v>87.0</v>
      </c>
      <c r="AH43" s="152">
        <v>131.0</v>
      </c>
      <c r="AI43" s="152">
        <v>28.71</v>
      </c>
      <c r="AJ43" s="152">
        <v>4.24</v>
      </c>
      <c r="AK43" s="152">
        <v>0.71</v>
      </c>
      <c r="AL43" s="152">
        <v>0.1224</v>
      </c>
      <c r="AM43" s="153"/>
      <c r="AQ43" s="76">
        <v>32.6871</v>
      </c>
      <c r="AR43" s="76">
        <v>0.68</v>
      </c>
      <c r="AS43" s="76">
        <v>32.0071</v>
      </c>
      <c r="AT43" s="76">
        <v>27.8471</v>
      </c>
      <c r="AU43" s="76">
        <v>0.1717</v>
      </c>
      <c r="AV43" s="76">
        <v>425.0</v>
      </c>
      <c r="AW43" s="76">
        <v>0.0</v>
      </c>
      <c r="AX43" s="76">
        <v>438.39</v>
      </c>
      <c r="AY43" s="76">
        <v>278.56</v>
      </c>
      <c r="AZ43" s="76">
        <v>5.74</v>
      </c>
      <c r="BA43" s="76">
        <v>40.35</v>
      </c>
      <c r="BB43" s="76">
        <v>12.38</v>
      </c>
      <c r="BC43" s="76">
        <v>237.0</v>
      </c>
      <c r="BD43" s="76">
        <v>17169.0</v>
      </c>
      <c r="BE43" s="76">
        <v>18.3294</v>
      </c>
      <c r="BF43" s="76">
        <v>0.2894</v>
      </c>
      <c r="BG43" s="76">
        <v>18.04</v>
      </c>
      <c r="BH43" s="76">
        <v>13.1153</v>
      </c>
      <c r="BI43" s="76">
        <v>0.0808</v>
      </c>
      <c r="BJ43" s="76">
        <v>14.3576</v>
      </c>
      <c r="BK43" s="76">
        <v>0.3906</v>
      </c>
      <c r="BL43" s="76">
        <v>13.9671</v>
      </c>
      <c r="BM43" s="76">
        <v>14.7318</v>
      </c>
      <c r="BN43" s="76">
        <v>0.0908</v>
      </c>
      <c r="BO43" s="76">
        <v>7.2306</v>
      </c>
      <c r="BP43" s="76">
        <v>0.0824</v>
      </c>
      <c r="BQ43" s="76">
        <v>7.1482</v>
      </c>
      <c r="BR43" s="76">
        <v>5.0753</v>
      </c>
      <c r="BS43" s="76">
        <v>7.8424</v>
      </c>
      <c r="BT43" s="76">
        <v>0.0894</v>
      </c>
      <c r="BU43" s="76">
        <v>7.7529</v>
      </c>
      <c r="BV43" s="76">
        <v>5.3788</v>
      </c>
      <c r="BW43" s="76">
        <v>3.2565</v>
      </c>
      <c r="BX43" s="76">
        <v>0.1176</v>
      </c>
      <c r="BY43" s="76">
        <v>3.1388</v>
      </c>
      <c r="BZ43" s="76">
        <v>2.6612</v>
      </c>
      <c r="CA43" s="76">
        <v>3.3459</v>
      </c>
      <c r="CB43" s="76">
        <v>0.1012</v>
      </c>
      <c r="CC43" s="76">
        <v>3.2447</v>
      </c>
      <c r="CD43" s="76">
        <v>3.5529</v>
      </c>
      <c r="CE43" s="76">
        <v>5.0165</v>
      </c>
      <c r="CF43" s="76">
        <v>0.1835</v>
      </c>
      <c r="CG43" s="76">
        <v>4.8329</v>
      </c>
      <c r="CH43" s="76">
        <v>5.2988</v>
      </c>
      <c r="CI43" s="76">
        <v>5.9953</v>
      </c>
      <c r="CJ43" s="76">
        <v>0.1059</v>
      </c>
      <c r="CK43" s="76">
        <v>5.8894</v>
      </c>
      <c r="CL43" s="76">
        <v>5.88</v>
      </c>
      <c r="CM43" s="76">
        <v>1554.07</v>
      </c>
      <c r="CN43" s="76">
        <v>97.18</v>
      </c>
      <c r="CO43" s="76">
        <v>1599.23</v>
      </c>
      <c r="CP43" s="76">
        <v>1404.95</v>
      </c>
      <c r="CQ43" s="76">
        <v>0.0</v>
      </c>
      <c r="CR43" s="76">
        <v>7.25</v>
      </c>
      <c r="CS43" s="76">
        <v>141.87</v>
      </c>
      <c r="CT43" s="76">
        <v>0.0</v>
      </c>
      <c r="CU43" s="76">
        <v>0.0</v>
      </c>
      <c r="CV43" s="76">
        <v>0.0</v>
      </c>
      <c r="CW43" s="76">
        <v>775.43</v>
      </c>
      <c r="CX43" s="76">
        <v>0.0</v>
      </c>
      <c r="CY43" s="76">
        <v>0.0</v>
      </c>
    </row>
    <row r="44" ht="15.75" customHeight="1">
      <c r="A44" s="151">
        <v>46233.0</v>
      </c>
      <c r="B44" s="152" t="s">
        <v>5</v>
      </c>
      <c r="C44" s="152" t="s">
        <v>316</v>
      </c>
      <c r="D44" s="152">
        <v>5019.0</v>
      </c>
      <c r="E44" s="152">
        <v>19.43</v>
      </c>
      <c r="F44" s="152">
        <v>297.67</v>
      </c>
      <c r="G44" s="152">
        <v>0.0593</v>
      </c>
      <c r="H44" s="152">
        <v>1.22</v>
      </c>
      <c r="I44" s="152">
        <v>4.8798</v>
      </c>
      <c r="J44" s="152">
        <v>23.51</v>
      </c>
      <c r="K44" s="152">
        <v>12.82</v>
      </c>
      <c r="L44" s="152">
        <v>8.86</v>
      </c>
      <c r="M44" s="152">
        <v>0.6913</v>
      </c>
      <c r="N44" s="152">
        <v>0.4296</v>
      </c>
      <c r="O44" s="152">
        <v>0.2186</v>
      </c>
      <c r="P44" s="152">
        <v>1.4466</v>
      </c>
      <c r="Q44" s="152">
        <v>56.1</v>
      </c>
      <c r="R44" s="152">
        <v>56.04</v>
      </c>
      <c r="S44" s="152">
        <v>0.07</v>
      </c>
      <c r="T44" s="152">
        <v>5.42</v>
      </c>
      <c r="U44" s="152">
        <v>50.68</v>
      </c>
      <c r="V44" s="152">
        <v>42.56</v>
      </c>
      <c r="W44" s="152">
        <v>3.3209</v>
      </c>
      <c r="X44" s="152">
        <v>9.66</v>
      </c>
      <c r="Y44" s="152">
        <v>200.0</v>
      </c>
      <c r="Z44" s="152">
        <v>393.0</v>
      </c>
      <c r="AA44" s="152">
        <v>2835.0</v>
      </c>
      <c r="AB44" s="152">
        <v>49.5673</v>
      </c>
      <c r="AC44" s="152">
        <v>0.4847</v>
      </c>
      <c r="AD44" s="153"/>
      <c r="AE44" s="153"/>
      <c r="AF44" s="153"/>
      <c r="AG44" s="153"/>
      <c r="AH44" s="153"/>
      <c r="AI44" s="152">
        <v>0.0</v>
      </c>
      <c r="AJ44" s="152">
        <v>0.0</v>
      </c>
      <c r="AK44" s="152">
        <v>0.0</v>
      </c>
      <c r="AL44" s="152">
        <v>0.5304</v>
      </c>
      <c r="AM44" s="152">
        <v>9.82</v>
      </c>
      <c r="AN44" s="76">
        <v>9.82</v>
      </c>
      <c r="AO44" s="76">
        <v>5.48</v>
      </c>
      <c r="AP44" s="76">
        <v>3.21</v>
      </c>
      <c r="AQ44" s="76">
        <v>5.8344</v>
      </c>
      <c r="AR44" s="76">
        <v>0.0412</v>
      </c>
      <c r="AS44" s="76">
        <v>5.7932</v>
      </c>
      <c r="AT44" s="76">
        <v>1.8848</v>
      </c>
      <c r="AU44" s="76">
        <v>0.1471</v>
      </c>
      <c r="AV44" s="76">
        <v>5019.0</v>
      </c>
      <c r="AW44" s="76">
        <v>0.0</v>
      </c>
      <c r="AX44" s="76">
        <v>8.67</v>
      </c>
      <c r="AY44" s="76">
        <v>39.2</v>
      </c>
      <c r="AZ44" s="76">
        <v>2.6</v>
      </c>
      <c r="BA44" s="76">
        <v>5.42</v>
      </c>
      <c r="BB44" s="76">
        <v>0.22</v>
      </c>
      <c r="BD44" s="76">
        <v>25805.0</v>
      </c>
      <c r="BE44" s="76">
        <v>0.7703</v>
      </c>
      <c r="BF44" s="76">
        <v>0.0137</v>
      </c>
      <c r="BG44" s="76">
        <v>0.7565</v>
      </c>
      <c r="BH44" s="76">
        <v>0.7737</v>
      </c>
      <c r="BI44" s="76">
        <v>0.0604</v>
      </c>
      <c r="BJ44" s="76">
        <v>5.0642</v>
      </c>
      <c r="BK44" s="76">
        <v>0.0275</v>
      </c>
      <c r="BL44" s="76">
        <v>5.0367</v>
      </c>
      <c r="BM44" s="76">
        <v>1.1112</v>
      </c>
      <c r="BN44" s="76">
        <v>0.0867</v>
      </c>
      <c r="BO44" s="76">
        <v>0.2781</v>
      </c>
      <c r="BP44" s="76">
        <v>0.0052</v>
      </c>
      <c r="BQ44" s="76">
        <v>0.273</v>
      </c>
      <c r="BR44" s="76">
        <v>0.3005</v>
      </c>
      <c r="BS44" s="76">
        <v>0.268</v>
      </c>
      <c r="BT44" s="76">
        <v>0.0046</v>
      </c>
      <c r="BU44" s="76">
        <v>0.2634</v>
      </c>
      <c r="BV44" s="76">
        <v>0.2638</v>
      </c>
      <c r="BW44" s="76">
        <v>0.2241</v>
      </c>
      <c r="BX44" s="76">
        <v>0.004</v>
      </c>
      <c r="BY44" s="76">
        <v>0.2202</v>
      </c>
      <c r="BZ44" s="76">
        <v>0.2094</v>
      </c>
      <c r="CA44" s="76">
        <v>1.5324</v>
      </c>
      <c r="CB44" s="76">
        <v>0.0058</v>
      </c>
      <c r="CC44" s="76">
        <v>1.5266</v>
      </c>
      <c r="CD44" s="76">
        <v>0.3054</v>
      </c>
      <c r="CE44" s="76">
        <v>1.8103</v>
      </c>
      <c r="CF44" s="76">
        <v>0.0112</v>
      </c>
      <c r="CG44" s="76">
        <v>1.7992</v>
      </c>
      <c r="CH44" s="76">
        <v>0.374</v>
      </c>
      <c r="CI44" s="76">
        <v>1.7215</v>
      </c>
      <c r="CJ44" s="76">
        <v>0.0106</v>
      </c>
      <c r="CK44" s="76">
        <v>1.7109</v>
      </c>
      <c r="CL44" s="76">
        <v>0.4318</v>
      </c>
      <c r="CM44" s="76">
        <v>123.04</v>
      </c>
      <c r="CN44" s="76">
        <v>19.31</v>
      </c>
      <c r="CO44" s="76">
        <v>637.29</v>
      </c>
      <c r="CP44" s="76">
        <v>77.42</v>
      </c>
      <c r="CQ44" s="76">
        <v>20.0</v>
      </c>
      <c r="CR44" s="76">
        <v>0.47</v>
      </c>
      <c r="CS44" s="76">
        <v>25.14</v>
      </c>
      <c r="CT44" s="76">
        <v>0.0</v>
      </c>
      <c r="CU44" s="76">
        <v>1230.0</v>
      </c>
      <c r="CV44" s="76">
        <v>135.55</v>
      </c>
      <c r="CW44" s="76">
        <v>191.65</v>
      </c>
      <c r="CX44" s="76">
        <v>1.52</v>
      </c>
      <c r="CY44" s="76">
        <v>21.52</v>
      </c>
    </row>
    <row r="45" ht="15.75" customHeight="1">
      <c r="A45" s="151">
        <v>46233.0</v>
      </c>
      <c r="B45" s="152" t="s">
        <v>5</v>
      </c>
      <c r="C45" s="152" t="s">
        <v>147</v>
      </c>
      <c r="D45" s="152">
        <v>7239.0</v>
      </c>
      <c r="E45" s="152">
        <v>28.02</v>
      </c>
      <c r="F45" s="152">
        <v>94.99</v>
      </c>
      <c r="G45" s="152">
        <v>0.0131</v>
      </c>
      <c r="H45" s="152">
        <v>0.58</v>
      </c>
      <c r="I45" s="152">
        <v>2.2617</v>
      </c>
      <c r="J45" s="152">
        <v>19.45</v>
      </c>
      <c r="K45" s="152">
        <v>10.26</v>
      </c>
      <c r="L45" s="152">
        <v>4.94</v>
      </c>
      <c r="M45" s="152">
        <v>0.482</v>
      </c>
      <c r="N45" s="152">
        <v>0.6168</v>
      </c>
      <c r="O45" s="152">
        <v>0.3573</v>
      </c>
      <c r="P45" s="152">
        <v>2.0748</v>
      </c>
      <c r="Q45" s="152">
        <v>30.81</v>
      </c>
      <c r="R45" s="152">
        <v>27.94</v>
      </c>
      <c r="S45" s="152">
        <v>2.87</v>
      </c>
      <c r="T45" s="152">
        <v>1.11</v>
      </c>
      <c r="U45" s="152">
        <v>29.7</v>
      </c>
      <c r="V45" s="152">
        <v>32.91</v>
      </c>
      <c r="W45" s="152">
        <v>3.2082</v>
      </c>
      <c r="X45" s="152">
        <v>3.59</v>
      </c>
      <c r="Y45" s="152">
        <v>200.0</v>
      </c>
      <c r="Z45" s="152">
        <v>297.0</v>
      </c>
      <c r="AA45" s="152">
        <v>1170.0</v>
      </c>
      <c r="AB45" s="152">
        <v>49.787</v>
      </c>
      <c r="AC45" s="152">
        <v>0.6103</v>
      </c>
      <c r="AD45" s="152">
        <v>3.92</v>
      </c>
      <c r="AE45" s="152">
        <v>1.0</v>
      </c>
      <c r="AF45" s="152">
        <v>3.0</v>
      </c>
      <c r="AG45" s="152">
        <v>5.0</v>
      </c>
      <c r="AH45" s="152">
        <v>8.0</v>
      </c>
      <c r="AI45" s="152">
        <v>74.4</v>
      </c>
      <c r="AJ45" s="152">
        <v>33.24</v>
      </c>
      <c r="AK45" s="152">
        <v>5.72</v>
      </c>
      <c r="AL45" s="152">
        <v>0.5267</v>
      </c>
      <c r="AM45" s="152">
        <v>31.94</v>
      </c>
      <c r="AN45" s="76">
        <v>31.94</v>
      </c>
      <c r="AO45" s="76">
        <v>14.39</v>
      </c>
      <c r="AP45" s="76">
        <v>4.43</v>
      </c>
      <c r="AQ45" s="76">
        <v>2.4908</v>
      </c>
      <c r="AR45" s="76">
        <v>0.0333</v>
      </c>
      <c r="AS45" s="76">
        <v>2.4575</v>
      </c>
      <c r="AT45" s="76">
        <v>2.1412</v>
      </c>
      <c r="AU45" s="76">
        <v>0.2088</v>
      </c>
      <c r="AV45" s="76">
        <v>7239.0</v>
      </c>
      <c r="AW45" s="76">
        <v>0.0</v>
      </c>
      <c r="AX45" s="76">
        <v>16.15</v>
      </c>
      <c r="AY45" s="76">
        <v>11.31</v>
      </c>
      <c r="AZ45" s="76">
        <v>1.75</v>
      </c>
      <c r="BA45" s="76">
        <v>1.11</v>
      </c>
      <c r="BB45" s="76">
        <v>0.5</v>
      </c>
      <c r="BC45" s="76">
        <v>16.0</v>
      </c>
      <c r="BD45" s="76">
        <v>16406.0</v>
      </c>
      <c r="BE45" s="76">
        <v>1.4531</v>
      </c>
      <c r="BF45" s="76">
        <v>0.0195</v>
      </c>
      <c r="BG45" s="76">
        <v>1.4336</v>
      </c>
      <c r="BH45" s="76">
        <v>1.1583</v>
      </c>
      <c r="BI45" s="76">
        <v>0.1129</v>
      </c>
      <c r="BJ45" s="76">
        <v>1.0377</v>
      </c>
      <c r="BK45" s="76">
        <v>0.0138</v>
      </c>
      <c r="BL45" s="76">
        <v>1.0239</v>
      </c>
      <c r="BM45" s="76">
        <v>0.9829</v>
      </c>
      <c r="BN45" s="76">
        <v>0.0958</v>
      </c>
      <c r="BO45" s="76">
        <v>0.6523</v>
      </c>
      <c r="BP45" s="76">
        <v>0.0086</v>
      </c>
      <c r="BQ45" s="76">
        <v>0.6437</v>
      </c>
      <c r="BR45" s="76">
        <v>0.5078</v>
      </c>
      <c r="BS45" s="76">
        <v>0.6005</v>
      </c>
      <c r="BT45" s="76">
        <v>0.0044</v>
      </c>
      <c r="BU45" s="76">
        <v>0.5961</v>
      </c>
      <c r="BV45" s="76">
        <v>0.4432</v>
      </c>
      <c r="BW45" s="76">
        <v>0.2003</v>
      </c>
      <c r="BX45" s="76">
        <v>0.0065</v>
      </c>
      <c r="BY45" s="76">
        <v>0.1938</v>
      </c>
      <c r="BZ45" s="76">
        <v>0.2073</v>
      </c>
      <c r="CA45" s="76">
        <v>0.131</v>
      </c>
      <c r="CB45" s="76">
        <v>0.0019</v>
      </c>
      <c r="CC45" s="76">
        <v>0.129</v>
      </c>
      <c r="CD45" s="76">
        <v>0.1579</v>
      </c>
      <c r="CE45" s="76">
        <v>0.5794</v>
      </c>
      <c r="CF45" s="76">
        <v>0.0047</v>
      </c>
      <c r="CG45" s="76">
        <v>0.5747</v>
      </c>
      <c r="CH45" s="76">
        <v>0.4887</v>
      </c>
      <c r="CI45" s="76">
        <v>0.3274</v>
      </c>
      <c r="CJ45" s="76">
        <v>0.0072</v>
      </c>
      <c r="CK45" s="76">
        <v>0.3202</v>
      </c>
      <c r="CL45" s="76">
        <v>0.3362</v>
      </c>
      <c r="CM45" s="76">
        <v>53.12</v>
      </c>
      <c r="CN45" s="76">
        <v>51.49</v>
      </c>
      <c r="CO45" s="76">
        <v>103.18</v>
      </c>
      <c r="CP45" s="76">
        <v>41.29</v>
      </c>
      <c r="CQ45" s="76">
        <v>8.3</v>
      </c>
      <c r="CR45" s="76">
        <v>1.19</v>
      </c>
      <c r="CS45" s="76">
        <v>2.34</v>
      </c>
      <c r="CT45" s="76">
        <v>0.0</v>
      </c>
      <c r="CU45" s="76">
        <v>1797.0</v>
      </c>
      <c r="CV45" s="76">
        <v>0.68</v>
      </c>
      <c r="CW45" s="76">
        <v>31.48</v>
      </c>
      <c r="CX45" s="76">
        <v>0.99</v>
      </c>
      <c r="CY45" s="76">
        <v>9.29</v>
      </c>
    </row>
    <row r="46" ht="15.75" customHeight="1">
      <c r="A46" s="151">
        <v>46233.0</v>
      </c>
      <c r="B46" s="152" t="s">
        <v>5</v>
      </c>
      <c r="C46" s="152" t="s">
        <v>148</v>
      </c>
      <c r="D46" s="152">
        <v>5615.0</v>
      </c>
      <c r="E46" s="152">
        <v>21.73</v>
      </c>
      <c r="F46" s="152">
        <v>540.81</v>
      </c>
      <c r="G46" s="152">
        <v>0.0963</v>
      </c>
      <c r="H46" s="152">
        <v>2.01</v>
      </c>
      <c r="I46" s="152">
        <v>4.7859</v>
      </c>
      <c r="J46" s="152">
        <v>41.05</v>
      </c>
      <c r="K46" s="152">
        <v>22.3</v>
      </c>
      <c r="L46" s="152">
        <v>13.05</v>
      </c>
      <c r="M46" s="152">
        <v>0.5853</v>
      </c>
      <c r="N46" s="152">
        <v>0.5296</v>
      </c>
      <c r="O46" s="152">
        <v>0.3128</v>
      </c>
      <c r="P46" s="152">
        <v>1.7087</v>
      </c>
      <c r="Q46" s="152">
        <v>69.36</v>
      </c>
      <c r="R46" s="152">
        <v>61.12</v>
      </c>
      <c r="S46" s="152">
        <v>8.24</v>
      </c>
      <c r="T46" s="152">
        <v>5.79</v>
      </c>
      <c r="U46" s="152">
        <v>63.57</v>
      </c>
      <c r="V46" s="152">
        <v>72.82</v>
      </c>
      <c r="W46" s="152">
        <v>3.265</v>
      </c>
      <c r="X46" s="152">
        <v>8.35</v>
      </c>
      <c r="Y46" s="152">
        <v>211.0</v>
      </c>
      <c r="Z46" s="152">
        <v>349.0</v>
      </c>
      <c r="AA46" s="152">
        <v>966.0</v>
      </c>
      <c r="AB46" s="152">
        <v>51.5593</v>
      </c>
      <c r="AC46" s="152">
        <v>0.6978</v>
      </c>
      <c r="AD46" s="152">
        <v>9.12</v>
      </c>
      <c r="AE46" s="152">
        <v>4.0</v>
      </c>
      <c r="AF46" s="152">
        <v>8.0</v>
      </c>
      <c r="AG46" s="152">
        <v>13.0</v>
      </c>
      <c r="AH46" s="152">
        <v>18.0</v>
      </c>
      <c r="AI46" s="152">
        <v>63.22</v>
      </c>
      <c r="AJ46" s="152">
        <v>25.13</v>
      </c>
      <c r="AK46" s="152">
        <v>2.8</v>
      </c>
      <c r="AL46" s="152">
        <v>0.3751</v>
      </c>
      <c r="AM46" s="152">
        <v>38.47</v>
      </c>
      <c r="AN46" s="76">
        <v>38.47</v>
      </c>
      <c r="AO46" s="76">
        <v>22.28</v>
      </c>
      <c r="AP46" s="76">
        <v>10.2</v>
      </c>
      <c r="AQ46" s="76">
        <v>5.0766</v>
      </c>
      <c r="AR46" s="76">
        <v>0.096</v>
      </c>
      <c r="AS46" s="76">
        <v>4.9806</v>
      </c>
      <c r="AT46" s="76">
        <v>4.5808</v>
      </c>
      <c r="AU46" s="76">
        <v>0.2054</v>
      </c>
      <c r="AV46" s="76">
        <v>5615.0</v>
      </c>
      <c r="AW46" s="76">
        <v>0.0</v>
      </c>
      <c r="AX46" s="76">
        <v>34.9</v>
      </c>
      <c r="AY46" s="76">
        <v>25.08</v>
      </c>
      <c r="AZ46" s="76">
        <v>2.58</v>
      </c>
      <c r="BA46" s="76">
        <v>5.79</v>
      </c>
      <c r="BB46" s="76">
        <v>1.01</v>
      </c>
      <c r="BC46" s="76">
        <v>33.0</v>
      </c>
      <c r="BD46" s="76">
        <v>18131.0</v>
      </c>
      <c r="BE46" s="76">
        <v>2.8142</v>
      </c>
      <c r="BF46" s="76">
        <v>0.0492</v>
      </c>
      <c r="BG46" s="76">
        <v>2.7651</v>
      </c>
      <c r="BH46" s="76">
        <v>2.3825</v>
      </c>
      <c r="BI46" s="76">
        <v>0.1068</v>
      </c>
      <c r="BJ46" s="76">
        <v>2.2623</v>
      </c>
      <c r="BK46" s="76">
        <v>0.0468</v>
      </c>
      <c r="BL46" s="76">
        <v>2.2155</v>
      </c>
      <c r="BM46" s="76">
        <v>2.1982</v>
      </c>
      <c r="BN46" s="76">
        <v>0.0986</v>
      </c>
      <c r="BO46" s="76">
        <v>1.1081</v>
      </c>
      <c r="BP46" s="76">
        <v>0.0201</v>
      </c>
      <c r="BQ46" s="76">
        <v>1.088</v>
      </c>
      <c r="BR46" s="76">
        <v>0.9799</v>
      </c>
      <c r="BS46" s="76">
        <v>1.0725</v>
      </c>
      <c r="BT46" s="76">
        <v>0.0132</v>
      </c>
      <c r="BU46" s="76">
        <v>1.0593</v>
      </c>
      <c r="BV46" s="76">
        <v>0.8677</v>
      </c>
      <c r="BW46" s="76">
        <v>0.6337</v>
      </c>
      <c r="BX46" s="76">
        <v>0.0159</v>
      </c>
      <c r="BY46" s="76">
        <v>0.6178</v>
      </c>
      <c r="BZ46" s="76">
        <v>0.535</v>
      </c>
      <c r="CA46" s="76">
        <v>0.3792</v>
      </c>
      <c r="CB46" s="76">
        <v>0.0089</v>
      </c>
      <c r="CC46" s="76">
        <v>0.3703</v>
      </c>
      <c r="CD46" s="76">
        <v>0.4139</v>
      </c>
      <c r="CE46" s="76">
        <v>1.1252</v>
      </c>
      <c r="CF46" s="76">
        <v>0.016</v>
      </c>
      <c r="CG46" s="76">
        <v>1.1092</v>
      </c>
      <c r="CH46" s="76">
        <v>1.0023</v>
      </c>
      <c r="CI46" s="76">
        <v>0.758</v>
      </c>
      <c r="CJ46" s="76">
        <v>0.0219</v>
      </c>
      <c r="CK46" s="76">
        <v>0.7361</v>
      </c>
      <c r="CL46" s="76">
        <v>0.782</v>
      </c>
      <c r="CM46" s="76">
        <v>121.05</v>
      </c>
      <c r="CN46" s="76">
        <v>70.7</v>
      </c>
      <c r="CO46" s="76">
        <v>171.21</v>
      </c>
      <c r="CP46" s="76">
        <v>85.67</v>
      </c>
      <c r="CQ46" s="76">
        <v>22.12</v>
      </c>
      <c r="CR46" s="76">
        <v>2.39</v>
      </c>
      <c r="CS46" s="76">
        <v>10.86</v>
      </c>
      <c r="CT46" s="76">
        <v>0.0</v>
      </c>
      <c r="CU46" s="76">
        <v>2077.0</v>
      </c>
      <c r="CV46" s="76">
        <v>1.03</v>
      </c>
      <c r="CW46" s="76">
        <v>70.39</v>
      </c>
      <c r="CX46" s="76">
        <v>3.02</v>
      </c>
      <c r="CY46" s="76">
        <v>25.14</v>
      </c>
    </row>
    <row r="47" ht="15.75" customHeight="1">
      <c r="A47" s="151">
        <v>46233.0</v>
      </c>
      <c r="B47" s="152" t="s">
        <v>5</v>
      </c>
      <c r="C47" s="152" t="s">
        <v>149</v>
      </c>
      <c r="D47" s="152">
        <v>4632.0</v>
      </c>
      <c r="E47" s="152">
        <v>17.93</v>
      </c>
      <c r="F47" s="152">
        <v>384.03</v>
      </c>
      <c r="G47" s="152">
        <v>0.0829</v>
      </c>
      <c r="H47" s="152">
        <v>2.37</v>
      </c>
      <c r="I47" s="152">
        <v>3.4912</v>
      </c>
      <c r="J47" s="152">
        <v>63.45</v>
      </c>
      <c r="K47" s="152">
        <v>36.28</v>
      </c>
      <c r="L47" s="152">
        <v>24.96</v>
      </c>
      <c r="M47" s="152">
        <v>0.688</v>
      </c>
      <c r="N47" s="152">
        <v>0.4284</v>
      </c>
      <c r="O47" s="152">
        <v>0.2701</v>
      </c>
      <c r="P47" s="152">
        <v>1.4535</v>
      </c>
      <c r="Q47" s="152">
        <v>127.31</v>
      </c>
      <c r="R47" s="152">
        <v>111.86</v>
      </c>
      <c r="S47" s="152">
        <v>15.46</v>
      </c>
      <c r="T47" s="152">
        <v>9.3</v>
      </c>
      <c r="U47" s="152">
        <v>118.01</v>
      </c>
      <c r="V47" s="152">
        <v>130.17</v>
      </c>
      <c r="W47" s="152">
        <v>3.588</v>
      </c>
      <c r="X47" s="152">
        <v>7.31</v>
      </c>
      <c r="Y47" s="152">
        <v>237.0</v>
      </c>
      <c r="Z47" s="152">
        <v>404.0</v>
      </c>
      <c r="AA47" s="152">
        <v>1040.0</v>
      </c>
      <c r="AB47" s="152">
        <v>53.4111</v>
      </c>
      <c r="AC47" s="152">
        <v>0.7671</v>
      </c>
      <c r="AD47" s="152">
        <v>15.92</v>
      </c>
      <c r="AE47" s="152">
        <v>6.0</v>
      </c>
      <c r="AF47" s="152">
        <v>12.0</v>
      </c>
      <c r="AG47" s="152">
        <v>22.0</v>
      </c>
      <c r="AH47" s="152">
        <v>33.0</v>
      </c>
      <c r="AI47" s="152">
        <v>56.5</v>
      </c>
      <c r="AJ47" s="152">
        <v>18.87</v>
      </c>
      <c r="AK47" s="152">
        <v>4.45</v>
      </c>
      <c r="AL47" s="152">
        <v>0.2971</v>
      </c>
      <c r="AM47" s="152">
        <v>39.03</v>
      </c>
      <c r="AN47" s="76">
        <v>39.03</v>
      </c>
      <c r="AO47" s="76">
        <v>21.76</v>
      </c>
      <c r="AP47" s="76">
        <v>11.31</v>
      </c>
      <c r="AQ47" s="76">
        <v>7.9495</v>
      </c>
      <c r="AR47" s="76">
        <v>0.1725</v>
      </c>
      <c r="AS47" s="76">
        <v>7.777</v>
      </c>
      <c r="AT47" s="76">
        <v>7.2252</v>
      </c>
      <c r="AU47" s="76">
        <v>0.1992</v>
      </c>
      <c r="AV47" s="76">
        <v>4632.0</v>
      </c>
      <c r="AW47" s="76">
        <v>0.0</v>
      </c>
      <c r="AX47" s="76">
        <v>60.57</v>
      </c>
      <c r="AY47" s="76">
        <v>52.43</v>
      </c>
      <c r="AZ47" s="76">
        <v>2.76</v>
      </c>
      <c r="BA47" s="76">
        <v>9.3</v>
      </c>
      <c r="BB47" s="76">
        <v>2.24</v>
      </c>
      <c r="BC47" s="76">
        <v>60.0</v>
      </c>
      <c r="BD47" s="76">
        <v>15572.0</v>
      </c>
      <c r="BE47" s="76">
        <v>4.3836</v>
      </c>
      <c r="BF47" s="76">
        <v>0.0991</v>
      </c>
      <c r="BG47" s="76">
        <v>4.2845</v>
      </c>
      <c r="BH47" s="76">
        <v>3.4907</v>
      </c>
      <c r="BI47" s="76">
        <v>0.0962</v>
      </c>
      <c r="BJ47" s="76">
        <v>3.5658</v>
      </c>
      <c r="BK47" s="76">
        <v>0.0734</v>
      </c>
      <c r="BL47" s="76">
        <v>3.4924</v>
      </c>
      <c r="BM47" s="76">
        <v>3.7345</v>
      </c>
      <c r="BN47" s="76">
        <v>0.1029</v>
      </c>
      <c r="BO47" s="76">
        <v>1.5708</v>
      </c>
      <c r="BP47" s="76">
        <v>0.0289</v>
      </c>
      <c r="BQ47" s="76">
        <v>1.5419</v>
      </c>
      <c r="BR47" s="76">
        <v>1.3001</v>
      </c>
      <c r="BS47" s="76">
        <v>1.6259</v>
      </c>
      <c r="BT47" s="76">
        <v>0.0289</v>
      </c>
      <c r="BU47" s="76">
        <v>1.5969</v>
      </c>
      <c r="BV47" s="76">
        <v>1.288</v>
      </c>
      <c r="BW47" s="76">
        <v>1.187</v>
      </c>
      <c r="BX47" s="76">
        <v>0.0412</v>
      </c>
      <c r="BY47" s="76">
        <v>1.1457</v>
      </c>
      <c r="BZ47" s="76">
        <v>0.9026</v>
      </c>
      <c r="CA47" s="76">
        <v>0.4674</v>
      </c>
      <c r="CB47" s="76">
        <v>0.0194</v>
      </c>
      <c r="CC47" s="76">
        <v>0.448</v>
      </c>
      <c r="CD47" s="76">
        <v>0.7653</v>
      </c>
      <c r="CE47" s="76">
        <v>1.7705</v>
      </c>
      <c r="CF47" s="76">
        <v>0.0309</v>
      </c>
      <c r="CG47" s="76">
        <v>1.7396</v>
      </c>
      <c r="CH47" s="76">
        <v>1.5954</v>
      </c>
      <c r="CI47" s="76">
        <v>1.3279</v>
      </c>
      <c r="CJ47" s="76">
        <v>0.0231</v>
      </c>
      <c r="CK47" s="76">
        <v>1.3048</v>
      </c>
      <c r="CL47" s="76">
        <v>1.3737</v>
      </c>
      <c r="CM47" s="76">
        <v>238.76</v>
      </c>
      <c r="CN47" s="76">
        <v>84.28</v>
      </c>
      <c r="CO47" s="76">
        <v>283.28</v>
      </c>
      <c r="CP47" s="76">
        <v>168.53</v>
      </c>
      <c r="CQ47" s="76">
        <v>39.01</v>
      </c>
      <c r="CR47" s="76">
        <v>3.17</v>
      </c>
      <c r="CS47" s="76">
        <v>28.05</v>
      </c>
      <c r="CT47" s="76">
        <v>0.0</v>
      </c>
      <c r="CU47" s="76">
        <v>2144.0</v>
      </c>
      <c r="CV47" s="76">
        <v>1.56</v>
      </c>
      <c r="CW47" s="76">
        <v>128.88</v>
      </c>
      <c r="CX47" s="76">
        <v>4.94</v>
      </c>
      <c r="CY47" s="76">
        <v>43.95</v>
      </c>
    </row>
    <row r="48" ht="15.75" customHeight="1">
      <c r="A48" s="151">
        <v>46233.0</v>
      </c>
      <c r="B48" s="152" t="s">
        <v>5</v>
      </c>
      <c r="C48" s="152" t="s">
        <v>150</v>
      </c>
      <c r="D48" s="152">
        <v>2927.0</v>
      </c>
      <c r="E48" s="152">
        <v>11.33</v>
      </c>
      <c r="F48" s="152">
        <v>456.8</v>
      </c>
      <c r="G48" s="152">
        <v>0.1561</v>
      </c>
      <c r="H48" s="152">
        <v>3.21</v>
      </c>
      <c r="I48" s="152">
        <v>4.8596</v>
      </c>
      <c r="J48" s="152">
        <v>109.73</v>
      </c>
      <c r="K48" s="152">
        <v>67.99</v>
      </c>
      <c r="L48" s="152">
        <v>49.61</v>
      </c>
      <c r="M48" s="152">
        <v>0.7296</v>
      </c>
      <c r="N48" s="152">
        <v>0.3731</v>
      </c>
      <c r="O48" s="152">
        <v>0.2391</v>
      </c>
      <c r="P48" s="152">
        <v>1.3705</v>
      </c>
      <c r="Q48" s="152">
        <v>251.36</v>
      </c>
      <c r="R48" s="152">
        <v>221.57</v>
      </c>
      <c r="S48" s="152">
        <v>29.79</v>
      </c>
      <c r="T48" s="152">
        <v>14.47</v>
      </c>
      <c r="U48" s="152">
        <v>236.89</v>
      </c>
      <c r="V48" s="152">
        <v>243.95</v>
      </c>
      <c r="W48" s="152">
        <v>3.588</v>
      </c>
      <c r="X48" s="152">
        <v>5.76</v>
      </c>
      <c r="Y48" s="152">
        <v>312.0</v>
      </c>
      <c r="Z48" s="152">
        <v>541.0</v>
      </c>
      <c r="AA48" s="152">
        <v>1230.0</v>
      </c>
      <c r="AB48" s="152">
        <v>55.5113</v>
      </c>
      <c r="AC48" s="152">
        <v>0.7827</v>
      </c>
      <c r="AD48" s="152">
        <v>27.2</v>
      </c>
      <c r="AE48" s="152">
        <v>10.0</v>
      </c>
      <c r="AF48" s="152">
        <v>20.0</v>
      </c>
      <c r="AG48" s="152">
        <v>38.0</v>
      </c>
      <c r="AH48" s="152">
        <v>58.0</v>
      </c>
      <c r="AI48" s="152">
        <v>37.14</v>
      </c>
      <c r="AJ48" s="152">
        <v>9.46</v>
      </c>
      <c r="AK48" s="152">
        <v>1.95</v>
      </c>
      <c r="AL48" s="152">
        <v>0.1865</v>
      </c>
      <c r="AM48" s="152">
        <v>42.71</v>
      </c>
      <c r="AN48" s="76">
        <v>42.71</v>
      </c>
      <c r="AO48" s="76">
        <v>26.48</v>
      </c>
      <c r="AP48" s="76">
        <v>16.84</v>
      </c>
      <c r="AQ48" s="76">
        <v>12.8678</v>
      </c>
      <c r="AR48" s="76">
        <v>0.1698</v>
      </c>
      <c r="AS48" s="76">
        <v>12.698</v>
      </c>
      <c r="AT48" s="76">
        <v>11.1613</v>
      </c>
      <c r="AU48" s="76">
        <v>0.1642</v>
      </c>
      <c r="AV48" s="76">
        <v>2927.0</v>
      </c>
      <c r="AW48" s="76">
        <v>0.0</v>
      </c>
      <c r="AX48" s="76">
        <v>110.94</v>
      </c>
      <c r="AY48" s="76">
        <v>118.27</v>
      </c>
      <c r="AZ48" s="76">
        <v>3.34</v>
      </c>
      <c r="BA48" s="76">
        <v>14.47</v>
      </c>
      <c r="BB48" s="76">
        <v>4.34</v>
      </c>
      <c r="BC48" s="76">
        <v>115.0</v>
      </c>
      <c r="BD48" s="76">
        <v>15923.0</v>
      </c>
      <c r="BE48" s="76">
        <v>7.0061</v>
      </c>
      <c r="BF48" s="76">
        <v>0.0687</v>
      </c>
      <c r="BG48" s="76">
        <v>6.9375</v>
      </c>
      <c r="BH48" s="76">
        <v>5.494</v>
      </c>
      <c r="BI48" s="76">
        <v>0.0808</v>
      </c>
      <c r="BJ48" s="76">
        <v>5.8616</v>
      </c>
      <c r="BK48" s="76">
        <v>0.1011</v>
      </c>
      <c r="BL48" s="76">
        <v>5.7605</v>
      </c>
      <c r="BM48" s="76">
        <v>5.6672</v>
      </c>
      <c r="BN48" s="76">
        <v>0.0834</v>
      </c>
      <c r="BO48" s="76">
        <v>2.4906</v>
      </c>
      <c r="BP48" s="76">
        <v>0.0236</v>
      </c>
      <c r="BQ48" s="76">
        <v>2.467</v>
      </c>
      <c r="BR48" s="76">
        <v>2.0208</v>
      </c>
      <c r="BS48" s="76">
        <v>2.6522</v>
      </c>
      <c r="BT48" s="76">
        <v>0.0225</v>
      </c>
      <c r="BU48" s="76">
        <v>2.6297</v>
      </c>
      <c r="BV48" s="76">
        <v>2.0407</v>
      </c>
      <c r="BW48" s="76">
        <v>1.8633</v>
      </c>
      <c r="BX48" s="76">
        <v>0.0225</v>
      </c>
      <c r="BY48" s="76">
        <v>1.8408</v>
      </c>
      <c r="BZ48" s="76">
        <v>1.4325</v>
      </c>
      <c r="CA48" s="76">
        <v>0.8275</v>
      </c>
      <c r="CB48" s="76">
        <v>0.0284</v>
      </c>
      <c r="CC48" s="76">
        <v>0.7991</v>
      </c>
      <c r="CD48" s="76">
        <v>1.0284</v>
      </c>
      <c r="CE48" s="76">
        <v>2.6795</v>
      </c>
      <c r="CF48" s="76">
        <v>0.0451</v>
      </c>
      <c r="CG48" s="76">
        <v>2.6344</v>
      </c>
      <c r="CH48" s="76">
        <v>2.3806</v>
      </c>
      <c r="CI48" s="76">
        <v>2.3546</v>
      </c>
      <c r="CJ48" s="76">
        <v>0.0277</v>
      </c>
      <c r="CK48" s="76">
        <v>2.327</v>
      </c>
      <c r="CL48" s="76">
        <v>2.2583</v>
      </c>
      <c r="CM48" s="76">
        <v>529.72</v>
      </c>
      <c r="CN48" s="76">
        <v>94.57</v>
      </c>
      <c r="CO48" s="76">
        <v>560.15</v>
      </c>
      <c r="CP48" s="76">
        <v>361.09</v>
      </c>
      <c r="CQ48" s="76">
        <v>94.06</v>
      </c>
      <c r="CR48" s="76">
        <v>5.28</v>
      </c>
      <c r="CS48" s="76">
        <v>69.3</v>
      </c>
      <c r="CT48" s="76">
        <v>0.0</v>
      </c>
      <c r="CU48" s="76">
        <v>1622.0</v>
      </c>
      <c r="CV48" s="76">
        <v>4.7</v>
      </c>
      <c r="CW48" s="76">
        <v>256.06</v>
      </c>
      <c r="CX48" s="76">
        <v>11.39</v>
      </c>
      <c r="CY48" s="76">
        <v>105.45</v>
      </c>
    </row>
    <row r="49" ht="15.75" customHeight="1">
      <c r="A49" s="151">
        <v>46233.0</v>
      </c>
      <c r="B49" s="152" t="s">
        <v>5</v>
      </c>
      <c r="C49" s="152" t="s">
        <v>151</v>
      </c>
      <c r="D49" s="152">
        <v>403.0</v>
      </c>
      <c r="E49" s="152">
        <v>1.56</v>
      </c>
      <c r="F49" s="152">
        <v>128.5</v>
      </c>
      <c r="G49" s="152">
        <v>0.3189</v>
      </c>
      <c r="H49" s="152">
        <v>4.71</v>
      </c>
      <c r="I49" s="152">
        <v>6.7632</v>
      </c>
      <c r="J49" s="152">
        <v>244.62</v>
      </c>
      <c r="K49" s="152">
        <v>164.58</v>
      </c>
      <c r="L49" s="152">
        <v>121.47</v>
      </c>
      <c r="M49" s="152">
        <v>0.738</v>
      </c>
      <c r="N49" s="152">
        <v>0.3441</v>
      </c>
      <c r="O49" s="152">
        <v>0.22</v>
      </c>
      <c r="P49" s="152">
        <v>1.3549</v>
      </c>
      <c r="Q49" s="152">
        <v>581.78</v>
      </c>
      <c r="R49" s="152">
        <v>507.86</v>
      </c>
      <c r="S49" s="152">
        <v>73.92</v>
      </c>
      <c r="T49" s="152">
        <v>30.02</v>
      </c>
      <c r="U49" s="152">
        <v>551.76</v>
      </c>
      <c r="V49" s="152">
        <v>539.45</v>
      </c>
      <c r="W49" s="152">
        <v>3.2777</v>
      </c>
      <c r="X49" s="152">
        <v>5.16</v>
      </c>
      <c r="Y49" s="152">
        <v>432.0</v>
      </c>
      <c r="Z49" s="152">
        <v>816.0</v>
      </c>
      <c r="AA49" s="152">
        <v>1668.0</v>
      </c>
      <c r="AB49" s="152">
        <v>58.4041</v>
      </c>
      <c r="AC49" s="152">
        <v>0.7778</v>
      </c>
      <c r="AD49" s="152">
        <v>48.44</v>
      </c>
      <c r="AE49" s="152">
        <v>19.0</v>
      </c>
      <c r="AF49" s="152">
        <v>32.0</v>
      </c>
      <c r="AG49" s="152">
        <v>62.0</v>
      </c>
      <c r="AH49" s="152">
        <v>112.0</v>
      </c>
      <c r="AI49" s="152">
        <v>17.12</v>
      </c>
      <c r="AJ49" s="152">
        <v>2.73</v>
      </c>
      <c r="AK49" s="152">
        <v>0.5</v>
      </c>
      <c r="AL49" s="152">
        <v>0.1191</v>
      </c>
      <c r="AM49" s="152">
        <v>63.77</v>
      </c>
      <c r="AN49" s="76">
        <v>63.77</v>
      </c>
      <c r="AO49" s="76">
        <v>50.12</v>
      </c>
      <c r="AP49" s="76">
        <v>43.18</v>
      </c>
      <c r="AQ49" s="76">
        <v>61.9553</v>
      </c>
      <c r="AR49" s="76">
        <v>0.5409</v>
      </c>
      <c r="AS49" s="76">
        <v>61.4144</v>
      </c>
      <c r="AT49" s="76">
        <v>29.402</v>
      </c>
      <c r="AU49" s="76">
        <v>0.1786</v>
      </c>
      <c r="AV49" s="76">
        <v>403.0</v>
      </c>
      <c r="AW49" s="76">
        <v>0.0</v>
      </c>
      <c r="AX49" s="76">
        <v>248.35</v>
      </c>
      <c r="AY49" s="76">
        <v>285.19</v>
      </c>
      <c r="AZ49" s="76">
        <v>5.35</v>
      </c>
      <c r="BA49" s="76">
        <v>30.02</v>
      </c>
      <c r="BB49" s="76">
        <v>12.87</v>
      </c>
      <c r="BC49" s="76">
        <v>221.0</v>
      </c>
      <c r="BD49" s="76">
        <v>21175.0</v>
      </c>
      <c r="BE49" s="76">
        <v>14.0819</v>
      </c>
      <c r="BF49" s="76">
        <v>0.3499</v>
      </c>
      <c r="BG49" s="76">
        <v>13.732</v>
      </c>
      <c r="BH49" s="76">
        <v>12.335</v>
      </c>
      <c r="BI49" s="76">
        <v>0.0749</v>
      </c>
      <c r="BJ49" s="76">
        <v>47.8734</v>
      </c>
      <c r="BK49" s="76">
        <v>0.1911</v>
      </c>
      <c r="BL49" s="76">
        <v>47.6824</v>
      </c>
      <c r="BM49" s="76">
        <v>17.067</v>
      </c>
      <c r="BN49" s="76">
        <v>0.1037</v>
      </c>
      <c r="BO49" s="76">
        <v>4.6352</v>
      </c>
      <c r="BP49" s="76">
        <v>0.1414</v>
      </c>
      <c r="BQ49" s="76">
        <v>4.4938</v>
      </c>
      <c r="BR49" s="76">
        <v>4.1836</v>
      </c>
      <c r="BS49" s="76">
        <v>5.0596</v>
      </c>
      <c r="BT49" s="76">
        <v>0.0521</v>
      </c>
      <c r="BU49" s="76">
        <v>5.0074</v>
      </c>
      <c r="BV49" s="76">
        <v>4.4194</v>
      </c>
      <c r="BW49" s="76">
        <v>4.3871</v>
      </c>
      <c r="BX49" s="76">
        <v>0.1563</v>
      </c>
      <c r="BY49" s="76">
        <v>4.2308</v>
      </c>
      <c r="BZ49" s="76">
        <v>3.732</v>
      </c>
      <c r="CA49" s="76">
        <v>13.8809</v>
      </c>
      <c r="CB49" s="76">
        <v>0.0471</v>
      </c>
      <c r="CC49" s="76">
        <v>13.8337</v>
      </c>
      <c r="CD49" s="76">
        <v>5.6526</v>
      </c>
      <c r="CE49" s="76">
        <v>17.2407</v>
      </c>
      <c r="CF49" s="76">
        <v>0.0868</v>
      </c>
      <c r="CG49" s="76">
        <v>17.1538</v>
      </c>
      <c r="CH49" s="76">
        <v>5.2382</v>
      </c>
      <c r="CI49" s="76">
        <v>16.7519</v>
      </c>
      <c r="CJ49" s="76">
        <v>0.0571</v>
      </c>
      <c r="CK49" s="76">
        <v>16.6948</v>
      </c>
      <c r="CL49" s="76">
        <v>6.1762</v>
      </c>
      <c r="CM49" s="76">
        <v>1226.72</v>
      </c>
      <c r="CN49" s="76">
        <v>98.51</v>
      </c>
      <c r="CO49" s="76">
        <v>1245.26</v>
      </c>
      <c r="CP49" s="76">
        <v>868.92</v>
      </c>
      <c r="CQ49" s="76">
        <v>211.44</v>
      </c>
      <c r="CR49" s="76">
        <v>9.38</v>
      </c>
      <c r="CS49" s="76">
        <v>136.99</v>
      </c>
      <c r="CT49" s="76">
        <v>0.0</v>
      </c>
      <c r="CU49" s="76">
        <v>256.0</v>
      </c>
      <c r="CV49" s="76">
        <v>1166.3</v>
      </c>
      <c r="CW49" s="76">
        <v>1748.08</v>
      </c>
      <c r="CX49" s="76">
        <v>23.66</v>
      </c>
      <c r="CY49" s="76">
        <v>235.1</v>
      </c>
    </row>
    <row r="50" ht="15.75" customHeight="1">
      <c r="A50" s="151">
        <v>46234.0</v>
      </c>
      <c r="B50" s="152" t="s">
        <v>4</v>
      </c>
      <c r="C50" s="152" t="s">
        <v>316</v>
      </c>
      <c r="D50" s="152">
        <v>5020.0</v>
      </c>
      <c r="E50" s="152">
        <v>19.36</v>
      </c>
      <c r="F50" s="152">
        <v>614.18</v>
      </c>
      <c r="G50" s="152">
        <v>0.1223</v>
      </c>
      <c r="H50" s="152">
        <v>1.35</v>
      </c>
      <c r="I50" s="152">
        <v>9.0321</v>
      </c>
      <c r="J50" s="152">
        <v>23.48</v>
      </c>
      <c r="K50" s="152">
        <v>12.78</v>
      </c>
      <c r="L50" s="152">
        <v>9.01</v>
      </c>
      <c r="M50" s="152">
        <v>0.7052</v>
      </c>
      <c r="N50" s="152">
        <v>0.4134</v>
      </c>
      <c r="O50" s="152">
        <v>0.2107</v>
      </c>
      <c r="P50" s="152">
        <v>1.4181</v>
      </c>
      <c r="Q50" s="152">
        <v>62.96</v>
      </c>
      <c r="R50" s="152">
        <v>62.78</v>
      </c>
      <c r="S50" s="152">
        <v>0.18</v>
      </c>
      <c r="T50" s="152">
        <v>9.14</v>
      </c>
      <c r="U50" s="152">
        <v>53.81</v>
      </c>
      <c r="V50" s="152">
        <v>40.71</v>
      </c>
      <c r="W50" s="152">
        <v>3.1843</v>
      </c>
      <c r="X50" s="152">
        <v>14.52</v>
      </c>
      <c r="Y50" s="152">
        <v>202.0</v>
      </c>
      <c r="Z50" s="152">
        <v>536.0</v>
      </c>
      <c r="AA50" s="152">
        <v>3757.0</v>
      </c>
      <c r="AB50" s="152">
        <v>49.9906</v>
      </c>
      <c r="AC50" s="152">
        <v>0.4878</v>
      </c>
      <c r="AD50" s="153"/>
      <c r="AE50" s="153"/>
      <c r="AF50" s="153"/>
      <c r="AG50" s="153"/>
      <c r="AH50" s="153"/>
      <c r="AI50" s="152">
        <v>0.0</v>
      </c>
      <c r="AJ50" s="152">
        <v>0.0</v>
      </c>
      <c r="AK50" s="152">
        <v>0.0</v>
      </c>
      <c r="AL50" s="152">
        <v>0.5159</v>
      </c>
      <c r="AQ50" s="76">
        <v>2.7518</v>
      </c>
      <c r="AR50" s="76">
        <v>0.0815</v>
      </c>
      <c r="AS50" s="76">
        <v>2.6703</v>
      </c>
      <c r="AT50" s="76">
        <v>1.7239</v>
      </c>
      <c r="AU50" s="76">
        <v>0.1349</v>
      </c>
      <c r="AV50" s="76">
        <v>5020.0</v>
      </c>
      <c r="AW50" s="76">
        <v>0.0</v>
      </c>
      <c r="AX50" s="76">
        <v>14.22</v>
      </c>
      <c r="AY50" s="76">
        <v>36.47</v>
      </c>
      <c r="AZ50" s="76">
        <v>2.85</v>
      </c>
      <c r="BA50" s="76">
        <v>9.14</v>
      </c>
      <c r="BB50" s="76">
        <v>0.27</v>
      </c>
      <c r="BD50" s="76">
        <v>29026.0</v>
      </c>
      <c r="BE50" s="76">
        <v>1.4725</v>
      </c>
      <c r="BF50" s="76">
        <v>0.0329</v>
      </c>
      <c r="BG50" s="76">
        <v>1.4396</v>
      </c>
      <c r="BH50" s="76">
        <v>0.8335</v>
      </c>
      <c r="BI50" s="76">
        <v>0.0652</v>
      </c>
      <c r="BJ50" s="76">
        <v>1.2793</v>
      </c>
      <c r="BK50" s="76">
        <v>0.0486</v>
      </c>
      <c r="BL50" s="76">
        <v>1.2307</v>
      </c>
      <c r="BM50" s="76">
        <v>0.8904</v>
      </c>
      <c r="BN50" s="76">
        <v>0.0697</v>
      </c>
      <c r="BO50" s="76">
        <v>0.5086</v>
      </c>
      <c r="BP50" s="76">
        <v>0.0114</v>
      </c>
      <c r="BQ50" s="76">
        <v>0.4972</v>
      </c>
      <c r="BR50" s="76">
        <v>0.3131</v>
      </c>
      <c r="BS50" s="76">
        <v>0.5261</v>
      </c>
      <c r="BT50" s="76">
        <v>0.0096</v>
      </c>
      <c r="BU50" s="76">
        <v>0.5165</v>
      </c>
      <c r="BV50" s="76">
        <v>0.298</v>
      </c>
      <c r="BW50" s="76">
        <v>0.4378</v>
      </c>
      <c r="BX50" s="76">
        <v>0.012</v>
      </c>
      <c r="BY50" s="76">
        <v>0.4259</v>
      </c>
      <c r="BZ50" s="76">
        <v>0.2223</v>
      </c>
      <c r="CA50" s="76">
        <v>0.2283</v>
      </c>
      <c r="CB50" s="76">
        <v>0.0122</v>
      </c>
      <c r="CC50" s="76">
        <v>0.2161</v>
      </c>
      <c r="CD50" s="76">
        <v>0.1914</v>
      </c>
      <c r="CE50" s="76">
        <v>0.641</v>
      </c>
      <c r="CF50" s="76">
        <v>0.0221</v>
      </c>
      <c r="CG50" s="76">
        <v>0.6189</v>
      </c>
      <c r="CH50" s="76">
        <v>0.3735</v>
      </c>
      <c r="CI50" s="76">
        <v>0.41</v>
      </c>
      <c r="CJ50" s="76">
        <v>0.0143</v>
      </c>
      <c r="CK50" s="76">
        <v>0.3956</v>
      </c>
      <c r="CL50" s="76">
        <v>0.3255</v>
      </c>
      <c r="CM50" s="76">
        <v>135.44</v>
      </c>
      <c r="CN50" s="76">
        <v>29.82</v>
      </c>
      <c r="CO50" s="76">
        <v>454.18</v>
      </c>
      <c r="CP50" s="76">
        <v>120.83</v>
      </c>
      <c r="CQ50" s="76">
        <v>0.0</v>
      </c>
      <c r="CR50" s="76">
        <v>10.29</v>
      </c>
      <c r="CS50" s="76">
        <v>4.31</v>
      </c>
      <c r="CT50" s="76">
        <v>0.0</v>
      </c>
      <c r="CU50" s="76">
        <v>0.0</v>
      </c>
      <c r="CV50" s="76">
        <v>0.0</v>
      </c>
      <c r="CW50" s="76">
        <v>62.96</v>
      </c>
      <c r="CX50" s="76">
        <v>0.0</v>
      </c>
      <c r="CY50" s="76">
        <v>0.0</v>
      </c>
    </row>
    <row r="51" ht="15.75" customHeight="1">
      <c r="A51" s="151">
        <v>46234.0</v>
      </c>
      <c r="B51" s="152" t="s">
        <v>4</v>
      </c>
      <c r="C51" s="152" t="s">
        <v>147</v>
      </c>
      <c r="D51" s="152">
        <v>7507.0</v>
      </c>
      <c r="E51" s="152">
        <v>28.95</v>
      </c>
      <c r="F51" s="152">
        <v>179.84</v>
      </c>
      <c r="G51" s="152">
        <v>0.024</v>
      </c>
      <c r="H51" s="152">
        <v>0.83</v>
      </c>
      <c r="I51" s="152">
        <v>2.9006</v>
      </c>
      <c r="J51" s="152">
        <v>20.59</v>
      </c>
      <c r="K51" s="152">
        <v>10.84</v>
      </c>
      <c r="L51" s="152">
        <v>5.19</v>
      </c>
      <c r="M51" s="152">
        <v>0.4789</v>
      </c>
      <c r="N51" s="152">
        <v>0.6277</v>
      </c>
      <c r="O51" s="152">
        <v>0.3765</v>
      </c>
      <c r="P51" s="152">
        <v>2.0881</v>
      </c>
      <c r="Q51" s="152">
        <v>59.65</v>
      </c>
      <c r="R51" s="152">
        <v>50.62</v>
      </c>
      <c r="S51" s="152">
        <v>9.02</v>
      </c>
      <c r="T51" s="152">
        <v>1.87</v>
      </c>
      <c r="U51" s="152">
        <v>57.78</v>
      </c>
      <c r="V51" s="152">
        <v>45.58</v>
      </c>
      <c r="W51" s="152">
        <v>4.2054</v>
      </c>
      <c r="X51" s="152">
        <v>3.14</v>
      </c>
      <c r="Y51" s="152">
        <v>203.0</v>
      </c>
      <c r="Z51" s="152">
        <v>343.0</v>
      </c>
      <c r="AA51" s="152">
        <v>1229.0</v>
      </c>
      <c r="AB51" s="152">
        <v>49.6002</v>
      </c>
      <c r="AC51" s="152">
        <v>0.5974</v>
      </c>
      <c r="AD51" s="152">
        <v>3.97</v>
      </c>
      <c r="AE51" s="152">
        <v>2.0</v>
      </c>
      <c r="AF51" s="152">
        <v>3.0</v>
      </c>
      <c r="AG51" s="152">
        <v>5.0</v>
      </c>
      <c r="AH51" s="152">
        <v>8.0</v>
      </c>
      <c r="AI51" s="152">
        <v>74.89</v>
      </c>
      <c r="AJ51" s="152">
        <v>33.29</v>
      </c>
      <c r="AK51" s="152">
        <v>6.74</v>
      </c>
      <c r="AL51" s="152">
        <v>0.5216</v>
      </c>
      <c r="AQ51" s="76">
        <v>3.3031</v>
      </c>
      <c r="AR51" s="76">
        <v>0.0512</v>
      </c>
      <c r="AS51" s="76">
        <v>3.2519</v>
      </c>
      <c r="AT51" s="76">
        <v>2.4911</v>
      </c>
      <c r="AU51" s="76">
        <v>0.2298</v>
      </c>
      <c r="AV51" s="76">
        <v>7507.0</v>
      </c>
      <c r="AW51" s="76">
        <v>0.0</v>
      </c>
      <c r="AX51" s="76">
        <v>28.58</v>
      </c>
      <c r="AY51" s="76">
        <v>26.62</v>
      </c>
      <c r="AZ51" s="76">
        <v>2.02</v>
      </c>
      <c r="BA51" s="76">
        <v>1.87</v>
      </c>
      <c r="BB51" s="76">
        <v>0.55</v>
      </c>
      <c r="BC51" s="76">
        <v>16.0</v>
      </c>
      <c r="BD51" s="76">
        <v>17898.0</v>
      </c>
      <c r="BE51" s="76">
        <v>2.0721</v>
      </c>
      <c r="BF51" s="76">
        <v>0.0324</v>
      </c>
      <c r="BG51" s="76">
        <v>2.0397</v>
      </c>
      <c r="BH51" s="76">
        <v>1.4629</v>
      </c>
      <c r="BI51" s="76">
        <v>0.135</v>
      </c>
      <c r="BJ51" s="76">
        <v>1.231</v>
      </c>
      <c r="BK51" s="76">
        <v>0.0188</v>
      </c>
      <c r="BL51" s="76">
        <v>1.2122</v>
      </c>
      <c r="BM51" s="76">
        <v>1.0282</v>
      </c>
      <c r="BN51" s="76">
        <v>0.0949</v>
      </c>
      <c r="BO51" s="76">
        <v>0.7689</v>
      </c>
      <c r="BP51" s="76">
        <v>0.0125</v>
      </c>
      <c r="BQ51" s="76">
        <v>0.7564</v>
      </c>
      <c r="BR51" s="76">
        <v>0.5761</v>
      </c>
      <c r="BS51" s="76">
        <v>0.8236</v>
      </c>
      <c r="BT51" s="76">
        <v>0.0077</v>
      </c>
      <c r="BU51" s="76">
        <v>0.8159</v>
      </c>
      <c r="BV51" s="76">
        <v>0.558</v>
      </c>
      <c r="BW51" s="76">
        <v>0.4796</v>
      </c>
      <c r="BX51" s="76">
        <v>0.0121</v>
      </c>
      <c r="BY51" s="76">
        <v>0.4674</v>
      </c>
      <c r="BZ51" s="76">
        <v>0.3288</v>
      </c>
      <c r="CA51" s="76">
        <v>0.1918</v>
      </c>
      <c r="CB51" s="76">
        <v>0.0044</v>
      </c>
      <c r="CC51" s="76">
        <v>0.1874</v>
      </c>
      <c r="CD51" s="76">
        <v>0.1705</v>
      </c>
      <c r="CE51" s="76">
        <v>0.5737</v>
      </c>
      <c r="CF51" s="76">
        <v>0.008</v>
      </c>
      <c r="CG51" s="76">
        <v>0.5657</v>
      </c>
      <c r="CH51" s="76">
        <v>0.4608</v>
      </c>
      <c r="CI51" s="76">
        <v>0.4654</v>
      </c>
      <c r="CJ51" s="76">
        <v>0.0064</v>
      </c>
      <c r="CK51" s="76">
        <v>0.459</v>
      </c>
      <c r="CL51" s="76">
        <v>0.397</v>
      </c>
      <c r="CM51" s="76">
        <v>72.12</v>
      </c>
      <c r="CN51" s="76">
        <v>63.23</v>
      </c>
      <c r="CO51" s="76">
        <v>114.06</v>
      </c>
      <c r="CP51" s="76">
        <v>58.82</v>
      </c>
      <c r="CQ51" s="76">
        <v>0.0</v>
      </c>
      <c r="CR51" s="76">
        <v>11.33</v>
      </c>
      <c r="CS51" s="76">
        <v>1.97</v>
      </c>
      <c r="CT51" s="76">
        <v>0.0</v>
      </c>
      <c r="CU51" s="76">
        <v>0.0</v>
      </c>
      <c r="CV51" s="76">
        <v>0.0</v>
      </c>
      <c r="CW51" s="76">
        <v>59.65</v>
      </c>
      <c r="CX51" s="76">
        <v>0.0</v>
      </c>
      <c r="CY51" s="76">
        <v>0.0</v>
      </c>
    </row>
    <row r="52" ht="15.75" customHeight="1">
      <c r="A52" s="151">
        <v>46234.0</v>
      </c>
      <c r="B52" s="152" t="s">
        <v>4</v>
      </c>
      <c r="C52" s="152" t="s">
        <v>148</v>
      </c>
      <c r="D52" s="152">
        <v>5506.0</v>
      </c>
      <c r="E52" s="152">
        <v>21.24</v>
      </c>
      <c r="F52" s="152">
        <v>408.39</v>
      </c>
      <c r="G52" s="152">
        <v>0.0742</v>
      </c>
      <c r="H52" s="152">
        <v>2.02</v>
      </c>
      <c r="I52" s="152">
        <v>3.6792</v>
      </c>
      <c r="J52" s="152">
        <v>40.12</v>
      </c>
      <c r="K52" s="152">
        <v>22.23</v>
      </c>
      <c r="L52" s="152">
        <v>13.74</v>
      </c>
      <c r="M52" s="152">
        <v>0.618</v>
      </c>
      <c r="N52" s="152">
        <v>0.5068</v>
      </c>
      <c r="O52" s="152">
        <v>0.3094</v>
      </c>
      <c r="P52" s="152">
        <v>1.6182</v>
      </c>
      <c r="Q52" s="152">
        <v>118.84</v>
      </c>
      <c r="R52" s="152">
        <v>91.75</v>
      </c>
      <c r="S52" s="152">
        <v>27.08</v>
      </c>
      <c r="T52" s="152">
        <v>5.62</v>
      </c>
      <c r="U52" s="152">
        <v>113.22</v>
      </c>
      <c r="V52" s="152">
        <v>98.57</v>
      </c>
      <c r="W52" s="152">
        <v>4.4338</v>
      </c>
      <c r="X52" s="152">
        <v>4.73</v>
      </c>
      <c r="Y52" s="152">
        <v>252.0</v>
      </c>
      <c r="Z52" s="152">
        <v>429.0</v>
      </c>
      <c r="AA52" s="152">
        <v>1211.0</v>
      </c>
      <c r="AB52" s="152">
        <v>51.8696</v>
      </c>
      <c r="AC52" s="152">
        <v>0.7081</v>
      </c>
      <c r="AD52" s="152">
        <v>9.78</v>
      </c>
      <c r="AE52" s="152">
        <v>4.0</v>
      </c>
      <c r="AF52" s="152">
        <v>9.0</v>
      </c>
      <c r="AG52" s="152">
        <v>13.0</v>
      </c>
      <c r="AH52" s="152">
        <v>19.0</v>
      </c>
      <c r="AI52" s="152">
        <v>66.44</v>
      </c>
      <c r="AJ52" s="152">
        <v>27.61</v>
      </c>
      <c r="AK52" s="152">
        <v>3.8</v>
      </c>
      <c r="AL52" s="152">
        <v>0.3954</v>
      </c>
      <c r="AQ52" s="76">
        <v>6.8483</v>
      </c>
      <c r="AR52" s="76">
        <v>0.1371</v>
      </c>
      <c r="AS52" s="76">
        <v>6.7112</v>
      </c>
      <c r="AT52" s="76">
        <v>5.0265</v>
      </c>
      <c r="AU52" s="76">
        <v>0.2261</v>
      </c>
      <c r="AV52" s="76">
        <v>5506.0</v>
      </c>
      <c r="AW52" s="76">
        <v>0.0</v>
      </c>
      <c r="AX52" s="76">
        <v>60.83</v>
      </c>
      <c r="AY52" s="76">
        <v>48.48</v>
      </c>
      <c r="AZ52" s="76">
        <v>2.55</v>
      </c>
      <c r="BA52" s="76">
        <v>5.62</v>
      </c>
      <c r="BB52" s="76">
        <v>1.36</v>
      </c>
      <c r="BC52" s="76">
        <v>35.0</v>
      </c>
      <c r="BD52" s="76">
        <v>19661.0</v>
      </c>
      <c r="BE52" s="76">
        <v>4.4279</v>
      </c>
      <c r="BF52" s="76">
        <v>0.085</v>
      </c>
      <c r="BG52" s="76">
        <v>4.3429</v>
      </c>
      <c r="BH52" s="76">
        <v>2.8614</v>
      </c>
      <c r="BI52" s="76">
        <v>0.1287</v>
      </c>
      <c r="BJ52" s="76">
        <v>2.4205</v>
      </c>
      <c r="BK52" s="76">
        <v>0.0521</v>
      </c>
      <c r="BL52" s="76">
        <v>2.3683</v>
      </c>
      <c r="BM52" s="76">
        <v>2.1651</v>
      </c>
      <c r="BN52" s="76">
        <v>0.0974</v>
      </c>
      <c r="BO52" s="76">
        <v>1.7105</v>
      </c>
      <c r="BP52" s="76">
        <v>0.0291</v>
      </c>
      <c r="BQ52" s="76">
        <v>1.6814</v>
      </c>
      <c r="BR52" s="76">
        <v>1.1217</v>
      </c>
      <c r="BS52" s="76">
        <v>1.7911</v>
      </c>
      <c r="BT52" s="76">
        <v>0.0252</v>
      </c>
      <c r="BU52" s="76">
        <v>1.7659</v>
      </c>
      <c r="BV52" s="76">
        <v>1.1213</v>
      </c>
      <c r="BW52" s="76">
        <v>0.9263</v>
      </c>
      <c r="BX52" s="76">
        <v>0.0307</v>
      </c>
      <c r="BY52" s="76">
        <v>0.8956</v>
      </c>
      <c r="BZ52" s="76">
        <v>0.6184</v>
      </c>
      <c r="CA52" s="76">
        <v>0.4206</v>
      </c>
      <c r="CB52" s="76">
        <v>0.0122</v>
      </c>
      <c r="CC52" s="76">
        <v>0.4085</v>
      </c>
      <c r="CD52" s="76">
        <v>0.4143</v>
      </c>
      <c r="CE52" s="76">
        <v>1.0776</v>
      </c>
      <c r="CF52" s="76">
        <v>0.0178</v>
      </c>
      <c r="CG52" s="76">
        <v>1.0598</v>
      </c>
      <c r="CH52" s="76">
        <v>0.8997</v>
      </c>
      <c r="CI52" s="76">
        <v>0.9223</v>
      </c>
      <c r="CJ52" s="76">
        <v>0.0222</v>
      </c>
      <c r="CK52" s="76">
        <v>0.9001</v>
      </c>
      <c r="CL52" s="76">
        <v>0.8511</v>
      </c>
      <c r="CM52" s="76">
        <v>172.13</v>
      </c>
      <c r="CN52" s="76">
        <v>78.71</v>
      </c>
      <c r="CO52" s="76">
        <v>218.68</v>
      </c>
      <c r="CP52" s="76">
        <v>146.49</v>
      </c>
      <c r="CQ52" s="76">
        <v>0.0</v>
      </c>
      <c r="CR52" s="76">
        <v>17.24</v>
      </c>
      <c r="CS52" s="76">
        <v>8.4</v>
      </c>
      <c r="CT52" s="76">
        <v>0.0</v>
      </c>
      <c r="CU52" s="76">
        <v>0.0</v>
      </c>
      <c r="CV52" s="76">
        <v>0.0</v>
      </c>
      <c r="CW52" s="76">
        <v>118.84</v>
      </c>
      <c r="CX52" s="76">
        <v>0.0</v>
      </c>
      <c r="CY52" s="76">
        <v>0.0</v>
      </c>
    </row>
    <row r="53" ht="15.75" customHeight="1">
      <c r="A53" s="151">
        <v>46234.0</v>
      </c>
      <c r="B53" s="152" t="s">
        <v>4</v>
      </c>
      <c r="C53" s="152" t="s">
        <v>149</v>
      </c>
      <c r="D53" s="152">
        <v>4474.0</v>
      </c>
      <c r="E53" s="152">
        <v>17.26</v>
      </c>
      <c r="F53" s="152">
        <v>483.44</v>
      </c>
      <c r="G53" s="152">
        <v>0.1081</v>
      </c>
      <c r="H53" s="152">
        <v>2.62</v>
      </c>
      <c r="I53" s="152">
        <v>4.132</v>
      </c>
      <c r="J53" s="152">
        <v>60.31</v>
      </c>
      <c r="K53" s="152">
        <v>35.12</v>
      </c>
      <c r="L53" s="152">
        <v>25.02</v>
      </c>
      <c r="M53" s="152">
        <v>0.7123</v>
      </c>
      <c r="N53" s="152">
        <v>0.4111</v>
      </c>
      <c r="O53" s="152">
        <v>0.2661</v>
      </c>
      <c r="P53" s="152">
        <v>1.4039</v>
      </c>
      <c r="Q53" s="152">
        <v>189.72</v>
      </c>
      <c r="R53" s="152">
        <v>139.09</v>
      </c>
      <c r="S53" s="152">
        <v>50.63</v>
      </c>
      <c r="T53" s="152">
        <v>9.56</v>
      </c>
      <c r="U53" s="152">
        <v>180.17</v>
      </c>
      <c r="V53" s="152">
        <v>166.67</v>
      </c>
      <c r="W53" s="152">
        <v>4.7458</v>
      </c>
      <c r="X53" s="152">
        <v>5.04</v>
      </c>
      <c r="Y53" s="152">
        <v>296.0</v>
      </c>
      <c r="Z53" s="152">
        <v>506.0</v>
      </c>
      <c r="AA53" s="152">
        <v>1203.0</v>
      </c>
      <c r="AB53" s="152">
        <v>53.2304</v>
      </c>
      <c r="AC53" s="152">
        <v>0.7696</v>
      </c>
      <c r="AD53" s="152">
        <v>16.42</v>
      </c>
      <c r="AE53" s="152">
        <v>7.0</v>
      </c>
      <c r="AF53" s="152">
        <v>13.0</v>
      </c>
      <c r="AG53" s="152">
        <v>23.0</v>
      </c>
      <c r="AH53" s="152">
        <v>33.0</v>
      </c>
      <c r="AI53" s="152">
        <v>58.25</v>
      </c>
      <c r="AJ53" s="152">
        <v>19.76</v>
      </c>
      <c r="AK53" s="152">
        <v>4.56</v>
      </c>
      <c r="AL53" s="152">
        <v>0.3154</v>
      </c>
      <c r="AQ53" s="76">
        <v>10.9902</v>
      </c>
      <c r="AR53" s="76">
        <v>0.2378</v>
      </c>
      <c r="AS53" s="76">
        <v>10.7523</v>
      </c>
      <c r="AT53" s="76">
        <v>7.7955</v>
      </c>
      <c r="AU53" s="76">
        <v>0.222</v>
      </c>
      <c r="AV53" s="76">
        <v>4474.0</v>
      </c>
      <c r="AW53" s="76">
        <v>0.0</v>
      </c>
      <c r="AX53" s="76">
        <v>102.5</v>
      </c>
      <c r="AY53" s="76">
        <v>72.89</v>
      </c>
      <c r="AZ53" s="76">
        <v>2.41</v>
      </c>
      <c r="BA53" s="76">
        <v>9.56</v>
      </c>
      <c r="BB53" s="76">
        <v>2.37</v>
      </c>
      <c r="BC53" s="76">
        <v>64.0</v>
      </c>
      <c r="BD53" s="76">
        <v>17704.0</v>
      </c>
      <c r="BE53" s="76">
        <v>7.0103</v>
      </c>
      <c r="BF53" s="76">
        <v>0.1676</v>
      </c>
      <c r="BG53" s="76">
        <v>6.8426</v>
      </c>
      <c r="BH53" s="76">
        <v>4.2215</v>
      </c>
      <c r="BI53" s="76">
        <v>0.1202</v>
      </c>
      <c r="BJ53" s="76">
        <v>3.9799</v>
      </c>
      <c r="BK53" s="76">
        <v>0.0702</v>
      </c>
      <c r="BL53" s="76">
        <v>3.9097</v>
      </c>
      <c r="BM53" s="76">
        <v>3.574</v>
      </c>
      <c r="BN53" s="76">
        <v>0.1018</v>
      </c>
      <c r="BO53" s="76">
        <v>2.681</v>
      </c>
      <c r="BP53" s="76">
        <v>0.0536</v>
      </c>
      <c r="BQ53" s="76">
        <v>2.6274</v>
      </c>
      <c r="BR53" s="76">
        <v>1.6323</v>
      </c>
      <c r="BS53" s="76">
        <v>2.8283</v>
      </c>
      <c r="BT53" s="76">
        <v>0.051</v>
      </c>
      <c r="BU53" s="76">
        <v>2.7774</v>
      </c>
      <c r="BV53" s="76">
        <v>1.6701</v>
      </c>
      <c r="BW53" s="76">
        <v>1.5009</v>
      </c>
      <c r="BX53" s="76">
        <v>0.063</v>
      </c>
      <c r="BY53" s="76">
        <v>1.4379</v>
      </c>
      <c r="BZ53" s="76">
        <v>0.9191</v>
      </c>
      <c r="CA53" s="76">
        <v>0.6942</v>
      </c>
      <c r="CB53" s="76">
        <v>0.0159</v>
      </c>
      <c r="CC53" s="76">
        <v>0.6784</v>
      </c>
      <c r="CD53" s="76">
        <v>0.715</v>
      </c>
      <c r="CE53" s="76">
        <v>1.7459</v>
      </c>
      <c r="CF53" s="76">
        <v>0.0308</v>
      </c>
      <c r="CG53" s="76">
        <v>1.715</v>
      </c>
      <c r="CH53" s="76">
        <v>1.4519</v>
      </c>
      <c r="CI53" s="76">
        <v>1.5398</v>
      </c>
      <c r="CJ53" s="76">
        <v>0.0235</v>
      </c>
      <c r="CK53" s="76">
        <v>1.5163</v>
      </c>
      <c r="CL53" s="76">
        <v>1.407</v>
      </c>
      <c r="CM53" s="76">
        <v>300.07</v>
      </c>
      <c r="CN53" s="76">
        <v>89.34</v>
      </c>
      <c r="CO53" s="76">
        <v>335.88</v>
      </c>
      <c r="CP53" s="76">
        <v>262.64</v>
      </c>
      <c r="CQ53" s="76">
        <v>0.0</v>
      </c>
      <c r="CR53" s="76">
        <v>22.97</v>
      </c>
      <c r="CS53" s="76">
        <v>14.46</v>
      </c>
      <c r="CT53" s="76">
        <v>0.0</v>
      </c>
      <c r="CU53" s="76">
        <v>0.0</v>
      </c>
      <c r="CV53" s="76">
        <v>0.0</v>
      </c>
      <c r="CW53" s="76">
        <v>189.72</v>
      </c>
      <c r="CX53" s="76">
        <v>0.0</v>
      </c>
      <c r="CY53" s="76">
        <v>0.0</v>
      </c>
    </row>
    <row r="54" ht="15.75" customHeight="1">
      <c r="A54" s="151">
        <v>46234.0</v>
      </c>
      <c r="B54" s="152" t="s">
        <v>4</v>
      </c>
      <c r="C54" s="152" t="s">
        <v>150</v>
      </c>
      <c r="D54" s="152">
        <v>3001.0</v>
      </c>
      <c r="E54" s="152">
        <v>11.57</v>
      </c>
      <c r="F54" s="152">
        <v>563.7</v>
      </c>
      <c r="G54" s="152">
        <v>0.1878</v>
      </c>
      <c r="H54" s="152">
        <v>3.13</v>
      </c>
      <c r="I54" s="152">
        <v>5.9968</v>
      </c>
      <c r="J54" s="152">
        <v>113.88</v>
      </c>
      <c r="K54" s="152">
        <v>70.4</v>
      </c>
      <c r="L54" s="152">
        <v>52.07</v>
      </c>
      <c r="M54" s="152">
        <v>0.7396</v>
      </c>
      <c r="N54" s="152">
        <v>0.3679</v>
      </c>
      <c r="O54" s="152">
        <v>0.2375</v>
      </c>
      <c r="P54" s="152">
        <v>1.352</v>
      </c>
      <c r="Q54" s="152">
        <v>332.2</v>
      </c>
      <c r="R54" s="152">
        <v>224.23</v>
      </c>
      <c r="S54" s="152">
        <v>107.97</v>
      </c>
      <c r="T54" s="152">
        <v>19.46</v>
      </c>
      <c r="U54" s="152">
        <v>312.74</v>
      </c>
      <c r="V54" s="152">
        <v>317.16</v>
      </c>
      <c r="W54" s="152">
        <v>4.505</v>
      </c>
      <c r="X54" s="152">
        <v>5.86</v>
      </c>
      <c r="Y54" s="152">
        <v>371.0</v>
      </c>
      <c r="Z54" s="152">
        <v>684.0</v>
      </c>
      <c r="AA54" s="152">
        <v>1627.0</v>
      </c>
      <c r="AB54" s="152">
        <v>55.6828</v>
      </c>
      <c r="AC54" s="152">
        <v>0.7877</v>
      </c>
      <c r="AD54" s="152">
        <v>29.15</v>
      </c>
      <c r="AE54" s="152">
        <v>11.0</v>
      </c>
      <c r="AF54" s="152">
        <v>21.0</v>
      </c>
      <c r="AG54" s="152">
        <v>41.0</v>
      </c>
      <c r="AH54" s="152">
        <v>62.0</v>
      </c>
      <c r="AI54" s="152">
        <v>40.72</v>
      </c>
      <c r="AJ54" s="152">
        <v>10.83</v>
      </c>
      <c r="AK54" s="152">
        <v>2.37</v>
      </c>
      <c r="AL54" s="152">
        <v>0.1926</v>
      </c>
      <c r="AQ54" s="76">
        <v>18.986</v>
      </c>
      <c r="AR54" s="76">
        <v>0.4302</v>
      </c>
      <c r="AS54" s="76">
        <v>18.5558</v>
      </c>
      <c r="AT54" s="76">
        <v>14.3192</v>
      </c>
      <c r="AU54" s="76">
        <v>0.2034</v>
      </c>
      <c r="AV54" s="76">
        <v>3001.0</v>
      </c>
      <c r="AW54" s="76">
        <v>0.0</v>
      </c>
      <c r="AX54" s="76">
        <v>196.77</v>
      </c>
      <c r="AY54" s="76">
        <v>107.13</v>
      </c>
      <c r="AZ54" s="76">
        <v>3.48</v>
      </c>
      <c r="BA54" s="76">
        <v>19.46</v>
      </c>
      <c r="BB54" s="76">
        <v>5.36</v>
      </c>
      <c r="BC54" s="76">
        <v>121.0</v>
      </c>
      <c r="BD54" s="76">
        <v>14724.0</v>
      </c>
      <c r="BE54" s="76">
        <v>11.7471</v>
      </c>
      <c r="BF54" s="76">
        <v>0.2469</v>
      </c>
      <c r="BG54" s="76">
        <v>11.5002</v>
      </c>
      <c r="BH54" s="76">
        <v>7.4382</v>
      </c>
      <c r="BI54" s="76">
        <v>0.1057</v>
      </c>
      <c r="BJ54" s="76">
        <v>7.2389</v>
      </c>
      <c r="BK54" s="76">
        <v>0.1833</v>
      </c>
      <c r="BL54" s="76">
        <v>7.0556</v>
      </c>
      <c r="BM54" s="76">
        <v>6.881</v>
      </c>
      <c r="BN54" s="76">
        <v>0.0977</v>
      </c>
      <c r="BO54" s="76">
        <v>4.6088</v>
      </c>
      <c r="BP54" s="76">
        <v>0.064</v>
      </c>
      <c r="BQ54" s="76">
        <v>4.5448</v>
      </c>
      <c r="BR54" s="76">
        <v>2.8797</v>
      </c>
      <c r="BS54" s="76">
        <v>4.6581</v>
      </c>
      <c r="BT54" s="76">
        <v>0.088</v>
      </c>
      <c r="BU54" s="76">
        <v>4.5701</v>
      </c>
      <c r="BV54" s="76">
        <v>2.9657</v>
      </c>
      <c r="BW54" s="76">
        <v>2.4802</v>
      </c>
      <c r="BX54" s="76">
        <v>0.095</v>
      </c>
      <c r="BY54" s="76">
        <v>2.3852</v>
      </c>
      <c r="BZ54" s="76">
        <v>1.5928</v>
      </c>
      <c r="CA54" s="76">
        <v>1.2982</v>
      </c>
      <c r="CB54" s="76">
        <v>0.0477</v>
      </c>
      <c r="CC54" s="76">
        <v>1.2506</v>
      </c>
      <c r="CD54" s="76">
        <v>1.5055</v>
      </c>
      <c r="CE54" s="76">
        <v>3.0417</v>
      </c>
      <c r="CF54" s="76">
        <v>0.0773</v>
      </c>
      <c r="CG54" s="76">
        <v>2.9643</v>
      </c>
      <c r="CH54" s="76">
        <v>2.6431</v>
      </c>
      <c r="CI54" s="76">
        <v>2.899</v>
      </c>
      <c r="CJ54" s="76">
        <v>0.0583</v>
      </c>
      <c r="CK54" s="76">
        <v>2.8407</v>
      </c>
      <c r="CL54" s="76">
        <v>2.7324</v>
      </c>
      <c r="CM54" s="76">
        <v>626.4</v>
      </c>
      <c r="CN54" s="76">
        <v>96.9</v>
      </c>
      <c r="CO54" s="76">
        <v>646.44</v>
      </c>
      <c r="CP54" s="76">
        <v>573.66</v>
      </c>
      <c r="CQ54" s="76">
        <v>0.0</v>
      </c>
      <c r="CR54" s="76">
        <v>30.09</v>
      </c>
      <c r="CS54" s="76">
        <v>22.65</v>
      </c>
      <c r="CT54" s="76">
        <v>0.0</v>
      </c>
      <c r="CU54" s="76">
        <v>1.0</v>
      </c>
      <c r="CV54" s="76">
        <v>0.0</v>
      </c>
      <c r="CW54" s="76">
        <v>332.2</v>
      </c>
      <c r="CX54" s="76">
        <v>0.0</v>
      </c>
      <c r="CY54" s="76">
        <v>0.0</v>
      </c>
    </row>
    <row r="55" ht="15.75" customHeight="1">
      <c r="A55" s="151">
        <v>46234.0</v>
      </c>
      <c r="B55" s="152" t="s">
        <v>4</v>
      </c>
      <c r="C55" s="152" t="s">
        <v>151</v>
      </c>
      <c r="D55" s="152">
        <v>419.0</v>
      </c>
      <c r="E55" s="152">
        <v>1.62</v>
      </c>
      <c r="F55" s="152">
        <v>85.21</v>
      </c>
      <c r="G55" s="152">
        <v>0.2034</v>
      </c>
      <c r="H55" s="152">
        <v>4.77</v>
      </c>
      <c r="I55" s="152">
        <v>4.2605</v>
      </c>
      <c r="J55" s="152">
        <v>241.49</v>
      </c>
      <c r="K55" s="152">
        <v>167.0</v>
      </c>
      <c r="L55" s="152">
        <v>131.3</v>
      </c>
      <c r="M55" s="152">
        <v>0.7862</v>
      </c>
      <c r="N55" s="152">
        <v>0.2996</v>
      </c>
      <c r="O55" s="152">
        <v>0.2091</v>
      </c>
      <c r="P55" s="152">
        <v>1.2719</v>
      </c>
      <c r="Q55" s="152">
        <v>689.0</v>
      </c>
      <c r="R55" s="152">
        <v>417.61</v>
      </c>
      <c r="S55" s="152">
        <v>271.38</v>
      </c>
      <c r="T55" s="152">
        <v>24.22</v>
      </c>
      <c r="U55" s="152">
        <v>664.77</v>
      </c>
      <c r="V55" s="152">
        <v>635.56</v>
      </c>
      <c r="W55" s="152">
        <v>3.8058</v>
      </c>
      <c r="X55" s="152">
        <v>3.52</v>
      </c>
      <c r="Y55" s="152">
        <v>479.0</v>
      </c>
      <c r="Z55" s="152">
        <v>853.0</v>
      </c>
      <c r="AA55" s="152">
        <v>1704.0</v>
      </c>
      <c r="AB55" s="152">
        <v>59.3105</v>
      </c>
      <c r="AC55" s="152">
        <v>0.8121</v>
      </c>
      <c r="AD55" s="152">
        <v>56.78</v>
      </c>
      <c r="AE55" s="152">
        <v>22.0</v>
      </c>
      <c r="AF55" s="152">
        <v>41.0</v>
      </c>
      <c r="AG55" s="152">
        <v>73.0</v>
      </c>
      <c r="AH55" s="152">
        <v>131.0</v>
      </c>
      <c r="AI55" s="152">
        <v>22.67</v>
      </c>
      <c r="AJ55" s="152">
        <v>3.58</v>
      </c>
      <c r="AK55" s="152">
        <v>0.48</v>
      </c>
      <c r="AL55" s="152">
        <v>0.1241</v>
      </c>
      <c r="AQ55" s="76">
        <v>39.6921</v>
      </c>
      <c r="AR55" s="76">
        <v>0.4368</v>
      </c>
      <c r="AS55" s="76">
        <v>39.2554</v>
      </c>
      <c r="AT55" s="76">
        <v>31.1408</v>
      </c>
      <c r="AU55" s="76">
        <v>0.1865</v>
      </c>
      <c r="AV55" s="76">
        <v>419.0</v>
      </c>
      <c r="AW55" s="76">
        <v>0.0</v>
      </c>
      <c r="AX55" s="76">
        <v>466.89</v>
      </c>
      <c r="AY55" s="76">
        <v>177.43</v>
      </c>
      <c r="AZ55" s="76">
        <v>5.05</v>
      </c>
      <c r="BA55" s="76">
        <v>24.22</v>
      </c>
      <c r="BB55" s="76">
        <v>15.4</v>
      </c>
      <c r="BC55" s="76">
        <v>249.0</v>
      </c>
      <c r="BD55" s="76">
        <v>15120.0</v>
      </c>
      <c r="BE55" s="76">
        <v>23.6611</v>
      </c>
      <c r="BF55" s="76">
        <v>0.1933</v>
      </c>
      <c r="BG55" s="76">
        <v>23.4678</v>
      </c>
      <c r="BH55" s="76">
        <v>16.0095</v>
      </c>
      <c r="BI55" s="76">
        <v>0.0959</v>
      </c>
      <c r="BJ55" s="76">
        <v>16.031</v>
      </c>
      <c r="BK55" s="76">
        <v>0.2434</v>
      </c>
      <c r="BL55" s="76">
        <v>15.7876</v>
      </c>
      <c r="BM55" s="76">
        <v>15.1313</v>
      </c>
      <c r="BN55" s="76">
        <v>0.0906</v>
      </c>
      <c r="BO55" s="76">
        <v>9.1838</v>
      </c>
      <c r="BP55" s="76">
        <v>0.0597</v>
      </c>
      <c r="BQ55" s="76">
        <v>9.1241</v>
      </c>
      <c r="BR55" s="76">
        <v>6.2673</v>
      </c>
      <c r="BS55" s="76">
        <v>9.7184</v>
      </c>
      <c r="BT55" s="76">
        <v>0.0597</v>
      </c>
      <c r="BU55" s="76">
        <v>9.6587</v>
      </c>
      <c r="BV55" s="76">
        <v>6.5036</v>
      </c>
      <c r="BW55" s="76">
        <v>4.7589</v>
      </c>
      <c r="BX55" s="76">
        <v>0.074</v>
      </c>
      <c r="BY55" s="76">
        <v>4.685</v>
      </c>
      <c r="BZ55" s="76">
        <v>3.2387</v>
      </c>
      <c r="CA55" s="76">
        <v>3.1718</v>
      </c>
      <c r="CB55" s="76">
        <v>0.074</v>
      </c>
      <c r="CC55" s="76">
        <v>3.0979</v>
      </c>
      <c r="CD55" s="76">
        <v>3.284</v>
      </c>
      <c r="CE55" s="76">
        <v>6.5394</v>
      </c>
      <c r="CF55" s="76">
        <v>0.0955</v>
      </c>
      <c r="CG55" s="76">
        <v>6.4439</v>
      </c>
      <c r="CH55" s="76">
        <v>6.0167</v>
      </c>
      <c r="CI55" s="76">
        <v>6.3198</v>
      </c>
      <c r="CJ55" s="76">
        <v>0.074</v>
      </c>
      <c r="CK55" s="76">
        <v>6.2458</v>
      </c>
      <c r="CL55" s="76">
        <v>5.8305</v>
      </c>
      <c r="CM55" s="76">
        <v>1515.23</v>
      </c>
      <c r="CN55" s="76">
        <v>98.33</v>
      </c>
      <c r="CO55" s="76">
        <v>1540.97</v>
      </c>
      <c r="CP55" s="76">
        <v>1440.93</v>
      </c>
      <c r="CQ55" s="76">
        <v>0.0</v>
      </c>
      <c r="CR55" s="76">
        <v>36.18</v>
      </c>
      <c r="CS55" s="76">
        <v>38.11</v>
      </c>
      <c r="CT55" s="76">
        <v>0.0</v>
      </c>
      <c r="CU55" s="76">
        <v>0.0</v>
      </c>
      <c r="CV55" s="76">
        <v>0.0</v>
      </c>
      <c r="CW55" s="76">
        <v>689.0</v>
      </c>
      <c r="CX55" s="76">
        <v>0.0</v>
      </c>
      <c r="CY55" s="76">
        <v>0.0</v>
      </c>
    </row>
    <row r="56" ht="15.75" customHeight="1">
      <c r="A56" s="151">
        <v>46234.0</v>
      </c>
      <c r="B56" s="152" t="s">
        <v>5</v>
      </c>
      <c r="C56" s="152" t="s">
        <v>316</v>
      </c>
      <c r="D56" s="152">
        <v>5024.0</v>
      </c>
      <c r="E56" s="152">
        <v>19.54</v>
      </c>
      <c r="F56" s="152">
        <v>379.41</v>
      </c>
      <c r="G56" s="152">
        <v>0.0755</v>
      </c>
      <c r="H56" s="152">
        <v>1.19</v>
      </c>
      <c r="I56" s="152">
        <v>6.3235</v>
      </c>
      <c r="J56" s="152">
        <v>25.09</v>
      </c>
      <c r="K56" s="152">
        <v>13.5</v>
      </c>
      <c r="L56" s="152">
        <v>10.02</v>
      </c>
      <c r="M56" s="152">
        <v>0.7419</v>
      </c>
      <c r="N56" s="152">
        <v>0.3852</v>
      </c>
      <c r="O56" s="152">
        <v>0.2097</v>
      </c>
      <c r="P56" s="152">
        <v>1.3478</v>
      </c>
      <c r="Q56" s="152">
        <v>82.31</v>
      </c>
      <c r="R56" s="152">
        <v>82.23</v>
      </c>
      <c r="S56" s="152">
        <v>0.08</v>
      </c>
      <c r="T56" s="152">
        <v>7.55</v>
      </c>
      <c r="U56" s="152">
        <v>74.75</v>
      </c>
      <c r="V56" s="152">
        <v>52.35</v>
      </c>
      <c r="W56" s="152">
        <v>3.8764</v>
      </c>
      <c r="X56" s="152">
        <v>9.18</v>
      </c>
      <c r="Y56" s="152">
        <v>200.0</v>
      </c>
      <c r="Z56" s="152">
        <v>460.0</v>
      </c>
      <c r="AA56" s="152">
        <v>2973.0</v>
      </c>
      <c r="AB56" s="152">
        <v>49.6263</v>
      </c>
      <c r="AC56" s="152">
        <v>0.4787</v>
      </c>
      <c r="AD56" s="153"/>
      <c r="AE56" s="153"/>
      <c r="AF56" s="153"/>
      <c r="AG56" s="153"/>
      <c r="AH56" s="153"/>
      <c r="AI56" s="152">
        <v>0.0</v>
      </c>
      <c r="AJ56" s="152">
        <v>0.0</v>
      </c>
      <c r="AK56" s="152">
        <v>0.0</v>
      </c>
      <c r="AL56" s="152">
        <v>0.5259</v>
      </c>
      <c r="AM56" s="76">
        <v>11.74</v>
      </c>
      <c r="AN56" s="76">
        <v>11.74</v>
      </c>
      <c r="AO56" s="76">
        <v>6.95</v>
      </c>
      <c r="AP56" s="76">
        <v>3.48</v>
      </c>
      <c r="AQ56" s="76">
        <v>3.2717</v>
      </c>
      <c r="AR56" s="76">
        <v>0.1055</v>
      </c>
      <c r="AS56" s="76">
        <v>3.1662</v>
      </c>
      <c r="AT56" s="76">
        <v>2.0472</v>
      </c>
      <c r="AU56" s="76">
        <v>0.1516</v>
      </c>
      <c r="AV56" s="76">
        <v>5024.0</v>
      </c>
      <c r="AW56" s="76">
        <v>0.0</v>
      </c>
      <c r="AX56" s="76">
        <v>9.91</v>
      </c>
      <c r="AY56" s="76">
        <v>61.8</v>
      </c>
      <c r="AZ56" s="76">
        <v>2.78</v>
      </c>
      <c r="BA56" s="76">
        <v>7.55</v>
      </c>
      <c r="BB56" s="76">
        <v>0.26</v>
      </c>
      <c r="BD56" s="76">
        <v>26167.0</v>
      </c>
      <c r="BE56" s="76">
        <v>1.4266</v>
      </c>
      <c r="BF56" s="76">
        <v>0.0442</v>
      </c>
      <c r="BG56" s="76">
        <v>1.3824</v>
      </c>
      <c r="BH56" s="76">
        <v>0.924</v>
      </c>
      <c r="BI56" s="76">
        <v>0.0684</v>
      </c>
      <c r="BJ56" s="76">
        <v>1.8451</v>
      </c>
      <c r="BK56" s="76">
        <v>0.0613</v>
      </c>
      <c r="BL56" s="76">
        <v>1.7838</v>
      </c>
      <c r="BM56" s="76">
        <v>1.1232</v>
      </c>
      <c r="BN56" s="76">
        <v>0.0832</v>
      </c>
      <c r="BO56" s="76">
        <v>0.5123</v>
      </c>
      <c r="BP56" s="76">
        <v>0.0155</v>
      </c>
      <c r="BQ56" s="76">
        <v>0.4968</v>
      </c>
      <c r="BR56" s="76">
        <v>0.3432</v>
      </c>
      <c r="BS56" s="76">
        <v>0.5476</v>
      </c>
      <c r="BT56" s="76">
        <v>0.0143</v>
      </c>
      <c r="BU56" s="76">
        <v>0.5332</v>
      </c>
      <c r="BV56" s="76">
        <v>0.3441</v>
      </c>
      <c r="BW56" s="76">
        <v>0.3666</v>
      </c>
      <c r="BX56" s="76">
        <v>0.0143</v>
      </c>
      <c r="BY56" s="76">
        <v>0.3523</v>
      </c>
      <c r="BZ56" s="76">
        <v>0.2367</v>
      </c>
      <c r="CA56" s="76">
        <v>0.4168</v>
      </c>
      <c r="CB56" s="76">
        <v>0.0153</v>
      </c>
      <c r="CC56" s="76">
        <v>0.4015</v>
      </c>
      <c r="CD56" s="76">
        <v>0.2379</v>
      </c>
      <c r="CE56" s="76">
        <v>0.7986</v>
      </c>
      <c r="CF56" s="76">
        <v>0.0245</v>
      </c>
      <c r="CG56" s="76">
        <v>0.7741</v>
      </c>
      <c r="CH56" s="76">
        <v>0.4122</v>
      </c>
      <c r="CI56" s="76">
        <v>0.6298</v>
      </c>
      <c r="CJ56" s="76">
        <v>0.0215</v>
      </c>
      <c r="CK56" s="76">
        <v>0.6083</v>
      </c>
      <c r="CL56" s="76">
        <v>0.4731</v>
      </c>
      <c r="CM56" s="76">
        <v>127.26</v>
      </c>
      <c r="CN56" s="76">
        <v>26.55</v>
      </c>
      <c r="CO56" s="76">
        <v>479.29</v>
      </c>
      <c r="CP56" s="76">
        <v>109.88</v>
      </c>
      <c r="CQ56" s="76">
        <v>1.41</v>
      </c>
      <c r="CR56" s="76">
        <v>8.7</v>
      </c>
      <c r="CS56" s="76">
        <v>7.27</v>
      </c>
      <c r="CT56" s="76">
        <v>0.0</v>
      </c>
      <c r="CU56" s="76">
        <v>1289.0</v>
      </c>
      <c r="CV56" s="76">
        <v>12.86</v>
      </c>
      <c r="CW56" s="76">
        <v>95.17</v>
      </c>
      <c r="CX56" s="76">
        <v>0.12</v>
      </c>
      <c r="CY56" s="76">
        <v>1.53</v>
      </c>
    </row>
    <row r="57" ht="15.75" customHeight="1">
      <c r="A57" s="151">
        <v>46234.0</v>
      </c>
      <c r="B57" s="152" t="s">
        <v>5</v>
      </c>
      <c r="C57" s="152" t="s">
        <v>147</v>
      </c>
      <c r="D57" s="152">
        <v>7264.0</v>
      </c>
      <c r="E57" s="152">
        <v>28.25</v>
      </c>
      <c r="F57" s="152">
        <v>110.62</v>
      </c>
      <c r="G57" s="152">
        <v>0.0152</v>
      </c>
      <c r="H57" s="152">
        <v>0.56</v>
      </c>
      <c r="I57" s="152">
        <v>2.698</v>
      </c>
      <c r="J57" s="152">
        <v>19.77</v>
      </c>
      <c r="K57" s="152">
        <v>10.08</v>
      </c>
      <c r="L57" s="152">
        <v>5.05</v>
      </c>
      <c r="M57" s="152">
        <v>0.5015</v>
      </c>
      <c r="N57" s="152">
        <v>0.6067</v>
      </c>
      <c r="O57" s="152">
        <v>0.3608</v>
      </c>
      <c r="P57" s="152">
        <v>1.9941</v>
      </c>
      <c r="Q57" s="152">
        <v>50.42</v>
      </c>
      <c r="R57" s="152">
        <v>47.45</v>
      </c>
      <c r="S57" s="152">
        <v>2.97</v>
      </c>
      <c r="T57" s="152">
        <v>1.47</v>
      </c>
      <c r="U57" s="152">
        <v>48.95</v>
      </c>
      <c r="V57" s="152">
        <v>40.18</v>
      </c>
      <c r="W57" s="152">
        <v>3.9871</v>
      </c>
      <c r="X57" s="152">
        <v>2.91</v>
      </c>
      <c r="Y57" s="152">
        <v>200.0</v>
      </c>
      <c r="Z57" s="152">
        <v>320.0</v>
      </c>
      <c r="AA57" s="152">
        <v>1163.0</v>
      </c>
      <c r="AB57" s="152">
        <v>49.6862</v>
      </c>
      <c r="AC57" s="152">
        <v>0.6119</v>
      </c>
      <c r="AD57" s="152">
        <v>3.93</v>
      </c>
      <c r="AE57" s="152">
        <v>1.0</v>
      </c>
      <c r="AF57" s="152">
        <v>3.0</v>
      </c>
      <c r="AG57" s="152">
        <v>5.0</v>
      </c>
      <c r="AH57" s="152">
        <v>8.0</v>
      </c>
      <c r="AI57" s="152">
        <v>74.37</v>
      </c>
      <c r="AJ57" s="152">
        <v>33.11</v>
      </c>
      <c r="AK57" s="152">
        <v>5.71</v>
      </c>
      <c r="AL57" s="152">
        <v>0.5322</v>
      </c>
      <c r="AM57" s="76">
        <v>37.27</v>
      </c>
      <c r="AN57" s="76">
        <v>37.27</v>
      </c>
      <c r="AO57" s="76">
        <v>17.17</v>
      </c>
      <c r="AP57" s="76">
        <v>4.96</v>
      </c>
      <c r="AQ57" s="76">
        <v>3.467</v>
      </c>
      <c r="AR57" s="76">
        <v>0.0335</v>
      </c>
      <c r="AS57" s="76">
        <v>3.4335</v>
      </c>
      <c r="AT57" s="76">
        <v>2.5542</v>
      </c>
      <c r="AU57" s="76">
        <v>0.2534</v>
      </c>
      <c r="AV57" s="76">
        <v>7264.0</v>
      </c>
      <c r="AW57" s="76">
        <v>0.0</v>
      </c>
      <c r="AX57" s="76">
        <v>17.52</v>
      </c>
      <c r="AY57" s="76">
        <v>29.25</v>
      </c>
      <c r="AZ57" s="76">
        <v>1.78</v>
      </c>
      <c r="BA57" s="76">
        <v>1.47</v>
      </c>
      <c r="BB57" s="76">
        <v>0.41</v>
      </c>
      <c r="BC57" s="76">
        <v>16.0</v>
      </c>
      <c r="BD57" s="76">
        <v>18263.0</v>
      </c>
      <c r="BE57" s="76">
        <v>2.2338</v>
      </c>
      <c r="BF57" s="76">
        <v>0.019</v>
      </c>
      <c r="BG57" s="76">
        <v>2.2148</v>
      </c>
      <c r="BH57" s="76">
        <v>1.5008</v>
      </c>
      <c r="BI57" s="76">
        <v>0.1489</v>
      </c>
      <c r="BJ57" s="76">
        <v>1.2332</v>
      </c>
      <c r="BK57" s="76">
        <v>0.0145</v>
      </c>
      <c r="BL57" s="76">
        <v>1.2188</v>
      </c>
      <c r="BM57" s="76">
        <v>1.0534</v>
      </c>
      <c r="BN57" s="76">
        <v>0.1045</v>
      </c>
      <c r="BO57" s="76">
        <v>0.9093</v>
      </c>
      <c r="BP57" s="76">
        <v>0.0096</v>
      </c>
      <c r="BQ57" s="76">
        <v>0.8996</v>
      </c>
      <c r="BR57" s="76">
        <v>0.625</v>
      </c>
      <c r="BS57" s="76">
        <v>0.8643</v>
      </c>
      <c r="BT57" s="76">
        <v>0.0034</v>
      </c>
      <c r="BU57" s="76">
        <v>0.8608</v>
      </c>
      <c r="BV57" s="76">
        <v>0.5588</v>
      </c>
      <c r="BW57" s="76">
        <v>0.4602</v>
      </c>
      <c r="BX57" s="76">
        <v>0.0059</v>
      </c>
      <c r="BY57" s="76">
        <v>0.4543</v>
      </c>
      <c r="BZ57" s="76">
        <v>0.317</v>
      </c>
      <c r="CA57" s="76">
        <v>0.1601</v>
      </c>
      <c r="CB57" s="76">
        <v>0.0025</v>
      </c>
      <c r="CC57" s="76">
        <v>0.1576</v>
      </c>
      <c r="CD57" s="76">
        <v>0.1604</v>
      </c>
      <c r="CE57" s="76">
        <v>0.6736</v>
      </c>
      <c r="CF57" s="76">
        <v>0.0045</v>
      </c>
      <c r="CG57" s="76">
        <v>0.6691</v>
      </c>
      <c r="CH57" s="76">
        <v>0.5297</v>
      </c>
      <c r="CI57" s="76">
        <v>0.3995</v>
      </c>
      <c r="CJ57" s="76">
        <v>0.0074</v>
      </c>
      <c r="CK57" s="76">
        <v>0.3921</v>
      </c>
      <c r="CL57" s="76">
        <v>0.3633</v>
      </c>
      <c r="CM57" s="76">
        <v>64.36</v>
      </c>
      <c r="CN57" s="76">
        <v>61.8</v>
      </c>
      <c r="CO57" s="76">
        <v>104.15</v>
      </c>
      <c r="CP57" s="76">
        <v>50.42</v>
      </c>
      <c r="CQ57" s="76">
        <v>0.88</v>
      </c>
      <c r="CR57" s="76">
        <v>10.6</v>
      </c>
      <c r="CS57" s="76">
        <v>2.45</v>
      </c>
      <c r="CT57" s="76">
        <v>0.0</v>
      </c>
      <c r="CU57" s="76">
        <v>1744.0</v>
      </c>
      <c r="CV57" s="76">
        <v>0.09</v>
      </c>
      <c r="CW57" s="76">
        <v>50.51</v>
      </c>
      <c r="CX57" s="76">
        <v>0.11</v>
      </c>
      <c r="CY57" s="76">
        <v>1.0</v>
      </c>
    </row>
    <row r="58" ht="15.75" customHeight="1">
      <c r="A58" s="151">
        <v>46234.0</v>
      </c>
      <c r="B58" s="152" t="s">
        <v>5</v>
      </c>
      <c r="C58" s="152" t="s">
        <v>148</v>
      </c>
      <c r="D58" s="152">
        <v>5562.0</v>
      </c>
      <c r="E58" s="152">
        <v>21.63</v>
      </c>
      <c r="F58" s="152">
        <v>260.26</v>
      </c>
      <c r="G58" s="152">
        <v>0.0468</v>
      </c>
      <c r="H58" s="152">
        <v>1.91</v>
      </c>
      <c r="I58" s="152">
        <v>2.4553</v>
      </c>
      <c r="J58" s="152">
        <v>40.69</v>
      </c>
      <c r="K58" s="152">
        <v>21.54</v>
      </c>
      <c r="L58" s="152">
        <v>13.13</v>
      </c>
      <c r="M58" s="152">
        <v>0.6094</v>
      </c>
      <c r="N58" s="152">
        <v>0.514</v>
      </c>
      <c r="O58" s="152">
        <v>0.3126</v>
      </c>
      <c r="P58" s="152">
        <v>1.6411</v>
      </c>
      <c r="Q58" s="152">
        <v>103.76</v>
      </c>
      <c r="R58" s="152">
        <v>95.39</v>
      </c>
      <c r="S58" s="152">
        <v>8.37</v>
      </c>
      <c r="T58" s="152">
        <v>4.26</v>
      </c>
      <c r="U58" s="152">
        <v>99.5</v>
      </c>
      <c r="V58" s="152">
        <v>87.09</v>
      </c>
      <c r="W58" s="152">
        <v>4.0424</v>
      </c>
      <c r="X58" s="152">
        <v>4.11</v>
      </c>
      <c r="Y58" s="152">
        <v>229.0</v>
      </c>
      <c r="Z58" s="152">
        <v>374.0</v>
      </c>
      <c r="AA58" s="152">
        <v>1036.0</v>
      </c>
      <c r="AB58" s="152">
        <v>51.6699</v>
      </c>
      <c r="AC58" s="152">
        <v>0.7037</v>
      </c>
      <c r="AD58" s="152">
        <v>9.38</v>
      </c>
      <c r="AE58" s="152">
        <v>4.0</v>
      </c>
      <c r="AF58" s="152">
        <v>8.0</v>
      </c>
      <c r="AG58" s="152">
        <v>13.0</v>
      </c>
      <c r="AH58" s="152">
        <v>18.0</v>
      </c>
      <c r="AI58" s="152">
        <v>64.1</v>
      </c>
      <c r="AJ58" s="152">
        <v>26.21</v>
      </c>
      <c r="AK58" s="152">
        <v>3.47</v>
      </c>
      <c r="AL58" s="152">
        <v>0.3932</v>
      </c>
      <c r="AM58" s="76">
        <v>42.23</v>
      </c>
      <c r="AN58" s="76">
        <v>42.23</v>
      </c>
      <c r="AO58" s="76">
        <v>25.73</v>
      </c>
      <c r="AP58" s="76">
        <v>11.88</v>
      </c>
      <c r="AQ58" s="76">
        <v>6.9998</v>
      </c>
      <c r="AR58" s="76">
        <v>0.0885</v>
      </c>
      <c r="AS58" s="76">
        <v>6.9114</v>
      </c>
      <c r="AT58" s="76">
        <v>5.1733</v>
      </c>
      <c r="AU58" s="76">
        <v>0.2401</v>
      </c>
      <c r="AV58" s="76">
        <v>5562.0</v>
      </c>
      <c r="AW58" s="76">
        <v>0.0</v>
      </c>
      <c r="AX58" s="76">
        <v>35.87</v>
      </c>
      <c r="AY58" s="76">
        <v>59.39</v>
      </c>
      <c r="AZ58" s="76">
        <v>2.79</v>
      </c>
      <c r="BA58" s="76">
        <v>4.26</v>
      </c>
      <c r="BB58" s="76">
        <v>1.45</v>
      </c>
      <c r="BC58" s="76">
        <v>33.0</v>
      </c>
      <c r="BD58" s="76">
        <v>16935.0</v>
      </c>
      <c r="BE58" s="76">
        <v>4.3558</v>
      </c>
      <c r="BF58" s="76">
        <v>0.0556</v>
      </c>
      <c r="BG58" s="76">
        <v>4.3003</v>
      </c>
      <c r="BH58" s="76">
        <v>2.8594</v>
      </c>
      <c r="BI58" s="76">
        <v>0.1327</v>
      </c>
      <c r="BJ58" s="76">
        <v>2.644</v>
      </c>
      <c r="BK58" s="76">
        <v>0.0329</v>
      </c>
      <c r="BL58" s="76">
        <v>2.6111</v>
      </c>
      <c r="BM58" s="76">
        <v>2.3139</v>
      </c>
      <c r="BN58" s="76">
        <v>0.1074</v>
      </c>
      <c r="BO58" s="76">
        <v>1.571</v>
      </c>
      <c r="BP58" s="76">
        <v>0.0241</v>
      </c>
      <c r="BQ58" s="76">
        <v>1.5469</v>
      </c>
      <c r="BR58" s="76">
        <v>1.0818</v>
      </c>
      <c r="BS58" s="76">
        <v>1.7591</v>
      </c>
      <c r="BT58" s="76">
        <v>0.0111</v>
      </c>
      <c r="BU58" s="76">
        <v>1.7479</v>
      </c>
      <c r="BV58" s="76">
        <v>1.1025</v>
      </c>
      <c r="BW58" s="76">
        <v>1.0257</v>
      </c>
      <c r="BX58" s="76">
        <v>0.0203</v>
      </c>
      <c r="BY58" s="76">
        <v>1.0054</v>
      </c>
      <c r="BZ58" s="76">
        <v>0.6751</v>
      </c>
      <c r="CA58" s="76">
        <v>0.4029</v>
      </c>
      <c r="CB58" s="76">
        <v>0.0059</v>
      </c>
      <c r="CC58" s="76">
        <v>0.397</v>
      </c>
      <c r="CD58" s="76">
        <v>0.4058</v>
      </c>
      <c r="CE58" s="76">
        <v>1.356</v>
      </c>
      <c r="CF58" s="76">
        <v>0.0156</v>
      </c>
      <c r="CG58" s="76">
        <v>1.3403</v>
      </c>
      <c r="CH58" s="76">
        <v>1.0831</v>
      </c>
      <c r="CI58" s="76">
        <v>0.8851</v>
      </c>
      <c r="CJ58" s="76">
        <v>0.0113</v>
      </c>
      <c r="CK58" s="76">
        <v>0.8738</v>
      </c>
      <c r="CL58" s="76">
        <v>0.8251</v>
      </c>
      <c r="CM58" s="76">
        <v>142.49</v>
      </c>
      <c r="CN58" s="76">
        <v>79.38</v>
      </c>
      <c r="CO58" s="76">
        <v>179.51</v>
      </c>
      <c r="CP58" s="76">
        <v>111.57</v>
      </c>
      <c r="CQ58" s="76">
        <v>1.94</v>
      </c>
      <c r="CR58" s="76">
        <v>17.55</v>
      </c>
      <c r="CS58" s="76">
        <v>11.43</v>
      </c>
      <c r="CT58" s="76">
        <v>0.0</v>
      </c>
      <c r="CU58" s="76">
        <v>2028.0</v>
      </c>
      <c r="CV58" s="76">
        <v>0.07</v>
      </c>
      <c r="CW58" s="76">
        <v>103.83</v>
      </c>
      <c r="CX58" s="76">
        <v>0.38</v>
      </c>
      <c r="CY58" s="76">
        <v>2.32</v>
      </c>
    </row>
    <row r="59" ht="15.75" customHeight="1">
      <c r="A59" s="151">
        <v>46234.0</v>
      </c>
      <c r="B59" s="152" t="s">
        <v>5</v>
      </c>
      <c r="C59" s="152" t="s">
        <v>149</v>
      </c>
      <c r="D59" s="152">
        <v>4583.0</v>
      </c>
      <c r="E59" s="152">
        <v>17.82</v>
      </c>
      <c r="F59" s="152">
        <v>502.62</v>
      </c>
      <c r="G59" s="152">
        <v>0.1097</v>
      </c>
      <c r="H59" s="152">
        <v>2.55</v>
      </c>
      <c r="I59" s="152">
        <v>4.2959</v>
      </c>
      <c r="J59" s="152">
        <v>61.26</v>
      </c>
      <c r="K59" s="152">
        <v>34.49</v>
      </c>
      <c r="L59" s="152">
        <v>24.72</v>
      </c>
      <c r="M59" s="152">
        <v>0.7168</v>
      </c>
      <c r="N59" s="152">
        <v>0.4078</v>
      </c>
      <c r="O59" s="152">
        <v>0.2662</v>
      </c>
      <c r="P59" s="152">
        <v>1.3952</v>
      </c>
      <c r="Q59" s="152">
        <v>179.29</v>
      </c>
      <c r="R59" s="152">
        <v>163.81</v>
      </c>
      <c r="S59" s="152">
        <v>15.48</v>
      </c>
      <c r="T59" s="152">
        <v>9.18</v>
      </c>
      <c r="U59" s="152">
        <v>170.11</v>
      </c>
      <c r="V59" s="152">
        <v>151.54</v>
      </c>
      <c r="W59" s="152">
        <v>4.3942</v>
      </c>
      <c r="X59" s="152">
        <v>5.12</v>
      </c>
      <c r="Y59" s="152">
        <v>270.0</v>
      </c>
      <c r="Z59" s="152">
        <v>449.0</v>
      </c>
      <c r="AA59" s="152">
        <v>1090.0</v>
      </c>
      <c r="AB59" s="152">
        <v>53.541</v>
      </c>
      <c r="AC59" s="152">
        <v>0.7638</v>
      </c>
      <c r="AD59" s="152">
        <v>16.33</v>
      </c>
      <c r="AE59" s="152">
        <v>7.0</v>
      </c>
      <c r="AF59" s="152">
        <v>13.0</v>
      </c>
      <c r="AG59" s="152">
        <v>23.0</v>
      </c>
      <c r="AH59" s="152">
        <v>33.0</v>
      </c>
      <c r="AI59" s="152">
        <v>57.87</v>
      </c>
      <c r="AJ59" s="152">
        <v>19.68</v>
      </c>
      <c r="AK59" s="152">
        <v>4.63</v>
      </c>
      <c r="AL59" s="152">
        <v>0.3092</v>
      </c>
      <c r="AM59" s="76">
        <v>41.89</v>
      </c>
      <c r="AN59" s="76">
        <v>41.89</v>
      </c>
      <c r="AO59" s="76">
        <v>23.85</v>
      </c>
      <c r="AP59" s="76">
        <v>12.44</v>
      </c>
      <c r="AQ59" s="76">
        <v>10.0441</v>
      </c>
      <c r="AR59" s="76">
        <v>0.1348</v>
      </c>
      <c r="AS59" s="76">
        <v>9.9092</v>
      </c>
      <c r="AT59" s="76">
        <v>7.5654</v>
      </c>
      <c r="AU59" s="76">
        <v>0.2194</v>
      </c>
      <c r="AV59" s="76">
        <v>4583.0</v>
      </c>
      <c r="AW59" s="76">
        <v>0.0</v>
      </c>
      <c r="AX59" s="76">
        <v>59.95</v>
      </c>
      <c r="AY59" s="76">
        <v>105.06</v>
      </c>
      <c r="AZ59" s="76">
        <v>2.72</v>
      </c>
      <c r="BA59" s="76">
        <v>9.18</v>
      </c>
      <c r="BB59" s="76">
        <v>2.38</v>
      </c>
      <c r="BC59" s="76">
        <v>62.0</v>
      </c>
      <c r="BD59" s="76">
        <v>16896.0</v>
      </c>
      <c r="BE59" s="76">
        <v>5.9031</v>
      </c>
      <c r="BF59" s="76">
        <v>0.0694</v>
      </c>
      <c r="BG59" s="76">
        <v>5.8337</v>
      </c>
      <c r="BH59" s="76">
        <v>3.753</v>
      </c>
      <c r="BI59" s="76">
        <v>0.1088</v>
      </c>
      <c r="BJ59" s="76">
        <v>4.141</v>
      </c>
      <c r="BK59" s="76">
        <v>0.0655</v>
      </c>
      <c r="BL59" s="76">
        <v>4.0755</v>
      </c>
      <c r="BM59" s="76">
        <v>3.8123</v>
      </c>
      <c r="BN59" s="76">
        <v>0.1105</v>
      </c>
      <c r="BO59" s="76">
        <v>1.9284</v>
      </c>
      <c r="BP59" s="76">
        <v>0.0249</v>
      </c>
      <c r="BQ59" s="76">
        <v>1.9036</v>
      </c>
      <c r="BR59" s="76">
        <v>1.3249</v>
      </c>
      <c r="BS59" s="76">
        <v>2.4552</v>
      </c>
      <c r="BT59" s="76">
        <v>0.0209</v>
      </c>
      <c r="BU59" s="76">
        <v>2.4342</v>
      </c>
      <c r="BV59" s="76">
        <v>1.4752</v>
      </c>
      <c r="BW59" s="76">
        <v>1.5195</v>
      </c>
      <c r="BX59" s="76">
        <v>0.0236</v>
      </c>
      <c r="BY59" s="76">
        <v>1.496</v>
      </c>
      <c r="BZ59" s="76">
        <v>0.9529</v>
      </c>
      <c r="CA59" s="76">
        <v>0.6029</v>
      </c>
      <c r="CB59" s="76">
        <v>0.0148</v>
      </c>
      <c r="CC59" s="76">
        <v>0.588</v>
      </c>
      <c r="CD59" s="76">
        <v>0.7633</v>
      </c>
      <c r="CE59" s="76">
        <v>1.9376</v>
      </c>
      <c r="CF59" s="76">
        <v>0.0279</v>
      </c>
      <c r="CG59" s="76">
        <v>1.9097</v>
      </c>
      <c r="CH59" s="76">
        <v>1.6378</v>
      </c>
      <c r="CI59" s="76">
        <v>1.6005</v>
      </c>
      <c r="CJ59" s="76">
        <v>0.0227</v>
      </c>
      <c r="CK59" s="76">
        <v>1.5778</v>
      </c>
      <c r="CL59" s="76">
        <v>1.4113</v>
      </c>
      <c r="CM59" s="76">
        <v>259.73</v>
      </c>
      <c r="CN59" s="76">
        <v>88.35</v>
      </c>
      <c r="CO59" s="76">
        <v>293.99</v>
      </c>
      <c r="CP59" s="76">
        <v>213.03</v>
      </c>
      <c r="CQ59" s="76">
        <v>2.83</v>
      </c>
      <c r="CR59" s="76">
        <v>22.78</v>
      </c>
      <c r="CS59" s="76">
        <v>21.09</v>
      </c>
      <c r="CT59" s="76">
        <v>0.0</v>
      </c>
      <c r="CU59" s="76">
        <v>2047.0</v>
      </c>
      <c r="CV59" s="76">
        <v>0.14</v>
      </c>
      <c r="CW59" s="76">
        <v>179.43</v>
      </c>
      <c r="CX59" s="76">
        <v>0.25</v>
      </c>
      <c r="CY59" s="76">
        <v>3.08</v>
      </c>
    </row>
    <row r="60" ht="15.75" customHeight="1">
      <c r="A60" s="151">
        <v>46234.0</v>
      </c>
      <c r="B60" s="152" t="s">
        <v>5</v>
      </c>
      <c r="C60" s="152" t="s">
        <v>150</v>
      </c>
      <c r="D60" s="152">
        <v>2858.0</v>
      </c>
      <c r="E60" s="152">
        <v>11.11</v>
      </c>
      <c r="F60" s="152">
        <v>600.51</v>
      </c>
      <c r="G60" s="152">
        <v>0.2101</v>
      </c>
      <c r="H60" s="152">
        <v>3.71</v>
      </c>
      <c r="I60" s="152">
        <v>5.6652</v>
      </c>
      <c r="J60" s="152">
        <v>115.93</v>
      </c>
      <c r="K60" s="152">
        <v>71.16</v>
      </c>
      <c r="L60" s="152">
        <v>53.07</v>
      </c>
      <c r="M60" s="152">
        <v>0.7458</v>
      </c>
      <c r="N60" s="152">
        <v>0.3656</v>
      </c>
      <c r="O60" s="152">
        <v>0.2406</v>
      </c>
      <c r="P60" s="152">
        <v>1.3408</v>
      </c>
      <c r="Q60" s="152">
        <v>353.0</v>
      </c>
      <c r="R60" s="152">
        <v>320.81</v>
      </c>
      <c r="S60" s="152">
        <v>32.2</v>
      </c>
      <c r="T60" s="152">
        <v>19.7</v>
      </c>
      <c r="U60" s="152">
        <v>333.3</v>
      </c>
      <c r="V60" s="152">
        <v>316.76</v>
      </c>
      <c r="W60" s="152">
        <v>4.4513</v>
      </c>
      <c r="X60" s="152">
        <v>5.58</v>
      </c>
      <c r="Y60" s="152">
        <v>363.0</v>
      </c>
      <c r="Z60" s="152">
        <v>619.0</v>
      </c>
      <c r="AA60" s="152">
        <v>1289.0</v>
      </c>
      <c r="AB60" s="152">
        <v>55.4375</v>
      </c>
      <c r="AC60" s="152">
        <v>0.7708</v>
      </c>
      <c r="AD60" s="152">
        <v>29.72</v>
      </c>
      <c r="AE60" s="152">
        <v>11.0</v>
      </c>
      <c r="AF60" s="152">
        <v>22.0</v>
      </c>
      <c r="AG60" s="152">
        <v>41.0</v>
      </c>
      <c r="AH60" s="152">
        <v>62.0</v>
      </c>
      <c r="AI60" s="152">
        <v>41.5</v>
      </c>
      <c r="AJ60" s="152">
        <v>11.72</v>
      </c>
      <c r="AK60" s="152">
        <v>2.52</v>
      </c>
      <c r="AL60" s="152">
        <v>0.1865</v>
      </c>
      <c r="AM60" s="76">
        <v>47.27</v>
      </c>
      <c r="AN60" s="76">
        <v>47.27</v>
      </c>
      <c r="AO60" s="76">
        <v>28.24</v>
      </c>
      <c r="AP60" s="76">
        <v>17.14</v>
      </c>
      <c r="AQ60" s="76">
        <v>15.2036</v>
      </c>
      <c r="AR60" s="76">
        <v>0.3055</v>
      </c>
      <c r="AS60" s="76">
        <v>14.8982</v>
      </c>
      <c r="AT60" s="76">
        <v>12.5322</v>
      </c>
      <c r="AU60" s="76">
        <v>0.1761</v>
      </c>
      <c r="AV60" s="76">
        <v>2858.0</v>
      </c>
      <c r="AW60" s="76">
        <v>0.0</v>
      </c>
      <c r="AX60" s="76">
        <v>116.4</v>
      </c>
      <c r="AY60" s="76">
        <v>207.91</v>
      </c>
      <c r="AZ60" s="76">
        <v>3.73</v>
      </c>
      <c r="BA60" s="76">
        <v>19.7</v>
      </c>
      <c r="BB60" s="76">
        <v>5.26</v>
      </c>
      <c r="BC60" s="76">
        <v>128.0</v>
      </c>
      <c r="BD60" s="76">
        <v>13830.0</v>
      </c>
      <c r="BE60" s="76">
        <v>8.5399</v>
      </c>
      <c r="BF60" s="76">
        <v>0.1638</v>
      </c>
      <c r="BG60" s="76">
        <v>8.3761</v>
      </c>
      <c r="BH60" s="76">
        <v>5.9318</v>
      </c>
      <c r="BI60" s="76">
        <v>0.0834</v>
      </c>
      <c r="BJ60" s="76">
        <v>6.6638</v>
      </c>
      <c r="BK60" s="76">
        <v>0.1417</v>
      </c>
      <c r="BL60" s="76">
        <v>6.522</v>
      </c>
      <c r="BM60" s="76">
        <v>6.6004</v>
      </c>
      <c r="BN60" s="76">
        <v>0.0928</v>
      </c>
      <c r="BO60" s="76">
        <v>2.8268</v>
      </c>
      <c r="BP60" s="76">
        <v>0.0462</v>
      </c>
      <c r="BQ60" s="76">
        <v>2.7806</v>
      </c>
      <c r="BR60" s="76">
        <v>2.0325</v>
      </c>
      <c r="BS60" s="76">
        <v>3.4811</v>
      </c>
      <c r="BT60" s="76">
        <v>0.0504</v>
      </c>
      <c r="BU60" s="76">
        <v>3.4307</v>
      </c>
      <c r="BV60" s="76">
        <v>2.3383</v>
      </c>
      <c r="BW60" s="76">
        <v>2.232</v>
      </c>
      <c r="BX60" s="76">
        <v>0.0672</v>
      </c>
      <c r="BY60" s="76">
        <v>2.1648</v>
      </c>
      <c r="BZ60" s="76">
        <v>1.5609</v>
      </c>
      <c r="CA60" s="76">
        <v>1.1291</v>
      </c>
      <c r="CB60" s="76">
        <v>0.0343</v>
      </c>
      <c r="CC60" s="76">
        <v>1.0948</v>
      </c>
      <c r="CD60" s="76">
        <v>1.2558</v>
      </c>
      <c r="CE60" s="76">
        <v>2.7862</v>
      </c>
      <c r="CF60" s="76">
        <v>0.0595</v>
      </c>
      <c r="CG60" s="76">
        <v>2.7267</v>
      </c>
      <c r="CH60" s="76">
        <v>2.6298</v>
      </c>
      <c r="CI60" s="76">
        <v>2.7484</v>
      </c>
      <c r="CJ60" s="76">
        <v>0.0479</v>
      </c>
      <c r="CK60" s="76">
        <v>2.7005</v>
      </c>
      <c r="CL60" s="76">
        <v>2.7148</v>
      </c>
      <c r="CM60" s="76">
        <v>553.45</v>
      </c>
      <c r="CN60" s="76">
        <v>97.38</v>
      </c>
      <c r="CO60" s="76">
        <v>568.37</v>
      </c>
      <c r="CP60" s="76">
        <v>483.41</v>
      </c>
      <c r="CQ60" s="76">
        <v>5.71</v>
      </c>
      <c r="CR60" s="76">
        <v>31.38</v>
      </c>
      <c r="CS60" s="76">
        <v>32.95</v>
      </c>
      <c r="CT60" s="76">
        <v>0.0</v>
      </c>
      <c r="CU60" s="76">
        <v>1551.0</v>
      </c>
      <c r="CV60" s="76">
        <v>2.37</v>
      </c>
      <c r="CW60" s="76">
        <v>355.38</v>
      </c>
      <c r="CX60" s="76">
        <v>0.69</v>
      </c>
      <c r="CY60" s="76">
        <v>6.4</v>
      </c>
    </row>
    <row r="61" ht="15.75" customHeight="1">
      <c r="A61" s="151">
        <v>46234.0</v>
      </c>
      <c r="B61" s="152" t="s">
        <v>5</v>
      </c>
      <c r="C61" s="152" t="s">
        <v>151</v>
      </c>
      <c r="D61" s="152">
        <v>423.0</v>
      </c>
      <c r="E61" s="152">
        <v>1.65</v>
      </c>
      <c r="F61" s="152">
        <v>213.71</v>
      </c>
      <c r="G61" s="152">
        <v>0.5052</v>
      </c>
      <c r="H61" s="152">
        <v>6.38</v>
      </c>
      <c r="I61" s="152">
        <v>7.9152</v>
      </c>
      <c r="J61" s="152">
        <v>242.93</v>
      </c>
      <c r="K61" s="152">
        <v>167.95</v>
      </c>
      <c r="L61" s="152">
        <v>128.33</v>
      </c>
      <c r="M61" s="152">
        <v>0.7641</v>
      </c>
      <c r="N61" s="152">
        <v>0.3214</v>
      </c>
      <c r="O61" s="152">
        <v>0.2126</v>
      </c>
      <c r="P61" s="152">
        <v>1.3087</v>
      </c>
      <c r="Q61" s="152">
        <v>691.08</v>
      </c>
      <c r="R61" s="152">
        <v>612.05</v>
      </c>
      <c r="S61" s="152">
        <v>79.03</v>
      </c>
      <c r="T61" s="152">
        <v>54.96</v>
      </c>
      <c r="U61" s="152">
        <v>636.12</v>
      </c>
      <c r="V61" s="152">
        <v>609.34</v>
      </c>
      <c r="W61" s="152">
        <v>3.6281</v>
      </c>
      <c r="X61" s="152">
        <v>7.95</v>
      </c>
      <c r="Y61" s="152">
        <v>514.0</v>
      </c>
      <c r="Z61" s="152">
        <v>915.0</v>
      </c>
      <c r="AA61" s="152">
        <v>1580.0</v>
      </c>
      <c r="AB61" s="152">
        <v>58.2427</v>
      </c>
      <c r="AC61" s="152">
        <v>0.7755</v>
      </c>
      <c r="AD61" s="152">
        <v>55.27</v>
      </c>
      <c r="AE61" s="152">
        <v>24.0</v>
      </c>
      <c r="AF61" s="152">
        <v>39.0</v>
      </c>
      <c r="AG61" s="152">
        <v>70.0</v>
      </c>
      <c r="AH61" s="152">
        <v>115.0</v>
      </c>
      <c r="AI61" s="152">
        <v>20.57</v>
      </c>
      <c r="AJ61" s="152">
        <v>4.02</v>
      </c>
      <c r="AK61" s="152">
        <v>0.71</v>
      </c>
      <c r="AL61" s="152">
        <v>0.0969</v>
      </c>
      <c r="AM61" s="76">
        <v>69.98</v>
      </c>
      <c r="AN61" s="76">
        <v>69.98</v>
      </c>
      <c r="AO61" s="76">
        <v>52.96</v>
      </c>
      <c r="AP61" s="76">
        <v>43.97</v>
      </c>
      <c r="AQ61" s="76">
        <v>29.1371</v>
      </c>
      <c r="AR61" s="76">
        <v>0.948</v>
      </c>
      <c r="AS61" s="76">
        <v>28.1891</v>
      </c>
      <c r="AT61" s="76">
        <v>24.8109</v>
      </c>
      <c r="AU61" s="76">
        <v>0.1477</v>
      </c>
      <c r="AV61" s="76">
        <v>423.0</v>
      </c>
      <c r="AW61" s="76">
        <v>0.0</v>
      </c>
      <c r="AX61" s="76">
        <v>263.53</v>
      </c>
      <c r="AY61" s="76">
        <v>360.52</v>
      </c>
      <c r="AZ61" s="76">
        <v>4.87</v>
      </c>
      <c r="BA61" s="76">
        <v>54.96</v>
      </c>
      <c r="BB61" s="76">
        <v>7.19</v>
      </c>
      <c r="BC61" s="76">
        <v>252.0</v>
      </c>
      <c r="BD61" s="76">
        <v>15436.0</v>
      </c>
      <c r="BE61" s="76">
        <v>14.8109</v>
      </c>
      <c r="BF61" s="76">
        <v>0.4184</v>
      </c>
      <c r="BG61" s="76">
        <v>14.3924</v>
      </c>
      <c r="BH61" s="76">
        <v>10.8865</v>
      </c>
      <c r="BI61" s="76">
        <v>0.0648</v>
      </c>
      <c r="BJ61" s="76">
        <v>14.3262</v>
      </c>
      <c r="BK61" s="76">
        <v>0.5296</v>
      </c>
      <c r="BL61" s="76">
        <v>13.7967</v>
      </c>
      <c r="BM61" s="76">
        <v>13.9243</v>
      </c>
      <c r="BN61" s="76">
        <v>0.0829</v>
      </c>
      <c r="BO61" s="76">
        <v>5.1395</v>
      </c>
      <c r="BP61" s="76">
        <v>0.1395</v>
      </c>
      <c r="BQ61" s="76">
        <v>5.0</v>
      </c>
      <c r="BR61" s="76">
        <v>3.8038</v>
      </c>
      <c r="BS61" s="76">
        <v>5.7801</v>
      </c>
      <c r="BT61" s="76">
        <v>0.1395</v>
      </c>
      <c r="BU61" s="76">
        <v>5.6407</v>
      </c>
      <c r="BV61" s="76">
        <v>4.0638</v>
      </c>
      <c r="BW61" s="76">
        <v>3.8913</v>
      </c>
      <c r="BX61" s="76">
        <v>0.1395</v>
      </c>
      <c r="BY61" s="76">
        <v>3.7518</v>
      </c>
      <c r="BZ61" s="76">
        <v>3.0189</v>
      </c>
      <c r="CA61" s="76">
        <v>3.0733</v>
      </c>
      <c r="CB61" s="76">
        <v>0.1489</v>
      </c>
      <c r="CC61" s="76">
        <v>2.9243</v>
      </c>
      <c r="CD61" s="76">
        <v>4.2009</v>
      </c>
      <c r="CE61" s="76">
        <v>5.6643</v>
      </c>
      <c r="CF61" s="76">
        <v>0.208</v>
      </c>
      <c r="CG61" s="76">
        <v>5.4563</v>
      </c>
      <c r="CH61" s="76">
        <v>4.7116</v>
      </c>
      <c r="CI61" s="76">
        <v>5.5887</v>
      </c>
      <c r="CJ61" s="76">
        <v>0.1726</v>
      </c>
      <c r="CK61" s="76">
        <v>5.4161</v>
      </c>
      <c r="CL61" s="76">
        <v>5.0118</v>
      </c>
      <c r="CM61" s="76">
        <v>1260.23</v>
      </c>
      <c r="CN61" s="76">
        <v>99.29</v>
      </c>
      <c r="CO61" s="76">
        <v>1269.23</v>
      </c>
      <c r="CP61" s="76">
        <v>1175.13</v>
      </c>
      <c r="CQ61" s="76">
        <v>8.09</v>
      </c>
      <c r="CR61" s="76">
        <v>37.78</v>
      </c>
      <c r="CS61" s="76">
        <v>39.23</v>
      </c>
      <c r="CT61" s="76">
        <v>0.0</v>
      </c>
      <c r="CU61" s="76">
        <v>252.0</v>
      </c>
      <c r="CV61" s="76">
        <v>81.11</v>
      </c>
      <c r="CW61" s="76">
        <v>772.19</v>
      </c>
      <c r="CX61" s="76">
        <v>0.84</v>
      </c>
      <c r="CY61" s="76">
        <v>8.94</v>
      </c>
    </row>
    <row r="62" ht="15.75" customHeight="1">
      <c r="A62" s="164">
        <v>46235.0</v>
      </c>
      <c r="B62" s="76" t="s">
        <v>4</v>
      </c>
      <c r="C62" s="76" t="s">
        <v>316</v>
      </c>
      <c r="D62" s="76">
        <v>5208.0</v>
      </c>
      <c r="E62" s="76">
        <v>20.13</v>
      </c>
      <c r="F62" s="76">
        <v>607.26</v>
      </c>
      <c r="G62" s="76">
        <v>0.1166</v>
      </c>
      <c r="H62" s="76">
        <v>1.54</v>
      </c>
      <c r="I62" s="76">
        <v>7.5907</v>
      </c>
      <c r="J62" s="76">
        <v>22.44</v>
      </c>
      <c r="K62" s="76">
        <v>12.54</v>
      </c>
      <c r="L62" s="76">
        <v>8.94</v>
      </c>
      <c r="M62" s="76">
        <v>0.7126</v>
      </c>
      <c r="N62" s="76">
        <v>0.4041</v>
      </c>
      <c r="O62" s="76">
        <v>0.2081</v>
      </c>
      <c r="P62" s="76">
        <v>1.4032</v>
      </c>
      <c r="Q62" s="76">
        <v>62.93</v>
      </c>
      <c r="R62" s="76">
        <v>62.77</v>
      </c>
      <c r="S62" s="76">
        <v>0.15</v>
      </c>
      <c r="T62" s="76">
        <v>10.5</v>
      </c>
      <c r="U62" s="76">
        <v>52.42</v>
      </c>
      <c r="V62" s="76">
        <v>43.73</v>
      </c>
      <c r="W62" s="76">
        <v>3.4868</v>
      </c>
      <c r="X62" s="76">
        <v>16.69</v>
      </c>
      <c r="Y62" s="76">
        <v>200.0</v>
      </c>
      <c r="Z62" s="76">
        <v>473.0</v>
      </c>
      <c r="AA62" s="76">
        <v>3053.0</v>
      </c>
      <c r="AB62" s="76">
        <v>49.9118</v>
      </c>
      <c r="AC62" s="76">
        <v>0.4665</v>
      </c>
      <c r="AI62" s="76">
        <v>0.0</v>
      </c>
      <c r="AJ62" s="76">
        <v>0.0</v>
      </c>
      <c r="AK62" s="76">
        <v>0.0</v>
      </c>
      <c r="AL62" s="76">
        <v>0.5048</v>
      </c>
      <c r="AQ62" s="76">
        <v>1.9827</v>
      </c>
      <c r="AR62" s="76">
        <v>0.1181</v>
      </c>
      <c r="AS62" s="76">
        <v>1.8646</v>
      </c>
      <c r="AT62" s="76">
        <v>1.5513</v>
      </c>
      <c r="AU62" s="76">
        <v>0.1237</v>
      </c>
      <c r="AV62" s="76">
        <v>5208.0</v>
      </c>
      <c r="AW62" s="76">
        <v>0.0</v>
      </c>
      <c r="AX62" s="76">
        <v>14.93</v>
      </c>
      <c r="AY62" s="76">
        <v>34.57</v>
      </c>
      <c r="AZ62" s="76">
        <v>2.62</v>
      </c>
      <c r="BA62" s="76">
        <v>10.5</v>
      </c>
      <c r="BB62" s="76">
        <v>0.31</v>
      </c>
      <c r="BD62" s="76">
        <v>29262.0</v>
      </c>
      <c r="BE62" s="76">
        <v>0.7659</v>
      </c>
      <c r="BF62" s="76">
        <v>0.0495</v>
      </c>
      <c r="BG62" s="76">
        <v>0.7164</v>
      </c>
      <c r="BH62" s="76">
        <v>0.6601</v>
      </c>
      <c r="BI62" s="76">
        <v>0.0526</v>
      </c>
      <c r="BJ62" s="76">
        <v>1.2168</v>
      </c>
      <c r="BK62" s="76">
        <v>0.0685</v>
      </c>
      <c r="BL62" s="76">
        <v>1.1482</v>
      </c>
      <c r="BM62" s="76">
        <v>0.8911</v>
      </c>
      <c r="BN62" s="76">
        <v>0.0711</v>
      </c>
      <c r="BO62" s="76">
        <v>0.2498</v>
      </c>
      <c r="BP62" s="76">
        <v>0.0177</v>
      </c>
      <c r="BQ62" s="76">
        <v>0.2321</v>
      </c>
      <c r="BR62" s="76">
        <v>0.2465</v>
      </c>
      <c r="BS62" s="76">
        <v>0.2723</v>
      </c>
      <c r="BT62" s="76">
        <v>0.0154</v>
      </c>
      <c r="BU62" s="76">
        <v>0.2569</v>
      </c>
      <c r="BV62" s="76">
        <v>0.2243</v>
      </c>
      <c r="BW62" s="76">
        <v>0.2439</v>
      </c>
      <c r="BX62" s="76">
        <v>0.0165</v>
      </c>
      <c r="BY62" s="76">
        <v>0.2273</v>
      </c>
      <c r="BZ62" s="76">
        <v>0.1893</v>
      </c>
      <c r="CA62" s="76">
        <v>0.2742</v>
      </c>
      <c r="CB62" s="76">
        <v>0.0179</v>
      </c>
      <c r="CC62" s="76">
        <v>0.2563</v>
      </c>
      <c r="CD62" s="76">
        <v>0.2195</v>
      </c>
      <c r="CE62" s="76">
        <v>0.5071</v>
      </c>
      <c r="CF62" s="76">
        <v>0.0288</v>
      </c>
      <c r="CG62" s="76">
        <v>0.4783</v>
      </c>
      <c r="CH62" s="76">
        <v>0.3449</v>
      </c>
      <c r="CI62" s="76">
        <v>0.4355</v>
      </c>
      <c r="CJ62" s="76">
        <v>0.0219</v>
      </c>
      <c r="CK62" s="76">
        <v>0.4136</v>
      </c>
      <c r="CL62" s="76">
        <v>0.3268</v>
      </c>
      <c r="CM62" s="76">
        <v>130.72</v>
      </c>
      <c r="CN62" s="76">
        <v>23.02</v>
      </c>
      <c r="CO62" s="76">
        <v>567.78</v>
      </c>
      <c r="CP62" s="76">
        <v>118.89</v>
      </c>
      <c r="CQ62" s="76">
        <v>0.0</v>
      </c>
      <c r="CR62" s="76">
        <v>3.61</v>
      </c>
      <c r="CS62" s="76">
        <v>8.22</v>
      </c>
      <c r="CT62" s="76">
        <v>0.0</v>
      </c>
      <c r="CU62" s="76">
        <v>0.0</v>
      </c>
      <c r="CV62" s="76">
        <v>0.0</v>
      </c>
      <c r="CW62" s="76">
        <v>62.93</v>
      </c>
      <c r="CX62" s="76">
        <v>0.0</v>
      </c>
      <c r="CY62" s="76">
        <v>0.0</v>
      </c>
    </row>
    <row r="63" ht="15.75" customHeight="1">
      <c r="A63" s="164">
        <v>46235.0</v>
      </c>
      <c r="B63" s="76" t="s">
        <v>4</v>
      </c>
      <c r="C63" s="76" t="s">
        <v>147</v>
      </c>
      <c r="D63" s="76">
        <v>7390.0</v>
      </c>
      <c r="E63" s="76">
        <v>28.57</v>
      </c>
      <c r="F63" s="76">
        <v>150.37</v>
      </c>
      <c r="G63" s="76">
        <v>0.0203</v>
      </c>
      <c r="H63" s="76">
        <v>0.74</v>
      </c>
      <c r="I63" s="76">
        <v>2.734</v>
      </c>
      <c r="J63" s="76">
        <v>18.98</v>
      </c>
      <c r="K63" s="76">
        <v>10.16</v>
      </c>
      <c r="L63" s="76">
        <v>5.11</v>
      </c>
      <c r="M63" s="76">
        <v>0.503</v>
      </c>
      <c r="N63" s="76">
        <v>0.6074</v>
      </c>
      <c r="O63" s="76">
        <v>0.3696</v>
      </c>
      <c r="P63" s="76">
        <v>1.988</v>
      </c>
      <c r="Q63" s="76">
        <v>49.23</v>
      </c>
      <c r="R63" s="76">
        <v>39.97</v>
      </c>
      <c r="S63" s="76">
        <v>9.26</v>
      </c>
      <c r="T63" s="76">
        <v>1.61</v>
      </c>
      <c r="U63" s="76">
        <v>47.62</v>
      </c>
      <c r="V63" s="76">
        <v>43.23</v>
      </c>
      <c r="W63" s="76">
        <v>4.2547</v>
      </c>
      <c r="X63" s="76">
        <v>3.27</v>
      </c>
      <c r="Y63" s="76">
        <v>201.0</v>
      </c>
      <c r="Z63" s="76">
        <v>352.0</v>
      </c>
      <c r="AA63" s="76">
        <v>1291.0</v>
      </c>
      <c r="AB63" s="76">
        <v>49.6483</v>
      </c>
      <c r="AC63" s="76">
        <v>0.6036</v>
      </c>
      <c r="AD63" s="76">
        <v>4.01</v>
      </c>
      <c r="AE63" s="76">
        <v>2.0</v>
      </c>
      <c r="AF63" s="76">
        <v>3.0</v>
      </c>
      <c r="AG63" s="76">
        <v>5.0</v>
      </c>
      <c r="AH63" s="76">
        <v>8.0</v>
      </c>
      <c r="AI63" s="76">
        <v>75.51</v>
      </c>
      <c r="AJ63" s="76">
        <v>33.17</v>
      </c>
      <c r="AK63" s="76">
        <v>6.43</v>
      </c>
      <c r="AL63" s="76">
        <v>0.5221</v>
      </c>
      <c r="AQ63" s="76">
        <v>2.7124</v>
      </c>
      <c r="AR63" s="76">
        <v>0.0353</v>
      </c>
      <c r="AS63" s="76">
        <v>2.6771</v>
      </c>
      <c r="AT63" s="76">
        <v>2.316</v>
      </c>
      <c r="AU63" s="76">
        <v>0.2279</v>
      </c>
      <c r="AV63" s="76">
        <v>7390.0</v>
      </c>
      <c r="AW63" s="76">
        <v>0.0</v>
      </c>
      <c r="AX63" s="76">
        <v>29.91</v>
      </c>
      <c r="AY63" s="76">
        <v>15.23</v>
      </c>
      <c r="AZ63" s="76">
        <v>1.93</v>
      </c>
      <c r="BA63" s="76">
        <v>1.61</v>
      </c>
      <c r="BB63" s="76">
        <v>0.54</v>
      </c>
      <c r="BC63" s="76">
        <v>17.0</v>
      </c>
      <c r="BD63" s="76">
        <v>18008.0</v>
      </c>
      <c r="BE63" s="76">
        <v>1.6678</v>
      </c>
      <c r="BF63" s="76">
        <v>0.0207</v>
      </c>
      <c r="BG63" s="76">
        <v>1.6471</v>
      </c>
      <c r="BH63" s="76">
        <v>1.335</v>
      </c>
      <c r="BI63" s="76">
        <v>0.1314</v>
      </c>
      <c r="BJ63" s="76">
        <v>1.0447</v>
      </c>
      <c r="BK63" s="76">
        <v>0.0146</v>
      </c>
      <c r="BL63" s="76">
        <v>1.03</v>
      </c>
      <c r="BM63" s="76">
        <v>0.9809</v>
      </c>
      <c r="BN63" s="76">
        <v>0.0965</v>
      </c>
      <c r="BO63" s="76">
        <v>0.6602</v>
      </c>
      <c r="BP63" s="76">
        <v>0.0085</v>
      </c>
      <c r="BQ63" s="76">
        <v>0.6517</v>
      </c>
      <c r="BR63" s="76">
        <v>0.5425</v>
      </c>
      <c r="BS63" s="76">
        <v>0.6704</v>
      </c>
      <c r="BT63" s="76">
        <v>0.0045</v>
      </c>
      <c r="BU63" s="76">
        <v>0.6659</v>
      </c>
      <c r="BV63" s="76">
        <v>0.5009</v>
      </c>
      <c r="BW63" s="76">
        <v>0.3372</v>
      </c>
      <c r="BX63" s="76">
        <v>0.0077</v>
      </c>
      <c r="BY63" s="76">
        <v>0.3295</v>
      </c>
      <c r="BZ63" s="76">
        <v>0.2916</v>
      </c>
      <c r="CA63" s="76">
        <v>0.1597</v>
      </c>
      <c r="CB63" s="76">
        <v>0.0028</v>
      </c>
      <c r="CC63" s="76">
        <v>0.1568</v>
      </c>
      <c r="CD63" s="76">
        <v>0.1689</v>
      </c>
      <c r="CE63" s="76">
        <v>0.4863</v>
      </c>
      <c r="CF63" s="76">
        <v>0.0061</v>
      </c>
      <c r="CG63" s="76">
        <v>0.4802</v>
      </c>
      <c r="CH63" s="76">
        <v>0.4401</v>
      </c>
      <c r="CI63" s="76">
        <v>0.3986</v>
      </c>
      <c r="CJ63" s="76">
        <v>0.0057</v>
      </c>
      <c r="CK63" s="76">
        <v>0.393</v>
      </c>
      <c r="CL63" s="76">
        <v>0.372</v>
      </c>
      <c r="CM63" s="76">
        <v>71.84</v>
      </c>
      <c r="CN63" s="76">
        <v>65.02</v>
      </c>
      <c r="CO63" s="76">
        <v>110.48</v>
      </c>
      <c r="CP63" s="76">
        <v>63.11</v>
      </c>
      <c r="CQ63" s="76">
        <v>0.0</v>
      </c>
      <c r="CR63" s="76">
        <v>6.05</v>
      </c>
      <c r="CS63" s="76">
        <v>2.67</v>
      </c>
      <c r="CT63" s="76">
        <v>0.0</v>
      </c>
      <c r="CU63" s="76">
        <v>0.0</v>
      </c>
      <c r="CV63" s="76">
        <v>0.0</v>
      </c>
      <c r="CW63" s="76">
        <v>49.23</v>
      </c>
      <c r="CX63" s="76">
        <v>0.0</v>
      </c>
      <c r="CY63" s="76">
        <v>0.0</v>
      </c>
    </row>
    <row r="64" ht="15.75" customHeight="1">
      <c r="A64" s="164">
        <v>46235.0</v>
      </c>
      <c r="B64" s="76" t="s">
        <v>4</v>
      </c>
      <c r="C64" s="76" t="s">
        <v>148</v>
      </c>
      <c r="D64" s="76">
        <v>5431.0</v>
      </c>
      <c r="E64" s="76">
        <v>21.0</v>
      </c>
      <c r="F64" s="76">
        <v>312.25</v>
      </c>
      <c r="G64" s="76">
        <v>0.0575</v>
      </c>
      <c r="H64" s="76">
        <v>1.45</v>
      </c>
      <c r="I64" s="76">
        <v>3.9525</v>
      </c>
      <c r="J64" s="76">
        <v>37.55</v>
      </c>
      <c r="K64" s="76">
        <v>20.87</v>
      </c>
      <c r="L64" s="76">
        <v>13.29</v>
      </c>
      <c r="M64" s="76">
        <v>0.6366</v>
      </c>
      <c r="N64" s="76">
        <v>0.4892</v>
      </c>
      <c r="O64" s="76">
        <v>0.3022</v>
      </c>
      <c r="P64" s="76">
        <v>1.5709</v>
      </c>
      <c r="Q64" s="76">
        <v>99.99</v>
      </c>
      <c r="R64" s="76">
        <v>74.19</v>
      </c>
      <c r="S64" s="76">
        <v>25.8</v>
      </c>
      <c r="T64" s="76">
        <v>4.63</v>
      </c>
      <c r="U64" s="76">
        <v>95.36</v>
      </c>
      <c r="V64" s="76">
        <v>93.69</v>
      </c>
      <c r="W64" s="76">
        <v>4.4883</v>
      </c>
      <c r="X64" s="76">
        <v>4.63</v>
      </c>
      <c r="Y64" s="76">
        <v>246.0</v>
      </c>
      <c r="Z64" s="76">
        <v>445.0</v>
      </c>
      <c r="AA64" s="76">
        <v>1310.0</v>
      </c>
      <c r="AB64" s="76">
        <v>51.917</v>
      </c>
      <c r="AC64" s="76">
        <v>0.7144</v>
      </c>
      <c r="AD64" s="76">
        <v>9.77</v>
      </c>
      <c r="AE64" s="76">
        <v>4.0</v>
      </c>
      <c r="AF64" s="76">
        <v>9.0</v>
      </c>
      <c r="AG64" s="76">
        <v>13.0</v>
      </c>
      <c r="AH64" s="76">
        <v>19.0</v>
      </c>
      <c r="AI64" s="76">
        <v>67.41</v>
      </c>
      <c r="AJ64" s="76">
        <v>28.36</v>
      </c>
      <c r="AK64" s="76">
        <v>3.5</v>
      </c>
      <c r="AL64" s="76">
        <v>0.4066</v>
      </c>
      <c r="AQ64" s="76">
        <v>5.8324</v>
      </c>
      <c r="AR64" s="76">
        <v>0.1053</v>
      </c>
      <c r="AS64" s="76">
        <v>5.7271</v>
      </c>
      <c r="AT64" s="76">
        <v>4.6485</v>
      </c>
      <c r="AU64" s="76">
        <v>0.2227</v>
      </c>
      <c r="AV64" s="76">
        <v>5431.0</v>
      </c>
      <c r="AW64" s="76">
        <v>0.0</v>
      </c>
      <c r="AX64" s="76">
        <v>59.74</v>
      </c>
      <c r="AY64" s="76">
        <v>31.62</v>
      </c>
      <c r="AZ64" s="76">
        <v>2.54</v>
      </c>
      <c r="BA64" s="76">
        <v>4.63</v>
      </c>
      <c r="BB64" s="76">
        <v>1.46</v>
      </c>
      <c r="BC64" s="76">
        <v>34.0</v>
      </c>
      <c r="BD64" s="76">
        <v>20049.0</v>
      </c>
      <c r="BE64" s="76">
        <v>3.6091</v>
      </c>
      <c r="BF64" s="76">
        <v>0.0685</v>
      </c>
      <c r="BG64" s="76">
        <v>3.5406</v>
      </c>
      <c r="BH64" s="76">
        <v>2.6227</v>
      </c>
      <c r="BI64" s="76">
        <v>0.1256</v>
      </c>
      <c r="BJ64" s="76">
        <v>2.2233</v>
      </c>
      <c r="BK64" s="76">
        <v>0.0368</v>
      </c>
      <c r="BL64" s="76">
        <v>2.1865</v>
      </c>
      <c r="BM64" s="76">
        <v>2.0258</v>
      </c>
      <c r="BN64" s="76">
        <v>0.097</v>
      </c>
      <c r="BO64" s="76">
        <v>1.4257</v>
      </c>
      <c r="BP64" s="76">
        <v>0.0263</v>
      </c>
      <c r="BQ64" s="76">
        <v>1.3994</v>
      </c>
      <c r="BR64" s="76">
        <v>1.0499</v>
      </c>
      <c r="BS64" s="76">
        <v>1.5058</v>
      </c>
      <c r="BT64" s="76">
        <v>0.018</v>
      </c>
      <c r="BU64" s="76">
        <v>1.4878</v>
      </c>
      <c r="BV64" s="76">
        <v>1.0221</v>
      </c>
      <c r="BW64" s="76">
        <v>0.6776</v>
      </c>
      <c r="BX64" s="76">
        <v>0.0241</v>
      </c>
      <c r="BY64" s="76">
        <v>0.6535</v>
      </c>
      <c r="BZ64" s="76">
        <v>0.5507</v>
      </c>
      <c r="CA64" s="76">
        <v>0.3533</v>
      </c>
      <c r="CB64" s="76">
        <v>0.007</v>
      </c>
      <c r="CC64" s="76">
        <v>0.3463</v>
      </c>
      <c r="CD64" s="76">
        <v>0.3532</v>
      </c>
      <c r="CE64" s="76">
        <v>0.967</v>
      </c>
      <c r="CF64" s="76">
        <v>0.0144</v>
      </c>
      <c r="CG64" s="76">
        <v>0.9527</v>
      </c>
      <c r="CH64" s="76">
        <v>0.87</v>
      </c>
      <c r="CI64" s="76">
        <v>0.903</v>
      </c>
      <c r="CJ64" s="76">
        <v>0.0155</v>
      </c>
      <c r="CK64" s="76">
        <v>0.8875</v>
      </c>
      <c r="CL64" s="76">
        <v>0.8026</v>
      </c>
      <c r="CM64" s="76">
        <v>161.51</v>
      </c>
      <c r="CN64" s="76">
        <v>80.63</v>
      </c>
      <c r="CO64" s="76">
        <v>200.31</v>
      </c>
      <c r="CP64" s="76">
        <v>142.64</v>
      </c>
      <c r="CQ64" s="76">
        <v>0.0</v>
      </c>
      <c r="CR64" s="76">
        <v>7.76</v>
      </c>
      <c r="CS64" s="76">
        <v>11.12</v>
      </c>
      <c r="CT64" s="76">
        <v>0.0</v>
      </c>
      <c r="CU64" s="76">
        <v>0.0</v>
      </c>
      <c r="CV64" s="76">
        <v>0.0</v>
      </c>
      <c r="CW64" s="76">
        <v>99.99</v>
      </c>
      <c r="CX64" s="76">
        <v>0.0</v>
      </c>
      <c r="CY64" s="76">
        <v>0.0</v>
      </c>
    </row>
    <row r="65" ht="15.75" customHeight="1">
      <c r="A65" s="164">
        <v>46235.0</v>
      </c>
      <c r="B65" s="76" t="s">
        <v>4</v>
      </c>
      <c r="C65" s="76" t="s">
        <v>149</v>
      </c>
      <c r="D65" s="76">
        <v>4469.0</v>
      </c>
      <c r="E65" s="76">
        <v>17.28</v>
      </c>
      <c r="F65" s="76">
        <v>547.64</v>
      </c>
      <c r="G65" s="76">
        <v>0.1225</v>
      </c>
      <c r="H65" s="76">
        <v>3.07</v>
      </c>
      <c r="I65" s="76">
        <v>3.9974</v>
      </c>
      <c r="J65" s="76">
        <v>59.54</v>
      </c>
      <c r="K65" s="76">
        <v>34.71</v>
      </c>
      <c r="L65" s="76">
        <v>25.2</v>
      </c>
      <c r="M65" s="76">
        <v>0.7261</v>
      </c>
      <c r="N65" s="76">
        <v>0.3965</v>
      </c>
      <c r="O65" s="76">
        <v>0.2611</v>
      </c>
      <c r="P65" s="76">
        <v>1.3772</v>
      </c>
      <c r="Q65" s="76">
        <v>174.57</v>
      </c>
      <c r="R65" s="76">
        <v>123.72</v>
      </c>
      <c r="S65" s="76">
        <v>50.85</v>
      </c>
      <c r="T65" s="76">
        <v>10.66</v>
      </c>
      <c r="U65" s="76">
        <v>163.91</v>
      </c>
      <c r="V65" s="76">
        <v>162.17</v>
      </c>
      <c r="W65" s="76">
        <v>4.6728</v>
      </c>
      <c r="X65" s="76">
        <v>6.11</v>
      </c>
      <c r="Y65" s="76">
        <v>291.0</v>
      </c>
      <c r="Z65" s="76">
        <v>518.0</v>
      </c>
      <c r="AA65" s="76">
        <v>1188.0</v>
      </c>
      <c r="AB65" s="76">
        <v>53.2889</v>
      </c>
      <c r="AC65" s="76">
        <v>0.7726</v>
      </c>
      <c r="AD65" s="76">
        <v>16.58</v>
      </c>
      <c r="AE65" s="76">
        <v>7.0</v>
      </c>
      <c r="AF65" s="76">
        <v>13.0</v>
      </c>
      <c r="AG65" s="76">
        <v>23.0</v>
      </c>
      <c r="AH65" s="76">
        <v>33.0</v>
      </c>
      <c r="AI65" s="76">
        <v>58.49</v>
      </c>
      <c r="AJ65" s="76">
        <v>20.7</v>
      </c>
      <c r="AK65" s="76">
        <v>4.86</v>
      </c>
      <c r="AL65" s="76">
        <v>0.3162</v>
      </c>
      <c r="AQ65" s="76">
        <v>9.4294</v>
      </c>
      <c r="AR65" s="76">
        <v>0.1707</v>
      </c>
      <c r="AS65" s="76">
        <v>9.2587</v>
      </c>
      <c r="AT65" s="76">
        <v>7.4321</v>
      </c>
      <c r="AU65" s="76">
        <v>0.2141</v>
      </c>
      <c r="AV65" s="76">
        <v>4469.0</v>
      </c>
      <c r="AW65" s="76">
        <v>0.0</v>
      </c>
      <c r="AX65" s="76">
        <v>103.39</v>
      </c>
      <c r="AY65" s="76">
        <v>55.83</v>
      </c>
      <c r="AZ65" s="76">
        <v>2.39</v>
      </c>
      <c r="BA65" s="76">
        <v>10.66</v>
      </c>
      <c r="BB65" s="76">
        <v>2.3</v>
      </c>
      <c r="BC65" s="76">
        <v>63.0</v>
      </c>
      <c r="BD65" s="76">
        <v>16334.0</v>
      </c>
      <c r="BE65" s="76">
        <v>5.5549</v>
      </c>
      <c r="BF65" s="76">
        <v>0.0947</v>
      </c>
      <c r="BG65" s="76">
        <v>5.4603</v>
      </c>
      <c r="BH65" s="76">
        <v>3.8418</v>
      </c>
      <c r="BI65" s="76">
        <v>0.1107</v>
      </c>
      <c r="BJ65" s="76">
        <v>3.8745</v>
      </c>
      <c r="BK65" s="76">
        <v>0.0761</v>
      </c>
      <c r="BL65" s="76">
        <v>3.7984</v>
      </c>
      <c r="BM65" s="76">
        <v>3.5903</v>
      </c>
      <c r="BN65" s="76">
        <v>0.1034</v>
      </c>
      <c r="BO65" s="76">
        <v>2.0864</v>
      </c>
      <c r="BP65" s="76">
        <v>0.0273</v>
      </c>
      <c r="BQ65" s="76">
        <v>2.0591</v>
      </c>
      <c r="BR65" s="76">
        <v>1.4795</v>
      </c>
      <c r="BS65" s="76">
        <v>2.3086</v>
      </c>
      <c r="BT65" s="76">
        <v>0.0286</v>
      </c>
      <c r="BU65" s="76">
        <v>2.2799</v>
      </c>
      <c r="BV65" s="76">
        <v>1.5303</v>
      </c>
      <c r="BW65" s="76">
        <v>1.16</v>
      </c>
      <c r="BX65" s="76">
        <v>0.0387</v>
      </c>
      <c r="BY65" s="76">
        <v>1.1213</v>
      </c>
      <c r="BZ65" s="76">
        <v>0.832</v>
      </c>
      <c r="CA65" s="76">
        <v>0.633</v>
      </c>
      <c r="CB65" s="76">
        <v>0.0206</v>
      </c>
      <c r="CC65" s="76">
        <v>0.6124</v>
      </c>
      <c r="CD65" s="76">
        <v>0.7286</v>
      </c>
      <c r="CE65" s="76">
        <v>1.5563</v>
      </c>
      <c r="CF65" s="76">
        <v>0.0291</v>
      </c>
      <c r="CG65" s="76">
        <v>1.5272</v>
      </c>
      <c r="CH65" s="76">
        <v>1.414</v>
      </c>
      <c r="CI65" s="76">
        <v>1.6852</v>
      </c>
      <c r="CJ65" s="76">
        <v>0.0264</v>
      </c>
      <c r="CK65" s="76">
        <v>1.6588</v>
      </c>
      <c r="CL65" s="76">
        <v>1.4478</v>
      </c>
      <c r="CM65" s="76">
        <v>300.74</v>
      </c>
      <c r="CN65" s="76">
        <v>91.77</v>
      </c>
      <c r="CO65" s="76">
        <v>327.73</v>
      </c>
      <c r="CP65" s="76">
        <v>271.18</v>
      </c>
      <c r="CQ65" s="76">
        <v>0.0</v>
      </c>
      <c r="CR65" s="76">
        <v>9.03</v>
      </c>
      <c r="CS65" s="76">
        <v>20.53</v>
      </c>
      <c r="CT65" s="76">
        <v>0.0</v>
      </c>
      <c r="CU65" s="76">
        <v>0.0</v>
      </c>
      <c r="CV65" s="76">
        <v>0.0</v>
      </c>
      <c r="CW65" s="76">
        <v>174.57</v>
      </c>
      <c r="CX65" s="76">
        <v>0.0</v>
      </c>
      <c r="CY65" s="76">
        <v>0.0</v>
      </c>
    </row>
    <row r="66" ht="15.75" customHeight="1">
      <c r="A66" s="164">
        <v>46235.0</v>
      </c>
      <c r="B66" s="76" t="s">
        <v>4</v>
      </c>
      <c r="C66" s="76" t="s">
        <v>150</v>
      </c>
      <c r="D66" s="76">
        <v>2934.0</v>
      </c>
      <c r="E66" s="76">
        <v>11.34</v>
      </c>
      <c r="F66" s="76">
        <v>558.13</v>
      </c>
      <c r="G66" s="76">
        <v>0.1902</v>
      </c>
      <c r="H66" s="76">
        <v>3.48</v>
      </c>
      <c r="I66" s="76">
        <v>5.4719</v>
      </c>
      <c r="J66" s="76">
        <v>103.9</v>
      </c>
      <c r="K66" s="76">
        <v>65.7</v>
      </c>
      <c r="L66" s="76">
        <v>50.48</v>
      </c>
      <c r="M66" s="76">
        <v>0.7683</v>
      </c>
      <c r="N66" s="76">
        <v>0.341</v>
      </c>
      <c r="O66" s="76">
        <v>0.2296</v>
      </c>
      <c r="P66" s="76">
        <v>1.3016</v>
      </c>
      <c r="Q66" s="76">
        <v>327.11</v>
      </c>
      <c r="R66" s="76">
        <v>222.91</v>
      </c>
      <c r="S66" s="76">
        <v>104.2</v>
      </c>
      <c r="T66" s="76">
        <v>15.76</v>
      </c>
      <c r="U66" s="76">
        <v>311.35</v>
      </c>
      <c r="V66" s="76">
        <v>299.64</v>
      </c>
      <c r="W66" s="76">
        <v>4.5606</v>
      </c>
      <c r="X66" s="76">
        <v>4.82</v>
      </c>
      <c r="Y66" s="76">
        <v>374.0</v>
      </c>
      <c r="Z66" s="76">
        <v>674.0</v>
      </c>
      <c r="AA66" s="76">
        <v>1628.0</v>
      </c>
      <c r="AB66" s="76">
        <v>55.9545</v>
      </c>
      <c r="AC66" s="76">
        <v>0.7933</v>
      </c>
      <c r="AD66" s="76">
        <v>29.19</v>
      </c>
      <c r="AE66" s="76">
        <v>11.0</v>
      </c>
      <c r="AF66" s="76">
        <v>21.0</v>
      </c>
      <c r="AG66" s="76">
        <v>41.0</v>
      </c>
      <c r="AH66" s="76">
        <v>63.0</v>
      </c>
      <c r="AI66" s="76">
        <v>40.59</v>
      </c>
      <c r="AJ66" s="76">
        <v>11.25</v>
      </c>
      <c r="AK66" s="76">
        <v>1.94</v>
      </c>
      <c r="AL66" s="76">
        <v>0.1905</v>
      </c>
      <c r="AQ66" s="76">
        <v>16.0637</v>
      </c>
      <c r="AR66" s="76">
        <v>0.227</v>
      </c>
      <c r="AS66" s="76">
        <v>15.8367</v>
      </c>
      <c r="AT66" s="76">
        <v>12.7941</v>
      </c>
      <c r="AU66" s="76">
        <v>0.1947</v>
      </c>
      <c r="AV66" s="76">
        <v>2934.0</v>
      </c>
      <c r="AW66" s="76">
        <v>0.0</v>
      </c>
      <c r="AX66" s="76">
        <v>194.78</v>
      </c>
      <c r="AY66" s="76">
        <v>108.76</v>
      </c>
      <c r="AZ66" s="76">
        <v>3.34</v>
      </c>
      <c r="BA66" s="76">
        <v>15.76</v>
      </c>
      <c r="BB66" s="76">
        <v>4.47</v>
      </c>
      <c r="BC66" s="76">
        <v>114.0</v>
      </c>
      <c r="BD66" s="76">
        <v>14332.0</v>
      </c>
      <c r="BE66" s="76">
        <v>8.9659</v>
      </c>
      <c r="BF66" s="76">
        <v>0.092</v>
      </c>
      <c r="BG66" s="76">
        <v>8.8739</v>
      </c>
      <c r="BH66" s="76">
        <v>6.3776</v>
      </c>
      <c r="BI66" s="76">
        <v>0.0971</v>
      </c>
      <c r="BJ66" s="76">
        <v>7.0978</v>
      </c>
      <c r="BK66" s="76">
        <v>0.135</v>
      </c>
      <c r="BL66" s="76">
        <v>6.9628</v>
      </c>
      <c r="BM66" s="76">
        <v>6.4165</v>
      </c>
      <c r="BN66" s="76">
        <v>0.0977</v>
      </c>
      <c r="BO66" s="76">
        <v>3.4775</v>
      </c>
      <c r="BP66" s="76">
        <v>0.0286</v>
      </c>
      <c r="BQ66" s="76">
        <v>3.4489</v>
      </c>
      <c r="BR66" s="76">
        <v>2.4431</v>
      </c>
      <c r="BS66" s="76">
        <v>3.7151</v>
      </c>
      <c r="BT66" s="76">
        <v>0.0276</v>
      </c>
      <c r="BU66" s="76">
        <v>3.6875</v>
      </c>
      <c r="BV66" s="76">
        <v>2.5709</v>
      </c>
      <c r="BW66" s="76">
        <v>1.7733</v>
      </c>
      <c r="BX66" s="76">
        <v>0.0358</v>
      </c>
      <c r="BY66" s="76">
        <v>1.7376</v>
      </c>
      <c r="BZ66" s="76">
        <v>1.3637</v>
      </c>
      <c r="CA66" s="76">
        <v>1.3736</v>
      </c>
      <c r="CB66" s="76">
        <v>0.0348</v>
      </c>
      <c r="CC66" s="76">
        <v>1.3388</v>
      </c>
      <c r="CD66" s="76">
        <v>1.3896</v>
      </c>
      <c r="CE66" s="76">
        <v>2.7164</v>
      </c>
      <c r="CF66" s="76">
        <v>0.0593</v>
      </c>
      <c r="CG66" s="76">
        <v>2.6571</v>
      </c>
      <c r="CH66" s="76">
        <v>2.411</v>
      </c>
      <c r="CI66" s="76">
        <v>3.0078</v>
      </c>
      <c r="CJ66" s="76">
        <v>0.0409</v>
      </c>
      <c r="CK66" s="76">
        <v>2.9669</v>
      </c>
      <c r="CL66" s="76">
        <v>2.6159</v>
      </c>
      <c r="CM66" s="76">
        <v>606.89</v>
      </c>
      <c r="CN66" s="76">
        <v>97.85</v>
      </c>
      <c r="CO66" s="76">
        <v>620.2</v>
      </c>
      <c r="CP66" s="76">
        <v>561.94</v>
      </c>
      <c r="CQ66" s="76">
        <v>0.0</v>
      </c>
      <c r="CR66" s="76">
        <v>10.81</v>
      </c>
      <c r="CS66" s="76">
        <v>34.14</v>
      </c>
      <c r="CT66" s="76">
        <v>0.0</v>
      </c>
      <c r="CU66" s="76">
        <v>0.0</v>
      </c>
      <c r="CV66" s="76">
        <v>0.0</v>
      </c>
      <c r="CW66" s="76">
        <v>327.11</v>
      </c>
      <c r="CX66" s="76">
        <v>0.0</v>
      </c>
      <c r="CY66" s="76">
        <v>0.0</v>
      </c>
    </row>
    <row r="67" ht="15.75" customHeight="1">
      <c r="A67" s="164">
        <v>46235.0</v>
      </c>
      <c r="B67" s="76" t="s">
        <v>4</v>
      </c>
      <c r="C67" s="76" t="s">
        <v>151</v>
      </c>
      <c r="D67" s="76">
        <v>436.0</v>
      </c>
      <c r="E67" s="76">
        <v>1.69</v>
      </c>
      <c r="F67" s="76">
        <v>121.72</v>
      </c>
      <c r="G67" s="76">
        <v>0.2792</v>
      </c>
      <c r="H67" s="76">
        <v>6.42</v>
      </c>
      <c r="I67" s="76">
        <v>4.3471</v>
      </c>
      <c r="J67" s="76">
        <v>215.12</v>
      </c>
      <c r="K67" s="76">
        <v>149.61</v>
      </c>
      <c r="L67" s="76">
        <v>117.72</v>
      </c>
      <c r="M67" s="76">
        <v>0.7868</v>
      </c>
      <c r="N67" s="76">
        <v>0.2961</v>
      </c>
      <c r="O67" s="76">
        <v>0.1996</v>
      </c>
      <c r="P67" s="76">
        <v>1.2709</v>
      </c>
      <c r="Q67" s="76">
        <v>690.02</v>
      </c>
      <c r="R67" s="76">
        <v>443.4</v>
      </c>
      <c r="S67" s="76">
        <v>246.62</v>
      </c>
      <c r="T67" s="76">
        <v>36.81</v>
      </c>
      <c r="U67" s="76">
        <v>653.21</v>
      </c>
      <c r="V67" s="76">
        <v>677.75</v>
      </c>
      <c r="W67" s="76">
        <v>4.5302</v>
      </c>
      <c r="X67" s="76">
        <v>5.33</v>
      </c>
      <c r="Y67" s="76">
        <v>494.0</v>
      </c>
      <c r="Z67" s="76">
        <v>927.0</v>
      </c>
      <c r="AA67" s="76">
        <v>1742.0</v>
      </c>
      <c r="AB67" s="76">
        <v>59.0803</v>
      </c>
      <c r="AC67" s="76">
        <v>0.8074</v>
      </c>
      <c r="AD67" s="76">
        <v>52.55</v>
      </c>
      <c r="AE67" s="76">
        <v>20.0</v>
      </c>
      <c r="AF67" s="76">
        <v>37.0</v>
      </c>
      <c r="AG67" s="76">
        <v>68.0</v>
      </c>
      <c r="AH67" s="76">
        <v>112.0</v>
      </c>
      <c r="AI67" s="76">
        <v>20.41</v>
      </c>
      <c r="AJ67" s="76">
        <v>3.67</v>
      </c>
      <c r="AK67" s="76">
        <v>0.92</v>
      </c>
      <c r="AL67" s="76">
        <v>0.1055</v>
      </c>
      <c r="AQ67" s="76">
        <v>34.6147</v>
      </c>
      <c r="AR67" s="76">
        <v>1.6812</v>
      </c>
      <c r="AS67" s="76">
        <v>32.9335</v>
      </c>
      <c r="AT67" s="76">
        <v>30.75</v>
      </c>
      <c r="AU67" s="76">
        <v>0.2055</v>
      </c>
      <c r="AV67" s="76">
        <v>436.0</v>
      </c>
      <c r="AW67" s="76">
        <v>0.0</v>
      </c>
      <c r="AX67" s="76">
        <v>434.21</v>
      </c>
      <c r="AY67" s="76">
        <v>204.38</v>
      </c>
      <c r="AZ67" s="76">
        <v>4.35</v>
      </c>
      <c r="BA67" s="76">
        <v>36.81</v>
      </c>
      <c r="BB67" s="76">
        <v>10.27</v>
      </c>
      <c r="BC67" s="76">
        <v>279.0</v>
      </c>
      <c r="BD67" s="76">
        <v>16243.0</v>
      </c>
      <c r="BE67" s="76">
        <v>19.9725</v>
      </c>
      <c r="BF67" s="76">
        <v>1.3486</v>
      </c>
      <c r="BG67" s="76">
        <v>18.6239</v>
      </c>
      <c r="BH67" s="76">
        <v>15.0917</v>
      </c>
      <c r="BI67" s="76">
        <v>0.1009</v>
      </c>
      <c r="BJ67" s="76">
        <v>14.6422</v>
      </c>
      <c r="BK67" s="76">
        <v>0.3326</v>
      </c>
      <c r="BL67" s="76">
        <v>14.3096</v>
      </c>
      <c r="BM67" s="76">
        <v>15.6583</v>
      </c>
      <c r="BN67" s="76">
        <v>0.1047</v>
      </c>
      <c r="BO67" s="76">
        <v>7.4977</v>
      </c>
      <c r="BP67" s="76">
        <v>0.3509</v>
      </c>
      <c r="BQ67" s="76">
        <v>7.1468</v>
      </c>
      <c r="BR67" s="76">
        <v>5.7385</v>
      </c>
      <c r="BS67" s="76">
        <v>8.4633</v>
      </c>
      <c r="BT67" s="76">
        <v>0.4679</v>
      </c>
      <c r="BU67" s="76">
        <v>7.9954</v>
      </c>
      <c r="BV67" s="76">
        <v>6.2431</v>
      </c>
      <c r="BW67" s="76">
        <v>4.0115</v>
      </c>
      <c r="BX67" s="76">
        <v>0.5298</v>
      </c>
      <c r="BY67" s="76">
        <v>3.4817</v>
      </c>
      <c r="BZ67" s="76">
        <v>3.1101</v>
      </c>
      <c r="CA67" s="76">
        <v>3.2752</v>
      </c>
      <c r="CB67" s="76">
        <v>0.1101</v>
      </c>
      <c r="CC67" s="76">
        <v>3.1651</v>
      </c>
      <c r="CD67" s="76">
        <v>4.7064</v>
      </c>
      <c r="CE67" s="76">
        <v>5.3509</v>
      </c>
      <c r="CF67" s="76">
        <v>0.1147</v>
      </c>
      <c r="CG67" s="76">
        <v>5.2362</v>
      </c>
      <c r="CH67" s="76">
        <v>5.2982</v>
      </c>
      <c r="CI67" s="76">
        <v>6.0161</v>
      </c>
      <c r="CJ67" s="76">
        <v>0.1078</v>
      </c>
      <c r="CK67" s="76">
        <v>5.9083</v>
      </c>
      <c r="CL67" s="76">
        <v>5.6537</v>
      </c>
      <c r="CM67" s="76">
        <v>1389.53</v>
      </c>
      <c r="CN67" s="76">
        <v>99.54</v>
      </c>
      <c r="CO67" s="76">
        <v>1395.94</v>
      </c>
      <c r="CP67" s="76">
        <v>1325.71</v>
      </c>
      <c r="CQ67" s="76">
        <v>0.0</v>
      </c>
      <c r="CR67" s="76">
        <v>14.31</v>
      </c>
      <c r="CS67" s="76">
        <v>49.51</v>
      </c>
      <c r="CT67" s="76">
        <v>0.0</v>
      </c>
      <c r="CU67" s="76">
        <v>0.0</v>
      </c>
      <c r="CV67" s="76">
        <v>0.0</v>
      </c>
      <c r="CW67" s="76">
        <v>690.02</v>
      </c>
      <c r="CX67" s="76">
        <v>0.0</v>
      </c>
      <c r="CY67" s="76">
        <v>0.0</v>
      </c>
    </row>
    <row r="68" ht="15.75" customHeight="1">
      <c r="A68" s="164">
        <v>46235.0</v>
      </c>
      <c r="B68" s="76" t="s">
        <v>5</v>
      </c>
      <c r="C68" s="76" t="s">
        <v>316</v>
      </c>
      <c r="D68" s="76">
        <v>5299.0</v>
      </c>
      <c r="E68" s="76">
        <v>20.69</v>
      </c>
      <c r="F68" s="76">
        <v>377.68</v>
      </c>
      <c r="G68" s="76">
        <v>0.0713</v>
      </c>
      <c r="H68" s="76">
        <v>1.3</v>
      </c>
      <c r="I68" s="76">
        <v>5.4736</v>
      </c>
      <c r="J68" s="76">
        <v>22.84</v>
      </c>
      <c r="K68" s="76">
        <v>12.57</v>
      </c>
      <c r="L68" s="76">
        <v>8.93</v>
      </c>
      <c r="M68" s="76">
        <v>0.7102</v>
      </c>
      <c r="N68" s="76">
        <v>0.4073</v>
      </c>
      <c r="O68" s="76">
        <v>0.2098</v>
      </c>
      <c r="P68" s="76">
        <v>1.4081</v>
      </c>
      <c r="Q68" s="76">
        <v>54.47</v>
      </c>
      <c r="R68" s="76">
        <v>54.38</v>
      </c>
      <c r="S68" s="76">
        <v>0.09</v>
      </c>
      <c r="T68" s="76">
        <v>6.88</v>
      </c>
      <c r="U68" s="76">
        <v>47.59</v>
      </c>
      <c r="V68" s="76">
        <v>47.44</v>
      </c>
      <c r="W68" s="76">
        <v>3.7749</v>
      </c>
      <c r="X68" s="76">
        <v>12.63</v>
      </c>
      <c r="Y68" s="76">
        <v>200.0</v>
      </c>
      <c r="Z68" s="76">
        <v>395.0</v>
      </c>
      <c r="AA68" s="76">
        <v>2564.0</v>
      </c>
      <c r="AB68" s="76">
        <v>49.6189</v>
      </c>
      <c r="AC68" s="76">
        <v>0.4669</v>
      </c>
      <c r="AI68" s="76">
        <v>0.0</v>
      </c>
      <c r="AJ68" s="76">
        <v>0.0</v>
      </c>
      <c r="AK68" s="76">
        <v>0.0</v>
      </c>
      <c r="AL68" s="76">
        <v>0.5097</v>
      </c>
      <c r="AM68" s="76">
        <v>10.93</v>
      </c>
      <c r="AN68" s="76">
        <v>10.93</v>
      </c>
      <c r="AO68" s="76">
        <v>6.25</v>
      </c>
      <c r="AP68" s="76">
        <v>3.15</v>
      </c>
      <c r="AQ68" s="76">
        <v>1.705</v>
      </c>
      <c r="AR68" s="76">
        <v>0.07</v>
      </c>
      <c r="AS68" s="76">
        <v>1.635</v>
      </c>
      <c r="AT68" s="76">
        <v>1.732</v>
      </c>
      <c r="AU68" s="76">
        <v>0.1378</v>
      </c>
      <c r="AV68" s="76">
        <v>5299.0</v>
      </c>
      <c r="AW68" s="76">
        <v>0.0</v>
      </c>
      <c r="AX68" s="76">
        <v>10.52</v>
      </c>
      <c r="AY68" s="76">
        <v>34.21</v>
      </c>
      <c r="AZ68" s="76">
        <v>2.63</v>
      </c>
      <c r="BA68" s="76">
        <v>6.88</v>
      </c>
      <c r="BB68" s="76">
        <v>0.23</v>
      </c>
      <c r="BD68" s="76">
        <v>25953.0</v>
      </c>
      <c r="BE68" s="76">
        <v>0.802</v>
      </c>
      <c r="BF68" s="76">
        <v>0.026</v>
      </c>
      <c r="BG68" s="76">
        <v>0.776</v>
      </c>
      <c r="BH68" s="76">
        <v>0.8462</v>
      </c>
      <c r="BI68" s="76">
        <v>0.0673</v>
      </c>
      <c r="BJ68" s="76">
        <v>0.903</v>
      </c>
      <c r="BK68" s="76">
        <v>0.044</v>
      </c>
      <c r="BL68" s="76">
        <v>0.859</v>
      </c>
      <c r="BM68" s="76">
        <v>0.8858</v>
      </c>
      <c r="BN68" s="76">
        <v>0.0705</v>
      </c>
      <c r="BO68" s="76">
        <v>0.3225</v>
      </c>
      <c r="BP68" s="76">
        <v>0.0098</v>
      </c>
      <c r="BQ68" s="76">
        <v>0.3127</v>
      </c>
      <c r="BR68" s="76">
        <v>0.3344</v>
      </c>
      <c r="BS68" s="76">
        <v>0.2857</v>
      </c>
      <c r="BT68" s="76">
        <v>0.0075</v>
      </c>
      <c r="BU68" s="76">
        <v>0.2782</v>
      </c>
      <c r="BV68" s="76">
        <v>0.2972</v>
      </c>
      <c r="BW68" s="76">
        <v>0.1938</v>
      </c>
      <c r="BX68" s="76">
        <v>0.0087</v>
      </c>
      <c r="BY68" s="76">
        <v>0.1851</v>
      </c>
      <c r="BZ68" s="76">
        <v>0.2146</v>
      </c>
      <c r="CA68" s="76">
        <v>0.1914</v>
      </c>
      <c r="CB68" s="76">
        <v>0.0091</v>
      </c>
      <c r="CC68" s="76">
        <v>0.1823</v>
      </c>
      <c r="CD68" s="76">
        <v>0.2059</v>
      </c>
      <c r="CE68" s="76">
        <v>0.4018</v>
      </c>
      <c r="CF68" s="76">
        <v>0.0177</v>
      </c>
      <c r="CG68" s="76">
        <v>0.384</v>
      </c>
      <c r="CH68" s="76">
        <v>0.3293</v>
      </c>
      <c r="CI68" s="76">
        <v>0.3099</v>
      </c>
      <c r="CJ68" s="76">
        <v>0.0172</v>
      </c>
      <c r="CK68" s="76">
        <v>0.2927</v>
      </c>
      <c r="CL68" s="76">
        <v>0.3506</v>
      </c>
      <c r="CM68" s="76">
        <v>108.11</v>
      </c>
      <c r="CN68" s="76">
        <v>21.51</v>
      </c>
      <c r="CO68" s="76">
        <v>502.52</v>
      </c>
      <c r="CP68" s="76">
        <v>97.42</v>
      </c>
      <c r="CQ68" s="76">
        <v>0.01</v>
      </c>
      <c r="CR68" s="76">
        <v>3.29</v>
      </c>
      <c r="CS68" s="76">
        <v>7.39</v>
      </c>
      <c r="CT68" s="76">
        <v>0.0</v>
      </c>
      <c r="CU68" s="76">
        <v>1365.0</v>
      </c>
      <c r="CV68" s="76">
        <v>0.0</v>
      </c>
      <c r="CW68" s="76">
        <v>54.47</v>
      </c>
      <c r="CX68" s="76">
        <v>0.0</v>
      </c>
      <c r="CY68" s="76">
        <v>0.01</v>
      </c>
    </row>
    <row r="69" ht="15.75" customHeight="1">
      <c r="A69" s="164">
        <v>46235.0</v>
      </c>
      <c r="B69" s="76" t="s">
        <v>5</v>
      </c>
      <c r="C69" s="76" t="s">
        <v>147</v>
      </c>
      <c r="D69" s="76">
        <v>7249.0</v>
      </c>
      <c r="E69" s="76">
        <v>28.3</v>
      </c>
      <c r="F69" s="76">
        <v>90.71</v>
      </c>
      <c r="G69" s="76">
        <v>0.0125</v>
      </c>
      <c r="H69" s="76">
        <v>0.51</v>
      </c>
      <c r="I69" s="76">
        <v>2.4516</v>
      </c>
      <c r="J69" s="76">
        <v>19.46</v>
      </c>
      <c r="K69" s="76">
        <v>10.05</v>
      </c>
      <c r="L69" s="76">
        <v>4.95</v>
      </c>
      <c r="M69" s="76">
        <v>0.493</v>
      </c>
      <c r="N69" s="76">
        <v>0.6101</v>
      </c>
      <c r="O69" s="76">
        <v>0.3627</v>
      </c>
      <c r="P69" s="76">
        <v>2.0286</v>
      </c>
      <c r="Q69" s="76">
        <v>36.34</v>
      </c>
      <c r="R69" s="76">
        <v>33.45</v>
      </c>
      <c r="S69" s="76">
        <v>2.89</v>
      </c>
      <c r="T69" s="76">
        <v>1.04</v>
      </c>
      <c r="U69" s="76">
        <v>35.3</v>
      </c>
      <c r="V69" s="76">
        <v>37.48</v>
      </c>
      <c r="W69" s="76">
        <v>3.7289</v>
      </c>
      <c r="X69" s="76">
        <v>2.87</v>
      </c>
      <c r="Y69" s="76">
        <v>200.0</v>
      </c>
      <c r="Z69" s="76">
        <v>317.0</v>
      </c>
      <c r="AA69" s="76">
        <v>1146.0</v>
      </c>
      <c r="AB69" s="76">
        <v>49.8144</v>
      </c>
      <c r="AC69" s="76">
        <v>0.6226</v>
      </c>
      <c r="AD69" s="76">
        <v>3.88</v>
      </c>
      <c r="AE69" s="76">
        <v>1.0</v>
      </c>
      <c r="AF69" s="76">
        <v>3.0</v>
      </c>
      <c r="AG69" s="76">
        <v>5.0</v>
      </c>
      <c r="AH69" s="76">
        <v>8.0</v>
      </c>
      <c r="AI69" s="76">
        <v>73.94</v>
      </c>
      <c r="AJ69" s="76">
        <v>31.95</v>
      </c>
      <c r="AK69" s="76">
        <v>5.82</v>
      </c>
      <c r="AL69" s="76">
        <v>0.5263</v>
      </c>
      <c r="AM69" s="76">
        <v>36.05</v>
      </c>
      <c r="AN69" s="76">
        <v>36.05</v>
      </c>
      <c r="AO69" s="76">
        <v>16.65</v>
      </c>
      <c r="AP69" s="76">
        <v>4.97</v>
      </c>
      <c r="AQ69" s="76">
        <v>2.5615</v>
      </c>
      <c r="AR69" s="76">
        <v>0.0443</v>
      </c>
      <c r="AS69" s="76">
        <v>2.5172</v>
      </c>
      <c r="AT69" s="76">
        <v>2.3163</v>
      </c>
      <c r="AU69" s="76">
        <v>0.2304</v>
      </c>
      <c r="AV69" s="76">
        <v>7249.0</v>
      </c>
      <c r="AW69" s="76">
        <v>0.0</v>
      </c>
      <c r="AX69" s="76">
        <v>17.82</v>
      </c>
      <c r="AY69" s="76">
        <v>15.05</v>
      </c>
      <c r="AZ69" s="76">
        <v>1.75</v>
      </c>
      <c r="BA69" s="76">
        <v>1.04</v>
      </c>
      <c r="BB69" s="76">
        <v>0.67</v>
      </c>
      <c r="BC69" s="76">
        <v>16.0</v>
      </c>
      <c r="BD69" s="76">
        <v>17840.0</v>
      </c>
      <c r="BE69" s="76">
        <v>1.7357</v>
      </c>
      <c r="BF69" s="76">
        <v>0.0286</v>
      </c>
      <c r="BG69" s="76">
        <v>1.7071</v>
      </c>
      <c r="BH69" s="76">
        <v>1.3603</v>
      </c>
      <c r="BI69" s="76">
        <v>0.1353</v>
      </c>
      <c r="BJ69" s="76">
        <v>0.8258</v>
      </c>
      <c r="BK69" s="76">
        <v>0.0157</v>
      </c>
      <c r="BL69" s="76">
        <v>0.81</v>
      </c>
      <c r="BM69" s="76">
        <v>0.956</v>
      </c>
      <c r="BN69" s="76">
        <v>0.0951</v>
      </c>
      <c r="BO69" s="76">
        <v>0.7049</v>
      </c>
      <c r="BP69" s="76">
        <v>0.013</v>
      </c>
      <c r="BQ69" s="76">
        <v>0.692</v>
      </c>
      <c r="BR69" s="76">
        <v>0.565</v>
      </c>
      <c r="BS69" s="76">
        <v>0.7002</v>
      </c>
      <c r="BT69" s="76">
        <v>0.0047</v>
      </c>
      <c r="BU69" s="76">
        <v>0.6955</v>
      </c>
      <c r="BV69" s="76">
        <v>0.5147</v>
      </c>
      <c r="BW69" s="76">
        <v>0.3305</v>
      </c>
      <c r="BX69" s="76">
        <v>0.0109</v>
      </c>
      <c r="BY69" s="76">
        <v>0.3196</v>
      </c>
      <c r="BZ69" s="76">
        <v>0.2806</v>
      </c>
      <c r="CA69" s="76">
        <v>0.0963</v>
      </c>
      <c r="CB69" s="76">
        <v>0.0026</v>
      </c>
      <c r="CC69" s="76">
        <v>0.0937</v>
      </c>
      <c r="CD69" s="76">
        <v>0.1382</v>
      </c>
      <c r="CE69" s="76">
        <v>0.4297</v>
      </c>
      <c r="CF69" s="76">
        <v>0.008</v>
      </c>
      <c r="CG69" s="76">
        <v>0.4217</v>
      </c>
      <c r="CH69" s="76">
        <v>0.4712</v>
      </c>
      <c r="CI69" s="76">
        <v>0.2998</v>
      </c>
      <c r="CJ69" s="76">
        <v>0.0051</v>
      </c>
      <c r="CK69" s="76">
        <v>0.2947</v>
      </c>
      <c r="CL69" s="76">
        <v>0.3465</v>
      </c>
      <c r="CM69" s="76">
        <v>57.65</v>
      </c>
      <c r="CN69" s="76">
        <v>64.05</v>
      </c>
      <c r="CO69" s="76">
        <v>90.01</v>
      </c>
      <c r="CP69" s="76">
        <v>48.85</v>
      </c>
      <c r="CQ69" s="76">
        <v>0.09</v>
      </c>
      <c r="CR69" s="76">
        <v>5.82</v>
      </c>
      <c r="CS69" s="76">
        <v>2.89</v>
      </c>
      <c r="CT69" s="76">
        <v>0.0</v>
      </c>
      <c r="CU69" s="76">
        <v>1678.0</v>
      </c>
      <c r="CV69" s="76">
        <v>0.01</v>
      </c>
      <c r="CW69" s="76">
        <v>36.35</v>
      </c>
      <c r="CX69" s="76">
        <v>0.01</v>
      </c>
      <c r="CY69" s="76">
        <v>0.11</v>
      </c>
    </row>
    <row r="70" ht="15.75" customHeight="1">
      <c r="A70" s="164">
        <v>46235.0</v>
      </c>
      <c r="B70" s="76" t="s">
        <v>5</v>
      </c>
      <c r="C70" s="76" t="s">
        <v>148</v>
      </c>
      <c r="D70" s="76">
        <v>5309.0</v>
      </c>
      <c r="E70" s="76">
        <v>20.73</v>
      </c>
      <c r="F70" s="76">
        <v>347.99</v>
      </c>
      <c r="G70" s="76">
        <v>0.0655</v>
      </c>
      <c r="H70" s="76">
        <v>1.92</v>
      </c>
      <c r="I70" s="76">
        <v>3.4117</v>
      </c>
      <c r="J70" s="76">
        <v>37.76</v>
      </c>
      <c r="K70" s="76">
        <v>20.63</v>
      </c>
      <c r="L70" s="76">
        <v>12.63</v>
      </c>
      <c r="M70" s="76">
        <v>0.6123</v>
      </c>
      <c r="N70" s="76">
        <v>0.508</v>
      </c>
      <c r="O70" s="76">
        <v>0.3095</v>
      </c>
      <c r="P70" s="76">
        <v>1.6333</v>
      </c>
      <c r="Q70" s="76">
        <v>77.58</v>
      </c>
      <c r="R70" s="76">
        <v>69.64</v>
      </c>
      <c r="S70" s="76">
        <v>7.94</v>
      </c>
      <c r="T70" s="76">
        <v>5.47</v>
      </c>
      <c r="U70" s="76">
        <v>72.11</v>
      </c>
      <c r="V70" s="76">
        <v>80.66</v>
      </c>
      <c r="W70" s="76">
        <v>3.9101</v>
      </c>
      <c r="X70" s="76">
        <v>7.05</v>
      </c>
      <c r="Y70" s="76">
        <v>222.0</v>
      </c>
      <c r="Z70" s="76">
        <v>362.0</v>
      </c>
      <c r="AA70" s="76">
        <v>1030.0</v>
      </c>
      <c r="AB70" s="76">
        <v>51.7129</v>
      </c>
      <c r="AC70" s="76">
        <v>0.7129</v>
      </c>
      <c r="AD70" s="76">
        <v>9.28</v>
      </c>
      <c r="AE70" s="76">
        <v>4.0</v>
      </c>
      <c r="AF70" s="76">
        <v>8.0</v>
      </c>
      <c r="AG70" s="76">
        <v>13.0</v>
      </c>
      <c r="AH70" s="76">
        <v>18.0</v>
      </c>
      <c r="AI70" s="76">
        <v>63.19</v>
      </c>
      <c r="AJ70" s="76">
        <v>26.54</v>
      </c>
      <c r="AK70" s="76">
        <v>3.41</v>
      </c>
      <c r="AL70" s="76">
        <v>0.3882</v>
      </c>
      <c r="AM70" s="76">
        <v>40.42</v>
      </c>
      <c r="AN70" s="76">
        <v>40.42</v>
      </c>
      <c r="AO70" s="76">
        <v>23.94</v>
      </c>
      <c r="AP70" s="76">
        <v>11.41</v>
      </c>
      <c r="AQ70" s="76">
        <v>4.8781</v>
      </c>
      <c r="AR70" s="76">
        <v>0.1226</v>
      </c>
      <c r="AS70" s="76">
        <v>4.7555</v>
      </c>
      <c r="AT70" s="76">
        <v>4.5558</v>
      </c>
      <c r="AU70" s="76">
        <v>0.2208</v>
      </c>
      <c r="AV70" s="76">
        <v>5309.0</v>
      </c>
      <c r="AW70" s="76">
        <v>0.0</v>
      </c>
      <c r="AX70" s="76">
        <v>34.97</v>
      </c>
      <c r="AY70" s="76">
        <v>33.49</v>
      </c>
      <c r="AZ70" s="76">
        <v>2.41</v>
      </c>
      <c r="BA70" s="76">
        <v>5.47</v>
      </c>
      <c r="BB70" s="76">
        <v>1.24</v>
      </c>
      <c r="BC70" s="76">
        <v>35.0</v>
      </c>
      <c r="BD70" s="76">
        <v>17076.0</v>
      </c>
      <c r="BE70" s="76">
        <v>3.1626</v>
      </c>
      <c r="BF70" s="76">
        <v>0.0819</v>
      </c>
      <c r="BG70" s="76">
        <v>3.0806</v>
      </c>
      <c r="BH70" s="76">
        <v>2.567</v>
      </c>
      <c r="BI70" s="76">
        <v>0.1244</v>
      </c>
      <c r="BJ70" s="76">
        <v>1.7156</v>
      </c>
      <c r="BK70" s="76">
        <v>0.0407</v>
      </c>
      <c r="BL70" s="76">
        <v>1.6749</v>
      </c>
      <c r="BM70" s="76">
        <v>1.9889</v>
      </c>
      <c r="BN70" s="76">
        <v>0.0964</v>
      </c>
      <c r="BO70" s="76">
        <v>1.1757</v>
      </c>
      <c r="BP70" s="76">
        <v>0.032</v>
      </c>
      <c r="BQ70" s="76">
        <v>1.1437</v>
      </c>
      <c r="BR70" s="76">
        <v>1.0151</v>
      </c>
      <c r="BS70" s="76">
        <v>1.3163</v>
      </c>
      <c r="BT70" s="76">
        <v>0.019</v>
      </c>
      <c r="BU70" s="76">
        <v>1.2972</v>
      </c>
      <c r="BV70" s="76">
        <v>0.9678</v>
      </c>
      <c r="BW70" s="76">
        <v>0.6706</v>
      </c>
      <c r="BX70" s="76">
        <v>0.0309</v>
      </c>
      <c r="BY70" s="76">
        <v>0.6397</v>
      </c>
      <c r="BZ70" s="76">
        <v>0.5841</v>
      </c>
      <c r="CA70" s="76">
        <v>0.2185</v>
      </c>
      <c r="CB70" s="76">
        <v>0.0102</v>
      </c>
      <c r="CC70" s="76">
        <v>0.2083</v>
      </c>
      <c r="CD70" s="76">
        <v>0.3439</v>
      </c>
      <c r="CE70" s="76">
        <v>0.8857</v>
      </c>
      <c r="CF70" s="76">
        <v>0.017</v>
      </c>
      <c r="CG70" s="76">
        <v>0.8687</v>
      </c>
      <c r="CH70" s="76">
        <v>0.9412</v>
      </c>
      <c r="CI70" s="76">
        <v>0.6114</v>
      </c>
      <c r="CJ70" s="76">
        <v>0.0136</v>
      </c>
      <c r="CK70" s="76">
        <v>0.5979</v>
      </c>
      <c r="CL70" s="76">
        <v>0.7037</v>
      </c>
      <c r="CM70" s="76">
        <v>128.48</v>
      </c>
      <c r="CN70" s="76">
        <v>80.07</v>
      </c>
      <c r="CO70" s="76">
        <v>160.46</v>
      </c>
      <c r="CP70" s="76">
        <v>107.05</v>
      </c>
      <c r="CQ70" s="76">
        <v>0.2</v>
      </c>
      <c r="CR70" s="76">
        <v>7.8</v>
      </c>
      <c r="CS70" s="76">
        <v>13.44</v>
      </c>
      <c r="CT70" s="76">
        <v>0.0</v>
      </c>
      <c r="CU70" s="76">
        <v>1924.0</v>
      </c>
      <c r="CV70" s="76">
        <v>0.02</v>
      </c>
      <c r="CW70" s="76">
        <v>77.6</v>
      </c>
      <c r="CX70" s="76">
        <v>0.03</v>
      </c>
      <c r="CY70" s="76">
        <v>0.23</v>
      </c>
    </row>
    <row r="71" ht="15.75" customHeight="1">
      <c r="A71" s="164">
        <v>46235.0</v>
      </c>
      <c r="B71" s="76" t="s">
        <v>5</v>
      </c>
      <c r="C71" s="76" t="s">
        <v>149</v>
      </c>
      <c r="D71" s="76">
        <v>4594.0</v>
      </c>
      <c r="E71" s="76">
        <v>17.94</v>
      </c>
      <c r="F71" s="76">
        <v>635.26</v>
      </c>
      <c r="G71" s="76">
        <v>0.1383</v>
      </c>
      <c r="H71" s="76">
        <v>2.55</v>
      </c>
      <c r="I71" s="76">
        <v>5.4296</v>
      </c>
      <c r="J71" s="76">
        <v>59.11</v>
      </c>
      <c r="K71" s="76">
        <v>34.16</v>
      </c>
      <c r="L71" s="76">
        <v>23.91</v>
      </c>
      <c r="M71" s="76">
        <v>0.6999</v>
      </c>
      <c r="N71" s="76">
        <v>0.421</v>
      </c>
      <c r="O71" s="76">
        <v>0.2694</v>
      </c>
      <c r="P71" s="76">
        <v>1.4287</v>
      </c>
      <c r="Q71" s="76">
        <v>135.78</v>
      </c>
      <c r="R71" s="76">
        <v>120.7</v>
      </c>
      <c r="S71" s="76">
        <v>15.08</v>
      </c>
      <c r="T71" s="76">
        <v>10.12</v>
      </c>
      <c r="U71" s="76">
        <v>125.66</v>
      </c>
      <c r="V71" s="76">
        <v>140.15</v>
      </c>
      <c r="W71" s="76">
        <v>4.1025</v>
      </c>
      <c r="X71" s="76">
        <v>7.45</v>
      </c>
      <c r="Y71" s="76">
        <v>256.0</v>
      </c>
      <c r="Z71" s="76">
        <v>432.0</v>
      </c>
      <c r="AA71" s="76">
        <v>1078.0</v>
      </c>
      <c r="AB71" s="76">
        <v>53.5794</v>
      </c>
      <c r="AC71" s="76">
        <v>0.7653</v>
      </c>
      <c r="AD71" s="76">
        <v>15.62</v>
      </c>
      <c r="AE71" s="76">
        <v>6.0</v>
      </c>
      <c r="AF71" s="76">
        <v>12.0</v>
      </c>
      <c r="AG71" s="76">
        <v>22.0</v>
      </c>
      <c r="AH71" s="76">
        <v>32.0</v>
      </c>
      <c r="AI71" s="76">
        <v>55.25</v>
      </c>
      <c r="AJ71" s="76">
        <v>19.0</v>
      </c>
      <c r="AK71" s="76">
        <v>4.09</v>
      </c>
      <c r="AL71" s="76">
        <v>0.2995</v>
      </c>
      <c r="AM71" s="76">
        <v>41.1</v>
      </c>
      <c r="AN71" s="76">
        <v>41.1</v>
      </c>
      <c r="AO71" s="76">
        <v>21.92</v>
      </c>
      <c r="AP71" s="76">
        <v>11.8</v>
      </c>
      <c r="AQ71" s="76">
        <v>7.0993</v>
      </c>
      <c r="AR71" s="76">
        <v>0.1831</v>
      </c>
      <c r="AS71" s="76">
        <v>6.9162</v>
      </c>
      <c r="AT71" s="76">
        <v>6.7536</v>
      </c>
      <c r="AU71" s="76">
        <v>0.1977</v>
      </c>
      <c r="AV71" s="76">
        <v>4594.0</v>
      </c>
      <c r="AW71" s="76">
        <v>0.0</v>
      </c>
      <c r="AX71" s="76">
        <v>57.89</v>
      </c>
      <c r="AY71" s="76">
        <v>62.59</v>
      </c>
      <c r="AZ71" s="76">
        <v>2.61</v>
      </c>
      <c r="BA71" s="76">
        <v>10.08</v>
      </c>
      <c r="BB71" s="76">
        <v>2.61</v>
      </c>
      <c r="BC71" s="76">
        <v>59.0</v>
      </c>
      <c r="BD71" s="76">
        <v>14767.0</v>
      </c>
      <c r="BE71" s="76">
        <v>4.3513</v>
      </c>
      <c r="BF71" s="76">
        <v>0.1117</v>
      </c>
      <c r="BG71" s="76">
        <v>4.2397</v>
      </c>
      <c r="BH71" s="76">
        <v>3.5509</v>
      </c>
      <c r="BI71" s="76">
        <v>0.1039</v>
      </c>
      <c r="BJ71" s="76">
        <v>2.7479</v>
      </c>
      <c r="BK71" s="76">
        <v>0.0714</v>
      </c>
      <c r="BL71" s="76">
        <v>2.6765</v>
      </c>
      <c r="BM71" s="76">
        <v>3.2027</v>
      </c>
      <c r="BN71" s="76">
        <v>0.0937</v>
      </c>
      <c r="BO71" s="76">
        <v>1.5028</v>
      </c>
      <c r="BP71" s="76">
        <v>0.0357</v>
      </c>
      <c r="BQ71" s="76">
        <v>1.4671</v>
      </c>
      <c r="BR71" s="76">
        <v>1.2821</v>
      </c>
      <c r="BS71" s="76">
        <v>1.7912</v>
      </c>
      <c r="BT71" s="76">
        <v>0.0324</v>
      </c>
      <c r="BU71" s="76">
        <v>1.7588</v>
      </c>
      <c r="BV71" s="76">
        <v>1.3846</v>
      </c>
      <c r="BW71" s="76">
        <v>1.0572</v>
      </c>
      <c r="BX71" s="76">
        <v>0.0435</v>
      </c>
      <c r="BY71" s="76">
        <v>1.0137</v>
      </c>
      <c r="BZ71" s="76">
        <v>0.8842</v>
      </c>
      <c r="CA71" s="76">
        <v>0.3801</v>
      </c>
      <c r="CB71" s="76">
        <v>0.0176</v>
      </c>
      <c r="CC71" s="76">
        <v>0.3624</v>
      </c>
      <c r="CD71" s="76">
        <v>0.5866</v>
      </c>
      <c r="CE71" s="76">
        <v>1.3076</v>
      </c>
      <c r="CF71" s="76">
        <v>0.0318</v>
      </c>
      <c r="CG71" s="76">
        <v>1.2758</v>
      </c>
      <c r="CH71" s="76">
        <v>1.3964</v>
      </c>
      <c r="CI71" s="76">
        <v>1.0603</v>
      </c>
      <c r="CJ71" s="76">
        <v>0.022</v>
      </c>
      <c r="CK71" s="76">
        <v>1.0383</v>
      </c>
      <c r="CL71" s="76">
        <v>1.2196</v>
      </c>
      <c r="CM71" s="76">
        <v>244.95</v>
      </c>
      <c r="CN71" s="76">
        <v>91.08</v>
      </c>
      <c r="CO71" s="76">
        <v>268.95</v>
      </c>
      <c r="CP71" s="76">
        <v>212.53</v>
      </c>
      <c r="CQ71" s="76">
        <v>0.13</v>
      </c>
      <c r="CR71" s="76">
        <v>8.84</v>
      </c>
      <c r="CS71" s="76">
        <v>23.45</v>
      </c>
      <c r="CT71" s="76">
        <v>0.0</v>
      </c>
      <c r="CU71" s="76">
        <v>2024.0</v>
      </c>
      <c r="CV71" s="76">
        <v>0.01</v>
      </c>
      <c r="CW71" s="76">
        <v>135.79</v>
      </c>
      <c r="CX71" s="76">
        <v>0.03</v>
      </c>
      <c r="CY71" s="76">
        <v>0.16</v>
      </c>
    </row>
    <row r="72" ht="15.75" customHeight="1">
      <c r="A72" s="164">
        <v>46235.0</v>
      </c>
      <c r="B72" s="76" t="s">
        <v>5</v>
      </c>
      <c r="C72" s="76" t="s">
        <v>150</v>
      </c>
      <c r="D72" s="76">
        <v>2761.0</v>
      </c>
      <c r="E72" s="76">
        <v>10.78</v>
      </c>
      <c r="F72" s="76">
        <v>721.23</v>
      </c>
      <c r="G72" s="76">
        <v>0.2612</v>
      </c>
      <c r="H72" s="76">
        <v>3.73</v>
      </c>
      <c r="I72" s="76">
        <v>7.0022</v>
      </c>
      <c r="J72" s="76">
        <v>112.17</v>
      </c>
      <c r="K72" s="76">
        <v>70.37</v>
      </c>
      <c r="L72" s="76">
        <v>52.13</v>
      </c>
      <c r="M72" s="76">
        <v>0.7408</v>
      </c>
      <c r="N72" s="76">
        <v>0.3642</v>
      </c>
      <c r="O72" s="76">
        <v>0.2378</v>
      </c>
      <c r="P72" s="76">
        <v>1.35</v>
      </c>
      <c r="Q72" s="76">
        <v>265.05</v>
      </c>
      <c r="R72" s="76">
        <v>234.48</v>
      </c>
      <c r="S72" s="76">
        <v>30.57</v>
      </c>
      <c r="T72" s="76">
        <v>22.93</v>
      </c>
      <c r="U72" s="76">
        <v>242.12</v>
      </c>
      <c r="V72" s="76">
        <v>270.17</v>
      </c>
      <c r="W72" s="76">
        <v>3.8391</v>
      </c>
      <c r="X72" s="76">
        <v>8.65</v>
      </c>
      <c r="Y72" s="76">
        <v>319.0</v>
      </c>
      <c r="Z72" s="76">
        <v>590.0</v>
      </c>
      <c r="AA72" s="76">
        <v>1269.0</v>
      </c>
      <c r="AB72" s="76">
        <v>55.7145</v>
      </c>
      <c r="AC72" s="76">
        <v>0.7823</v>
      </c>
      <c r="AD72" s="76">
        <v>28.56</v>
      </c>
      <c r="AE72" s="76">
        <v>11.0</v>
      </c>
      <c r="AF72" s="76">
        <v>20.0</v>
      </c>
      <c r="AG72" s="76">
        <v>39.0</v>
      </c>
      <c r="AH72" s="76">
        <v>62.0</v>
      </c>
      <c r="AI72" s="76">
        <v>38.54</v>
      </c>
      <c r="AJ72" s="76">
        <v>11.01</v>
      </c>
      <c r="AK72" s="76">
        <v>2.46</v>
      </c>
      <c r="AL72" s="76">
        <v>0.1916</v>
      </c>
      <c r="AM72" s="76">
        <v>43.53</v>
      </c>
      <c r="AN72" s="76">
        <v>43.53</v>
      </c>
      <c r="AO72" s="76">
        <v>26.4</v>
      </c>
      <c r="AP72" s="76">
        <v>16.91</v>
      </c>
      <c r="AQ72" s="76">
        <v>11.3966</v>
      </c>
      <c r="AR72" s="76">
        <v>0.2963</v>
      </c>
      <c r="AS72" s="76">
        <v>11.1003</v>
      </c>
      <c r="AT72" s="76">
        <v>10.8855</v>
      </c>
      <c r="AU72" s="76">
        <v>0.1547</v>
      </c>
      <c r="AV72" s="76">
        <v>2761.0</v>
      </c>
      <c r="AW72" s="76">
        <v>0.0</v>
      </c>
      <c r="AX72" s="76">
        <v>114.75</v>
      </c>
      <c r="AY72" s="76">
        <v>117.85</v>
      </c>
      <c r="AZ72" s="76">
        <v>3.7</v>
      </c>
      <c r="BA72" s="76">
        <v>22.93</v>
      </c>
      <c r="BB72" s="76">
        <v>5.82</v>
      </c>
      <c r="BC72" s="76">
        <v>120.0</v>
      </c>
      <c r="BD72" s="76">
        <v>16116.0</v>
      </c>
      <c r="BE72" s="76">
        <v>6.402</v>
      </c>
      <c r="BF72" s="76">
        <v>0.1119</v>
      </c>
      <c r="BG72" s="76">
        <v>6.2901</v>
      </c>
      <c r="BH72" s="76">
        <v>5.243</v>
      </c>
      <c r="BI72" s="76">
        <v>0.0745</v>
      </c>
      <c r="BJ72" s="76">
        <v>4.9946</v>
      </c>
      <c r="BK72" s="76">
        <v>0.1844</v>
      </c>
      <c r="BL72" s="76">
        <v>4.8102</v>
      </c>
      <c r="BM72" s="76">
        <v>5.6425</v>
      </c>
      <c r="BN72" s="76">
        <v>0.0802</v>
      </c>
      <c r="BO72" s="76">
        <v>2.2372</v>
      </c>
      <c r="BP72" s="76">
        <v>0.0362</v>
      </c>
      <c r="BQ72" s="76">
        <v>2.201</v>
      </c>
      <c r="BR72" s="76">
        <v>1.8968</v>
      </c>
      <c r="BS72" s="76">
        <v>2.4886</v>
      </c>
      <c r="BT72" s="76">
        <v>0.0373</v>
      </c>
      <c r="BU72" s="76">
        <v>2.4513</v>
      </c>
      <c r="BV72" s="76">
        <v>1.9627</v>
      </c>
      <c r="BW72" s="76">
        <v>1.6762</v>
      </c>
      <c r="BX72" s="76">
        <v>0.0384</v>
      </c>
      <c r="BY72" s="76">
        <v>1.6378</v>
      </c>
      <c r="BZ72" s="76">
        <v>1.3836</v>
      </c>
      <c r="CA72" s="76">
        <v>0.8004</v>
      </c>
      <c r="CB72" s="76">
        <v>0.0456</v>
      </c>
      <c r="CC72" s="76">
        <v>0.7548</v>
      </c>
      <c r="CD72" s="76">
        <v>1.0619</v>
      </c>
      <c r="CE72" s="76">
        <v>2.1528</v>
      </c>
      <c r="CF72" s="76">
        <v>0.0819</v>
      </c>
      <c r="CG72" s="76">
        <v>2.071</v>
      </c>
      <c r="CH72" s="76">
        <v>2.3108</v>
      </c>
      <c r="CI72" s="76">
        <v>2.0413</v>
      </c>
      <c r="CJ72" s="76">
        <v>0.0569</v>
      </c>
      <c r="CK72" s="76">
        <v>1.9844</v>
      </c>
      <c r="CL72" s="76">
        <v>2.2698</v>
      </c>
      <c r="CM72" s="76">
        <v>520.15</v>
      </c>
      <c r="CN72" s="76">
        <v>98.41</v>
      </c>
      <c r="CO72" s="76">
        <v>528.57</v>
      </c>
      <c r="CP72" s="76">
        <v>474.39</v>
      </c>
      <c r="CQ72" s="76">
        <v>0.1</v>
      </c>
      <c r="CR72" s="76">
        <v>10.53</v>
      </c>
      <c r="CS72" s="76">
        <v>35.12</v>
      </c>
      <c r="CT72" s="76">
        <v>0.0</v>
      </c>
      <c r="CU72" s="76">
        <v>1445.0</v>
      </c>
      <c r="CV72" s="76">
        <v>0.02</v>
      </c>
      <c r="CW72" s="76">
        <v>265.07</v>
      </c>
      <c r="CX72" s="76">
        <v>0.05</v>
      </c>
      <c r="CY72" s="76">
        <v>0.15</v>
      </c>
    </row>
    <row r="73" ht="15.75" customHeight="1">
      <c r="A73" s="164">
        <v>46235.0</v>
      </c>
      <c r="B73" s="76" t="s">
        <v>5</v>
      </c>
      <c r="C73" s="76" t="s">
        <v>151</v>
      </c>
      <c r="D73" s="76">
        <v>402.0</v>
      </c>
      <c r="E73" s="76">
        <v>1.57</v>
      </c>
      <c r="F73" s="76">
        <v>135.1</v>
      </c>
      <c r="G73" s="76">
        <v>0.3361</v>
      </c>
      <c r="H73" s="76">
        <v>3.98</v>
      </c>
      <c r="I73" s="76">
        <v>8.4437</v>
      </c>
      <c r="J73" s="76">
        <v>233.37</v>
      </c>
      <c r="K73" s="76">
        <v>160.03</v>
      </c>
      <c r="L73" s="76">
        <v>121.78</v>
      </c>
      <c r="M73" s="76">
        <v>0.761</v>
      </c>
      <c r="N73" s="76">
        <v>0.3237</v>
      </c>
      <c r="O73" s="76">
        <v>0.2184</v>
      </c>
      <c r="P73" s="76">
        <v>1.3141</v>
      </c>
      <c r="Q73" s="76">
        <v>491.33</v>
      </c>
      <c r="R73" s="76">
        <v>417.59</v>
      </c>
      <c r="S73" s="76">
        <v>73.74</v>
      </c>
      <c r="T73" s="76">
        <v>28.86</v>
      </c>
      <c r="U73" s="76">
        <v>462.48</v>
      </c>
      <c r="V73" s="76">
        <v>501.0</v>
      </c>
      <c r="W73" s="76">
        <v>3.1307</v>
      </c>
      <c r="X73" s="76">
        <v>5.87</v>
      </c>
      <c r="Y73" s="76">
        <v>433.0</v>
      </c>
      <c r="Z73" s="76">
        <v>743.0</v>
      </c>
      <c r="AA73" s="76">
        <v>1525.0</v>
      </c>
      <c r="AB73" s="76">
        <v>59.0857</v>
      </c>
      <c r="AC73" s="76">
        <v>0.8126</v>
      </c>
      <c r="AD73" s="76">
        <v>51.56</v>
      </c>
      <c r="AE73" s="76">
        <v>19.0</v>
      </c>
      <c r="AF73" s="76">
        <v>34.0</v>
      </c>
      <c r="AG73" s="76">
        <v>66.0</v>
      </c>
      <c r="AH73" s="76">
        <v>115.0</v>
      </c>
      <c r="AI73" s="76">
        <v>20.65</v>
      </c>
      <c r="AJ73" s="76">
        <v>3.98</v>
      </c>
      <c r="AK73" s="76">
        <v>0.0</v>
      </c>
      <c r="AL73" s="76">
        <v>0.1095</v>
      </c>
      <c r="AM73" s="76">
        <v>63.93</v>
      </c>
      <c r="AN73" s="76">
        <v>63.93</v>
      </c>
      <c r="AO73" s="76">
        <v>49.75</v>
      </c>
      <c r="AP73" s="76">
        <v>42.54</v>
      </c>
      <c r="AQ73" s="76">
        <v>21.1169</v>
      </c>
      <c r="AR73" s="76">
        <v>0.4303</v>
      </c>
      <c r="AS73" s="76">
        <v>20.6866</v>
      </c>
      <c r="AT73" s="76">
        <v>22.4677</v>
      </c>
      <c r="AU73" s="76">
        <v>0.1404</v>
      </c>
      <c r="AV73" s="76">
        <v>402.0</v>
      </c>
      <c r="AW73" s="76">
        <v>0.0</v>
      </c>
      <c r="AX73" s="76">
        <v>243.74</v>
      </c>
      <c r="AY73" s="76">
        <v>201.6</v>
      </c>
      <c r="AZ73" s="76">
        <v>5.19</v>
      </c>
      <c r="BA73" s="76">
        <v>28.86</v>
      </c>
      <c r="BB73" s="76">
        <v>11.94</v>
      </c>
      <c r="BC73" s="76">
        <v>230.0</v>
      </c>
      <c r="BD73" s="76">
        <v>15261.0</v>
      </c>
      <c r="BE73" s="76">
        <v>11.0647</v>
      </c>
      <c r="BF73" s="76">
        <v>0.1343</v>
      </c>
      <c r="BG73" s="76">
        <v>10.9303</v>
      </c>
      <c r="BH73" s="76">
        <v>10.1144</v>
      </c>
      <c r="BI73" s="76">
        <v>0.0632</v>
      </c>
      <c r="BJ73" s="76">
        <v>10.0522</v>
      </c>
      <c r="BK73" s="76">
        <v>0.296</v>
      </c>
      <c r="BL73" s="76">
        <v>9.7562</v>
      </c>
      <c r="BM73" s="76">
        <v>12.3532</v>
      </c>
      <c r="BN73" s="76">
        <v>0.0772</v>
      </c>
      <c r="BO73" s="76">
        <v>3.6791</v>
      </c>
      <c r="BP73" s="76">
        <v>0.0448</v>
      </c>
      <c r="BQ73" s="76">
        <v>3.6343</v>
      </c>
      <c r="BR73" s="76">
        <v>3.4478</v>
      </c>
      <c r="BS73" s="76">
        <v>4.2612</v>
      </c>
      <c r="BT73" s="76">
        <v>0.0448</v>
      </c>
      <c r="BU73" s="76">
        <v>4.2164</v>
      </c>
      <c r="BV73" s="76">
        <v>3.7886</v>
      </c>
      <c r="BW73" s="76">
        <v>3.1244</v>
      </c>
      <c r="BX73" s="76">
        <v>0.0448</v>
      </c>
      <c r="BY73" s="76">
        <v>3.0796</v>
      </c>
      <c r="BZ73" s="76">
        <v>2.8781</v>
      </c>
      <c r="CA73" s="76">
        <v>1.8532</v>
      </c>
      <c r="CB73" s="76">
        <v>0.0721</v>
      </c>
      <c r="CC73" s="76">
        <v>1.7811</v>
      </c>
      <c r="CD73" s="76">
        <v>4.0721</v>
      </c>
      <c r="CE73" s="76">
        <v>4.2512</v>
      </c>
      <c r="CF73" s="76">
        <v>0.1343</v>
      </c>
      <c r="CG73" s="76">
        <v>4.1169</v>
      </c>
      <c r="CH73" s="76">
        <v>4.3358</v>
      </c>
      <c r="CI73" s="76">
        <v>3.9478</v>
      </c>
      <c r="CJ73" s="76">
        <v>0.0896</v>
      </c>
      <c r="CK73" s="76">
        <v>3.8582</v>
      </c>
      <c r="CL73" s="76">
        <v>3.9453</v>
      </c>
      <c r="CM73" s="76">
        <v>1170.02</v>
      </c>
      <c r="CN73" s="76">
        <v>99.0</v>
      </c>
      <c r="CO73" s="76">
        <v>1181.78</v>
      </c>
      <c r="CP73" s="76">
        <v>1116.79</v>
      </c>
      <c r="CQ73" s="76">
        <v>0.19</v>
      </c>
      <c r="CR73" s="76">
        <v>12.39</v>
      </c>
      <c r="CS73" s="76">
        <v>40.66</v>
      </c>
      <c r="CT73" s="76">
        <v>0.0</v>
      </c>
      <c r="CU73" s="76">
        <v>224.0</v>
      </c>
      <c r="CV73" s="76">
        <v>0.0</v>
      </c>
      <c r="CW73" s="76">
        <v>491.33</v>
      </c>
      <c r="CX73" s="76">
        <v>0.12</v>
      </c>
      <c r="CY73" s="76">
        <v>0.31</v>
      </c>
    </row>
    <row r="74" ht="15.75" customHeight="1">
      <c r="A74" s="164">
        <v>46236.0</v>
      </c>
      <c r="B74" s="76" t="s">
        <v>4</v>
      </c>
      <c r="C74" s="76" t="s">
        <v>316</v>
      </c>
      <c r="D74" s="76">
        <v>5197.0</v>
      </c>
      <c r="E74" s="76">
        <v>19.92</v>
      </c>
      <c r="F74" s="76">
        <v>470.23</v>
      </c>
      <c r="G74" s="76">
        <v>0.0905</v>
      </c>
      <c r="H74" s="76">
        <v>1.4</v>
      </c>
      <c r="I74" s="76">
        <v>6.4415</v>
      </c>
      <c r="J74" s="76">
        <v>23.8</v>
      </c>
      <c r="K74" s="76">
        <v>13.12</v>
      </c>
      <c r="L74" s="76">
        <v>8.83</v>
      </c>
      <c r="M74" s="76">
        <v>0.6732</v>
      </c>
      <c r="N74" s="76">
        <v>0.4411</v>
      </c>
      <c r="O74" s="76">
        <v>0.219</v>
      </c>
      <c r="P74" s="76">
        <v>1.4854</v>
      </c>
      <c r="Q74" s="76">
        <v>40.51</v>
      </c>
      <c r="R74" s="76">
        <v>40.32</v>
      </c>
      <c r="S74" s="76">
        <v>0.19</v>
      </c>
      <c r="T74" s="76">
        <v>7.79</v>
      </c>
      <c r="U74" s="76">
        <v>32.71</v>
      </c>
      <c r="V74" s="76">
        <v>34.98</v>
      </c>
      <c r="W74" s="76">
        <v>2.6658</v>
      </c>
      <c r="X74" s="76">
        <v>19.24</v>
      </c>
      <c r="Y74" s="76">
        <v>199.0</v>
      </c>
      <c r="Z74" s="76">
        <v>483.0</v>
      </c>
      <c r="AA74" s="76">
        <v>3568.0</v>
      </c>
      <c r="AB74" s="76">
        <v>50.0072</v>
      </c>
      <c r="AC74" s="76">
        <v>0.4679</v>
      </c>
      <c r="AI74" s="76">
        <v>0.0</v>
      </c>
      <c r="AJ74" s="76">
        <v>0.0</v>
      </c>
      <c r="AK74" s="76">
        <v>0.0</v>
      </c>
      <c r="AL74" s="76">
        <v>0.5066</v>
      </c>
      <c r="AQ74" s="76">
        <v>1.4959</v>
      </c>
      <c r="AR74" s="76">
        <v>0.0791</v>
      </c>
      <c r="AS74" s="76">
        <v>1.4168</v>
      </c>
      <c r="AT74" s="76">
        <v>1.463</v>
      </c>
      <c r="AU74" s="76">
        <v>0.1115</v>
      </c>
      <c r="AV74" s="76">
        <v>5197.0</v>
      </c>
      <c r="AW74" s="76">
        <v>0.0</v>
      </c>
      <c r="AX74" s="76">
        <v>16.05</v>
      </c>
      <c r="AY74" s="76">
        <v>13.65</v>
      </c>
      <c r="AZ74" s="76">
        <v>2.76</v>
      </c>
      <c r="BA74" s="76">
        <v>7.79</v>
      </c>
      <c r="BB74" s="76">
        <v>0.25</v>
      </c>
      <c r="BD74" s="76">
        <v>30359.0</v>
      </c>
      <c r="BE74" s="76">
        <v>0.6419</v>
      </c>
      <c r="BF74" s="76">
        <v>0.0346</v>
      </c>
      <c r="BG74" s="76">
        <v>0.6073</v>
      </c>
      <c r="BH74" s="76">
        <v>0.6704</v>
      </c>
      <c r="BI74" s="76">
        <v>0.0511</v>
      </c>
      <c r="BJ74" s="76">
        <v>0.854</v>
      </c>
      <c r="BK74" s="76">
        <v>0.0444</v>
      </c>
      <c r="BL74" s="76">
        <v>0.8095</v>
      </c>
      <c r="BM74" s="76">
        <v>0.7926</v>
      </c>
      <c r="BN74" s="76">
        <v>0.0604</v>
      </c>
      <c r="BO74" s="76">
        <v>0.2115</v>
      </c>
      <c r="BP74" s="76">
        <v>0.0129</v>
      </c>
      <c r="BQ74" s="76">
        <v>0.1986</v>
      </c>
      <c r="BR74" s="76">
        <v>0.2438</v>
      </c>
      <c r="BS74" s="76">
        <v>0.2349</v>
      </c>
      <c r="BT74" s="76">
        <v>0.0117</v>
      </c>
      <c r="BU74" s="76">
        <v>0.2232</v>
      </c>
      <c r="BV74" s="76">
        <v>0.2399</v>
      </c>
      <c r="BW74" s="76">
        <v>0.1955</v>
      </c>
      <c r="BX74" s="76">
        <v>0.01</v>
      </c>
      <c r="BY74" s="76">
        <v>0.1855</v>
      </c>
      <c r="BZ74" s="76">
        <v>0.1866</v>
      </c>
      <c r="CA74" s="76">
        <v>0.1714</v>
      </c>
      <c r="CB74" s="76">
        <v>0.0104</v>
      </c>
      <c r="CC74" s="76">
        <v>0.1611</v>
      </c>
      <c r="CD74" s="76">
        <v>0.1714</v>
      </c>
      <c r="CE74" s="76">
        <v>0.4027</v>
      </c>
      <c r="CF74" s="76">
        <v>0.0196</v>
      </c>
      <c r="CG74" s="76">
        <v>0.3831</v>
      </c>
      <c r="CH74" s="76">
        <v>0.3421</v>
      </c>
      <c r="CI74" s="76">
        <v>0.2798</v>
      </c>
      <c r="CJ74" s="76">
        <v>0.0144</v>
      </c>
      <c r="CK74" s="76">
        <v>0.2653</v>
      </c>
      <c r="CL74" s="76">
        <v>0.279</v>
      </c>
      <c r="CM74" s="76">
        <v>122.71</v>
      </c>
      <c r="CN74" s="76">
        <v>21.13</v>
      </c>
      <c r="CO74" s="76">
        <v>580.8</v>
      </c>
      <c r="CP74" s="76">
        <v>117.1</v>
      </c>
      <c r="CQ74" s="76">
        <v>0.0</v>
      </c>
      <c r="CR74" s="76">
        <v>1.75</v>
      </c>
      <c r="CS74" s="76">
        <v>3.86</v>
      </c>
      <c r="CT74" s="76">
        <v>0.0</v>
      </c>
      <c r="CU74" s="76">
        <v>0.0</v>
      </c>
      <c r="CV74" s="76">
        <v>0.0</v>
      </c>
      <c r="CW74" s="76">
        <v>40.51</v>
      </c>
      <c r="CX74" s="76">
        <v>0.0</v>
      </c>
      <c r="CY74" s="76">
        <v>0.0</v>
      </c>
    </row>
    <row r="75" ht="15.75" customHeight="1">
      <c r="A75" s="164">
        <v>46236.0</v>
      </c>
      <c r="B75" s="76" t="s">
        <v>4</v>
      </c>
      <c r="C75" s="76" t="s">
        <v>147</v>
      </c>
      <c r="D75" s="76">
        <v>7493.0</v>
      </c>
      <c r="E75" s="76">
        <v>28.73</v>
      </c>
      <c r="F75" s="76">
        <v>94.73</v>
      </c>
      <c r="G75" s="76">
        <v>0.0126</v>
      </c>
      <c r="H75" s="76">
        <v>0.52</v>
      </c>
      <c r="I75" s="76">
        <v>2.429</v>
      </c>
      <c r="J75" s="76">
        <v>20.21</v>
      </c>
      <c r="K75" s="76">
        <v>10.87</v>
      </c>
      <c r="L75" s="76">
        <v>5.1</v>
      </c>
      <c r="M75" s="76">
        <v>0.4688</v>
      </c>
      <c r="N75" s="76">
        <v>0.6355</v>
      </c>
      <c r="O75" s="76">
        <v>0.3784</v>
      </c>
      <c r="P75" s="76">
        <v>2.133</v>
      </c>
      <c r="Q75" s="76">
        <v>42.8</v>
      </c>
      <c r="R75" s="76">
        <v>33.71</v>
      </c>
      <c r="S75" s="76">
        <v>9.1</v>
      </c>
      <c r="T75" s="76">
        <v>1.21</v>
      </c>
      <c r="U75" s="76">
        <v>41.59</v>
      </c>
      <c r="V75" s="76">
        <v>42.34</v>
      </c>
      <c r="W75" s="76">
        <v>3.8933</v>
      </c>
      <c r="X75" s="76">
        <v>2.84</v>
      </c>
      <c r="Y75" s="76">
        <v>200.0</v>
      </c>
      <c r="Z75" s="76">
        <v>349.0</v>
      </c>
      <c r="AA75" s="76">
        <v>1261.0</v>
      </c>
      <c r="AB75" s="76">
        <v>49.5729</v>
      </c>
      <c r="AC75" s="76">
        <v>0.6107</v>
      </c>
      <c r="AD75" s="76">
        <v>3.93</v>
      </c>
      <c r="AE75" s="76">
        <v>2.0</v>
      </c>
      <c r="AF75" s="76">
        <v>3.0</v>
      </c>
      <c r="AG75" s="76">
        <v>5.0</v>
      </c>
      <c r="AH75" s="76">
        <v>8.0</v>
      </c>
      <c r="AI75" s="76">
        <v>75.36</v>
      </c>
      <c r="AJ75" s="76">
        <v>32.43</v>
      </c>
      <c r="AK75" s="76">
        <v>5.86</v>
      </c>
      <c r="AL75" s="76">
        <v>0.5324</v>
      </c>
      <c r="AQ75" s="76">
        <v>2.3122</v>
      </c>
      <c r="AR75" s="76">
        <v>0.032</v>
      </c>
      <c r="AS75" s="76">
        <v>2.2801</v>
      </c>
      <c r="AT75" s="76">
        <v>2.2095</v>
      </c>
      <c r="AU75" s="76">
        <v>0.2032</v>
      </c>
      <c r="AV75" s="76">
        <v>7493.0</v>
      </c>
      <c r="AW75" s="76">
        <v>0.0</v>
      </c>
      <c r="AX75" s="76">
        <v>29.82</v>
      </c>
      <c r="AY75" s="76">
        <v>9.21</v>
      </c>
      <c r="AZ75" s="76">
        <v>1.92</v>
      </c>
      <c r="BA75" s="76">
        <v>1.21</v>
      </c>
      <c r="BB75" s="76">
        <v>0.64</v>
      </c>
      <c r="BC75" s="76">
        <v>17.0</v>
      </c>
      <c r="BD75" s="76">
        <v>18146.0</v>
      </c>
      <c r="BE75" s="76">
        <v>1.4798</v>
      </c>
      <c r="BF75" s="76">
        <v>0.02</v>
      </c>
      <c r="BG75" s="76">
        <v>1.4598</v>
      </c>
      <c r="BH75" s="76">
        <v>1.258</v>
      </c>
      <c r="BI75" s="76">
        <v>0.1157</v>
      </c>
      <c r="BJ75" s="76">
        <v>0.8324</v>
      </c>
      <c r="BK75" s="76">
        <v>0.012</v>
      </c>
      <c r="BL75" s="76">
        <v>0.8204</v>
      </c>
      <c r="BM75" s="76">
        <v>0.9516</v>
      </c>
      <c r="BN75" s="76">
        <v>0.0875</v>
      </c>
      <c r="BO75" s="76">
        <v>0.5751</v>
      </c>
      <c r="BP75" s="76">
        <v>0.0093</v>
      </c>
      <c r="BQ75" s="76">
        <v>0.5657</v>
      </c>
      <c r="BR75" s="76">
        <v>0.5205</v>
      </c>
      <c r="BS75" s="76">
        <v>0.6273</v>
      </c>
      <c r="BT75" s="76">
        <v>0.0041</v>
      </c>
      <c r="BU75" s="76">
        <v>0.6231</v>
      </c>
      <c r="BV75" s="76">
        <v>0.482</v>
      </c>
      <c r="BW75" s="76">
        <v>0.2775</v>
      </c>
      <c r="BX75" s="76">
        <v>0.0065</v>
      </c>
      <c r="BY75" s="76">
        <v>0.2709</v>
      </c>
      <c r="BZ75" s="76">
        <v>0.2554</v>
      </c>
      <c r="CA75" s="76">
        <v>0.1304</v>
      </c>
      <c r="CB75" s="76">
        <v>0.0028</v>
      </c>
      <c r="CC75" s="76">
        <v>0.1276</v>
      </c>
      <c r="CD75" s="76">
        <v>0.1612</v>
      </c>
      <c r="CE75" s="76">
        <v>0.3691</v>
      </c>
      <c r="CF75" s="76">
        <v>0.004</v>
      </c>
      <c r="CG75" s="76">
        <v>0.3651</v>
      </c>
      <c r="CH75" s="76">
        <v>0.4256</v>
      </c>
      <c r="CI75" s="76">
        <v>0.3328</v>
      </c>
      <c r="CJ75" s="76">
        <v>0.0052</v>
      </c>
      <c r="CK75" s="76">
        <v>0.3276</v>
      </c>
      <c r="CL75" s="76">
        <v>0.3647</v>
      </c>
      <c r="CM75" s="76">
        <v>66.2</v>
      </c>
      <c r="CN75" s="76">
        <v>66.36</v>
      </c>
      <c r="CO75" s="76">
        <v>99.77</v>
      </c>
      <c r="CP75" s="76">
        <v>60.38</v>
      </c>
      <c r="CQ75" s="76">
        <v>0.0</v>
      </c>
      <c r="CR75" s="76">
        <v>3.7</v>
      </c>
      <c r="CS75" s="76">
        <v>2.12</v>
      </c>
      <c r="CT75" s="76">
        <v>0.0</v>
      </c>
      <c r="CU75" s="76">
        <v>0.0</v>
      </c>
      <c r="CV75" s="76">
        <v>0.0</v>
      </c>
      <c r="CW75" s="76">
        <v>42.8</v>
      </c>
      <c r="CX75" s="76">
        <v>0.0</v>
      </c>
      <c r="CY75" s="76">
        <v>0.0</v>
      </c>
    </row>
    <row r="76" ht="15.75" customHeight="1">
      <c r="A76" s="164">
        <v>46236.0</v>
      </c>
      <c r="B76" s="76" t="s">
        <v>4</v>
      </c>
      <c r="C76" s="76" t="s">
        <v>148</v>
      </c>
      <c r="D76" s="76">
        <v>5453.0</v>
      </c>
      <c r="E76" s="76">
        <v>20.9</v>
      </c>
      <c r="F76" s="76">
        <v>361.7</v>
      </c>
      <c r="G76" s="76">
        <v>0.0663</v>
      </c>
      <c r="H76" s="76">
        <v>1.8</v>
      </c>
      <c r="I76" s="76">
        <v>3.6908</v>
      </c>
      <c r="J76" s="76">
        <v>39.76</v>
      </c>
      <c r="K76" s="76">
        <v>22.55</v>
      </c>
      <c r="L76" s="76">
        <v>13.59</v>
      </c>
      <c r="M76" s="76">
        <v>0.6028</v>
      </c>
      <c r="N76" s="76">
        <v>0.5148</v>
      </c>
      <c r="O76" s="76">
        <v>0.3082</v>
      </c>
      <c r="P76" s="76">
        <v>1.659</v>
      </c>
      <c r="Q76" s="76">
        <v>89.23</v>
      </c>
      <c r="R76" s="76">
        <v>62.83</v>
      </c>
      <c r="S76" s="76">
        <v>26.4</v>
      </c>
      <c r="T76" s="76">
        <v>5.88</v>
      </c>
      <c r="U76" s="76">
        <v>83.35</v>
      </c>
      <c r="V76" s="76">
        <v>87.39</v>
      </c>
      <c r="W76" s="76">
        <v>3.8763</v>
      </c>
      <c r="X76" s="76">
        <v>6.59</v>
      </c>
      <c r="Y76" s="76">
        <v>239.0</v>
      </c>
      <c r="Z76" s="76">
        <v>414.0</v>
      </c>
      <c r="AA76" s="76">
        <v>1256.0</v>
      </c>
      <c r="AB76" s="76">
        <v>51.9381</v>
      </c>
      <c r="AC76" s="76">
        <v>0.7108</v>
      </c>
      <c r="AD76" s="76">
        <v>9.76</v>
      </c>
      <c r="AE76" s="76">
        <v>4.0</v>
      </c>
      <c r="AF76" s="76">
        <v>9.0</v>
      </c>
      <c r="AG76" s="76">
        <v>13.0</v>
      </c>
      <c r="AH76" s="76">
        <v>18.0</v>
      </c>
      <c r="AI76" s="76">
        <v>67.43</v>
      </c>
      <c r="AJ76" s="76">
        <v>28.96</v>
      </c>
      <c r="AK76" s="76">
        <v>3.63</v>
      </c>
      <c r="AL76" s="76">
        <v>0.4022</v>
      </c>
      <c r="AQ76" s="76">
        <v>5.1584</v>
      </c>
      <c r="AR76" s="76">
        <v>0.0981</v>
      </c>
      <c r="AS76" s="76">
        <v>5.0603</v>
      </c>
      <c r="AT76" s="76">
        <v>4.5522</v>
      </c>
      <c r="AU76" s="76">
        <v>0.2019</v>
      </c>
      <c r="AV76" s="76">
        <v>5453.0</v>
      </c>
      <c r="AW76" s="76">
        <v>0.0</v>
      </c>
      <c r="AX76" s="76">
        <v>60.54</v>
      </c>
      <c r="AY76" s="76">
        <v>19.21</v>
      </c>
      <c r="AZ76" s="76">
        <v>2.48</v>
      </c>
      <c r="BA76" s="76">
        <v>5.88</v>
      </c>
      <c r="BB76" s="76">
        <v>1.12</v>
      </c>
      <c r="BC76" s="76">
        <v>35.0</v>
      </c>
      <c r="BD76" s="76">
        <v>18964.0</v>
      </c>
      <c r="BE76" s="76">
        <v>3.3145</v>
      </c>
      <c r="BF76" s="76">
        <v>0.0627</v>
      </c>
      <c r="BG76" s="76">
        <v>3.2518</v>
      </c>
      <c r="BH76" s="76">
        <v>2.5978</v>
      </c>
      <c r="BI76" s="76">
        <v>0.1152</v>
      </c>
      <c r="BJ76" s="76">
        <v>1.8439</v>
      </c>
      <c r="BK76" s="76">
        <v>0.0354</v>
      </c>
      <c r="BL76" s="76">
        <v>1.8085</v>
      </c>
      <c r="BM76" s="76">
        <v>1.9543</v>
      </c>
      <c r="BN76" s="76">
        <v>0.0867</v>
      </c>
      <c r="BO76" s="76">
        <v>1.2435</v>
      </c>
      <c r="BP76" s="76">
        <v>0.0198</v>
      </c>
      <c r="BQ76" s="76">
        <v>1.2237</v>
      </c>
      <c r="BR76" s="76">
        <v>1.0237</v>
      </c>
      <c r="BS76" s="76">
        <v>1.4255</v>
      </c>
      <c r="BT76" s="76">
        <v>0.016</v>
      </c>
      <c r="BU76" s="76">
        <v>1.4095</v>
      </c>
      <c r="BV76" s="76">
        <v>1.0321</v>
      </c>
      <c r="BW76" s="76">
        <v>0.6455</v>
      </c>
      <c r="BX76" s="76">
        <v>0.027</v>
      </c>
      <c r="BY76" s="76">
        <v>0.6186</v>
      </c>
      <c r="BZ76" s="76">
        <v>0.5421</v>
      </c>
      <c r="CA76" s="76">
        <v>0.2842</v>
      </c>
      <c r="CB76" s="76">
        <v>0.0061</v>
      </c>
      <c r="CC76" s="76">
        <v>0.2782</v>
      </c>
      <c r="CD76" s="76">
        <v>0.3431</v>
      </c>
      <c r="CE76" s="76">
        <v>0.7854</v>
      </c>
      <c r="CF76" s="76">
        <v>0.0158</v>
      </c>
      <c r="CG76" s="76">
        <v>0.7697</v>
      </c>
      <c r="CH76" s="76">
        <v>0.8177</v>
      </c>
      <c r="CI76" s="76">
        <v>0.7743</v>
      </c>
      <c r="CJ76" s="76">
        <v>0.0136</v>
      </c>
      <c r="CK76" s="76">
        <v>0.7607</v>
      </c>
      <c r="CL76" s="76">
        <v>0.7935</v>
      </c>
      <c r="CM76" s="76">
        <v>153.62</v>
      </c>
      <c r="CN76" s="76">
        <v>81.04</v>
      </c>
      <c r="CO76" s="76">
        <v>189.56</v>
      </c>
      <c r="CP76" s="76">
        <v>140.37</v>
      </c>
      <c r="CQ76" s="76">
        <v>0.0</v>
      </c>
      <c r="CR76" s="76">
        <v>4.81</v>
      </c>
      <c r="CS76" s="76">
        <v>8.44</v>
      </c>
      <c r="CT76" s="76">
        <v>0.0</v>
      </c>
      <c r="CU76" s="76">
        <v>0.0</v>
      </c>
      <c r="CV76" s="76">
        <v>0.0</v>
      </c>
      <c r="CW76" s="76">
        <v>89.23</v>
      </c>
      <c r="CX76" s="76">
        <v>0.0</v>
      </c>
      <c r="CY76" s="76">
        <v>0.0</v>
      </c>
    </row>
    <row r="77" ht="15.75" customHeight="1">
      <c r="A77" s="164">
        <v>46236.0</v>
      </c>
      <c r="B77" s="76" t="s">
        <v>4</v>
      </c>
      <c r="C77" s="76" t="s">
        <v>149</v>
      </c>
      <c r="D77" s="76">
        <v>4498.0</v>
      </c>
      <c r="E77" s="76">
        <v>17.24</v>
      </c>
      <c r="F77" s="76">
        <v>504.95</v>
      </c>
      <c r="G77" s="76">
        <v>0.1123</v>
      </c>
      <c r="H77" s="76">
        <v>2.42</v>
      </c>
      <c r="I77" s="76">
        <v>4.6326</v>
      </c>
      <c r="J77" s="76">
        <v>61.32</v>
      </c>
      <c r="K77" s="76">
        <v>36.42</v>
      </c>
      <c r="L77" s="76">
        <v>25.77</v>
      </c>
      <c r="M77" s="76">
        <v>0.7076</v>
      </c>
      <c r="N77" s="76">
        <v>0.4111</v>
      </c>
      <c r="O77" s="76">
        <v>0.264</v>
      </c>
      <c r="P77" s="76">
        <v>1.4132</v>
      </c>
      <c r="Q77" s="76">
        <v>151.86</v>
      </c>
      <c r="R77" s="76">
        <v>99.95</v>
      </c>
      <c r="S77" s="76">
        <v>51.91</v>
      </c>
      <c r="T77" s="76">
        <v>9.48</v>
      </c>
      <c r="U77" s="76">
        <v>142.38</v>
      </c>
      <c r="V77" s="76">
        <v>156.2</v>
      </c>
      <c r="W77" s="76">
        <v>4.2887</v>
      </c>
      <c r="X77" s="76">
        <v>6.24</v>
      </c>
      <c r="Y77" s="76">
        <v>278.0</v>
      </c>
      <c r="Z77" s="76">
        <v>493.0</v>
      </c>
      <c r="AA77" s="76">
        <v>1165.0</v>
      </c>
      <c r="AB77" s="76">
        <v>53.3701</v>
      </c>
      <c r="AC77" s="76">
        <v>0.7747</v>
      </c>
      <c r="AD77" s="76">
        <v>16.59</v>
      </c>
      <c r="AE77" s="76">
        <v>7.0</v>
      </c>
      <c r="AF77" s="76">
        <v>13.0</v>
      </c>
      <c r="AG77" s="76">
        <v>23.0</v>
      </c>
      <c r="AH77" s="76">
        <v>34.0</v>
      </c>
      <c r="AI77" s="76">
        <v>58.07</v>
      </c>
      <c r="AJ77" s="76">
        <v>20.45</v>
      </c>
      <c r="AK77" s="76">
        <v>4.85</v>
      </c>
      <c r="AL77" s="76">
        <v>0.3086</v>
      </c>
      <c r="AQ77" s="76">
        <v>8.8348</v>
      </c>
      <c r="AR77" s="76">
        <v>0.1287</v>
      </c>
      <c r="AS77" s="76">
        <v>8.7061</v>
      </c>
      <c r="AT77" s="76">
        <v>7.7257</v>
      </c>
      <c r="AU77" s="76">
        <v>0.2121</v>
      </c>
      <c r="AV77" s="76">
        <v>4498.0</v>
      </c>
      <c r="AW77" s="76">
        <v>0.0</v>
      </c>
      <c r="AX77" s="76">
        <v>104.65</v>
      </c>
      <c r="AY77" s="76">
        <v>32.95</v>
      </c>
      <c r="AZ77" s="76">
        <v>2.57</v>
      </c>
      <c r="BA77" s="76">
        <v>9.47</v>
      </c>
      <c r="BB77" s="76">
        <v>2.21</v>
      </c>
      <c r="BC77" s="76">
        <v>66.0</v>
      </c>
      <c r="BD77" s="76">
        <v>16280.0</v>
      </c>
      <c r="BE77" s="76">
        <v>5.3975</v>
      </c>
      <c r="BF77" s="76">
        <v>0.06</v>
      </c>
      <c r="BG77" s="76">
        <v>5.3375</v>
      </c>
      <c r="BH77" s="76">
        <v>3.9762</v>
      </c>
      <c r="BI77" s="76">
        <v>0.1092</v>
      </c>
      <c r="BJ77" s="76">
        <v>3.4373</v>
      </c>
      <c r="BK77" s="76">
        <v>0.0687</v>
      </c>
      <c r="BL77" s="76">
        <v>3.3686</v>
      </c>
      <c r="BM77" s="76">
        <v>3.7494</v>
      </c>
      <c r="BN77" s="76">
        <v>0.1029</v>
      </c>
      <c r="BO77" s="76">
        <v>2.004</v>
      </c>
      <c r="BP77" s="76">
        <v>0.0227</v>
      </c>
      <c r="BQ77" s="76">
        <v>1.9813</v>
      </c>
      <c r="BR77" s="76">
        <v>1.4911</v>
      </c>
      <c r="BS77" s="76">
        <v>2.265</v>
      </c>
      <c r="BT77" s="76">
        <v>0.0167</v>
      </c>
      <c r="BU77" s="76">
        <v>2.2483</v>
      </c>
      <c r="BV77" s="76">
        <v>1.6016</v>
      </c>
      <c r="BW77" s="76">
        <v>1.1285</v>
      </c>
      <c r="BX77" s="76">
        <v>0.0207</v>
      </c>
      <c r="BY77" s="76">
        <v>1.1078</v>
      </c>
      <c r="BZ77" s="76">
        <v>0.8835</v>
      </c>
      <c r="CA77" s="76">
        <v>0.5845</v>
      </c>
      <c r="CB77" s="76">
        <v>0.0189</v>
      </c>
      <c r="CC77" s="76">
        <v>0.5656</v>
      </c>
      <c r="CD77" s="76">
        <v>0.7706</v>
      </c>
      <c r="CE77" s="76">
        <v>1.4124</v>
      </c>
      <c r="CF77" s="76">
        <v>0.0269</v>
      </c>
      <c r="CG77" s="76">
        <v>1.3855</v>
      </c>
      <c r="CH77" s="76">
        <v>1.4589</v>
      </c>
      <c r="CI77" s="76">
        <v>1.4404</v>
      </c>
      <c r="CJ77" s="76">
        <v>0.0229</v>
      </c>
      <c r="CK77" s="76">
        <v>1.4175</v>
      </c>
      <c r="CL77" s="76">
        <v>1.52</v>
      </c>
      <c r="CM77" s="76">
        <v>296.2</v>
      </c>
      <c r="CN77" s="76">
        <v>91.49</v>
      </c>
      <c r="CO77" s="76">
        <v>323.77</v>
      </c>
      <c r="CP77" s="76">
        <v>274.79</v>
      </c>
      <c r="CQ77" s="76">
        <v>0.0</v>
      </c>
      <c r="CR77" s="76">
        <v>5.85</v>
      </c>
      <c r="CS77" s="76">
        <v>15.56</v>
      </c>
      <c r="CT77" s="76">
        <v>0.0</v>
      </c>
      <c r="CU77" s="76">
        <v>0.0</v>
      </c>
      <c r="CV77" s="76">
        <v>0.0</v>
      </c>
      <c r="CW77" s="76">
        <v>151.86</v>
      </c>
      <c r="CX77" s="76">
        <v>0.0</v>
      </c>
      <c r="CY77" s="76">
        <v>0.0</v>
      </c>
    </row>
    <row r="78" ht="15.75" customHeight="1">
      <c r="A78" s="164">
        <v>46236.0</v>
      </c>
      <c r="B78" s="76" t="s">
        <v>4</v>
      </c>
      <c r="C78" s="76" t="s">
        <v>150</v>
      </c>
      <c r="D78" s="76">
        <v>2998.0</v>
      </c>
      <c r="E78" s="76">
        <v>11.49</v>
      </c>
      <c r="F78" s="76">
        <v>561.9</v>
      </c>
      <c r="G78" s="76">
        <v>0.1874</v>
      </c>
      <c r="H78" s="76">
        <v>3.47</v>
      </c>
      <c r="I78" s="76">
        <v>5.4029</v>
      </c>
      <c r="J78" s="76">
        <v>107.09</v>
      </c>
      <c r="K78" s="76">
        <v>67.92</v>
      </c>
      <c r="L78" s="76">
        <v>51.17</v>
      </c>
      <c r="M78" s="76">
        <v>0.7534</v>
      </c>
      <c r="N78" s="76">
        <v>0.3526</v>
      </c>
      <c r="O78" s="76">
        <v>0.2328</v>
      </c>
      <c r="P78" s="76">
        <v>1.3273</v>
      </c>
      <c r="Q78" s="76">
        <v>272.59</v>
      </c>
      <c r="R78" s="76">
        <v>166.91</v>
      </c>
      <c r="S78" s="76">
        <v>105.68</v>
      </c>
      <c r="T78" s="76">
        <v>16.73</v>
      </c>
      <c r="U78" s="76">
        <v>255.86</v>
      </c>
      <c r="V78" s="76">
        <v>279.6</v>
      </c>
      <c r="W78" s="76">
        <v>4.1166</v>
      </c>
      <c r="X78" s="76">
        <v>6.14</v>
      </c>
      <c r="Y78" s="76">
        <v>342.0</v>
      </c>
      <c r="Z78" s="76">
        <v>659.0</v>
      </c>
      <c r="AA78" s="76">
        <v>1581.0</v>
      </c>
      <c r="AB78" s="76">
        <v>56.1239</v>
      </c>
      <c r="AC78" s="76">
        <v>0.7994</v>
      </c>
      <c r="AD78" s="76">
        <v>28.77</v>
      </c>
      <c r="AE78" s="76">
        <v>11.0</v>
      </c>
      <c r="AF78" s="76">
        <v>21.0</v>
      </c>
      <c r="AG78" s="76">
        <v>41.0</v>
      </c>
      <c r="AH78" s="76">
        <v>61.0</v>
      </c>
      <c r="AI78" s="76">
        <v>40.19</v>
      </c>
      <c r="AJ78" s="76">
        <v>10.24</v>
      </c>
      <c r="AK78" s="76">
        <v>1.73</v>
      </c>
      <c r="AL78" s="76">
        <v>0.1975</v>
      </c>
      <c r="AQ78" s="76">
        <v>15.3369</v>
      </c>
      <c r="AR78" s="76">
        <v>0.2252</v>
      </c>
      <c r="AS78" s="76">
        <v>15.1117</v>
      </c>
      <c r="AT78" s="76">
        <v>12.8746</v>
      </c>
      <c r="AU78" s="76">
        <v>0.1896</v>
      </c>
      <c r="AV78" s="76">
        <v>2998.0</v>
      </c>
      <c r="AW78" s="76">
        <v>0.0</v>
      </c>
      <c r="AX78" s="76">
        <v>195.6</v>
      </c>
      <c r="AY78" s="76">
        <v>53.26</v>
      </c>
      <c r="AZ78" s="76">
        <v>3.21</v>
      </c>
      <c r="BA78" s="76">
        <v>16.73</v>
      </c>
      <c r="BB78" s="76">
        <v>3.79</v>
      </c>
      <c r="BC78" s="76">
        <v>116.0</v>
      </c>
      <c r="BD78" s="76">
        <v>14966.0</v>
      </c>
      <c r="BE78" s="76">
        <v>9.033</v>
      </c>
      <c r="BF78" s="76">
        <v>0.0801</v>
      </c>
      <c r="BG78" s="76">
        <v>8.953</v>
      </c>
      <c r="BH78" s="76">
        <v>6.5434</v>
      </c>
      <c r="BI78" s="76">
        <v>0.0963</v>
      </c>
      <c r="BJ78" s="76">
        <v>6.3039</v>
      </c>
      <c r="BK78" s="76">
        <v>0.1451</v>
      </c>
      <c r="BL78" s="76">
        <v>6.1588</v>
      </c>
      <c r="BM78" s="76">
        <v>6.3312</v>
      </c>
      <c r="BN78" s="76">
        <v>0.0932</v>
      </c>
      <c r="BO78" s="76">
        <v>3.5841</v>
      </c>
      <c r="BP78" s="76">
        <v>0.0267</v>
      </c>
      <c r="BQ78" s="76">
        <v>3.5574</v>
      </c>
      <c r="BR78" s="76">
        <v>2.557</v>
      </c>
      <c r="BS78" s="76">
        <v>3.6985</v>
      </c>
      <c r="BT78" s="76">
        <v>0.0247</v>
      </c>
      <c r="BU78" s="76">
        <v>3.6738</v>
      </c>
      <c r="BV78" s="76">
        <v>2.6141</v>
      </c>
      <c r="BW78" s="76">
        <v>1.7505</v>
      </c>
      <c r="BX78" s="76">
        <v>0.0287</v>
      </c>
      <c r="BY78" s="76">
        <v>1.7218</v>
      </c>
      <c r="BZ78" s="76">
        <v>1.3722</v>
      </c>
      <c r="CA78" s="76">
        <v>1.2302</v>
      </c>
      <c r="CB78" s="76">
        <v>0.0334</v>
      </c>
      <c r="CC78" s="76">
        <v>1.1968</v>
      </c>
      <c r="CD78" s="76">
        <v>1.3809</v>
      </c>
      <c r="CE78" s="76">
        <v>2.557</v>
      </c>
      <c r="CF78" s="76">
        <v>0.0634</v>
      </c>
      <c r="CG78" s="76">
        <v>2.4937</v>
      </c>
      <c r="CH78" s="76">
        <v>2.441</v>
      </c>
      <c r="CI78" s="76">
        <v>2.5167</v>
      </c>
      <c r="CJ78" s="76">
        <v>0.0484</v>
      </c>
      <c r="CK78" s="76">
        <v>2.4683</v>
      </c>
      <c r="CL78" s="76">
        <v>2.5093</v>
      </c>
      <c r="CM78" s="76">
        <v>592.64</v>
      </c>
      <c r="CN78" s="76">
        <v>98.57</v>
      </c>
      <c r="CO78" s="76">
        <v>601.26</v>
      </c>
      <c r="CP78" s="76">
        <v>563.33</v>
      </c>
      <c r="CQ78" s="76">
        <v>0.0</v>
      </c>
      <c r="CR78" s="76">
        <v>8.07</v>
      </c>
      <c r="CS78" s="76">
        <v>21.23</v>
      </c>
      <c r="CT78" s="76">
        <v>0.0</v>
      </c>
      <c r="CU78" s="76">
        <v>1.0</v>
      </c>
      <c r="CV78" s="76">
        <v>0.0</v>
      </c>
      <c r="CW78" s="76">
        <v>272.59</v>
      </c>
      <c r="CX78" s="76">
        <v>0.0</v>
      </c>
      <c r="CY78" s="76">
        <v>0.0</v>
      </c>
    </row>
    <row r="79" ht="15.75" customHeight="1">
      <c r="A79" s="164">
        <v>46236.0</v>
      </c>
      <c r="B79" s="76" t="s">
        <v>4</v>
      </c>
      <c r="C79" s="76" t="s">
        <v>151</v>
      </c>
      <c r="D79" s="76">
        <v>446.0</v>
      </c>
      <c r="E79" s="76">
        <v>1.71</v>
      </c>
      <c r="F79" s="76">
        <v>116.82</v>
      </c>
      <c r="G79" s="76">
        <v>0.2619</v>
      </c>
      <c r="H79" s="76">
        <v>5.83</v>
      </c>
      <c r="I79" s="76">
        <v>4.4931</v>
      </c>
      <c r="J79" s="76">
        <v>231.33</v>
      </c>
      <c r="K79" s="76">
        <v>166.46</v>
      </c>
      <c r="L79" s="76">
        <v>123.01</v>
      </c>
      <c r="M79" s="76">
        <v>0.739</v>
      </c>
      <c r="N79" s="76">
        <v>0.326</v>
      </c>
      <c r="O79" s="76">
        <v>0.2146</v>
      </c>
      <c r="P79" s="76">
        <v>1.3532</v>
      </c>
      <c r="Q79" s="76">
        <v>582.0</v>
      </c>
      <c r="R79" s="76">
        <v>327.98</v>
      </c>
      <c r="S79" s="76">
        <v>254.02</v>
      </c>
      <c r="T79" s="76">
        <v>29.37</v>
      </c>
      <c r="U79" s="76">
        <v>552.63</v>
      </c>
      <c r="V79" s="76">
        <v>554.71</v>
      </c>
      <c r="W79" s="76">
        <v>3.3324</v>
      </c>
      <c r="X79" s="76">
        <v>5.05</v>
      </c>
      <c r="Y79" s="76">
        <v>452.0</v>
      </c>
      <c r="Z79" s="76">
        <v>864.0</v>
      </c>
      <c r="AA79" s="76">
        <v>1595.0</v>
      </c>
      <c r="AB79" s="76">
        <v>58.0302</v>
      </c>
      <c r="AC79" s="76">
        <v>0.7952</v>
      </c>
      <c r="AD79" s="76">
        <v>47.7</v>
      </c>
      <c r="AE79" s="76">
        <v>20.0</v>
      </c>
      <c r="AF79" s="76">
        <v>33.0</v>
      </c>
      <c r="AG79" s="76">
        <v>62.0</v>
      </c>
      <c r="AH79" s="76">
        <v>110.0</v>
      </c>
      <c r="AI79" s="76">
        <v>16.37</v>
      </c>
      <c r="AJ79" s="76">
        <v>1.79</v>
      </c>
      <c r="AK79" s="76">
        <v>0.22</v>
      </c>
      <c r="AL79" s="76">
        <v>0.13</v>
      </c>
      <c r="AQ79" s="76">
        <v>33.4305</v>
      </c>
      <c r="AR79" s="76">
        <v>0.3879</v>
      </c>
      <c r="AS79" s="76">
        <v>33.0426</v>
      </c>
      <c r="AT79" s="76">
        <v>28.3767</v>
      </c>
      <c r="AU79" s="76">
        <v>0.1705</v>
      </c>
      <c r="AV79" s="76">
        <v>446.0</v>
      </c>
      <c r="AW79" s="76">
        <v>0.0</v>
      </c>
      <c r="AX79" s="76">
        <v>453.17</v>
      </c>
      <c r="AY79" s="76">
        <v>78.48</v>
      </c>
      <c r="AZ79" s="76">
        <v>4.78</v>
      </c>
      <c r="BA79" s="76">
        <v>29.37</v>
      </c>
      <c r="BB79" s="76">
        <v>16.21</v>
      </c>
      <c r="BC79" s="76">
        <v>198.0</v>
      </c>
      <c r="BD79" s="76">
        <v>13618.0</v>
      </c>
      <c r="BE79" s="76">
        <v>19.8498</v>
      </c>
      <c r="BF79" s="76">
        <v>0.1345</v>
      </c>
      <c r="BG79" s="76">
        <v>19.7152</v>
      </c>
      <c r="BH79" s="76">
        <v>14.1749</v>
      </c>
      <c r="BI79" s="76">
        <v>0.0852</v>
      </c>
      <c r="BJ79" s="76">
        <v>13.5807</v>
      </c>
      <c r="BK79" s="76">
        <v>0.2534</v>
      </c>
      <c r="BL79" s="76">
        <v>13.3274</v>
      </c>
      <c r="BM79" s="76">
        <v>14.2018</v>
      </c>
      <c r="BN79" s="76">
        <v>0.0853</v>
      </c>
      <c r="BO79" s="76">
        <v>7.6883</v>
      </c>
      <c r="BP79" s="76">
        <v>0.0426</v>
      </c>
      <c r="BQ79" s="76">
        <v>7.6457</v>
      </c>
      <c r="BR79" s="76">
        <v>5.4372</v>
      </c>
      <c r="BS79" s="76">
        <v>8.4327</v>
      </c>
      <c r="BT79" s="76">
        <v>0.0426</v>
      </c>
      <c r="BU79" s="76">
        <v>8.3901</v>
      </c>
      <c r="BV79" s="76">
        <v>5.8498</v>
      </c>
      <c r="BW79" s="76">
        <v>3.7287</v>
      </c>
      <c r="BX79" s="76">
        <v>0.0493</v>
      </c>
      <c r="BY79" s="76">
        <v>3.6794</v>
      </c>
      <c r="BZ79" s="76">
        <v>2.8879</v>
      </c>
      <c r="CA79" s="76">
        <v>2.6143</v>
      </c>
      <c r="CB79" s="76">
        <v>0.0605</v>
      </c>
      <c r="CC79" s="76">
        <v>2.5538</v>
      </c>
      <c r="CD79" s="76">
        <v>3.8274</v>
      </c>
      <c r="CE79" s="76">
        <v>5.4686</v>
      </c>
      <c r="CF79" s="76">
        <v>0.0964</v>
      </c>
      <c r="CG79" s="76">
        <v>5.3722</v>
      </c>
      <c r="CH79" s="76">
        <v>5.1413</v>
      </c>
      <c r="CI79" s="76">
        <v>5.4978</v>
      </c>
      <c r="CJ79" s="76">
        <v>0.0964</v>
      </c>
      <c r="CK79" s="76">
        <v>5.4013</v>
      </c>
      <c r="CL79" s="76">
        <v>5.2332</v>
      </c>
      <c r="CM79" s="76">
        <v>1407.75</v>
      </c>
      <c r="CN79" s="76">
        <v>99.33</v>
      </c>
      <c r="CO79" s="76">
        <v>1417.28</v>
      </c>
      <c r="CP79" s="76">
        <v>1368.92</v>
      </c>
      <c r="CQ79" s="76">
        <v>0.0</v>
      </c>
      <c r="CR79" s="76">
        <v>14.57</v>
      </c>
      <c r="CS79" s="76">
        <v>24.25</v>
      </c>
      <c r="CT79" s="76">
        <v>0.0</v>
      </c>
      <c r="CU79" s="76">
        <v>0.0</v>
      </c>
      <c r="CV79" s="76">
        <v>0.0</v>
      </c>
      <c r="CW79" s="76">
        <v>582.0</v>
      </c>
      <c r="CX79" s="76">
        <v>0.0</v>
      </c>
      <c r="CY79" s="76">
        <v>0.0</v>
      </c>
    </row>
    <row r="80" ht="15.75" customHeight="1">
      <c r="A80" s="164">
        <v>46236.0</v>
      </c>
      <c r="B80" s="76" t="s">
        <v>5</v>
      </c>
      <c r="C80" s="76" t="s">
        <v>316</v>
      </c>
      <c r="D80" s="76">
        <v>5308.0</v>
      </c>
      <c r="E80" s="76">
        <v>20.52</v>
      </c>
      <c r="F80" s="76">
        <v>429.65</v>
      </c>
      <c r="G80" s="76">
        <v>0.0809</v>
      </c>
      <c r="H80" s="76">
        <v>1.36</v>
      </c>
      <c r="I80" s="76">
        <v>5.9674</v>
      </c>
      <c r="J80" s="76">
        <v>23.8</v>
      </c>
      <c r="K80" s="76">
        <v>13.02</v>
      </c>
      <c r="L80" s="76">
        <v>9.02</v>
      </c>
      <c r="M80" s="76">
        <v>0.6928</v>
      </c>
      <c r="N80" s="76">
        <v>0.4257</v>
      </c>
      <c r="O80" s="76">
        <v>0.2153</v>
      </c>
      <c r="P80" s="76">
        <v>1.4435</v>
      </c>
      <c r="Q80" s="76">
        <v>51.94</v>
      </c>
      <c r="R80" s="76">
        <v>51.84</v>
      </c>
      <c r="S80" s="76">
        <v>0.1</v>
      </c>
      <c r="T80" s="76">
        <v>7.46</v>
      </c>
      <c r="U80" s="76">
        <v>44.48</v>
      </c>
      <c r="V80" s="76">
        <v>43.49</v>
      </c>
      <c r="W80" s="76">
        <v>3.3414</v>
      </c>
      <c r="X80" s="76">
        <v>14.36</v>
      </c>
      <c r="Y80" s="76">
        <v>197.0</v>
      </c>
      <c r="Z80" s="76">
        <v>413.0</v>
      </c>
      <c r="AA80" s="76">
        <v>2614.0</v>
      </c>
      <c r="AB80" s="76">
        <v>49.5787</v>
      </c>
      <c r="AC80" s="76">
        <v>0.4635</v>
      </c>
      <c r="AI80" s="76">
        <v>0.0</v>
      </c>
      <c r="AJ80" s="76">
        <v>0.0</v>
      </c>
      <c r="AK80" s="76">
        <v>0.0</v>
      </c>
      <c r="AL80" s="76">
        <v>0.5062</v>
      </c>
      <c r="AM80" s="76">
        <v>10.85</v>
      </c>
      <c r="AN80" s="76">
        <v>10.85</v>
      </c>
      <c r="AO80" s="76">
        <v>6.61</v>
      </c>
      <c r="AP80" s="76">
        <v>3.52</v>
      </c>
      <c r="AQ80" s="76">
        <v>1.519</v>
      </c>
      <c r="AR80" s="76">
        <v>0.0722</v>
      </c>
      <c r="AS80" s="76">
        <v>1.4469</v>
      </c>
      <c r="AT80" s="76">
        <v>1.731</v>
      </c>
      <c r="AU80" s="76">
        <v>0.133</v>
      </c>
      <c r="AV80" s="76">
        <v>5308.0</v>
      </c>
      <c r="AW80" s="76">
        <v>0.0</v>
      </c>
      <c r="AX80" s="76">
        <v>10.69</v>
      </c>
      <c r="AY80" s="76">
        <v>30.48</v>
      </c>
      <c r="AZ80" s="76">
        <v>2.96</v>
      </c>
      <c r="BA80" s="76">
        <v>7.46</v>
      </c>
      <c r="BB80" s="76">
        <v>0.35</v>
      </c>
      <c r="BD80" s="76">
        <v>27341.0</v>
      </c>
      <c r="BE80" s="76">
        <v>0.6592</v>
      </c>
      <c r="BF80" s="76">
        <v>0.0311</v>
      </c>
      <c r="BG80" s="76">
        <v>0.6281</v>
      </c>
      <c r="BH80" s="76">
        <v>0.8173</v>
      </c>
      <c r="BI80" s="76">
        <v>0.0628</v>
      </c>
      <c r="BJ80" s="76">
        <v>0.8598</v>
      </c>
      <c r="BK80" s="76">
        <v>0.0411</v>
      </c>
      <c r="BL80" s="76">
        <v>0.8188</v>
      </c>
      <c r="BM80" s="76">
        <v>0.9137</v>
      </c>
      <c r="BN80" s="76">
        <v>0.0702</v>
      </c>
      <c r="BO80" s="76">
        <v>0.2728</v>
      </c>
      <c r="BP80" s="76">
        <v>0.0115</v>
      </c>
      <c r="BQ80" s="76">
        <v>0.2613</v>
      </c>
      <c r="BR80" s="76">
        <v>0.3193</v>
      </c>
      <c r="BS80" s="76">
        <v>0.2255</v>
      </c>
      <c r="BT80" s="76">
        <v>0.0098</v>
      </c>
      <c r="BU80" s="76">
        <v>0.2157</v>
      </c>
      <c r="BV80" s="76">
        <v>0.2856</v>
      </c>
      <c r="BW80" s="76">
        <v>0.1609</v>
      </c>
      <c r="BX80" s="76">
        <v>0.0098</v>
      </c>
      <c r="BY80" s="76">
        <v>0.1511</v>
      </c>
      <c r="BZ80" s="76">
        <v>0.2123</v>
      </c>
      <c r="CA80" s="76">
        <v>0.1974</v>
      </c>
      <c r="CB80" s="76">
        <v>0.0107</v>
      </c>
      <c r="CC80" s="76">
        <v>0.1867</v>
      </c>
      <c r="CD80" s="76">
        <v>0.2127</v>
      </c>
      <c r="CE80" s="76">
        <v>0.3781</v>
      </c>
      <c r="CF80" s="76">
        <v>0.0183</v>
      </c>
      <c r="CG80" s="76">
        <v>0.3598</v>
      </c>
      <c r="CH80" s="76">
        <v>0.3195</v>
      </c>
      <c r="CI80" s="76">
        <v>0.2843</v>
      </c>
      <c r="CJ80" s="76">
        <v>0.0121</v>
      </c>
      <c r="CK80" s="76">
        <v>0.2722</v>
      </c>
      <c r="CL80" s="76">
        <v>0.3815</v>
      </c>
      <c r="CM80" s="76">
        <v>107.96</v>
      </c>
      <c r="CN80" s="76">
        <v>20.1</v>
      </c>
      <c r="CO80" s="76">
        <v>537.05</v>
      </c>
      <c r="CP80" s="76">
        <v>98.45</v>
      </c>
      <c r="CQ80" s="76">
        <v>0.0</v>
      </c>
      <c r="CR80" s="76">
        <v>2.16</v>
      </c>
      <c r="CS80" s="76">
        <v>7.34</v>
      </c>
      <c r="CT80" s="76">
        <v>0.0</v>
      </c>
      <c r="CU80" s="76">
        <v>1452.0</v>
      </c>
      <c r="CV80" s="76">
        <v>0.0</v>
      </c>
      <c r="CW80" s="76">
        <v>51.94</v>
      </c>
      <c r="CX80" s="76">
        <v>0.0</v>
      </c>
      <c r="CY80" s="76">
        <v>0.0</v>
      </c>
    </row>
    <row r="81" ht="15.75" customHeight="1">
      <c r="A81" s="164">
        <v>46236.0</v>
      </c>
      <c r="B81" s="76" t="s">
        <v>5</v>
      </c>
      <c r="C81" s="76" t="s">
        <v>147</v>
      </c>
      <c r="D81" s="76">
        <v>7276.0</v>
      </c>
      <c r="E81" s="76">
        <v>28.13</v>
      </c>
      <c r="F81" s="76">
        <v>155.25</v>
      </c>
      <c r="G81" s="76">
        <v>0.0213</v>
      </c>
      <c r="H81" s="76">
        <v>0.88</v>
      </c>
      <c r="I81" s="76">
        <v>2.4258</v>
      </c>
      <c r="J81" s="76">
        <v>19.5</v>
      </c>
      <c r="K81" s="76">
        <v>10.08</v>
      </c>
      <c r="L81" s="76">
        <v>4.92</v>
      </c>
      <c r="M81" s="76">
        <v>0.4879</v>
      </c>
      <c r="N81" s="76">
        <v>0.6134</v>
      </c>
      <c r="O81" s="76">
        <v>0.3666</v>
      </c>
      <c r="P81" s="76">
        <v>2.0495</v>
      </c>
      <c r="Q81" s="76">
        <v>33.44</v>
      </c>
      <c r="R81" s="76">
        <v>30.62</v>
      </c>
      <c r="S81" s="76">
        <v>2.82</v>
      </c>
      <c r="T81" s="76">
        <v>1.77</v>
      </c>
      <c r="U81" s="76">
        <v>31.67</v>
      </c>
      <c r="V81" s="76">
        <v>36.28</v>
      </c>
      <c r="W81" s="76">
        <v>3.6</v>
      </c>
      <c r="X81" s="76">
        <v>5.28</v>
      </c>
      <c r="Y81" s="76">
        <v>200.0</v>
      </c>
      <c r="Z81" s="76">
        <v>319.0</v>
      </c>
      <c r="AA81" s="76">
        <v>1123.0</v>
      </c>
      <c r="AB81" s="76">
        <v>49.6431</v>
      </c>
      <c r="AC81" s="76">
        <v>0.6191</v>
      </c>
      <c r="AD81" s="76">
        <v>3.86</v>
      </c>
      <c r="AE81" s="76">
        <v>1.0</v>
      </c>
      <c r="AF81" s="76">
        <v>3.0</v>
      </c>
      <c r="AG81" s="76">
        <v>5.0</v>
      </c>
      <c r="AH81" s="76">
        <v>8.0</v>
      </c>
      <c r="AI81" s="76">
        <v>73.71</v>
      </c>
      <c r="AJ81" s="76">
        <v>31.71</v>
      </c>
      <c r="AK81" s="76">
        <v>5.61</v>
      </c>
      <c r="AL81" s="76">
        <v>0.5427</v>
      </c>
      <c r="AM81" s="76">
        <v>36.23</v>
      </c>
      <c r="AN81" s="76">
        <v>36.23</v>
      </c>
      <c r="AO81" s="76">
        <v>16.67</v>
      </c>
      <c r="AP81" s="76">
        <v>5.28</v>
      </c>
      <c r="AQ81" s="76">
        <v>2.2349</v>
      </c>
      <c r="AR81" s="76">
        <v>0.0401</v>
      </c>
      <c r="AS81" s="76">
        <v>2.1947</v>
      </c>
      <c r="AT81" s="76">
        <v>2.0825</v>
      </c>
      <c r="AU81" s="76">
        <v>0.2066</v>
      </c>
      <c r="AV81" s="76">
        <v>7276.0</v>
      </c>
      <c r="AW81" s="76">
        <v>0.0</v>
      </c>
      <c r="AX81" s="76">
        <v>18.36</v>
      </c>
      <c r="AY81" s="76">
        <v>11.02</v>
      </c>
      <c r="AZ81" s="76">
        <v>1.76</v>
      </c>
      <c r="BA81" s="76">
        <v>1.77</v>
      </c>
      <c r="BB81" s="76">
        <v>0.54</v>
      </c>
      <c r="BC81" s="76">
        <v>16.0</v>
      </c>
      <c r="BD81" s="76">
        <v>16163.0</v>
      </c>
      <c r="BE81" s="76">
        <v>1.4924</v>
      </c>
      <c r="BF81" s="76">
        <v>0.0231</v>
      </c>
      <c r="BG81" s="76">
        <v>1.4694</v>
      </c>
      <c r="BH81" s="76">
        <v>1.2001</v>
      </c>
      <c r="BI81" s="76">
        <v>0.1191</v>
      </c>
      <c r="BJ81" s="76">
        <v>0.7424</v>
      </c>
      <c r="BK81" s="76">
        <v>0.017</v>
      </c>
      <c r="BL81" s="76">
        <v>0.7254</v>
      </c>
      <c r="BM81" s="76">
        <v>0.8824</v>
      </c>
      <c r="BN81" s="76">
        <v>0.0875</v>
      </c>
      <c r="BO81" s="76">
        <v>0.6282</v>
      </c>
      <c r="BP81" s="76">
        <v>0.0092</v>
      </c>
      <c r="BQ81" s="76">
        <v>0.619</v>
      </c>
      <c r="BR81" s="76">
        <v>0.5084</v>
      </c>
      <c r="BS81" s="76">
        <v>0.6016</v>
      </c>
      <c r="BT81" s="76">
        <v>0.0047</v>
      </c>
      <c r="BU81" s="76">
        <v>0.5969</v>
      </c>
      <c r="BV81" s="76">
        <v>0.4549</v>
      </c>
      <c r="BW81" s="76">
        <v>0.2626</v>
      </c>
      <c r="BX81" s="76">
        <v>0.0092</v>
      </c>
      <c r="BY81" s="76">
        <v>0.2534</v>
      </c>
      <c r="BZ81" s="76">
        <v>0.2368</v>
      </c>
      <c r="CA81" s="76">
        <v>0.0882</v>
      </c>
      <c r="CB81" s="76">
        <v>0.0027</v>
      </c>
      <c r="CC81" s="76">
        <v>0.0855</v>
      </c>
      <c r="CD81" s="76">
        <v>0.1282</v>
      </c>
      <c r="CE81" s="76">
        <v>0.3892</v>
      </c>
      <c r="CF81" s="76">
        <v>0.0076</v>
      </c>
      <c r="CG81" s="76">
        <v>0.3817</v>
      </c>
      <c r="CH81" s="76">
        <v>0.4289</v>
      </c>
      <c r="CI81" s="76">
        <v>0.265</v>
      </c>
      <c r="CJ81" s="76">
        <v>0.0067</v>
      </c>
      <c r="CK81" s="76">
        <v>0.2582</v>
      </c>
      <c r="CL81" s="76">
        <v>0.3252</v>
      </c>
      <c r="CM81" s="76">
        <v>51.7</v>
      </c>
      <c r="CN81" s="76">
        <v>65.42</v>
      </c>
      <c r="CO81" s="76">
        <v>79.03</v>
      </c>
      <c r="CP81" s="76">
        <v>44.93</v>
      </c>
      <c r="CQ81" s="76">
        <v>0.04</v>
      </c>
      <c r="CR81" s="76">
        <v>3.51</v>
      </c>
      <c r="CS81" s="76">
        <v>3.22</v>
      </c>
      <c r="CT81" s="76">
        <v>0.0</v>
      </c>
      <c r="CU81" s="76">
        <v>1721.0</v>
      </c>
      <c r="CV81" s="76">
        <v>0.01</v>
      </c>
      <c r="CW81" s="76">
        <v>33.45</v>
      </c>
      <c r="CX81" s="76">
        <v>0.01</v>
      </c>
      <c r="CY81" s="76">
        <v>0.05</v>
      </c>
    </row>
    <row r="82" ht="15.75" customHeight="1">
      <c r="A82" s="164">
        <v>46236.0</v>
      </c>
      <c r="B82" s="76" t="s">
        <v>5</v>
      </c>
      <c r="C82" s="76" t="s">
        <v>148</v>
      </c>
      <c r="D82" s="76">
        <v>5475.0</v>
      </c>
      <c r="E82" s="76">
        <v>21.17</v>
      </c>
      <c r="F82" s="76">
        <v>292.51</v>
      </c>
      <c r="G82" s="76">
        <v>0.0534</v>
      </c>
      <c r="H82" s="76">
        <v>1.84</v>
      </c>
      <c r="I82" s="76">
        <v>2.8961</v>
      </c>
      <c r="J82" s="76">
        <v>38.56</v>
      </c>
      <c r="K82" s="76">
        <v>21.23</v>
      </c>
      <c r="L82" s="76">
        <v>12.83</v>
      </c>
      <c r="M82" s="76">
        <v>0.6044</v>
      </c>
      <c r="N82" s="76">
        <v>0.513</v>
      </c>
      <c r="O82" s="76">
        <v>0.3117</v>
      </c>
      <c r="P82" s="76">
        <v>1.6544</v>
      </c>
      <c r="Q82" s="76">
        <v>72.7</v>
      </c>
      <c r="R82" s="76">
        <v>64.42</v>
      </c>
      <c r="S82" s="76">
        <v>8.29</v>
      </c>
      <c r="T82" s="76">
        <v>4.77</v>
      </c>
      <c r="U82" s="76">
        <v>67.94</v>
      </c>
      <c r="V82" s="76">
        <v>75.87</v>
      </c>
      <c r="W82" s="76">
        <v>3.5742</v>
      </c>
      <c r="X82" s="76">
        <v>6.56</v>
      </c>
      <c r="Y82" s="76">
        <v>221.0</v>
      </c>
      <c r="Z82" s="76">
        <v>349.0</v>
      </c>
      <c r="AA82" s="76">
        <v>942.0</v>
      </c>
      <c r="AB82" s="76">
        <v>51.7877</v>
      </c>
      <c r="AC82" s="76">
        <v>0.7137</v>
      </c>
      <c r="AD82" s="76">
        <v>9.3</v>
      </c>
      <c r="AE82" s="76">
        <v>4.0</v>
      </c>
      <c r="AF82" s="76">
        <v>8.0</v>
      </c>
      <c r="AG82" s="76">
        <v>13.0</v>
      </c>
      <c r="AH82" s="76">
        <v>18.0</v>
      </c>
      <c r="AI82" s="76">
        <v>63.85</v>
      </c>
      <c r="AJ82" s="76">
        <v>26.05</v>
      </c>
      <c r="AK82" s="76">
        <v>3.18</v>
      </c>
      <c r="AL82" s="76">
        <v>0.3974</v>
      </c>
      <c r="AM82" s="76">
        <v>40.73</v>
      </c>
      <c r="AN82" s="76">
        <v>40.73</v>
      </c>
      <c r="AO82" s="76">
        <v>23.36</v>
      </c>
      <c r="AP82" s="76">
        <v>11.34</v>
      </c>
      <c r="AQ82" s="76">
        <v>4.3005</v>
      </c>
      <c r="AR82" s="76">
        <v>0.0953</v>
      </c>
      <c r="AS82" s="76">
        <v>4.2051</v>
      </c>
      <c r="AT82" s="76">
        <v>4.3467</v>
      </c>
      <c r="AU82" s="76">
        <v>0.2048</v>
      </c>
      <c r="AV82" s="76">
        <v>5475.0</v>
      </c>
      <c r="AW82" s="76">
        <v>0.0</v>
      </c>
      <c r="AX82" s="76">
        <v>36.15</v>
      </c>
      <c r="AY82" s="76">
        <v>28.24</v>
      </c>
      <c r="AZ82" s="76">
        <v>2.54</v>
      </c>
      <c r="BA82" s="76">
        <v>4.77</v>
      </c>
      <c r="BB82" s="76">
        <v>1.01</v>
      </c>
      <c r="BC82" s="76">
        <v>34.0</v>
      </c>
      <c r="BD82" s="76">
        <v>16630.0</v>
      </c>
      <c r="BE82" s="76">
        <v>2.7578</v>
      </c>
      <c r="BF82" s="76">
        <v>0.0564</v>
      </c>
      <c r="BG82" s="76">
        <v>2.7014</v>
      </c>
      <c r="BH82" s="76">
        <v>2.4446</v>
      </c>
      <c r="BI82" s="76">
        <v>0.1152</v>
      </c>
      <c r="BJ82" s="76">
        <v>1.5426</v>
      </c>
      <c r="BK82" s="76">
        <v>0.0389</v>
      </c>
      <c r="BL82" s="76">
        <v>1.5037</v>
      </c>
      <c r="BM82" s="76">
        <v>1.9021</v>
      </c>
      <c r="BN82" s="76">
        <v>0.0896</v>
      </c>
      <c r="BO82" s="76">
        <v>1.0743</v>
      </c>
      <c r="BP82" s="76">
        <v>0.0314</v>
      </c>
      <c r="BQ82" s="76">
        <v>1.0429</v>
      </c>
      <c r="BR82" s="76">
        <v>0.9911</v>
      </c>
      <c r="BS82" s="76">
        <v>1.1264</v>
      </c>
      <c r="BT82" s="76">
        <v>0.0111</v>
      </c>
      <c r="BU82" s="76">
        <v>1.1153</v>
      </c>
      <c r="BV82" s="76">
        <v>0.9271</v>
      </c>
      <c r="BW82" s="76">
        <v>0.5571</v>
      </c>
      <c r="BX82" s="76">
        <v>0.0139</v>
      </c>
      <c r="BY82" s="76">
        <v>0.5432</v>
      </c>
      <c r="BZ82" s="76">
        <v>0.5264</v>
      </c>
      <c r="CA82" s="76">
        <v>0.1825</v>
      </c>
      <c r="CB82" s="76">
        <v>0.0071</v>
      </c>
      <c r="CC82" s="76">
        <v>0.1753</v>
      </c>
      <c r="CD82" s="76">
        <v>0.3196</v>
      </c>
      <c r="CE82" s="76">
        <v>0.8011</v>
      </c>
      <c r="CF82" s="76">
        <v>0.0153</v>
      </c>
      <c r="CG82" s="76">
        <v>0.7858</v>
      </c>
      <c r="CH82" s="76">
        <v>0.8809</v>
      </c>
      <c r="CI82" s="76">
        <v>0.5591</v>
      </c>
      <c r="CJ82" s="76">
        <v>0.0164</v>
      </c>
      <c r="CK82" s="76">
        <v>0.5426</v>
      </c>
      <c r="CL82" s="76">
        <v>0.7016</v>
      </c>
      <c r="CM82" s="76">
        <v>125.75</v>
      </c>
      <c r="CN82" s="76">
        <v>81.26</v>
      </c>
      <c r="CO82" s="76">
        <v>154.76</v>
      </c>
      <c r="CP82" s="76">
        <v>107.38</v>
      </c>
      <c r="CQ82" s="76">
        <v>0.08</v>
      </c>
      <c r="CR82" s="76">
        <v>4.76</v>
      </c>
      <c r="CS82" s="76">
        <v>13.53</v>
      </c>
      <c r="CT82" s="76">
        <v>0.0</v>
      </c>
      <c r="CU82" s="76">
        <v>1943.0</v>
      </c>
      <c r="CV82" s="76">
        <v>0.01</v>
      </c>
      <c r="CW82" s="76">
        <v>72.72</v>
      </c>
      <c r="CX82" s="76">
        <v>0.02</v>
      </c>
      <c r="CY82" s="76">
        <v>0.1</v>
      </c>
    </row>
    <row r="83" ht="15.75" customHeight="1">
      <c r="A83" s="164">
        <v>46236.0</v>
      </c>
      <c r="B83" s="76" t="s">
        <v>5</v>
      </c>
      <c r="C83" s="76" t="s">
        <v>149</v>
      </c>
      <c r="D83" s="76">
        <v>4606.0</v>
      </c>
      <c r="E83" s="76">
        <v>17.81</v>
      </c>
      <c r="F83" s="76">
        <v>537.73</v>
      </c>
      <c r="G83" s="76">
        <v>0.1167</v>
      </c>
      <c r="H83" s="76">
        <v>2.74</v>
      </c>
      <c r="I83" s="76">
        <v>4.2677</v>
      </c>
      <c r="J83" s="76">
        <v>59.49</v>
      </c>
      <c r="K83" s="76">
        <v>34.44</v>
      </c>
      <c r="L83" s="76">
        <v>24.24</v>
      </c>
      <c r="M83" s="76">
        <v>0.7037</v>
      </c>
      <c r="N83" s="76">
        <v>0.4168</v>
      </c>
      <c r="O83" s="76">
        <v>0.2644</v>
      </c>
      <c r="P83" s="76">
        <v>1.4211</v>
      </c>
      <c r="Q83" s="76">
        <v>130.99</v>
      </c>
      <c r="R83" s="76">
        <v>115.62</v>
      </c>
      <c r="S83" s="76">
        <v>15.37</v>
      </c>
      <c r="T83" s="76">
        <v>9.7</v>
      </c>
      <c r="U83" s="76">
        <v>121.29</v>
      </c>
      <c r="V83" s="76">
        <v>133.75</v>
      </c>
      <c r="W83" s="76">
        <v>3.8835</v>
      </c>
      <c r="X83" s="76">
        <v>7.41</v>
      </c>
      <c r="Y83" s="76">
        <v>248.0</v>
      </c>
      <c r="Z83" s="76">
        <v>417.0</v>
      </c>
      <c r="AA83" s="76">
        <v>1034.0</v>
      </c>
      <c r="AB83" s="76">
        <v>53.3807</v>
      </c>
      <c r="AC83" s="76">
        <v>0.7675</v>
      </c>
      <c r="AD83" s="76">
        <v>15.99</v>
      </c>
      <c r="AE83" s="76">
        <v>6.0</v>
      </c>
      <c r="AF83" s="76">
        <v>13.0</v>
      </c>
      <c r="AG83" s="76">
        <v>22.0</v>
      </c>
      <c r="AH83" s="76">
        <v>32.0</v>
      </c>
      <c r="AI83" s="76">
        <v>56.99</v>
      </c>
      <c r="AJ83" s="76">
        <v>19.24</v>
      </c>
      <c r="AK83" s="76">
        <v>4.15</v>
      </c>
      <c r="AL83" s="76">
        <v>0.3079</v>
      </c>
      <c r="AM83" s="76">
        <v>40.1</v>
      </c>
      <c r="AN83" s="76">
        <v>40.1</v>
      </c>
      <c r="AO83" s="76">
        <v>21.75</v>
      </c>
      <c r="AP83" s="76">
        <v>11.55</v>
      </c>
      <c r="AQ83" s="76">
        <v>6.6274</v>
      </c>
      <c r="AR83" s="76">
        <v>0.1539</v>
      </c>
      <c r="AS83" s="76">
        <v>6.4735</v>
      </c>
      <c r="AT83" s="76">
        <v>6.2716</v>
      </c>
      <c r="AU83" s="76">
        <v>0.1821</v>
      </c>
      <c r="AV83" s="76">
        <v>4606.0</v>
      </c>
      <c r="AW83" s="76">
        <v>0.0</v>
      </c>
      <c r="AX83" s="76">
        <v>60.61</v>
      </c>
      <c r="AY83" s="76">
        <v>55.59</v>
      </c>
      <c r="AZ83" s="76">
        <v>2.94</v>
      </c>
      <c r="BA83" s="76">
        <v>9.67</v>
      </c>
      <c r="BB83" s="76">
        <v>2.18</v>
      </c>
      <c r="BC83" s="76">
        <v>59.0</v>
      </c>
      <c r="BD83" s="76">
        <v>15365.0</v>
      </c>
      <c r="BE83" s="76">
        <v>4.0226</v>
      </c>
      <c r="BF83" s="76">
        <v>0.0827</v>
      </c>
      <c r="BG83" s="76">
        <v>3.9399</v>
      </c>
      <c r="BH83" s="76">
        <v>3.2929</v>
      </c>
      <c r="BI83" s="76">
        <v>0.0956</v>
      </c>
      <c r="BJ83" s="76">
        <v>2.6049</v>
      </c>
      <c r="BK83" s="76">
        <v>0.0712</v>
      </c>
      <c r="BL83" s="76">
        <v>2.5337</v>
      </c>
      <c r="BM83" s="76">
        <v>2.9787</v>
      </c>
      <c r="BN83" s="76">
        <v>0.0865</v>
      </c>
      <c r="BO83" s="76">
        <v>1.4427</v>
      </c>
      <c r="BP83" s="76">
        <v>0.0276</v>
      </c>
      <c r="BQ83" s="76">
        <v>1.4151</v>
      </c>
      <c r="BR83" s="76">
        <v>1.2555</v>
      </c>
      <c r="BS83" s="76">
        <v>1.6042</v>
      </c>
      <c r="BT83" s="76">
        <v>0.0243</v>
      </c>
      <c r="BU83" s="76">
        <v>1.5799</v>
      </c>
      <c r="BV83" s="76">
        <v>1.239</v>
      </c>
      <c r="BW83" s="76">
        <v>0.9757</v>
      </c>
      <c r="BX83" s="76">
        <v>0.0308</v>
      </c>
      <c r="BY83" s="76">
        <v>0.9449</v>
      </c>
      <c r="BZ83" s="76">
        <v>0.7983</v>
      </c>
      <c r="CA83" s="76">
        <v>0.3521</v>
      </c>
      <c r="CB83" s="76">
        <v>0.0185</v>
      </c>
      <c r="CC83" s="76">
        <v>0.3337</v>
      </c>
      <c r="CD83" s="76">
        <v>0.4967</v>
      </c>
      <c r="CE83" s="76">
        <v>1.2191</v>
      </c>
      <c r="CF83" s="76">
        <v>0.0306</v>
      </c>
      <c r="CG83" s="76">
        <v>1.1884</v>
      </c>
      <c r="CH83" s="76">
        <v>1.2968</v>
      </c>
      <c r="CI83" s="76">
        <v>1.0337</v>
      </c>
      <c r="CJ83" s="76">
        <v>0.0221</v>
      </c>
      <c r="CK83" s="76">
        <v>1.0115</v>
      </c>
      <c r="CL83" s="76">
        <v>1.1852</v>
      </c>
      <c r="CM83" s="76">
        <v>243.62</v>
      </c>
      <c r="CN83" s="76">
        <v>91.77</v>
      </c>
      <c r="CO83" s="76">
        <v>265.46</v>
      </c>
      <c r="CP83" s="76">
        <v>213.46</v>
      </c>
      <c r="CQ83" s="76">
        <v>0.05</v>
      </c>
      <c r="CR83" s="76">
        <v>5.77</v>
      </c>
      <c r="CS83" s="76">
        <v>24.34</v>
      </c>
      <c r="CT83" s="76">
        <v>0.0</v>
      </c>
      <c r="CU83" s="76">
        <v>2074.0</v>
      </c>
      <c r="CV83" s="76">
        <v>0.01</v>
      </c>
      <c r="CW83" s="76">
        <v>131.0</v>
      </c>
      <c r="CX83" s="76">
        <v>0.01</v>
      </c>
      <c r="CY83" s="76">
        <v>0.06</v>
      </c>
    </row>
    <row r="84" ht="15.75" customHeight="1">
      <c r="A84" s="164">
        <v>46236.0</v>
      </c>
      <c r="B84" s="76" t="s">
        <v>5</v>
      </c>
      <c r="C84" s="76" t="s">
        <v>150</v>
      </c>
      <c r="D84" s="76">
        <v>2765.0</v>
      </c>
      <c r="E84" s="76">
        <v>10.69</v>
      </c>
      <c r="F84" s="76">
        <v>713.6</v>
      </c>
      <c r="G84" s="76">
        <v>0.2581</v>
      </c>
      <c r="H84" s="76">
        <v>3.98</v>
      </c>
      <c r="I84" s="76">
        <v>6.4873</v>
      </c>
      <c r="J84" s="76">
        <v>110.73</v>
      </c>
      <c r="K84" s="76">
        <v>70.27</v>
      </c>
      <c r="L84" s="76">
        <v>52.1</v>
      </c>
      <c r="M84" s="76">
        <v>0.7413</v>
      </c>
      <c r="N84" s="76">
        <v>0.362</v>
      </c>
      <c r="O84" s="76">
        <v>0.2371</v>
      </c>
      <c r="P84" s="76">
        <v>1.3489</v>
      </c>
      <c r="Q84" s="76">
        <v>260.18</v>
      </c>
      <c r="R84" s="76">
        <v>229.32</v>
      </c>
      <c r="S84" s="76">
        <v>30.86</v>
      </c>
      <c r="T84" s="76">
        <v>24.7</v>
      </c>
      <c r="U84" s="76">
        <v>235.48</v>
      </c>
      <c r="V84" s="76">
        <v>261.93</v>
      </c>
      <c r="W84" s="76">
        <v>3.7273</v>
      </c>
      <c r="X84" s="76">
        <v>9.49</v>
      </c>
      <c r="Y84" s="76">
        <v>307.0</v>
      </c>
      <c r="Z84" s="76">
        <v>535.0</v>
      </c>
      <c r="AA84" s="76">
        <v>1186.0</v>
      </c>
      <c r="AB84" s="76">
        <v>55.9071</v>
      </c>
      <c r="AC84" s="76">
        <v>0.7846</v>
      </c>
      <c r="AD84" s="76">
        <v>28.48</v>
      </c>
      <c r="AE84" s="76">
        <v>10.0</v>
      </c>
      <c r="AF84" s="76">
        <v>20.0</v>
      </c>
      <c r="AG84" s="76">
        <v>40.0</v>
      </c>
      <c r="AH84" s="76">
        <v>60.0</v>
      </c>
      <c r="AI84" s="76">
        <v>38.26</v>
      </c>
      <c r="AJ84" s="76">
        <v>10.13</v>
      </c>
      <c r="AK84" s="76">
        <v>2.39</v>
      </c>
      <c r="AL84" s="76">
        <v>0.1986</v>
      </c>
      <c r="AM84" s="76">
        <v>43.91</v>
      </c>
      <c r="AN84" s="76">
        <v>43.91</v>
      </c>
      <c r="AO84" s="76">
        <v>27.2</v>
      </c>
      <c r="AP84" s="76">
        <v>16.64</v>
      </c>
      <c r="AQ84" s="76">
        <v>11.013</v>
      </c>
      <c r="AR84" s="76">
        <v>0.3338</v>
      </c>
      <c r="AS84" s="76">
        <v>10.6792</v>
      </c>
      <c r="AT84" s="76">
        <v>10.634</v>
      </c>
      <c r="AU84" s="76">
        <v>0.1513</v>
      </c>
      <c r="AV84" s="76">
        <v>2765.0</v>
      </c>
      <c r="AW84" s="76">
        <v>0.0</v>
      </c>
      <c r="AX84" s="76">
        <v>116.3</v>
      </c>
      <c r="AY84" s="76">
        <v>110.14</v>
      </c>
      <c r="AZ84" s="76">
        <v>3.59</v>
      </c>
      <c r="BA84" s="76">
        <v>24.7</v>
      </c>
      <c r="BB84" s="76">
        <v>5.45</v>
      </c>
      <c r="BC84" s="76">
        <v>124.0</v>
      </c>
      <c r="BD84" s="76">
        <v>14261.0</v>
      </c>
      <c r="BE84" s="76">
        <v>6.0629</v>
      </c>
      <c r="BF84" s="76">
        <v>0.1313</v>
      </c>
      <c r="BG84" s="76">
        <v>5.9316</v>
      </c>
      <c r="BH84" s="76">
        <v>5.2231</v>
      </c>
      <c r="BI84" s="76">
        <v>0.0743</v>
      </c>
      <c r="BJ84" s="76">
        <v>4.9501</v>
      </c>
      <c r="BK84" s="76">
        <v>0.2025</v>
      </c>
      <c r="BL84" s="76">
        <v>4.7476</v>
      </c>
      <c r="BM84" s="76">
        <v>5.4108</v>
      </c>
      <c r="BN84" s="76">
        <v>0.077</v>
      </c>
      <c r="BO84" s="76">
        <v>2.1052</v>
      </c>
      <c r="BP84" s="76">
        <v>0.0438</v>
      </c>
      <c r="BQ84" s="76">
        <v>2.0615</v>
      </c>
      <c r="BR84" s="76">
        <v>1.8861</v>
      </c>
      <c r="BS84" s="76">
        <v>2.3501</v>
      </c>
      <c r="BT84" s="76">
        <v>0.0416</v>
      </c>
      <c r="BU84" s="76">
        <v>2.3085</v>
      </c>
      <c r="BV84" s="76">
        <v>1.9606</v>
      </c>
      <c r="BW84" s="76">
        <v>1.6076</v>
      </c>
      <c r="BX84" s="76">
        <v>0.0459</v>
      </c>
      <c r="BY84" s="76">
        <v>1.5617</v>
      </c>
      <c r="BZ84" s="76">
        <v>1.3765</v>
      </c>
      <c r="CA84" s="76">
        <v>0.8199</v>
      </c>
      <c r="CB84" s="76">
        <v>0.0564</v>
      </c>
      <c r="CC84" s="76">
        <v>0.7635</v>
      </c>
      <c r="CD84" s="76">
        <v>1.0485</v>
      </c>
      <c r="CE84" s="76">
        <v>2.1732</v>
      </c>
      <c r="CF84" s="76">
        <v>0.0828</v>
      </c>
      <c r="CG84" s="76">
        <v>2.0904</v>
      </c>
      <c r="CH84" s="76">
        <v>2.2593</v>
      </c>
      <c r="CI84" s="76">
        <v>1.957</v>
      </c>
      <c r="CJ84" s="76">
        <v>0.0633</v>
      </c>
      <c r="CK84" s="76">
        <v>1.8937</v>
      </c>
      <c r="CL84" s="76">
        <v>2.1031</v>
      </c>
      <c r="CM84" s="76">
        <v>514.63</v>
      </c>
      <c r="CN84" s="76">
        <v>98.52</v>
      </c>
      <c r="CO84" s="76">
        <v>522.38</v>
      </c>
      <c r="CP84" s="76">
        <v>471.61</v>
      </c>
      <c r="CQ84" s="76">
        <v>0.01</v>
      </c>
      <c r="CR84" s="76">
        <v>8.08</v>
      </c>
      <c r="CS84" s="76">
        <v>34.93</v>
      </c>
      <c r="CT84" s="76">
        <v>0.0</v>
      </c>
      <c r="CU84" s="76">
        <v>1454.0</v>
      </c>
      <c r="CV84" s="76">
        <v>0.04</v>
      </c>
      <c r="CW84" s="76">
        <v>260.22</v>
      </c>
      <c r="CX84" s="76">
        <v>0.0</v>
      </c>
      <c r="CY84" s="76">
        <v>0.01</v>
      </c>
    </row>
    <row r="85" ht="15.75" customHeight="1">
      <c r="A85" s="164">
        <v>46236.0</v>
      </c>
      <c r="B85" s="76" t="s">
        <v>5</v>
      </c>
      <c r="C85" s="76" t="s">
        <v>151</v>
      </c>
      <c r="D85" s="76">
        <v>435.0</v>
      </c>
      <c r="E85" s="76">
        <v>1.68</v>
      </c>
      <c r="F85" s="76">
        <v>164.13</v>
      </c>
      <c r="G85" s="76">
        <v>0.3773</v>
      </c>
      <c r="H85" s="76">
        <v>5.52</v>
      </c>
      <c r="I85" s="76">
        <v>6.8387</v>
      </c>
      <c r="J85" s="76">
        <v>237.32</v>
      </c>
      <c r="K85" s="76">
        <v>167.74</v>
      </c>
      <c r="L85" s="76">
        <v>125.26</v>
      </c>
      <c r="M85" s="76">
        <v>0.7468</v>
      </c>
      <c r="N85" s="76">
        <v>0.3172</v>
      </c>
      <c r="O85" s="76">
        <v>0.2071</v>
      </c>
      <c r="P85" s="76">
        <v>1.3391</v>
      </c>
      <c r="Q85" s="76">
        <v>514.78</v>
      </c>
      <c r="R85" s="76">
        <v>439.53</v>
      </c>
      <c r="S85" s="76">
        <v>75.25</v>
      </c>
      <c r="T85" s="76">
        <v>40.69</v>
      </c>
      <c r="U85" s="76">
        <v>474.09</v>
      </c>
      <c r="V85" s="76">
        <v>506.32</v>
      </c>
      <c r="W85" s="76">
        <v>3.0184</v>
      </c>
      <c r="X85" s="76">
        <v>7.9</v>
      </c>
      <c r="Y85" s="76">
        <v>413.0</v>
      </c>
      <c r="Z85" s="76">
        <v>798.0</v>
      </c>
      <c r="AA85" s="76">
        <v>1493.0</v>
      </c>
      <c r="AB85" s="76">
        <v>58.9751</v>
      </c>
      <c r="AC85" s="76">
        <v>0.7915</v>
      </c>
      <c r="AD85" s="76">
        <v>51.08</v>
      </c>
      <c r="AE85" s="76">
        <v>19.0</v>
      </c>
      <c r="AF85" s="76">
        <v>35.0</v>
      </c>
      <c r="AG85" s="76">
        <v>66.0</v>
      </c>
      <c r="AH85" s="76">
        <v>112.0</v>
      </c>
      <c r="AI85" s="76">
        <v>22.07</v>
      </c>
      <c r="AJ85" s="76">
        <v>3.22</v>
      </c>
      <c r="AK85" s="76">
        <v>0.69</v>
      </c>
      <c r="AL85" s="76">
        <v>0.1011</v>
      </c>
      <c r="AM85" s="76">
        <v>65.52</v>
      </c>
      <c r="AN85" s="76">
        <v>65.52</v>
      </c>
      <c r="AO85" s="76">
        <v>51.03</v>
      </c>
      <c r="AP85" s="76">
        <v>46.67</v>
      </c>
      <c r="AQ85" s="76">
        <v>22.7402</v>
      </c>
      <c r="AR85" s="76">
        <v>0.6322</v>
      </c>
      <c r="AS85" s="76">
        <v>22.108</v>
      </c>
      <c r="AT85" s="76">
        <v>22.5195</v>
      </c>
      <c r="AU85" s="76">
        <v>0.1343</v>
      </c>
      <c r="AV85" s="76">
        <v>435.0</v>
      </c>
      <c r="AW85" s="76">
        <v>0.0</v>
      </c>
      <c r="AX85" s="76">
        <v>261.0</v>
      </c>
      <c r="AY85" s="76">
        <v>189.07</v>
      </c>
      <c r="AZ85" s="76">
        <v>4.95</v>
      </c>
      <c r="BA85" s="76">
        <v>40.69</v>
      </c>
      <c r="BB85" s="76">
        <v>19.07</v>
      </c>
      <c r="BC85" s="76">
        <v>228.0</v>
      </c>
      <c r="BD85" s="76">
        <v>14656.0</v>
      </c>
      <c r="BE85" s="76">
        <v>12.0322</v>
      </c>
      <c r="BF85" s="76">
        <v>0.2138</v>
      </c>
      <c r="BG85" s="76">
        <v>11.8184</v>
      </c>
      <c r="BH85" s="76">
        <v>10.1356</v>
      </c>
      <c r="BI85" s="76">
        <v>0.0604</v>
      </c>
      <c r="BJ85" s="76">
        <v>10.708</v>
      </c>
      <c r="BK85" s="76">
        <v>0.4184</v>
      </c>
      <c r="BL85" s="76">
        <v>10.2897</v>
      </c>
      <c r="BM85" s="76">
        <v>12.3839</v>
      </c>
      <c r="BN85" s="76">
        <v>0.0738</v>
      </c>
      <c r="BO85" s="76">
        <v>4.0713</v>
      </c>
      <c r="BP85" s="76">
        <v>0.0667</v>
      </c>
      <c r="BQ85" s="76">
        <v>4.0046</v>
      </c>
      <c r="BR85" s="76">
        <v>3.4207</v>
      </c>
      <c r="BS85" s="76">
        <v>4.646</v>
      </c>
      <c r="BT85" s="76">
        <v>0.0805</v>
      </c>
      <c r="BU85" s="76">
        <v>4.5655</v>
      </c>
      <c r="BV85" s="76">
        <v>3.7747</v>
      </c>
      <c r="BW85" s="76">
        <v>3.3149</v>
      </c>
      <c r="BX85" s="76">
        <v>0.0667</v>
      </c>
      <c r="BY85" s="76">
        <v>3.2483</v>
      </c>
      <c r="BZ85" s="76">
        <v>2.9402</v>
      </c>
      <c r="CA85" s="76">
        <v>1.8943</v>
      </c>
      <c r="CB85" s="76">
        <v>0.0966</v>
      </c>
      <c r="CC85" s="76">
        <v>1.7977</v>
      </c>
      <c r="CD85" s="76">
        <v>3.2897</v>
      </c>
      <c r="CE85" s="76">
        <v>4.5218</v>
      </c>
      <c r="CF85" s="76">
        <v>0.2161</v>
      </c>
      <c r="CG85" s="76">
        <v>4.3057</v>
      </c>
      <c r="CH85" s="76">
        <v>4.8759</v>
      </c>
      <c r="CI85" s="76">
        <v>4.292</v>
      </c>
      <c r="CJ85" s="76">
        <v>0.1057</v>
      </c>
      <c r="CK85" s="76">
        <v>4.1862</v>
      </c>
      <c r="CL85" s="76">
        <v>4.2184</v>
      </c>
      <c r="CM85" s="76">
        <v>1175.16</v>
      </c>
      <c r="CN85" s="76">
        <v>98.85</v>
      </c>
      <c r="CO85" s="76">
        <v>1188.83</v>
      </c>
      <c r="CP85" s="76">
        <v>1120.16</v>
      </c>
      <c r="CQ85" s="76">
        <v>0.0</v>
      </c>
      <c r="CR85" s="76">
        <v>12.83</v>
      </c>
      <c r="CS85" s="76">
        <v>42.17</v>
      </c>
      <c r="CT85" s="76">
        <v>0.0</v>
      </c>
      <c r="CU85" s="76">
        <v>252.0</v>
      </c>
      <c r="CV85" s="76">
        <v>0.0</v>
      </c>
      <c r="CW85" s="76">
        <v>514.78</v>
      </c>
      <c r="CX85" s="76">
        <v>0.0</v>
      </c>
      <c r="CY85" s="76">
        <v>0.0</v>
      </c>
    </row>
    <row r="86" ht="15.75" customHeight="1">
      <c r="A86" s="164">
        <v>46237.0</v>
      </c>
      <c r="B86" s="76" t="s">
        <v>4</v>
      </c>
      <c r="C86" s="76" t="s">
        <v>316</v>
      </c>
      <c r="D86" s="76">
        <v>4023.0</v>
      </c>
      <c r="E86" s="76">
        <v>15.92</v>
      </c>
      <c r="F86" s="76">
        <v>4.47</v>
      </c>
      <c r="G86" s="76">
        <v>0.0011</v>
      </c>
      <c r="H86" s="76">
        <v>0.05</v>
      </c>
      <c r="I86" s="76">
        <v>2.235</v>
      </c>
      <c r="J86" s="76">
        <v>4.63</v>
      </c>
      <c r="K86" s="76">
        <v>1.8</v>
      </c>
      <c r="L86" s="76">
        <v>0.17</v>
      </c>
      <c r="M86" s="76">
        <v>0.0954</v>
      </c>
      <c r="N86" s="76">
        <v>0.9203</v>
      </c>
      <c r="O86" s="76">
        <v>0.5839</v>
      </c>
      <c r="P86" s="76">
        <v>10.4768</v>
      </c>
      <c r="Q86" s="76">
        <v>25.82</v>
      </c>
      <c r="R86" s="76">
        <v>25.71</v>
      </c>
      <c r="S86" s="76">
        <v>0.11</v>
      </c>
      <c r="T86" s="76">
        <v>0.05</v>
      </c>
      <c r="U86" s="76">
        <v>25.77</v>
      </c>
      <c r="V86" s="76">
        <v>3.02</v>
      </c>
      <c r="W86" s="76">
        <v>1.6807</v>
      </c>
      <c r="X86" s="76">
        <v>0.19</v>
      </c>
      <c r="Y86" s="76">
        <v>200.0</v>
      </c>
      <c r="Z86" s="76">
        <v>532.0</v>
      </c>
      <c r="AA86" s="76">
        <v>3603.0</v>
      </c>
      <c r="AB86" s="76">
        <v>49.7525</v>
      </c>
      <c r="AC86" s="76">
        <v>0.581</v>
      </c>
      <c r="AI86" s="76">
        <v>0.0</v>
      </c>
      <c r="AJ86" s="76">
        <v>0.0</v>
      </c>
      <c r="AK86" s="76">
        <v>0.0</v>
      </c>
      <c r="AL86" s="76">
        <v>0.5819</v>
      </c>
      <c r="AQ86" s="76">
        <v>1.1402</v>
      </c>
      <c r="AR86" s="76">
        <v>0.006</v>
      </c>
      <c r="AS86" s="76">
        <v>1.1342</v>
      </c>
      <c r="AT86" s="76">
        <v>0.301</v>
      </c>
      <c r="AU86" s="76">
        <v>0.1675</v>
      </c>
      <c r="AV86" s="76">
        <v>4023.0</v>
      </c>
      <c r="AW86" s="76">
        <v>0.0</v>
      </c>
      <c r="AX86" s="76">
        <v>10.93</v>
      </c>
      <c r="AY86" s="76">
        <v>13.75</v>
      </c>
      <c r="AZ86" s="76">
        <v>1.0</v>
      </c>
      <c r="BA86" s="76">
        <v>0.05</v>
      </c>
      <c r="BB86" s="76">
        <v>0.09</v>
      </c>
      <c r="BD86" s="76">
        <v>27746.0</v>
      </c>
      <c r="BE86" s="76">
        <v>0.4681</v>
      </c>
      <c r="BF86" s="76">
        <v>0.0022</v>
      </c>
      <c r="BG86" s="76">
        <v>0.4658</v>
      </c>
      <c r="BH86" s="76">
        <v>0.18</v>
      </c>
      <c r="BI86" s="76">
        <v>0.1002</v>
      </c>
      <c r="BJ86" s="76">
        <v>0.6721</v>
      </c>
      <c r="BK86" s="76">
        <v>0.0037</v>
      </c>
      <c r="BL86" s="76">
        <v>0.6684</v>
      </c>
      <c r="BM86" s="76">
        <v>0.1211</v>
      </c>
      <c r="BN86" s="76">
        <v>0.0674</v>
      </c>
      <c r="BO86" s="76">
        <v>0.166</v>
      </c>
      <c r="BP86" s="76">
        <v>0.0</v>
      </c>
      <c r="BQ86" s="76">
        <v>0.166</v>
      </c>
      <c r="BR86" s="76">
        <v>0.0701</v>
      </c>
      <c r="BS86" s="76">
        <v>0.1703</v>
      </c>
      <c r="BT86" s="76">
        <v>0.0022</v>
      </c>
      <c r="BU86" s="76">
        <v>0.168</v>
      </c>
      <c r="BV86" s="76">
        <v>0.0708</v>
      </c>
      <c r="BW86" s="76">
        <v>0.1317</v>
      </c>
      <c r="BX86" s="76">
        <v>0.0</v>
      </c>
      <c r="BY86" s="76">
        <v>0.1317</v>
      </c>
      <c r="BZ86" s="76">
        <v>0.039</v>
      </c>
      <c r="CA86" s="76">
        <v>0.1534</v>
      </c>
      <c r="CB86" s="76">
        <v>0.0</v>
      </c>
      <c r="CC86" s="76">
        <v>0.1534</v>
      </c>
      <c r="CD86" s="76">
        <v>0.0214</v>
      </c>
      <c r="CE86" s="76">
        <v>0.2769</v>
      </c>
      <c r="CF86" s="76">
        <v>0.0015</v>
      </c>
      <c r="CG86" s="76">
        <v>0.2754</v>
      </c>
      <c r="CH86" s="76">
        <v>0.0497</v>
      </c>
      <c r="CI86" s="76">
        <v>0.2419</v>
      </c>
      <c r="CJ86" s="76">
        <v>0.0022</v>
      </c>
      <c r="CK86" s="76">
        <v>0.2396</v>
      </c>
      <c r="CL86" s="76">
        <v>0.05</v>
      </c>
      <c r="CM86" s="76">
        <v>6.73</v>
      </c>
      <c r="CN86" s="76">
        <v>5.92</v>
      </c>
      <c r="CO86" s="76">
        <v>113.81</v>
      </c>
      <c r="CP86" s="76">
        <v>4.48</v>
      </c>
      <c r="CQ86" s="76">
        <v>0.0</v>
      </c>
      <c r="CR86" s="76">
        <v>1.24</v>
      </c>
      <c r="CS86" s="76">
        <v>1.01</v>
      </c>
      <c r="CT86" s="76">
        <v>0.0</v>
      </c>
      <c r="CU86" s="76">
        <v>0.0</v>
      </c>
      <c r="CV86" s="76">
        <v>0.0</v>
      </c>
      <c r="CW86" s="76">
        <v>25.82</v>
      </c>
      <c r="CX86" s="76">
        <v>0.0</v>
      </c>
      <c r="CY86" s="76">
        <v>0.0</v>
      </c>
    </row>
    <row r="87" ht="15.75" customHeight="1">
      <c r="A87" s="164">
        <v>46237.0</v>
      </c>
      <c r="B87" s="76" t="s">
        <v>4</v>
      </c>
      <c r="C87" s="76" t="s">
        <v>147</v>
      </c>
      <c r="D87" s="76">
        <v>7220.0</v>
      </c>
      <c r="E87" s="76">
        <v>28.56</v>
      </c>
      <c r="F87" s="76">
        <v>85.33</v>
      </c>
      <c r="G87" s="76">
        <v>0.0118</v>
      </c>
      <c r="H87" s="76">
        <v>0.61</v>
      </c>
      <c r="I87" s="76">
        <v>1.9393</v>
      </c>
      <c r="J87" s="76">
        <v>22.23</v>
      </c>
      <c r="K87" s="76">
        <v>11.53</v>
      </c>
      <c r="L87" s="76">
        <v>5.3</v>
      </c>
      <c r="M87" s="76">
        <v>0.4596</v>
      </c>
      <c r="N87" s="76">
        <v>0.6492</v>
      </c>
      <c r="O87" s="76">
        <v>0.3975</v>
      </c>
      <c r="P87" s="76">
        <v>2.1757</v>
      </c>
      <c r="Q87" s="76">
        <v>62.37</v>
      </c>
      <c r="R87" s="76">
        <v>52.85</v>
      </c>
      <c r="S87" s="76">
        <v>9.52</v>
      </c>
      <c r="T87" s="76">
        <v>1.11</v>
      </c>
      <c r="U87" s="76">
        <v>61.26</v>
      </c>
      <c r="V87" s="76">
        <v>49.47</v>
      </c>
      <c r="W87" s="76">
        <v>4.2903</v>
      </c>
      <c r="X87" s="76">
        <v>1.78</v>
      </c>
      <c r="Y87" s="76">
        <v>203.0</v>
      </c>
      <c r="Z87" s="76">
        <v>371.0</v>
      </c>
      <c r="AA87" s="76">
        <v>1375.0</v>
      </c>
      <c r="AB87" s="76">
        <v>49.4903</v>
      </c>
      <c r="AC87" s="76">
        <v>0.5874</v>
      </c>
      <c r="AD87" s="76">
        <v>4.05</v>
      </c>
      <c r="AE87" s="76">
        <v>2.0</v>
      </c>
      <c r="AF87" s="76">
        <v>3.0</v>
      </c>
      <c r="AG87" s="76">
        <v>5.0</v>
      </c>
      <c r="AH87" s="76">
        <v>8.0</v>
      </c>
      <c r="AI87" s="76">
        <v>75.68</v>
      </c>
      <c r="AJ87" s="76">
        <v>33.8</v>
      </c>
      <c r="AK87" s="76">
        <v>6.68</v>
      </c>
      <c r="AL87" s="76">
        <v>0.4673</v>
      </c>
      <c r="AQ87" s="76">
        <v>3.4039</v>
      </c>
      <c r="AR87" s="76">
        <v>0.0298</v>
      </c>
      <c r="AS87" s="76">
        <v>3.3741</v>
      </c>
      <c r="AT87" s="76">
        <v>2.5615</v>
      </c>
      <c r="AU87" s="76">
        <v>0.2222</v>
      </c>
      <c r="AV87" s="76">
        <v>7220.0</v>
      </c>
      <c r="AW87" s="76">
        <v>0.0</v>
      </c>
      <c r="AX87" s="76">
        <v>29.74</v>
      </c>
      <c r="AY87" s="76">
        <v>28.72</v>
      </c>
      <c r="AZ87" s="76">
        <v>2.18</v>
      </c>
      <c r="BA87" s="76">
        <v>1.11</v>
      </c>
      <c r="BB87" s="76">
        <v>0.62</v>
      </c>
      <c r="BC87" s="76">
        <v>16.0</v>
      </c>
      <c r="BD87" s="76">
        <v>19360.0</v>
      </c>
      <c r="BE87" s="76">
        <v>1.8393</v>
      </c>
      <c r="BF87" s="76">
        <v>0.015</v>
      </c>
      <c r="BG87" s="76">
        <v>1.8244</v>
      </c>
      <c r="BH87" s="76">
        <v>1.3953</v>
      </c>
      <c r="BI87" s="76">
        <v>0.121</v>
      </c>
      <c r="BJ87" s="76">
        <v>1.5645</v>
      </c>
      <c r="BK87" s="76">
        <v>0.0148</v>
      </c>
      <c r="BL87" s="76">
        <v>1.5497</v>
      </c>
      <c r="BM87" s="76">
        <v>1.1662</v>
      </c>
      <c r="BN87" s="76">
        <v>0.1011</v>
      </c>
      <c r="BO87" s="76">
        <v>0.6662</v>
      </c>
      <c r="BP87" s="76">
        <v>0.0089</v>
      </c>
      <c r="BQ87" s="76">
        <v>0.6573</v>
      </c>
      <c r="BR87" s="76">
        <v>0.5439</v>
      </c>
      <c r="BS87" s="76">
        <v>0.778</v>
      </c>
      <c r="BT87" s="76">
        <v>0.0022</v>
      </c>
      <c r="BU87" s="76">
        <v>0.7758</v>
      </c>
      <c r="BV87" s="76">
        <v>0.5548</v>
      </c>
      <c r="BW87" s="76">
        <v>0.3952</v>
      </c>
      <c r="BX87" s="76">
        <v>0.0039</v>
      </c>
      <c r="BY87" s="76">
        <v>0.3913</v>
      </c>
      <c r="BZ87" s="76">
        <v>0.2965</v>
      </c>
      <c r="CA87" s="76">
        <v>0.4114</v>
      </c>
      <c r="CB87" s="76">
        <v>0.0024</v>
      </c>
      <c r="CC87" s="76">
        <v>0.409</v>
      </c>
      <c r="CD87" s="76">
        <v>0.2647</v>
      </c>
      <c r="CE87" s="76">
        <v>0.6044</v>
      </c>
      <c r="CF87" s="76">
        <v>0.005</v>
      </c>
      <c r="CG87" s="76">
        <v>0.5994</v>
      </c>
      <c r="CH87" s="76">
        <v>0.4756</v>
      </c>
      <c r="CI87" s="76">
        <v>0.5488</v>
      </c>
      <c r="CJ87" s="76">
        <v>0.0075</v>
      </c>
      <c r="CK87" s="76">
        <v>0.5413</v>
      </c>
      <c r="CL87" s="76">
        <v>0.4259</v>
      </c>
      <c r="CM87" s="76">
        <v>65.92</v>
      </c>
      <c r="CN87" s="76">
        <v>71.02</v>
      </c>
      <c r="CO87" s="76">
        <v>92.81</v>
      </c>
      <c r="CP87" s="76">
        <v>61.64</v>
      </c>
      <c r="CQ87" s="76">
        <v>0.0</v>
      </c>
      <c r="CR87" s="76">
        <v>2.9</v>
      </c>
      <c r="CS87" s="76">
        <v>1.38</v>
      </c>
      <c r="CT87" s="76">
        <v>0.0</v>
      </c>
      <c r="CU87" s="76">
        <v>1.0</v>
      </c>
      <c r="CV87" s="76">
        <v>0.0</v>
      </c>
      <c r="CW87" s="76">
        <v>62.37</v>
      </c>
      <c r="CX87" s="76">
        <v>0.0</v>
      </c>
      <c r="CY87" s="76">
        <v>0.0</v>
      </c>
    </row>
    <row r="88" ht="15.75" customHeight="1">
      <c r="A88" s="164">
        <v>46237.0</v>
      </c>
      <c r="B88" s="76" t="s">
        <v>4</v>
      </c>
      <c r="C88" s="76" t="s">
        <v>148</v>
      </c>
      <c r="D88" s="76">
        <v>5697.0</v>
      </c>
      <c r="E88" s="76">
        <v>22.54</v>
      </c>
      <c r="F88" s="76">
        <v>258.28</v>
      </c>
      <c r="G88" s="76">
        <v>0.0453</v>
      </c>
      <c r="H88" s="76">
        <v>1.67</v>
      </c>
      <c r="I88" s="76">
        <v>2.7187</v>
      </c>
      <c r="J88" s="76">
        <v>42.67</v>
      </c>
      <c r="K88" s="76">
        <v>23.27</v>
      </c>
      <c r="L88" s="76">
        <v>14.21</v>
      </c>
      <c r="M88" s="76">
        <v>0.6106</v>
      </c>
      <c r="N88" s="76">
        <v>0.5186</v>
      </c>
      <c r="O88" s="76">
        <v>0.3203</v>
      </c>
      <c r="P88" s="76">
        <v>1.6378</v>
      </c>
      <c r="Q88" s="76">
        <v>119.41</v>
      </c>
      <c r="R88" s="76">
        <v>92.19</v>
      </c>
      <c r="S88" s="76">
        <v>27.22</v>
      </c>
      <c r="T88" s="76">
        <v>3.88</v>
      </c>
      <c r="U88" s="76">
        <v>115.53</v>
      </c>
      <c r="V88" s="76">
        <v>102.92</v>
      </c>
      <c r="W88" s="76">
        <v>4.4223</v>
      </c>
      <c r="X88" s="76">
        <v>3.25</v>
      </c>
      <c r="Y88" s="76">
        <v>247.0</v>
      </c>
      <c r="Z88" s="76">
        <v>432.0</v>
      </c>
      <c r="AA88" s="76">
        <v>1329.0</v>
      </c>
      <c r="AB88" s="76">
        <v>51.7991</v>
      </c>
      <c r="AC88" s="76">
        <v>0.6718</v>
      </c>
      <c r="AD88" s="76">
        <v>9.92</v>
      </c>
      <c r="AE88" s="76">
        <v>4.0</v>
      </c>
      <c r="AF88" s="76">
        <v>8.0</v>
      </c>
      <c r="AG88" s="76">
        <v>13.0</v>
      </c>
      <c r="AH88" s="76">
        <v>19.0</v>
      </c>
      <c r="AI88" s="76">
        <v>67.11</v>
      </c>
      <c r="AJ88" s="76">
        <v>28.44</v>
      </c>
      <c r="AK88" s="76">
        <v>4.3</v>
      </c>
      <c r="AL88" s="76">
        <v>0.3439</v>
      </c>
      <c r="AQ88" s="76">
        <v>7.0239</v>
      </c>
      <c r="AR88" s="76">
        <v>0.0837</v>
      </c>
      <c r="AS88" s="76">
        <v>6.9401</v>
      </c>
      <c r="AT88" s="76">
        <v>5.135</v>
      </c>
      <c r="AU88" s="76">
        <v>0.2206</v>
      </c>
      <c r="AV88" s="76">
        <v>5697.0</v>
      </c>
      <c r="AW88" s="76">
        <v>0.0</v>
      </c>
      <c r="AX88" s="76">
        <v>61.5</v>
      </c>
      <c r="AY88" s="76">
        <v>50.02</v>
      </c>
      <c r="AZ88" s="76">
        <v>2.86</v>
      </c>
      <c r="BA88" s="76">
        <v>3.88</v>
      </c>
      <c r="BB88" s="76">
        <v>1.15</v>
      </c>
      <c r="BC88" s="76">
        <v>36.0</v>
      </c>
      <c r="BD88" s="76">
        <v>20063.0</v>
      </c>
      <c r="BE88" s="76">
        <v>3.9201</v>
      </c>
      <c r="BF88" s="76">
        <v>0.0563</v>
      </c>
      <c r="BG88" s="76">
        <v>3.8638</v>
      </c>
      <c r="BH88" s="76">
        <v>2.6044</v>
      </c>
      <c r="BI88" s="76">
        <v>0.1119</v>
      </c>
      <c r="BJ88" s="76">
        <v>3.1037</v>
      </c>
      <c r="BK88" s="76">
        <v>0.0274</v>
      </c>
      <c r="BL88" s="76">
        <v>3.0764</v>
      </c>
      <c r="BM88" s="76">
        <v>2.5306</v>
      </c>
      <c r="BN88" s="76">
        <v>0.1087</v>
      </c>
      <c r="BO88" s="76">
        <v>1.3727</v>
      </c>
      <c r="BP88" s="76">
        <v>0.0228</v>
      </c>
      <c r="BQ88" s="76">
        <v>1.3498</v>
      </c>
      <c r="BR88" s="76">
        <v>0.9521</v>
      </c>
      <c r="BS88" s="76">
        <v>1.7372</v>
      </c>
      <c r="BT88" s="76">
        <v>0.0102</v>
      </c>
      <c r="BU88" s="76">
        <v>1.727</v>
      </c>
      <c r="BV88" s="76">
        <v>1.0734</v>
      </c>
      <c r="BW88" s="76">
        <v>0.8103</v>
      </c>
      <c r="BX88" s="76">
        <v>0.0233</v>
      </c>
      <c r="BY88" s="76">
        <v>0.7869</v>
      </c>
      <c r="BZ88" s="76">
        <v>0.5789</v>
      </c>
      <c r="CA88" s="76">
        <v>0.7072</v>
      </c>
      <c r="CB88" s="76">
        <v>0.0049</v>
      </c>
      <c r="CC88" s="76">
        <v>0.7023</v>
      </c>
      <c r="CD88" s="76">
        <v>0.5652</v>
      </c>
      <c r="CE88" s="76">
        <v>1.1882</v>
      </c>
      <c r="CF88" s="76">
        <v>0.0128</v>
      </c>
      <c r="CG88" s="76">
        <v>1.1754</v>
      </c>
      <c r="CH88" s="76">
        <v>0.9993</v>
      </c>
      <c r="CI88" s="76">
        <v>1.2084</v>
      </c>
      <c r="CJ88" s="76">
        <v>0.0097</v>
      </c>
      <c r="CK88" s="76">
        <v>1.1987</v>
      </c>
      <c r="CL88" s="76">
        <v>0.9661</v>
      </c>
      <c r="CM88" s="76">
        <v>164.18</v>
      </c>
      <c r="CN88" s="76">
        <v>85.62</v>
      </c>
      <c r="CO88" s="76">
        <v>191.74</v>
      </c>
      <c r="CP88" s="76">
        <v>156.37</v>
      </c>
      <c r="CQ88" s="76">
        <v>0.0</v>
      </c>
      <c r="CR88" s="76">
        <v>3.49</v>
      </c>
      <c r="CS88" s="76">
        <v>4.32</v>
      </c>
      <c r="CT88" s="76">
        <v>0.0</v>
      </c>
      <c r="CU88" s="76">
        <v>0.0</v>
      </c>
      <c r="CV88" s="76">
        <v>0.0</v>
      </c>
      <c r="CW88" s="76">
        <v>119.41</v>
      </c>
      <c r="CX88" s="76">
        <v>0.0</v>
      </c>
      <c r="CY88" s="76">
        <v>0.0</v>
      </c>
    </row>
    <row r="89" ht="15.75" customHeight="1">
      <c r="A89" s="164">
        <v>46237.0</v>
      </c>
      <c r="B89" s="76" t="s">
        <v>4</v>
      </c>
      <c r="C89" s="76" t="s">
        <v>149</v>
      </c>
      <c r="D89" s="76">
        <v>4766.0</v>
      </c>
      <c r="E89" s="76">
        <v>18.86</v>
      </c>
      <c r="F89" s="76">
        <v>876.32</v>
      </c>
      <c r="G89" s="76">
        <v>0.1839</v>
      </c>
      <c r="H89" s="76">
        <v>2.85</v>
      </c>
      <c r="I89" s="76">
        <v>6.4435</v>
      </c>
      <c r="J89" s="76">
        <v>68.77</v>
      </c>
      <c r="K89" s="76">
        <v>39.11</v>
      </c>
      <c r="L89" s="76">
        <v>28.5</v>
      </c>
      <c r="M89" s="76">
        <v>0.7286</v>
      </c>
      <c r="N89" s="76">
        <v>0.4036</v>
      </c>
      <c r="O89" s="76">
        <v>0.2693</v>
      </c>
      <c r="P89" s="76">
        <v>1.3725</v>
      </c>
      <c r="Q89" s="76">
        <v>210.57</v>
      </c>
      <c r="R89" s="76">
        <v>155.86</v>
      </c>
      <c r="S89" s="76">
        <v>54.71</v>
      </c>
      <c r="T89" s="76">
        <v>13.68</v>
      </c>
      <c r="U89" s="76">
        <v>196.89</v>
      </c>
      <c r="V89" s="76">
        <v>187.6</v>
      </c>
      <c r="W89" s="76">
        <v>4.7965</v>
      </c>
      <c r="X89" s="76">
        <v>6.5</v>
      </c>
      <c r="Y89" s="76">
        <v>301.0</v>
      </c>
      <c r="Z89" s="76">
        <v>539.0</v>
      </c>
      <c r="AA89" s="76">
        <v>1273.0</v>
      </c>
      <c r="AB89" s="76">
        <v>53.6526</v>
      </c>
      <c r="AC89" s="76">
        <v>0.7247</v>
      </c>
      <c r="AD89" s="76">
        <v>17.51</v>
      </c>
      <c r="AE89" s="76">
        <v>7.0</v>
      </c>
      <c r="AF89" s="76">
        <v>14.0</v>
      </c>
      <c r="AG89" s="76">
        <v>25.0</v>
      </c>
      <c r="AH89" s="76">
        <v>36.0</v>
      </c>
      <c r="AI89" s="76">
        <v>61.31</v>
      </c>
      <c r="AJ89" s="76">
        <v>24.05</v>
      </c>
      <c r="AK89" s="76">
        <v>4.78</v>
      </c>
      <c r="AL89" s="76">
        <v>0.2721</v>
      </c>
      <c r="AQ89" s="76">
        <v>11.282</v>
      </c>
      <c r="AR89" s="76">
        <v>0.1878</v>
      </c>
      <c r="AS89" s="76">
        <v>11.0942</v>
      </c>
      <c r="AT89" s="76">
        <v>8.2906</v>
      </c>
      <c r="AU89" s="76">
        <v>0.212</v>
      </c>
      <c r="AV89" s="76">
        <v>4766.0</v>
      </c>
      <c r="AW89" s="76">
        <v>0.0</v>
      </c>
      <c r="AX89" s="76">
        <v>110.92</v>
      </c>
      <c r="AY89" s="76">
        <v>80.59</v>
      </c>
      <c r="AZ89" s="76">
        <v>3.27</v>
      </c>
      <c r="BA89" s="76">
        <v>13.68</v>
      </c>
      <c r="BB89" s="76">
        <v>2.11</v>
      </c>
      <c r="BC89" s="76">
        <v>59.0</v>
      </c>
      <c r="BD89" s="76">
        <v>20232.0</v>
      </c>
      <c r="BE89" s="76">
        <v>6.1865</v>
      </c>
      <c r="BF89" s="76">
        <v>0.1114</v>
      </c>
      <c r="BG89" s="76">
        <v>6.0751</v>
      </c>
      <c r="BH89" s="76">
        <v>4.043</v>
      </c>
      <c r="BI89" s="76">
        <v>0.1034</v>
      </c>
      <c r="BJ89" s="76">
        <v>5.0955</v>
      </c>
      <c r="BK89" s="76">
        <v>0.0764</v>
      </c>
      <c r="BL89" s="76">
        <v>5.0191</v>
      </c>
      <c r="BM89" s="76">
        <v>4.2476</v>
      </c>
      <c r="BN89" s="76">
        <v>0.1086</v>
      </c>
      <c r="BO89" s="76">
        <v>2.1395</v>
      </c>
      <c r="BP89" s="76">
        <v>0.0344</v>
      </c>
      <c r="BQ89" s="76">
        <v>2.1051</v>
      </c>
      <c r="BR89" s="76">
        <v>1.4559</v>
      </c>
      <c r="BS89" s="76">
        <v>2.7763</v>
      </c>
      <c r="BT89" s="76">
        <v>0.0332</v>
      </c>
      <c r="BU89" s="76">
        <v>2.7432</v>
      </c>
      <c r="BV89" s="76">
        <v>1.6916</v>
      </c>
      <c r="BW89" s="76">
        <v>1.2707</v>
      </c>
      <c r="BX89" s="76">
        <v>0.0439</v>
      </c>
      <c r="BY89" s="76">
        <v>1.2268</v>
      </c>
      <c r="BZ89" s="76">
        <v>0.8955</v>
      </c>
      <c r="CA89" s="76">
        <v>1.0632</v>
      </c>
      <c r="CB89" s="76">
        <v>0.0201</v>
      </c>
      <c r="CC89" s="76">
        <v>1.043</v>
      </c>
      <c r="CD89" s="76">
        <v>0.9276</v>
      </c>
      <c r="CE89" s="76">
        <v>1.9419</v>
      </c>
      <c r="CF89" s="76">
        <v>0.0313</v>
      </c>
      <c r="CG89" s="76">
        <v>1.9106</v>
      </c>
      <c r="CH89" s="76">
        <v>1.637</v>
      </c>
      <c r="CI89" s="76">
        <v>2.0904</v>
      </c>
      <c r="CJ89" s="76">
        <v>0.025</v>
      </c>
      <c r="CK89" s="76">
        <v>2.0655</v>
      </c>
      <c r="CL89" s="76">
        <v>1.683</v>
      </c>
      <c r="CM89" s="76">
        <v>335.33</v>
      </c>
      <c r="CN89" s="76">
        <v>93.92</v>
      </c>
      <c r="CO89" s="76">
        <v>357.06</v>
      </c>
      <c r="CP89" s="76">
        <v>321.85</v>
      </c>
      <c r="CQ89" s="76">
        <v>0.05</v>
      </c>
      <c r="CR89" s="76">
        <v>4.73</v>
      </c>
      <c r="CS89" s="76">
        <v>8.7</v>
      </c>
      <c r="CT89" s="76">
        <v>0.0</v>
      </c>
      <c r="CU89" s="76">
        <v>0.0</v>
      </c>
      <c r="CV89" s="76">
        <v>0.0</v>
      </c>
      <c r="CW89" s="76">
        <v>210.57</v>
      </c>
      <c r="CX89" s="76">
        <v>0.0</v>
      </c>
      <c r="CY89" s="76">
        <v>0.05</v>
      </c>
    </row>
    <row r="90" ht="15.75" customHeight="1">
      <c r="A90" s="164">
        <v>46237.0</v>
      </c>
      <c r="B90" s="76" t="s">
        <v>4</v>
      </c>
      <c r="C90" s="76" t="s">
        <v>150</v>
      </c>
      <c r="D90" s="76">
        <v>3139.0</v>
      </c>
      <c r="E90" s="76">
        <v>12.42</v>
      </c>
      <c r="F90" s="76">
        <v>766.26</v>
      </c>
      <c r="G90" s="76">
        <v>0.2441</v>
      </c>
      <c r="H90" s="76">
        <v>3.73</v>
      </c>
      <c r="I90" s="76">
        <v>6.5492</v>
      </c>
      <c r="J90" s="76">
        <v>117.83</v>
      </c>
      <c r="K90" s="76">
        <v>73.34</v>
      </c>
      <c r="L90" s="76">
        <v>56.26</v>
      </c>
      <c r="M90" s="76">
        <v>0.7671</v>
      </c>
      <c r="N90" s="76">
        <v>0.3498</v>
      </c>
      <c r="O90" s="76">
        <v>0.2367</v>
      </c>
      <c r="P90" s="76">
        <v>1.3035</v>
      </c>
      <c r="Q90" s="76">
        <v>379.55</v>
      </c>
      <c r="R90" s="76">
        <v>268.8</v>
      </c>
      <c r="S90" s="76">
        <v>110.75</v>
      </c>
      <c r="T90" s="76">
        <v>20.18</v>
      </c>
      <c r="U90" s="76">
        <v>359.37</v>
      </c>
      <c r="V90" s="76">
        <v>337.26</v>
      </c>
      <c r="W90" s="76">
        <v>4.5986</v>
      </c>
      <c r="X90" s="76">
        <v>5.32</v>
      </c>
      <c r="Y90" s="76">
        <v>383.0</v>
      </c>
      <c r="Z90" s="76">
        <v>705.0</v>
      </c>
      <c r="AA90" s="76">
        <v>1713.0</v>
      </c>
      <c r="AB90" s="76">
        <v>55.7463</v>
      </c>
      <c r="AC90" s="76">
        <v>0.746</v>
      </c>
      <c r="AD90" s="76">
        <v>30.08</v>
      </c>
      <c r="AE90" s="76">
        <v>12.0</v>
      </c>
      <c r="AF90" s="76">
        <v>23.0</v>
      </c>
      <c r="AG90" s="76">
        <v>41.0</v>
      </c>
      <c r="AH90" s="76">
        <v>62.0</v>
      </c>
      <c r="AI90" s="76">
        <v>42.56</v>
      </c>
      <c r="AJ90" s="76">
        <v>11.02</v>
      </c>
      <c r="AK90" s="76">
        <v>2.55</v>
      </c>
      <c r="AL90" s="76">
        <v>0.1637</v>
      </c>
      <c r="AQ90" s="76">
        <v>18.3364</v>
      </c>
      <c r="AR90" s="76">
        <v>0.3488</v>
      </c>
      <c r="AS90" s="76">
        <v>17.9876</v>
      </c>
      <c r="AT90" s="76">
        <v>14.1574</v>
      </c>
      <c r="AU90" s="76">
        <v>0.193</v>
      </c>
      <c r="AV90" s="76">
        <v>3139.0</v>
      </c>
      <c r="AW90" s="76">
        <v>0.0</v>
      </c>
      <c r="AX90" s="76">
        <v>202.79</v>
      </c>
      <c r="AY90" s="76">
        <v>147.93</v>
      </c>
      <c r="AZ90" s="76">
        <v>4.13</v>
      </c>
      <c r="BA90" s="76">
        <v>20.18</v>
      </c>
      <c r="BB90" s="76">
        <v>4.52</v>
      </c>
      <c r="BC90" s="76">
        <v>124.0</v>
      </c>
      <c r="BD90" s="76">
        <v>16483.0</v>
      </c>
      <c r="BE90" s="76">
        <v>10.0532</v>
      </c>
      <c r="BF90" s="76">
        <v>0.1634</v>
      </c>
      <c r="BG90" s="76">
        <v>9.8898</v>
      </c>
      <c r="BH90" s="76">
        <v>6.8289</v>
      </c>
      <c r="BI90" s="76">
        <v>0.0931</v>
      </c>
      <c r="BJ90" s="76">
        <v>8.2832</v>
      </c>
      <c r="BK90" s="76">
        <v>0.1854</v>
      </c>
      <c r="BL90" s="76">
        <v>8.0978</v>
      </c>
      <c r="BM90" s="76">
        <v>7.3284</v>
      </c>
      <c r="BN90" s="76">
        <v>0.0999</v>
      </c>
      <c r="BO90" s="76">
        <v>3.7502</v>
      </c>
      <c r="BP90" s="76">
        <v>0.0577</v>
      </c>
      <c r="BQ90" s="76">
        <v>3.6926</v>
      </c>
      <c r="BR90" s="76">
        <v>2.5642</v>
      </c>
      <c r="BS90" s="76">
        <v>4.3746</v>
      </c>
      <c r="BT90" s="76">
        <v>0.05</v>
      </c>
      <c r="BU90" s="76">
        <v>4.3246</v>
      </c>
      <c r="BV90" s="76">
        <v>2.8554</v>
      </c>
      <c r="BW90" s="76">
        <v>1.9283</v>
      </c>
      <c r="BX90" s="76">
        <v>0.0558</v>
      </c>
      <c r="BY90" s="76">
        <v>1.8726</v>
      </c>
      <c r="BZ90" s="76">
        <v>1.4094</v>
      </c>
      <c r="CA90" s="76">
        <v>1.8993</v>
      </c>
      <c r="CB90" s="76">
        <v>0.0443</v>
      </c>
      <c r="CC90" s="76">
        <v>1.855</v>
      </c>
      <c r="CD90" s="76">
        <v>1.7888</v>
      </c>
      <c r="CE90" s="76">
        <v>3.0182</v>
      </c>
      <c r="CF90" s="76">
        <v>0.0768</v>
      </c>
      <c r="CG90" s="76">
        <v>2.9414</v>
      </c>
      <c r="CH90" s="76">
        <v>2.7334</v>
      </c>
      <c r="CI90" s="76">
        <v>3.3657</v>
      </c>
      <c r="CJ90" s="76">
        <v>0.0644</v>
      </c>
      <c r="CK90" s="76">
        <v>3.3014</v>
      </c>
      <c r="CL90" s="76">
        <v>2.8063</v>
      </c>
      <c r="CM90" s="76">
        <v>661.98</v>
      </c>
      <c r="CN90" s="76">
        <v>98.82</v>
      </c>
      <c r="CO90" s="76">
        <v>669.87</v>
      </c>
      <c r="CP90" s="76">
        <v>640.98</v>
      </c>
      <c r="CQ90" s="76">
        <v>0.0</v>
      </c>
      <c r="CR90" s="76">
        <v>5.92</v>
      </c>
      <c r="CS90" s="76">
        <v>15.08</v>
      </c>
      <c r="CT90" s="76">
        <v>0.0</v>
      </c>
      <c r="CU90" s="76">
        <v>0.0</v>
      </c>
      <c r="CV90" s="76">
        <v>0.0</v>
      </c>
      <c r="CW90" s="76">
        <v>379.55</v>
      </c>
      <c r="CX90" s="76">
        <v>0.0</v>
      </c>
      <c r="CY90" s="76">
        <v>0.0</v>
      </c>
    </row>
    <row r="91" ht="15.75" customHeight="1">
      <c r="A91" s="164">
        <v>46237.0</v>
      </c>
      <c r="B91" s="76" t="s">
        <v>4</v>
      </c>
      <c r="C91" s="76" t="s">
        <v>151</v>
      </c>
      <c r="D91" s="76">
        <v>432.0</v>
      </c>
      <c r="E91" s="76">
        <v>1.71</v>
      </c>
      <c r="F91" s="76">
        <v>195.03</v>
      </c>
      <c r="G91" s="76">
        <v>0.4515</v>
      </c>
      <c r="H91" s="76">
        <v>6.71</v>
      </c>
      <c r="I91" s="76">
        <v>6.7252</v>
      </c>
      <c r="J91" s="76">
        <v>236.48</v>
      </c>
      <c r="K91" s="76">
        <v>168.01</v>
      </c>
      <c r="L91" s="76">
        <v>129.91</v>
      </c>
      <c r="M91" s="76">
        <v>0.7732</v>
      </c>
      <c r="N91" s="76">
        <v>0.301</v>
      </c>
      <c r="O91" s="76">
        <v>0.2038</v>
      </c>
      <c r="P91" s="76">
        <v>1.2933</v>
      </c>
      <c r="Q91" s="76">
        <v>795.03</v>
      </c>
      <c r="R91" s="76">
        <v>523.9</v>
      </c>
      <c r="S91" s="76">
        <v>271.13</v>
      </c>
      <c r="T91" s="76">
        <v>45.72</v>
      </c>
      <c r="U91" s="76">
        <v>749.32</v>
      </c>
      <c r="V91" s="76">
        <v>730.09</v>
      </c>
      <c r="W91" s="76">
        <v>4.3455</v>
      </c>
      <c r="X91" s="76">
        <v>5.75</v>
      </c>
      <c r="Y91" s="76">
        <v>505.0</v>
      </c>
      <c r="Z91" s="76">
        <v>1030.0</v>
      </c>
      <c r="AA91" s="76">
        <v>1794.0</v>
      </c>
      <c r="AB91" s="76">
        <v>58.5025</v>
      </c>
      <c r="AC91" s="76">
        <v>0.7986</v>
      </c>
      <c r="AD91" s="76">
        <v>60.13</v>
      </c>
      <c r="AE91" s="76">
        <v>21.0</v>
      </c>
      <c r="AF91" s="76">
        <v>40.0</v>
      </c>
      <c r="AG91" s="76">
        <v>82.0</v>
      </c>
      <c r="AH91" s="76">
        <v>134.0</v>
      </c>
      <c r="AI91" s="76">
        <v>25.23</v>
      </c>
      <c r="AJ91" s="76">
        <v>5.32</v>
      </c>
      <c r="AK91" s="76">
        <v>0.93</v>
      </c>
      <c r="AL91" s="76">
        <v>0.1065</v>
      </c>
      <c r="AQ91" s="76">
        <v>36.8009</v>
      </c>
      <c r="AR91" s="76">
        <v>0.5324</v>
      </c>
      <c r="AS91" s="76">
        <v>36.2685</v>
      </c>
      <c r="AT91" s="76">
        <v>28.9907</v>
      </c>
      <c r="AU91" s="76">
        <v>0.1726</v>
      </c>
      <c r="AV91" s="76">
        <v>432.0</v>
      </c>
      <c r="AW91" s="76">
        <v>0.0</v>
      </c>
      <c r="AX91" s="76">
        <v>454.26</v>
      </c>
      <c r="AY91" s="76">
        <v>274.16</v>
      </c>
      <c r="AZ91" s="76">
        <v>4.66</v>
      </c>
      <c r="BA91" s="76">
        <v>45.72</v>
      </c>
      <c r="BB91" s="76">
        <v>16.24</v>
      </c>
      <c r="BC91" s="76">
        <v>247.0</v>
      </c>
      <c r="BD91" s="76">
        <v>13640.0</v>
      </c>
      <c r="BE91" s="76">
        <v>20.8218</v>
      </c>
      <c r="BF91" s="76">
        <v>0.2083</v>
      </c>
      <c r="BG91" s="76">
        <v>20.6134</v>
      </c>
      <c r="BH91" s="76">
        <v>14.2176</v>
      </c>
      <c r="BI91" s="76">
        <v>0.0846</v>
      </c>
      <c r="BJ91" s="76">
        <v>15.9792</v>
      </c>
      <c r="BK91" s="76">
        <v>0.3241</v>
      </c>
      <c r="BL91" s="76">
        <v>15.6551</v>
      </c>
      <c r="BM91" s="76">
        <v>14.7731</v>
      </c>
      <c r="BN91" s="76">
        <v>0.0879</v>
      </c>
      <c r="BO91" s="76">
        <v>8.1227</v>
      </c>
      <c r="BP91" s="76">
        <v>0.0741</v>
      </c>
      <c r="BQ91" s="76">
        <v>8.0486</v>
      </c>
      <c r="BR91" s="76">
        <v>5.5231</v>
      </c>
      <c r="BS91" s="76">
        <v>8.8287</v>
      </c>
      <c r="BT91" s="76">
        <v>0.0671</v>
      </c>
      <c r="BU91" s="76">
        <v>8.7616</v>
      </c>
      <c r="BV91" s="76">
        <v>5.9861</v>
      </c>
      <c r="BW91" s="76">
        <v>3.8704</v>
      </c>
      <c r="BX91" s="76">
        <v>0.0671</v>
      </c>
      <c r="BY91" s="76">
        <v>3.8032</v>
      </c>
      <c r="BZ91" s="76">
        <v>2.7083</v>
      </c>
      <c r="CA91" s="76">
        <v>3.9815</v>
      </c>
      <c r="CB91" s="76">
        <v>0.0972</v>
      </c>
      <c r="CC91" s="76">
        <v>3.8843</v>
      </c>
      <c r="CD91" s="76">
        <v>3.7731</v>
      </c>
      <c r="CE91" s="76">
        <v>5.8704</v>
      </c>
      <c r="CF91" s="76">
        <v>0.1343</v>
      </c>
      <c r="CG91" s="76">
        <v>5.7361</v>
      </c>
      <c r="CH91" s="76">
        <v>5.4259</v>
      </c>
      <c r="CI91" s="76">
        <v>6.1273</v>
      </c>
      <c r="CJ91" s="76">
        <v>0.0926</v>
      </c>
      <c r="CK91" s="76">
        <v>6.0347</v>
      </c>
      <c r="CL91" s="76">
        <v>5.5741</v>
      </c>
      <c r="CM91" s="76">
        <v>1492.71</v>
      </c>
      <c r="CN91" s="76">
        <v>98.61</v>
      </c>
      <c r="CO91" s="76">
        <v>1513.73</v>
      </c>
      <c r="CP91" s="76">
        <v>1465.53</v>
      </c>
      <c r="CQ91" s="76">
        <v>0.0</v>
      </c>
      <c r="CR91" s="76">
        <v>10.83</v>
      </c>
      <c r="CS91" s="76">
        <v>16.34</v>
      </c>
      <c r="CT91" s="76">
        <v>0.0</v>
      </c>
      <c r="CU91" s="76">
        <v>0.0</v>
      </c>
      <c r="CV91" s="76">
        <v>0.0</v>
      </c>
      <c r="CW91" s="76">
        <v>795.03</v>
      </c>
      <c r="CX91" s="76">
        <v>0.0</v>
      </c>
      <c r="CY91" s="76">
        <v>0.0</v>
      </c>
    </row>
    <row r="92" ht="15.75" customHeight="1">
      <c r="A92" s="164">
        <v>46237.0</v>
      </c>
      <c r="B92" s="76" t="s">
        <v>5</v>
      </c>
      <c r="C92" s="76" t="s">
        <v>316</v>
      </c>
      <c r="D92" s="76">
        <v>3940.0</v>
      </c>
      <c r="E92" s="76">
        <v>15.64</v>
      </c>
      <c r="F92" s="76">
        <v>25.93</v>
      </c>
      <c r="G92" s="76">
        <v>0.0066</v>
      </c>
      <c r="H92" s="76">
        <v>0.03</v>
      </c>
      <c r="I92" s="76">
        <v>25.93</v>
      </c>
      <c r="J92" s="76">
        <v>4.53</v>
      </c>
      <c r="K92" s="76">
        <v>1.83</v>
      </c>
      <c r="L92" s="76">
        <v>0.1</v>
      </c>
      <c r="M92" s="76">
        <v>0.0524</v>
      </c>
      <c r="N92" s="76">
        <v>0.9586</v>
      </c>
      <c r="O92" s="76">
        <v>0.6849</v>
      </c>
      <c r="P92" s="76">
        <v>19.0686</v>
      </c>
      <c r="Q92" s="76">
        <v>21.01</v>
      </c>
      <c r="R92" s="76">
        <v>20.87</v>
      </c>
      <c r="S92" s="76">
        <v>0.13</v>
      </c>
      <c r="T92" s="76">
        <v>1.02</v>
      </c>
      <c r="U92" s="76">
        <v>19.99</v>
      </c>
      <c r="V92" s="76">
        <v>2.36</v>
      </c>
      <c r="W92" s="76">
        <v>1.2868</v>
      </c>
      <c r="X92" s="76">
        <v>4.83</v>
      </c>
      <c r="Y92" s="76">
        <v>200.0</v>
      </c>
      <c r="Z92" s="76">
        <v>387.0</v>
      </c>
      <c r="AA92" s="76">
        <v>2936.0</v>
      </c>
      <c r="AB92" s="76">
        <v>49.3675</v>
      </c>
      <c r="AC92" s="76">
        <v>0.5646</v>
      </c>
      <c r="AI92" s="76">
        <v>0.0</v>
      </c>
      <c r="AJ92" s="76">
        <v>0.0</v>
      </c>
      <c r="AK92" s="76">
        <v>0.0</v>
      </c>
      <c r="AL92" s="76">
        <v>0.5919</v>
      </c>
      <c r="AM92" s="76">
        <v>0.28</v>
      </c>
      <c r="AN92" s="76">
        <v>0.28</v>
      </c>
      <c r="AO92" s="76">
        <v>0.13</v>
      </c>
      <c r="AP92" s="76">
        <v>0.03</v>
      </c>
      <c r="AQ92" s="76">
        <v>1.0376</v>
      </c>
      <c r="AR92" s="76">
        <v>0.0244</v>
      </c>
      <c r="AS92" s="76">
        <v>1.0132</v>
      </c>
      <c r="AT92" s="76">
        <v>0.3236</v>
      </c>
      <c r="AU92" s="76">
        <v>0.1764</v>
      </c>
      <c r="AV92" s="76">
        <v>3940.0</v>
      </c>
      <c r="AW92" s="76">
        <v>0.0</v>
      </c>
      <c r="AX92" s="76">
        <v>6.94</v>
      </c>
      <c r="AY92" s="76">
        <v>12.13</v>
      </c>
      <c r="AZ92" s="76">
        <v>0.79</v>
      </c>
      <c r="BA92" s="76">
        <v>1.02</v>
      </c>
      <c r="BB92" s="76">
        <v>0.13</v>
      </c>
      <c r="BD92" s="76">
        <v>26649.0</v>
      </c>
      <c r="BE92" s="76">
        <v>0.4525</v>
      </c>
      <c r="BF92" s="76">
        <v>0.0129</v>
      </c>
      <c r="BG92" s="76">
        <v>0.4396</v>
      </c>
      <c r="BH92" s="76">
        <v>0.2081</v>
      </c>
      <c r="BI92" s="76">
        <v>0.1135</v>
      </c>
      <c r="BJ92" s="76">
        <v>0.585</v>
      </c>
      <c r="BK92" s="76">
        <v>0.0114</v>
      </c>
      <c r="BL92" s="76">
        <v>0.5736</v>
      </c>
      <c r="BM92" s="76">
        <v>0.1155</v>
      </c>
      <c r="BN92" s="76">
        <v>0.063</v>
      </c>
      <c r="BO92" s="76">
        <v>0.1439</v>
      </c>
      <c r="BP92" s="76">
        <v>0.0053</v>
      </c>
      <c r="BQ92" s="76">
        <v>0.1386</v>
      </c>
      <c r="BR92" s="76">
        <v>0.0774</v>
      </c>
      <c r="BS92" s="76">
        <v>0.198</v>
      </c>
      <c r="BT92" s="76">
        <v>0.0038</v>
      </c>
      <c r="BU92" s="76">
        <v>0.1942</v>
      </c>
      <c r="BV92" s="76">
        <v>0.0858</v>
      </c>
      <c r="BW92" s="76">
        <v>0.1107</v>
      </c>
      <c r="BX92" s="76">
        <v>0.0038</v>
      </c>
      <c r="BY92" s="76">
        <v>0.1069</v>
      </c>
      <c r="BZ92" s="76">
        <v>0.0449</v>
      </c>
      <c r="CA92" s="76">
        <v>0.1495</v>
      </c>
      <c r="CB92" s="76">
        <v>0.003</v>
      </c>
      <c r="CC92" s="76">
        <v>0.1464</v>
      </c>
      <c r="CD92" s="76">
        <v>0.0183</v>
      </c>
      <c r="CE92" s="76">
        <v>0.2404</v>
      </c>
      <c r="CF92" s="76">
        <v>0.003</v>
      </c>
      <c r="CG92" s="76">
        <v>0.2373</v>
      </c>
      <c r="CH92" s="76">
        <v>0.0556</v>
      </c>
      <c r="CI92" s="76">
        <v>0.1952</v>
      </c>
      <c r="CJ92" s="76">
        <v>0.0053</v>
      </c>
      <c r="CK92" s="76">
        <v>0.1898</v>
      </c>
      <c r="CL92" s="76">
        <v>0.0416</v>
      </c>
      <c r="CM92" s="76">
        <v>5.9</v>
      </c>
      <c r="CN92" s="76">
        <v>7.92</v>
      </c>
      <c r="CO92" s="76">
        <v>74.5</v>
      </c>
      <c r="CP92" s="76">
        <v>1.72</v>
      </c>
      <c r="CQ92" s="76">
        <v>0.22</v>
      </c>
      <c r="CR92" s="76">
        <v>0.99</v>
      </c>
      <c r="CS92" s="76">
        <v>2.97</v>
      </c>
      <c r="CT92" s="76">
        <v>0.0</v>
      </c>
      <c r="CU92" s="76">
        <v>742.0</v>
      </c>
      <c r="CV92" s="76">
        <v>0.01</v>
      </c>
      <c r="CW92" s="76">
        <v>21.01</v>
      </c>
      <c r="CX92" s="76">
        <v>0.03</v>
      </c>
      <c r="CY92" s="76">
        <v>0.24</v>
      </c>
    </row>
    <row r="93" ht="15.75" customHeight="1">
      <c r="A93" s="164">
        <v>46237.0</v>
      </c>
      <c r="B93" s="76" t="s">
        <v>5</v>
      </c>
      <c r="C93" s="76" t="s">
        <v>147</v>
      </c>
      <c r="D93" s="76">
        <v>7159.0</v>
      </c>
      <c r="E93" s="76">
        <v>28.42</v>
      </c>
      <c r="F93" s="76">
        <v>110.18</v>
      </c>
      <c r="G93" s="76">
        <v>0.0154</v>
      </c>
      <c r="H93" s="76">
        <v>0.73</v>
      </c>
      <c r="I93" s="76">
        <v>2.1188</v>
      </c>
      <c r="J93" s="76">
        <v>22.29</v>
      </c>
      <c r="K93" s="76">
        <v>11.44</v>
      </c>
      <c r="L93" s="76">
        <v>5.48</v>
      </c>
      <c r="M93" s="76">
        <v>0.479</v>
      </c>
      <c r="N93" s="76">
        <v>0.6283</v>
      </c>
      <c r="O93" s="76">
        <v>0.3781</v>
      </c>
      <c r="P93" s="76">
        <v>2.0879</v>
      </c>
      <c r="Q93" s="76">
        <v>56.12</v>
      </c>
      <c r="R93" s="76">
        <v>52.97</v>
      </c>
      <c r="S93" s="76">
        <v>3.16</v>
      </c>
      <c r="T93" s="76">
        <v>1.31</v>
      </c>
      <c r="U93" s="76">
        <v>54.81</v>
      </c>
      <c r="V93" s="76">
        <v>45.28</v>
      </c>
      <c r="W93" s="76">
        <v>3.9587</v>
      </c>
      <c r="X93" s="76">
        <v>2.34</v>
      </c>
      <c r="Y93" s="76">
        <v>202.0</v>
      </c>
      <c r="Z93" s="76">
        <v>329.0</v>
      </c>
      <c r="AA93" s="76">
        <v>1204.0</v>
      </c>
      <c r="AB93" s="76">
        <v>49.7402</v>
      </c>
      <c r="AC93" s="76">
        <v>0.6032</v>
      </c>
      <c r="AD93" s="76">
        <v>4.2</v>
      </c>
      <c r="AE93" s="76">
        <v>2.0</v>
      </c>
      <c r="AF93" s="76">
        <v>3.0</v>
      </c>
      <c r="AG93" s="76">
        <v>6.0</v>
      </c>
      <c r="AH93" s="76">
        <v>9.0</v>
      </c>
      <c r="AI93" s="76">
        <v>76.38</v>
      </c>
      <c r="AJ93" s="76">
        <v>35.97</v>
      </c>
      <c r="AK93" s="76">
        <v>7.08</v>
      </c>
      <c r="AL93" s="76">
        <v>0.4907</v>
      </c>
      <c r="AM93" s="76">
        <v>36.82</v>
      </c>
      <c r="AN93" s="76">
        <v>36.82</v>
      </c>
      <c r="AO93" s="76">
        <v>18.12</v>
      </c>
      <c r="AP93" s="76">
        <v>5.87</v>
      </c>
      <c r="AQ93" s="76">
        <v>4.099</v>
      </c>
      <c r="AR93" s="76">
        <v>0.025</v>
      </c>
      <c r="AS93" s="76">
        <v>4.074</v>
      </c>
      <c r="AT93" s="76">
        <v>2.7895</v>
      </c>
      <c r="AU93" s="76">
        <v>0.2439</v>
      </c>
      <c r="AV93" s="76">
        <v>7159.0</v>
      </c>
      <c r="AW93" s="76">
        <v>0.0</v>
      </c>
      <c r="AX93" s="76">
        <v>17.73</v>
      </c>
      <c r="AY93" s="76">
        <v>34.67</v>
      </c>
      <c r="AZ93" s="76">
        <v>1.99</v>
      </c>
      <c r="BA93" s="76">
        <v>1.31</v>
      </c>
      <c r="BB93" s="76">
        <v>0.42</v>
      </c>
      <c r="BC93" s="76">
        <v>17.0</v>
      </c>
      <c r="BD93" s="76">
        <v>18019.0</v>
      </c>
      <c r="BE93" s="76">
        <v>2.5276</v>
      </c>
      <c r="BF93" s="76">
        <v>0.0138</v>
      </c>
      <c r="BG93" s="76">
        <v>2.5138</v>
      </c>
      <c r="BH93" s="76">
        <v>1.5783</v>
      </c>
      <c r="BI93" s="76">
        <v>0.138</v>
      </c>
      <c r="BJ93" s="76">
        <v>1.5714</v>
      </c>
      <c r="BK93" s="76">
        <v>0.0112</v>
      </c>
      <c r="BL93" s="76">
        <v>1.5603</v>
      </c>
      <c r="BM93" s="76">
        <v>1.2112</v>
      </c>
      <c r="BN93" s="76">
        <v>0.1059</v>
      </c>
      <c r="BO93" s="76">
        <v>1.2464</v>
      </c>
      <c r="BP93" s="76">
        <v>0.0073</v>
      </c>
      <c r="BQ93" s="76">
        <v>1.2391</v>
      </c>
      <c r="BR93" s="76">
        <v>0.7279</v>
      </c>
      <c r="BS93" s="76">
        <v>0.9297</v>
      </c>
      <c r="BT93" s="76">
        <v>0.0018</v>
      </c>
      <c r="BU93" s="76">
        <v>0.9279</v>
      </c>
      <c r="BV93" s="76">
        <v>0.5684</v>
      </c>
      <c r="BW93" s="76">
        <v>0.3514</v>
      </c>
      <c r="BX93" s="76">
        <v>0.0047</v>
      </c>
      <c r="BY93" s="76">
        <v>0.3467</v>
      </c>
      <c r="BZ93" s="76">
        <v>0.282</v>
      </c>
      <c r="CA93" s="76">
        <v>0.3343</v>
      </c>
      <c r="CB93" s="76">
        <v>0.0022</v>
      </c>
      <c r="CC93" s="76">
        <v>0.332</v>
      </c>
      <c r="CD93" s="76">
        <v>0.2478</v>
      </c>
      <c r="CE93" s="76">
        <v>0.7898</v>
      </c>
      <c r="CF93" s="76">
        <v>0.0049</v>
      </c>
      <c r="CG93" s="76">
        <v>0.7849</v>
      </c>
      <c r="CH93" s="76">
        <v>0.5719</v>
      </c>
      <c r="CI93" s="76">
        <v>0.4474</v>
      </c>
      <c r="CJ93" s="76">
        <v>0.0041</v>
      </c>
      <c r="CK93" s="76">
        <v>0.4434</v>
      </c>
      <c r="CL93" s="76">
        <v>0.3915</v>
      </c>
      <c r="CM93" s="76">
        <v>73.29</v>
      </c>
      <c r="CN93" s="76">
        <v>69.65</v>
      </c>
      <c r="CO93" s="76">
        <v>105.23</v>
      </c>
      <c r="CP93" s="76">
        <v>58.76</v>
      </c>
      <c r="CQ93" s="76">
        <v>9.01</v>
      </c>
      <c r="CR93" s="76">
        <v>2.74</v>
      </c>
      <c r="CS93" s="76">
        <v>2.78</v>
      </c>
      <c r="CT93" s="76">
        <v>0.0</v>
      </c>
      <c r="CU93" s="76">
        <v>2052.0</v>
      </c>
      <c r="CV93" s="76">
        <v>0.96</v>
      </c>
      <c r="CW93" s="76">
        <v>57.09</v>
      </c>
      <c r="CX93" s="76">
        <v>0.76</v>
      </c>
      <c r="CY93" s="76">
        <v>9.77</v>
      </c>
    </row>
    <row r="94" ht="15.75" customHeight="1">
      <c r="A94" s="164">
        <v>46237.0</v>
      </c>
      <c r="B94" s="76" t="s">
        <v>5</v>
      </c>
      <c r="C94" s="76" t="s">
        <v>148</v>
      </c>
      <c r="D94" s="76">
        <v>5828.0</v>
      </c>
      <c r="E94" s="76">
        <v>23.13</v>
      </c>
      <c r="F94" s="76">
        <v>429.17</v>
      </c>
      <c r="G94" s="76">
        <v>0.0736</v>
      </c>
      <c r="H94" s="76">
        <v>2.26</v>
      </c>
      <c r="I94" s="76">
        <v>3.2513</v>
      </c>
      <c r="J94" s="76">
        <v>44.47</v>
      </c>
      <c r="K94" s="76">
        <v>23.76</v>
      </c>
      <c r="L94" s="76">
        <v>14.24</v>
      </c>
      <c r="M94" s="76">
        <v>0.5994</v>
      </c>
      <c r="N94" s="76">
        <v>0.5267</v>
      </c>
      <c r="O94" s="76">
        <v>0.3219</v>
      </c>
      <c r="P94" s="76">
        <v>1.6684</v>
      </c>
      <c r="Q94" s="76">
        <v>115.57</v>
      </c>
      <c r="R94" s="76">
        <v>106.9</v>
      </c>
      <c r="S94" s="76">
        <v>8.67</v>
      </c>
      <c r="T94" s="76">
        <v>6.25</v>
      </c>
      <c r="U94" s="76">
        <v>109.31</v>
      </c>
      <c r="V94" s="76">
        <v>95.13</v>
      </c>
      <c r="W94" s="76">
        <v>4.0029</v>
      </c>
      <c r="X94" s="76">
        <v>5.41</v>
      </c>
      <c r="Y94" s="76">
        <v>225.0</v>
      </c>
      <c r="Z94" s="76">
        <v>372.0</v>
      </c>
      <c r="AA94" s="76">
        <v>1064.0</v>
      </c>
      <c r="AB94" s="76">
        <v>51.4953</v>
      </c>
      <c r="AC94" s="76">
        <v>0.6663</v>
      </c>
      <c r="AD94" s="76">
        <v>9.85</v>
      </c>
      <c r="AE94" s="76">
        <v>4.0</v>
      </c>
      <c r="AF94" s="76">
        <v>9.0</v>
      </c>
      <c r="AG94" s="76">
        <v>13.0</v>
      </c>
      <c r="AH94" s="76">
        <v>19.0</v>
      </c>
      <c r="AI94" s="76">
        <v>67.9</v>
      </c>
      <c r="AJ94" s="76">
        <v>28.83</v>
      </c>
      <c r="AK94" s="76">
        <v>3.69</v>
      </c>
      <c r="AL94" s="76">
        <v>0.333</v>
      </c>
      <c r="AM94" s="76">
        <v>42.57</v>
      </c>
      <c r="AN94" s="76">
        <v>42.57</v>
      </c>
      <c r="AO94" s="76">
        <v>25.82</v>
      </c>
      <c r="AP94" s="76">
        <v>11.94</v>
      </c>
      <c r="AQ94" s="76">
        <v>8.1232</v>
      </c>
      <c r="AR94" s="76">
        <v>0.1021</v>
      </c>
      <c r="AS94" s="76">
        <v>8.0211</v>
      </c>
      <c r="AT94" s="76">
        <v>5.5643</v>
      </c>
      <c r="AU94" s="76">
        <v>0.2341</v>
      </c>
      <c r="AV94" s="76">
        <v>5828.0</v>
      </c>
      <c r="AW94" s="76">
        <v>0.0</v>
      </c>
      <c r="AX94" s="76">
        <v>37.28</v>
      </c>
      <c r="AY94" s="76">
        <v>67.97</v>
      </c>
      <c r="AZ94" s="76">
        <v>2.7</v>
      </c>
      <c r="BA94" s="76">
        <v>6.25</v>
      </c>
      <c r="BB94" s="76">
        <v>1.36</v>
      </c>
      <c r="BC94" s="76">
        <v>35.0</v>
      </c>
      <c r="BD94" s="76">
        <v>18686.0</v>
      </c>
      <c r="BE94" s="76">
        <v>4.6265</v>
      </c>
      <c r="BF94" s="76">
        <v>0.0587</v>
      </c>
      <c r="BG94" s="76">
        <v>4.5678</v>
      </c>
      <c r="BH94" s="76">
        <v>2.9679</v>
      </c>
      <c r="BI94" s="76">
        <v>0.1249</v>
      </c>
      <c r="BJ94" s="76">
        <v>3.4967</v>
      </c>
      <c r="BK94" s="76">
        <v>0.0434</v>
      </c>
      <c r="BL94" s="76">
        <v>3.4533</v>
      </c>
      <c r="BM94" s="76">
        <v>2.5964</v>
      </c>
      <c r="BN94" s="76">
        <v>0.1093</v>
      </c>
      <c r="BO94" s="76">
        <v>2.0153</v>
      </c>
      <c r="BP94" s="76">
        <v>0.0201</v>
      </c>
      <c r="BQ94" s="76">
        <v>1.9952</v>
      </c>
      <c r="BR94" s="76">
        <v>1.2603</v>
      </c>
      <c r="BS94" s="76">
        <v>1.8856</v>
      </c>
      <c r="BT94" s="76">
        <v>0.017</v>
      </c>
      <c r="BU94" s="76">
        <v>1.8686</v>
      </c>
      <c r="BV94" s="76">
        <v>1.1366</v>
      </c>
      <c r="BW94" s="76">
        <v>0.7256</v>
      </c>
      <c r="BX94" s="76">
        <v>0.0216</v>
      </c>
      <c r="BY94" s="76">
        <v>0.704</v>
      </c>
      <c r="BZ94" s="76">
        <v>0.571</v>
      </c>
      <c r="CA94" s="76">
        <v>0.6146</v>
      </c>
      <c r="CB94" s="76">
        <v>0.0091</v>
      </c>
      <c r="CC94" s="76">
        <v>0.6055</v>
      </c>
      <c r="CD94" s="76">
        <v>0.5304</v>
      </c>
      <c r="CE94" s="76">
        <v>1.8706</v>
      </c>
      <c r="CF94" s="76">
        <v>0.0177</v>
      </c>
      <c r="CG94" s="76">
        <v>1.853</v>
      </c>
      <c r="CH94" s="76">
        <v>1.2371</v>
      </c>
      <c r="CI94" s="76">
        <v>1.0115</v>
      </c>
      <c r="CJ94" s="76">
        <v>0.0166</v>
      </c>
      <c r="CK94" s="76">
        <v>0.9949</v>
      </c>
      <c r="CL94" s="76">
        <v>0.8289</v>
      </c>
      <c r="CM94" s="76">
        <v>194.22</v>
      </c>
      <c r="CN94" s="76">
        <v>85.11</v>
      </c>
      <c r="CO94" s="76">
        <v>228.21</v>
      </c>
      <c r="CP94" s="76">
        <v>148.54</v>
      </c>
      <c r="CQ94" s="76">
        <v>31.39</v>
      </c>
      <c r="CR94" s="76">
        <v>3.35</v>
      </c>
      <c r="CS94" s="76">
        <v>10.95</v>
      </c>
      <c r="CT94" s="76">
        <v>0.0</v>
      </c>
      <c r="CU94" s="76">
        <v>2341.0</v>
      </c>
      <c r="CV94" s="76">
        <v>2.23</v>
      </c>
      <c r="CW94" s="76">
        <v>117.8</v>
      </c>
      <c r="CX94" s="76">
        <v>2.95</v>
      </c>
      <c r="CY94" s="76">
        <v>34.34</v>
      </c>
    </row>
    <row r="95" ht="15.75" customHeight="1">
      <c r="A95" s="164">
        <v>46237.0</v>
      </c>
      <c r="B95" s="76" t="s">
        <v>5</v>
      </c>
      <c r="C95" s="76" t="s">
        <v>149</v>
      </c>
      <c r="D95" s="76">
        <v>4851.0</v>
      </c>
      <c r="E95" s="76">
        <v>19.26</v>
      </c>
      <c r="F95" s="76">
        <v>514.61</v>
      </c>
      <c r="G95" s="76">
        <v>0.1061</v>
      </c>
      <c r="H95" s="76">
        <v>2.74</v>
      </c>
      <c r="I95" s="76">
        <v>3.8692</v>
      </c>
      <c r="J95" s="76">
        <v>70.46</v>
      </c>
      <c r="K95" s="76">
        <v>39.74</v>
      </c>
      <c r="L95" s="76">
        <v>27.92</v>
      </c>
      <c r="M95" s="76">
        <v>0.7025</v>
      </c>
      <c r="N95" s="76">
        <v>0.43</v>
      </c>
      <c r="O95" s="76">
        <v>0.2801</v>
      </c>
      <c r="P95" s="76">
        <v>1.4234</v>
      </c>
      <c r="Q95" s="76">
        <v>191.95</v>
      </c>
      <c r="R95" s="76">
        <v>175.93</v>
      </c>
      <c r="S95" s="76">
        <v>16.02</v>
      </c>
      <c r="T95" s="76">
        <v>10.52</v>
      </c>
      <c r="U95" s="76">
        <v>181.43</v>
      </c>
      <c r="V95" s="76">
        <v>173.35</v>
      </c>
      <c r="W95" s="76">
        <v>4.3624</v>
      </c>
      <c r="X95" s="76">
        <v>5.48</v>
      </c>
      <c r="Y95" s="76">
        <v>273.0</v>
      </c>
      <c r="Z95" s="76">
        <v>459.0</v>
      </c>
      <c r="AA95" s="76">
        <v>1111.0</v>
      </c>
      <c r="AB95" s="76">
        <v>53.3101</v>
      </c>
      <c r="AC95" s="76">
        <v>0.7201</v>
      </c>
      <c r="AD95" s="76">
        <v>17.17</v>
      </c>
      <c r="AE95" s="76">
        <v>8.0</v>
      </c>
      <c r="AF95" s="76">
        <v>14.0</v>
      </c>
      <c r="AG95" s="76">
        <v>24.0</v>
      </c>
      <c r="AH95" s="76">
        <v>35.0</v>
      </c>
      <c r="AI95" s="76">
        <v>61.41</v>
      </c>
      <c r="AJ95" s="76">
        <v>22.06</v>
      </c>
      <c r="AK95" s="76">
        <v>4.64</v>
      </c>
      <c r="AL95" s="76">
        <v>0.2711</v>
      </c>
      <c r="AM95" s="76">
        <v>45.31</v>
      </c>
      <c r="AN95" s="76">
        <v>45.31</v>
      </c>
      <c r="AO95" s="76">
        <v>24.57</v>
      </c>
      <c r="AP95" s="76">
        <v>13.23</v>
      </c>
      <c r="AQ95" s="76">
        <v>12.3869</v>
      </c>
      <c r="AR95" s="76">
        <v>0.256</v>
      </c>
      <c r="AS95" s="76">
        <v>12.1309</v>
      </c>
      <c r="AT95" s="76">
        <v>8.6718</v>
      </c>
      <c r="AU95" s="76">
        <v>0.2182</v>
      </c>
      <c r="AV95" s="76">
        <v>4851.0</v>
      </c>
      <c r="AW95" s="76">
        <v>0.0</v>
      </c>
      <c r="AX95" s="76">
        <v>64.33</v>
      </c>
      <c r="AY95" s="76">
        <v>111.62</v>
      </c>
      <c r="AZ95" s="76">
        <v>3.32</v>
      </c>
      <c r="BA95" s="76">
        <v>10.52</v>
      </c>
      <c r="BB95" s="76">
        <v>2.15</v>
      </c>
      <c r="BC95" s="76">
        <v>60.0</v>
      </c>
      <c r="BD95" s="76">
        <v>17830.0</v>
      </c>
      <c r="BE95" s="76">
        <v>6.6885</v>
      </c>
      <c r="BF95" s="76">
        <v>0.188</v>
      </c>
      <c r="BG95" s="76">
        <v>6.5005</v>
      </c>
      <c r="BH95" s="76">
        <v>4.1255</v>
      </c>
      <c r="BI95" s="76">
        <v>0.1038</v>
      </c>
      <c r="BJ95" s="76">
        <v>5.6984</v>
      </c>
      <c r="BK95" s="76">
        <v>0.068</v>
      </c>
      <c r="BL95" s="76">
        <v>5.6304</v>
      </c>
      <c r="BM95" s="76">
        <v>4.5463</v>
      </c>
      <c r="BN95" s="76">
        <v>0.1144</v>
      </c>
      <c r="BO95" s="76">
        <v>2.7153</v>
      </c>
      <c r="BP95" s="76">
        <v>0.0598</v>
      </c>
      <c r="BQ95" s="76">
        <v>2.6555</v>
      </c>
      <c r="BR95" s="76">
        <v>1.63</v>
      </c>
      <c r="BS95" s="76">
        <v>2.6778</v>
      </c>
      <c r="BT95" s="76">
        <v>0.0623</v>
      </c>
      <c r="BU95" s="76">
        <v>2.6155</v>
      </c>
      <c r="BV95" s="76">
        <v>1.5964</v>
      </c>
      <c r="BW95" s="76">
        <v>1.2954</v>
      </c>
      <c r="BX95" s="76">
        <v>0.066</v>
      </c>
      <c r="BY95" s="76">
        <v>1.2294</v>
      </c>
      <c r="BZ95" s="76">
        <v>0.8992</v>
      </c>
      <c r="CA95" s="76">
        <v>1.054</v>
      </c>
      <c r="CB95" s="76">
        <v>0.0144</v>
      </c>
      <c r="CC95" s="76">
        <v>1.0396</v>
      </c>
      <c r="CD95" s="76">
        <v>1.0254</v>
      </c>
      <c r="CE95" s="76">
        <v>2.8518</v>
      </c>
      <c r="CF95" s="76">
        <v>0.028</v>
      </c>
      <c r="CG95" s="76">
        <v>2.8237</v>
      </c>
      <c r="CH95" s="76">
        <v>2.0037</v>
      </c>
      <c r="CI95" s="76">
        <v>1.7926</v>
      </c>
      <c r="CJ95" s="76">
        <v>0.0256</v>
      </c>
      <c r="CK95" s="76">
        <v>1.7671</v>
      </c>
      <c r="CL95" s="76">
        <v>1.5172</v>
      </c>
      <c r="CM95" s="76">
        <v>376.96</v>
      </c>
      <c r="CN95" s="76">
        <v>94.04</v>
      </c>
      <c r="CO95" s="76">
        <v>400.84</v>
      </c>
      <c r="CP95" s="76">
        <v>284.4</v>
      </c>
      <c r="CQ95" s="76">
        <v>64.29</v>
      </c>
      <c r="CR95" s="76">
        <v>4.28</v>
      </c>
      <c r="CS95" s="76">
        <v>23.99</v>
      </c>
      <c r="CT95" s="76">
        <v>0.0</v>
      </c>
      <c r="CU95" s="76">
        <v>2441.0</v>
      </c>
      <c r="CV95" s="76">
        <v>3.62</v>
      </c>
      <c r="CW95" s="76">
        <v>195.57</v>
      </c>
      <c r="CX95" s="76">
        <v>5.89</v>
      </c>
      <c r="CY95" s="76">
        <v>70.18</v>
      </c>
    </row>
    <row r="96" ht="15.75" customHeight="1">
      <c r="A96" s="164">
        <v>46237.0</v>
      </c>
      <c r="B96" s="76" t="s">
        <v>5</v>
      </c>
      <c r="C96" s="76" t="s">
        <v>150</v>
      </c>
      <c r="D96" s="76">
        <v>3004.0</v>
      </c>
      <c r="E96" s="76">
        <v>11.92</v>
      </c>
      <c r="F96" s="76">
        <v>551.21</v>
      </c>
      <c r="G96" s="76">
        <v>0.1835</v>
      </c>
      <c r="H96" s="76">
        <v>3.7</v>
      </c>
      <c r="I96" s="76">
        <v>4.9659</v>
      </c>
      <c r="J96" s="76">
        <v>127.53</v>
      </c>
      <c r="K96" s="76">
        <v>77.68</v>
      </c>
      <c r="L96" s="76">
        <v>57.72</v>
      </c>
      <c r="M96" s="76">
        <v>0.7431</v>
      </c>
      <c r="N96" s="76">
        <v>0.373</v>
      </c>
      <c r="O96" s="76">
        <v>0.2469</v>
      </c>
      <c r="P96" s="76">
        <v>1.3457</v>
      </c>
      <c r="Q96" s="76">
        <v>345.88</v>
      </c>
      <c r="R96" s="76">
        <v>315.31</v>
      </c>
      <c r="S96" s="76">
        <v>30.57</v>
      </c>
      <c r="T96" s="76">
        <v>16.38</v>
      </c>
      <c r="U96" s="76">
        <v>329.51</v>
      </c>
      <c r="V96" s="76">
        <v>307.91</v>
      </c>
      <c r="W96" s="76">
        <v>3.964</v>
      </c>
      <c r="X96" s="76">
        <v>4.74</v>
      </c>
      <c r="Y96" s="76">
        <v>343.0</v>
      </c>
      <c r="Z96" s="76">
        <v>615.0</v>
      </c>
      <c r="AA96" s="76">
        <v>1369.0</v>
      </c>
      <c r="AB96" s="76">
        <v>55.4744</v>
      </c>
      <c r="AC96" s="76">
        <v>0.7125</v>
      </c>
      <c r="AD96" s="76">
        <v>28.91</v>
      </c>
      <c r="AE96" s="76">
        <v>11.0</v>
      </c>
      <c r="AF96" s="76">
        <v>22.0</v>
      </c>
      <c r="AG96" s="76">
        <v>40.0</v>
      </c>
      <c r="AH96" s="76">
        <v>60.0</v>
      </c>
      <c r="AI96" s="76">
        <v>41.01</v>
      </c>
      <c r="AJ96" s="76">
        <v>10.15</v>
      </c>
      <c r="AK96" s="76">
        <v>1.9</v>
      </c>
      <c r="AL96" s="76">
        <v>0.1674</v>
      </c>
      <c r="AM96" s="76">
        <v>47.74</v>
      </c>
      <c r="AN96" s="76">
        <v>47.74</v>
      </c>
      <c r="AO96" s="76">
        <v>28.7</v>
      </c>
      <c r="AP96" s="76">
        <v>16.48</v>
      </c>
      <c r="AQ96" s="76">
        <v>19.5306</v>
      </c>
      <c r="AR96" s="76">
        <v>0.1864</v>
      </c>
      <c r="AS96" s="76">
        <v>19.3442</v>
      </c>
      <c r="AT96" s="76">
        <v>14.1901</v>
      </c>
      <c r="AU96" s="76">
        <v>0.1827</v>
      </c>
      <c r="AV96" s="76">
        <v>3004.0</v>
      </c>
      <c r="AW96" s="76">
        <v>0.0</v>
      </c>
      <c r="AX96" s="76">
        <v>119.52</v>
      </c>
      <c r="AY96" s="76">
        <v>201.09</v>
      </c>
      <c r="AZ96" s="76">
        <v>4.35</v>
      </c>
      <c r="BA96" s="76">
        <v>16.38</v>
      </c>
      <c r="BB96" s="76">
        <v>4.54</v>
      </c>
      <c r="BC96" s="76">
        <v>111.0</v>
      </c>
      <c r="BD96" s="76">
        <v>16494.0</v>
      </c>
      <c r="BE96" s="76">
        <v>9.8535</v>
      </c>
      <c r="BF96" s="76">
        <v>0.0709</v>
      </c>
      <c r="BG96" s="76">
        <v>9.7826</v>
      </c>
      <c r="BH96" s="76">
        <v>6.5819</v>
      </c>
      <c r="BI96" s="76">
        <v>0.0847</v>
      </c>
      <c r="BJ96" s="76">
        <v>9.6771</v>
      </c>
      <c r="BK96" s="76">
        <v>0.1155</v>
      </c>
      <c r="BL96" s="76">
        <v>9.5616</v>
      </c>
      <c r="BM96" s="76">
        <v>7.6082</v>
      </c>
      <c r="BN96" s="76">
        <v>0.0979</v>
      </c>
      <c r="BO96" s="76">
        <v>3.6568</v>
      </c>
      <c r="BP96" s="76">
        <v>0.023</v>
      </c>
      <c r="BQ96" s="76">
        <v>3.6338</v>
      </c>
      <c r="BR96" s="76">
        <v>2.4527</v>
      </c>
      <c r="BS96" s="76">
        <v>3.8439</v>
      </c>
      <c r="BT96" s="76">
        <v>0.024</v>
      </c>
      <c r="BU96" s="76">
        <v>3.8199</v>
      </c>
      <c r="BV96" s="76">
        <v>2.4744</v>
      </c>
      <c r="BW96" s="76">
        <v>2.3529</v>
      </c>
      <c r="BX96" s="76">
        <v>0.024</v>
      </c>
      <c r="BY96" s="76">
        <v>2.3289</v>
      </c>
      <c r="BZ96" s="76">
        <v>1.6548</v>
      </c>
      <c r="CA96" s="76">
        <v>2.0336</v>
      </c>
      <c r="CB96" s="76">
        <v>0.0286</v>
      </c>
      <c r="CC96" s="76">
        <v>2.005</v>
      </c>
      <c r="CD96" s="76">
        <v>1.7763</v>
      </c>
      <c r="CE96" s="76">
        <v>4.4304</v>
      </c>
      <c r="CF96" s="76">
        <v>0.0449</v>
      </c>
      <c r="CG96" s="76">
        <v>4.3855</v>
      </c>
      <c r="CH96" s="76">
        <v>3.1871</v>
      </c>
      <c r="CI96" s="76">
        <v>3.213</v>
      </c>
      <c r="CJ96" s="76">
        <v>0.0419</v>
      </c>
      <c r="CK96" s="76">
        <v>3.1711</v>
      </c>
      <c r="CL96" s="76">
        <v>2.6448</v>
      </c>
      <c r="CM96" s="76">
        <v>760.36</v>
      </c>
      <c r="CN96" s="76">
        <v>98.97</v>
      </c>
      <c r="CO96" s="76">
        <v>768.29</v>
      </c>
      <c r="CP96" s="76">
        <v>579.77</v>
      </c>
      <c r="CQ96" s="76">
        <v>125.95</v>
      </c>
      <c r="CR96" s="76">
        <v>6.02</v>
      </c>
      <c r="CS96" s="76">
        <v>48.63</v>
      </c>
      <c r="CT96" s="76">
        <v>0.0</v>
      </c>
      <c r="CU96" s="76">
        <v>1701.0</v>
      </c>
      <c r="CV96" s="76">
        <v>5.57</v>
      </c>
      <c r="CW96" s="76">
        <v>351.46</v>
      </c>
      <c r="CX96" s="76">
        <v>11.94</v>
      </c>
      <c r="CY96" s="76">
        <v>137.89</v>
      </c>
    </row>
    <row r="97" ht="15.75" customHeight="1">
      <c r="A97" s="164">
        <v>46237.0</v>
      </c>
      <c r="B97" s="76" t="s">
        <v>5</v>
      </c>
      <c r="C97" s="76" t="s">
        <v>151</v>
      </c>
      <c r="D97" s="76">
        <v>411.0</v>
      </c>
      <c r="E97" s="76">
        <v>1.63</v>
      </c>
      <c r="F97" s="76">
        <v>73.96</v>
      </c>
      <c r="G97" s="76">
        <v>0.18</v>
      </c>
      <c r="H97" s="76">
        <v>5.11</v>
      </c>
      <c r="I97" s="76">
        <v>3.5219</v>
      </c>
      <c r="J97" s="76">
        <v>241.36</v>
      </c>
      <c r="K97" s="76">
        <v>172.62</v>
      </c>
      <c r="L97" s="76">
        <v>125.95</v>
      </c>
      <c r="M97" s="76">
        <v>0.7296</v>
      </c>
      <c r="N97" s="76">
        <v>0.3085</v>
      </c>
      <c r="O97" s="76">
        <v>0.216</v>
      </c>
      <c r="P97" s="76">
        <v>1.3705</v>
      </c>
      <c r="Q97" s="76">
        <v>622.81</v>
      </c>
      <c r="R97" s="76">
        <v>545.62</v>
      </c>
      <c r="S97" s="76">
        <v>77.19</v>
      </c>
      <c r="T97" s="76">
        <v>19.71</v>
      </c>
      <c r="U97" s="76">
        <v>603.1</v>
      </c>
      <c r="V97" s="76">
        <v>552.92</v>
      </c>
      <c r="W97" s="76">
        <v>3.2032</v>
      </c>
      <c r="X97" s="76">
        <v>3.16</v>
      </c>
      <c r="Y97" s="76">
        <v>442.0</v>
      </c>
      <c r="Z97" s="76">
        <v>850.0</v>
      </c>
      <c r="AA97" s="76">
        <v>1604.0</v>
      </c>
      <c r="AB97" s="76">
        <v>58.8911</v>
      </c>
      <c r="AC97" s="76">
        <v>0.7808</v>
      </c>
      <c r="AD97" s="76">
        <v>52.13</v>
      </c>
      <c r="AE97" s="76">
        <v>20.0</v>
      </c>
      <c r="AF97" s="76">
        <v>36.0</v>
      </c>
      <c r="AG97" s="76">
        <v>65.0</v>
      </c>
      <c r="AH97" s="76">
        <v>115.0</v>
      </c>
      <c r="AI97" s="76">
        <v>20.19</v>
      </c>
      <c r="AJ97" s="76">
        <v>4.38</v>
      </c>
      <c r="AK97" s="76">
        <v>0.49</v>
      </c>
      <c r="AL97" s="76">
        <v>0.0779</v>
      </c>
      <c r="AM97" s="76">
        <v>67.64</v>
      </c>
      <c r="AN97" s="76">
        <v>67.64</v>
      </c>
      <c r="AO97" s="76">
        <v>47.2</v>
      </c>
      <c r="AP97" s="76">
        <v>40.88</v>
      </c>
      <c r="AQ97" s="76">
        <v>33.708</v>
      </c>
      <c r="AR97" s="76">
        <v>0.2433</v>
      </c>
      <c r="AS97" s="76">
        <v>33.4647</v>
      </c>
      <c r="AT97" s="76">
        <v>26.1873</v>
      </c>
      <c r="AU97" s="76">
        <v>0.1517</v>
      </c>
      <c r="AV97" s="76">
        <v>411.0</v>
      </c>
      <c r="AW97" s="76">
        <v>0.0</v>
      </c>
      <c r="AX97" s="76">
        <v>246.63</v>
      </c>
      <c r="AY97" s="76">
        <v>334.98</v>
      </c>
      <c r="AZ97" s="76">
        <v>5.51</v>
      </c>
      <c r="BA97" s="76">
        <v>19.71</v>
      </c>
      <c r="BB97" s="76">
        <v>15.99</v>
      </c>
      <c r="BC97" s="76">
        <v>240.0</v>
      </c>
      <c r="BD97" s="76">
        <v>8756.0</v>
      </c>
      <c r="BE97" s="76">
        <v>16.4672</v>
      </c>
      <c r="BF97" s="76">
        <v>0.073</v>
      </c>
      <c r="BG97" s="76">
        <v>16.3942</v>
      </c>
      <c r="BH97" s="76">
        <v>12.0024</v>
      </c>
      <c r="BI97" s="76">
        <v>0.0695</v>
      </c>
      <c r="BJ97" s="76">
        <v>17.2409</v>
      </c>
      <c r="BK97" s="76">
        <v>0.1703</v>
      </c>
      <c r="BL97" s="76">
        <v>17.0706</v>
      </c>
      <c r="BM97" s="76">
        <v>14.1849</v>
      </c>
      <c r="BN97" s="76">
        <v>0.0822</v>
      </c>
      <c r="BO97" s="76">
        <v>5.7226</v>
      </c>
      <c r="BP97" s="76">
        <v>0.0243</v>
      </c>
      <c r="BQ97" s="76">
        <v>5.6983</v>
      </c>
      <c r="BR97" s="76">
        <v>4.129</v>
      </c>
      <c r="BS97" s="76">
        <v>5.9805</v>
      </c>
      <c r="BT97" s="76">
        <v>0.0243</v>
      </c>
      <c r="BU97" s="76">
        <v>5.9562</v>
      </c>
      <c r="BV97" s="76">
        <v>4.399</v>
      </c>
      <c r="BW97" s="76">
        <v>4.764</v>
      </c>
      <c r="BX97" s="76">
        <v>0.0243</v>
      </c>
      <c r="BY97" s="76">
        <v>4.7397</v>
      </c>
      <c r="BZ97" s="76">
        <v>3.4745</v>
      </c>
      <c r="CA97" s="76">
        <v>3.7567</v>
      </c>
      <c r="CB97" s="76">
        <v>0.0365</v>
      </c>
      <c r="CC97" s="76">
        <v>3.7202</v>
      </c>
      <c r="CD97" s="76">
        <v>3.6107</v>
      </c>
      <c r="CE97" s="76">
        <v>7.4355</v>
      </c>
      <c r="CF97" s="76">
        <v>0.0852</v>
      </c>
      <c r="CG97" s="76">
        <v>7.3504</v>
      </c>
      <c r="CH97" s="76">
        <v>5.6667</v>
      </c>
      <c r="CI97" s="76">
        <v>6.0487</v>
      </c>
      <c r="CJ97" s="76">
        <v>0.0487</v>
      </c>
      <c r="CK97" s="76">
        <v>6.0</v>
      </c>
      <c r="CL97" s="76">
        <v>4.9075</v>
      </c>
      <c r="CM97" s="76">
        <v>1563.54</v>
      </c>
      <c r="CN97" s="76">
        <v>98.78</v>
      </c>
      <c r="CO97" s="76">
        <v>1582.8</v>
      </c>
      <c r="CP97" s="76">
        <v>1215.25</v>
      </c>
      <c r="CQ97" s="76">
        <v>248.81</v>
      </c>
      <c r="CR97" s="76">
        <v>8.95</v>
      </c>
      <c r="CS97" s="76">
        <v>90.52</v>
      </c>
      <c r="CT97" s="76">
        <v>0.0</v>
      </c>
      <c r="CU97" s="76">
        <v>264.0</v>
      </c>
      <c r="CV97" s="76">
        <v>11.85</v>
      </c>
      <c r="CW97" s="76">
        <v>634.66</v>
      </c>
      <c r="CX97" s="76">
        <v>28.81</v>
      </c>
      <c r="CY97" s="76">
        <v>277.63</v>
      </c>
    </row>
    <row r="98" ht="15.75" customHeight="1">
      <c r="A98" s="164">
        <v>46238.0</v>
      </c>
      <c r="B98" s="76" t="s">
        <v>4</v>
      </c>
      <c r="C98" s="76" t="s">
        <v>316</v>
      </c>
      <c r="D98" s="76">
        <v>4448.0</v>
      </c>
      <c r="E98" s="76">
        <v>17.26</v>
      </c>
      <c r="F98" s="76">
        <v>236.49</v>
      </c>
      <c r="G98" s="76">
        <v>0.0532</v>
      </c>
      <c r="H98" s="76">
        <v>0.63</v>
      </c>
      <c r="I98" s="76">
        <v>8.4461</v>
      </c>
      <c r="J98" s="76">
        <v>14.77</v>
      </c>
      <c r="K98" s="76">
        <v>8.13</v>
      </c>
      <c r="L98" s="76">
        <v>5.45</v>
      </c>
      <c r="M98" s="76">
        <v>0.6695</v>
      </c>
      <c r="N98" s="76">
        <v>0.4334</v>
      </c>
      <c r="O98" s="76">
        <v>0.2118</v>
      </c>
      <c r="P98" s="76">
        <v>1.4937</v>
      </c>
      <c r="Q98" s="76">
        <v>43.87</v>
      </c>
      <c r="R98" s="76">
        <v>43.72</v>
      </c>
      <c r="S98" s="76">
        <v>0.15</v>
      </c>
      <c r="T98" s="76">
        <v>4.44</v>
      </c>
      <c r="U98" s="76">
        <v>39.43</v>
      </c>
      <c r="V98" s="76">
        <v>25.8</v>
      </c>
      <c r="W98" s="76">
        <v>3.1716</v>
      </c>
      <c r="X98" s="76">
        <v>10.12</v>
      </c>
      <c r="Y98" s="76">
        <v>202.0</v>
      </c>
      <c r="Z98" s="76">
        <v>485.0</v>
      </c>
      <c r="AA98" s="76">
        <v>3102.0</v>
      </c>
      <c r="AB98" s="76">
        <v>49.5645</v>
      </c>
      <c r="AC98" s="76">
        <v>0.5305</v>
      </c>
      <c r="AI98" s="76">
        <v>0.0</v>
      </c>
      <c r="AJ98" s="76">
        <v>0.0</v>
      </c>
      <c r="AK98" s="76">
        <v>0.0</v>
      </c>
      <c r="AL98" s="76">
        <v>0.5461</v>
      </c>
      <c r="AQ98" s="76">
        <v>1.2273</v>
      </c>
      <c r="AR98" s="76">
        <v>0.0434</v>
      </c>
      <c r="AS98" s="76">
        <v>1.1839</v>
      </c>
      <c r="AT98" s="76">
        <v>0.942</v>
      </c>
      <c r="AU98" s="76">
        <v>0.1158</v>
      </c>
      <c r="AV98" s="76">
        <v>4448.0</v>
      </c>
      <c r="AW98" s="76">
        <v>0.0</v>
      </c>
      <c r="AX98" s="76">
        <v>10.87</v>
      </c>
      <c r="AY98" s="76">
        <v>26.44</v>
      </c>
      <c r="AZ98" s="76">
        <v>1.86</v>
      </c>
      <c r="BA98" s="76">
        <v>4.44</v>
      </c>
      <c r="BB98" s="76">
        <v>0.25</v>
      </c>
      <c r="BD98" s="76">
        <v>28304.0</v>
      </c>
      <c r="BE98" s="76">
        <v>0.3849</v>
      </c>
      <c r="BF98" s="76">
        <v>0.0142</v>
      </c>
      <c r="BG98" s="76">
        <v>0.3707</v>
      </c>
      <c r="BH98" s="76">
        <v>0.4161</v>
      </c>
      <c r="BI98" s="76">
        <v>0.0512</v>
      </c>
      <c r="BJ98" s="76">
        <v>0.8424</v>
      </c>
      <c r="BK98" s="76">
        <v>0.0292</v>
      </c>
      <c r="BL98" s="76">
        <v>0.8132</v>
      </c>
      <c r="BM98" s="76">
        <v>0.5259</v>
      </c>
      <c r="BN98" s="76">
        <v>0.0646</v>
      </c>
      <c r="BO98" s="76">
        <v>0.1284</v>
      </c>
      <c r="BP98" s="76">
        <v>0.0056</v>
      </c>
      <c r="BQ98" s="76">
        <v>0.1228</v>
      </c>
      <c r="BR98" s="76">
        <v>0.1556</v>
      </c>
      <c r="BS98" s="76">
        <v>0.1405</v>
      </c>
      <c r="BT98" s="76">
        <v>0.0043</v>
      </c>
      <c r="BU98" s="76">
        <v>0.1362</v>
      </c>
      <c r="BV98" s="76">
        <v>0.1589</v>
      </c>
      <c r="BW98" s="76">
        <v>0.116</v>
      </c>
      <c r="BX98" s="76">
        <v>0.0043</v>
      </c>
      <c r="BY98" s="76">
        <v>0.1117</v>
      </c>
      <c r="BZ98" s="76">
        <v>0.1016</v>
      </c>
      <c r="CA98" s="76">
        <v>0.2046</v>
      </c>
      <c r="CB98" s="76">
        <v>0.0056</v>
      </c>
      <c r="CC98" s="76">
        <v>0.199</v>
      </c>
      <c r="CD98" s="76">
        <v>0.1394</v>
      </c>
      <c r="CE98" s="76">
        <v>0.3568</v>
      </c>
      <c r="CF98" s="76">
        <v>0.0169</v>
      </c>
      <c r="CG98" s="76">
        <v>0.3399</v>
      </c>
      <c r="CH98" s="76">
        <v>0.1999</v>
      </c>
      <c r="CI98" s="76">
        <v>0.281</v>
      </c>
      <c r="CJ98" s="76">
        <v>0.0067</v>
      </c>
      <c r="CK98" s="76">
        <v>0.2743</v>
      </c>
      <c r="CL98" s="76">
        <v>0.1866</v>
      </c>
      <c r="CM98" s="76">
        <v>81.64</v>
      </c>
      <c r="CN98" s="76">
        <v>9.22</v>
      </c>
      <c r="CO98" s="76">
        <v>885.7</v>
      </c>
      <c r="CP98" s="76">
        <v>77.53</v>
      </c>
      <c r="CQ98" s="76">
        <v>0.0</v>
      </c>
      <c r="CR98" s="76">
        <v>0.72</v>
      </c>
      <c r="CS98" s="76">
        <v>3.39</v>
      </c>
      <c r="CT98" s="76">
        <v>0.0</v>
      </c>
      <c r="CU98" s="76">
        <v>0.0</v>
      </c>
      <c r="CV98" s="76">
        <v>0.0</v>
      </c>
      <c r="CW98" s="76">
        <v>43.87</v>
      </c>
      <c r="CX98" s="76">
        <v>0.0</v>
      </c>
      <c r="CY98" s="76">
        <v>0.0</v>
      </c>
    </row>
    <row r="99" ht="15.75" customHeight="1">
      <c r="A99" s="164">
        <v>46238.0</v>
      </c>
      <c r="B99" s="76" t="s">
        <v>4</v>
      </c>
      <c r="C99" s="76" t="s">
        <v>147</v>
      </c>
      <c r="D99" s="76">
        <v>7342.0</v>
      </c>
      <c r="E99" s="76">
        <v>28.49</v>
      </c>
      <c r="F99" s="76">
        <v>127.53</v>
      </c>
      <c r="G99" s="76">
        <v>0.0174</v>
      </c>
      <c r="H99" s="76">
        <v>0.84</v>
      </c>
      <c r="I99" s="76">
        <v>2.0569</v>
      </c>
      <c r="J99" s="76">
        <v>20.07</v>
      </c>
      <c r="K99" s="76">
        <v>10.53</v>
      </c>
      <c r="L99" s="76">
        <v>5.25</v>
      </c>
      <c r="M99" s="76">
        <v>0.499</v>
      </c>
      <c r="N99" s="76">
        <v>0.6152</v>
      </c>
      <c r="O99" s="76">
        <v>0.3806</v>
      </c>
      <c r="P99" s="76">
        <v>2.0039</v>
      </c>
      <c r="Q99" s="76">
        <v>47.67</v>
      </c>
      <c r="R99" s="76">
        <v>38.01</v>
      </c>
      <c r="S99" s="76">
        <v>9.66</v>
      </c>
      <c r="T99" s="76">
        <v>1.5</v>
      </c>
      <c r="U99" s="76">
        <v>46.17</v>
      </c>
      <c r="V99" s="76">
        <v>43.18</v>
      </c>
      <c r="W99" s="76">
        <v>4.1009</v>
      </c>
      <c r="X99" s="76">
        <v>3.14</v>
      </c>
      <c r="Y99" s="76">
        <v>200.0</v>
      </c>
      <c r="Z99" s="76">
        <v>362.0</v>
      </c>
      <c r="AA99" s="76">
        <v>1345.0</v>
      </c>
      <c r="AB99" s="76">
        <v>49.4898</v>
      </c>
      <c r="AC99" s="76">
        <v>0.593</v>
      </c>
      <c r="AD99" s="76">
        <v>4.12</v>
      </c>
      <c r="AE99" s="76">
        <v>1.0</v>
      </c>
      <c r="AF99" s="76">
        <v>3.0</v>
      </c>
      <c r="AG99" s="76">
        <v>6.0</v>
      </c>
      <c r="AH99" s="76">
        <v>9.0</v>
      </c>
      <c r="AI99" s="76">
        <v>75.27</v>
      </c>
      <c r="AJ99" s="76">
        <v>33.91</v>
      </c>
      <c r="AK99" s="76">
        <v>7.56</v>
      </c>
      <c r="AL99" s="76">
        <v>0.4749</v>
      </c>
      <c r="AQ99" s="76">
        <v>2.6046</v>
      </c>
      <c r="AR99" s="76">
        <v>0.0249</v>
      </c>
      <c r="AS99" s="76">
        <v>2.5797</v>
      </c>
      <c r="AT99" s="76">
        <v>2.3569</v>
      </c>
      <c r="AU99" s="76">
        <v>0.2239</v>
      </c>
      <c r="AV99" s="76">
        <v>7342.0</v>
      </c>
      <c r="AW99" s="76">
        <v>0.0</v>
      </c>
      <c r="AX99" s="76">
        <v>28.68</v>
      </c>
      <c r="AY99" s="76">
        <v>14.73</v>
      </c>
      <c r="AZ99" s="76">
        <v>2.17</v>
      </c>
      <c r="BA99" s="76">
        <v>1.5</v>
      </c>
      <c r="BB99" s="76">
        <v>0.6</v>
      </c>
      <c r="BC99" s="76">
        <v>18.0</v>
      </c>
      <c r="BD99" s="76">
        <v>19910.0</v>
      </c>
      <c r="BE99" s="76">
        <v>1.4451</v>
      </c>
      <c r="BF99" s="76">
        <v>0.0155</v>
      </c>
      <c r="BG99" s="76">
        <v>1.4296</v>
      </c>
      <c r="BH99" s="76">
        <v>1.2378</v>
      </c>
      <c r="BI99" s="76">
        <v>0.1176</v>
      </c>
      <c r="BJ99" s="76">
        <v>1.1595</v>
      </c>
      <c r="BK99" s="76">
        <v>0.0094</v>
      </c>
      <c r="BL99" s="76">
        <v>1.1501</v>
      </c>
      <c r="BM99" s="76">
        <v>1.119</v>
      </c>
      <c r="BN99" s="76">
        <v>0.1063</v>
      </c>
      <c r="BO99" s="76">
        <v>0.5132</v>
      </c>
      <c r="BP99" s="76">
        <v>0.0075</v>
      </c>
      <c r="BQ99" s="76">
        <v>0.5057</v>
      </c>
      <c r="BR99" s="76">
        <v>0.4797</v>
      </c>
      <c r="BS99" s="76">
        <v>0.6715</v>
      </c>
      <c r="BT99" s="76">
        <v>0.0018</v>
      </c>
      <c r="BU99" s="76">
        <v>0.6697</v>
      </c>
      <c r="BV99" s="76">
        <v>0.5054</v>
      </c>
      <c r="BW99" s="76">
        <v>0.2604</v>
      </c>
      <c r="BX99" s="76">
        <v>0.0063</v>
      </c>
      <c r="BY99" s="76">
        <v>0.2542</v>
      </c>
      <c r="BZ99" s="76">
        <v>0.2527</v>
      </c>
      <c r="CA99" s="76">
        <v>0.2192</v>
      </c>
      <c r="CB99" s="76">
        <v>0.0014</v>
      </c>
      <c r="CC99" s="76">
        <v>0.2178</v>
      </c>
      <c r="CD99" s="76">
        <v>0.2359</v>
      </c>
      <c r="CE99" s="76">
        <v>0.5124</v>
      </c>
      <c r="CF99" s="76">
        <v>0.0054</v>
      </c>
      <c r="CG99" s="76">
        <v>0.5069</v>
      </c>
      <c r="CH99" s="76">
        <v>0.4767</v>
      </c>
      <c r="CI99" s="76">
        <v>0.4279</v>
      </c>
      <c r="CJ99" s="76">
        <v>0.0026</v>
      </c>
      <c r="CK99" s="76">
        <v>0.4254</v>
      </c>
      <c r="CL99" s="76">
        <v>0.4064</v>
      </c>
      <c r="CM99" s="76">
        <v>58.59</v>
      </c>
      <c r="CN99" s="76">
        <v>57.14</v>
      </c>
      <c r="CO99" s="76">
        <v>102.55</v>
      </c>
      <c r="CP99" s="76">
        <v>55.0</v>
      </c>
      <c r="CQ99" s="76">
        <v>0.0</v>
      </c>
      <c r="CR99" s="76">
        <v>1.73</v>
      </c>
      <c r="CS99" s="76">
        <v>1.86</v>
      </c>
      <c r="CT99" s="76">
        <v>0.0</v>
      </c>
      <c r="CU99" s="76">
        <v>1.0</v>
      </c>
      <c r="CV99" s="76">
        <v>0.0</v>
      </c>
      <c r="CW99" s="76">
        <v>47.67</v>
      </c>
      <c r="CX99" s="76">
        <v>0.0</v>
      </c>
      <c r="CY99" s="76">
        <v>0.01</v>
      </c>
    </row>
    <row r="100" ht="15.75" customHeight="1">
      <c r="A100" s="164">
        <v>46238.0</v>
      </c>
      <c r="B100" s="76" t="s">
        <v>4</v>
      </c>
      <c r="C100" s="76" t="s">
        <v>148</v>
      </c>
      <c r="D100" s="76">
        <v>5732.0</v>
      </c>
      <c r="E100" s="76">
        <v>22.24</v>
      </c>
      <c r="F100" s="76">
        <v>386.27</v>
      </c>
      <c r="G100" s="76">
        <v>0.0674</v>
      </c>
      <c r="H100" s="76">
        <v>1.74</v>
      </c>
      <c r="I100" s="76">
        <v>3.8627</v>
      </c>
      <c r="J100" s="76">
        <v>38.54</v>
      </c>
      <c r="K100" s="76">
        <v>21.28</v>
      </c>
      <c r="L100" s="76">
        <v>13.82</v>
      </c>
      <c r="M100" s="76">
        <v>0.6495</v>
      </c>
      <c r="N100" s="76">
        <v>0.4812</v>
      </c>
      <c r="O100" s="76">
        <v>0.3036</v>
      </c>
      <c r="P100" s="76">
        <v>1.5397</v>
      </c>
      <c r="Q100" s="76">
        <v>101.68</v>
      </c>
      <c r="R100" s="76">
        <v>75.12</v>
      </c>
      <c r="S100" s="76">
        <v>26.56</v>
      </c>
      <c r="T100" s="76">
        <v>5.91</v>
      </c>
      <c r="U100" s="76">
        <v>95.77</v>
      </c>
      <c r="V100" s="76">
        <v>94.65</v>
      </c>
      <c r="W100" s="76">
        <v>4.4474</v>
      </c>
      <c r="X100" s="76">
        <v>5.81</v>
      </c>
      <c r="Y100" s="76">
        <v>243.0</v>
      </c>
      <c r="Z100" s="76">
        <v>435.0</v>
      </c>
      <c r="AA100" s="76">
        <v>1332.0</v>
      </c>
      <c r="AB100" s="76">
        <v>52.0397</v>
      </c>
      <c r="AC100" s="76">
        <v>0.6843</v>
      </c>
      <c r="AD100" s="76">
        <v>9.76</v>
      </c>
      <c r="AE100" s="76">
        <v>4.0</v>
      </c>
      <c r="AF100" s="76">
        <v>9.0</v>
      </c>
      <c r="AG100" s="76">
        <v>13.0</v>
      </c>
      <c r="AH100" s="76">
        <v>19.0</v>
      </c>
      <c r="AI100" s="76">
        <v>66.26</v>
      </c>
      <c r="AJ100" s="76">
        <v>28.19</v>
      </c>
      <c r="AK100" s="76">
        <v>3.94</v>
      </c>
      <c r="AL100" s="76">
        <v>0.3543</v>
      </c>
      <c r="AQ100" s="76">
        <v>5.4438</v>
      </c>
      <c r="AR100" s="76">
        <v>0.1106</v>
      </c>
      <c r="AS100" s="76">
        <v>5.3332</v>
      </c>
      <c r="AT100" s="76">
        <v>4.6771</v>
      </c>
      <c r="AU100" s="76">
        <v>0.2198</v>
      </c>
      <c r="AV100" s="76">
        <v>5732.0</v>
      </c>
      <c r="AW100" s="76">
        <v>0.0</v>
      </c>
      <c r="AX100" s="76">
        <v>58.26</v>
      </c>
      <c r="AY100" s="76">
        <v>33.53</v>
      </c>
      <c r="AZ100" s="76">
        <v>2.77</v>
      </c>
      <c r="BA100" s="76">
        <v>5.91</v>
      </c>
      <c r="BB100" s="76">
        <v>1.22</v>
      </c>
      <c r="BC100" s="76">
        <v>35.0</v>
      </c>
      <c r="BD100" s="76">
        <v>19617.0</v>
      </c>
      <c r="BE100" s="76">
        <v>2.9857</v>
      </c>
      <c r="BF100" s="76">
        <v>0.0602</v>
      </c>
      <c r="BG100" s="76">
        <v>2.9255</v>
      </c>
      <c r="BH100" s="76">
        <v>2.3594</v>
      </c>
      <c r="BI100" s="76">
        <v>0.1109</v>
      </c>
      <c r="BJ100" s="76">
        <v>2.4581</v>
      </c>
      <c r="BK100" s="76">
        <v>0.0504</v>
      </c>
      <c r="BL100" s="76">
        <v>2.4077</v>
      </c>
      <c r="BM100" s="76">
        <v>2.3177</v>
      </c>
      <c r="BN100" s="76">
        <v>0.1089</v>
      </c>
      <c r="BO100" s="76">
        <v>1.0522</v>
      </c>
      <c r="BP100" s="76">
        <v>0.0187</v>
      </c>
      <c r="BQ100" s="76">
        <v>1.0335</v>
      </c>
      <c r="BR100" s="76">
        <v>0.8852</v>
      </c>
      <c r="BS100" s="76">
        <v>1.3943</v>
      </c>
      <c r="BT100" s="76">
        <v>0.0171</v>
      </c>
      <c r="BU100" s="76">
        <v>1.3772</v>
      </c>
      <c r="BV100" s="76">
        <v>0.9698</v>
      </c>
      <c r="BW100" s="76">
        <v>0.5393</v>
      </c>
      <c r="BX100" s="76">
        <v>0.0244</v>
      </c>
      <c r="BY100" s="76">
        <v>0.5148</v>
      </c>
      <c r="BZ100" s="76">
        <v>0.5044</v>
      </c>
      <c r="CA100" s="76">
        <v>0.4206</v>
      </c>
      <c r="CB100" s="76">
        <v>0.0131</v>
      </c>
      <c r="CC100" s="76">
        <v>0.4075</v>
      </c>
      <c r="CD100" s="76">
        <v>0.4536</v>
      </c>
      <c r="CE100" s="76">
        <v>1.1001</v>
      </c>
      <c r="CF100" s="76">
        <v>0.0208</v>
      </c>
      <c r="CG100" s="76">
        <v>1.0794</v>
      </c>
      <c r="CH100" s="76">
        <v>0.9484</v>
      </c>
      <c r="CI100" s="76">
        <v>0.9374</v>
      </c>
      <c r="CJ100" s="76">
        <v>0.0166</v>
      </c>
      <c r="CK100" s="76">
        <v>0.9208</v>
      </c>
      <c r="CL100" s="76">
        <v>0.9157</v>
      </c>
      <c r="CM100" s="76">
        <v>148.59</v>
      </c>
      <c r="CN100" s="76">
        <v>70.69</v>
      </c>
      <c r="CO100" s="76">
        <v>210.2</v>
      </c>
      <c r="CP100" s="76">
        <v>138.35</v>
      </c>
      <c r="CQ100" s="76">
        <v>0.0</v>
      </c>
      <c r="CR100" s="76">
        <v>2.41</v>
      </c>
      <c r="CS100" s="76">
        <v>7.84</v>
      </c>
      <c r="CT100" s="76">
        <v>0.0</v>
      </c>
      <c r="CU100" s="76">
        <v>0.0</v>
      </c>
      <c r="CV100" s="76">
        <v>0.0</v>
      </c>
      <c r="CW100" s="76">
        <v>101.68</v>
      </c>
      <c r="CX100" s="76">
        <v>0.0</v>
      </c>
      <c r="CY100" s="76">
        <v>0.0</v>
      </c>
    </row>
    <row r="101" ht="15.75" customHeight="1">
      <c r="A101" s="164">
        <v>46238.0</v>
      </c>
      <c r="B101" s="76" t="s">
        <v>4</v>
      </c>
      <c r="C101" s="76" t="s">
        <v>149</v>
      </c>
      <c r="D101" s="76">
        <v>4836.0</v>
      </c>
      <c r="E101" s="76">
        <v>18.77</v>
      </c>
      <c r="F101" s="76">
        <v>552.92</v>
      </c>
      <c r="G101" s="76">
        <v>0.1143</v>
      </c>
      <c r="H101" s="76">
        <v>2.3</v>
      </c>
      <c r="I101" s="76">
        <v>4.9813</v>
      </c>
      <c r="J101" s="76">
        <v>60.52</v>
      </c>
      <c r="K101" s="76">
        <v>35.91</v>
      </c>
      <c r="L101" s="76">
        <v>26.39</v>
      </c>
      <c r="M101" s="76">
        <v>0.7349</v>
      </c>
      <c r="N101" s="76">
        <v>0.3917</v>
      </c>
      <c r="O101" s="76">
        <v>0.2575</v>
      </c>
      <c r="P101" s="76">
        <v>1.3607</v>
      </c>
      <c r="Q101" s="76">
        <v>178.75</v>
      </c>
      <c r="R101" s="76">
        <v>128.02</v>
      </c>
      <c r="S101" s="76">
        <v>50.74</v>
      </c>
      <c r="T101" s="76">
        <v>9.35</v>
      </c>
      <c r="U101" s="76">
        <v>169.41</v>
      </c>
      <c r="V101" s="76">
        <v>161.11</v>
      </c>
      <c r="W101" s="76">
        <v>4.4872</v>
      </c>
      <c r="X101" s="76">
        <v>5.23</v>
      </c>
      <c r="Y101" s="76">
        <v>291.0</v>
      </c>
      <c r="Z101" s="76">
        <v>517.0</v>
      </c>
      <c r="AA101" s="76">
        <v>1285.0</v>
      </c>
      <c r="AB101" s="76">
        <v>53.5945</v>
      </c>
      <c r="AC101" s="76">
        <v>0.747</v>
      </c>
      <c r="AD101" s="76">
        <v>16.27</v>
      </c>
      <c r="AE101" s="76">
        <v>7.0</v>
      </c>
      <c r="AF101" s="76">
        <v>13.0</v>
      </c>
      <c r="AG101" s="76">
        <v>23.0</v>
      </c>
      <c r="AH101" s="76">
        <v>33.0</v>
      </c>
      <c r="AI101" s="76">
        <v>57.82</v>
      </c>
      <c r="AJ101" s="76">
        <v>20.31</v>
      </c>
      <c r="AK101" s="76">
        <v>4.4</v>
      </c>
      <c r="AL101" s="76">
        <v>0.2713</v>
      </c>
      <c r="AQ101" s="76">
        <v>8.6445</v>
      </c>
      <c r="AR101" s="76">
        <v>0.147</v>
      </c>
      <c r="AS101" s="76">
        <v>8.4975</v>
      </c>
      <c r="AT101" s="76">
        <v>7.3145</v>
      </c>
      <c r="AU101" s="76">
        <v>0.2037</v>
      </c>
      <c r="AV101" s="76">
        <v>4836.0</v>
      </c>
      <c r="AW101" s="76">
        <v>0.0</v>
      </c>
      <c r="AX101" s="76">
        <v>100.54</v>
      </c>
      <c r="AY101" s="76">
        <v>63.71</v>
      </c>
      <c r="AZ101" s="76">
        <v>2.77</v>
      </c>
      <c r="BA101" s="76">
        <v>9.35</v>
      </c>
      <c r="BB101" s="76">
        <v>2.39</v>
      </c>
      <c r="BC101" s="76">
        <v>60.0</v>
      </c>
      <c r="BD101" s="76">
        <v>19260.0</v>
      </c>
      <c r="BE101" s="76">
        <v>4.7479</v>
      </c>
      <c r="BF101" s="76">
        <v>0.0763</v>
      </c>
      <c r="BG101" s="76">
        <v>4.6716</v>
      </c>
      <c r="BH101" s="76">
        <v>3.6001</v>
      </c>
      <c r="BI101" s="76">
        <v>0.1003</v>
      </c>
      <c r="BJ101" s="76">
        <v>3.8966</v>
      </c>
      <c r="BK101" s="76">
        <v>0.0707</v>
      </c>
      <c r="BL101" s="76">
        <v>3.8259</v>
      </c>
      <c r="BM101" s="76">
        <v>3.7144</v>
      </c>
      <c r="BN101" s="76">
        <v>0.1034</v>
      </c>
      <c r="BO101" s="76">
        <v>1.7829</v>
      </c>
      <c r="BP101" s="76">
        <v>0.0261</v>
      </c>
      <c r="BQ101" s="76">
        <v>1.7568</v>
      </c>
      <c r="BR101" s="76">
        <v>1.3832</v>
      </c>
      <c r="BS101" s="76">
        <v>2.1015</v>
      </c>
      <c r="BT101" s="76">
        <v>0.023</v>
      </c>
      <c r="BU101" s="76">
        <v>2.0786</v>
      </c>
      <c r="BV101" s="76">
        <v>1.47</v>
      </c>
      <c r="BW101" s="76">
        <v>0.8635</v>
      </c>
      <c r="BX101" s="76">
        <v>0.0273</v>
      </c>
      <c r="BY101" s="76">
        <v>0.8362</v>
      </c>
      <c r="BZ101" s="76">
        <v>0.7469</v>
      </c>
      <c r="CA101" s="76">
        <v>0.7008</v>
      </c>
      <c r="CB101" s="76">
        <v>0.019</v>
      </c>
      <c r="CC101" s="76">
        <v>0.6818</v>
      </c>
      <c r="CD101" s="76">
        <v>0.7514</v>
      </c>
      <c r="CE101" s="76">
        <v>1.5693</v>
      </c>
      <c r="CF101" s="76">
        <v>0.0289</v>
      </c>
      <c r="CG101" s="76">
        <v>1.5403</v>
      </c>
      <c r="CH101" s="76">
        <v>1.458</v>
      </c>
      <c r="CI101" s="76">
        <v>1.6266</v>
      </c>
      <c r="CJ101" s="76">
        <v>0.0227</v>
      </c>
      <c r="CK101" s="76">
        <v>1.6038</v>
      </c>
      <c r="CL101" s="76">
        <v>1.505</v>
      </c>
      <c r="CM101" s="76">
        <v>293.94</v>
      </c>
      <c r="CN101" s="76">
        <v>82.15</v>
      </c>
      <c r="CO101" s="76">
        <v>357.79</v>
      </c>
      <c r="CP101" s="76">
        <v>275.2</v>
      </c>
      <c r="CQ101" s="76">
        <v>0.0</v>
      </c>
      <c r="CR101" s="76">
        <v>3.04</v>
      </c>
      <c r="CS101" s="76">
        <v>15.7</v>
      </c>
      <c r="CT101" s="76">
        <v>0.0</v>
      </c>
      <c r="CU101" s="76">
        <v>1.0</v>
      </c>
      <c r="CV101" s="76">
        <v>0.0</v>
      </c>
      <c r="CW101" s="76">
        <v>178.75</v>
      </c>
      <c r="CX101" s="76">
        <v>0.0</v>
      </c>
      <c r="CY101" s="76">
        <v>0.0</v>
      </c>
    </row>
    <row r="102" ht="15.75" customHeight="1">
      <c r="A102" s="164">
        <v>46238.0</v>
      </c>
      <c r="B102" s="76" t="s">
        <v>4</v>
      </c>
      <c r="C102" s="76" t="s">
        <v>150</v>
      </c>
      <c r="D102" s="76">
        <v>3013.0</v>
      </c>
      <c r="E102" s="76">
        <v>11.69</v>
      </c>
      <c r="F102" s="76">
        <v>680.34</v>
      </c>
      <c r="G102" s="76">
        <v>0.2258</v>
      </c>
      <c r="H102" s="76">
        <v>3.55</v>
      </c>
      <c r="I102" s="76">
        <v>6.3583</v>
      </c>
      <c r="J102" s="76">
        <v>107.6</v>
      </c>
      <c r="K102" s="76">
        <v>67.95</v>
      </c>
      <c r="L102" s="76">
        <v>52.02</v>
      </c>
      <c r="M102" s="76">
        <v>0.7657</v>
      </c>
      <c r="N102" s="76">
        <v>0.3484</v>
      </c>
      <c r="O102" s="76">
        <v>0.2346</v>
      </c>
      <c r="P102" s="76">
        <v>1.3061</v>
      </c>
      <c r="Q102" s="76">
        <v>354.88</v>
      </c>
      <c r="R102" s="76">
        <v>247.41</v>
      </c>
      <c r="S102" s="76">
        <v>107.47</v>
      </c>
      <c r="T102" s="76">
        <v>20.32</v>
      </c>
      <c r="U102" s="76">
        <v>334.56</v>
      </c>
      <c r="V102" s="76">
        <v>324.78</v>
      </c>
      <c r="W102" s="76">
        <v>4.7798</v>
      </c>
      <c r="X102" s="76">
        <v>5.73</v>
      </c>
      <c r="Y102" s="76">
        <v>379.0</v>
      </c>
      <c r="Z102" s="76">
        <v>725.0</v>
      </c>
      <c r="AA102" s="76">
        <v>1787.0</v>
      </c>
      <c r="AB102" s="76">
        <v>56.0482</v>
      </c>
      <c r="AC102" s="76">
        <v>0.7876</v>
      </c>
      <c r="AD102" s="76">
        <v>29.78</v>
      </c>
      <c r="AE102" s="76">
        <v>11.0</v>
      </c>
      <c r="AF102" s="76">
        <v>22.0</v>
      </c>
      <c r="AG102" s="76">
        <v>41.0</v>
      </c>
      <c r="AH102" s="76">
        <v>64.0</v>
      </c>
      <c r="AI102" s="76">
        <v>40.86</v>
      </c>
      <c r="AJ102" s="76">
        <v>11.78</v>
      </c>
      <c r="AK102" s="76">
        <v>2.49</v>
      </c>
      <c r="AL102" s="76">
        <v>0.1772</v>
      </c>
      <c r="AQ102" s="76">
        <v>15.4514</v>
      </c>
      <c r="AR102" s="76">
        <v>0.3316</v>
      </c>
      <c r="AS102" s="76">
        <v>15.1198</v>
      </c>
      <c r="AT102" s="76">
        <v>12.916</v>
      </c>
      <c r="AU102" s="76">
        <v>0.1901</v>
      </c>
      <c r="AV102" s="76">
        <v>3013.0</v>
      </c>
      <c r="AW102" s="76">
        <v>0.0</v>
      </c>
      <c r="AX102" s="76">
        <v>194.95</v>
      </c>
      <c r="AY102" s="76">
        <v>131.43</v>
      </c>
      <c r="AZ102" s="76">
        <v>3.67</v>
      </c>
      <c r="BA102" s="76">
        <v>20.28</v>
      </c>
      <c r="BB102" s="76">
        <v>4.55</v>
      </c>
      <c r="BC102" s="76">
        <v>126.0</v>
      </c>
      <c r="BD102" s="76">
        <v>16399.0</v>
      </c>
      <c r="BE102" s="76">
        <v>8.6017</v>
      </c>
      <c r="BF102" s="76">
        <v>0.1663</v>
      </c>
      <c r="BG102" s="76">
        <v>8.4354</v>
      </c>
      <c r="BH102" s="76">
        <v>6.2526</v>
      </c>
      <c r="BI102" s="76">
        <v>0.092</v>
      </c>
      <c r="BJ102" s="76">
        <v>6.8497</v>
      </c>
      <c r="BK102" s="76">
        <v>0.1653</v>
      </c>
      <c r="BL102" s="76">
        <v>6.6844</v>
      </c>
      <c r="BM102" s="76">
        <v>6.6635</v>
      </c>
      <c r="BN102" s="76">
        <v>0.0981</v>
      </c>
      <c r="BO102" s="76">
        <v>3.4985</v>
      </c>
      <c r="BP102" s="76">
        <v>0.0528</v>
      </c>
      <c r="BQ102" s="76">
        <v>3.4457</v>
      </c>
      <c r="BR102" s="76">
        <v>2.455</v>
      </c>
      <c r="BS102" s="76">
        <v>3.6392</v>
      </c>
      <c r="BT102" s="76">
        <v>0.0528</v>
      </c>
      <c r="BU102" s="76">
        <v>3.5865</v>
      </c>
      <c r="BV102" s="76">
        <v>2.5785</v>
      </c>
      <c r="BW102" s="76">
        <v>1.464</v>
      </c>
      <c r="BX102" s="76">
        <v>0.0607</v>
      </c>
      <c r="BY102" s="76">
        <v>1.4033</v>
      </c>
      <c r="BZ102" s="76">
        <v>1.2191</v>
      </c>
      <c r="CA102" s="76">
        <v>1.4378</v>
      </c>
      <c r="CB102" s="76">
        <v>0.0468</v>
      </c>
      <c r="CC102" s="76">
        <v>1.391</v>
      </c>
      <c r="CD102" s="76">
        <v>1.5629</v>
      </c>
      <c r="CE102" s="76">
        <v>2.5546</v>
      </c>
      <c r="CF102" s="76">
        <v>0.0627</v>
      </c>
      <c r="CG102" s="76">
        <v>2.4919</v>
      </c>
      <c r="CH102" s="76">
        <v>2.3983</v>
      </c>
      <c r="CI102" s="76">
        <v>2.8573</v>
      </c>
      <c r="CJ102" s="76">
        <v>0.0558</v>
      </c>
      <c r="CK102" s="76">
        <v>2.8015</v>
      </c>
      <c r="CL102" s="76">
        <v>2.7023</v>
      </c>
      <c r="CM102" s="76">
        <v>618.58</v>
      </c>
      <c r="CN102" s="76">
        <v>92.23</v>
      </c>
      <c r="CO102" s="76">
        <v>670.66</v>
      </c>
      <c r="CP102" s="76">
        <v>583.82</v>
      </c>
      <c r="CQ102" s="76">
        <v>0.0</v>
      </c>
      <c r="CR102" s="76">
        <v>5.81</v>
      </c>
      <c r="CS102" s="76">
        <v>28.95</v>
      </c>
      <c r="CT102" s="76">
        <v>0.0</v>
      </c>
      <c r="CU102" s="76">
        <v>0.0</v>
      </c>
      <c r="CV102" s="76">
        <v>0.0</v>
      </c>
      <c r="CW102" s="76">
        <v>354.88</v>
      </c>
      <c r="CX102" s="76">
        <v>0.0</v>
      </c>
      <c r="CY102" s="76">
        <v>0.0</v>
      </c>
    </row>
    <row r="103" ht="15.75" customHeight="1">
      <c r="A103" s="164">
        <v>46238.0</v>
      </c>
      <c r="B103" s="76" t="s">
        <v>4</v>
      </c>
      <c r="C103" s="76" t="s">
        <v>151</v>
      </c>
      <c r="D103" s="76">
        <v>400.0</v>
      </c>
      <c r="E103" s="76">
        <v>1.55</v>
      </c>
      <c r="F103" s="76">
        <v>176.97</v>
      </c>
      <c r="G103" s="76">
        <v>0.4424</v>
      </c>
      <c r="H103" s="76">
        <v>6.0</v>
      </c>
      <c r="I103" s="76">
        <v>7.3738</v>
      </c>
      <c r="J103" s="76">
        <v>234.52</v>
      </c>
      <c r="K103" s="76">
        <v>156.64</v>
      </c>
      <c r="L103" s="76">
        <v>125.4</v>
      </c>
      <c r="M103" s="76">
        <v>0.8006</v>
      </c>
      <c r="N103" s="76">
        <v>0.2954</v>
      </c>
      <c r="O103" s="76">
        <v>0.208</v>
      </c>
      <c r="P103" s="76">
        <v>1.2491</v>
      </c>
      <c r="Q103" s="76">
        <v>752.74</v>
      </c>
      <c r="R103" s="76">
        <v>487.5</v>
      </c>
      <c r="S103" s="76">
        <v>265.24</v>
      </c>
      <c r="T103" s="76">
        <v>34.88</v>
      </c>
      <c r="U103" s="76">
        <v>717.86</v>
      </c>
      <c r="V103" s="76">
        <v>660.38</v>
      </c>
      <c r="W103" s="76">
        <v>4.216</v>
      </c>
      <c r="X103" s="76">
        <v>4.63</v>
      </c>
      <c r="Y103" s="76">
        <v>518.0</v>
      </c>
      <c r="Z103" s="76">
        <v>1025.0</v>
      </c>
      <c r="AA103" s="76">
        <v>2046.0</v>
      </c>
      <c r="AB103" s="76">
        <v>58.8355</v>
      </c>
      <c r="AC103" s="76">
        <v>0.8201</v>
      </c>
      <c r="AD103" s="76">
        <v>59.36</v>
      </c>
      <c r="AE103" s="76">
        <v>21.0</v>
      </c>
      <c r="AF103" s="76">
        <v>40.0</v>
      </c>
      <c r="AG103" s="76">
        <v>89.0</v>
      </c>
      <c r="AH103" s="76">
        <v>128.0</v>
      </c>
      <c r="AI103" s="76">
        <v>28.5</v>
      </c>
      <c r="AJ103" s="76">
        <v>4.75</v>
      </c>
      <c r="AK103" s="76">
        <v>0.25</v>
      </c>
      <c r="AL103" s="76">
        <v>0.125</v>
      </c>
      <c r="AQ103" s="76">
        <v>33.0925</v>
      </c>
      <c r="AR103" s="76">
        <v>0.4575</v>
      </c>
      <c r="AS103" s="76">
        <v>32.635</v>
      </c>
      <c r="AT103" s="76">
        <v>28.9775</v>
      </c>
      <c r="AU103" s="76">
        <v>0.185</v>
      </c>
      <c r="AV103" s="76">
        <v>400.0</v>
      </c>
      <c r="AW103" s="76">
        <v>0.0</v>
      </c>
      <c r="AX103" s="76">
        <v>434.58</v>
      </c>
      <c r="AY103" s="76">
        <v>265.13</v>
      </c>
      <c r="AZ103" s="76">
        <v>6.33</v>
      </c>
      <c r="BA103" s="76">
        <v>34.88</v>
      </c>
      <c r="BB103" s="76">
        <v>11.84</v>
      </c>
      <c r="BC103" s="76">
        <v>232.0</v>
      </c>
      <c r="BD103" s="76">
        <v>11443.0</v>
      </c>
      <c r="BE103" s="76">
        <v>18.1975</v>
      </c>
      <c r="BF103" s="76">
        <v>0.18</v>
      </c>
      <c r="BG103" s="76">
        <v>18.0175</v>
      </c>
      <c r="BH103" s="76">
        <v>12.5625</v>
      </c>
      <c r="BI103" s="76">
        <v>0.0802</v>
      </c>
      <c r="BJ103" s="76">
        <v>14.895</v>
      </c>
      <c r="BK103" s="76">
        <v>0.2775</v>
      </c>
      <c r="BL103" s="76">
        <v>14.6175</v>
      </c>
      <c r="BM103" s="76">
        <v>16.415</v>
      </c>
      <c r="BN103" s="76">
        <v>0.1048</v>
      </c>
      <c r="BO103" s="76">
        <v>7.0175</v>
      </c>
      <c r="BP103" s="76">
        <v>0.0475</v>
      </c>
      <c r="BQ103" s="76">
        <v>6.97</v>
      </c>
      <c r="BR103" s="76">
        <v>4.7925</v>
      </c>
      <c r="BS103" s="76">
        <v>7.7325</v>
      </c>
      <c r="BT103" s="76">
        <v>0.0625</v>
      </c>
      <c r="BU103" s="76">
        <v>7.67</v>
      </c>
      <c r="BV103" s="76">
        <v>5.245</v>
      </c>
      <c r="BW103" s="76">
        <v>3.4475</v>
      </c>
      <c r="BX103" s="76">
        <v>0.07</v>
      </c>
      <c r="BY103" s="76">
        <v>3.3775</v>
      </c>
      <c r="BZ103" s="76">
        <v>2.525</v>
      </c>
      <c r="CA103" s="76">
        <v>3.6225</v>
      </c>
      <c r="CB103" s="76">
        <v>0.055</v>
      </c>
      <c r="CC103" s="76">
        <v>3.5675</v>
      </c>
      <c r="CD103" s="76">
        <v>5.7075</v>
      </c>
      <c r="CE103" s="76">
        <v>5.6425</v>
      </c>
      <c r="CF103" s="76">
        <v>0.1</v>
      </c>
      <c r="CG103" s="76">
        <v>5.5425</v>
      </c>
      <c r="CH103" s="76">
        <v>5.325</v>
      </c>
      <c r="CI103" s="76">
        <v>5.63</v>
      </c>
      <c r="CJ103" s="76">
        <v>0.1225</v>
      </c>
      <c r="CK103" s="76">
        <v>5.5075</v>
      </c>
      <c r="CL103" s="76">
        <v>5.3825</v>
      </c>
      <c r="CM103" s="76">
        <v>1593.01</v>
      </c>
      <c r="CN103" s="76">
        <v>99.25</v>
      </c>
      <c r="CO103" s="76">
        <v>1605.05</v>
      </c>
      <c r="CP103" s="76">
        <v>1538.5</v>
      </c>
      <c r="CQ103" s="76">
        <v>0.0</v>
      </c>
      <c r="CR103" s="76">
        <v>9.15</v>
      </c>
      <c r="CS103" s="76">
        <v>45.36</v>
      </c>
      <c r="CT103" s="76">
        <v>0.0</v>
      </c>
      <c r="CU103" s="76">
        <v>0.0</v>
      </c>
      <c r="CV103" s="76">
        <v>0.0</v>
      </c>
      <c r="CW103" s="76">
        <v>752.74</v>
      </c>
      <c r="CX103" s="76">
        <v>0.0</v>
      </c>
      <c r="CY103" s="76">
        <v>0.0</v>
      </c>
    </row>
    <row r="104" ht="15.75" customHeight="1">
      <c r="A104" s="164">
        <v>46238.0</v>
      </c>
      <c r="B104" s="76" t="s">
        <v>5</v>
      </c>
      <c r="C104" s="76" t="s">
        <v>316</v>
      </c>
      <c r="D104" s="76">
        <v>4372.0</v>
      </c>
      <c r="E104" s="76">
        <v>17.1</v>
      </c>
      <c r="F104" s="76">
        <v>190.14</v>
      </c>
      <c r="G104" s="76">
        <v>0.0435</v>
      </c>
      <c r="H104" s="76">
        <v>0.85</v>
      </c>
      <c r="I104" s="76">
        <v>5.1389</v>
      </c>
      <c r="J104" s="76">
        <v>18.26</v>
      </c>
      <c r="K104" s="76">
        <v>10.0</v>
      </c>
      <c r="L104" s="76">
        <v>6.76</v>
      </c>
      <c r="M104" s="76">
        <v>0.6766</v>
      </c>
      <c r="N104" s="76">
        <v>0.4355</v>
      </c>
      <c r="O104" s="76">
        <v>0.2131</v>
      </c>
      <c r="P104" s="76">
        <v>1.4781</v>
      </c>
      <c r="Q104" s="76">
        <v>34.46</v>
      </c>
      <c r="R104" s="76">
        <v>34.34</v>
      </c>
      <c r="S104" s="76">
        <v>0.12</v>
      </c>
      <c r="T104" s="76">
        <v>3.75</v>
      </c>
      <c r="U104" s="76">
        <v>30.71</v>
      </c>
      <c r="V104" s="76">
        <v>26.86</v>
      </c>
      <c r="W104" s="76">
        <v>2.6868</v>
      </c>
      <c r="X104" s="76">
        <v>10.88</v>
      </c>
      <c r="Y104" s="76">
        <v>200.0</v>
      </c>
      <c r="Z104" s="76">
        <v>418.0</v>
      </c>
      <c r="AA104" s="76">
        <v>2924.0</v>
      </c>
      <c r="AB104" s="76">
        <v>49.7256</v>
      </c>
      <c r="AC104" s="76">
        <v>0.5178</v>
      </c>
      <c r="AI104" s="76">
        <v>0.0</v>
      </c>
      <c r="AJ104" s="76">
        <v>0.0</v>
      </c>
      <c r="AK104" s="76">
        <v>0.0</v>
      </c>
      <c r="AL104" s="76">
        <v>0.5368</v>
      </c>
      <c r="AM104" s="76">
        <v>5.83</v>
      </c>
      <c r="AN104" s="76">
        <v>5.83</v>
      </c>
      <c r="AO104" s="76">
        <v>3.48</v>
      </c>
      <c r="AP104" s="76">
        <v>1.72</v>
      </c>
      <c r="AQ104" s="76">
        <v>1.5156</v>
      </c>
      <c r="AR104" s="76">
        <v>0.0325</v>
      </c>
      <c r="AS104" s="76">
        <v>1.4831</v>
      </c>
      <c r="AT104" s="76">
        <v>1.5814</v>
      </c>
      <c r="AU104" s="76">
        <v>0.1582</v>
      </c>
      <c r="AV104" s="76">
        <v>4372.0</v>
      </c>
      <c r="AW104" s="76">
        <v>0.0</v>
      </c>
      <c r="AX104" s="76">
        <v>7.93</v>
      </c>
      <c r="AY104" s="76">
        <v>20.5</v>
      </c>
      <c r="AZ104" s="76">
        <v>2.15</v>
      </c>
      <c r="BA104" s="76">
        <v>3.75</v>
      </c>
      <c r="BB104" s="76">
        <v>0.13</v>
      </c>
      <c r="BD104" s="76">
        <v>26028.0</v>
      </c>
      <c r="BE104" s="76">
        <v>0.7081</v>
      </c>
      <c r="BF104" s="76">
        <v>0.0117</v>
      </c>
      <c r="BG104" s="76">
        <v>0.6965</v>
      </c>
      <c r="BH104" s="76">
        <v>0.8131</v>
      </c>
      <c r="BI104" s="76">
        <v>0.0813</v>
      </c>
      <c r="BJ104" s="76">
        <v>0.8074</v>
      </c>
      <c r="BK104" s="76">
        <v>0.0208</v>
      </c>
      <c r="BL104" s="76">
        <v>0.7866</v>
      </c>
      <c r="BM104" s="76">
        <v>0.7683</v>
      </c>
      <c r="BN104" s="76">
        <v>0.0768</v>
      </c>
      <c r="BO104" s="76">
        <v>0.2781</v>
      </c>
      <c r="BP104" s="76">
        <v>0.0043</v>
      </c>
      <c r="BQ104" s="76">
        <v>0.2738</v>
      </c>
      <c r="BR104" s="76">
        <v>0.3136</v>
      </c>
      <c r="BS104" s="76">
        <v>0.2489</v>
      </c>
      <c r="BT104" s="76">
        <v>0.0037</v>
      </c>
      <c r="BU104" s="76">
        <v>0.2452</v>
      </c>
      <c r="BV104" s="76">
        <v>0.2724</v>
      </c>
      <c r="BW104" s="76">
        <v>0.1812</v>
      </c>
      <c r="BX104" s="76">
        <v>0.0037</v>
      </c>
      <c r="BY104" s="76">
        <v>0.1775</v>
      </c>
      <c r="BZ104" s="76">
        <v>0.2271</v>
      </c>
      <c r="CA104" s="76">
        <v>0.145</v>
      </c>
      <c r="CB104" s="76">
        <v>0.0037</v>
      </c>
      <c r="CC104" s="76">
        <v>0.1414</v>
      </c>
      <c r="CD104" s="76">
        <v>0.1704</v>
      </c>
      <c r="CE104" s="76">
        <v>0.3708</v>
      </c>
      <c r="CF104" s="76">
        <v>0.0082</v>
      </c>
      <c r="CG104" s="76">
        <v>0.3625</v>
      </c>
      <c r="CH104" s="76">
        <v>0.2441</v>
      </c>
      <c r="CI104" s="76">
        <v>0.2916</v>
      </c>
      <c r="CJ104" s="76">
        <v>0.0089</v>
      </c>
      <c r="CK104" s="76">
        <v>0.2827</v>
      </c>
      <c r="CL104" s="76">
        <v>0.3538</v>
      </c>
      <c r="CM104" s="76">
        <v>101.26</v>
      </c>
      <c r="CN104" s="76">
        <v>11.67</v>
      </c>
      <c r="CO104" s="76">
        <v>868.03</v>
      </c>
      <c r="CP104" s="76">
        <v>84.54</v>
      </c>
      <c r="CQ104" s="76">
        <v>15.16</v>
      </c>
      <c r="CR104" s="76">
        <v>0.56</v>
      </c>
      <c r="CS104" s="76">
        <v>1.0</v>
      </c>
      <c r="CT104" s="76">
        <v>0.0</v>
      </c>
      <c r="CU104" s="76">
        <v>999.0</v>
      </c>
      <c r="CV104" s="76">
        <v>2.32</v>
      </c>
      <c r="CW104" s="76">
        <v>36.78</v>
      </c>
      <c r="CX104" s="76">
        <v>1.64</v>
      </c>
      <c r="CY104" s="76">
        <v>16.79</v>
      </c>
    </row>
    <row r="105" ht="15.75" customHeight="1">
      <c r="A105" s="164">
        <v>46238.0</v>
      </c>
      <c r="B105" s="76" t="s">
        <v>5</v>
      </c>
      <c r="C105" s="76" t="s">
        <v>147</v>
      </c>
      <c r="D105" s="76">
        <v>7244.0</v>
      </c>
      <c r="E105" s="76">
        <v>28.33</v>
      </c>
      <c r="F105" s="76">
        <v>92.89</v>
      </c>
      <c r="G105" s="76">
        <v>0.0128</v>
      </c>
      <c r="H105" s="76">
        <v>0.77</v>
      </c>
      <c r="I105" s="76">
        <v>1.6587</v>
      </c>
      <c r="J105" s="76">
        <v>21.24</v>
      </c>
      <c r="K105" s="76">
        <v>11.04</v>
      </c>
      <c r="L105" s="76">
        <v>5.19</v>
      </c>
      <c r="M105" s="76">
        <v>0.4699</v>
      </c>
      <c r="N105" s="76">
        <v>0.6328</v>
      </c>
      <c r="O105" s="76">
        <v>0.3831</v>
      </c>
      <c r="P105" s="76">
        <v>2.1279</v>
      </c>
      <c r="Q105" s="76">
        <v>39.55</v>
      </c>
      <c r="R105" s="76">
        <v>36.53</v>
      </c>
      <c r="S105" s="76">
        <v>3.02</v>
      </c>
      <c r="T105" s="76">
        <v>1.3</v>
      </c>
      <c r="U105" s="76">
        <v>38.25</v>
      </c>
      <c r="V105" s="76">
        <v>39.4</v>
      </c>
      <c r="W105" s="76">
        <v>3.5697</v>
      </c>
      <c r="X105" s="76">
        <v>3.3</v>
      </c>
      <c r="Y105" s="76">
        <v>200.0</v>
      </c>
      <c r="Z105" s="76">
        <v>321.0</v>
      </c>
      <c r="AA105" s="76">
        <v>1162.0</v>
      </c>
      <c r="AB105" s="76">
        <v>49.6962</v>
      </c>
      <c r="AC105" s="76">
        <v>0.6101</v>
      </c>
      <c r="AD105" s="76">
        <v>4.02</v>
      </c>
      <c r="AE105" s="76">
        <v>1.0</v>
      </c>
      <c r="AF105" s="76">
        <v>3.0</v>
      </c>
      <c r="AG105" s="76">
        <v>5.0</v>
      </c>
      <c r="AH105" s="76">
        <v>8.0</v>
      </c>
      <c r="AI105" s="76">
        <v>75.51</v>
      </c>
      <c r="AJ105" s="76">
        <v>33.99</v>
      </c>
      <c r="AK105" s="76">
        <v>6.29</v>
      </c>
      <c r="AL105" s="76">
        <v>0.4949</v>
      </c>
      <c r="AM105" s="76">
        <v>34.88</v>
      </c>
      <c r="AN105" s="76">
        <v>34.88</v>
      </c>
      <c r="AO105" s="76">
        <v>16.36</v>
      </c>
      <c r="AP105" s="76">
        <v>5.04</v>
      </c>
      <c r="AQ105" s="76">
        <v>3.1691</v>
      </c>
      <c r="AR105" s="76">
        <v>0.0338</v>
      </c>
      <c r="AS105" s="76">
        <v>3.1353</v>
      </c>
      <c r="AT105" s="76">
        <v>2.586</v>
      </c>
      <c r="AU105" s="76">
        <v>0.2343</v>
      </c>
      <c r="AV105" s="76">
        <v>7244.0</v>
      </c>
      <c r="AW105" s="76">
        <v>0.0</v>
      </c>
      <c r="AX105" s="76">
        <v>17.32</v>
      </c>
      <c r="AY105" s="76">
        <v>18.63</v>
      </c>
      <c r="AZ105" s="76">
        <v>1.88</v>
      </c>
      <c r="BA105" s="76">
        <v>1.3</v>
      </c>
      <c r="BB105" s="76">
        <v>0.42</v>
      </c>
      <c r="BC105" s="76">
        <v>16.0</v>
      </c>
      <c r="BD105" s="76">
        <v>18071.0</v>
      </c>
      <c r="BE105" s="76">
        <v>1.8879</v>
      </c>
      <c r="BF105" s="76">
        <v>0.0199</v>
      </c>
      <c r="BG105" s="76">
        <v>1.868</v>
      </c>
      <c r="BH105" s="76">
        <v>1.3991</v>
      </c>
      <c r="BI105" s="76">
        <v>0.1268</v>
      </c>
      <c r="BJ105" s="76">
        <v>1.2812</v>
      </c>
      <c r="BK105" s="76">
        <v>0.0139</v>
      </c>
      <c r="BL105" s="76">
        <v>1.2673</v>
      </c>
      <c r="BM105" s="76">
        <v>1.1869</v>
      </c>
      <c r="BN105" s="76">
        <v>0.1075</v>
      </c>
      <c r="BO105" s="76">
        <v>0.8769</v>
      </c>
      <c r="BP105" s="76">
        <v>0.0109</v>
      </c>
      <c r="BQ105" s="76">
        <v>0.866</v>
      </c>
      <c r="BR105" s="76">
        <v>0.6367</v>
      </c>
      <c r="BS105" s="76">
        <v>0.7626</v>
      </c>
      <c r="BT105" s="76">
        <v>0.0018</v>
      </c>
      <c r="BU105" s="76">
        <v>0.7608</v>
      </c>
      <c r="BV105" s="76">
        <v>0.5228</v>
      </c>
      <c r="BW105" s="76">
        <v>0.2485</v>
      </c>
      <c r="BX105" s="76">
        <v>0.0072</v>
      </c>
      <c r="BY105" s="76">
        <v>0.2413</v>
      </c>
      <c r="BZ105" s="76">
        <v>0.2396</v>
      </c>
      <c r="CA105" s="76">
        <v>0.1679</v>
      </c>
      <c r="CB105" s="76">
        <v>0.0029</v>
      </c>
      <c r="CC105" s="76">
        <v>0.165</v>
      </c>
      <c r="CD105" s="76">
        <v>0.202</v>
      </c>
      <c r="CE105" s="76">
        <v>0.7387</v>
      </c>
      <c r="CF105" s="76">
        <v>0.0043</v>
      </c>
      <c r="CG105" s="76">
        <v>0.7344</v>
      </c>
      <c r="CH105" s="76">
        <v>0.593</v>
      </c>
      <c r="CI105" s="76">
        <v>0.3747</v>
      </c>
      <c r="CJ105" s="76">
        <v>0.0068</v>
      </c>
      <c r="CK105" s="76">
        <v>0.3679</v>
      </c>
      <c r="CL105" s="76">
        <v>0.3919</v>
      </c>
      <c r="CM105" s="76">
        <v>62.71</v>
      </c>
      <c r="CN105" s="76">
        <v>55.76</v>
      </c>
      <c r="CO105" s="76">
        <v>112.48</v>
      </c>
      <c r="CP105" s="76">
        <v>51.5</v>
      </c>
      <c r="CQ105" s="76">
        <v>8.97</v>
      </c>
      <c r="CR105" s="76">
        <v>1.5</v>
      </c>
      <c r="CS105" s="76">
        <v>0.74</v>
      </c>
      <c r="CT105" s="76">
        <v>0.0</v>
      </c>
      <c r="CU105" s="76">
        <v>2056.0</v>
      </c>
      <c r="CV105" s="76">
        <v>0.83</v>
      </c>
      <c r="CW105" s="76">
        <v>40.38</v>
      </c>
      <c r="CX105" s="76">
        <v>0.98</v>
      </c>
      <c r="CY105" s="76">
        <v>9.96</v>
      </c>
    </row>
    <row r="106" ht="15.75" customHeight="1">
      <c r="A106" s="164">
        <v>46238.0</v>
      </c>
      <c r="B106" s="76" t="s">
        <v>5</v>
      </c>
      <c r="C106" s="76" t="s">
        <v>148</v>
      </c>
      <c r="D106" s="76">
        <v>5784.0</v>
      </c>
      <c r="E106" s="76">
        <v>22.62</v>
      </c>
      <c r="F106" s="76">
        <v>360.99</v>
      </c>
      <c r="G106" s="76">
        <v>0.0624</v>
      </c>
      <c r="H106" s="76">
        <v>1.9</v>
      </c>
      <c r="I106" s="76">
        <v>3.2817</v>
      </c>
      <c r="J106" s="76">
        <v>43.16</v>
      </c>
      <c r="K106" s="76">
        <v>23.35</v>
      </c>
      <c r="L106" s="76">
        <v>13.83</v>
      </c>
      <c r="M106" s="76">
        <v>0.5925</v>
      </c>
      <c r="N106" s="76">
        <v>0.5289</v>
      </c>
      <c r="O106" s="76">
        <v>0.3198</v>
      </c>
      <c r="P106" s="76">
        <v>1.6878</v>
      </c>
      <c r="Q106" s="76">
        <v>81.16</v>
      </c>
      <c r="R106" s="76">
        <v>72.69</v>
      </c>
      <c r="S106" s="76">
        <v>8.46</v>
      </c>
      <c r="T106" s="76">
        <v>5.54</v>
      </c>
      <c r="U106" s="76">
        <v>75.61</v>
      </c>
      <c r="V106" s="76">
        <v>80.68</v>
      </c>
      <c r="W106" s="76">
        <v>3.4552</v>
      </c>
      <c r="X106" s="76">
        <v>6.83</v>
      </c>
      <c r="Y106" s="76">
        <v>217.0</v>
      </c>
      <c r="Z106" s="76">
        <v>370.0</v>
      </c>
      <c r="AA106" s="76">
        <v>1111.0</v>
      </c>
      <c r="AB106" s="76">
        <v>51.8384</v>
      </c>
      <c r="AC106" s="76">
        <v>0.6863</v>
      </c>
      <c r="AD106" s="76">
        <v>9.52</v>
      </c>
      <c r="AE106" s="76">
        <v>4.0</v>
      </c>
      <c r="AF106" s="76">
        <v>8.0</v>
      </c>
      <c r="AG106" s="76">
        <v>13.0</v>
      </c>
      <c r="AH106" s="76">
        <v>18.0</v>
      </c>
      <c r="AI106" s="76">
        <v>66.39</v>
      </c>
      <c r="AJ106" s="76">
        <v>26.85</v>
      </c>
      <c r="AK106" s="76">
        <v>3.6</v>
      </c>
      <c r="AL106" s="76">
        <v>0.3537</v>
      </c>
      <c r="AM106" s="76">
        <v>41.72</v>
      </c>
      <c r="AN106" s="76">
        <v>41.72</v>
      </c>
      <c r="AO106" s="76">
        <v>23.37</v>
      </c>
      <c r="AP106" s="76">
        <v>11.77</v>
      </c>
      <c r="AQ106" s="76">
        <v>6.098</v>
      </c>
      <c r="AR106" s="76">
        <v>0.0915</v>
      </c>
      <c r="AS106" s="76">
        <v>6.0066</v>
      </c>
      <c r="AT106" s="76">
        <v>5.0742</v>
      </c>
      <c r="AU106" s="76">
        <v>0.2173</v>
      </c>
      <c r="AV106" s="76">
        <v>5784.0</v>
      </c>
      <c r="AW106" s="76">
        <v>0.0</v>
      </c>
      <c r="AX106" s="76">
        <v>34.44</v>
      </c>
      <c r="AY106" s="76">
        <v>37.11</v>
      </c>
      <c r="AZ106" s="76">
        <v>2.65</v>
      </c>
      <c r="BA106" s="76">
        <v>5.54</v>
      </c>
      <c r="BB106" s="76">
        <v>1.41</v>
      </c>
      <c r="BC106" s="76">
        <v>33.0</v>
      </c>
      <c r="BD106" s="76">
        <v>19247.0</v>
      </c>
      <c r="BE106" s="76">
        <v>3.3662</v>
      </c>
      <c r="BF106" s="76">
        <v>0.0482</v>
      </c>
      <c r="BG106" s="76">
        <v>3.3179</v>
      </c>
      <c r="BH106" s="76">
        <v>2.5586</v>
      </c>
      <c r="BI106" s="76">
        <v>0.1096</v>
      </c>
      <c r="BJ106" s="76">
        <v>2.7318</v>
      </c>
      <c r="BK106" s="76">
        <v>0.0432</v>
      </c>
      <c r="BL106" s="76">
        <v>2.6886</v>
      </c>
      <c r="BM106" s="76">
        <v>2.5156</v>
      </c>
      <c r="BN106" s="76">
        <v>0.1077</v>
      </c>
      <c r="BO106" s="76">
        <v>1.3696</v>
      </c>
      <c r="BP106" s="76">
        <v>0.0187</v>
      </c>
      <c r="BQ106" s="76">
        <v>1.351</v>
      </c>
      <c r="BR106" s="76">
        <v>1.0448</v>
      </c>
      <c r="BS106" s="76">
        <v>1.3907</v>
      </c>
      <c r="BT106" s="76">
        <v>0.0114</v>
      </c>
      <c r="BU106" s="76">
        <v>1.3793</v>
      </c>
      <c r="BV106" s="76">
        <v>0.9969</v>
      </c>
      <c r="BW106" s="76">
        <v>0.6058</v>
      </c>
      <c r="BX106" s="76">
        <v>0.0182</v>
      </c>
      <c r="BY106" s="76">
        <v>0.5877</v>
      </c>
      <c r="BZ106" s="76">
        <v>0.5169</v>
      </c>
      <c r="CA106" s="76">
        <v>0.4142</v>
      </c>
      <c r="CB106" s="76">
        <v>0.0105</v>
      </c>
      <c r="CC106" s="76">
        <v>0.4037</v>
      </c>
      <c r="CD106" s="76">
        <v>0.5111</v>
      </c>
      <c r="CE106" s="76">
        <v>1.4633</v>
      </c>
      <c r="CF106" s="76">
        <v>0.0182</v>
      </c>
      <c r="CG106" s="76">
        <v>1.4452</v>
      </c>
      <c r="CH106" s="76">
        <v>1.1855</v>
      </c>
      <c r="CI106" s="76">
        <v>0.8543</v>
      </c>
      <c r="CJ106" s="76">
        <v>0.0145</v>
      </c>
      <c r="CK106" s="76">
        <v>0.8397</v>
      </c>
      <c r="CL106" s="76">
        <v>0.819</v>
      </c>
      <c r="CM106" s="76">
        <v>158.98</v>
      </c>
      <c r="CN106" s="76">
        <v>72.75</v>
      </c>
      <c r="CO106" s="76">
        <v>218.52</v>
      </c>
      <c r="CP106" s="76">
        <v>128.26</v>
      </c>
      <c r="CQ106" s="76">
        <v>26.27</v>
      </c>
      <c r="CR106" s="76">
        <v>2.33</v>
      </c>
      <c r="CS106" s="76">
        <v>2.11</v>
      </c>
      <c r="CT106" s="76">
        <v>0.0</v>
      </c>
      <c r="CU106" s="76">
        <v>2366.0</v>
      </c>
      <c r="CV106" s="76">
        <v>2.03</v>
      </c>
      <c r="CW106" s="76">
        <v>83.18</v>
      </c>
      <c r="CX106" s="76">
        <v>3.11</v>
      </c>
      <c r="CY106" s="76">
        <v>29.37</v>
      </c>
    </row>
    <row r="107" ht="15.75" customHeight="1">
      <c r="A107" s="164">
        <v>46238.0</v>
      </c>
      <c r="B107" s="76" t="s">
        <v>5</v>
      </c>
      <c r="C107" s="76" t="s">
        <v>149</v>
      </c>
      <c r="D107" s="76">
        <v>4877.0</v>
      </c>
      <c r="E107" s="76">
        <v>19.08</v>
      </c>
      <c r="F107" s="76">
        <v>469.76</v>
      </c>
      <c r="G107" s="76">
        <v>0.0963</v>
      </c>
      <c r="H107" s="76">
        <v>2.46</v>
      </c>
      <c r="I107" s="76">
        <v>3.9147</v>
      </c>
      <c r="J107" s="76">
        <v>68.28</v>
      </c>
      <c r="K107" s="76">
        <v>38.52</v>
      </c>
      <c r="L107" s="76">
        <v>26.43</v>
      </c>
      <c r="M107" s="76">
        <v>0.6862</v>
      </c>
      <c r="N107" s="76">
        <v>0.4395</v>
      </c>
      <c r="O107" s="76">
        <v>0.2803</v>
      </c>
      <c r="P107" s="76">
        <v>1.4573</v>
      </c>
      <c r="Q107" s="76">
        <v>128.58</v>
      </c>
      <c r="R107" s="76">
        <v>113.32</v>
      </c>
      <c r="S107" s="76">
        <v>15.26</v>
      </c>
      <c r="T107" s="76">
        <v>8.63</v>
      </c>
      <c r="U107" s="76">
        <v>119.95</v>
      </c>
      <c r="V107" s="76">
        <v>142.65</v>
      </c>
      <c r="W107" s="76">
        <v>3.7033</v>
      </c>
      <c r="X107" s="76">
        <v>6.71</v>
      </c>
      <c r="Y107" s="76">
        <v>245.0</v>
      </c>
      <c r="Z107" s="76">
        <v>415.0</v>
      </c>
      <c r="AA107" s="76">
        <v>1061.0</v>
      </c>
      <c r="AB107" s="76">
        <v>53.3131</v>
      </c>
      <c r="AC107" s="76">
        <v>0.7367</v>
      </c>
      <c r="AD107" s="76">
        <v>15.94</v>
      </c>
      <c r="AE107" s="76">
        <v>7.0</v>
      </c>
      <c r="AF107" s="76">
        <v>12.0</v>
      </c>
      <c r="AG107" s="76">
        <v>22.0</v>
      </c>
      <c r="AH107" s="76">
        <v>33.0</v>
      </c>
      <c r="AI107" s="76">
        <v>56.2</v>
      </c>
      <c r="AJ107" s="76">
        <v>19.13</v>
      </c>
      <c r="AK107" s="76">
        <v>4.51</v>
      </c>
      <c r="AL107" s="76">
        <v>0.2666</v>
      </c>
      <c r="AM107" s="76">
        <v>43.1</v>
      </c>
      <c r="AN107" s="76">
        <v>43.1</v>
      </c>
      <c r="AO107" s="76">
        <v>23.48</v>
      </c>
      <c r="AP107" s="76">
        <v>11.95</v>
      </c>
      <c r="AQ107" s="76">
        <v>8.8671</v>
      </c>
      <c r="AR107" s="76">
        <v>0.1665</v>
      </c>
      <c r="AS107" s="76">
        <v>8.7006</v>
      </c>
      <c r="AT107" s="76">
        <v>7.6061</v>
      </c>
      <c r="AU107" s="76">
        <v>0.1975</v>
      </c>
      <c r="AV107" s="76">
        <v>4877.0</v>
      </c>
      <c r="AW107" s="76">
        <v>0.0</v>
      </c>
      <c r="AX107" s="76">
        <v>57.98</v>
      </c>
      <c r="AY107" s="76">
        <v>57.07</v>
      </c>
      <c r="AZ107" s="76">
        <v>3.17</v>
      </c>
      <c r="BA107" s="76">
        <v>8.63</v>
      </c>
      <c r="BB107" s="76">
        <v>1.73</v>
      </c>
      <c r="BC107" s="76">
        <v>60.0</v>
      </c>
      <c r="BD107" s="76">
        <v>14505.0</v>
      </c>
      <c r="BE107" s="76">
        <v>4.7909</v>
      </c>
      <c r="BF107" s="76">
        <v>0.1015</v>
      </c>
      <c r="BG107" s="76">
        <v>4.6894</v>
      </c>
      <c r="BH107" s="76">
        <v>3.7675</v>
      </c>
      <c r="BI107" s="76">
        <v>0.0978</v>
      </c>
      <c r="BJ107" s="76">
        <v>4.0763</v>
      </c>
      <c r="BK107" s="76">
        <v>0.065</v>
      </c>
      <c r="BL107" s="76">
        <v>4.0113</v>
      </c>
      <c r="BM107" s="76">
        <v>3.8386</v>
      </c>
      <c r="BN107" s="76">
        <v>0.0997</v>
      </c>
      <c r="BO107" s="76">
        <v>1.7088</v>
      </c>
      <c r="BP107" s="76">
        <v>0.0306</v>
      </c>
      <c r="BQ107" s="76">
        <v>1.6783</v>
      </c>
      <c r="BR107" s="76">
        <v>1.3957</v>
      </c>
      <c r="BS107" s="76">
        <v>1.8561</v>
      </c>
      <c r="BT107" s="76">
        <v>0.0355</v>
      </c>
      <c r="BU107" s="76">
        <v>1.8206</v>
      </c>
      <c r="BV107" s="76">
        <v>1.4191</v>
      </c>
      <c r="BW107" s="76">
        <v>1.226</v>
      </c>
      <c r="BX107" s="76">
        <v>0.0355</v>
      </c>
      <c r="BY107" s="76">
        <v>1.1905</v>
      </c>
      <c r="BZ107" s="76">
        <v>0.9526</v>
      </c>
      <c r="CA107" s="76">
        <v>0.758</v>
      </c>
      <c r="CB107" s="76">
        <v>0.0137</v>
      </c>
      <c r="CC107" s="76">
        <v>0.7443</v>
      </c>
      <c r="CD107" s="76">
        <v>0.7769</v>
      </c>
      <c r="CE107" s="76">
        <v>1.9321</v>
      </c>
      <c r="CF107" s="76">
        <v>0.0262</v>
      </c>
      <c r="CG107" s="76">
        <v>1.9059</v>
      </c>
      <c r="CH107" s="76">
        <v>1.7101</v>
      </c>
      <c r="CI107" s="76">
        <v>1.3861</v>
      </c>
      <c r="CJ107" s="76">
        <v>0.025</v>
      </c>
      <c r="CK107" s="76">
        <v>1.3611</v>
      </c>
      <c r="CL107" s="76">
        <v>1.3517</v>
      </c>
      <c r="CM107" s="76">
        <v>297.18</v>
      </c>
      <c r="CN107" s="76">
        <v>83.43</v>
      </c>
      <c r="CO107" s="76">
        <v>356.19</v>
      </c>
      <c r="CP107" s="76">
        <v>241.92</v>
      </c>
      <c r="CQ107" s="76">
        <v>48.2</v>
      </c>
      <c r="CR107" s="76">
        <v>3.02</v>
      </c>
      <c r="CS107" s="76">
        <v>4.04</v>
      </c>
      <c r="CT107" s="76">
        <v>0.0</v>
      </c>
      <c r="CU107" s="76">
        <v>2419.0</v>
      </c>
      <c r="CV107" s="76">
        <v>2.38</v>
      </c>
      <c r="CW107" s="76">
        <v>130.96</v>
      </c>
      <c r="CX107" s="76">
        <v>5.33</v>
      </c>
      <c r="CY107" s="76">
        <v>53.53</v>
      </c>
    </row>
    <row r="108" ht="15.75" customHeight="1">
      <c r="A108" s="164">
        <v>46238.0</v>
      </c>
      <c r="B108" s="76" t="s">
        <v>5</v>
      </c>
      <c r="C108" s="76" t="s">
        <v>150</v>
      </c>
      <c r="D108" s="76">
        <v>2896.0</v>
      </c>
      <c r="E108" s="76">
        <v>11.33</v>
      </c>
      <c r="F108" s="76">
        <v>510.28</v>
      </c>
      <c r="G108" s="76">
        <v>0.1762</v>
      </c>
      <c r="H108" s="76">
        <v>3.69</v>
      </c>
      <c r="I108" s="76">
        <v>4.769</v>
      </c>
      <c r="J108" s="76">
        <v>117.37</v>
      </c>
      <c r="K108" s="76">
        <v>72.98</v>
      </c>
      <c r="L108" s="76">
        <v>52.06</v>
      </c>
      <c r="M108" s="76">
        <v>0.7133</v>
      </c>
      <c r="N108" s="76">
        <v>0.3903</v>
      </c>
      <c r="O108" s="76">
        <v>0.2489</v>
      </c>
      <c r="P108" s="76">
        <v>1.4019</v>
      </c>
      <c r="Q108" s="76">
        <v>231.11</v>
      </c>
      <c r="R108" s="76">
        <v>200.66</v>
      </c>
      <c r="S108" s="76">
        <v>30.45</v>
      </c>
      <c r="T108" s="76">
        <v>17.83</v>
      </c>
      <c r="U108" s="76">
        <v>213.27</v>
      </c>
      <c r="V108" s="76">
        <v>244.85</v>
      </c>
      <c r="W108" s="76">
        <v>3.3549</v>
      </c>
      <c r="X108" s="76">
        <v>7.72</v>
      </c>
      <c r="Y108" s="76">
        <v>309.0</v>
      </c>
      <c r="Z108" s="76">
        <v>543.0</v>
      </c>
      <c r="AA108" s="76">
        <v>1219.0</v>
      </c>
      <c r="AB108" s="76">
        <v>55.8959</v>
      </c>
      <c r="AC108" s="76">
        <v>0.7743</v>
      </c>
      <c r="AD108" s="76">
        <v>26.55</v>
      </c>
      <c r="AE108" s="76">
        <v>10.0</v>
      </c>
      <c r="AF108" s="76">
        <v>19.0</v>
      </c>
      <c r="AG108" s="76">
        <v>38.0</v>
      </c>
      <c r="AH108" s="76">
        <v>55.0</v>
      </c>
      <c r="AI108" s="76">
        <v>35.88</v>
      </c>
      <c r="AJ108" s="76">
        <v>8.25</v>
      </c>
      <c r="AK108" s="76">
        <v>1.35</v>
      </c>
      <c r="AL108" s="76">
        <v>0.1747</v>
      </c>
      <c r="AM108" s="76">
        <v>43.02</v>
      </c>
      <c r="AN108" s="76">
        <v>43.02</v>
      </c>
      <c r="AO108" s="76">
        <v>25.55</v>
      </c>
      <c r="AP108" s="76">
        <v>15.61</v>
      </c>
      <c r="AQ108" s="76">
        <v>14.2113</v>
      </c>
      <c r="AR108" s="76">
        <v>0.2994</v>
      </c>
      <c r="AS108" s="76">
        <v>13.9119</v>
      </c>
      <c r="AT108" s="76">
        <v>12.5791</v>
      </c>
      <c r="AU108" s="76">
        <v>0.1724</v>
      </c>
      <c r="AV108" s="76">
        <v>2896.0</v>
      </c>
      <c r="AW108" s="76">
        <v>0.0</v>
      </c>
      <c r="AX108" s="76">
        <v>112.93</v>
      </c>
      <c r="AY108" s="76">
        <v>92.36</v>
      </c>
      <c r="AZ108" s="76">
        <v>3.63</v>
      </c>
      <c r="BA108" s="76">
        <v>17.83</v>
      </c>
      <c r="BB108" s="76">
        <v>4.34</v>
      </c>
      <c r="BC108" s="76">
        <v>105.0</v>
      </c>
      <c r="BD108" s="76">
        <v>13696.0</v>
      </c>
      <c r="BE108" s="76">
        <v>7.586</v>
      </c>
      <c r="BF108" s="76">
        <v>0.1989</v>
      </c>
      <c r="BG108" s="76">
        <v>7.3871</v>
      </c>
      <c r="BH108" s="76">
        <v>5.9865</v>
      </c>
      <c r="BI108" s="76">
        <v>0.082</v>
      </c>
      <c r="BJ108" s="76">
        <v>6.6253</v>
      </c>
      <c r="BK108" s="76">
        <v>0.1005</v>
      </c>
      <c r="BL108" s="76">
        <v>6.5249</v>
      </c>
      <c r="BM108" s="76">
        <v>6.5925</v>
      </c>
      <c r="BN108" s="76">
        <v>0.0903</v>
      </c>
      <c r="BO108" s="76">
        <v>2.6613</v>
      </c>
      <c r="BP108" s="76">
        <v>0.058</v>
      </c>
      <c r="BQ108" s="76">
        <v>2.6032</v>
      </c>
      <c r="BR108" s="76">
        <v>2.1713</v>
      </c>
      <c r="BS108" s="76">
        <v>2.7293</v>
      </c>
      <c r="BT108" s="76">
        <v>0.0673</v>
      </c>
      <c r="BU108" s="76">
        <v>2.6619</v>
      </c>
      <c r="BV108" s="76">
        <v>2.1903</v>
      </c>
      <c r="BW108" s="76">
        <v>2.1954</v>
      </c>
      <c r="BX108" s="76">
        <v>0.0735</v>
      </c>
      <c r="BY108" s="76">
        <v>2.1219</v>
      </c>
      <c r="BZ108" s="76">
        <v>1.625</v>
      </c>
      <c r="CA108" s="76">
        <v>1.0946</v>
      </c>
      <c r="CB108" s="76">
        <v>0.0262</v>
      </c>
      <c r="CC108" s="76">
        <v>1.0684</v>
      </c>
      <c r="CD108" s="76">
        <v>1.4824</v>
      </c>
      <c r="CE108" s="76">
        <v>3.1032</v>
      </c>
      <c r="CF108" s="76">
        <v>0.0418</v>
      </c>
      <c r="CG108" s="76">
        <v>3.0615</v>
      </c>
      <c r="CH108" s="76">
        <v>2.7756</v>
      </c>
      <c r="CI108" s="76">
        <v>2.4275</v>
      </c>
      <c r="CJ108" s="76">
        <v>0.0325</v>
      </c>
      <c r="CK108" s="76">
        <v>2.395</v>
      </c>
      <c r="CL108" s="76">
        <v>2.3346</v>
      </c>
      <c r="CM108" s="76">
        <v>583.39</v>
      </c>
      <c r="CN108" s="76">
        <v>93.37</v>
      </c>
      <c r="CO108" s="76">
        <v>624.82</v>
      </c>
      <c r="CP108" s="76">
        <v>488.48</v>
      </c>
      <c r="CQ108" s="76">
        <v>84.14</v>
      </c>
      <c r="CR108" s="76">
        <v>5.83</v>
      </c>
      <c r="CS108" s="76">
        <v>4.94</v>
      </c>
      <c r="CT108" s="76">
        <v>0.0</v>
      </c>
      <c r="CU108" s="76">
        <v>1610.0</v>
      </c>
      <c r="CV108" s="76">
        <v>2.99</v>
      </c>
      <c r="CW108" s="76">
        <v>234.1</v>
      </c>
      <c r="CX108" s="76">
        <v>7.48</v>
      </c>
      <c r="CY108" s="76">
        <v>91.62</v>
      </c>
    </row>
    <row r="109" ht="15.75" customHeight="1">
      <c r="A109" s="164">
        <v>46238.0</v>
      </c>
      <c r="B109" s="76" t="s">
        <v>5</v>
      </c>
      <c r="C109" s="76" t="s">
        <v>151</v>
      </c>
      <c r="D109" s="76">
        <v>393.0</v>
      </c>
      <c r="E109" s="76">
        <v>1.54</v>
      </c>
      <c r="F109" s="76">
        <v>169.44</v>
      </c>
      <c r="G109" s="76">
        <v>0.4311</v>
      </c>
      <c r="H109" s="76">
        <v>6.62</v>
      </c>
      <c r="I109" s="76">
        <v>6.5169</v>
      </c>
      <c r="J109" s="76">
        <v>232.03</v>
      </c>
      <c r="K109" s="76">
        <v>159.07</v>
      </c>
      <c r="L109" s="76">
        <v>120.43</v>
      </c>
      <c r="M109" s="76">
        <v>0.7571</v>
      </c>
      <c r="N109" s="76">
        <v>0.325</v>
      </c>
      <c r="O109" s="76">
        <v>0.2183</v>
      </c>
      <c r="P109" s="76">
        <v>1.3208</v>
      </c>
      <c r="Q109" s="76">
        <v>462.07</v>
      </c>
      <c r="R109" s="76">
        <v>388.29</v>
      </c>
      <c r="S109" s="76">
        <v>73.78</v>
      </c>
      <c r="T109" s="76">
        <v>45.93</v>
      </c>
      <c r="U109" s="76">
        <v>416.14</v>
      </c>
      <c r="V109" s="76">
        <v>466.41</v>
      </c>
      <c r="W109" s="76">
        <v>2.9322</v>
      </c>
      <c r="X109" s="76">
        <v>9.94</v>
      </c>
      <c r="Y109" s="76">
        <v>415.0</v>
      </c>
      <c r="Z109" s="76">
        <v>747.0</v>
      </c>
      <c r="AA109" s="76">
        <v>1379.0</v>
      </c>
      <c r="AB109" s="76">
        <v>58.7888</v>
      </c>
      <c r="AC109" s="76">
        <v>0.8</v>
      </c>
      <c r="AD109" s="76">
        <v>45.75</v>
      </c>
      <c r="AE109" s="76">
        <v>19.0</v>
      </c>
      <c r="AF109" s="76">
        <v>32.0</v>
      </c>
      <c r="AG109" s="76">
        <v>57.0</v>
      </c>
      <c r="AH109" s="76">
        <v>106.0</v>
      </c>
      <c r="AI109" s="76">
        <v>17.3</v>
      </c>
      <c r="AJ109" s="76">
        <v>1.78</v>
      </c>
      <c r="AK109" s="76">
        <v>0.0</v>
      </c>
      <c r="AL109" s="76">
        <v>0.1196</v>
      </c>
      <c r="AM109" s="76">
        <v>61.32</v>
      </c>
      <c r="AN109" s="76">
        <v>61.32</v>
      </c>
      <c r="AO109" s="76">
        <v>45.29</v>
      </c>
      <c r="AP109" s="76">
        <v>36.64</v>
      </c>
      <c r="AQ109" s="76">
        <v>27.1425</v>
      </c>
      <c r="AR109" s="76">
        <v>0.5751</v>
      </c>
      <c r="AS109" s="76">
        <v>26.5674</v>
      </c>
      <c r="AT109" s="76">
        <v>23.1934</v>
      </c>
      <c r="AU109" s="76">
        <v>0.1458</v>
      </c>
      <c r="AV109" s="76">
        <v>393.0</v>
      </c>
      <c r="AW109" s="76">
        <v>0.0</v>
      </c>
      <c r="AX109" s="76">
        <v>242.9</v>
      </c>
      <c r="AY109" s="76">
        <v>159.63</v>
      </c>
      <c r="AZ109" s="76">
        <v>5.28</v>
      </c>
      <c r="BA109" s="76">
        <v>45.93</v>
      </c>
      <c r="BB109" s="76">
        <v>8.33</v>
      </c>
      <c r="BC109" s="76">
        <v>203.0</v>
      </c>
      <c r="BD109" s="76">
        <v>14486.0</v>
      </c>
      <c r="BE109" s="76">
        <v>14.8422</v>
      </c>
      <c r="BF109" s="76">
        <v>0.2061</v>
      </c>
      <c r="BG109" s="76">
        <v>14.6361</v>
      </c>
      <c r="BH109" s="76">
        <v>10.883</v>
      </c>
      <c r="BI109" s="76">
        <v>0.0684</v>
      </c>
      <c r="BJ109" s="76">
        <v>12.3003</v>
      </c>
      <c r="BK109" s="76">
        <v>0.369</v>
      </c>
      <c r="BL109" s="76">
        <v>11.9313</v>
      </c>
      <c r="BM109" s="76">
        <v>12.3104</v>
      </c>
      <c r="BN109" s="76">
        <v>0.0774</v>
      </c>
      <c r="BO109" s="76">
        <v>5.0916</v>
      </c>
      <c r="BP109" s="76">
        <v>0.0687</v>
      </c>
      <c r="BQ109" s="76">
        <v>5.0229</v>
      </c>
      <c r="BR109" s="76">
        <v>3.8346</v>
      </c>
      <c r="BS109" s="76">
        <v>5.5674</v>
      </c>
      <c r="BT109" s="76">
        <v>0.0687</v>
      </c>
      <c r="BU109" s="76">
        <v>5.4987</v>
      </c>
      <c r="BV109" s="76">
        <v>3.9847</v>
      </c>
      <c r="BW109" s="76">
        <v>4.1832</v>
      </c>
      <c r="BX109" s="76">
        <v>0.0687</v>
      </c>
      <c r="BY109" s="76">
        <v>4.1145</v>
      </c>
      <c r="BZ109" s="76">
        <v>3.0636</v>
      </c>
      <c r="CA109" s="76">
        <v>1.8575</v>
      </c>
      <c r="CB109" s="76">
        <v>0.084</v>
      </c>
      <c r="CC109" s="76">
        <v>1.7735</v>
      </c>
      <c r="CD109" s="76">
        <v>2.5573</v>
      </c>
      <c r="CE109" s="76">
        <v>5.4784</v>
      </c>
      <c r="CF109" s="76">
        <v>0.1425</v>
      </c>
      <c r="CG109" s="76">
        <v>5.3359</v>
      </c>
      <c r="CH109" s="76">
        <v>5.2366</v>
      </c>
      <c r="CI109" s="76">
        <v>4.9644</v>
      </c>
      <c r="CJ109" s="76">
        <v>0.1425</v>
      </c>
      <c r="CK109" s="76">
        <v>4.8219</v>
      </c>
      <c r="CL109" s="76">
        <v>4.5165</v>
      </c>
      <c r="CM109" s="76">
        <v>1447.79</v>
      </c>
      <c r="CN109" s="76">
        <v>97.2</v>
      </c>
      <c r="CO109" s="76">
        <v>1489.48</v>
      </c>
      <c r="CP109" s="76">
        <v>1198.42</v>
      </c>
      <c r="CQ109" s="76">
        <v>231.9</v>
      </c>
      <c r="CR109" s="76">
        <v>10.99</v>
      </c>
      <c r="CS109" s="76">
        <v>6.47</v>
      </c>
      <c r="CT109" s="76">
        <v>0.0</v>
      </c>
      <c r="CU109" s="76">
        <v>259.0</v>
      </c>
      <c r="CV109" s="76">
        <v>12.54</v>
      </c>
      <c r="CW109" s="76">
        <v>474.6</v>
      </c>
      <c r="CX109" s="76">
        <v>29.07</v>
      </c>
      <c r="CY109" s="76">
        <v>260.97</v>
      </c>
    </row>
    <row r="110" ht="15.75" customHeight="1">
      <c r="A110" s="164">
        <v>46239.0</v>
      </c>
      <c r="B110" s="76" t="s">
        <v>4</v>
      </c>
      <c r="C110" s="76" t="s">
        <v>316</v>
      </c>
      <c r="D110" s="76">
        <v>4757.0</v>
      </c>
      <c r="E110" s="76">
        <v>18.46</v>
      </c>
      <c r="F110" s="76">
        <v>363.72</v>
      </c>
      <c r="G110" s="76">
        <v>0.0765</v>
      </c>
      <c r="H110" s="76">
        <v>0.99</v>
      </c>
      <c r="I110" s="76">
        <v>7.7387</v>
      </c>
      <c r="J110" s="76">
        <v>21.03</v>
      </c>
      <c r="K110" s="76">
        <v>11.83</v>
      </c>
      <c r="L110" s="76">
        <v>7.93</v>
      </c>
      <c r="M110" s="76">
        <v>0.6706</v>
      </c>
      <c r="N110" s="76">
        <v>0.4321</v>
      </c>
      <c r="O110" s="76">
        <v>0.2035</v>
      </c>
      <c r="P110" s="76">
        <v>1.4911</v>
      </c>
      <c r="Q110" s="76">
        <v>34.6</v>
      </c>
      <c r="R110" s="76">
        <v>34.43</v>
      </c>
      <c r="S110" s="76">
        <v>0.17</v>
      </c>
      <c r="T110" s="76">
        <v>5.63</v>
      </c>
      <c r="U110" s="76">
        <v>28.97</v>
      </c>
      <c r="V110" s="76">
        <v>28.52</v>
      </c>
      <c r="W110" s="76">
        <v>2.4106</v>
      </c>
      <c r="X110" s="76">
        <v>16.28</v>
      </c>
      <c r="Y110" s="76">
        <v>200.0</v>
      </c>
      <c r="Z110" s="76">
        <v>472.0</v>
      </c>
      <c r="AA110" s="76">
        <v>3705.0</v>
      </c>
      <c r="AB110" s="76">
        <v>49.9941</v>
      </c>
      <c r="AC110" s="76">
        <v>0.5051</v>
      </c>
      <c r="AI110" s="76">
        <v>0.0</v>
      </c>
      <c r="AJ110" s="76">
        <v>0.0</v>
      </c>
      <c r="AK110" s="76">
        <v>0.0</v>
      </c>
      <c r="AL110" s="76">
        <v>0.4927</v>
      </c>
      <c r="AQ110" s="76">
        <v>1.2645</v>
      </c>
      <c r="AR110" s="76">
        <v>0.0338</v>
      </c>
      <c r="AS110" s="76">
        <v>1.2306</v>
      </c>
      <c r="AT110" s="76">
        <v>1.157</v>
      </c>
      <c r="AU110" s="76">
        <v>0.0978</v>
      </c>
      <c r="AV110" s="76">
        <v>4757.0</v>
      </c>
      <c r="AW110" s="76">
        <v>0.0</v>
      </c>
      <c r="AX110" s="76">
        <v>12.4</v>
      </c>
      <c r="AY110" s="76">
        <v>13.77</v>
      </c>
      <c r="AZ110" s="76">
        <v>2.57</v>
      </c>
      <c r="BA110" s="76">
        <v>5.63</v>
      </c>
      <c r="BB110" s="76">
        <v>0.22</v>
      </c>
      <c r="BD110" s="76">
        <v>28731.0</v>
      </c>
      <c r="BE110" s="76">
        <v>0.4696</v>
      </c>
      <c r="BF110" s="76">
        <v>0.0107</v>
      </c>
      <c r="BG110" s="76">
        <v>0.4589</v>
      </c>
      <c r="BH110" s="76">
        <v>0.5104</v>
      </c>
      <c r="BI110" s="76">
        <v>0.0431</v>
      </c>
      <c r="BJ110" s="76">
        <v>0.7948</v>
      </c>
      <c r="BK110" s="76">
        <v>0.0231</v>
      </c>
      <c r="BL110" s="76">
        <v>0.7717</v>
      </c>
      <c r="BM110" s="76">
        <v>0.6466</v>
      </c>
      <c r="BN110" s="76">
        <v>0.0547</v>
      </c>
      <c r="BO110" s="76">
        <v>0.1535</v>
      </c>
      <c r="BP110" s="76">
        <v>0.0036</v>
      </c>
      <c r="BQ110" s="76">
        <v>0.1499</v>
      </c>
      <c r="BR110" s="76">
        <v>0.1854</v>
      </c>
      <c r="BS110" s="76">
        <v>0.1629</v>
      </c>
      <c r="BT110" s="76">
        <v>0.0042</v>
      </c>
      <c r="BU110" s="76">
        <v>0.1587</v>
      </c>
      <c r="BV110" s="76">
        <v>0.1865</v>
      </c>
      <c r="BW110" s="76">
        <v>0.1532</v>
      </c>
      <c r="BX110" s="76">
        <v>0.0029</v>
      </c>
      <c r="BY110" s="76">
        <v>0.1503</v>
      </c>
      <c r="BZ110" s="76">
        <v>0.1385</v>
      </c>
      <c r="CA110" s="76">
        <v>0.1467</v>
      </c>
      <c r="CB110" s="76">
        <v>0.0038</v>
      </c>
      <c r="CC110" s="76">
        <v>0.1429</v>
      </c>
      <c r="CD110" s="76">
        <v>0.136</v>
      </c>
      <c r="CE110" s="76">
        <v>0.4099</v>
      </c>
      <c r="CF110" s="76">
        <v>0.0128</v>
      </c>
      <c r="CG110" s="76">
        <v>0.3971</v>
      </c>
      <c r="CH110" s="76">
        <v>0.2924</v>
      </c>
      <c r="CI110" s="76">
        <v>0.2382</v>
      </c>
      <c r="CJ110" s="76">
        <v>0.0065</v>
      </c>
      <c r="CK110" s="76">
        <v>0.2317</v>
      </c>
      <c r="CL110" s="76">
        <v>0.2182</v>
      </c>
      <c r="CM110" s="76">
        <v>135.5</v>
      </c>
      <c r="CN110" s="76">
        <v>14.04</v>
      </c>
      <c r="CO110" s="76">
        <v>964.9</v>
      </c>
      <c r="CP110" s="76">
        <v>132.25</v>
      </c>
      <c r="CQ110" s="76">
        <v>0.0</v>
      </c>
      <c r="CR110" s="76">
        <v>0.85</v>
      </c>
      <c r="CS110" s="76">
        <v>2.4</v>
      </c>
      <c r="CT110" s="76">
        <v>0.0</v>
      </c>
      <c r="CU110" s="76">
        <v>0.0</v>
      </c>
      <c r="CV110" s="76">
        <v>0.0</v>
      </c>
      <c r="CW110" s="76">
        <v>34.6</v>
      </c>
      <c r="CX110" s="76">
        <v>0.0</v>
      </c>
      <c r="CY110" s="76">
        <v>0.0</v>
      </c>
    </row>
    <row r="111" ht="15.75" customHeight="1">
      <c r="A111" s="164">
        <v>46239.0</v>
      </c>
      <c r="B111" s="76" t="s">
        <v>4</v>
      </c>
      <c r="C111" s="76" t="s">
        <v>147</v>
      </c>
      <c r="D111" s="76">
        <v>7358.0</v>
      </c>
      <c r="E111" s="76">
        <v>28.56</v>
      </c>
      <c r="F111" s="76">
        <v>90.6</v>
      </c>
      <c r="G111" s="76">
        <v>0.0123</v>
      </c>
      <c r="H111" s="76">
        <v>0.71</v>
      </c>
      <c r="I111" s="76">
        <v>1.7423</v>
      </c>
      <c r="J111" s="76">
        <v>21.6</v>
      </c>
      <c r="K111" s="76">
        <v>11.38</v>
      </c>
      <c r="L111" s="76">
        <v>5.14</v>
      </c>
      <c r="M111" s="76">
        <v>0.4516</v>
      </c>
      <c r="N111" s="76">
        <v>0.6519</v>
      </c>
      <c r="O111" s="76">
        <v>0.39</v>
      </c>
      <c r="P111" s="76">
        <v>2.2145</v>
      </c>
      <c r="Q111" s="76">
        <v>40.86</v>
      </c>
      <c r="R111" s="76">
        <v>31.45</v>
      </c>
      <c r="S111" s="76">
        <v>9.4</v>
      </c>
      <c r="T111" s="76">
        <v>1.38</v>
      </c>
      <c r="U111" s="76">
        <v>39.48</v>
      </c>
      <c r="V111" s="76">
        <v>39.99</v>
      </c>
      <c r="W111" s="76">
        <v>3.5154</v>
      </c>
      <c r="X111" s="76">
        <v>3.38</v>
      </c>
      <c r="Y111" s="76">
        <v>203.0</v>
      </c>
      <c r="Z111" s="76">
        <v>355.0</v>
      </c>
      <c r="AA111" s="76">
        <v>1360.0</v>
      </c>
      <c r="AB111" s="76">
        <v>49.5658</v>
      </c>
      <c r="AC111" s="76">
        <v>0.5994</v>
      </c>
      <c r="AD111" s="76">
        <v>3.99</v>
      </c>
      <c r="AE111" s="76">
        <v>2.0</v>
      </c>
      <c r="AF111" s="76">
        <v>3.0</v>
      </c>
      <c r="AG111" s="76">
        <v>5.0</v>
      </c>
      <c r="AH111" s="76">
        <v>8.0</v>
      </c>
      <c r="AI111" s="76">
        <v>74.98</v>
      </c>
      <c r="AJ111" s="76">
        <v>33.32</v>
      </c>
      <c r="AK111" s="76">
        <v>6.27</v>
      </c>
      <c r="AL111" s="76">
        <v>0.4768</v>
      </c>
      <c r="AQ111" s="76">
        <v>2.1657</v>
      </c>
      <c r="AR111" s="76">
        <v>0.0262</v>
      </c>
      <c r="AS111" s="76">
        <v>2.1394</v>
      </c>
      <c r="AT111" s="76">
        <v>2.2452</v>
      </c>
      <c r="AU111" s="76">
        <v>0.1974</v>
      </c>
      <c r="AV111" s="76">
        <v>7358.0</v>
      </c>
      <c r="AW111" s="76">
        <v>0.0</v>
      </c>
      <c r="AX111" s="76">
        <v>28.36</v>
      </c>
      <c r="AY111" s="76">
        <v>8.51</v>
      </c>
      <c r="AZ111" s="76">
        <v>2.12</v>
      </c>
      <c r="BA111" s="76">
        <v>1.38</v>
      </c>
      <c r="BB111" s="76">
        <v>0.5</v>
      </c>
      <c r="BC111" s="76">
        <v>16.0</v>
      </c>
      <c r="BD111" s="76">
        <v>20442.0</v>
      </c>
      <c r="BE111" s="76">
        <v>1.242</v>
      </c>
      <c r="BF111" s="76">
        <v>0.0155</v>
      </c>
      <c r="BG111" s="76">
        <v>1.2266</v>
      </c>
      <c r="BH111" s="76">
        <v>1.2363</v>
      </c>
      <c r="BI111" s="76">
        <v>0.1087</v>
      </c>
      <c r="BJ111" s="76">
        <v>0.9236</v>
      </c>
      <c r="BK111" s="76">
        <v>0.0107</v>
      </c>
      <c r="BL111" s="76">
        <v>0.9129</v>
      </c>
      <c r="BM111" s="76">
        <v>1.0088</v>
      </c>
      <c r="BN111" s="76">
        <v>0.0887</v>
      </c>
      <c r="BO111" s="76">
        <v>0.439</v>
      </c>
      <c r="BP111" s="76">
        <v>0.0087</v>
      </c>
      <c r="BQ111" s="76">
        <v>0.4303</v>
      </c>
      <c r="BR111" s="76">
        <v>0.4931</v>
      </c>
      <c r="BS111" s="76">
        <v>0.5905</v>
      </c>
      <c r="BT111" s="76">
        <v>0.0014</v>
      </c>
      <c r="BU111" s="76">
        <v>0.5892</v>
      </c>
      <c r="BV111" s="76">
        <v>0.5057</v>
      </c>
      <c r="BW111" s="76">
        <v>0.2126</v>
      </c>
      <c r="BX111" s="76">
        <v>0.0054</v>
      </c>
      <c r="BY111" s="76">
        <v>0.2071</v>
      </c>
      <c r="BZ111" s="76">
        <v>0.2376</v>
      </c>
      <c r="CA111" s="76">
        <v>0.1548</v>
      </c>
      <c r="CB111" s="76">
        <v>0.0011</v>
      </c>
      <c r="CC111" s="76">
        <v>0.1537</v>
      </c>
      <c r="CD111" s="76">
        <v>0.1858</v>
      </c>
      <c r="CE111" s="76">
        <v>0.4115</v>
      </c>
      <c r="CF111" s="76">
        <v>0.0046</v>
      </c>
      <c r="CG111" s="76">
        <v>0.4069</v>
      </c>
      <c r="CH111" s="76">
        <v>0.4412</v>
      </c>
      <c r="CI111" s="76">
        <v>0.3573</v>
      </c>
      <c r="CJ111" s="76">
        <v>0.005</v>
      </c>
      <c r="CK111" s="76">
        <v>0.3523</v>
      </c>
      <c r="CL111" s="76">
        <v>0.3819</v>
      </c>
      <c r="CM111" s="76">
        <v>63.48</v>
      </c>
      <c r="CN111" s="76">
        <v>50.54</v>
      </c>
      <c r="CO111" s="76">
        <v>125.6</v>
      </c>
      <c r="CP111" s="76">
        <v>60.57</v>
      </c>
      <c r="CQ111" s="76">
        <v>0.0</v>
      </c>
      <c r="CR111" s="76">
        <v>1.19</v>
      </c>
      <c r="CS111" s="76">
        <v>1.73</v>
      </c>
      <c r="CT111" s="76">
        <v>0.0</v>
      </c>
      <c r="CU111" s="76">
        <v>0.0</v>
      </c>
      <c r="CV111" s="76">
        <v>0.0</v>
      </c>
      <c r="CW111" s="76">
        <v>40.86</v>
      </c>
      <c r="CX111" s="76">
        <v>0.0</v>
      </c>
      <c r="CY111" s="76">
        <v>0.0</v>
      </c>
    </row>
    <row r="112" ht="15.75" customHeight="1">
      <c r="A112" s="164">
        <v>46239.0</v>
      </c>
      <c r="B112" s="76" t="s">
        <v>4</v>
      </c>
      <c r="C112" s="76" t="s">
        <v>148</v>
      </c>
      <c r="D112" s="76">
        <v>5580.0</v>
      </c>
      <c r="E112" s="76">
        <v>21.66</v>
      </c>
      <c r="F112" s="76">
        <v>222.26</v>
      </c>
      <c r="G112" s="76">
        <v>0.0398</v>
      </c>
      <c r="H112" s="76">
        <v>1.83</v>
      </c>
      <c r="I112" s="76">
        <v>2.179</v>
      </c>
      <c r="J112" s="76">
        <v>40.64</v>
      </c>
      <c r="K112" s="76">
        <v>22.78</v>
      </c>
      <c r="L112" s="76">
        <v>13.68</v>
      </c>
      <c r="M112" s="76">
        <v>0.6008</v>
      </c>
      <c r="N112" s="76">
        <v>0.5163</v>
      </c>
      <c r="O112" s="76">
        <v>0.3046</v>
      </c>
      <c r="P112" s="76">
        <v>1.6646</v>
      </c>
      <c r="Q112" s="76">
        <v>83.54</v>
      </c>
      <c r="R112" s="76">
        <v>57.02</v>
      </c>
      <c r="S112" s="76">
        <v>26.52</v>
      </c>
      <c r="T112" s="76">
        <v>3.69</v>
      </c>
      <c r="U112" s="76">
        <v>79.85</v>
      </c>
      <c r="V112" s="76">
        <v>85.83</v>
      </c>
      <c r="W112" s="76">
        <v>3.7685</v>
      </c>
      <c r="X112" s="76">
        <v>4.42</v>
      </c>
      <c r="Y112" s="76">
        <v>236.0</v>
      </c>
      <c r="Z112" s="76">
        <v>417.0</v>
      </c>
      <c r="AA112" s="76">
        <v>1254.0</v>
      </c>
      <c r="AB112" s="76">
        <v>51.771</v>
      </c>
      <c r="AC112" s="76">
        <v>0.6908</v>
      </c>
      <c r="AD112" s="76">
        <v>9.47</v>
      </c>
      <c r="AE112" s="76">
        <v>4.0</v>
      </c>
      <c r="AF112" s="76">
        <v>8.0</v>
      </c>
      <c r="AG112" s="76">
        <v>13.0</v>
      </c>
      <c r="AH112" s="76">
        <v>18.0</v>
      </c>
      <c r="AI112" s="76">
        <v>65.59</v>
      </c>
      <c r="AJ112" s="76">
        <v>27.56</v>
      </c>
      <c r="AK112" s="76">
        <v>2.99</v>
      </c>
      <c r="AL112" s="76">
        <v>0.3561</v>
      </c>
      <c r="AQ112" s="76">
        <v>4.6376</v>
      </c>
      <c r="AR112" s="76">
        <v>0.091</v>
      </c>
      <c r="AS112" s="76">
        <v>4.5466</v>
      </c>
      <c r="AT112" s="76">
        <v>4.4208</v>
      </c>
      <c r="AU112" s="76">
        <v>0.1941</v>
      </c>
      <c r="AV112" s="76">
        <v>5580.0</v>
      </c>
      <c r="AW112" s="76">
        <v>0.0</v>
      </c>
      <c r="AX112" s="76">
        <v>58.49</v>
      </c>
      <c r="AY112" s="76">
        <v>17.64</v>
      </c>
      <c r="AZ112" s="76">
        <v>2.66</v>
      </c>
      <c r="BA112" s="76">
        <v>3.69</v>
      </c>
      <c r="BB112" s="76">
        <v>1.07</v>
      </c>
      <c r="BC112" s="76">
        <v>32.0</v>
      </c>
      <c r="BD112" s="76">
        <v>20499.0</v>
      </c>
      <c r="BE112" s="76">
        <v>2.8106</v>
      </c>
      <c r="BF112" s="76">
        <v>0.064</v>
      </c>
      <c r="BG112" s="76">
        <v>2.7466</v>
      </c>
      <c r="BH112" s="76">
        <v>2.3165</v>
      </c>
      <c r="BI112" s="76">
        <v>0.1017</v>
      </c>
      <c r="BJ112" s="76">
        <v>1.8271</v>
      </c>
      <c r="BK112" s="76">
        <v>0.0271</v>
      </c>
      <c r="BL112" s="76">
        <v>1.8</v>
      </c>
      <c r="BM112" s="76">
        <v>2.1043</v>
      </c>
      <c r="BN112" s="76">
        <v>0.0924</v>
      </c>
      <c r="BO112" s="76">
        <v>1.0326</v>
      </c>
      <c r="BP112" s="76">
        <v>0.0237</v>
      </c>
      <c r="BQ112" s="76">
        <v>1.009</v>
      </c>
      <c r="BR112" s="76">
        <v>0.9007</v>
      </c>
      <c r="BS112" s="76">
        <v>1.2781</v>
      </c>
      <c r="BT112" s="76">
        <v>0.0172</v>
      </c>
      <c r="BU112" s="76">
        <v>1.2609</v>
      </c>
      <c r="BV112" s="76">
        <v>0.947</v>
      </c>
      <c r="BW112" s="76">
        <v>0.4998</v>
      </c>
      <c r="BX112" s="76">
        <v>0.0231</v>
      </c>
      <c r="BY112" s="76">
        <v>0.4767</v>
      </c>
      <c r="BZ112" s="76">
        <v>0.4688</v>
      </c>
      <c r="CA112" s="76">
        <v>0.3007</v>
      </c>
      <c r="CB112" s="76">
        <v>0.0054</v>
      </c>
      <c r="CC112" s="76">
        <v>0.2953</v>
      </c>
      <c r="CD112" s="76">
        <v>0.395</v>
      </c>
      <c r="CE112" s="76">
        <v>0.814</v>
      </c>
      <c r="CF112" s="76">
        <v>0.0111</v>
      </c>
      <c r="CG112" s="76">
        <v>0.8029</v>
      </c>
      <c r="CH112" s="76">
        <v>0.8713</v>
      </c>
      <c r="CI112" s="76">
        <v>0.7124</v>
      </c>
      <c r="CJ112" s="76">
        <v>0.0106</v>
      </c>
      <c r="CK112" s="76">
        <v>0.7018</v>
      </c>
      <c r="CL112" s="76">
        <v>0.838</v>
      </c>
      <c r="CM112" s="76">
        <v>156.23</v>
      </c>
      <c r="CN112" s="76">
        <v>67.19</v>
      </c>
      <c r="CO112" s="76">
        <v>232.54</v>
      </c>
      <c r="CP112" s="76">
        <v>148.81</v>
      </c>
      <c r="CQ112" s="76">
        <v>0.01</v>
      </c>
      <c r="CR112" s="76">
        <v>1.71</v>
      </c>
      <c r="CS112" s="76">
        <v>5.71</v>
      </c>
      <c r="CT112" s="76">
        <v>0.0</v>
      </c>
      <c r="CU112" s="76">
        <v>1.0</v>
      </c>
      <c r="CV112" s="76">
        <v>0.0</v>
      </c>
      <c r="CW112" s="76">
        <v>83.55</v>
      </c>
      <c r="CX112" s="76">
        <v>0.0</v>
      </c>
      <c r="CY112" s="76">
        <v>0.01</v>
      </c>
    </row>
    <row r="113" ht="15.75" customHeight="1">
      <c r="A113" s="164">
        <v>46239.0</v>
      </c>
      <c r="B113" s="76" t="s">
        <v>4</v>
      </c>
      <c r="C113" s="76" t="s">
        <v>149</v>
      </c>
      <c r="D113" s="76">
        <v>4672.0</v>
      </c>
      <c r="E113" s="76">
        <v>18.13</v>
      </c>
      <c r="F113" s="76">
        <v>542.72</v>
      </c>
      <c r="G113" s="76">
        <v>0.1162</v>
      </c>
      <c r="H113" s="76">
        <v>2.4</v>
      </c>
      <c r="I113" s="76">
        <v>4.8457</v>
      </c>
      <c r="J113" s="76">
        <v>59.35</v>
      </c>
      <c r="K113" s="76">
        <v>35.27</v>
      </c>
      <c r="L113" s="76">
        <v>24.97</v>
      </c>
      <c r="M113" s="76">
        <v>0.7079</v>
      </c>
      <c r="N113" s="76">
        <v>0.4144</v>
      </c>
      <c r="O113" s="76">
        <v>0.2672</v>
      </c>
      <c r="P113" s="76">
        <v>1.4125</v>
      </c>
      <c r="Q113" s="76">
        <v>145.95</v>
      </c>
      <c r="R113" s="76">
        <v>95.46</v>
      </c>
      <c r="S113" s="76">
        <v>50.49</v>
      </c>
      <c r="T113" s="76">
        <v>10.02</v>
      </c>
      <c r="U113" s="76">
        <v>135.94</v>
      </c>
      <c r="V113" s="76">
        <v>153.26</v>
      </c>
      <c r="W113" s="76">
        <v>4.3451</v>
      </c>
      <c r="X113" s="76">
        <v>6.86</v>
      </c>
      <c r="Y113" s="76">
        <v>282.0</v>
      </c>
      <c r="Z113" s="76">
        <v>527.0</v>
      </c>
      <c r="AA113" s="76">
        <v>1265.0</v>
      </c>
      <c r="AB113" s="76">
        <v>53.6432</v>
      </c>
      <c r="AC113" s="76">
        <v>0.7742</v>
      </c>
      <c r="AD113" s="76">
        <v>16.41</v>
      </c>
      <c r="AE113" s="76">
        <v>7.0</v>
      </c>
      <c r="AF113" s="76">
        <v>13.0</v>
      </c>
      <c r="AG113" s="76">
        <v>23.0</v>
      </c>
      <c r="AH113" s="76">
        <v>33.0</v>
      </c>
      <c r="AI113" s="76">
        <v>58.95</v>
      </c>
      <c r="AJ113" s="76">
        <v>20.38</v>
      </c>
      <c r="AK113" s="76">
        <v>4.28</v>
      </c>
      <c r="AL113" s="76">
        <v>0.2892</v>
      </c>
      <c r="AQ113" s="76">
        <v>7.875</v>
      </c>
      <c r="AR113" s="76">
        <v>0.1706</v>
      </c>
      <c r="AS113" s="76">
        <v>7.7044</v>
      </c>
      <c r="AT113" s="76">
        <v>7.0</v>
      </c>
      <c r="AU113" s="76">
        <v>0.1985</v>
      </c>
      <c r="AV113" s="76">
        <v>4672.0</v>
      </c>
      <c r="AW113" s="76">
        <v>0.0</v>
      </c>
      <c r="AX113" s="76">
        <v>101.04</v>
      </c>
      <c r="AY113" s="76">
        <v>30.38</v>
      </c>
      <c r="AZ113" s="76">
        <v>2.55</v>
      </c>
      <c r="BA113" s="76">
        <v>10.02</v>
      </c>
      <c r="BB113" s="76">
        <v>1.97</v>
      </c>
      <c r="BC113" s="76">
        <v>58.0</v>
      </c>
      <c r="BD113" s="76">
        <v>16117.0</v>
      </c>
      <c r="BE113" s="76">
        <v>4.7748</v>
      </c>
      <c r="BF113" s="76">
        <v>0.0931</v>
      </c>
      <c r="BG113" s="76">
        <v>4.6817</v>
      </c>
      <c r="BH113" s="76">
        <v>3.5901</v>
      </c>
      <c r="BI113" s="76">
        <v>0.1018</v>
      </c>
      <c r="BJ113" s="76">
        <v>3.1002</v>
      </c>
      <c r="BK113" s="76">
        <v>0.0775</v>
      </c>
      <c r="BL113" s="76">
        <v>3.0227</v>
      </c>
      <c r="BM113" s="76">
        <v>3.4099</v>
      </c>
      <c r="BN113" s="76">
        <v>0.0967</v>
      </c>
      <c r="BO113" s="76">
        <v>1.8645</v>
      </c>
      <c r="BP113" s="76">
        <v>0.0304</v>
      </c>
      <c r="BQ113" s="76">
        <v>1.8341</v>
      </c>
      <c r="BR113" s="76">
        <v>1.4107</v>
      </c>
      <c r="BS113" s="76">
        <v>2.0454</v>
      </c>
      <c r="BT113" s="76">
        <v>0.0278</v>
      </c>
      <c r="BU113" s="76">
        <v>2.0176</v>
      </c>
      <c r="BV113" s="76">
        <v>1.4488</v>
      </c>
      <c r="BW113" s="76">
        <v>0.8649</v>
      </c>
      <c r="BX113" s="76">
        <v>0.0349</v>
      </c>
      <c r="BY113" s="76">
        <v>0.8301</v>
      </c>
      <c r="BZ113" s="76">
        <v>0.7305</v>
      </c>
      <c r="CA113" s="76">
        <v>0.5413</v>
      </c>
      <c r="CB113" s="76">
        <v>0.0216</v>
      </c>
      <c r="CC113" s="76">
        <v>0.5197</v>
      </c>
      <c r="CD113" s="76">
        <v>0.6751</v>
      </c>
      <c r="CE113" s="76">
        <v>1.3029</v>
      </c>
      <c r="CF113" s="76">
        <v>0.0289</v>
      </c>
      <c r="CG113" s="76">
        <v>1.274</v>
      </c>
      <c r="CH113" s="76">
        <v>1.3273</v>
      </c>
      <c r="CI113" s="76">
        <v>1.256</v>
      </c>
      <c r="CJ113" s="76">
        <v>0.027</v>
      </c>
      <c r="CK113" s="76">
        <v>1.229</v>
      </c>
      <c r="CL113" s="76">
        <v>1.4075</v>
      </c>
      <c r="CM113" s="76">
        <v>298.99</v>
      </c>
      <c r="CN113" s="76">
        <v>80.5</v>
      </c>
      <c r="CO113" s="76">
        <v>371.41</v>
      </c>
      <c r="CP113" s="76">
        <v>284.71</v>
      </c>
      <c r="CQ113" s="76">
        <v>0.02</v>
      </c>
      <c r="CR113" s="76">
        <v>3.4</v>
      </c>
      <c r="CS113" s="76">
        <v>10.86</v>
      </c>
      <c r="CT113" s="76">
        <v>0.0</v>
      </c>
      <c r="CU113" s="76">
        <v>1.0</v>
      </c>
      <c r="CV113" s="76">
        <v>0.01</v>
      </c>
      <c r="CW113" s="76">
        <v>145.96</v>
      </c>
      <c r="CX113" s="76">
        <v>0.0</v>
      </c>
      <c r="CY113" s="76">
        <v>0.02</v>
      </c>
    </row>
    <row r="114" ht="15.75" customHeight="1">
      <c r="A114" s="164">
        <v>46239.0</v>
      </c>
      <c r="B114" s="76" t="s">
        <v>4</v>
      </c>
      <c r="C114" s="76" t="s">
        <v>150</v>
      </c>
      <c r="D114" s="76">
        <v>2991.0</v>
      </c>
      <c r="E114" s="76">
        <v>11.61</v>
      </c>
      <c r="F114" s="76">
        <v>622.65</v>
      </c>
      <c r="G114" s="76">
        <v>0.2082</v>
      </c>
      <c r="H114" s="76">
        <v>3.38</v>
      </c>
      <c r="I114" s="76">
        <v>6.1649</v>
      </c>
      <c r="J114" s="76">
        <v>112.24</v>
      </c>
      <c r="K114" s="76">
        <v>71.44</v>
      </c>
      <c r="L114" s="76">
        <v>52.83</v>
      </c>
      <c r="M114" s="76">
        <v>0.7395</v>
      </c>
      <c r="N114" s="76">
        <v>0.3677</v>
      </c>
      <c r="O114" s="76">
        <v>0.2393</v>
      </c>
      <c r="P114" s="76">
        <v>1.3523</v>
      </c>
      <c r="Q114" s="76">
        <v>275.65</v>
      </c>
      <c r="R114" s="76">
        <v>166.08</v>
      </c>
      <c r="S114" s="76">
        <v>109.57</v>
      </c>
      <c r="T114" s="76">
        <v>18.14</v>
      </c>
      <c r="U114" s="76">
        <v>257.51</v>
      </c>
      <c r="V114" s="76">
        <v>288.82</v>
      </c>
      <c r="W114" s="76">
        <v>4.0428</v>
      </c>
      <c r="X114" s="76">
        <v>6.58</v>
      </c>
      <c r="Y114" s="76">
        <v>345.0</v>
      </c>
      <c r="Z114" s="76">
        <v>677.0</v>
      </c>
      <c r="AA114" s="76">
        <v>1713.0</v>
      </c>
      <c r="AB114" s="76">
        <v>56.0417</v>
      </c>
      <c r="AC114" s="76">
        <v>0.7908</v>
      </c>
      <c r="AD114" s="76">
        <v>29.2</v>
      </c>
      <c r="AE114" s="76">
        <v>11.0</v>
      </c>
      <c r="AF114" s="76">
        <v>21.0</v>
      </c>
      <c r="AG114" s="76">
        <v>41.0</v>
      </c>
      <c r="AH114" s="76">
        <v>63.0</v>
      </c>
      <c r="AI114" s="76">
        <v>39.65</v>
      </c>
      <c r="AJ114" s="76">
        <v>11.77</v>
      </c>
      <c r="AK114" s="76">
        <v>2.54</v>
      </c>
      <c r="AL114" s="76">
        <v>0.1628</v>
      </c>
      <c r="AQ114" s="76">
        <v>14.8047</v>
      </c>
      <c r="AR114" s="76">
        <v>0.2514</v>
      </c>
      <c r="AS114" s="76">
        <v>14.5533</v>
      </c>
      <c r="AT114" s="76">
        <v>12.8506</v>
      </c>
      <c r="AU114" s="76">
        <v>0.1799</v>
      </c>
      <c r="AV114" s="76">
        <v>2991.0</v>
      </c>
      <c r="AW114" s="76">
        <v>0.0</v>
      </c>
      <c r="AX114" s="76">
        <v>195.86</v>
      </c>
      <c r="AY114" s="76">
        <v>54.18</v>
      </c>
      <c r="AZ114" s="76">
        <v>3.31</v>
      </c>
      <c r="BA114" s="76">
        <v>18.14</v>
      </c>
      <c r="BB114" s="76">
        <v>4.16</v>
      </c>
      <c r="BC114" s="76">
        <v>120.0</v>
      </c>
      <c r="BD114" s="76">
        <v>16499.0</v>
      </c>
      <c r="BE114" s="76">
        <v>8.777</v>
      </c>
      <c r="BF114" s="76">
        <v>0.1123</v>
      </c>
      <c r="BG114" s="76">
        <v>8.6647</v>
      </c>
      <c r="BH114" s="76">
        <v>6.6526</v>
      </c>
      <c r="BI114" s="76">
        <v>0.0931</v>
      </c>
      <c r="BJ114" s="76">
        <v>6.0277</v>
      </c>
      <c r="BK114" s="76">
        <v>0.1391</v>
      </c>
      <c r="BL114" s="76">
        <v>5.8887</v>
      </c>
      <c r="BM114" s="76">
        <v>6.1979</v>
      </c>
      <c r="BN114" s="76">
        <v>0.0868</v>
      </c>
      <c r="BO114" s="76">
        <v>3.4848</v>
      </c>
      <c r="BP114" s="76">
        <v>0.0381</v>
      </c>
      <c r="BQ114" s="76">
        <v>3.4467</v>
      </c>
      <c r="BR114" s="76">
        <v>2.6262</v>
      </c>
      <c r="BS114" s="76">
        <v>3.6677</v>
      </c>
      <c r="BT114" s="76">
        <v>0.0331</v>
      </c>
      <c r="BU114" s="76">
        <v>3.6346</v>
      </c>
      <c r="BV114" s="76">
        <v>2.7041</v>
      </c>
      <c r="BW114" s="76">
        <v>1.6245</v>
      </c>
      <c r="BX114" s="76">
        <v>0.0411</v>
      </c>
      <c r="BY114" s="76">
        <v>1.5834</v>
      </c>
      <c r="BZ114" s="76">
        <v>1.3223</v>
      </c>
      <c r="CA114" s="76">
        <v>1.1638</v>
      </c>
      <c r="CB114" s="76">
        <v>0.0401</v>
      </c>
      <c r="CC114" s="76">
        <v>1.1237</v>
      </c>
      <c r="CD114" s="76">
        <v>1.3437</v>
      </c>
      <c r="CE114" s="76">
        <v>2.5186</v>
      </c>
      <c r="CF114" s="76">
        <v>0.0525</v>
      </c>
      <c r="CG114" s="76">
        <v>2.4661</v>
      </c>
      <c r="CH114" s="76">
        <v>2.4527</v>
      </c>
      <c r="CI114" s="76">
        <v>2.3454</v>
      </c>
      <c r="CJ114" s="76">
        <v>0.0465</v>
      </c>
      <c r="CK114" s="76">
        <v>2.2989</v>
      </c>
      <c r="CL114" s="76">
        <v>2.4015</v>
      </c>
      <c r="CM114" s="76">
        <v>697.35</v>
      </c>
      <c r="CN114" s="76">
        <v>92.11</v>
      </c>
      <c r="CO114" s="76">
        <v>757.09</v>
      </c>
      <c r="CP114" s="76">
        <v>676.02</v>
      </c>
      <c r="CQ114" s="76">
        <v>0.04</v>
      </c>
      <c r="CR114" s="76">
        <v>5.78</v>
      </c>
      <c r="CS114" s="76">
        <v>15.5</v>
      </c>
      <c r="CT114" s="76">
        <v>0.0</v>
      </c>
      <c r="CU114" s="76">
        <v>0.0</v>
      </c>
      <c r="CV114" s="76">
        <v>0.0</v>
      </c>
      <c r="CW114" s="76">
        <v>275.65</v>
      </c>
      <c r="CX114" s="76">
        <v>0.0</v>
      </c>
      <c r="CY114" s="76">
        <v>0.04</v>
      </c>
    </row>
    <row r="115" ht="15.75" customHeight="1">
      <c r="A115" s="164">
        <v>46239.0</v>
      </c>
      <c r="B115" s="76" t="s">
        <v>4</v>
      </c>
      <c r="C115" s="76" t="s">
        <v>151</v>
      </c>
      <c r="D115" s="76">
        <v>406.0</v>
      </c>
      <c r="E115" s="76">
        <v>1.58</v>
      </c>
      <c r="F115" s="76">
        <v>116.54</v>
      </c>
      <c r="G115" s="76">
        <v>0.287</v>
      </c>
      <c r="H115" s="76">
        <v>5.17</v>
      </c>
      <c r="I115" s="76">
        <v>5.5495</v>
      </c>
      <c r="J115" s="76">
        <v>243.86</v>
      </c>
      <c r="K115" s="76">
        <v>166.84</v>
      </c>
      <c r="L115" s="76">
        <v>129.52</v>
      </c>
      <c r="M115" s="76">
        <v>0.7763</v>
      </c>
      <c r="N115" s="76">
        <v>0.3058</v>
      </c>
      <c r="O115" s="76">
        <v>0.2033</v>
      </c>
      <c r="P115" s="76">
        <v>1.2881</v>
      </c>
      <c r="Q115" s="76">
        <v>619.53</v>
      </c>
      <c r="R115" s="76">
        <v>347.74</v>
      </c>
      <c r="S115" s="76">
        <v>271.79</v>
      </c>
      <c r="T115" s="76">
        <v>30.67</v>
      </c>
      <c r="U115" s="76">
        <v>588.86</v>
      </c>
      <c r="V115" s="76">
        <v>600.62</v>
      </c>
      <c r="W115" s="76">
        <v>3.6</v>
      </c>
      <c r="X115" s="76">
        <v>4.95</v>
      </c>
      <c r="Y115" s="76">
        <v>460.0</v>
      </c>
      <c r="Z115" s="76">
        <v>1051.0</v>
      </c>
      <c r="AA115" s="76">
        <v>2103.0</v>
      </c>
      <c r="AB115" s="76">
        <v>59.4445</v>
      </c>
      <c r="AC115" s="76">
        <v>0.8409</v>
      </c>
      <c r="AD115" s="76">
        <v>59.07</v>
      </c>
      <c r="AE115" s="76">
        <v>21.0</v>
      </c>
      <c r="AF115" s="76">
        <v>41.0</v>
      </c>
      <c r="AG115" s="76">
        <v>80.0</v>
      </c>
      <c r="AH115" s="76">
        <v>127.0</v>
      </c>
      <c r="AI115" s="76">
        <v>25.12</v>
      </c>
      <c r="AJ115" s="76">
        <v>5.42</v>
      </c>
      <c r="AK115" s="76">
        <v>0.74</v>
      </c>
      <c r="AL115" s="76">
        <v>0.0911</v>
      </c>
      <c r="AQ115" s="76">
        <v>33.7734</v>
      </c>
      <c r="AR115" s="76">
        <v>0.3522</v>
      </c>
      <c r="AS115" s="76">
        <v>33.4212</v>
      </c>
      <c r="AT115" s="76">
        <v>33.5542</v>
      </c>
      <c r="AU115" s="76">
        <v>0.2011</v>
      </c>
      <c r="AV115" s="76">
        <v>406.0</v>
      </c>
      <c r="AW115" s="76">
        <v>0.0</v>
      </c>
      <c r="AX115" s="76">
        <v>459.37</v>
      </c>
      <c r="AY115" s="76">
        <v>108.24</v>
      </c>
      <c r="AZ115" s="76">
        <v>6.34</v>
      </c>
      <c r="BA115" s="76">
        <v>30.67</v>
      </c>
      <c r="BB115" s="76">
        <v>14.91</v>
      </c>
      <c r="BC115" s="76">
        <v>244.0</v>
      </c>
      <c r="BD115" s="76">
        <v>11650.0</v>
      </c>
      <c r="BE115" s="76">
        <v>19.9261</v>
      </c>
      <c r="BF115" s="76">
        <v>0.1552</v>
      </c>
      <c r="BG115" s="76">
        <v>19.7709</v>
      </c>
      <c r="BH115" s="76">
        <v>14.6921</v>
      </c>
      <c r="BI115" s="76">
        <v>0.0881</v>
      </c>
      <c r="BJ115" s="76">
        <v>13.8473</v>
      </c>
      <c r="BK115" s="76">
        <v>0.197</v>
      </c>
      <c r="BL115" s="76">
        <v>13.6502</v>
      </c>
      <c r="BM115" s="76">
        <v>18.8621</v>
      </c>
      <c r="BN115" s="76">
        <v>0.1131</v>
      </c>
      <c r="BO115" s="76">
        <v>7.8128</v>
      </c>
      <c r="BP115" s="76">
        <v>0.0493</v>
      </c>
      <c r="BQ115" s="76">
        <v>7.7635</v>
      </c>
      <c r="BR115" s="76">
        <v>5.6773</v>
      </c>
      <c r="BS115" s="76">
        <v>8.4507</v>
      </c>
      <c r="BT115" s="76">
        <v>0.0567</v>
      </c>
      <c r="BU115" s="76">
        <v>8.3941</v>
      </c>
      <c r="BV115" s="76">
        <v>5.968</v>
      </c>
      <c r="BW115" s="76">
        <v>3.6626</v>
      </c>
      <c r="BX115" s="76">
        <v>0.0493</v>
      </c>
      <c r="BY115" s="76">
        <v>3.6133</v>
      </c>
      <c r="BZ115" s="76">
        <v>3.0468</v>
      </c>
      <c r="CA115" s="76">
        <v>2.867</v>
      </c>
      <c r="CB115" s="76">
        <v>0.0493</v>
      </c>
      <c r="CC115" s="76">
        <v>2.8177</v>
      </c>
      <c r="CD115" s="76">
        <v>7.5197</v>
      </c>
      <c r="CE115" s="76">
        <v>5.6897</v>
      </c>
      <c r="CF115" s="76">
        <v>0.0813</v>
      </c>
      <c r="CG115" s="76">
        <v>5.6084</v>
      </c>
      <c r="CH115" s="76">
        <v>5.5049</v>
      </c>
      <c r="CI115" s="76">
        <v>5.2906</v>
      </c>
      <c r="CJ115" s="76">
        <v>0.0665</v>
      </c>
      <c r="CK115" s="76">
        <v>5.2241</v>
      </c>
      <c r="CL115" s="76">
        <v>5.8374</v>
      </c>
      <c r="CM115" s="76">
        <v>1758.59</v>
      </c>
      <c r="CN115" s="76">
        <v>96.55</v>
      </c>
      <c r="CO115" s="76">
        <v>1821.4</v>
      </c>
      <c r="CP115" s="76">
        <v>1727.56</v>
      </c>
      <c r="CQ115" s="76">
        <v>0.0</v>
      </c>
      <c r="CR115" s="76">
        <v>10.69</v>
      </c>
      <c r="CS115" s="76">
        <v>20.34</v>
      </c>
      <c r="CT115" s="76">
        <v>0.0</v>
      </c>
      <c r="CU115" s="76">
        <v>0.0</v>
      </c>
      <c r="CV115" s="76">
        <v>0.0</v>
      </c>
      <c r="CW115" s="76">
        <v>619.53</v>
      </c>
      <c r="CX115" s="76">
        <v>0.0</v>
      </c>
      <c r="CY115" s="76">
        <v>0.0</v>
      </c>
    </row>
    <row r="116" ht="15.75" customHeight="1">
      <c r="A116" s="164">
        <v>46239.0</v>
      </c>
      <c r="B116" s="76" t="s">
        <v>5</v>
      </c>
      <c r="C116" s="76" t="s">
        <v>316</v>
      </c>
      <c r="D116" s="76">
        <v>4678.0</v>
      </c>
      <c r="E116" s="76">
        <v>18.29</v>
      </c>
      <c r="F116" s="76">
        <v>367.16</v>
      </c>
      <c r="G116" s="76">
        <v>0.0785</v>
      </c>
      <c r="H116" s="76">
        <v>1.13</v>
      </c>
      <c r="I116" s="76">
        <v>6.9275</v>
      </c>
      <c r="J116" s="76">
        <v>23.22</v>
      </c>
      <c r="K116" s="76">
        <v>12.47</v>
      </c>
      <c r="L116" s="76">
        <v>8.7</v>
      </c>
      <c r="M116" s="76">
        <v>0.6976</v>
      </c>
      <c r="N116" s="76">
        <v>0.4266</v>
      </c>
      <c r="O116" s="76">
        <v>0.223</v>
      </c>
      <c r="P116" s="76">
        <v>1.4335</v>
      </c>
      <c r="Q116" s="76">
        <v>52.25</v>
      </c>
      <c r="R116" s="76">
        <v>52.16</v>
      </c>
      <c r="S116" s="76">
        <v>0.09</v>
      </c>
      <c r="T116" s="76">
        <v>5.94</v>
      </c>
      <c r="U116" s="76">
        <v>46.3</v>
      </c>
      <c r="V116" s="76">
        <v>41.13</v>
      </c>
      <c r="W116" s="76">
        <v>3.297</v>
      </c>
      <c r="X116" s="76">
        <v>11.37</v>
      </c>
      <c r="Y116" s="76">
        <v>200.0</v>
      </c>
      <c r="Z116" s="76">
        <v>399.0</v>
      </c>
      <c r="AA116" s="76">
        <v>2553.0</v>
      </c>
      <c r="AB116" s="76">
        <v>49.6769</v>
      </c>
      <c r="AC116" s="76">
        <v>0.4891</v>
      </c>
      <c r="AI116" s="76">
        <v>0.0</v>
      </c>
      <c r="AJ116" s="76">
        <v>0.0</v>
      </c>
      <c r="AK116" s="76">
        <v>0.0</v>
      </c>
      <c r="AL116" s="76">
        <v>0.4917</v>
      </c>
      <c r="AM116" s="76">
        <v>9.53</v>
      </c>
      <c r="AN116" s="76">
        <v>9.53</v>
      </c>
      <c r="AO116" s="76">
        <v>5.28</v>
      </c>
      <c r="AP116" s="76">
        <v>2.33</v>
      </c>
      <c r="AQ116" s="76">
        <v>2.6248</v>
      </c>
      <c r="AR116" s="76">
        <v>0.0703</v>
      </c>
      <c r="AS116" s="76">
        <v>2.5545</v>
      </c>
      <c r="AT116" s="76">
        <v>1.7255</v>
      </c>
      <c r="AU116" s="76">
        <v>0.1383</v>
      </c>
      <c r="AV116" s="76">
        <v>4678.0</v>
      </c>
      <c r="AW116" s="76">
        <v>0.0</v>
      </c>
      <c r="AX116" s="76">
        <v>8.58</v>
      </c>
      <c r="AY116" s="76">
        <v>34.89</v>
      </c>
      <c r="AZ116" s="76">
        <v>2.53</v>
      </c>
      <c r="BA116" s="76">
        <v>5.94</v>
      </c>
      <c r="BB116" s="76">
        <v>0.3</v>
      </c>
      <c r="BD116" s="76">
        <v>25824.0</v>
      </c>
      <c r="BE116" s="76">
        <v>0.7567</v>
      </c>
      <c r="BF116" s="76">
        <v>0.0301</v>
      </c>
      <c r="BG116" s="76">
        <v>0.7266</v>
      </c>
      <c r="BH116" s="76">
        <v>0.7828</v>
      </c>
      <c r="BI116" s="76">
        <v>0.0628</v>
      </c>
      <c r="BJ116" s="76">
        <v>1.8681</v>
      </c>
      <c r="BK116" s="76">
        <v>0.0402</v>
      </c>
      <c r="BL116" s="76">
        <v>1.8279</v>
      </c>
      <c r="BM116" s="76">
        <v>0.9427</v>
      </c>
      <c r="BN116" s="76">
        <v>0.0756</v>
      </c>
      <c r="BO116" s="76">
        <v>0.285</v>
      </c>
      <c r="BP116" s="76">
        <v>0.0103</v>
      </c>
      <c r="BQ116" s="76">
        <v>0.2747</v>
      </c>
      <c r="BR116" s="76">
        <v>0.2986</v>
      </c>
      <c r="BS116" s="76">
        <v>0.2452</v>
      </c>
      <c r="BT116" s="76">
        <v>0.0096</v>
      </c>
      <c r="BU116" s="76">
        <v>0.2356</v>
      </c>
      <c r="BV116" s="76">
        <v>0.2636</v>
      </c>
      <c r="BW116" s="76">
        <v>0.2266</v>
      </c>
      <c r="BX116" s="76">
        <v>0.0103</v>
      </c>
      <c r="BY116" s="76">
        <v>0.2163</v>
      </c>
      <c r="BZ116" s="76">
        <v>0.2206</v>
      </c>
      <c r="CA116" s="76">
        <v>0.444</v>
      </c>
      <c r="CB116" s="76">
        <v>0.012</v>
      </c>
      <c r="CC116" s="76">
        <v>0.432</v>
      </c>
      <c r="CD116" s="76">
        <v>0.2084</v>
      </c>
      <c r="CE116" s="76">
        <v>0.7486</v>
      </c>
      <c r="CF116" s="76">
        <v>0.0154</v>
      </c>
      <c r="CG116" s="76">
        <v>0.7332</v>
      </c>
      <c r="CH116" s="76">
        <v>0.3375</v>
      </c>
      <c r="CI116" s="76">
        <v>0.6755</v>
      </c>
      <c r="CJ116" s="76">
        <v>0.0128</v>
      </c>
      <c r="CK116" s="76">
        <v>0.6627</v>
      </c>
      <c r="CL116" s="76">
        <v>0.3968</v>
      </c>
      <c r="CM116" s="76">
        <v>142.56</v>
      </c>
      <c r="CN116" s="76">
        <v>15.52</v>
      </c>
      <c r="CO116" s="76">
        <v>918.61</v>
      </c>
      <c r="CP116" s="76">
        <v>120.41</v>
      </c>
      <c r="CQ116" s="76">
        <v>20.69</v>
      </c>
      <c r="CR116" s="76">
        <v>0.52</v>
      </c>
      <c r="CS116" s="76">
        <v>0.94</v>
      </c>
      <c r="CT116" s="76">
        <v>0.0</v>
      </c>
      <c r="CU116" s="76">
        <v>1223.0</v>
      </c>
      <c r="CV116" s="76">
        <v>45.13</v>
      </c>
      <c r="CW116" s="76">
        <v>97.38</v>
      </c>
      <c r="CX116" s="76">
        <v>2.41</v>
      </c>
      <c r="CY116" s="76">
        <v>23.1</v>
      </c>
    </row>
    <row r="117" ht="15.75" customHeight="1">
      <c r="A117" s="164">
        <v>46239.0</v>
      </c>
      <c r="B117" s="76" t="s">
        <v>5</v>
      </c>
      <c r="C117" s="76" t="s">
        <v>147</v>
      </c>
      <c r="D117" s="76">
        <v>7206.0</v>
      </c>
      <c r="E117" s="76">
        <v>28.18</v>
      </c>
      <c r="F117" s="76">
        <v>141.11</v>
      </c>
      <c r="G117" s="76">
        <v>0.0196</v>
      </c>
      <c r="H117" s="76">
        <v>0.78</v>
      </c>
      <c r="I117" s="76">
        <v>2.5198</v>
      </c>
      <c r="J117" s="76">
        <v>21.09</v>
      </c>
      <c r="K117" s="76">
        <v>10.94</v>
      </c>
      <c r="L117" s="76">
        <v>5.1</v>
      </c>
      <c r="M117" s="76">
        <v>0.4659</v>
      </c>
      <c r="N117" s="76">
        <v>0.6338</v>
      </c>
      <c r="O117" s="76">
        <v>0.3789</v>
      </c>
      <c r="P117" s="76">
        <v>2.1464</v>
      </c>
      <c r="Q117" s="76">
        <v>34.49</v>
      </c>
      <c r="R117" s="76">
        <v>31.49</v>
      </c>
      <c r="S117" s="76">
        <v>3.0</v>
      </c>
      <c r="T117" s="76">
        <v>1.52</v>
      </c>
      <c r="U117" s="76">
        <v>32.97</v>
      </c>
      <c r="V117" s="76">
        <v>35.36</v>
      </c>
      <c r="W117" s="76">
        <v>3.2309</v>
      </c>
      <c r="X117" s="76">
        <v>4.42</v>
      </c>
      <c r="Y117" s="76">
        <v>200.0</v>
      </c>
      <c r="Z117" s="76">
        <v>317.0</v>
      </c>
      <c r="AA117" s="76">
        <v>1202.0</v>
      </c>
      <c r="AB117" s="76">
        <v>49.8935</v>
      </c>
      <c r="AC117" s="76">
        <v>0.6119</v>
      </c>
      <c r="AD117" s="76">
        <v>3.97</v>
      </c>
      <c r="AE117" s="76">
        <v>2.0</v>
      </c>
      <c r="AF117" s="76">
        <v>3.0</v>
      </c>
      <c r="AG117" s="76">
        <v>5.0</v>
      </c>
      <c r="AH117" s="76">
        <v>8.0</v>
      </c>
      <c r="AI117" s="76">
        <v>74.99</v>
      </c>
      <c r="AJ117" s="76">
        <v>33.4</v>
      </c>
      <c r="AK117" s="76">
        <v>6.23</v>
      </c>
      <c r="AL117" s="76">
        <v>0.4881</v>
      </c>
      <c r="AM117" s="76">
        <v>33.28</v>
      </c>
      <c r="AN117" s="76">
        <v>33.28</v>
      </c>
      <c r="AO117" s="76">
        <v>15.53</v>
      </c>
      <c r="AP117" s="76">
        <v>4.69</v>
      </c>
      <c r="AQ117" s="76">
        <v>2.8425</v>
      </c>
      <c r="AR117" s="76">
        <v>0.0358</v>
      </c>
      <c r="AS117" s="76">
        <v>2.8067</v>
      </c>
      <c r="AT117" s="76">
        <v>2.4185</v>
      </c>
      <c r="AU117" s="76">
        <v>0.221</v>
      </c>
      <c r="AV117" s="76">
        <v>7206.0</v>
      </c>
      <c r="AW117" s="76">
        <v>0.0</v>
      </c>
      <c r="AX117" s="76">
        <v>16.79</v>
      </c>
      <c r="AY117" s="76">
        <v>13.72</v>
      </c>
      <c r="AZ117" s="76">
        <v>1.82</v>
      </c>
      <c r="BA117" s="76">
        <v>1.52</v>
      </c>
      <c r="BB117" s="76">
        <v>0.64</v>
      </c>
      <c r="BC117" s="76">
        <v>16.0</v>
      </c>
      <c r="BD117" s="76">
        <v>17559.0</v>
      </c>
      <c r="BE117" s="76">
        <v>1.5895</v>
      </c>
      <c r="BF117" s="76">
        <v>0.0183</v>
      </c>
      <c r="BG117" s="76">
        <v>1.5712</v>
      </c>
      <c r="BH117" s="76">
        <v>1.3131</v>
      </c>
      <c r="BI117" s="76">
        <v>0.12</v>
      </c>
      <c r="BJ117" s="76">
        <v>1.253</v>
      </c>
      <c r="BK117" s="76">
        <v>0.0175</v>
      </c>
      <c r="BL117" s="76">
        <v>1.2355</v>
      </c>
      <c r="BM117" s="76">
        <v>1.1055</v>
      </c>
      <c r="BN117" s="76">
        <v>0.101</v>
      </c>
      <c r="BO117" s="76">
        <v>0.7301</v>
      </c>
      <c r="BP117" s="76">
        <v>0.0067</v>
      </c>
      <c r="BQ117" s="76">
        <v>0.7234</v>
      </c>
      <c r="BR117" s="76">
        <v>0.5824</v>
      </c>
      <c r="BS117" s="76">
        <v>0.6381</v>
      </c>
      <c r="BT117" s="76">
        <v>0.0042</v>
      </c>
      <c r="BU117" s="76">
        <v>0.6339</v>
      </c>
      <c r="BV117" s="76">
        <v>0.4915</v>
      </c>
      <c r="BW117" s="76">
        <v>0.2213</v>
      </c>
      <c r="BX117" s="76">
        <v>0.0075</v>
      </c>
      <c r="BY117" s="76">
        <v>0.2138</v>
      </c>
      <c r="BZ117" s="76">
        <v>0.2391</v>
      </c>
      <c r="CA117" s="76">
        <v>0.1282</v>
      </c>
      <c r="CB117" s="76">
        <v>0.0042</v>
      </c>
      <c r="CC117" s="76">
        <v>0.1241</v>
      </c>
      <c r="CD117" s="76">
        <v>0.169</v>
      </c>
      <c r="CE117" s="76">
        <v>0.7459</v>
      </c>
      <c r="CF117" s="76">
        <v>0.0058</v>
      </c>
      <c r="CG117" s="76">
        <v>0.7401</v>
      </c>
      <c r="CH117" s="76">
        <v>0.573</v>
      </c>
      <c r="CI117" s="76">
        <v>0.3789</v>
      </c>
      <c r="CJ117" s="76">
        <v>0.0075</v>
      </c>
      <c r="CK117" s="76">
        <v>0.3714</v>
      </c>
      <c r="CL117" s="76">
        <v>0.3634</v>
      </c>
      <c r="CM117" s="76">
        <v>60.97</v>
      </c>
      <c r="CN117" s="76">
        <v>49.26</v>
      </c>
      <c r="CO117" s="76">
        <v>123.76</v>
      </c>
      <c r="CP117" s="76">
        <v>50.37</v>
      </c>
      <c r="CQ117" s="76">
        <v>9.03</v>
      </c>
      <c r="CR117" s="76">
        <v>1.12</v>
      </c>
      <c r="CS117" s="76">
        <v>0.45</v>
      </c>
      <c r="CT117" s="76">
        <v>0.0</v>
      </c>
      <c r="CU117" s="76">
        <v>1999.0</v>
      </c>
      <c r="CV117" s="76">
        <v>0.9</v>
      </c>
      <c r="CW117" s="76">
        <v>35.39</v>
      </c>
      <c r="CX117" s="76">
        <v>1.16</v>
      </c>
      <c r="CY117" s="76">
        <v>10.19</v>
      </c>
    </row>
    <row r="118" ht="15.75" customHeight="1">
      <c r="A118" s="164">
        <v>46239.0</v>
      </c>
      <c r="B118" s="76" t="s">
        <v>5</v>
      </c>
      <c r="C118" s="76" t="s">
        <v>148</v>
      </c>
      <c r="D118" s="76">
        <v>5706.0</v>
      </c>
      <c r="E118" s="76">
        <v>22.32</v>
      </c>
      <c r="F118" s="76">
        <v>570.85</v>
      </c>
      <c r="G118" s="76">
        <v>0.1</v>
      </c>
      <c r="H118" s="76">
        <v>1.96</v>
      </c>
      <c r="I118" s="76">
        <v>5.0969</v>
      </c>
      <c r="J118" s="76">
        <v>42.64</v>
      </c>
      <c r="K118" s="76">
        <v>23.11</v>
      </c>
      <c r="L118" s="76">
        <v>13.69</v>
      </c>
      <c r="M118" s="76">
        <v>0.5922</v>
      </c>
      <c r="N118" s="76">
        <v>0.5309</v>
      </c>
      <c r="O118" s="76">
        <v>0.3197</v>
      </c>
      <c r="P118" s="76">
        <v>1.6886</v>
      </c>
      <c r="Q118" s="76">
        <v>82.25</v>
      </c>
      <c r="R118" s="76">
        <v>73.77</v>
      </c>
      <c r="S118" s="76">
        <v>8.48</v>
      </c>
      <c r="T118" s="76">
        <v>11.9</v>
      </c>
      <c r="U118" s="76">
        <v>70.34</v>
      </c>
      <c r="V118" s="76">
        <v>76.1</v>
      </c>
      <c r="W118" s="76">
        <v>3.2924</v>
      </c>
      <c r="X118" s="76">
        <v>14.47</v>
      </c>
      <c r="Y118" s="76">
        <v>214.0</v>
      </c>
      <c r="Z118" s="76">
        <v>370.0</v>
      </c>
      <c r="AA118" s="76">
        <v>1157.0</v>
      </c>
      <c r="AB118" s="76">
        <v>52.0224</v>
      </c>
      <c r="AC118" s="76">
        <v>0.6896</v>
      </c>
      <c r="AD118" s="76">
        <v>9.35</v>
      </c>
      <c r="AE118" s="76">
        <v>4.0</v>
      </c>
      <c r="AF118" s="76">
        <v>8.0</v>
      </c>
      <c r="AG118" s="76">
        <v>13.0</v>
      </c>
      <c r="AH118" s="76">
        <v>18.0</v>
      </c>
      <c r="AI118" s="76">
        <v>64.97</v>
      </c>
      <c r="AJ118" s="76">
        <v>26.31</v>
      </c>
      <c r="AK118" s="76">
        <v>3.26</v>
      </c>
      <c r="AL118" s="76">
        <v>0.3382</v>
      </c>
      <c r="AM118" s="76">
        <v>42.43</v>
      </c>
      <c r="AN118" s="76">
        <v>42.43</v>
      </c>
      <c r="AO118" s="76">
        <v>24.1</v>
      </c>
      <c r="AP118" s="76">
        <v>11.13</v>
      </c>
      <c r="AQ118" s="76">
        <v>5.7986</v>
      </c>
      <c r="AR118" s="76">
        <v>0.2093</v>
      </c>
      <c r="AS118" s="76">
        <v>5.5894</v>
      </c>
      <c r="AT118" s="76">
        <v>4.9306</v>
      </c>
      <c r="AU118" s="76">
        <v>0.2133</v>
      </c>
      <c r="AV118" s="76">
        <v>5706.0</v>
      </c>
      <c r="AW118" s="76">
        <v>0.0</v>
      </c>
      <c r="AX118" s="76">
        <v>34.05</v>
      </c>
      <c r="AY118" s="76">
        <v>32.24</v>
      </c>
      <c r="AZ118" s="76">
        <v>2.76</v>
      </c>
      <c r="BA118" s="76">
        <v>11.9</v>
      </c>
      <c r="BB118" s="76">
        <v>1.3</v>
      </c>
      <c r="BC118" s="76">
        <v>34.0</v>
      </c>
      <c r="BD118" s="76">
        <v>19924.0</v>
      </c>
      <c r="BE118" s="76">
        <v>2.9418</v>
      </c>
      <c r="BF118" s="76">
        <v>0.1067</v>
      </c>
      <c r="BG118" s="76">
        <v>2.8351</v>
      </c>
      <c r="BH118" s="76">
        <v>2.4928</v>
      </c>
      <c r="BI118" s="76">
        <v>0.1079</v>
      </c>
      <c r="BJ118" s="76">
        <v>2.8568</v>
      </c>
      <c r="BK118" s="76">
        <v>0.1025</v>
      </c>
      <c r="BL118" s="76">
        <v>2.7543</v>
      </c>
      <c r="BM118" s="76">
        <v>2.4378</v>
      </c>
      <c r="BN118" s="76">
        <v>0.1055</v>
      </c>
      <c r="BO118" s="76">
        <v>1.1265</v>
      </c>
      <c r="BP118" s="76">
        <v>0.0365</v>
      </c>
      <c r="BQ118" s="76">
        <v>1.0901</v>
      </c>
      <c r="BR118" s="76">
        <v>0.9848</v>
      </c>
      <c r="BS118" s="76">
        <v>1.188</v>
      </c>
      <c r="BT118" s="76">
        <v>0.0312</v>
      </c>
      <c r="BU118" s="76">
        <v>1.1569</v>
      </c>
      <c r="BV118" s="76">
        <v>0.9618</v>
      </c>
      <c r="BW118" s="76">
        <v>0.6272</v>
      </c>
      <c r="BX118" s="76">
        <v>0.0391</v>
      </c>
      <c r="BY118" s="76">
        <v>0.5882</v>
      </c>
      <c r="BZ118" s="76">
        <v>0.5463</v>
      </c>
      <c r="CA118" s="76">
        <v>0.4585</v>
      </c>
      <c r="CB118" s="76">
        <v>0.0303</v>
      </c>
      <c r="CC118" s="76">
        <v>0.4281</v>
      </c>
      <c r="CD118" s="76">
        <v>0.438</v>
      </c>
      <c r="CE118" s="76">
        <v>1.4921</v>
      </c>
      <c r="CF118" s="76">
        <v>0.0387</v>
      </c>
      <c r="CG118" s="76">
        <v>1.4534</v>
      </c>
      <c r="CH118" s="76">
        <v>1.1782</v>
      </c>
      <c r="CI118" s="76">
        <v>0.9062</v>
      </c>
      <c r="CJ118" s="76">
        <v>0.0335</v>
      </c>
      <c r="CK118" s="76">
        <v>0.8728</v>
      </c>
      <c r="CL118" s="76">
        <v>0.8216</v>
      </c>
      <c r="CM118" s="76">
        <v>162.88</v>
      </c>
      <c r="CN118" s="76">
        <v>68.23</v>
      </c>
      <c r="CO118" s="76">
        <v>238.73</v>
      </c>
      <c r="CP118" s="76">
        <v>135.44</v>
      </c>
      <c r="CQ118" s="76">
        <v>24.73</v>
      </c>
      <c r="CR118" s="76">
        <v>1.59</v>
      </c>
      <c r="CS118" s="76">
        <v>1.11</v>
      </c>
      <c r="CT118" s="76">
        <v>0.0</v>
      </c>
      <c r="CU118" s="76">
        <v>2372.0</v>
      </c>
      <c r="CV118" s="76">
        <v>1.44</v>
      </c>
      <c r="CW118" s="76">
        <v>83.69</v>
      </c>
      <c r="CX118" s="76">
        <v>3.02</v>
      </c>
      <c r="CY118" s="76">
        <v>27.76</v>
      </c>
    </row>
    <row r="119" ht="15.75" customHeight="1">
      <c r="A119" s="164">
        <v>46239.0</v>
      </c>
      <c r="B119" s="76" t="s">
        <v>5</v>
      </c>
      <c r="C119" s="76" t="s">
        <v>149</v>
      </c>
      <c r="D119" s="76">
        <v>4679.0</v>
      </c>
      <c r="E119" s="76">
        <v>18.3</v>
      </c>
      <c r="F119" s="76">
        <v>461.96</v>
      </c>
      <c r="G119" s="76">
        <v>0.0987</v>
      </c>
      <c r="H119" s="76">
        <v>2.52</v>
      </c>
      <c r="I119" s="76">
        <v>3.9149</v>
      </c>
      <c r="J119" s="76">
        <v>62.28</v>
      </c>
      <c r="K119" s="76">
        <v>35.59</v>
      </c>
      <c r="L119" s="76">
        <v>25.13</v>
      </c>
      <c r="M119" s="76">
        <v>0.7062</v>
      </c>
      <c r="N119" s="76">
        <v>0.4166</v>
      </c>
      <c r="O119" s="76">
        <v>0.2682</v>
      </c>
      <c r="P119" s="76">
        <v>1.4161</v>
      </c>
      <c r="Q119" s="76">
        <v>135.48</v>
      </c>
      <c r="R119" s="76">
        <v>120.14</v>
      </c>
      <c r="S119" s="76">
        <v>15.34</v>
      </c>
      <c r="T119" s="76">
        <v>8.79</v>
      </c>
      <c r="U119" s="76">
        <v>126.69</v>
      </c>
      <c r="V119" s="76">
        <v>137.34</v>
      </c>
      <c r="W119" s="76">
        <v>3.859</v>
      </c>
      <c r="X119" s="76">
        <v>6.49</v>
      </c>
      <c r="Y119" s="76">
        <v>252.0</v>
      </c>
      <c r="Z119" s="76">
        <v>425.0</v>
      </c>
      <c r="AA119" s="76">
        <v>972.0</v>
      </c>
      <c r="AB119" s="76">
        <v>53.6435</v>
      </c>
      <c r="AC119" s="76">
        <v>0.7598</v>
      </c>
      <c r="AD119" s="76">
        <v>16.23</v>
      </c>
      <c r="AE119" s="76">
        <v>7.0</v>
      </c>
      <c r="AF119" s="76">
        <v>13.0</v>
      </c>
      <c r="AG119" s="76">
        <v>22.0</v>
      </c>
      <c r="AH119" s="76">
        <v>33.0</v>
      </c>
      <c r="AI119" s="76">
        <v>57.36</v>
      </c>
      <c r="AJ119" s="76">
        <v>20.05</v>
      </c>
      <c r="AK119" s="76">
        <v>4.45</v>
      </c>
      <c r="AL119" s="76">
        <v>0.2763</v>
      </c>
      <c r="AM119" s="76">
        <v>41.5</v>
      </c>
      <c r="AN119" s="76">
        <v>41.5</v>
      </c>
      <c r="AO119" s="76">
        <v>22.87</v>
      </c>
      <c r="AP119" s="76">
        <v>11.31</v>
      </c>
      <c r="AQ119" s="76">
        <v>8.5027</v>
      </c>
      <c r="AR119" s="76">
        <v>0.153</v>
      </c>
      <c r="AS119" s="76">
        <v>8.3496</v>
      </c>
      <c r="AT119" s="76">
        <v>7.2334</v>
      </c>
      <c r="AU119" s="76">
        <v>0.2032</v>
      </c>
      <c r="AV119" s="76">
        <v>4679.0</v>
      </c>
      <c r="AW119" s="76">
        <v>0.0</v>
      </c>
      <c r="AX119" s="76">
        <v>58.26</v>
      </c>
      <c r="AY119" s="76">
        <v>63.48</v>
      </c>
      <c r="AZ119" s="76">
        <v>2.78</v>
      </c>
      <c r="BA119" s="76">
        <v>8.79</v>
      </c>
      <c r="BB119" s="76">
        <v>2.17</v>
      </c>
      <c r="BC119" s="76">
        <v>59.0</v>
      </c>
      <c r="BD119" s="76">
        <v>13828.0</v>
      </c>
      <c r="BE119" s="76">
        <v>4.3112</v>
      </c>
      <c r="BF119" s="76">
        <v>0.0859</v>
      </c>
      <c r="BG119" s="76">
        <v>4.2253</v>
      </c>
      <c r="BH119" s="76">
        <v>3.4238</v>
      </c>
      <c r="BI119" s="76">
        <v>0.0962</v>
      </c>
      <c r="BJ119" s="76">
        <v>4.1915</v>
      </c>
      <c r="BK119" s="76">
        <v>0.0671</v>
      </c>
      <c r="BL119" s="76">
        <v>4.1244</v>
      </c>
      <c r="BM119" s="76">
        <v>3.8096</v>
      </c>
      <c r="BN119" s="76">
        <v>0.107</v>
      </c>
      <c r="BO119" s="76">
        <v>1.5221</v>
      </c>
      <c r="BP119" s="76">
        <v>0.0312</v>
      </c>
      <c r="BQ119" s="76">
        <v>1.4909</v>
      </c>
      <c r="BR119" s="76">
        <v>1.2723</v>
      </c>
      <c r="BS119" s="76">
        <v>1.5912</v>
      </c>
      <c r="BT119" s="76">
        <v>0.0267</v>
      </c>
      <c r="BU119" s="76">
        <v>1.5644</v>
      </c>
      <c r="BV119" s="76">
        <v>1.2462</v>
      </c>
      <c r="BW119" s="76">
        <v>1.1979</v>
      </c>
      <c r="BX119" s="76">
        <v>0.028</v>
      </c>
      <c r="BY119" s="76">
        <v>1.1699</v>
      </c>
      <c r="BZ119" s="76">
        <v>0.9053</v>
      </c>
      <c r="CA119" s="76">
        <v>0.6191</v>
      </c>
      <c r="CB119" s="76">
        <v>0.0137</v>
      </c>
      <c r="CC119" s="76">
        <v>0.6055</v>
      </c>
      <c r="CD119" s="76">
        <v>0.7901</v>
      </c>
      <c r="CE119" s="76">
        <v>2.0229</v>
      </c>
      <c r="CF119" s="76">
        <v>0.0267</v>
      </c>
      <c r="CG119" s="76">
        <v>1.9962</v>
      </c>
      <c r="CH119" s="76">
        <v>1.6491</v>
      </c>
      <c r="CI119" s="76">
        <v>1.5495</v>
      </c>
      <c r="CJ119" s="76">
        <v>0.0267</v>
      </c>
      <c r="CK119" s="76">
        <v>1.5228</v>
      </c>
      <c r="CL119" s="76">
        <v>1.3704</v>
      </c>
      <c r="CM119" s="76">
        <v>291.66</v>
      </c>
      <c r="CN119" s="76">
        <v>80.25</v>
      </c>
      <c r="CO119" s="76">
        <v>363.43</v>
      </c>
      <c r="CP119" s="76">
        <v>245.36</v>
      </c>
      <c r="CQ119" s="76">
        <v>41.48</v>
      </c>
      <c r="CR119" s="76">
        <v>2.89</v>
      </c>
      <c r="CS119" s="76">
        <v>1.93</v>
      </c>
      <c r="CT119" s="76">
        <v>0.0</v>
      </c>
      <c r="CU119" s="76">
        <v>2286.0</v>
      </c>
      <c r="CV119" s="76">
        <v>1.81</v>
      </c>
      <c r="CW119" s="76">
        <v>137.3</v>
      </c>
      <c r="CX119" s="76">
        <v>5.22</v>
      </c>
      <c r="CY119" s="76">
        <v>46.7</v>
      </c>
    </row>
    <row r="120" ht="15.75" customHeight="1">
      <c r="A120" s="164">
        <v>46239.0</v>
      </c>
      <c r="B120" s="76" t="s">
        <v>5</v>
      </c>
      <c r="C120" s="76" t="s">
        <v>150</v>
      </c>
      <c r="D120" s="76">
        <v>2882.0</v>
      </c>
      <c r="E120" s="76">
        <v>11.27</v>
      </c>
      <c r="F120" s="76">
        <v>396.32</v>
      </c>
      <c r="G120" s="76">
        <v>0.1375</v>
      </c>
      <c r="H120" s="76">
        <v>3.33</v>
      </c>
      <c r="I120" s="76">
        <v>4.1283</v>
      </c>
      <c r="J120" s="76">
        <v>114.79</v>
      </c>
      <c r="K120" s="76">
        <v>71.14</v>
      </c>
      <c r="L120" s="76">
        <v>51.3</v>
      </c>
      <c r="M120" s="76">
        <v>0.7211</v>
      </c>
      <c r="N120" s="76">
        <v>0.3856</v>
      </c>
      <c r="O120" s="76">
        <v>0.2496</v>
      </c>
      <c r="P120" s="76">
        <v>1.3867</v>
      </c>
      <c r="Q120" s="76">
        <v>280.93</v>
      </c>
      <c r="R120" s="76">
        <v>249.53</v>
      </c>
      <c r="S120" s="76">
        <v>31.4</v>
      </c>
      <c r="T120" s="76">
        <v>14.0</v>
      </c>
      <c r="U120" s="76">
        <v>266.93</v>
      </c>
      <c r="V120" s="76">
        <v>283.52</v>
      </c>
      <c r="W120" s="76">
        <v>3.9854</v>
      </c>
      <c r="X120" s="76">
        <v>4.98</v>
      </c>
      <c r="Y120" s="76">
        <v>326.0</v>
      </c>
      <c r="Z120" s="76">
        <v>545.0</v>
      </c>
      <c r="AA120" s="76">
        <v>1260.0</v>
      </c>
      <c r="AB120" s="76">
        <v>55.6519</v>
      </c>
      <c r="AC120" s="76">
        <v>0.7602</v>
      </c>
      <c r="AD120" s="76">
        <v>27.23</v>
      </c>
      <c r="AE120" s="76">
        <v>10.0</v>
      </c>
      <c r="AF120" s="76">
        <v>20.0</v>
      </c>
      <c r="AG120" s="76">
        <v>39.0</v>
      </c>
      <c r="AH120" s="76">
        <v>59.0</v>
      </c>
      <c r="AI120" s="76">
        <v>36.81</v>
      </c>
      <c r="AJ120" s="76">
        <v>9.72</v>
      </c>
      <c r="AK120" s="76">
        <v>1.94</v>
      </c>
      <c r="AL120" s="76">
        <v>0.1676</v>
      </c>
      <c r="AM120" s="76">
        <v>43.58</v>
      </c>
      <c r="AN120" s="76">
        <v>43.58</v>
      </c>
      <c r="AO120" s="76">
        <v>25.85</v>
      </c>
      <c r="AP120" s="76">
        <v>15.54</v>
      </c>
      <c r="AQ120" s="76">
        <v>14.1492</v>
      </c>
      <c r="AR120" s="76">
        <v>0.5722</v>
      </c>
      <c r="AS120" s="76">
        <v>13.577</v>
      </c>
      <c r="AT120" s="76">
        <v>11.8914</v>
      </c>
      <c r="AU120" s="76">
        <v>0.1672</v>
      </c>
      <c r="AV120" s="76">
        <v>2882.0</v>
      </c>
      <c r="AW120" s="76">
        <v>0.0</v>
      </c>
      <c r="AX120" s="76">
        <v>113.37</v>
      </c>
      <c r="AY120" s="76">
        <v>145.69</v>
      </c>
      <c r="AZ120" s="76">
        <v>3.42</v>
      </c>
      <c r="BA120" s="76">
        <v>14.0</v>
      </c>
      <c r="BB120" s="76">
        <v>4.46</v>
      </c>
      <c r="BC120" s="76">
        <v>114.0</v>
      </c>
      <c r="BD120" s="76">
        <v>14214.0</v>
      </c>
      <c r="BE120" s="76">
        <v>7.4594</v>
      </c>
      <c r="BF120" s="76">
        <v>0.4705</v>
      </c>
      <c r="BG120" s="76">
        <v>6.9889</v>
      </c>
      <c r="BH120" s="76">
        <v>5.4133</v>
      </c>
      <c r="BI120" s="76">
        <v>0.0761</v>
      </c>
      <c r="BJ120" s="76">
        <v>6.6898</v>
      </c>
      <c r="BK120" s="76">
        <v>0.1017</v>
      </c>
      <c r="BL120" s="76">
        <v>6.5881</v>
      </c>
      <c r="BM120" s="76">
        <v>6.4781</v>
      </c>
      <c r="BN120" s="76">
        <v>0.0911</v>
      </c>
      <c r="BO120" s="76">
        <v>2.7224</v>
      </c>
      <c r="BP120" s="76">
        <v>0.1346</v>
      </c>
      <c r="BQ120" s="76">
        <v>2.5878</v>
      </c>
      <c r="BR120" s="76">
        <v>1.9854</v>
      </c>
      <c r="BS120" s="76">
        <v>2.7099</v>
      </c>
      <c r="BT120" s="76">
        <v>0.1669</v>
      </c>
      <c r="BU120" s="76">
        <v>2.543</v>
      </c>
      <c r="BV120" s="76">
        <v>1.9681</v>
      </c>
      <c r="BW120" s="76">
        <v>2.0271</v>
      </c>
      <c r="BX120" s="76">
        <v>0.169</v>
      </c>
      <c r="BY120" s="76">
        <v>1.8581</v>
      </c>
      <c r="BZ120" s="76">
        <v>1.4598</v>
      </c>
      <c r="CA120" s="76">
        <v>1.0291</v>
      </c>
      <c r="CB120" s="76">
        <v>0.0239</v>
      </c>
      <c r="CC120" s="76">
        <v>1.0052</v>
      </c>
      <c r="CD120" s="76">
        <v>1.2425</v>
      </c>
      <c r="CE120" s="76">
        <v>2.9251</v>
      </c>
      <c r="CF120" s="76">
        <v>0.042</v>
      </c>
      <c r="CG120" s="76">
        <v>2.8831</v>
      </c>
      <c r="CH120" s="76">
        <v>2.6437</v>
      </c>
      <c r="CI120" s="76">
        <v>2.7356</v>
      </c>
      <c r="CJ120" s="76">
        <v>0.0357</v>
      </c>
      <c r="CK120" s="76">
        <v>2.6999</v>
      </c>
      <c r="CL120" s="76">
        <v>2.592</v>
      </c>
      <c r="CM120" s="76">
        <v>661.64</v>
      </c>
      <c r="CN120" s="76">
        <v>91.36</v>
      </c>
      <c r="CO120" s="76">
        <v>724.21</v>
      </c>
      <c r="CP120" s="76">
        <v>565.84</v>
      </c>
      <c r="CQ120" s="76">
        <v>87.7</v>
      </c>
      <c r="CR120" s="76">
        <v>5.32</v>
      </c>
      <c r="CS120" s="76">
        <v>2.78</v>
      </c>
      <c r="CT120" s="76">
        <v>0.0</v>
      </c>
      <c r="CU120" s="76">
        <v>1626.0</v>
      </c>
      <c r="CV120" s="76">
        <v>2.71</v>
      </c>
      <c r="CW120" s="76">
        <v>283.65</v>
      </c>
      <c r="CX120" s="76">
        <v>10.39</v>
      </c>
      <c r="CY120" s="76">
        <v>98.09</v>
      </c>
    </row>
    <row r="121" ht="15.75" customHeight="1">
      <c r="A121" s="164">
        <v>46239.0</v>
      </c>
      <c r="B121" s="76" t="s">
        <v>5</v>
      </c>
      <c r="C121" s="76" t="s">
        <v>151</v>
      </c>
      <c r="D121" s="76">
        <v>419.0</v>
      </c>
      <c r="E121" s="76">
        <v>1.64</v>
      </c>
      <c r="F121" s="76">
        <v>169.8</v>
      </c>
      <c r="G121" s="76">
        <v>0.4053</v>
      </c>
      <c r="H121" s="76">
        <v>4.3</v>
      </c>
      <c r="I121" s="76">
        <v>9.4333</v>
      </c>
      <c r="J121" s="76">
        <v>231.47</v>
      </c>
      <c r="K121" s="76">
        <v>159.96</v>
      </c>
      <c r="L121" s="76">
        <v>120.28</v>
      </c>
      <c r="M121" s="76">
        <v>0.7519</v>
      </c>
      <c r="N121" s="76">
        <v>0.3309</v>
      </c>
      <c r="O121" s="76">
        <v>0.2188</v>
      </c>
      <c r="P121" s="76">
        <v>1.3299</v>
      </c>
      <c r="Q121" s="76">
        <v>574.56</v>
      </c>
      <c r="R121" s="76">
        <v>500.58</v>
      </c>
      <c r="S121" s="76">
        <v>73.99</v>
      </c>
      <c r="T121" s="76">
        <v>36.63</v>
      </c>
      <c r="U121" s="76">
        <v>537.93</v>
      </c>
      <c r="V121" s="76">
        <v>539.26</v>
      </c>
      <c r="W121" s="76">
        <v>3.3712</v>
      </c>
      <c r="X121" s="76">
        <v>6.38</v>
      </c>
      <c r="Y121" s="76">
        <v>433.0</v>
      </c>
      <c r="Z121" s="76">
        <v>795.0</v>
      </c>
      <c r="AA121" s="76">
        <v>1453.0</v>
      </c>
      <c r="AB121" s="76">
        <v>58.7834</v>
      </c>
      <c r="AC121" s="76">
        <v>0.7802</v>
      </c>
      <c r="AD121" s="76">
        <v>47.96</v>
      </c>
      <c r="AE121" s="76">
        <v>19.0</v>
      </c>
      <c r="AF121" s="76">
        <v>34.0</v>
      </c>
      <c r="AG121" s="76">
        <v>63.0</v>
      </c>
      <c r="AH121" s="76">
        <v>104.0</v>
      </c>
      <c r="AI121" s="76">
        <v>17.66</v>
      </c>
      <c r="AJ121" s="76">
        <v>2.63</v>
      </c>
      <c r="AK121" s="76">
        <v>0.0</v>
      </c>
      <c r="AL121" s="76">
        <v>0.0788</v>
      </c>
      <c r="AM121" s="76">
        <v>65.63</v>
      </c>
      <c r="AN121" s="76">
        <v>65.63</v>
      </c>
      <c r="AO121" s="76">
        <v>48.93</v>
      </c>
      <c r="AP121" s="76">
        <v>39.62</v>
      </c>
      <c r="AQ121" s="76">
        <v>30.4511</v>
      </c>
      <c r="AR121" s="76">
        <v>0.3031</v>
      </c>
      <c r="AS121" s="76">
        <v>30.148</v>
      </c>
      <c r="AT121" s="76">
        <v>29.2768</v>
      </c>
      <c r="AU121" s="76">
        <v>0.183</v>
      </c>
      <c r="AV121" s="76">
        <v>419.0</v>
      </c>
      <c r="AW121" s="76">
        <v>0.0</v>
      </c>
      <c r="AX121" s="76">
        <v>243.47</v>
      </c>
      <c r="AY121" s="76">
        <v>277.61</v>
      </c>
      <c r="AZ121" s="76">
        <v>5.39</v>
      </c>
      <c r="BA121" s="76">
        <v>36.63</v>
      </c>
      <c r="BB121" s="76">
        <v>11.45</v>
      </c>
      <c r="BC121" s="76">
        <v>215.0</v>
      </c>
      <c r="BD121" s="76">
        <v>8030.0</v>
      </c>
      <c r="BE121" s="76">
        <v>14.1933</v>
      </c>
      <c r="BF121" s="76">
        <v>0.1074</v>
      </c>
      <c r="BG121" s="76">
        <v>14.0859</v>
      </c>
      <c r="BH121" s="76">
        <v>11.3365</v>
      </c>
      <c r="BI121" s="76">
        <v>0.0709</v>
      </c>
      <c r="BJ121" s="76">
        <v>16.2578</v>
      </c>
      <c r="BK121" s="76">
        <v>0.1957</v>
      </c>
      <c r="BL121" s="76">
        <v>16.0621</v>
      </c>
      <c r="BM121" s="76">
        <v>17.9403</v>
      </c>
      <c r="BN121" s="76">
        <v>0.1122</v>
      </c>
      <c r="BO121" s="76">
        <v>4.6969</v>
      </c>
      <c r="BP121" s="76">
        <v>0.0334</v>
      </c>
      <c r="BQ121" s="76">
        <v>4.6635</v>
      </c>
      <c r="BR121" s="76">
        <v>3.9308</v>
      </c>
      <c r="BS121" s="76">
        <v>5.2745</v>
      </c>
      <c r="BT121" s="76">
        <v>0.0334</v>
      </c>
      <c r="BU121" s="76">
        <v>5.2411</v>
      </c>
      <c r="BV121" s="76">
        <v>4.1527</v>
      </c>
      <c r="BW121" s="76">
        <v>4.222</v>
      </c>
      <c r="BX121" s="76">
        <v>0.0406</v>
      </c>
      <c r="BY121" s="76">
        <v>4.1814</v>
      </c>
      <c r="BZ121" s="76">
        <v>3.253</v>
      </c>
      <c r="CA121" s="76">
        <v>3.5585</v>
      </c>
      <c r="CB121" s="76">
        <v>0.0549</v>
      </c>
      <c r="CC121" s="76">
        <v>3.5036</v>
      </c>
      <c r="CD121" s="76">
        <v>5.2005</v>
      </c>
      <c r="CE121" s="76">
        <v>6.4654</v>
      </c>
      <c r="CF121" s="76">
        <v>0.0811</v>
      </c>
      <c r="CG121" s="76">
        <v>6.3842</v>
      </c>
      <c r="CH121" s="76">
        <v>5.1074</v>
      </c>
      <c r="CI121" s="76">
        <v>6.2339</v>
      </c>
      <c r="CJ121" s="76">
        <v>0.0597</v>
      </c>
      <c r="CK121" s="76">
        <v>6.1742</v>
      </c>
      <c r="CL121" s="76">
        <v>7.6325</v>
      </c>
      <c r="CM121" s="76">
        <v>1604.92</v>
      </c>
      <c r="CN121" s="76">
        <v>96.42</v>
      </c>
      <c r="CO121" s="76">
        <v>1664.51</v>
      </c>
      <c r="CP121" s="76">
        <v>1322.28</v>
      </c>
      <c r="CQ121" s="76">
        <v>269.73</v>
      </c>
      <c r="CR121" s="76">
        <v>8.11</v>
      </c>
      <c r="CS121" s="76">
        <v>4.8</v>
      </c>
      <c r="CT121" s="76">
        <v>0.0</v>
      </c>
      <c r="CU121" s="76">
        <v>265.0</v>
      </c>
      <c r="CV121" s="76">
        <v>243.63</v>
      </c>
      <c r="CW121" s="76">
        <v>818.19</v>
      </c>
      <c r="CX121" s="76">
        <v>46.96</v>
      </c>
      <c r="CY121" s="76">
        <v>316.69</v>
      </c>
    </row>
    <row r="122" ht="15.75" customHeight="1">
      <c r="A122" s="164">
        <v>46240.0</v>
      </c>
      <c r="B122" s="76" t="s">
        <v>4</v>
      </c>
      <c r="C122" s="76" t="s">
        <v>316</v>
      </c>
      <c r="D122" s="76">
        <v>5068.0</v>
      </c>
      <c r="E122" s="76">
        <v>19.49</v>
      </c>
      <c r="F122" s="76">
        <v>550.63</v>
      </c>
      <c r="G122" s="76">
        <v>0.1086</v>
      </c>
      <c r="H122" s="76">
        <v>1.38</v>
      </c>
      <c r="I122" s="76">
        <v>7.8661</v>
      </c>
      <c r="J122" s="76">
        <v>21.5</v>
      </c>
      <c r="K122" s="76">
        <v>11.84</v>
      </c>
      <c r="L122" s="76">
        <v>8.12</v>
      </c>
      <c r="M122" s="76">
        <v>0.6856</v>
      </c>
      <c r="N122" s="76">
        <v>0.4264</v>
      </c>
      <c r="O122" s="76">
        <v>0.2132</v>
      </c>
      <c r="P122" s="76">
        <v>1.4585</v>
      </c>
      <c r="Q122" s="76">
        <v>53.53</v>
      </c>
      <c r="R122" s="76">
        <v>53.35</v>
      </c>
      <c r="S122" s="76">
        <v>0.18</v>
      </c>
      <c r="T122" s="76">
        <v>10.0</v>
      </c>
      <c r="U122" s="76">
        <v>43.52</v>
      </c>
      <c r="V122" s="76">
        <v>37.05</v>
      </c>
      <c r="W122" s="76">
        <v>3.1277</v>
      </c>
      <c r="X122" s="76">
        <v>18.69</v>
      </c>
      <c r="Y122" s="76">
        <v>203.0</v>
      </c>
      <c r="Z122" s="76">
        <v>518.0</v>
      </c>
      <c r="AA122" s="76">
        <v>3359.0</v>
      </c>
      <c r="AB122" s="76">
        <v>49.6583</v>
      </c>
      <c r="AC122" s="76">
        <v>0.478</v>
      </c>
      <c r="AI122" s="76">
        <v>0.0</v>
      </c>
      <c r="AJ122" s="76">
        <v>0.0</v>
      </c>
      <c r="AK122" s="76">
        <v>0.0</v>
      </c>
      <c r="AL122" s="76">
        <v>0.4736</v>
      </c>
      <c r="AQ122" s="76">
        <v>1.3662</v>
      </c>
      <c r="AR122" s="76">
        <v>0.1202</v>
      </c>
      <c r="AS122" s="76">
        <v>1.2461</v>
      </c>
      <c r="AT122" s="76">
        <v>1.1886</v>
      </c>
      <c r="AU122" s="76">
        <v>0.1004</v>
      </c>
      <c r="AV122" s="76">
        <v>5068.0</v>
      </c>
      <c r="AW122" s="76">
        <v>0.0</v>
      </c>
      <c r="AX122" s="76">
        <v>13.54</v>
      </c>
      <c r="AY122" s="76">
        <v>26.41</v>
      </c>
      <c r="AZ122" s="76">
        <v>3.3</v>
      </c>
      <c r="BA122" s="76">
        <v>10.0</v>
      </c>
      <c r="BB122" s="76">
        <v>0.28</v>
      </c>
      <c r="BD122" s="76">
        <v>28802.0</v>
      </c>
      <c r="BE122" s="76">
        <v>0.3812</v>
      </c>
      <c r="BF122" s="76">
        <v>0.0474</v>
      </c>
      <c r="BG122" s="76">
        <v>0.3339</v>
      </c>
      <c r="BH122" s="76">
        <v>0.4546</v>
      </c>
      <c r="BI122" s="76">
        <v>0.0384</v>
      </c>
      <c r="BJ122" s="76">
        <v>0.985</v>
      </c>
      <c r="BK122" s="76">
        <v>0.0728</v>
      </c>
      <c r="BL122" s="76">
        <v>0.9122</v>
      </c>
      <c r="BM122" s="76">
        <v>0.734</v>
      </c>
      <c r="BN122" s="76">
        <v>0.062</v>
      </c>
      <c r="BO122" s="76">
        <v>0.1245</v>
      </c>
      <c r="BP122" s="76">
        <v>0.017</v>
      </c>
      <c r="BQ122" s="76">
        <v>0.1075</v>
      </c>
      <c r="BR122" s="76">
        <v>0.1652</v>
      </c>
      <c r="BS122" s="76">
        <v>0.1381</v>
      </c>
      <c r="BT122" s="76">
        <v>0.0158</v>
      </c>
      <c r="BU122" s="76">
        <v>0.1223</v>
      </c>
      <c r="BV122" s="76">
        <v>0.1657</v>
      </c>
      <c r="BW122" s="76">
        <v>0.1186</v>
      </c>
      <c r="BX122" s="76">
        <v>0.0146</v>
      </c>
      <c r="BY122" s="76">
        <v>0.104</v>
      </c>
      <c r="BZ122" s="76">
        <v>0.1237</v>
      </c>
      <c r="CA122" s="76">
        <v>0.2119</v>
      </c>
      <c r="CB122" s="76">
        <v>0.0191</v>
      </c>
      <c r="CC122" s="76">
        <v>0.1928</v>
      </c>
      <c r="CD122" s="76">
        <v>0.1825</v>
      </c>
      <c r="CE122" s="76">
        <v>0.3968</v>
      </c>
      <c r="CF122" s="76">
        <v>0.0304</v>
      </c>
      <c r="CG122" s="76">
        <v>0.3664</v>
      </c>
      <c r="CH122" s="76">
        <v>0.2766</v>
      </c>
      <c r="CI122" s="76">
        <v>0.3763</v>
      </c>
      <c r="CJ122" s="76">
        <v>0.0233</v>
      </c>
      <c r="CK122" s="76">
        <v>0.353</v>
      </c>
      <c r="CL122" s="76">
        <v>0.2749</v>
      </c>
      <c r="CM122" s="76">
        <v>146.84</v>
      </c>
      <c r="CN122" s="76">
        <v>17.46</v>
      </c>
      <c r="CO122" s="76">
        <v>840.87</v>
      </c>
      <c r="CP122" s="76">
        <v>139.57</v>
      </c>
      <c r="CQ122" s="76">
        <v>0.0</v>
      </c>
      <c r="CR122" s="76">
        <v>0.97</v>
      </c>
      <c r="CS122" s="76">
        <v>6.3</v>
      </c>
      <c r="CT122" s="76">
        <v>0.0</v>
      </c>
      <c r="CU122" s="76">
        <v>0.0</v>
      </c>
      <c r="CV122" s="76">
        <v>0.0</v>
      </c>
      <c r="CW122" s="76">
        <v>53.53</v>
      </c>
      <c r="CX122" s="76">
        <v>0.0</v>
      </c>
      <c r="CY122" s="76">
        <v>0.0</v>
      </c>
    </row>
    <row r="123" ht="15.75" customHeight="1">
      <c r="A123" s="164">
        <v>46240.0</v>
      </c>
      <c r="B123" s="76" t="s">
        <v>4</v>
      </c>
      <c r="C123" s="76" t="s">
        <v>147</v>
      </c>
      <c r="D123" s="76">
        <v>7304.0</v>
      </c>
      <c r="E123" s="76">
        <v>28.09</v>
      </c>
      <c r="F123" s="76">
        <v>125.52</v>
      </c>
      <c r="G123" s="76">
        <v>0.0172</v>
      </c>
      <c r="H123" s="76">
        <v>0.73</v>
      </c>
      <c r="I123" s="76">
        <v>2.3683</v>
      </c>
      <c r="J123" s="76">
        <v>19.05</v>
      </c>
      <c r="K123" s="76">
        <v>10.03</v>
      </c>
      <c r="L123" s="76">
        <v>5.0</v>
      </c>
      <c r="M123" s="76">
        <v>0.4989</v>
      </c>
      <c r="N123" s="76">
        <v>0.612</v>
      </c>
      <c r="O123" s="76">
        <v>0.3749</v>
      </c>
      <c r="P123" s="76">
        <v>2.0044</v>
      </c>
      <c r="Q123" s="76">
        <v>40.55</v>
      </c>
      <c r="R123" s="76">
        <v>31.35</v>
      </c>
      <c r="S123" s="76">
        <v>9.19</v>
      </c>
      <c r="T123" s="76">
        <v>1.47</v>
      </c>
      <c r="U123" s="76">
        <v>39.07</v>
      </c>
      <c r="V123" s="76">
        <v>40.53</v>
      </c>
      <c r="W123" s="76">
        <v>4.0429</v>
      </c>
      <c r="X123" s="76">
        <v>3.63</v>
      </c>
      <c r="Y123" s="76">
        <v>200.0</v>
      </c>
      <c r="Z123" s="76">
        <v>365.0</v>
      </c>
      <c r="AA123" s="76">
        <v>1365.0</v>
      </c>
      <c r="AB123" s="76">
        <v>49.6141</v>
      </c>
      <c r="AC123" s="76">
        <v>0.6045</v>
      </c>
      <c r="AD123" s="76">
        <v>3.97</v>
      </c>
      <c r="AE123" s="76">
        <v>1.0</v>
      </c>
      <c r="AF123" s="76">
        <v>3.0</v>
      </c>
      <c r="AG123" s="76">
        <v>5.0</v>
      </c>
      <c r="AH123" s="76">
        <v>8.0</v>
      </c>
      <c r="AI123" s="76">
        <v>74.44</v>
      </c>
      <c r="AJ123" s="76">
        <v>33.05</v>
      </c>
      <c r="AK123" s="76">
        <v>6.24</v>
      </c>
      <c r="AL123" s="76">
        <v>0.4899</v>
      </c>
      <c r="AQ123" s="76">
        <v>2.2084</v>
      </c>
      <c r="AR123" s="76">
        <v>0.0427</v>
      </c>
      <c r="AS123" s="76">
        <v>2.1657</v>
      </c>
      <c r="AT123" s="76">
        <v>2.0913</v>
      </c>
      <c r="AU123" s="76">
        <v>0.2086</v>
      </c>
      <c r="AV123" s="76">
        <v>7304.0</v>
      </c>
      <c r="AW123" s="76">
        <v>0.0</v>
      </c>
      <c r="AX123" s="76">
        <v>28.91</v>
      </c>
      <c r="AY123" s="76">
        <v>7.76</v>
      </c>
      <c r="AZ123" s="76">
        <v>1.97</v>
      </c>
      <c r="BA123" s="76">
        <v>1.47</v>
      </c>
      <c r="BB123" s="76">
        <v>0.43</v>
      </c>
      <c r="BC123" s="76">
        <v>16.0</v>
      </c>
      <c r="BD123" s="76">
        <v>19252.0</v>
      </c>
      <c r="BE123" s="76">
        <v>1.2212</v>
      </c>
      <c r="BF123" s="76">
        <v>0.0267</v>
      </c>
      <c r="BG123" s="76">
        <v>1.1946</v>
      </c>
      <c r="BH123" s="76">
        <v>1.1043</v>
      </c>
      <c r="BI123" s="76">
        <v>0.1101</v>
      </c>
      <c r="BJ123" s="76">
        <v>0.9871</v>
      </c>
      <c r="BK123" s="76">
        <v>0.016</v>
      </c>
      <c r="BL123" s="76">
        <v>0.9711</v>
      </c>
      <c r="BM123" s="76">
        <v>0.987</v>
      </c>
      <c r="BN123" s="76">
        <v>0.0984</v>
      </c>
      <c r="BO123" s="76">
        <v>0.445</v>
      </c>
      <c r="BP123" s="76">
        <v>0.0104</v>
      </c>
      <c r="BQ123" s="76">
        <v>0.4346</v>
      </c>
      <c r="BR123" s="76">
        <v>0.4284</v>
      </c>
      <c r="BS123" s="76">
        <v>0.5642</v>
      </c>
      <c r="BT123" s="76">
        <v>0.0042</v>
      </c>
      <c r="BU123" s="76">
        <v>0.56</v>
      </c>
      <c r="BV123" s="76">
        <v>0.4502</v>
      </c>
      <c r="BW123" s="76">
        <v>0.2121</v>
      </c>
      <c r="BX123" s="76">
        <v>0.012</v>
      </c>
      <c r="BY123" s="76">
        <v>0.2</v>
      </c>
      <c r="BZ123" s="76">
        <v>0.2258</v>
      </c>
      <c r="CA123" s="76">
        <v>0.1251</v>
      </c>
      <c r="CB123" s="76">
        <v>0.0025</v>
      </c>
      <c r="CC123" s="76">
        <v>0.1227</v>
      </c>
      <c r="CD123" s="76">
        <v>0.1684</v>
      </c>
      <c r="CE123" s="76">
        <v>0.4921</v>
      </c>
      <c r="CF123" s="76">
        <v>0.0082</v>
      </c>
      <c r="CG123" s="76">
        <v>0.4838</v>
      </c>
      <c r="CH123" s="76">
        <v>0.4528</v>
      </c>
      <c r="CI123" s="76">
        <v>0.3699</v>
      </c>
      <c r="CJ123" s="76">
        <v>0.0053</v>
      </c>
      <c r="CK123" s="76">
        <v>0.3646</v>
      </c>
      <c r="CL123" s="76">
        <v>0.3658</v>
      </c>
      <c r="CM123" s="76">
        <v>65.31</v>
      </c>
      <c r="CN123" s="76">
        <v>62.36</v>
      </c>
      <c r="CO123" s="76">
        <v>104.72</v>
      </c>
      <c r="CP123" s="76">
        <v>61.65</v>
      </c>
      <c r="CQ123" s="76">
        <v>0.01</v>
      </c>
      <c r="CR123" s="76">
        <v>1.45</v>
      </c>
      <c r="CS123" s="76">
        <v>2.2</v>
      </c>
      <c r="CT123" s="76">
        <v>0.0</v>
      </c>
      <c r="CU123" s="76">
        <v>0.0</v>
      </c>
      <c r="CV123" s="76">
        <v>0.0</v>
      </c>
      <c r="CW123" s="76">
        <v>40.55</v>
      </c>
      <c r="CX123" s="76">
        <v>0.0</v>
      </c>
      <c r="CY123" s="76">
        <v>0.01</v>
      </c>
    </row>
    <row r="124" ht="15.75" customHeight="1">
      <c r="A124" s="164">
        <v>46240.0</v>
      </c>
      <c r="B124" s="76" t="s">
        <v>4</v>
      </c>
      <c r="C124" s="76" t="s">
        <v>148</v>
      </c>
      <c r="D124" s="76">
        <v>5575.0</v>
      </c>
      <c r="E124" s="76">
        <v>21.44</v>
      </c>
      <c r="F124" s="76">
        <v>301.94</v>
      </c>
      <c r="G124" s="76">
        <v>0.0542</v>
      </c>
      <c r="H124" s="76">
        <v>1.83</v>
      </c>
      <c r="I124" s="76">
        <v>2.9602</v>
      </c>
      <c r="J124" s="76">
        <v>36.42</v>
      </c>
      <c r="K124" s="76">
        <v>20.45</v>
      </c>
      <c r="L124" s="76">
        <v>13.12</v>
      </c>
      <c r="M124" s="76">
        <v>0.6416</v>
      </c>
      <c r="N124" s="76">
        <v>0.4842</v>
      </c>
      <c r="O124" s="76">
        <v>0.3004</v>
      </c>
      <c r="P124" s="76">
        <v>1.5585</v>
      </c>
      <c r="Q124" s="76">
        <v>90.95</v>
      </c>
      <c r="R124" s="76">
        <v>65.12</v>
      </c>
      <c r="S124" s="76">
        <v>25.83</v>
      </c>
      <c r="T124" s="76">
        <v>4.35</v>
      </c>
      <c r="U124" s="76">
        <v>86.6</v>
      </c>
      <c r="V124" s="76">
        <v>88.39</v>
      </c>
      <c r="W124" s="76">
        <v>4.3226</v>
      </c>
      <c r="X124" s="76">
        <v>4.78</v>
      </c>
      <c r="Y124" s="76">
        <v>238.0</v>
      </c>
      <c r="Z124" s="76">
        <v>423.0</v>
      </c>
      <c r="AA124" s="76">
        <v>1343.0</v>
      </c>
      <c r="AB124" s="76">
        <v>52.1052</v>
      </c>
      <c r="AC124" s="76">
        <v>0.7078</v>
      </c>
      <c r="AD124" s="76">
        <v>9.39</v>
      </c>
      <c r="AE124" s="76">
        <v>4.0</v>
      </c>
      <c r="AF124" s="76">
        <v>8.0</v>
      </c>
      <c r="AG124" s="76">
        <v>13.0</v>
      </c>
      <c r="AH124" s="76">
        <v>18.0</v>
      </c>
      <c r="AI124" s="76">
        <v>65.79</v>
      </c>
      <c r="AJ124" s="76">
        <v>26.21</v>
      </c>
      <c r="AK124" s="76">
        <v>2.8</v>
      </c>
      <c r="AL124" s="76">
        <v>0.363</v>
      </c>
      <c r="AQ124" s="76">
        <v>4.8556</v>
      </c>
      <c r="AR124" s="76">
        <v>0.1309</v>
      </c>
      <c r="AS124" s="76">
        <v>4.7247</v>
      </c>
      <c r="AT124" s="76">
        <v>4.2943</v>
      </c>
      <c r="AU124" s="76">
        <v>0.21</v>
      </c>
      <c r="AV124" s="76">
        <v>5575.0</v>
      </c>
      <c r="AW124" s="76">
        <v>0.0</v>
      </c>
      <c r="AX124" s="76">
        <v>57.93</v>
      </c>
      <c r="AY124" s="76">
        <v>24.86</v>
      </c>
      <c r="AZ124" s="76">
        <v>2.67</v>
      </c>
      <c r="BA124" s="76">
        <v>4.33</v>
      </c>
      <c r="BB124" s="76">
        <v>1.15</v>
      </c>
      <c r="BC124" s="76">
        <v>33.0</v>
      </c>
      <c r="BD124" s="76">
        <v>18230.0</v>
      </c>
      <c r="BE124" s="76">
        <v>2.7557</v>
      </c>
      <c r="BF124" s="76">
        <v>0.0936</v>
      </c>
      <c r="BG124" s="76">
        <v>2.6621</v>
      </c>
      <c r="BH124" s="76">
        <v>2.2771</v>
      </c>
      <c r="BI124" s="76">
        <v>0.1114</v>
      </c>
      <c r="BJ124" s="76">
        <v>2.0999</v>
      </c>
      <c r="BK124" s="76">
        <v>0.0373</v>
      </c>
      <c r="BL124" s="76">
        <v>2.0626</v>
      </c>
      <c r="BM124" s="76">
        <v>2.0172</v>
      </c>
      <c r="BN124" s="76">
        <v>0.0987</v>
      </c>
      <c r="BO124" s="76">
        <v>1.03</v>
      </c>
      <c r="BP124" s="76">
        <v>0.0305</v>
      </c>
      <c r="BQ124" s="76">
        <v>0.9995</v>
      </c>
      <c r="BR124" s="76">
        <v>0.8786</v>
      </c>
      <c r="BS124" s="76">
        <v>1.2366</v>
      </c>
      <c r="BT124" s="76">
        <v>0.0283</v>
      </c>
      <c r="BU124" s="76">
        <v>1.2083</v>
      </c>
      <c r="BV124" s="76">
        <v>0.9295</v>
      </c>
      <c r="BW124" s="76">
        <v>0.4891</v>
      </c>
      <c r="BX124" s="76">
        <v>0.0348</v>
      </c>
      <c r="BY124" s="76">
        <v>0.4543</v>
      </c>
      <c r="BZ124" s="76">
        <v>0.4691</v>
      </c>
      <c r="CA124" s="76">
        <v>0.2827</v>
      </c>
      <c r="CB124" s="76">
        <v>0.0079</v>
      </c>
      <c r="CC124" s="76">
        <v>0.2748</v>
      </c>
      <c r="CD124" s="76">
        <v>0.3503</v>
      </c>
      <c r="CE124" s="76">
        <v>0.9598</v>
      </c>
      <c r="CF124" s="76">
        <v>0.0163</v>
      </c>
      <c r="CG124" s="76">
        <v>0.9435</v>
      </c>
      <c r="CH124" s="76">
        <v>0.8741</v>
      </c>
      <c r="CI124" s="76">
        <v>0.8574</v>
      </c>
      <c r="CJ124" s="76">
        <v>0.0131</v>
      </c>
      <c r="CK124" s="76">
        <v>0.8443</v>
      </c>
      <c r="CL124" s="76">
        <v>0.7928</v>
      </c>
      <c r="CM124" s="76">
        <v>175.02</v>
      </c>
      <c r="CN124" s="76">
        <v>77.61</v>
      </c>
      <c r="CO124" s="76">
        <v>225.5</v>
      </c>
      <c r="CP124" s="76">
        <v>162.95</v>
      </c>
      <c r="CQ124" s="76">
        <v>0.02</v>
      </c>
      <c r="CR124" s="76">
        <v>2.08</v>
      </c>
      <c r="CS124" s="76">
        <v>9.97</v>
      </c>
      <c r="CT124" s="76">
        <v>0.0</v>
      </c>
      <c r="CU124" s="76">
        <v>2.0</v>
      </c>
      <c r="CV124" s="76">
        <v>0.0</v>
      </c>
      <c r="CW124" s="76">
        <v>90.95</v>
      </c>
      <c r="CX124" s="76">
        <v>0.0</v>
      </c>
      <c r="CY124" s="76">
        <v>0.03</v>
      </c>
    </row>
    <row r="125" ht="15.75" customHeight="1">
      <c r="A125" s="164">
        <v>46240.0</v>
      </c>
      <c r="B125" s="76" t="s">
        <v>4</v>
      </c>
      <c r="C125" s="76" t="s">
        <v>149</v>
      </c>
      <c r="D125" s="76">
        <v>4631.0</v>
      </c>
      <c r="E125" s="76">
        <v>17.81</v>
      </c>
      <c r="F125" s="76">
        <v>628.41</v>
      </c>
      <c r="G125" s="76">
        <v>0.1357</v>
      </c>
      <c r="H125" s="76">
        <v>2.55</v>
      </c>
      <c r="I125" s="76">
        <v>5.3255</v>
      </c>
      <c r="J125" s="76">
        <v>57.12</v>
      </c>
      <c r="K125" s="76">
        <v>33.78</v>
      </c>
      <c r="L125" s="76">
        <v>24.48</v>
      </c>
      <c r="M125" s="76">
        <v>0.7248</v>
      </c>
      <c r="N125" s="76">
        <v>0.4032</v>
      </c>
      <c r="O125" s="76">
        <v>0.2648</v>
      </c>
      <c r="P125" s="76">
        <v>1.3797</v>
      </c>
      <c r="Q125" s="76">
        <v>170.04</v>
      </c>
      <c r="R125" s="76">
        <v>120.13</v>
      </c>
      <c r="S125" s="76">
        <v>49.91</v>
      </c>
      <c r="T125" s="76">
        <v>11.7</v>
      </c>
      <c r="U125" s="76">
        <v>158.35</v>
      </c>
      <c r="V125" s="76">
        <v>158.81</v>
      </c>
      <c r="W125" s="76">
        <v>4.7014</v>
      </c>
      <c r="X125" s="76">
        <v>6.88</v>
      </c>
      <c r="Y125" s="76">
        <v>280.0</v>
      </c>
      <c r="Z125" s="76">
        <v>514.0</v>
      </c>
      <c r="AA125" s="76">
        <v>1324.0</v>
      </c>
      <c r="AB125" s="76">
        <v>53.7505</v>
      </c>
      <c r="AC125" s="76">
        <v>0.7751</v>
      </c>
      <c r="AD125" s="76">
        <v>16.21</v>
      </c>
      <c r="AE125" s="76">
        <v>7.0</v>
      </c>
      <c r="AF125" s="76">
        <v>13.0</v>
      </c>
      <c r="AG125" s="76">
        <v>23.0</v>
      </c>
      <c r="AH125" s="76">
        <v>33.0</v>
      </c>
      <c r="AI125" s="76">
        <v>57.09</v>
      </c>
      <c r="AJ125" s="76">
        <v>19.84</v>
      </c>
      <c r="AK125" s="76">
        <v>3.95</v>
      </c>
      <c r="AL125" s="76">
        <v>0.2913</v>
      </c>
      <c r="AQ125" s="76">
        <v>7.927</v>
      </c>
      <c r="AR125" s="76">
        <v>0.2082</v>
      </c>
      <c r="AS125" s="76">
        <v>7.7189</v>
      </c>
      <c r="AT125" s="76">
        <v>6.948</v>
      </c>
      <c r="AU125" s="76">
        <v>0.2057</v>
      </c>
      <c r="AV125" s="76">
        <v>4631.0</v>
      </c>
      <c r="AW125" s="76">
        <v>0.0</v>
      </c>
      <c r="AX125" s="76">
        <v>100.24</v>
      </c>
      <c r="AY125" s="76">
        <v>53.1</v>
      </c>
      <c r="AZ125" s="76">
        <v>2.7</v>
      </c>
      <c r="BA125" s="76">
        <v>11.7</v>
      </c>
      <c r="BB125" s="76">
        <v>2.3</v>
      </c>
      <c r="BC125" s="76">
        <v>61.0</v>
      </c>
      <c r="BD125" s="76">
        <v>18623.0</v>
      </c>
      <c r="BE125" s="76">
        <v>4.496</v>
      </c>
      <c r="BF125" s="76">
        <v>0.127</v>
      </c>
      <c r="BG125" s="76">
        <v>4.369</v>
      </c>
      <c r="BH125" s="76">
        <v>3.5226</v>
      </c>
      <c r="BI125" s="76">
        <v>0.1043</v>
      </c>
      <c r="BJ125" s="76">
        <v>3.431</v>
      </c>
      <c r="BK125" s="76">
        <v>0.0812</v>
      </c>
      <c r="BL125" s="76">
        <v>3.3498</v>
      </c>
      <c r="BM125" s="76">
        <v>3.4254</v>
      </c>
      <c r="BN125" s="76">
        <v>0.1014</v>
      </c>
      <c r="BO125" s="76">
        <v>1.7225</v>
      </c>
      <c r="BP125" s="76">
        <v>0.0421</v>
      </c>
      <c r="BQ125" s="76">
        <v>1.6804</v>
      </c>
      <c r="BR125" s="76">
        <v>1.3997</v>
      </c>
      <c r="BS125" s="76">
        <v>1.9616</v>
      </c>
      <c r="BT125" s="76">
        <v>0.0382</v>
      </c>
      <c r="BU125" s="76">
        <v>1.9233</v>
      </c>
      <c r="BV125" s="76">
        <v>1.4217</v>
      </c>
      <c r="BW125" s="76">
        <v>0.8119</v>
      </c>
      <c r="BX125" s="76">
        <v>0.0466</v>
      </c>
      <c r="BY125" s="76">
        <v>0.7653</v>
      </c>
      <c r="BZ125" s="76">
        <v>0.7011</v>
      </c>
      <c r="CA125" s="76">
        <v>0.5599</v>
      </c>
      <c r="CB125" s="76">
        <v>0.0199</v>
      </c>
      <c r="CC125" s="76">
        <v>0.5401</v>
      </c>
      <c r="CD125" s="76">
        <v>0.6774</v>
      </c>
      <c r="CE125" s="76">
        <v>1.3995</v>
      </c>
      <c r="CF125" s="76">
        <v>0.0307</v>
      </c>
      <c r="CG125" s="76">
        <v>1.3688</v>
      </c>
      <c r="CH125" s="76">
        <v>1.3213</v>
      </c>
      <c r="CI125" s="76">
        <v>1.4716</v>
      </c>
      <c r="CJ125" s="76">
        <v>0.0307</v>
      </c>
      <c r="CK125" s="76">
        <v>1.4409</v>
      </c>
      <c r="CL125" s="76">
        <v>1.4267</v>
      </c>
      <c r="CM125" s="76">
        <v>338.67</v>
      </c>
      <c r="CN125" s="76">
        <v>89.16</v>
      </c>
      <c r="CO125" s="76">
        <v>379.85</v>
      </c>
      <c r="CP125" s="76">
        <v>317.51</v>
      </c>
      <c r="CQ125" s="76">
        <v>0.02</v>
      </c>
      <c r="CR125" s="76">
        <v>3.7</v>
      </c>
      <c r="CS125" s="76">
        <v>17.45</v>
      </c>
      <c r="CT125" s="76">
        <v>0.0</v>
      </c>
      <c r="CU125" s="76">
        <v>1.0</v>
      </c>
      <c r="CV125" s="76">
        <v>0.0</v>
      </c>
      <c r="CW125" s="76">
        <v>170.04</v>
      </c>
      <c r="CX125" s="76">
        <v>0.0</v>
      </c>
      <c r="CY125" s="76">
        <v>0.02</v>
      </c>
    </row>
    <row r="126" ht="15.75" customHeight="1">
      <c r="A126" s="164">
        <v>46240.0</v>
      </c>
      <c r="B126" s="76" t="s">
        <v>4</v>
      </c>
      <c r="C126" s="76" t="s">
        <v>150</v>
      </c>
      <c r="D126" s="76">
        <v>2997.0</v>
      </c>
      <c r="E126" s="76">
        <v>11.53</v>
      </c>
      <c r="F126" s="76">
        <v>725.43</v>
      </c>
      <c r="G126" s="76">
        <v>0.2421</v>
      </c>
      <c r="H126" s="76">
        <v>3.5</v>
      </c>
      <c r="I126" s="76">
        <v>6.9089</v>
      </c>
      <c r="J126" s="76">
        <v>109.79</v>
      </c>
      <c r="K126" s="76">
        <v>69.32</v>
      </c>
      <c r="L126" s="76">
        <v>52.7</v>
      </c>
      <c r="M126" s="76">
        <v>0.7603</v>
      </c>
      <c r="N126" s="76">
        <v>0.3556</v>
      </c>
      <c r="O126" s="76">
        <v>0.2418</v>
      </c>
      <c r="P126" s="76">
        <v>1.3153</v>
      </c>
      <c r="Q126" s="76">
        <v>342.93</v>
      </c>
      <c r="R126" s="76">
        <v>233.52</v>
      </c>
      <c r="S126" s="76">
        <v>109.41</v>
      </c>
      <c r="T126" s="76">
        <v>20.05</v>
      </c>
      <c r="U126" s="76">
        <v>322.88</v>
      </c>
      <c r="V126" s="76">
        <v>328.95</v>
      </c>
      <c r="W126" s="76">
        <v>4.745</v>
      </c>
      <c r="X126" s="76">
        <v>5.85</v>
      </c>
      <c r="Y126" s="76">
        <v>374.0</v>
      </c>
      <c r="Z126" s="76">
        <v>708.0</v>
      </c>
      <c r="AA126" s="76">
        <v>1672.0</v>
      </c>
      <c r="AB126" s="76">
        <v>56.1322</v>
      </c>
      <c r="AC126" s="76">
        <v>0.7896</v>
      </c>
      <c r="AD126" s="76">
        <v>29.1</v>
      </c>
      <c r="AE126" s="76">
        <v>11.0</v>
      </c>
      <c r="AF126" s="76">
        <v>22.0</v>
      </c>
      <c r="AG126" s="76">
        <v>41.0</v>
      </c>
      <c r="AH126" s="76">
        <v>62.0</v>
      </c>
      <c r="AI126" s="76">
        <v>40.64</v>
      </c>
      <c r="AJ126" s="76">
        <v>11.21</v>
      </c>
      <c r="AK126" s="76">
        <v>1.67</v>
      </c>
      <c r="AL126" s="76">
        <v>0.1815</v>
      </c>
      <c r="AQ126" s="76">
        <v>14.9309</v>
      </c>
      <c r="AR126" s="76">
        <v>0.4855</v>
      </c>
      <c r="AS126" s="76">
        <v>14.4454</v>
      </c>
      <c r="AT126" s="76">
        <v>13.1989</v>
      </c>
      <c r="AU126" s="76">
        <v>0.1904</v>
      </c>
      <c r="AV126" s="76">
        <v>2997.0</v>
      </c>
      <c r="AW126" s="76">
        <v>0.0</v>
      </c>
      <c r="AX126" s="76">
        <v>196.79</v>
      </c>
      <c r="AY126" s="76">
        <v>117.84</v>
      </c>
      <c r="AZ126" s="76">
        <v>3.94</v>
      </c>
      <c r="BA126" s="76">
        <v>20.05</v>
      </c>
      <c r="BB126" s="76">
        <v>4.31</v>
      </c>
      <c r="BC126" s="76">
        <v>109.0</v>
      </c>
      <c r="BD126" s="76">
        <v>15680.0</v>
      </c>
      <c r="BE126" s="76">
        <v>8.3013</v>
      </c>
      <c r="BF126" s="76">
        <v>0.3023</v>
      </c>
      <c r="BG126" s="76">
        <v>7.999</v>
      </c>
      <c r="BH126" s="76">
        <v>6.6006</v>
      </c>
      <c r="BI126" s="76">
        <v>0.0952</v>
      </c>
      <c r="BJ126" s="76">
        <v>6.6296</v>
      </c>
      <c r="BK126" s="76">
        <v>0.1832</v>
      </c>
      <c r="BL126" s="76">
        <v>6.4464</v>
      </c>
      <c r="BM126" s="76">
        <v>6.5983</v>
      </c>
      <c r="BN126" s="76">
        <v>0.0952</v>
      </c>
      <c r="BO126" s="76">
        <v>3.2609</v>
      </c>
      <c r="BP126" s="76">
        <v>0.0894</v>
      </c>
      <c r="BQ126" s="76">
        <v>3.1715</v>
      </c>
      <c r="BR126" s="76">
        <v>2.5729</v>
      </c>
      <c r="BS126" s="76">
        <v>3.5062</v>
      </c>
      <c r="BT126" s="76">
        <v>0.1034</v>
      </c>
      <c r="BU126" s="76">
        <v>3.4027</v>
      </c>
      <c r="BV126" s="76">
        <v>2.7087</v>
      </c>
      <c r="BW126" s="76">
        <v>1.5342</v>
      </c>
      <c r="BX126" s="76">
        <v>0.1094</v>
      </c>
      <c r="BY126" s="76">
        <v>1.4248</v>
      </c>
      <c r="BZ126" s="76">
        <v>1.319</v>
      </c>
      <c r="CA126" s="76">
        <v>1.3851</v>
      </c>
      <c r="CB126" s="76">
        <v>0.0454</v>
      </c>
      <c r="CC126" s="76">
        <v>1.3397</v>
      </c>
      <c r="CD126" s="76">
        <v>1.5205</v>
      </c>
      <c r="CE126" s="76">
        <v>2.5199</v>
      </c>
      <c r="CF126" s="76">
        <v>0.0794</v>
      </c>
      <c r="CG126" s="76">
        <v>2.4404</v>
      </c>
      <c r="CH126" s="76">
        <v>2.4902</v>
      </c>
      <c r="CI126" s="76">
        <v>2.7247</v>
      </c>
      <c r="CJ126" s="76">
        <v>0.0584</v>
      </c>
      <c r="CK126" s="76">
        <v>2.6663</v>
      </c>
      <c r="CL126" s="76">
        <v>2.5876</v>
      </c>
      <c r="CM126" s="76">
        <v>761.5</v>
      </c>
      <c r="CN126" s="76">
        <v>97.13</v>
      </c>
      <c r="CO126" s="76">
        <v>784.0</v>
      </c>
      <c r="CP126" s="76">
        <v>724.25</v>
      </c>
      <c r="CQ126" s="76">
        <v>0.0</v>
      </c>
      <c r="CR126" s="76">
        <v>5.89</v>
      </c>
      <c r="CS126" s="76">
        <v>31.37</v>
      </c>
      <c r="CT126" s="76">
        <v>0.0</v>
      </c>
      <c r="CU126" s="76">
        <v>0.0</v>
      </c>
      <c r="CV126" s="76">
        <v>0.0</v>
      </c>
      <c r="CW126" s="76">
        <v>342.93</v>
      </c>
      <c r="CX126" s="76">
        <v>0.0</v>
      </c>
      <c r="CY126" s="76">
        <v>0.0</v>
      </c>
    </row>
    <row r="127" ht="15.75" customHeight="1">
      <c r="A127" s="164">
        <v>46240.0</v>
      </c>
      <c r="B127" s="76" t="s">
        <v>4</v>
      </c>
      <c r="C127" s="76" t="s">
        <v>151</v>
      </c>
      <c r="D127" s="76">
        <v>428.0</v>
      </c>
      <c r="E127" s="76">
        <v>1.65</v>
      </c>
      <c r="F127" s="76">
        <v>214.02</v>
      </c>
      <c r="G127" s="76">
        <v>0.5</v>
      </c>
      <c r="H127" s="76">
        <v>5.84</v>
      </c>
      <c r="I127" s="76">
        <v>8.5608</v>
      </c>
      <c r="J127" s="76">
        <v>235.95</v>
      </c>
      <c r="K127" s="76">
        <v>164.57</v>
      </c>
      <c r="L127" s="76">
        <v>128.31</v>
      </c>
      <c r="M127" s="76">
        <v>0.7797</v>
      </c>
      <c r="N127" s="76">
        <v>0.3092</v>
      </c>
      <c r="O127" s="76">
        <v>0.2157</v>
      </c>
      <c r="P127" s="76">
        <v>1.2826</v>
      </c>
      <c r="Q127" s="76">
        <v>722.57</v>
      </c>
      <c r="R127" s="76">
        <v>452.96</v>
      </c>
      <c r="S127" s="76">
        <v>269.61</v>
      </c>
      <c r="T127" s="76">
        <v>45.68</v>
      </c>
      <c r="U127" s="76">
        <v>676.89</v>
      </c>
      <c r="V127" s="76">
        <v>689.37</v>
      </c>
      <c r="W127" s="76">
        <v>4.189</v>
      </c>
      <c r="X127" s="76">
        <v>6.32</v>
      </c>
      <c r="Y127" s="76">
        <v>528.0</v>
      </c>
      <c r="Z127" s="76">
        <v>1005.0</v>
      </c>
      <c r="AA127" s="76">
        <v>2001.0</v>
      </c>
      <c r="AB127" s="76">
        <v>58.7973</v>
      </c>
      <c r="AC127" s="76">
        <v>0.8166</v>
      </c>
      <c r="AD127" s="76">
        <v>51.49</v>
      </c>
      <c r="AE127" s="76">
        <v>21.0</v>
      </c>
      <c r="AF127" s="76">
        <v>37.0</v>
      </c>
      <c r="AG127" s="76">
        <v>70.0</v>
      </c>
      <c r="AH127" s="76">
        <v>117.0</v>
      </c>
      <c r="AI127" s="76">
        <v>21.26</v>
      </c>
      <c r="AJ127" s="76">
        <v>1.87</v>
      </c>
      <c r="AK127" s="76">
        <v>0.23</v>
      </c>
      <c r="AL127" s="76">
        <v>0.0841</v>
      </c>
      <c r="AQ127" s="76">
        <v>32.521</v>
      </c>
      <c r="AR127" s="76">
        <v>0.4813</v>
      </c>
      <c r="AS127" s="76">
        <v>32.0397</v>
      </c>
      <c r="AT127" s="76">
        <v>29.7196</v>
      </c>
      <c r="AU127" s="76">
        <v>0.1806</v>
      </c>
      <c r="AV127" s="76">
        <v>428.0</v>
      </c>
      <c r="AW127" s="76">
        <v>0.0</v>
      </c>
      <c r="AX127" s="76">
        <v>465.05</v>
      </c>
      <c r="AY127" s="76">
        <v>191.25</v>
      </c>
      <c r="AZ127" s="76">
        <v>5.33</v>
      </c>
      <c r="BA127" s="76">
        <v>45.68</v>
      </c>
      <c r="BB127" s="76">
        <v>15.27</v>
      </c>
      <c r="BC127" s="76">
        <v>192.0</v>
      </c>
      <c r="BD127" s="76">
        <v>12080.0</v>
      </c>
      <c r="BE127" s="76">
        <v>18.6822</v>
      </c>
      <c r="BF127" s="76">
        <v>0.1612</v>
      </c>
      <c r="BG127" s="76">
        <v>18.521</v>
      </c>
      <c r="BH127" s="76">
        <v>13.8528</v>
      </c>
      <c r="BI127" s="76">
        <v>0.0842</v>
      </c>
      <c r="BJ127" s="76">
        <v>13.8388</v>
      </c>
      <c r="BK127" s="76">
        <v>0.3201</v>
      </c>
      <c r="BL127" s="76">
        <v>13.5187</v>
      </c>
      <c r="BM127" s="76">
        <v>15.8668</v>
      </c>
      <c r="BN127" s="76">
        <v>0.0964</v>
      </c>
      <c r="BO127" s="76">
        <v>7.3435</v>
      </c>
      <c r="BP127" s="76">
        <v>0.0491</v>
      </c>
      <c r="BQ127" s="76">
        <v>7.2944</v>
      </c>
      <c r="BR127" s="76">
        <v>5.3785</v>
      </c>
      <c r="BS127" s="76">
        <v>8.1238</v>
      </c>
      <c r="BT127" s="76">
        <v>0.0631</v>
      </c>
      <c r="BU127" s="76">
        <v>8.0607</v>
      </c>
      <c r="BV127" s="76">
        <v>5.8458</v>
      </c>
      <c r="BW127" s="76">
        <v>3.215</v>
      </c>
      <c r="BX127" s="76">
        <v>0.0491</v>
      </c>
      <c r="BY127" s="76">
        <v>3.1659</v>
      </c>
      <c r="BZ127" s="76">
        <v>2.6285</v>
      </c>
      <c r="CA127" s="76">
        <v>3.0187</v>
      </c>
      <c r="CB127" s="76">
        <v>0.0678</v>
      </c>
      <c r="CC127" s="76">
        <v>2.9509</v>
      </c>
      <c r="CD127" s="76">
        <v>4.7991</v>
      </c>
      <c r="CE127" s="76">
        <v>5.1098</v>
      </c>
      <c r="CF127" s="76">
        <v>0.1262</v>
      </c>
      <c r="CG127" s="76">
        <v>4.9836</v>
      </c>
      <c r="CH127" s="76">
        <v>5.1519</v>
      </c>
      <c r="CI127" s="76">
        <v>5.7103</v>
      </c>
      <c r="CJ127" s="76">
        <v>0.1262</v>
      </c>
      <c r="CK127" s="76">
        <v>5.5841</v>
      </c>
      <c r="CL127" s="76">
        <v>5.9159</v>
      </c>
      <c r="CM127" s="76">
        <v>1832.74</v>
      </c>
      <c r="CN127" s="76">
        <v>98.83</v>
      </c>
      <c r="CO127" s="76">
        <v>1854.41</v>
      </c>
      <c r="CP127" s="76">
        <v>1780.24</v>
      </c>
      <c r="CQ127" s="76">
        <v>0.0</v>
      </c>
      <c r="CR127" s="76">
        <v>10.79</v>
      </c>
      <c r="CS127" s="76">
        <v>41.71</v>
      </c>
      <c r="CT127" s="76">
        <v>0.0</v>
      </c>
      <c r="CU127" s="76">
        <v>0.0</v>
      </c>
      <c r="CV127" s="76">
        <v>0.0</v>
      </c>
      <c r="CW127" s="76">
        <v>722.57</v>
      </c>
      <c r="CX127" s="76">
        <v>0.0</v>
      </c>
      <c r="CY127" s="76">
        <v>0.0</v>
      </c>
    </row>
    <row r="128" ht="15.75" customHeight="1">
      <c r="A128" s="164">
        <v>46240.0</v>
      </c>
      <c r="B128" s="76" t="s">
        <v>5</v>
      </c>
      <c r="C128" s="76" t="s">
        <v>316</v>
      </c>
      <c r="D128" s="76">
        <v>4995.0</v>
      </c>
      <c r="E128" s="76">
        <v>19.2</v>
      </c>
      <c r="F128" s="76">
        <v>462.66</v>
      </c>
      <c r="G128" s="76">
        <v>0.0926</v>
      </c>
      <c r="H128" s="76">
        <v>1.36</v>
      </c>
      <c r="I128" s="76">
        <v>6.8038</v>
      </c>
      <c r="J128" s="76">
        <v>24.39</v>
      </c>
      <c r="K128" s="76">
        <v>13.31</v>
      </c>
      <c r="L128" s="76">
        <v>9.01</v>
      </c>
      <c r="M128" s="76">
        <v>0.6772</v>
      </c>
      <c r="N128" s="76">
        <v>0.4378</v>
      </c>
      <c r="O128" s="76">
        <v>0.2187</v>
      </c>
      <c r="P128" s="76">
        <v>1.4767</v>
      </c>
      <c r="Q128" s="76">
        <v>45.4</v>
      </c>
      <c r="R128" s="76">
        <v>45.3</v>
      </c>
      <c r="S128" s="76">
        <v>0.1</v>
      </c>
      <c r="T128" s="76">
        <v>7.03</v>
      </c>
      <c r="U128" s="76">
        <v>38.38</v>
      </c>
      <c r="V128" s="76">
        <v>38.12</v>
      </c>
      <c r="W128" s="76">
        <v>2.8646</v>
      </c>
      <c r="X128" s="76">
        <v>15.48</v>
      </c>
      <c r="Y128" s="76">
        <v>194.0</v>
      </c>
      <c r="Z128" s="76">
        <v>426.0</v>
      </c>
      <c r="AA128" s="76">
        <v>3240.0</v>
      </c>
      <c r="AB128" s="76">
        <v>49.6405</v>
      </c>
      <c r="AC128" s="76">
        <v>0.4832</v>
      </c>
      <c r="AI128" s="76">
        <v>0.0</v>
      </c>
      <c r="AJ128" s="76">
        <v>0.0</v>
      </c>
      <c r="AK128" s="76">
        <v>0.0</v>
      </c>
      <c r="AL128" s="76">
        <v>0.4897</v>
      </c>
      <c r="AM128" s="76">
        <v>9.95</v>
      </c>
      <c r="AN128" s="76">
        <v>9.95</v>
      </c>
      <c r="AO128" s="76">
        <v>5.63</v>
      </c>
      <c r="AP128" s="76">
        <v>2.84</v>
      </c>
      <c r="AQ128" s="76">
        <v>5.3295</v>
      </c>
      <c r="AR128" s="76">
        <v>0.1051</v>
      </c>
      <c r="AS128" s="76">
        <v>5.2244</v>
      </c>
      <c r="AT128" s="76">
        <v>1.8352</v>
      </c>
      <c r="AU128" s="76">
        <v>0.1379</v>
      </c>
      <c r="AV128" s="76">
        <v>4995.0</v>
      </c>
      <c r="AW128" s="76">
        <v>0.0</v>
      </c>
      <c r="AX128" s="76">
        <v>9.47</v>
      </c>
      <c r="AY128" s="76">
        <v>25.92</v>
      </c>
      <c r="AZ128" s="76">
        <v>2.73</v>
      </c>
      <c r="BA128" s="76">
        <v>7.03</v>
      </c>
      <c r="BB128" s="76">
        <v>0.25</v>
      </c>
      <c r="BD128" s="76">
        <v>26287.0</v>
      </c>
      <c r="BE128" s="76">
        <v>0.7341</v>
      </c>
      <c r="BF128" s="76">
        <v>0.048</v>
      </c>
      <c r="BG128" s="76">
        <v>0.6861</v>
      </c>
      <c r="BH128" s="76">
        <v>0.7666</v>
      </c>
      <c r="BI128" s="76">
        <v>0.0576</v>
      </c>
      <c r="BJ128" s="76">
        <v>4.5954</v>
      </c>
      <c r="BK128" s="76">
        <v>0.0571</v>
      </c>
      <c r="BL128" s="76">
        <v>4.5383</v>
      </c>
      <c r="BM128" s="76">
        <v>1.0687</v>
      </c>
      <c r="BN128" s="76">
        <v>0.0803</v>
      </c>
      <c r="BO128" s="76">
        <v>0.2807</v>
      </c>
      <c r="BP128" s="76">
        <v>0.0176</v>
      </c>
      <c r="BQ128" s="76">
        <v>0.2631</v>
      </c>
      <c r="BR128" s="76">
        <v>0.2985</v>
      </c>
      <c r="BS128" s="76">
        <v>0.2472</v>
      </c>
      <c r="BT128" s="76">
        <v>0.0152</v>
      </c>
      <c r="BU128" s="76">
        <v>0.232</v>
      </c>
      <c r="BV128" s="76">
        <v>0.2553</v>
      </c>
      <c r="BW128" s="76">
        <v>0.2062</v>
      </c>
      <c r="BX128" s="76">
        <v>0.0152</v>
      </c>
      <c r="BY128" s="76">
        <v>0.191</v>
      </c>
      <c r="BZ128" s="76">
        <v>0.2128</v>
      </c>
      <c r="CA128" s="76">
        <v>1.392</v>
      </c>
      <c r="CB128" s="76">
        <v>0.0154</v>
      </c>
      <c r="CC128" s="76">
        <v>1.3766</v>
      </c>
      <c r="CD128" s="76">
        <v>0.3021</v>
      </c>
      <c r="CE128" s="76">
        <v>1.6587</v>
      </c>
      <c r="CF128" s="76">
        <v>0.0232</v>
      </c>
      <c r="CG128" s="76">
        <v>1.6354</v>
      </c>
      <c r="CH128" s="76">
        <v>0.3932</v>
      </c>
      <c r="CI128" s="76">
        <v>1.5447</v>
      </c>
      <c r="CJ128" s="76">
        <v>0.0184</v>
      </c>
      <c r="CK128" s="76">
        <v>1.5263</v>
      </c>
      <c r="CL128" s="76">
        <v>0.3734</v>
      </c>
      <c r="CM128" s="76">
        <v>149.39</v>
      </c>
      <c r="CN128" s="76">
        <v>18.22</v>
      </c>
      <c r="CO128" s="76">
        <v>819.98</v>
      </c>
      <c r="CP128" s="76">
        <v>126.09</v>
      </c>
      <c r="CQ128" s="76">
        <v>21.73</v>
      </c>
      <c r="CR128" s="76">
        <v>0.49</v>
      </c>
      <c r="CS128" s="76">
        <v>1.07</v>
      </c>
      <c r="CT128" s="76">
        <v>0.0</v>
      </c>
      <c r="CU128" s="76">
        <v>1389.0</v>
      </c>
      <c r="CV128" s="76">
        <v>205.74</v>
      </c>
      <c r="CW128" s="76">
        <v>251.14</v>
      </c>
      <c r="CX128" s="76">
        <v>3.2</v>
      </c>
      <c r="CY128" s="76">
        <v>24.93</v>
      </c>
    </row>
    <row r="129" ht="15.75" customHeight="1">
      <c r="A129" s="164">
        <v>46240.0</v>
      </c>
      <c r="B129" s="76" t="s">
        <v>5</v>
      </c>
      <c r="C129" s="76" t="s">
        <v>147</v>
      </c>
      <c r="D129" s="76">
        <v>7312.0</v>
      </c>
      <c r="E129" s="76">
        <v>28.11</v>
      </c>
      <c r="F129" s="76">
        <v>173.72</v>
      </c>
      <c r="G129" s="76">
        <v>0.0238</v>
      </c>
      <c r="H129" s="76">
        <v>0.98</v>
      </c>
      <c r="I129" s="76">
        <v>2.4128</v>
      </c>
      <c r="J129" s="76">
        <v>20.45</v>
      </c>
      <c r="K129" s="76">
        <v>10.73</v>
      </c>
      <c r="L129" s="76">
        <v>5.06</v>
      </c>
      <c r="M129" s="76">
        <v>0.4721</v>
      </c>
      <c r="N129" s="76">
        <v>0.6287</v>
      </c>
      <c r="O129" s="76">
        <v>0.3683</v>
      </c>
      <c r="P129" s="76">
        <v>2.1184</v>
      </c>
      <c r="Q129" s="76">
        <v>34.35</v>
      </c>
      <c r="R129" s="76">
        <v>31.35</v>
      </c>
      <c r="S129" s="76">
        <v>3.0</v>
      </c>
      <c r="T129" s="76">
        <v>2.11</v>
      </c>
      <c r="U129" s="76">
        <v>32.24</v>
      </c>
      <c r="V129" s="76">
        <v>35.78</v>
      </c>
      <c r="W129" s="76">
        <v>3.3361</v>
      </c>
      <c r="X129" s="76">
        <v>6.15</v>
      </c>
      <c r="Y129" s="76">
        <v>199.0</v>
      </c>
      <c r="Z129" s="76">
        <v>322.0</v>
      </c>
      <c r="AA129" s="76">
        <v>1117.0</v>
      </c>
      <c r="AB129" s="76">
        <v>49.7408</v>
      </c>
      <c r="AC129" s="76">
        <v>0.6131</v>
      </c>
      <c r="AD129" s="76">
        <v>3.98</v>
      </c>
      <c r="AE129" s="76">
        <v>2.0</v>
      </c>
      <c r="AF129" s="76">
        <v>3.0</v>
      </c>
      <c r="AG129" s="76">
        <v>5.0</v>
      </c>
      <c r="AH129" s="76">
        <v>8.0</v>
      </c>
      <c r="AI129" s="76">
        <v>75.77</v>
      </c>
      <c r="AJ129" s="76">
        <v>33.62</v>
      </c>
      <c r="AK129" s="76">
        <v>5.94</v>
      </c>
      <c r="AL129" s="76">
        <v>0.51</v>
      </c>
      <c r="AM129" s="76">
        <v>35.27</v>
      </c>
      <c r="AN129" s="76">
        <v>35.27</v>
      </c>
      <c r="AO129" s="76">
        <v>16.06</v>
      </c>
      <c r="AP129" s="76">
        <v>4.87</v>
      </c>
      <c r="AQ129" s="76">
        <v>2.6965</v>
      </c>
      <c r="AR129" s="76">
        <v>0.0589</v>
      </c>
      <c r="AS129" s="76">
        <v>2.6376</v>
      </c>
      <c r="AT129" s="76">
        <v>2.2912</v>
      </c>
      <c r="AU129" s="76">
        <v>0.2136</v>
      </c>
      <c r="AV129" s="76">
        <v>7312.0</v>
      </c>
      <c r="AW129" s="76">
        <v>0.0</v>
      </c>
      <c r="AX129" s="76">
        <v>17.52</v>
      </c>
      <c r="AY129" s="76">
        <v>12.41</v>
      </c>
      <c r="AZ129" s="76">
        <v>1.78</v>
      </c>
      <c r="BA129" s="76">
        <v>2.11</v>
      </c>
      <c r="BB129" s="76">
        <v>0.53</v>
      </c>
      <c r="BC129" s="76">
        <v>16.0</v>
      </c>
      <c r="BD129" s="76">
        <v>17459.0</v>
      </c>
      <c r="BE129" s="76">
        <v>1.5365</v>
      </c>
      <c r="BF129" s="76">
        <v>0.0377</v>
      </c>
      <c r="BG129" s="76">
        <v>1.4988</v>
      </c>
      <c r="BH129" s="76">
        <v>1.2281</v>
      </c>
      <c r="BI129" s="76">
        <v>0.1145</v>
      </c>
      <c r="BJ129" s="76">
        <v>1.16</v>
      </c>
      <c r="BK129" s="76">
        <v>0.0212</v>
      </c>
      <c r="BL129" s="76">
        <v>1.1388</v>
      </c>
      <c r="BM129" s="76">
        <v>1.063</v>
      </c>
      <c r="BN129" s="76">
        <v>0.0991</v>
      </c>
      <c r="BO129" s="76">
        <v>0.6885</v>
      </c>
      <c r="BP129" s="76">
        <v>0.0142</v>
      </c>
      <c r="BQ129" s="76">
        <v>0.6742</v>
      </c>
      <c r="BR129" s="76">
        <v>0.5492</v>
      </c>
      <c r="BS129" s="76">
        <v>0.6224</v>
      </c>
      <c r="BT129" s="76">
        <v>0.0109</v>
      </c>
      <c r="BU129" s="76">
        <v>0.6115</v>
      </c>
      <c r="BV129" s="76">
        <v>0.4603</v>
      </c>
      <c r="BW129" s="76">
        <v>0.2257</v>
      </c>
      <c r="BX129" s="76">
        <v>0.0126</v>
      </c>
      <c r="BY129" s="76">
        <v>0.2131</v>
      </c>
      <c r="BZ129" s="76">
        <v>0.2185</v>
      </c>
      <c r="CA129" s="76">
        <v>0.1411</v>
      </c>
      <c r="CB129" s="76">
        <v>0.0041</v>
      </c>
      <c r="CC129" s="76">
        <v>0.137</v>
      </c>
      <c r="CD129" s="76">
        <v>0.1667</v>
      </c>
      <c r="CE129" s="76">
        <v>0.6424</v>
      </c>
      <c r="CF129" s="76">
        <v>0.0104</v>
      </c>
      <c r="CG129" s="76">
        <v>0.632</v>
      </c>
      <c r="CH129" s="76">
        <v>0.539</v>
      </c>
      <c r="CI129" s="76">
        <v>0.3765</v>
      </c>
      <c r="CJ129" s="76">
        <v>0.0067</v>
      </c>
      <c r="CK129" s="76">
        <v>0.3698</v>
      </c>
      <c r="CL129" s="76">
        <v>0.3574</v>
      </c>
      <c r="CM129" s="76">
        <v>73.13</v>
      </c>
      <c r="CN129" s="76">
        <v>61.67</v>
      </c>
      <c r="CO129" s="76">
        <v>118.59</v>
      </c>
      <c r="CP129" s="76">
        <v>60.27</v>
      </c>
      <c r="CQ129" s="76">
        <v>11.02</v>
      </c>
      <c r="CR129" s="76">
        <v>1.4</v>
      </c>
      <c r="CS129" s="76">
        <v>0.43</v>
      </c>
      <c r="CT129" s="76">
        <v>0.0</v>
      </c>
      <c r="CU129" s="76">
        <v>1990.0</v>
      </c>
      <c r="CV129" s="76">
        <v>0.71</v>
      </c>
      <c r="CW129" s="76">
        <v>35.06</v>
      </c>
      <c r="CX129" s="76">
        <v>1.28</v>
      </c>
      <c r="CY129" s="76">
        <v>12.31</v>
      </c>
    </row>
    <row r="130" ht="15.75" customHeight="1">
      <c r="A130" s="164">
        <v>46240.0</v>
      </c>
      <c r="B130" s="76" t="s">
        <v>5</v>
      </c>
      <c r="C130" s="76" t="s">
        <v>148</v>
      </c>
      <c r="D130" s="76">
        <v>5640.0</v>
      </c>
      <c r="E130" s="76">
        <v>21.68</v>
      </c>
      <c r="F130" s="76">
        <v>351.44</v>
      </c>
      <c r="G130" s="76">
        <v>0.0623</v>
      </c>
      <c r="H130" s="76">
        <v>2.0</v>
      </c>
      <c r="I130" s="76">
        <v>3.1101</v>
      </c>
      <c r="J130" s="76">
        <v>40.62</v>
      </c>
      <c r="K130" s="76">
        <v>22.12</v>
      </c>
      <c r="L130" s="76">
        <v>13.22</v>
      </c>
      <c r="M130" s="76">
        <v>0.5976</v>
      </c>
      <c r="N130" s="76">
        <v>0.5207</v>
      </c>
      <c r="O130" s="76">
        <v>0.3129</v>
      </c>
      <c r="P130" s="76">
        <v>1.6733</v>
      </c>
      <c r="Q130" s="76">
        <v>70.77</v>
      </c>
      <c r="R130" s="76">
        <v>62.47</v>
      </c>
      <c r="S130" s="76">
        <v>8.31</v>
      </c>
      <c r="T130" s="76">
        <v>6.03</v>
      </c>
      <c r="U130" s="76">
        <v>64.74</v>
      </c>
      <c r="V130" s="76">
        <v>74.57</v>
      </c>
      <c r="W130" s="76">
        <v>3.3712</v>
      </c>
      <c r="X130" s="76">
        <v>8.52</v>
      </c>
      <c r="Y130" s="76">
        <v>208.0</v>
      </c>
      <c r="Z130" s="76">
        <v>354.0</v>
      </c>
      <c r="AA130" s="76">
        <v>1013.0</v>
      </c>
      <c r="AB130" s="76">
        <v>52.0914</v>
      </c>
      <c r="AC130" s="76">
        <v>0.6978</v>
      </c>
      <c r="AD130" s="76">
        <v>9.3</v>
      </c>
      <c r="AE130" s="76">
        <v>4.0</v>
      </c>
      <c r="AF130" s="76">
        <v>8.0</v>
      </c>
      <c r="AG130" s="76">
        <v>13.0</v>
      </c>
      <c r="AH130" s="76">
        <v>18.0</v>
      </c>
      <c r="AI130" s="76">
        <v>64.31</v>
      </c>
      <c r="AJ130" s="76">
        <v>26.38</v>
      </c>
      <c r="AK130" s="76">
        <v>3.14</v>
      </c>
      <c r="AL130" s="76">
        <v>0.3596</v>
      </c>
      <c r="AM130" s="76">
        <v>41.76</v>
      </c>
      <c r="AN130" s="76">
        <v>41.76</v>
      </c>
      <c r="AO130" s="76">
        <v>24.06</v>
      </c>
      <c r="AP130" s="76">
        <v>11.06</v>
      </c>
      <c r="AQ130" s="76">
        <v>5.0775</v>
      </c>
      <c r="AR130" s="76">
        <v>0.0989</v>
      </c>
      <c r="AS130" s="76">
        <v>4.9785</v>
      </c>
      <c r="AT130" s="76">
        <v>4.5966</v>
      </c>
      <c r="AU130" s="76">
        <v>0.2078</v>
      </c>
      <c r="AV130" s="76">
        <v>5640.0</v>
      </c>
      <c r="AW130" s="76">
        <v>0.0</v>
      </c>
      <c r="AX130" s="76">
        <v>34.9</v>
      </c>
      <c r="AY130" s="76">
        <v>26.01</v>
      </c>
      <c r="AZ130" s="76">
        <v>2.43</v>
      </c>
      <c r="BA130" s="76">
        <v>6.03</v>
      </c>
      <c r="BB130" s="76">
        <v>1.41</v>
      </c>
      <c r="BC130" s="76">
        <v>32.0</v>
      </c>
      <c r="BD130" s="76">
        <v>18648.0</v>
      </c>
      <c r="BE130" s="76">
        <v>2.8149</v>
      </c>
      <c r="BF130" s="76">
        <v>0.059</v>
      </c>
      <c r="BG130" s="76">
        <v>2.7559</v>
      </c>
      <c r="BH130" s="76">
        <v>2.3826</v>
      </c>
      <c r="BI130" s="76">
        <v>0.1077</v>
      </c>
      <c r="BJ130" s="76">
        <v>2.2626</v>
      </c>
      <c r="BK130" s="76">
        <v>0.0399</v>
      </c>
      <c r="BL130" s="76">
        <v>2.2227</v>
      </c>
      <c r="BM130" s="76">
        <v>2.214</v>
      </c>
      <c r="BN130" s="76">
        <v>0.1001</v>
      </c>
      <c r="BO130" s="76">
        <v>1.0362</v>
      </c>
      <c r="BP130" s="76">
        <v>0.0207</v>
      </c>
      <c r="BQ130" s="76">
        <v>1.0154</v>
      </c>
      <c r="BR130" s="76">
        <v>0.9356</v>
      </c>
      <c r="BS130" s="76">
        <v>1.1339</v>
      </c>
      <c r="BT130" s="76">
        <v>0.0181</v>
      </c>
      <c r="BU130" s="76">
        <v>1.1158</v>
      </c>
      <c r="BV130" s="76">
        <v>0.8957</v>
      </c>
      <c r="BW130" s="76">
        <v>0.6449</v>
      </c>
      <c r="BX130" s="76">
        <v>0.0202</v>
      </c>
      <c r="BY130" s="76">
        <v>0.6246</v>
      </c>
      <c r="BZ130" s="76">
        <v>0.5512</v>
      </c>
      <c r="CA130" s="76">
        <v>0.4117</v>
      </c>
      <c r="CB130" s="76">
        <v>0.0089</v>
      </c>
      <c r="CC130" s="76">
        <v>0.4028</v>
      </c>
      <c r="CD130" s="76">
        <v>0.4339</v>
      </c>
      <c r="CE130" s="76">
        <v>1.1135</v>
      </c>
      <c r="CF130" s="76">
        <v>0.0158</v>
      </c>
      <c r="CG130" s="76">
        <v>1.0977</v>
      </c>
      <c r="CH130" s="76">
        <v>1.0401</v>
      </c>
      <c r="CI130" s="76">
        <v>0.7374</v>
      </c>
      <c r="CJ130" s="76">
        <v>0.0152</v>
      </c>
      <c r="CK130" s="76">
        <v>0.7222</v>
      </c>
      <c r="CL130" s="76">
        <v>0.7401</v>
      </c>
      <c r="CM130" s="76">
        <v>171.82</v>
      </c>
      <c r="CN130" s="76">
        <v>78.33</v>
      </c>
      <c r="CO130" s="76">
        <v>219.35</v>
      </c>
      <c r="CP130" s="76">
        <v>142.36</v>
      </c>
      <c r="CQ130" s="76">
        <v>26.14</v>
      </c>
      <c r="CR130" s="76">
        <v>2.03</v>
      </c>
      <c r="CS130" s="76">
        <v>1.29</v>
      </c>
      <c r="CT130" s="76">
        <v>0.0</v>
      </c>
      <c r="CU130" s="76">
        <v>2344.0</v>
      </c>
      <c r="CV130" s="76">
        <v>1.11</v>
      </c>
      <c r="CW130" s="76">
        <v>71.88</v>
      </c>
      <c r="CX130" s="76">
        <v>3.42</v>
      </c>
      <c r="CY130" s="76">
        <v>29.56</v>
      </c>
    </row>
    <row r="131" ht="15.75" customHeight="1">
      <c r="A131" s="164">
        <v>46240.0</v>
      </c>
      <c r="B131" s="76" t="s">
        <v>5</v>
      </c>
      <c r="C131" s="76" t="s">
        <v>149</v>
      </c>
      <c r="D131" s="76">
        <v>4744.0</v>
      </c>
      <c r="E131" s="76">
        <v>18.24</v>
      </c>
      <c r="F131" s="76">
        <v>427.75</v>
      </c>
      <c r="G131" s="76">
        <v>0.0902</v>
      </c>
      <c r="H131" s="76">
        <v>2.51</v>
      </c>
      <c r="I131" s="76">
        <v>3.5945</v>
      </c>
      <c r="J131" s="76">
        <v>62.73</v>
      </c>
      <c r="K131" s="76">
        <v>36.0</v>
      </c>
      <c r="L131" s="76">
        <v>24.83</v>
      </c>
      <c r="M131" s="76">
        <v>0.6896</v>
      </c>
      <c r="N131" s="76">
        <v>0.4293</v>
      </c>
      <c r="O131" s="76">
        <v>0.2742</v>
      </c>
      <c r="P131" s="76">
        <v>1.4502</v>
      </c>
      <c r="Q131" s="76">
        <v>120.73</v>
      </c>
      <c r="R131" s="76">
        <v>105.54</v>
      </c>
      <c r="S131" s="76">
        <v>15.2</v>
      </c>
      <c r="T131" s="76">
        <v>8.26</v>
      </c>
      <c r="U131" s="76">
        <v>112.47</v>
      </c>
      <c r="V131" s="76">
        <v>127.67</v>
      </c>
      <c r="W131" s="76">
        <v>3.5459</v>
      </c>
      <c r="X131" s="76">
        <v>6.84</v>
      </c>
      <c r="Y131" s="76">
        <v>240.0</v>
      </c>
      <c r="Z131" s="76">
        <v>411.0</v>
      </c>
      <c r="AA131" s="76">
        <v>1089.0</v>
      </c>
      <c r="AB131" s="76">
        <v>53.6697</v>
      </c>
      <c r="AC131" s="76">
        <v>0.7621</v>
      </c>
      <c r="AD131" s="76">
        <v>15.6</v>
      </c>
      <c r="AE131" s="76">
        <v>7.0</v>
      </c>
      <c r="AF131" s="76">
        <v>12.0</v>
      </c>
      <c r="AG131" s="76">
        <v>22.0</v>
      </c>
      <c r="AH131" s="76">
        <v>31.0</v>
      </c>
      <c r="AI131" s="76">
        <v>55.52</v>
      </c>
      <c r="AJ131" s="76">
        <v>18.28</v>
      </c>
      <c r="AK131" s="76">
        <v>3.98</v>
      </c>
      <c r="AL131" s="76">
        <v>0.2943</v>
      </c>
      <c r="AM131" s="76">
        <v>42.07</v>
      </c>
      <c r="AN131" s="76">
        <v>42.07</v>
      </c>
      <c r="AO131" s="76">
        <v>22.83</v>
      </c>
      <c r="AP131" s="76">
        <v>11.13</v>
      </c>
      <c r="AQ131" s="76">
        <v>7.7403</v>
      </c>
      <c r="AR131" s="76">
        <v>0.1309</v>
      </c>
      <c r="AS131" s="76">
        <v>7.6094</v>
      </c>
      <c r="AT131" s="76">
        <v>6.8588</v>
      </c>
      <c r="AU131" s="76">
        <v>0.1905</v>
      </c>
      <c r="AV131" s="76">
        <v>4744.0</v>
      </c>
      <c r="AW131" s="76">
        <v>0.0</v>
      </c>
      <c r="AX131" s="76">
        <v>58.8</v>
      </c>
      <c r="AY131" s="76">
        <v>48.68</v>
      </c>
      <c r="AZ131" s="76">
        <v>2.78</v>
      </c>
      <c r="BA131" s="76">
        <v>8.23</v>
      </c>
      <c r="BB131" s="76">
        <v>2.23</v>
      </c>
      <c r="BC131" s="76">
        <v>59.0</v>
      </c>
      <c r="BD131" s="76">
        <v>14288.0</v>
      </c>
      <c r="BE131" s="76">
        <v>4.2038</v>
      </c>
      <c r="BF131" s="76">
        <v>0.0683</v>
      </c>
      <c r="BG131" s="76">
        <v>4.1355</v>
      </c>
      <c r="BH131" s="76">
        <v>3.4113</v>
      </c>
      <c r="BI131" s="76">
        <v>0.0947</v>
      </c>
      <c r="BJ131" s="76">
        <v>3.5365</v>
      </c>
      <c r="BK131" s="76">
        <v>0.0626</v>
      </c>
      <c r="BL131" s="76">
        <v>3.4739</v>
      </c>
      <c r="BM131" s="76">
        <v>3.4475</v>
      </c>
      <c r="BN131" s="76">
        <v>0.0958</v>
      </c>
      <c r="BO131" s="76">
        <v>1.5434</v>
      </c>
      <c r="BP131" s="76">
        <v>0.0247</v>
      </c>
      <c r="BQ131" s="76">
        <v>1.5188</v>
      </c>
      <c r="BR131" s="76">
        <v>1.2753</v>
      </c>
      <c r="BS131" s="76">
        <v>1.5042</v>
      </c>
      <c r="BT131" s="76">
        <v>0.0215</v>
      </c>
      <c r="BU131" s="76">
        <v>1.4827</v>
      </c>
      <c r="BV131" s="76">
        <v>1.2283</v>
      </c>
      <c r="BW131" s="76">
        <v>1.1562</v>
      </c>
      <c r="BX131" s="76">
        <v>0.0221</v>
      </c>
      <c r="BY131" s="76">
        <v>1.1341</v>
      </c>
      <c r="BZ131" s="76">
        <v>0.9077</v>
      </c>
      <c r="CA131" s="76">
        <v>0.4916</v>
      </c>
      <c r="CB131" s="76">
        <v>0.0133</v>
      </c>
      <c r="CC131" s="76">
        <v>0.4783</v>
      </c>
      <c r="CD131" s="76">
        <v>0.6161</v>
      </c>
      <c r="CE131" s="76">
        <v>1.7287</v>
      </c>
      <c r="CF131" s="76">
        <v>0.0266</v>
      </c>
      <c r="CG131" s="76">
        <v>1.7022</v>
      </c>
      <c r="CH131" s="76">
        <v>1.5339</v>
      </c>
      <c r="CI131" s="76">
        <v>1.3162</v>
      </c>
      <c r="CJ131" s="76">
        <v>0.0228</v>
      </c>
      <c r="CK131" s="76">
        <v>1.2934</v>
      </c>
      <c r="CL131" s="76">
        <v>1.2974</v>
      </c>
      <c r="CM131" s="76">
        <v>325.74</v>
      </c>
      <c r="CN131" s="76">
        <v>88.39</v>
      </c>
      <c r="CO131" s="76">
        <v>368.55</v>
      </c>
      <c r="CP131" s="76">
        <v>276.72</v>
      </c>
      <c r="CQ131" s="76">
        <v>43.52</v>
      </c>
      <c r="CR131" s="76">
        <v>3.22</v>
      </c>
      <c r="CS131" s="76">
        <v>2.28</v>
      </c>
      <c r="CT131" s="76">
        <v>0.0</v>
      </c>
      <c r="CU131" s="76">
        <v>2262.0</v>
      </c>
      <c r="CV131" s="76">
        <v>1.31</v>
      </c>
      <c r="CW131" s="76">
        <v>122.04</v>
      </c>
      <c r="CX131" s="76">
        <v>5.66</v>
      </c>
      <c r="CY131" s="76">
        <v>49.17</v>
      </c>
    </row>
    <row r="132" ht="15.75" customHeight="1">
      <c r="A132" s="164">
        <v>46240.0</v>
      </c>
      <c r="B132" s="76" t="s">
        <v>5</v>
      </c>
      <c r="C132" s="76" t="s">
        <v>150</v>
      </c>
      <c r="D132" s="76">
        <v>2897.0</v>
      </c>
      <c r="E132" s="76">
        <v>11.14</v>
      </c>
      <c r="F132" s="76">
        <v>513.14</v>
      </c>
      <c r="G132" s="76">
        <v>0.1771</v>
      </c>
      <c r="H132" s="76">
        <v>3.49</v>
      </c>
      <c r="I132" s="76">
        <v>5.0806</v>
      </c>
      <c r="J132" s="76">
        <v>111.87</v>
      </c>
      <c r="K132" s="76">
        <v>69.28</v>
      </c>
      <c r="L132" s="76">
        <v>49.73</v>
      </c>
      <c r="M132" s="76">
        <v>0.7178</v>
      </c>
      <c r="N132" s="76">
        <v>0.3862</v>
      </c>
      <c r="O132" s="76">
        <v>0.2485</v>
      </c>
      <c r="P132" s="76">
        <v>1.3931</v>
      </c>
      <c r="Q132" s="76">
        <v>220.58</v>
      </c>
      <c r="R132" s="76">
        <v>191.47</v>
      </c>
      <c r="S132" s="76">
        <v>29.11</v>
      </c>
      <c r="T132" s="76">
        <v>19.33</v>
      </c>
      <c r="U132" s="76">
        <v>201.25</v>
      </c>
      <c r="V132" s="76">
        <v>248.21</v>
      </c>
      <c r="W132" s="76">
        <v>3.5824</v>
      </c>
      <c r="X132" s="76">
        <v>8.76</v>
      </c>
      <c r="Y132" s="76">
        <v>289.0</v>
      </c>
      <c r="Z132" s="76">
        <v>506.0</v>
      </c>
      <c r="AA132" s="76">
        <v>1240.0</v>
      </c>
      <c r="AB132" s="76">
        <v>55.6852</v>
      </c>
      <c r="AC132" s="76">
        <v>0.7631</v>
      </c>
      <c r="AD132" s="76">
        <v>25.61</v>
      </c>
      <c r="AE132" s="76">
        <v>10.0</v>
      </c>
      <c r="AF132" s="76">
        <v>18.0</v>
      </c>
      <c r="AG132" s="76">
        <v>36.0</v>
      </c>
      <c r="AH132" s="76">
        <v>54.0</v>
      </c>
      <c r="AI132" s="76">
        <v>32.93</v>
      </c>
      <c r="AJ132" s="76">
        <v>7.87</v>
      </c>
      <c r="AK132" s="76">
        <v>1.66</v>
      </c>
      <c r="AL132" s="76">
        <v>0.1664</v>
      </c>
      <c r="AM132" s="76">
        <v>42.66</v>
      </c>
      <c r="AN132" s="76">
        <v>42.66</v>
      </c>
      <c r="AO132" s="76">
        <v>24.78</v>
      </c>
      <c r="AP132" s="76">
        <v>14.81</v>
      </c>
      <c r="AQ132" s="76">
        <v>12.7497</v>
      </c>
      <c r="AR132" s="76">
        <v>0.5775</v>
      </c>
      <c r="AS132" s="76">
        <v>12.1722</v>
      </c>
      <c r="AT132" s="76">
        <v>11.0469</v>
      </c>
      <c r="AU132" s="76">
        <v>0.1594</v>
      </c>
      <c r="AV132" s="76">
        <v>2897.0</v>
      </c>
      <c r="AW132" s="76">
        <v>0.0</v>
      </c>
      <c r="AX132" s="76">
        <v>109.15</v>
      </c>
      <c r="AY132" s="76">
        <v>85.08</v>
      </c>
      <c r="AZ132" s="76">
        <v>3.4</v>
      </c>
      <c r="BA132" s="76">
        <v>19.33</v>
      </c>
      <c r="BB132" s="76">
        <v>3.62</v>
      </c>
      <c r="BC132" s="76">
        <v>108.0</v>
      </c>
      <c r="BD132" s="76">
        <v>13819.0</v>
      </c>
      <c r="BE132" s="76">
        <v>7.1543</v>
      </c>
      <c r="BF132" s="76">
        <v>0.438</v>
      </c>
      <c r="BG132" s="76">
        <v>6.7163</v>
      </c>
      <c r="BH132" s="76">
        <v>5.475</v>
      </c>
      <c r="BI132" s="76">
        <v>0.079</v>
      </c>
      <c r="BJ132" s="76">
        <v>5.5954</v>
      </c>
      <c r="BK132" s="76">
        <v>0.1395</v>
      </c>
      <c r="BL132" s="76">
        <v>5.456</v>
      </c>
      <c r="BM132" s="76">
        <v>5.572</v>
      </c>
      <c r="BN132" s="76">
        <v>0.0804</v>
      </c>
      <c r="BO132" s="76">
        <v>2.5744</v>
      </c>
      <c r="BP132" s="76">
        <v>0.1277</v>
      </c>
      <c r="BQ132" s="76">
        <v>2.4467</v>
      </c>
      <c r="BR132" s="76">
        <v>1.9979</v>
      </c>
      <c r="BS132" s="76">
        <v>2.6579</v>
      </c>
      <c r="BT132" s="76">
        <v>0.1433</v>
      </c>
      <c r="BU132" s="76">
        <v>2.5147</v>
      </c>
      <c r="BV132" s="76">
        <v>1.9965</v>
      </c>
      <c r="BW132" s="76">
        <v>1.922</v>
      </c>
      <c r="BX132" s="76">
        <v>0.1671</v>
      </c>
      <c r="BY132" s="76">
        <v>1.7549</v>
      </c>
      <c r="BZ132" s="76">
        <v>1.4805</v>
      </c>
      <c r="CA132" s="76">
        <v>0.8208</v>
      </c>
      <c r="CB132" s="76">
        <v>0.0356</v>
      </c>
      <c r="CC132" s="76">
        <v>0.7853</v>
      </c>
      <c r="CD132" s="76">
        <v>1.0211</v>
      </c>
      <c r="CE132" s="76">
        <v>2.5799</v>
      </c>
      <c r="CF132" s="76">
        <v>0.0576</v>
      </c>
      <c r="CG132" s="76">
        <v>2.5223</v>
      </c>
      <c r="CH132" s="76">
        <v>2.3731</v>
      </c>
      <c r="CI132" s="76">
        <v>2.1947</v>
      </c>
      <c r="CJ132" s="76">
        <v>0.0463</v>
      </c>
      <c r="CK132" s="76">
        <v>2.1484</v>
      </c>
      <c r="CL132" s="76">
        <v>2.1778</v>
      </c>
      <c r="CM132" s="76">
        <v>697.26</v>
      </c>
      <c r="CN132" s="76">
        <v>97.27</v>
      </c>
      <c r="CO132" s="76">
        <v>716.81</v>
      </c>
      <c r="CP132" s="76">
        <v>581.08</v>
      </c>
      <c r="CQ132" s="76">
        <v>107.78</v>
      </c>
      <c r="CR132" s="76">
        <v>5.05</v>
      </c>
      <c r="CS132" s="76">
        <v>3.34</v>
      </c>
      <c r="CT132" s="76">
        <v>0.0</v>
      </c>
      <c r="CU132" s="76">
        <v>1571.0</v>
      </c>
      <c r="CV132" s="76">
        <v>12.68</v>
      </c>
      <c r="CW132" s="76">
        <v>233.26</v>
      </c>
      <c r="CX132" s="76">
        <v>12.73</v>
      </c>
      <c r="CY132" s="76">
        <v>120.52</v>
      </c>
    </row>
    <row r="133" ht="15.75" customHeight="1">
      <c r="A133" s="164">
        <v>46240.0</v>
      </c>
      <c r="B133" s="76" t="s">
        <v>5</v>
      </c>
      <c r="C133" s="76" t="s">
        <v>151</v>
      </c>
      <c r="D133" s="76">
        <v>422.0</v>
      </c>
      <c r="E133" s="76">
        <v>1.62</v>
      </c>
      <c r="F133" s="76">
        <v>134.33</v>
      </c>
      <c r="G133" s="76">
        <v>0.3183</v>
      </c>
      <c r="H133" s="76">
        <v>5.92</v>
      </c>
      <c r="I133" s="76">
        <v>5.3732</v>
      </c>
      <c r="J133" s="76">
        <v>233.39</v>
      </c>
      <c r="K133" s="76">
        <v>163.14</v>
      </c>
      <c r="L133" s="76">
        <v>121.59</v>
      </c>
      <c r="M133" s="76">
        <v>0.7453</v>
      </c>
      <c r="N133" s="76">
        <v>0.3355</v>
      </c>
      <c r="O133" s="76">
        <v>0.2184</v>
      </c>
      <c r="P133" s="76">
        <v>1.3417</v>
      </c>
      <c r="Q133" s="76">
        <v>483.05</v>
      </c>
      <c r="R133" s="76">
        <v>407.38</v>
      </c>
      <c r="S133" s="76">
        <v>75.68</v>
      </c>
      <c r="T133" s="76">
        <v>30.21</v>
      </c>
      <c r="U133" s="76">
        <v>452.84</v>
      </c>
      <c r="V133" s="76">
        <v>464.45</v>
      </c>
      <c r="W133" s="76">
        <v>2.847</v>
      </c>
      <c r="X133" s="76">
        <v>6.25</v>
      </c>
      <c r="Y133" s="76">
        <v>392.0</v>
      </c>
      <c r="Z133" s="76">
        <v>756.0</v>
      </c>
      <c r="AA133" s="76">
        <v>1549.0</v>
      </c>
      <c r="AB133" s="76">
        <v>58.7537</v>
      </c>
      <c r="AC133" s="76">
        <v>0.7849</v>
      </c>
      <c r="AD133" s="76">
        <v>43.77</v>
      </c>
      <c r="AE133" s="76">
        <v>18.0</v>
      </c>
      <c r="AF133" s="76">
        <v>31.0</v>
      </c>
      <c r="AG133" s="76">
        <v>53.0</v>
      </c>
      <c r="AH133" s="76">
        <v>98.0</v>
      </c>
      <c r="AI133" s="76">
        <v>13.98</v>
      </c>
      <c r="AJ133" s="76">
        <v>1.9</v>
      </c>
      <c r="AK133" s="76">
        <v>0.24</v>
      </c>
      <c r="AL133" s="76">
        <v>0.0735</v>
      </c>
      <c r="AM133" s="76">
        <v>65.88</v>
      </c>
      <c r="AN133" s="76">
        <v>65.88</v>
      </c>
      <c r="AO133" s="76">
        <v>51.66</v>
      </c>
      <c r="AP133" s="76">
        <v>42.18</v>
      </c>
      <c r="AQ133" s="76">
        <v>41.6209</v>
      </c>
      <c r="AR133" s="76">
        <v>0.4408</v>
      </c>
      <c r="AS133" s="76">
        <v>41.1801</v>
      </c>
      <c r="AT133" s="76">
        <v>28.4905</v>
      </c>
      <c r="AU133" s="76">
        <v>0.1746</v>
      </c>
      <c r="AV133" s="76">
        <v>422.0</v>
      </c>
      <c r="AW133" s="76">
        <v>0.0</v>
      </c>
      <c r="AX133" s="76">
        <v>255.25</v>
      </c>
      <c r="AY133" s="76">
        <v>178.71</v>
      </c>
      <c r="AZ133" s="76">
        <v>5.23</v>
      </c>
      <c r="BA133" s="76">
        <v>30.21</v>
      </c>
      <c r="BB133" s="76">
        <v>13.66</v>
      </c>
      <c r="BC133" s="76">
        <v>179.0</v>
      </c>
      <c r="BD133" s="76">
        <v>11983.0</v>
      </c>
      <c r="BE133" s="76">
        <v>14.4005</v>
      </c>
      <c r="BF133" s="76">
        <v>0.2062</v>
      </c>
      <c r="BG133" s="76">
        <v>14.1943</v>
      </c>
      <c r="BH133" s="76">
        <v>10.6137</v>
      </c>
      <c r="BI133" s="76">
        <v>0.0651</v>
      </c>
      <c r="BJ133" s="76">
        <v>27.2204</v>
      </c>
      <c r="BK133" s="76">
        <v>0.2346</v>
      </c>
      <c r="BL133" s="76">
        <v>26.9858</v>
      </c>
      <c r="BM133" s="76">
        <v>17.8768</v>
      </c>
      <c r="BN133" s="76">
        <v>0.1096</v>
      </c>
      <c r="BO133" s="76">
        <v>4.7275</v>
      </c>
      <c r="BP133" s="76">
        <v>0.0569</v>
      </c>
      <c r="BQ133" s="76">
        <v>4.6706</v>
      </c>
      <c r="BR133" s="76">
        <v>3.4834</v>
      </c>
      <c r="BS133" s="76">
        <v>5.2417</v>
      </c>
      <c r="BT133" s="76">
        <v>0.0711</v>
      </c>
      <c r="BU133" s="76">
        <v>5.1706</v>
      </c>
      <c r="BV133" s="76">
        <v>3.872</v>
      </c>
      <c r="BW133" s="76">
        <v>4.4313</v>
      </c>
      <c r="BX133" s="76">
        <v>0.0782</v>
      </c>
      <c r="BY133" s="76">
        <v>4.3531</v>
      </c>
      <c r="BZ133" s="76">
        <v>3.2583</v>
      </c>
      <c r="CA133" s="76">
        <v>6.9242</v>
      </c>
      <c r="CB133" s="76">
        <v>0.0569</v>
      </c>
      <c r="CC133" s="76">
        <v>6.8673</v>
      </c>
      <c r="CD133" s="76">
        <v>5.5332</v>
      </c>
      <c r="CE133" s="76">
        <v>10.4147</v>
      </c>
      <c r="CF133" s="76">
        <v>0.1137</v>
      </c>
      <c r="CG133" s="76">
        <v>10.3009</v>
      </c>
      <c r="CH133" s="76">
        <v>5.1303</v>
      </c>
      <c r="CI133" s="76">
        <v>9.8815</v>
      </c>
      <c r="CJ133" s="76">
        <v>0.064</v>
      </c>
      <c r="CK133" s="76">
        <v>9.8175</v>
      </c>
      <c r="CL133" s="76">
        <v>7.2133</v>
      </c>
      <c r="CM133" s="76">
        <v>1631.34</v>
      </c>
      <c r="CN133" s="76">
        <v>99.05</v>
      </c>
      <c r="CO133" s="76">
        <v>1646.96</v>
      </c>
      <c r="CP133" s="76">
        <v>1403.27</v>
      </c>
      <c r="CQ133" s="76">
        <v>212.81</v>
      </c>
      <c r="CR133" s="76">
        <v>10.9</v>
      </c>
      <c r="CS133" s="76">
        <v>4.36</v>
      </c>
      <c r="CT133" s="76">
        <v>0.0</v>
      </c>
      <c r="CU133" s="76">
        <v>274.0</v>
      </c>
      <c r="CV133" s="76">
        <v>853.37</v>
      </c>
      <c r="CW133" s="76">
        <v>1336.42</v>
      </c>
      <c r="CX133" s="76">
        <v>26.84</v>
      </c>
      <c r="CY133" s="76">
        <v>239.66</v>
      </c>
    </row>
    <row r="134" ht="15.75" customHeight="1">
      <c r="A134" s="164">
        <v>46241.0</v>
      </c>
      <c r="B134" s="76" t="s">
        <v>4</v>
      </c>
      <c r="C134" s="76" t="s">
        <v>316</v>
      </c>
      <c r="D134" s="76">
        <v>4824.0</v>
      </c>
      <c r="E134" s="76">
        <v>18.33</v>
      </c>
      <c r="F134" s="76">
        <v>550.59</v>
      </c>
      <c r="G134" s="76">
        <v>0.1141</v>
      </c>
      <c r="H134" s="76">
        <v>1.53</v>
      </c>
      <c r="I134" s="76">
        <v>7.4404</v>
      </c>
      <c r="J134" s="76">
        <v>24.9</v>
      </c>
      <c r="K134" s="76">
        <v>13.53</v>
      </c>
      <c r="L134" s="76">
        <v>9.56</v>
      </c>
      <c r="M134" s="76">
        <v>0.7065</v>
      </c>
      <c r="N134" s="76">
        <v>0.4111</v>
      </c>
      <c r="O134" s="76">
        <v>0.2149</v>
      </c>
      <c r="P134" s="76">
        <v>1.4153</v>
      </c>
      <c r="Q134" s="76">
        <v>61.23</v>
      </c>
      <c r="R134" s="76">
        <v>61.12</v>
      </c>
      <c r="S134" s="76">
        <v>0.11</v>
      </c>
      <c r="T134" s="76">
        <v>11.59</v>
      </c>
      <c r="U134" s="76">
        <v>49.65</v>
      </c>
      <c r="V134" s="76">
        <v>41.72</v>
      </c>
      <c r="W134" s="76">
        <v>3.0824</v>
      </c>
      <c r="X134" s="76">
        <v>18.92</v>
      </c>
      <c r="Y134" s="76">
        <v>207.0</v>
      </c>
      <c r="Z134" s="76">
        <v>561.0</v>
      </c>
      <c r="AA134" s="76">
        <v>4494.0</v>
      </c>
      <c r="AB134" s="76">
        <v>50.1909</v>
      </c>
      <c r="AC134" s="76">
        <v>0.4829</v>
      </c>
      <c r="AI134" s="76">
        <v>0.0</v>
      </c>
      <c r="AJ134" s="76">
        <v>0.0</v>
      </c>
      <c r="AK134" s="76">
        <v>0.0</v>
      </c>
      <c r="AL134" s="76">
        <v>0.4994</v>
      </c>
      <c r="AQ134" s="76">
        <v>2.757</v>
      </c>
      <c r="AR134" s="76">
        <v>0.1387</v>
      </c>
      <c r="AS134" s="76">
        <v>2.6184</v>
      </c>
      <c r="AT134" s="76">
        <v>1.7011</v>
      </c>
      <c r="AU134" s="76">
        <v>0.1257</v>
      </c>
      <c r="AV134" s="76">
        <v>4824.0</v>
      </c>
      <c r="AW134" s="76">
        <v>0.0</v>
      </c>
      <c r="AX134" s="76">
        <v>14.28</v>
      </c>
      <c r="AY134" s="76">
        <v>32.18</v>
      </c>
      <c r="AZ134" s="76">
        <v>3.0</v>
      </c>
      <c r="BA134" s="76">
        <v>11.59</v>
      </c>
      <c r="BB134" s="76">
        <v>0.18</v>
      </c>
      <c r="BD134" s="76">
        <v>30159.0</v>
      </c>
      <c r="BE134" s="76">
        <v>1.516</v>
      </c>
      <c r="BF134" s="76">
        <v>0.0653</v>
      </c>
      <c r="BG134" s="76">
        <v>1.4507</v>
      </c>
      <c r="BH134" s="76">
        <v>0.8209</v>
      </c>
      <c r="BI134" s="76">
        <v>0.0607</v>
      </c>
      <c r="BJ134" s="76">
        <v>1.2411</v>
      </c>
      <c r="BK134" s="76">
        <v>0.0734</v>
      </c>
      <c r="BL134" s="76">
        <v>1.1677</v>
      </c>
      <c r="BM134" s="76">
        <v>0.8802</v>
      </c>
      <c r="BN134" s="76">
        <v>0.065</v>
      </c>
      <c r="BO134" s="76">
        <v>0.4888</v>
      </c>
      <c r="BP134" s="76">
        <v>0.0226</v>
      </c>
      <c r="BQ134" s="76">
        <v>0.4662</v>
      </c>
      <c r="BR134" s="76">
        <v>0.2881</v>
      </c>
      <c r="BS134" s="76">
        <v>0.6076</v>
      </c>
      <c r="BT134" s="76">
        <v>0.0214</v>
      </c>
      <c r="BU134" s="76">
        <v>0.5862</v>
      </c>
      <c r="BV134" s="76">
        <v>0.3047</v>
      </c>
      <c r="BW134" s="76">
        <v>0.4196</v>
      </c>
      <c r="BX134" s="76">
        <v>0.0214</v>
      </c>
      <c r="BY134" s="76">
        <v>0.3982</v>
      </c>
      <c r="BZ134" s="76">
        <v>0.228</v>
      </c>
      <c r="CA134" s="76">
        <v>0.1961</v>
      </c>
      <c r="CB134" s="76">
        <v>0.0209</v>
      </c>
      <c r="CC134" s="76">
        <v>0.1752</v>
      </c>
      <c r="CD134" s="76">
        <v>0.1685</v>
      </c>
      <c r="CE134" s="76">
        <v>0.6499</v>
      </c>
      <c r="CF134" s="76">
        <v>0.0278</v>
      </c>
      <c r="CG134" s="76">
        <v>0.6221</v>
      </c>
      <c r="CH134" s="76">
        <v>0.4044</v>
      </c>
      <c r="CI134" s="76">
        <v>0.3951</v>
      </c>
      <c r="CJ134" s="76">
        <v>0.0247</v>
      </c>
      <c r="CK134" s="76">
        <v>0.3704</v>
      </c>
      <c r="CL134" s="76">
        <v>0.3072</v>
      </c>
      <c r="CM134" s="76">
        <v>180.57</v>
      </c>
      <c r="CN134" s="76">
        <v>30.66</v>
      </c>
      <c r="CO134" s="76">
        <v>588.96</v>
      </c>
      <c r="CP134" s="76">
        <v>166.94</v>
      </c>
      <c r="CQ134" s="76">
        <v>0.0</v>
      </c>
      <c r="CR134" s="76">
        <v>10.71</v>
      </c>
      <c r="CS134" s="76">
        <v>2.92</v>
      </c>
      <c r="CT134" s="76">
        <v>0.0</v>
      </c>
      <c r="CU134" s="76">
        <v>0.0</v>
      </c>
      <c r="CV134" s="76">
        <v>0.0</v>
      </c>
      <c r="CW134" s="76">
        <v>61.23</v>
      </c>
      <c r="CX134" s="76">
        <v>0.0</v>
      </c>
      <c r="CY134" s="76">
        <v>0.0</v>
      </c>
    </row>
    <row r="135" ht="15.75" customHeight="1">
      <c r="A135" s="164">
        <v>46241.0</v>
      </c>
      <c r="B135" s="76" t="s">
        <v>4</v>
      </c>
      <c r="C135" s="76" t="s">
        <v>147</v>
      </c>
      <c r="D135" s="76">
        <v>7459.0</v>
      </c>
      <c r="E135" s="76">
        <v>28.35</v>
      </c>
      <c r="F135" s="76">
        <v>118.85</v>
      </c>
      <c r="G135" s="76">
        <v>0.0159</v>
      </c>
      <c r="H135" s="76">
        <v>0.71</v>
      </c>
      <c r="I135" s="76">
        <v>2.2425</v>
      </c>
      <c r="J135" s="76">
        <v>21.4</v>
      </c>
      <c r="K135" s="76">
        <v>11.35</v>
      </c>
      <c r="L135" s="76">
        <v>5.41</v>
      </c>
      <c r="M135" s="76">
        <v>0.4764</v>
      </c>
      <c r="N135" s="76">
        <v>0.6291</v>
      </c>
      <c r="O135" s="76">
        <v>0.3766</v>
      </c>
      <c r="P135" s="76">
        <v>2.099</v>
      </c>
      <c r="Q135" s="76">
        <v>59.12</v>
      </c>
      <c r="R135" s="76">
        <v>49.15</v>
      </c>
      <c r="S135" s="76">
        <v>9.97</v>
      </c>
      <c r="T135" s="76">
        <v>1.5</v>
      </c>
      <c r="U135" s="76">
        <v>57.61</v>
      </c>
      <c r="V135" s="76">
        <v>45.48</v>
      </c>
      <c r="W135" s="76">
        <v>4.0051</v>
      </c>
      <c r="X135" s="76">
        <v>2.54</v>
      </c>
      <c r="Y135" s="76">
        <v>202.0</v>
      </c>
      <c r="Z135" s="76">
        <v>360.0</v>
      </c>
      <c r="AA135" s="76">
        <v>1295.0</v>
      </c>
      <c r="AB135" s="76">
        <v>49.4517</v>
      </c>
      <c r="AC135" s="76">
        <v>0.5973</v>
      </c>
      <c r="AD135" s="76">
        <v>4.15</v>
      </c>
      <c r="AE135" s="76">
        <v>2.0</v>
      </c>
      <c r="AF135" s="76">
        <v>3.0</v>
      </c>
      <c r="AG135" s="76">
        <v>6.0</v>
      </c>
      <c r="AH135" s="76">
        <v>9.0</v>
      </c>
      <c r="AI135" s="76">
        <v>76.28</v>
      </c>
      <c r="AJ135" s="76">
        <v>35.86</v>
      </c>
      <c r="AK135" s="76">
        <v>6.97</v>
      </c>
      <c r="AL135" s="76">
        <v>0.5001</v>
      </c>
      <c r="AQ135" s="76">
        <v>3.4973</v>
      </c>
      <c r="AR135" s="76">
        <v>0.0369</v>
      </c>
      <c r="AS135" s="76">
        <v>3.4604</v>
      </c>
      <c r="AT135" s="76">
        <v>2.5332</v>
      </c>
      <c r="AU135" s="76">
        <v>0.2231</v>
      </c>
      <c r="AV135" s="76">
        <v>7459.0</v>
      </c>
      <c r="AW135" s="76">
        <v>0.0</v>
      </c>
      <c r="AX135" s="76">
        <v>29.94</v>
      </c>
      <c r="AY135" s="76">
        <v>24.86</v>
      </c>
      <c r="AZ135" s="76">
        <v>2.18</v>
      </c>
      <c r="BA135" s="76">
        <v>1.5</v>
      </c>
      <c r="BB135" s="76">
        <v>0.63</v>
      </c>
      <c r="BC135" s="76">
        <v>16.0</v>
      </c>
      <c r="BD135" s="76">
        <v>20139.0</v>
      </c>
      <c r="BE135" s="76">
        <v>2.2738</v>
      </c>
      <c r="BF135" s="76">
        <v>0.0213</v>
      </c>
      <c r="BG135" s="76">
        <v>2.2524</v>
      </c>
      <c r="BH135" s="76">
        <v>1.4338</v>
      </c>
      <c r="BI135" s="76">
        <v>0.1263</v>
      </c>
      <c r="BJ135" s="76">
        <v>1.2235</v>
      </c>
      <c r="BK135" s="76">
        <v>0.0156</v>
      </c>
      <c r="BL135" s="76">
        <v>1.2079</v>
      </c>
      <c r="BM135" s="76">
        <v>1.0993</v>
      </c>
      <c r="BN135" s="76">
        <v>0.0968</v>
      </c>
      <c r="BO135" s="76">
        <v>0.739</v>
      </c>
      <c r="BP135" s="76">
        <v>0.0086</v>
      </c>
      <c r="BQ135" s="76">
        <v>0.7304</v>
      </c>
      <c r="BR135" s="76">
        <v>0.5416</v>
      </c>
      <c r="BS135" s="76">
        <v>1.0656</v>
      </c>
      <c r="BT135" s="76">
        <v>0.0046</v>
      </c>
      <c r="BU135" s="76">
        <v>1.061</v>
      </c>
      <c r="BV135" s="76">
        <v>0.5715</v>
      </c>
      <c r="BW135" s="76">
        <v>0.4692</v>
      </c>
      <c r="BX135" s="76">
        <v>0.0082</v>
      </c>
      <c r="BY135" s="76">
        <v>0.4611</v>
      </c>
      <c r="BZ135" s="76">
        <v>0.3207</v>
      </c>
      <c r="CA135" s="76">
        <v>0.181</v>
      </c>
      <c r="CB135" s="76">
        <v>0.0031</v>
      </c>
      <c r="CC135" s="76">
        <v>0.1779</v>
      </c>
      <c r="CD135" s="76">
        <v>0.1813</v>
      </c>
      <c r="CE135" s="76">
        <v>0.5906</v>
      </c>
      <c r="CF135" s="76">
        <v>0.0072</v>
      </c>
      <c r="CG135" s="76">
        <v>0.5833</v>
      </c>
      <c r="CH135" s="76">
        <v>0.5026</v>
      </c>
      <c r="CI135" s="76">
        <v>0.4519</v>
      </c>
      <c r="CJ135" s="76">
        <v>0.0052</v>
      </c>
      <c r="CK135" s="76">
        <v>0.4467</v>
      </c>
      <c r="CL135" s="76">
        <v>0.4155</v>
      </c>
      <c r="CM135" s="76">
        <v>81.14</v>
      </c>
      <c r="CN135" s="76">
        <v>65.3</v>
      </c>
      <c r="CO135" s="76">
        <v>124.25</v>
      </c>
      <c r="CP135" s="76">
        <v>68.53</v>
      </c>
      <c r="CQ135" s="76">
        <v>0.0</v>
      </c>
      <c r="CR135" s="76">
        <v>10.74</v>
      </c>
      <c r="CS135" s="76">
        <v>1.86</v>
      </c>
      <c r="CT135" s="76">
        <v>0.0</v>
      </c>
      <c r="CU135" s="76">
        <v>0.0</v>
      </c>
      <c r="CV135" s="76">
        <v>0.0</v>
      </c>
      <c r="CW135" s="76">
        <v>59.12</v>
      </c>
      <c r="CX135" s="76">
        <v>0.0</v>
      </c>
      <c r="CY135" s="76">
        <v>0.0</v>
      </c>
    </row>
    <row r="136" ht="15.75" customHeight="1">
      <c r="A136" s="164">
        <v>46241.0</v>
      </c>
      <c r="B136" s="76" t="s">
        <v>4</v>
      </c>
      <c r="C136" s="76" t="s">
        <v>148</v>
      </c>
      <c r="D136" s="76">
        <v>5641.0</v>
      </c>
      <c r="E136" s="76">
        <v>21.44</v>
      </c>
      <c r="F136" s="76">
        <v>331.64</v>
      </c>
      <c r="G136" s="76">
        <v>0.0588</v>
      </c>
      <c r="H136" s="76">
        <v>2.2</v>
      </c>
      <c r="I136" s="76">
        <v>2.6745</v>
      </c>
      <c r="J136" s="76">
        <v>39.16</v>
      </c>
      <c r="K136" s="76">
        <v>22.01</v>
      </c>
      <c r="L136" s="76">
        <v>13.78</v>
      </c>
      <c r="M136" s="76">
        <v>0.6262</v>
      </c>
      <c r="N136" s="76">
        <v>0.4926</v>
      </c>
      <c r="O136" s="76">
        <v>0.2971</v>
      </c>
      <c r="P136" s="76">
        <v>1.5969</v>
      </c>
      <c r="Q136" s="76">
        <v>117.34</v>
      </c>
      <c r="R136" s="76">
        <v>90.1</v>
      </c>
      <c r="S136" s="76">
        <v>27.24</v>
      </c>
      <c r="T136" s="76">
        <v>4.4</v>
      </c>
      <c r="U136" s="76">
        <v>112.94</v>
      </c>
      <c r="V136" s="76">
        <v>97.27</v>
      </c>
      <c r="W136" s="76">
        <v>4.419</v>
      </c>
      <c r="X136" s="76">
        <v>3.75</v>
      </c>
      <c r="Y136" s="76">
        <v>247.0</v>
      </c>
      <c r="Z136" s="76">
        <v>438.0</v>
      </c>
      <c r="AA136" s="76">
        <v>1218.0</v>
      </c>
      <c r="AB136" s="76">
        <v>51.9585</v>
      </c>
      <c r="AC136" s="76">
        <v>0.7089</v>
      </c>
      <c r="AD136" s="76">
        <v>9.87</v>
      </c>
      <c r="AE136" s="76">
        <v>5.0</v>
      </c>
      <c r="AF136" s="76">
        <v>9.0</v>
      </c>
      <c r="AG136" s="76">
        <v>13.0</v>
      </c>
      <c r="AH136" s="76">
        <v>18.0</v>
      </c>
      <c r="AI136" s="76">
        <v>68.89</v>
      </c>
      <c r="AJ136" s="76">
        <v>29.0</v>
      </c>
      <c r="AK136" s="76">
        <v>3.39</v>
      </c>
      <c r="AL136" s="76">
        <v>0.3648</v>
      </c>
      <c r="AQ136" s="76">
        <v>6.7601</v>
      </c>
      <c r="AR136" s="76">
        <v>0.1326</v>
      </c>
      <c r="AS136" s="76">
        <v>6.6275</v>
      </c>
      <c r="AT136" s="76">
        <v>4.863</v>
      </c>
      <c r="AU136" s="76">
        <v>0.2209</v>
      </c>
      <c r="AV136" s="76">
        <v>5641.0</v>
      </c>
      <c r="AW136" s="76">
        <v>0.0</v>
      </c>
      <c r="AX136" s="76">
        <v>60.78</v>
      </c>
      <c r="AY136" s="76">
        <v>48.4</v>
      </c>
      <c r="AZ136" s="76">
        <v>2.43</v>
      </c>
      <c r="BA136" s="76">
        <v>4.4</v>
      </c>
      <c r="BB136" s="76">
        <v>1.33</v>
      </c>
      <c r="BC136" s="76">
        <v>34.0</v>
      </c>
      <c r="BD136" s="76">
        <v>17508.0</v>
      </c>
      <c r="BE136" s="76">
        <v>4.4347</v>
      </c>
      <c r="BF136" s="76">
        <v>0.0957</v>
      </c>
      <c r="BG136" s="76">
        <v>4.3389</v>
      </c>
      <c r="BH136" s="76">
        <v>2.7538</v>
      </c>
      <c r="BI136" s="76">
        <v>0.1251</v>
      </c>
      <c r="BJ136" s="76">
        <v>2.3255</v>
      </c>
      <c r="BK136" s="76">
        <v>0.0369</v>
      </c>
      <c r="BL136" s="76">
        <v>2.2886</v>
      </c>
      <c r="BM136" s="76">
        <v>2.1092</v>
      </c>
      <c r="BN136" s="76">
        <v>0.0958</v>
      </c>
      <c r="BO136" s="76">
        <v>1.6414</v>
      </c>
      <c r="BP136" s="76">
        <v>0.031</v>
      </c>
      <c r="BQ136" s="76">
        <v>1.6104</v>
      </c>
      <c r="BR136" s="76">
        <v>1.0647</v>
      </c>
      <c r="BS136" s="76">
        <v>1.9314</v>
      </c>
      <c r="BT136" s="76">
        <v>0.0273</v>
      </c>
      <c r="BU136" s="76">
        <v>1.9041</v>
      </c>
      <c r="BV136" s="76">
        <v>1.087</v>
      </c>
      <c r="BW136" s="76">
        <v>0.8619</v>
      </c>
      <c r="BX136" s="76">
        <v>0.0374</v>
      </c>
      <c r="BY136" s="76">
        <v>0.8245</v>
      </c>
      <c r="BZ136" s="76">
        <v>0.602</v>
      </c>
      <c r="CA136" s="76">
        <v>0.3622</v>
      </c>
      <c r="CB136" s="76">
        <v>0.0082</v>
      </c>
      <c r="CC136" s="76">
        <v>0.354</v>
      </c>
      <c r="CD136" s="76">
        <v>0.3755</v>
      </c>
      <c r="CE136" s="76">
        <v>1.0993</v>
      </c>
      <c r="CF136" s="76">
        <v>0.0154</v>
      </c>
      <c r="CG136" s="76">
        <v>1.0839</v>
      </c>
      <c r="CH136" s="76">
        <v>0.9023</v>
      </c>
      <c r="CI136" s="76">
        <v>0.864</v>
      </c>
      <c r="CJ136" s="76">
        <v>0.0133</v>
      </c>
      <c r="CK136" s="76">
        <v>0.8507</v>
      </c>
      <c r="CL136" s="76">
        <v>0.8314</v>
      </c>
      <c r="CM136" s="76">
        <v>204.85</v>
      </c>
      <c r="CN136" s="76">
        <v>81.72</v>
      </c>
      <c r="CO136" s="76">
        <v>250.66</v>
      </c>
      <c r="CP136" s="76">
        <v>181.38</v>
      </c>
      <c r="CQ136" s="76">
        <v>0.0</v>
      </c>
      <c r="CR136" s="76">
        <v>16.25</v>
      </c>
      <c r="CS136" s="76">
        <v>7.22</v>
      </c>
      <c r="CT136" s="76">
        <v>0.0</v>
      </c>
      <c r="CU136" s="76">
        <v>0.0</v>
      </c>
      <c r="CV136" s="76">
        <v>0.0</v>
      </c>
      <c r="CW136" s="76">
        <v>117.34</v>
      </c>
      <c r="CX136" s="76">
        <v>0.0</v>
      </c>
      <c r="CY136" s="76">
        <v>0.0</v>
      </c>
    </row>
    <row r="137" ht="15.75" customHeight="1">
      <c r="A137" s="164">
        <v>46241.0</v>
      </c>
      <c r="B137" s="76" t="s">
        <v>4</v>
      </c>
      <c r="C137" s="76" t="s">
        <v>149</v>
      </c>
      <c r="D137" s="76">
        <v>4847.0</v>
      </c>
      <c r="E137" s="76">
        <v>18.42</v>
      </c>
      <c r="F137" s="76">
        <v>403.29</v>
      </c>
      <c r="G137" s="76">
        <v>0.0832</v>
      </c>
      <c r="H137" s="76">
        <v>2.08</v>
      </c>
      <c r="I137" s="76">
        <v>3.993</v>
      </c>
      <c r="J137" s="76">
        <v>60.35</v>
      </c>
      <c r="K137" s="76">
        <v>35.94</v>
      </c>
      <c r="L137" s="76">
        <v>25.93</v>
      </c>
      <c r="M137" s="76">
        <v>0.7213</v>
      </c>
      <c r="N137" s="76">
        <v>0.3997</v>
      </c>
      <c r="O137" s="76">
        <v>0.2558</v>
      </c>
      <c r="P137" s="76">
        <v>1.3864</v>
      </c>
      <c r="Q137" s="76">
        <v>183.64</v>
      </c>
      <c r="R137" s="76">
        <v>131.0</v>
      </c>
      <c r="S137" s="76">
        <v>52.64</v>
      </c>
      <c r="T137" s="76">
        <v>6.56</v>
      </c>
      <c r="U137" s="76">
        <v>177.08</v>
      </c>
      <c r="V137" s="76">
        <v>163.15</v>
      </c>
      <c r="W137" s="76">
        <v>4.5391</v>
      </c>
      <c r="X137" s="76">
        <v>3.57</v>
      </c>
      <c r="Y137" s="76">
        <v>292.0</v>
      </c>
      <c r="Z137" s="76">
        <v>507.0</v>
      </c>
      <c r="AA137" s="76">
        <v>1256.0</v>
      </c>
      <c r="AB137" s="76">
        <v>53.602</v>
      </c>
      <c r="AC137" s="76">
        <v>0.7725</v>
      </c>
      <c r="AD137" s="76">
        <v>16.81</v>
      </c>
      <c r="AE137" s="76">
        <v>8.0</v>
      </c>
      <c r="AF137" s="76">
        <v>14.0</v>
      </c>
      <c r="AG137" s="76">
        <v>24.0</v>
      </c>
      <c r="AH137" s="76">
        <v>33.0</v>
      </c>
      <c r="AI137" s="76">
        <v>62.08</v>
      </c>
      <c r="AJ137" s="76">
        <v>20.07</v>
      </c>
      <c r="AK137" s="76">
        <v>3.94</v>
      </c>
      <c r="AL137" s="76">
        <v>0.3031</v>
      </c>
      <c r="AQ137" s="76">
        <v>10.6185</v>
      </c>
      <c r="AR137" s="76">
        <v>0.1774</v>
      </c>
      <c r="AS137" s="76">
        <v>10.4411</v>
      </c>
      <c r="AT137" s="76">
        <v>7.6361</v>
      </c>
      <c r="AU137" s="76">
        <v>0.2124</v>
      </c>
      <c r="AV137" s="76">
        <v>4847.0</v>
      </c>
      <c r="AW137" s="76">
        <v>0.0</v>
      </c>
      <c r="AX137" s="76">
        <v>105.1</v>
      </c>
      <c r="AY137" s="76">
        <v>67.1</v>
      </c>
      <c r="AZ137" s="76">
        <v>2.48</v>
      </c>
      <c r="BA137" s="76">
        <v>6.56</v>
      </c>
      <c r="BB137" s="76">
        <v>2.41</v>
      </c>
      <c r="BC137" s="76">
        <v>59.0</v>
      </c>
      <c r="BD137" s="76">
        <v>17554.0</v>
      </c>
      <c r="BE137" s="76">
        <v>6.9072</v>
      </c>
      <c r="BF137" s="76">
        <v>0.1077</v>
      </c>
      <c r="BG137" s="76">
        <v>6.7995</v>
      </c>
      <c r="BH137" s="76">
        <v>4.1471</v>
      </c>
      <c r="BI137" s="76">
        <v>0.1154</v>
      </c>
      <c r="BJ137" s="76">
        <v>3.7114</v>
      </c>
      <c r="BK137" s="76">
        <v>0.0697</v>
      </c>
      <c r="BL137" s="76">
        <v>3.6416</v>
      </c>
      <c r="BM137" s="76">
        <v>3.489</v>
      </c>
      <c r="BN137" s="76">
        <v>0.0971</v>
      </c>
      <c r="BO137" s="76">
        <v>2.7242</v>
      </c>
      <c r="BP137" s="76">
        <v>0.0314</v>
      </c>
      <c r="BQ137" s="76">
        <v>2.6928</v>
      </c>
      <c r="BR137" s="76">
        <v>1.647</v>
      </c>
      <c r="BS137" s="76">
        <v>2.8201</v>
      </c>
      <c r="BT137" s="76">
        <v>0.027</v>
      </c>
      <c r="BU137" s="76">
        <v>2.7931</v>
      </c>
      <c r="BV137" s="76">
        <v>1.6161</v>
      </c>
      <c r="BW137" s="76">
        <v>1.3629</v>
      </c>
      <c r="BX137" s="76">
        <v>0.0493</v>
      </c>
      <c r="BY137" s="76">
        <v>1.3136</v>
      </c>
      <c r="BZ137" s="76">
        <v>0.8841</v>
      </c>
      <c r="CA137" s="76">
        <v>0.5775</v>
      </c>
      <c r="CB137" s="76">
        <v>0.0169</v>
      </c>
      <c r="CC137" s="76">
        <v>0.5606</v>
      </c>
      <c r="CD137" s="76">
        <v>0.6357</v>
      </c>
      <c r="CE137" s="76">
        <v>1.7066</v>
      </c>
      <c r="CF137" s="76">
        <v>0.0276</v>
      </c>
      <c r="CG137" s="76">
        <v>1.679</v>
      </c>
      <c r="CH137" s="76">
        <v>1.4613</v>
      </c>
      <c r="CI137" s="76">
        <v>1.4273</v>
      </c>
      <c r="CJ137" s="76">
        <v>0.0252</v>
      </c>
      <c r="CK137" s="76">
        <v>1.4021</v>
      </c>
      <c r="CL137" s="76">
        <v>1.392</v>
      </c>
      <c r="CM137" s="76">
        <v>372.08</v>
      </c>
      <c r="CN137" s="76">
        <v>90.51</v>
      </c>
      <c r="CO137" s="76">
        <v>411.09</v>
      </c>
      <c r="CP137" s="76">
        <v>339.28</v>
      </c>
      <c r="CQ137" s="76">
        <v>0.02</v>
      </c>
      <c r="CR137" s="76">
        <v>21.03</v>
      </c>
      <c r="CS137" s="76">
        <v>11.75</v>
      </c>
      <c r="CT137" s="76">
        <v>0.0</v>
      </c>
      <c r="CU137" s="76">
        <v>2.0</v>
      </c>
      <c r="CV137" s="76">
        <v>0.0</v>
      </c>
      <c r="CW137" s="76">
        <v>183.64</v>
      </c>
      <c r="CX137" s="76">
        <v>0.0</v>
      </c>
      <c r="CY137" s="76">
        <v>0.03</v>
      </c>
    </row>
    <row r="138" ht="15.75" customHeight="1">
      <c r="A138" s="164">
        <v>46241.0</v>
      </c>
      <c r="B138" s="76" t="s">
        <v>4</v>
      </c>
      <c r="C138" s="76" t="s">
        <v>150</v>
      </c>
      <c r="D138" s="76">
        <v>3112.0</v>
      </c>
      <c r="E138" s="76">
        <v>11.83</v>
      </c>
      <c r="F138" s="76">
        <v>677.56</v>
      </c>
      <c r="G138" s="76">
        <v>0.2177</v>
      </c>
      <c r="H138" s="76">
        <v>3.66</v>
      </c>
      <c r="I138" s="76">
        <v>5.9435</v>
      </c>
      <c r="J138" s="76">
        <v>114.23</v>
      </c>
      <c r="K138" s="76">
        <v>71.72</v>
      </c>
      <c r="L138" s="76">
        <v>53.93</v>
      </c>
      <c r="M138" s="76">
        <v>0.752</v>
      </c>
      <c r="N138" s="76">
        <v>0.3605</v>
      </c>
      <c r="O138" s="76">
        <v>0.2386</v>
      </c>
      <c r="P138" s="76">
        <v>1.3298</v>
      </c>
      <c r="Q138" s="76">
        <v>324.16</v>
      </c>
      <c r="R138" s="76">
        <v>213.21</v>
      </c>
      <c r="S138" s="76">
        <v>110.95</v>
      </c>
      <c r="T138" s="76">
        <v>18.56</v>
      </c>
      <c r="U138" s="76">
        <v>305.6</v>
      </c>
      <c r="V138" s="76">
        <v>313.19</v>
      </c>
      <c r="W138" s="76">
        <v>4.3671</v>
      </c>
      <c r="X138" s="76">
        <v>5.72</v>
      </c>
      <c r="Y138" s="76">
        <v>366.0</v>
      </c>
      <c r="Z138" s="76">
        <v>643.0</v>
      </c>
      <c r="AA138" s="76">
        <v>1489.0</v>
      </c>
      <c r="AB138" s="76">
        <v>55.9413</v>
      </c>
      <c r="AC138" s="76">
        <v>0.7882</v>
      </c>
      <c r="AD138" s="76">
        <v>28.98</v>
      </c>
      <c r="AE138" s="76">
        <v>12.0</v>
      </c>
      <c r="AF138" s="76">
        <v>22.0</v>
      </c>
      <c r="AG138" s="76">
        <v>40.0</v>
      </c>
      <c r="AH138" s="76">
        <v>60.0</v>
      </c>
      <c r="AI138" s="76">
        <v>40.26</v>
      </c>
      <c r="AJ138" s="76">
        <v>10.35</v>
      </c>
      <c r="AK138" s="76">
        <v>1.64</v>
      </c>
      <c r="AL138" s="76">
        <v>0.1838</v>
      </c>
      <c r="AQ138" s="76">
        <v>18.7047</v>
      </c>
      <c r="AR138" s="76">
        <v>0.348</v>
      </c>
      <c r="AS138" s="76">
        <v>18.3567</v>
      </c>
      <c r="AT138" s="76">
        <v>14.7175</v>
      </c>
      <c r="AU138" s="76">
        <v>0.2052</v>
      </c>
      <c r="AV138" s="76">
        <v>3112.0</v>
      </c>
      <c r="AW138" s="76">
        <v>0.0</v>
      </c>
      <c r="AX138" s="76">
        <v>203.54</v>
      </c>
      <c r="AY138" s="76">
        <v>93.77</v>
      </c>
      <c r="AZ138" s="76">
        <v>3.73</v>
      </c>
      <c r="BA138" s="76">
        <v>18.56</v>
      </c>
      <c r="BB138" s="76">
        <v>4.56</v>
      </c>
      <c r="BC138" s="76">
        <v>112.0</v>
      </c>
      <c r="BD138" s="76">
        <v>15345.0</v>
      </c>
      <c r="BE138" s="76">
        <v>11.8082</v>
      </c>
      <c r="BF138" s="76">
        <v>0.2102</v>
      </c>
      <c r="BG138" s="76">
        <v>11.598</v>
      </c>
      <c r="BH138" s="76">
        <v>7.8409</v>
      </c>
      <c r="BI138" s="76">
        <v>0.1093</v>
      </c>
      <c r="BJ138" s="76">
        <v>6.8965</v>
      </c>
      <c r="BK138" s="76">
        <v>0.1379</v>
      </c>
      <c r="BL138" s="76">
        <v>6.7587</v>
      </c>
      <c r="BM138" s="76">
        <v>6.8766</v>
      </c>
      <c r="BN138" s="76">
        <v>0.0959</v>
      </c>
      <c r="BO138" s="76">
        <v>4.6934</v>
      </c>
      <c r="BP138" s="76">
        <v>0.0652</v>
      </c>
      <c r="BQ138" s="76">
        <v>4.6282</v>
      </c>
      <c r="BR138" s="76">
        <v>3.0704</v>
      </c>
      <c r="BS138" s="76">
        <v>4.7288</v>
      </c>
      <c r="BT138" s="76">
        <v>0.0643</v>
      </c>
      <c r="BU138" s="76">
        <v>4.6645</v>
      </c>
      <c r="BV138" s="76">
        <v>3.1343</v>
      </c>
      <c r="BW138" s="76">
        <v>2.3859</v>
      </c>
      <c r="BX138" s="76">
        <v>0.0807</v>
      </c>
      <c r="BY138" s="76">
        <v>2.3053</v>
      </c>
      <c r="BZ138" s="76">
        <v>1.6362</v>
      </c>
      <c r="CA138" s="76">
        <v>1.1607</v>
      </c>
      <c r="CB138" s="76">
        <v>0.0337</v>
      </c>
      <c r="CC138" s="76">
        <v>1.1269</v>
      </c>
      <c r="CD138" s="76">
        <v>1.5807</v>
      </c>
      <c r="CE138" s="76">
        <v>3.0029</v>
      </c>
      <c r="CF138" s="76">
        <v>0.0569</v>
      </c>
      <c r="CG138" s="76">
        <v>2.946</v>
      </c>
      <c r="CH138" s="76">
        <v>2.722</v>
      </c>
      <c r="CI138" s="76">
        <v>2.733</v>
      </c>
      <c r="CJ138" s="76">
        <v>0.0472</v>
      </c>
      <c r="CK138" s="76">
        <v>2.6857</v>
      </c>
      <c r="CL138" s="76">
        <v>2.5739</v>
      </c>
      <c r="CM138" s="76">
        <v>780.11</v>
      </c>
      <c r="CN138" s="76">
        <v>97.85</v>
      </c>
      <c r="CO138" s="76">
        <v>797.27</v>
      </c>
      <c r="CP138" s="76">
        <v>734.89</v>
      </c>
      <c r="CQ138" s="76">
        <v>0.0</v>
      </c>
      <c r="CR138" s="76">
        <v>29.38</v>
      </c>
      <c r="CS138" s="76">
        <v>15.84</v>
      </c>
      <c r="CT138" s="76">
        <v>0.0</v>
      </c>
      <c r="CU138" s="76">
        <v>1.0</v>
      </c>
      <c r="CV138" s="76">
        <v>0.0</v>
      </c>
      <c r="CW138" s="76">
        <v>324.16</v>
      </c>
      <c r="CX138" s="76">
        <v>0.0</v>
      </c>
      <c r="CY138" s="76">
        <v>0.0</v>
      </c>
    </row>
    <row r="139" ht="15.75" customHeight="1">
      <c r="A139" s="164">
        <v>46241.0</v>
      </c>
      <c r="B139" s="76" t="s">
        <v>4</v>
      </c>
      <c r="C139" s="76" t="s">
        <v>151</v>
      </c>
      <c r="D139" s="76">
        <v>430.0</v>
      </c>
      <c r="E139" s="76">
        <v>1.63</v>
      </c>
      <c r="F139" s="76">
        <v>183.98</v>
      </c>
      <c r="G139" s="76">
        <v>0.4279</v>
      </c>
      <c r="H139" s="76">
        <v>6.28</v>
      </c>
      <c r="I139" s="76">
        <v>6.8141</v>
      </c>
      <c r="J139" s="76">
        <v>253.84</v>
      </c>
      <c r="K139" s="76">
        <v>171.25</v>
      </c>
      <c r="L139" s="76">
        <v>131.17</v>
      </c>
      <c r="M139" s="76">
        <v>0.766</v>
      </c>
      <c r="N139" s="76">
        <v>0.3184</v>
      </c>
      <c r="O139" s="76">
        <v>0.2058</v>
      </c>
      <c r="P139" s="76">
        <v>1.3056</v>
      </c>
      <c r="Q139" s="76">
        <v>674.39</v>
      </c>
      <c r="R139" s="76">
        <v>397.74</v>
      </c>
      <c r="S139" s="76">
        <v>276.65</v>
      </c>
      <c r="T139" s="76">
        <v>46.28</v>
      </c>
      <c r="U139" s="76">
        <v>628.11</v>
      </c>
      <c r="V139" s="76">
        <v>651.63</v>
      </c>
      <c r="W139" s="76">
        <v>3.805</v>
      </c>
      <c r="X139" s="76">
        <v>6.86</v>
      </c>
      <c r="Y139" s="76">
        <v>466.0</v>
      </c>
      <c r="Z139" s="76">
        <v>949.0</v>
      </c>
      <c r="AA139" s="76">
        <v>2096.0</v>
      </c>
      <c r="AB139" s="76">
        <v>58.4568</v>
      </c>
      <c r="AC139" s="76">
        <v>0.8123</v>
      </c>
      <c r="AD139" s="76">
        <v>53.89</v>
      </c>
      <c r="AE139" s="76">
        <v>21.0</v>
      </c>
      <c r="AF139" s="76">
        <v>39.0</v>
      </c>
      <c r="AG139" s="76">
        <v>67.0</v>
      </c>
      <c r="AH139" s="76">
        <v>116.0</v>
      </c>
      <c r="AI139" s="76">
        <v>18.37</v>
      </c>
      <c r="AJ139" s="76">
        <v>3.02</v>
      </c>
      <c r="AK139" s="76">
        <v>0.7</v>
      </c>
      <c r="AL139" s="76">
        <v>0.0884</v>
      </c>
      <c r="AQ139" s="76">
        <v>38.9</v>
      </c>
      <c r="AR139" s="76">
        <v>0.8209</v>
      </c>
      <c r="AS139" s="76">
        <v>38.0791</v>
      </c>
      <c r="AT139" s="76">
        <v>39.9721</v>
      </c>
      <c r="AU139" s="76">
        <v>0.2334</v>
      </c>
      <c r="AV139" s="76">
        <v>430.0</v>
      </c>
      <c r="AW139" s="76">
        <v>0.0</v>
      </c>
      <c r="AX139" s="76">
        <v>466.56</v>
      </c>
      <c r="AY139" s="76">
        <v>145.08</v>
      </c>
      <c r="AZ139" s="76">
        <v>5.81</v>
      </c>
      <c r="BA139" s="76">
        <v>46.28</v>
      </c>
      <c r="BB139" s="76">
        <v>10.66</v>
      </c>
      <c r="BC139" s="76">
        <v>220.0</v>
      </c>
      <c r="BD139" s="76">
        <v>13254.0</v>
      </c>
      <c r="BE139" s="76">
        <v>23.2721</v>
      </c>
      <c r="BF139" s="76">
        <v>0.3488</v>
      </c>
      <c r="BG139" s="76">
        <v>22.9233</v>
      </c>
      <c r="BH139" s="76">
        <v>20.6698</v>
      </c>
      <c r="BI139" s="76">
        <v>0.1207</v>
      </c>
      <c r="BJ139" s="76">
        <v>15.6279</v>
      </c>
      <c r="BK139" s="76">
        <v>0.4721</v>
      </c>
      <c r="BL139" s="76">
        <v>15.1558</v>
      </c>
      <c r="BM139" s="76">
        <v>19.3023</v>
      </c>
      <c r="BN139" s="76">
        <v>0.1127</v>
      </c>
      <c r="BO139" s="76">
        <v>9.0233</v>
      </c>
      <c r="BP139" s="76">
        <v>0.1093</v>
      </c>
      <c r="BQ139" s="76">
        <v>8.914</v>
      </c>
      <c r="BR139" s="76">
        <v>7.9256</v>
      </c>
      <c r="BS139" s="76">
        <v>9.6698</v>
      </c>
      <c r="BT139" s="76">
        <v>0.1163</v>
      </c>
      <c r="BU139" s="76">
        <v>9.5535</v>
      </c>
      <c r="BV139" s="76">
        <v>8.3977</v>
      </c>
      <c r="BW139" s="76">
        <v>4.5791</v>
      </c>
      <c r="BX139" s="76">
        <v>0.1233</v>
      </c>
      <c r="BY139" s="76">
        <v>4.4558</v>
      </c>
      <c r="BZ139" s="76">
        <v>4.3465</v>
      </c>
      <c r="CA139" s="76">
        <v>2.8953</v>
      </c>
      <c r="CB139" s="76">
        <v>0.1302</v>
      </c>
      <c r="CC139" s="76">
        <v>2.7651</v>
      </c>
      <c r="CD139" s="76">
        <v>5.0349</v>
      </c>
      <c r="CE139" s="76">
        <v>6.4209</v>
      </c>
      <c r="CF139" s="76">
        <v>0.2023</v>
      </c>
      <c r="CG139" s="76">
        <v>6.2186</v>
      </c>
      <c r="CH139" s="76">
        <v>6.0581</v>
      </c>
      <c r="CI139" s="76">
        <v>6.3116</v>
      </c>
      <c r="CJ139" s="76">
        <v>0.1395</v>
      </c>
      <c r="CK139" s="76">
        <v>6.1721</v>
      </c>
      <c r="CL139" s="76">
        <v>8.2093</v>
      </c>
      <c r="CM139" s="76">
        <v>1909.01</v>
      </c>
      <c r="CN139" s="76">
        <v>100.0</v>
      </c>
      <c r="CO139" s="76">
        <v>1909.01</v>
      </c>
      <c r="CP139" s="76">
        <v>1852.98</v>
      </c>
      <c r="CQ139" s="76">
        <v>0.0</v>
      </c>
      <c r="CR139" s="76">
        <v>37.63</v>
      </c>
      <c r="CS139" s="76">
        <v>18.41</v>
      </c>
      <c r="CT139" s="76">
        <v>0.0</v>
      </c>
      <c r="CU139" s="76">
        <v>0.0</v>
      </c>
      <c r="CV139" s="76">
        <v>0.0</v>
      </c>
      <c r="CW139" s="76">
        <v>674.39</v>
      </c>
      <c r="CX139" s="76">
        <v>0.0</v>
      </c>
      <c r="CY139" s="76">
        <v>0.0</v>
      </c>
    </row>
    <row r="140" ht="15.75" customHeight="1">
      <c r="A140" s="164">
        <v>46241.0</v>
      </c>
      <c r="B140" s="76" t="s">
        <v>5</v>
      </c>
      <c r="C140" s="76" t="s">
        <v>316</v>
      </c>
      <c r="D140" s="76">
        <v>4996.0</v>
      </c>
      <c r="E140" s="76">
        <v>19.05</v>
      </c>
      <c r="F140" s="76">
        <v>299.54</v>
      </c>
      <c r="G140" s="76">
        <v>0.06</v>
      </c>
      <c r="H140" s="76">
        <v>1.1</v>
      </c>
      <c r="I140" s="76">
        <v>5.4462</v>
      </c>
      <c r="J140" s="76">
        <v>26.96</v>
      </c>
      <c r="K140" s="76">
        <v>14.73</v>
      </c>
      <c r="L140" s="76">
        <v>11.11</v>
      </c>
      <c r="M140" s="76">
        <v>0.7545</v>
      </c>
      <c r="N140" s="76">
        <v>0.3717</v>
      </c>
      <c r="O140" s="76">
        <v>0.2044</v>
      </c>
      <c r="P140" s="76">
        <v>1.3254</v>
      </c>
      <c r="Q140" s="76">
        <v>85.09</v>
      </c>
      <c r="R140" s="76">
        <v>84.96</v>
      </c>
      <c r="S140" s="76">
        <v>0.13</v>
      </c>
      <c r="T140" s="76">
        <v>5.37</v>
      </c>
      <c r="U140" s="76">
        <v>79.72</v>
      </c>
      <c r="V140" s="76">
        <v>52.67</v>
      </c>
      <c r="W140" s="76">
        <v>3.5766</v>
      </c>
      <c r="X140" s="76">
        <v>6.32</v>
      </c>
      <c r="Y140" s="76">
        <v>202.0</v>
      </c>
      <c r="Z140" s="76">
        <v>517.0</v>
      </c>
      <c r="AA140" s="76">
        <v>3568.0</v>
      </c>
      <c r="AB140" s="76">
        <v>49.6665</v>
      </c>
      <c r="AC140" s="76">
        <v>0.4754</v>
      </c>
      <c r="AI140" s="76">
        <v>0.0</v>
      </c>
      <c r="AJ140" s="76">
        <v>0.0</v>
      </c>
      <c r="AK140" s="76">
        <v>0.0</v>
      </c>
      <c r="AL140" s="76">
        <v>0.4952</v>
      </c>
      <c r="AM140" s="76">
        <v>12.49</v>
      </c>
      <c r="AN140" s="76">
        <v>12.49</v>
      </c>
      <c r="AO140" s="76">
        <v>7.73</v>
      </c>
      <c r="AP140" s="76">
        <v>4.26</v>
      </c>
      <c r="AQ140" s="76">
        <v>3.3157</v>
      </c>
      <c r="AR140" s="76">
        <v>0.0548</v>
      </c>
      <c r="AS140" s="76">
        <v>3.2608</v>
      </c>
      <c r="AT140" s="76">
        <v>2.1731</v>
      </c>
      <c r="AU140" s="76">
        <v>0.1476</v>
      </c>
      <c r="AV140" s="76">
        <v>4996.0</v>
      </c>
      <c r="AW140" s="76">
        <v>0.0</v>
      </c>
      <c r="AX140" s="76">
        <v>11.36</v>
      </c>
      <c r="AY140" s="76">
        <v>64.67</v>
      </c>
      <c r="AZ140" s="76">
        <v>3.36</v>
      </c>
      <c r="BA140" s="76">
        <v>5.37</v>
      </c>
      <c r="BB140" s="76">
        <v>0.33</v>
      </c>
      <c r="BD140" s="76">
        <v>27178.0</v>
      </c>
      <c r="BE140" s="76">
        <v>1.4339</v>
      </c>
      <c r="BF140" s="76">
        <v>0.0228</v>
      </c>
      <c r="BG140" s="76">
        <v>1.4111</v>
      </c>
      <c r="BH140" s="76">
        <v>0.9912</v>
      </c>
      <c r="BI140" s="76">
        <v>0.0673</v>
      </c>
      <c r="BJ140" s="76">
        <v>1.8817</v>
      </c>
      <c r="BK140" s="76">
        <v>0.032</v>
      </c>
      <c r="BL140" s="76">
        <v>1.8497</v>
      </c>
      <c r="BM140" s="76">
        <v>1.1819</v>
      </c>
      <c r="BN140" s="76">
        <v>0.0803</v>
      </c>
      <c r="BO140" s="76">
        <v>0.5294</v>
      </c>
      <c r="BP140" s="76">
        <v>0.0084</v>
      </c>
      <c r="BQ140" s="76">
        <v>0.521</v>
      </c>
      <c r="BR140" s="76">
        <v>0.3693</v>
      </c>
      <c r="BS140" s="76">
        <v>0.5376</v>
      </c>
      <c r="BT140" s="76">
        <v>0.0072</v>
      </c>
      <c r="BU140" s="76">
        <v>0.5304</v>
      </c>
      <c r="BV140" s="76">
        <v>0.3731</v>
      </c>
      <c r="BW140" s="76">
        <v>0.3669</v>
      </c>
      <c r="BX140" s="76">
        <v>0.0072</v>
      </c>
      <c r="BY140" s="76">
        <v>0.3597</v>
      </c>
      <c r="BZ140" s="76">
        <v>0.2488</v>
      </c>
      <c r="CA140" s="76">
        <v>0.4327</v>
      </c>
      <c r="CB140" s="76">
        <v>0.0084</v>
      </c>
      <c r="CC140" s="76">
        <v>0.4243</v>
      </c>
      <c r="CD140" s="76">
        <v>0.2578</v>
      </c>
      <c r="CE140" s="76">
        <v>0.8309</v>
      </c>
      <c r="CF140" s="76">
        <v>0.0142</v>
      </c>
      <c r="CG140" s="76">
        <v>0.8167</v>
      </c>
      <c r="CH140" s="76">
        <v>0.44</v>
      </c>
      <c r="CI140" s="76">
        <v>0.6181</v>
      </c>
      <c r="CJ140" s="76">
        <v>0.0094</v>
      </c>
      <c r="CK140" s="76">
        <v>0.6087</v>
      </c>
      <c r="CL140" s="76">
        <v>0.4842</v>
      </c>
      <c r="CM140" s="76">
        <v>173.18</v>
      </c>
      <c r="CN140" s="76">
        <v>27.88</v>
      </c>
      <c r="CO140" s="76">
        <v>621.12</v>
      </c>
      <c r="CP140" s="76">
        <v>156.53</v>
      </c>
      <c r="CQ140" s="76">
        <v>0.93</v>
      </c>
      <c r="CR140" s="76">
        <v>9.1</v>
      </c>
      <c r="CS140" s="76">
        <v>6.63</v>
      </c>
      <c r="CT140" s="76">
        <v>0.0</v>
      </c>
      <c r="CU140" s="76">
        <v>1452.0</v>
      </c>
      <c r="CV140" s="76">
        <v>19.6</v>
      </c>
      <c r="CW140" s="76">
        <v>104.69</v>
      </c>
      <c r="CX140" s="76">
        <v>0.14</v>
      </c>
      <c r="CY140" s="76">
        <v>1.06</v>
      </c>
    </row>
    <row r="141" ht="15.75" customHeight="1">
      <c r="A141" s="164">
        <v>46241.0</v>
      </c>
      <c r="B141" s="76" t="s">
        <v>5</v>
      </c>
      <c r="C141" s="76" t="s">
        <v>147</v>
      </c>
      <c r="D141" s="76">
        <v>7347.0</v>
      </c>
      <c r="E141" s="76">
        <v>28.02</v>
      </c>
      <c r="F141" s="76">
        <v>89.11</v>
      </c>
      <c r="G141" s="76">
        <v>0.0121</v>
      </c>
      <c r="H141" s="76">
        <v>0.64</v>
      </c>
      <c r="I141" s="76">
        <v>1.896</v>
      </c>
      <c r="J141" s="76">
        <v>19.96</v>
      </c>
      <c r="K141" s="76">
        <v>10.15</v>
      </c>
      <c r="L141" s="76">
        <v>5.05</v>
      </c>
      <c r="M141" s="76">
        <v>0.4977</v>
      </c>
      <c r="N141" s="76">
        <v>0.6059</v>
      </c>
      <c r="O141" s="76">
        <v>0.3519</v>
      </c>
      <c r="P141" s="76">
        <v>2.0093</v>
      </c>
      <c r="Q141" s="76">
        <v>49.32</v>
      </c>
      <c r="R141" s="76">
        <v>46.4</v>
      </c>
      <c r="S141" s="76">
        <v>2.93</v>
      </c>
      <c r="T141" s="76">
        <v>1.1</v>
      </c>
      <c r="U141" s="76">
        <v>48.22</v>
      </c>
      <c r="V141" s="76">
        <v>39.92</v>
      </c>
      <c r="W141" s="76">
        <v>3.9326</v>
      </c>
      <c r="X141" s="76">
        <v>2.24</v>
      </c>
      <c r="Y141" s="76">
        <v>200.0</v>
      </c>
      <c r="Z141" s="76">
        <v>318.0</v>
      </c>
      <c r="AA141" s="76">
        <v>1109.0</v>
      </c>
      <c r="AB141" s="76">
        <v>49.8775</v>
      </c>
      <c r="AC141" s="76">
        <v>0.6173</v>
      </c>
      <c r="AD141" s="76">
        <v>4.06</v>
      </c>
      <c r="AE141" s="76">
        <v>1.0</v>
      </c>
      <c r="AF141" s="76">
        <v>3.0</v>
      </c>
      <c r="AG141" s="76">
        <v>6.0</v>
      </c>
      <c r="AH141" s="76">
        <v>8.0</v>
      </c>
      <c r="AI141" s="76">
        <v>74.94</v>
      </c>
      <c r="AJ141" s="76">
        <v>34.16</v>
      </c>
      <c r="AK141" s="76">
        <v>6.51</v>
      </c>
      <c r="AL141" s="76">
        <v>0.5229</v>
      </c>
      <c r="AM141" s="76">
        <v>38.51</v>
      </c>
      <c r="AN141" s="76">
        <v>38.51</v>
      </c>
      <c r="AO141" s="76">
        <v>18.14</v>
      </c>
      <c r="AP141" s="76">
        <v>5.63</v>
      </c>
      <c r="AQ141" s="76">
        <v>3.4373</v>
      </c>
      <c r="AR141" s="76">
        <v>0.0453</v>
      </c>
      <c r="AS141" s="76">
        <v>3.392</v>
      </c>
      <c r="AT141" s="76">
        <v>2.5643</v>
      </c>
      <c r="AU141" s="76">
        <v>0.2526</v>
      </c>
      <c r="AV141" s="76">
        <v>7347.0</v>
      </c>
      <c r="AW141" s="76">
        <v>0.0</v>
      </c>
      <c r="AX141" s="76">
        <v>17.74</v>
      </c>
      <c r="AY141" s="76">
        <v>27.84</v>
      </c>
      <c r="AZ141" s="76">
        <v>1.93</v>
      </c>
      <c r="BA141" s="76">
        <v>1.1</v>
      </c>
      <c r="BB141" s="76">
        <v>0.71</v>
      </c>
      <c r="BC141" s="76">
        <v>17.0</v>
      </c>
      <c r="BD141" s="76">
        <v>17771.0</v>
      </c>
      <c r="BE141" s="76">
        <v>2.2001</v>
      </c>
      <c r="BF141" s="76">
        <v>0.0294</v>
      </c>
      <c r="BG141" s="76">
        <v>2.1707</v>
      </c>
      <c r="BH141" s="76">
        <v>1.4952</v>
      </c>
      <c r="BI141" s="76">
        <v>0.1473</v>
      </c>
      <c r="BJ141" s="76">
        <v>1.2372</v>
      </c>
      <c r="BK141" s="76">
        <v>0.0159</v>
      </c>
      <c r="BL141" s="76">
        <v>1.2213</v>
      </c>
      <c r="BM141" s="76">
        <v>1.0691</v>
      </c>
      <c r="BN141" s="76">
        <v>0.1053</v>
      </c>
      <c r="BO141" s="76">
        <v>0.8918</v>
      </c>
      <c r="BP141" s="76">
        <v>0.0103</v>
      </c>
      <c r="BQ141" s="76">
        <v>0.8814</v>
      </c>
      <c r="BR141" s="76">
        <v>0.6213</v>
      </c>
      <c r="BS141" s="76">
        <v>0.8609</v>
      </c>
      <c r="BT141" s="76">
        <v>0.0075</v>
      </c>
      <c r="BU141" s="76">
        <v>0.8534</v>
      </c>
      <c r="BV141" s="76">
        <v>0.5635</v>
      </c>
      <c r="BW141" s="76">
        <v>0.4474</v>
      </c>
      <c r="BX141" s="76">
        <v>0.0116</v>
      </c>
      <c r="BY141" s="76">
        <v>0.4358</v>
      </c>
      <c r="BZ141" s="76">
        <v>0.3103</v>
      </c>
      <c r="CA141" s="76">
        <v>0.1524</v>
      </c>
      <c r="CB141" s="76">
        <v>0.0026</v>
      </c>
      <c r="CC141" s="76">
        <v>0.1499</v>
      </c>
      <c r="CD141" s="76">
        <v>0.1617</v>
      </c>
      <c r="CE141" s="76">
        <v>0.6694</v>
      </c>
      <c r="CF141" s="76">
        <v>0.0071</v>
      </c>
      <c r="CG141" s="76">
        <v>0.6623</v>
      </c>
      <c r="CH141" s="76">
        <v>0.5435</v>
      </c>
      <c r="CI141" s="76">
        <v>0.4154</v>
      </c>
      <c r="CJ141" s="76">
        <v>0.0063</v>
      </c>
      <c r="CK141" s="76">
        <v>0.4091</v>
      </c>
      <c r="CL141" s="76">
        <v>0.364</v>
      </c>
      <c r="CM141" s="76">
        <v>70.75</v>
      </c>
      <c r="CN141" s="76">
        <v>63.81</v>
      </c>
      <c r="CO141" s="76">
        <v>110.89</v>
      </c>
      <c r="CP141" s="76">
        <v>57.87</v>
      </c>
      <c r="CQ141" s="76">
        <v>1.06</v>
      </c>
      <c r="CR141" s="76">
        <v>9.63</v>
      </c>
      <c r="CS141" s="76">
        <v>2.19</v>
      </c>
      <c r="CT141" s="76">
        <v>0.0</v>
      </c>
      <c r="CU141" s="76">
        <v>1941.0</v>
      </c>
      <c r="CV141" s="76">
        <v>0.1</v>
      </c>
      <c r="CW141" s="76">
        <v>49.42</v>
      </c>
      <c r="CX141" s="76">
        <v>0.16</v>
      </c>
      <c r="CY141" s="76">
        <v>1.22</v>
      </c>
    </row>
    <row r="142" ht="15.75" customHeight="1">
      <c r="A142" s="164">
        <v>46241.0</v>
      </c>
      <c r="B142" s="76" t="s">
        <v>5</v>
      </c>
      <c r="C142" s="76" t="s">
        <v>148</v>
      </c>
      <c r="D142" s="76">
        <v>5696.0</v>
      </c>
      <c r="E142" s="76">
        <v>21.72</v>
      </c>
      <c r="F142" s="76">
        <v>290.39</v>
      </c>
      <c r="G142" s="76">
        <v>0.051</v>
      </c>
      <c r="H142" s="76">
        <v>1.84</v>
      </c>
      <c r="I142" s="76">
        <v>2.7656</v>
      </c>
      <c r="J142" s="76">
        <v>39.46</v>
      </c>
      <c r="K142" s="76">
        <v>21.41</v>
      </c>
      <c r="L142" s="76">
        <v>13.33</v>
      </c>
      <c r="M142" s="76">
        <v>0.6224</v>
      </c>
      <c r="N142" s="76">
        <v>0.4962</v>
      </c>
      <c r="O142" s="76">
        <v>0.2909</v>
      </c>
      <c r="P142" s="76">
        <v>1.6066</v>
      </c>
      <c r="Q142" s="76">
        <v>102.81</v>
      </c>
      <c r="R142" s="76">
        <v>94.31</v>
      </c>
      <c r="S142" s="76">
        <v>8.5</v>
      </c>
      <c r="T142" s="76">
        <v>4.63</v>
      </c>
      <c r="U142" s="76">
        <v>98.18</v>
      </c>
      <c r="V142" s="76">
        <v>84.73</v>
      </c>
      <c r="W142" s="76">
        <v>3.9569</v>
      </c>
      <c r="X142" s="76">
        <v>4.5</v>
      </c>
      <c r="Y142" s="76">
        <v>226.0</v>
      </c>
      <c r="Z142" s="76">
        <v>369.0</v>
      </c>
      <c r="AA142" s="76">
        <v>1010.0</v>
      </c>
      <c r="AB142" s="76">
        <v>52.1679</v>
      </c>
      <c r="AC142" s="76">
        <v>0.7028</v>
      </c>
      <c r="AD142" s="76">
        <v>9.82</v>
      </c>
      <c r="AE142" s="76">
        <v>4.0</v>
      </c>
      <c r="AF142" s="76">
        <v>9.0</v>
      </c>
      <c r="AG142" s="76">
        <v>13.0</v>
      </c>
      <c r="AH142" s="76">
        <v>19.0</v>
      </c>
      <c r="AI142" s="76">
        <v>67.22</v>
      </c>
      <c r="AJ142" s="76">
        <v>28.49</v>
      </c>
      <c r="AK142" s="76">
        <v>3.55</v>
      </c>
      <c r="AL142" s="76">
        <v>0.3827</v>
      </c>
      <c r="AM142" s="76">
        <v>43.84</v>
      </c>
      <c r="AN142" s="76">
        <v>43.84</v>
      </c>
      <c r="AO142" s="76">
        <v>26.33</v>
      </c>
      <c r="AP142" s="76">
        <v>12.89</v>
      </c>
      <c r="AQ142" s="76">
        <v>6.6922</v>
      </c>
      <c r="AR142" s="76">
        <v>0.1103</v>
      </c>
      <c r="AS142" s="76">
        <v>6.582</v>
      </c>
      <c r="AT142" s="76">
        <v>4.9224</v>
      </c>
      <c r="AU142" s="76">
        <v>0.2299</v>
      </c>
      <c r="AV142" s="76">
        <v>5696.0</v>
      </c>
      <c r="AW142" s="76">
        <v>0.0</v>
      </c>
      <c r="AX142" s="76">
        <v>34.15</v>
      </c>
      <c r="AY142" s="76">
        <v>60.44</v>
      </c>
      <c r="AZ142" s="76">
        <v>2.39</v>
      </c>
      <c r="BA142" s="76">
        <v>4.63</v>
      </c>
      <c r="BB142" s="76">
        <v>1.21</v>
      </c>
      <c r="BC142" s="76">
        <v>35.0</v>
      </c>
      <c r="BD142" s="76">
        <v>17114.0</v>
      </c>
      <c r="BE142" s="76">
        <v>4.0386</v>
      </c>
      <c r="BF142" s="76">
        <v>0.0758</v>
      </c>
      <c r="BG142" s="76">
        <v>3.9628</v>
      </c>
      <c r="BH142" s="76">
        <v>2.6743</v>
      </c>
      <c r="BI142" s="76">
        <v>0.1249</v>
      </c>
      <c r="BJ142" s="76">
        <v>2.6536</v>
      </c>
      <c r="BK142" s="76">
        <v>0.0344</v>
      </c>
      <c r="BL142" s="76">
        <v>2.6192</v>
      </c>
      <c r="BM142" s="76">
        <v>2.2481</v>
      </c>
      <c r="BN142" s="76">
        <v>0.105</v>
      </c>
      <c r="BO142" s="76">
        <v>1.3912</v>
      </c>
      <c r="BP142" s="76">
        <v>0.0263</v>
      </c>
      <c r="BQ142" s="76">
        <v>1.3648</v>
      </c>
      <c r="BR142" s="76">
        <v>0.9953</v>
      </c>
      <c r="BS142" s="76">
        <v>1.6754</v>
      </c>
      <c r="BT142" s="76">
        <v>0.0216</v>
      </c>
      <c r="BU142" s="76">
        <v>1.6538</v>
      </c>
      <c r="BV142" s="76">
        <v>1.0414</v>
      </c>
      <c r="BW142" s="76">
        <v>0.9721</v>
      </c>
      <c r="BX142" s="76">
        <v>0.0279</v>
      </c>
      <c r="BY142" s="76">
        <v>0.9442</v>
      </c>
      <c r="BZ142" s="76">
        <v>0.6376</v>
      </c>
      <c r="CA142" s="76">
        <v>0.4131</v>
      </c>
      <c r="CB142" s="76">
        <v>0.0098</v>
      </c>
      <c r="CC142" s="76">
        <v>0.4033</v>
      </c>
      <c r="CD142" s="76">
        <v>0.3919</v>
      </c>
      <c r="CE142" s="76">
        <v>1.3578</v>
      </c>
      <c r="CF142" s="76">
        <v>0.0112</v>
      </c>
      <c r="CG142" s="76">
        <v>1.3466</v>
      </c>
      <c r="CH142" s="76">
        <v>1.0762</v>
      </c>
      <c r="CI142" s="76">
        <v>0.8827</v>
      </c>
      <c r="CJ142" s="76">
        <v>0.0133</v>
      </c>
      <c r="CK142" s="76">
        <v>0.8694</v>
      </c>
      <c r="CL142" s="76">
        <v>0.78</v>
      </c>
      <c r="CM142" s="76">
        <v>171.0</v>
      </c>
      <c r="CN142" s="76">
        <v>79.51</v>
      </c>
      <c r="CO142" s="76">
        <v>215.06</v>
      </c>
      <c r="CP142" s="76">
        <v>143.93</v>
      </c>
      <c r="CQ142" s="76">
        <v>2.13</v>
      </c>
      <c r="CR142" s="76">
        <v>15.39</v>
      </c>
      <c r="CS142" s="76">
        <v>9.54</v>
      </c>
      <c r="CT142" s="76">
        <v>0.0</v>
      </c>
      <c r="CU142" s="76">
        <v>2160.0</v>
      </c>
      <c r="CV142" s="76">
        <v>0.12</v>
      </c>
      <c r="CW142" s="76">
        <v>102.93</v>
      </c>
      <c r="CX142" s="76">
        <v>0.3</v>
      </c>
      <c r="CY142" s="76">
        <v>2.44</v>
      </c>
    </row>
    <row r="143" ht="15.75" customHeight="1">
      <c r="A143" s="164">
        <v>46241.0</v>
      </c>
      <c r="B143" s="76" t="s">
        <v>5</v>
      </c>
      <c r="C143" s="76" t="s">
        <v>149</v>
      </c>
      <c r="D143" s="76">
        <v>4809.0</v>
      </c>
      <c r="E143" s="76">
        <v>18.34</v>
      </c>
      <c r="F143" s="76">
        <v>684.52</v>
      </c>
      <c r="G143" s="76">
        <v>0.1423</v>
      </c>
      <c r="H143" s="76">
        <v>3.04</v>
      </c>
      <c r="I143" s="76">
        <v>4.6885</v>
      </c>
      <c r="J143" s="76">
        <v>62.63</v>
      </c>
      <c r="K143" s="76">
        <v>35.82</v>
      </c>
      <c r="L143" s="76">
        <v>25.86</v>
      </c>
      <c r="M143" s="76">
        <v>0.7219</v>
      </c>
      <c r="N143" s="76">
        <v>0.4019</v>
      </c>
      <c r="O143" s="76">
        <v>0.2561</v>
      </c>
      <c r="P143" s="76">
        <v>1.3852</v>
      </c>
      <c r="Q143" s="76">
        <v>183.74</v>
      </c>
      <c r="R143" s="76">
        <v>168.17</v>
      </c>
      <c r="S143" s="76">
        <v>15.57</v>
      </c>
      <c r="T143" s="76">
        <v>11.77</v>
      </c>
      <c r="U143" s="76">
        <v>171.97</v>
      </c>
      <c r="V143" s="76">
        <v>153.19</v>
      </c>
      <c r="W143" s="76">
        <v>4.2764</v>
      </c>
      <c r="X143" s="76">
        <v>6.4</v>
      </c>
      <c r="Y143" s="76">
        <v>275.0</v>
      </c>
      <c r="Z143" s="76">
        <v>446.0</v>
      </c>
      <c r="AA143" s="76">
        <v>1019.0</v>
      </c>
      <c r="AB143" s="76">
        <v>53.7543</v>
      </c>
      <c r="AC143" s="76">
        <v>0.7604</v>
      </c>
      <c r="AD143" s="76">
        <v>16.94</v>
      </c>
      <c r="AE143" s="76">
        <v>7.0</v>
      </c>
      <c r="AF143" s="76">
        <v>14.0</v>
      </c>
      <c r="AG143" s="76">
        <v>24.0</v>
      </c>
      <c r="AH143" s="76">
        <v>34.0</v>
      </c>
      <c r="AI143" s="76">
        <v>60.82</v>
      </c>
      <c r="AJ143" s="76">
        <v>21.38</v>
      </c>
      <c r="AK143" s="76">
        <v>4.24</v>
      </c>
      <c r="AL143" s="76">
        <v>0.3007</v>
      </c>
      <c r="AM143" s="76">
        <v>44.75</v>
      </c>
      <c r="AN143" s="76">
        <v>44.75</v>
      </c>
      <c r="AO143" s="76">
        <v>25.18</v>
      </c>
      <c r="AP143" s="76">
        <v>13.06</v>
      </c>
      <c r="AQ143" s="76">
        <v>9.8093</v>
      </c>
      <c r="AR143" s="76">
        <v>0.2009</v>
      </c>
      <c r="AS143" s="76">
        <v>9.6084</v>
      </c>
      <c r="AT143" s="76">
        <v>7.2843</v>
      </c>
      <c r="AU143" s="76">
        <v>0.2033</v>
      </c>
      <c r="AV143" s="76">
        <v>4809.0</v>
      </c>
      <c r="AW143" s="76">
        <v>0.0</v>
      </c>
      <c r="AX143" s="76">
        <v>62.0</v>
      </c>
      <c r="AY143" s="76">
        <v>104.57</v>
      </c>
      <c r="AZ143" s="76">
        <v>2.96</v>
      </c>
      <c r="BA143" s="76">
        <v>11.77</v>
      </c>
      <c r="BB143" s="76">
        <v>2.44</v>
      </c>
      <c r="BC143" s="76">
        <v>60.0</v>
      </c>
      <c r="BD143" s="76">
        <v>14378.0</v>
      </c>
      <c r="BE143" s="76">
        <v>5.6367</v>
      </c>
      <c r="BF143" s="76">
        <v>0.1067</v>
      </c>
      <c r="BG143" s="76">
        <v>5.53</v>
      </c>
      <c r="BH143" s="76">
        <v>3.58</v>
      </c>
      <c r="BI143" s="76">
        <v>0.0999</v>
      </c>
      <c r="BJ143" s="76">
        <v>4.1726</v>
      </c>
      <c r="BK143" s="76">
        <v>0.0942</v>
      </c>
      <c r="BL143" s="76">
        <v>4.0784</v>
      </c>
      <c r="BM143" s="76">
        <v>3.7043</v>
      </c>
      <c r="BN143" s="76">
        <v>0.1034</v>
      </c>
      <c r="BO143" s="76">
        <v>1.8451</v>
      </c>
      <c r="BP143" s="76">
        <v>0.0343</v>
      </c>
      <c r="BQ143" s="76">
        <v>1.8108</v>
      </c>
      <c r="BR143" s="76">
        <v>1.2618</v>
      </c>
      <c r="BS143" s="76">
        <v>2.3516</v>
      </c>
      <c r="BT143" s="76">
        <v>0.0281</v>
      </c>
      <c r="BU143" s="76">
        <v>2.3236</v>
      </c>
      <c r="BV143" s="76">
        <v>1.4009</v>
      </c>
      <c r="BW143" s="76">
        <v>1.44</v>
      </c>
      <c r="BX143" s="76">
        <v>0.0443</v>
      </c>
      <c r="BY143" s="76">
        <v>1.3957</v>
      </c>
      <c r="BZ143" s="76">
        <v>0.9172</v>
      </c>
      <c r="CA143" s="76">
        <v>0.6087</v>
      </c>
      <c r="CB143" s="76">
        <v>0.0233</v>
      </c>
      <c r="CC143" s="76">
        <v>0.5854</v>
      </c>
      <c r="CD143" s="76">
        <v>0.6698</v>
      </c>
      <c r="CE143" s="76">
        <v>1.9532</v>
      </c>
      <c r="CF143" s="76">
        <v>0.0376</v>
      </c>
      <c r="CG143" s="76">
        <v>1.9156</v>
      </c>
      <c r="CH143" s="76">
        <v>1.6417</v>
      </c>
      <c r="CI143" s="76">
        <v>1.6107</v>
      </c>
      <c r="CJ143" s="76">
        <v>0.0333</v>
      </c>
      <c r="CK143" s="76">
        <v>1.5775</v>
      </c>
      <c r="CL143" s="76">
        <v>1.3928</v>
      </c>
      <c r="CM143" s="76">
        <v>327.18</v>
      </c>
      <c r="CN143" s="76">
        <v>91.1</v>
      </c>
      <c r="CO143" s="76">
        <v>359.14</v>
      </c>
      <c r="CP143" s="76">
        <v>284.05</v>
      </c>
      <c r="CQ143" s="76">
        <v>3.12</v>
      </c>
      <c r="CR143" s="76">
        <v>21.45</v>
      </c>
      <c r="CS143" s="76">
        <v>18.56</v>
      </c>
      <c r="CT143" s="76">
        <v>0.0</v>
      </c>
      <c r="CU143" s="76">
        <v>2150.0</v>
      </c>
      <c r="CV143" s="76">
        <v>0.12</v>
      </c>
      <c r="CW143" s="76">
        <v>183.86</v>
      </c>
      <c r="CX143" s="76">
        <v>0.32</v>
      </c>
      <c r="CY143" s="76">
        <v>3.44</v>
      </c>
    </row>
    <row r="144" ht="15.75" customHeight="1">
      <c r="A144" s="164">
        <v>46241.0</v>
      </c>
      <c r="B144" s="76" t="s">
        <v>5</v>
      </c>
      <c r="C144" s="76" t="s">
        <v>150</v>
      </c>
      <c r="D144" s="76">
        <v>2933.0</v>
      </c>
      <c r="E144" s="76">
        <v>11.19</v>
      </c>
      <c r="F144" s="76">
        <v>488.97</v>
      </c>
      <c r="G144" s="76">
        <v>0.1667</v>
      </c>
      <c r="H144" s="76">
        <v>3.1</v>
      </c>
      <c r="I144" s="76">
        <v>5.3733</v>
      </c>
      <c r="J144" s="76">
        <v>113.99</v>
      </c>
      <c r="K144" s="76">
        <v>70.95</v>
      </c>
      <c r="L144" s="76">
        <v>53.21</v>
      </c>
      <c r="M144" s="76">
        <v>0.75</v>
      </c>
      <c r="N144" s="76">
        <v>0.3634</v>
      </c>
      <c r="O144" s="76">
        <v>0.2394</v>
      </c>
      <c r="P144" s="76">
        <v>1.3333</v>
      </c>
      <c r="Q144" s="76">
        <v>337.09</v>
      </c>
      <c r="R144" s="76">
        <v>305.55</v>
      </c>
      <c r="S144" s="76">
        <v>31.54</v>
      </c>
      <c r="T144" s="76">
        <v>15.57</v>
      </c>
      <c r="U144" s="76">
        <v>321.52</v>
      </c>
      <c r="V144" s="76">
        <v>294.26</v>
      </c>
      <c r="W144" s="76">
        <v>4.1473</v>
      </c>
      <c r="X144" s="76">
        <v>4.62</v>
      </c>
      <c r="Y144" s="76">
        <v>354.0</v>
      </c>
      <c r="Z144" s="76">
        <v>576.0</v>
      </c>
      <c r="AA144" s="76">
        <v>1218.0</v>
      </c>
      <c r="AB144" s="76">
        <v>55.5862</v>
      </c>
      <c r="AC144" s="76">
        <v>0.7573</v>
      </c>
      <c r="AD144" s="76">
        <v>28.27</v>
      </c>
      <c r="AE144" s="76">
        <v>11.0</v>
      </c>
      <c r="AF144" s="76">
        <v>21.0</v>
      </c>
      <c r="AG144" s="76">
        <v>40.0</v>
      </c>
      <c r="AH144" s="76">
        <v>57.0</v>
      </c>
      <c r="AI144" s="76">
        <v>40.33</v>
      </c>
      <c r="AJ144" s="76">
        <v>9.04</v>
      </c>
      <c r="AK144" s="76">
        <v>1.74</v>
      </c>
      <c r="AL144" s="76">
        <v>0.1872</v>
      </c>
      <c r="AM144" s="76">
        <v>45.41</v>
      </c>
      <c r="AN144" s="76">
        <v>45.41</v>
      </c>
      <c r="AO144" s="76">
        <v>27.51</v>
      </c>
      <c r="AP144" s="76">
        <v>16.23</v>
      </c>
      <c r="AQ144" s="76">
        <v>14.4664</v>
      </c>
      <c r="AR144" s="76">
        <v>0.2499</v>
      </c>
      <c r="AS144" s="76">
        <v>14.2165</v>
      </c>
      <c r="AT144" s="76">
        <v>12.2107</v>
      </c>
      <c r="AU144" s="76">
        <v>0.1721</v>
      </c>
      <c r="AV144" s="76">
        <v>2933.0</v>
      </c>
      <c r="AW144" s="76">
        <v>0.0</v>
      </c>
      <c r="AX144" s="76">
        <v>117.35</v>
      </c>
      <c r="AY144" s="76">
        <v>196.01</v>
      </c>
      <c r="AZ144" s="76">
        <v>3.4</v>
      </c>
      <c r="BA144" s="76">
        <v>15.55</v>
      </c>
      <c r="BB144" s="76">
        <v>4.79</v>
      </c>
      <c r="BC144" s="76">
        <v>115.0</v>
      </c>
      <c r="BD144" s="76">
        <v>13272.0</v>
      </c>
      <c r="BE144" s="76">
        <v>8.1377</v>
      </c>
      <c r="BF144" s="76">
        <v>0.1146</v>
      </c>
      <c r="BG144" s="76">
        <v>8.0232</v>
      </c>
      <c r="BH144" s="76">
        <v>5.6001</v>
      </c>
      <c r="BI144" s="76">
        <v>0.0789</v>
      </c>
      <c r="BJ144" s="76">
        <v>6.3287</v>
      </c>
      <c r="BK144" s="76">
        <v>0.1354</v>
      </c>
      <c r="BL144" s="76">
        <v>6.1933</v>
      </c>
      <c r="BM144" s="76">
        <v>6.6106</v>
      </c>
      <c r="BN144" s="76">
        <v>0.0932</v>
      </c>
      <c r="BO144" s="76">
        <v>2.6325</v>
      </c>
      <c r="BP144" s="76">
        <v>0.03</v>
      </c>
      <c r="BQ144" s="76">
        <v>2.6025</v>
      </c>
      <c r="BR144" s="76">
        <v>1.9519</v>
      </c>
      <c r="BS144" s="76">
        <v>3.3604</v>
      </c>
      <c r="BT144" s="76">
        <v>0.0382</v>
      </c>
      <c r="BU144" s="76">
        <v>3.3222</v>
      </c>
      <c r="BV144" s="76">
        <v>2.1688</v>
      </c>
      <c r="BW144" s="76">
        <v>2.1449</v>
      </c>
      <c r="BX144" s="76">
        <v>0.0464</v>
      </c>
      <c r="BY144" s="76">
        <v>2.0985</v>
      </c>
      <c r="BZ144" s="76">
        <v>1.4794</v>
      </c>
      <c r="CA144" s="76">
        <v>1.0532</v>
      </c>
      <c r="CB144" s="76">
        <v>0.0286</v>
      </c>
      <c r="CC144" s="76">
        <v>1.0245</v>
      </c>
      <c r="CD144" s="76">
        <v>1.494</v>
      </c>
      <c r="CE144" s="76">
        <v>2.6908</v>
      </c>
      <c r="CF144" s="76">
        <v>0.058</v>
      </c>
      <c r="CG144" s="76">
        <v>2.6328</v>
      </c>
      <c r="CH144" s="76">
        <v>2.5769</v>
      </c>
      <c r="CI144" s="76">
        <v>2.5847</v>
      </c>
      <c r="CJ144" s="76">
        <v>0.0488</v>
      </c>
      <c r="CK144" s="76">
        <v>2.536</v>
      </c>
      <c r="CL144" s="76">
        <v>2.5397</v>
      </c>
      <c r="CM144" s="76">
        <v>657.23</v>
      </c>
      <c r="CN144" s="76">
        <v>97.51</v>
      </c>
      <c r="CO144" s="76">
        <v>674.01</v>
      </c>
      <c r="CP144" s="76">
        <v>594.98</v>
      </c>
      <c r="CQ144" s="76">
        <v>5.84</v>
      </c>
      <c r="CR144" s="76">
        <v>27.51</v>
      </c>
      <c r="CS144" s="76">
        <v>28.9</v>
      </c>
      <c r="CT144" s="76">
        <v>0.0</v>
      </c>
      <c r="CU144" s="76">
        <v>1485.0</v>
      </c>
      <c r="CV144" s="76">
        <v>0.2</v>
      </c>
      <c r="CW144" s="76">
        <v>337.29</v>
      </c>
      <c r="CX144" s="76">
        <v>0.79</v>
      </c>
      <c r="CY144" s="76">
        <v>6.63</v>
      </c>
    </row>
    <row r="145" ht="15.75" customHeight="1">
      <c r="A145" s="164">
        <v>46241.0</v>
      </c>
      <c r="B145" s="76" t="s">
        <v>5</v>
      </c>
      <c r="C145" s="76" t="s">
        <v>151</v>
      </c>
      <c r="D145" s="76">
        <v>439.0</v>
      </c>
      <c r="E145" s="76">
        <v>1.67</v>
      </c>
      <c r="F145" s="76">
        <v>147.49</v>
      </c>
      <c r="G145" s="76">
        <v>0.336</v>
      </c>
      <c r="H145" s="76">
        <v>6.38</v>
      </c>
      <c r="I145" s="76">
        <v>5.2675</v>
      </c>
      <c r="J145" s="76">
        <v>237.58</v>
      </c>
      <c r="K145" s="76">
        <v>168.12</v>
      </c>
      <c r="L145" s="76">
        <v>128.89</v>
      </c>
      <c r="M145" s="76">
        <v>0.7666</v>
      </c>
      <c r="N145" s="76">
        <v>0.3105</v>
      </c>
      <c r="O145" s="76">
        <v>0.202</v>
      </c>
      <c r="P145" s="76">
        <v>1.3044</v>
      </c>
      <c r="Q145" s="76">
        <v>664.17</v>
      </c>
      <c r="R145" s="76">
        <v>586.65</v>
      </c>
      <c r="S145" s="76">
        <v>77.52</v>
      </c>
      <c r="T145" s="76">
        <v>38.39</v>
      </c>
      <c r="U145" s="76">
        <v>625.77</v>
      </c>
      <c r="V145" s="76">
        <v>595.79</v>
      </c>
      <c r="W145" s="76">
        <v>3.5438</v>
      </c>
      <c r="X145" s="76">
        <v>5.78</v>
      </c>
      <c r="Y145" s="76">
        <v>504.0</v>
      </c>
      <c r="Z145" s="76">
        <v>875.0</v>
      </c>
      <c r="AA145" s="76">
        <v>1637.0</v>
      </c>
      <c r="AB145" s="76">
        <v>58.7554</v>
      </c>
      <c r="AC145" s="76">
        <v>0.7773</v>
      </c>
      <c r="AD145" s="76">
        <v>51.95</v>
      </c>
      <c r="AE145" s="76">
        <v>21.0</v>
      </c>
      <c r="AF145" s="76">
        <v>37.0</v>
      </c>
      <c r="AG145" s="76">
        <v>67.0</v>
      </c>
      <c r="AH145" s="76">
        <v>114.0</v>
      </c>
      <c r="AI145" s="76">
        <v>20.5</v>
      </c>
      <c r="AJ145" s="76">
        <v>2.96</v>
      </c>
      <c r="AK145" s="76">
        <v>0.23</v>
      </c>
      <c r="AL145" s="76">
        <v>0.1093</v>
      </c>
      <c r="AM145" s="76">
        <v>73.58</v>
      </c>
      <c r="AN145" s="76">
        <v>73.58</v>
      </c>
      <c r="AO145" s="76">
        <v>57.63</v>
      </c>
      <c r="AP145" s="76">
        <v>47.38</v>
      </c>
      <c r="AQ145" s="76">
        <v>27.4897</v>
      </c>
      <c r="AR145" s="76">
        <v>0.3166</v>
      </c>
      <c r="AS145" s="76">
        <v>27.1731</v>
      </c>
      <c r="AT145" s="76">
        <v>25.1959</v>
      </c>
      <c r="AU145" s="76">
        <v>0.1499</v>
      </c>
      <c r="AV145" s="76">
        <v>439.0</v>
      </c>
      <c r="AW145" s="76">
        <v>0.0</v>
      </c>
      <c r="AX145" s="76">
        <v>258.95</v>
      </c>
      <c r="AY145" s="76">
        <v>342.91</v>
      </c>
      <c r="AZ145" s="76">
        <v>4.57</v>
      </c>
      <c r="BA145" s="76">
        <v>38.04</v>
      </c>
      <c r="BB145" s="76">
        <v>19.7</v>
      </c>
      <c r="BC145" s="76">
        <v>198.0</v>
      </c>
      <c r="BD145" s="76">
        <v>8001.0</v>
      </c>
      <c r="BE145" s="76">
        <v>14.4897</v>
      </c>
      <c r="BF145" s="76">
        <v>0.1025</v>
      </c>
      <c r="BG145" s="76">
        <v>14.3872</v>
      </c>
      <c r="BH145" s="76">
        <v>11.0273</v>
      </c>
      <c r="BI145" s="76">
        <v>0.0656</v>
      </c>
      <c r="BJ145" s="76">
        <v>13.0</v>
      </c>
      <c r="BK145" s="76">
        <v>0.2141</v>
      </c>
      <c r="BL145" s="76">
        <v>12.7859</v>
      </c>
      <c r="BM145" s="76">
        <v>14.1686</v>
      </c>
      <c r="BN145" s="76">
        <v>0.0843</v>
      </c>
      <c r="BO145" s="76">
        <v>4.9749</v>
      </c>
      <c r="BP145" s="76">
        <v>0.0319</v>
      </c>
      <c r="BQ145" s="76">
        <v>4.9431</v>
      </c>
      <c r="BR145" s="76">
        <v>3.7995</v>
      </c>
      <c r="BS145" s="76">
        <v>5.6925</v>
      </c>
      <c r="BT145" s="76">
        <v>0.0319</v>
      </c>
      <c r="BU145" s="76">
        <v>5.6606</v>
      </c>
      <c r="BV145" s="76">
        <v>4.2323</v>
      </c>
      <c r="BW145" s="76">
        <v>3.8223</v>
      </c>
      <c r="BX145" s="76">
        <v>0.0387</v>
      </c>
      <c r="BY145" s="76">
        <v>3.7836</v>
      </c>
      <c r="BZ145" s="76">
        <v>2.9954</v>
      </c>
      <c r="CA145" s="76">
        <v>2.5376</v>
      </c>
      <c r="CB145" s="76">
        <v>0.0433</v>
      </c>
      <c r="CC145" s="76">
        <v>2.4943</v>
      </c>
      <c r="CD145" s="76">
        <v>3.7859</v>
      </c>
      <c r="CE145" s="76">
        <v>5.2688</v>
      </c>
      <c r="CF145" s="76">
        <v>0.123</v>
      </c>
      <c r="CG145" s="76">
        <v>5.1458</v>
      </c>
      <c r="CH145" s="76">
        <v>4.8702</v>
      </c>
      <c r="CI145" s="76">
        <v>5.1936</v>
      </c>
      <c r="CJ145" s="76">
        <v>0.0478</v>
      </c>
      <c r="CK145" s="76">
        <v>5.1458</v>
      </c>
      <c r="CL145" s="76">
        <v>5.5125</v>
      </c>
      <c r="CM145" s="76">
        <v>1525.11</v>
      </c>
      <c r="CN145" s="76">
        <v>98.86</v>
      </c>
      <c r="CO145" s="76">
        <v>1542.68</v>
      </c>
      <c r="CP145" s="76">
        <v>1444.04</v>
      </c>
      <c r="CQ145" s="76">
        <v>9.21</v>
      </c>
      <c r="CR145" s="76">
        <v>33.58</v>
      </c>
      <c r="CS145" s="76">
        <v>38.28</v>
      </c>
      <c r="CT145" s="76">
        <v>0.0</v>
      </c>
      <c r="CU145" s="76">
        <v>246.0</v>
      </c>
      <c r="CV145" s="76">
        <v>83.09</v>
      </c>
      <c r="CW145" s="76">
        <v>747.26</v>
      </c>
      <c r="CX145" s="76">
        <v>1.9</v>
      </c>
      <c r="CY145" s="76">
        <v>11.12</v>
      </c>
    </row>
    <row r="146" ht="15.75" customHeight="1">
      <c r="A146" s="164">
        <v>46242.0</v>
      </c>
      <c r="B146" s="76" t="s">
        <v>4</v>
      </c>
      <c r="C146" s="76" t="s">
        <v>316</v>
      </c>
      <c r="D146" s="76">
        <v>5130.0</v>
      </c>
      <c r="E146" s="76">
        <v>18.92</v>
      </c>
      <c r="F146" s="76">
        <v>462.23</v>
      </c>
      <c r="G146" s="76">
        <v>0.0901</v>
      </c>
      <c r="H146" s="76">
        <v>1.27</v>
      </c>
      <c r="I146" s="76">
        <v>7.1112</v>
      </c>
      <c r="J146" s="76">
        <v>22.6</v>
      </c>
      <c r="K146" s="76">
        <v>12.43</v>
      </c>
      <c r="L146" s="76">
        <v>8.52</v>
      </c>
      <c r="M146" s="76">
        <v>0.685</v>
      </c>
      <c r="N146" s="76">
        <v>0.4334</v>
      </c>
      <c r="O146" s="76">
        <v>0.2224</v>
      </c>
      <c r="P146" s="76">
        <v>1.4599</v>
      </c>
      <c r="Q146" s="76">
        <v>53.78</v>
      </c>
      <c r="R146" s="76">
        <v>53.68</v>
      </c>
      <c r="S146" s="76">
        <v>0.1</v>
      </c>
      <c r="T146" s="76">
        <v>6.81</v>
      </c>
      <c r="U146" s="76">
        <v>46.97</v>
      </c>
      <c r="V146" s="76">
        <v>39.23</v>
      </c>
      <c r="W146" s="76">
        <v>3.1558</v>
      </c>
      <c r="X146" s="76">
        <v>12.67</v>
      </c>
      <c r="Y146" s="76">
        <v>200.0</v>
      </c>
      <c r="Z146" s="76">
        <v>476.0</v>
      </c>
      <c r="AA146" s="76">
        <v>3487.0</v>
      </c>
      <c r="AB146" s="76">
        <v>49.9396</v>
      </c>
      <c r="AC146" s="76">
        <v>0.4779</v>
      </c>
      <c r="AI146" s="76">
        <v>0.0</v>
      </c>
      <c r="AJ146" s="76">
        <v>0.0</v>
      </c>
      <c r="AK146" s="76">
        <v>0.0</v>
      </c>
      <c r="AL146" s="76">
        <v>0.4908</v>
      </c>
      <c r="AQ146" s="76">
        <v>1.7251</v>
      </c>
      <c r="AR146" s="76">
        <v>0.0735</v>
      </c>
      <c r="AS146" s="76">
        <v>1.6517</v>
      </c>
      <c r="AT146" s="76">
        <v>1.4031</v>
      </c>
      <c r="AU146" s="76">
        <v>0.1129</v>
      </c>
      <c r="AV146" s="76">
        <v>5130.0</v>
      </c>
      <c r="AW146" s="76">
        <v>0.0</v>
      </c>
      <c r="AX146" s="76">
        <v>15.41</v>
      </c>
      <c r="AY146" s="76">
        <v>28.65</v>
      </c>
      <c r="AZ146" s="76">
        <v>2.72</v>
      </c>
      <c r="BA146" s="76">
        <v>6.81</v>
      </c>
      <c r="BB146" s="76">
        <v>0.2</v>
      </c>
      <c r="BD146" s="76">
        <v>27984.0</v>
      </c>
      <c r="BE146" s="76">
        <v>0.6891</v>
      </c>
      <c r="BF146" s="76">
        <v>0.0287</v>
      </c>
      <c r="BG146" s="76">
        <v>0.6604</v>
      </c>
      <c r="BH146" s="76">
        <v>0.609</v>
      </c>
      <c r="BI146" s="76">
        <v>0.049</v>
      </c>
      <c r="BJ146" s="76">
        <v>1.0361</v>
      </c>
      <c r="BK146" s="76">
        <v>0.0448</v>
      </c>
      <c r="BL146" s="76">
        <v>0.9912</v>
      </c>
      <c r="BM146" s="76">
        <v>0.7942</v>
      </c>
      <c r="BN146" s="76">
        <v>0.0639</v>
      </c>
      <c r="BO146" s="76">
        <v>0.2166</v>
      </c>
      <c r="BP146" s="76">
        <v>0.0099</v>
      </c>
      <c r="BQ146" s="76">
        <v>0.2066</v>
      </c>
      <c r="BR146" s="76">
        <v>0.2148</v>
      </c>
      <c r="BS146" s="76">
        <v>0.2676</v>
      </c>
      <c r="BT146" s="76">
        <v>0.0088</v>
      </c>
      <c r="BU146" s="76">
        <v>0.2589</v>
      </c>
      <c r="BV146" s="76">
        <v>0.2242</v>
      </c>
      <c r="BW146" s="76">
        <v>0.2049</v>
      </c>
      <c r="BX146" s="76">
        <v>0.0099</v>
      </c>
      <c r="BY146" s="76">
        <v>0.1949</v>
      </c>
      <c r="BZ146" s="76">
        <v>0.17</v>
      </c>
      <c r="CA146" s="76">
        <v>0.2131</v>
      </c>
      <c r="CB146" s="76">
        <v>0.0105</v>
      </c>
      <c r="CC146" s="76">
        <v>0.2025</v>
      </c>
      <c r="CD146" s="76">
        <v>0.1825</v>
      </c>
      <c r="CE146" s="76">
        <v>0.4265</v>
      </c>
      <c r="CF146" s="76">
        <v>0.0201</v>
      </c>
      <c r="CG146" s="76">
        <v>0.4064</v>
      </c>
      <c r="CH146" s="76">
        <v>0.3074</v>
      </c>
      <c r="CI146" s="76">
        <v>0.3965</v>
      </c>
      <c r="CJ146" s="76">
        <v>0.0142</v>
      </c>
      <c r="CK146" s="76">
        <v>0.3823</v>
      </c>
      <c r="CL146" s="76">
        <v>0.3043</v>
      </c>
      <c r="CM146" s="76">
        <v>157.67</v>
      </c>
      <c r="CN146" s="76">
        <v>24.25</v>
      </c>
      <c r="CO146" s="76">
        <v>650.18</v>
      </c>
      <c r="CP146" s="76">
        <v>147.21</v>
      </c>
      <c r="CQ146" s="76">
        <v>0.0</v>
      </c>
      <c r="CR146" s="76">
        <v>3.8</v>
      </c>
      <c r="CS146" s="76">
        <v>6.66</v>
      </c>
      <c r="CT146" s="76">
        <v>0.0</v>
      </c>
      <c r="CU146" s="76">
        <v>0.0</v>
      </c>
      <c r="CV146" s="76">
        <v>0.0</v>
      </c>
      <c r="CW146" s="76">
        <v>53.78</v>
      </c>
      <c r="CX146" s="76">
        <v>0.0</v>
      </c>
      <c r="CY146" s="76">
        <v>0.0</v>
      </c>
    </row>
    <row r="147" ht="15.75" customHeight="1">
      <c r="A147" s="164">
        <v>46242.0</v>
      </c>
      <c r="B147" s="76" t="s">
        <v>4</v>
      </c>
      <c r="C147" s="76" t="s">
        <v>147</v>
      </c>
      <c r="D147" s="76">
        <v>7532.0</v>
      </c>
      <c r="E147" s="76">
        <v>27.78</v>
      </c>
      <c r="F147" s="76">
        <v>115.71</v>
      </c>
      <c r="G147" s="76">
        <v>0.0154</v>
      </c>
      <c r="H147" s="76">
        <v>0.68</v>
      </c>
      <c r="I147" s="76">
        <v>2.2688</v>
      </c>
      <c r="J147" s="76">
        <v>19.3</v>
      </c>
      <c r="K147" s="76">
        <v>10.34</v>
      </c>
      <c r="L147" s="76">
        <v>5.09</v>
      </c>
      <c r="M147" s="76">
        <v>0.4926</v>
      </c>
      <c r="N147" s="76">
        <v>0.6152</v>
      </c>
      <c r="O147" s="76">
        <v>0.372</v>
      </c>
      <c r="P147" s="76">
        <v>2.0302</v>
      </c>
      <c r="Q147" s="76">
        <v>47.13</v>
      </c>
      <c r="R147" s="76">
        <v>38.0</v>
      </c>
      <c r="S147" s="76">
        <v>9.14</v>
      </c>
      <c r="T147" s="76">
        <v>1.42</v>
      </c>
      <c r="U147" s="76">
        <v>45.71</v>
      </c>
      <c r="V147" s="76">
        <v>44.06</v>
      </c>
      <c r="W147" s="76">
        <v>4.2621</v>
      </c>
      <c r="X147" s="76">
        <v>3.01</v>
      </c>
      <c r="Y147" s="76">
        <v>201.0</v>
      </c>
      <c r="Z147" s="76">
        <v>364.0</v>
      </c>
      <c r="AA147" s="76">
        <v>1325.0</v>
      </c>
      <c r="AB147" s="76">
        <v>49.5196</v>
      </c>
      <c r="AC147" s="76">
        <v>0.6043</v>
      </c>
      <c r="AD147" s="76">
        <v>4.02</v>
      </c>
      <c r="AE147" s="76">
        <v>2.0</v>
      </c>
      <c r="AF147" s="76">
        <v>3.0</v>
      </c>
      <c r="AG147" s="76">
        <v>5.0</v>
      </c>
      <c r="AH147" s="76">
        <v>8.0</v>
      </c>
      <c r="AI147" s="76">
        <v>75.35</v>
      </c>
      <c r="AJ147" s="76">
        <v>33.75</v>
      </c>
      <c r="AK147" s="76">
        <v>6.39</v>
      </c>
      <c r="AL147" s="76">
        <v>0.5035</v>
      </c>
      <c r="AQ147" s="76">
        <v>2.6698</v>
      </c>
      <c r="AR147" s="76">
        <v>0.0543</v>
      </c>
      <c r="AS147" s="76">
        <v>2.6155</v>
      </c>
      <c r="AT147" s="76">
        <v>2.3306</v>
      </c>
      <c r="AU147" s="76">
        <v>0.2255</v>
      </c>
      <c r="AV147" s="76">
        <v>7532.0</v>
      </c>
      <c r="AW147" s="76">
        <v>0.0</v>
      </c>
      <c r="AX147" s="76">
        <v>29.54</v>
      </c>
      <c r="AY147" s="76">
        <v>13.6</v>
      </c>
      <c r="AZ147" s="76">
        <v>1.99</v>
      </c>
      <c r="BA147" s="76">
        <v>1.42</v>
      </c>
      <c r="BB147" s="76">
        <v>0.58</v>
      </c>
      <c r="BC147" s="76">
        <v>16.0</v>
      </c>
      <c r="BD147" s="76">
        <v>19267.0</v>
      </c>
      <c r="BE147" s="76">
        <v>1.6539</v>
      </c>
      <c r="BF147" s="76">
        <v>0.0303</v>
      </c>
      <c r="BG147" s="76">
        <v>1.6236</v>
      </c>
      <c r="BH147" s="76">
        <v>1.3278</v>
      </c>
      <c r="BI147" s="76">
        <v>0.1284</v>
      </c>
      <c r="BJ147" s="76">
        <v>1.0159</v>
      </c>
      <c r="BK147" s="76">
        <v>0.024</v>
      </c>
      <c r="BL147" s="76">
        <v>0.9919</v>
      </c>
      <c r="BM147" s="76">
        <v>1.0028</v>
      </c>
      <c r="BN147" s="76">
        <v>0.097</v>
      </c>
      <c r="BO147" s="76">
        <v>0.6164</v>
      </c>
      <c r="BP147" s="76">
        <v>0.0108</v>
      </c>
      <c r="BQ147" s="76">
        <v>0.6057</v>
      </c>
      <c r="BR147" s="76">
        <v>0.5337</v>
      </c>
      <c r="BS147" s="76">
        <v>0.7094</v>
      </c>
      <c r="BT147" s="76">
        <v>0.0088</v>
      </c>
      <c r="BU147" s="76">
        <v>0.7006</v>
      </c>
      <c r="BV147" s="76">
        <v>0.5149</v>
      </c>
      <c r="BW147" s="76">
        <v>0.3281</v>
      </c>
      <c r="BX147" s="76">
        <v>0.0108</v>
      </c>
      <c r="BY147" s="76">
        <v>0.3173</v>
      </c>
      <c r="BZ147" s="76">
        <v>0.2792</v>
      </c>
      <c r="CA147" s="76">
        <v>0.1393</v>
      </c>
      <c r="CB147" s="76">
        <v>0.0037</v>
      </c>
      <c r="CC147" s="76">
        <v>0.1356</v>
      </c>
      <c r="CD147" s="76">
        <v>0.1649</v>
      </c>
      <c r="CE147" s="76">
        <v>0.4888</v>
      </c>
      <c r="CF147" s="76">
        <v>0.0112</v>
      </c>
      <c r="CG147" s="76">
        <v>0.4777</v>
      </c>
      <c r="CH147" s="76">
        <v>0.4562</v>
      </c>
      <c r="CI147" s="76">
        <v>0.3878</v>
      </c>
      <c r="CJ147" s="76">
        <v>0.0092</v>
      </c>
      <c r="CK147" s="76">
        <v>0.3787</v>
      </c>
      <c r="CL147" s="76">
        <v>0.3817</v>
      </c>
      <c r="CM147" s="76">
        <v>74.01</v>
      </c>
      <c r="CN147" s="76">
        <v>65.12</v>
      </c>
      <c r="CO147" s="76">
        <v>113.65</v>
      </c>
      <c r="CP147" s="76">
        <v>66.14</v>
      </c>
      <c r="CQ147" s="76">
        <v>0.0</v>
      </c>
      <c r="CR147" s="76">
        <v>5.47</v>
      </c>
      <c r="CS147" s="76">
        <v>2.4</v>
      </c>
      <c r="CT147" s="76">
        <v>0.0</v>
      </c>
      <c r="CU147" s="76">
        <v>0.0</v>
      </c>
      <c r="CV147" s="76">
        <v>0.0</v>
      </c>
      <c r="CW147" s="76">
        <v>47.13</v>
      </c>
      <c r="CX147" s="76">
        <v>0.0</v>
      </c>
      <c r="CY147" s="76">
        <v>0.0</v>
      </c>
    </row>
    <row r="148" ht="15.75" customHeight="1">
      <c r="A148" s="164">
        <v>46242.0</v>
      </c>
      <c r="B148" s="76" t="s">
        <v>4</v>
      </c>
      <c r="C148" s="76" t="s">
        <v>148</v>
      </c>
      <c r="D148" s="76">
        <v>5781.0</v>
      </c>
      <c r="E148" s="76">
        <v>21.33</v>
      </c>
      <c r="F148" s="76">
        <v>326.13</v>
      </c>
      <c r="G148" s="76">
        <v>0.0564</v>
      </c>
      <c r="H148" s="76">
        <v>2.04</v>
      </c>
      <c r="I148" s="76">
        <v>2.7638</v>
      </c>
      <c r="J148" s="76">
        <v>36.77</v>
      </c>
      <c r="K148" s="76">
        <v>20.83</v>
      </c>
      <c r="L148" s="76">
        <v>13.32</v>
      </c>
      <c r="M148" s="76">
        <v>0.6395</v>
      </c>
      <c r="N148" s="76">
        <v>0.4813</v>
      </c>
      <c r="O148" s="76">
        <v>0.2913</v>
      </c>
      <c r="P148" s="76">
        <v>1.5636</v>
      </c>
      <c r="Q148" s="76">
        <v>97.62</v>
      </c>
      <c r="R148" s="76">
        <v>71.74</v>
      </c>
      <c r="S148" s="76">
        <v>25.87</v>
      </c>
      <c r="T148" s="76">
        <v>4.88</v>
      </c>
      <c r="U148" s="76">
        <v>92.74</v>
      </c>
      <c r="V148" s="76">
        <v>91.92</v>
      </c>
      <c r="W148" s="76">
        <v>4.4135</v>
      </c>
      <c r="X148" s="76">
        <v>5.0</v>
      </c>
      <c r="Y148" s="76">
        <v>244.0</v>
      </c>
      <c r="Z148" s="76">
        <v>418.0</v>
      </c>
      <c r="AA148" s="76">
        <v>1285.0</v>
      </c>
      <c r="AB148" s="76">
        <v>52.2894</v>
      </c>
      <c r="AC148" s="76">
        <v>0.7156</v>
      </c>
      <c r="AD148" s="76">
        <v>9.78</v>
      </c>
      <c r="AE148" s="76">
        <v>4.0</v>
      </c>
      <c r="AF148" s="76">
        <v>9.0</v>
      </c>
      <c r="AG148" s="76">
        <v>13.0</v>
      </c>
      <c r="AH148" s="76">
        <v>18.0</v>
      </c>
      <c r="AI148" s="76">
        <v>67.19</v>
      </c>
      <c r="AJ148" s="76">
        <v>28.52</v>
      </c>
      <c r="AK148" s="76">
        <v>3.43</v>
      </c>
      <c r="AL148" s="76">
        <v>0.3792</v>
      </c>
      <c r="AQ148" s="76">
        <v>5.4906</v>
      </c>
      <c r="AR148" s="76">
        <v>0.1069</v>
      </c>
      <c r="AS148" s="76">
        <v>5.3837</v>
      </c>
      <c r="AT148" s="76">
        <v>4.6051</v>
      </c>
      <c r="AU148" s="76">
        <v>0.2211</v>
      </c>
      <c r="AV148" s="76">
        <v>5781.0</v>
      </c>
      <c r="AW148" s="76">
        <v>0.0</v>
      </c>
      <c r="AX148" s="76">
        <v>60.53</v>
      </c>
      <c r="AY148" s="76">
        <v>28.41</v>
      </c>
      <c r="AZ148" s="76">
        <v>2.36</v>
      </c>
      <c r="BA148" s="76">
        <v>4.88</v>
      </c>
      <c r="BB148" s="76">
        <v>1.45</v>
      </c>
      <c r="BC148" s="76">
        <v>34.0</v>
      </c>
      <c r="BD148" s="76">
        <v>16972.0</v>
      </c>
      <c r="BE148" s="76">
        <v>3.4117</v>
      </c>
      <c r="BF148" s="76">
        <v>0.0664</v>
      </c>
      <c r="BG148" s="76">
        <v>3.3453</v>
      </c>
      <c r="BH148" s="76">
        <v>2.5622</v>
      </c>
      <c r="BI148" s="76">
        <v>0.123</v>
      </c>
      <c r="BJ148" s="76">
        <v>2.0789</v>
      </c>
      <c r="BK148" s="76">
        <v>0.0405</v>
      </c>
      <c r="BL148" s="76">
        <v>2.0384</v>
      </c>
      <c r="BM148" s="76">
        <v>2.0429</v>
      </c>
      <c r="BN148" s="76">
        <v>0.0981</v>
      </c>
      <c r="BO148" s="76">
        <v>1.2901</v>
      </c>
      <c r="BP148" s="76">
        <v>0.0218</v>
      </c>
      <c r="BQ148" s="76">
        <v>1.2683</v>
      </c>
      <c r="BR148" s="76">
        <v>1.0211</v>
      </c>
      <c r="BS148" s="76">
        <v>1.4702</v>
      </c>
      <c r="BT148" s="76">
        <v>0.0192</v>
      </c>
      <c r="BU148" s="76">
        <v>1.451</v>
      </c>
      <c r="BV148" s="76">
        <v>1.01</v>
      </c>
      <c r="BW148" s="76">
        <v>0.6514</v>
      </c>
      <c r="BX148" s="76">
        <v>0.0254</v>
      </c>
      <c r="BY148" s="76">
        <v>0.626</v>
      </c>
      <c r="BZ148" s="76">
        <v>0.531</v>
      </c>
      <c r="CA148" s="76">
        <v>0.3019</v>
      </c>
      <c r="CB148" s="76">
        <v>0.0102</v>
      </c>
      <c r="CC148" s="76">
        <v>0.2916</v>
      </c>
      <c r="CD148" s="76">
        <v>0.3659</v>
      </c>
      <c r="CE148" s="76">
        <v>0.9692</v>
      </c>
      <c r="CF148" s="76">
        <v>0.0159</v>
      </c>
      <c r="CG148" s="76">
        <v>0.9533</v>
      </c>
      <c r="CH148" s="76">
        <v>0.8844</v>
      </c>
      <c r="CI148" s="76">
        <v>0.8078</v>
      </c>
      <c r="CJ148" s="76">
        <v>0.0144</v>
      </c>
      <c r="CK148" s="76">
        <v>0.7935</v>
      </c>
      <c r="CL148" s="76">
        <v>0.7926</v>
      </c>
      <c r="CM148" s="76">
        <v>183.95</v>
      </c>
      <c r="CN148" s="76">
        <v>80.35</v>
      </c>
      <c r="CO148" s="76">
        <v>228.93</v>
      </c>
      <c r="CP148" s="76">
        <v>166.5</v>
      </c>
      <c r="CQ148" s="76">
        <v>0.0</v>
      </c>
      <c r="CR148" s="76">
        <v>7.05</v>
      </c>
      <c r="CS148" s="76">
        <v>10.4</v>
      </c>
      <c r="CT148" s="76">
        <v>0.0</v>
      </c>
      <c r="CU148" s="76">
        <v>1.0</v>
      </c>
      <c r="CV148" s="76">
        <v>0.0</v>
      </c>
      <c r="CW148" s="76">
        <v>97.62</v>
      </c>
      <c r="CX148" s="76">
        <v>0.0</v>
      </c>
      <c r="CY148" s="76">
        <v>0.0</v>
      </c>
    </row>
    <row r="149" ht="15.75" customHeight="1">
      <c r="A149" s="164">
        <v>46242.0</v>
      </c>
      <c r="B149" s="76" t="s">
        <v>4</v>
      </c>
      <c r="C149" s="76" t="s">
        <v>149</v>
      </c>
      <c r="D149" s="76">
        <v>4907.0</v>
      </c>
      <c r="E149" s="76">
        <v>18.1</v>
      </c>
      <c r="F149" s="76">
        <v>519.46</v>
      </c>
      <c r="G149" s="76">
        <v>0.1059</v>
      </c>
      <c r="H149" s="76">
        <v>1.79</v>
      </c>
      <c r="I149" s="76">
        <v>5.903</v>
      </c>
      <c r="J149" s="76">
        <v>56.98</v>
      </c>
      <c r="K149" s="76">
        <v>34.0</v>
      </c>
      <c r="L149" s="76">
        <v>25.02</v>
      </c>
      <c r="M149" s="76">
        <v>0.7359</v>
      </c>
      <c r="N149" s="76">
        <v>0.3835</v>
      </c>
      <c r="O149" s="76">
        <v>0.2488</v>
      </c>
      <c r="P149" s="76">
        <v>1.3589</v>
      </c>
      <c r="Q149" s="76">
        <v>166.33</v>
      </c>
      <c r="R149" s="76">
        <v>116.08</v>
      </c>
      <c r="S149" s="76">
        <v>50.25</v>
      </c>
      <c r="T149" s="76">
        <v>8.3</v>
      </c>
      <c r="U149" s="76">
        <v>158.02</v>
      </c>
      <c r="V149" s="76">
        <v>154.65</v>
      </c>
      <c r="W149" s="76">
        <v>4.5481</v>
      </c>
      <c r="X149" s="76">
        <v>4.99</v>
      </c>
      <c r="Y149" s="76">
        <v>290.0</v>
      </c>
      <c r="Z149" s="76">
        <v>512.0</v>
      </c>
      <c r="AA149" s="76">
        <v>1261.0</v>
      </c>
      <c r="AB149" s="76">
        <v>53.8483</v>
      </c>
      <c r="AC149" s="76">
        <v>0.785</v>
      </c>
      <c r="AD149" s="76">
        <v>16.53</v>
      </c>
      <c r="AE149" s="76">
        <v>7.0</v>
      </c>
      <c r="AF149" s="76">
        <v>14.0</v>
      </c>
      <c r="AG149" s="76">
        <v>23.0</v>
      </c>
      <c r="AH149" s="76">
        <v>33.0</v>
      </c>
      <c r="AI149" s="76">
        <v>60.12</v>
      </c>
      <c r="AJ149" s="76">
        <v>21.21</v>
      </c>
      <c r="AK149" s="76">
        <v>3.48</v>
      </c>
      <c r="AL149" s="76">
        <v>0.3069</v>
      </c>
      <c r="AQ149" s="76">
        <v>9.0169</v>
      </c>
      <c r="AR149" s="76">
        <v>0.2458</v>
      </c>
      <c r="AS149" s="76">
        <v>8.7711</v>
      </c>
      <c r="AT149" s="76">
        <v>7.2792</v>
      </c>
      <c r="AU149" s="76">
        <v>0.2141</v>
      </c>
      <c r="AV149" s="76">
        <v>4907.0</v>
      </c>
      <c r="AW149" s="76">
        <v>0.0</v>
      </c>
      <c r="AX149" s="76">
        <v>103.22</v>
      </c>
      <c r="AY149" s="76">
        <v>50.69</v>
      </c>
      <c r="AZ149" s="76">
        <v>2.36</v>
      </c>
      <c r="BA149" s="76">
        <v>8.3</v>
      </c>
      <c r="BB149" s="76">
        <v>1.75</v>
      </c>
      <c r="BC149" s="76">
        <v>58.0</v>
      </c>
      <c r="BD149" s="76">
        <v>16748.0</v>
      </c>
      <c r="BE149" s="76">
        <v>5.4714</v>
      </c>
      <c r="BF149" s="76">
        <v>0.1706</v>
      </c>
      <c r="BG149" s="76">
        <v>5.3008</v>
      </c>
      <c r="BH149" s="76">
        <v>3.8785</v>
      </c>
      <c r="BI149" s="76">
        <v>0.1141</v>
      </c>
      <c r="BJ149" s="76">
        <v>3.5455</v>
      </c>
      <c r="BK149" s="76">
        <v>0.0752</v>
      </c>
      <c r="BL149" s="76">
        <v>3.4703</v>
      </c>
      <c r="BM149" s="76">
        <v>3.4007</v>
      </c>
      <c r="BN149" s="76">
        <v>0.1</v>
      </c>
      <c r="BO149" s="76">
        <v>2.0273</v>
      </c>
      <c r="BP149" s="76">
        <v>0.064</v>
      </c>
      <c r="BQ149" s="76">
        <v>1.9633</v>
      </c>
      <c r="BR149" s="76">
        <v>1.5093</v>
      </c>
      <c r="BS149" s="76">
        <v>2.3267</v>
      </c>
      <c r="BT149" s="76">
        <v>0.0499</v>
      </c>
      <c r="BU149" s="76">
        <v>2.2767</v>
      </c>
      <c r="BV149" s="76">
        <v>1.5386</v>
      </c>
      <c r="BW149" s="76">
        <v>1.1174</v>
      </c>
      <c r="BX149" s="76">
        <v>0.0567</v>
      </c>
      <c r="BY149" s="76">
        <v>1.0607</v>
      </c>
      <c r="BZ149" s="76">
        <v>0.8307</v>
      </c>
      <c r="CA149" s="76">
        <v>0.5443</v>
      </c>
      <c r="CB149" s="76">
        <v>0.021</v>
      </c>
      <c r="CC149" s="76">
        <v>0.5233</v>
      </c>
      <c r="CD149" s="76">
        <v>0.6515</v>
      </c>
      <c r="CE149" s="76">
        <v>1.4977</v>
      </c>
      <c r="CF149" s="76">
        <v>0.0277</v>
      </c>
      <c r="CG149" s="76">
        <v>1.4699</v>
      </c>
      <c r="CH149" s="76">
        <v>1.3458</v>
      </c>
      <c r="CI149" s="76">
        <v>1.5036</v>
      </c>
      <c r="CJ149" s="76">
        <v>0.0265</v>
      </c>
      <c r="CK149" s="76">
        <v>1.4771</v>
      </c>
      <c r="CL149" s="76">
        <v>1.4033</v>
      </c>
      <c r="CM149" s="76">
        <v>346.17</v>
      </c>
      <c r="CN149" s="76">
        <v>91.05</v>
      </c>
      <c r="CO149" s="76">
        <v>380.18</v>
      </c>
      <c r="CP149" s="76">
        <v>319.09</v>
      </c>
      <c r="CQ149" s="76">
        <v>0.0</v>
      </c>
      <c r="CR149" s="76">
        <v>8.78</v>
      </c>
      <c r="CS149" s="76">
        <v>18.29</v>
      </c>
      <c r="CT149" s="76">
        <v>0.0</v>
      </c>
      <c r="CU149" s="76">
        <v>0.0</v>
      </c>
      <c r="CV149" s="76">
        <v>0.0</v>
      </c>
      <c r="CW149" s="76">
        <v>166.33</v>
      </c>
      <c r="CX149" s="76">
        <v>0.0</v>
      </c>
      <c r="CY149" s="76">
        <v>0.0</v>
      </c>
    </row>
    <row r="150" ht="15.75" customHeight="1">
      <c r="A150" s="164">
        <v>46242.0</v>
      </c>
      <c r="B150" s="76" t="s">
        <v>4</v>
      </c>
      <c r="C150" s="76" t="s">
        <v>150</v>
      </c>
      <c r="D150" s="76">
        <v>3262.0</v>
      </c>
      <c r="E150" s="76">
        <v>12.03</v>
      </c>
      <c r="F150" s="76">
        <v>612.15</v>
      </c>
      <c r="G150" s="76">
        <v>0.1877</v>
      </c>
      <c r="H150" s="76">
        <v>3.28</v>
      </c>
      <c r="I150" s="76">
        <v>5.721</v>
      </c>
      <c r="J150" s="76">
        <v>107.61</v>
      </c>
      <c r="K150" s="76">
        <v>68.79</v>
      </c>
      <c r="L150" s="76">
        <v>53.02</v>
      </c>
      <c r="M150" s="76">
        <v>0.7708</v>
      </c>
      <c r="N150" s="76">
        <v>0.3393</v>
      </c>
      <c r="O150" s="76">
        <v>0.2277</v>
      </c>
      <c r="P150" s="76">
        <v>1.2973</v>
      </c>
      <c r="Q150" s="76">
        <v>331.82</v>
      </c>
      <c r="R150" s="76">
        <v>223.04</v>
      </c>
      <c r="S150" s="76">
        <v>108.79</v>
      </c>
      <c r="T150" s="76">
        <v>17.41</v>
      </c>
      <c r="U150" s="76">
        <v>314.41</v>
      </c>
      <c r="V150" s="76">
        <v>311.51</v>
      </c>
      <c r="W150" s="76">
        <v>4.5286</v>
      </c>
      <c r="X150" s="76">
        <v>5.25</v>
      </c>
      <c r="Y150" s="76">
        <v>373.0</v>
      </c>
      <c r="Z150" s="76">
        <v>646.0</v>
      </c>
      <c r="AA150" s="76">
        <v>1502.0</v>
      </c>
      <c r="AB150" s="76">
        <v>55.7549</v>
      </c>
      <c r="AC150" s="76">
        <v>0.7926</v>
      </c>
      <c r="AD150" s="76">
        <v>28.96</v>
      </c>
      <c r="AE150" s="76">
        <v>12.0</v>
      </c>
      <c r="AF150" s="76">
        <v>22.0</v>
      </c>
      <c r="AG150" s="76">
        <v>40.0</v>
      </c>
      <c r="AH150" s="76">
        <v>59.0</v>
      </c>
      <c r="AI150" s="76">
        <v>40.28</v>
      </c>
      <c r="AJ150" s="76">
        <v>9.84</v>
      </c>
      <c r="AK150" s="76">
        <v>1.72</v>
      </c>
      <c r="AL150" s="76">
        <v>0.1888</v>
      </c>
      <c r="AQ150" s="76">
        <v>16.3369</v>
      </c>
      <c r="AR150" s="76">
        <v>0.2456</v>
      </c>
      <c r="AS150" s="76">
        <v>16.0914</v>
      </c>
      <c r="AT150" s="76">
        <v>13.2143</v>
      </c>
      <c r="AU150" s="76">
        <v>0.1921</v>
      </c>
      <c r="AV150" s="76">
        <v>3262.0</v>
      </c>
      <c r="AW150" s="76">
        <v>0.0</v>
      </c>
      <c r="AX150" s="76">
        <v>205.07</v>
      </c>
      <c r="AY150" s="76">
        <v>100.73</v>
      </c>
      <c r="AZ150" s="76">
        <v>3.49</v>
      </c>
      <c r="BA150" s="76">
        <v>17.41</v>
      </c>
      <c r="BB150" s="76">
        <v>5.13</v>
      </c>
      <c r="BC150" s="76">
        <v>122.0</v>
      </c>
      <c r="BD150" s="76">
        <v>15353.0</v>
      </c>
      <c r="BE150" s="76">
        <v>9.3222</v>
      </c>
      <c r="BF150" s="76">
        <v>0.0892</v>
      </c>
      <c r="BG150" s="76">
        <v>9.233</v>
      </c>
      <c r="BH150" s="76">
        <v>6.5147</v>
      </c>
      <c r="BI150" s="76">
        <v>0.0947</v>
      </c>
      <c r="BJ150" s="76">
        <v>7.0147</v>
      </c>
      <c r="BK150" s="76">
        <v>0.1563</v>
      </c>
      <c r="BL150" s="76">
        <v>6.8584</v>
      </c>
      <c r="BM150" s="76">
        <v>6.6996</v>
      </c>
      <c r="BN150" s="76">
        <v>0.0974</v>
      </c>
      <c r="BO150" s="76">
        <v>3.6235</v>
      </c>
      <c r="BP150" s="76">
        <v>0.0276</v>
      </c>
      <c r="BQ150" s="76">
        <v>3.596</v>
      </c>
      <c r="BR150" s="76">
        <v>2.4991</v>
      </c>
      <c r="BS150" s="76">
        <v>3.8823</v>
      </c>
      <c r="BT150" s="76">
        <v>0.0276</v>
      </c>
      <c r="BU150" s="76">
        <v>3.8547</v>
      </c>
      <c r="BV150" s="76">
        <v>2.6508</v>
      </c>
      <c r="BW150" s="76">
        <v>1.8164</v>
      </c>
      <c r="BX150" s="76">
        <v>0.034</v>
      </c>
      <c r="BY150" s="76">
        <v>1.7823</v>
      </c>
      <c r="BZ150" s="76">
        <v>1.3648</v>
      </c>
      <c r="CA150" s="76">
        <v>1.3148</v>
      </c>
      <c r="CB150" s="76">
        <v>0.0337</v>
      </c>
      <c r="CC150" s="76">
        <v>1.2811</v>
      </c>
      <c r="CD150" s="76">
        <v>1.5852</v>
      </c>
      <c r="CE150" s="76">
        <v>2.687</v>
      </c>
      <c r="CF150" s="76">
        <v>0.0677</v>
      </c>
      <c r="CG150" s="76">
        <v>2.6193</v>
      </c>
      <c r="CH150" s="76">
        <v>2.5116</v>
      </c>
      <c r="CI150" s="76">
        <v>3.0129</v>
      </c>
      <c r="CJ150" s="76">
        <v>0.0549</v>
      </c>
      <c r="CK150" s="76">
        <v>2.958</v>
      </c>
      <c r="CL150" s="76">
        <v>2.6027</v>
      </c>
      <c r="CM150" s="76">
        <v>752.54</v>
      </c>
      <c r="CN150" s="76">
        <v>98.47</v>
      </c>
      <c r="CO150" s="76">
        <v>764.26</v>
      </c>
      <c r="CP150" s="76">
        <v>711.21</v>
      </c>
      <c r="CQ150" s="76">
        <v>0.0</v>
      </c>
      <c r="CR150" s="76">
        <v>11.58</v>
      </c>
      <c r="CS150" s="76">
        <v>29.76</v>
      </c>
      <c r="CT150" s="76">
        <v>0.0</v>
      </c>
      <c r="CU150" s="76">
        <v>1.0</v>
      </c>
      <c r="CV150" s="76">
        <v>0.0</v>
      </c>
      <c r="CW150" s="76">
        <v>331.82</v>
      </c>
      <c r="CX150" s="76">
        <v>0.0</v>
      </c>
      <c r="CY150" s="76">
        <v>0.0</v>
      </c>
    </row>
    <row r="151" ht="15.75" customHeight="1">
      <c r="A151" s="164">
        <v>46242.0</v>
      </c>
      <c r="B151" s="76" t="s">
        <v>4</v>
      </c>
      <c r="C151" s="76" t="s">
        <v>151</v>
      </c>
      <c r="D151" s="76">
        <v>497.0</v>
      </c>
      <c r="E151" s="76">
        <v>1.83</v>
      </c>
      <c r="F151" s="76">
        <v>185.93</v>
      </c>
      <c r="G151" s="76">
        <v>0.3741</v>
      </c>
      <c r="H151" s="76">
        <v>6.04</v>
      </c>
      <c r="I151" s="76">
        <v>6.1977</v>
      </c>
      <c r="J151" s="76">
        <v>222.12</v>
      </c>
      <c r="K151" s="76">
        <v>157.0</v>
      </c>
      <c r="L151" s="76">
        <v>124.03</v>
      </c>
      <c r="M151" s="76">
        <v>0.79</v>
      </c>
      <c r="N151" s="76">
        <v>0.2906</v>
      </c>
      <c r="O151" s="76">
        <v>0.193</v>
      </c>
      <c r="P151" s="76">
        <v>1.2658</v>
      </c>
      <c r="Q151" s="76">
        <v>698.33</v>
      </c>
      <c r="R151" s="76">
        <v>440.51</v>
      </c>
      <c r="S151" s="76">
        <v>257.83</v>
      </c>
      <c r="T151" s="76">
        <v>44.37</v>
      </c>
      <c r="U151" s="76">
        <v>653.97</v>
      </c>
      <c r="V151" s="76">
        <v>667.91</v>
      </c>
      <c r="W151" s="76">
        <v>4.2541</v>
      </c>
      <c r="X151" s="76">
        <v>6.35</v>
      </c>
      <c r="Y151" s="76">
        <v>512.0</v>
      </c>
      <c r="Z151" s="76">
        <v>910.0</v>
      </c>
      <c r="AA151" s="76">
        <v>1836.0</v>
      </c>
      <c r="AB151" s="76">
        <v>58.4209</v>
      </c>
      <c r="AC151" s="76">
        <v>0.8137</v>
      </c>
      <c r="AD151" s="76">
        <v>52.2</v>
      </c>
      <c r="AE151" s="76">
        <v>21.0</v>
      </c>
      <c r="AF151" s="76">
        <v>41.0</v>
      </c>
      <c r="AG151" s="76">
        <v>69.0</v>
      </c>
      <c r="AH151" s="76">
        <v>113.0</v>
      </c>
      <c r="AI151" s="76">
        <v>20.32</v>
      </c>
      <c r="AJ151" s="76">
        <v>1.61</v>
      </c>
      <c r="AK151" s="76">
        <v>0.2</v>
      </c>
      <c r="AL151" s="76">
        <v>0.1006</v>
      </c>
      <c r="AQ151" s="76">
        <v>34.334</v>
      </c>
      <c r="AR151" s="76">
        <v>0.7948</v>
      </c>
      <c r="AS151" s="76">
        <v>33.5392</v>
      </c>
      <c r="AT151" s="76">
        <v>31.6519</v>
      </c>
      <c r="AU151" s="76">
        <v>0.2016</v>
      </c>
      <c r="AV151" s="76">
        <v>497.0</v>
      </c>
      <c r="AW151" s="76">
        <v>0.0</v>
      </c>
      <c r="AX151" s="76">
        <v>462.55</v>
      </c>
      <c r="AY151" s="76">
        <v>173.24</v>
      </c>
      <c r="AZ151" s="76">
        <v>5.44</v>
      </c>
      <c r="BA151" s="76">
        <v>44.37</v>
      </c>
      <c r="BB151" s="76">
        <v>12.74</v>
      </c>
      <c r="BC151" s="76">
        <v>203.0</v>
      </c>
      <c r="BD151" s="76">
        <v>12802.0</v>
      </c>
      <c r="BE151" s="76">
        <v>20.1771</v>
      </c>
      <c r="BF151" s="76">
        <v>0.5131</v>
      </c>
      <c r="BG151" s="76">
        <v>19.664</v>
      </c>
      <c r="BH151" s="76">
        <v>14.4527</v>
      </c>
      <c r="BI151" s="76">
        <v>0.0921</v>
      </c>
      <c r="BJ151" s="76">
        <v>14.1569</v>
      </c>
      <c r="BK151" s="76">
        <v>0.2817</v>
      </c>
      <c r="BL151" s="76">
        <v>13.8753</v>
      </c>
      <c r="BM151" s="76">
        <v>17.1992</v>
      </c>
      <c r="BN151" s="76">
        <v>0.1095</v>
      </c>
      <c r="BO151" s="76">
        <v>7.6097</v>
      </c>
      <c r="BP151" s="76">
        <v>0.0543</v>
      </c>
      <c r="BQ151" s="76">
        <v>7.5553</v>
      </c>
      <c r="BR151" s="76">
        <v>5.4085</v>
      </c>
      <c r="BS151" s="76">
        <v>8.6519</v>
      </c>
      <c r="BT151" s="76">
        <v>0.0905</v>
      </c>
      <c r="BU151" s="76">
        <v>8.5614</v>
      </c>
      <c r="BV151" s="76">
        <v>5.8974</v>
      </c>
      <c r="BW151" s="76">
        <v>3.9155</v>
      </c>
      <c r="BX151" s="76">
        <v>0.3682</v>
      </c>
      <c r="BY151" s="76">
        <v>3.5473</v>
      </c>
      <c r="BZ151" s="76">
        <v>3.1469</v>
      </c>
      <c r="CA151" s="76">
        <v>3.0262</v>
      </c>
      <c r="CB151" s="76">
        <v>0.0765</v>
      </c>
      <c r="CC151" s="76">
        <v>2.9497</v>
      </c>
      <c r="CD151" s="76">
        <v>5.8229</v>
      </c>
      <c r="CE151" s="76">
        <v>5.3139</v>
      </c>
      <c r="CF151" s="76">
        <v>0.1268</v>
      </c>
      <c r="CG151" s="76">
        <v>5.1871</v>
      </c>
      <c r="CH151" s="76">
        <v>5.163</v>
      </c>
      <c r="CI151" s="76">
        <v>5.8169</v>
      </c>
      <c r="CJ151" s="76">
        <v>0.0785</v>
      </c>
      <c r="CK151" s="76">
        <v>5.7384</v>
      </c>
      <c r="CL151" s="76">
        <v>6.2133</v>
      </c>
      <c r="CM151" s="76">
        <v>1710.78</v>
      </c>
      <c r="CN151" s="76">
        <v>98.79</v>
      </c>
      <c r="CO151" s="76">
        <v>1731.68</v>
      </c>
      <c r="CP151" s="76">
        <v>1656.34</v>
      </c>
      <c r="CQ151" s="76">
        <v>0.0</v>
      </c>
      <c r="CR151" s="76">
        <v>17.34</v>
      </c>
      <c r="CS151" s="76">
        <v>37.09</v>
      </c>
      <c r="CT151" s="76">
        <v>0.0</v>
      </c>
      <c r="CU151" s="76">
        <v>0.0</v>
      </c>
      <c r="CV151" s="76">
        <v>0.0</v>
      </c>
      <c r="CW151" s="76">
        <v>698.33</v>
      </c>
      <c r="CX151" s="76">
        <v>0.0</v>
      </c>
      <c r="CY151" s="76">
        <v>0.0</v>
      </c>
    </row>
    <row r="152" ht="15.75" customHeight="1">
      <c r="A152" s="164">
        <v>46242.0</v>
      </c>
      <c r="B152" s="76" t="s">
        <v>5</v>
      </c>
      <c r="C152" s="76" t="s">
        <v>316</v>
      </c>
      <c r="D152" s="76">
        <v>5117.0</v>
      </c>
      <c r="E152" s="76">
        <v>19.09</v>
      </c>
      <c r="F152" s="76">
        <v>311.45</v>
      </c>
      <c r="G152" s="76">
        <v>0.0609</v>
      </c>
      <c r="H152" s="76">
        <v>1.13</v>
      </c>
      <c r="I152" s="76">
        <v>5.3698</v>
      </c>
      <c r="J152" s="76">
        <v>24.42</v>
      </c>
      <c r="K152" s="76">
        <v>13.44</v>
      </c>
      <c r="L152" s="76">
        <v>9.5</v>
      </c>
      <c r="M152" s="76">
        <v>0.7065</v>
      </c>
      <c r="N152" s="76">
        <v>0.4095</v>
      </c>
      <c r="O152" s="76">
        <v>0.2084</v>
      </c>
      <c r="P152" s="76">
        <v>1.4153</v>
      </c>
      <c r="Q152" s="76">
        <v>56.47</v>
      </c>
      <c r="R152" s="76">
        <v>56.38</v>
      </c>
      <c r="S152" s="76">
        <v>0.09</v>
      </c>
      <c r="T152" s="76">
        <v>4.91</v>
      </c>
      <c r="U152" s="76">
        <v>51.56</v>
      </c>
      <c r="V152" s="76">
        <v>43.84</v>
      </c>
      <c r="W152" s="76">
        <v>3.2623</v>
      </c>
      <c r="X152" s="76">
        <v>8.7</v>
      </c>
      <c r="Y152" s="76">
        <v>200.0</v>
      </c>
      <c r="Z152" s="76">
        <v>451.0</v>
      </c>
      <c r="AA152" s="76">
        <v>3185.0</v>
      </c>
      <c r="AB152" s="76">
        <v>49.6046</v>
      </c>
      <c r="AC152" s="76">
        <v>0.4673</v>
      </c>
      <c r="AI152" s="76">
        <v>0.0</v>
      </c>
      <c r="AJ152" s="76">
        <v>0.0</v>
      </c>
      <c r="AK152" s="76">
        <v>0.0</v>
      </c>
      <c r="AL152" s="76">
        <v>0.4862</v>
      </c>
      <c r="AM152" s="76">
        <v>11.28</v>
      </c>
      <c r="AN152" s="76">
        <v>11.28</v>
      </c>
      <c r="AO152" s="76">
        <v>7.05</v>
      </c>
      <c r="AP152" s="76">
        <v>3.46</v>
      </c>
      <c r="AQ152" s="76">
        <v>1.7121</v>
      </c>
      <c r="AR152" s="76">
        <v>0.0475</v>
      </c>
      <c r="AS152" s="76">
        <v>1.6646</v>
      </c>
      <c r="AT152" s="76">
        <v>1.8321</v>
      </c>
      <c r="AU152" s="76">
        <v>0.1363</v>
      </c>
      <c r="AV152" s="76">
        <v>5117.0</v>
      </c>
      <c r="AW152" s="76">
        <v>0.0</v>
      </c>
      <c r="AX152" s="76">
        <v>11.24</v>
      </c>
      <c r="AY152" s="76">
        <v>36.86</v>
      </c>
      <c r="AZ152" s="76">
        <v>3.22</v>
      </c>
      <c r="BA152" s="76">
        <v>4.91</v>
      </c>
      <c r="BB152" s="76">
        <v>0.24</v>
      </c>
      <c r="BD152" s="76">
        <v>28063.0</v>
      </c>
      <c r="BE152" s="76">
        <v>0.787</v>
      </c>
      <c r="BF152" s="76">
        <v>0.0205</v>
      </c>
      <c r="BG152" s="76">
        <v>0.7665</v>
      </c>
      <c r="BH152" s="76">
        <v>0.8835</v>
      </c>
      <c r="BI152" s="76">
        <v>0.0657</v>
      </c>
      <c r="BJ152" s="76">
        <v>0.9252</v>
      </c>
      <c r="BK152" s="76">
        <v>0.027</v>
      </c>
      <c r="BL152" s="76">
        <v>0.8982</v>
      </c>
      <c r="BM152" s="76">
        <v>0.9486</v>
      </c>
      <c r="BN152" s="76">
        <v>0.0706</v>
      </c>
      <c r="BO152" s="76">
        <v>0.3234</v>
      </c>
      <c r="BP152" s="76">
        <v>0.0068</v>
      </c>
      <c r="BQ152" s="76">
        <v>0.3166</v>
      </c>
      <c r="BR152" s="76">
        <v>0.3426</v>
      </c>
      <c r="BS152" s="76">
        <v>0.2683</v>
      </c>
      <c r="BT152" s="76">
        <v>0.0063</v>
      </c>
      <c r="BU152" s="76">
        <v>0.2621</v>
      </c>
      <c r="BV152" s="76">
        <v>0.3129</v>
      </c>
      <c r="BW152" s="76">
        <v>0.1952</v>
      </c>
      <c r="BX152" s="76">
        <v>0.0074</v>
      </c>
      <c r="BY152" s="76">
        <v>0.1878</v>
      </c>
      <c r="BZ152" s="76">
        <v>0.2281</v>
      </c>
      <c r="CA152" s="76">
        <v>0.2097</v>
      </c>
      <c r="CB152" s="76">
        <v>0.0063</v>
      </c>
      <c r="CC152" s="76">
        <v>0.2034</v>
      </c>
      <c r="CD152" s="76">
        <v>0.221</v>
      </c>
      <c r="CE152" s="76">
        <v>0.4268</v>
      </c>
      <c r="CF152" s="76">
        <v>0.0104</v>
      </c>
      <c r="CG152" s="76">
        <v>0.4165</v>
      </c>
      <c r="CH152" s="76">
        <v>0.341</v>
      </c>
      <c r="CI152" s="76">
        <v>0.2886</v>
      </c>
      <c r="CJ152" s="76">
        <v>0.0104</v>
      </c>
      <c r="CK152" s="76">
        <v>0.2783</v>
      </c>
      <c r="CL152" s="76">
        <v>0.3866</v>
      </c>
      <c r="CM152" s="76">
        <v>146.3</v>
      </c>
      <c r="CN152" s="76">
        <v>23.37</v>
      </c>
      <c r="CO152" s="76">
        <v>625.92</v>
      </c>
      <c r="CP152" s="76">
        <v>135.6</v>
      </c>
      <c r="CQ152" s="76">
        <v>0.01</v>
      </c>
      <c r="CR152" s="76">
        <v>3.49</v>
      </c>
      <c r="CS152" s="76">
        <v>7.2</v>
      </c>
      <c r="CT152" s="76">
        <v>0.0</v>
      </c>
      <c r="CU152" s="76">
        <v>1514.0</v>
      </c>
      <c r="CV152" s="76">
        <v>0.0</v>
      </c>
      <c r="CW152" s="76">
        <v>56.48</v>
      </c>
      <c r="CX152" s="76">
        <v>0.0</v>
      </c>
      <c r="CY152" s="76">
        <v>0.02</v>
      </c>
    </row>
    <row r="153" ht="15.75" customHeight="1">
      <c r="A153" s="164">
        <v>46242.0</v>
      </c>
      <c r="B153" s="76" t="s">
        <v>5</v>
      </c>
      <c r="C153" s="76" t="s">
        <v>147</v>
      </c>
      <c r="D153" s="76">
        <v>7377.0</v>
      </c>
      <c r="E153" s="76">
        <v>27.52</v>
      </c>
      <c r="F153" s="76">
        <v>178.36</v>
      </c>
      <c r="G153" s="76">
        <v>0.0242</v>
      </c>
      <c r="H153" s="76">
        <v>0.72</v>
      </c>
      <c r="I153" s="76">
        <v>3.3653</v>
      </c>
      <c r="J153" s="76">
        <v>19.21</v>
      </c>
      <c r="K153" s="76">
        <v>10.0</v>
      </c>
      <c r="L153" s="76">
        <v>5.1</v>
      </c>
      <c r="M153" s="76">
        <v>0.5106</v>
      </c>
      <c r="N153" s="76">
        <v>0.5922</v>
      </c>
      <c r="O153" s="76">
        <v>0.3469</v>
      </c>
      <c r="P153" s="76">
        <v>1.9584</v>
      </c>
      <c r="Q153" s="76">
        <v>38.7</v>
      </c>
      <c r="R153" s="76">
        <v>35.81</v>
      </c>
      <c r="S153" s="76">
        <v>2.89</v>
      </c>
      <c r="T153" s="76">
        <v>2.54</v>
      </c>
      <c r="U153" s="76">
        <v>36.16</v>
      </c>
      <c r="V153" s="76">
        <v>36.84</v>
      </c>
      <c r="W153" s="76">
        <v>3.6854</v>
      </c>
      <c r="X153" s="76">
        <v>6.57</v>
      </c>
      <c r="Y153" s="76">
        <v>200.0</v>
      </c>
      <c r="Z153" s="76">
        <v>322.0</v>
      </c>
      <c r="AA153" s="76">
        <v>1057.0</v>
      </c>
      <c r="AB153" s="76">
        <v>49.9021</v>
      </c>
      <c r="AC153" s="76">
        <v>0.6257</v>
      </c>
      <c r="AD153" s="76">
        <v>4.11</v>
      </c>
      <c r="AE153" s="76">
        <v>2.0</v>
      </c>
      <c r="AF153" s="76">
        <v>3.0</v>
      </c>
      <c r="AG153" s="76">
        <v>6.0</v>
      </c>
      <c r="AH153" s="76">
        <v>9.0</v>
      </c>
      <c r="AI153" s="76">
        <v>76.17</v>
      </c>
      <c r="AJ153" s="76">
        <v>34.88</v>
      </c>
      <c r="AK153" s="76">
        <v>6.71</v>
      </c>
      <c r="AL153" s="76">
        <v>0.5232</v>
      </c>
      <c r="AM153" s="76">
        <v>37.47</v>
      </c>
      <c r="AN153" s="76">
        <v>37.47</v>
      </c>
      <c r="AO153" s="76">
        <v>17.8</v>
      </c>
      <c r="AP153" s="76">
        <v>5.44</v>
      </c>
      <c r="AQ153" s="76">
        <v>2.5918</v>
      </c>
      <c r="AR153" s="76">
        <v>0.0377</v>
      </c>
      <c r="AS153" s="76">
        <v>2.5542</v>
      </c>
      <c r="AT153" s="76">
        <v>2.3458</v>
      </c>
      <c r="AU153" s="76">
        <v>0.2347</v>
      </c>
      <c r="AV153" s="76">
        <v>7377.0</v>
      </c>
      <c r="AW153" s="76">
        <v>0.0</v>
      </c>
      <c r="AX153" s="76">
        <v>18.45</v>
      </c>
      <c r="AY153" s="76">
        <v>15.47</v>
      </c>
      <c r="AZ153" s="76">
        <v>1.69</v>
      </c>
      <c r="BA153" s="76">
        <v>2.54</v>
      </c>
      <c r="BB153" s="76">
        <v>0.55</v>
      </c>
      <c r="BC153" s="76">
        <v>17.0</v>
      </c>
      <c r="BD153" s="76">
        <v>16894.0</v>
      </c>
      <c r="BE153" s="76">
        <v>1.7217</v>
      </c>
      <c r="BF153" s="76">
        <v>0.0216</v>
      </c>
      <c r="BG153" s="76">
        <v>1.7001</v>
      </c>
      <c r="BH153" s="76">
        <v>1.3571</v>
      </c>
      <c r="BI153" s="76">
        <v>0.1358</v>
      </c>
      <c r="BJ153" s="76">
        <v>0.8701</v>
      </c>
      <c r="BK153" s="76">
        <v>0.0161</v>
      </c>
      <c r="BL153" s="76">
        <v>0.854</v>
      </c>
      <c r="BM153" s="76">
        <v>0.9887</v>
      </c>
      <c r="BN153" s="76">
        <v>0.0989</v>
      </c>
      <c r="BO153" s="76">
        <v>0.6949</v>
      </c>
      <c r="BP153" s="76">
        <v>0.0108</v>
      </c>
      <c r="BQ153" s="76">
        <v>0.684</v>
      </c>
      <c r="BR153" s="76">
        <v>0.559</v>
      </c>
      <c r="BS153" s="76">
        <v>0.6946</v>
      </c>
      <c r="BT153" s="76">
        <v>0.0047</v>
      </c>
      <c r="BU153" s="76">
        <v>0.6898</v>
      </c>
      <c r="BV153" s="76">
        <v>0.5097</v>
      </c>
      <c r="BW153" s="76">
        <v>0.3322</v>
      </c>
      <c r="BX153" s="76">
        <v>0.006</v>
      </c>
      <c r="BY153" s="76">
        <v>0.3263</v>
      </c>
      <c r="BZ153" s="76">
        <v>0.2883</v>
      </c>
      <c r="CA153" s="76">
        <v>0.109</v>
      </c>
      <c r="CB153" s="76">
        <v>0.0027</v>
      </c>
      <c r="CC153" s="76">
        <v>0.1063</v>
      </c>
      <c r="CD153" s="76">
        <v>0.1441</v>
      </c>
      <c r="CE153" s="76">
        <v>0.4582</v>
      </c>
      <c r="CF153" s="76">
        <v>0.0077</v>
      </c>
      <c r="CG153" s="76">
        <v>0.4505</v>
      </c>
      <c r="CH153" s="76">
        <v>0.4987</v>
      </c>
      <c r="CI153" s="76">
        <v>0.303</v>
      </c>
      <c r="CJ153" s="76">
        <v>0.0057</v>
      </c>
      <c r="CK153" s="76">
        <v>0.2973</v>
      </c>
      <c r="CL153" s="76">
        <v>0.3459</v>
      </c>
      <c r="CM153" s="76">
        <v>62.24</v>
      </c>
      <c r="CN153" s="76">
        <v>64.19</v>
      </c>
      <c r="CO153" s="76">
        <v>96.96</v>
      </c>
      <c r="CP153" s="76">
        <v>53.71</v>
      </c>
      <c r="CQ153" s="76">
        <v>0.13</v>
      </c>
      <c r="CR153" s="76">
        <v>5.51</v>
      </c>
      <c r="CS153" s="76">
        <v>2.89</v>
      </c>
      <c r="CT153" s="76">
        <v>0.0</v>
      </c>
      <c r="CU153" s="76">
        <v>1855.0</v>
      </c>
      <c r="CV153" s="76">
        <v>0.03</v>
      </c>
      <c r="CW153" s="76">
        <v>38.73</v>
      </c>
      <c r="CX153" s="76">
        <v>0.03</v>
      </c>
      <c r="CY153" s="76">
        <v>0.16</v>
      </c>
    </row>
    <row r="154" ht="15.75" customHeight="1">
      <c r="A154" s="164">
        <v>46242.0</v>
      </c>
      <c r="B154" s="76" t="s">
        <v>5</v>
      </c>
      <c r="C154" s="76" t="s">
        <v>148</v>
      </c>
      <c r="D154" s="76">
        <v>5727.0</v>
      </c>
      <c r="E154" s="76">
        <v>21.36</v>
      </c>
      <c r="F154" s="76">
        <v>463.44</v>
      </c>
      <c r="G154" s="76">
        <v>0.0809</v>
      </c>
      <c r="H154" s="76">
        <v>2.2</v>
      </c>
      <c r="I154" s="76">
        <v>3.6781</v>
      </c>
      <c r="J154" s="76">
        <v>37.14</v>
      </c>
      <c r="K154" s="76">
        <v>20.66</v>
      </c>
      <c r="L154" s="76">
        <v>12.9</v>
      </c>
      <c r="M154" s="76">
        <v>0.6244</v>
      </c>
      <c r="N154" s="76">
        <v>0.4914</v>
      </c>
      <c r="O154" s="76">
        <v>0.2887</v>
      </c>
      <c r="P154" s="76">
        <v>1.6015</v>
      </c>
      <c r="Q154" s="76">
        <v>76.34</v>
      </c>
      <c r="R154" s="76">
        <v>68.13</v>
      </c>
      <c r="S154" s="76">
        <v>8.21</v>
      </c>
      <c r="T154" s="76">
        <v>5.54</v>
      </c>
      <c r="U154" s="76">
        <v>70.8</v>
      </c>
      <c r="V154" s="76">
        <v>76.07</v>
      </c>
      <c r="W154" s="76">
        <v>3.682</v>
      </c>
      <c r="X154" s="76">
        <v>7.26</v>
      </c>
      <c r="Y154" s="76">
        <v>220.0</v>
      </c>
      <c r="Z154" s="76">
        <v>360.0</v>
      </c>
      <c r="AA154" s="76">
        <v>1011.0</v>
      </c>
      <c r="AB154" s="76">
        <v>52.0187</v>
      </c>
      <c r="AC154" s="76">
        <v>0.7147</v>
      </c>
      <c r="AD154" s="76">
        <v>9.53</v>
      </c>
      <c r="AE154" s="76">
        <v>4.0</v>
      </c>
      <c r="AF154" s="76">
        <v>9.0</v>
      </c>
      <c r="AG154" s="76">
        <v>13.0</v>
      </c>
      <c r="AH154" s="76">
        <v>18.0</v>
      </c>
      <c r="AI154" s="76">
        <v>66.25</v>
      </c>
      <c r="AJ154" s="76">
        <v>27.8</v>
      </c>
      <c r="AK154" s="76">
        <v>2.95</v>
      </c>
      <c r="AL154" s="76">
        <v>0.3712</v>
      </c>
      <c r="AM154" s="76">
        <v>42.54</v>
      </c>
      <c r="AN154" s="76">
        <v>42.54</v>
      </c>
      <c r="AO154" s="76">
        <v>24.92</v>
      </c>
      <c r="AP154" s="76">
        <v>11.84</v>
      </c>
      <c r="AQ154" s="76">
        <v>4.6581</v>
      </c>
      <c r="AR154" s="76">
        <v>0.1093</v>
      </c>
      <c r="AS154" s="76">
        <v>4.5488</v>
      </c>
      <c r="AT154" s="76">
        <v>4.3525</v>
      </c>
      <c r="AU154" s="76">
        <v>0.2107</v>
      </c>
      <c r="AV154" s="76">
        <v>5727.0</v>
      </c>
      <c r="AW154" s="76">
        <v>0.0</v>
      </c>
      <c r="AX154" s="76">
        <v>34.66</v>
      </c>
      <c r="AY154" s="76">
        <v>32.82</v>
      </c>
      <c r="AZ154" s="76">
        <v>2.39</v>
      </c>
      <c r="BA154" s="76">
        <v>5.54</v>
      </c>
      <c r="BB154" s="76">
        <v>0.94</v>
      </c>
      <c r="BC154" s="76">
        <v>31.0</v>
      </c>
      <c r="BD154" s="76">
        <v>16731.0</v>
      </c>
      <c r="BE154" s="76">
        <v>2.9796</v>
      </c>
      <c r="BF154" s="76">
        <v>0.0707</v>
      </c>
      <c r="BG154" s="76">
        <v>2.9089</v>
      </c>
      <c r="BH154" s="76">
        <v>2.4577</v>
      </c>
      <c r="BI154" s="76">
        <v>0.119</v>
      </c>
      <c r="BJ154" s="76">
        <v>1.6785</v>
      </c>
      <c r="BK154" s="76">
        <v>0.0386</v>
      </c>
      <c r="BL154" s="76">
        <v>1.64</v>
      </c>
      <c r="BM154" s="76">
        <v>1.8949</v>
      </c>
      <c r="BN154" s="76">
        <v>0.0917</v>
      </c>
      <c r="BO154" s="76">
        <v>1.0643</v>
      </c>
      <c r="BP154" s="76">
        <v>0.0236</v>
      </c>
      <c r="BQ154" s="76">
        <v>1.0407</v>
      </c>
      <c r="BR154" s="76">
        <v>0.9462</v>
      </c>
      <c r="BS154" s="76">
        <v>1.2588</v>
      </c>
      <c r="BT154" s="76">
        <v>0.0194</v>
      </c>
      <c r="BU154" s="76">
        <v>1.2394</v>
      </c>
      <c r="BV154" s="76">
        <v>0.945</v>
      </c>
      <c r="BW154" s="76">
        <v>0.6565</v>
      </c>
      <c r="BX154" s="76">
        <v>0.0278</v>
      </c>
      <c r="BY154" s="76">
        <v>0.6288</v>
      </c>
      <c r="BZ154" s="76">
        <v>0.5664</v>
      </c>
      <c r="CA154" s="76">
        <v>0.2102</v>
      </c>
      <c r="CB154" s="76">
        <v>0.01</v>
      </c>
      <c r="CC154" s="76">
        <v>0.2003</v>
      </c>
      <c r="CD154" s="76">
        <v>0.3141</v>
      </c>
      <c r="CE154" s="76">
        <v>0.882</v>
      </c>
      <c r="CF154" s="76">
        <v>0.0143</v>
      </c>
      <c r="CG154" s="76">
        <v>0.8676</v>
      </c>
      <c r="CH154" s="76">
        <v>0.9022</v>
      </c>
      <c r="CI154" s="76">
        <v>0.5863</v>
      </c>
      <c r="CJ154" s="76">
        <v>0.0143</v>
      </c>
      <c r="CK154" s="76">
        <v>0.572</v>
      </c>
      <c r="CL154" s="76">
        <v>0.6785</v>
      </c>
      <c r="CM154" s="76">
        <v>154.83</v>
      </c>
      <c r="CN154" s="76">
        <v>79.38</v>
      </c>
      <c r="CO154" s="76">
        <v>195.05</v>
      </c>
      <c r="CP154" s="76">
        <v>134.73</v>
      </c>
      <c r="CQ154" s="76">
        <v>0.17</v>
      </c>
      <c r="CR154" s="76">
        <v>7.37</v>
      </c>
      <c r="CS154" s="76">
        <v>12.56</v>
      </c>
      <c r="CT154" s="76">
        <v>0.0</v>
      </c>
      <c r="CU154" s="76">
        <v>2070.0</v>
      </c>
      <c r="CV154" s="76">
        <v>0.01</v>
      </c>
      <c r="CW154" s="76">
        <v>76.36</v>
      </c>
      <c r="CX154" s="76">
        <v>0.03</v>
      </c>
      <c r="CY154" s="76">
        <v>0.2</v>
      </c>
    </row>
    <row r="155" ht="15.75" customHeight="1">
      <c r="A155" s="164">
        <v>46242.0</v>
      </c>
      <c r="B155" s="76" t="s">
        <v>5</v>
      </c>
      <c r="C155" s="76" t="s">
        <v>149</v>
      </c>
      <c r="D155" s="76">
        <v>4942.0</v>
      </c>
      <c r="E155" s="76">
        <v>18.44</v>
      </c>
      <c r="F155" s="76">
        <v>597.21</v>
      </c>
      <c r="G155" s="76">
        <v>0.1208</v>
      </c>
      <c r="H155" s="76">
        <v>2.55</v>
      </c>
      <c r="I155" s="76">
        <v>4.7398</v>
      </c>
      <c r="J155" s="76">
        <v>58.82</v>
      </c>
      <c r="K155" s="76">
        <v>34.78</v>
      </c>
      <c r="L155" s="76">
        <v>24.88</v>
      </c>
      <c r="M155" s="76">
        <v>0.7155</v>
      </c>
      <c r="N155" s="76">
        <v>0.3998</v>
      </c>
      <c r="O155" s="76">
        <v>0.2495</v>
      </c>
      <c r="P155" s="76">
        <v>1.3976</v>
      </c>
      <c r="Q155" s="76">
        <v>134.97</v>
      </c>
      <c r="R155" s="76">
        <v>119.9</v>
      </c>
      <c r="S155" s="76">
        <v>15.07</v>
      </c>
      <c r="T155" s="76">
        <v>10.17</v>
      </c>
      <c r="U155" s="76">
        <v>124.8</v>
      </c>
      <c r="V155" s="76">
        <v>134.74</v>
      </c>
      <c r="W155" s="76">
        <v>3.8744</v>
      </c>
      <c r="X155" s="76">
        <v>7.53</v>
      </c>
      <c r="Y155" s="76">
        <v>259.0</v>
      </c>
      <c r="Z155" s="76">
        <v>416.0</v>
      </c>
      <c r="AA155" s="76">
        <v>989.0</v>
      </c>
      <c r="AB155" s="76">
        <v>53.9585</v>
      </c>
      <c r="AC155" s="76">
        <v>0.7754</v>
      </c>
      <c r="AD155" s="76">
        <v>16.41</v>
      </c>
      <c r="AE155" s="76">
        <v>7.0</v>
      </c>
      <c r="AF155" s="76">
        <v>13.0</v>
      </c>
      <c r="AG155" s="76">
        <v>23.0</v>
      </c>
      <c r="AH155" s="76">
        <v>32.0</v>
      </c>
      <c r="AI155" s="76">
        <v>59.11</v>
      </c>
      <c r="AJ155" s="76">
        <v>20.48</v>
      </c>
      <c r="AK155" s="76">
        <v>3.8</v>
      </c>
      <c r="AL155" s="76">
        <v>0.2922</v>
      </c>
      <c r="AM155" s="76">
        <v>40.23</v>
      </c>
      <c r="AN155" s="76">
        <v>40.23</v>
      </c>
      <c r="AO155" s="76">
        <v>22.02</v>
      </c>
      <c r="AP155" s="76">
        <v>11.59</v>
      </c>
      <c r="AQ155" s="76">
        <v>6.9962</v>
      </c>
      <c r="AR155" s="76">
        <v>0.1748</v>
      </c>
      <c r="AS155" s="76">
        <v>6.8213</v>
      </c>
      <c r="AT155" s="76">
        <v>6.469</v>
      </c>
      <c r="AU155" s="76">
        <v>0.186</v>
      </c>
      <c r="AV155" s="76">
        <v>4942.0</v>
      </c>
      <c r="AW155" s="76">
        <v>0.0</v>
      </c>
      <c r="AX155" s="76">
        <v>61.4</v>
      </c>
      <c r="AY155" s="76">
        <v>58.75</v>
      </c>
      <c r="AZ155" s="76">
        <v>2.4</v>
      </c>
      <c r="BA155" s="76">
        <v>10.17</v>
      </c>
      <c r="BB155" s="76">
        <v>2.25</v>
      </c>
      <c r="BC155" s="76">
        <v>60.0</v>
      </c>
      <c r="BD155" s="76">
        <v>14445.0</v>
      </c>
      <c r="BE155" s="76">
        <v>4.2908</v>
      </c>
      <c r="BF155" s="76">
        <v>0.0832</v>
      </c>
      <c r="BG155" s="76">
        <v>4.2076</v>
      </c>
      <c r="BH155" s="76">
        <v>3.308</v>
      </c>
      <c r="BI155" s="76">
        <v>0.0951</v>
      </c>
      <c r="BJ155" s="76">
        <v>2.7054</v>
      </c>
      <c r="BK155" s="76">
        <v>0.0917</v>
      </c>
      <c r="BL155" s="76">
        <v>2.6137</v>
      </c>
      <c r="BM155" s="76">
        <v>3.1611</v>
      </c>
      <c r="BN155" s="76">
        <v>0.0909</v>
      </c>
      <c r="BO155" s="76">
        <v>1.4925</v>
      </c>
      <c r="BP155" s="76">
        <v>0.0295</v>
      </c>
      <c r="BQ155" s="76">
        <v>1.463</v>
      </c>
      <c r="BR155" s="76">
        <v>1.2461</v>
      </c>
      <c r="BS155" s="76">
        <v>1.7422</v>
      </c>
      <c r="BT155" s="76">
        <v>0.0247</v>
      </c>
      <c r="BU155" s="76">
        <v>1.7175</v>
      </c>
      <c r="BV155" s="76">
        <v>1.2475</v>
      </c>
      <c r="BW155" s="76">
        <v>1.0561</v>
      </c>
      <c r="BX155" s="76">
        <v>0.0289</v>
      </c>
      <c r="BY155" s="76">
        <v>1.0271</v>
      </c>
      <c r="BZ155" s="76">
        <v>0.8144</v>
      </c>
      <c r="CA155" s="76">
        <v>0.3792</v>
      </c>
      <c r="CB155" s="76">
        <v>0.0243</v>
      </c>
      <c r="CC155" s="76">
        <v>0.3549</v>
      </c>
      <c r="CD155" s="76">
        <v>0.6105</v>
      </c>
      <c r="CE155" s="76">
        <v>1.2596</v>
      </c>
      <c r="CF155" s="76">
        <v>0.034</v>
      </c>
      <c r="CG155" s="76">
        <v>1.2256</v>
      </c>
      <c r="CH155" s="76">
        <v>1.3549</v>
      </c>
      <c r="CI155" s="76">
        <v>1.0666</v>
      </c>
      <c r="CJ155" s="76">
        <v>0.0334</v>
      </c>
      <c r="CK155" s="76">
        <v>1.0332</v>
      </c>
      <c r="CL155" s="76">
        <v>1.1957</v>
      </c>
      <c r="CM155" s="76">
        <v>290.47</v>
      </c>
      <c r="CN155" s="76">
        <v>91.16</v>
      </c>
      <c r="CO155" s="76">
        <v>318.65</v>
      </c>
      <c r="CP155" s="76">
        <v>259.51</v>
      </c>
      <c r="CQ155" s="76">
        <v>0.22</v>
      </c>
      <c r="CR155" s="76">
        <v>8.8</v>
      </c>
      <c r="CS155" s="76">
        <v>21.95</v>
      </c>
      <c r="CT155" s="76">
        <v>0.0</v>
      </c>
      <c r="CU155" s="76">
        <v>2096.0</v>
      </c>
      <c r="CV155" s="76">
        <v>0.01</v>
      </c>
      <c r="CW155" s="76">
        <v>134.98</v>
      </c>
      <c r="CX155" s="76">
        <v>0.06</v>
      </c>
      <c r="CY155" s="76">
        <v>0.27</v>
      </c>
    </row>
    <row r="156" ht="15.75" customHeight="1">
      <c r="A156" s="164">
        <v>46242.0</v>
      </c>
      <c r="B156" s="76" t="s">
        <v>5</v>
      </c>
      <c r="C156" s="76" t="s">
        <v>150</v>
      </c>
      <c r="D156" s="76">
        <v>3150.0</v>
      </c>
      <c r="E156" s="76">
        <v>11.75</v>
      </c>
      <c r="F156" s="76">
        <v>592.55</v>
      </c>
      <c r="G156" s="76">
        <v>0.1881</v>
      </c>
      <c r="H156" s="76">
        <v>3.33</v>
      </c>
      <c r="I156" s="76">
        <v>5.6433</v>
      </c>
      <c r="J156" s="76">
        <v>109.19</v>
      </c>
      <c r="K156" s="76">
        <v>70.37</v>
      </c>
      <c r="L156" s="76">
        <v>51.99</v>
      </c>
      <c r="M156" s="76">
        <v>0.7387</v>
      </c>
      <c r="N156" s="76">
        <v>0.3595</v>
      </c>
      <c r="O156" s="76">
        <v>0.2264</v>
      </c>
      <c r="P156" s="76">
        <v>1.3537</v>
      </c>
      <c r="Q156" s="76">
        <v>252.77</v>
      </c>
      <c r="R156" s="76">
        <v>222.55</v>
      </c>
      <c r="S156" s="76">
        <v>30.22</v>
      </c>
      <c r="T156" s="76">
        <v>16.37</v>
      </c>
      <c r="U156" s="76">
        <v>236.4</v>
      </c>
      <c r="V156" s="76">
        <v>257.57</v>
      </c>
      <c r="W156" s="76">
        <v>3.66</v>
      </c>
      <c r="X156" s="76">
        <v>6.47</v>
      </c>
      <c r="Y156" s="76">
        <v>318.0</v>
      </c>
      <c r="Z156" s="76">
        <v>530.0</v>
      </c>
      <c r="AA156" s="76">
        <v>1202.0</v>
      </c>
      <c r="AB156" s="76">
        <v>55.6141</v>
      </c>
      <c r="AC156" s="76">
        <v>0.781</v>
      </c>
      <c r="AD156" s="76">
        <v>27.4</v>
      </c>
      <c r="AE156" s="76">
        <v>11.0</v>
      </c>
      <c r="AF156" s="76">
        <v>21.0</v>
      </c>
      <c r="AG156" s="76">
        <v>39.0</v>
      </c>
      <c r="AH156" s="76">
        <v>56.0</v>
      </c>
      <c r="AI156" s="76">
        <v>38.48</v>
      </c>
      <c r="AJ156" s="76">
        <v>8.06</v>
      </c>
      <c r="AK156" s="76">
        <v>1.68</v>
      </c>
      <c r="AL156" s="76">
        <v>0.2</v>
      </c>
      <c r="AM156" s="76">
        <v>43.4</v>
      </c>
      <c r="AN156" s="76">
        <v>43.4</v>
      </c>
      <c r="AO156" s="76">
        <v>26.51</v>
      </c>
      <c r="AP156" s="76">
        <v>17.05</v>
      </c>
      <c r="AQ156" s="76">
        <v>11.4095</v>
      </c>
      <c r="AR156" s="76">
        <v>0.2454</v>
      </c>
      <c r="AS156" s="76">
        <v>11.1641</v>
      </c>
      <c r="AT156" s="76">
        <v>10.5892</v>
      </c>
      <c r="AU156" s="76">
        <v>0.1505</v>
      </c>
      <c r="AV156" s="76">
        <v>3150.0</v>
      </c>
      <c r="AW156" s="76">
        <v>0.0</v>
      </c>
      <c r="AX156" s="76">
        <v>120.99</v>
      </c>
      <c r="AY156" s="76">
        <v>106.88</v>
      </c>
      <c r="AZ156" s="76">
        <v>3.24</v>
      </c>
      <c r="BA156" s="76">
        <v>16.37</v>
      </c>
      <c r="BB156" s="76">
        <v>5.29</v>
      </c>
      <c r="BC156" s="76">
        <v>111.0</v>
      </c>
      <c r="BD156" s="76">
        <v>13241.0</v>
      </c>
      <c r="BE156" s="76">
        <v>6.5397</v>
      </c>
      <c r="BF156" s="76">
        <v>0.0962</v>
      </c>
      <c r="BG156" s="76">
        <v>6.4435</v>
      </c>
      <c r="BH156" s="76">
        <v>5.0568</v>
      </c>
      <c r="BI156" s="76">
        <v>0.0719</v>
      </c>
      <c r="BJ156" s="76">
        <v>4.8698</v>
      </c>
      <c r="BK156" s="76">
        <v>0.1492</v>
      </c>
      <c r="BL156" s="76">
        <v>4.7206</v>
      </c>
      <c r="BM156" s="76">
        <v>5.5324</v>
      </c>
      <c r="BN156" s="76">
        <v>0.0786</v>
      </c>
      <c r="BO156" s="76">
        <v>2.2667</v>
      </c>
      <c r="BP156" s="76">
        <v>0.033</v>
      </c>
      <c r="BQ156" s="76">
        <v>2.2337</v>
      </c>
      <c r="BR156" s="76">
        <v>1.8295</v>
      </c>
      <c r="BS156" s="76">
        <v>2.5676</v>
      </c>
      <c r="BT156" s="76">
        <v>0.0311</v>
      </c>
      <c r="BU156" s="76">
        <v>2.5365</v>
      </c>
      <c r="BV156" s="76">
        <v>1.8825</v>
      </c>
      <c r="BW156" s="76">
        <v>1.7054</v>
      </c>
      <c r="BX156" s="76">
        <v>0.0321</v>
      </c>
      <c r="BY156" s="76">
        <v>1.6733</v>
      </c>
      <c r="BZ156" s="76">
        <v>1.3448</v>
      </c>
      <c r="CA156" s="76">
        <v>0.7578</v>
      </c>
      <c r="CB156" s="76">
        <v>0.0397</v>
      </c>
      <c r="CC156" s="76">
        <v>0.7181</v>
      </c>
      <c r="CD156" s="76">
        <v>1.2994</v>
      </c>
      <c r="CE156" s="76">
        <v>2.1502</v>
      </c>
      <c r="CF156" s="76">
        <v>0.0629</v>
      </c>
      <c r="CG156" s="76">
        <v>2.0873</v>
      </c>
      <c r="CH156" s="76">
        <v>2.1362</v>
      </c>
      <c r="CI156" s="76">
        <v>1.9619</v>
      </c>
      <c r="CJ156" s="76">
        <v>0.0467</v>
      </c>
      <c r="CK156" s="76">
        <v>1.9152</v>
      </c>
      <c r="CL156" s="76">
        <v>2.0968</v>
      </c>
      <c r="CM156" s="76">
        <v>608.06</v>
      </c>
      <c r="CN156" s="76">
        <v>98.41</v>
      </c>
      <c r="CO156" s="76">
        <v>617.87</v>
      </c>
      <c r="CP156" s="76">
        <v>564.68</v>
      </c>
      <c r="CQ156" s="76">
        <v>0.06</v>
      </c>
      <c r="CR156" s="76">
        <v>10.7</v>
      </c>
      <c r="CS156" s="76">
        <v>32.62</v>
      </c>
      <c r="CT156" s="76">
        <v>0.0</v>
      </c>
      <c r="CU156" s="76">
        <v>1491.0</v>
      </c>
      <c r="CV156" s="76">
        <v>0.01</v>
      </c>
      <c r="CW156" s="76">
        <v>252.78</v>
      </c>
      <c r="CX156" s="76">
        <v>0.02</v>
      </c>
      <c r="CY156" s="76">
        <v>0.08</v>
      </c>
    </row>
    <row r="157" ht="15.75" customHeight="1">
      <c r="A157" s="164">
        <v>46242.0</v>
      </c>
      <c r="B157" s="76" t="s">
        <v>5</v>
      </c>
      <c r="C157" s="76" t="s">
        <v>151</v>
      </c>
      <c r="D157" s="76">
        <v>493.0</v>
      </c>
      <c r="E157" s="76">
        <v>1.84</v>
      </c>
      <c r="F157" s="76">
        <v>172.31</v>
      </c>
      <c r="G157" s="76">
        <v>0.3495</v>
      </c>
      <c r="H157" s="76">
        <v>6.9</v>
      </c>
      <c r="I157" s="76">
        <v>5.0679</v>
      </c>
      <c r="J157" s="76">
        <v>241.6</v>
      </c>
      <c r="K157" s="76">
        <v>175.7</v>
      </c>
      <c r="L157" s="76">
        <v>131.53</v>
      </c>
      <c r="M157" s="76">
        <v>0.7486</v>
      </c>
      <c r="N157" s="76">
        <v>0.3219</v>
      </c>
      <c r="O157" s="76">
        <v>0.2017</v>
      </c>
      <c r="P157" s="76">
        <v>1.3359</v>
      </c>
      <c r="Q157" s="76">
        <v>543.71</v>
      </c>
      <c r="R157" s="76">
        <v>464.7</v>
      </c>
      <c r="S157" s="76">
        <v>79.02</v>
      </c>
      <c r="T157" s="76">
        <v>36.71</v>
      </c>
      <c r="U157" s="76">
        <v>507.0</v>
      </c>
      <c r="V157" s="76">
        <v>545.44</v>
      </c>
      <c r="W157" s="76">
        <v>3.1043</v>
      </c>
      <c r="X157" s="76">
        <v>6.75</v>
      </c>
      <c r="Y157" s="76">
        <v>406.0</v>
      </c>
      <c r="Z157" s="76">
        <v>704.0</v>
      </c>
      <c r="AA157" s="76">
        <v>1300.0</v>
      </c>
      <c r="AB157" s="76">
        <v>58.7727</v>
      </c>
      <c r="AC157" s="76">
        <v>0.7971</v>
      </c>
      <c r="AD157" s="76">
        <v>47.92</v>
      </c>
      <c r="AE157" s="76">
        <v>20.0</v>
      </c>
      <c r="AF157" s="76">
        <v>37.0</v>
      </c>
      <c r="AG157" s="76">
        <v>62.0</v>
      </c>
      <c r="AH157" s="76">
        <v>99.0</v>
      </c>
      <c r="AI157" s="76">
        <v>15.42</v>
      </c>
      <c r="AJ157" s="76">
        <v>1.62</v>
      </c>
      <c r="AK157" s="76">
        <v>0.2</v>
      </c>
      <c r="AL157" s="76">
        <v>0.0913</v>
      </c>
      <c r="AM157" s="76">
        <v>68.76</v>
      </c>
      <c r="AN157" s="76">
        <v>68.76</v>
      </c>
      <c r="AO157" s="76">
        <v>55.17</v>
      </c>
      <c r="AP157" s="76">
        <v>48.88</v>
      </c>
      <c r="AQ157" s="76">
        <v>24.0649</v>
      </c>
      <c r="AR157" s="76">
        <v>0.4746</v>
      </c>
      <c r="AS157" s="76">
        <v>23.5903</v>
      </c>
      <c r="AT157" s="76">
        <v>26.6085</v>
      </c>
      <c r="AU157" s="76">
        <v>0.1514</v>
      </c>
      <c r="AV157" s="76">
        <v>493.0</v>
      </c>
      <c r="AW157" s="76">
        <v>0.0</v>
      </c>
      <c r="AX157" s="76">
        <v>280.66</v>
      </c>
      <c r="AY157" s="76">
        <v>206.98</v>
      </c>
      <c r="AZ157" s="76">
        <v>4.71</v>
      </c>
      <c r="BA157" s="76">
        <v>36.71</v>
      </c>
      <c r="BB157" s="76">
        <v>14.66</v>
      </c>
      <c r="BC157" s="76">
        <v>228.0</v>
      </c>
      <c r="BD157" s="76">
        <v>7676.0</v>
      </c>
      <c r="BE157" s="76">
        <v>13.2008</v>
      </c>
      <c r="BF157" s="76">
        <v>0.1947</v>
      </c>
      <c r="BG157" s="76">
        <v>13.0061</v>
      </c>
      <c r="BH157" s="76">
        <v>10.9391</v>
      </c>
      <c r="BI157" s="76">
        <v>0.0623</v>
      </c>
      <c r="BJ157" s="76">
        <v>10.8641</v>
      </c>
      <c r="BK157" s="76">
        <v>0.2799</v>
      </c>
      <c r="BL157" s="76">
        <v>10.5842</v>
      </c>
      <c r="BM157" s="76">
        <v>15.6694</v>
      </c>
      <c r="BN157" s="76">
        <v>0.0892</v>
      </c>
      <c r="BO157" s="76">
        <v>4.359</v>
      </c>
      <c r="BP157" s="76">
        <v>0.0649</v>
      </c>
      <c r="BQ157" s="76">
        <v>4.2941</v>
      </c>
      <c r="BR157" s="76">
        <v>3.7262</v>
      </c>
      <c r="BS157" s="76">
        <v>5.1237</v>
      </c>
      <c r="BT157" s="76">
        <v>0.0649</v>
      </c>
      <c r="BU157" s="76">
        <v>5.0588</v>
      </c>
      <c r="BV157" s="76">
        <v>4.0913</v>
      </c>
      <c r="BW157" s="76">
        <v>3.7181</v>
      </c>
      <c r="BX157" s="76">
        <v>0.0649</v>
      </c>
      <c r="BY157" s="76">
        <v>3.6531</v>
      </c>
      <c r="BZ157" s="76">
        <v>3.1217</v>
      </c>
      <c r="CA157" s="76">
        <v>1.9026</v>
      </c>
      <c r="CB157" s="76">
        <v>0.073</v>
      </c>
      <c r="CC157" s="76">
        <v>1.8296</v>
      </c>
      <c r="CD157" s="76">
        <v>5.3083</v>
      </c>
      <c r="CE157" s="76">
        <v>4.7241</v>
      </c>
      <c r="CF157" s="76">
        <v>0.1217</v>
      </c>
      <c r="CG157" s="76">
        <v>4.6024</v>
      </c>
      <c r="CH157" s="76">
        <v>5.0609</v>
      </c>
      <c r="CI157" s="76">
        <v>4.2373</v>
      </c>
      <c r="CJ157" s="76">
        <v>0.0852</v>
      </c>
      <c r="CK157" s="76">
        <v>4.1521</v>
      </c>
      <c r="CL157" s="76">
        <v>5.3002</v>
      </c>
      <c r="CM157" s="76">
        <v>1494.87</v>
      </c>
      <c r="CN157" s="76">
        <v>98.58</v>
      </c>
      <c r="CO157" s="76">
        <v>1516.4</v>
      </c>
      <c r="CP157" s="76">
        <v>1439.49</v>
      </c>
      <c r="CQ157" s="76">
        <v>0.0</v>
      </c>
      <c r="CR157" s="76">
        <v>15.66</v>
      </c>
      <c r="CS157" s="76">
        <v>39.72</v>
      </c>
      <c r="CT157" s="76">
        <v>0.0</v>
      </c>
      <c r="CU157" s="76">
        <v>246.0</v>
      </c>
      <c r="CV157" s="76">
        <v>0.0</v>
      </c>
      <c r="CW157" s="76">
        <v>543.71</v>
      </c>
      <c r="CX157" s="76">
        <v>0.0</v>
      </c>
      <c r="CY157" s="76">
        <v>0.0</v>
      </c>
    </row>
    <row r="158" ht="15.75" customHeight="1">
      <c r="A158" s="164">
        <v>46243.0</v>
      </c>
      <c r="B158" s="76" t="s">
        <v>4</v>
      </c>
      <c r="C158" s="76" t="s">
        <v>316</v>
      </c>
      <c r="D158" s="76">
        <v>5086.0</v>
      </c>
      <c r="E158" s="76">
        <v>18.71</v>
      </c>
      <c r="F158" s="76">
        <v>618.26</v>
      </c>
      <c r="G158" s="76">
        <v>0.1216</v>
      </c>
      <c r="H158" s="76">
        <v>1.83</v>
      </c>
      <c r="I158" s="76">
        <v>6.648</v>
      </c>
      <c r="J158" s="76">
        <v>23.9</v>
      </c>
      <c r="K158" s="76">
        <v>13.23</v>
      </c>
      <c r="L158" s="76">
        <v>8.59</v>
      </c>
      <c r="M158" s="76">
        <v>0.6495</v>
      </c>
      <c r="N158" s="76">
        <v>0.4593</v>
      </c>
      <c r="O158" s="76">
        <v>0.2206</v>
      </c>
      <c r="P158" s="76">
        <v>1.5396</v>
      </c>
      <c r="Q158" s="76">
        <v>37.75</v>
      </c>
      <c r="R158" s="76">
        <v>37.6</v>
      </c>
      <c r="S158" s="76">
        <v>0.15</v>
      </c>
      <c r="T158" s="76">
        <v>9.6</v>
      </c>
      <c r="U158" s="76">
        <v>28.14</v>
      </c>
      <c r="V158" s="76">
        <v>35.91</v>
      </c>
      <c r="W158" s="76">
        <v>2.7143</v>
      </c>
      <c r="X158" s="76">
        <v>25.45</v>
      </c>
      <c r="Y158" s="76">
        <v>201.0</v>
      </c>
      <c r="Z158" s="76">
        <v>499.0</v>
      </c>
      <c r="AA158" s="76">
        <v>3528.0</v>
      </c>
      <c r="AB158" s="76">
        <v>49.959</v>
      </c>
      <c r="AC158" s="76">
        <v>0.4679</v>
      </c>
      <c r="AI158" s="76">
        <v>0.0</v>
      </c>
      <c r="AJ158" s="76">
        <v>0.0</v>
      </c>
      <c r="AK158" s="76">
        <v>0.0</v>
      </c>
      <c r="AL158" s="76">
        <v>0.4776</v>
      </c>
      <c r="AQ158" s="76">
        <v>1.4129</v>
      </c>
      <c r="AR158" s="76">
        <v>0.1085</v>
      </c>
      <c r="AS158" s="76">
        <v>1.3044</v>
      </c>
      <c r="AT158" s="76">
        <v>1.3173</v>
      </c>
      <c r="AU158" s="76">
        <v>0.0996</v>
      </c>
      <c r="AV158" s="76">
        <v>5086.0</v>
      </c>
      <c r="AW158" s="76">
        <v>0.0</v>
      </c>
      <c r="AX158" s="76">
        <v>16.36</v>
      </c>
      <c r="AY158" s="76">
        <v>8.68</v>
      </c>
      <c r="AZ158" s="76">
        <v>2.81</v>
      </c>
      <c r="BA158" s="76">
        <v>9.6</v>
      </c>
      <c r="BB158" s="76">
        <v>0.28</v>
      </c>
      <c r="BD158" s="76">
        <v>29223.0</v>
      </c>
      <c r="BE158" s="76">
        <v>0.6345</v>
      </c>
      <c r="BF158" s="76">
        <v>0.0436</v>
      </c>
      <c r="BG158" s="76">
        <v>0.5908</v>
      </c>
      <c r="BH158" s="76">
        <v>0.6076</v>
      </c>
      <c r="BI158" s="76">
        <v>0.0459</v>
      </c>
      <c r="BJ158" s="76">
        <v>0.7784</v>
      </c>
      <c r="BK158" s="76">
        <v>0.0649</v>
      </c>
      <c r="BL158" s="76">
        <v>0.7135</v>
      </c>
      <c r="BM158" s="76">
        <v>0.7098</v>
      </c>
      <c r="BN158" s="76">
        <v>0.0536</v>
      </c>
      <c r="BO158" s="76">
        <v>0.2013</v>
      </c>
      <c r="BP158" s="76">
        <v>0.0142</v>
      </c>
      <c r="BQ158" s="76">
        <v>0.1872</v>
      </c>
      <c r="BR158" s="76">
        <v>0.2133</v>
      </c>
      <c r="BS158" s="76">
        <v>0.2393</v>
      </c>
      <c r="BT158" s="76">
        <v>0.0142</v>
      </c>
      <c r="BU158" s="76">
        <v>0.2251</v>
      </c>
      <c r="BV158" s="76">
        <v>0.2212</v>
      </c>
      <c r="BW158" s="76">
        <v>0.1939</v>
      </c>
      <c r="BX158" s="76">
        <v>0.0153</v>
      </c>
      <c r="BY158" s="76">
        <v>0.1785</v>
      </c>
      <c r="BZ158" s="76">
        <v>0.173</v>
      </c>
      <c r="CA158" s="76">
        <v>0.1374</v>
      </c>
      <c r="CB158" s="76">
        <v>0.0155</v>
      </c>
      <c r="CC158" s="76">
        <v>0.1219</v>
      </c>
      <c r="CD158" s="76">
        <v>0.1475</v>
      </c>
      <c r="CE158" s="76">
        <v>0.3824</v>
      </c>
      <c r="CF158" s="76">
        <v>0.0291</v>
      </c>
      <c r="CG158" s="76">
        <v>0.3533</v>
      </c>
      <c r="CH158" s="76">
        <v>0.3093</v>
      </c>
      <c r="CI158" s="76">
        <v>0.2586</v>
      </c>
      <c r="CJ158" s="76">
        <v>0.0203</v>
      </c>
      <c r="CK158" s="76">
        <v>0.2383</v>
      </c>
      <c r="CL158" s="76">
        <v>0.253</v>
      </c>
      <c r="CM158" s="76">
        <v>157.17</v>
      </c>
      <c r="CN158" s="76">
        <v>22.77</v>
      </c>
      <c r="CO158" s="76">
        <v>690.31</v>
      </c>
      <c r="CP158" s="76">
        <v>151.14</v>
      </c>
      <c r="CQ158" s="76">
        <v>0.0</v>
      </c>
      <c r="CR158" s="76">
        <v>2.84</v>
      </c>
      <c r="CS158" s="76">
        <v>3.19</v>
      </c>
      <c r="CT158" s="76">
        <v>0.0</v>
      </c>
      <c r="CU158" s="76">
        <v>0.0</v>
      </c>
      <c r="CV158" s="76">
        <v>0.0</v>
      </c>
      <c r="CW158" s="76">
        <v>37.75</v>
      </c>
      <c r="CX158" s="76">
        <v>0.0</v>
      </c>
      <c r="CY158" s="76">
        <v>0.0</v>
      </c>
    </row>
    <row r="159" ht="15.75" customHeight="1">
      <c r="A159" s="164">
        <v>46243.0</v>
      </c>
      <c r="B159" s="76" t="s">
        <v>4</v>
      </c>
      <c r="C159" s="76" t="s">
        <v>147</v>
      </c>
      <c r="D159" s="76">
        <v>7499.0</v>
      </c>
      <c r="E159" s="76">
        <v>27.58</v>
      </c>
      <c r="F159" s="76">
        <v>190.09</v>
      </c>
      <c r="G159" s="76">
        <v>0.0253</v>
      </c>
      <c r="H159" s="76">
        <v>0.84</v>
      </c>
      <c r="I159" s="76">
        <v>3.0173</v>
      </c>
      <c r="J159" s="76">
        <v>21.01</v>
      </c>
      <c r="K159" s="76">
        <v>11.35</v>
      </c>
      <c r="L159" s="76">
        <v>5.22</v>
      </c>
      <c r="M159" s="76">
        <v>0.4596</v>
      </c>
      <c r="N159" s="76">
        <v>0.6426</v>
      </c>
      <c r="O159" s="76">
        <v>0.3831</v>
      </c>
      <c r="P159" s="76">
        <v>2.1758</v>
      </c>
      <c r="Q159" s="76">
        <v>44.52</v>
      </c>
      <c r="R159" s="76">
        <v>35.05</v>
      </c>
      <c r="S159" s="76">
        <v>9.47</v>
      </c>
      <c r="T159" s="76">
        <v>2.9</v>
      </c>
      <c r="U159" s="76">
        <v>41.62</v>
      </c>
      <c r="V159" s="76">
        <v>43.48</v>
      </c>
      <c r="W159" s="76">
        <v>3.8298</v>
      </c>
      <c r="X159" s="76">
        <v>6.52</v>
      </c>
      <c r="Y159" s="76">
        <v>201.0</v>
      </c>
      <c r="Z159" s="76">
        <v>360.0</v>
      </c>
      <c r="AA159" s="76">
        <v>1261.0</v>
      </c>
      <c r="AB159" s="76">
        <v>49.6171</v>
      </c>
      <c r="AC159" s="76">
        <v>0.61</v>
      </c>
      <c r="AD159" s="76">
        <v>4.03</v>
      </c>
      <c r="AE159" s="76">
        <v>2.0</v>
      </c>
      <c r="AF159" s="76">
        <v>3.0</v>
      </c>
      <c r="AG159" s="76">
        <v>5.0</v>
      </c>
      <c r="AH159" s="76">
        <v>8.0</v>
      </c>
      <c r="AI159" s="76">
        <v>75.45</v>
      </c>
      <c r="AJ159" s="76">
        <v>33.48</v>
      </c>
      <c r="AK159" s="76">
        <v>6.51</v>
      </c>
      <c r="AL159" s="76">
        <v>0.509</v>
      </c>
      <c r="AQ159" s="76">
        <v>2.3488</v>
      </c>
      <c r="AR159" s="76">
        <v>0.0479</v>
      </c>
      <c r="AS159" s="76">
        <v>2.301</v>
      </c>
      <c r="AT159" s="76">
        <v>2.2907</v>
      </c>
      <c r="AU159" s="76">
        <v>0.2018</v>
      </c>
      <c r="AV159" s="76">
        <v>7499.0</v>
      </c>
      <c r="AW159" s="76">
        <v>0.0</v>
      </c>
      <c r="AX159" s="76">
        <v>30.09</v>
      </c>
      <c r="AY159" s="76">
        <v>8.91</v>
      </c>
      <c r="AZ159" s="76">
        <v>1.94</v>
      </c>
      <c r="BA159" s="76">
        <v>2.9</v>
      </c>
      <c r="BB159" s="76">
        <v>0.68</v>
      </c>
      <c r="BC159" s="76">
        <v>17.0</v>
      </c>
      <c r="BD159" s="76">
        <v>18749.0</v>
      </c>
      <c r="BE159" s="76">
        <v>1.485</v>
      </c>
      <c r="BF159" s="76">
        <v>0.0232</v>
      </c>
      <c r="BG159" s="76">
        <v>1.4618</v>
      </c>
      <c r="BH159" s="76">
        <v>1.2971</v>
      </c>
      <c r="BI159" s="76">
        <v>0.1143</v>
      </c>
      <c r="BJ159" s="76">
        <v>0.8638</v>
      </c>
      <c r="BK159" s="76">
        <v>0.0247</v>
      </c>
      <c r="BL159" s="76">
        <v>0.8392</v>
      </c>
      <c r="BM159" s="76">
        <v>0.9936</v>
      </c>
      <c r="BN159" s="76">
        <v>0.0875</v>
      </c>
      <c r="BO159" s="76">
        <v>0.5607</v>
      </c>
      <c r="BP159" s="76">
        <v>0.0079</v>
      </c>
      <c r="BQ159" s="76">
        <v>0.5529</v>
      </c>
      <c r="BR159" s="76">
        <v>0.515</v>
      </c>
      <c r="BS159" s="76">
        <v>0.65</v>
      </c>
      <c r="BT159" s="76">
        <v>0.0067</v>
      </c>
      <c r="BU159" s="76">
        <v>0.6433</v>
      </c>
      <c r="BV159" s="76">
        <v>0.503</v>
      </c>
      <c r="BW159" s="76">
        <v>0.2743</v>
      </c>
      <c r="BX159" s="76">
        <v>0.0087</v>
      </c>
      <c r="BY159" s="76">
        <v>0.2656</v>
      </c>
      <c r="BZ159" s="76">
        <v>0.2791</v>
      </c>
      <c r="CA159" s="76">
        <v>0.1342</v>
      </c>
      <c r="CB159" s="76">
        <v>0.0061</v>
      </c>
      <c r="CC159" s="76">
        <v>0.128</v>
      </c>
      <c r="CD159" s="76">
        <v>0.1716</v>
      </c>
      <c r="CE159" s="76">
        <v>0.3931</v>
      </c>
      <c r="CF159" s="76">
        <v>0.0099</v>
      </c>
      <c r="CG159" s="76">
        <v>0.3833</v>
      </c>
      <c r="CH159" s="76">
        <v>0.4398</v>
      </c>
      <c r="CI159" s="76">
        <v>0.3366</v>
      </c>
      <c r="CJ159" s="76">
        <v>0.0087</v>
      </c>
      <c r="CK159" s="76">
        <v>0.3279</v>
      </c>
      <c r="CL159" s="76">
        <v>0.3822</v>
      </c>
      <c r="CM159" s="76">
        <v>75.76</v>
      </c>
      <c r="CN159" s="76">
        <v>67.46</v>
      </c>
      <c r="CO159" s="76">
        <v>112.3</v>
      </c>
      <c r="CP159" s="76">
        <v>70.18</v>
      </c>
      <c r="CQ159" s="76">
        <v>0.0</v>
      </c>
      <c r="CR159" s="76">
        <v>3.49</v>
      </c>
      <c r="CS159" s="76">
        <v>2.09</v>
      </c>
      <c r="CT159" s="76">
        <v>0.0</v>
      </c>
      <c r="CU159" s="76">
        <v>0.0</v>
      </c>
      <c r="CV159" s="76">
        <v>0.0</v>
      </c>
      <c r="CW159" s="76">
        <v>44.52</v>
      </c>
      <c r="CX159" s="76">
        <v>0.0</v>
      </c>
      <c r="CY159" s="76">
        <v>0.0</v>
      </c>
    </row>
    <row r="160" ht="15.75" customHeight="1">
      <c r="A160" s="164">
        <v>46243.0</v>
      </c>
      <c r="B160" s="76" t="s">
        <v>4</v>
      </c>
      <c r="C160" s="76" t="s">
        <v>148</v>
      </c>
      <c r="D160" s="76">
        <v>5824.0</v>
      </c>
      <c r="E160" s="76">
        <v>21.42</v>
      </c>
      <c r="F160" s="76">
        <v>390.07</v>
      </c>
      <c r="G160" s="76">
        <v>0.067</v>
      </c>
      <c r="H160" s="76">
        <v>1.91</v>
      </c>
      <c r="I160" s="76">
        <v>3.5141</v>
      </c>
      <c r="J160" s="76">
        <v>39.41</v>
      </c>
      <c r="K160" s="76">
        <v>22.29</v>
      </c>
      <c r="L160" s="76">
        <v>13.56</v>
      </c>
      <c r="M160" s="76">
        <v>0.6082</v>
      </c>
      <c r="N160" s="76">
        <v>0.5065</v>
      </c>
      <c r="O160" s="76">
        <v>0.3005</v>
      </c>
      <c r="P160" s="76">
        <v>1.6441</v>
      </c>
      <c r="Q160" s="76">
        <v>88.82</v>
      </c>
      <c r="R160" s="76">
        <v>61.76</v>
      </c>
      <c r="S160" s="76">
        <v>27.06</v>
      </c>
      <c r="T160" s="76">
        <v>6.2</v>
      </c>
      <c r="U160" s="76">
        <v>82.62</v>
      </c>
      <c r="V160" s="76">
        <v>88.11</v>
      </c>
      <c r="W160" s="76">
        <v>3.9524</v>
      </c>
      <c r="X160" s="76">
        <v>6.98</v>
      </c>
      <c r="Y160" s="76">
        <v>238.0</v>
      </c>
      <c r="Z160" s="76">
        <v>412.0</v>
      </c>
      <c r="AA160" s="76">
        <v>1249.0</v>
      </c>
      <c r="AB160" s="76">
        <v>52.2647</v>
      </c>
      <c r="AC160" s="76">
        <v>0.7237</v>
      </c>
      <c r="AD160" s="76">
        <v>9.71</v>
      </c>
      <c r="AE160" s="76">
        <v>4.0</v>
      </c>
      <c r="AF160" s="76">
        <v>9.0</v>
      </c>
      <c r="AG160" s="76">
        <v>13.0</v>
      </c>
      <c r="AH160" s="76">
        <v>18.0</v>
      </c>
      <c r="AI160" s="76">
        <v>66.93</v>
      </c>
      <c r="AJ160" s="76">
        <v>27.99</v>
      </c>
      <c r="AK160" s="76">
        <v>3.35</v>
      </c>
      <c r="AL160" s="76">
        <v>0.3965</v>
      </c>
      <c r="AQ160" s="76">
        <v>5.1727</v>
      </c>
      <c r="AR160" s="76">
        <v>0.1396</v>
      </c>
      <c r="AS160" s="76">
        <v>5.0331</v>
      </c>
      <c r="AT160" s="76">
        <v>4.6252</v>
      </c>
      <c r="AU160" s="76">
        <v>0.2075</v>
      </c>
      <c r="AV160" s="76">
        <v>5824.0</v>
      </c>
      <c r="AW160" s="76">
        <v>0.0</v>
      </c>
      <c r="AX160" s="76">
        <v>62.03</v>
      </c>
      <c r="AY160" s="76">
        <v>16.63</v>
      </c>
      <c r="AZ160" s="76">
        <v>2.61</v>
      </c>
      <c r="BA160" s="76">
        <v>6.2</v>
      </c>
      <c r="BB160" s="76">
        <v>1.35</v>
      </c>
      <c r="BC160" s="76">
        <v>34.0</v>
      </c>
      <c r="BD160" s="76">
        <v>18567.0</v>
      </c>
      <c r="BE160" s="76">
        <v>3.3201</v>
      </c>
      <c r="BF160" s="76">
        <v>0.0896</v>
      </c>
      <c r="BG160" s="76">
        <v>3.2304</v>
      </c>
      <c r="BH160" s="76">
        <v>2.6107</v>
      </c>
      <c r="BI160" s="76">
        <v>0.1171</v>
      </c>
      <c r="BJ160" s="76">
        <v>1.8527</v>
      </c>
      <c r="BK160" s="76">
        <v>0.05</v>
      </c>
      <c r="BL160" s="76">
        <v>1.8027</v>
      </c>
      <c r="BM160" s="76">
        <v>2.0144</v>
      </c>
      <c r="BN160" s="76">
        <v>0.0904</v>
      </c>
      <c r="BO160" s="76">
        <v>1.2258</v>
      </c>
      <c r="BP160" s="76">
        <v>0.0299</v>
      </c>
      <c r="BQ160" s="76">
        <v>1.1959</v>
      </c>
      <c r="BR160" s="76">
        <v>1.0039</v>
      </c>
      <c r="BS160" s="76">
        <v>1.4128</v>
      </c>
      <c r="BT160" s="76">
        <v>0.0232</v>
      </c>
      <c r="BU160" s="76">
        <v>1.3896</v>
      </c>
      <c r="BV160" s="76">
        <v>1.0391</v>
      </c>
      <c r="BW160" s="76">
        <v>0.6815</v>
      </c>
      <c r="BX160" s="76">
        <v>0.0366</v>
      </c>
      <c r="BY160" s="76">
        <v>0.6449</v>
      </c>
      <c r="BZ160" s="76">
        <v>0.5677</v>
      </c>
      <c r="CA160" s="76">
        <v>0.2749</v>
      </c>
      <c r="CB160" s="76">
        <v>0.0146</v>
      </c>
      <c r="CC160" s="76">
        <v>0.2603</v>
      </c>
      <c r="CD160" s="76">
        <v>0.3558</v>
      </c>
      <c r="CE160" s="76">
        <v>0.813</v>
      </c>
      <c r="CF160" s="76">
        <v>0.0177</v>
      </c>
      <c r="CG160" s="76">
        <v>0.7953</v>
      </c>
      <c r="CH160" s="76">
        <v>0.8477</v>
      </c>
      <c r="CI160" s="76">
        <v>0.7648</v>
      </c>
      <c r="CJ160" s="76">
        <v>0.0177</v>
      </c>
      <c r="CK160" s="76">
        <v>0.7471</v>
      </c>
      <c r="CL160" s="76">
        <v>0.811</v>
      </c>
      <c r="CM160" s="76">
        <v>187.29</v>
      </c>
      <c r="CN160" s="76">
        <v>82.97</v>
      </c>
      <c r="CO160" s="76">
        <v>225.74</v>
      </c>
      <c r="CP160" s="76">
        <v>174.28</v>
      </c>
      <c r="CQ160" s="76">
        <v>0.0</v>
      </c>
      <c r="CR160" s="76">
        <v>4.98</v>
      </c>
      <c r="CS160" s="76">
        <v>8.04</v>
      </c>
      <c r="CT160" s="76">
        <v>0.0</v>
      </c>
      <c r="CU160" s="76">
        <v>1.0</v>
      </c>
      <c r="CV160" s="76">
        <v>0.0</v>
      </c>
      <c r="CW160" s="76">
        <v>88.82</v>
      </c>
      <c r="CX160" s="76">
        <v>0.0</v>
      </c>
      <c r="CY160" s="76">
        <v>0.0</v>
      </c>
    </row>
    <row r="161" ht="15.75" customHeight="1">
      <c r="A161" s="164">
        <v>46243.0</v>
      </c>
      <c r="B161" s="76" t="s">
        <v>4</v>
      </c>
      <c r="C161" s="76" t="s">
        <v>149</v>
      </c>
      <c r="D161" s="76">
        <v>4936.0</v>
      </c>
      <c r="E161" s="76">
        <v>18.16</v>
      </c>
      <c r="F161" s="76">
        <v>459.46</v>
      </c>
      <c r="G161" s="76">
        <v>0.0931</v>
      </c>
      <c r="H161" s="76">
        <v>2.51</v>
      </c>
      <c r="I161" s="76">
        <v>3.7053</v>
      </c>
      <c r="J161" s="76">
        <v>61.32</v>
      </c>
      <c r="K161" s="76">
        <v>36.49</v>
      </c>
      <c r="L161" s="76">
        <v>25.74</v>
      </c>
      <c r="M161" s="76">
        <v>0.7054</v>
      </c>
      <c r="N161" s="76">
        <v>0.413</v>
      </c>
      <c r="O161" s="76">
        <v>0.2612</v>
      </c>
      <c r="P161" s="76">
        <v>1.4176</v>
      </c>
      <c r="Q161" s="76">
        <v>146.56</v>
      </c>
      <c r="R161" s="76">
        <v>94.73</v>
      </c>
      <c r="S161" s="76">
        <v>51.83</v>
      </c>
      <c r="T161" s="76">
        <v>7.72</v>
      </c>
      <c r="U161" s="76">
        <v>138.84</v>
      </c>
      <c r="V161" s="76">
        <v>155.48</v>
      </c>
      <c r="W161" s="76">
        <v>4.2612</v>
      </c>
      <c r="X161" s="76">
        <v>5.27</v>
      </c>
      <c r="Y161" s="76">
        <v>277.0</v>
      </c>
      <c r="Z161" s="76">
        <v>489.0</v>
      </c>
      <c r="AA161" s="76">
        <v>1196.0</v>
      </c>
      <c r="AB161" s="76">
        <v>53.7245</v>
      </c>
      <c r="AC161" s="76">
        <v>0.7838</v>
      </c>
      <c r="AD161" s="76">
        <v>16.4</v>
      </c>
      <c r="AE161" s="76">
        <v>7.0</v>
      </c>
      <c r="AF161" s="76">
        <v>13.0</v>
      </c>
      <c r="AG161" s="76">
        <v>23.0</v>
      </c>
      <c r="AH161" s="76">
        <v>33.0</v>
      </c>
      <c r="AI161" s="76">
        <v>58.43</v>
      </c>
      <c r="AJ161" s="76">
        <v>19.77</v>
      </c>
      <c r="AK161" s="76">
        <v>4.17</v>
      </c>
      <c r="AL161" s="76">
        <v>0.3063</v>
      </c>
      <c r="AQ161" s="76">
        <v>8.5239</v>
      </c>
      <c r="AR161" s="76">
        <v>0.1718</v>
      </c>
      <c r="AS161" s="76">
        <v>8.3521</v>
      </c>
      <c r="AT161" s="76">
        <v>7.5308</v>
      </c>
      <c r="AU161" s="76">
        <v>0.2064</v>
      </c>
      <c r="AV161" s="76">
        <v>4936.0</v>
      </c>
      <c r="AW161" s="76">
        <v>0.0</v>
      </c>
      <c r="AX161" s="76">
        <v>105.38</v>
      </c>
      <c r="AY161" s="76">
        <v>28.79</v>
      </c>
      <c r="AZ161" s="76">
        <v>2.5</v>
      </c>
      <c r="BA161" s="76">
        <v>7.72</v>
      </c>
      <c r="BB161" s="76">
        <v>2.17</v>
      </c>
      <c r="BC161" s="76">
        <v>63.0</v>
      </c>
      <c r="BD161" s="76">
        <v>14399.0</v>
      </c>
      <c r="BE161" s="76">
        <v>5.2425</v>
      </c>
      <c r="BF161" s="76">
        <v>0.1161</v>
      </c>
      <c r="BG161" s="76">
        <v>5.1264</v>
      </c>
      <c r="BH161" s="76">
        <v>3.9909</v>
      </c>
      <c r="BI161" s="76">
        <v>0.1094</v>
      </c>
      <c r="BJ161" s="76">
        <v>3.2814</v>
      </c>
      <c r="BK161" s="76">
        <v>0.0557</v>
      </c>
      <c r="BL161" s="76">
        <v>3.2257</v>
      </c>
      <c r="BM161" s="76">
        <v>3.5399</v>
      </c>
      <c r="BN161" s="76">
        <v>0.097</v>
      </c>
      <c r="BO161" s="76">
        <v>1.9915</v>
      </c>
      <c r="BP161" s="76">
        <v>0.0373</v>
      </c>
      <c r="BQ161" s="76">
        <v>1.9542</v>
      </c>
      <c r="BR161" s="76">
        <v>1.5207</v>
      </c>
      <c r="BS161" s="76">
        <v>2.1835</v>
      </c>
      <c r="BT161" s="76">
        <v>0.0348</v>
      </c>
      <c r="BU161" s="76">
        <v>2.1487</v>
      </c>
      <c r="BV161" s="76">
        <v>1.5881</v>
      </c>
      <c r="BW161" s="76">
        <v>1.0675</v>
      </c>
      <c r="BX161" s="76">
        <v>0.044</v>
      </c>
      <c r="BY161" s="76">
        <v>1.0235</v>
      </c>
      <c r="BZ161" s="76">
        <v>0.8821</v>
      </c>
      <c r="CA161" s="76">
        <v>0.5136</v>
      </c>
      <c r="CB161" s="76">
        <v>0.0144</v>
      </c>
      <c r="CC161" s="76">
        <v>0.4992</v>
      </c>
      <c r="CD161" s="76">
        <v>0.7231</v>
      </c>
      <c r="CE161" s="76">
        <v>1.4064</v>
      </c>
      <c r="CF161" s="76">
        <v>0.0194</v>
      </c>
      <c r="CG161" s="76">
        <v>1.387</v>
      </c>
      <c r="CH161" s="76">
        <v>1.4021</v>
      </c>
      <c r="CI161" s="76">
        <v>1.3614</v>
      </c>
      <c r="CJ161" s="76">
        <v>0.0219</v>
      </c>
      <c r="CK161" s="76">
        <v>1.3395</v>
      </c>
      <c r="CL161" s="76">
        <v>1.4147</v>
      </c>
      <c r="CM161" s="76">
        <v>360.43</v>
      </c>
      <c r="CN161" s="76">
        <v>92.61</v>
      </c>
      <c r="CO161" s="76">
        <v>389.21</v>
      </c>
      <c r="CP161" s="76">
        <v>341.08</v>
      </c>
      <c r="CQ161" s="76">
        <v>0.0</v>
      </c>
      <c r="CR161" s="76">
        <v>5.69</v>
      </c>
      <c r="CS161" s="76">
        <v>13.66</v>
      </c>
      <c r="CT161" s="76">
        <v>0.0</v>
      </c>
      <c r="CU161" s="76">
        <v>1.0</v>
      </c>
      <c r="CV161" s="76">
        <v>0.0</v>
      </c>
      <c r="CW161" s="76">
        <v>146.56</v>
      </c>
      <c r="CX161" s="76">
        <v>0.0</v>
      </c>
      <c r="CY161" s="76">
        <v>0.0</v>
      </c>
    </row>
    <row r="162" ht="15.75" customHeight="1">
      <c r="A162" s="164">
        <v>46243.0</v>
      </c>
      <c r="B162" s="76" t="s">
        <v>4</v>
      </c>
      <c r="C162" s="76" t="s">
        <v>150</v>
      </c>
      <c r="D162" s="76">
        <v>3330.0</v>
      </c>
      <c r="E162" s="76">
        <v>12.25</v>
      </c>
      <c r="F162" s="76">
        <v>1034.8</v>
      </c>
      <c r="G162" s="76">
        <v>0.3108</v>
      </c>
      <c r="H162" s="76">
        <v>3.99</v>
      </c>
      <c r="I162" s="76">
        <v>7.7805</v>
      </c>
      <c r="J162" s="76">
        <v>110.82</v>
      </c>
      <c r="K162" s="76">
        <v>71.11</v>
      </c>
      <c r="L162" s="76">
        <v>53.28</v>
      </c>
      <c r="M162" s="76">
        <v>0.7493</v>
      </c>
      <c r="N162" s="76">
        <v>0.3546</v>
      </c>
      <c r="O162" s="76">
        <v>0.2306</v>
      </c>
      <c r="P162" s="76">
        <v>1.3346</v>
      </c>
      <c r="Q162" s="76">
        <v>281.09</v>
      </c>
      <c r="R162" s="76">
        <v>171.26</v>
      </c>
      <c r="S162" s="76">
        <v>109.83</v>
      </c>
      <c r="T162" s="76">
        <v>25.07</v>
      </c>
      <c r="U162" s="76">
        <v>256.02</v>
      </c>
      <c r="V162" s="76">
        <v>295.62</v>
      </c>
      <c r="W162" s="76">
        <v>4.1572</v>
      </c>
      <c r="X162" s="76">
        <v>8.92</v>
      </c>
      <c r="Y162" s="76">
        <v>339.0</v>
      </c>
      <c r="Z162" s="76">
        <v>632.0</v>
      </c>
      <c r="AA162" s="76">
        <v>1491.0</v>
      </c>
      <c r="AB162" s="76">
        <v>55.8067</v>
      </c>
      <c r="AC162" s="76">
        <v>0.7951</v>
      </c>
      <c r="AD162" s="76">
        <v>28.18</v>
      </c>
      <c r="AE162" s="76">
        <v>11.0</v>
      </c>
      <c r="AF162" s="76">
        <v>21.0</v>
      </c>
      <c r="AG162" s="76">
        <v>39.0</v>
      </c>
      <c r="AH162" s="76">
        <v>59.0</v>
      </c>
      <c r="AI162" s="76">
        <v>39.04</v>
      </c>
      <c r="AJ162" s="76">
        <v>9.61</v>
      </c>
      <c r="AK162" s="76">
        <v>1.95</v>
      </c>
      <c r="AL162" s="76">
        <v>0.1949</v>
      </c>
      <c r="AQ162" s="76">
        <v>15.8387</v>
      </c>
      <c r="AR162" s="76">
        <v>0.4637</v>
      </c>
      <c r="AS162" s="76">
        <v>15.3751</v>
      </c>
      <c r="AT162" s="76">
        <v>13.73</v>
      </c>
      <c r="AU162" s="76">
        <v>0.1931</v>
      </c>
      <c r="AV162" s="76">
        <v>3330.0</v>
      </c>
      <c r="AW162" s="76">
        <v>0.0</v>
      </c>
      <c r="AX162" s="76">
        <v>204.95</v>
      </c>
      <c r="AY162" s="76">
        <v>42.25</v>
      </c>
      <c r="AZ162" s="76">
        <v>3.62</v>
      </c>
      <c r="BA162" s="76">
        <v>25.03</v>
      </c>
      <c r="BB162" s="76">
        <v>5.24</v>
      </c>
      <c r="BC162" s="76">
        <v>118.0</v>
      </c>
      <c r="BD162" s="76">
        <v>14577.0</v>
      </c>
      <c r="BE162" s="76">
        <v>9.539</v>
      </c>
      <c r="BF162" s="76">
        <v>0.2802</v>
      </c>
      <c r="BG162" s="76">
        <v>9.2589</v>
      </c>
      <c r="BH162" s="76">
        <v>7.1141</v>
      </c>
      <c r="BI162" s="76">
        <v>0.1</v>
      </c>
      <c r="BJ162" s="76">
        <v>6.2997</v>
      </c>
      <c r="BK162" s="76">
        <v>0.1835</v>
      </c>
      <c r="BL162" s="76">
        <v>6.1162</v>
      </c>
      <c r="BM162" s="76">
        <v>6.6159</v>
      </c>
      <c r="BN162" s="76">
        <v>0.093</v>
      </c>
      <c r="BO162" s="76">
        <v>3.7126</v>
      </c>
      <c r="BP162" s="76">
        <v>0.0787</v>
      </c>
      <c r="BQ162" s="76">
        <v>3.6339</v>
      </c>
      <c r="BR162" s="76">
        <v>2.7733</v>
      </c>
      <c r="BS162" s="76">
        <v>3.9544</v>
      </c>
      <c r="BT162" s="76">
        <v>0.0805</v>
      </c>
      <c r="BU162" s="76">
        <v>3.8739</v>
      </c>
      <c r="BV162" s="76">
        <v>2.8652</v>
      </c>
      <c r="BW162" s="76">
        <v>1.8721</v>
      </c>
      <c r="BX162" s="76">
        <v>0.121</v>
      </c>
      <c r="BY162" s="76">
        <v>1.7511</v>
      </c>
      <c r="BZ162" s="76">
        <v>1.4757</v>
      </c>
      <c r="CA162" s="76">
        <v>1.1586</v>
      </c>
      <c r="CB162" s="76">
        <v>0.0535</v>
      </c>
      <c r="CC162" s="76">
        <v>1.1051</v>
      </c>
      <c r="CD162" s="76">
        <v>1.5694</v>
      </c>
      <c r="CE162" s="76">
        <v>2.579</v>
      </c>
      <c r="CF162" s="76">
        <v>0.07</v>
      </c>
      <c r="CG162" s="76">
        <v>2.509</v>
      </c>
      <c r="CH162" s="76">
        <v>2.5072</v>
      </c>
      <c r="CI162" s="76">
        <v>2.5622</v>
      </c>
      <c r="CJ162" s="76">
        <v>0.0601</v>
      </c>
      <c r="CK162" s="76">
        <v>2.5021</v>
      </c>
      <c r="CL162" s="76">
        <v>2.5393</v>
      </c>
      <c r="CM162" s="76">
        <v>748.19</v>
      </c>
      <c r="CN162" s="76">
        <v>98.35</v>
      </c>
      <c r="CO162" s="76">
        <v>760.76</v>
      </c>
      <c r="CP162" s="76">
        <v>721.61</v>
      </c>
      <c r="CQ162" s="76">
        <v>0.0</v>
      </c>
      <c r="CR162" s="76">
        <v>8.82</v>
      </c>
      <c r="CS162" s="76">
        <v>17.76</v>
      </c>
      <c r="CT162" s="76">
        <v>0.0</v>
      </c>
      <c r="CU162" s="76">
        <v>1.0</v>
      </c>
      <c r="CV162" s="76">
        <v>0.0</v>
      </c>
      <c r="CW162" s="76">
        <v>281.09</v>
      </c>
      <c r="CX162" s="76">
        <v>0.0</v>
      </c>
      <c r="CY162" s="76">
        <v>0.0</v>
      </c>
    </row>
    <row r="163" ht="15.75" customHeight="1">
      <c r="A163" s="164">
        <v>46243.0</v>
      </c>
      <c r="B163" s="76" t="s">
        <v>4</v>
      </c>
      <c r="C163" s="76" t="s">
        <v>151</v>
      </c>
      <c r="D163" s="76">
        <v>513.0</v>
      </c>
      <c r="E163" s="76">
        <v>1.89</v>
      </c>
      <c r="F163" s="76">
        <v>413.0</v>
      </c>
      <c r="G163" s="76">
        <v>0.8051</v>
      </c>
      <c r="H163" s="76">
        <v>7.02</v>
      </c>
      <c r="I163" s="76">
        <v>11.4722</v>
      </c>
      <c r="J163" s="76">
        <v>234.96</v>
      </c>
      <c r="K163" s="76">
        <v>166.07</v>
      </c>
      <c r="L163" s="76">
        <v>125.18</v>
      </c>
      <c r="M163" s="76">
        <v>0.7538</v>
      </c>
      <c r="N163" s="76">
        <v>0.3241</v>
      </c>
      <c r="O163" s="76">
        <v>0.2021</v>
      </c>
      <c r="P163" s="76">
        <v>1.3267</v>
      </c>
      <c r="Q163" s="76">
        <v>629.2</v>
      </c>
      <c r="R163" s="76">
        <v>366.16</v>
      </c>
      <c r="S163" s="76">
        <v>263.04</v>
      </c>
      <c r="T163" s="76">
        <v>95.52</v>
      </c>
      <c r="U163" s="76">
        <v>533.68</v>
      </c>
      <c r="V163" s="76">
        <v>630.6</v>
      </c>
      <c r="W163" s="76">
        <v>3.7972</v>
      </c>
      <c r="X163" s="76">
        <v>15.18</v>
      </c>
      <c r="Y163" s="76">
        <v>442.0</v>
      </c>
      <c r="Z163" s="76">
        <v>885.0</v>
      </c>
      <c r="AA163" s="76">
        <v>1742.0</v>
      </c>
      <c r="AB163" s="76">
        <v>58.0804</v>
      </c>
      <c r="AC163" s="76">
        <v>0.8161</v>
      </c>
      <c r="AD163" s="76">
        <v>47.57</v>
      </c>
      <c r="AE163" s="76">
        <v>19.0</v>
      </c>
      <c r="AF163" s="76">
        <v>37.0</v>
      </c>
      <c r="AG163" s="76">
        <v>62.0</v>
      </c>
      <c r="AH163" s="76">
        <v>102.0</v>
      </c>
      <c r="AI163" s="76">
        <v>17.54</v>
      </c>
      <c r="AJ163" s="76">
        <v>1.75</v>
      </c>
      <c r="AK163" s="76">
        <v>0.0</v>
      </c>
      <c r="AL163" s="76">
        <v>0.0936</v>
      </c>
      <c r="AQ163" s="76">
        <v>33.5419</v>
      </c>
      <c r="AR163" s="76">
        <v>1.1832</v>
      </c>
      <c r="AS163" s="76">
        <v>32.3587</v>
      </c>
      <c r="AT163" s="76">
        <v>30.1131</v>
      </c>
      <c r="AU163" s="76">
        <v>0.1813</v>
      </c>
      <c r="AV163" s="76">
        <v>513.0</v>
      </c>
      <c r="AW163" s="76">
        <v>0.0</v>
      </c>
      <c r="AX163" s="76">
        <v>458.06</v>
      </c>
      <c r="AY163" s="76">
        <v>58.53</v>
      </c>
      <c r="AZ163" s="76">
        <v>6.13</v>
      </c>
      <c r="BA163" s="76">
        <v>95.52</v>
      </c>
      <c r="BB163" s="76">
        <v>10.96</v>
      </c>
      <c r="BC163" s="76">
        <v>197.0</v>
      </c>
      <c r="BD163" s="76">
        <v>12340.0</v>
      </c>
      <c r="BE163" s="76">
        <v>20.1131</v>
      </c>
      <c r="BF163" s="76">
        <v>0.5439</v>
      </c>
      <c r="BG163" s="76">
        <v>19.5692</v>
      </c>
      <c r="BH163" s="76">
        <v>16.5224</v>
      </c>
      <c r="BI163" s="76">
        <v>0.0995</v>
      </c>
      <c r="BJ163" s="76">
        <v>13.4288</v>
      </c>
      <c r="BK163" s="76">
        <v>0.6394</v>
      </c>
      <c r="BL163" s="76">
        <v>12.7895</v>
      </c>
      <c r="BM163" s="76">
        <v>13.5906</v>
      </c>
      <c r="BN163" s="76">
        <v>0.0818</v>
      </c>
      <c r="BO163" s="76">
        <v>7.7212</v>
      </c>
      <c r="BP163" s="76">
        <v>0.1871</v>
      </c>
      <c r="BQ163" s="76">
        <v>7.5341</v>
      </c>
      <c r="BR163" s="76">
        <v>6.2904</v>
      </c>
      <c r="BS163" s="76">
        <v>8.6179</v>
      </c>
      <c r="BT163" s="76">
        <v>0.1754</v>
      </c>
      <c r="BU163" s="76">
        <v>8.4425</v>
      </c>
      <c r="BV163" s="76">
        <v>6.8811</v>
      </c>
      <c r="BW163" s="76">
        <v>3.7739</v>
      </c>
      <c r="BX163" s="76">
        <v>0.1813</v>
      </c>
      <c r="BY163" s="76">
        <v>3.5926</v>
      </c>
      <c r="BZ163" s="76">
        <v>3.3509</v>
      </c>
      <c r="CA163" s="76">
        <v>2.5283</v>
      </c>
      <c r="CB163" s="76">
        <v>0.1696</v>
      </c>
      <c r="CC163" s="76">
        <v>2.3587</v>
      </c>
      <c r="CD163" s="76">
        <v>3.1559</v>
      </c>
      <c r="CE163" s="76">
        <v>5.4288</v>
      </c>
      <c r="CF163" s="76">
        <v>0.2554</v>
      </c>
      <c r="CG163" s="76">
        <v>5.1735</v>
      </c>
      <c r="CH163" s="76">
        <v>5.1131</v>
      </c>
      <c r="CI163" s="76">
        <v>5.4717</v>
      </c>
      <c r="CJ163" s="76">
        <v>0.2144</v>
      </c>
      <c r="CK163" s="76">
        <v>5.2573</v>
      </c>
      <c r="CL163" s="76">
        <v>5.3216</v>
      </c>
      <c r="CM163" s="76">
        <v>1757.57</v>
      </c>
      <c r="CN163" s="76">
        <v>99.61</v>
      </c>
      <c r="CO163" s="76">
        <v>1764.45</v>
      </c>
      <c r="CP163" s="76">
        <v>1729.95</v>
      </c>
      <c r="CQ163" s="76">
        <v>0.0</v>
      </c>
      <c r="CR163" s="76">
        <v>12.09</v>
      </c>
      <c r="CS163" s="76">
        <v>15.53</v>
      </c>
      <c r="CT163" s="76">
        <v>0.0</v>
      </c>
      <c r="CU163" s="76">
        <v>0.0</v>
      </c>
      <c r="CV163" s="76">
        <v>0.0</v>
      </c>
      <c r="CW163" s="76">
        <v>629.2</v>
      </c>
      <c r="CX163" s="76">
        <v>0.0</v>
      </c>
      <c r="CY163" s="76">
        <v>0.0</v>
      </c>
    </row>
    <row r="164" ht="15.75" customHeight="1">
      <c r="A164" s="164">
        <v>46243.0</v>
      </c>
      <c r="B164" s="76" t="s">
        <v>5</v>
      </c>
      <c r="C164" s="76" t="s">
        <v>316</v>
      </c>
      <c r="D164" s="76">
        <v>5278.0</v>
      </c>
      <c r="E164" s="76">
        <v>19.41</v>
      </c>
      <c r="F164" s="76">
        <v>365.44</v>
      </c>
      <c r="G164" s="76">
        <v>0.0692</v>
      </c>
      <c r="H164" s="76">
        <v>1.27</v>
      </c>
      <c r="I164" s="76">
        <v>5.4543</v>
      </c>
      <c r="J164" s="76">
        <v>24.87</v>
      </c>
      <c r="K164" s="76">
        <v>13.76</v>
      </c>
      <c r="L164" s="76">
        <v>9.5</v>
      </c>
      <c r="M164" s="76">
        <v>0.69</v>
      </c>
      <c r="N164" s="76">
        <v>0.4269</v>
      </c>
      <c r="O164" s="76">
        <v>0.2122</v>
      </c>
      <c r="P164" s="76">
        <v>1.4492</v>
      </c>
      <c r="Q164" s="76">
        <v>53.47</v>
      </c>
      <c r="R164" s="76">
        <v>53.41</v>
      </c>
      <c r="S164" s="76">
        <v>0.06</v>
      </c>
      <c r="T164" s="76">
        <v>6.41</v>
      </c>
      <c r="U164" s="76">
        <v>47.06</v>
      </c>
      <c r="V164" s="76">
        <v>44.07</v>
      </c>
      <c r="W164" s="76">
        <v>3.2023</v>
      </c>
      <c r="X164" s="76">
        <v>11.99</v>
      </c>
      <c r="Y164" s="76">
        <v>198.0</v>
      </c>
      <c r="Z164" s="76">
        <v>439.0</v>
      </c>
      <c r="AA164" s="76">
        <v>2855.0</v>
      </c>
      <c r="AB164" s="76">
        <v>49.4936</v>
      </c>
      <c r="AC164" s="76">
        <v>0.4757</v>
      </c>
      <c r="AI164" s="76">
        <v>0.0</v>
      </c>
      <c r="AJ164" s="76">
        <v>0.0</v>
      </c>
      <c r="AK164" s="76">
        <v>0.0</v>
      </c>
      <c r="AL164" s="76">
        <v>0.4875</v>
      </c>
      <c r="AM164" s="76">
        <v>11.33</v>
      </c>
      <c r="AN164" s="76">
        <v>11.33</v>
      </c>
      <c r="AO164" s="76">
        <v>6.97</v>
      </c>
      <c r="AP164" s="76">
        <v>3.83</v>
      </c>
      <c r="AQ164" s="76">
        <v>1.5517</v>
      </c>
      <c r="AR164" s="76">
        <v>0.0811</v>
      </c>
      <c r="AS164" s="76">
        <v>1.4706</v>
      </c>
      <c r="AT164" s="76">
        <v>1.4727</v>
      </c>
      <c r="AU164" s="76">
        <v>0.107</v>
      </c>
      <c r="AV164" s="76">
        <v>5278.0</v>
      </c>
      <c r="AW164" s="76">
        <v>0.0</v>
      </c>
      <c r="AX164" s="76">
        <v>10.96</v>
      </c>
      <c r="AY164" s="76">
        <v>32.34</v>
      </c>
      <c r="AZ164" s="76">
        <v>3.32</v>
      </c>
      <c r="BA164" s="76">
        <v>6.41</v>
      </c>
      <c r="BB164" s="76">
        <v>0.43</v>
      </c>
      <c r="BD164" s="76">
        <v>27152.0</v>
      </c>
      <c r="BE164" s="76">
        <v>0.6662</v>
      </c>
      <c r="BF164" s="76">
        <v>0.0347</v>
      </c>
      <c r="BG164" s="76">
        <v>0.6315</v>
      </c>
      <c r="BH164" s="76">
        <v>0.6914</v>
      </c>
      <c r="BI164" s="76">
        <v>0.0502</v>
      </c>
      <c r="BJ164" s="76">
        <v>0.8856</v>
      </c>
      <c r="BK164" s="76">
        <v>0.0464</v>
      </c>
      <c r="BL164" s="76">
        <v>0.8391</v>
      </c>
      <c r="BM164" s="76">
        <v>0.7814</v>
      </c>
      <c r="BN164" s="76">
        <v>0.0568</v>
      </c>
      <c r="BO164" s="76">
        <v>0.2749</v>
      </c>
      <c r="BP164" s="76">
        <v>0.0127</v>
      </c>
      <c r="BQ164" s="76">
        <v>0.2622</v>
      </c>
      <c r="BR164" s="76">
        <v>0.2867</v>
      </c>
      <c r="BS164" s="76">
        <v>0.2298</v>
      </c>
      <c r="BT164" s="76">
        <v>0.0121</v>
      </c>
      <c r="BU164" s="76">
        <v>0.2177</v>
      </c>
      <c r="BV164" s="76">
        <v>0.2351</v>
      </c>
      <c r="BW164" s="76">
        <v>0.1614</v>
      </c>
      <c r="BX164" s="76">
        <v>0.0099</v>
      </c>
      <c r="BY164" s="76">
        <v>0.1516</v>
      </c>
      <c r="BZ164" s="76">
        <v>0.1696</v>
      </c>
      <c r="CA164" s="76">
        <v>0.2037</v>
      </c>
      <c r="CB164" s="76">
        <v>0.0108</v>
      </c>
      <c r="CC164" s="76">
        <v>0.1929</v>
      </c>
      <c r="CD164" s="76">
        <v>0.2058</v>
      </c>
      <c r="CE164" s="76">
        <v>0.3977</v>
      </c>
      <c r="CF164" s="76">
        <v>0.0167</v>
      </c>
      <c r="CG164" s="76">
        <v>0.381</v>
      </c>
      <c r="CH164" s="76">
        <v>0.3085</v>
      </c>
      <c r="CI164" s="76">
        <v>0.2842</v>
      </c>
      <c r="CJ164" s="76">
        <v>0.0189</v>
      </c>
      <c r="CK164" s="76">
        <v>0.2653</v>
      </c>
      <c r="CL164" s="76">
        <v>0.2671</v>
      </c>
      <c r="CM164" s="76">
        <v>143.27</v>
      </c>
      <c r="CN164" s="76">
        <v>21.31</v>
      </c>
      <c r="CO164" s="76">
        <v>672.16</v>
      </c>
      <c r="CP164" s="76">
        <v>133.53</v>
      </c>
      <c r="CQ164" s="76">
        <v>0.01</v>
      </c>
      <c r="CR164" s="76">
        <v>2.22</v>
      </c>
      <c r="CS164" s="76">
        <v>7.52</v>
      </c>
      <c r="CT164" s="76">
        <v>0.0</v>
      </c>
      <c r="CU164" s="76">
        <v>1511.0</v>
      </c>
      <c r="CV164" s="76">
        <v>0.0</v>
      </c>
      <c r="CW164" s="76">
        <v>53.47</v>
      </c>
      <c r="CX164" s="76">
        <v>0.0</v>
      </c>
      <c r="CY164" s="76">
        <v>0.01</v>
      </c>
    </row>
    <row r="165" ht="15.75" customHeight="1">
      <c r="A165" s="164">
        <v>46243.0</v>
      </c>
      <c r="B165" s="76" t="s">
        <v>5</v>
      </c>
      <c r="C165" s="76" t="s">
        <v>147</v>
      </c>
      <c r="D165" s="76">
        <v>7347.0</v>
      </c>
      <c r="E165" s="76">
        <v>27.02</v>
      </c>
      <c r="F165" s="76">
        <v>136.3</v>
      </c>
      <c r="G165" s="76">
        <v>0.0186</v>
      </c>
      <c r="H165" s="76">
        <v>0.69</v>
      </c>
      <c r="I165" s="76">
        <v>2.6725</v>
      </c>
      <c r="J165" s="76">
        <v>19.98</v>
      </c>
      <c r="K165" s="76">
        <v>10.54</v>
      </c>
      <c r="L165" s="76">
        <v>5.04</v>
      </c>
      <c r="M165" s="76">
        <v>0.4777</v>
      </c>
      <c r="N165" s="76">
        <v>0.6204</v>
      </c>
      <c r="O165" s="76">
        <v>0.3596</v>
      </c>
      <c r="P165" s="76">
        <v>2.0933</v>
      </c>
      <c r="Q165" s="76">
        <v>32.88</v>
      </c>
      <c r="R165" s="76">
        <v>29.99</v>
      </c>
      <c r="S165" s="76">
        <v>2.89</v>
      </c>
      <c r="T165" s="76">
        <v>1.59</v>
      </c>
      <c r="U165" s="76">
        <v>31.29</v>
      </c>
      <c r="V165" s="76">
        <v>35.58</v>
      </c>
      <c r="W165" s="76">
        <v>3.3755</v>
      </c>
      <c r="X165" s="76">
        <v>4.82</v>
      </c>
      <c r="Y165" s="76">
        <v>200.0</v>
      </c>
      <c r="Z165" s="76">
        <v>308.0</v>
      </c>
      <c r="AA165" s="76">
        <v>1129.0</v>
      </c>
      <c r="AB165" s="76">
        <v>49.8718</v>
      </c>
      <c r="AC165" s="76">
        <v>0.6242</v>
      </c>
      <c r="AD165" s="76">
        <v>3.96</v>
      </c>
      <c r="AE165" s="76">
        <v>1.0</v>
      </c>
      <c r="AF165" s="76">
        <v>3.0</v>
      </c>
      <c r="AG165" s="76">
        <v>5.0</v>
      </c>
      <c r="AH165" s="76">
        <v>8.0</v>
      </c>
      <c r="AI165" s="76">
        <v>74.34</v>
      </c>
      <c r="AJ165" s="76">
        <v>33.5</v>
      </c>
      <c r="AK165" s="76">
        <v>6.21</v>
      </c>
      <c r="AL165" s="76">
        <v>0.5259</v>
      </c>
      <c r="AM165" s="76">
        <v>37.73</v>
      </c>
      <c r="AN165" s="76">
        <v>37.73</v>
      </c>
      <c r="AO165" s="76">
        <v>17.61</v>
      </c>
      <c r="AP165" s="76">
        <v>5.53</v>
      </c>
      <c r="AQ165" s="76">
        <v>2.2404</v>
      </c>
      <c r="AR165" s="76">
        <v>0.0393</v>
      </c>
      <c r="AS165" s="76">
        <v>2.201</v>
      </c>
      <c r="AT165" s="76">
        <v>2.2593</v>
      </c>
      <c r="AU165" s="76">
        <v>0.2143</v>
      </c>
      <c r="AV165" s="76">
        <v>7347.0</v>
      </c>
      <c r="AW165" s="76">
        <v>0.0</v>
      </c>
      <c r="AX165" s="76">
        <v>17.83</v>
      </c>
      <c r="AY165" s="76">
        <v>10.89</v>
      </c>
      <c r="AZ165" s="76">
        <v>1.79</v>
      </c>
      <c r="BA165" s="76">
        <v>1.59</v>
      </c>
      <c r="BB165" s="76">
        <v>0.78</v>
      </c>
      <c r="BC165" s="76">
        <v>16.0</v>
      </c>
      <c r="BD165" s="76">
        <v>17628.0</v>
      </c>
      <c r="BE165" s="76">
        <v>1.4817</v>
      </c>
      <c r="BF165" s="76">
        <v>0.0208</v>
      </c>
      <c r="BG165" s="76">
        <v>1.4609</v>
      </c>
      <c r="BH165" s="76">
        <v>1.3116</v>
      </c>
      <c r="BI165" s="76">
        <v>0.1244</v>
      </c>
      <c r="BJ165" s="76">
        <v>0.7587</v>
      </c>
      <c r="BK165" s="76">
        <v>0.0185</v>
      </c>
      <c r="BL165" s="76">
        <v>0.7402</v>
      </c>
      <c r="BM165" s="76">
        <v>0.9477</v>
      </c>
      <c r="BN165" s="76">
        <v>0.0899</v>
      </c>
      <c r="BO165" s="76">
        <v>0.6038</v>
      </c>
      <c r="BP165" s="76">
        <v>0.0088</v>
      </c>
      <c r="BQ165" s="76">
        <v>0.5949</v>
      </c>
      <c r="BR165" s="76">
        <v>0.5503</v>
      </c>
      <c r="BS165" s="76">
        <v>0.6139</v>
      </c>
      <c r="BT165" s="76">
        <v>0.0044</v>
      </c>
      <c r="BU165" s="76">
        <v>0.6095</v>
      </c>
      <c r="BV165" s="76">
        <v>0.4988</v>
      </c>
      <c r="BW165" s="76">
        <v>0.2641</v>
      </c>
      <c r="BX165" s="76">
        <v>0.0076</v>
      </c>
      <c r="BY165" s="76">
        <v>0.2564</v>
      </c>
      <c r="BZ165" s="76">
        <v>0.2624</v>
      </c>
      <c r="CA165" s="76">
        <v>0.0867</v>
      </c>
      <c r="CB165" s="76">
        <v>0.0035</v>
      </c>
      <c r="CC165" s="76">
        <v>0.0832</v>
      </c>
      <c r="CD165" s="76">
        <v>0.1349</v>
      </c>
      <c r="CE165" s="76">
        <v>0.3996</v>
      </c>
      <c r="CF165" s="76">
        <v>0.0083</v>
      </c>
      <c r="CG165" s="76">
        <v>0.3913</v>
      </c>
      <c r="CH165" s="76">
        <v>0.4703</v>
      </c>
      <c r="CI165" s="76">
        <v>0.2724</v>
      </c>
      <c r="CJ165" s="76">
        <v>0.0067</v>
      </c>
      <c r="CK165" s="76">
        <v>0.2657</v>
      </c>
      <c r="CL165" s="76">
        <v>0.3426</v>
      </c>
      <c r="CM165" s="76">
        <v>63.38</v>
      </c>
      <c r="CN165" s="76">
        <v>66.42</v>
      </c>
      <c r="CO165" s="76">
        <v>95.42</v>
      </c>
      <c r="CP165" s="76">
        <v>56.92</v>
      </c>
      <c r="CQ165" s="76">
        <v>0.07</v>
      </c>
      <c r="CR165" s="76">
        <v>3.53</v>
      </c>
      <c r="CS165" s="76">
        <v>2.86</v>
      </c>
      <c r="CT165" s="76">
        <v>0.0</v>
      </c>
      <c r="CU165" s="76">
        <v>1863.0</v>
      </c>
      <c r="CV165" s="76">
        <v>0.03</v>
      </c>
      <c r="CW165" s="76">
        <v>32.9</v>
      </c>
      <c r="CX165" s="76">
        <v>0.02</v>
      </c>
      <c r="CY165" s="76">
        <v>0.09</v>
      </c>
    </row>
    <row r="166" ht="15.75" customHeight="1">
      <c r="A166" s="164">
        <v>46243.0</v>
      </c>
      <c r="B166" s="76" t="s">
        <v>5</v>
      </c>
      <c r="C166" s="76" t="s">
        <v>148</v>
      </c>
      <c r="D166" s="76">
        <v>5840.0</v>
      </c>
      <c r="E166" s="76">
        <v>21.48</v>
      </c>
      <c r="F166" s="76">
        <v>285.45</v>
      </c>
      <c r="G166" s="76">
        <v>0.0489</v>
      </c>
      <c r="H166" s="76">
        <v>1.59</v>
      </c>
      <c r="I166" s="76">
        <v>3.0694</v>
      </c>
      <c r="J166" s="76">
        <v>37.47</v>
      </c>
      <c r="K166" s="76">
        <v>21.06</v>
      </c>
      <c r="L166" s="76">
        <v>13.11</v>
      </c>
      <c r="M166" s="76">
        <v>0.6224</v>
      </c>
      <c r="N166" s="76">
        <v>0.492</v>
      </c>
      <c r="O166" s="76">
        <v>0.2884</v>
      </c>
      <c r="P166" s="76">
        <v>1.6068</v>
      </c>
      <c r="Q166" s="76">
        <v>73.05</v>
      </c>
      <c r="R166" s="76">
        <v>64.75</v>
      </c>
      <c r="S166" s="76">
        <v>8.3</v>
      </c>
      <c r="T166" s="76">
        <v>3.71</v>
      </c>
      <c r="U166" s="76">
        <v>69.34</v>
      </c>
      <c r="V166" s="76">
        <v>75.68</v>
      </c>
      <c r="W166" s="76">
        <v>3.5932</v>
      </c>
      <c r="X166" s="76">
        <v>5.07</v>
      </c>
      <c r="Y166" s="76">
        <v>223.0</v>
      </c>
      <c r="Z166" s="76">
        <v>370.0</v>
      </c>
      <c r="AA166" s="76">
        <v>1060.0</v>
      </c>
      <c r="AB166" s="76">
        <v>52.2607</v>
      </c>
      <c r="AC166" s="76">
        <v>0.7219</v>
      </c>
      <c r="AD166" s="76">
        <v>9.63</v>
      </c>
      <c r="AE166" s="76">
        <v>4.0</v>
      </c>
      <c r="AF166" s="76">
        <v>9.0</v>
      </c>
      <c r="AG166" s="76">
        <v>13.0</v>
      </c>
      <c r="AH166" s="76">
        <v>19.0</v>
      </c>
      <c r="AI166" s="76">
        <v>66.8</v>
      </c>
      <c r="AJ166" s="76">
        <v>27.48</v>
      </c>
      <c r="AK166" s="76">
        <v>3.39</v>
      </c>
      <c r="AL166" s="76">
        <v>0.3908</v>
      </c>
      <c r="AM166" s="76">
        <v>42.17</v>
      </c>
      <c r="AN166" s="76">
        <v>42.17</v>
      </c>
      <c r="AO166" s="76">
        <v>25.07</v>
      </c>
      <c r="AP166" s="76">
        <v>12.36</v>
      </c>
      <c r="AQ166" s="76">
        <v>4.318</v>
      </c>
      <c r="AR166" s="76">
        <v>0.0776</v>
      </c>
      <c r="AS166" s="76">
        <v>4.2404</v>
      </c>
      <c r="AT166" s="76">
        <v>4.2228</v>
      </c>
      <c r="AU166" s="76">
        <v>0.2005</v>
      </c>
      <c r="AV166" s="76">
        <v>5840.0</v>
      </c>
      <c r="AW166" s="76">
        <v>0.0</v>
      </c>
      <c r="AX166" s="76">
        <v>36.04</v>
      </c>
      <c r="AY166" s="76">
        <v>29.73</v>
      </c>
      <c r="AZ166" s="76">
        <v>2.39</v>
      </c>
      <c r="BA166" s="76">
        <v>3.71</v>
      </c>
      <c r="BB166" s="76">
        <v>1.18</v>
      </c>
      <c r="BC166" s="76">
        <v>33.0</v>
      </c>
      <c r="BD166" s="76">
        <v>16945.0</v>
      </c>
      <c r="BE166" s="76">
        <v>2.7075</v>
      </c>
      <c r="BF166" s="76">
        <v>0.0488</v>
      </c>
      <c r="BG166" s="76">
        <v>2.6587</v>
      </c>
      <c r="BH166" s="76">
        <v>2.3885</v>
      </c>
      <c r="BI166" s="76">
        <v>0.1134</v>
      </c>
      <c r="BJ166" s="76">
        <v>1.6104</v>
      </c>
      <c r="BK166" s="76">
        <v>0.0288</v>
      </c>
      <c r="BL166" s="76">
        <v>1.5817</v>
      </c>
      <c r="BM166" s="76">
        <v>1.8342</v>
      </c>
      <c r="BN166" s="76">
        <v>0.0871</v>
      </c>
      <c r="BO166" s="76">
        <v>1.0106</v>
      </c>
      <c r="BP166" s="76">
        <v>0.0193</v>
      </c>
      <c r="BQ166" s="76">
        <v>0.9913</v>
      </c>
      <c r="BR166" s="76">
        <v>0.9521</v>
      </c>
      <c r="BS166" s="76">
        <v>1.1236</v>
      </c>
      <c r="BT166" s="76">
        <v>0.0116</v>
      </c>
      <c r="BU166" s="76">
        <v>1.112</v>
      </c>
      <c r="BV166" s="76">
        <v>0.9065</v>
      </c>
      <c r="BW166" s="76">
        <v>0.5733</v>
      </c>
      <c r="BX166" s="76">
        <v>0.0178</v>
      </c>
      <c r="BY166" s="76">
        <v>0.5555</v>
      </c>
      <c r="BZ166" s="76">
        <v>0.53</v>
      </c>
      <c r="CA166" s="76">
        <v>0.195</v>
      </c>
      <c r="CB166" s="76">
        <v>0.0067</v>
      </c>
      <c r="CC166" s="76">
        <v>0.1884</v>
      </c>
      <c r="CD166" s="76">
        <v>0.3003</v>
      </c>
      <c r="CE166" s="76">
        <v>0.8315</v>
      </c>
      <c r="CF166" s="76">
        <v>0.0103</v>
      </c>
      <c r="CG166" s="76">
        <v>0.8212</v>
      </c>
      <c r="CH166" s="76">
        <v>0.8854</v>
      </c>
      <c r="CI166" s="76">
        <v>0.5839</v>
      </c>
      <c r="CJ166" s="76">
        <v>0.0118</v>
      </c>
      <c r="CK166" s="76">
        <v>0.5721</v>
      </c>
      <c r="CL166" s="76">
        <v>0.6485</v>
      </c>
      <c r="CM166" s="76">
        <v>158.59</v>
      </c>
      <c r="CN166" s="76">
        <v>82.48</v>
      </c>
      <c r="CO166" s="76">
        <v>192.27</v>
      </c>
      <c r="CP166" s="76">
        <v>139.68</v>
      </c>
      <c r="CQ166" s="76">
        <v>0.11</v>
      </c>
      <c r="CR166" s="76">
        <v>4.59</v>
      </c>
      <c r="CS166" s="76">
        <v>14.21</v>
      </c>
      <c r="CT166" s="76">
        <v>0.0</v>
      </c>
      <c r="CU166" s="76">
        <v>2130.0</v>
      </c>
      <c r="CV166" s="76">
        <v>0.02</v>
      </c>
      <c r="CW166" s="76">
        <v>73.07</v>
      </c>
      <c r="CX166" s="76">
        <v>0.07</v>
      </c>
      <c r="CY166" s="76">
        <v>0.18</v>
      </c>
    </row>
    <row r="167" ht="15.75" customHeight="1">
      <c r="A167" s="164">
        <v>46243.0</v>
      </c>
      <c r="B167" s="76" t="s">
        <v>5</v>
      </c>
      <c r="C167" s="76" t="s">
        <v>149</v>
      </c>
      <c r="D167" s="76">
        <v>5098.0</v>
      </c>
      <c r="E167" s="76">
        <v>18.75</v>
      </c>
      <c r="F167" s="76">
        <v>530.31</v>
      </c>
      <c r="G167" s="76">
        <v>0.104</v>
      </c>
      <c r="H167" s="76">
        <v>2.67</v>
      </c>
      <c r="I167" s="76">
        <v>3.8993</v>
      </c>
      <c r="J167" s="76">
        <v>58.08</v>
      </c>
      <c r="K167" s="76">
        <v>34.77</v>
      </c>
      <c r="L167" s="76">
        <v>24.42</v>
      </c>
      <c r="M167" s="76">
        <v>0.7023</v>
      </c>
      <c r="N167" s="76">
        <v>0.4118</v>
      </c>
      <c r="O167" s="76">
        <v>0.2546</v>
      </c>
      <c r="P167" s="76">
        <v>1.4239</v>
      </c>
      <c r="Q167" s="76">
        <v>127.11</v>
      </c>
      <c r="R167" s="76">
        <v>112.59</v>
      </c>
      <c r="S167" s="76">
        <v>14.52</v>
      </c>
      <c r="T167" s="76">
        <v>9.27</v>
      </c>
      <c r="U167" s="76">
        <v>117.84</v>
      </c>
      <c r="V167" s="76">
        <v>133.2</v>
      </c>
      <c r="W167" s="76">
        <v>3.8309</v>
      </c>
      <c r="X167" s="76">
        <v>7.29</v>
      </c>
      <c r="Y167" s="76">
        <v>248.0</v>
      </c>
      <c r="Z167" s="76">
        <v>412.0</v>
      </c>
      <c r="AA167" s="76">
        <v>951.0</v>
      </c>
      <c r="AB167" s="76">
        <v>53.623</v>
      </c>
      <c r="AC167" s="76">
        <v>0.7761</v>
      </c>
      <c r="AD167" s="76">
        <v>15.9</v>
      </c>
      <c r="AE167" s="76">
        <v>7.0</v>
      </c>
      <c r="AF167" s="76">
        <v>13.0</v>
      </c>
      <c r="AG167" s="76">
        <v>22.0</v>
      </c>
      <c r="AH167" s="76">
        <v>31.0</v>
      </c>
      <c r="AI167" s="76">
        <v>56.83</v>
      </c>
      <c r="AJ167" s="76">
        <v>18.97</v>
      </c>
      <c r="AK167" s="76">
        <v>3.61</v>
      </c>
      <c r="AL167" s="76">
        <v>0.3074</v>
      </c>
      <c r="AM167" s="76">
        <v>40.02</v>
      </c>
      <c r="AN167" s="76">
        <v>40.02</v>
      </c>
      <c r="AO167" s="76">
        <v>21.87</v>
      </c>
      <c r="AP167" s="76">
        <v>11.55</v>
      </c>
      <c r="AQ167" s="76">
        <v>6.3495</v>
      </c>
      <c r="AR167" s="76">
        <v>0.1008</v>
      </c>
      <c r="AS167" s="76">
        <v>6.2487</v>
      </c>
      <c r="AT167" s="76">
        <v>6.052</v>
      </c>
      <c r="AU167" s="76">
        <v>0.1741</v>
      </c>
      <c r="AV167" s="76">
        <v>5098.0</v>
      </c>
      <c r="AW167" s="76">
        <v>0.0</v>
      </c>
      <c r="AX167" s="76">
        <v>60.94</v>
      </c>
      <c r="AY167" s="76">
        <v>52.36</v>
      </c>
      <c r="AZ167" s="76">
        <v>2.62</v>
      </c>
      <c r="BA167" s="76">
        <v>9.27</v>
      </c>
      <c r="BB167" s="76">
        <v>1.92</v>
      </c>
      <c r="BC167" s="76">
        <v>61.0</v>
      </c>
      <c r="BD167" s="76">
        <v>12245.0</v>
      </c>
      <c r="BE167" s="76">
        <v>3.8274</v>
      </c>
      <c r="BF167" s="76">
        <v>0.0406</v>
      </c>
      <c r="BG167" s="76">
        <v>3.7868</v>
      </c>
      <c r="BH167" s="76">
        <v>3.1452</v>
      </c>
      <c r="BI167" s="76">
        <v>0.0905</v>
      </c>
      <c r="BJ167" s="76">
        <v>2.5222</v>
      </c>
      <c r="BK167" s="76">
        <v>0.0602</v>
      </c>
      <c r="BL167" s="76">
        <v>2.4619</v>
      </c>
      <c r="BM167" s="76">
        <v>2.9068</v>
      </c>
      <c r="BN167" s="76">
        <v>0.0836</v>
      </c>
      <c r="BO167" s="76">
        <v>1.3962</v>
      </c>
      <c r="BP167" s="76">
        <v>0.0133</v>
      </c>
      <c r="BQ167" s="76">
        <v>1.3829</v>
      </c>
      <c r="BR167" s="76">
        <v>1.2128</v>
      </c>
      <c r="BS167" s="76">
        <v>1.5182</v>
      </c>
      <c r="BT167" s="76">
        <v>0.0128</v>
      </c>
      <c r="BU167" s="76">
        <v>1.5055</v>
      </c>
      <c r="BV167" s="76">
        <v>1.1607</v>
      </c>
      <c r="BW167" s="76">
        <v>0.9129</v>
      </c>
      <c r="BX167" s="76">
        <v>0.0145</v>
      </c>
      <c r="BY167" s="76">
        <v>0.8984</v>
      </c>
      <c r="BZ167" s="76">
        <v>0.7717</v>
      </c>
      <c r="CA167" s="76">
        <v>0.3311</v>
      </c>
      <c r="CB167" s="76">
        <v>0.0171</v>
      </c>
      <c r="CC167" s="76">
        <v>0.314</v>
      </c>
      <c r="CD167" s="76">
        <v>0.5339</v>
      </c>
      <c r="CE167" s="76">
        <v>1.1879</v>
      </c>
      <c r="CF167" s="76">
        <v>0.0233</v>
      </c>
      <c r="CG167" s="76">
        <v>1.1646</v>
      </c>
      <c r="CH167" s="76">
        <v>1.2821</v>
      </c>
      <c r="CI167" s="76">
        <v>1.0031</v>
      </c>
      <c r="CJ167" s="76">
        <v>0.0198</v>
      </c>
      <c r="CK167" s="76">
        <v>0.9833</v>
      </c>
      <c r="CL167" s="76">
        <v>1.0908</v>
      </c>
      <c r="CM167" s="76">
        <v>291.04</v>
      </c>
      <c r="CN167" s="76">
        <v>92.68</v>
      </c>
      <c r="CO167" s="76">
        <v>314.01</v>
      </c>
      <c r="CP167" s="76">
        <v>262.4</v>
      </c>
      <c r="CQ167" s="76">
        <v>0.12</v>
      </c>
      <c r="CR167" s="76">
        <v>5.65</v>
      </c>
      <c r="CS167" s="76">
        <v>22.86</v>
      </c>
      <c r="CT167" s="76">
        <v>0.0</v>
      </c>
      <c r="CU167" s="76">
        <v>2162.0</v>
      </c>
      <c r="CV167" s="76">
        <v>0.01</v>
      </c>
      <c r="CW167" s="76">
        <v>127.12</v>
      </c>
      <c r="CX167" s="76">
        <v>0.03</v>
      </c>
      <c r="CY167" s="76">
        <v>0.16</v>
      </c>
    </row>
    <row r="168" ht="15.75" customHeight="1">
      <c r="A168" s="164">
        <v>46243.0</v>
      </c>
      <c r="B168" s="76" t="s">
        <v>5</v>
      </c>
      <c r="C168" s="76" t="s">
        <v>150</v>
      </c>
      <c r="D168" s="76">
        <v>3102.0</v>
      </c>
      <c r="E168" s="76">
        <v>11.41</v>
      </c>
      <c r="F168" s="76">
        <v>477.66</v>
      </c>
      <c r="G168" s="76">
        <v>0.154</v>
      </c>
      <c r="H168" s="76">
        <v>3.32</v>
      </c>
      <c r="I168" s="76">
        <v>4.6375</v>
      </c>
      <c r="J168" s="76">
        <v>110.64</v>
      </c>
      <c r="K168" s="76">
        <v>70.55</v>
      </c>
      <c r="L168" s="76">
        <v>52.01</v>
      </c>
      <c r="M168" s="76">
        <v>0.7372</v>
      </c>
      <c r="N168" s="76">
        <v>0.364</v>
      </c>
      <c r="O168" s="76">
        <v>0.2321</v>
      </c>
      <c r="P168" s="76">
        <v>1.3565</v>
      </c>
      <c r="Q168" s="76">
        <v>248.34</v>
      </c>
      <c r="R168" s="76">
        <v>217.96</v>
      </c>
      <c r="S168" s="76">
        <v>30.38</v>
      </c>
      <c r="T168" s="76">
        <v>13.39</v>
      </c>
      <c r="U168" s="76">
        <v>234.94</v>
      </c>
      <c r="V168" s="76">
        <v>247.84</v>
      </c>
      <c r="W168" s="76">
        <v>3.5129</v>
      </c>
      <c r="X168" s="76">
        <v>5.39</v>
      </c>
      <c r="Y168" s="76">
        <v>307.0</v>
      </c>
      <c r="Z168" s="76">
        <v>513.0</v>
      </c>
      <c r="AA168" s="76">
        <v>1108.0</v>
      </c>
      <c r="AB168" s="76">
        <v>55.5261</v>
      </c>
      <c r="AC168" s="76">
        <v>0.7703</v>
      </c>
      <c r="AD168" s="76">
        <v>27.56</v>
      </c>
      <c r="AE168" s="76">
        <v>10.0</v>
      </c>
      <c r="AF168" s="76">
        <v>20.0</v>
      </c>
      <c r="AG168" s="76">
        <v>38.0</v>
      </c>
      <c r="AH168" s="76">
        <v>56.0</v>
      </c>
      <c r="AI168" s="76">
        <v>37.62</v>
      </c>
      <c r="AJ168" s="76">
        <v>8.9</v>
      </c>
      <c r="AK168" s="76">
        <v>2.39</v>
      </c>
      <c r="AL168" s="76">
        <v>0.1879</v>
      </c>
      <c r="AM168" s="76">
        <v>44.49</v>
      </c>
      <c r="AN168" s="76">
        <v>44.49</v>
      </c>
      <c r="AO168" s="76">
        <v>28.82</v>
      </c>
      <c r="AP168" s="76">
        <v>19.02</v>
      </c>
      <c r="AQ168" s="76">
        <v>11.1344</v>
      </c>
      <c r="AR168" s="76">
        <v>0.2073</v>
      </c>
      <c r="AS168" s="76">
        <v>10.9271</v>
      </c>
      <c r="AT168" s="76">
        <v>10.3659</v>
      </c>
      <c r="AU168" s="76">
        <v>0.1469</v>
      </c>
      <c r="AV168" s="76">
        <v>3102.0</v>
      </c>
      <c r="AW168" s="76">
        <v>0.0</v>
      </c>
      <c r="AX168" s="76">
        <v>118.03</v>
      </c>
      <c r="AY168" s="76">
        <v>108.93</v>
      </c>
      <c r="AZ168" s="76">
        <v>3.36</v>
      </c>
      <c r="BA168" s="76">
        <v>13.39</v>
      </c>
      <c r="BB168" s="76">
        <v>4.63</v>
      </c>
      <c r="BC168" s="76">
        <v>122.0</v>
      </c>
      <c r="BD168" s="76">
        <v>13036.0</v>
      </c>
      <c r="BE168" s="76">
        <v>6.1863</v>
      </c>
      <c r="BF168" s="76">
        <v>0.0793</v>
      </c>
      <c r="BG168" s="76">
        <v>6.107</v>
      </c>
      <c r="BH168" s="76">
        <v>4.9865</v>
      </c>
      <c r="BI168" s="76">
        <v>0.0707</v>
      </c>
      <c r="BJ168" s="76">
        <v>4.9481</v>
      </c>
      <c r="BK168" s="76">
        <v>0.128</v>
      </c>
      <c r="BL168" s="76">
        <v>4.8201</v>
      </c>
      <c r="BM168" s="76">
        <v>5.3794</v>
      </c>
      <c r="BN168" s="76">
        <v>0.0762</v>
      </c>
      <c r="BO168" s="76">
        <v>2.1354</v>
      </c>
      <c r="BP168" s="76">
        <v>0.0245</v>
      </c>
      <c r="BQ168" s="76">
        <v>2.1109</v>
      </c>
      <c r="BR168" s="76">
        <v>1.7963</v>
      </c>
      <c r="BS168" s="76">
        <v>2.4023</v>
      </c>
      <c r="BT168" s="76">
        <v>0.0255</v>
      </c>
      <c r="BU168" s="76">
        <v>2.3769</v>
      </c>
      <c r="BV168" s="76">
        <v>1.8362</v>
      </c>
      <c r="BW168" s="76">
        <v>1.6486</v>
      </c>
      <c r="BX168" s="76">
        <v>0.0293</v>
      </c>
      <c r="BY168" s="76">
        <v>1.6193</v>
      </c>
      <c r="BZ168" s="76">
        <v>1.354</v>
      </c>
      <c r="CA168" s="76">
        <v>0.8114</v>
      </c>
      <c r="CB168" s="76">
        <v>0.0268</v>
      </c>
      <c r="CC168" s="76">
        <v>0.7847</v>
      </c>
      <c r="CD168" s="76">
        <v>1.0999</v>
      </c>
      <c r="CE168" s="76">
        <v>2.207</v>
      </c>
      <c r="CF168" s="76">
        <v>0.0525</v>
      </c>
      <c r="CG168" s="76">
        <v>2.1544</v>
      </c>
      <c r="CH168" s="76">
        <v>2.2234</v>
      </c>
      <c r="CI168" s="76">
        <v>1.9297</v>
      </c>
      <c r="CJ168" s="76">
        <v>0.0487</v>
      </c>
      <c r="CK168" s="76">
        <v>1.881</v>
      </c>
      <c r="CL168" s="76">
        <v>2.0561</v>
      </c>
      <c r="CM168" s="76">
        <v>624.6</v>
      </c>
      <c r="CN168" s="76">
        <v>98.58</v>
      </c>
      <c r="CO168" s="76">
        <v>633.59</v>
      </c>
      <c r="CP168" s="76">
        <v>582.05</v>
      </c>
      <c r="CQ168" s="76">
        <v>0.07</v>
      </c>
      <c r="CR168" s="76">
        <v>8.16</v>
      </c>
      <c r="CS168" s="76">
        <v>34.33</v>
      </c>
      <c r="CT168" s="76">
        <v>0.0</v>
      </c>
      <c r="CU168" s="76">
        <v>1508.0</v>
      </c>
      <c r="CV168" s="76">
        <v>0.0</v>
      </c>
      <c r="CW168" s="76">
        <v>248.34</v>
      </c>
      <c r="CX168" s="76">
        <v>0.05</v>
      </c>
      <c r="CY168" s="76">
        <v>0.11</v>
      </c>
    </row>
    <row r="169" ht="15.75" customHeight="1">
      <c r="A169" s="164">
        <v>46243.0</v>
      </c>
      <c r="B169" s="76" t="s">
        <v>5</v>
      </c>
      <c r="C169" s="76" t="s">
        <v>151</v>
      </c>
      <c r="D169" s="76">
        <v>523.0</v>
      </c>
      <c r="E169" s="76">
        <v>1.92</v>
      </c>
      <c r="F169" s="76">
        <v>151.43</v>
      </c>
      <c r="G169" s="76">
        <v>0.2895</v>
      </c>
      <c r="H169" s="76">
        <v>6.5</v>
      </c>
      <c r="I169" s="76">
        <v>4.4538</v>
      </c>
      <c r="J169" s="76">
        <v>241.72</v>
      </c>
      <c r="K169" s="76">
        <v>172.66</v>
      </c>
      <c r="L169" s="76">
        <v>126.81</v>
      </c>
      <c r="M169" s="76">
        <v>0.7344</v>
      </c>
      <c r="N169" s="76">
        <v>0.3366</v>
      </c>
      <c r="O169" s="76">
        <v>0.2065</v>
      </c>
      <c r="P169" s="76">
        <v>1.3616</v>
      </c>
      <c r="Q169" s="76">
        <v>514.68</v>
      </c>
      <c r="R169" s="76">
        <v>437.63</v>
      </c>
      <c r="S169" s="76">
        <v>77.05</v>
      </c>
      <c r="T169" s="76">
        <v>28.11</v>
      </c>
      <c r="U169" s="76">
        <v>486.57</v>
      </c>
      <c r="V169" s="76">
        <v>497.8</v>
      </c>
      <c r="W169" s="76">
        <v>2.8831</v>
      </c>
      <c r="X169" s="76">
        <v>5.46</v>
      </c>
      <c r="Y169" s="76">
        <v>386.0</v>
      </c>
      <c r="Z169" s="76">
        <v>706.0</v>
      </c>
      <c r="AA169" s="76">
        <v>1198.0</v>
      </c>
      <c r="AB169" s="76">
        <v>57.6006</v>
      </c>
      <c r="AC169" s="76">
        <v>0.776</v>
      </c>
      <c r="AD169" s="76">
        <v>47.32</v>
      </c>
      <c r="AE169" s="76">
        <v>19.0</v>
      </c>
      <c r="AF169" s="76">
        <v>34.0</v>
      </c>
      <c r="AG169" s="76">
        <v>62.0</v>
      </c>
      <c r="AH169" s="76">
        <v>102.0</v>
      </c>
      <c r="AI169" s="76">
        <v>17.02</v>
      </c>
      <c r="AJ169" s="76">
        <v>2.68</v>
      </c>
      <c r="AK169" s="76">
        <v>0.19</v>
      </c>
      <c r="AL169" s="76">
        <v>0.1033</v>
      </c>
      <c r="AM169" s="76">
        <v>72.47</v>
      </c>
      <c r="AN169" s="76">
        <v>72.47</v>
      </c>
      <c r="AO169" s="76">
        <v>59.66</v>
      </c>
      <c r="AP169" s="76">
        <v>52.2</v>
      </c>
      <c r="AQ169" s="76">
        <v>23.3862</v>
      </c>
      <c r="AR169" s="76">
        <v>0.2792</v>
      </c>
      <c r="AS169" s="76">
        <v>23.1071</v>
      </c>
      <c r="AT169" s="76">
        <v>24.1511</v>
      </c>
      <c r="AU169" s="76">
        <v>0.1399</v>
      </c>
      <c r="AV169" s="76">
        <v>523.0</v>
      </c>
      <c r="AW169" s="76">
        <v>0.0</v>
      </c>
      <c r="AX169" s="76">
        <v>276.53</v>
      </c>
      <c r="AY169" s="76">
        <v>191.24</v>
      </c>
      <c r="AZ169" s="76">
        <v>5.02</v>
      </c>
      <c r="BA169" s="76">
        <v>28.11</v>
      </c>
      <c r="BB169" s="76">
        <v>13.78</v>
      </c>
      <c r="BC169" s="76">
        <v>206.0</v>
      </c>
      <c r="BD169" s="76">
        <v>7159.0</v>
      </c>
      <c r="BE169" s="76">
        <v>12.8738</v>
      </c>
      <c r="BF169" s="76">
        <v>0.1205</v>
      </c>
      <c r="BG169" s="76">
        <v>12.7533</v>
      </c>
      <c r="BH169" s="76">
        <v>10.1396</v>
      </c>
      <c r="BI169" s="76">
        <v>0.0587</v>
      </c>
      <c r="BJ169" s="76">
        <v>10.5124</v>
      </c>
      <c r="BK169" s="76">
        <v>0.1587</v>
      </c>
      <c r="BL169" s="76">
        <v>10.3537</v>
      </c>
      <c r="BM169" s="76">
        <v>14.0115</v>
      </c>
      <c r="BN169" s="76">
        <v>0.0811</v>
      </c>
      <c r="BO169" s="76">
        <v>4.2409</v>
      </c>
      <c r="BP169" s="76">
        <v>0.0402</v>
      </c>
      <c r="BQ169" s="76">
        <v>4.2008</v>
      </c>
      <c r="BR169" s="76">
        <v>3.3652</v>
      </c>
      <c r="BS169" s="76">
        <v>5.0019</v>
      </c>
      <c r="BT169" s="76">
        <v>0.0402</v>
      </c>
      <c r="BU169" s="76">
        <v>4.9618</v>
      </c>
      <c r="BV169" s="76">
        <v>3.805</v>
      </c>
      <c r="BW169" s="76">
        <v>3.631</v>
      </c>
      <c r="BX169" s="76">
        <v>0.0402</v>
      </c>
      <c r="BY169" s="76">
        <v>3.5908</v>
      </c>
      <c r="BZ169" s="76">
        <v>2.9694</v>
      </c>
      <c r="CA169" s="76">
        <v>1.8623</v>
      </c>
      <c r="CB169" s="76">
        <v>0.044</v>
      </c>
      <c r="CC169" s="76">
        <v>1.8184</v>
      </c>
      <c r="CD169" s="76">
        <v>4.7648</v>
      </c>
      <c r="CE169" s="76">
        <v>4.4321</v>
      </c>
      <c r="CF169" s="76">
        <v>0.0631</v>
      </c>
      <c r="CG169" s="76">
        <v>4.369</v>
      </c>
      <c r="CH169" s="76">
        <v>4.543</v>
      </c>
      <c r="CI169" s="76">
        <v>4.218</v>
      </c>
      <c r="CJ169" s="76">
        <v>0.0516</v>
      </c>
      <c r="CK169" s="76">
        <v>4.1663</v>
      </c>
      <c r="CL169" s="76">
        <v>4.7036</v>
      </c>
      <c r="CM169" s="76">
        <v>1464.92</v>
      </c>
      <c r="CN169" s="76">
        <v>99.81</v>
      </c>
      <c r="CO169" s="76">
        <v>1467.73</v>
      </c>
      <c r="CP169" s="76">
        <v>1407.45</v>
      </c>
      <c r="CQ169" s="76">
        <v>0.0</v>
      </c>
      <c r="CR169" s="76">
        <v>14.8</v>
      </c>
      <c r="CS169" s="76">
        <v>42.67</v>
      </c>
      <c r="CT169" s="76">
        <v>0.0</v>
      </c>
      <c r="CU169" s="76">
        <v>256.0</v>
      </c>
      <c r="CV169" s="76">
        <v>0.01</v>
      </c>
      <c r="CW169" s="76">
        <v>514.69</v>
      </c>
      <c r="CX169" s="76">
        <v>0.0</v>
      </c>
      <c r="CY169" s="76">
        <v>0.0</v>
      </c>
    </row>
    <row r="170" ht="15.75" customHeight="1">
      <c r="A170" s="164">
        <v>46244.0</v>
      </c>
      <c r="B170" s="76" t="s">
        <v>4</v>
      </c>
      <c r="C170" s="76" t="s">
        <v>316</v>
      </c>
      <c r="D170" s="76">
        <v>4087.0</v>
      </c>
      <c r="E170" s="76">
        <v>15.17</v>
      </c>
      <c r="F170" s="76">
        <v>4.14</v>
      </c>
      <c r="G170" s="76">
        <v>0.001</v>
      </c>
      <c r="H170" s="76">
        <v>0.07</v>
      </c>
      <c r="I170" s="76">
        <v>1.38</v>
      </c>
      <c r="J170" s="76">
        <v>4.85</v>
      </c>
      <c r="K170" s="76">
        <v>1.87</v>
      </c>
      <c r="L170" s="76">
        <v>0.16</v>
      </c>
      <c r="M170" s="76">
        <v>0.0869</v>
      </c>
      <c r="N170" s="76">
        <v>0.9303</v>
      </c>
      <c r="O170" s="76">
        <v>0.5799</v>
      </c>
      <c r="P170" s="76">
        <v>11.5136</v>
      </c>
      <c r="Q170" s="76">
        <v>27.93</v>
      </c>
      <c r="R170" s="76">
        <v>27.77</v>
      </c>
      <c r="S170" s="76">
        <v>0.16</v>
      </c>
      <c r="T170" s="76">
        <v>0.16</v>
      </c>
      <c r="U170" s="76">
        <v>27.77</v>
      </c>
      <c r="V170" s="76">
        <v>3.6</v>
      </c>
      <c r="W170" s="76">
        <v>1.9228</v>
      </c>
      <c r="X170" s="76">
        <v>0.57</v>
      </c>
      <c r="Y170" s="76">
        <v>202.0</v>
      </c>
      <c r="Z170" s="76">
        <v>543.0</v>
      </c>
      <c r="AA170" s="76">
        <v>4073.0</v>
      </c>
      <c r="AB170" s="76">
        <v>50.0594</v>
      </c>
      <c r="AC170" s="76">
        <v>0.5951</v>
      </c>
      <c r="AI170" s="76">
        <v>0.0</v>
      </c>
      <c r="AJ170" s="76">
        <v>0.0</v>
      </c>
      <c r="AK170" s="76">
        <v>0.0</v>
      </c>
      <c r="AL170" s="76">
        <v>0.5542</v>
      </c>
      <c r="AQ170" s="76">
        <v>1.2043</v>
      </c>
      <c r="AR170" s="76">
        <v>0.0081</v>
      </c>
      <c r="AS170" s="76">
        <v>1.1962</v>
      </c>
      <c r="AT170" s="76">
        <v>0.3281</v>
      </c>
      <c r="AU170" s="76">
        <v>0.1754</v>
      </c>
      <c r="AV170" s="76">
        <v>4087.0</v>
      </c>
      <c r="AW170" s="76">
        <v>0.0</v>
      </c>
      <c r="AX170" s="76">
        <v>11.72</v>
      </c>
      <c r="AY170" s="76">
        <v>14.85</v>
      </c>
      <c r="AZ170" s="76">
        <v>1.08</v>
      </c>
      <c r="BA170" s="76">
        <v>0.16</v>
      </c>
      <c r="BB170" s="76">
        <v>0.12</v>
      </c>
      <c r="BD170" s="76">
        <v>28247.0</v>
      </c>
      <c r="BE170" s="76">
        <v>0.4896</v>
      </c>
      <c r="BF170" s="76">
        <v>0.0051</v>
      </c>
      <c r="BG170" s="76">
        <v>0.4845</v>
      </c>
      <c r="BH170" s="76">
        <v>0.1899</v>
      </c>
      <c r="BI170" s="76">
        <v>0.1015</v>
      </c>
      <c r="BJ170" s="76">
        <v>0.7147</v>
      </c>
      <c r="BK170" s="76">
        <v>0.0029</v>
      </c>
      <c r="BL170" s="76">
        <v>0.7118</v>
      </c>
      <c r="BM170" s="76">
        <v>0.1382</v>
      </c>
      <c r="BN170" s="76">
        <v>0.0739</v>
      </c>
      <c r="BO170" s="76">
        <v>0.1669</v>
      </c>
      <c r="BP170" s="76">
        <v>0.0044</v>
      </c>
      <c r="BQ170" s="76">
        <v>0.1625</v>
      </c>
      <c r="BR170" s="76">
        <v>0.0783</v>
      </c>
      <c r="BS170" s="76">
        <v>0.1825</v>
      </c>
      <c r="BT170" s="76">
        <v>7.0E-4</v>
      </c>
      <c r="BU170" s="76">
        <v>0.1818</v>
      </c>
      <c r="BV170" s="76">
        <v>0.0717</v>
      </c>
      <c r="BW170" s="76">
        <v>0.1402</v>
      </c>
      <c r="BX170" s="76">
        <v>0.0</v>
      </c>
      <c r="BY170" s="76">
        <v>0.1402</v>
      </c>
      <c r="BZ170" s="76">
        <v>0.0399</v>
      </c>
      <c r="CA170" s="76">
        <v>0.1674</v>
      </c>
      <c r="CB170" s="76">
        <v>0.0</v>
      </c>
      <c r="CC170" s="76">
        <v>0.1674</v>
      </c>
      <c r="CD170" s="76">
        <v>0.0284</v>
      </c>
      <c r="CE170" s="76">
        <v>0.2838</v>
      </c>
      <c r="CF170" s="76">
        <v>0.0022</v>
      </c>
      <c r="CG170" s="76">
        <v>0.2816</v>
      </c>
      <c r="CH170" s="76">
        <v>0.0551</v>
      </c>
      <c r="CI170" s="76">
        <v>0.2635</v>
      </c>
      <c r="CJ170" s="76">
        <v>7.0E-4</v>
      </c>
      <c r="CK170" s="76">
        <v>0.2628</v>
      </c>
      <c r="CL170" s="76">
        <v>0.0548</v>
      </c>
      <c r="CM170" s="76">
        <v>4.99</v>
      </c>
      <c r="CN170" s="76">
        <v>5.46</v>
      </c>
      <c r="CO170" s="76">
        <v>91.38</v>
      </c>
      <c r="CP170" s="76">
        <v>3.15</v>
      </c>
      <c r="CQ170" s="76">
        <v>0.0</v>
      </c>
      <c r="CR170" s="76">
        <v>1.12</v>
      </c>
      <c r="CS170" s="76">
        <v>0.72</v>
      </c>
      <c r="CT170" s="76">
        <v>0.0</v>
      </c>
      <c r="CU170" s="76">
        <v>0.0</v>
      </c>
      <c r="CV170" s="76">
        <v>0.0</v>
      </c>
      <c r="CW170" s="76">
        <v>27.93</v>
      </c>
      <c r="CX170" s="76">
        <v>0.0</v>
      </c>
      <c r="CY170" s="76">
        <v>0.0</v>
      </c>
    </row>
    <row r="171" ht="15.75" customHeight="1">
      <c r="A171" s="164">
        <v>46244.0</v>
      </c>
      <c r="B171" s="76" t="s">
        <v>4</v>
      </c>
      <c r="C171" s="76" t="s">
        <v>147</v>
      </c>
      <c r="D171" s="76">
        <v>7404.0</v>
      </c>
      <c r="E171" s="76">
        <v>27.49</v>
      </c>
      <c r="F171" s="76">
        <v>126.41</v>
      </c>
      <c r="G171" s="76">
        <v>0.0171</v>
      </c>
      <c r="H171" s="76">
        <v>0.66</v>
      </c>
      <c r="I171" s="76">
        <v>2.5798</v>
      </c>
      <c r="J171" s="76">
        <v>22.67</v>
      </c>
      <c r="K171" s="76">
        <v>11.92</v>
      </c>
      <c r="L171" s="76">
        <v>5.43</v>
      </c>
      <c r="M171" s="76">
        <v>0.4554</v>
      </c>
      <c r="N171" s="76">
        <v>0.6544</v>
      </c>
      <c r="O171" s="76">
        <v>0.4034</v>
      </c>
      <c r="P171" s="76">
        <v>2.196</v>
      </c>
      <c r="Q171" s="76">
        <v>63.4</v>
      </c>
      <c r="R171" s="76">
        <v>53.85</v>
      </c>
      <c r="S171" s="76">
        <v>9.55</v>
      </c>
      <c r="T171" s="76">
        <v>1.4</v>
      </c>
      <c r="U171" s="76">
        <v>62.0</v>
      </c>
      <c r="V171" s="76">
        <v>51.03</v>
      </c>
      <c r="W171" s="76">
        <v>4.2796</v>
      </c>
      <c r="X171" s="76">
        <v>2.22</v>
      </c>
      <c r="Y171" s="76">
        <v>205.0</v>
      </c>
      <c r="Z171" s="76">
        <v>387.0</v>
      </c>
      <c r="AA171" s="76">
        <v>1384.0</v>
      </c>
      <c r="AB171" s="76">
        <v>49.4708</v>
      </c>
      <c r="AC171" s="76">
        <v>0.5854</v>
      </c>
      <c r="AD171" s="76">
        <v>4.06</v>
      </c>
      <c r="AE171" s="76">
        <v>2.0</v>
      </c>
      <c r="AF171" s="76">
        <v>3.0</v>
      </c>
      <c r="AG171" s="76">
        <v>5.0</v>
      </c>
      <c r="AH171" s="76">
        <v>8.0</v>
      </c>
      <c r="AI171" s="76">
        <v>75.73</v>
      </c>
      <c r="AJ171" s="76">
        <v>34.05</v>
      </c>
      <c r="AK171" s="76">
        <v>6.87</v>
      </c>
      <c r="AL171" s="76">
        <v>0.4581</v>
      </c>
      <c r="AQ171" s="76">
        <v>3.4196</v>
      </c>
      <c r="AR171" s="76">
        <v>0.0396</v>
      </c>
      <c r="AS171" s="76">
        <v>3.3801</v>
      </c>
      <c r="AT171" s="76">
        <v>2.5769</v>
      </c>
      <c r="AU171" s="76">
        <v>0.2161</v>
      </c>
      <c r="AV171" s="76">
        <v>7404.0</v>
      </c>
      <c r="AW171" s="76">
        <v>0.0</v>
      </c>
      <c r="AX171" s="76">
        <v>30.32</v>
      </c>
      <c r="AY171" s="76">
        <v>28.93</v>
      </c>
      <c r="AZ171" s="76">
        <v>2.15</v>
      </c>
      <c r="BA171" s="76">
        <v>1.4</v>
      </c>
      <c r="BB171" s="76">
        <v>0.6</v>
      </c>
      <c r="BC171" s="76">
        <v>17.0</v>
      </c>
      <c r="BD171" s="76">
        <v>20524.0</v>
      </c>
      <c r="BE171" s="76">
        <v>1.8471</v>
      </c>
      <c r="BF171" s="76">
        <v>0.0166</v>
      </c>
      <c r="BG171" s="76">
        <v>1.8305</v>
      </c>
      <c r="BH171" s="76">
        <v>1.3624</v>
      </c>
      <c r="BI171" s="76">
        <v>0.1143</v>
      </c>
      <c r="BJ171" s="76">
        <v>1.5725</v>
      </c>
      <c r="BK171" s="76">
        <v>0.023</v>
      </c>
      <c r="BL171" s="76">
        <v>1.5496</v>
      </c>
      <c r="BM171" s="76">
        <v>1.2145</v>
      </c>
      <c r="BN171" s="76">
        <v>0.1019</v>
      </c>
      <c r="BO171" s="76">
        <v>0.638</v>
      </c>
      <c r="BP171" s="76">
        <v>0.005</v>
      </c>
      <c r="BQ171" s="76">
        <v>0.633</v>
      </c>
      <c r="BR171" s="76">
        <v>0.5113</v>
      </c>
      <c r="BS171" s="76">
        <v>0.8241</v>
      </c>
      <c r="BT171" s="76">
        <v>0.0038</v>
      </c>
      <c r="BU171" s="76">
        <v>0.8204</v>
      </c>
      <c r="BV171" s="76">
        <v>0.5546</v>
      </c>
      <c r="BW171" s="76">
        <v>0.3849</v>
      </c>
      <c r="BX171" s="76">
        <v>0.0078</v>
      </c>
      <c r="BY171" s="76">
        <v>0.3771</v>
      </c>
      <c r="BZ171" s="76">
        <v>0.2965</v>
      </c>
      <c r="CA171" s="76">
        <v>0.3999</v>
      </c>
      <c r="CB171" s="76">
        <v>0.0035</v>
      </c>
      <c r="CC171" s="76">
        <v>0.3964</v>
      </c>
      <c r="CD171" s="76">
        <v>0.2816</v>
      </c>
      <c r="CE171" s="76">
        <v>0.6259</v>
      </c>
      <c r="CF171" s="76">
        <v>0.0146</v>
      </c>
      <c r="CG171" s="76">
        <v>0.6113</v>
      </c>
      <c r="CH171" s="76">
        <v>0.5023</v>
      </c>
      <c r="CI171" s="76">
        <v>0.5467</v>
      </c>
      <c r="CJ171" s="76">
        <v>0.0049</v>
      </c>
      <c r="CK171" s="76">
        <v>0.5419</v>
      </c>
      <c r="CL171" s="76">
        <v>0.4306</v>
      </c>
      <c r="CM171" s="76">
        <v>79.27</v>
      </c>
      <c r="CN171" s="76">
        <v>72.07</v>
      </c>
      <c r="CO171" s="76">
        <v>109.99</v>
      </c>
      <c r="CP171" s="76">
        <v>75.2</v>
      </c>
      <c r="CQ171" s="76">
        <v>0.0</v>
      </c>
      <c r="CR171" s="76">
        <v>2.74</v>
      </c>
      <c r="CS171" s="76">
        <v>1.33</v>
      </c>
      <c r="CT171" s="76">
        <v>0.0</v>
      </c>
      <c r="CU171" s="76">
        <v>0.0</v>
      </c>
      <c r="CV171" s="76">
        <v>0.0</v>
      </c>
      <c r="CW171" s="76">
        <v>63.4</v>
      </c>
      <c r="CX171" s="76">
        <v>0.0</v>
      </c>
      <c r="CY171" s="76">
        <v>0.0</v>
      </c>
    </row>
    <row r="172" ht="15.75" customHeight="1">
      <c r="A172" s="164">
        <v>46244.0</v>
      </c>
      <c r="B172" s="76" t="s">
        <v>4</v>
      </c>
      <c r="C172" s="76" t="s">
        <v>148</v>
      </c>
      <c r="D172" s="76">
        <v>6245.0</v>
      </c>
      <c r="E172" s="76">
        <v>23.19</v>
      </c>
      <c r="F172" s="76">
        <v>323.27</v>
      </c>
      <c r="G172" s="76">
        <v>0.0518</v>
      </c>
      <c r="H172" s="76">
        <v>1.83</v>
      </c>
      <c r="I172" s="76">
        <v>2.8357</v>
      </c>
      <c r="J172" s="76">
        <v>42.46</v>
      </c>
      <c r="K172" s="76">
        <v>23.21</v>
      </c>
      <c r="L172" s="76">
        <v>13.82</v>
      </c>
      <c r="M172" s="76">
        <v>0.5957</v>
      </c>
      <c r="N172" s="76">
        <v>0.5325</v>
      </c>
      <c r="O172" s="76">
        <v>0.3312</v>
      </c>
      <c r="P172" s="76">
        <v>1.6786</v>
      </c>
      <c r="Q172" s="76">
        <v>115.86</v>
      </c>
      <c r="R172" s="76">
        <v>89.31</v>
      </c>
      <c r="S172" s="76">
        <v>26.55</v>
      </c>
      <c r="T172" s="76">
        <v>4.38</v>
      </c>
      <c r="U172" s="76">
        <v>111.48</v>
      </c>
      <c r="V172" s="76">
        <v>102.23</v>
      </c>
      <c r="W172" s="76">
        <v>4.4052</v>
      </c>
      <c r="X172" s="76">
        <v>3.78</v>
      </c>
      <c r="Y172" s="76">
        <v>245.0</v>
      </c>
      <c r="Z172" s="76">
        <v>433.0</v>
      </c>
      <c r="AA172" s="76">
        <v>1307.0</v>
      </c>
      <c r="AB172" s="76">
        <v>52.0646</v>
      </c>
      <c r="AC172" s="76">
        <v>0.6685</v>
      </c>
      <c r="AD172" s="76">
        <v>9.61</v>
      </c>
      <c r="AE172" s="76">
        <v>4.0</v>
      </c>
      <c r="AF172" s="76">
        <v>8.0</v>
      </c>
      <c r="AG172" s="76">
        <v>13.0</v>
      </c>
      <c r="AH172" s="76">
        <v>19.0</v>
      </c>
      <c r="AI172" s="76">
        <v>66.49</v>
      </c>
      <c r="AJ172" s="76">
        <v>27.83</v>
      </c>
      <c r="AK172" s="76">
        <v>3.25</v>
      </c>
      <c r="AL172" s="76">
        <v>0.3337</v>
      </c>
      <c r="AQ172" s="76">
        <v>6.7363</v>
      </c>
      <c r="AR172" s="76">
        <v>0.1041</v>
      </c>
      <c r="AS172" s="76">
        <v>6.6322</v>
      </c>
      <c r="AT172" s="76">
        <v>5.1231</v>
      </c>
      <c r="AU172" s="76">
        <v>0.2208</v>
      </c>
      <c r="AV172" s="76">
        <v>6245.0</v>
      </c>
      <c r="AW172" s="76">
        <v>0.0</v>
      </c>
      <c r="AX172" s="76">
        <v>61.09</v>
      </c>
      <c r="AY172" s="76">
        <v>46.21</v>
      </c>
      <c r="AZ172" s="76">
        <v>3.14</v>
      </c>
      <c r="BA172" s="76">
        <v>4.38</v>
      </c>
      <c r="BB172" s="76">
        <v>1.04</v>
      </c>
      <c r="BC172" s="76">
        <v>34.0</v>
      </c>
      <c r="BD172" s="76">
        <v>21452.0</v>
      </c>
      <c r="BE172" s="76">
        <v>3.7758</v>
      </c>
      <c r="BF172" s="76">
        <v>0.0764</v>
      </c>
      <c r="BG172" s="76">
        <v>3.6994</v>
      </c>
      <c r="BH172" s="76">
        <v>2.6833</v>
      </c>
      <c r="BI172" s="76">
        <v>0.1156</v>
      </c>
      <c r="BJ172" s="76">
        <v>2.9604</v>
      </c>
      <c r="BK172" s="76">
        <v>0.0277</v>
      </c>
      <c r="BL172" s="76">
        <v>2.9327</v>
      </c>
      <c r="BM172" s="76">
        <v>2.4399</v>
      </c>
      <c r="BN172" s="76">
        <v>0.1051</v>
      </c>
      <c r="BO172" s="76">
        <v>1.2665</v>
      </c>
      <c r="BP172" s="76">
        <v>0.0191</v>
      </c>
      <c r="BQ172" s="76">
        <v>1.2474</v>
      </c>
      <c r="BR172" s="76">
        <v>0.9593</v>
      </c>
      <c r="BS172" s="76">
        <v>1.7404</v>
      </c>
      <c r="BT172" s="76">
        <v>0.0186</v>
      </c>
      <c r="BU172" s="76">
        <v>1.7219</v>
      </c>
      <c r="BV172" s="76">
        <v>1.1223</v>
      </c>
      <c r="BW172" s="76">
        <v>0.7689</v>
      </c>
      <c r="BX172" s="76">
        <v>0.0388</v>
      </c>
      <c r="BY172" s="76">
        <v>0.7302</v>
      </c>
      <c r="BZ172" s="76">
        <v>0.6016</v>
      </c>
      <c r="CA172" s="76">
        <v>0.657</v>
      </c>
      <c r="CB172" s="76">
        <v>0.0062</v>
      </c>
      <c r="CC172" s="76">
        <v>0.6508</v>
      </c>
      <c r="CD172" s="76">
        <v>0.5303</v>
      </c>
      <c r="CE172" s="76">
        <v>1.1763</v>
      </c>
      <c r="CF172" s="76">
        <v>0.0117</v>
      </c>
      <c r="CG172" s="76">
        <v>1.1646</v>
      </c>
      <c r="CH172" s="76">
        <v>0.9753</v>
      </c>
      <c r="CI172" s="76">
        <v>1.1271</v>
      </c>
      <c r="CJ172" s="76">
        <v>0.0098</v>
      </c>
      <c r="CK172" s="76">
        <v>1.1174</v>
      </c>
      <c r="CL172" s="76">
        <v>0.9342</v>
      </c>
      <c r="CM172" s="76">
        <v>194.85</v>
      </c>
      <c r="CN172" s="76">
        <v>84.76</v>
      </c>
      <c r="CO172" s="76">
        <v>229.9</v>
      </c>
      <c r="CP172" s="76">
        <v>187.87</v>
      </c>
      <c r="CQ172" s="76">
        <v>0.0</v>
      </c>
      <c r="CR172" s="76">
        <v>3.37</v>
      </c>
      <c r="CS172" s="76">
        <v>3.61</v>
      </c>
      <c r="CT172" s="76">
        <v>0.0</v>
      </c>
      <c r="CU172" s="76">
        <v>1.0</v>
      </c>
      <c r="CV172" s="76">
        <v>0.0</v>
      </c>
      <c r="CW172" s="76">
        <v>115.86</v>
      </c>
      <c r="CX172" s="76">
        <v>0.0</v>
      </c>
      <c r="CY172" s="76">
        <v>0.0</v>
      </c>
    </row>
    <row r="173" ht="15.75" customHeight="1">
      <c r="A173" s="164">
        <v>46244.0</v>
      </c>
      <c r="B173" s="76" t="s">
        <v>4</v>
      </c>
      <c r="C173" s="76" t="s">
        <v>149</v>
      </c>
      <c r="D173" s="76">
        <v>5236.0</v>
      </c>
      <c r="E173" s="76">
        <v>19.44</v>
      </c>
      <c r="F173" s="76">
        <v>586.7</v>
      </c>
      <c r="G173" s="76">
        <v>0.1121</v>
      </c>
      <c r="H173" s="76">
        <v>2.67</v>
      </c>
      <c r="I173" s="76">
        <v>4.1907</v>
      </c>
      <c r="J173" s="76">
        <v>64.11</v>
      </c>
      <c r="K173" s="76">
        <v>37.48</v>
      </c>
      <c r="L173" s="76">
        <v>26.58</v>
      </c>
      <c r="M173" s="76">
        <v>0.7092</v>
      </c>
      <c r="N173" s="76">
        <v>0.4183</v>
      </c>
      <c r="O173" s="76">
        <v>0.2727</v>
      </c>
      <c r="P173" s="76">
        <v>1.4101</v>
      </c>
      <c r="Q173" s="76">
        <v>193.61</v>
      </c>
      <c r="R173" s="76">
        <v>140.52</v>
      </c>
      <c r="S173" s="76">
        <v>53.09</v>
      </c>
      <c r="T173" s="76">
        <v>9.38</v>
      </c>
      <c r="U173" s="76">
        <v>184.23</v>
      </c>
      <c r="V173" s="76">
        <v>177.09</v>
      </c>
      <c r="W173" s="76">
        <v>4.7251</v>
      </c>
      <c r="X173" s="76">
        <v>4.84</v>
      </c>
      <c r="Y173" s="76">
        <v>297.0</v>
      </c>
      <c r="Z173" s="76">
        <v>525.0</v>
      </c>
      <c r="AA173" s="76">
        <v>1247.0</v>
      </c>
      <c r="AB173" s="76">
        <v>53.685</v>
      </c>
      <c r="AC173" s="76">
        <v>0.7417</v>
      </c>
      <c r="AD173" s="76">
        <v>16.47</v>
      </c>
      <c r="AE173" s="76">
        <v>7.0</v>
      </c>
      <c r="AF173" s="76">
        <v>13.0</v>
      </c>
      <c r="AG173" s="76">
        <v>23.0</v>
      </c>
      <c r="AH173" s="76">
        <v>32.0</v>
      </c>
      <c r="AI173" s="76">
        <v>59.61</v>
      </c>
      <c r="AJ173" s="76">
        <v>19.94</v>
      </c>
      <c r="AK173" s="76">
        <v>3.86</v>
      </c>
      <c r="AL173" s="76">
        <v>0.259</v>
      </c>
      <c r="AQ173" s="76">
        <v>10.5458</v>
      </c>
      <c r="AR173" s="76">
        <v>0.1757</v>
      </c>
      <c r="AS173" s="76">
        <v>10.3701</v>
      </c>
      <c r="AT173" s="76">
        <v>7.919</v>
      </c>
      <c r="AU173" s="76">
        <v>0.2113</v>
      </c>
      <c r="AV173" s="76">
        <v>5236.0</v>
      </c>
      <c r="AW173" s="76">
        <v>0.0</v>
      </c>
      <c r="AX173" s="76">
        <v>107.3</v>
      </c>
      <c r="AY173" s="76">
        <v>72.02</v>
      </c>
      <c r="AZ173" s="76">
        <v>2.88</v>
      </c>
      <c r="BA173" s="76">
        <v>9.38</v>
      </c>
      <c r="BB173" s="76">
        <v>2.02</v>
      </c>
      <c r="BC173" s="76">
        <v>61.0</v>
      </c>
      <c r="BD173" s="76">
        <v>17450.0</v>
      </c>
      <c r="BE173" s="76">
        <v>5.9431</v>
      </c>
      <c r="BF173" s="76">
        <v>0.0985</v>
      </c>
      <c r="BG173" s="76">
        <v>5.8445</v>
      </c>
      <c r="BH173" s="76">
        <v>3.9106</v>
      </c>
      <c r="BI173" s="76">
        <v>0.1043</v>
      </c>
      <c r="BJ173" s="76">
        <v>4.6028</v>
      </c>
      <c r="BK173" s="76">
        <v>0.0772</v>
      </c>
      <c r="BL173" s="76">
        <v>4.5256</v>
      </c>
      <c r="BM173" s="76">
        <v>4.0084</v>
      </c>
      <c r="BN173" s="76">
        <v>0.107</v>
      </c>
      <c r="BO173" s="76">
        <v>1.9612</v>
      </c>
      <c r="BP173" s="76">
        <v>0.0304</v>
      </c>
      <c r="BQ173" s="76">
        <v>1.9309</v>
      </c>
      <c r="BR173" s="76">
        <v>1.3894</v>
      </c>
      <c r="BS173" s="76">
        <v>2.7998</v>
      </c>
      <c r="BT173" s="76">
        <v>0.0269</v>
      </c>
      <c r="BU173" s="76">
        <v>2.7729</v>
      </c>
      <c r="BV173" s="76">
        <v>1.6673</v>
      </c>
      <c r="BW173" s="76">
        <v>1.182</v>
      </c>
      <c r="BX173" s="76">
        <v>0.0413</v>
      </c>
      <c r="BY173" s="76">
        <v>1.1408</v>
      </c>
      <c r="BZ173" s="76">
        <v>0.8539</v>
      </c>
      <c r="CA173" s="76">
        <v>0.9851</v>
      </c>
      <c r="CB173" s="76">
        <v>0.0195</v>
      </c>
      <c r="CC173" s="76">
        <v>0.9656</v>
      </c>
      <c r="CD173" s="76">
        <v>0.9708</v>
      </c>
      <c r="CE173" s="76">
        <v>1.7643</v>
      </c>
      <c r="CF173" s="76">
        <v>0.0311</v>
      </c>
      <c r="CG173" s="76">
        <v>1.7332</v>
      </c>
      <c r="CH173" s="76">
        <v>1.5269</v>
      </c>
      <c r="CI173" s="76">
        <v>1.8533</v>
      </c>
      <c r="CJ173" s="76">
        <v>0.0265</v>
      </c>
      <c r="CK173" s="76">
        <v>1.8268</v>
      </c>
      <c r="CL173" s="76">
        <v>1.5107</v>
      </c>
      <c r="CM173" s="76">
        <v>375.62</v>
      </c>
      <c r="CN173" s="76">
        <v>93.74</v>
      </c>
      <c r="CO173" s="76">
        <v>400.73</v>
      </c>
      <c r="CP173" s="76">
        <v>364.46</v>
      </c>
      <c r="CQ173" s="76">
        <v>0.01</v>
      </c>
      <c r="CR173" s="76">
        <v>4.9</v>
      </c>
      <c r="CS173" s="76">
        <v>6.26</v>
      </c>
      <c r="CT173" s="76">
        <v>0.0</v>
      </c>
      <c r="CU173" s="76">
        <v>2.0</v>
      </c>
      <c r="CV173" s="76">
        <v>0.0</v>
      </c>
      <c r="CW173" s="76">
        <v>193.61</v>
      </c>
      <c r="CX173" s="76">
        <v>0.0</v>
      </c>
      <c r="CY173" s="76">
        <v>0.01</v>
      </c>
    </row>
    <row r="174" ht="15.75" customHeight="1">
      <c r="A174" s="164">
        <v>46244.0</v>
      </c>
      <c r="B174" s="76" t="s">
        <v>4</v>
      </c>
      <c r="C174" s="76" t="s">
        <v>150</v>
      </c>
      <c r="D174" s="76">
        <v>3434.0</v>
      </c>
      <c r="E174" s="76">
        <v>12.75</v>
      </c>
      <c r="F174" s="76">
        <v>1262.89</v>
      </c>
      <c r="G174" s="76">
        <v>0.3678</v>
      </c>
      <c r="H174" s="76">
        <v>4.16</v>
      </c>
      <c r="I174" s="76">
        <v>8.8314</v>
      </c>
      <c r="J174" s="76">
        <v>118.25</v>
      </c>
      <c r="K174" s="76">
        <v>73.52</v>
      </c>
      <c r="L174" s="76">
        <v>55.74</v>
      </c>
      <c r="M174" s="76">
        <v>0.7581</v>
      </c>
      <c r="N174" s="76">
        <v>0.359</v>
      </c>
      <c r="O174" s="76">
        <v>0.2422</v>
      </c>
      <c r="P174" s="76">
        <v>1.3191</v>
      </c>
      <c r="Q174" s="76">
        <v>379.3</v>
      </c>
      <c r="R174" s="76">
        <v>268.23</v>
      </c>
      <c r="S174" s="76">
        <v>111.08</v>
      </c>
      <c r="T174" s="76">
        <v>31.97</v>
      </c>
      <c r="U174" s="76">
        <v>347.33</v>
      </c>
      <c r="V174" s="76">
        <v>364.6</v>
      </c>
      <c r="W174" s="76">
        <v>4.9592</v>
      </c>
      <c r="X174" s="76">
        <v>8.43</v>
      </c>
      <c r="Y174" s="76">
        <v>380.0</v>
      </c>
      <c r="Z174" s="76">
        <v>685.0</v>
      </c>
      <c r="AA174" s="76">
        <v>1538.0</v>
      </c>
      <c r="AB174" s="76">
        <v>55.6308</v>
      </c>
      <c r="AC174" s="76">
        <v>0.7558</v>
      </c>
      <c r="AD174" s="76">
        <v>28.79</v>
      </c>
      <c r="AE174" s="76">
        <v>11.0</v>
      </c>
      <c r="AF174" s="76">
        <v>21.0</v>
      </c>
      <c r="AG174" s="76">
        <v>39.0</v>
      </c>
      <c r="AH174" s="76">
        <v>59.0</v>
      </c>
      <c r="AI174" s="76">
        <v>40.04</v>
      </c>
      <c r="AJ174" s="76">
        <v>9.87</v>
      </c>
      <c r="AK174" s="76">
        <v>2.04</v>
      </c>
      <c r="AL174" s="76">
        <v>0.1514</v>
      </c>
      <c r="AQ174" s="76">
        <v>17.8925</v>
      </c>
      <c r="AR174" s="76">
        <v>0.5882</v>
      </c>
      <c r="AS174" s="76">
        <v>17.3043</v>
      </c>
      <c r="AT174" s="76">
        <v>14.5315</v>
      </c>
      <c r="AU174" s="76">
        <v>0.1977</v>
      </c>
      <c r="AV174" s="76">
        <v>3434.0</v>
      </c>
      <c r="AW174" s="76">
        <v>0.0</v>
      </c>
      <c r="AX174" s="76">
        <v>204.26</v>
      </c>
      <c r="AY174" s="76">
        <v>134.18</v>
      </c>
      <c r="AZ174" s="76">
        <v>4.09</v>
      </c>
      <c r="BA174" s="76">
        <v>31.97</v>
      </c>
      <c r="BB174" s="76">
        <v>4.79</v>
      </c>
      <c r="BC174" s="76">
        <v>121.0</v>
      </c>
      <c r="BD174" s="76">
        <v>15521.0</v>
      </c>
      <c r="BE174" s="76">
        <v>10.168</v>
      </c>
      <c r="BF174" s="76">
        <v>0.3564</v>
      </c>
      <c r="BG174" s="76">
        <v>9.8116</v>
      </c>
      <c r="BH174" s="76">
        <v>7.2204</v>
      </c>
      <c r="BI174" s="76">
        <v>0.0982</v>
      </c>
      <c r="BJ174" s="76">
        <v>7.7245</v>
      </c>
      <c r="BK174" s="76">
        <v>0.2318</v>
      </c>
      <c r="BL174" s="76">
        <v>7.4927</v>
      </c>
      <c r="BM174" s="76">
        <v>7.311</v>
      </c>
      <c r="BN174" s="76">
        <v>0.0994</v>
      </c>
      <c r="BO174" s="76">
        <v>3.7213</v>
      </c>
      <c r="BP174" s="76">
        <v>0.1095</v>
      </c>
      <c r="BQ174" s="76">
        <v>3.6118</v>
      </c>
      <c r="BR174" s="76">
        <v>2.7117</v>
      </c>
      <c r="BS174" s="76">
        <v>4.5612</v>
      </c>
      <c r="BT174" s="76">
        <v>0.1209</v>
      </c>
      <c r="BU174" s="76">
        <v>4.4403</v>
      </c>
      <c r="BV174" s="76">
        <v>3.0585</v>
      </c>
      <c r="BW174" s="76">
        <v>1.8856</v>
      </c>
      <c r="BX174" s="76">
        <v>0.1261</v>
      </c>
      <c r="BY174" s="76">
        <v>1.7595</v>
      </c>
      <c r="BZ174" s="76">
        <v>1.4502</v>
      </c>
      <c r="CA174" s="76">
        <v>1.7807</v>
      </c>
      <c r="CB174" s="76">
        <v>0.0542</v>
      </c>
      <c r="CC174" s="76">
        <v>1.7266</v>
      </c>
      <c r="CD174" s="76">
        <v>1.8451</v>
      </c>
      <c r="CE174" s="76">
        <v>2.7892</v>
      </c>
      <c r="CF174" s="76">
        <v>0.1054</v>
      </c>
      <c r="CG174" s="76">
        <v>2.6838</v>
      </c>
      <c r="CH174" s="76">
        <v>2.5874</v>
      </c>
      <c r="CI174" s="76">
        <v>3.1546</v>
      </c>
      <c r="CJ174" s="76">
        <v>0.0722</v>
      </c>
      <c r="CK174" s="76">
        <v>3.0824</v>
      </c>
      <c r="CL174" s="76">
        <v>2.8786</v>
      </c>
      <c r="CM174" s="76">
        <v>805.16</v>
      </c>
      <c r="CN174" s="76">
        <v>98.86</v>
      </c>
      <c r="CO174" s="76">
        <v>814.41</v>
      </c>
      <c r="CP174" s="76">
        <v>790.08</v>
      </c>
      <c r="CQ174" s="76">
        <v>0.0</v>
      </c>
      <c r="CR174" s="76">
        <v>6.59</v>
      </c>
      <c r="CS174" s="76">
        <v>8.49</v>
      </c>
      <c r="CT174" s="76">
        <v>0.0</v>
      </c>
      <c r="CU174" s="76">
        <v>1.0</v>
      </c>
      <c r="CV174" s="76">
        <v>0.0</v>
      </c>
      <c r="CW174" s="76">
        <v>379.3</v>
      </c>
      <c r="CX174" s="76">
        <v>0.0</v>
      </c>
      <c r="CY174" s="76">
        <v>0.0</v>
      </c>
    </row>
    <row r="175" ht="15.75" customHeight="1">
      <c r="A175" s="164">
        <v>46244.0</v>
      </c>
      <c r="B175" s="76" t="s">
        <v>4</v>
      </c>
      <c r="C175" s="76" t="s">
        <v>151</v>
      </c>
      <c r="D175" s="76">
        <v>529.0</v>
      </c>
      <c r="E175" s="76">
        <v>1.96</v>
      </c>
      <c r="F175" s="76">
        <v>339.94</v>
      </c>
      <c r="G175" s="76">
        <v>0.6426</v>
      </c>
      <c r="H175" s="76">
        <v>6.99</v>
      </c>
      <c r="I175" s="76">
        <v>9.1876</v>
      </c>
      <c r="J175" s="76">
        <v>241.98</v>
      </c>
      <c r="K175" s="76">
        <v>169.4</v>
      </c>
      <c r="L175" s="76">
        <v>130.25</v>
      </c>
      <c r="M175" s="76">
        <v>0.7688</v>
      </c>
      <c r="N175" s="76">
        <v>0.3173</v>
      </c>
      <c r="O175" s="76">
        <v>0.2069</v>
      </c>
      <c r="P175" s="76">
        <v>1.3007</v>
      </c>
      <c r="Q175" s="76">
        <v>770.3</v>
      </c>
      <c r="R175" s="76">
        <v>498.39</v>
      </c>
      <c r="S175" s="76">
        <v>271.92</v>
      </c>
      <c r="T175" s="76">
        <v>72.4</v>
      </c>
      <c r="U175" s="76">
        <v>697.9</v>
      </c>
      <c r="V175" s="76">
        <v>720.7</v>
      </c>
      <c r="W175" s="76">
        <v>4.2543</v>
      </c>
      <c r="X175" s="76">
        <v>9.4</v>
      </c>
      <c r="Y175" s="76">
        <v>501.0</v>
      </c>
      <c r="Z175" s="76">
        <v>922.0</v>
      </c>
      <c r="AA175" s="76">
        <v>1754.0</v>
      </c>
      <c r="AB175" s="76">
        <v>58.3702</v>
      </c>
      <c r="AC175" s="76">
        <v>0.8002</v>
      </c>
      <c r="AD175" s="76">
        <v>54.3</v>
      </c>
      <c r="AE175" s="76">
        <v>20.0</v>
      </c>
      <c r="AF175" s="76">
        <v>37.0</v>
      </c>
      <c r="AG175" s="76">
        <v>73.0</v>
      </c>
      <c r="AH175" s="76">
        <v>113.0</v>
      </c>
      <c r="AI175" s="76">
        <v>22.5</v>
      </c>
      <c r="AJ175" s="76">
        <v>3.21</v>
      </c>
      <c r="AK175" s="76">
        <v>0.95</v>
      </c>
      <c r="AL175" s="76">
        <v>0.0888</v>
      </c>
      <c r="AQ175" s="76">
        <v>36.1172</v>
      </c>
      <c r="AR175" s="76">
        <v>0.9395</v>
      </c>
      <c r="AS175" s="76">
        <v>35.1777</v>
      </c>
      <c r="AT175" s="76">
        <v>30.3214</v>
      </c>
      <c r="AU175" s="76">
        <v>0.179</v>
      </c>
      <c r="AV175" s="76">
        <v>529.0</v>
      </c>
      <c r="AW175" s="76">
        <v>0.0</v>
      </c>
      <c r="AX175" s="76">
        <v>465.11</v>
      </c>
      <c r="AY175" s="76">
        <v>215.77</v>
      </c>
      <c r="AZ175" s="76">
        <v>5.15</v>
      </c>
      <c r="BA175" s="76">
        <v>72.4</v>
      </c>
      <c r="BB175" s="76">
        <v>11.87</v>
      </c>
      <c r="BC175" s="76">
        <v>264.0</v>
      </c>
      <c r="BD175" s="76">
        <v>13054.0</v>
      </c>
      <c r="BE175" s="76">
        <v>21.2439</v>
      </c>
      <c r="BF175" s="76">
        <v>0.397</v>
      </c>
      <c r="BG175" s="76">
        <v>20.8469</v>
      </c>
      <c r="BH175" s="76">
        <v>15.2665</v>
      </c>
      <c r="BI175" s="76">
        <v>0.0901</v>
      </c>
      <c r="BJ175" s="76">
        <v>14.8733</v>
      </c>
      <c r="BK175" s="76">
        <v>0.5425</v>
      </c>
      <c r="BL175" s="76">
        <v>14.3308</v>
      </c>
      <c r="BM175" s="76">
        <v>15.0548</v>
      </c>
      <c r="BN175" s="76">
        <v>0.0889</v>
      </c>
      <c r="BO175" s="76">
        <v>8.2155</v>
      </c>
      <c r="BP175" s="76">
        <v>0.1267</v>
      </c>
      <c r="BQ175" s="76">
        <v>8.0888</v>
      </c>
      <c r="BR175" s="76">
        <v>5.7713</v>
      </c>
      <c r="BS175" s="76">
        <v>9.2836</v>
      </c>
      <c r="BT175" s="76">
        <v>0.1437</v>
      </c>
      <c r="BU175" s="76">
        <v>9.1399</v>
      </c>
      <c r="BV175" s="76">
        <v>6.4178</v>
      </c>
      <c r="BW175" s="76">
        <v>3.7448</v>
      </c>
      <c r="BX175" s="76">
        <v>0.1267</v>
      </c>
      <c r="BY175" s="76">
        <v>3.6181</v>
      </c>
      <c r="BZ175" s="76">
        <v>3.0775</v>
      </c>
      <c r="CA175" s="76">
        <v>3.4764</v>
      </c>
      <c r="CB175" s="76">
        <v>0.155</v>
      </c>
      <c r="CC175" s="76">
        <v>3.3214</v>
      </c>
      <c r="CD175" s="76">
        <v>3.6125</v>
      </c>
      <c r="CE175" s="76">
        <v>5.5728</v>
      </c>
      <c r="CF175" s="76">
        <v>0.2193</v>
      </c>
      <c r="CG175" s="76">
        <v>5.3535</v>
      </c>
      <c r="CH175" s="76">
        <v>5.276</v>
      </c>
      <c r="CI175" s="76">
        <v>5.8242</v>
      </c>
      <c r="CJ175" s="76">
        <v>0.1682</v>
      </c>
      <c r="CK175" s="76">
        <v>5.656</v>
      </c>
      <c r="CL175" s="76">
        <v>6.1664</v>
      </c>
      <c r="CM175" s="76">
        <v>1826.98</v>
      </c>
      <c r="CN175" s="76">
        <v>99.43</v>
      </c>
      <c r="CO175" s="76">
        <v>1837.4</v>
      </c>
      <c r="CP175" s="76">
        <v>1804.52</v>
      </c>
      <c r="CQ175" s="76">
        <v>0.0</v>
      </c>
      <c r="CR175" s="76">
        <v>10.28</v>
      </c>
      <c r="CS175" s="76">
        <v>12.18</v>
      </c>
      <c r="CT175" s="76">
        <v>0.0</v>
      </c>
      <c r="CU175" s="76">
        <v>0.0</v>
      </c>
      <c r="CV175" s="76">
        <v>0.0</v>
      </c>
      <c r="CW175" s="76">
        <v>770.3</v>
      </c>
      <c r="CX175" s="76">
        <v>0.0</v>
      </c>
      <c r="CY175" s="76">
        <v>0.0</v>
      </c>
    </row>
    <row r="176" ht="15.75" customHeight="1">
      <c r="A176" s="164">
        <v>46244.0</v>
      </c>
      <c r="B176" s="76" t="s">
        <v>5</v>
      </c>
      <c r="C176" s="76" t="s">
        <v>316</v>
      </c>
      <c r="D176" s="76">
        <v>4066.0</v>
      </c>
      <c r="E176" s="76">
        <v>15.15</v>
      </c>
      <c r="F176" s="76">
        <v>17.29</v>
      </c>
      <c r="G176" s="76">
        <v>0.0043</v>
      </c>
      <c r="H176" s="76">
        <v>0.1</v>
      </c>
      <c r="I176" s="76">
        <v>4.3225</v>
      </c>
      <c r="J176" s="76">
        <v>4.63</v>
      </c>
      <c r="K176" s="76">
        <v>1.87</v>
      </c>
      <c r="L176" s="76">
        <v>0.19</v>
      </c>
      <c r="M176" s="76">
        <v>0.103</v>
      </c>
      <c r="N176" s="76">
        <v>0.9145</v>
      </c>
      <c r="O176" s="76">
        <v>0.5222</v>
      </c>
      <c r="P176" s="76">
        <v>9.7096</v>
      </c>
      <c r="Q176" s="76">
        <v>22.16</v>
      </c>
      <c r="R176" s="76">
        <v>22.04</v>
      </c>
      <c r="S176" s="76">
        <v>0.12</v>
      </c>
      <c r="T176" s="76">
        <v>0.52</v>
      </c>
      <c r="U176" s="76">
        <v>21.64</v>
      </c>
      <c r="V176" s="76">
        <v>4.02</v>
      </c>
      <c r="W176" s="76">
        <v>2.1451</v>
      </c>
      <c r="X176" s="76">
        <v>2.33</v>
      </c>
      <c r="Y176" s="76">
        <v>200.0</v>
      </c>
      <c r="Z176" s="76">
        <v>413.0</v>
      </c>
      <c r="AA176" s="76">
        <v>2950.0</v>
      </c>
      <c r="AB176" s="76">
        <v>49.5574</v>
      </c>
      <c r="AC176" s="76">
        <v>0.5815</v>
      </c>
      <c r="AI176" s="76">
        <v>0.0</v>
      </c>
      <c r="AJ176" s="76">
        <v>0.0</v>
      </c>
      <c r="AK176" s="76">
        <v>0.0</v>
      </c>
      <c r="AL176" s="76">
        <v>0.5809</v>
      </c>
      <c r="AM176" s="76">
        <v>0.57</v>
      </c>
      <c r="AN176" s="76">
        <v>0.57</v>
      </c>
      <c r="AO176" s="76">
        <v>0.3</v>
      </c>
      <c r="AP176" s="76">
        <v>0.07</v>
      </c>
      <c r="AQ176" s="76">
        <v>1.1306</v>
      </c>
      <c r="AR176" s="76">
        <v>0.0118</v>
      </c>
      <c r="AS176" s="76">
        <v>1.1188</v>
      </c>
      <c r="AT176" s="76">
        <v>0.3564</v>
      </c>
      <c r="AU176" s="76">
        <v>0.1901</v>
      </c>
      <c r="AV176" s="76">
        <v>4066.0</v>
      </c>
      <c r="AW176" s="76">
        <v>0.0</v>
      </c>
      <c r="AX176" s="76">
        <v>7.65</v>
      </c>
      <c r="AY176" s="76">
        <v>13.14</v>
      </c>
      <c r="AZ176" s="76">
        <v>0.68</v>
      </c>
      <c r="BA176" s="76">
        <v>0.52</v>
      </c>
      <c r="BB176" s="76">
        <v>0.17</v>
      </c>
      <c r="BD176" s="76">
        <v>26250.0</v>
      </c>
      <c r="BE176" s="76">
        <v>0.5379</v>
      </c>
      <c r="BF176" s="76">
        <v>0.0037</v>
      </c>
      <c r="BG176" s="76">
        <v>0.5342</v>
      </c>
      <c r="BH176" s="76">
        <v>0.2088</v>
      </c>
      <c r="BI176" s="76">
        <v>0.1114</v>
      </c>
      <c r="BJ176" s="76">
        <v>0.5927</v>
      </c>
      <c r="BK176" s="76">
        <v>0.0081</v>
      </c>
      <c r="BL176" s="76">
        <v>0.5846</v>
      </c>
      <c r="BM176" s="76">
        <v>0.1476</v>
      </c>
      <c r="BN176" s="76">
        <v>0.0787</v>
      </c>
      <c r="BO176" s="76">
        <v>0.153</v>
      </c>
      <c r="BP176" s="76">
        <v>7.0E-4</v>
      </c>
      <c r="BQ176" s="76">
        <v>0.1522</v>
      </c>
      <c r="BR176" s="76">
        <v>0.0762</v>
      </c>
      <c r="BS176" s="76">
        <v>0.2727</v>
      </c>
      <c r="BT176" s="76">
        <v>7.0E-4</v>
      </c>
      <c r="BU176" s="76">
        <v>0.272</v>
      </c>
      <c r="BV176" s="76">
        <v>0.0878</v>
      </c>
      <c r="BW176" s="76">
        <v>0.1121</v>
      </c>
      <c r="BX176" s="76">
        <v>0.0022</v>
      </c>
      <c r="BY176" s="76">
        <v>0.1099</v>
      </c>
      <c r="BZ176" s="76">
        <v>0.0448</v>
      </c>
      <c r="CA176" s="76">
        <v>0.1444</v>
      </c>
      <c r="CB176" s="76">
        <v>0.001</v>
      </c>
      <c r="CC176" s="76">
        <v>0.1434</v>
      </c>
      <c r="CD176" s="76">
        <v>0.0275</v>
      </c>
      <c r="CE176" s="76">
        <v>0.2462</v>
      </c>
      <c r="CF176" s="76">
        <v>0.0039</v>
      </c>
      <c r="CG176" s="76">
        <v>0.2423</v>
      </c>
      <c r="CH176" s="76">
        <v>0.0637</v>
      </c>
      <c r="CI176" s="76">
        <v>0.2022</v>
      </c>
      <c r="CJ176" s="76">
        <v>0.0032</v>
      </c>
      <c r="CK176" s="76">
        <v>0.199</v>
      </c>
      <c r="CL176" s="76">
        <v>0.0563</v>
      </c>
      <c r="CM176" s="76">
        <v>8.39</v>
      </c>
      <c r="CN176" s="76">
        <v>7.75</v>
      </c>
      <c r="CO176" s="76">
        <v>108.34</v>
      </c>
      <c r="CP176" s="76">
        <v>3.99</v>
      </c>
      <c r="CQ176" s="76">
        <v>0.38</v>
      </c>
      <c r="CR176" s="76">
        <v>1.03</v>
      </c>
      <c r="CS176" s="76">
        <v>2.98</v>
      </c>
      <c r="CT176" s="76">
        <v>0.0</v>
      </c>
      <c r="CU176" s="76">
        <v>807.0</v>
      </c>
      <c r="CV176" s="76">
        <v>0.04</v>
      </c>
      <c r="CW176" s="76">
        <v>22.2</v>
      </c>
      <c r="CX176" s="76">
        <v>0.06</v>
      </c>
      <c r="CY176" s="76">
        <v>0.44</v>
      </c>
    </row>
    <row r="177" ht="15.75" customHeight="1">
      <c r="A177" s="164">
        <v>46244.0</v>
      </c>
      <c r="B177" s="76" t="s">
        <v>5</v>
      </c>
      <c r="C177" s="76" t="s">
        <v>147</v>
      </c>
      <c r="D177" s="76">
        <v>7304.0</v>
      </c>
      <c r="E177" s="76">
        <v>27.21</v>
      </c>
      <c r="F177" s="76">
        <v>121.38</v>
      </c>
      <c r="G177" s="76">
        <v>0.0166</v>
      </c>
      <c r="H177" s="76">
        <v>0.68</v>
      </c>
      <c r="I177" s="76">
        <v>2.4276</v>
      </c>
      <c r="J177" s="76">
        <v>22.99</v>
      </c>
      <c r="K177" s="76">
        <v>11.98</v>
      </c>
      <c r="L177" s="76">
        <v>5.59</v>
      </c>
      <c r="M177" s="76">
        <v>0.467</v>
      </c>
      <c r="N177" s="76">
        <v>0.6385</v>
      </c>
      <c r="O177" s="76">
        <v>0.3795</v>
      </c>
      <c r="P177" s="76">
        <v>2.1414</v>
      </c>
      <c r="Q177" s="76">
        <v>59.72</v>
      </c>
      <c r="R177" s="76">
        <v>56.64</v>
      </c>
      <c r="S177" s="76">
        <v>3.08</v>
      </c>
      <c r="T177" s="76">
        <v>1.65</v>
      </c>
      <c r="U177" s="76">
        <v>58.07</v>
      </c>
      <c r="V177" s="76">
        <v>46.17</v>
      </c>
      <c r="W177" s="76">
        <v>3.8534</v>
      </c>
      <c r="X177" s="76">
        <v>2.76</v>
      </c>
      <c r="Y177" s="76">
        <v>202.0</v>
      </c>
      <c r="Z177" s="76">
        <v>332.0</v>
      </c>
      <c r="AA177" s="76">
        <v>1247.0</v>
      </c>
      <c r="AB177" s="76">
        <v>49.6896</v>
      </c>
      <c r="AC177" s="76">
        <v>0.5989</v>
      </c>
      <c r="AD177" s="76">
        <v>4.27</v>
      </c>
      <c r="AE177" s="76">
        <v>2.0</v>
      </c>
      <c r="AF177" s="76">
        <v>3.0</v>
      </c>
      <c r="AG177" s="76">
        <v>6.0</v>
      </c>
      <c r="AH177" s="76">
        <v>9.0</v>
      </c>
      <c r="AI177" s="76">
        <v>77.15</v>
      </c>
      <c r="AJ177" s="76">
        <v>36.17</v>
      </c>
      <c r="AK177" s="76">
        <v>7.28</v>
      </c>
      <c r="AL177" s="76">
        <v>0.4645</v>
      </c>
      <c r="AM177" s="76">
        <v>36.99</v>
      </c>
      <c r="AN177" s="76">
        <v>36.99</v>
      </c>
      <c r="AO177" s="76">
        <v>18.39</v>
      </c>
      <c r="AP177" s="76">
        <v>5.82</v>
      </c>
      <c r="AQ177" s="76">
        <v>4.3946</v>
      </c>
      <c r="AR177" s="76">
        <v>0.0382</v>
      </c>
      <c r="AS177" s="76">
        <v>4.3564</v>
      </c>
      <c r="AT177" s="76">
        <v>2.7881</v>
      </c>
      <c r="AU177" s="76">
        <v>0.2327</v>
      </c>
      <c r="AV177" s="76">
        <v>7304.0</v>
      </c>
      <c r="AW177" s="76">
        <v>0.0</v>
      </c>
      <c r="AX177" s="76">
        <v>18.82</v>
      </c>
      <c r="AY177" s="76">
        <v>36.82</v>
      </c>
      <c r="AZ177" s="76">
        <v>1.94</v>
      </c>
      <c r="BA177" s="76">
        <v>1.65</v>
      </c>
      <c r="BB177" s="76">
        <v>0.49</v>
      </c>
      <c r="BC177" s="76">
        <v>18.0</v>
      </c>
      <c r="BD177" s="76">
        <v>18955.0</v>
      </c>
      <c r="BE177" s="76">
        <v>2.7296</v>
      </c>
      <c r="BF177" s="76">
        <v>0.0205</v>
      </c>
      <c r="BG177" s="76">
        <v>2.7091</v>
      </c>
      <c r="BH177" s="76">
        <v>1.5657</v>
      </c>
      <c r="BI177" s="76">
        <v>0.1307</v>
      </c>
      <c r="BJ177" s="76">
        <v>1.665</v>
      </c>
      <c r="BK177" s="76">
        <v>0.0177</v>
      </c>
      <c r="BL177" s="76">
        <v>1.6473</v>
      </c>
      <c r="BM177" s="76">
        <v>1.2223</v>
      </c>
      <c r="BN177" s="76">
        <v>0.102</v>
      </c>
      <c r="BO177" s="76">
        <v>1.2462</v>
      </c>
      <c r="BP177" s="76">
        <v>0.0108</v>
      </c>
      <c r="BQ177" s="76">
        <v>1.2354</v>
      </c>
      <c r="BR177" s="76">
        <v>0.6999</v>
      </c>
      <c r="BS177" s="76">
        <v>1.0964</v>
      </c>
      <c r="BT177" s="76">
        <v>0.0034</v>
      </c>
      <c r="BU177" s="76">
        <v>1.093</v>
      </c>
      <c r="BV177" s="76">
        <v>0.5805</v>
      </c>
      <c r="BW177" s="76">
        <v>0.387</v>
      </c>
      <c r="BX177" s="76">
        <v>0.0063</v>
      </c>
      <c r="BY177" s="76">
        <v>0.3808</v>
      </c>
      <c r="BZ177" s="76">
        <v>0.2853</v>
      </c>
      <c r="CA177" s="76">
        <v>0.3624</v>
      </c>
      <c r="CB177" s="76">
        <v>0.0036</v>
      </c>
      <c r="CC177" s="76">
        <v>0.3588</v>
      </c>
      <c r="CD177" s="76">
        <v>0.2456</v>
      </c>
      <c r="CE177" s="76">
        <v>0.8219</v>
      </c>
      <c r="CF177" s="76">
        <v>0.0077</v>
      </c>
      <c r="CG177" s="76">
        <v>0.8142</v>
      </c>
      <c r="CH177" s="76">
        <v>0.5846</v>
      </c>
      <c r="CI177" s="76">
        <v>0.4807</v>
      </c>
      <c r="CJ177" s="76">
        <v>0.0064</v>
      </c>
      <c r="CK177" s="76">
        <v>0.4743</v>
      </c>
      <c r="CL177" s="76">
        <v>0.3921</v>
      </c>
      <c r="CM177" s="76">
        <v>87.11</v>
      </c>
      <c r="CN177" s="76">
        <v>71.63</v>
      </c>
      <c r="CO177" s="76">
        <v>121.61</v>
      </c>
      <c r="CP177" s="76">
        <v>72.68</v>
      </c>
      <c r="CQ177" s="76">
        <v>8.88</v>
      </c>
      <c r="CR177" s="76">
        <v>2.73</v>
      </c>
      <c r="CS177" s="76">
        <v>2.82</v>
      </c>
      <c r="CT177" s="76">
        <v>0.0</v>
      </c>
      <c r="CU177" s="76">
        <v>2161.0</v>
      </c>
      <c r="CV177" s="76">
        <v>0.96</v>
      </c>
      <c r="CW177" s="76">
        <v>60.69</v>
      </c>
      <c r="CX177" s="76">
        <v>0.97</v>
      </c>
      <c r="CY177" s="76">
        <v>9.86</v>
      </c>
    </row>
    <row r="178" ht="15.75" customHeight="1">
      <c r="A178" s="164">
        <v>46244.0</v>
      </c>
      <c r="B178" s="76" t="s">
        <v>5</v>
      </c>
      <c r="C178" s="76" t="s">
        <v>148</v>
      </c>
      <c r="D178" s="76">
        <v>6225.0</v>
      </c>
      <c r="E178" s="76">
        <v>23.19</v>
      </c>
      <c r="F178" s="76">
        <v>453.82</v>
      </c>
      <c r="G178" s="76">
        <v>0.0729</v>
      </c>
      <c r="H178" s="76">
        <v>1.99</v>
      </c>
      <c r="I178" s="76">
        <v>3.6598</v>
      </c>
      <c r="J178" s="76">
        <v>44.51</v>
      </c>
      <c r="K178" s="76">
        <v>23.95</v>
      </c>
      <c r="L178" s="76">
        <v>14.11</v>
      </c>
      <c r="M178" s="76">
        <v>0.5891</v>
      </c>
      <c r="N178" s="76">
        <v>0.5346</v>
      </c>
      <c r="O178" s="76">
        <v>0.3189</v>
      </c>
      <c r="P178" s="76">
        <v>1.6976</v>
      </c>
      <c r="Q178" s="76">
        <v>114.32</v>
      </c>
      <c r="R178" s="76">
        <v>105.33</v>
      </c>
      <c r="S178" s="76">
        <v>8.99</v>
      </c>
      <c r="T178" s="76">
        <v>6.23</v>
      </c>
      <c r="U178" s="76">
        <v>108.09</v>
      </c>
      <c r="V178" s="76">
        <v>94.62</v>
      </c>
      <c r="W178" s="76">
        <v>3.9501</v>
      </c>
      <c r="X178" s="76">
        <v>5.45</v>
      </c>
      <c r="Y178" s="76">
        <v>233.0</v>
      </c>
      <c r="Z178" s="76">
        <v>407.0</v>
      </c>
      <c r="AA178" s="76">
        <v>1158.0</v>
      </c>
      <c r="AB178" s="76">
        <v>51.7036</v>
      </c>
      <c r="AC178" s="76">
        <v>0.6732</v>
      </c>
      <c r="AD178" s="76">
        <v>9.86</v>
      </c>
      <c r="AE178" s="76">
        <v>4.0</v>
      </c>
      <c r="AF178" s="76">
        <v>9.0</v>
      </c>
      <c r="AG178" s="76">
        <v>14.0</v>
      </c>
      <c r="AH178" s="76">
        <v>19.0</v>
      </c>
      <c r="AI178" s="76">
        <v>67.66</v>
      </c>
      <c r="AJ178" s="76">
        <v>29.08</v>
      </c>
      <c r="AK178" s="76">
        <v>3.44</v>
      </c>
      <c r="AL178" s="76">
        <v>0.3536</v>
      </c>
      <c r="AM178" s="76">
        <v>43.12</v>
      </c>
      <c r="AN178" s="76">
        <v>43.12</v>
      </c>
      <c r="AO178" s="76">
        <v>25.43</v>
      </c>
      <c r="AP178" s="76">
        <v>11.86</v>
      </c>
      <c r="AQ178" s="76">
        <v>8.0749</v>
      </c>
      <c r="AR178" s="76">
        <v>0.1107</v>
      </c>
      <c r="AS178" s="76">
        <v>7.9642</v>
      </c>
      <c r="AT178" s="76">
        <v>5.4533</v>
      </c>
      <c r="AU178" s="76">
        <v>0.2277</v>
      </c>
      <c r="AV178" s="76">
        <v>6225.0</v>
      </c>
      <c r="AW178" s="76">
        <v>0.0</v>
      </c>
      <c r="AX178" s="76">
        <v>37.45</v>
      </c>
      <c r="AY178" s="76">
        <v>66.82</v>
      </c>
      <c r="AZ178" s="76">
        <v>2.8</v>
      </c>
      <c r="BA178" s="76">
        <v>6.23</v>
      </c>
      <c r="BB178" s="76">
        <v>1.03</v>
      </c>
      <c r="BC178" s="76">
        <v>35.0</v>
      </c>
      <c r="BD178" s="76">
        <v>19184.0</v>
      </c>
      <c r="BE178" s="76">
        <v>4.6164</v>
      </c>
      <c r="BF178" s="76">
        <v>0.0646</v>
      </c>
      <c r="BG178" s="76">
        <v>4.5518</v>
      </c>
      <c r="BH178" s="76">
        <v>2.8389</v>
      </c>
      <c r="BI178" s="76">
        <v>0.1185</v>
      </c>
      <c r="BJ178" s="76">
        <v>3.4585</v>
      </c>
      <c r="BK178" s="76">
        <v>0.0461</v>
      </c>
      <c r="BL178" s="76">
        <v>3.4124</v>
      </c>
      <c r="BM178" s="76">
        <v>2.6145</v>
      </c>
      <c r="BN178" s="76">
        <v>0.1091</v>
      </c>
      <c r="BO178" s="76">
        <v>1.9598</v>
      </c>
      <c r="BP178" s="76">
        <v>0.0233</v>
      </c>
      <c r="BQ178" s="76">
        <v>1.9365</v>
      </c>
      <c r="BR178" s="76">
        <v>1.2018</v>
      </c>
      <c r="BS178" s="76">
        <v>1.9528</v>
      </c>
      <c r="BT178" s="76">
        <v>0.0161</v>
      </c>
      <c r="BU178" s="76">
        <v>1.9367</v>
      </c>
      <c r="BV178" s="76">
        <v>1.0959</v>
      </c>
      <c r="BW178" s="76">
        <v>0.7038</v>
      </c>
      <c r="BX178" s="76">
        <v>0.0252</v>
      </c>
      <c r="BY178" s="76">
        <v>0.6786</v>
      </c>
      <c r="BZ178" s="76">
        <v>0.5412</v>
      </c>
      <c r="CA178" s="76">
        <v>0.5891</v>
      </c>
      <c r="CB178" s="76">
        <v>0.0111</v>
      </c>
      <c r="CC178" s="76">
        <v>0.578</v>
      </c>
      <c r="CD178" s="76">
        <v>0.4885</v>
      </c>
      <c r="CE178" s="76">
        <v>1.8867</v>
      </c>
      <c r="CF178" s="76">
        <v>0.019</v>
      </c>
      <c r="CG178" s="76">
        <v>1.8678</v>
      </c>
      <c r="CH178" s="76">
        <v>1.2845</v>
      </c>
      <c r="CI178" s="76">
        <v>0.9827</v>
      </c>
      <c r="CJ178" s="76">
        <v>0.0161</v>
      </c>
      <c r="CK178" s="76">
        <v>0.9666</v>
      </c>
      <c r="CL178" s="76">
        <v>0.8414</v>
      </c>
      <c r="CM178" s="76">
        <v>223.83</v>
      </c>
      <c r="CN178" s="76">
        <v>85.2</v>
      </c>
      <c r="CO178" s="76">
        <v>262.7</v>
      </c>
      <c r="CP178" s="76">
        <v>178.26</v>
      </c>
      <c r="CQ178" s="76">
        <v>30.77</v>
      </c>
      <c r="CR178" s="76">
        <v>3.42</v>
      </c>
      <c r="CS178" s="76">
        <v>11.38</v>
      </c>
      <c r="CT178" s="76">
        <v>0.0</v>
      </c>
      <c r="CU178" s="76">
        <v>2565.0</v>
      </c>
      <c r="CV178" s="76">
        <v>2.39</v>
      </c>
      <c r="CW178" s="76">
        <v>116.71</v>
      </c>
      <c r="CX178" s="76">
        <v>3.61</v>
      </c>
      <c r="CY178" s="76">
        <v>34.38</v>
      </c>
    </row>
    <row r="179" ht="15.75" customHeight="1">
      <c r="A179" s="164">
        <v>46244.0</v>
      </c>
      <c r="B179" s="76" t="s">
        <v>5</v>
      </c>
      <c r="C179" s="76" t="s">
        <v>149</v>
      </c>
      <c r="D179" s="76">
        <v>5353.0</v>
      </c>
      <c r="E179" s="76">
        <v>19.94</v>
      </c>
      <c r="F179" s="76">
        <v>802.02</v>
      </c>
      <c r="G179" s="76">
        <v>0.1498</v>
      </c>
      <c r="H179" s="76">
        <v>2.95</v>
      </c>
      <c r="I179" s="76">
        <v>5.0761</v>
      </c>
      <c r="J179" s="76">
        <v>67.51</v>
      </c>
      <c r="K179" s="76">
        <v>38.72</v>
      </c>
      <c r="L179" s="76">
        <v>26.82</v>
      </c>
      <c r="M179" s="76">
        <v>0.6927</v>
      </c>
      <c r="N179" s="76">
        <v>0.4323</v>
      </c>
      <c r="O179" s="76">
        <v>0.2724</v>
      </c>
      <c r="P179" s="76">
        <v>1.4437</v>
      </c>
      <c r="Q179" s="76">
        <v>188.32</v>
      </c>
      <c r="R179" s="76">
        <v>171.56</v>
      </c>
      <c r="S179" s="76">
        <v>16.76</v>
      </c>
      <c r="T179" s="76">
        <v>10.54</v>
      </c>
      <c r="U179" s="76">
        <v>177.79</v>
      </c>
      <c r="V179" s="76">
        <v>169.97</v>
      </c>
      <c r="W179" s="76">
        <v>4.3901</v>
      </c>
      <c r="X179" s="76">
        <v>5.59</v>
      </c>
      <c r="Y179" s="76">
        <v>272.0</v>
      </c>
      <c r="Z179" s="76">
        <v>469.0</v>
      </c>
      <c r="AA179" s="76">
        <v>1104.0</v>
      </c>
      <c r="AB179" s="76">
        <v>53.5271</v>
      </c>
      <c r="AC179" s="76">
        <v>0.7257</v>
      </c>
      <c r="AD179" s="76">
        <v>16.59</v>
      </c>
      <c r="AE179" s="76">
        <v>8.0</v>
      </c>
      <c r="AF179" s="76">
        <v>13.0</v>
      </c>
      <c r="AG179" s="76">
        <v>23.0</v>
      </c>
      <c r="AH179" s="76">
        <v>33.0</v>
      </c>
      <c r="AI179" s="76">
        <v>59.91</v>
      </c>
      <c r="AJ179" s="76">
        <v>19.99</v>
      </c>
      <c r="AK179" s="76">
        <v>3.92</v>
      </c>
      <c r="AL179" s="76">
        <v>0.2653</v>
      </c>
      <c r="AM179" s="76">
        <v>42.29</v>
      </c>
      <c r="AN179" s="76">
        <v>42.29</v>
      </c>
      <c r="AO179" s="76">
        <v>22.38</v>
      </c>
      <c r="AP179" s="76">
        <v>11.12</v>
      </c>
      <c r="AQ179" s="76">
        <v>11.7926</v>
      </c>
      <c r="AR179" s="76">
        <v>0.1399</v>
      </c>
      <c r="AS179" s="76">
        <v>11.6527</v>
      </c>
      <c r="AT179" s="76">
        <v>8.0177</v>
      </c>
      <c r="AU179" s="76">
        <v>0.2071</v>
      </c>
      <c r="AV179" s="76">
        <v>5353.0</v>
      </c>
      <c r="AW179" s="76">
        <v>0.0</v>
      </c>
      <c r="AX179" s="76">
        <v>65.66</v>
      </c>
      <c r="AY179" s="76">
        <v>107.37</v>
      </c>
      <c r="AZ179" s="76">
        <v>2.96</v>
      </c>
      <c r="BA179" s="76">
        <v>10.54</v>
      </c>
      <c r="BB179" s="76">
        <v>1.81</v>
      </c>
      <c r="BC179" s="76">
        <v>61.0</v>
      </c>
      <c r="BD179" s="76">
        <v>15521.0</v>
      </c>
      <c r="BE179" s="76">
        <v>6.3906</v>
      </c>
      <c r="BF179" s="76">
        <v>0.0639</v>
      </c>
      <c r="BG179" s="76">
        <v>6.3267</v>
      </c>
      <c r="BH179" s="76">
        <v>3.8834</v>
      </c>
      <c r="BI179" s="76">
        <v>0.1003</v>
      </c>
      <c r="BJ179" s="76">
        <v>5.402</v>
      </c>
      <c r="BK179" s="76">
        <v>0.076</v>
      </c>
      <c r="BL179" s="76">
        <v>5.326</v>
      </c>
      <c r="BM179" s="76">
        <v>4.1343</v>
      </c>
      <c r="BN179" s="76">
        <v>0.1068</v>
      </c>
      <c r="BO179" s="76">
        <v>2.6787</v>
      </c>
      <c r="BP179" s="76">
        <v>0.0174</v>
      </c>
      <c r="BQ179" s="76">
        <v>2.6613</v>
      </c>
      <c r="BR179" s="76">
        <v>1.5621</v>
      </c>
      <c r="BS179" s="76">
        <v>2.5574</v>
      </c>
      <c r="BT179" s="76">
        <v>0.0168</v>
      </c>
      <c r="BU179" s="76">
        <v>2.5406</v>
      </c>
      <c r="BV179" s="76">
        <v>1.4695</v>
      </c>
      <c r="BW179" s="76">
        <v>1.1545</v>
      </c>
      <c r="BX179" s="76">
        <v>0.0297</v>
      </c>
      <c r="BY179" s="76">
        <v>1.1248</v>
      </c>
      <c r="BZ179" s="76">
        <v>0.8519</v>
      </c>
      <c r="CA179" s="76">
        <v>1.0192</v>
      </c>
      <c r="CB179" s="76">
        <v>0.0189</v>
      </c>
      <c r="CC179" s="76">
        <v>1.0004</v>
      </c>
      <c r="CD179" s="76">
        <v>0.8976</v>
      </c>
      <c r="CE179" s="76">
        <v>2.7472</v>
      </c>
      <c r="CF179" s="76">
        <v>0.0319</v>
      </c>
      <c r="CG179" s="76">
        <v>2.7153</v>
      </c>
      <c r="CH179" s="76">
        <v>1.8827</v>
      </c>
      <c r="CI179" s="76">
        <v>1.6355</v>
      </c>
      <c r="CJ179" s="76">
        <v>0.0252</v>
      </c>
      <c r="CK179" s="76">
        <v>1.6103</v>
      </c>
      <c r="CL179" s="76">
        <v>1.354</v>
      </c>
      <c r="CM179" s="76">
        <v>422.12</v>
      </c>
      <c r="CN179" s="76">
        <v>94.0</v>
      </c>
      <c r="CO179" s="76">
        <v>449.04</v>
      </c>
      <c r="CP179" s="76">
        <v>336.73</v>
      </c>
      <c r="CQ179" s="76">
        <v>58.22</v>
      </c>
      <c r="CR179" s="76">
        <v>3.65</v>
      </c>
      <c r="CS179" s="76">
        <v>23.52</v>
      </c>
      <c r="CT179" s="76">
        <v>0.0</v>
      </c>
      <c r="CU179" s="76">
        <v>2513.0</v>
      </c>
      <c r="CV179" s="76">
        <v>4.02</v>
      </c>
      <c r="CW179" s="76">
        <v>192.34</v>
      </c>
      <c r="CX179" s="76">
        <v>7.28</v>
      </c>
      <c r="CY179" s="76">
        <v>65.5</v>
      </c>
    </row>
    <row r="180" ht="15.75" customHeight="1">
      <c r="A180" s="164">
        <v>46244.0</v>
      </c>
      <c r="B180" s="76" t="s">
        <v>5</v>
      </c>
      <c r="C180" s="76" t="s">
        <v>150</v>
      </c>
      <c r="D180" s="76">
        <v>3390.0</v>
      </c>
      <c r="E180" s="76">
        <v>12.63</v>
      </c>
      <c r="F180" s="76">
        <v>503.6</v>
      </c>
      <c r="G180" s="76">
        <v>0.1486</v>
      </c>
      <c r="H180" s="76">
        <v>3.57</v>
      </c>
      <c r="I180" s="76">
        <v>4.162</v>
      </c>
      <c r="J180" s="76">
        <v>123.48</v>
      </c>
      <c r="K180" s="76">
        <v>76.56</v>
      </c>
      <c r="L180" s="76">
        <v>56.97</v>
      </c>
      <c r="M180" s="76">
        <v>0.7442</v>
      </c>
      <c r="N180" s="76">
        <v>0.3658</v>
      </c>
      <c r="O180" s="76">
        <v>0.2369</v>
      </c>
      <c r="P180" s="76">
        <v>1.3437</v>
      </c>
      <c r="Q180" s="76">
        <v>342.49</v>
      </c>
      <c r="R180" s="76">
        <v>310.15</v>
      </c>
      <c r="S180" s="76">
        <v>32.35</v>
      </c>
      <c r="T180" s="76">
        <v>14.5</v>
      </c>
      <c r="U180" s="76">
        <v>328.0</v>
      </c>
      <c r="V180" s="76">
        <v>305.81</v>
      </c>
      <c r="W180" s="76">
        <v>3.9946</v>
      </c>
      <c r="X180" s="76">
        <v>4.23</v>
      </c>
      <c r="Y180" s="76">
        <v>342.0</v>
      </c>
      <c r="Z180" s="76">
        <v>595.0</v>
      </c>
      <c r="AA180" s="76">
        <v>1355.0</v>
      </c>
      <c r="AB180" s="76">
        <v>55.2668</v>
      </c>
      <c r="AC180" s="76">
        <v>0.7307</v>
      </c>
      <c r="AD180" s="76">
        <v>28.44</v>
      </c>
      <c r="AE180" s="76">
        <v>11.0</v>
      </c>
      <c r="AF180" s="76">
        <v>21.0</v>
      </c>
      <c r="AG180" s="76">
        <v>39.0</v>
      </c>
      <c r="AH180" s="76">
        <v>58.0</v>
      </c>
      <c r="AI180" s="76">
        <v>39.17</v>
      </c>
      <c r="AJ180" s="76">
        <v>9.12</v>
      </c>
      <c r="AK180" s="76">
        <v>2.15</v>
      </c>
      <c r="AL180" s="76">
        <v>0.1776</v>
      </c>
      <c r="AM180" s="76">
        <v>45.78</v>
      </c>
      <c r="AN180" s="76">
        <v>45.78</v>
      </c>
      <c r="AO180" s="76">
        <v>27.55</v>
      </c>
      <c r="AP180" s="76">
        <v>16.96</v>
      </c>
      <c r="AQ180" s="76">
        <v>19.4478</v>
      </c>
      <c r="AR180" s="76">
        <v>0.1962</v>
      </c>
      <c r="AS180" s="76">
        <v>19.2516</v>
      </c>
      <c r="AT180" s="76">
        <v>13.9829</v>
      </c>
      <c r="AU180" s="76">
        <v>0.1826</v>
      </c>
      <c r="AV180" s="76">
        <v>3390.0</v>
      </c>
      <c r="AW180" s="76">
        <v>0.0</v>
      </c>
      <c r="AX180" s="76">
        <v>123.71</v>
      </c>
      <c r="AY180" s="76">
        <v>196.56</v>
      </c>
      <c r="AZ180" s="76">
        <v>3.9</v>
      </c>
      <c r="BA180" s="76">
        <v>14.5</v>
      </c>
      <c r="BB180" s="76">
        <v>3.82</v>
      </c>
      <c r="BC180" s="76">
        <v>118.0</v>
      </c>
      <c r="BD180" s="76">
        <v>15124.0</v>
      </c>
      <c r="BE180" s="76">
        <v>9.9782</v>
      </c>
      <c r="BF180" s="76">
        <v>0.0929</v>
      </c>
      <c r="BG180" s="76">
        <v>9.8853</v>
      </c>
      <c r="BH180" s="76">
        <v>6.4779</v>
      </c>
      <c r="BI180" s="76">
        <v>0.0846</v>
      </c>
      <c r="BJ180" s="76">
        <v>9.4696</v>
      </c>
      <c r="BK180" s="76">
        <v>0.1032</v>
      </c>
      <c r="BL180" s="76">
        <v>9.3664</v>
      </c>
      <c r="BM180" s="76">
        <v>7.505</v>
      </c>
      <c r="BN180" s="76">
        <v>0.098</v>
      </c>
      <c r="BO180" s="76">
        <v>3.8218</v>
      </c>
      <c r="BP180" s="76">
        <v>0.0316</v>
      </c>
      <c r="BQ180" s="76">
        <v>3.7903</v>
      </c>
      <c r="BR180" s="76">
        <v>2.4153</v>
      </c>
      <c r="BS180" s="76">
        <v>3.8602</v>
      </c>
      <c r="BT180" s="76">
        <v>0.0307</v>
      </c>
      <c r="BU180" s="76">
        <v>3.8295</v>
      </c>
      <c r="BV180" s="76">
        <v>2.4212</v>
      </c>
      <c r="BW180" s="76">
        <v>2.2962</v>
      </c>
      <c r="BX180" s="76">
        <v>0.0307</v>
      </c>
      <c r="BY180" s="76">
        <v>2.2655</v>
      </c>
      <c r="BZ180" s="76">
        <v>1.6413</v>
      </c>
      <c r="CA180" s="76">
        <v>1.9466</v>
      </c>
      <c r="CB180" s="76">
        <v>0.0227</v>
      </c>
      <c r="CC180" s="76">
        <v>1.9239</v>
      </c>
      <c r="CD180" s="76">
        <v>1.7345</v>
      </c>
      <c r="CE180" s="76">
        <v>4.4189</v>
      </c>
      <c r="CF180" s="76">
        <v>0.0416</v>
      </c>
      <c r="CG180" s="76">
        <v>4.3773</v>
      </c>
      <c r="CH180" s="76">
        <v>3.1558</v>
      </c>
      <c r="CI180" s="76">
        <v>3.1041</v>
      </c>
      <c r="CJ180" s="76">
        <v>0.0389</v>
      </c>
      <c r="CK180" s="76">
        <v>3.0652</v>
      </c>
      <c r="CL180" s="76">
        <v>2.6147</v>
      </c>
      <c r="CM180" s="76">
        <v>878.32</v>
      </c>
      <c r="CN180" s="76">
        <v>99.06</v>
      </c>
      <c r="CO180" s="76">
        <v>886.69</v>
      </c>
      <c r="CP180" s="76">
        <v>705.4</v>
      </c>
      <c r="CQ180" s="76">
        <v>120.55</v>
      </c>
      <c r="CR180" s="76">
        <v>6.25</v>
      </c>
      <c r="CS180" s="76">
        <v>46.12</v>
      </c>
      <c r="CT180" s="76">
        <v>0.0</v>
      </c>
      <c r="CU180" s="76">
        <v>1735.0</v>
      </c>
      <c r="CV180" s="76">
        <v>5.7</v>
      </c>
      <c r="CW180" s="76">
        <v>348.19</v>
      </c>
      <c r="CX180" s="76">
        <v>13.09</v>
      </c>
      <c r="CY180" s="76">
        <v>133.63</v>
      </c>
    </row>
    <row r="181" ht="15.75" customHeight="1">
      <c r="A181" s="164">
        <v>46244.0</v>
      </c>
      <c r="B181" s="76" t="s">
        <v>5</v>
      </c>
      <c r="C181" s="76" t="s">
        <v>151</v>
      </c>
      <c r="D181" s="76">
        <v>501.0</v>
      </c>
      <c r="E181" s="76">
        <v>1.87</v>
      </c>
      <c r="F181" s="76">
        <v>109.21</v>
      </c>
      <c r="G181" s="76">
        <v>0.218</v>
      </c>
      <c r="H181" s="76">
        <v>5.79</v>
      </c>
      <c r="I181" s="76">
        <v>3.7659</v>
      </c>
      <c r="J181" s="76">
        <v>242.95</v>
      </c>
      <c r="K181" s="76">
        <v>168.17</v>
      </c>
      <c r="L181" s="76">
        <v>125.7</v>
      </c>
      <c r="M181" s="76">
        <v>0.7475</v>
      </c>
      <c r="N181" s="76">
        <v>0.329</v>
      </c>
      <c r="O181" s="76">
        <v>0.2016</v>
      </c>
      <c r="P181" s="76">
        <v>1.3378</v>
      </c>
      <c r="Q181" s="76">
        <v>626.4</v>
      </c>
      <c r="R181" s="76">
        <v>548.47</v>
      </c>
      <c r="S181" s="76">
        <v>77.93</v>
      </c>
      <c r="T181" s="76">
        <v>25.45</v>
      </c>
      <c r="U181" s="76">
        <v>600.95</v>
      </c>
      <c r="V181" s="76">
        <v>565.87</v>
      </c>
      <c r="W181" s="76">
        <v>3.3649</v>
      </c>
      <c r="X181" s="76">
        <v>4.06</v>
      </c>
      <c r="Y181" s="76">
        <v>416.0</v>
      </c>
      <c r="Z181" s="76">
        <v>747.0</v>
      </c>
      <c r="AA181" s="76">
        <v>1498.0</v>
      </c>
      <c r="AB181" s="76">
        <v>57.7714</v>
      </c>
      <c r="AC181" s="76">
        <v>0.7575</v>
      </c>
      <c r="AD181" s="76">
        <v>49.0</v>
      </c>
      <c r="AE181" s="76">
        <v>19.0</v>
      </c>
      <c r="AF181" s="76">
        <v>37.0</v>
      </c>
      <c r="AG181" s="76">
        <v>62.0</v>
      </c>
      <c r="AH181" s="76">
        <v>102.0</v>
      </c>
      <c r="AI181" s="76">
        <v>16.57</v>
      </c>
      <c r="AJ181" s="76">
        <v>3.19</v>
      </c>
      <c r="AK181" s="76">
        <v>0.2</v>
      </c>
      <c r="AL181" s="76">
        <v>0.0858</v>
      </c>
      <c r="AM181" s="76">
        <v>65.27</v>
      </c>
      <c r="AN181" s="76">
        <v>65.27</v>
      </c>
      <c r="AO181" s="76">
        <v>49.9</v>
      </c>
      <c r="AP181" s="76">
        <v>42.32</v>
      </c>
      <c r="AQ181" s="76">
        <v>35.1238</v>
      </c>
      <c r="AR181" s="76">
        <v>0.3593</v>
      </c>
      <c r="AS181" s="76">
        <v>34.7645</v>
      </c>
      <c r="AT181" s="76">
        <v>29.7465</v>
      </c>
      <c r="AU181" s="76">
        <v>0.1769</v>
      </c>
      <c r="AV181" s="76">
        <v>501.0</v>
      </c>
      <c r="AW181" s="76">
        <v>0.0</v>
      </c>
      <c r="AX181" s="76">
        <v>263.7</v>
      </c>
      <c r="AY181" s="76">
        <v>320.96</v>
      </c>
      <c r="AZ181" s="76">
        <v>4.6</v>
      </c>
      <c r="BA181" s="76">
        <v>25.45</v>
      </c>
      <c r="BB181" s="76">
        <v>11.69</v>
      </c>
      <c r="BC181" s="76">
        <v>237.0</v>
      </c>
      <c r="BD181" s="76">
        <v>9016.0</v>
      </c>
      <c r="BE181" s="76">
        <v>17.8124</v>
      </c>
      <c r="BF181" s="76">
        <v>0.1796</v>
      </c>
      <c r="BG181" s="76">
        <v>17.6327</v>
      </c>
      <c r="BH181" s="76">
        <v>11.6068</v>
      </c>
      <c r="BI181" s="76">
        <v>0.069</v>
      </c>
      <c r="BJ181" s="76">
        <v>17.3114</v>
      </c>
      <c r="BK181" s="76">
        <v>0.1796</v>
      </c>
      <c r="BL181" s="76">
        <v>17.1317</v>
      </c>
      <c r="BM181" s="76">
        <v>18.1397</v>
      </c>
      <c r="BN181" s="76">
        <v>0.1079</v>
      </c>
      <c r="BO181" s="76">
        <v>6.2315</v>
      </c>
      <c r="BP181" s="76">
        <v>0.0659</v>
      </c>
      <c r="BQ181" s="76">
        <v>6.1657</v>
      </c>
      <c r="BR181" s="76">
        <v>4.0379</v>
      </c>
      <c r="BS181" s="76">
        <v>6.6447</v>
      </c>
      <c r="BT181" s="76">
        <v>0.0539</v>
      </c>
      <c r="BU181" s="76">
        <v>6.5908</v>
      </c>
      <c r="BV181" s="76">
        <v>4.2954</v>
      </c>
      <c r="BW181" s="76">
        <v>4.9361</v>
      </c>
      <c r="BX181" s="76">
        <v>0.0599</v>
      </c>
      <c r="BY181" s="76">
        <v>4.8762</v>
      </c>
      <c r="BZ181" s="76">
        <v>3.2735</v>
      </c>
      <c r="CA181" s="76">
        <v>3.5689</v>
      </c>
      <c r="CB181" s="76">
        <v>0.0619</v>
      </c>
      <c r="CC181" s="76">
        <v>3.507</v>
      </c>
      <c r="CD181" s="76">
        <v>4.7764</v>
      </c>
      <c r="CE181" s="76">
        <v>7.5409</v>
      </c>
      <c r="CF181" s="76">
        <v>0.0739</v>
      </c>
      <c r="CG181" s="76">
        <v>7.4671</v>
      </c>
      <c r="CH181" s="76">
        <v>5.9521</v>
      </c>
      <c r="CI181" s="76">
        <v>6.2016</v>
      </c>
      <c r="CJ181" s="76">
        <v>0.0439</v>
      </c>
      <c r="CK181" s="76">
        <v>6.1577</v>
      </c>
      <c r="CL181" s="76">
        <v>7.4112</v>
      </c>
      <c r="CM181" s="76">
        <v>1824.13</v>
      </c>
      <c r="CN181" s="76">
        <v>99.4</v>
      </c>
      <c r="CO181" s="76">
        <v>1835.12</v>
      </c>
      <c r="CP181" s="76">
        <v>1492.37</v>
      </c>
      <c r="CQ181" s="76">
        <v>242.25</v>
      </c>
      <c r="CR181" s="76">
        <v>9.18</v>
      </c>
      <c r="CS181" s="76">
        <v>80.33</v>
      </c>
      <c r="CT181" s="76">
        <v>0.0</v>
      </c>
      <c r="CU181" s="76">
        <v>277.0</v>
      </c>
      <c r="CV181" s="76">
        <v>12.64</v>
      </c>
      <c r="CW181" s="76">
        <v>639.04</v>
      </c>
      <c r="CX181" s="76">
        <v>24.09</v>
      </c>
      <c r="CY181" s="76">
        <v>266.34</v>
      </c>
    </row>
    <row r="182" ht="15.75" customHeight="1">
      <c r="A182" s="164">
        <v>46245.0</v>
      </c>
      <c r="B182" s="76" t="s">
        <v>4</v>
      </c>
      <c r="C182" s="76" t="s">
        <v>316</v>
      </c>
      <c r="D182" s="76">
        <v>4515.0</v>
      </c>
      <c r="E182" s="76">
        <v>16.21</v>
      </c>
      <c r="F182" s="76">
        <v>261.24</v>
      </c>
      <c r="G182" s="76">
        <v>0.0579</v>
      </c>
      <c r="H182" s="76">
        <v>0.53</v>
      </c>
      <c r="I182" s="76">
        <v>10.885</v>
      </c>
      <c r="J182" s="76">
        <v>10.84</v>
      </c>
      <c r="K182" s="76">
        <v>5.88</v>
      </c>
      <c r="L182" s="76">
        <v>3.53</v>
      </c>
      <c r="M182" s="76">
        <v>0.5998</v>
      </c>
      <c r="N182" s="76">
        <v>0.4902</v>
      </c>
      <c r="O182" s="76">
        <v>0.2135</v>
      </c>
      <c r="P182" s="76">
        <v>1.6673</v>
      </c>
      <c r="Q182" s="76">
        <v>35.9</v>
      </c>
      <c r="R182" s="76">
        <v>35.69</v>
      </c>
      <c r="S182" s="76">
        <v>0.21</v>
      </c>
      <c r="T182" s="76">
        <v>5.01</v>
      </c>
      <c r="U182" s="76">
        <v>30.89</v>
      </c>
      <c r="V182" s="76">
        <v>19.79</v>
      </c>
      <c r="W182" s="76">
        <v>3.365</v>
      </c>
      <c r="X182" s="76">
        <v>13.94</v>
      </c>
      <c r="Y182" s="76">
        <v>201.0</v>
      </c>
      <c r="Z182" s="76">
        <v>488.0</v>
      </c>
      <c r="AA182" s="76">
        <v>3237.0</v>
      </c>
      <c r="AB182" s="76">
        <v>49.4951</v>
      </c>
      <c r="AC182" s="76">
        <v>0.5595</v>
      </c>
      <c r="AI182" s="76">
        <v>0.0</v>
      </c>
      <c r="AJ182" s="76">
        <v>0.0</v>
      </c>
      <c r="AK182" s="76">
        <v>0.0</v>
      </c>
      <c r="AL182" s="76">
        <v>0.5511</v>
      </c>
      <c r="AQ182" s="76">
        <v>1.0102</v>
      </c>
      <c r="AR182" s="76">
        <v>0.0399</v>
      </c>
      <c r="AS182" s="76">
        <v>0.9703</v>
      </c>
      <c r="AT182" s="76">
        <v>0.7017</v>
      </c>
      <c r="AU182" s="76">
        <v>0.1193</v>
      </c>
      <c r="AV182" s="76">
        <v>4515.0</v>
      </c>
      <c r="AW182" s="76">
        <v>0.0</v>
      </c>
      <c r="AX182" s="76">
        <v>10.55</v>
      </c>
      <c r="AY182" s="76">
        <v>18.64</v>
      </c>
      <c r="AZ182" s="76">
        <v>1.55</v>
      </c>
      <c r="BA182" s="76">
        <v>5.01</v>
      </c>
      <c r="BB182" s="76">
        <v>0.16</v>
      </c>
      <c r="BD182" s="76">
        <v>27733.0</v>
      </c>
      <c r="BE182" s="76">
        <v>0.3349</v>
      </c>
      <c r="BF182" s="76">
        <v>0.0166</v>
      </c>
      <c r="BG182" s="76">
        <v>0.3183</v>
      </c>
      <c r="BH182" s="76">
        <v>0.3542</v>
      </c>
      <c r="BI182" s="76">
        <v>0.0602</v>
      </c>
      <c r="BJ182" s="76">
        <v>0.6753</v>
      </c>
      <c r="BK182" s="76">
        <v>0.0233</v>
      </c>
      <c r="BL182" s="76">
        <v>0.652</v>
      </c>
      <c r="BM182" s="76">
        <v>0.3475</v>
      </c>
      <c r="BN182" s="76">
        <v>0.0591</v>
      </c>
      <c r="BO182" s="76">
        <v>0.1136</v>
      </c>
      <c r="BP182" s="76">
        <v>0.0062</v>
      </c>
      <c r="BQ182" s="76">
        <v>0.1074</v>
      </c>
      <c r="BR182" s="76">
        <v>0.132</v>
      </c>
      <c r="BS182" s="76">
        <v>0.1329</v>
      </c>
      <c r="BT182" s="76">
        <v>0.0049</v>
      </c>
      <c r="BU182" s="76">
        <v>0.128</v>
      </c>
      <c r="BV182" s="76">
        <v>0.1324</v>
      </c>
      <c r="BW182" s="76">
        <v>0.0884</v>
      </c>
      <c r="BX182" s="76">
        <v>0.0055</v>
      </c>
      <c r="BY182" s="76">
        <v>0.0828</v>
      </c>
      <c r="BZ182" s="76">
        <v>0.0897</v>
      </c>
      <c r="CA182" s="76">
        <v>0.1327</v>
      </c>
      <c r="CB182" s="76">
        <v>0.0049</v>
      </c>
      <c r="CC182" s="76">
        <v>0.1278</v>
      </c>
      <c r="CD182" s="76">
        <v>0.0835</v>
      </c>
      <c r="CE182" s="76">
        <v>0.3054</v>
      </c>
      <c r="CF182" s="76">
        <v>0.0122</v>
      </c>
      <c r="CG182" s="76">
        <v>0.2932</v>
      </c>
      <c r="CH182" s="76">
        <v>0.1285</v>
      </c>
      <c r="CI182" s="76">
        <v>0.2372</v>
      </c>
      <c r="CJ182" s="76">
        <v>0.0062</v>
      </c>
      <c r="CK182" s="76">
        <v>0.231</v>
      </c>
      <c r="CL182" s="76">
        <v>0.1355</v>
      </c>
      <c r="CM182" s="76">
        <v>64.81</v>
      </c>
      <c r="CN182" s="76">
        <v>6.64</v>
      </c>
      <c r="CO182" s="76">
        <v>975.41</v>
      </c>
      <c r="CP182" s="76">
        <v>61.85</v>
      </c>
      <c r="CQ182" s="76">
        <v>0.0</v>
      </c>
      <c r="CR182" s="76">
        <v>0.79</v>
      </c>
      <c r="CS182" s="76">
        <v>2.17</v>
      </c>
      <c r="CT182" s="76">
        <v>0.0</v>
      </c>
      <c r="CU182" s="76">
        <v>0.0</v>
      </c>
      <c r="CV182" s="76">
        <v>0.0</v>
      </c>
      <c r="CW182" s="76">
        <v>35.9</v>
      </c>
      <c r="CX182" s="76">
        <v>0.0</v>
      </c>
      <c r="CY182" s="76">
        <v>0.0</v>
      </c>
    </row>
    <row r="183" ht="15.75" customHeight="1">
      <c r="A183" s="164">
        <v>46245.0</v>
      </c>
      <c r="B183" s="76" t="s">
        <v>4</v>
      </c>
      <c r="C183" s="76" t="s">
        <v>147</v>
      </c>
      <c r="D183" s="76">
        <v>7657.0</v>
      </c>
      <c r="E183" s="76">
        <v>27.48</v>
      </c>
      <c r="F183" s="76">
        <v>177.21</v>
      </c>
      <c r="G183" s="76">
        <v>0.0231</v>
      </c>
      <c r="H183" s="76">
        <v>0.76</v>
      </c>
      <c r="I183" s="76">
        <v>3.0553</v>
      </c>
      <c r="J183" s="76">
        <v>20.7</v>
      </c>
      <c r="K183" s="76">
        <v>10.77</v>
      </c>
      <c r="L183" s="76">
        <v>5.13</v>
      </c>
      <c r="M183" s="76">
        <v>0.4765</v>
      </c>
      <c r="N183" s="76">
        <v>0.6365</v>
      </c>
      <c r="O183" s="76">
        <v>0.3932</v>
      </c>
      <c r="P183" s="76">
        <v>2.0988</v>
      </c>
      <c r="Q183" s="76">
        <v>45.46</v>
      </c>
      <c r="R183" s="76">
        <v>38.46</v>
      </c>
      <c r="S183" s="76">
        <v>7.0</v>
      </c>
      <c r="T183" s="76">
        <v>2.17</v>
      </c>
      <c r="U183" s="76">
        <v>43.29</v>
      </c>
      <c r="V183" s="76">
        <v>45.39</v>
      </c>
      <c r="W183" s="76">
        <v>4.2143</v>
      </c>
      <c r="X183" s="76">
        <v>4.77</v>
      </c>
      <c r="Y183" s="76">
        <v>203.0</v>
      </c>
      <c r="Z183" s="76">
        <v>369.0</v>
      </c>
      <c r="AA183" s="76">
        <v>1279.0</v>
      </c>
      <c r="AB183" s="76">
        <v>49.6163</v>
      </c>
      <c r="AC183" s="76">
        <v>0.5918</v>
      </c>
      <c r="AD183" s="76">
        <v>3.98</v>
      </c>
      <c r="AE183" s="76">
        <v>1.0</v>
      </c>
      <c r="AF183" s="76">
        <v>3.0</v>
      </c>
      <c r="AG183" s="76">
        <v>5.0</v>
      </c>
      <c r="AH183" s="76">
        <v>8.0</v>
      </c>
      <c r="AI183" s="76">
        <v>74.7</v>
      </c>
      <c r="AJ183" s="76">
        <v>33.33</v>
      </c>
      <c r="AK183" s="76">
        <v>6.14</v>
      </c>
      <c r="AL183" s="76">
        <v>0.4745</v>
      </c>
      <c r="AQ183" s="76">
        <v>2.6939</v>
      </c>
      <c r="AR183" s="76">
        <v>0.0511</v>
      </c>
      <c r="AS183" s="76">
        <v>2.6428</v>
      </c>
      <c r="AT183" s="76">
        <v>2.3923</v>
      </c>
      <c r="AU183" s="76">
        <v>0.2221</v>
      </c>
      <c r="AV183" s="76">
        <v>7657.0</v>
      </c>
      <c r="AW183" s="76">
        <v>0.0</v>
      </c>
      <c r="AX183" s="76">
        <v>25.48</v>
      </c>
      <c r="AY183" s="76">
        <v>14.91</v>
      </c>
      <c r="AZ183" s="76">
        <v>2.25</v>
      </c>
      <c r="BA183" s="76">
        <v>2.17</v>
      </c>
      <c r="BB183" s="76">
        <v>0.65</v>
      </c>
      <c r="BC183" s="76">
        <v>17.0</v>
      </c>
      <c r="BD183" s="76">
        <v>19749.0</v>
      </c>
      <c r="BE183" s="76">
        <v>1.5454</v>
      </c>
      <c r="BF183" s="76">
        <v>0.0337</v>
      </c>
      <c r="BG183" s="76">
        <v>1.5117</v>
      </c>
      <c r="BH183" s="76">
        <v>1.2752</v>
      </c>
      <c r="BI183" s="76">
        <v>0.1184</v>
      </c>
      <c r="BJ183" s="76">
        <v>1.1485</v>
      </c>
      <c r="BK183" s="76">
        <v>0.0174</v>
      </c>
      <c r="BL183" s="76">
        <v>1.1311</v>
      </c>
      <c r="BM183" s="76">
        <v>1.1171</v>
      </c>
      <c r="BN183" s="76">
        <v>0.1037</v>
      </c>
      <c r="BO183" s="76">
        <v>0.54</v>
      </c>
      <c r="BP183" s="76">
        <v>0.0123</v>
      </c>
      <c r="BQ183" s="76">
        <v>0.5278</v>
      </c>
      <c r="BR183" s="76">
        <v>0.48</v>
      </c>
      <c r="BS183" s="76">
        <v>0.6922</v>
      </c>
      <c r="BT183" s="76">
        <v>0.0084</v>
      </c>
      <c r="BU183" s="76">
        <v>0.6838</v>
      </c>
      <c r="BV183" s="76">
        <v>0.5221</v>
      </c>
      <c r="BW183" s="76">
        <v>0.3132</v>
      </c>
      <c r="BX183" s="76">
        <v>0.0131</v>
      </c>
      <c r="BY183" s="76">
        <v>0.3001</v>
      </c>
      <c r="BZ183" s="76">
        <v>0.2731</v>
      </c>
      <c r="CA183" s="76">
        <v>0.2232</v>
      </c>
      <c r="CB183" s="76">
        <v>0.0029</v>
      </c>
      <c r="CC183" s="76">
        <v>0.2203</v>
      </c>
      <c r="CD183" s="76">
        <v>0.2265</v>
      </c>
      <c r="CE183" s="76">
        <v>0.5305</v>
      </c>
      <c r="CF183" s="76">
        <v>0.0086</v>
      </c>
      <c r="CG183" s="76">
        <v>0.5219</v>
      </c>
      <c r="CH183" s="76">
        <v>0.4933</v>
      </c>
      <c r="CI183" s="76">
        <v>0.3948</v>
      </c>
      <c r="CJ183" s="76">
        <v>0.0059</v>
      </c>
      <c r="CK183" s="76">
        <v>0.3889</v>
      </c>
      <c r="CL183" s="76">
        <v>0.3974</v>
      </c>
      <c r="CM183" s="76">
        <v>75.39</v>
      </c>
      <c r="CN183" s="76">
        <v>71.58</v>
      </c>
      <c r="CO183" s="76">
        <v>105.33</v>
      </c>
      <c r="CP183" s="76">
        <v>70.55</v>
      </c>
      <c r="CQ183" s="76">
        <v>0.0</v>
      </c>
      <c r="CR183" s="76">
        <v>2.4</v>
      </c>
      <c r="CS183" s="76">
        <v>2.44</v>
      </c>
      <c r="CT183" s="76">
        <v>0.0</v>
      </c>
      <c r="CU183" s="76">
        <v>0.0</v>
      </c>
      <c r="CV183" s="76">
        <v>0.0</v>
      </c>
      <c r="CW183" s="76">
        <v>45.46</v>
      </c>
      <c r="CX183" s="76">
        <v>0.0</v>
      </c>
      <c r="CY183" s="76">
        <v>0.0</v>
      </c>
    </row>
    <row r="184" ht="15.75" customHeight="1">
      <c r="A184" s="164">
        <v>46245.0</v>
      </c>
      <c r="B184" s="76" t="s">
        <v>4</v>
      </c>
      <c r="C184" s="76" t="s">
        <v>148</v>
      </c>
      <c r="D184" s="76">
        <v>6337.0</v>
      </c>
      <c r="E184" s="76">
        <v>22.75</v>
      </c>
      <c r="F184" s="76">
        <v>408.78</v>
      </c>
      <c r="G184" s="76">
        <v>0.0645</v>
      </c>
      <c r="H184" s="76">
        <v>2.05</v>
      </c>
      <c r="I184" s="76">
        <v>3.1445</v>
      </c>
      <c r="J184" s="76">
        <v>38.55</v>
      </c>
      <c r="K184" s="76">
        <v>21.1</v>
      </c>
      <c r="L184" s="76">
        <v>13.11</v>
      </c>
      <c r="M184" s="76">
        <v>0.6215</v>
      </c>
      <c r="N184" s="76">
        <v>0.5056</v>
      </c>
      <c r="O184" s="76">
        <v>0.3101</v>
      </c>
      <c r="P184" s="76">
        <v>1.6089</v>
      </c>
      <c r="Q184" s="76">
        <v>95.84</v>
      </c>
      <c r="R184" s="76">
        <v>76.05</v>
      </c>
      <c r="S184" s="76">
        <v>19.79</v>
      </c>
      <c r="T184" s="76">
        <v>6.62</v>
      </c>
      <c r="U184" s="76">
        <v>89.22</v>
      </c>
      <c r="V184" s="76">
        <v>93.44</v>
      </c>
      <c r="W184" s="76">
        <v>4.4285</v>
      </c>
      <c r="X184" s="76">
        <v>6.91</v>
      </c>
      <c r="Y184" s="76">
        <v>245.0</v>
      </c>
      <c r="Z184" s="76">
        <v>443.0</v>
      </c>
      <c r="AA184" s="76">
        <v>1423.0</v>
      </c>
      <c r="AB184" s="76">
        <v>52.2099</v>
      </c>
      <c r="AC184" s="76">
        <v>0.6852</v>
      </c>
      <c r="AD184" s="76">
        <v>9.52</v>
      </c>
      <c r="AE184" s="76">
        <v>4.0</v>
      </c>
      <c r="AF184" s="76">
        <v>8.0</v>
      </c>
      <c r="AG184" s="76">
        <v>13.0</v>
      </c>
      <c r="AH184" s="76">
        <v>19.0</v>
      </c>
      <c r="AI184" s="76">
        <v>65.13</v>
      </c>
      <c r="AJ184" s="76">
        <v>27.24</v>
      </c>
      <c r="AK184" s="76">
        <v>3.31</v>
      </c>
      <c r="AL184" s="76">
        <v>0.3405</v>
      </c>
      <c r="AQ184" s="76">
        <v>5.3955</v>
      </c>
      <c r="AR184" s="76">
        <v>0.1398</v>
      </c>
      <c r="AS184" s="76">
        <v>5.2556</v>
      </c>
      <c r="AT184" s="76">
        <v>4.6569</v>
      </c>
      <c r="AU184" s="76">
        <v>0.2207</v>
      </c>
      <c r="AV184" s="76">
        <v>6337.0</v>
      </c>
      <c r="AW184" s="76">
        <v>0.0</v>
      </c>
      <c r="AX184" s="76">
        <v>50.91</v>
      </c>
      <c r="AY184" s="76">
        <v>34.31</v>
      </c>
      <c r="AZ184" s="76">
        <v>2.86</v>
      </c>
      <c r="BA184" s="76">
        <v>6.61</v>
      </c>
      <c r="BB184" s="76">
        <v>1.14</v>
      </c>
      <c r="BC184" s="76">
        <v>34.0</v>
      </c>
      <c r="BD184" s="76">
        <v>19298.0</v>
      </c>
      <c r="BE184" s="76">
        <v>3.0682</v>
      </c>
      <c r="BF184" s="76">
        <v>0.0833</v>
      </c>
      <c r="BG184" s="76">
        <v>2.9849</v>
      </c>
      <c r="BH184" s="76">
        <v>2.3972</v>
      </c>
      <c r="BI184" s="76">
        <v>0.1136</v>
      </c>
      <c r="BJ184" s="76">
        <v>2.3273</v>
      </c>
      <c r="BK184" s="76">
        <v>0.0565</v>
      </c>
      <c r="BL184" s="76">
        <v>2.2708</v>
      </c>
      <c r="BM184" s="76">
        <v>2.2597</v>
      </c>
      <c r="BN184" s="76">
        <v>0.1071</v>
      </c>
      <c r="BO184" s="76">
        <v>1.0633</v>
      </c>
      <c r="BP184" s="76">
        <v>0.0211</v>
      </c>
      <c r="BQ184" s="76">
        <v>1.0421</v>
      </c>
      <c r="BR184" s="76">
        <v>0.8753</v>
      </c>
      <c r="BS184" s="76">
        <v>1.3746</v>
      </c>
      <c r="BT184" s="76">
        <v>0.0216</v>
      </c>
      <c r="BU184" s="76">
        <v>1.353</v>
      </c>
      <c r="BV184" s="76">
        <v>0.9828</v>
      </c>
      <c r="BW184" s="76">
        <v>0.6303</v>
      </c>
      <c r="BX184" s="76">
        <v>0.0406</v>
      </c>
      <c r="BY184" s="76">
        <v>0.5897</v>
      </c>
      <c r="BZ184" s="76">
        <v>0.5391</v>
      </c>
      <c r="CA184" s="76">
        <v>0.436</v>
      </c>
      <c r="CB184" s="76">
        <v>0.012</v>
      </c>
      <c r="CC184" s="76">
        <v>0.424</v>
      </c>
      <c r="CD184" s="76">
        <v>0.4589</v>
      </c>
      <c r="CE184" s="76">
        <v>1.0289</v>
      </c>
      <c r="CF184" s="76">
        <v>0.0246</v>
      </c>
      <c r="CG184" s="76">
        <v>1.0043</v>
      </c>
      <c r="CH184" s="76">
        <v>0.9241</v>
      </c>
      <c r="CI184" s="76">
        <v>0.8624</v>
      </c>
      <c r="CJ184" s="76">
        <v>0.0199</v>
      </c>
      <c r="CK184" s="76">
        <v>0.8425</v>
      </c>
      <c r="CL184" s="76">
        <v>0.8768</v>
      </c>
      <c r="CM184" s="76">
        <v>187.9</v>
      </c>
      <c r="CN184" s="76">
        <v>84.69</v>
      </c>
      <c r="CO184" s="76">
        <v>221.86</v>
      </c>
      <c r="CP184" s="76">
        <v>174.03</v>
      </c>
      <c r="CQ184" s="76">
        <v>0.0</v>
      </c>
      <c r="CR184" s="76">
        <v>3.06</v>
      </c>
      <c r="CS184" s="76">
        <v>10.81</v>
      </c>
      <c r="CT184" s="76">
        <v>0.0</v>
      </c>
      <c r="CU184" s="76">
        <v>0.0</v>
      </c>
      <c r="CV184" s="76">
        <v>0.0</v>
      </c>
      <c r="CW184" s="76">
        <v>95.84</v>
      </c>
      <c r="CX184" s="76">
        <v>0.0</v>
      </c>
      <c r="CY184" s="76">
        <v>0.0</v>
      </c>
    </row>
    <row r="185" ht="15.75" customHeight="1">
      <c r="A185" s="164">
        <v>46245.0</v>
      </c>
      <c r="B185" s="76" t="s">
        <v>4</v>
      </c>
      <c r="C185" s="76" t="s">
        <v>149</v>
      </c>
      <c r="D185" s="76">
        <v>5342.0</v>
      </c>
      <c r="E185" s="76">
        <v>19.17</v>
      </c>
      <c r="F185" s="76">
        <v>687.13</v>
      </c>
      <c r="G185" s="76">
        <v>0.1286</v>
      </c>
      <c r="H185" s="76">
        <v>3.01</v>
      </c>
      <c r="I185" s="76">
        <v>4.2679</v>
      </c>
      <c r="J185" s="76">
        <v>61.0</v>
      </c>
      <c r="K185" s="76">
        <v>36.38</v>
      </c>
      <c r="L185" s="76">
        <v>26.62</v>
      </c>
      <c r="M185" s="76">
        <v>0.7316</v>
      </c>
      <c r="N185" s="76">
        <v>0.3944</v>
      </c>
      <c r="O185" s="76">
        <v>0.2555</v>
      </c>
      <c r="P185" s="76">
        <v>1.3668</v>
      </c>
      <c r="Q185" s="76">
        <v>173.32</v>
      </c>
      <c r="R185" s="76">
        <v>135.02</v>
      </c>
      <c r="S185" s="76">
        <v>38.3</v>
      </c>
      <c r="T185" s="76">
        <v>10.56</v>
      </c>
      <c r="U185" s="76">
        <v>162.77</v>
      </c>
      <c r="V185" s="76">
        <v>169.78</v>
      </c>
      <c r="W185" s="76">
        <v>4.6667</v>
      </c>
      <c r="X185" s="76">
        <v>6.09</v>
      </c>
      <c r="Y185" s="76">
        <v>295.0</v>
      </c>
      <c r="Z185" s="76">
        <v>522.0</v>
      </c>
      <c r="AA185" s="76">
        <v>1247.0</v>
      </c>
      <c r="AB185" s="76">
        <v>53.7648</v>
      </c>
      <c r="AC185" s="76">
        <v>0.7473</v>
      </c>
      <c r="AD185" s="76">
        <v>16.51</v>
      </c>
      <c r="AE185" s="76">
        <v>7.0</v>
      </c>
      <c r="AF185" s="76">
        <v>13.0</v>
      </c>
      <c r="AG185" s="76">
        <v>23.0</v>
      </c>
      <c r="AH185" s="76">
        <v>33.0</v>
      </c>
      <c r="AI185" s="76">
        <v>59.96</v>
      </c>
      <c r="AJ185" s="76">
        <v>20.78</v>
      </c>
      <c r="AK185" s="76">
        <v>4.51</v>
      </c>
      <c r="AL185" s="76">
        <v>0.2643</v>
      </c>
      <c r="AQ185" s="76">
        <v>8.6415</v>
      </c>
      <c r="AR185" s="76">
        <v>0.1769</v>
      </c>
      <c r="AS185" s="76">
        <v>8.4646</v>
      </c>
      <c r="AT185" s="76">
        <v>7.2791</v>
      </c>
      <c r="AU185" s="76">
        <v>0.2001</v>
      </c>
      <c r="AV185" s="76">
        <v>5342.0</v>
      </c>
      <c r="AW185" s="76">
        <v>0.0</v>
      </c>
      <c r="AX185" s="76">
        <v>89.3</v>
      </c>
      <c r="AY185" s="76">
        <v>68.54</v>
      </c>
      <c r="AZ185" s="76">
        <v>3.01</v>
      </c>
      <c r="BA185" s="76">
        <v>10.56</v>
      </c>
      <c r="BB185" s="76">
        <v>1.91</v>
      </c>
      <c r="BC185" s="76">
        <v>60.0</v>
      </c>
      <c r="BD185" s="76">
        <v>18401.0</v>
      </c>
      <c r="BE185" s="76">
        <v>4.9648</v>
      </c>
      <c r="BF185" s="76">
        <v>0.091</v>
      </c>
      <c r="BG185" s="76">
        <v>4.8738</v>
      </c>
      <c r="BH185" s="76">
        <v>3.5541</v>
      </c>
      <c r="BI185" s="76">
        <v>0.0977</v>
      </c>
      <c r="BJ185" s="76">
        <v>3.6767</v>
      </c>
      <c r="BK185" s="76">
        <v>0.0859</v>
      </c>
      <c r="BL185" s="76">
        <v>3.5908</v>
      </c>
      <c r="BM185" s="76">
        <v>3.725</v>
      </c>
      <c r="BN185" s="76">
        <v>0.1024</v>
      </c>
      <c r="BO185" s="76">
        <v>1.7821</v>
      </c>
      <c r="BP185" s="76">
        <v>0.0251</v>
      </c>
      <c r="BQ185" s="76">
        <v>1.757</v>
      </c>
      <c r="BR185" s="76">
        <v>1.3487</v>
      </c>
      <c r="BS185" s="76">
        <v>2.1619</v>
      </c>
      <c r="BT185" s="76">
        <v>0.0318</v>
      </c>
      <c r="BU185" s="76">
        <v>2.1301</v>
      </c>
      <c r="BV185" s="76">
        <v>1.4485</v>
      </c>
      <c r="BW185" s="76">
        <v>1.0208</v>
      </c>
      <c r="BX185" s="76">
        <v>0.0341</v>
      </c>
      <c r="BY185" s="76">
        <v>0.9867</v>
      </c>
      <c r="BZ185" s="76">
        <v>0.7568</v>
      </c>
      <c r="CA185" s="76">
        <v>0.7254</v>
      </c>
      <c r="CB185" s="76">
        <v>0.0241</v>
      </c>
      <c r="CC185" s="76">
        <v>0.7012</v>
      </c>
      <c r="CD185" s="76">
        <v>0.8838</v>
      </c>
      <c r="CE185" s="76">
        <v>1.4358</v>
      </c>
      <c r="CF185" s="76">
        <v>0.0382</v>
      </c>
      <c r="CG185" s="76">
        <v>1.3976</v>
      </c>
      <c r="CH185" s="76">
        <v>1.3733</v>
      </c>
      <c r="CI185" s="76">
        <v>1.5155</v>
      </c>
      <c r="CJ185" s="76">
        <v>0.0236</v>
      </c>
      <c r="CK185" s="76">
        <v>1.492</v>
      </c>
      <c r="CL185" s="76">
        <v>1.468</v>
      </c>
      <c r="CM185" s="76">
        <v>385.48</v>
      </c>
      <c r="CN185" s="76">
        <v>93.43</v>
      </c>
      <c r="CO185" s="76">
        <v>412.59</v>
      </c>
      <c r="CP185" s="76">
        <v>360.83</v>
      </c>
      <c r="CQ185" s="76">
        <v>0.0</v>
      </c>
      <c r="CR185" s="76">
        <v>4.11</v>
      </c>
      <c r="CS185" s="76">
        <v>20.54</v>
      </c>
      <c r="CT185" s="76">
        <v>0.0</v>
      </c>
      <c r="CU185" s="76">
        <v>2.0</v>
      </c>
      <c r="CV185" s="76">
        <v>0.0</v>
      </c>
      <c r="CW185" s="76">
        <v>173.32</v>
      </c>
      <c r="CX185" s="76">
        <v>0.0</v>
      </c>
      <c r="CY185" s="76">
        <v>0.0</v>
      </c>
    </row>
    <row r="186" ht="15.75" customHeight="1">
      <c r="A186" s="164">
        <v>46245.0</v>
      </c>
      <c r="B186" s="76" t="s">
        <v>4</v>
      </c>
      <c r="C186" s="76" t="s">
        <v>150</v>
      </c>
      <c r="D186" s="76">
        <v>3464.0</v>
      </c>
      <c r="E186" s="76">
        <v>12.43</v>
      </c>
      <c r="F186" s="76">
        <v>880.39</v>
      </c>
      <c r="G186" s="76">
        <v>0.2542</v>
      </c>
      <c r="H186" s="76">
        <v>4.36</v>
      </c>
      <c r="I186" s="76">
        <v>5.8304</v>
      </c>
      <c r="J186" s="76">
        <v>108.31</v>
      </c>
      <c r="K186" s="76">
        <v>69.39</v>
      </c>
      <c r="L186" s="76">
        <v>52.48</v>
      </c>
      <c r="M186" s="76">
        <v>0.7564</v>
      </c>
      <c r="N186" s="76">
        <v>0.355</v>
      </c>
      <c r="O186" s="76">
        <v>0.2329</v>
      </c>
      <c r="P186" s="76">
        <v>1.3221</v>
      </c>
      <c r="Q186" s="76">
        <v>333.43</v>
      </c>
      <c r="R186" s="76">
        <v>252.02</v>
      </c>
      <c r="S186" s="76">
        <v>81.4</v>
      </c>
      <c r="T186" s="76">
        <v>21.82</v>
      </c>
      <c r="U186" s="76">
        <v>311.6</v>
      </c>
      <c r="V186" s="76">
        <v>327.71</v>
      </c>
      <c r="W186" s="76">
        <v>4.7229</v>
      </c>
      <c r="X186" s="76">
        <v>6.55</v>
      </c>
      <c r="Y186" s="76">
        <v>376.0</v>
      </c>
      <c r="Z186" s="76">
        <v>630.0</v>
      </c>
      <c r="AA186" s="76">
        <v>1435.0</v>
      </c>
      <c r="AB186" s="76">
        <v>55.6656</v>
      </c>
      <c r="AC186" s="76">
        <v>0.7858</v>
      </c>
      <c r="AD186" s="76">
        <v>29.16</v>
      </c>
      <c r="AE186" s="76">
        <v>11.0</v>
      </c>
      <c r="AF186" s="76">
        <v>22.0</v>
      </c>
      <c r="AG186" s="76">
        <v>40.0</v>
      </c>
      <c r="AH186" s="76">
        <v>61.0</v>
      </c>
      <c r="AI186" s="76">
        <v>40.42</v>
      </c>
      <c r="AJ186" s="76">
        <v>10.48</v>
      </c>
      <c r="AK186" s="76">
        <v>2.28</v>
      </c>
      <c r="AL186" s="76">
        <v>0.185</v>
      </c>
      <c r="AQ186" s="76">
        <v>15.2956</v>
      </c>
      <c r="AR186" s="76">
        <v>0.3863</v>
      </c>
      <c r="AS186" s="76">
        <v>14.9094</v>
      </c>
      <c r="AT186" s="76">
        <v>13.6894</v>
      </c>
      <c r="AU186" s="76">
        <v>0.1973</v>
      </c>
      <c r="AV186" s="76">
        <v>3464.0</v>
      </c>
      <c r="AW186" s="76">
        <v>0.0</v>
      </c>
      <c r="AX186" s="76">
        <v>171.78</v>
      </c>
      <c r="AY186" s="76">
        <v>132.25</v>
      </c>
      <c r="AZ186" s="76">
        <v>3.29</v>
      </c>
      <c r="BA186" s="76">
        <v>21.72</v>
      </c>
      <c r="BB186" s="76">
        <v>4.39</v>
      </c>
      <c r="BC186" s="76">
        <v>120.0</v>
      </c>
      <c r="BD186" s="76">
        <v>14103.0</v>
      </c>
      <c r="BE186" s="76">
        <v>8.782</v>
      </c>
      <c r="BF186" s="76">
        <v>0.22</v>
      </c>
      <c r="BG186" s="76">
        <v>8.5621</v>
      </c>
      <c r="BH186" s="76">
        <v>6.9434</v>
      </c>
      <c r="BI186" s="76">
        <v>0.1001</v>
      </c>
      <c r="BJ186" s="76">
        <v>6.5136</v>
      </c>
      <c r="BK186" s="76">
        <v>0.1663</v>
      </c>
      <c r="BL186" s="76">
        <v>6.3473</v>
      </c>
      <c r="BM186" s="76">
        <v>6.746</v>
      </c>
      <c r="BN186" s="76">
        <v>0.0972</v>
      </c>
      <c r="BO186" s="76">
        <v>3.4183</v>
      </c>
      <c r="BP186" s="76">
        <v>0.0733</v>
      </c>
      <c r="BQ186" s="76">
        <v>3.345</v>
      </c>
      <c r="BR186" s="76">
        <v>2.6591</v>
      </c>
      <c r="BS186" s="76">
        <v>3.56</v>
      </c>
      <c r="BT186" s="76">
        <v>0.0673</v>
      </c>
      <c r="BU186" s="76">
        <v>3.4928</v>
      </c>
      <c r="BV186" s="76">
        <v>2.7933</v>
      </c>
      <c r="BW186" s="76">
        <v>1.8037</v>
      </c>
      <c r="BX186" s="76">
        <v>0.0794</v>
      </c>
      <c r="BY186" s="76">
        <v>1.7243</v>
      </c>
      <c r="BZ186" s="76">
        <v>1.4911</v>
      </c>
      <c r="CA186" s="76">
        <v>1.4593</v>
      </c>
      <c r="CB186" s="76">
        <v>0.0421</v>
      </c>
      <c r="CC186" s="76">
        <v>1.4171</v>
      </c>
      <c r="CD186" s="76">
        <v>1.748</v>
      </c>
      <c r="CE186" s="76">
        <v>2.2786</v>
      </c>
      <c r="CF186" s="76">
        <v>0.0681</v>
      </c>
      <c r="CG186" s="76">
        <v>2.2105</v>
      </c>
      <c r="CH186" s="76">
        <v>2.3871</v>
      </c>
      <c r="CI186" s="76">
        <v>2.7757</v>
      </c>
      <c r="CJ186" s="76">
        <v>0.056</v>
      </c>
      <c r="CK186" s="76">
        <v>2.7197</v>
      </c>
      <c r="CL186" s="76">
        <v>2.6109</v>
      </c>
      <c r="CM186" s="76">
        <v>756.66</v>
      </c>
      <c r="CN186" s="76">
        <v>99.05</v>
      </c>
      <c r="CO186" s="76">
        <v>763.94</v>
      </c>
      <c r="CP186" s="76">
        <v>717.93</v>
      </c>
      <c r="CQ186" s="76">
        <v>0.0</v>
      </c>
      <c r="CR186" s="76">
        <v>7.31</v>
      </c>
      <c r="CS186" s="76">
        <v>31.43</v>
      </c>
      <c r="CT186" s="76">
        <v>0.0</v>
      </c>
      <c r="CU186" s="76">
        <v>0.0</v>
      </c>
      <c r="CV186" s="76">
        <v>0.0</v>
      </c>
      <c r="CW186" s="76">
        <v>333.43</v>
      </c>
      <c r="CX186" s="76">
        <v>0.0</v>
      </c>
      <c r="CY186" s="76">
        <v>0.0</v>
      </c>
    </row>
    <row r="187" ht="15.75" customHeight="1">
      <c r="A187" s="164">
        <v>46245.0</v>
      </c>
      <c r="B187" s="76" t="s">
        <v>4</v>
      </c>
      <c r="C187" s="76" t="s">
        <v>151</v>
      </c>
      <c r="D187" s="76">
        <v>546.0</v>
      </c>
      <c r="E187" s="76">
        <v>1.96</v>
      </c>
      <c r="F187" s="76">
        <v>253.97</v>
      </c>
      <c r="G187" s="76">
        <v>0.4651</v>
      </c>
      <c r="H187" s="76">
        <v>7.14</v>
      </c>
      <c r="I187" s="76">
        <v>6.5121</v>
      </c>
      <c r="J187" s="76">
        <v>240.95</v>
      </c>
      <c r="K187" s="76">
        <v>164.26</v>
      </c>
      <c r="L187" s="76">
        <v>126.75</v>
      </c>
      <c r="M187" s="76">
        <v>0.7717</v>
      </c>
      <c r="N187" s="76">
        <v>0.319</v>
      </c>
      <c r="O187" s="76">
        <v>0.2046</v>
      </c>
      <c r="P187" s="76">
        <v>1.2959</v>
      </c>
      <c r="Q187" s="76">
        <v>706.03</v>
      </c>
      <c r="R187" s="76">
        <v>495.28</v>
      </c>
      <c r="S187" s="76">
        <v>210.75</v>
      </c>
      <c r="T187" s="76">
        <v>53.94</v>
      </c>
      <c r="U187" s="76">
        <v>652.1</v>
      </c>
      <c r="V187" s="76">
        <v>689.56</v>
      </c>
      <c r="W187" s="76">
        <v>4.198</v>
      </c>
      <c r="X187" s="76">
        <v>7.64</v>
      </c>
      <c r="Y187" s="76">
        <v>481.0</v>
      </c>
      <c r="Z187" s="76">
        <v>906.0</v>
      </c>
      <c r="AA187" s="76">
        <v>1719.0</v>
      </c>
      <c r="AB187" s="76">
        <v>58.135</v>
      </c>
      <c r="AC187" s="76">
        <v>0.8028</v>
      </c>
      <c r="AD187" s="76">
        <v>56.65</v>
      </c>
      <c r="AE187" s="76">
        <v>21.0</v>
      </c>
      <c r="AF187" s="76">
        <v>39.0</v>
      </c>
      <c r="AG187" s="76">
        <v>74.0</v>
      </c>
      <c r="AH187" s="76">
        <v>131.0</v>
      </c>
      <c r="AI187" s="76">
        <v>22.16</v>
      </c>
      <c r="AJ187" s="76">
        <v>3.85</v>
      </c>
      <c r="AK187" s="76">
        <v>0.55</v>
      </c>
      <c r="AL187" s="76">
        <v>0.1099</v>
      </c>
      <c r="AQ187" s="76">
        <v>33.8553</v>
      </c>
      <c r="AR187" s="76">
        <v>0.8901</v>
      </c>
      <c r="AS187" s="76">
        <v>32.9652</v>
      </c>
      <c r="AT187" s="76">
        <v>33.6374</v>
      </c>
      <c r="AU187" s="76">
        <v>0.2048</v>
      </c>
      <c r="AV187" s="76">
        <v>546.0</v>
      </c>
      <c r="AW187" s="76">
        <v>0.0</v>
      </c>
      <c r="AX187" s="76">
        <v>401.15</v>
      </c>
      <c r="AY187" s="76">
        <v>233.75</v>
      </c>
      <c r="AZ187" s="76">
        <v>5.95</v>
      </c>
      <c r="BA187" s="76">
        <v>53.94</v>
      </c>
      <c r="BB187" s="76">
        <v>11.23</v>
      </c>
      <c r="BC187" s="76">
        <v>260.0</v>
      </c>
      <c r="BD187" s="76">
        <v>12991.0</v>
      </c>
      <c r="BE187" s="76">
        <v>19.5201</v>
      </c>
      <c r="BF187" s="76">
        <v>0.5549</v>
      </c>
      <c r="BG187" s="76">
        <v>18.9652</v>
      </c>
      <c r="BH187" s="76">
        <v>14.7949</v>
      </c>
      <c r="BI187" s="76">
        <v>0.0901</v>
      </c>
      <c r="BJ187" s="76">
        <v>14.3352</v>
      </c>
      <c r="BK187" s="76">
        <v>0.3352</v>
      </c>
      <c r="BL187" s="76">
        <v>14.0</v>
      </c>
      <c r="BM187" s="76">
        <v>18.8425</v>
      </c>
      <c r="BN187" s="76">
        <v>0.1147</v>
      </c>
      <c r="BO187" s="76">
        <v>7.4231</v>
      </c>
      <c r="BP187" s="76">
        <v>0.1282</v>
      </c>
      <c r="BQ187" s="76">
        <v>7.2949</v>
      </c>
      <c r="BR187" s="76">
        <v>5.6429</v>
      </c>
      <c r="BS187" s="76">
        <v>7.9908</v>
      </c>
      <c r="BT187" s="76">
        <v>0.2271</v>
      </c>
      <c r="BU187" s="76">
        <v>7.7637</v>
      </c>
      <c r="BV187" s="76">
        <v>5.9945</v>
      </c>
      <c r="BW187" s="76">
        <v>4.1062</v>
      </c>
      <c r="BX187" s="76">
        <v>0.1996</v>
      </c>
      <c r="BY187" s="76">
        <v>3.9066</v>
      </c>
      <c r="BZ187" s="76">
        <v>3.1575</v>
      </c>
      <c r="CA187" s="76">
        <v>3.5055</v>
      </c>
      <c r="CB187" s="76">
        <v>0.0842</v>
      </c>
      <c r="CC187" s="76">
        <v>3.4212</v>
      </c>
      <c r="CD187" s="76">
        <v>5.5165</v>
      </c>
      <c r="CE187" s="76">
        <v>5.0513</v>
      </c>
      <c r="CF187" s="76">
        <v>0.1392</v>
      </c>
      <c r="CG187" s="76">
        <v>4.9121</v>
      </c>
      <c r="CH187" s="76">
        <v>4.7436</v>
      </c>
      <c r="CI187" s="76">
        <v>5.7784</v>
      </c>
      <c r="CJ187" s="76">
        <v>0.1117</v>
      </c>
      <c r="CK187" s="76">
        <v>5.6667</v>
      </c>
      <c r="CL187" s="76">
        <v>8.5824</v>
      </c>
      <c r="CM187" s="76">
        <v>1836.74</v>
      </c>
      <c r="CN187" s="76">
        <v>99.63</v>
      </c>
      <c r="CO187" s="76">
        <v>1843.49</v>
      </c>
      <c r="CP187" s="76">
        <v>1786.22</v>
      </c>
      <c r="CQ187" s="76">
        <v>0.0</v>
      </c>
      <c r="CR187" s="76">
        <v>10.22</v>
      </c>
      <c r="CS187" s="76">
        <v>40.3</v>
      </c>
      <c r="CT187" s="76">
        <v>0.0</v>
      </c>
      <c r="CU187" s="76">
        <v>0.0</v>
      </c>
      <c r="CV187" s="76">
        <v>0.0</v>
      </c>
      <c r="CW187" s="76">
        <v>706.03</v>
      </c>
      <c r="CX187" s="76">
        <v>0.0</v>
      </c>
      <c r="CY187" s="76">
        <v>0.0</v>
      </c>
    </row>
    <row r="188" ht="15.75" customHeight="1">
      <c r="A188" s="164">
        <v>46245.0</v>
      </c>
      <c r="B188" s="76" t="s">
        <v>5</v>
      </c>
      <c r="C188" s="76" t="s">
        <v>316</v>
      </c>
      <c r="D188" s="76">
        <v>4416.0</v>
      </c>
      <c r="E188" s="76">
        <v>16.06</v>
      </c>
      <c r="F188" s="76">
        <v>104.84</v>
      </c>
      <c r="G188" s="76">
        <v>0.0237</v>
      </c>
      <c r="H188" s="76">
        <v>0.36</v>
      </c>
      <c r="I188" s="76">
        <v>6.5525</v>
      </c>
      <c r="J188" s="76">
        <v>12.72</v>
      </c>
      <c r="K188" s="76">
        <v>6.89</v>
      </c>
      <c r="L188" s="76">
        <v>4.19</v>
      </c>
      <c r="M188" s="76">
        <v>0.6092</v>
      </c>
      <c r="N188" s="76">
        <v>0.4833</v>
      </c>
      <c r="O188" s="76">
        <v>0.2095</v>
      </c>
      <c r="P188" s="76">
        <v>1.6416</v>
      </c>
      <c r="Q188" s="76">
        <v>27.43</v>
      </c>
      <c r="R188" s="76">
        <v>27.35</v>
      </c>
      <c r="S188" s="76">
        <v>0.08</v>
      </c>
      <c r="T188" s="76">
        <v>2.63</v>
      </c>
      <c r="U188" s="76">
        <v>24.81</v>
      </c>
      <c r="V188" s="76">
        <v>17.11</v>
      </c>
      <c r="W188" s="76">
        <v>2.4844</v>
      </c>
      <c r="X188" s="76">
        <v>9.58</v>
      </c>
      <c r="Y188" s="76">
        <v>198.0</v>
      </c>
      <c r="Z188" s="76">
        <v>382.0</v>
      </c>
      <c r="AA188" s="76">
        <v>2505.0</v>
      </c>
      <c r="AB188" s="76">
        <v>50.0984</v>
      </c>
      <c r="AC188" s="76">
        <v>0.5436</v>
      </c>
      <c r="AI188" s="76">
        <v>0.0</v>
      </c>
      <c r="AJ188" s="76">
        <v>0.0</v>
      </c>
      <c r="AK188" s="76">
        <v>0.0</v>
      </c>
      <c r="AL188" s="76">
        <v>0.5369</v>
      </c>
      <c r="AM188" s="76">
        <v>3.19</v>
      </c>
      <c r="AN188" s="76">
        <v>3.19</v>
      </c>
      <c r="AO188" s="76">
        <v>2.13</v>
      </c>
      <c r="AP188" s="76">
        <v>1.2</v>
      </c>
      <c r="AQ188" s="76">
        <v>1.2074</v>
      </c>
      <c r="AR188" s="76">
        <v>0.0213</v>
      </c>
      <c r="AS188" s="76">
        <v>1.1861</v>
      </c>
      <c r="AT188" s="76">
        <v>0.808</v>
      </c>
      <c r="AU188" s="76">
        <v>0.1173</v>
      </c>
      <c r="AV188" s="76">
        <v>4416.0</v>
      </c>
      <c r="AW188" s="76">
        <v>0.0</v>
      </c>
      <c r="AX188" s="76">
        <v>7.55</v>
      </c>
      <c r="AY188" s="76">
        <v>15.65</v>
      </c>
      <c r="AZ188" s="76">
        <v>1.47</v>
      </c>
      <c r="BA188" s="76">
        <v>2.63</v>
      </c>
      <c r="BB188" s="76">
        <v>0.14</v>
      </c>
      <c r="BD188" s="76">
        <v>25445.0</v>
      </c>
      <c r="BE188" s="76">
        <v>0.5756</v>
      </c>
      <c r="BF188" s="76">
        <v>0.0088</v>
      </c>
      <c r="BG188" s="76">
        <v>0.5668</v>
      </c>
      <c r="BH188" s="76">
        <v>0.4337</v>
      </c>
      <c r="BI188" s="76">
        <v>0.063</v>
      </c>
      <c r="BJ188" s="76">
        <v>0.6318</v>
      </c>
      <c r="BK188" s="76">
        <v>0.0125</v>
      </c>
      <c r="BL188" s="76">
        <v>0.6193</v>
      </c>
      <c r="BM188" s="76">
        <v>0.3743</v>
      </c>
      <c r="BN188" s="76">
        <v>0.0544</v>
      </c>
      <c r="BO188" s="76">
        <v>0.2101</v>
      </c>
      <c r="BP188" s="76">
        <v>0.0029</v>
      </c>
      <c r="BQ188" s="76">
        <v>0.2072</v>
      </c>
      <c r="BR188" s="76">
        <v>0.1852</v>
      </c>
      <c r="BS188" s="76">
        <v>0.2199</v>
      </c>
      <c r="BT188" s="76">
        <v>0.0029</v>
      </c>
      <c r="BU188" s="76">
        <v>0.2169</v>
      </c>
      <c r="BV188" s="76">
        <v>0.1481</v>
      </c>
      <c r="BW188" s="76">
        <v>0.1456</v>
      </c>
      <c r="BX188" s="76">
        <v>0.0029</v>
      </c>
      <c r="BY188" s="76">
        <v>0.1427</v>
      </c>
      <c r="BZ188" s="76">
        <v>0.1003</v>
      </c>
      <c r="CA188" s="76">
        <v>0.1162</v>
      </c>
      <c r="CB188" s="76">
        <v>0.0025</v>
      </c>
      <c r="CC188" s="76">
        <v>0.1137</v>
      </c>
      <c r="CD188" s="76">
        <v>0.0781</v>
      </c>
      <c r="CE188" s="76">
        <v>0.3014</v>
      </c>
      <c r="CF188" s="76">
        <v>0.0063</v>
      </c>
      <c r="CG188" s="76">
        <v>0.2951</v>
      </c>
      <c r="CH188" s="76">
        <v>0.1585</v>
      </c>
      <c r="CI188" s="76">
        <v>0.2142</v>
      </c>
      <c r="CJ188" s="76">
        <v>0.0036</v>
      </c>
      <c r="CK188" s="76">
        <v>0.2106</v>
      </c>
      <c r="CL188" s="76">
        <v>0.1377</v>
      </c>
      <c r="CM188" s="76">
        <v>72.99</v>
      </c>
      <c r="CN188" s="76">
        <v>9.85</v>
      </c>
      <c r="CO188" s="76">
        <v>741.0</v>
      </c>
      <c r="CP188" s="76">
        <v>61.04</v>
      </c>
      <c r="CQ188" s="76">
        <v>10.11</v>
      </c>
      <c r="CR188" s="76">
        <v>0.85</v>
      </c>
      <c r="CS188" s="76">
        <v>0.99</v>
      </c>
      <c r="CT188" s="76">
        <v>0.0</v>
      </c>
      <c r="CU188" s="76">
        <v>968.0</v>
      </c>
      <c r="CV188" s="76">
        <v>0.66</v>
      </c>
      <c r="CW188" s="76">
        <v>28.1</v>
      </c>
      <c r="CX188" s="76">
        <v>1.27</v>
      </c>
      <c r="CY188" s="76">
        <v>11.39</v>
      </c>
    </row>
    <row r="189" ht="15.75" customHeight="1">
      <c r="A189" s="164">
        <v>46245.0</v>
      </c>
      <c r="B189" s="76" t="s">
        <v>5</v>
      </c>
      <c r="C189" s="76" t="s">
        <v>147</v>
      </c>
      <c r="D189" s="76">
        <v>7555.0</v>
      </c>
      <c r="E189" s="76">
        <v>27.48</v>
      </c>
      <c r="F189" s="76">
        <v>107.72</v>
      </c>
      <c r="G189" s="76">
        <v>0.0143</v>
      </c>
      <c r="H189" s="76">
        <v>0.61</v>
      </c>
      <c r="I189" s="76">
        <v>2.3417</v>
      </c>
      <c r="J189" s="76">
        <v>21.46</v>
      </c>
      <c r="K189" s="76">
        <v>11.17</v>
      </c>
      <c r="L189" s="76">
        <v>5.14</v>
      </c>
      <c r="M189" s="76">
        <v>0.4599</v>
      </c>
      <c r="N189" s="76">
        <v>0.6423</v>
      </c>
      <c r="O189" s="76">
        <v>0.3733</v>
      </c>
      <c r="P189" s="76">
        <v>2.1745</v>
      </c>
      <c r="Q189" s="76">
        <v>38.62</v>
      </c>
      <c r="R189" s="76">
        <v>35.63</v>
      </c>
      <c r="S189" s="76">
        <v>2.99</v>
      </c>
      <c r="T189" s="76">
        <v>1.14</v>
      </c>
      <c r="U189" s="76">
        <v>37.48</v>
      </c>
      <c r="V189" s="76">
        <v>38.71</v>
      </c>
      <c r="W189" s="76">
        <v>3.4662</v>
      </c>
      <c r="X189" s="76">
        <v>2.95</v>
      </c>
      <c r="Y189" s="76">
        <v>200.0</v>
      </c>
      <c r="Z189" s="76">
        <v>317.0</v>
      </c>
      <c r="AA189" s="76">
        <v>1127.0</v>
      </c>
      <c r="AB189" s="76">
        <v>49.6902</v>
      </c>
      <c r="AC189" s="76">
        <v>0.6039</v>
      </c>
      <c r="AD189" s="76">
        <v>4.06</v>
      </c>
      <c r="AE189" s="76">
        <v>2.0</v>
      </c>
      <c r="AF189" s="76">
        <v>3.0</v>
      </c>
      <c r="AG189" s="76">
        <v>6.0</v>
      </c>
      <c r="AH189" s="76">
        <v>8.0</v>
      </c>
      <c r="AI189" s="76">
        <v>75.41</v>
      </c>
      <c r="AJ189" s="76">
        <v>34.8</v>
      </c>
      <c r="AK189" s="76">
        <v>6.53</v>
      </c>
      <c r="AL189" s="76">
        <v>0.495</v>
      </c>
      <c r="AM189" s="76">
        <v>33.96</v>
      </c>
      <c r="AN189" s="76">
        <v>33.95</v>
      </c>
      <c r="AO189" s="76">
        <v>15.58</v>
      </c>
      <c r="AP189" s="76">
        <v>4.9</v>
      </c>
      <c r="AQ189" s="76">
        <v>3.1721</v>
      </c>
      <c r="AR189" s="76">
        <v>0.0392</v>
      </c>
      <c r="AS189" s="76">
        <v>3.1329</v>
      </c>
      <c r="AT189" s="76">
        <v>2.5354</v>
      </c>
      <c r="AU189" s="76">
        <v>0.227</v>
      </c>
      <c r="AV189" s="76">
        <v>7555.0</v>
      </c>
      <c r="AW189" s="76">
        <v>0.0</v>
      </c>
      <c r="AX189" s="76">
        <v>16.61</v>
      </c>
      <c r="AY189" s="76">
        <v>18.45</v>
      </c>
      <c r="AZ189" s="76">
        <v>1.83</v>
      </c>
      <c r="BA189" s="76">
        <v>1.14</v>
      </c>
      <c r="BB189" s="76">
        <v>0.6</v>
      </c>
      <c r="BC189" s="76">
        <v>16.0</v>
      </c>
      <c r="BD189" s="76">
        <v>18577.0</v>
      </c>
      <c r="BE189" s="76">
        <v>1.8917</v>
      </c>
      <c r="BF189" s="76">
        <v>0.0262</v>
      </c>
      <c r="BG189" s="76">
        <v>1.8655</v>
      </c>
      <c r="BH189" s="76">
        <v>1.4147</v>
      </c>
      <c r="BI189" s="76">
        <v>0.1267</v>
      </c>
      <c r="BJ189" s="76">
        <v>1.2803</v>
      </c>
      <c r="BK189" s="76">
        <v>0.013</v>
      </c>
      <c r="BL189" s="76">
        <v>1.2674</v>
      </c>
      <c r="BM189" s="76">
        <v>1.1207</v>
      </c>
      <c r="BN189" s="76">
        <v>0.1004</v>
      </c>
      <c r="BO189" s="76">
        <v>0.8629</v>
      </c>
      <c r="BP189" s="76">
        <v>0.0089</v>
      </c>
      <c r="BQ189" s="76">
        <v>0.854</v>
      </c>
      <c r="BR189" s="76">
        <v>0.634</v>
      </c>
      <c r="BS189" s="76">
        <v>0.7759</v>
      </c>
      <c r="BT189" s="76">
        <v>0.0077</v>
      </c>
      <c r="BU189" s="76">
        <v>0.7682</v>
      </c>
      <c r="BV189" s="76">
        <v>0.533</v>
      </c>
      <c r="BW189" s="76">
        <v>0.2529</v>
      </c>
      <c r="BX189" s="76">
        <v>0.0097</v>
      </c>
      <c r="BY189" s="76">
        <v>0.2433</v>
      </c>
      <c r="BZ189" s="76">
        <v>0.2477</v>
      </c>
      <c r="CA189" s="76">
        <v>0.1649</v>
      </c>
      <c r="CB189" s="76">
        <v>0.0024</v>
      </c>
      <c r="CC189" s="76">
        <v>0.1625</v>
      </c>
      <c r="CD189" s="76">
        <v>0.1808</v>
      </c>
      <c r="CE189" s="76">
        <v>0.7628</v>
      </c>
      <c r="CF189" s="76">
        <v>0.0057</v>
      </c>
      <c r="CG189" s="76">
        <v>0.7571</v>
      </c>
      <c r="CH189" s="76">
        <v>0.5804</v>
      </c>
      <c r="CI189" s="76">
        <v>0.3526</v>
      </c>
      <c r="CJ189" s="76">
        <v>0.0049</v>
      </c>
      <c r="CK189" s="76">
        <v>0.3477</v>
      </c>
      <c r="CL189" s="76">
        <v>0.3595</v>
      </c>
      <c r="CM189" s="76">
        <v>75.55</v>
      </c>
      <c r="CN189" s="76">
        <v>69.46</v>
      </c>
      <c r="CO189" s="76">
        <v>108.76</v>
      </c>
      <c r="CP189" s="76">
        <v>61.1</v>
      </c>
      <c r="CQ189" s="76">
        <v>11.57</v>
      </c>
      <c r="CR189" s="76">
        <v>2.01</v>
      </c>
      <c r="CS189" s="76">
        <v>0.86</v>
      </c>
      <c r="CT189" s="76">
        <v>0.0</v>
      </c>
      <c r="CU189" s="76">
        <v>2199.0</v>
      </c>
      <c r="CV189" s="76">
        <v>0.95</v>
      </c>
      <c r="CW189" s="76">
        <v>39.57</v>
      </c>
      <c r="CX189" s="76">
        <v>1.37</v>
      </c>
      <c r="CY189" s="76">
        <v>12.95</v>
      </c>
    </row>
    <row r="190" ht="15.75" customHeight="1">
      <c r="A190" s="164">
        <v>46245.0</v>
      </c>
      <c r="B190" s="76" t="s">
        <v>5</v>
      </c>
      <c r="C190" s="76" t="s">
        <v>148</v>
      </c>
      <c r="D190" s="76">
        <v>6246.0</v>
      </c>
      <c r="E190" s="76">
        <v>22.72</v>
      </c>
      <c r="F190" s="76">
        <v>327.87</v>
      </c>
      <c r="G190" s="76">
        <v>0.0525</v>
      </c>
      <c r="H190" s="76">
        <v>2.03</v>
      </c>
      <c r="I190" s="76">
        <v>2.5817</v>
      </c>
      <c r="J190" s="76">
        <v>43.56</v>
      </c>
      <c r="K190" s="76">
        <v>23.53</v>
      </c>
      <c r="L190" s="76">
        <v>13.64</v>
      </c>
      <c r="M190" s="76">
        <v>0.58</v>
      </c>
      <c r="N190" s="76">
        <v>0.5416</v>
      </c>
      <c r="O190" s="76">
        <v>0.3188</v>
      </c>
      <c r="P190" s="76">
        <v>1.7242</v>
      </c>
      <c r="Q190" s="76">
        <v>80.58</v>
      </c>
      <c r="R190" s="76">
        <v>71.11</v>
      </c>
      <c r="S190" s="76">
        <v>9.47</v>
      </c>
      <c r="T190" s="76">
        <v>5.42</v>
      </c>
      <c r="U190" s="76">
        <v>75.17</v>
      </c>
      <c r="V190" s="76">
        <v>83.59</v>
      </c>
      <c r="W190" s="76">
        <v>3.5531</v>
      </c>
      <c r="X190" s="76">
        <v>6.73</v>
      </c>
      <c r="Y190" s="76">
        <v>225.0</v>
      </c>
      <c r="Z190" s="76">
        <v>374.0</v>
      </c>
      <c r="AA190" s="76">
        <v>1062.0</v>
      </c>
      <c r="AB190" s="76">
        <v>51.8604</v>
      </c>
      <c r="AC190" s="76">
        <v>0.6813</v>
      </c>
      <c r="AD190" s="76">
        <v>9.67</v>
      </c>
      <c r="AE190" s="76">
        <v>4.0</v>
      </c>
      <c r="AF190" s="76">
        <v>8.0</v>
      </c>
      <c r="AG190" s="76">
        <v>13.0</v>
      </c>
      <c r="AH190" s="76">
        <v>19.0</v>
      </c>
      <c r="AI190" s="76">
        <v>66.47</v>
      </c>
      <c r="AJ190" s="76">
        <v>27.91</v>
      </c>
      <c r="AK190" s="76">
        <v>3.52</v>
      </c>
      <c r="AL190" s="76">
        <v>0.3463</v>
      </c>
      <c r="AM190" s="76">
        <v>40.41</v>
      </c>
      <c r="AN190" s="76">
        <v>40.41</v>
      </c>
      <c r="AO190" s="76">
        <v>23.29</v>
      </c>
      <c r="AP190" s="76">
        <v>10.47</v>
      </c>
      <c r="AQ190" s="76">
        <v>5.9419</v>
      </c>
      <c r="AR190" s="76">
        <v>0.0799</v>
      </c>
      <c r="AS190" s="76">
        <v>5.862</v>
      </c>
      <c r="AT190" s="76">
        <v>5.0205</v>
      </c>
      <c r="AU190" s="76">
        <v>0.2134</v>
      </c>
      <c r="AV190" s="76">
        <v>6246.0</v>
      </c>
      <c r="AW190" s="76">
        <v>0.0</v>
      </c>
      <c r="AX190" s="76">
        <v>35.21</v>
      </c>
      <c r="AY190" s="76">
        <v>35.96</v>
      </c>
      <c r="AZ190" s="76">
        <v>2.77</v>
      </c>
      <c r="BA190" s="76">
        <v>5.42</v>
      </c>
      <c r="BB190" s="76">
        <v>1.23</v>
      </c>
      <c r="BC190" s="76">
        <v>34.0</v>
      </c>
      <c r="BD190" s="76">
        <v>17835.0</v>
      </c>
      <c r="BE190" s="76">
        <v>3.2448</v>
      </c>
      <c r="BF190" s="76">
        <v>0.0427</v>
      </c>
      <c r="BG190" s="76">
        <v>3.202</v>
      </c>
      <c r="BH190" s="76">
        <v>2.5576</v>
      </c>
      <c r="BI190" s="76">
        <v>0.1087</v>
      </c>
      <c r="BJ190" s="76">
        <v>2.6971</v>
      </c>
      <c r="BK190" s="76">
        <v>0.0371</v>
      </c>
      <c r="BL190" s="76">
        <v>2.6599</v>
      </c>
      <c r="BM190" s="76">
        <v>2.4629</v>
      </c>
      <c r="BN190" s="76">
        <v>0.1047</v>
      </c>
      <c r="BO190" s="76">
        <v>1.3106</v>
      </c>
      <c r="BP190" s="76">
        <v>0.0155</v>
      </c>
      <c r="BQ190" s="76">
        <v>1.2951</v>
      </c>
      <c r="BR190" s="76">
        <v>1.0514</v>
      </c>
      <c r="BS190" s="76">
        <v>1.3746</v>
      </c>
      <c r="BT190" s="76">
        <v>0.0112</v>
      </c>
      <c r="BU190" s="76">
        <v>1.3634</v>
      </c>
      <c r="BV190" s="76">
        <v>0.9931</v>
      </c>
      <c r="BW190" s="76">
        <v>0.5596</v>
      </c>
      <c r="BX190" s="76">
        <v>0.016</v>
      </c>
      <c r="BY190" s="76">
        <v>0.5435</v>
      </c>
      <c r="BZ190" s="76">
        <v>0.5131</v>
      </c>
      <c r="CA190" s="76">
        <v>0.4052</v>
      </c>
      <c r="CB190" s="76">
        <v>0.0083</v>
      </c>
      <c r="CC190" s="76">
        <v>0.3969</v>
      </c>
      <c r="CD190" s="76">
        <v>0.4765</v>
      </c>
      <c r="CE190" s="76">
        <v>1.4555</v>
      </c>
      <c r="CF190" s="76">
        <v>0.0149</v>
      </c>
      <c r="CG190" s="76">
        <v>1.4406</v>
      </c>
      <c r="CH190" s="76">
        <v>1.1819</v>
      </c>
      <c r="CI190" s="76">
        <v>0.8364</v>
      </c>
      <c r="CJ190" s="76">
        <v>0.0139</v>
      </c>
      <c r="CK190" s="76">
        <v>0.8224</v>
      </c>
      <c r="CL190" s="76">
        <v>0.8045</v>
      </c>
      <c r="CM190" s="76">
        <v>200.64</v>
      </c>
      <c r="CN190" s="76">
        <v>84.95</v>
      </c>
      <c r="CO190" s="76">
        <v>236.18</v>
      </c>
      <c r="CP190" s="76">
        <v>162.48</v>
      </c>
      <c r="CQ190" s="76">
        <v>32.6</v>
      </c>
      <c r="CR190" s="76">
        <v>2.68</v>
      </c>
      <c r="CS190" s="76">
        <v>2.88</v>
      </c>
      <c r="CT190" s="76">
        <v>0.0</v>
      </c>
      <c r="CU190" s="76">
        <v>2580.0</v>
      </c>
      <c r="CV190" s="76">
        <v>2.26</v>
      </c>
      <c r="CW190" s="76">
        <v>82.84</v>
      </c>
      <c r="CX190" s="76">
        <v>4.61</v>
      </c>
      <c r="CY190" s="76">
        <v>37.21</v>
      </c>
    </row>
    <row r="191" ht="15.75" customHeight="1">
      <c r="A191" s="164">
        <v>46245.0</v>
      </c>
      <c r="B191" s="76" t="s">
        <v>5</v>
      </c>
      <c r="C191" s="76" t="s">
        <v>149</v>
      </c>
      <c r="D191" s="76">
        <v>5524.0</v>
      </c>
      <c r="E191" s="76">
        <v>20.09</v>
      </c>
      <c r="F191" s="76">
        <v>1056.83</v>
      </c>
      <c r="G191" s="76">
        <v>0.1913</v>
      </c>
      <c r="H191" s="76">
        <v>2.95</v>
      </c>
      <c r="I191" s="76">
        <v>6.4836</v>
      </c>
      <c r="J191" s="76">
        <v>64.27</v>
      </c>
      <c r="K191" s="76">
        <v>37.23</v>
      </c>
      <c r="L191" s="76">
        <v>25.95</v>
      </c>
      <c r="M191" s="76">
        <v>0.697</v>
      </c>
      <c r="N191" s="76">
        <v>0.4226</v>
      </c>
      <c r="O191" s="76">
        <v>0.2592</v>
      </c>
      <c r="P191" s="76">
        <v>1.4347</v>
      </c>
      <c r="Q191" s="76">
        <v>130.29</v>
      </c>
      <c r="R191" s="76">
        <v>115.27</v>
      </c>
      <c r="S191" s="76">
        <v>15.02</v>
      </c>
      <c r="T191" s="76">
        <v>13.66</v>
      </c>
      <c r="U191" s="76">
        <v>116.64</v>
      </c>
      <c r="V191" s="76">
        <v>138.5</v>
      </c>
      <c r="W191" s="76">
        <v>3.7198</v>
      </c>
      <c r="X191" s="76">
        <v>10.48</v>
      </c>
      <c r="Y191" s="76">
        <v>253.0</v>
      </c>
      <c r="Z191" s="76">
        <v>445.0</v>
      </c>
      <c r="AA191" s="76">
        <v>1109.0</v>
      </c>
      <c r="AB191" s="76">
        <v>53.6351</v>
      </c>
      <c r="AC191" s="76">
        <v>0.7403</v>
      </c>
      <c r="AD191" s="76">
        <v>15.75</v>
      </c>
      <c r="AE191" s="76">
        <v>7.0</v>
      </c>
      <c r="AF191" s="76">
        <v>12.0</v>
      </c>
      <c r="AG191" s="76">
        <v>22.0</v>
      </c>
      <c r="AH191" s="76">
        <v>32.0</v>
      </c>
      <c r="AI191" s="76">
        <v>56.15</v>
      </c>
      <c r="AJ191" s="76">
        <v>18.72</v>
      </c>
      <c r="AK191" s="76">
        <v>3.73</v>
      </c>
      <c r="AL191" s="76">
        <v>0.2692</v>
      </c>
      <c r="AM191" s="76">
        <v>39.37</v>
      </c>
      <c r="AN191" s="76">
        <v>39.37</v>
      </c>
      <c r="AO191" s="76">
        <v>20.46</v>
      </c>
      <c r="AP191" s="76">
        <v>10.14</v>
      </c>
      <c r="AQ191" s="76">
        <v>8.5965</v>
      </c>
      <c r="AR191" s="76">
        <v>0.2225</v>
      </c>
      <c r="AS191" s="76">
        <v>8.374</v>
      </c>
      <c r="AT191" s="76">
        <v>7.2419</v>
      </c>
      <c r="AU191" s="76">
        <v>0.1945</v>
      </c>
      <c r="AV191" s="76">
        <v>5524.0</v>
      </c>
      <c r="AW191" s="76">
        <v>0.0</v>
      </c>
      <c r="AX191" s="76">
        <v>58.85</v>
      </c>
      <c r="AY191" s="76">
        <v>52.81</v>
      </c>
      <c r="AZ191" s="76">
        <v>3.05</v>
      </c>
      <c r="BA191" s="76">
        <v>13.66</v>
      </c>
      <c r="BB191" s="76">
        <v>1.93</v>
      </c>
      <c r="BC191" s="76">
        <v>58.0</v>
      </c>
      <c r="BD191" s="76">
        <v>16959.0</v>
      </c>
      <c r="BE191" s="76">
        <v>4.6278</v>
      </c>
      <c r="BF191" s="76">
        <v>0.1037</v>
      </c>
      <c r="BG191" s="76">
        <v>4.5241</v>
      </c>
      <c r="BH191" s="76">
        <v>3.5612</v>
      </c>
      <c r="BI191" s="76">
        <v>0.0956</v>
      </c>
      <c r="BJ191" s="76">
        <v>3.9687</v>
      </c>
      <c r="BK191" s="76">
        <v>0.1188</v>
      </c>
      <c r="BL191" s="76">
        <v>3.8499</v>
      </c>
      <c r="BM191" s="76">
        <v>3.6807</v>
      </c>
      <c r="BN191" s="76">
        <v>0.0989</v>
      </c>
      <c r="BO191" s="76">
        <v>1.7098</v>
      </c>
      <c r="BP191" s="76">
        <v>0.0317</v>
      </c>
      <c r="BQ191" s="76">
        <v>1.6781</v>
      </c>
      <c r="BR191" s="76">
        <v>1.3559</v>
      </c>
      <c r="BS191" s="76">
        <v>1.7944</v>
      </c>
      <c r="BT191" s="76">
        <v>0.0311</v>
      </c>
      <c r="BU191" s="76">
        <v>1.7632</v>
      </c>
      <c r="BV191" s="76">
        <v>1.3201</v>
      </c>
      <c r="BW191" s="76">
        <v>1.1236</v>
      </c>
      <c r="BX191" s="76">
        <v>0.0409</v>
      </c>
      <c r="BY191" s="76">
        <v>1.0827</v>
      </c>
      <c r="BZ191" s="76">
        <v>0.8852</v>
      </c>
      <c r="CA191" s="76">
        <v>0.7366</v>
      </c>
      <c r="CB191" s="76">
        <v>0.0322</v>
      </c>
      <c r="CC191" s="76">
        <v>0.7044</v>
      </c>
      <c r="CD191" s="76">
        <v>0.7715</v>
      </c>
      <c r="CE191" s="76">
        <v>1.9073</v>
      </c>
      <c r="CF191" s="76">
        <v>0.0411</v>
      </c>
      <c r="CG191" s="76">
        <v>1.8662</v>
      </c>
      <c r="CH191" s="76">
        <v>1.6468</v>
      </c>
      <c r="CI191" s="76">
        <v>1.3248</v>
      </c>
      <c r="CJ191" s="76">
        <v>0.0454</v>
      </c>
      <c r="CK191" s="76">
        <v>1.2793</v>
      </c>
      <c r="CL191" s="76">
        <v>1.2623</v>
      </c>
      <c r="CM191" s="76">
        <v>364.7</v>
      </c>
      <c r="CN191" s="76">
        <v>93.5</v>
      </c>
      <c r="CO191" s="76">
        <v>390.05</v>
      </c>
      <c r="CP191" s="76">
        <v>299.87</v>
      </c>
      <c r="CQ191" s="76">
        <v>56.22</v>
      </c>
      <c r="CR191" s="76">
        <v>3.65</v>
      </c>
      <c r="CS191" s="76">
        <v>4.97</v>
      </c>
      <c r="CT191" s="76">
        <v>0.0</v>
      </c>
      <c r="CU191" s="76">
        <v>2514.0</v>
      </c>
      <c r="CV191" s="76">
        <v>2.64</v>
      </c>
      <c r="CW191" s="76">
        <v>132.94</v>
      </c>
      <c r="CX191" s="76">
        <v>8.37</v>
      </c>
      <c r="CY191" s="76">
        <v>64.59</v>
      </c>
    </row>
    <row r="192" ht="15.75" customHeight="1">
      <c r="A192" s="164">
        <v>46245.0</v>
      </c>
      <c r="B192" s="76" t="s">
        <v>5</v>
      </c>
      <c r="C192" s="76" t="s">
        <v>150</v>
      </c>
      <c r="D192" s="76">
        <v>3270.0</v>
      </c>
      <c r="E192" s="76">
        <v>11.89</v>
      </c>
      <c r="F192" s="76">
        <v>853.86</v>
      </c>
      <c r="G192" s="76">
        <v>0.2611</v>
      </c>
      <c r="H192" s="76">
        <v>3.88</v>
      </c>
      <c r="I192" s="76">
        <v>6.7233</v>
      </c>
      <c r="J192" s="76">
        <v>112.81</v>
      </c>
      <c r="K192" s="76">
        <v>70.83</v>
      </c>
      <c r="L192" s="76">
        <v>51.9</v>
      </c>
      <c r="M192" s="76">
        <v>0.7327</v>
      </c>
      <c r="N192" s="76">
        <v>0.368</v>
      </c>
      <c r="O192" s="76">
        <v>0.2294</v>
      </c>
      <c r="P192" s="76">
        <v>1.3649</v>
      </c>
      <c r="Q192" s="76">
        <v>234.52</v>
      </c>
      <c r="R192" s="76">
        <v>203.89</v>
      </c>
      <c r="S192" s="76">
        <v>30.64</v>
      </c>
      <c r="T192" s="76">
        <v>22.95</v>
      </c>
      <c r="U192" s="76">
        <v>211.57</v>
      </c>
      <c r="V192" s="76">
        <v>260.61</v>
      </c>
      <c r="W192" s="76">
        <v>3.6793</v>
      </c>
      <c r="X192" s="76">
        <v>9.79</v>
      </c>
      <c r="Y192" s="76">
        <v>303.0</v>
      </c>
      <c r="Z192" s="76">
        <v>521.0</v>
      </c>
      <c r="AA192" s="76">
        <v>1157.0</v>
      </c>
      <c r="AB192" s="76">
        <v>55.536</v>
      </c>
      <c r="AC192" s="76">
        <v>0.7715</v>
      </c>
      <c r="AD192" s="76">
        <v>27.0</v>
      </c>
      <c r="AE192" s="76">
        <v>11.0</v>
      </c>
      <c r="AF192" s="76">
        <v>20.0</v>
      </c>
      <c r="AG192" s="76">
        <v>39.0</v>
      </c>
      <c r="AH192" s="76">
        <v>55.0</v>
      </c>
      <c r="AI192" s="76">
        <v>37.34</v>
      </c>
      <c r="AJ192" s="76">
        <v>8.5</v>
      </c>
      <c r="AK192" s="76">
        <v>1.59</v>
      </c>
      <c r="AL192" s="76">
        <v>0.1813</v>
      </c>
      <c r="AM192" s="76">
        <v>39.97</v>
      </c>
      <c r="AN192" s="76">
        <v>39.97</v>
      </c>
      <c r="AO192" s="76">
        <v>23.43</v>
      </c>
      <c r="AP192" s="76">
        <v>13.79</v>
      </c>
      <c r="AQ192" s="76">
        <v>14.7272</v>
      </c>
      <c r="AR192" s="76">
        <v>0.5413</v>
      </c>
      <c r="AS192" s="76">
        <v>14.1859</v>
      </c>
      <c r="AT192" s="76">
        <v>12.4471</v>
      </c>
      <c r="AU192" s="76">
        <v>0.1757</v>
      </c>
      <c r="AV192" s="76">
        <v>3270.0</v>
      </c>
      <c r="AW192" s="76">
        <v>0.0</v>
      </c>
      <c r="AX192" s="76">
        <v>117.87</v>
      </c>
      <c r="AY192" s="76">
        <v>86.49</v>
      </c>
      <c r="AZ192" s="76">
        <v>3.19</v>
      </c>
      <c r="BA192" s="76">
        <v>22.95</v>
      </c>
      <c r="BB192" s="76">
        <v>4.02</v>
      </c>
      <c r="BC192" s="76">
        <v>107.0</v>
      </c>
      <c r="BD192" s="76">
        <v>12980.0</v>
      </c>
      <c r="BE192" s="76">
        <v>7.9624</v>
      </c>
      <c r="BF192" s="76">
        <v>0.356</v>
      </c>
      <c r="BG192" s="76">
        <v>7.6064</v>
      </c>
      <c r="BH192" s="76">
        <v>6.0865</v>
      </c>
      <c r="BI192" s="76">
        <v>0.0859</v>
      </c>
      <c r="BJ192" s="76">
        <v>6.7648</v>
      </c>
      <c r="BK192" s="76">
        <v>0.1853</v>
      </c>
      <c r="BL192" s="76">
        <v>6.5795</v>
      </c>
      <c r="BM192" s="76">
        <v>6.3606</v>
      </c>
      <c r="BN192" s="76">
        <v>0.0898</v>
      </c>
      <c r="BO192" s="76">
        <v>2.7823</v>
      </c>
      <c r="BP192" s="76">
        <v>0.1052</v>
      </c>
      <c r="BQ192" s="76">
        <v>2.6771</v>
      </c>
      <c r="BR192" s="76">
        <v>2.1722</v>
      </c>
      <c r="BS192" s="76">
        <v>2.8948</v>
      </c>
      <c r="BT192" s="76">
        <v>0.1199</v>
      </c>
      <c r="BU192" s="76">
        <v>2.7749</v>
      </c>
      <c r="BV192" s="76">
        <v>2.2156</v>
      </c>
      <c r="BW192" s="76">
        <v>2.2853</v>
      </c>
      <c r="BX192" s="76">
        <v>0.1309</v>
      </c>
      <c r="BY192" s="76">
        <v>2.1544</v>
      </c>
      <c r="BZ192" s="76">
        <v>1.6988</v>
      </c>
      <c r="CA192" s="76">
        <v>1.1205</v>
      </c>
      <c r="CB192" s="76">
        <v>0.0483</v>
      </c>
      <c r="CC192" s="76">
        <v>1.0722</v>
      </c>
      <c r="CD192" s="76">
        <v>1.3018</v>
      </c>
      <c r="CE192" s="76">
        <v>3.1398</v>
      </c>
      <c r="CF192" s="76">
        <v>0.0768</v>
      </c>
      <c r="CG192" s="76">
        <v>3.063</v>
      </c>
      <c r="CH192" s="76">
        <v>2.7343</v>
      </c>
      <c r="CI192" s="76">
        <v>2.5046</v>
      </c>
      <c r="CJ192" s="76">
        <v>0.0602</v>
      </c>
      <c r="CK192" s="76">
        <v>2.4443</v>
      </c>
      <c r="CL192" s="76">
        <v>2.3245</v>
      </c>
      <c r="CM192" s="76">
        <v>711.87</v>
      </c>
      <c r="CN192" s="76">
        <v>98.93</v>
      </c>
      <c r="CO192" s="76">
        <v>719.57</v>
      </c>
      <c r="CP192" s="76">
        <v>598.99</v>
      </c>
      <c r="CQ192" s="76">
        <v>99.3</v>
      </c>
      <c r="CR192" s="76">
        <v>7.26</v>
      </c>
      <c r="CS192" s="76">
        <v>6.32</v>
      </c>
      <c r="CT192" s="76">
        <v>0.0</v>
      </c>
      <c r="CU192" s="76">
        <v>1601.0</v>
      </c>
      <c r="CV192" s="76">
        <v>3.33</v>
      </c>
      <c r="CW192" s="76">
        <v>237.85</v>
      </c>
      <c r="CX192" s="76">
        <v>12.96</v>
      </c>
      <c r="CY192" s="76">
        <v>112.25</v>
      </c>
    </row>
    <row r="193" ht="15.75" customHeight="1">
      <c r="A193" s="164">
        <v>46245.0</v>
      </c>
      <c r="B193" s="76" t="s">
        <v>5</v>
      </c>
      <c r="C193" s="76" t="s">
        <v>151</v>
      </c>
      <c r="D193" s="76">
        <v>484.0</v>
      </c>
      <c r="E193" s="76">
        <v>1.76</v>
      </c>
      <c r="F193" s="76">
        <v>60.63</v>
      </c>
      <c r="G193" s="76">
        <v>0.1253</v>
      </c>
      <c r="H193" s="76">
        <v>4.75</v>
      </c>
      <c r="I193" s="76">
        <v>2.6361</v>
      </c>
      <c r="J193" s="76">
        <v>239.82</v>
      </c>
      <c r="K193" s="76">
        <v>166.66</v>
      </c>
      <c r="L193" s="76">
        <v>119.73</v>
      </c>
      <c r="M193" s="76">
        <v>0.7184</v>
      </c>
      <c r="N193" s="76">
        <v>0.3623</v>
      </c>
      <c r="O193" s="76">
        <v>0.2199</v>
      </c>
      <c r="P193" s="76">
        <v>1.392</v>
      </c>
      <c r="Q193" s="76">
        <v>435.27</v>
      </c>
      <c r="R193" s="76">
        <v>362.16</v>
      </c>
      <c r="S193" s="76">
        <v>73.11</v>
      </c>
      <c r="T193" s="76">
        <v>18.08</v>
      </c>
      <c r="U193" s="76">
        <v>417.19</v>
      </c>
      <c r="V193" s="76">
        <v>484.61</v>
      </c>
      <c r="W193" s="76">
        <v>2.9078</v>
      </c>
      <c r="X193" s="76">
        <v>4.15</v>
      </c>
      <c r="Y193" s="76">
        <v>372.0</v>
      </c>
      <c r="Z193" s="76">
        <v>643.0</v>
      </c>
      <c r="AA193" s="76">
        <v>1492.0</v>
      </c>
      <c r="AB193" s="76">
        <v>57.9308</v>
      </c>
      <c r="AC193" s="76">
        <v>0.79</v>
      </c>
      <c r="AD193" s="76">
        <v>43.27</v>
      </c>
      <c r="AE193" s="76">
        <v>17.0</v>
      </c>
      <c r="AF193" s="76">
        <v>31.0</v>
      </c>
      <c r="AG193" s="76">
        <v>52.0</v>
      </c>
      <c r="AH193" s="76">
        <v>94.0</v>
      </c>
      <c r="AI193" s="76">
        <v>13.84</v>
      </c>
      <c r="AJ193" s="76">
        <v>2.48</v>
      </c>
      <c r="AK193" s="76">
        <v>0.21</v>
      </c>
      <c r="AL193" s="76">
        <v>0.0971</v>
      </c>
      <c r="AM193" s="76">
        <v>63.22</v>
      </c>
      <c r="AN193" s="76">
        <v>63.22</v>
      </c>
      <c r="AO193" s="76">
        <v>50.21</v>
      </c>
      <c r="AP193" s="76">
        <v>42.56</v>
      </c>
      <c r="AQ193" s="76">
        <v>27.3326</v>
      </c>
      <c r="AR193" s="76">
        <v>0.1715</v>
      </c>
      <c r="AS193" s="76">
        <v>27.1612</v>
      </c>
      <c r="AT193" s="76">
        <v>25.9731</v>
      </c>
      <c r="AU193" s="76">
        <v>0.1558</v>
      </c>
      <c r="AV193" s="76">
        <v>484.0</v>
      </c>
      <c r="AW193" s="76">
        <v>0.0</v>
      </c>
      <c r="AX193" s="76">
        <v>250.97</v>
      </c>
      <c r="AY193" s="76">
        <v>151.43</v>
      </c>
      <c r="AZ193" s="76">
        <v>5.41</v>
      </c>
      <c r="BA193" s="76">
        <v>18.08</v>
      </c>
      <c r="BB193" s="76">
        <v>9.37</v>
      </c>
      <c r="BC193" s="76">
        <v>203.0</v>
      </c>
      <c r="BD193" s="76">
        <v>10290.0</v>
      </c>
      <c r="BE193" s="76">
        <v>15.0207</v>
      </c>
      <c r="BF193" s="76">
        <v>0.0558</v>
      </c>
      <c r="BG193" s="76">
        <v>14.9649</v>
      </c>
      <c r="BH193" s="76">
        <v>12.2975</v>
      </c>
      <c r="BI193" s="76">
        <v>0.0738</v>
      </c>
      <c r="BJ193" s="76">
        <v>12.312</v>
      </c>
      <c r="BK193" s="76">
        <v>0.1157</v>
      </c>
      <c r="BL193" s="76">
        <v>12.1963</v>
      </c>
      <c r="BM193" s="76">
        <v>13.6756</v>
      </c>
      <c r="BN193" s="76">
        <v>0.0821</v>
      </c>
      <c r="BO193" s="76">
        <v>5.3182</v>
      </c>
      <c r="BP193" s="76">
        <v>0.0227</v>
      </c>
      <c r="BQ193" s="76">
        <v>5.2955</v>
      </c>
      <c r="BR193" s="76">
        <v>4.281</v>
      </c>
      <c r="BS193" s="76">
        <v>5.5124</v>
      </c>
      <c r="BT193" s="76">
        <v>0.0165</v>
      </c>
      <c r="BU193" s="76">
        <v>5.4959</v>
      </c>
      <c r="BV193" s="76">
        <v>4.5041</v>
      </c>
      <c r="BW193" s="76">
        <v>4.1901</v>
      </c>
      <c r="BX193" s="76">
        <v>0.0165</v>
      </c>
      <c r="BY193" s="76">
        <v>4.1736</v>
      </c>
      <c r="BZ193" s="76">
        <v>3.5124</v>
      </c>
      <c r="CA193" s="76">
        <v>1.8595</v>
      </c>
      <c r="CB193" s="76">
        <v>0.0248</v>
      </c>
      <c r="CC193" s="76">
        <v>1.8347</v>
      </c>
      <c r="CD193" s="76">
        <v>2.7748</v>
      </c>
      <c r="CE193" s="76">
        <v>5.5269</v>
      </c>
      <c r="CF193" s="76">
        <v>0.0579</v>
      </c>
      <c r="CG193" s="76">
        <v>5.469</v>
      </c>
      <c r="CH193" s="76">
        <v>5.4669</v>
      </c>
      <c r="CI193" s="76">
        <v>4.9256</v>
      </c>
      <c r="CJ193" s="76">
        <v>0.0331</v>
      </c>
      <c r="CK193" s="76">
        <v>4.8926</v>
      </c>
      <c r="CL193" s="76">
        <v>5.4339</v>
      </c>
      <c r="CM193" s="76">
        <v>1658.02</v>
      </c>
      <c r="CN193" s="76">
        <v>99.79</v>
      </c>
      <c r="CO193" s="76">
        <v>1661.45</v>
      </c>
      <c r="CP193" s="76">
        <v>1386.99</v>
      </c>
      <c r="CQ193" s="76">
        <v>251.63</v>
      </c>
      <c r="CR193" s="76">
        <v>10.87</v>
      </c>
      <c r="CS193" s="76">
        <v>8.53</v>
      </c>
      <c r="CT193" s="76">
        <v>0.0</v>
      </c>
      <c r="CU193" s="76">
        <v>279.0</v>
      </c>
      <c r="CV193" s="76">
        <v>15.58</v>
      </c>
      <c r="CW193" s="76">
        <v>450.84</v>
      </c>
      <c r="CX193" s="76">
        <v>29.61</v>
      </c>
      <c r="CY193" s="76">
        <v>281.24</v>
      </c>
    </row>
    <row r="194" ht="15.75" customHeight="1">
      <c r="A194" s="164">
        <v>46246.0</v>
      </c>
      <c r="B194" s="76" t="s">
        <v>4</v>
      </c>
      <c r="C194" s="76" t="s">
        <v>316</v>
      </c>
      <c r="D194" s="76">
        <v>4913.0</v>
      </c>
      <c r="E194" s="76">
        <v>17.52</v>
      </c>
      <c r="F194" s="76">
        <v>354.7</v>
      </c>
      <c r="G194" s="76">
        <v>0.0722</v>
      </c>
      <c r="H194" s="76">
        <v>0.98</v>
      </c>
      <c r="I194" s="76">
        <v>7.3896</v>
      </c>
      <c r="J194" s="76">
        <v>16.06</v>
      </c>
      <c r="K194" s="76">
        <v>8.8</v>
      </c>
      <c r="L194" s="76">
        <v>5.53</v>
      </c>
      <c r="M194" s="76">
        <v>0.6286</v>
      </c>
      <c r="N194" s="76">
        <v>0.4716</v>
      </c>
      <c r="O194" s="76">
        <v>0.2077</v>
      </c>
      <c r="P194" s="76">
        <v>1.5908</v>
      </c>
      <c r="Q194" s="76">
        <v>33.55</v>
      </c>
      <c r="R194" s="76">
        <v>33.39</v>
      </c>
      <c r="S194" s="76">
        <v>0.16</v>
      </c>
      <c r="T194" s="76">
        <v>5.64</v>
      </c>
      <c r="U194" s="76">
        <v>27.91</v>
      </c>
      <c r="V194" s="76">
        <v>26.6</v>
      </c>
      <c r="W194" s="76">
        <v>3.0248</v>
      </c>
      <c r="X194" s="76">
        <v>16.8</v>
      </c>
      <c r="Y194" s="76">
        <v>198.0</v>
      </c>
      <c r="Z194" s="76">
        <v>479.0</v>
      </c>
      <c r="AA194" s="76">
        <v>3599.0</v>
      </c>
      <c r="AB194" s="76">
        <v>50.214</v>
      </c>
      <c r="AC194" s="76">
        <v>0.5395</v>
      </c>
      <c r="AI194" s="76">
        <v>0.0</v>
      </c>
      <c r="AJ194" s="76">
        <v>0.0</v>
      </c>
      <c r="AK194" s="76">
        <v>0.0</v>
      </c>
      <c r="AL194" s="76">
        <v>0.5135</v>
      </c>
      <c r="AQ194" s="76">
        <v>0.9927</v>
      </c>
      <c r="AR194" s="76">
        <v>0.0529</v>
      </c>
      <c r="AS194" s="76">
        <v>0.9398</v>
      </c>
      <c r="AT194" s="76">
        <v>0.9357</v>
      </c>
      <c r="AU194" s="76">
        <v>0.1064</v>
      </c>
      <c r="AV194" s="76">
        <v>4913.0</v>
      </c>
      <c r="AW194" s="76">
        <v>0.0</v>
      </c>
      <c r="AX194" s="76">
        <v>10.65</v>
      </c>
      <c r="AY194" s="76">
        <v>14.7</v>
      </c>
      <c r="AZ194" s="76">
        <v>2.42</v>
      </c>
      <c r="BA194" s="76">
        <v>5.64</v>
      </c>
      <c r="BB194" s="76">
        <v>0.15</v>
      </c>
      <c r="BD194" s="76">
        <v>27972.0</v>
      </c>
      <c r="BE194" s="76">
        <v>0.3804</v>
      </c>
      <c r="BF194" s="76">
        <v>0.0202</v>
      </c>
      <c r="BG194" s="76">
        <v>0.3603</v>
      </c>
      <c r="BH194" s="76">
        <v>0.5089</v>
      </c>
      <c r="BI194" s="76">
        <v>0.0579</v>
      </c>
      <c r="BJ194" s="76">
        <v>0.6123</v>
      </c>
      <c r="BK194" s="76">
        <v>0.0328</v>
      </c>
      <c r="BL194" s="76">
        <v>0.5795</v>
      </c>
      <c r="BM194" s="76">
        <v>0.4268</v>
      </c>
      <c r="BN194" s="76">
        <v>0.0485</v>
      </c>
      <c r="BO194" s="76">
        <v>0.139</v>
      </c>
      <c r="BP194" s="76">
        <v>0.0063</v>
      </c>
      <c r="BQ194" s="76">
        <v>0.1327</v>
      </c>
      <c r="BR194" s="76">
        <v>0.195</v>
      </c>
      <c r="BS194" s="76">
        <v>0.1388</v>
      </c>
      <c r="BT194" s="76">
        <v>0.0063</v>
      </c>
      <c r="BU194" s="76">
        <v>0.1325</v>
      </c>
      <c r="BV194" s="76">
        <v>0.1956</v>
      </c>
      <c r="BW194" s="76">
        <v>0.1026</v>
      </c>
      <c r="BX194" s="76">
        <v>0.0075</v>
      </c>
      <c r="BY194" s="76">
        <v>0.0951</v>
      </c>
      <c r="BZ194" s="76">
        <v>0.1183</v>
      </c>
      <c r="CA194" s="76">
        <v>0.0928</v>
      </c>
      <c r="CB194" s="76">
        <v>0.0067</v>
      </c>
      <c r="CC194" s="76">
        <v>0.0861</v>
      </c>
      <c r="CD194" s="76">
        <v>0.0839</v>
      </c>
      <c r="CE194" s="76">
        <v>0.3141</v>
      </c>
      <c r="CF194" s="76">
        <v>0.0167</v>
      </c>
      <c r="CG194" s="76">
        <v>0.2974</v>
      </c>
      <c r="CH194" s="76">
        <v>0.1936</v>
      </c>
      <c r="CI194" s="76">
        <v>0.2054</v>
      </c>
      <c r="CJ194" s="76">
        <v>0.0094</v>
      </c>
      <c r="CK194" s="76">
        <v>0.196</v>
      </c>
      <c r="CL194" s="76">
        <v>0.1494</v>
      </c>
      <c r="CM194" s="76">
        <v>98.26</v>
      </c>
      <c r="CN194" s="76">
        <v>11.13</v>
      </c>
      <c r="CO194" s="76">
        <v>882.53</v>
      </c>
      <c r="CP194" s="76">
        <v>95.42</v>
      </c>
      <c r="CQ194" s="76">
        <v>0.0</v>
      </c>
      <c r="CR194" s="76">
        <v>0.9</v>
      </c>
      <c r="CS194" s="76">
        <v>1.94</v>
      </c>
      <c r="CT194" s="76">
        <v>0.0</v>
      </c>
      <c r="CU194" s="76">
        <v>0.0</v>
      </c>
      <c r="CV194" s="76">
        <v>0.0</v>
      </c>
      <c r="CW194" s="76">
        <v>33.55</v>
      </c>
      <c r="CX194" s="76">
        <v>0.0</v>
      </c>
      <c r="CY194" s="76">
        <v>0.0</v>
      </c>
    </row>
    <row r="195" ht="15.75" customHeight="1">
      <c r="A195" s="164">
        <v>46246.0</v>
      </c>
      <c r="B195" s="76" t="s">
        <v>4</v>
      </c>
      <c r="C195" s="76" t="s">
        <v>147</v>
      </c>
      <c r="D195" s="76">
        <v>7601.0</v>
      </c>
      <c r="E195" s="76">
        <v>27.1</v>
      </c>
      <c r="F195" s="76">
        <v>179.73</v>
      </c>
      <c r="G195" s="76">
        <v>0.0236</v>
      </c>
      <c r="H195" s="76">
        <v>0.97</v>
      </c>
      <c r="I195" s="76">
        <v>2.4288</v>
      </c>
      <c r="J195" s="76">
        <v>22.75</v>
      </c>
      <c r="K195" s="76">
        <v>11.92</v>
      </c>
      <c r="L195" s="76">
        <v>5.12</v>
      </c>
      <c r="M195" s="76">
        <v>0.4298</v>
      </c>
      <c r="N195" s="76">
        <v>0.6723</v>
      </c>
      <c r="O195" s="76">
        <v>0.4005</v>
      </c>
      <c r="P195" s="76">
        <v>2.3268</v>
      </c>
      <c r="Q195" s="76">
        <v>38.79</v>
      </c>
      <c r="R195" s="76">
        <v>34.21</v>
      </c>
      <c r="S195" s="76">
        <v>4.59</v>
      </c>
      <c r="T195" s="76">
        <v>2.15</v>
      </c>
      <c r="U195" s="76">
        <v>36.64</v>
      </c>
      <c r="V195" s="76">
        <v>41.6</v>
      </c>
      <c r="W195" s="76">
        <v>3.4896</v>
      </c>
      <c r="X195" s="76">
        <v>5.54</v>
      </c>
      <c r="Y195" s="76">
        <v>200.0</v>
      </c>
      <c r="Z195" s="76">
        <v>349.0</v>
      </c>
      <c r="AA195" s="76">
        <v>1264.0</v>
      </c>
      <c r="AB195" s="76">
        <v>49.5959</v>
      </c>
      <c r="AC195" s="76">
        <v>0.5907</v>
      </c>
      <c r="AD195" s="76">
        <v>3.94</v>
      </c>
      <c r="AE195" s="76">
        <v>2.0</v>
      </c>
      <c r="AF195" s="76">
        <v>3.0</v>
      </c>
      <c r="AG195" s="76">
        <v>5.0</v>
      </c>
      <c r="AH195" s="76">
        <v>8.0</v>
      </c>
      <c r="AI195" s="76">
        <v>74.81</v>
      </c>
      <c r="AJ195" s="76">
        <v>33.13</v>
      </c>
      <c r="AK195" s="76">
        <v>5.97</v>
      </c>
      <c r="AL195" s="76">
        <v>0.4698</v>
      </c>
      <c r="AQ195" s="76">
        <v>2.448</v>
      </c>
      <c r="AR195" s="76">
        <v>0.0504</v>
      </c>
      <c r="AS195" s="76">
        <v>2.3976</v>
      </c>
      <c r="AT195" s="76">
        <v>2.276</v>
      </c>
      <c r="AU195" s="76">
        <v>0.1909</v>
      </c>
      <c r="AV195" s="76">
        <v>7601.0</v>
      </c>
      <c r="AW195" s="76">
        <v>0.0</v>
      </c>
      <c r="AX195" s="76">
        <v>22.13</v>
      </c>
      <c r="AY195" s="76">
        <v>11.93</v>
      </c>
      <c r="AZ195" s="76">
        <v>2.12</v>
      </c>
      <c r="BA195" s="76">
        <v>2.15</v>
      </c>
      <c r="BB195" s="76">
        <v>0.46</v>
      </c>
      <c r="BC195" s="76">
        <v>16.0</v>
      </c>
      <c r="BD195" s="76">
        <v>20319.0</v>
      </c>
      <c r="BE195" s="76">
        <v>1.477</v>
      </c>
      <c r="BF195" s="76">
        <v>0.0324</v>
      </c>
      <c r="BG195" s="76">
        <v>1.4447</v>
      </c>
      <c r="BH195" s="76">
        <v>1.2646</v>
      </c>
      <c r="BI195" s="76">
        <v>0.1061</v>
      </c>
      <c r="BJ195" s="76">
        <v>0.9709</v>
      </c>
      <c r="BK195" s="76">
        <v>0.018</v>
      </c>
      <c r="BL195" s="76">
        <v>0.9529</v>
      </c>
      <c r="BM195" s="76">
        <v>1.0114</v>
      </c>
      <c r="BN195" s="76">
        <v>0.0848</v>
      </c>
      <c r="BO195" s="76">
        <v>0.5723</v>
      </c>
      <c r="BP195" s="76">
        <v>0.0116</v>
      </c>
      <c r="BQ195" s="76">
        <v>0.5607</v>
      </c>
      <c r="BR195" s="76">
        <v>0.4947</v>
      </c>
      <c r="BS195" s="76">
        <v>0.612</v>
      </c>
      <c r="BT195" s="76">
        <v>0.0092</v>
      </c>
      <c r="BU195" s="76">
        <v>0.6028</v>
      </c>
      <c r="BV195" s="76">
        <v>0.493</v>
      </c>
      <c r="BW195" s="76">
        <v>0.2927</v>
      </c>
      <c r="BX195" s="76">
        <v>0.0116</v>
      </c>
      <c r="BY195" s="76">
        <v>0.2811</v>
      </c>
      <c r="BZ195" s="76">
        <v>0.2769</v>
      </c>
      <c r="CA195" s="76">
        <v>0.1876</v>
      </c>
      <c r="CB195" s="76">
        <v>0.0042</v>
      </c>
      <c r="CC195" s="76">
        <v>0.1834</v>
      </c>
      <c r="CD195" s="76">
        <v>0.1997</v>
      </c>
      <c r="CE195" s="76">
        <v>0.4336</v>
      </c>
      <c r="CF195" s="76">
        <v>0.0075</v>
      </c>
      <c r="CG195" s="76">
        <v>0.4261</v>
      </c>
      <c r="CH195" s="76">
        <v>0.4368</v>
      </c>
      <c r="CI195" s="76">
        <v>0.3497</v>
      </c>
      <c r="CJ195" s="76">
        <v>0.0063</v>
      </c>
      <c r="CK195" s="76">
        <v>0.3434</v>
      </c>
      <c r="CL195" s="76">
        <v>0.375</v>
      </c>
      <c r="CM195" s="76">
        <v>73.26</v>
      </c>
      <c r="CN195" s="76">
        <v>72.0</v>
      </c>
      <c r="CO195" s="76">
        <v>101.75</v>
      </c>
      <c r="CP195" s="76">
        <v>68.85</v>
      </c>
      <c r="CQ195" s="76">
        <v>0.0</v>
      </c>
      <c r="CR195" s="76">
        <v>2.17</v>
      </c>
      <c r="CS195" s="76">
        <v>2.25</v>
      </c>
      <c r="CT195" s="76">
        <v>0.0</v>
      </c>
      <c r="CU195" s="76">
        <v>0.0</v>
      </c>
      <c r="CV195" s="76">
        <v>0.0</v>
      </c>
      <c r="CW195" s="76">
        <v>38.79</v>
      </c>
      <c r="CX195" s="76">
        <v>0.0</v>
      </c>
      <c r="CY195" s="76">
        <v>0.0</v>
      </c>
    </row>
    <row r="196" ht="15.75" customHeight="1">
      <c r="A196" s="164">
        <v>46246.0</v>
      </c>
      <c r="B196" s="76" t="s">
        <v>4</v>
      </c>
      <c r="C196" s="76" t="s">
        <v>148</v>
      </c>
      <c r="D196" s="76">
        <v>6369.0</v>
      </c>
      <c r="E196" s="76">
        <v>22.71</v>
      </c>
      <c r="F196" s="76">
        <v>494.64</v>
      </c>
      <c r="G196" s="76">
        <v>0.0777</v>
      </c>
      <c r="H196" s="76">
        <v>2.29</v>
      </c>
      <c r="I196" s="76">
        <v>3.3879</v>
      </c>
      <c r="J196" s="76">
        <v>41.87</v>
      </c>
      <c r="K196" s="76">
        <v>23.26</v>
      </c>
      <c r="L196" s="76">
        <v>13.8</v>
      </c>
      <c r="M196" s="76">
        <v>0.5932</v>
      </c>
      <c r="N196" s="76">
        <v>0.5256</v>
      </c>
      <c r="O196" s="76">
        <v>0.3053</v>
      </c>
      <c r="P196" s="76">
        <v>1.6857</v>
      </c>
      <c r="Q196" s="76">
        <v>80.8</v>
      </c>
      <c r="R196" s="76">
        <v>67.57</v>
      </c>
      <c r="S196" s="76">
        <v>13.23</v>
      </c>
      <c r="T196" s="76">
        <v>6.08</v>
      </c>
      <c r="U196" s="76">
        <v>74.73</v>
      </c>
      <c r="V196" s="76">
        <v>88.05</v>
      </c>
      <c r="W196" s="76">
        <v>3.7863</v>
      </c>
      <c r="X196" s="76">
        <v>7.52</v>
      </c>
      <c r="Y196" s="76">
        <v>239.0</v>
      </c>
      <c r="Z196" s="76">
        <v>438.0</v>
      </c>
      <c r="AA196" s="76">
        <v>1414.0</v>
      </c>
      <c r="AB196" s="76">
        <v>52.1705</v>
      </c>
      <c r="AC196" s="76">
        <v>0.6918</v>
      </c>
      <c r="AD196" s="76">
        <v>9.35</v>
      </c>
      <c r="AE196" s="76">
        <v>4.0</v>
      </c>
      <c r="AF196" s="76">
        <v>8.0</v>
      </c>
      <c r="AG196" s="76">
        <v>13.0</v>
      </c>
      <c r="AH196" s="76">
        <v>18.0</v>
      </c>
      <c r="AI196" s="76">
        <v>64.53</v>
      </c>
      <c r="AJ196" s="76">
        <v>26.19</v>
      </c>
      <c r="AK196" s="76">
        <v>3.25</v>
      </c>
      <c r="AL196" s="76">
        <v>0.3421</v>
      </c>
      <c r="AQ196" s="76">
        <v>4.8774</v>
      </c>
      <c r="AR196" s="76">
        <v>0.1019</v>
      </c>
      <c r="AS196" s="76">
        <v>4.7755</v>
      </c>
      <c r="AT196" s="76">
        <v>4.488</v>
      </c>
      <c r="AU196" s="76">
        <v>0.193</v>
      </c>
      <c r="AV196" s="76">
        <v>6369.0</v>
      </c>
      <c r="AW196" s="76">
        <v>0.0</v>
      </c>
      <c r="AX196" s="76">
        <v>44.52</v>
      </c>
      <c r="AY196" s="76">
        <v>26.53</v>
      </c>
      <c r="AZ196" s="76">
        <v>2.68</v>
      </c>
      <c r="BA196" s="76">
        <v>6.08</v>
      </c>
      <c r="BB196" s="76">
        <v>1.0</v>
      </c>
      <c r="BC196" s="76">
        <v>33.0</v>
      </c>
      <c r="BD196" s="76">
        <v>20175.0</v>
      </c>
      <c r="BE196" s="76">
        <v>3.0393</v>
      </c>
      <c r="BF196" s="76">
        <v>0.0556</v>
      </c>
      <c r="BG196" s="76">
        <v>2.9837</v>
      </c>
      <c r="BH196" s="76">
        <v>2.4038</v>
      </c>
      <c r="BI196" s="76">
        <v>0.1034</v>
      </c>
      <c r="BJ196" s="76">
        <v>1.8381</v>
      </c>
      <c r="BK196" s="76">
        <v>0.0463</v>
      </c>
      <c r="BL196" s="76">
        <v>1.7918</v>
      </c>
      <c r="BM196" s="76">
        <v>2.0842</v>
      </c>
      <c r="BN196" s="76">
        <v>0.0896</v>
      </c>
      <c r="BO196" s="76">
        <v>1.1386</v>
      </c>
      <c r="BP196" s="76">
        <v>0.017</v>
      </c>
      <c r="BQ196" s="76">
        <v>1.1217</v>
      </c>
      <c r="BR196" s="76">
        <v>0.9389</v>
      </c>
      <c r="BS196" s="76">
        <v>1.2616</v>
      </c>
      <c r="BT196" s="76">
        <v>0.0127</v>
      </c>
      <c r="BU196" s="76">
        <v>1.2489</v>
      </c>
      <c r="BV196" s="76">
        <v>0.9319</v>
      </c>
      <c r="BW196" s="76">
        <v>0.639</v>
      </c>
      <c r="BX196" s="76">
        <v>0.0259</v>
      </c>
      <c r="BY196" s="76">
        <v>0.6131</v>
      </c>
      <c r="BZ196" s="76">
        <v>0.5331</v>
      </c>
      <c r="CA196" s="76">
        <v>0.3633</v>
      </c>
      <c r="CB196" s="76">
        <v>0.0111</v>
      </c>
      <c r="CC196" s="76">
        <v>0.3522</v>
      </c>
      <c r="CD196" s="76">
        <v>0.4368</v>
      </c>
      <c r="CE196" s="76">
        <v>0.7938</v>
      </c>
      <c r="CF196" s="76">
        <v>0.0176</v>
      </c>
      <c r="CG196" s="76">
        <v>0.7763</v>
      </c>
      <c r="CH196" s="76">
        <v>0.8502</v>
      </c>
      <c r="CI196" s="76">
        <v>0.681</v>
      </c>
      <c r="CJ196" s="76">
        <v>0.0176</v>
      </c>
      <c r="CK196" s="76">
        <v>0.6634</v>
      </c>
      <c r="CL196" s="76">
        <v>0.7971</v>
      </c>
      <c r="CM196" s="76">
        <v>196.98</v>
      </c>
      <c r="CN196" s="76">
        <v>84.77</v>
      </c>
      <c r="CO196" s="76">
        <v>232.38</v>
      </c>
      <c r="CP196" s="76">
        <v>186.74</v>
      </c>
      <c r="CQ196" s="76">
        <v>0.0</v>
      </c>
      <c r="CR196" s="76">
        <v>2.87</v>
      </c>
      <c r="CS196" s="76">
        <v>7.37</v>
      </c>
      <c r="CT196" s="76">
        <v>0.0</v>
      </c>
      <c r="CU196" s="76">
        <v>1.0</v>
      </c>
      <c r="CV196" s="76">
        <v>0.0</v>
      </c>
      <c r="CW196" s="76">
        <v>80.8</v>
      </c>
      <c r="CX196" s="76">
        <v>0.0</v>
      </c>
      <c r="CY196" s="76">
        <v>0.0</v>
      </c>
    </row>
    <row r="197" ht="15.75" customHeight="1">
      <c r="A197" s="164">
        <v>46246.0</v>
      </c>
      <c r="B197" s="76" t="s">
        <v>4</v>
      </c>
      <c r="C197" s="76" t="s">
        <v>149</v>
      </c>
      <c r="D197" s="76">
        <v>5231.0</v>
      </c>
      <c r="E197" s="76">
        <v>18.65</v>
      </c>
      <c r="F197" s="76">
        <v>469.76</v>
      </c>
      <c r="G197" s="76">
        <v>0.0898</v>
      </c>
      <c r="H197" s="76">
        <v>2.35</v>
      </c>
      <c r="I197" s="76">
        <v>3.8192</v>
      </c>
      <c r="J197" s="76">
        <v>58.79</v>
      </c>
      <c r="K197" s="76">
        <v>35.46</v>
      </c>
      <c r="L197" s="76">
        <v>24.57</v>
      </c>
      <c r="M197" s="76">
        <v>0.6929</v>
      </c>
      <c r="N197" s="76">
        <v>0.4228</v>
      </c>
      <c r="O197" s="76">
        <v>0.2572</v>
      </c>
      <c r="P197" s="76">
        <v>1.4433</v>
      </c>
      <c r="Q197" s="76">
        <v>131.85</v>
      </c>
      <c r="R197" s="76">
        <v>105.71</v>
      </c>
      <c r="S197" s="76">
        <v>26.14</v>
      </c>
      <c r="T197" s="76">
        <v>9.0</v>
      </c>
      <c r="U197" s="76">
        <v>122.85</v>
      </c>
      <c r="V197" s="76">
        <v>151.19</v>
      </c>
      <c r="W197" s="76">
        <v>4.263</v>
      </c>
      <c r="X197" s="76">
        <v>6.83</v>
      </c>
      <c r="Y197" s="76">
        <v>274.0</v>
      </c>
      <c r="Z197" s="76">
        <v>480.0</v>
      </c>
      <c r="AA197" s="76">
        <v>1161.0</v>
      </c>
      <c r="AB197" s="76">
        <v>53.8589</v>
      </c>
      <c r="AC197" s="76">
        <v>0.7749</v>
      </c>
      <c r="AD197" s="76">
        <v>16.17</v>
      </c>
      <c r="AE197" s="76">
        <v>7.0</v>
      </c>
      <c r="AF197" s="76">
        <v>13.0</v>
      </c>
      <c r="AG197" s="76">
        <v>23.0</v>
      </c>
      <c r="AH197" s="76">
        <v>33.0</v>
      </c>
      <c r="AI197" s="76">
        <v>57.94</v>
      </c>
      <c r="AJ197" s="76">
        <v>19.48</v>
      </c>
      <c r="AK197" s="76">
        <v>4.01</v>
      </c>
      <c r="AL197" s="76">
        <v>0.2929</v>
      </c>
      <c r="AQ197" s="76">
        <v>8.03</v>
      </c>
      <c r="AR197" s="76">
        <v>0.294</v>
      </c>
      <c r="AS197" s="76">
        <v>7.736</v>
      </c>
      <c r="AT197" s="76">
        <v>6.9952</v>
      </c>
      <c r="AU197" s="76">
        <v>0.1972</v>
      </c>
      <c r="AV197" s="76">
        <v>5231.0</v>
      </c>
      <c r="AW197" s="76">
        <v>0.0</v>
      </c>
      <c r="AX197" s="76">
        <v>76.82</v>
      </c>
      <c r="AY197" s="76">
        <v>41.48</v>
      </c>
      <c r="AZ197" s="76">
        <v>2.39</v>
      </c>
      <c r="BA197" s="76">
        <v>9.0</v>
      </c>
      <c r="BB197" s="76">
        <v>2.16</v>
      </c>
      <c r="BC197" s="76">
        <v>60.0</v>
      </c>
      <c r="BD197" s="76">
        <v>14629.0</v>
      </c>
      <c r="BE197" s="76">
        <v>5.1166</v>
      </c>
      <c r="BF197" s="76">
        <v>0.2219</v>
      </c>
      <c r="BG197" s="76">
        <v>4.8947</v>
      </c>
      <c r="BH197" s="76">
        <v>3.776</v>
      </c>
      <c r="BI197" s="76">
        <v>0.1065</v>
      </c>
      <c r="BJ197" s="76">
        <v>2.9134</v>
      </c>
      <c r="BK197" s="76">
        <v>0.0721</v>
      </c>
      <c r="BL197" s="76">
        <v>2.8413</v>
      </c>
      <c r="BM197" s="76">
        <v>3.2193</v>
      </c>
      <c r="BN197" s="76">
        <v>0.0908</v>
      </c>
      <c r="BO197" s="76">
        <v>1.8467</v>
      </c>
      <c r="BP197" s="76">
        <v>0.0656</v>
      </c>
      <c r="BQ197" s="76">
        <v>1.7811</v>
      </c>
      <c r="BR197" s="76">
        <v>1.4158</v>
      </c>
      <c r="BS197" s="76">
        <v>2.0518</v>
      </c>
      <c r="BT197" s="76">
        <v>0.0725</v>
      </c>
      <c r="BU197" s="76">
        <v>1.9794</v>
      </c>
      <c r="BV197" s="76">
        <v>1.4554</v>
      </c>
      <c r="BW197" s="76">
        <v>1.2181</v>
      </c>
      <c r="BX197" s="76">
        <v>0.0839</v>
      </c>
      <c r="BY197" s="76">
        <v>1.1342</v>
      </c>
      <c r="BZ197" s="76">
        <v>0.9048</v>
      </c>
      <c r="CA197" s="76">
        <v>0.6083</v>
      </c>
      <c r="CB197" s="76">
        <v>0.0197</v>
      </c>
      <c r="CC197" s="76">
        <v>0.5886</v>
      </c>
      <c r="CD197" s="76">
        <v>0.7155</v>
      </c>
      <c r="CE197" s="76">
        <v>1.1497</v>
      </c>
      <c r="CF197" s="76">
        <v>0.0302</v>
      </c>
      <c r="CG197" s="76">
        <v>1.1195</v>
      </c>
      <c r="CH197" s="76">
        <v>1.2053</v>
      </c>
      <c r="CI197" s="76">
        <v>1.1554</v>
      </c>
      <c r="CJ197" s="76">
        <v>0.0222</v>
      </c>
      <c r="CK197" s="76">
        <v>1.1332</v>
      </c>
      <c r="CL197" s="76">
        <v>1.2984</v>
      </c>
      <c r="CM197" s="76">
        <v>338.47</v>
      </c>
      <c r="CN197" s="76">
        <v>92.98</v>
      </c>
      <c r="CO197" s="76">
        <v>364.01</v>
      </c>
      <c r="CP197" s="76">
        <v>322.3</v>
      </c>
      <c r="CQ197" s="76">
        <v>0.03</v>
      </c>
      <c r="CR197" s="76">
        <v>3.71</v>
      </c>
      <c r="CS197" s="76">
        <v>12.43</v>
      </c>
      <c r="CT197" s="76">
        <v>0.0</v>
      </c>
      <c r="CU197" s="76">
        <v>1.0</v>
      </c>
      <c r="CV197" s="76">
        <v>0.0</v>
      </c>
      <c r="CW197" s="76">
        <v>131.85</v>
      </c>
      <c r="CX197" s="76">
        <v>0.0</v>
      </c>
      <c r="CY197" s="76">
        <v>0.03</v>
      </c>
    </row>
    <row r="198" ht="15.75" customHeight="1">
      <c r="A198" s="164">
        <v>46246.0</v>
      </c>
      <c r="B198" s="76" t="s">
        <v>4</v>
      </c>
      <c r="C198" s="76" t="s">
        <v>150</v>
      </c>
      <c r="D198" s="76">
        <v>3420.0</v>
      </c>
      <c r="E198" s="76">
        <v>12.19</v>
      </c>
      <c r="F198" s="76">
        <v>965.04</v>
      </c>
      <c r="G198" s="76">
        <v>0.2822</v>
      </c>
      <c r="H198" s="76">
        <v>4.82</v>
      </c>
      <c r="I198" s="76">
        <v>5.8487</v>
      </c>
      <c r="J198" s="76">
        <v>108.0</v>
      </c>
      <c r="K198" s="76">
        <v>68.0</v>
      </c>
      <c r="L198" s="76">
        <v>48.83</v>
      </c>
      <c r="M198" s="76">
        <v>0.7181</v>
      </c>
      <c r="N198" s="76">
        <v>0.389</v>
      </c>
      <c r="O198" s="76">
        <v>0.2358</v>
      </c>
      <c r="P198" s="76">
        <v>1.3926</v>
      </c>
      <c r="Q198" s="76">
        <v>238.44</v>
      </c>
      <c r="R198" s="76">
        <v>188.27</v>
      </c>
      <c r="S198" s="76">
        <v>50.17</v>
      </c>
      <c r="T198" s="76">
        <v>24.65</v>
      </c>
      <c r="U198" s="76">
        <v>213.79</v>
      </c>
      <c r="V198" s="76">
        <v>273.41</v>
      </c>
      <c r="W198" s="76">
        <v>4.0207</v>
      </c>
      <c r="X198" s="76">
        <v>10.34</v>
      </c>
      <c r="Y198" s="76">
        <v>322.0</v>
      </c>
      <c r="Z198" s="76">
        <v>595.0</v>
      </c>
      <c r="AA198" s="76">
        <v>1337.0</v>
      </c>
      <c r="AB198" s="76">
        <v>55.3148</v>
      </c>
      <c r="AC198" s="76">
        <v>0.7774</v>
      </c>
      <c r="AD198" s="76">
        <v>28.08</v>
      </c>
      <c r="AE198" s="76">
        <v>10.0</v>
      </c>
      <c r="AF198" s="76">
        <v>20.0</v>
      </c>
      <c r="AG198" s="76">
        <v>39.0</v>
      </c>
      <c r="AH198" s="76">
        <v>60.0</v>
      </c>
      <c r="AI198" s="76">
        <v>37.87</v>
      </c>
      <c r="AJ198" s="76">
        <v>10.35</v>
      </c>
      <c r="AK198" s="76">
        <v>2.46</v>
      </c>
      <c r="AL198" s="76">
        <v>0.1816</v>
      </c>
      <c r="AQ198" s="76">
        <v>14.0585</v>
      </c>
      <c r="AR198" s="76">
        <v>0.388</v>
      </c>
      <c r="AS198" s="76">
        <v>13.6705</v>
      </c>
      <c r="AT198" s="76">
        <v>13.6041</v>
      </c>
      <c r="AU198" s="76">
        <v>0.2001</v>
      </c>
      <c r="AV198" s="76">
        <v>3420.0</v>
      </c>
      <c r="AW198" s="76">
        <v>0.0</v>
      </c>
      <c r="AX198" s="76">
        <v>135.82</v>
      </c>
      <c r="AY198" s="76">
        <v>69.69</v>
      </c>
      <c r="AZ198" s="76">
        <v>3.74</v>
      </c>
      <c r="BA198" s="76">
        <v>24.65</v>
      </c>
      <c r="BB198" s="76">
        <v>4.55</v>
      </c>
      <c r="BC198" s="76">
        <v>128.0</v>
      </c>
      <c r="BD198" s="76">
        <v>13898.0</v>
      </c>
      <c r="BE198" s="76">
        <v>8.5898</v>
      </c>
      <c r="BF198" s="76">
        <v>0.2088</v>
      </c>
      <c r="BG198" s="76">
        <v>8.381</v>
      </c>
      <c r="BH198" s="76">
        <v>7.0988</v>
      </c>
      <c r="BI198" s="76">
        <v>0.1044</v>
      </c>
      <c r="BJ198" s="76">
        <v>5.4687</v>
      </c>
      <c r="BK198" s="76">
        <v>0.1792</v>
      </c>
      <c r="BL198" s="76">
        <v>5.2895</v>
      </c>
      <c r="BM198" s="76">
        <v>6.5053</v>
      </c>
      <c r="BN198" s="76">
        <v>0.0957</v>
      </c>
      <c r="BO198" s="76">
        <v>3.1591</v>
      </c>
      <c r="BP198" s="76">
        <v>0.0594</v>
      </c>
      <c r="BQ198" s="76">
        <v>3.0997</v>
      </c>
      <c r="BR198" s="76">
        <v>2.6494</v>
      </c>
      <c r="BS198" s="76">
        <v>3.2234</v>
      </c>
      <c r="BT198" s="76">
        <v>0.0673</v>
      </c>
      <c r="BU198" s="76">
        <v>3.1561</v>
      </c>
      <c r="BV198" s="76">
        <v>2.707</v>
      </c>
      <c r="BW198" s="76">
        <v>2.2073</v>
      </c>
      <c r="BX198" s="76">
        <v>0.0822</v>
      </c>
      <c r="BY198" s="76">
        <v>2.1251</v>
      </c>
      <c r="BZ198" s="76">
        <v>1.7424</v>
      </c>
      <c r="CA198" s="76">
        <v>1.3026</v>
      </c>
      <c r="CB198" s="76">
        <v>0.0456</v>
      </c>
      <c r="CC198" s="76">
        <v>1.257</v>
      </c>
      <c r="CD198" s="76">
        <v>1.9386</v>
      </c>
      <c r="CE198" s="76">
        <v>1.9857</v>
      </c>
      <c r="CF198" s="76">
        <v>0.0673</v>
      </c>
      <c r="CG198" s="76">
        <v>1.9184</v>
      </c>
      <c r="CH198" s="76">
        <v>2.0974</v>
      </c>
      <c r="CI198" s="76">
        <v>2.1804</v>
      </c>
      <c r="CJ198" s="76">
        <v>0.0664</v>
      </c>
      <c r="CK198" s="76">
        <v>2.114</v>
      </c>
      <c r="CL198" s="76">
        <v>2.4693</v>
      </c>
      <c r="CM198" s="76">
        <v>694.58</v>
      </c>
      <c r="CN198" s="76">
        <v>99.04</v>
      </c>
      <c r="CO198" s="76">
        <v>701.35</v>
      </c>
      <c r="CP198" s="76">
        <v>674.04</v>
      </c>
      <c r="CQ198" s="76">
        <v>0.0</v>
      </c>
      <c r="CR198" s="76">
        <v>6.42</v>
      </c>
      <c r="CS198" s="76">
        <v>14.12</v>
      </c>
      <c r="CT198" s="76">
        <v>0.0</v>
      </c>
      <c r="CU198" s="76">
        <v>0.0</v>
      </c>
      <c r="CV198" s="76">
        <v>0.0</v>
      </c>
      <c r="CW198" s="76">
        <v>238.44</v>
      </c>
      <c r="CX198" s="76">
        <v>0.0</v>
      </c>
      <c r="CY198" s="76">
        <v>0.0</v>
      </c>
    </row>
    <row r="199" ht="15.75" customHeight="1">
      <c r="A199" s="164">
        <v>46246.0</v>
      </c>
      <c r="B199" s="76" t="s">
        <v>4</v>
      </c>
      <c r="C199" s="76" t="s">
        <v>151</v>
      </c>
      <c r="D199" s="76">
        <v>511.0</v>
      </c>
      <c r="E199" s="76">
        <v>1.82</v>
      </c>
      <c r="F199" s="76">
        <v>547.15</v>
      </c>
      <c r="G199" s="76">
        <v>1.0707</v>
      </c>
      <c r="H199" s="76">
        <v>8.22</v>
      </c>
      <c r="I199" s="76">
        <v>13.0274</v>
      </c>
      <c r="J199" s="76">
        <v>224.39</v>
      </c>
      <c r="K199" s="76">
        <v>155.55</v>
      </c>
      <c r="L199" s="76">
        <v>116.22</v>
      </c>
      <c r="M199" s="76">
        <v>0.7471</v>
      </c>
      <c r="N199" s="76">
        <v>0.3378</v>
      </c>
      <c r="O199" s="76">
        <v>0.2012</v>
      </c>
      <c r="P199" s="76">
        <v>1.3384</v>
      </c>
      <c r="Q199" s="76">
        <v>527.39</v>
      </c>
      <c r="R199" s="76">
        <v>401.75</v>
      </c>
      <c r="S199" s="76">
        <v>125.64</v>
      </c>
      <c r="T199" s="76">
        <v>95.99</v>
      </c>
      <c r="U199" s="76">
        <v>431.4</v>
      </c>
      <c r="V199" s="76">
        <v>641.68</v>
      </c>
      <c r="W199" s="76">
        <v>4.1252</v>
      </c>
      <c r="X199" s="76">
        <v>18.2</v>
      </c>
      <c r="Y199" s="76">
        <v>392.0</v>
      </c>
      <c r="Z199" s="76">
        <v>746.0</v>
      </c>
      <c r="AA199" s="76">
        <v>1750.0</v>
      </c>
      <c r="AB199" s="76">
        <v>58.1382</v>
      </c>
      <c r="AC199" s="76">
        <v>0.8137</v>
      </c>
      <c r="AD199" s="76">
        <v>52.36</v>
      </c>
      <c r="AE199" s="76">
        <v>19.0</v>
      </c>
      <c r="AF199" s="76">
        <v>38.0</v>
      </c>
      <c r="AG199" s="76">
        <v>69.0</v>
      </c>
      <c r="AH199" s="76">
        <v>117.0</v>
      </c>
      <c r="AI199" s="76">
        <v>20.55</v>
      </c>
      <c r="AJ199" s="76">
        <v>2.35</v>
      </c>
      <c r="AK199" s="76">
        <v>0.59</v>
      </c>
      <c r="AL199" s="76">
        <v>0.092</v>
      </c>
      <c r="AQ199" s="76">
        <v>33.2916</v>
      </c>
      <c r="AR199" s="76">
        <v>2.2368</v>
      </c>
      <c r="AS199" s="76">
        <v>31.0548</v>
      </c>
      <c r="AT199" s="76">
        <v>37.6888</v>
      </c>
      <c r="AU199" s="76">
        <v>0.2423</v>
      </c>
      <c r="AV199" s="76">
        <v>511.0</v>
      </c>
      <c r="AW199" s="76">
        <v>0.0</v>
      </c>
      <c r="AX199" s="76">
        <v>303.65</v>
      </c>
      <c r="AY199" s="76">
        <v>112.45</v>
      </c>
      <c r="AZ199" s="76">
        <v>5.16</v>
      </c>
      <c r="BA199" s="76">
        <v>95.99</v>
      </c>
      <c r="BB199" s="76">
        <v>10.14</v>
      </c>
      <c r="BC199" s="76">
        <v>200.0</v>
      </c>
      <c r="BD199" s="76">
        <v>12959.0</v>
      </c>
      <c r="BE199" s="76">
        <v>20.4031</v>
      </c>
      <c r="BF199" s="76">
        <v>1.6027</v>
      </c>
      <c r="BG199" s="76">
        <v>18.8004</v>
      </c>
      <c r="BH199" s="76">
        <v>17.6438</v>
      </c>
      <c r="BI199" s="76">
        <v>0.1134</v>
      </c>
      <c r="BJ199" s="76">
        <v>12.8885</v>
      </c>
      <c r="BK199" s="76">
        <v>0.6341</v>
      </c>
      <c r="BL199" s="76">
        <v>12.2544</v>
      </c>
      <c r="BM199" s="76">
        <v>20.045</v>
      </c>
      <c r="BN199" s="76">
        <v>0.1289</v>
      </c>
      <c r="BO199" s="76">
        <v>7.0822</v>
      </c>
      <c r="BP199" s="76">
        <v>0.4521</v>
      </c>
      <c r="BQ199" s="76">
        <v>6.6301</v>
      </c>
      <c r="BR199" s="76">
        <v>6.3072</v>
      </c>
      <c r="BS199" s="76">
        <v>7.7065</v>
      </c>
      <c r="BT199" s="76">
        <v>0.5284</v>
      </c>
      <c r="BU199" s="76">
        <v>7.1781</v>
      </c>
      <c r="BV199" s="76">
        <v>6.6536</v>
      </c>
      <c r="BW199" s="76">
        <v>5.6145</v>
      </c>
      <c r="BX199" s="76">
        <v>0.6223</v>
      </c>
      <c r="BY199" s="76">
        <v>4.9922</v>
      </c>
      <c r="BZ199" s="76">
        <v>4.683</v>
      </c>
      <c r="CA199" s="76">
        <v>3.274</v>
      </c>
      <c r="CB199" s="76">
        <v>0.1996</v>
      </c>
      <c r="CC199" s="76">
        <v>3.0744</v>
      </c>
      <c r="CD199" s="76">
        <v>5.953</v>
      </c>
      <c r="CE199" s="76">
        <v>4.5538</v>
      </c>
      <c r="CF199" s="76">
        <v>0.2231</v>
      </c>
      <c r="CG199" s="76">
        <v>4.3307</v>
      </c>
      <c r="CH199" s="76">
        <v>4.9276</v>
      </c>
      <c r="CI199" s="76">
        <v>5.0607</v>
      </c>
      <c r="CJ199" s="76">
        <v>0.2114</v>
      </c>
      <c r="CK199" s="76">
        <v>4.8493</v>
      </c>
      <c r="CL199" s="76">
        <v>9.1644</v>
      </c>
      <c r="CM199" s="76">
        <v>1643.38</v>
      </c>
      <c r="CN199" s="76">
        <v>99.41</v>
      </c>
      <c r="CO199" s="76">
        <v>1653.09</v>
      </c>
      <c r="CP199" s="76">
        <v>1613.17</v>
      </c>
      <c r="CQ199" s="76">
        <v>0.0</v>
      </c>
      <c r="CR199" s="76">
        <v>11.27</v>
      </c>
      <c r="CS199" s="76">
        <v>18.94</v>
      </c>
      <c r="CT199" s="76">
        <v>0.0</v>
      </c>
      <c r="CU199" s="76">
        <v>0.0</v>
      </c>
      <c r="CV199" s="76">
        <v>0.0</v>
      </c>
      <c r="CW199" s="76">
        <v>527.39</v>
      </c>
      <c r="CX199" s="76">
        <v>0.0</v>
      </c>
      <c r="CY199" s="76">
        <v>0.0</v>
      </c>
    </row>
    <row r="200" ht="15.75" customHeight="1">
      <c r="A200" s="164">
        <v>46246.0</v>
      </c>
      <c r="B200" s="76" t="s">
        <v>5</v>
      </c>
      <c r="C200" s="76" t="s">
        <v>316</v>
      </c>
      <c r="D200" s="76">
        <v>5029.0</v>
      </c>
      <c r="E200" s="76">
        <v>18.23</v>
      </c>
      <c r="F200" s="76">
        <v>281.46</v>
      </c>
      <c r="G200" s="76">
        <v>0.056</v>
      </c>
      <c r="H200" s="76">
        <v>0.72</v>
      </c>
      <c r="I200" s="76">
        <v>7.8183</v>
      </c>
      <c r="J200" s="76">
        <v>17.55</v>
      </c>
      <c r="K200" s="76">
        <v>9.2</v>
      </c>
      <c r="L200" s="76">
        <v>5.94</v>
      </c>
      <c r="M200" s="76">
        <v>0.6457</v>
      </c>
      <c r="N200" s="76">
        <v>0.4693</v>
      </c>
      <c r="O200" s="76">
        <v>0.2184</v>
      </c>
      <c r="P200" s="76">
        <v>1.5488</v>
      </c>
      <c r="Q200" s="76">
        <v>42.69</v>
      </c>
      <c r="R200" s="76">
        <v>42.6</v>
      </c>
      <c r="S200" s="76">
        <v>0.1</v>
      </c>
      <c r="T200" s="76">
        <v>4.97</v>
      </c>
      <c r="U200" s="76">
        <v>37.72</v>
      </c>
      <c r="V200" s="76">
        <v>29.63</v>
      </c>
      <c r="W200" s="76">
        <v>3.2202</v>
      </c>
      <c r="X200" s="76">
        <v>11.64</v>
      </c>
      <c r="Y200" s="76">
        <v>196.0</v>
      </c>
      <c r="Z200" s="76">
        <v>416.0</v>
      </c>
      <c r="AA200" s="76">
        <v>2945.0</v>
      </c>
      <c r="AB200" s="76">
        <v>49.845</v>
      </c>
      <c r="AC200" s="76">
        <v>0.5302</v>
      </c>
      <c r="AI200" s="76">
        <v>0.0</v>
      </c>
      <c r="AJ200" s="76">
        <v>0.0</v>
      </c>
      <c r="AK200" s="76">
        <v>0.0</v>
      </c>
      <c r="AL200" s="76">
        <v>0.5077</v>
      </c>
      <c r="AM200" s="76">
        <v>5.79</v>
      </c>
      <c r="AN200" s="76">
        <v>5.79</v>
      </c>
      <c r="AO200" s="76">
        <v>3.46</v>
      </c>
      <c r="AP200" s="76">
        <v>1.75</v>
      </c>
      <c r="AQ200" s="76">
        <v>2.0155</v>
      </c>
      <c r="AR200" s="76">
        <v>0.063</v>
      </c>
      <c r="AS200" s="76">
        <v>1.9525</v>
      </c>
      <c r="AT200" s="76">
        <v>1.3432</v>
      </c>
      <c r="AU200" s="76">
        <v>0.146</v>
      </c>
      <c r="AV200" s="76">
        <v>5029.0</v>
      </c>
      <c r="AW200" s="76">
        <v>0.0</v>
      </c>
      <c r="AX200" s="76">
        <v>8.5</v>
      </c>
      <c r="AY200" s="76">
        <v>26.66</v>
      </c>
      <c r="AZ200" s="76">
        <v>2.35</v>
      </c>
      <c r="BA200" s="76">
        <v>4.97</v>
      </c>
      <c r="BB200" s="76">
        <v>0.22</v>
      </c>
      <c r="BD200" s="76">
        <v>26404.0</v>
      </c>
      <c r="BE200" s="76">
        <v>0.6174</v>
      </c>
      <c r="BF200" s="76">
        <v>0.0257</v>
      </c>
      <c r="BG200" s="76">
        <v>0.5918</v>
      </c>
      <c r="BH200" s="76">
        <v>0.6463</v>
      </c>
      <c r="BI200" s="76">
        <v>0.0702</v>
      </c>
      <c r="BJ200" s="76">
        <v>1.3981</v>
      </c>
      <c r="BK200" s="76">
        <v>0.0374</v>
      </c>
      <c r="BL200" s="76">
        <v>1.3607</v>
      </c>
      <c r="BM200" s="76">
        <v>0.697</v>
      </c>
      <c r="BN200" s="76">
        <v>0.0757</v>
      </c>
      <c r="BO200" s="76">
        <v>0.2356</v>
      </c>
      <c r="BP200" s="76">
        <v>0.0089</v>
      </c>
      <c r="BQ200" s="76">
        <v>0.2267</v>
      </c>
      <c r="BR200" s="76">
        <v>0.2659</v>
      </c>
      <c r="BS200" s="76">
        <v>0.2201</v>
      </c>
      <c r="BT200" s="76">
        <v>0.0084</v>
      </c>
      <c r="BU200" s="76">
        <v>0.2118</v>
      </c>
      <c r="BV200" s="76">
        <v>0.2062</v>
      </c>
      <c r="BW200" s="76">
        <v>0.1617</v>
      </c>
      <c r="BX200" s="76">
        <v>0.0084</v>
      </c>
      <c r="BY200" s="76">
        <v>0.1533</v>
      </c>
      <c r="BZ200" s="76">
        <v>0.1742</v>
      </c>
      <c r="CA200" s="76">
        <v>0.3195</v>
      </c>
      <c r="CB200" s="76">
        <v>0.0095</v>
      </c>
      <c r="CC200" s="76">
        <v>0.31</v>
      </c>
      <c r="CD200" s="76">
        <v>0.1565</v>
      </c>
      <c r="CE200" s="76">
        <v>0.5944</v>
      </c>
      <c r="CF200" s="76">
        <v>0.0163</v>
      </c>
      <c r="CG200" s="76">
        <v>0.578</v>
      </c>
      <c r="CH200" s="76">
        <v>0.2486</v>
      </c>
      <c r="CI200" s="76">
        <v>0.4842</v>
      </c>
      <c r="CJ200" s="76">
        <v>0.0115</v>
      </c>
      <c r="CK200" s="76">
        <v>0.4727</v>
      </c>
      <c r="CL200" s="76">
        <v>0.2919</v>
      </c>
      <c r="CM200" s="76">
        <v>102.76</v>
      </c>
      <c r="CN200" s="76">
        <v>13.68</v>
      </c>
      <c r="CO200" s="76">
        <v>751.16</v>
      </c>
      <c r="CP200" s="76">
        <v>85.03</v>
      </c>
      <c r="CQ200" s="76">
        <v>16.04</v>
      </c>
      <c r="CR200" s="76">
        <v>0.77</v>
      </c>
      <c r="CS200" s="76">
        <v>0.92</v>
      </c>
      <c r="CT200" s="76">
        <v>0.0</v>
      </c>
      <c r="CU200" s="76">
        <v>1333.0</v>
      </c>
      <c r="CV200" s="76">
        <v>28.79</v>
      </c>
      <c r="CW200" s="76">
        <v>71.48</v>
      </c>
      <c r="CX200" s="76">
        <v>2.0</v>
      </c>
      <c r="CY200" s="76">
        <v>18.05</v>
      </c>
    </row>
    <row r="201" ht="15.75" customHeight="1">
      <c r="A201" s="164">
        <v>46246.0</v>
      </c>
      <c r="B201" s="76" t="s">
        <v>5</v>
      </c>
      <c r="C201" s="76" t="s">
        <v>147</v>
      </c>
      <c r="D201" s="76">
        <v>7333.0</v>
      </c>
      <c r="E201" s="76">
        <v>26.59</v>
      </c>
      <c r="F201" s="76">
        <v>115.13</v>
      </c>
      <c r="G201" s="76">
        <v>0.0157</v>
      </c>
      <c r="H201" s="76">
        <v>0.76</v>
      </c>
      <c r="I201" s="76">
        <v>2.0559</v>
      </c>
      <c r="J201" s="76">
        <v>21.96</v>
      </c>
      <c r="K201" s="76">
        <v>11.27</v>
      </c>
      <c r="L201" s="76">
        <v>5.1</v>
      </c>
      <c r="M201" s="76">
        <v>0.4521</v>
      </c>
      <c r="N201" s="76">
        <v>0.6504</v>
      </c>
      <c r="O201" s="76">
        <v>0.3807</v>
      </c>
      <c r="P201" s="76">
        <v>2.2121</v>
      </c>
      <c r="Q201" s="76">
        <v>35.55</v>
      </c>
      <c r="R201" s="76">
        <v>32.33</v>
      </c>
      <c r="S201" s="76">
        <v>3.22</v>
      </c>
      <c r="T201" s="76">
        <v>1.68</v>
      </c>
      <c r="U201" s="76">
        <v>33.87</v>
      </c>
      <c r="V201" s="76">
        <v>37.78</v>
      </c>
      <c r="W201" s="76">
        <v>3.3512</v>
      </c>
      <c r="X201" s="76">
        <v>4.74</v>
      </c>
      <c r="Y201" s="76">
        <v>200.0</v>
      </c>
      <c r="Z201" s="76">
        <v>323.0</v>
      </c>
      <c r="AA201" s="76">
        <v>1214.0</v>
      </c>
      <c r="AB201" s="76">
        <v>49.8424</v>
      </c>
      <c r="AC201" s="76">
        <v>0.599</v>
      </c>
      <c r="AD201" s="76">
        <v>4.05</v>
      </c>
      <c r="AE201" s="76">
        <v>2.0</v>
      </c>
      <c r="AF201" s="76">
        <v>3.0</v>
      </c>
      <c r="AG201" s="76">
        <v>6.0</v>
      </c>
      <c r="AH201" s="76">
        <v>9.0</v>
      </c>
      <c r="AI201" s="76">
        <v>75.59</v>
      </c>
      <c r="AJ201" s="76">
        <v>33.75</v>
      </c>
      <c r="AK201" s="76">
        <v>6.74</v>
      </c>
      <c r="AL201" s="76">
        <v>0.4776</v>
      </c>
      <c r="AM201" s="76">
        <v>34.82</v>
      </c>
      <c r="AN201" s="76">
        <v>34.82</v>
      </c>
      <c r="AO201" s="76">
        <v>15.52</v>
      </c>
      <c r="AP201" s="76">
        <v>4.85</v>
      </c>
      <c r="AQ201" s="76">
        <v>2.9456</v>
      </c>
      <c r="AR201" s="76">
        <v>0.0409</v>
      </c>
      <c r="AS201" s="76">
        <v>2.9047</v>
      </c>
      <c r="AT201" s="76">
        <v>2.5089</v>
      </c>
      <c r="AU201" s="76">
        <v>0.2226</v>
      </c>
      <c r="AV201" s="76">
        <v>7333.0</v>
      </c>
      <c r="AW201" s="76">
        <v>0.0</v>
      </c>
      <c r="AX201" s="76">
        <v>17.02</v>
      </c>
      <c r="AY201" s="76">
        <v>14.28</v>
      </c>
      <c r="AZ201" s="76">
        <v>2.13</v>
      </c>
      <c r="BA201" s="76">
        <v>1.68</v>
      </c>
      <c r="BB201" s="76">
        <v>0.44</v>
      </c>
      <c r="BC201" s="76">
        <v>17.0</v>
      </c>
      <c r="BD201" s="76">
        <v>18882.0</v>
      </c>
      <c r="BE201" s="76">
        <v>1.6518</v>
      </c>
      <c r="BF201" s="76">
        <v>0.0241</v>
      </c>
      <c r="BG201" s="76">
        <v>1.6277</v>
      </c>
      <c r="BH201" s="76">
        <v>1.3767</v>
      </c>
      <c r="BI201" s="76">
        <v>0.1221</v>
      </c>
      <c r="BJ201" s="76">
        <v>1.2937</v>
      </c>
      <c r="BK201" s="76">
        <v>0.0168</v>
      </c>
      <c r="BL201" s="76">
        <v>1.277</v>
      </c>
      <c r="BM201" s="76">
        <v>1.1323</v>
      </c>
      <c r="BN201" s="76">
        <v>0.1004</v>
      </c>
      <c r="BO201" s="76">
        <v>0.7329</v>
      </c>
      <c r="BP201" s="76">
        <v>0.0101</v>
      </c>
      <c r="BQ201" s="76">
        <v>0.7228</v>
      </c>
      <c r="BR201" s="76">
        <v>0.6067</v>
      </c>
      <c r="BS201" s="76">
        <v>0.6866</v>
      </c>
      <c r="BT201" s="76">
        <v>0.0085</v>
      </c>
      <c r="BU201" s="76">
        <v>0.6782</v>
      </c>
      <c r="BV201" s="76">
        <v>0.5287</v>
      </c>
      <c r="BW201" s="76">
        <v>0.2324</v>
      </c>
      <c r="BX201" s="76">
        <v>0.0056</v>
      </c>
      <c r="BY201" s="76">
        <v>0.2268</v>
      </c>
      <c r="BZ201" s="76">
        <v>0.2412</v>
      </c>
      <c r="CA201" s="76">
        <v>0.1279</v>
      </c>
      <c r="CB201" s="76">
        <v>0.003</v>
      </c>
      <c r="CC201" s="76">
        <v>0.1249</v>
      </c>
      <c r="CD201" s="76">
        <v>0.1692</v>
      </c>
      <c r="CE201" s="76">
        <v>0.7758</v>
      </c>
      <c r="CF201" s="76">
        <v>0.0063</v>
      </c>
      <c r="CG201" s="76">
        <v>0.7695</v>
      </c>
      <c r="CH201" s="76">
        <v>0.6045</v>
      </c>
      <c r="CI201" s="76">
        <v>0.39</v>
      </c>
      <c r="CJ201" s="76">
        <v>0.0075</v>
      </c>
      <c r="CK201" s="76">
        <v>0.3825</v>
      </c>
      <c r="CL201" s="76">
        <v>0.3585</v>
      </c>
      <c r="CM201" s="76">
        <v>74.79</v>
      </c>
      <c r="CN201" s="76">
        <v>72.13</v>
      </c>
      <c r="CO201" s="76">
        <v>103.7</v>
      </c>
      <c r="CP201" s="76">
        <v>59.63</v>
      </c>
      <c r="CQ201" s="76">
        <v>12.52</v>
      </c>
      <c r="CR201" s="76">
        <v>2.01</v>
      </c>
      <c r="CS201" s="76">
        <v>0.64</v>
      </c>
      <c r="CT201" s="76">
        <v>0.0</v>
      </c>
      <c r="CU201" s="76">
        <v>2174.0</v>
      </c>
      <c r="CV201" s="76">
        <v>0.84</v>
      </c>
      <c r="CW201" s="76">
        <v>36.39</v>
      </c>
      <c r="CX201" s="76">
        <v>1.59</v>
      </c>
      <c r="CY201" s="76">
        <v>14.11</v>
      </c>
    </row>
    <row r="202" ht="15.75" customHeight="1">
      <c r="A202" s="164">
        <v>46246.0</v>
      </c>
      <c r="B202" s="76" t="s">
        <v>5</v>
      </c>
      <c r="C202" s="76" t="s">
        <v>148</v>
      </c>
      <c r="D202" s="76">
        <v>6253.0</v>
      </c>
      <c r="E202" s="76">
        <v>22.67</v>
      </c>
      <c r="F202" s="76">
        <v>440.05</v>
      </c>
      <c r="G202" s="76">
        <v>0.0704</v>
      </c>
      <c r="H202" s="76">
        <v>1.98</v>
      </c>
      <c r="I202" s="76">
        <v>3.5488</v>
      </c>
      <c r="J202" s="76">
        <v>42.57</v>
      </c>
      <c r="K202" s="76">
        <v>23.19</v>
      </c>
      <c r="L202" s="76">
        <v>13.48</v>
      </c>
      <c r="M202" s="76">
        <v>0.5813</v>
      </c>
      <c r="N202" s="76">
        <v>0.5345</v>
      </c>
      <c r="O202" s="76">
        <v>0.3062</v>
      </c>
      <c r="P202" s="76">
        <v>1.7203</v>
      </c>
      <c r="Q202" s="76">
        <v>74.76</v>
      </c>
      <c r="R202" s="76">
        <v>66.41</v>
      </c>
      <c r="S202" s="76">
        <v>8.35</v>
      </c>
      <c r="T202" s="76">
        <v>5.79</v>
      </c>
      <c r="U202" s="76">
        <v>68.97</v>
      </c>
      <c r="V202" s="76">
        <v>76.7</v>
      </c>
      <c r="W202" s="76">
        <v>3.3073</v>
      </c>
      <c r="X202" s="76">
        <v>7.74</v>
      </c>
      <c r="Y202" s="76">
        <v>221.0</v>
      </c>
      <c r="Z202" s="76">
        <v>366.0</v>
      </c>
      <c r="AA202" s="76">
        <v>1021.0</v>
      </c>
      <c r="AB202" s="76">
        <v>51.8265</v>
      </c>
      <c r="AC202" s="76">
        <v>0.6867</v>
      </c>
      <c r="AD202" s="76">
        <v>9.26</v>
      </c>
      <c r="AE202" s="76">
        <v>4.0</v>
      </c>
      <c r="AF202" s="76">
        <v>8.0</v>
      </c>
      <c r="AG202" s="76">
        <v>13.0</v>
      </c>
      <c r="AH202" s="76">
        <v>18.0</v>
      </c>
      <c r="AI202" s="76">
        <v>63.73</v>
      </c>
      <c r="AJ202" s="76">
        <v>26.04</v>
      </c>
      <c r="AK202" s="76">
        <v>3.2</v>
      </c>
      <c r="AL202" s="76">
        <v>0.3584</v>
      </c>
      <c r="AM202" s="76">
        <v>38.64</v>
      </c>
      <c r="AN202" s="76">
        <v>38.64</v>
      </c>
      <c r="AO202" s="76">
        <v>21.64</v>
      </c>
      <c r="AP202" s="76">
        <v>9.96</v>
      </c>
      <c r="AQ202" s="76">
        <v>5.4078</v>
      </c>
      <c r="AR202" s="76">
        <v>0.0918</v>
      </c>
      <c r="AS202" s="76">
        <v>5.316</v>
      </c>
      <c r="AT202" s="76">
        <v>4.677</v>
      </c>
      <c r="AU202" s="76">
        <v>0.2017</v>
      </c>
      <c r="AV202" s="76">
        <v>6253.0</v>
      </c>
      <c r="AW202" s="76">
        <v>0.0</v>
      </c>
      <c r="AX202" s="76">
        <v>34.55</v>
      </c>
      <c r="AY202" s="76">
        <v>30.82</v>
      </c>
      <c r="AZ202" s="76">
        <v>2.64</v>
      </c>
      <c r="BA202" s="76">
        <v>5.79</v>
      </c>
      <c r="BB202" s="76">
        <v>0.95</v>
      </c>
      <c r="BC202" s="76">
        <v>34.0</v>
      </c>
      <c r="BD202" s="76">
        <v>16766.0</v>
      </c>
      <c r="BE202" s="76">
        <v>2.7347</v>
      </c>
      <c r="BF202" s="76">
        <v>0.0427</v>
      </c>
      <c r="BG202" s="76">
        <v>2.692</v>
      </c>
      <c r="BH202" s="76">
        <v>2.305</v>
      </c>
      <c r="BI202" s="76">
        <v>0.0994</v>
      </c>
      <c r="BJ202" s="76">
        <v>2.6731</v>
      </c>
      <c r="BK202" s="76">
        <v>0.0491</v>
      </c>
      <c r="BL202" s="76">
        <v>2.624</v>
      </c>
      <c r="BM202" s="76">
        <v>2.372</v>
      </c>
      <c r="BN202" s="76">
        <v>0.1023</v>
      </c>
      <c r="BO202" s="76">
        <v>1.0518</v>
      </c>
      <c r="BP202" s="76">
        <v>0.0144</v>
      </c>
      <c r="BQ202" s="76">
        <v>1.0374</v>
      </c>
      <c r="BR202" s="76">
        <v>0.922</v>
      </c>
      <c r="BS202" s="76">
        <v>1.1087</v>
      </c>
      <c r="BT202" s="76">
        <v>0.0125</v>
      </c>
      <c r="BU202" s="76">
        <v>1.0963</v>
      </c>
      <c r="BV202" s="76">
        <v>0.8729</v>
      </c>
      <c r="BW202" s="76">
        <v>0.5741</v>
      </c>
      <c r="BX202" s="76">
        <v>0.0158</v>
      </c>
      <c r="BY202" s="76">
        <v>0.5583</v>
      </c>
      <c r="BZ202" s="76">
        <v>0.5102</v>
      </c>
      <c r="CA202" s="76">
        <v>0.4307</v>
      </c>
      <c r="CB202" s="76">
        <v>0.0107</v>
      </c>
      <c r="CC202" s="76">
        <v>0.42</v>
      </c>
      <c r="CD202" s="76">
        <v>0.4249</v>
      </c>
      <c r="CE202" s="76">
        <v>1.3878</v>
      </c>
      <c r="CF202" s="76">
        <v>0.0225</v>
      </c>
      <c r="CG202" s="76">
        <v>1.3653</v>
      </c>
      <c r="CH202" s="76">
        <v>1.1059</v>
      </c>
      <c r="CI202" s="76">
        <v>0.8546</v>
      </c>
      <c r="CJ202" s="76">
        <v>0.0158</v>
      </c>
      <c r="CK202" s="76">
        <v>0.8388</v>
      </c>
      <c r="CL202" s="76">
        <v>0.8412</v>
      </c>
      <c r="CM202" s="76">
        <v>191.21</v>
      </c>
      <c r="CN202" s="76">
        <v>85.3</v>
      </c>
      <c r="CO202" s="76">
        <v>224.15</v>
      </c>
      <c r="CP202" s="76">
        <v>157.32</v>
      </c>
      <c r="CQ202" s="76">
        <v>29.5</v>
      </c>
      <c r="CR202" s="76">
        <v>2.37</v>
      </c>
      <c r="CS202" s="76">
        <v>2.02</v>
      </c>
      <c r="CT202" s="76">
        <v>0.0</v>
      </c>
      <c r="CU202" s="76">
        <v>2541.0</v>
      </c>
      <c r="CV202" s="76">
        <v>1.47</v>
      </c>
      <c r="CW202" s="76">
        <v>76.23</v>
      </c>
      <c r="CX202" s="76">
        <v>4.44</v>
      </c>
      <c r="CY202" s="76">
        <v>33.94</v>
      </c>
    </row>
    <row r="203" ht="15.75" customHeight="1">
      <c r="A203" s="164">
        <v>46246.0</v>
      </c>
      <c r="B203" s="76" t="s">
        <v>5</v>
      </c>
      <c r="C203" s="76" t="s">
        <v>149</v>
      </c>
      <c r="D203" s="76">
        <v>5241.0</v>
      </c>
      <c r="E203" s="76">
        <v>19.0</v>
      </c>
      <c r="F203" s="76">
        <v>607.05</v>
      </c>
      <c r="G203" s="76">
        <v>0.1158</v>
      </c>
      <c r="H203" s="76">
        <v>2.98</v>
      </c>
      <c r="I203" s="76">
        <v>3.8913</v>
      </c>
      <c r="J203" s="76">
        <v>62.12</v>
      </c>
      <c r="K203" s="76">
        <v>36.04</v>
      </c>
      <c r="L203" s="76">
        <v>24.68</v>
      </c>
      <c r="M203" s="76">
        <v>0.6848</v>
      </c>
      <c r="N203" s="76">
        <v>0.432</v>
      </c>
      <c r="O203" s="76">
        <v>0.2605</v>
      </c>
      <c r="P203" s="76">
        <v>1.4603</v>
      </c>
      <c r="Q203" s="76">
        <v>130.86</v>
      </c>
      <c r="R203" s="76">
        <v>116.12</v>
      </c>
      <c r="S203" s="76">
        <v>14.74</v>
      </c>
      <c r="T203" s="76">
        <v>10.81</v>
      </c>
      <c r="U203" s="76">
        <v>120.05</v>
      </c>
      <c r="V203" s="76">
        <v>136.72</v>
      </c>
      <c r="W203" s="76">
        <v>3.7936</v>
      </c>
      <c r="X203" s="76">
        <v>8.26</v>
      </c>
      <c r="Y203" s="76">
        <v>249.0</v>
      </c>
      <c r="Z203" s="76">
        <v>422.0</v>
      </c>
      <c r="AA203" s="76">
        <v>1022.0</v>
      </c>
      <c r="AB203" s="76">
        <v>53.5483</v>
      </c>
      <c r="AC203" s="76">
        <v>0.7624</v>
      </c>
      <c r="AD203" s="76">
        <v>15.89</v>
      </c>
      <c r="AE203" s="76">
        <v>7.0</v>
      </c>
      <c r="AF203" s="76">
        <v>12.0</v>
      </c>
      <c r="AG203" s="76">
        <v>22.0</v>
      </c>
      <c r="AH203" s="76">
        <v>32.0</v>
      </c>
      <c r="AI203" s="76">
        <v>56.27</v>
      </c>
      <c r="AJ203" s="76">
        <v>19.27</v>
      </c>
      <c r="AK203" s="76">
        <v>4.06</v>
      </c>
      <c r="AL203" s="76">
        <v>0.2694</v>
      </c>
      <c r="AM203" s="76">
        <v>37.05</v>
      </c>
      <c r="AN203" s="76">
        <v>37.05</v>
      </c>
      <c r="AO203" s="76">
        <v>20.05</v>
      </c>
      <c r="AP203" s="76">
        <v>10.0</v>
      </c>
      <c r="AQ203" s="76">
        <v>8.4295</v>
      </c>
      <c r="AR203" s="76">
        <v>0.2005</v>
      </c>
      <c r="AS203" s="76">
        <v>8.229</v>
      </c>
      <c r="AT203" s="76">
        <v>7.2788</v>
      </c>
      <c r="AU203" s="76">
        <v>0.202</v>
      </c>
      <c r="AV203" s="76">
        <v>5241.0</v>
      </c>
      <c r="AW203" s="76">
        <v>0.0</v>
      </c>
      <c r="AX203" s="76">
        <v>60.3</v>
      </c>
      <c r="AY203" s="76">
        <v>55.65</v>
      </c>
      <c r="AZ203" s="76">
        <v>2.26</v>
      </c>
      <c r="BA203" s="76">
        <v>10.81</v>
      </c>
      <c r="BB203" s="76">
        <v>1.85</v>
      </c>
      <c r="BC203" s="76">
        <v>59.0</v>
      </c>
      <c r="BD203" s="76">
        <v>14482.0</v>
      </c>
      <c r="BE203" s="76">
        <v>4.29</v>
      </c>
      <c r="BF203" s="76">
        <v>0.1317</v>
      </c>
      <c r="BG203" s="76">
        <v>4.1584</v>
      </c>
      <c r="BH203" s="76">
        <v>3.5667</v>
      </c>
      <c r="BI203" s="76">
        <v>0.099</v>
      </c>
      <c r="BJ203" s="76">
        <v>4.1395</v>
      </c>
      <c r="BK203" s="76">
        <v>0.0689</v>
      </c>
      <c r="BL203" s="76">
        <v>4.0706</v>
      </c>
      <c r="BM203" s="76">
        <v>3.7121</v>
      </c>
      <c r="BN203" s="76">
        <v>0.103</v>
      </c>
      <c r="BO203" s="76">
        <v>1.5026</v>
      </c>
      <c r="BP203" s="76">
        <v>0.041</v>
      </c>
      <c r="BQ203" s="76">
        <v>1.4616</v>
      </c>
      <c r="BR203" s="76">
        <v>1.3251</v>
      </c>
      <c r="BS203" s="76">
        <v>1.6041</v>
      </c>
      <c r="BT203" s="76">
        <v>0.0427</v>
      </c>
      <c r="BU203" s="76">
        <v>1.5613</v>
      </c>
      <c r="BV203" s="76">
        <v>1.3131</v>
      </c>
      <c r="BW203" s="76">
        <v>1.1834</v>
      </c>
      <c r="BX203" s="76">
        <v>0.0479</v>
      </c>
      <c r="BY203" s="76">
        <v>1.1355</v>
      </c>
      <c r="BZ203" s="76">
        <v>0.9284</v>
      </c>
      <c r="CA203" s="76">
        <v>0.6468</v>
      </c>
      <c r="CB203" s="76">
        <v>0.0174</v>
      </c>
      <c r="CC203" s="76">
        <v>0.6295</v>
      </c>
      <c r="CD203" s="76">
        <v>0.6945</v>
      </c>
      <c r="CE203" s="76">
        <v>1.987</v>
      </c>
      <c r="CF203" s="76">
        <v>0.0275</v>
      </c>
      <c r="CG203" s="76">
        <v>1.9595</v>
      </c>
      <c r="CH203" s="76">
        <v>1.6819</v>
      </c>
      <c r="CI203" s="76">
        <v>1.5056</v>
      </c>
      <c r="CJ203" s="76">
        <v>0.024</v>
      </c>
      <c r="CK203" s="76">
        <v>1.4816</v>
      </c>
      <c r="CL203" s="76">
        <v>1.3356</v>
      </c>
      <c r="CM203" s="76">
        <v>334.69</v>
      </c>
      <c r="CN203" s="76">
        <v>94.22</v>
      </c>
      <c r="CO203" s="76">
        <v>355.23</v>
      </c>
      <c r="CP203" s="76">
        <v>278.65</v>
      </c>
      <c r="CQ203" s="76">
        <v>49.23</v>
      </c>
      <c r="CR203" s="76">
        <v>3.45</v>
      </c>
      <c r="CS203" s="76">
        <v>3.36</v>
      </c>
      <c r="CT203" s="76">
        <v>0.0</v>
      </c>
      <c r="CU203" s="76">
        <v>2283.0</v>
      </c>
      <c r="CV203" s="76">
        <v>1.76</v>
      </c>
      <c r="CW203" s="76">
        <v>132.62</v>
      </c>
      <c r="CX203" s="76">
        <v>7.72</v>
      </c>
      <c r="CY203" s="76">
        <v>56.96</v>
      </c>
    </row>
    <row r="204" ht="15.75" customHeight="1">
      <c r="A204" s="164">
        <v>46246.0</v>
      </c>
      <c r="B204" s="76" t="s">
        <v>5</v>
      </c>
      <c r="C204" s="76" t="s">
        <v>150</v>
      </c>
      <c r="D204" s="76">
        <v>3256.0</v>
      </c>
      <c r="E204" s="76">
        <v>11.8</v>
      </c>
      <c r="F204" s="76">
        <v>649.67</v>
      </c>
      <c r="G204" s="76">
        <v>0.1995</v>
      </c>
      <c r="H204" s="76">
        <v>3.44</v>
      </c>
      <c r="I204" s="76">
        <v>5.8006</v>
      </c>
      <c r="J204" s="76">
        <v>107.71</v>
      </c>
      <c r="K204" s="76">
        <v>67.34</v>
      </c>
      <c r="L204" s="76">
        <v>48.62</v>
      </c>
      <c r="M204" s="76">
        <v>0.722</v>
      </c>
      <c r="N204" s="76">
        <v>0.3831</v>
      </c>
      <c r="O204" s="76">
        <v>0.2337</v>
      </c>
      <c r="P204" s="76">
        <v>1.3851</v>
      </c>
      <c r="Q204" s="76">
        <v>256.68</v>
      </c>
      <c r="R204" s="76">
        <v>227.68</v>
      </c>
      <c r="S204" s="76">
        <v>29.0</v>
      </c>
      <c r="T204" s="76">
        <v>19.31</v>
      </c>
      <c r="U204" s="76">
        <v>237.37</v>
      </c>
      <c r="V204" s="76">
        <v>257.77</v>
      </c>
      <c r="W204" s="76">
        <v>3.8278</v>
      </c>
      <c r="X204" s="76">
        <v>7.52</v>
      </c>
      <c r="Y204" s="76">
        <v>303.0</v>
      </c>
      <c r="Z204" s="76">
        <v>516.0</v>
      </c>
      <c r="AA204" s="76">
        <v>1186.0</v>
      </c>
      <c r="AB204" s="76">
        <v>55.0693</v>
      </c>
      <c r="AC204" s="76">
        <v>0.7654</v>
      </c>
      <c r="AD204" s="76">
        <v>26.52</v>
      </c>
      <c r="AE204" s="76">
        <v>10.0</v>
      </c>
      <c r="AF204" s="76">
        <v>19.0</v>
      </c>
      <c r="AG204" s="76">
        <v>36.0</v>
      </c>
      <c r="AH204" s="76">
        <v>56.0</v>
      </c>
      <c r="AI204" s="76">
        <v>34.89</v>
      </c>
      <c r="AJ204" s="76">
        <v>8.51</v>
      </c>
      <c r="AK204" s="76">
        <v>1.87</v>
      </c>
      <c r="AL204" s="76">
        <v>0.1748</v>
      </c>
      <c r="AM204" s="76">
        <v>36.21</v>
      </c>
      <c r="AN204" s="76">
        <v>36.21</v>
      </c>
      <c r="AO204" s="76">
        <v>21.9</v>
      </c>
      <c r="AP204" s="76">
        <v>13.91</v>
      </c>
      <c r="AQ204" s="76">
        <v>13.7009</v>
      </c>
      <c r="AR204" s="76">
        <v>0.3704</v>
      </c>
      <c r="AS204" s="76">
        <v>13.3305</v>
      </c>
      <c r="AT204" s="76">
        <v>11.8541</v>
      </c>
      <c r="AU204" s="76">
        <v>0.176</v>
      </c>
      <c r="AV204" s="76">
        <v>3256.0</v>
      </c>
      <c r="AW204" s="76">
        <v>0.0</v>
      </c>
      <c r="AX204" s="76">
        <v>111.76</v>
      </c>
      <c r="AY204" s="76">
        <v>118.55</v>
      </c>
      <c r="AZ204" s="76">
        <v>3.01</v>
      </c>
      <c r="BA204" s="76">
        <v>19.21</v>
      </c>
      <c r="BB204" s="76">
        <v>4.15</v>
      </c>
      <c r="BC204" s="76">
        <v>120.0</v>
      </c>
      <c r="BD204" s="76">
        <v>13162.0</v>
      </c>
      <c r="BE204" s="76">
        <v>7.1643</v>
      </c>
      <c r="BF204" s="76">
        <v>0.2193</v>
      </c>
      <c r="BG204" s="76">
        <v>6.945</v>
      </c>
      <c r="BH204" s="76">
        <v>5.6385</v>
      </c>
      <c r="BI204" s="76">
        <v>0.0837</v>
      </c>
      <c r="BJ204" s="76">
        <v>6.5365</v>
      </c>
      <c r="BK204" s="76">
        <v>0.1511</v>
      </c>
      <c r="BL204" s="76">
        <v>6.3854</v>
      </c>
      <c r="BM204" s="76">
        <v>6.2156</v>
      </c>
      <c r="BN204" s="76">
        <v>0.0923</v>
      </c>
      <c r="BO204" s="76">
        <v>2.5743</v>
      </c>
      <c r="BP204" s="76">
        <v>0.059</v>
      </c>
      <c r="BQ204" s="76">
        <v>2.5154</v>
      </c>
      <c r="BR204" s="76">
        <v>2.0424</v>
      </c>
      <c r="BS204" s="76">
        <v>2.6385</v>
      </c>
      <c r="BT204" s="76">
        <v>0.0811</v>
      </c>
      <c r="BU204" s="76">
        <v>2.5574</v>
      </c>
      <c r="BV204" s="76">
        <v>2.0442</v>
      </c>
      <c r="BW204" s="76">
        <v>1.9515</v>
      </c>
      <c r="BX204" s="76">
        <v>0.0792</v>
      </c>
      <c r="BY204" s="76">
        <v>1.8722</v>
      </c>
      <c r="BZ204" s="76">
        <v>1.5519</v>
      </c>
      <c r="CA204" s="76">
        <v>0.9794</v>
      </c>
      <c r="CB204" s="76">
        <v>0.0439</v>
      </c>
      <c r="CC204" s="76">
        <v>0.9355</v>
      </c>
      <c r="CD204" s="76">
        <v>1.1603</v>
      </c>
      <c r="CE204" s="76">
        <v>2.9266</v>
      </c>
      <c r="CF204" s="76">
        <v>0.0577</v>
      </c>
      <c r="CG204" s="76">
        <v>2.8689</v>
      </c>
      <c r="CH204" s="76">
        <v>2.559</v>
      </c>
      <c r="CI204" s="76">
        <v>2.6305</v>
      </c>
      <c r="CJ204" s="76">
        <v>0.0494</v>
      </c>
      <c r="CK204" s="76">
        <v>2.5811</v>
      </c>
      <c r="CL204" s="76">
        <v>2.4963</v>
      </c>
      <c r="CM204" s="76">
        <v>663.05</v>
      </c>
      <c r="CN204" s="76">
        <v>99.08</v>
      </c>
      <c r="CO204" s="76">
        <v>669.22</v>
      </c>
      <c r="CP204" s="76">
        <v>560.89</v>
      </c>
      <c r="CQ204" s="76">
        <v>92.01</v>
      </c>
      <c r="CR204" s="76">
        <v>6.08</v>
      </c>
      <c r="CS204" s="76">
        <v>4.07</v>
      </c>
      <c r="CT204" s="76">
        <v>0.0</v>
      </c>
      <c r="CU204" s="76">
        <v>1582.0</v>
      </c>
      <c r="CV204" s="76">
        <v>3.26</v>
      </c>
      <c r="CW204" s="76">
        <v>259.94</v>
      </c>
      <c r="CX204" s="76">
        <v>11.05</v>
      </c>
      <c r="CY204" s="76">
        <v>103.05</v>
      </c>
    </row>
    <row r="205" ht="15.75" customHeight="1">
      <c r="A205" s="164">
        <v>46246.0</v>
      </c>
      <c r="B205" s="76" t="s">
        <v>5</v>
      </c>
      <c r="C205" s="76" t="s">
        <v>151</v>
      </c>
      <c r="D205" s="76">
        <v>470.0</v>
      </c>
      <c r="E205" s="76">
        <v>1.7</v>
      </c>
      <c r="F205" s="76">
        <v>207.36</v>
      </c>
      <c r="G205" s="76">
        <v>0.4412</v>
      </c>
      <c r="H205" s="76">
        <v>6.81</v>
      </c>
      <c r="I205" s="76">
        <v>6.48</v>
      </c>
      <c r="J205" s="76">
        <v>234.35</v>
      </c>
      <c r="K205" s="76">
        <v>161.96</v>
      </c>
      <c r="L205" s="76">
        <v>116.95</v>
      </c>
      <c r="M205" s="76">
        <v>0.7221</v>
      </c>
      <c r="N205" s="76">
        <v>0.36</v>
      </c>
      <c r="O205" s="76">
        <v>0.2141</v>
      </c>
      <c r="P205" s="76">
        <v>1.3849</v>
      </c>
      <c r="Q205" s="76">
        <v>523.49</v>
      </c>
      <c r="R205" s="76">
        <v>452.1</v>
      </c>
      <c r="S205" s="76">
        <v>71.39</v>
      </c>
      <c r="T205" s="76">
        <v>38.51</v>
      </c>
      <c r="U205" s="76">
        <v>484.98</v>
      </c>
      <c r="V205" s="76">
        <v>540.85</v>
      </c>
      <c r="W205" s="76">
        <v>3.3394</v>
      </c>
      <c r="X205" s="76">
        <v>7.36</v>
      </c>
      <c r="Y205" s="76">
        <v>396.0</v>
      </c>
      <c r="Z205" s="76">
        <v>670.0</v>
      </c>
      <c r="AA205" s="76">
        <v>1520.0</v>
      </c>
      <c r="AB205" s="76">
        <v>57.4584</v>
      </c>
      <c r="AC205" s="76">
        <v>0.7716</v>
      </c>
      <c r="AD205" s="76">
        <v>45.14</v>
      </c>
      <c r="AE205" s="76">
        <v>18.0</v>
      </c>
      <c r="AF205" s="76">
        <v>33.0</v>
      </c>
      <c r="AG205" s="76">
        <v>59.0</v>
      </c>
      <c r="AH205" s="76">
        <v>94.0</v>
      </c>
      <c r="AI205" s="76">
        <v>15.53</v>
      </c>
      <c r="AJ205" s="76">
        <v>2.13</v>
      </c>
      <c r="AK205" s="76">
        <v>0.21</v>
      </c>
      <c r="AL205" s="76">
        <v>0.083</v>
      </c>
      <c r="AM205" s="76">
        <v>55.53</v>
      </c>
      <c r="AN205" s="76">
        <v>55.53</v>
      </c>
      <c r="AO205" s="76">
        <v>45.74</v>
      </c>
      <c r="AP205" s="76">
        <v>39.36</v>
      </c>
      <c r="AQ205" s="76">
        <v>29.7277</v>
      </c>
      <c r="AR205" s="76">
        <v>0.3426</v>
      </c>
      <c r="AS205" s="76">
        <v>29.3851</v>
      </c>
      <c r="AT205" s="76">
        <v>24.3979</v>
      </c>
      <c r="AU205" s="76">
        <v>0.1506</v>
      </c>
      <c r="AV205" s="76">
        <v>470.0</v>
      </c>
      <c r="AW205" s="76">
        <v>0.0</v>
      </c>
      <c r="AX205" s="76">
        <v>248.15</v>
      </c>
      <c r="AY205" s="76">
        <v>222.55</v>
      </c>
      <c r="AZ205" s="76">
        <v>4.99</v>
      </c>
      <c r="BA205" s="76">
        <v>38.51</v>
      </c>
      <c r="BB205" s="76">
        <v>9.29</v>
      </c>
      <c r="BC205" s="76">
        <v>205.0</v>
      </c>
      <c r="BD205" s="76">
        <v>10232.0</v>
      </c>
      <c r="BE205" s="76">
        <v>13.9149</v>
      </c>
      <c r="BF205" s="76">
        <v>0.1213</v>
      </c>
      <c r="BG205" s="76">
        <v>13.7936</v>
      </c>
      <c r="BH205" s="76">
        <v>12.4936</v>
      </c>
      <c r="BI205" s="76">
        <v>0.0771</v>
      </c>
      <c r="BJ205" s="76">
        <v>15.8128</v>
      </c>
      <c r="BK205" s="76">
        <v>0.2213</v>
      </c>
      <c r="BL205" s="76">
        <v>15.5915</v>
      </c>
      <c r="BM205" s="76">
        <v>11.9043</v>
      </c>
      <c r="BN205" s="76">
        <v>0.0735</v>
      </c>
      <c r="BO205" s="76">
        <v>4.6298</v>
      </c>
      <c r="BP205" s="76">
        <v>0.0447</v>
      </c>
      <c r="BQ205" s="76">
        <v>4.5851</v>
      </c>
      <c r="BR205" s="76">
        <v>4.266</v>
      </c>
      <c r="BS205" s="76">
        <v>5.2064</v>
      </c>
      <c r="BT205" s="76">
        <v>0.0383</v>
      </c>
      <c r="BU205" s="76">
        <v>5.1681</v>
      </c>
      <c r="BV205" s="76">
        <v>4.617</v>
      </c>
      <c r="BW205" s="76">
        <v>4.0787</v>
      </c>
      <c r="BX205" s="76">
        <v>0.0383</v>
      </c>
      <c r="BY205" s="76">
        <v>4.0404</v>
      </c>
      <c r="BZ205" s="76">
        <v>3.6106</v>
      </c>
      <c r="CA205" s="76">
        <v>3.2681</v>
      </c>
      <c r="CB205" s="76">
        <v>0.0489</v>
      </c>
      <c r="CC205" s="76">
        <v>3.2191</v>
      </c>
      <c r="CD205" s="76">
        <v>2.5085</v>
      </c>
      <c r="CE205" s="76">
        <v>6.4596</v>
      </c>
      <c r="CF205" s="76">
        <v>0.1085</v>
      </c>
      <c r="CG205" s="76">
        <v>6.3511</v>
      </c>
      <c r="CH205" s="76">
        <v>4.7426</v>
      </c>
      <c r="CI205" s="76">
        <v>6.0851</v>
      </c>
      <c r="CJ205" s="76">
        <v>0.0638</v>
      </c>
      <c r="CK205" s="76">
        <v>6.0213</v>
      </c>
      <c r="CL205" s="76">
        <v>4.6532</v>
      </c>
      <c r="CM205" s="76">
        <v>1616.34</v>
      </c>
      <c r="CN205" s="76">
        <v>99.36</v>
      </c>
      <c r="CO205" s="76">
        <v>1626.73</v>
      </c>
      <c r="CP205" s="76">
        <v>1340.47</v>
      </c>
      <c r="CQ205" s="76">
        <v>259.24</v>
      </c>
      <c r="CR205" s="76">
        <v>11.7</v>
      </c>
      <c r="CS205" s="76">
        <v>4.94</v>
      </c>
      <c r="CT205" s="76">
        <v>0.0</v>
      </c>
      <c r="CU205" s="76">
        <v>280.0</v>
      </c>
      <c r="CV205" s="76">
        <v>222.03</v>
      </c>
      <c r="CW205" s="76">
        <v>745.52</v>
      </c>
      <c r="CX205" s="76">
        <v>30.96</v>
      </c>
      <c r="CY205" s="76">
        <v>290.2</v>
      </c>
    </row>
    <row r="206" ht="15.75" customHeight="1">
      <c r="A206" s="164">
        <v>46247.0</v>
      </c>
      <c r="B206" s="76" t="s">
        <v>4</v>
      </c>
      <c r="C206" s="76" t="s">
        <v>316</v>
      </c>
      <c r="D206" s="76">
        <v>5560.0</v>
      </c>
      <c r="E206" s="76">
        <v>19.79</v>
      </c>
      <c r="F206" s="76">
        <v>396.43</v>
      </c>
      <c r="G206" s="76">
        <v>0.0713</v>
      </c>
      <c r="H206" s="76">
        <v>0.95</v>
      </c>
      <c r="I206" s="76">
        <v>7.4798</v>
      </c>
      <c r="J206" s="76">
        <v>18.58</v>
      </c>
      <c r="K206" s="76">
        <v>10.48</v>
      </c>
      <c r="L206" s="76">
        <v>7.52</v>
      </c>
      <c r="M206" s="76">
        <v>0.7176</v>
      </c>
      <c r="N206" s="76">
        <v>0.3988</v>
      </c>
      <c r="O206" s="76">
        <v>0.1936</v>
      </c>
      <c r="P206" s="76">
        <v>1.3935</v>
      </c>
      <c r="Q206" s="76">
        <v>68.06</v>
      </c>
      <c r="R206" s="76">
        <v>67.95</v>
      </c>
      <c r="S206" s="76">
        <v>0.11</v>
      </c>
      <c r="T206" s="76">
        <v>5.74</v>
      </c>
      <c r="U206" s="76">
        <v>62.32</v>
      </c>
      <c r="V206" s="76">
        <v>38.88</v>
      </c>
      <c r="W206" s="76">
        <v>3.7101</v>
      </c>
      <c r="X206" s="76">
        <v>8.43</v>
      </c>
      <c r="Y206" s="76">
        <v>200.0</v>
      </c>
      <c r="Z206" s="76">
        <v>524.0</v>
      </c>
      <c r="AA206" s="76">
        <v>3183.0</v>
      </c>
      <c r="AB206" s="76">
        <v>50.1948</v>
      </c>
      <c r="AC206" s="76">
        <v>0.5216</v>
      </c>
      <c r="AI206" s="76">
        <v>0.0</v>
      </c>
      <c r="AJ206" s="76">
        <v>0.0</v>
      </c>
      <c r="AK206" s="76">
        <v>0.0</v>
      </c>
      <c r="AL206" s="76">
        <v>0.507</v>
      </c>
      <c r="AQ206" s="76">
        <v>1.5079</v>
      </c>
      <c r="AR206" s="76">
        <v>0.0502</v>
      </c>
      <c r="AS206" s="76">
        <v>1.4577</v>
      </c>
      <c r="AT206" s="76">
        <v>1.0984</v>
      </c>
      <c r="AU206" s="76">
        <v>0.1048</v>
      </c>
      <c r="AV206" s="76">
        <v>5560.0</v>
      </c>
      <c r="AW206" s="76">
        <v>0.0</v>
      </c>
      <c r="AX206" s="76">
        <v>10.43</v>
      </c>
      <c r="AY206" s="76">
        <v>49.4</v>
      </c>
      <c r="AZ206" s="76">
        <v>2.26</v>
      </c>
      <c r="BA206" s="76">
        <v>5.74</v>
      </c>
      <c r="BB206" s="76">
        <v>0.23</v>
      </c>
      <c r="BD206" s="76">
        <v>29009.0</v>
      </c>
      <c r="BE206" s="76">
        <v>0.4433</v>
      </c>
      <c r="BF206" s="76">
        <v>0.0162</v>
      </c>
      <c r="BG206" s="76">
        <v>0.4272</v>
      </c>
      <c r="BH206" s="76">
        <v>0.4349</v>
      </c>
      <c r="BI206" s="76">
        <v>0.0415</v>
      </c>
      <c r="BJ206" s="76">
        <v>1.0646</v>
      </c>
      <c r="BK206" s="76">
        <v>0.034</v>
      </c>
      <c r="BL206" s="76">
        <v>1.0306</v>
      </c>
      <c r="BM206" s="76">
        <v>0.6635</v>
      </c>
      <c r="BN206" s="76">
        <v>0.0633</v>
      </c>
      <c r="BO206" s="76">
        <v>0.1903</v>
      </c>
      <c r="BP206" s="76">
        <v>0.0045</v>
      </c>
      <c r="BQ206" s="76">
        <v>0.1858</v>
      </c>
      <c r="BR206" s="76">
        <v>0.1752</v>
      </c>
      <c r="BS206" s="76">
        <v>0.1507</v>
      </c>
      <c r="BT206" s="76">
        <v>0.0061</v>
      </c>
      <c r="BU206" s="76">
        <v>0.1446</v>
      </c>
      <c r="BV206" s="76">
        <v>0.1581</v>
      </c>
      <c r="BW206" s="76">
        <v>0.1023</v>
      </c>
      <c r="BX206" s="76">
        <v>0.0056</v>
      </c>
      <c r="BY206" s="76">
        <v>0.0968</v>
      </c>
      <c r="BZ206" s="76">
        <v>0.1016</v>
      </c>
      <c r="CA206" s="76">
        <v>0.2482</v>
      </c>
      <c r="CB206" s="76">
        <v>0.0059</v>
      </c>
      <c r="CC206" s="76">
        <v>0.2423</v>
      </c>
      <c r="CD206" s="76">
        <v>0.1703</v>
      </c>
      <c r="CE206" s="76">
        <v>0.4029</v>
      </c>
      <c r="CF206" s="76">
        <v>0.0189</v>
      </c>
      <c r="CG206" s="76">
        <v>0.384</v>
      </c>
      <c r="CH206" s="76">
        <v>0.2408</v>
      </c>
      <c r="CI206" s="76">
        <v>0.4135</v>
      </c>
      <c r="CJ206" s="76">
        <v>0.0092</v>
      </c>
      <c r="CK206" s="76">
        <v>0.4043</v>
      </c>
      <c r="CL206" s="76">
        <v>0.2523</v>
      </c>
      <c r="CM206" s="76">
        <v>163.07</v>
      </c>
      <c r="CN206" s="76">
        <v>17.79</v>
      </c>
      <c r="CO206" s="76">
        <v>916.74</v>
      </c>
      <c r="CP206" s="76">
        <v>134.18</v>
      </c>
      <c r="CQ206" s="76">
        <v>0.0</v>
      </c>
      <c r="CR206" s="76">
        <v>0.78</v>
      </c>
      <c r="CS206" s="76">
        <v>28.11</v>
      </c>
      <c r="CT206" s="76">
        <v>0.0</v>
      </c>
      <c r="CU206" s="76">
        <v>0.0</v>
      </c>
      <c r="CV206" s="76">
        <v>0.0</v>
      </c>
      <c r="CW206" s="76">
        <v>68.06</v>
      </c>
      <c r="CX206" s="76">
        <v>0.0</v>
      </c>
      <c r="CY206" s="76">
        <v>0.0</v>
      </c>
    </row>
    <row r="207" ht="15.75" customHeight="1">
      <c r="A207" s="164">
        <v>46247.0</v>
      </c>
      <c r="B207" s="76" t="s">
        <v>4</v>
      </c>
      <c r="C207" s="76" t="s">
        <v>147</v>
      </c>
      <c r="D207" s="76">
        <v>7437.0</v>
      </c>
      <c r="E207" s="76">
        <v>26.46</v>
      </c>
      <c r="F207" s="76">
        <v>144.17</v>
      </c>
      <c r="G207" s="76">
        <v>0.0194</v>
      </c>
      <c r="H207" s="76">
        <v>0.79</v>
      </c>
      <c r="I207" s="76">
        <v>2.4436</v>
      </c>
      <c r="J207" s="76">
        <v>20.23</v>
      </c>
      <c r="K207" s="76">
        <v>10.45</v>
      </c>
      <c r="L207" s="76">
        <v>4.95</v>
      </c>
      <c r="M207" s="76">
        <v>0.4733</v>
      </c>
      <c r="N207" s="76">
        <v>0.6351</v>
      </c>
      <c r="O207" s="76">
        <v>0.3914</v>
      </c>
      <c r="P207" s="76">
        <v>2.1129</v>
      </c>
      <c r="Q207" s="76">
        <v>37.85</v>
      </c>
      <c r="R207" s="76">
        <v>33.45</v>
      </c>
      <c r="S207" s="76">
        <v>4.4</v>
      </c>
      <c r="T207" s="76">
        <v>2.21</v>
      </c>
      <c r="U207" s="76">
        <v>35.65</v>
      </c>
      <c r="V207" s="76">
        <v>38.22</v>
      </c>
      <c r="W207" s="76">
        <v>3.6578</v>
      </c>
      <c r="X207" s="76">
        <v>5.83</v>
      </c>
      <c r="Y207" s="76">
        <v>200.0</v>
      </c>
      <c r="Z207" s="76">
        <v>335.0</v>
      </c>
      <c r="AA207" s="76">
        <v>1127.0</v>
      </c>
      <c r="AB207" s="76">
        <v>49.6525</v>
      </c>
      <c r="AC207" s="76">
        <v>0.5926</v>
      </c>
      <c r="AD207" s="76">
        <v>3.86</v>
      </c>
      <c r="AE207" s="76">
        <v>1.0</v>
      </c>
      <c r="AF207" s="76">
        <v>3.0</v>
      </c>
      <c r="AG207" s="76">
        <v>5.0</v>
      </c>
      <c r="AH207" s="76">
        <v>8.0</v>
      </c>
      <c r="AI207" s="76">
        <v>72.84</v>
      </c>
      <c r="AJ207" s="76">
        <v>32.37</v>
      </c>
      <c r="AK207" s="76">
        <v>5.82</v>
      </c>
      <c r="AL207" s="76">
        <v>0.4849</v>
      </c>
      <c r="AQ207" s="76">
        <v>2.4045</v>
      </c>
      <c r="AR207" s="76">
        <v>0.0372</v>
      </c>
      <c r="AS207" s="76">
        <v>2.3672</v>
      </c>
      <c r="AT207" s="76">
        <v>2.1622</v>
      </c>
      <c r="AU207" s="76">
        <v>0.2069</v>
      </c>
      <c r="AV207" s="76">
        <v>7437.0</v>
      </c>
      <c r="AW207" s="76">
        <v>0.0</v>
      </c>
      <c r="AX207" s="76">
        <v>21.98</v>
      </c>
      <c r="AY207" s="76">
        <v>11.09</v>
      </c>
      <c r="AZ207" s="76">
        <v>2.04</v>
      </c>
      <c r="BA207" s="76">
        <v>2.21</v>
      </c>
      <c r="BB207" s="76">
        <v>0.54</v>
      </c>
      <c r="BC207" s="76">
        <v>16.0</v>
      </c>
      <c r="BD207" s="76">
        <v>19417.0</v>
      </c>
      <c r="BE207" s="76">
        <v>1.3754</v>
      </c>
      <c r="BF207" s="76">
        <v>0.019</v>
      </c>
      <c r="BG207" s="76">
        <v>1.3565</v>
      </c>
      <c r="BH207" s="76">
        <v>1.1901</v>
      </c>
      <c r="BI207" s="76">
        <v>0.1139</v>
      </c>
      <c r="BJ207" s="76">
        <v>1.029</v>
      </c>
      <c r="BK207" s="76">
        <v>0.0183</v>
      </c>
      <c r="BL207" s="76">
        <v>1.0108</v>
      </c>
      <c r="BM207" s="76">
        <v>0.972</v>
      </c>
      <c r="BN207" s="76">
        <v>0.093</v>
      </c>
      <c r="BO207" s="76">
        <v>0.5255</v>
      </c>
      <c r="BP207" s="76">
        <v>0.0065</v>
      </c>
      <c r="BQ207" s="76">
        <v>0.519</v>
      </c>
      <c r="BR207" s="76">
        <v>0.4666</v>
      </c>
      <c r="BS207" s="76">
        <v>0.5681</v>
      </c>
      <c r="BT207" s="76">
        <v>0.0056</v>
      </c>
      <c r="BU207" s="76">
        <v>0.5625</v>
      </c>
      <c r="BV207" s="76">
        <v>0.4648</v>
      </c>
      <c r="BW207" s="76">
        <v>0.2818</v>
      </c>
      <c r="BX207" s="76">
        <v>0.0069</v>
      </c>
      <c r="BY207" s="76">
        <v>0.275</v>
      </c>
      <c r="BZ207" s="76">
        <v>0.2587</v>
      </c>
      <c r="CA207" s="76">
        <v>0.1639</v>
      </c>
      <c r="CB207" s="76">
        <v>0.0039</v>
      </c>
      <c r="CC207" s="76">
        <v>0.16</v>
      </c>
      <c r="CD207" s="76">
        <v>0.1776</v>
      </c>
      <c r="CE207" s="76">
        <v>0.4985</v>
      </c>
      <c r="CF207" s="76">
        <v>0.0074</v>
      </c>
      <c r="CG207" s="76">
        <v>0.4911</v>
      </c>
      <c r="CH207" s="76">
        <v>0.4351</v>
      </c>
      <c r="CI207" s="76">
        <v>0.3667</v>
      </c>
      <c r="CJ207" s="76">
        <v>0.007</v>
      </c>
      <c r="CK207" s="76">
        <v>0.3597</v>
      </c>
      <c r="CL207" s="76">
        <v>0.3593</v>
      </c>
      <c r="CM207" s="76">
        <v>76.28</v>
      </c>
      <c r="CN207" s="76">
        <v>72.27</v>
      </c>
      <c r="CO207" s="76">
        <v>105.55</v>
      </c>
      <c r="CP207" s="76">
        <v>68.3</v>
      </c>
      <c r="CQ207" s="76">
        <v>0.0</v>
      </c>
      <c r="CR207" s="76">
        <v>1.89</v>
      </c>
      <c r="CS207" s="76">
        <v>6.09</v>
      </c>
      <c r="CT207" s="76">
        <v>0.0</v>
      </c>
      <c r="CU207" s="76">
        <v>1.0</v>
      </c>
      <c r="CV207" s="76">
        <v>0.0</v>
      </c>
      <c r="CW207" s="76">
        <v>37.85</v>
      </c>
      <c r="CX207" s="76">
        <v>0.0</v>
      </c>
      <c r="CY207" s="76">
        <v>0.0</v>
      </c>
    </row>
    <row r="208" ht="15.75" customHeight="1">
      <c r="A208" s="164">
        <v>46247.0</v>
      </c>
      <c r="B208" s="76" t="s">
        <v>4</v>
      </c>
      <c r="C208" s="76" t="s">
        <v>148</v>
      </c>
      <c r="D208" s="76">
        <v>6052.0</v>
      </c>
      <c r="E208" s="76">
        <v>21.54</v>
      </c>
      <c r="F208" s="76">
        <v>367.58</v>
      </c>
      <c r="G208" s="76">
        <v>0.0607</v>
      </c>
      <c r="H208" s="76">
        <v>2.02</v>
      </c>
      <c r="I208" s="76">
        <v>3.013</v>
      </c>
      <c r="J208" s="76">
        <v>38.33</v>
      </c>
      <c r="K208" s="76">
        <v>21.28</v>
      </c>
      <c r="L208" s="76">
        <v>13.57</v>
      </c>
      <c r="M208" s="76">
        <v>0.6377</v>
      </c>
      <c r="N208" s="76">
        <v>0.4837</v>
      </c>
      <c r="O208" s="76">
        <v>0.2925</v>
      </c>
      <c r="P208" s="76">
        <v>1.5682</v>
      </c>
      <c r="Q208" s="76">
        <v>93.54</v>
      </c>
      <c r="R208" s="76">
        <v>80.24</v>
      </c>
      <c r="S208" s="76">
        <v>13.29</v>
      </c>
      <c r="T208" s="76">
        <v>4.92</v>
      </c>
      <c r="U208" s="76">
        <v>88.62</v>
      </c>
      <c r="V208" s="76">
        <v>87.25</v>
      </c>
      <c r="W208" s="76">
        <v>4.1004</v>
      </c>
      <c r="X208" s="76">
        <v>5.26</v>
      </c>
      <c r="Y208" s="76">
        <v>236.0</v>
      </c>
      <c r="Z208" s="76">
        <v>421.0</v>
      </c>
      <c r="AA208" s="76">
        <v>1288.0</v>
      </c>
      <c r="AB208" s="76">
        <v>52.1563</v>
      </c>
      <c r="AC208" s="76">
        <v>0.7001</v>
      </c>
      <c r="AD208" s="76">
        <v>9.56</v>
      </c>
      <c r="AE208" s="76">
        <v>4.0</v>
      </c>
      <c r="AF208" s="76">
        <v>8.0</v>
      </c>
      <c r="AG208" s="76">
        <v>13.0</v>
      </c>
      <c r="AH208" s="76">
        <v>19.0</v>
      </c>
      <c r="AI208" s="76">
        <v>64.03</v>
      </c>
      <c r="AJ208" s="76">
        <v>27.59</v>
      </c>
      <c r="AK208" s="76">
        <v>3.87</v>
      </c>
      <c r="AL208" s="76">
        <v>0.351</v>
      </c>
      <c r="AQ208" s="76">
        <v>5.4225</v>
      </c>
      <c r="AR208" s="76">
        <v>0.115</v>
      </c>
      <c r="AS208" s="76">
        <v>5.3075</v>
      </c>
      <c r="AT208" s="76">
        <v>4.4597</v>
      </c>
      <c r="AU208" s="76">
        <v>0.2096</v>
      </c>
      <c r="AV208" s="76">
        <v>6052.0</v>
      </c>
      <c r="AW208" s="76">
        <v>0.0</v>
      </c>
      <c r="AX208" s="76">
        <v>44.38</v>
      </c>
      <c r="AY208" s="76">
        <v>40.72</v>
      </c>
      <c r="AZ208" s="76">
        <v>2.48</v>
      </c>
      <c r="BA208" s="76">
        <v>4.92</v>
      </c>
      <c r="BB208" s="76">
        <v>1.04</v>
      </c>
      <c r="BC208" s="76">
        <v>37.0</v>
      </c>
      <c r="BD208" s="76">
        <v>20059.0</v>
      </c>
      <c r="BE208" s="76">
        <v>3.0945</v>
      </c>
      <c r="BF208" s="76">
        <v>0.0828</v>
      </c>
      <c r="BG208" s="76">
        <v>3.0117</v>
      </c>
      <c r="BH208" s="76">
        <v>2.3087</v>
      </c>
      <c r="BI208" s="76">
        <v>0.1085</v>
      </c>
      <c r="BJ208" s="76">
        <v>2.328</v>
      </c>
      <c r="BK208" s="76">
        <v>0.0322</v>
      </c>
      <c r="BL208" s="76">
        <v>2.2958</v>
      </c>
      <c r="BM208" s="76">
        <v>2.151</v>
      </c>
      <c r="BN208" s="76">
        <v>0.1011</v>
      </c>
      <c r="BO208" s="76">
        <v>1.1639</v>
      </c>
      <c r="BP208" s="76">
        <v>0.0245</v>
      </c>
      <c r="BQ208" s="76">
        <v>1.1395</v>
      </c>
      <c r="BR208" s="76">
        <v>0.9131</v>
      </c>
      <c r="BS208" s="76">
        <v>1.2465</v>
      </c>
      <c r="BT208" s="76">
        <v>0.023</v>
      </c>
      <c r="BU208" s="76">
        <v>1.2236</v>
      </c>
      <c r="BV208" s="76">
        <v>0.8754</v>
      </c>
      <c r="BW208" s="76">
        <v>0.6841</v>
      </c>
      <c r="BX208" s="76">
        <v>0.0354</v>
      </c>
      <c r="BY208" s="76">
        <v>0.6487</v>
      </c>
      <c r="BZ208" s="76">
        <v>0.5202</v>
      </c>
      <c r="CA208" s="76">
        <v>0.4291</v>
      </c>
      <c r="CB208" s="76">
        <v>0.0073</v>
      </c>
      <c r="CC208" s="76">
        <v>0.4218</v>
      </c>
      <c r="CD208" s="76">
        <v>0.4352</v>
      </c>
      <c r="CE208" s="76">
        <v>1.0056</v>
      </c>
      <c r="CF208" s="76">
        <v>0.0147</v>
      </c>
      <c r="CG208" s="76">
        <v>0.9909</v>
      </c>
      <c r="CH208" s="76">
        <v>0.901</v>
      </c>
      <c r="CI208" s="76">
        <v>0.8933</v>
      </c>
      <c r="CJ208" s="76">
        <v>0.0102</v>
      </c>
      <c r="CK208" s="76">
        <v>0.883</v>
      </c>
      <c r="CL208" s="76">
        <v>0.8148</v>
      </c>
      <c r="CM208" s="76">
        <v>210.31</v>
      </c>
      <c r="CN208" s="76">
        <v>85.38</v>
      </c>
      <c r="CO208" s="76">
        <v>246.34</v>
      </c>
      <c r="CP208" s="76">
        <v>183.33</v>
      </c>
      <c r="CQ208" s="76">
        <v>0.01</v>
      </c>
      <c r="CR208" s="76">
        <v>2.24</v>
      </c>
      <c r="CS208" s="76">
        <v>24.74</v>
      </c>
      <c r="CT208" s="76">
        <v>0.0</v>
      </c>
      <c r="CU208" s="76">
        <v>0.0</v>
      </c>
      <c r="CV208" s="76">
        <v>0.0</v>
      </c>
      <c r="CW208" s="76">
        <v>93.54</v>
      </c>
      <c r="CX208" s="76">
        <v>0.0</v>
      </c>
      <c r="CY208" s="76">
        <v>0.01</v>
      </c>
    </row>
    <row r="209" ht="15.75" customHeight="1">
      <c r="A209" s="164">
        <v>46247.0</v>
      </c>
      <c r="B209" s="76" t="s">
        <v>4</v>
      </c>
      <c r="C209" s="76" t="s">
        <v>149</v>
      </c>
      <c r="D209" s="76">
        <v>5091.0</v>
      </c>
      <c r="E209" s="76">
        <v>18.12</v>
      </c>
      <c r="F209" s="76">
        <v>500.03</v>
      </c>
      <c r="G209" s="76">
        <v>0.0982</v>
      </c>
      <c r="H209" s="76">
        <v>2.47</v>
      </c>
      <c r="I209" s="76">
        <v>3.9685</v>
      </c>
      <c r="J209" s="76">
        <v>57.02</v>
      </c>
      <c r="K209" s="76">
        <v>33.82</v>
      </c>
      <c r="L209" s="76">
        <v>24.65</v>
      </c>
      <c r="M209" s="76">
        <v>0.729</v>
      </c>
      <c r="N209" s="76">
        <v>0.3915</v>
      </c>
      <c r="O209" s="76">
        <v>0.2552</v>
      </c>
      <c r="P209" s="76">
        <v>1.3717</v>
      </c>
      <c r="Q209" s="76">
        <v>166.95</v>
      </c>
      <c r="R209" s="76">
        <v>141.03</v>
      </c>
      <c r="S209" s="76">
        <v>25.92</v>
      </c>
      <c r="T209" s="76">
        <v>8.54</v>
      </c>
      <c r="U209" s="76">
        <v>158.41</v>
      </c>
      <c r="V209" s="76">
        <v>150.72</v>
      </c>
      <c r="W209" s="76">
        <v>4.4569</v>
      </c>
      <c r="X209" s="76">
        <v>5.12</v>
      </c>
      <c r="Y209" s="76">
        <v>284.0</v>
      </c>
      <c r="Z209" s="76">
        <v>495.0</v>
      </c>
      <c r="AA209" s="76">
        <v>1132.0</v>
      </c>
      <c r="AB209" s="76">
        <v>53.4721</v>
      </c>
      <c r="AC209" s="76">
        <v>0.7678</v>
      </c>
      <c r="AD209" s="76">
        <v>16.52</v>
      </c>
      <c r="AE209" s="76">
        <v>7.0</v>
      </c>
      <c r="AF209" s="76">
        <v>13.0</v>
      </c>
      <c r="AG209" s="76">
        <v>23.0</v>
      </c>
      <c r="AH209" s="76">
        <v>34.0</v>
      </c>
      <c r="AI209" s="76">
        <v>57.28</v>
      </c>
      <c r="AJ209" s="76">
        <v>20.37</v>
      </c>
      <c r="AK209" s="76">
        <v>5.38</v>
      </c>
      <c r="AL209" s="76">
        <v>0.2935</v>
      </c>
      <c r="AQ209" s="76">
        <v>8.6596</v>
      </c>
      <c r="AR209" s="76">
        <v>0.2033</v>
      </c>
      <c r="AS209" s="76">
        <v>8.4563</v>
      </c>
      <c r="AT209" s="76">
        <v>6.6855</v>
      </c>
      <c r="AU209" s="76">
        <v>0.1977</v>
      </c>
      <c r="AV209" s="76">
        <v>5091.0</v>
      </c>
      <c r="AW209" s="76">
        <v>0.0</v>
      </c>
      <c r="AX209" s="76">
        <v>77.14</v>
      </c>
      <c r="AY209" s="76">
        <v>77.17</v>
      </c>
      <c r="AZ209" s="76">
        <v>2.1</v>
      </c>
      <c r="BA209" s="76">
        <v>8.54</v>
      </c>
      <c r="BB209" s="76">
        <v>2.01</v>
      </c>
      <c r="BC209" s="76">
        <v>62.0</v>
      </c>
      <c r="BD209" s="76">
        <v>15689.0</v>
      </c>
      <c r="BE209" s="76">
        <v>4.8871</v>
      </c>
      <c r="BF209" s="76">
        <v>0.1379</v>
      </c>
      <c r="BG209" s="76">
        <v>4.7492</v>
      </c>
      <c r="BH209" s="76">
        <v>3.3298</v>
      </c>
      <c r="BI209" s="76">
        <v>0.0985</v>
      </c>
      <c r="BJ209" s="76">
        <v>3.7725</v>
      </c>
      <c r="BK209" s="76">
        <v>0.0654</v>
      </c>
      <c r="BL209" s="76">
        <v>3.7071</v>
      </c>
      <c r="BM209" s="76">
        <v>3.3557</v>
      </c>
      <c r="BN209" s="76">
        <v>0.0992</v>
      </c>
      <c r="BO209" s="76">
        <v>1.7922</v>
      </c>
      <c r="BP209" s="76">
        <v>0.0428</v>
      </c>
      <c r="BQ209" s="76">
        <v>1.7494</v>
      </c>
      <c r="BR209" s="76">
        <v>1.2632</v>
      </c>
      <c r="BS209" s="76">
        <v>1.924</v>
      </c>
      <c r="BT209" s="76">
        <v>0.0405</v>
      </c>
      <c r="BU209" s="76">
        <v>1.8835</v>
      </c>
      <c r="BV209" s="76">
        <v>1.252</v>
      </c>
      <c r="BW209" s="76">
        <v>1.1709</v>
      </c>
      <c r="BX209" s="76">
        <v>0.0546</v>
      </c>
      <c r="BY209" s="76">
        <v>1.1163</v>
      </c>
      <c r="BZ209" s="76">
        <v>0.8146</v>
      </c>
      <c r="CA209" s="76">
        <v>0.7987</v>
      </c>
      <c r="CB209" s="76">
        <v>0.0137</v>
      </c>
      <c r="CC209" s="76">
        <v>0.7849</v>
      </c>
      <c r="CD209" s="76">
        <v>0.7423</v>
      </c>
      <c r="CE209" s="76">
        <v>1.3803</v>
      </c>
      <c r="CF209" s="76">
        <v>0.0285</v>
      </c>
      <c r="CG209" s="76">
        <v>1.3518</v>
      </c>
      <c r="CH209" s="76">
        <v>1.2471</v>
      </c>
      <c r="CI209" s="76">
        <v>1.5936</v>
      </c>
      <c r="CJ209" s="76">
        <v>0.0232</v>
      </c>
      <c r="CK209" s="76">
        <v>1.5704</v>
      </c>
      <c r="CL209" s="76">
        <v>1.3663</v>
      </c>
      <c r="CM209" s="76">
        <v>382.51</v>
      </c>
      <c r="CN209" s="76">
        <v>93.97</v>
      </c>
      <c r="CO209" s="76">
        <v>407.06</v>
      </c>
      <c r="CP209" s="76">
        <v>333.11</v>
      </c>
      <c r="CQ209" s="76">
        <v>0.0</v>
      </c>
      <c r="CR209" s="76">
        <v>3.21</v>
      </c>
      <c r="CS209" s="76">
        <v>46.19</v>
      </c>
      <c r="CT209" s="76">
        <v>0.0</v>
      </c>
      <c r="CU209" s="76">
        <v>0.0</v>
      </c>
      <c r="CV209" s="76">
        <v>0.0</v>
      </c>
      <c r="CW209" s="76">
        <v>166.95</v>
      </c>
      <c r="CX209" s="76">
        <v>0.0</v>
      </c>
      <c r="CY209" s="76">
        <v>0.0</v>
      </c>
    </row>
    <row r="210" ht="15.75" customHeight="1">
      <c r="A210" s="164">
        <v>46247.0</v>
      </c>
      <c r="B210" s="76" t="s">
        <v>4</v>
      </c>
      <c r="C210" s="76" t="s">
        <v>150</v>
      </c>
      <c r="D210" s="76">
        <v>3436.0</v>
      </c>
      <c r="E210" s="76">
        <v>12.23</v>
      </c>
      <c r="F210" s="76">
        <v>576.28</v>
      </c>
      <c r="G210" s="76">
        <v>0.1677</v>
      </c>
      <c r="H210" s="76">
        <v>3.96</v>
      </c>
      <c r="I210" s="76">
        <v>4.2374</v>
      </c>
      <c r="J210" s="76">
        <v>108.3</v>
      </c>
      <c r="K210" s="76">
        <v>68.58</v>
      </c>
      <c r="L210" s="76">
        <v>51.63</v>
      </c>
      <c r="M210" s="76">
        <v>0.7528</v>
      </c>
      <c r="N210" s="76">
        <v>0.3587</v>
      </c>
      <c r="O210" s="76">
        <v>0.233</v>
      </c>
      <c r="P210" s="76">
        <v>1.3284</v>
      </c>
      <c r="Q210" s="76">
        <v>348.07</v>
      </c>
      <c r="R210" s="76">
        <v>295.6</v>
      </c>
      <c r="S210" s="76">
        <v>52.47</v>
      </c>
      <c r="T210" s="76">
        <v>17.81</v>
      </c>
      <c r="U210" s="76">
        <v>330.26</v>
      </c>
      <c r="V210" s="76">
        <v>319.06</v>
      </c>
      <c r="W210" s="76">
        <v>4.6526</v>
      </c>
      <c r="X210" s="76">
        <v>5.12</v>
      </c>
      <c r="Y210" s="76">
        <v>355.0</v>
      </c>
      <c r="Z210" s="76">
        <v>637.0</v>
      </c>
      <c r="AA210" s="76">
        <v>1381.0</v>
      </c>
      <c r="AB210" s="76">
        <v>54.9223</v>
      </c>
      <c r="AC210" s="76">
        <v>0.7704</v>
      </c>
      <c r="AD210" s="76">
        <v>30.14</v>
      </c>
      <c r="AE210" s="76">
        <v>11.0</v>
      </c>
      <c r="AF210" s="76">
        <v>22.0</v>
      </c>
      <c r="AG210" s="76">
        <v>42.0</v>
      </c>
      <c r="AH210" s="76">
        <v>64.0</v>
      </c>
      <c r="AI210" s="76">
        <v>40.8</v>
      </c>
      <c r="AJ210" s="76">
        <v>11.96</v>
      </c>
      <c r="AK210" s="76">
        <v>3.06</v>
      </c>
      <c r="AL210" s="76">
        <v>0.1918</v>
      </c>
      <c r="AQ210" s="76">
        <v>16.1938</v>
      </c>
      <c r="AR210" s="76">
        <v>0.4689</v>
      </c>
      <c r="AS210" s="76">
        <v>15.725</v>
      </c>
      <c r="AT210" s="76">
        <v>13.2646</v>
      </c>
      <c r="AU210" s="76">
        <v>0.1934</v>
      </c>
      <c r="AV210" s="76">
        <v>3436.0</v>
      </c>
      <c r="AW210" s="76">
        <v>0.0</v>
      </c>
      <c r="AX210" s="76">
        <v>142.1</v>
      </c>
      <c r="AY210" s="76">
        <v>180.52</v>
      </c>
      <c r="AZ210" s="76">
        <v>3.42</v>
      </c>
      <c r="BA210" s="76">
        <v>17.81</v>
      </c>
      <c r="BB210" s="76">
        <v>4.21</v>
      </c>
      <c r="BC210" s="76">
        <v>129.0</v>
      </c>
      <c r="BD210" s="76">
        <v>13559.0</v>
      </c>
      <c r="BE210" s="76">
        <v>8.9077</v>
      </c>
      <c r="BF210" s="76">
        <v>0.3126</v>
      </c>
      <c r="BG210" s="76">
        <v>8.5952</v>
      </c>
      <c r="BH210" s="76">
        <v>6.2407</v>
      </c>
      <c r="BI210" s="76">
        <v>0.091</v>
      </c>
      <c r="BJ210" s="76">
        <v>7.2861</v>
      </c>
      <c r="BK210" s="76">
        <v>0.1563</v>
      </c>
      <c r="BL210" s="76">
        <v>7.1298</v>
      </c>
      <c r="BM210" s="76">
        <v>7.0239</v>
      </c>
      <c r="BN210" s="76">
        <v>0.1024</v>
      </c>
      <c r="BO210" s="76">
        <v>3.1976</v>
      </c>
      <c r="BP210" s="76">
        <v>0.0934</v>
      </c>
      <c r="BQ210" s="76">
        <v>3.1042</v>
      </c>
      <c r="BR210" s="76">
        <v>2.298</v>
      </c>
      <c r="BS210" s="76">
        <v>3.349</v>
      </c>
      <c r="BT210" s="76">
        <v>0.1013</v>
      </c>
      <c r="BU210" s="76">
        <v>3.2477</v>
      </c>
      <c r="BV210" s="76">
        <v>2.3405</v>
      </c>
      <c r="BW210" s="76">
        <v>2.3612</v>
      </c>
      <c r="BX210" s="76">
        <v>0.1179</v>
      </c>
      <c r="BY210" s="76">
        <v>2.2433</v>
      </c>
      <c r="BZ210" s="76">
        <v>1.6022</v>
      </c>
      <c r="CA210" s="76">
        <v>1.8912</v>
      </c>
      <c r="CB210" s="76">
        <v>0.0373</v>
      </c>
      <c r="CC210" s="76">
        <v>1.8539</v>
      </c>
      <c r="CD210" s="76">
        <v>1.9415</v>
      </c>
      <c r="CE210" s="76">
        <v>2.3408</v>
      </c>
      <c r="CF210" s="76">
        <v>0.0713</v>
      </c>
      <c r="CG210" s="76">
        <v>2.2695</v>
      </c>
      <c r="CH210" s="76">
        <v>2.2468</v>
      </c>
      <c r="CI210" s="76">
        <v>3.0541</v>
      </c>
      <c r="CJ210" s="76">
        <v>0.0477</v>
      </c>
      <c r="CK210" s="76">
        <v>3.0064</v>
      </c>
      <c r="CL210" s="76">
        <v>2.8356</v>
      </c>
      <c r="CM210" s="76">
        <v>824.13</v>
      </c>
      <c r="CN210" s="76">
        <v>99.1</v>
      </c>
      <c r="CO210" s="76">
        <v>831.63</v>
      </c>
      <c r="CP210" s="76">
        <v>730.61</v>
      </c>
      <c r="CQ210" s="76">
        <v>0.03</v>
      </c>
      <c r="CR210" s="76">
        <v>6.04</v>
      </c>
      <c r="CS210" s="76">
        <v>87.44</v>
      </c>
      <c r="CT210" s="76">
        <v>0.0</v>
      </c>
      <c r="CU210" s="76">
        <v>1.0</v>
      </c>
      <c r="CV210" s="76">
        <v>0.0</v>
      </c>
      <c r="CW210" s="76">
        <v>348.07</v>
      </c>
      <c r="CX210" s="76">
        <v>0.0</v>
      </c>
      <c r="CY210" s="76">
        <v>0.04</v>
      </c>
    </row>
    <row r="211" ht="15.75" customHeight="1">
      <c r="A211" s="164">
        <v>46247.0</v>
      </c>
      <c r="B211" s="76" t="s">
        <v>4</v>
      </c>
      <c r="C211" s="76" t="s">
        <v>151</v>
      </c>
      <c r="D211" s="76">
        <v>526.0</v>
      </c>
      <c r="E211" s="76">
        <v>1.87</v>
      </c>
      <c r="F211" s="76">
        <v>363.79</v>
      </c>
      <c r="G211" s="76">
        <v>0.6916</v>
      </c>
      <c r="H211" s="76">
        <v>6.46</v>
      </c>
      <c r="I211" s="76">
        <v>10.6997</v>
      </c>
      <c r="J211" s="76">
        <v>222.61</v>
      </c>
      <c r="K211" s="76">
        <v>156.75</v>
      </c>
      <c r="L211" s="76">
        <v>120.59</v>
      </c>
      <c r="M211" s="76">
        <v>0.7693</v>
      </c>
      <c r="N211" s="76">
        <v>0.3209</v>
      </c>
      <c r="O211" s="76">
        <v>0.2063</v>
      </c>
      <c r="P211" s="76">
        <v>1.2999</v>
      </c>
      <c r="Q211" s="76">
        <v>703.53</v>
      </c>
      <c r="R211" s="76">
        <v>578.28</v>
      </c>
      <c r="S211" s="76">
        <v>125.26</v>
      </c>
      <c r="T211" s="76">
        <v>56.37</v>
      </c>
      <c r="U211" s="76">
        <v>647.17</v>
      </c>
      <c r="V211" s="76">
        <v>640.02</v>
      </c>
      <c r="W211" s="76">
        <v>4.0829</v>
      </c>
      <c r="X211" s="76">
        <v>8.01</v>
      </c>
      <c r="Y211" s="76">
        <v>497.0</v>
      </c>
      <c r="Z211" s="76">
        <v>880.0</v>
      </c>
      <c r="AA211" s="76">
        <v>1785.0</v>
      </c>
      <c r="AB211" s="76">
        <v>56.967</v>
      </c>
      <c r="AC211" s="76">
        <v>0.7698</v>
      </c>
      <c r="AD211" s="76">
        <v>56.88</v>
      </c>
      <c r="AE211" s="76">
        <v>22.0</v>
      </c>
      <c r="AF211" s="76">
        <v>42.0</v>
      </c>
      <c r="AG211" s="76">
        <v>76.0</v>
      </c>
      <c r="AH211" s="76">
        <v>123.0</v>
      </c>
      <c r="AI211" s="76">
        <v>23.0</v>
      </c>
      <c r="AJ211" s="76">
        <v>3.42</v>
      </c>
      <c r="AK211" s="76">
        <v>0.95</v>
      </c>
      <c r="AL211" s="76">
        <v>0.1084</v>
      </c>
      <c r="AQ211" s="76">
        <v>33.1901</v>
      </c>
      <c r="AR211" s="76">
        <v>0.6673</v>
      </c>
      <c r="AS211" s="76">
        <v>32.5228</v>
      </c>
      <c r="AT211" s="76">
        <v>28.4848</v>
      </c>
      <c r="AU211" s="76">
        <v>0.1817</v>
      </c>
      <c r="AV211" s="76">
        <v>526.0</v>
      </c>
      <c r="AW211" s="76">
        <v>0.0</v>
      </c>
      <c r="AX211" s="76">
        <v>308.5</v>
      </c>
      <c r="AY211" s="76">
        <v>321.55</v>
      </c>
      <c r="AZ211" s="76">
        <v>4.95</v>
      </c>
      <c r="BA211" s="76">
        <v>56.37</v>
      </c>
      <c r="BB211" s="76">
        <v>12.17</v>
      </c>
      <c r="BC211" s="76">
        <v>256.0</v>
      </c>
      <c r="BD211" s="76">
        <v>15713.0</v>
      </c>
      <c r="BE211" s="76">
        <v>18.5551</v>
      </c>
      <c r="BF211" s="76">
        <v>0.308</v>
      </c>
      <c r="BG211" s="76">
        <v>18.2471</v>
      </c>
      <c r="BH211" s="76">
        <v>13.4525</v>
      </c>
      <c r="BI211" s="76">
        <v>0.0858</v>
      </c>
      <c r="BJ211" s="76">
        <v>14.635</v>
      </c>
      <c r="BK211" s="76">
        <v>0.3593</v>
      </c>
      <c r="BL211" s="76">
        <v>14.2757</v>
      </c>
      <c r="BM211" s="76">
        <v>15.0323</v>
      </c>
      <c r="BN211" s="76">
        <v>0.0959</v>
      </c>
      <c r="BO211" s="76">
        <v>6.6141</v>
      </c>
      <c r="BP211" s="76">
        <v>0.0951</v>
      </c>
      <c r="BQ211" s="76">
        <v>6.519</v>
      </c>
      <c r="BR211" s="76">
        <v>4.789</v>
      </c>
      <c r="BS211" s="76">
        <v>7.0551</v>
      </c>
      <c r="BT211" s="76">
        <v>0.1179</v>
      </c>
      <c r="BU211" s="76">
        <v>6.9373</v>
      </c>
      <c r="BV211" s="76">
        <v>5.0875</v>
      </c>
      <c r="BW211" s="76">
        <v>4.8859</v>
      </c>
      <c r="BX211" s="76">
        <v>0.0951</v>
      </c>
      <c r="BY211" s="76">
        <v>4.7909</v>
      </c>
      <c r="BZ211" s="76">
        <v>3.576</v>
      </c>
      <c r="CA211" s="76">
        <v>4.2757</v>
      </c>
      <c r="CB211" s="76">
        <v>0.1141</v>
      </c>
      <c r="CC211" s="76">
        <v>4.1616</v>
      </c>
      <c r="CD211" s="76">
        <v>4.597</v>
      </c>
      <c r="CE211" s="76">
        <v>4.4506</v>
      </c>
      <c r="CF211" s="76">
        <v>0.1369</v>
      </c>
      <c r="CG211" s="76">
        <v>4.3137</v>
      </c>
      <c r="CH211" s="76">
        <v>4.2015</v>
      </c>
      <c r="CI211" s="76">
        <v>5.9087</v>
      </c>
      <c r="CJ211" s="76">
        <v>0.1084</v>
      </c>
      <c r="CK211" s="76">
        <v>5.8004</v>
      </c>
      <c r="CL211" s="76">
        <v>6.2338</v>
      </c>
      <c r="CM211" s="76">
        <v>1820.09</v>
      </c>
      <c r="CN211" s="76">
        <v>99.05</v>
      </c>
      <c r="CO211" s="76">
        <v>1837.56</v>
      </c>
      <c r="CP211" s="76">
        <v>1675.89</v>
      </c>
      <c r="CQ211" s="76">
        <v>0.0</v>
      </c>
      <c r="CR211" s="76">
        <v>10.65</v>
      </c>
      <c r="CS211" s="76">
        <v>133.56</v>
      </c>
      <c r="CT211" s="76">
        <v>0.0</v>
      </c>
      <c r="CU211" s="76">
        <v>0.0</v>
      </c>
      <c r="CV211" s="76">
        <v>0.0</v>
      </c>
      <c r="CW211" s="76">
        <v>703.53</v>
      </c>
      <c r="CX211" s="76">
        <v>0.0</v>
      </c>
      <c r="CY211" s="76">
        <v>0.0</v>
      </c>
    </row>
    <row r="212" ht="15.75" customHeight="1">
      <c r="A212" s="164">
        <v>46247.0</v>
      </c>
      <c r="B212" s="76" t="s">
        <v>5</v>
      </c>
      <c r="C212" s="76" t="s">
        <v>316</v>
      </c>
      <c r="D212" s="76">
        <v>5412.0</v>
      </c>
      <c r="E212" s="76">
        <v>19.39</v>
      </c>
      <c r="F212" s="76">
        <v>493.06</v>
      </c>
      <c r="G212" s="76">
        <v>0.0911</v>
      </c>
      <c r="H212" s="76">
        <v>0.85</v>
      </c>
      <c r="I212" s="76">
        <v>10.7187</v>
      </c>
      <c r="J212" s="76">
        <v>19.09</v>
      </c>
      <c r="K212" s="76">
        <v>10.05</v>
      </c>
      <c r="L212" s="76">
        <v>6.39</v>
      </c>
      <c r="M212" s="76">
        <v>0.6365</v>
      </c>
      <c r="N212" s="76">
        <v>0.4764</v>
      </c>
      <c r="O212" s="76">
        <v>0.2175</v>
      </c>
      <c r="P212" s="76">
        <v>1.5712</v>
      </c>
      <c r="Q212" s="76">
        <v>35.51</v>
      </c>
      <c r="R212" s="76">
        <v>35.43</v>
      </c>
      <c r="S212" s="76">
        <v>0.08</v>
      </c>
      <c r="T212" s="76">
        <v>7.06</v>
      </c>
      <c r="U212" s="76">
        <v>28.45</v>
      </c>
      <c r="V212" s="76">
        <v>27.89</v>
      </c>
      <c r="W212" s="76">
        <v>2.776</v>
      </c>
      <c r="X212" s="76">
        <v>19.88</v>
      </c>
      <c r="Y212" s="76">
        <v>199.0</v>
      </c>
      <c r="Z212" s="76">
        <v>425.0</v>
      </c>
      <c r="AA212" s="76">
        <v>3419.0</v>
      </c>
      <c r="AB212" s="76">
        <v>49.9541</v>
      </c>
      <c r="AC212" s="76">
        <v>0.5203</v>
      </c>
      <c r="AI212" s="76">
        <v>0.0</v>
      </c>
      <c r="AJ212" s="76">
        <v>0.0</v>
      </c>
      <c r="AK212" s="76">
        <v>0.0</v>
      </c>
      <c r="AL212" s="76">
        <v>0.5094</v>
      </c>
      <c r="AM212" s="76">
        <v>6.01</v>
      </c>
      <c r="AN212" s="76">
        <v>6.01</v>
      </c>
      <c r="AO212" s="76">
        <v>3.7</v>
      </c>
      <c r="AP212" s="76">
        <v>1.98</v>
      </c>
      <c r="AQ212" s="76">
        <v>3.0523</v>
      </c>
      <c r="AR212" s="76">
        <v>0.1025</v>
      </c>
      <c r="AS212" s="76">
        <v>2.9497</v>
      </c>
      <c r="AT212" s="76">
        <v>1.2993</v>
      </c>
      <c r="AU212" s="76">
        <v>0.1293</v>
      </c>
      <c r="AV212" s="76">
        <v>5412.0</v>
      </c>
      <c r="AW212" s="76">
        <v>0.0</v>
      </c>
      <c r="AX212" s="76">
        <v>7.81</v>
      </c>
      <c r="AY212" s="76">
        <v>17.77</v>
      </c>
      <c r="AZ212" s="76">
        <v>2.61</v>
      </c>
      <c r="BA212" s="76">
        <v>7.06</v>
      </c>
      <c r="BB212" s="76">
        <v>0.26</v>
      </c>
      <c r="BD212" s="76">
        <v>27852.0</v>
      </c>
      <c r="BE212" s="76">
        <v>0.6197</v>
      </c>
      <c r="BF212" s="76">
        <v>0.0449</v>
      </c>
      <c r="BG212" s="76">
        <v>0.5748</v>
      </c>
      <c r="BH212" s="76">
        <v>0.5994</v>
      </c>
      <c r="BI212" s="76">
        <v>0.0597</v>
      </c>
      <c r="BJ212" s="76">
        <v>2.4326</v>
      </c>
      <c r="BK212" s="76">
        <v>0.0576</v>
      </c>
      <c r="BL212" s="76">
        <v>2.3749</v>
      </c>
      <c r="BM212" s="76">
        <v>0.6999</v>
      </c>
      <c r="BN212" s="76">
        <v>0.0697</v>
      </c>
      <c r="BO212" s="76">
        <v>0.2369</v>
      </c>
      <c r="BP212" s="76">
        <v>0.0146</v>
      </c>
      <c r="BQ212" s="76">
        <v>0.2223</v>
      </c>
      <c r="BR212" s="76">
        <v>0.2419</v>
      </c>
      <c r="BS212" s="76">
        <v>0.2112</v>
      </c>
      <c r="BT212" s="76">
        <v>0.0152</v>
      </c>
      <c r="BU212" s="76">
        <v>0.196</v>
      </c>
      <c r="BV212" s="76">
        <v>0.1977</v>
      </c>
      <c r="BW212" s="76">
        <v>0.1717</v>
      </c>
      <c r="BX212" s="76">
        <v>0.0152</v>
      </c>
      <c r="BY212" s="76">
        <v>0.1565</v>
      </c>
      <c r="BZ212" s="76">
        <v>0.1598</v>
      </c>
      <c r="CA212" s="76">
        <v>0.6824</v>
      </c>
      <c r="CB212" s="76">
        <v>0.017</v>
      </c>
      <c r="CC212" s="76">
        <v>0.6654</v>
      </c>
      <c r="CD212" s="76">
        <v>0.184</v>
      </c>
      <c r="CE212" s="76">
        <v>0.9178</v>
      </c>
      <c r="CF212" s="76">
        <v>0.0214</v>
      </c>
      <c r="CG212" s="76">
        <v>0.8963</v>
      </c>
      <c r="CH212" s="76">
        <v>0.2605</v>
      </c>
      <c r="CI212" s="76">
        <v>0.8324</v>
      </c>
      <c r="CJ212" s="76">
        <v>0.0192</v>
      </c>
      <c r="CK212" s="76">
        <v>0.8132</v>
      </c>
      <c r="CL212" s="76">
        <v>0.2554</v>
      </c>
      <c r="CM212" s="76">
        <v>109.63</v>
      </c>
      <c r="CN212" s="76">
        <v>15.37</v>
      </c>
      <c r="CO212" s="76">
        <v>713.13</v>
      </c>
      <c r="CP212" s="76">
        <v>92.57</v>
      </c>
      <c r="CQ212" s="76">
        <v>14.39</v>
      </c>
      <c r="CR212" s="76">
        <v>1.02</v>
      </c>
      <c r="CS212" s="76">
        <v>1.65</v>
      </c>
      <c r="CT212" s="76">
        <v>0.0</v>
      </c>
      <c r="CU212" s="76">
        <v>1497.0</v>
      </c>
      <c r="CV212" s="76">
        <v>92.49</v>
      </c>
      <c r="CW212" s="76">
        <v>128.0</v>
      </c>
      <c r="CX212" s="76">
        <v>1.69</v>
      </c>
      <c r="CY212" s="76">
        <v>16.08</v>
      </c>
    </row>
    <row r="213" ht="15.75" customHeight="1">
      <c r="A213" s="164">
        <v>46247.0</v>
      </c>
      <c r="B213" s="76" t="s">
        <v>5</v>
      </c>
      <c r="C213" s="76" t="s">
        <v>147</v>
      </c>
      <c r="D213" s="76">
        <v>7497.0</v>
      </c>
      <c r="E213" s="76">
        <v>26.85</v>
      </c>
      <c r="F213" s="76">
        <v>91.77</v>
      </c>
      <c r="G213" s="76">
        <v>0.0122</v>
      </c>
      <c r="H213" s="76">
        <v>0.73</v>
      </c>
      <c r="I213" s="76">
        <v>1.6685</v>
      </c>
      <c r="J213" s="76">
        <v>21.47</v>
      </c>
      <c r="K213" s="76">
        <v>11.06</v>
      </c>
      <c r="L213" s="76">
        <v>5.06</v>
      </c>
      <c r="M213" s="76">
        <v>0.4579</v>
      </c>
      <c r="N213" s="76">
        <v>0.6446</v>
      </c>
      <c r="O213" s="76">
        <v>0.3793</v>
      </c>
      <c r="P213" s="76">
        <v>2.1841</v>
      </c>
      <c r="Q213" s="76">
        <v>32.31</v>
      </c>
      <c r="R213" s="76">
        <v>29.18</v>
      </c>
      <c r="S213" s="76">
        <v>3.13</v>
      </c>
      <c r="T213" s="76">
        <v>1.77</v>
      </c>
      <c r="U213" s="76">
        <v>30.54</v>
      </c>
      <c r="V213" s="76">
        <v>34.59</v>
      </c>
      <c r="W213" s="76">
        <v>3.1284</v>
      </c>
      <c r="X213" s="76">
        <v>5.49</v>
      </c>
      <c r="Y213" s="76">
        <v>199.0</v>
      </c>
      <c r="Z213" s="76">
        <v>310.0</v>
      </c>
      <c r="AA213" s="76">
        <v>1150.0</v>
      </c>
      <c r="AB213" s="76">
        <v>49.8896</v>
      </c>
      <c r="AC213" s="76">
        <v>0.6075</v>
      </c>
      <c r="AD213" s="76">
        <v>3.96</v>
      </c>
      <c r="AE213" s="76">
        <v>1.0</v>
      </c>
      <c r="AF213" s="76">
        <v>3.0</v>
      </c>
      <c r="AG213" s="76">
        <v>5.0</v>
      </c>
      <c r="AH213" s="76">
        <v>8.0</v>
      </c>
      <c r="AI213" s="76">
        <v>73.79</v>
      </c>
      <c r="AJ213" s="76">
        <v>33.16</v>
      </c>
      <c r="AK213" s="76">
        <v>6.04</v>
      </c>
      <c r="AL213" s="76">
        <v>0.4942</v>
      </c>
      <c r="AM213" s="76">
        <v>22.04</v>
      </c>
      <c r="AN213" s="76">
        <v>22.04</v>
      </c>
      <c r="AO213" s="76">
        <v>10.51</v>
      </c>
      <c r="AP213" s="76">
        <v>3.16</v>
      </c>
      <c r="AQ213" s="76">
        <v>2.5091</v>
      </c>
      <c r="AR213" s="76">
        <v>0.0356</v>
      </c>
      <c r="AS213" s="76">
        <v>2.4735</v>
      </c>
      <c r="AT213" s="76">
        <v>2.2768</v>
      </c>
      <c r="AU213" s="76">
        <v>0.2059</v>
      </c>
      <c r="AV213" s="76">
        <v>7497.0</v>
      </c>
      <c r="AW213" s="76">
        <v>0.0</v>
      </c>
      <c r="AX213" s="76">
        <v>16.88</v>
      </c>
      <c r="AY213" s="76">
        <v>11.35</v>
      </c>
      <c r="AZ213" s="76">
        <v>1.82</v>
      </c>
      <c r="BA213" s="76">
        <v>1.77</v>
      </c>
      <c r="BB213" s="76">
        <v>0.48</v>
      </c>
      <c r="BC213" s="76">
        <v>17.0</v>
      </c>
      <c r="BD213" s="76">
        <v>18304.0</v>
      </c>
      <c r="BE213" s="76">
        <v>1.3942</v>
      </c>
      <c r="BF213" s="76">
        <v>0.0184</v>
      </c>
      <c r="BG213" s="76">
        <v>1.3758</v>
      </c>
      <c r="BH213" s="76">
        <v>1.248</v>
      </c>
      <c r="BI213" s="76">
        <v>0.1129</v>
      </c>
      <c r="BJ213" s="76">
        <v>1.115</v>
      </c>
      <c r="BK213" s="76">
        <v>0.0172</v>
      </c>
      <c r="BL213" s="76">
        <v>1.0978</v>
      </c>
      <c r="BM213" s="76">
        <v>1.0288</v>
      </c>
      <c r="BN213" s="76">
        <v>0.0931</v>
      </c>
      <c r="BO213" s="76">
        <v>0.5826</v>
      </c>
      <c r="BP213" s="76">
        <v>0.0088</v>
      </c>
      <c r="BQ213" s="76">
        <v>0.5738</v>
      </c>
      <c r="BR213" s="76">
        <v>0.5347</v>
      </c>
      <c r="BS213" s="76">
        <v>0.5944</v>
      </c>
      <c r="BT213" s="76">
        <v>0.004</v>
      </c>
      <c r="BU213" s="76">
        <v>0.5904</v>
      </c>
      <c r="BV213" s="76">
        <v>0.4766</v>
      </c>
      <c r="BW213" s="76">
        <v>0.2172</v>
      </c>
      <c r="BX213" s="76">
        <v>0.0056</v>
      </c>
      <c r="BY213" s="76">
        <v>0.2116</v>
      </c>
      <c r="BZ213" s="76">
        <v>0.2366</v>
      </c>
      <c r="CA213" s="76">
        <v>0.131</v>
      </c>
      <c r="CB213" s="76">
        <v>0.0036</v>
      </c>
      <c r="CC213" s="76">
        <v>0.1274</v>
      </c>
      <c r="CD213" s="76">
        <v>0.1595</v>
      </c>
      <c r="CE213" s="76">
        <v>0.6264</v>
      </c>
      <c r="CF213" s="76">
        <v>0.0084</v>
      </c>
      <c r="CG213" s="76">
        <v>0.618</v>
      </c>
      <c r="CH213" s="76">
        <v>0.5226</v>
      </c>
      <c r="CI213" s="76">
        <v>0.3576</v>
      </c>
      <c r="CJ213" s="76">
        <v>0.0052</v>
      </c>
      <c r="CK213" s="76">
        <v>0.3524</v>
      </c>
      <c r="CL213" s="76">
        <v>0.3467</v>
      </c>
      <c r="CM213" s="76">
        <v>76.85</v>
      </c>
      <c r="CN213" s="76">
        <v>70.68</v>
      </c>
      <c r="CO213" s="76">
        <v>108.72</v>
      </c>
      <c r="CP213" s="76">
        <v>62.68</v>
      </c>
      <c r="CQ213" s="76">
        <v>11.65</v>
      </c>
      <c r="CR213" s="76">
        <v>1.66</v>
      </c>
      <c r="CS213" s="76">
        <v>0.87</v>
      </c>
      <c r="CT213" s="76">
        <v>0.0</v>
      </c>
      <c r="CU213" s="76">
        <v>2100.0</v>
      </c>
      <c r="CV213" s="76">
        <v>0.7</v>
      </c>
      <c r="CW213" s="76">
        <v>33.01</v>
      </c>
      <c r="CX213" s="76">
        <v>1.62</v>
      </c>
      <c r="CY213" s="76">
        <v>13.27</v>
      </c>
    </row>
    <row r="214" ht="15.75" customHeight="1">
      <c r="A214" s="164">
        <v>46247.0</v>
      </c>
      <c r="B214" s="76" t="s">
        <v>5</v>
      </c>
      <c r="C214" s="76" t="s">
        <v>148</v>
      </c>
      <c r="D214" s="76">
        <v>6000.0</v>
      </c>
      <c r="E214" s="76">
        <v>21.49</v>
      </c>
      <c r="F214" s="76">
        <v>416.17</v>
      </c>
      <c r="G214" s="76">
        <v>0.0694</v>
      </c>
      <c r="H214" s="76">
        <v>1.95</v>
      </c>
      <c r="I214" s="76">
        <v>3.557</v>
      </c>
      <c r="J214" s="76">
        <v>41.43</v>
      </c>
      <c r="K214" s="76">
        <v>23.0</v>
      </c>
      <c r="L214" s="76">
        <v>13.18</v>
      </c>
      <c r="M214" s="76">
        <v>0.573</v>
      </c>
      <c r="N214" s="76">
        <v>0.5375</v>
      </c>
      <c r="O214" s="76">
        <v>0.3099</v>
      </c>
      <c r="P214" s="76">
        <v>1.7453</v>
      </c>
      <c r="Q214" s="76">
        <v>64.07</v>
      </c>
      <c r="R214" s="76">
        <v>55.79</v>
      </c>
      <c r="S214" s="76">
        <v>8.28</v>
      </c>
      <c r="T214" s="76">
        <v>5.72</v>
      </c>
      <c r="U214" s="76">
        <v>58.36</v>
      </c>
      <c r="V214" s="76">
        <v>72.69</v>
      </c>
      <c r="W214" s="76">
        <v>3.16</v>
      </c>
      <c r="X214" s="76">
        <v>8.92</v>
      </c>
      <c r="Y214" s="76">
        <v>216.0</v>
      </c>
      <c r="Z214" s="76">
        <v>357.0</v>
      </c>
      <c r="AA214" s="76">
        <v>1033.0</v>
      </c>
      <c r="AB214" s="76">
        <v>51.8455</v>
      </c>
      <c r="AC214" s="76">
        <v>0.6946</v>
      </c>
      <c r="AD214" s="76">
        <v>9.13</v>
      </c>
      <c r="AE214" s="76">
        <v>4.0</v>
      </c>
      <c r="AF214" s="76">
        <v>8.0</v>
      </c>
      <c r="AG214" s="76">
        <v>13.0</v>
      </c>
      <c r="AH214" s="76">
        <v>18.0</v>
      </c>
      <c r="AI214" s="76">
        <v>63.03</v>
      </c>
      <c r="AJ214" s="76">
        <v>25.9</v>
      </c>
      <c r="AK214" s="76">
        <v>2.88</v>
      </c>
      <c r="AL214" s="76">
        <v>0.3732</v>
      </c>
      <c r="AM214" s="76">
        <v>26.07</v>
      </c>
      <c r="AN214" s="76">
        <v>26.07</v>
      </c>
      <c r="AO214" s="76">
        <v>14.68</v>
      </c>
      <c r="AP214" s="76">
        <v>6.5</v>
      </c>
      <c r="AQ214" s="76">
        <v>4.6567</v>
      </c>
      <c r="AR214" s="76">
        <v>0.1192</v>
      </c>
      <c r="AS214" s="76">
        <v>4.5375</v>
      </c>
      <c r="AT214" s="76">
        <v>4.4437</v>
      </c>
      <c r="AU214" s="76">
        <v>0.1932</v>
      </c>
      <c r="AV214" s="76">
        <v>6000.0</v>
      </c>
      <c r="AW214" s="76">
        <v>0.0</v>
      </c>
      <c r="AX214" s="76">
        <v>34.45</v>
      </c>
      <c r="AY214" s="76">
        <v>20.84</v>
      </c>
      <c r="AZ214" s="76">
        <v>2.21</v>
      </c>
      <c r="BA214" s="76">
        <v>5.72</v>
      </c>
      <c r="BB214" s="76">
        <v>0.85</v>
      </c>
      <c r="BC214" s="76">
        <v>32.0</v>
      </c>
      <c r="BD214" s="76">
        <v>16473.0</v>
      </c>
      <c r="BE214" s="76">
        <v>2.4877</v>
      </c>
      <c r="BF214" s="76">
        <v>0.0745</v>
      </c>
      <c r="BG214" s="76">
        <v>2.4132</v>
      </c>
      <c r="BH214" s="76">
        <v>2.2598</v>
      </c>
      <c r="BI214" s="76">
        <v>0.0982</v>
      </c>
      <c r="BJ214" s="76">
        <v>2.169</v>
      </c>
      <c r="BK214" s="76">
        <v>0.0447</v>
      </c>
      <c r="BL214" s="76">
        <v>2.1243</v>
      </c>
      <c r="BM214" s="76">
        <v>2.1838</v>
      </c>
      <c r="BN214" s="76">
        <v>0.0949</v>
      </c>
      <c r="BO214" s="76">
        <v>0.8883</v>
      </c>
      <c r="BP214" s="76">
        <v>0.0275</v>
      </c>
      <c r="BQ214" s="76">
        <v>0.8608</v>
      </c>
      <c r="BR214" s="76">
        <v>0.8828</v>
      </c>
      <c r="BS214" s="76">
        <v>0.9897</v>
      </c>
      <c r="BT214" s="76">
        <v>0.0215</v>
      </c>
      <c r="BU214" s="76">
        <v>0.9682</v>
      </c>
      <c r="BV214" s="76">
        <v>0.827</v>
      </c>
      <c r="BW214" s="76">
        <v>0.6097</v>
      </c>
      <c r="BX214" s="76">
        <v>0.0255</v>
      </c>
      <c r="BY214" s="76">
        <v>0.5842</v>
      </c>
      <c r="BZ214" s="76">
        <v>0.55</v>
      </c>
      <c r="CA214" s="76">
        <v>0.3997</v>
      </c>
      <c r="CB214" s="76">
        <v>0.0098</v>
      </c>
      <c r="CC214" s="76">
        <v>0.3898</v>
      </c>
      <c r="CD214" s="76">
        <v>0.4228</v>
      </c>
      <c r="CE214" s="76">
        <v>1.0703</v>
      </c>
      <c r="CF214" s="76">
        <v>0.0162</v>
      </c>
      <c r="CG214" s="76">
        <v>1.0542</v>
      </c>
      <c r="CH214" s="76">
        <v>0.9973</v>
      </c>
      <c r="CI214" s="76">
        <v>0.699</v>
      </c>
      <c r="CJ214" s="76">
        <v>0.0187</v>
      </c>
      <c r="CK214" s="76">
        <v>0.6803</v>
      </c>
      <c r="CL214" s="76">
        <v>0.7637</v>
      </c>
      <c r="CM214" s="76">
        <v>176.57</v>
      </c>
      <c r="CN214" s="76">
        <v>84.67</v>
      </c>
      <c r="CO214" s="76">
        <v>208.54</v>
      </c>
      <c r="CP214" s="76">
        <v>145.71</v>
      </c>
      <c r="CQ214" s="76">
        <v>26.47</v>
      </c>
      <c r="CR214" s="76">
        <v>2.38</v>
      </c>
      <c r="CS214" s="76">
        <v>2.01</v>
      </c>
      <c r="CT214" s="76">
        <v>0.0</v>
      </c>
      <c r="CU214" s="76">
        <v>2340.0</v>
      </c>
      <c r="CV214" s="76">
        <v>1.03</v>
      </c>
      <c r="CW214" s="76">
        <v>65.1</v>
      </c>
      <c r="CX214" s="76">
        <v>4.47</v>
      </c>
      <c r="CY214" s="76">
        <v>30.93</v>
      </c>
    </row>
    <row r="215" ht="15.75" customHeight="1">
      <c r="A215" s="164">
        <v>46247.0</v>
      </c>
      <c r="B215" s="76" t="s">
        <v>5</v>
      </c>
      <c r="C215" s="76" t="s">
        <v>149</v>
      </c>
      <c r="D215" s="76">
        <v>5278.0</v>
      </c>
      <c r="E215" s="76">
        <v>18.91</v>
      </c>
      <c r="F215" s="76">
        <v>679.78</v>
      </c>
      <c r="G215" s="76">
        <v>0.1288</v>
      </c>
      <c r="H215" s="76">
        <v>2.61</v>
      </c>
      <c r="I215" s="76">
        <v>4.9259</v>
      </c>
      <c r="J215" s="76">
        <v>61.09</v>
      </c>
      <c r="K215" s="76">
        <v>35.89</v>
      </c>
      <c r="L215" s="76">
        <v>24.48</v>
      </c>
      <c r="M215" s="76">
        <v>0.682</v>
      </c>
      <c r="N215" s="76">
        <v>0.4325</v>
      </c>
      <c r="O215" s="76">
        <v>0.2638</v>
      </c>
      <c r="P215" s="76">
        <v>1.4663</v>
      </c>
      <c r="Q215" s="76">
        <v>113.59</v>
      </c>
      <c r="R215" s="76">
        <v>98.84</v>
      </c>
      <c r="S215" s="76">
        <v>14.75</v>
      </c>
      <c r="T215" s="76">
        <v>11.32</v>
      </c>
      <c r="U215" s="76">
        <v>102.27</v>
      </c>
      <c r="V215" s="76">
        <v>126.28</v>
      </c>
      <c r="W215" s="76">
        <v>3.5186</v>
      </c>
      <c r="X215" s="76">
        <v>9.97</v>
      </c>
      <c r="Y215" s="76">
        <v>232.0</v>
      </c>
      <c r="Z215" s="76">
        <v>402.0</v>
      </c>
      <c r="AA215" s="76">
        <v>956.0</v>
      </c>
      <c r="AB215" s="76">
        <v>53.2938</v>
      </c>
      <c r="AC215" s="76">
        <v>0.7546</v>
      </c>
      <c r="AD215" s="76">
        <v>15.45</v>
      </c>
      <c r="AE215" s="76">
        <v>7.0</v>
      </c>
      <c r="AF215" s="76">
        <v>12.0</v>
      </c>
      <c r="AG215" s="76">
        <v>21.0</v>
      </c>
      <c r="AH215" s="76">
        <v>31.0</v>
      </c>
      <c r="AI215" s="76">
        <v>56.04</v>
      </c>
      <c r="AJ215" s="76">
        <v>18.04</v>
      </c>
      <c r="AK215" s="76">
        <v>3.43</v>
      </c>
      <c r="AL215" s="76">
        <v>0.2897</v>
      </c>
      <c r="AM215" s="76">
        <v>26.81</v>
      </c>
      <c r="AN215" s="76">
        <v>26.81</v>
      </c>
      <c r="AO215" s="76">
        <v>13.49</v>
      </c>
      <c r="AP215" s="76">
        <v>7.14</v>
      </c>
      <c r="AQ215" s="76">
        <v>7.4596</v>
      </c>
      <c r="AR215" s="76">
        <v>0.1802</v>
      </c>
      <c r="AS215" s="76">
        <v>7.2795</v>
      </c>
      <c r="AT215" s="76">
        <v>6.7211</v>
      </c>
      <c r="AU215" s="76">
        <v>0.1873</v>
      </c>
      <c r="AV215" s="76">
        <v>5278.0</v>
      </c>
      <c r="AW215" s="76">
        <v>0.0</v>
      </c>
      <c r="AX215" s="76">
        <v>61.0</v>
      </c>
      <c r="AY215" s="76">
        <v>36.58</v>
      </c>
      <c r="AZ215" s="76">
        <v>2.46</v>
      </c>
      <c r="BA215" s="76">
        <v>11.32</v>
      </c>
      <c r="BB215" s="76">
        <v>2.24</v>
      </c>
      <c r="BC215" s="76">
        <v>55.0</v>
      </c>
      <c r="BD215" s="76">
        <v>13656.0</v>
      </c>
      <c r="BE215" s="76">
        <v>4.014</v>
      </c>
      <c r="BF215" s="76">
        <v>0.1108</v>
      </c>
      <c r="BG215" s="76">
        <v>3.9032</v>
      </c>
      <c r="BH215" s="76">
        <v>3.3206</v>
      </c>
      <c r="BI215" s="76">
        <v>0.0925</v>
      </c>
      <c r="BJ215" s="76">
        <v>3.4456</v>
      </c>
      <c r="BK215" s="76">
        <v>0.0693</v>
      </c>
      <c r="BL215" s="76">
        <v>3.3763</v>
      </c>
      <c r="BM215" s="76">
        <v>3.4005</v>
      </c>
      <c r="BN215" s="76">
        <v>0.0948</v>
      </c>
      <c r="BO215" s="76">
        <v>1.4032</v>
      </c>
      <c r="BP215" s="76">
        <v>0.033</v>
      </c>
      <c r="BQ215" s="76">
        <v>1.3702</v>
      </c>
      <c r="BR215" s="76">
        <v>1.2313</v>
      </c>
      <c r="BS215" s="76">
        <v>1.4659</v>
      </c>
      <c r="BT215" s="76">
        <v>0.0375</v>
      </c>
      <c r="BU215" s="76">
        <v>1.4284</v>
      </c>
      <c r="BV215" s="76">
        <v>1.1904</v>
      </c>
      <c r="BW215" s="76">
        <v>1.1449</v>
      </c>
      <c r="BX215" s="76">
        <v>0.0404</v>
      </c>
      <c r="BY215" s="76">
        <v>1.1046</v>
      </c>
      <c r="BZ215" s="76">
        <v>0.8988</v>
      </c>
      <c r="CA215" s="76">
        <v>0.503</v>
      </c>
      <c r="CB215" s="76">
        <v>0.0171</v>
      </c>
      <c r="CC215" s="76">
        <v>0.486</v>
      </c>
      <c r="CD215" s="76">
        <v>0.641</v>
      </c>
      <c r="CE215" s="76">
        <v>1.6612</v>
      </c>
      <c r="CF215" s="76">
        <v>0.0233</v>
      </c>
      <c r="CG215" s="76">
        <v>1.6379</v>
      </c>
      <c r="CH215" s="76">
        <v>1.4972</v>
      </c>
      <c r="CI215" s="76">
        <v>1.2814</v>
      </c>
      <c r="CJ215" s="76">
        <v>0.029</v>
      </c>
      <c r="CK215" s="76">
        <v>1.2524</v>
      </c>
      <c r="CL215" s="76">
        <v>1.2624</v>
      </c>
      <c r="CM215" s="76">
        <v>323.2</v>
      </c>
      <c r="CN215" s="76">
        <v>93.8</v>
      </c>
      <c r="CO215" s="76">
        <v>344.54</v>
      </c>
      <c r="CP215" s="76">
        <v>271.44</v>
      </c>
      <c r="CQ215" s="76">
        <v>44.75</v>
      </c>
      <c r="CR215" s="76">
        <v>3.57</v>
      </c>
      <c r="CS215" s="76">
        <v>3.44</v>
      </c>
      <c r="CT215" s="76">
        <v>0.0</v>
      </c>
      <c r="CU215" s="76">
        <v>2242.0</v>
      </c>
      <c r="CV215" s="76">
        <v>1.34</v>
      </c>
      <c r="CW215" s="76">
        <v>114.93</v>
      </c>
      <c r="CX215" s="76">
        <v>7.72</v>
      </c>
      <c r="CY215" s="76">
        <v>52.47</v>
      </c>
    </row>
    <row r="216" ht="15.75" customHeight="1">
      <c r="A216" s="164">
        <v>46247.0</v>
      </c>
      <c r="B216" s="76" t="s">
        <v>5</v>
      </c>
      <c r="C216" s="76" t="s">
        <v>150</v>
      </c>
      <c r="D216" s="76">
        <v>3277.0</v>
      </c>
      <c r="E216" s="76">
        <v>11.74</v>
      </c>
      <c r="F216" s="76">
        <v>766.08</v>
      </c>
      <c r="G216" s="76">
        <v>0.2338</v>
      </c>
      <c r="H216" s="76">
        <v>4.06</v>
      </c>
      <c r="I216" s="76">
        <v>5.76</v>
      </c>
      <c r="J216" s="76">
        <v>108.07</v>
      </c>
      <c r="K216" s="76">
        <v>68.09</v>
      </c>
      <c r="L216" s="76">
        <v>48.3</v>
      </c>
      <c r="M216" s="76">
        <v>0.7094</v>
      </c>
      <c r="N216" s="76">
        <v>0.3917</v>
      </c>
      <c r="O216" s="76">
        <v>0.2439</v>
      </c>
      <c r="P216" s="76">
        <v>1.4097</v>
      </c>
      <c r="Q216" s="76">
        <v>202.68</v>
      </c>
      <c r="R216" s="76">
        <v>173.85</v>
      </c>
      <c r="S216" s="76">
        <v>28.83</v>
      </c>
      <c r="T216" s="76">
        <v>20.22</v>
      </c>
      <c r="U216" s="76">
        <v>182.46</v>
      </c>
      <c r="V216" s="76">
        <v>228.35</v>
      </c>
      <c r="W216" s="76">
        <v>3.3539</v>
      </c>
      <c r="X216" s="76">
        <v>9.97</v>
      </c>
      <c r="Y216" s="76">
        <v>266.0</v>
      </c>
      <c r="Z216" s="76">
        <v>495.0</v>
      </c>
      <c r="AA216" s="76">
        <v>1160.0</v>
      </c>
      <c r="AB216" s="76">
        <v>54.8181</v>
      </c>
      <c r="AC216" s="76">
        <v>0.7571</v>
      </c>
      <c r="AD216" s="76">
        <v>25.17</v>
      </c>
      <c r="AE216" s="76">
        <v>10.0</v>
      </c>
      <c r="AF216" s="76">
        <v>17.0</v>
      </c>
      <c r="AG216" s="76">
        <v>34.0</v>
      </c>
      <c r="AH216" s="76">
        <v>55.0</v>
      </c>
      <c r="AI216" s="76">
        <v>32.35</v>
      </c>
      <c r="AJ216" s="76">
        <v>8.24</v>
      </c>
      <c r="AK216" s="76">
        <v>1.65</v>
      </c>
      <c r="AL216" s="76">
        <v>0.181</v>
      </c>
      <c r="AM216" s="76">
        <v>26.91</v>
      </c>
      <c r="AN216" s="76">
        <v>26.91</v>
      </c>
      <c r="AO216" s="76">
        <v>16.2</v>
      </c>
      <c r="AP216" s="76">
        <v>9.95</v>
      </c>
      <c r="AQ216" s="76">
        <v>12.0034</v>
      </c>
      <c r="AR216" s="76">
        <v>0.2737</v>
      </c>
      <c r="AS216" s="76">
        <v>11.7296</v>
      </c>
      <c r="AT216" s="76">
        <v>11.2377</v>
      </c>
      <c r="AU216" s="76">
        <v>0.1651</v>
      </c>
      <c r="AV216" s="76">
        <v>3277.0</v>
      </c>
      <c r="AW216" s="76">
        <v>0.0</v>
      </c>
      <c r="AX216" s="76">
        <v>110.43</v>
      </c>
      <c r="AY216" s="76">
        <v>65.35</v>
      </c>
      <c r="AZ216" s="76">
        <v>3.17</v>
      </c>
      <c r="BA216" s="76">
        <v>20.22</v>
      </c>
      <c r="BB216" s="76">
        <v>3.51</v>
      </c>
      <c r="BC216" s="76">
        <v>110.0</v>
      </c>
      <c r="BD216" s="76">
        <v>13172.0</v>
      </c>
      <c r="BE216" s="76">
        <v>6.549</v>
      </c>
      <c r="BF216" s="76">
        <v>0.1108</v>
      </c>
      <c r="BG216" s="76">
        <v>6.4382</v>
      </c>
      <c r="BH216" s="76">
        <v>5.5584</v>
      </c>
      <c r="BI216" s="76">
        <v>0.0816</v>
      </c>
      <c r="BJ216" s="76">
        <v>5.4544</v>
      </c>
      <c r="BK216" s="76">
        <v>0.163</v>
      </c>
      <c r="BL216" s="76">
        <v>5.2914</v>
      </c>
      <c r="BM216" s="76">
        <v>5.6793</v>
      </c>
      <c r="BN216" s="76">
        <v>0.0834</v>
      </c>
      <c r="BO216" s="76">
        <v>2.3415</v>
      </c>
      <c r="BP216" s="76">
        <v>0.0357</v>
      </c>
      <c r="BQ216" s="76">
        <v>2.3058</v>
      </c>
      <c r="BR216" s="76">
        <v>2.0137</v>
      </c>
      <c r="BS216" s="76">
        <v>2.44</v>
      </c>
      <c r="BT216" s="76">
        <v>0.0339</v>
      </c>
      <c r="BU216" s="76">
        <v>2.4062</v>
      </c>
      <c r="BV216" s="76">
        <v>2.0327</v>
      </c>
      <c r="BW216" s="76">
        <v>1.7675</v>
      </c>
      <c r="BX216" s="76">
        <v>0.0412</v>
      </c>
      <c r="BY216" s="76">
        <v>1.7263</v>
      </c>
      <c r="BZ216" s="76">
        <v>1.5121</v>
      </c>
      <c r="CA216" s="76">
        <v>0.7589</v>
      </c>
      <c r="CB216" s="76">
        <v>0.0433</v>
      </c>
      <c r="CC216" s="76">
        <v>0.7156</v>
      </c>
      <c r="CD216" s="76">
        <v>1.0531</v>
      </c>
      <c r="CE216" s="76">
        <v>2.4995</v>
      </c>
      <c r="CF216" s="76">
        <v>0.0644</v>
      </c>
      <c r="CG216" s="76">
        <v>2.4352</v>
      </c>
      <c r="CH216" s="76">
        <v>2.3567</v>
      </c>
      <c r="CI216" s="76">
        <v>2.1959</v>
      </c>
      <c r="CJ216" s="76">
        <v>0.0552</v>
      </c>
      <c r="CK216" s="76">
        <v>2.1407</v>
      </c>
      <c r="CL216" s="76">
        <v>2.2695</v>
      </c>
      <c r="CM216" s="76">
        <v>673.63</v>
      </c>
      <c r="CN216" s="76">
        <v>98.9</v>
      </c>
      <c r="CO216" s="76">
        <v>681.11</v>
      </c>
      <c r="CP216" s="76">
        <v>564.59</v>
      </c>
      <c r="CQ216" s="76">
        <v>98.46</v>
      </c>
      <c r="CR216" s="76">
        <v>6.33</v>
      </c>
      <c r="CS216" s="76">
        <v>4.25</v>
      </c>
      <c r="CT216" s="76">
        <v>0.0</v>
      </c>
      <c r="CU216" s="76">
        <v>1554.0</v>
      </c>
      <c r="CV216" s="76">
        <v>4.66</v>
      </c>
      <c r="CW216" s="76">
        <v>207.34</v>
      </c>
      <c r="CX216" s="76">
        <v>12.77</v>
      </c>
      <c r="CY216" s="76">
        <v>111.23</v>
      </c>
    </row>
    <row r="217" ht="15.75" customHeight="1">
      <c r="A217" s="164">
        <v>46247.0</v>
      </c>
      <c r="B217" s="76" t="s">
        <v>5</v>
      </c>
      <c r="C217" s="76" t="s">
        <v>151</v>
      </c>
      <c r="D217" s="76">
        <v>453.0</v>
      </c>
      <c r="E217" s="76">
        <v>1.62</v>
      </c>
      <c r="F217" s="76">
        <v>202.55</v>
      </c>
      <c r="G217" s="76">
        <v>0.4471</v>
      </c>
      <c r="H217" s="76">
        <v>6.18</v>
      </c>
      <c r="I217" s="76">
        <v>7.2339</v>
      </c>
      <c r="J217" s="76">
        <v>237.73</v>
      </c>
      <c r="K217" s="76">
        <v>164.14</v>
      </c>
      <c r="L217" s="76">
        <v>118.49</v>
      </c>
      <c r="M217" s="76">
        <v>0.7219</v>
      </c>
      <c r="N217" s="76">
        <v>0.3506</v>
      </c>
      <c r="O217" s="76">
        <v>0.2112</v>
      </c>
      <c r="P217" s="76">
        <v>1.3852</v>
      </c>
      <c r="Q217" s="76">
        <v>453.75</v>
      </c>
      <c r="R217" s="76">
        <v>380.7</v>
      </c>
      <c r="S217" s="76">
        <v>73.05</v>
      </c>
      <c r="T217" s="76">
        <v>33.44</v>
      </c>
      <c r="U217" s="76">
        <v>420.31</v>
      </c>
      <c r="V217" s="76">
        <v>449.01</v>
      </c>
      <c r="W217" s="76">
        <v>2.7355</v>
      </c>
      <c r="X217" s="76">
        <v>7.37</v>
      </c>
      <c r="Y217" s="76">
        <v>363.0</v>
      </c>
      <c r="Z217" s="76">
        <v>711.0</v>
      </c>
      <c r="AA217" s="76">
        <v>1480.0</v>
      </c>
      <c r="AB217" s="76">
        <v>57.09</v>
      </c>
      <c r="AC217" s="76">
        <v>0.7593</v>
      </c>
      <c r="AD217" s="76">
        <v>47.31</v>
      </c>
      <c r="AE217" s="76">
        <v>18.0</v>
      </c>
      <c r="AF217" s="76">
        <v>33.0</v>
      </c>
      <c r="AG217" s="76">
        <v>55.0</v>
      </c>
      <c r="AH217" s="76">
        <v>116.0</v>
      </c>
      <c r="AI217" s="76">
        <v>17.22</v>
      </c>
      <c r="AJ217" s="76">
        <v>2.43</v>
      </c>
      <c r="AK217" s="76">
        <v>0.22</v>
      </c>
      <c r="AL217" s="76">
        <v>0.0993</v>
      </c>
      <c r="AM217" s="76">
        <v>40.4</v>
      </c>
      <c r="AN217" s="76">
        <v>40.4</v>
      </c>
      <c r="AO217" s="76">
        <v>33.11</v>
      </c>
      <c r="AP217" s="76">
        <v>28.7</v>
      </c>
      <c r="AQ217" s="76">
        <v>48.8168</v>
      </c>
      <c r="AR217" s="76">
        <v>0.4172</v>
      </c>
      <c r="AS217" s="76">
        <v>48.3996</v>
      </c>
      <c r="AT217" s="76">
        <v>25.4283</v>
      </c>
      <c r="AU217" s="76">
        <v>0.1549</v>
      </c>
      <c r="AV217" s="76">
        <v>453.0</v>
      </c>
      <c r="AW217" s="76">
        <v>0.0</v>
      </c>
      <c r="AX217" s="76">
        <v>255.55</v>
      </c>
      <c r="AY217" s="76">
        <v>150.96</v>
      </c>
      <c r="AZ217" s="76">
        <v>4.54</v>
      </c>
      <c r="BA217" s="76">
        <v>33.44</v>
      </c>
      <c r="BB217" s="76">
        <v>9.26</v>
      </c>
      <c r="BC217" s="76">
        <v>212.0</v>
      </c>
      <c r="BD217" s="76">
        <v>10620.0</v>
      </c>
      <c r="BE217" s="76">
        <v>13.6821</v>
      </c>
      <c r="BF217" s="76">
        <v>0.1589</v>
      </c>
      <c r="BG217" s="76">
        <v>13.5232</v>
      </c>
      <c r="BH217" s="76">
        <v>11.8918</v>
      </c>
      <c r="BI217" s="76">
        <v>0.0724</v>
      </c>
      <c r="BJ217" s="76">
        <v>35.1347</v>
      </c>
      <c r="BK217" s="76">
        <v>0.2583</v>
      </c>
      <c r="BL217" s="76">
        <v>34.8764</v>
      </c>
      <c r="BM217" s="76">
        <v>13.5364</v>
      </c>
      <c r="BN217" s="76">
        <v>0.0825</v>
      </c>
      <c r="BO217" s="76">
        <v>4.5188</v>
      </c>
      <c r="BP217" s="76">
        <v>0.053</v>
      </c>
      <c r="BQ217" s="76">
        <v>4.4658</v>
      </c>
      <c r="BR217" s="76">
        <v>4.0464</v>
      </c>
      <c r="BS217" s="76">
        <v>4.9912</v>
      </c>
      <c r="BT217" s="76">
        <v>0.053</v>
      </c>
      <c r="BU217" s="76">
        <v>4.9382</v>
      </c>
      <c r="BV217" s="76">
        <v>4.3179</v>
      </c>
      <c r="BW217" s="76">
        <v>4.1722</v>
      </c>
      <c r="BX217" s="76">
        <v>0.053</v>
      </c>
      <c r="BY217" s="76">
        <v>4.1192</v>
      </c>
      <c r="BZ217" s="76">
        <v>3.5276</v>
      </c>
      <c r="CA217" s="76">
        <v>9.5828</v>
      </c>
      <c r="CB217" s="76">
        <v>0.0684</v>
      </c>
      <c r="CC217" s="76">
        <v>9.5143</v>
      </c>
      <c r="CD217" s="76">
        <v>3.2075</v>
      </c>
      <c r="CE217" s="76">
        <v>13.0287</v>
      </c>
      <c r="CF217" s="76">
        <v>0.1082</v>
      </c>
      <c r="CG217" s="76">
        <v>12.9205</v>
      </c>
      <c r="CH217" s="76">
        <v>4.9426</v>
      </c>
      <c r="CI217" s="76">
        <v>12.5232</v>
      </c>
      <c r="CJ217" s="76">
        <v>0.0817</v>
      </c>
      <c r="CK217" s="76">
        <v>12.4415</v>
      </c>
      <c r="CL217" s="76">
        <v>5.3863</v>
      </c>
      <c r="CM217" s="76">
        <v>1573.06</v>
      </c>
      <c r="CN217" s="76">
        <v>99.56</v>
      </c>
      <c r="CO217" s="76">
        <v>1580.03</v>
      </c>
      <c r="CP217" s="76">
        <v>1340.63</v>
      </c>
      <c r="CQ217" s="76">
        <v>215.73</v>
      </c>
      <c r="CR217" s="76">
        <v>12.27</v>
      </c>
      <c r="CS217" s="76">
        <v>4.43</v>
      </c>
      <c r="CT217" s="76">
        <v>0.0</v>
      </c>
      <c r="CU217" s="76">
        <v>259.0</v>
      </c>
      <c r="CV217" s="76">
        <v>1297.53</v>
      </c>
      <c r="CW217" s="76">
        <v>1751.28</v>
      </c>
      <c r="CX217" s="76">
        <v>26.89</v>
      </c>
      <c r="CY217" s="76">
        <v>242.62</v>
      </c>
    </row>
    <row r="218" ht="15.75" customHeight="1">
      <c r="A218" s="164">
        <v>46248.0</v>
      </c>
      <c r="B218" s="76" t="s">
        <v>4</v>
      </c>
      <c r="C218" s="76" t="s">
        <v>316</v>
      </c>
      <c r="D218" s="76">
        <v>5195.0</v>
      </c>
      <c r="E218" s="76">
        <v>19.39</v>
      </c>
      <c r="F218" s="76">
        <v>350.47</v>
      </c>
      <c r="G218" s="76">
        <v>0.0675</v>
      </c>
      <c r="H218" s="76">
        <v>1.14</v>
      </c>
      <c r="I218" s="76">
        <v>5.9402</v>
      </c>
      <c r="J218" s="76">
        <v>22.5</v>
      </c>
      <c r="K218" s="76">
        <v>12.54</v>
      </c>
      <c r="L218" s="76">
        <v>8.83</v>
      </c>
      <c r="M218" s="76">
        <v>0.7037</v>
      </c>
      <c r="N218" s="76">
        <v>0.415</v>
      </c>
      <c r="O218" s="76">
        <v>0.2041</v>
      </c>
      <c r="P218" s="76">
        <v>1.421</v>
      </c>
      <c r="Q218" s="76">
        <v>67.26</v>
      </c>
      <c r="R218" s="76">
        <v>67.13</v>
      </c>
      <c r="S218" s="76">
        <v>0.13</v>
      </c>
      <c r="T218" s="76">
        <v>5.23</v>
      </c>
      <c r="U218" s="76">
        <v>62.03</v>
      </c>
      <c r="V218" s="76">
        <v>44.8</v>
      </c>
      <c r="W218" s="76">
        <v>3.5721</v>
      </c>
      <c r="X218" s="76">
        <v>7.78</v>
      </c>
      <c r="Y218" s="76">
        <v>215.0</v>
      </c>
      <c r="Z218" s="76">
        <v>627.0</v>
      </c>
      <c r="AA218" s="76">
        <v>3927.0</v>
      </c>
      <c r="AB218" s="76">
        <v>50.2337</v>
      </c>
      <c r="AC218" s="76">
        <v>0.5061</v>
      </c>
      <c r="AI218" s="76">
        <v>0.0</v>
      </c>
      <c r="AJ218" s="76">
        <v>0.0</v>
      </c>
      <c r="AK218" s="76">
        <v>0.0</v>
      </c>
      <c r="AL218" s="76">
        <v>0.5138</v>
      </c>
      <c r="AQ218" s="76">
        <v>2.6017</v>
      </c>
      <c r="AR218" s="76">
        <v>0.0635</v>
      </c>
      <c r="AS218" s="76">
        <v>2.5382</v>
      </c>
      <c r="AT218" s="76">
        <v>1.5971</v>
      </c>
      <c r="AU218" s="76">
        <v>0.1273</v>
      </c>
      <c r="AV218" s="76">
        <v>5195.0</v>
      </c>
      <c r="AW218" s="76">
        <v>0.0</v>
      </c>
      <c r="AX218" s="76">
        <v>11.45</v>
      </c>
      <c r="AY218" s="76">
        <v>47.63</v>
      </c>
      <c r="AZ218" s="76">
        <v>2.77</v>
      </c>
      <c r="BA218" s="76">
        <v>5.21</v>
      </c>
      <c r="BB218" s="76">
        <v>0.21</v>
      </c>
      <c r="BD218" s="76">
        <v>28275.0</v>
      </c>
      <c r="BE218" s="76">
        <v>1.3463</v>
      </c>
      <c r="BF218" s="76">
        <v>0.03</v>
      </c>
      <c r="BG218" s="76">
        <v>1.3163</v>
      </c>
      <c r="BH218" s="76">
        <v>0.7698</v>
      </c>
      <c r="BI218" s="76">
        <v>0.0614</v>
      </c>
      <c r="BJ218" s="76">
        <v>1.2554</v>
      </c>
      <c r="BK218" s="76">
        <v>0.0335</v>
      </c>
      <c r="BL218" s="76">
        <v>1.2219</v>
      </c>
      <c r="BM218" s="76">
        <v>0.8273</v>
      </c>
      <c r="BN218" s="76">
        <v>0.066</v>
      </c>
      <c r="BO218" s="76">
        <v>0.4936</v>
      </c>
      <c r="BP218" s="76">
        <v>0.01</v>
      </c>
      <c r="BQ218" s="76">
        <v>0.4835</v>
      </c>
      <c r="BR218" s="76">
        <v>0.2982</v>
      </c>
      <c r="BS218" s="76">
        <v>0.4855</v>
      </c>
      <c r="BT218" s="76">
        <v>0.01</v>
      </c>
      <c r="BU218" s="76">
        <v>0.4755</v>
      </c>
      <c r="BV218" s="76">
        <v>0.2691</v>
      </c>
      <c r="BW218" s="76">
        <v>0.3673</v>
      </c>
      <c r="BX218" s="76">
        <v>0.01</v>
      </c>
      <c r="BY218" s="76">
        <v>0.3573</v>
      </c>
      <c r="BZ218" s="76">
        <v>0.2025</v>
      </c>
      <c r="CA218" s="76">
        <v>0.2283</v>
      </c>
      <c r="CB218" s="76">
        <v>0.0079</v>
      </c>
      <c r="CC218" s="76">
        <v>0.2204</v>
      </c>
      <c r="CD218" s="76">
        <v>0.1819</v>
      </c>
      <c r="CE218" s="76">
        <v>0.6493</v>
      </c>
      <c r="CF218" s="76">
        <v>0.0171</v>
      </c>
      <c r="CG218" s="76">
        <v>0.6321</v>
      </c>
      <c r="CH218" s="76">
        <v>0.3679</v>
      </c>
      <c r="CI218" s="76">
        <v>0.3779</v>
      </c>
      <c r="CJ218" s="76">
        <v>0.0085</v>
      </c>
      <c r="CK218" s="76">
        <v>0.3694</v>
      </c>
      <c r="CL218" s="76">
        <v>0.2776</v>
      </c>
      <c r="CM218" s="76">
        <v>171.29</v>
      </c>
      <c r="CN218" s="76">
        <v>26.33</v>
      </c>
      <c r="CO218" s="76">
        <v>650.47</v>
      </c>
      <c r="CP218" s="76">
        <v>157.41</v>
      </c>
      <c r="CQ218" s="76">
        <v>0.0</v>
      </c>
      <c r="CR218" s="76">
        <v>8.92</v>
      </c>
      <c r="CS218" s="76">
        <v>4.95</v>
      </c>
      <c r="CT218" s="76">
        <v>0.0</v>
      </c>
      <c r="CU218" s="76">
        <v>0.0</v>
      </c>
      <c r="CV218" s="76">
        <v>0.0</v>
      </c>
      <c r="CW218" s="76">
        <v>67.26</v>
      </c>
      <c r="CX218" s="76">
        <v>0.0</v>
      </c>
      <c r="CY218" s="76">
        <v>0.0</v>
      </c>
    </row>
    <row r="219" ht="15.75" customHeight="1">
      <c r="A219" s="164">
        <v>46248.0</v>
      </c>
      <c r="B219" s="76" t="s">
        <v>4</v>
      </c>
      <c r="C219" s="76" t="s">
        <v>147</v>
      </c>
      <c r="D219" s="76">
        <v>7205.0</v>
      </c>
      <c r="E219" s="76">
        <v>26.89</v>
      </c>
      <c r="F219" s="76">
        <v>137.5</v>
      </c>
      <c r="G219" s="76">
        <v>0.0191</v>
      </c>
      <c r="H219" s="76">
        <v>0.87</v>
      </c>
      <c r="I219" s="76">
        <v>2.1825</v>
      </c>
      <c r="J219" s="76">
        <v>23.6</v>
      </c>
      <c r="K219" s="76">
        <v>12.1</v>
      </c>
      <c r="L219" s="76">
        <v>5.51</v>
      </c>
      <c r="M219" s="76">
        <v>0.4555</v>
      </c>
      <c r="N219" s="76">
        <v>0.657</v>
      </c>
      <c r="O219" s="76">
        <v>0.4118</v>
      </c>
      <c r="P219" s="76">
        <v>2.1956</v>
      </c>
      <c r="Q219" s="76">
        <v>60.35</v>
      </c>
      <c r="R219" s="76">
        <v>55.57</v>
      </c>
      <c r="S219" s="76">
        <v>4.78</v>
      </c>
      <c r="T219" s="76">
        <v>1.73</v>
      </c>
      <c r="U219" s="76">
        <v>58.61</v>
      </c>
      <c r="V219" s="76">
        <v>48.36</v>
      </c>
      <c r="W219" s="76">
        <v>3.9953</v>
      </c>
      <c r="X219" s="76">
        <v>2.87</v>
      </c>
      <c r="Y219" s="76">
        <v>203.0</v>
      </c>
      <c r="Z219" s="76">
        <v>371.0</v>
      </c>
      <c r="AA219" s="76">
        <v>1322.0</v>
      </c>
      <c r="AB219" s="76">
        <v>49.7848</v>
      </c>
      <c r="AC219" s="76">
        <v>0.5943</v>
      </c>
      <c r="AD219" s="76">
        <v>4.05</v>
      </c>
      <c r="AE219" s="76">
        <v>1.0</v>
      </c>
      <c r="AF219" s="76">
        <v>3.0</v>
      </c>
      <c r="AG219" s="76">
        <v>5.0</v>
      </c>
      <c r="AH219" s="76">
        <v>9.0</v>
      </c>
      <c r="AI219" s="76">
        <v>74.74</v>
      </c>
      <c r="AJ219" s="76">
        <v>33.13</v>
      </c>
      <c r="AK219" s="76">
        <v>7.41</v>
      </c>
      <c r="AL219" s="76">
        <v>0.4679</v>
      </c>
      <c r="AQ219" s="76">
        <v>3.8584</v>
      </c>
      <c r="AR219" s="76">
        <v>0.0426</v>
      </c>
      <c r="AS219" s="76">
        <v>3.8158</v>
      </c>
      <c r="AT219" s="76">
        <v>2.7929</v>
      </c>
      <c r="AU219" s="76">
        <v>0.2307</v>
      </c>
      <c r="AV219" s="76">
        <v>7205.0</v>
      </c>
      <c r="AW219" s="76">
        <v>0.0</v>
      </c>
      <c r="AX219" s="76">
        <v>23.4</v>
      </c>
      <c r="AY219" s="76">
        <v>32.41</v>
      </c>
      <c r="AZ219" s="76">
        <v>2.23</v>
      </c>
      <c r="BA219" s="76">
        <v>1.73</v>
      </c>
      <c r="BB219" s="76">
        <v>0.57</v>
      </c>
      <c r="BC219" s="76">
        <v>18.0</v>
      </c>
      <c r="BD219" s="76">
        <v>19930.0</v>
      </c>
      <c r="BE219" s="76">
        <v>2.4421</v>
      </c>
      <c r="BF219" s="76">
        <v>0.0287</v>
      </c>
      <c r="BG219" s="76">
        <v>2.4133</v>
      </c>
      <c r="BH219" s="76">
        <v>1.5839</v>
      </c>
      <c r="BI219" s="76">
        <v>0.1308</v>
      </c>
      <c r="BJ219" s="76">
        <v>1.4164</v>
      </c>
      <c r="BK219" s="76">
        <v>0.0139</v>
      </c>
      <c r="BL219" s="76">
        <v>1.4025</v>
      </c>
      <c r="BM219" s="76">
        <v>1.209</v>
      </c>
      <c r="BN219" s="76">
        <v>0.0999</v>
      </c>
      <c r="BO219" s="76">
        <v>0.9081</v>
      </c>
      <c r="BP219" s="76">
        <v>0.0117</v>
      </c>
      <c r="BQ219" s="76">
        <v>0.8965</v>
      </c>
      <c r="BR219" s="76">
        <v>0.6075</v>
      </c>
      <c r="BS219" s="76">
        <v>0.9536</v>
      </c>
      <c r="BT219" s="76">
        <v>0.005</v>
      </c>
      <c r="BU219" s="76">
        <v>0.9486</v>
      </c>
      <c r="BV219" s="76">
        <v>0.5921</v>
      </c>
      <c r="BW219" s="76">
        <v>0.5803</v>
      </c>
      <c r="BX219" s="76">
        <v>0.0121</v>
      </c>
      <c r="BY219" s="76">
        <v>0.5682</v>
      </c>
      <c r="BZ219" s="76">
        <v>0.3843</v>
      </c>
      <c r="CA219" s="76">
        <v>0.2536</v>
      </c>
      <c r="CB219" s="76">
        <v>0.0032</v>
      </c>
      <c r="CC219" s="76">
        <v>0.2504</v>
      </c>
      <c r="CD219" s="76">
        <v>0.2244</v>
      </c>
      <c r="CE219" s="76">
        <v>0.6816</v>
      </c>
      <c r="CF219" s="76">
        <v>0.006</v>
      </c>
      <c r="CG219" s="76">
        <v>0.6756</v>
      </c>
      <c r="CH219" s="76">
        <v>0.5534</v>
      </c>
      <c r="CI219" s="76">
        <v>0.4812</v>
      </c>
      <c r="CJ219" s="76">
        <v>0.0047</v>
      </c>
      <c r="CK219" s="76">
        <v>0.4765</v>
      </c>
      <c r="CL219" s="76">
        <v>0.4312</v>
      </c>
      <c r="CM219" s="76">
        <v>94.9</v>
      </c>
      <c r="CN219" s="76">
        <v>76.04</v>
      </c>
      <c r="CO219" s="76">
        <v>124.8</v>
      </c>
      <c r="CP219" s="76">
        <v>79.36</v>
      </c>
      <c r="CQ219" s="76">
        <v>0.0</v>
      </c>
      <c r="CR219" s="76">
        <v>12.67</v>
      </c>
      <c r="CS219" s="76">
        <v>2.87</v>
      </c>
      <c r="CT219" s="76">
        <v>0.0</v>
      </c>
      <c r="CU219" s="76">
        <v>0.0</v>
      </c>
      <c r="CV219" s="76">
        <v>0.0</v>
      </c>
      <c r="CW219" s="76">
        <v>60.35</v>
      </c>
      <c r="CX219" s="76">
        <v>0.0</v>
      </c>
      <c r="CY219" s="76">
        <v>0.0</v>
      </c>
    </row>
    <row r="220" ht="15.75" customHeight="1">
      <c r="A220" s="164">
        <v>46248.0</v>
      </c>
      <c r="B220" s="76" t="s">
        <v>4</v>
      </c>
      <c r="C220" s="76" t="s">
        <v>148</v>
      </c>
      <c r="D220" s="76">
        <v>5743.0</v>
      </c>
      <c r="E220" s="76">
        <v>21.43</v>
      </c>
      <c r="F220" s="76">
        <v>349.49</v>
      </c>
      <c r="G220" s="76">
        <v>0.0609</v>
      </c>
      <c r="H220" s="76">
        <v>1.93</v>
      </c>
      <c r="I220" s="76">
        <v>3.1486</v>
      </c>
      <c r="J220" s="76">
        <v>40.88</v>
      </c>
      <c r="K220" s="76">
        <v>22.3</v>
      </c>
      <c r="L220" s="76">
        <v>13.56</v>
      </c>
      <c r="M220" s="76">
        <v>0.608</v>
      </c>
      <c r="N220" s="76">
        <v>0.5165</v>
      </c>
      <c r="O220" s="76">
        <v>0.3208</v>
      </c>
      <c r="P220" s="76">
        <v>1.6447</v>
      </c>
      <c r="Q220" s="76">
        <v>112.78</v>
      </c>
      <c r="R220" s="76">
        <v>99.54</v>
      </c>
      <c r="S220" s="76">
        <v>13.24</v>
      </c>
      <c r="T220" s="76">
        <v>5.15</v>
      </c>
      <c r="U220" s="76">
        <v>107.62</v>
      </c>
      <c r="V220" s="76">
        <v>95.26</v>
      </c>
      <c r="W220" s="76">
        <v>4.271</v>
      </c>
      <c r="X220" s="76">
        <v>4.57</v>
      </c>
      <c r="Y220" s="76">
        <v>249.0</v>
      </c>
      <c r="Z220" s="76">
        <v>435.0</v>
      </c>
      <c r="AA220" s="76">
        <v>1249.0</v>
      </c>
      <c r="AB220" s="76">
        <v>52.0159</v>
      </c>
      <c r="AC220" s="76">
        <v>0.7043</v>
      </c>
      <c r="AD220" s="76">
        <v>9.53</v>
      </c>
      <c r="AE220" s="76">
        <v>4.0</v>
      </c>
      <c r="AF220" s="76">
        <v>8.0</v>
      </c>
      <c r="AG220" s="76">
        <v>13.0</v>
      </c>
      <c r="AH220" s="76">
        <v>19.0</v>
      </c>
      <c r="AI220" s="76">
        <v>64.83</v>
      </c>
      <c r="AJ220" s="76">
        <v>26.57</v>
      </c>
      <c r="AK220" s="76">
        <v>3.99</v>
      </c>
      <c r="AL220" s="76">
        <v>0.3747</v>
      </c>
      <c r="AQ220" s="76">
        <v>7.1315</v>
      </c>
      <c r="AR220" s="76">
        <v>0.0871</v>
      </c>
      <c r="AS220" s="76">
        <v>7.0444</v>
      </c>
      <c r="AT220" s="76">
        <v>5.2206</v>
      </c>
      <c r="AU220" s="76">
        <v>0.2341</v>
      </c>
      <c r="AV220" s="76">
        <v>5743.0</v>
      </c>
      <c r="AW220" s="76">
        <v>0.0</v>
      </c>
      <c r="AX220" s="76">
        <v>45.84</v>
      </c>
      <c r="AY220" s="76">
        <v>58.0</v>
      </c>
      <c r="AZ220" s="76">
        <v>2.55</v>
      </c>
      <c r="BA220" s="76">
        <v>5.15</v>
      </c>
      <c r="BB220" s="76">
        <v>1.23</v>
      </c>
      <c r="BC220" s="76">
        <v>35.0</v>
      </c>
      <c r="BD220" s="76">
        <v>17298.0</v>
      </c>
      <c r="BE220" s="76">
        <v>4.5266</v>
      </c>
      <c r="BF220" s="76">
        <v>0.0517</v>
      </c>
      <c r="BG220" s="76">
        <v>4.4748</v>
      </c>
      <c r="BH220" s="76">
        <v>2.8301</v>
      </c>
      <c r="BI220" s="76">
        <v>0.1269</v>
      </c>
      <c r="BJ220" s="76">
        <v>2.6049</v>
      </c>
      <c r="BK220" s="76">
        <v>0.0353</v>
      </c>
      <c r="BL220" s="76">
        <v>2.5696</v>
      </c>
      <c r="BM220" s="76">
        <v>2.3906</v>
      </c>
      <c r="BN220" s="76">
        <v>0.1072</v>
      </c>
      <c r="BO220" s="76">
        <v>1.7475</v>
      </c>
      <c r="BP220" s="76">
        <v>0.0162</v>
      </c>
      <c r="BQ220" s="76">
        <v>1.7313</v>
      </c>
      <c r="BR220" s="76">
        <v>1.0832</v>
      </c>
      <c r="BS220" s="76">
        <v>1.6899</v>
      </c>
      <c r="BT220" s="76">
        <v>0.0115</v>
      </c>
      <c r="BU220" s="76">
        <v>1.6784</v>
      </c>
      <c r="BV220" s="76">
        <v>1.0498</v>
      </c>
      <c r="BW220" s="76">
        <v>1.0892</v>
      </c>
      <c r="BX220" s="76">
        <v>0.024</v>
      </c>
      <c r="BY220" s="76">
        <v>1.0651</v>
      </c>
      <c r="BZ220" s="76">
        <v>0.697</v>
      </c>
      <c r="CA220" s="76">
        <v>0.5039</v>
      </c>
      <c r="CB220" s="76">
        <v>0.0087</v>
      </c>
      <c r="CC220" s="76">
        <v>0.4952</v>
      </c>
      <c r="CD220" s="76">
        <v>0.5269</v>
      </c>
      <c r="CE220" s="76">
        <v>1.1513</v>
      </c>
      <c r="CF220" s="76">
        <v>0.0146</v>
      </c>
      <c r="CG220" s="76">
        <v>1.1367</v>
      </c>
      <c r="CH220" s="76">
        <v>0.9814</v>
      </c>
      <c r="CI220" s="76">
        <v>0.9497</v>
      </c>
      <c r="CJ220" s="76">
        <v>0.012</v>
      </c>
      <c r="CK220" s="76">
        <v>0.9377</v>
      </c>
      <c r="CL220" s="76">
        <v>0.8823</v>
      </c>
      <c r="CM220" s="76">
        <v>217.76</v>
      </c>
      <c r="CN220" s="76">
        <v>88.63</v>
      </c>
      <c r="CO220" s="76">
        <v>245.7</v>
      </c>
      <c r="CP220" s="76">
        <v>188.31</v>
      </c>
      <c r="CQ220" s="76">
        <v>0.0</v>
      </c>
      <c r="CR220" s="76">
        <v>19.05</v>
      </c>
      <c r="CS220" s="76">
        <v>10.4</v>
      </c>
      <c r="CT220" s="76">
        <v>0.0</v>
      </c>
      <c r="CU220" s="76">
        <v>0.0</v>
      </c>
      <c r="CV220" s="76">
        <v>0.0</v>
      </c>
      <c r="CW220" s="76">
        <v>112.78</v>
      </c>
      <c r="CX220" s="76">
        <v>0.0</v>
      </c>
      <c r="CY220" s="76">
        <v>0.0</v>
      </c>
    </row>
    <row r="221" ht="15.75" customHeight="1">
      <c r="A221" s="164">
        <v>46248.0</v>
      </c>
      <c r="B221" s="76" t="s">
        <v>4</v>
      </c>
      <c r="C221" s="76" t="s">
        <v>149</v>
      </c>
      <c r="D221" s="76">
        <v>4945.0</v>
      </c>
      <c r="E221" s="76">
        <v>18.46</v>
      </c>
      <c r="F221" s="76">
        <v>734.55</v>
      </c>
      <c r="G221" s="76">
        <v>0.1485</v>
      </c>
      <c r="H221" s="76">
        <v>2.87</v>
      </c>
      <c r="I221" s="76">
        <v>5.1729</v>
      </c>
      <c r="J221" s="76">
        <v>62.85</v>
      </c>
      <c r="K221" s="76">
        <v>36.57</v>
      </c>
      <c r="L221" s="76">
        <v>25.54</v>
      </c>
      <c r="M221" s="76">
        <v>0.6985</v>
      </c>
      <c r="N221" s="76">
        <v>0.4257</v>
      </c>
      <c r="O221" s="76">
        <v>0.2772</v>
      </c>
      <c r="P221" s="76">
        <v>1.4317</v>
      </c>
      <c r="Q221" s="76">
        <v>183.94</v>
      </c>
      <c r="R221" s="76">
        <v>158.0</v>
      </c>
      <c r="S221" s="76">
        <v>25.94</v>
      </c>
      <c r="T221" s="76">
        <v>11.84</v>
      </c>
      <c r="U221" s="76">
        <v>172.1</v>
      </c>
      <c r="V221" s="76">
        <v>168.56</v>
      </c>
      <c r="W221" s="76">
        <v>4.6092</v>
      </c>
      <c r="X221" s="76">
        <v>6.43</v>
      </c>
      <c r="Y221" s="76">
        <v>295.0</v>
      </c>
      <c r="Z221" s="76">
        <v>547.0</v>
      </c>
      <c r="AA221" s="76">
        <v>1246.0</v>
      </c>
      <c r="AB221" s="76">
        <v>53.5298</v>
      </c>
      <c r="AC221" s="76">
        <v>0.7634</v>
      </c>
      <c r="AD221" s="76">
        <v>16.13</v>
      </c>
      <c r="AE221" s="76">
        <v>7.0</v>
      </c>
      <c r="AF221" s="76">
        <v>13.0</v>
      </c>
      <c r="AG221" s="76">
        <v>22.0</v>
      </c>
      <c r="AH221" s="76">
        <v>33.0</v>
      </c>
      <c r="AI221" s="76">
        <v>56.87</v>
      </c>
      <c r="AJ221" s="76">
        <v>18.58</v>
      </c>
      <c r="AK221" s="76">
        <v>4.87</v>
      </c>
      <c r="AL221" s="76">
        <v>0.2926</v>
      </c>
      <c r="AQ221" s="76">
        <v>11.2554</v>
      </c>
      <c r="AR221" s="76">
        <v>0.2261</v>
      </c>
      <c r="AS221" s="76">
        <v>11.0293</v>
      </c>
      <c r="AT221" s="76">
        <v>8.002</v>
      </c>
      <c r="AU221" s="76">
        <v>0.2188</v>
      </c>
      <c r="AV221" s="76">
        <v>4945.0</v>
      </c>
      <c r="AW221" s="76">
        <v>0.0</v>
      </c>
      <c r="AX221" s="76">
        <v>75.8</v>
      </c>
      <c r="AY221" s="76">
        <v>91.65</v>
      </c>
      <c r="AZ221" s="76">
        <v>2.34</v>
      </c>
      <c r="BA221" s="76">
        <v>11.83</v>
      </c>
      <c r="BB221" s="76">
        <v>2.31</v>
      </c>
      <c r="BC221" s="76">
        <v>61.0</v>
      </c>
      <c r="BD221" s="76">
        <v>16634.0</v>
      </c>
      <c r="BE221" s="76">
        <v>7.0797</v>
      </c>
      <c r="BF221" s="76">
        <v>0.1444</v>
      </c>
      <c r="BG221" s="76">
        <v>6.9353</v>
      </c>
      <c r="BH221" s="76">
        <v>4.2578</v>
      </c>
      <c r="BI221" s="76">
        <v>0.1164</v>
      </c>
      <c r="BJ221" s="76">
        <v>4.1757</v>
      </c>
      <c r="BK221" s="76">
        <v>0.0817</v>
      </c>
      <c r="BL221" s="76">
        <v>4.094</v>
      </c>
      <c r="BM221" s="76">
        <v>3.7442</v>
      </c>
      <c r="BN221" s="76">
        <v>0.1024</v>
      </c>
      <c r="BO221" s="76">
        <v>2.7074</v>
      </c>
      <c r="BP221" s="76">
        <v>0.0485</v>
      </c>
      <c r="BQ221" s="76">
        <v>2.6588</v>
      </c>
      <c r="BR221" s="76">
        <v>1.5953</v>
      </c>
      <c r="BS221" s="76">
        <v>2.5804</v>
      </c>
      <c r="BT221" s="76">
        <v>0.0473</v>
      </c>
      <c r="BU221" s="76">
        <v>2.5331</v>
      </c>
      <c r="BV221" s="76">
        <v>1.563</v>
      </c>
      <c r="BW221" s="76">
        <v>1.7919</v>
      </c>
      <c r="BX221" s="76">
        <v>0.0485</v>
      </c>
      <c r="BY221" s="76">
        <v>1.7434</v>
      </c>
      <c r="BZ221" s="76">
        <v>1.0995</v>
      </c>
      <c r="CA221" s="76">
        <v>0.9041</v>
      </c>
      <c r="CB221" s="76">
        <v>0.0241</v>
      </c>
      <c r="CC221" s="76">
        <v>0.8801</v>
      </c>
      <c r="CD221" s="76">
        <v>0.8326</v>
      </c>
      <c r="CE221" s="76">
        <v>1.6801</v>
      </c>
      <c r="CF221" s="76">
        <v>0.0315</v>
      </c>
      <c r="CG221" s="76">
        <v>1.6485</v>
      </c>
      <c r="CH221" s="76">
        <v>1.4384</v>
      </c>
      <c r="CI221" s="76">
        <v>1.5915</v>
      </c>
      <c r="CJ221" s="76">
        <v>0.0261</v>
      </c>
      <c r="CK221" s="76">
        <v>1.5654</v>
      </c>
      <c r="CL221" s="76">
        <v>1.4732</v>
      </c>
      <c r="CM221" s="76">
        <v>408.84</v>
      </c>
      <c r="CN221" s="76">
        <v>95.94</v>
      </c>
      <c r="CO221" s="76">
        <v>426.16</v>
      </c>
      <c r="CP221" s="76">
        <v>365.31</v>
      </c>
      <c r="CQ221" s="76">
        <v>0.0</v>
      </c>
      <c r="CR221" s="76">
        <v>25.41</v>
      </c>
      <c r="CS221" s="76">
        <v>18.13</v>
      </c>
      <c r="CT221" s="76">
        <v>0.0</v>
      </c>
      <c r="CU221" s="76">
        <v>0.0</v>
      </c>
      <c r="CV221" s="76">
        <v>0.0</v>
      </c>
      <c r="CW221" s="76">
        <v>183.94</v>
      </c>
      <c r="CX221" s="76">
        <v>0.0</v>
      </c>
      <c r="CY221" s="76">
        <v>0.0</v>
      </c>
    </row>
    <row r="222" ht="15.75" customHeight="1">
      <c r="A222" s="164">
        <v>46248.0</v>
      </c>
      <c r="B222" s="76" t="s">
        <v>4</v>
      </c>
      <c r="C222" s="76" t="s">
        <v>150</v>
      </c>
      <c r="D222" s="76">
        <v>3249.0</v>
      </c>
      <c r="E222" s="76">
        <v>12.13</v>
      </c>
      <c r="F222" s="76">
        <v>638.3</v>
      </c>
      <c r="G222" s="76">
        <v>0.1965</v>
      </c>
      <c r="H222" s="76">
        <v>4.46</v>
      </c>
      <c r="I222" s="76">
        <v>4.4021</v>
      </c>
      <c r="J222" s="76">
        <v>115.96</v>
      </c>
      <c r="K222" s="76">
        <v>71.33</v>
      </c>
      <c r="L222" s="76">
        <v>51.75</v>
      </c>
      <c r="M222" s="76">
        <v>0.7254</v>
      </c>
      <c r="N222" s="76">
        <v>0.3885</v>
      </c>
      <c r="O222" s="76">
        <v>0.2579</v>
      </c>
      <c r="P222" s="76">
        <v>1.3785</v>
      </c>
      <c r="Q222" s="76">
        <v>302.77</v>
      </c>
      <c r="R222" s="76">
        <v>254.23</v>
      </c>
      <c r="S222" s="76">
        <v>48.55</v>
      </c>
      <c r="T222" s="76">
        <v>20.01</v>
      </c>
      <c r="U222" s="76">
        <v>282.77</v>
      </c>
      <c r="V222" s="76">
        <v>319.08</v>
      </c>
      <c r="W222" s="76">
        <v>4.4732</v>
      </c>
      <c r="X222" s="76">
        <v>6.61</v>
      </c>
      <c r="Y222" s="76">
        <v>328.0</v>
      </c>
      <c r="Z222" s="76">
        <v>664.0</v>
      </c>
      <c r="AA222" s="76">
        <v>1434.0</v>
      </c>
      <c r="AB222" s="76">
        <v>55.1847</v>
      </c>
      <c r="AC222" s="76">
        <v>0.7712</v>
      </c>
      <c r="AD222" s="76">
        <v>28.51</v>
      </c>
      <c r="AE222" s="76">
        <v>11.0</v>
      </c>
      <c r="AF222" s="76">
        <v>20.0</v>
      </c>
      <c r="AG222" s="76">
        <v>38.0</v>
      </c>
      <c r="AH222" s="76">
        <v>62.0</v>
      </c>
      <c r="AI222" s="76">
        <v>35.73</v>
      </c>
      <c r="AJ222" s="76">
        <v>10.68</v>
      </c>
      <c r="AK222" s="76">
        <v>3.08</v>
      </c>
      <c r="AL222" s="76">
        <v>0.2022</v>
      </c>
      <c r="AQ222" s="76">
        <v>19.2675</v>
      </c>
      <c r="AR222" s="76">
        <v>0.6857</v>
      </c>
      <c r="AS222" s="76">
        <v>18.5817</v>
      </c>
      <c r="AT222" s="76">
        <v>15.7233</v>
      </c>
      <c r="AU222" s="76">
        <v>0.2204</v>
      </c>
      <c r="AV222" s="76">
        <v>3249.0</v>
      </c>
      <c r="AW222" s="76">
        <v>0.0</v>
      </c>
      <c r="AX222" s="76">
        <v>132.65</v>
      </c>
      <c r="AY222" s="76">
        <v>142.36</v>
      </c>
      <c r="AZ222" s="76">
        <v>3.55</v>
      </c>
      <c r="BA222" s="76">
        <v>20.01</v>
      </c>
      <c r="BB222" s="76">
        <v>4.2</v>
      </c>
      <c r="BC222" s="76">
        <v>133.0</v>
      </c>
      <c r="BD222" s="76">
        <v>14055.0</v>
      </c>
      <c r="BE222" s="76">
        <v>11.8578</v>
      </c>
      <c r="BF222" s="76">
        <v>0.5069</v>
      </c>
      <c r="BG222" s="76">
        <v>11.3509</v>
      </c>
      <c r="BH222" s="76">
        <v>8.096</v>
      </c>
      <c r="BI222" s="76">
        <v>0.1135</v>
      </c>
      <c r="BJ222" s="76">
        <v>7.4097</v>
      </c>
      <c r="BK222" s="76">
        <v>0.1788</v>
      </c>
      <c r="BL222" s="76">
        <v>7.2308</v>
      </c>
      <c r="BM222" s="76">
        <v>7.6273</v>
      </c>
      <c r="BN222" s="76">
        <v>0.1069</v>
      </c>
      <c r="BO222" s="76">
        <v>4.3321</v>
      </c>
      <c r="BP222" s="76">
        <v>0.1579</v>
      </c>
      <c r="BQ222" s="76">
        <v>4.1742</v>
      </c>
      <c r="BR222" s="76">
        <v>2.9464</v>
      </c>
      <c r="BS222" s="76">
        <v>4.2136</v>
      </c>
      <c r="BT222" s="76">
        <v>0.1708</v>
      </c>
      <c r="BU222" s="76">
        <v>4.0428</v>
      </c>
      <c r="BV222" s="76">
        <v>2.9695</v>
      </c>
      <c r="BW222" s="76">
        <v>3.3121</v>
      </c>
      <c r="BX222" s="76">
        <v>0.1782</v>
      </c>
      <c r="BY222" s="76">
        <v>3.1339</v>
      </c>
      <c r="BZ222" s="76">
        <v>2.1801</v>
      </c>
      <c r="CA222" s="76">
        <v>1.7818</v>
      </c>
      <c r="CB222" s="76">
        <v>0.0465</v>
      </c>
      <c r="CC222" s="76">
        <v>1.7353</v>
      </c>
      <c r="CD222" s="76">
        <v>2.1237</v>
      </c>
      <c r="CE222" s="76">
        <v>2.7381</v>
      </c>
      <c r="CF222" s="76">
        <v>0.0708</v>
      </c>
      <c r="CG222" s="76">
        <v>2.6673</v>
      </c>
      <c r="CH222" s="76">
        <v>2.5503</v>
      </c>
      <c r="CI222" s="76">
        <v>2.8898</v>
      </c>
      <c r="CJ222" s="76">
        <v>0.0616</v>
      </c>
      <c r="CK222" s="76">
        <v>2.8283</v>
      </c>
      <c r="CL222" s="76">
        <v>2.9532</v>
      </c>
      <c r="CM222" s="76">
        <v>808.55</v>
      </c>
      <c r="CN222" s="76">
        <v>99.42</v>
      </c>
      <c r="CO222" s="76">
        <v>813.3</v>
      </c>
      <c r="CP222" s="76">
        <v>752.76</v>
      </c>
      <c r="CQ222" s="76">
        <v>0.0</v>
      </c>
      <c r="CR222" s="76">
        <v>31.49</v>
      </c>
      <c r="CS222" s="76">
        <v>24.3</v>
      </c>
      <c r="CT222" s="76">
        <v>0.0</v>
      </c>
      <c r="CU222" s="76">
        <v>1.0</v>
      </c>
      <c r="CV222" s="76">
        <v>0.0</v>
      </c>
      <c r="CW222" s="76">
        <v>302.78</v>
      </c>
      <c r="CX222" s="76">
        <v>0.0</v>
      </c>
      <c r="CY222" s="76">
        <v>0.0</v>
      </c>
    </row>
    <row r="223" ht="15.75" customHeight="1">
      <c r="A223" s="164">
        <v>46248.0</v>
      </c>
      <c r="B223" s="76" t="s">
        <v>4</v>
      </c>
      <c r="C223" s="76" t="s">
        <v>151</v>
      </c>
      <c r="D223" s="76">
        <v>457.0</v>
      </c>
      <c r="E223" s="76">
        <v>1.71</v>
      </c>
      <c r="F223" s="76">
        <v>417.64</v>
      </c>
      <c r="G223" s="76">
        <v>0.9139</v>
      </c>
      <c r="H223" s="76">
        <v>9.85</v>
      </c>
      <c r="I223" s="76">
        <v>9.2809</v>
      </c>
      <c r="J223" s="76">
        <v>239.45</v>
      </c>
      <c r="K223" s="76">
        <v>162.44</v>
      </c>
      <c r="L223" s="76">
        <v>120.53</v>
      </c>
      <c r="M223" s="76">
        <v>0.742</v>
      </c>
      <c r="N223" s="76">
        <v>0.3425</v>
      </c>
      <c r="O223" s="76">
        <v>0.213</v>
      </c>
      <c r="P223" s="76">
        <v>1.3478</v>
      </c>
      <c r="Q223" s="76">
        <v>589.1</v>
      </c>
      <c r="R223" s="76">
        <v>472.43</v>
      </c>
      <c r="S223" s="76">
        <v>116.67</v>
      </c>
      <c r="T223" s="76">
        <v>66.85</v>
      </c>
      <c r="U223" s="76">
        <v>522.25</v>
      </c>
      <c r="V223" s="76">
        <v>581.4</v>
      </c>
      <c r="W223" s="76">
        <v>3.5791</v>
      </c>
      <c r="X223" s="76">
        <v>11.35</v>
      </c>
      <c r="Y223" s="76">
        <v>427.0</v>
      </c>
      <c r="Z223" s="76">
        <v>873.0</v>
      </c>
      <c r="AA223" s="76">
        <v>1771.0</v>
      </c>
      <c r="AB223" s="76">
        <v>58.0484</v>
      </c>
      <c r="AC223" s="76">
        <v>0.7866</v>
      </c>
      <c r="AD223" s="76">
        <v>55.82</v>
      </c>
      <c r="AE223" s="76">
        <v>20.0</v>
      </c>
      <c r="AF223" s="76">
        <v>37.0</v>
      </c>
      <c r="AG223" s="76">
        <v>73.0</v>
      </c>
      <c r="AH223" s="76">
        <v>124.0</v>
      </c>
      <c r="AI223" s="76">
        <v>22.1</v>
      </c>
      <c r="AJ223" s="76">
        <v>4.6</v>
      </c>
      <c r="AK223" s="76">
        <v>0.88</v>
      </c>
      <c r="AL223" s="76">
        <v>0.081</v>
      </c>
      <c r="AQ223" s="76">
        <v>37.8468</v>
      </c>
      <c r="AR223" s="76">
        <v>0.8293</v>
      </c>
      <c r="AS223" s="76">
        <v>37.0175</v>
      </c>
      <c r="AT223" s="76">
        <v>33.4486</v>
      </c>
      <c r="AU223" s="76">
        <v>0.2059</v>
      </c>
      <c r="AV223" s="76">
        <v>457.0</v>
      </c>
      <c r="AW223" s="76">
        <v>0.0</v>
      </c>
      <c r="AX223" s="76">
        <v>286.46</v>
      </c>
      <c r="AY223" s="76">
        <v>219.29</v>
      </c>
      <c r="AZ223" s="76">
        <v>4.69</v>
      </c>
      <c r="BA223" s="76">
        <v>66.85</v>
      </c>
      <c r="BB223" s="76">
        <v>11.82</v>
      </c>
      <c r="BC223" s="76">
        <v>255.0</v>
      </c>
      <c r="BD223" s="76">
        <v>15793.0</v>
      </c>
      <c r="BE223" s="76">
        <v>22.1772</v>
      </c>
      <c r="BF223" s="76">
        <v>0.3742</v>
      </c>
      <c r="BG223" s="76">
        <v>21.8031</v>
      </c>
      <c r="BH223" s="76">
        <v>17.2604</v>
      </c>
      <c r="BI223" s="76">
        <v>0.1063</v>
      </c>
      <c r="BJ223" s="76">
        <v>15.6696</v>
      </c>
      <c r="BK223" s="76">
        <v>0.4551</v>
      </c>
      <c r="BL223" s="76">
        <v>15.2144</v>
      </c>
      <c r="BM223" s="76">
        <v>16.1882</v>
      </c>
      <c r="BN223" s="76">
        <v>0.0997</v>
      </c>
      <c r="BO223" s="76">
        <v>7.8162</v>
      </c>
      <c r="BP223" s="76">
        <v>0.1138</v>
      </c>
      <c r="BQ223" s="76">
        <v>7.7024</v>
      </c>
      <c r="BR223" s="76">
        <v>6.1094</v>
      </c>
      <c r="BS223" s="76">
        <v>7.9912</v>
      </c>
      <c r="BT223" s="76">
        <v>0.14</v>
      </c>
      <c r="BU223" s="76">
        <v>7.8512</v>
      </c>
      <c r="BV223" s="76">
        <v>6.2757</v>
      </c>
      <c r="BW223" s="76">
        <v>6.3698</v>
      </c>
      <c r="BX223" s="76">
        <v>0.1204</v>
      </c>
      <c r="BY223" s="76">
        <v>6.2495</v>
      </c>
      <c r="BZ223" s="76">
        <v>4.8753</v>
      </c>
      <c r="CA223" s="76">
        <v>4.0416</v>
      </c>
      <c r="CB223" s="76">
        <v>0.1204</v>
      </c>
      <c r="CC223" s="76">
        <v>3.9212</v>
      </c>
      <c r="CD223" s="76">
        <v>4.442</v>
      </c>
      <c r="CE223" s="76">
        <v>5.5711</v>
      </c>
      <c r="CF223" s="76">
        <v>0.2101</v>
      </c>
      <c r="CG223" s="76">
        <v>5.3611</v>
      </c>
      <c r="CH223" s="76">
        <v>5.1182</v>
      </c>
      <c r="CI223" s="76">
        <v>6.0569</v>
      </c>
      <c r="CJ223" s="76">
        <v>0.1247</v>
      </c>
      <c r="CK223" s="76">
        <v>5.9322</v>
      </c>
      <c r="CL223" s="76">
        <v>6.628</v>
      </c>
      <c r="CM223" s="76">
        <v>1806.78</v>
      </c>
      <c r="CN223" s="76">
        <v>99.78</v>
      </c>
      <c r="CO223" s="76">
        <v>1810.74</v>
      </c>
      <c r="CP223" s="76">
        <v>1748.09</v>
      </c>
      <c r="CQ223" s="76">
        <v>0.0</v>
      </c>
      <c r="CR223" s="76">
        <v>35.89</v>
      </c>
      <c r="CS223" s="76">
        <v>22.8</v>
      </c>
      <c r="CT223" s="76">
        <v>0.0</v>
      </c>
      <c r="CU223" s="76">
        <v>0.0</v>
      </c>
      <c r="CV223" s="76">
        <v>0.0</v>
      </c>
      <c r="CW223" s="76">
        <v>589.1</v>
      </c>
      <c r="CX223" s="76">
        <v>0.0</v>
      </c>
      <c r="CY223" s="76">
        <v>0.0</v>
      </c>
    </row>
    <row r="224" ht="15.75" customHeight="1">
      <c r="A224" s="164">
        <v>46248.0</v>
      </c>
      <c r="B224" s="76" t="s">
        <v>5</v>
      </c>
      <c r="C224" s="76" t="s">
        <v>316</v>
      </c>
      <c r="D224" s="76">
        <v>5235.0</v>
      </c>
      <c r="E224" s="76">
        <v>19.9</v>
      </c>
      <c r="F224" s="76">
        <v>377.26</v>
      </c>
      <c r="G224" s="76">
        <v>0.0721</v>
      </c>
      <c r="H224" s="76">
        <v>1.07</v>
      </c>
      <c r="I224" s="76">
        <v>6.7368</v>
      </c>
      <c r="J224" s="76">
        <v>21.2</v>
      </c>
      <c r="K224" s="76">
        <v>11.01</v>
      </c>
      <c r="L224" s="76">
        <v>7.88</v>
      </c>
      <c r="M224" s="76">
        <v>0.7156</v>
      </c>
      <c r="N224" s="76">
        <v>0.4152</v>
      </c>
      <c r="O224" s="76">
        <v>0.2115</v>
      </c>
      <c r="P224" s="76">
        <v>1.3973</v>
      </c>
      <c r="Q224" s="76">
        <v>75.02</v>
      </c>
      <c r="R224" s="76">
        <v>74.97</v>
      </c>
      <c r="S224" s="76">
        <v>0.05</v>
      </c>
      <c r="T224" s="76">
        <v>6.3</v>
      </c>
      <c r="U224" s="76">
        <v>68.71</v>
      </c>
      <c r="V224" s="76">
        <v>46.1</v>
      </c>
      <c r="W224" s="76">
        <v>4.187</v>
      </c>
      <c r="X224" s="76">
        <v>8.4</v>
      </c>
      <c r="Y224" s="76">
        <v>203.0</v>
      </c>
      <c r="Z224" s="76">
        <v>479.0</v>
      </c>
      <c r="AA224" s="76">
        <v>3174.0</v>
      </c>
      <c r="AB224" s="76">
        <v>49.9024</v>
      </c>
      <c r="AC224" s="76">
        <v>0.5083</v>
      </c>
      <c r="AI224" s="76">
        <v>0.0</v>
      </c>
      <c r="AJ224" s="76">
        <v>0.0</v>
      </c>
      <c r="AK224" s="76">
        <v>0.0</v>
      </c>
      <c r="AL224" s="76">
        <v>0.4944</v>
      </c>
      <c r="AM224" s="76">
        <v>9.28</v>
      </c>
      <c r="AN224" s="76">
        <v>9.28</v>
      </c>
      <c r="AO224" s="76">
        <v>5.69</v>
      </c>
      <c r="AP224" s="76">
        <v>3.02</v>
      </c>
      <c r="AQ224" s="76">
        <v>2.6222</v>
      </c>
      <c r="AR224" s="76">
        <v>0.0802</v>
      </c>
      <c r="AS224" s="76">
        <v>2.5419</v>
      </c>
      <c r="AT224" s="76">
        <v>1.5058</v>
      </c>
      <c r="AU224" s="76">
        <v>0.1368</v>
      </c>
      <c r="AV224" s="76">
        <v>5235.0</v>
      </c>
      <c r="AW224" s="76">
        <v>0.0</v>
      </c>
      <c r="AX224" s="76">
        <v>8.92</v>
      </c>
      <c r="AY224" s="76">
        <v>56.79</v>
      </c>
      <c r="AZ224" s="76">
        <v>2.82</v>
      </c>
      <c r="BA224" s="76">
        <v>6.3</v>
      </c>
      <c r="BB224" s="76">
        <v>0.18</v>
      </c>
      <c r="BD224" s="76">
        <v>26684.0</v>
      </c>
      <c r="BE224" s="76">
        <v>1.2443</v>
      </c>
      <c r="BF224" s="76">
        <v>0.0361</v>
      </c>
      <c r="BG224" s="76">
        <v>1.2082</v>
      </c>
      <c r="BH224" s="76">
        <v>0.6894</v>
      </c>
      <c r="BI224" s="76">
        <v>0.0626</v>
      </c>
      <c r="BJ224" s="76">
        <v>1.3778</v>
      </c>
      <c r="BK224" s="76">
        <v>0.0441</v>
      </c>
      <c r="BL224" s="76">
        <v>1.3337</v>
      </c>
      <c r="BM224" s="76">
        <v>0.8164</v>
      </c>
      <c r="BN224" s="76">
        <v>0.0741</v>
      </c>
      <c r="BO224" s="76">
        <v>0.4562</v>
      </c>
      <c r="BP224" s="76">
        <v>0.012</v>
      </c>
      <c r="BQ224" s="76">
        <v>0.4441</v>
      </c>
      <c r="BR224" s="76">
        <v>0.2598</v>
      </c>
      <c r="BS224" s="76">
        <v>0.4636</v>
      </c>
      <c r="BT224" s="76">
        <v>0.0109</v>
      </c>
      <c r="BU224" s="76">
        <v>0.4527</v>
      </c>
      <c r="BV224" s="76">
        <v>0.2537</v>
      </c>
      <c r="BW224" s="76">
        <v>0.3245</v>
      </c>
      <c r="BX224" s="76">
        <v>0.0132</v>
      </c>
      <c r="BY224" s="76">
        <v>0.3114</v>
      </c>
      <c r="BZ224" s="76">
        <v>0.1759</v>
      </c>
      <c r="CA224" s="76">
        <v>0.2909</v>
      </c>
      <c r="CB224" s="76">
        <v>0.0113</v>
      </c>
      <c r="CC224" s="76">
        <v>0.2797</v>
      </c>
      <c r="CD224" s="76">
        <v>0.1819</v>
      </c>
      <c r="CE224" s="76">
        <v>0.6138</v>
      </c>
      <c r="CF224" s="76">
        <v>0.0181</v>
      </c>
      <c r="CG224" s="76">
        <v>0.5956</v>
      </c>
      <c r="CH224" s="76">
        <v>0.3372</v>
      </c>
      <c r="CI224" s="76">
        <v>0.4732</v>
      </c>
      <c r="CJ224" s="76">
        <v>0.0147</v>
      </c>
      <c r="CK224" s="76">
        <v>0.4585</v>
      </c>
      <c r="CL224" s="76">
        <v>0.2974</v>
      </c>
      <c r="CM224" s="76">
        <v>126.53</v>
      </c>
      <c r="CN224" s="76">
        <v>26.49</v>
      </c>
      <c r="CO224" s="76">
        <v>477.58</v>
      </c>
      <c r="CP224" s="76">
        <v>111.16</v>
      </c>
      <c r="CQ224" s="76">
        <v>0.69</v>
      </c>
      <c r="CR224" s="76">
        <v>9.02</v>
      </c>
      <c r="CS224" s="76">
        <v>5.66</v>
      </c>
      <c r="CT224" s="76">
        <v>0.0</v>
      </c>
      <c r="CU224" s="76">
        <v>1514.0</v>
      </c>
      <c r="CV224" s="76">
        <v>3.79</v>
      </c>
      <c r="CW224" s="76">
        <v>78.8</v>
      </c>
      <c r="CX224" s="76">
        <v>0.13</v>
      </c>
      <c r="CY224" s="76">
        <v>0.83</v>
      </c>
    </row>
    <row r="225" ht="15.75" customHeight="1">
      <c r="A225" s="164">
        <v>46248.0</v>
      </c>
      <c r="B225" s="76" t="s">
        <v>5</v>
      </c>
      <c r="C225" s="76" t="s">
        <v>147</v>
      </c>
      <c r="D225" s="76">
        <v>7058.0</v>
      </c>
      <c r="E225" s="76">
        <v>26.83</v>
      </c>
      <c r="F225" s="76">
        <v>224.01</v>
      </c>
      <c r="G225" s="76">
        <v>0.0317</v>
      </c>
      <c r="H225" s="76">
        <v>0.95</v>
      </c>
      <c r="I225" s="76">
        <v>3.3434</v>
      </c>
      <c r="J225" s="76">
        <v>22.3</v>
      </c>
      <c r="K225" s="76">
        <v>10.95</v>
      </c>
      <c r="L225" s="76">
        <v>5.25</v>
      </c>
      <c r="M225" s="76">
        <v>0.4798</v>
      </c>
      <c r="N225" s="76">
        <v>0.6346</v>
      </c>
      <c r="O225" s="76">
        <v>0.3961</v>
      </c>
      <c r="P225" s="76">
        <v>2.084</v>
      </c>
      <c r="Q225" s="76">
        <v>55.28</v>
      </c>
      <c r="R225" s="76">
        <v>52.1</v>
      </c>
      <c r="S225" s="76">
        <v>3.18</v>
      </c>
      <c r="T225" s="76">
        <v>2.44</v>
      </c>
      <c r="U225" s="76">
        <v>52.84</v>
      </c>
      <c r="V225" s="76">
        <v>43.24</v>
      </c>
      <c r="W225" s="76">
        <v>3.9507</v>
      </c>
      <c r="X225" s="76">
        <v>4.41</v>
      </c>
      <c r="Y225" s="76">
        <v>200.0</v>
      </c>
      <c r="Z225" s="76">
        <v>334.0</v>
      </c>
      <c r="AA225" s="76">
        <v>1227.0</v>
      </c>
      <c r="AB225" s="76">
        <v>49.9212</v>
      </c>
      <c r="AC225" s="76">
        <v>0.6012</v>
      </c>
      <c r="AD225" s="76">
        <v>3.94</v>
      </c>
      <c r="AE225" s="76">
        <v>1.0</v>
      </c>
      <c r="AF225" s="76">
        <v>3.0</v>
      </c>
      <c r="AG225" s="76">
        <v>5.0</v>
      </c>
      <c r="AH225" s="76">
        <v>8.0</v>
      </c>
      <c r="AI225" s="76">
        <v>73.28</v>
      </c>
      <c r="AJ225" s="76">
        <v>32.11</v>
      </c>
      <c r="AK225" s="76">
        <v>6.59</v>
      </c>
      <c r="AL225" s="76">
        <v>0.4674</v>
      </c>
      <c r="AM225" s="76">
        <v>38.68</v>
      </c>
      <c r="AN225" s="76">
        <v>38.68</v>
      </c>
      <c r="AO225" s="76">
        <v>17.16</v>
      </c>
      <c r="AP225" s="76">
        <v>4.82</v>
      </c>
      <c r="AQ225" s="76">
        <v>3.5545</v>
      </c>
      <c r="AR225" s="76">
        <v>0.0424</v>
      </c>
      <c r="AS225" s="76">
        <v>3.5122</v>
      </c>
      <c r="AT225" s="76">
        <v>2.7239</v>
      </c>
      <c r="AU225" s="76">
        <v>0.2489</v>
      </c>
      <c r="AV225" s="76">
        <v>7058.0</v>
      </c>
      <c r="AW225" s="76">
        <v>0.0</v>
      </c>
      <c r="AX225" s="76">
        <v>18.71</v>
      </c>
      <c r="AY225" s="76">
        <v>31.43</v>
      </c>
      <c r="AZ225" s="76">
        <v>2.15</v>
      </c>
      <c r="BA225" s="76">
        <v>2.44</v>
      </c>
      <c r="BB225" s="76">
        <v>0.56</v>
      </c>
      <c r="BC225" s="76">
        <v>17.0</v>
      </c>
      <c r="BD225" s="76">
        <v>18720.0</v>
      </c>
      <c r="BE225" s="76">
        <v>2.2111</v>
      </c>
      <c r="BF225" s="76">
        <v>0.0208</v>
      </c>
      <c r="BG225" s="76">
        <v>2.1903</v>
      </c>
      <c r="BH225" s="76">
        <v>1.5524</v>
      </c>
      <c r="BI225" s="76">
        <v>0.1418</v>
      </c>
      <c r="BJ225" s="76">
        <v>1.3434</v>
      </c>
      <c r="BK225" s="76">
        <v>0.0215</v>
      </c>
      <c r="BL225" s="76">
        <v>1.3219</v>
      </c>
      <c r="BM225" s="76">
        <v>1.1714</v>
      </c>
      <c r="BN225" s="76">
        <v>0.107</v>
      </c>
      <c r="BO225" s="76">
        <v>0.9171</v>
      </c>
      <c r="BP225" s="76">
        <v>0.0091</v>
      </c>
      <c r="BQ225" s="76">
        <v>0.908</v>
      </c>
      <c r="BR225" s="76">
        <v>0.6516</v>
      </c>
      <c r="BS225" s="76">
        <v>0.8052</v>
      </c>
      <c r="BT225" s="76">
        <v>0.0057</v>
      </c>
      <c r="BU225" s="76">
        <v>0.7995</v>
      </c>
      <c r="BV225" s="76">
        <v>0.571</v>
      </c>
      <c r="BW225" s="76">
        <v>0.4888</v>
      </c>
      <c r="BX225" s="76">
        <v>0.0061</v>
      </c>
      <c r="BY225" s="76">
        <v>0.4827</v>
      </c>
      <c r="BZ225" s="76">
        <v>0.3298</v>
      </c>
      <c r="CA225" s="76">
        <v>0.1794</v>
      </c>
      <c r="CB225" s="76">
        <v>0.0052</v>
      </c>
      <c r="CC225" s="76">
        <v>0.1741</v>
      </c>
      <c r="CD225" s="76">
        <v>0.1696</v>
      </c>
      <c r="CE225" s="76">
        <v>0.6954</v>
      </c>
      <c r="CF225" s="76">
        <v>0.0067</v>
      </c>
      <c r="CG225" s="76">
        <v>0.6887</v>
      </c>
      <c r="CH225" s="76">
        <v>0.5966</v>
      </c>
      <c r="CI225" s="76">
        <v>0.4687</v>
      </c>
      <c r="CJ225" s="76">
        <v>0.0096</v>
      </c>
      <c r="CK225" s="76">
        <v>0.4591</v>
      </c>
      <c r="CL225" s="76">
        <v>0.4052</v>
      </c>
      <c r="CM225" s="76">
        <v>80.11</v>
      </c>
      <c r="CN225" s="76">
        <v>76.07</v>
      </c>
      <c r="CO225" s="76">
        <v>105.32</v>
      </c>
      <c r="CP225" s="76">
        <v>63.89</v>
      </c>
      <c r="CQ225" s="76">
        <v>1.03</v>
      </c>
      <c r="CR225" s="76">
        <v>12.64</v>
      </c>
      <c r="CS225" s="76">
        <v>2.56</v>
      </c>
      <c r="CT225" s="76">
        <v>0.0</v>
      </c>
      <c r="CU225" s="76">
        <v>2037.0</v>
      </c>
      <c r="CV225" s="76">
        <v>0.09</v>
      </c>
      <c r="CW225" s="76">
        <v>55.37</v>
      </c>
      <c r="CX225" s="76">
        <v>0.18</v>
      </c>
      <c r="CY225" s="76">
        <v>1.21</v>
      </c>
    </row>
    <row r="226" ht="15.75" customHeight="1">
      <c r="A226" s="164">
        <v>46248.0</v>
      </c>
      <c r="B226" s="76" t="s">
        <v>5</v>
      </c>
      <c r="C226" s="76" t="s">
        <v>148</v>
      </c>
      <c r="D226" s="76">
        <v>5645.0</v>
      </c>
      <c r="E226" s="76">
        <v>21.46</v>
      </c>
      <c r="F226" s="76">
        <v>352.51</v>
      </c>
      <c r="G226" s="76">
        <v>0.0624</v>
      </c>
      <c r="H226" s="76">
        <v>1.9</v>
      </c>
      <c r="I226" s="76">
        <v>3.2945</v>
      </c>
      <c r="J226" s="76">
        <v>40.71</v>
      </c>
      <c r="K226" s="76">
        <v>21.4</v>
      </c>
      <c r="L226" s="76">
        <v>12.71</v>
      </c>
      <c r="M226" s="76">
        <v>0.5938</v>
      </c>
      <c r="N226" s="76">
        <v>0.5333</v>
      </c>
      <c r="O226" s="76">
        <v>0.3328</v>
      </c>
      <c r="P226" s="76">
        <v>1.684</v>
      </c>
      <c r="Q226" s="76">
        <v>104.44</v>
      </c>
      <c r="R226" s="76">
        <v>96.44</v>
      </c>
      <c r="S226" s="76">
        <v>8.0</v>
      </c>
      <c r="T226" s="76">
        <v>5.24</v>
      </c>
      <c r="U226" s="76">
        <v>99.2</v>
      </c>
      <c r="V226" s="76">
        <v>83.52</v>
      </c>
      <c r="W226" s="76">
        <v>3.9034</v>
      </c>
      <c r="X226" s="76">
        <v>5.02</v>
      </c>
      <c r="Y226" s="76">
        <v>225.0</v>
      </c>
      <c r="Z226" s="76">
        <v>376.0</v>
      </c>
      <c r="AA226" s="76">
        <v>1057.0</v>
      </c>
      <c r="AB226" s="76">
        <v>51.9719</v>
      </c>
      <c r="AC226" s="76">
        <v>0.696</v>
      </c>
      <c r="AD226" s="76">
        <v>8.89</v>
      </c>
      <c r="AE226" s="76">
        <v>4.0</v>
      </c>
      <c r="AF226" s="76">
        <v>7.0</v>
      </c>
      <c r="AG226" s="76">
        <v>12.0</v>
      </c>
      <c r="AH226" s="76">
        <v>18.0</v>
      </c>
      <c r="AI226" s="76">
        <v>61.03</v>
      </c>
      <c r="AJ226" s="76">
        <v>24.15</v>
      </c>
      <c r="AK226" s="76">
        <v>2.83</v>
      </c>
      <c r="AL226" s="76">
        <v>0.3667</v>
      </c>
      <c r="AM226" s="76">
        <v>40.53</v>
      </c>
      <c r="AN226" s="76">
        <v>40.53</v>
      </c>
      <c r="AO226" s="76">
        <v>22.71</v>
      </c>
      <c r="AP226" s="76">
        <v>10.29</v>
      </c>
      <c r="AQ226" s="76">
        <v>6.426</v>
      </c>
      <c r="AR226" s="76">
        <v>0.0937</v>
      </c>
      <c r="AS226" s="76">
        <v>6.3323</v>
      </c>
      <c r="AT226" s="76">
        <v>4.9015</v>
      </c>
      <c r="AU226" s="76">
        <v>0.2291</v>
      </c>
      <c r="AV226" s="76">
        <v>5645.0</v>
      </c>
      <c r="AW226" s="76">
        <v>0.0</v>
      </c>
      <c r="AX226" s="76">
        <v>34.85</v>
      </c>
      <c r="AY226" s="76">
        <v>60.71</v>
      </c>
      <c r="AZ226" s="76">
        <v>2.66</v>
      </c>
      <c r="BA226" s="76">
        <v>5.24</v>
      </c>
      <c r="BB226" s="76">
        <v>0.99</v>
      </c>
      <c r="BC226" s="76">
        <v>34.0</v>
      </c>
      <c r="BD226" s="76">
        <v>17706.0</v>
      </c>
      <c r="BE226" s="76">
        <v>3.7858</v>
      </c>
      <c r="BF226" s="76">
        <v>0.0553</v>
      </c>
      <c r="BG226" s="76">
        <v>3.7306</v>
      </c>
      <c r="BH226" s="76">
        <v>2.6333</v>
      </c>
      <c r="BI226" s="76">
        <v>0.1231</v>
      </c>
      <c r="BJ226" s="76">
        <v>2.6402</v>
      </c>
      <c r="BK226" s="76">
        <v>0.0384</v>
      </c>
      <c r="BL226" s="76">
        <v>2.6018</v>
      </c>
      <c r="BM226" s="76">
        <v>2.2682</v>
      </c>
      <c r="BN226" s="76">
        <v>0.106</v>
      </c>
      <c r="BO226" s="76">
        <v>1.3701</v>
      </c>
      <c r="BP226" s="76">
        <v>0.0193</v>
      </c>
      <c r="BQ226" s="76">
        <v>1.3508</v>
      </c>
      <c r="BR226" s="76">
        <v>1.0012</v>
      </c>
      <c r="BS226" s="76">
        <v>1.4298</v>
      </c>
      <c r="BT226" s="76">
        <v>0.0161</v>
      </c>
      <c r="BU226" s="76">
        <v>1.4136</v>
      </c>
      <c r="BV226" s="76">
        <v>0.9747</v>
      </c>
      <c r="BW226" s="76">
        <v>0.986</v>
      </c>
      <c r="BX226" s="76">
        <v>0.0198</v>
      </c>
      <c r="BY226" s="76">
        <v>0.9662</v>
      </c>
      <c r="BZ226" s="76">
        <v>0.6574</v>
      </c>
      <c r="CA226" s="76">
        <v>0.4271</v>
      </c>
      <c r="CB226" s="76">
        <v>0.0103</v>
      </c>
      <c r="CC226" s="76">
        <v>0.4168</v>
      </c>
      <c r="CD226" s="76">
        <v>0.4058</v>
      </c>
      <c r="CE226" s="76">
        <v>1.3318</v>
      </c>
      <c r="CF226" s="76">
        <v>0.0159</v>
      </c>
      <c r="CG226" s="76">
        <v>1.3159</v>
      </c>
      <c r="CH226" s="76">
        <v>1.0666</v>
      </c>
      <c r="CI226" s="76">
        <v>0.8813</v>
      </c>
      <c r="CJ226" s="76">
        <v>0.0122</v>
      </c>
      <c r="CK226" s="76">
        <v>0.8691</v>
      </c>
      <c r="CL226" s="76">
        <v>0.7957</v>
      </c>
      <c r="CM226" s="76">
        <v>177.19</v>
      </c>
      <c r="CN226" s="76">
        <v>88.68</v>
      </c>
      <c r="CO226" s="76">
        <v>199.81</v>
      </c>
      <c r="CP226" s="76">
        <v>146.21</v>
      </c>
      <c r="CQ226" s="76">
        <v>2.23</v>
      </c>
      <c r="CR226" s="76">
        <v>18.44</v>
      </c>
      <c r="CS226" s="76">
        <v>10.31</v>
      </c>
      <c r="CT226" s="76">
        <v>0.0</v>
      </c>
      <c r="CU226" s="76">
        <v>2147.0</v>
      </c>
      <c r="CV226" s="76">
        <v>0.13</v>
      </c>
      <c r="CW226" s="76">
        <v>104.57</v>
      </c>
      <c r="CX226" s="76">
        <v>0.42</v>
      </c>
      <c r="CY226" s="76">
        <v>2.65</v>
      </c>
    </row>
    <row r="227" ht="15.75" customHeight="1">
      <c r="A227" s="164">
        <v>46248.0</v>
      </c>
      <c r="B227" s="76" t="s">
        <v>5</v>
      </c>
      <c r="C227" s="76" t="s">
        <v>149</v>
      </c>
      <c r="D227" s="76">
        <v>4892.0</v>
      </c>
      <c r="E227" s="76">
        <v>18.6</v>
      </c>
      <c r="F227" s="76">
        <v>548.62</v>
      </c>
      <c r="G227" s="76">
        <v>0.1121</v>
      </c>
      <c r="H227" s="76">
        <v>2.74</v>
      </c>
      <c r="I227" s="76">
        <v>4.0942</v>
      </c>
      <c r="J227" s="76">
        <v>62.93</v>
      </c>
      <c r="K227" s="76">
        <v>35.46</v>
      </c>
      <c r="L227" s="76">
        <v>24.71</v>
      </c>
      <c r="M227" s="76">
        <v>0.697</v>
      </c>
      <c r="N227" s="76">
        <v>0.4278</v>
      </c>
      <c r="O227" s="76">
        <v>0.2809</v>
      </c>
      <c r="P227" s="76">
        <v>1.4346</v>
      </c>
      <c r="Q227" s="76">
        <v>183.88</v>
      </c>
      <c r="R227" s="76">
        <v>168.5</v>
      </c>
      <c r="S227" s="76">
        <v>15.38</v>
      </c>
      <c r="T227" s="76">
        <v>10.57</v>
      </c>
      <c r="U227" s="76">
        <v>173.31</v>
      </c>
      <c r="V227" s="76">
        <v>156.01</v>
      </c>
      <c r="W227" s="76">
        <v>4.4001</v>
      </c>
      <c r="X227" s="76">
        <v>5.75</v>
      </c>
      <c r="Y227" s="76">
        <v>271.0</v>
      </c>
      <c r="Z227" s="76">
        <v>465.0</v>
      </c>
      <c r="AA227" s="76">
        <v>1040.0</v>
      </c>
      <c r="AB227" s="76">
        <v>53.3508</v>
      </c>
      <c r="AC227" s="76">
        <v>0.7502</v>
      </c>
      <c r="AD227" s="76">
        <v>15.58</v>
      </c>
      <c r="AE227" s="76">
        <v>6.0</v>
      </c>
      <c r="AF227" s="76">
        <v>12.0</v>
      </c>
      <c r="AG227" s="76">
        <v>21.0</v>
      </c>
      <c r="AH227" s="76">
        <v>32.0</v>
      </c>
      <c r="AI227" s="76">
        <v>55.27</v>
      </c>
      <c r="AJ227" s="76">
        <v>17.72</v>
      </c>
      <c r="AK227" s="76">
        <v>4.56</v>
      </c>
      <c r="AL227" s="76">
        <v>0.2864</v>
      </c>
      <c r="AM227" s="76">
        <v>40.76</v>
      </c>
      <c r="AN227" s="76">
        <v>40.76</v>
      </c>
      <c r="AO227" s="76">
        <v>21.95</v>
      </c>
      <c r="AP227" s="76">
        <v>11.12</v>
      </c>
      <c r="AQ227" s="76">
        <v>9.6363</v>
      </c>
      <c r="AR227" s="76">
        <v>0.1543</v>
      </c>
      <c r="AS227" s="76">
        <v>9.482</v>
      </c>
      <c r="AT227" s="76">
        <v>7.5098</v>
      </c>
      <c r="AU227" s="76">
        <v>0.2118</v>
      </c>
      <c r="AV227" s="76">
        <v>4892.0</v>
      </c>
      <c r="AW227" s="76">
        <v>0.0</v>
      </c>
      <c r="AX227" s="76">
        <v>61.05</v>
      </c>
      <c r="AY227" s="76">
        <v>107.21</v>
      </c>
      <c r="AZ227" s="76">
        <v>2.72</v>
      </c>
      <c r="BA227" s="76">
        <v>10.57</v>
      </c>
      <c r="BB227" s="76">
        <v>2.33</v>
      </c>
      <c r="BC227" s="76">
        <v>61.0</v>
      </c>
      <c r="BD227" s="76">
        <v>14369.0</v>
      </c>
      <c r="BE227" s="76">
        <v>5.3908</v>
      </c>
      <c r="BF227" s="76">
        <v>0.0822</v>
      </c>
      <c r="BG227" s="76">
        <v>5.3087</v>
      </c>
      <c r="BH227" s="76">
        <v>3.8081</v>
      </c>
      <c r="BI227" s="76">
        <v>0.1074</v>
      </c>
      <c r="BJ227" s="76">
        <v>4.2455</v>
      </c>
      <c r="BK227" s="76">
        <v>0.0722</v>
      </c>
      <c r="BL227" s="76">
        <v>4.1733</v>
      </c>
      <c r="BM227" s="76">
        <v>3.7018</v>
      </c>
      <c r="BN227" s="76">
        <v>0.1044</v>
      </c>
      <c r="BO227" s="76">
        <v>1.8038</v>
      </c>
      <c r="BP227" s="76">
        <v>0.0266</v>
      </c>
      <c r="BQ227" s="76">
        <v>1.7772</v>
      </c>
      <c r="BR227" s="76">
        <v>1.3594</v>
      </c>
      <c r="BS227" s="76">
        <v>2.1077</v>
      </c>
      <c r="BT227" s="76">
        <v>0.0272</v>
      </c>
      <c r="BU227" s="76">
        <v>2.0805</v>
      </c>
      <c r="BV227" s="76">
        <v>1.4348</v>
      </c>
      <c r="BW227" s="76">
        <v>1.4794</v>
      </c>
      <c r="BX227" s="76">
        <v>0.0284</v>
      </c>
      <c r="BY227" s="76">
        <v>1.4509</v>
      </c>
      <c r="BZ227" s="76">
        <v>1.0139</v>
      </c>
      <c r="CA227" s="76">
        <v>0.657</v>
      </c>
      <c r="CB227" s="76">
        <v>0.0192</v>
      </c>
      <c r="CC227" s="76">
        <v>0.6378</v>
      </c>
      <c r="CD227" s="76">
        <v>0.7169</v>
      </c>
      <c r="CE227" s="76">
        <v>1.9787</v>
      </c>
      <c r="CF227" s="76">
        <v>0.0249</v>
      </c>
      <c r="CG227" s="76">
        <v>1.9538</v>
      </c>
      <c r="CH227" s="76">
        <v>1.6321</v>
      </c>
      <c r="CI227" s="76">
        <v>1.6098</v>
      </c>
      <c r="CJ227" s="76">
        <v>0.028</v>
      </c>
      <c r="CK227" s="76">
        <v>1.5818</v>
      </c>
      <c r="CL227" s="76">
        <v>1.3528</v>
      </c>
      <c r="CM227" s="76">
        <v>328.49</v>
      </c>
      <c r="CN227" s="76">
        <v>95.05</v>
      </c>
      <c r="CO227" s="76">
        <v>345.59</v>
      </c>
      <c r="CP227" s="76">
        <v>280.84</v>
      </c>
      <c r="CQ227" s="76">
        <v>3.26</v>
      </c>
      <c r="CR227" s="76">
        <v>25.01</v>
      </c>
      <c r="CS227" s="76">
        <v>19.38</v>
      </c>
      <c r="CT227" s="76">
        <v>0.0</v>
      </c>
      <c r="CU227" s="76">
        <v>2001.0</v>
      </c>
      <c r="CV227" s="76">
        <v>0.07</v>
      </c>
      <c r="CW227" s="76">
        <v>183.95</v>
      </c>
      <c r="CX227" s="76">
        <v>0.66</v>
      </c>
      <c r="CY227" s="76">
        <v>3.92</v>
      </c>
    </row>
    <row r="228" ht="15.75" customHeight="1">
      <c r="A228" s="164">
        <v>46248.0</v>
      </c>
      <c r="B228" s="76" t="s">
        <v>5</v>
      </c>
      <c r="C228" s="76" t="s">
        <v>150</v>
      </c>
      <c r="D228" s="76">
        <v>3060.0</v>
      </c>
      <c r="E228" s="76">
        <v>11.63</v>
      </c>
      <c r="F228" s="76">
        <v>589.87</v>
      </c>
      <c r="G228" s="76">
        <v>0.1928</v>
      </c>
      <c r="H228" s="76">
        <v>4.02</v>
      </c>
      <c r="I228" s="76">
        <v>4.7957</v>
      </c>
      <c r="J228" s="76">
        <v>114.66</v>
      </c>
      <c r="K228" s="76">
        <v>69.44</v>
      </c>
      <c r="L228" s="76">
        <v>50.71</v>
      </c>
      <c r="M228" s="76">
        <v>0.7302</v>
      </c>
      <c r="N228" s="76">
        <v>0.3853</v>
      </c>
      <c r="O228" s="76">
        <v>0.2609</v>
      </c>
      <c r="P228" s="76">
        <v>1.3695</v>
      </c>
      <c r="Q228" s="76">
        <v>327.69</v>
      </c>
      <c r="R228" s="76">
        <v>296.92</v>
      </c>
      <c r="S228" s="76">
        <v>30.77</v>
      </c>
      <c r="T228" s="76">
        <v>20.83</v>
      </c>
      <c r="U228" s="76">
        <v>306.86</v>
      </c>
      <c r="V228" s="76">
        <v>299.07</v>
      </c>
      <c r="W228" s="76">
        <v>4.3067</v>
      </c>
      <c r="X228" s="76">
        <v>6.36</v>
      </c>
      <c r="Y228" s="76">
        <v>328.0</v>
      </c>
      <c r="Z228" s="76">
        <v>574.0</v>
      </c>
      <c r="AA228" s="76">
        <v>1238.0</v>
      </c>
      <c r="AB228" s="76">
        <v>54.7363</v>
      </c>
      <c r="AC228" s="76">
        <v>0.75</v>
      </c>
      <c r="AD228" s="76">
        <v>26.74</v>
      </c>
      <c r="AE228" s="76">
        <v>10.0</v>
      </c>
      <c r="AF228" s="76">
        <v>19.0</v>
      </c>
      <c r="AG228" s="76">
        <v>36.0</v>
      </c>
      <c r="AH228" s="76">
        <v>58.0</v>
      </c>
      <c r="AI228" s="76">
        <v>34.64</v>
      </c>
      <c r="AJ228" s="76">
        <v>9.28</v>
      </c>
      <c r="AK228" s="76">
        <v>2.45</v>
      </c>
      <c r="AL228" s="76">
        <v>0.1892</v>
      </c>
      <c r="AM228" s="76">
        <v>45.23</v>
      </c>
      <c r="AN228" s="76">
        <v>45.23</v>
      </c>
      <c r="AO228" s="76">
        <v>29.58</v>
      </c>
      <c r="AP228" s="76">
        <v>21.05</v>
      </c>
      <c r="AQ228" s="76">
        <v>14.3042</v>
      </c>
      <c r="AR228" s="76">
        <v>0.3984</v>
      </c>
      <c r="AS228" s="76">
        <v>13.9059</v>
      </c>
      <c r="AT228" s="76">
        <v>12.3317</v>
      </c>
      <c r="AU228" s="76">
        <v>0.1776</v>
      </c>
      <c r="AV228" s="76">
        <v>3060.0</v>
      </c>
      <c r="AW228" s="76">
        <v>0.0</v>
      </c>
      <c r="AX228" s="76">
        <v>112.76</v>
      </c>
      <c r="AY228" s="76">
        <v>186.07</v>
      </c>
      <c r="AZ228" s="76">
        <v>3.56</v>
      </c>
      <c r="BA228" s="76">
        <v>20.83</v>
      </c>
      <c r="BB228" s="76">
        <v>4.47</v>
      </c>
      <c r="BC228" s="76">
        <v>116.0</v>
      </c>
      <c r="BD228" s="76">
        <v>13077.0</v>
      </c>
      <c r="BE228" s="76">
        <v>7.8644</v>
      </c>
      <c r="BF228" s="76">
        <v>0.2382</v>
      </c>
      <c r="BG228" s="76">
        <v>7.6261</v>
      </c>
      <c r="BH228" s="76">
        <v>5.9592</v>
      </c>
      <c r="BI228" s="76">
        <v>0.0858</v>
      </c>
      <c r="BJ228" s="76">
        <v>6.4399</v>
      </c>
      <c r="BK228" s="76">
        <v>0.1601</v>
      </c>
      <c r="BL228" s="76">
        <v>6.2797</v>
      </c>
      <c r="BM228" s="76">
        <v>6.3725</v>
      </c>
      <c r="BN228" s="76">
        <v>0.0918</v>
      </c>
      <c r="BO228" s="76">
        <v>2.5797</v>
      </c>
      <c r="BP228" s="76">
        <v>0.0716</v>
      </c>
      <c r="BQ228" s="76">
        <v>2.5082</v>
      </c>
      <c r="BR228" s="76">
        <v>2.0108</v>
      </c>
      <c r="BS228" s="76">
        <v>3.1379</v>
      </c>
      <c r="BT228" s="76">
        <v>0.0745</v>
      </c>
      <c r="BU228" s="76">
        <v>3.0634</v>
      </c>
      <c r="BV228" s="76">
        <v>2.3209</v>
      </c>
      <c r="BW228" s="76">
        <v>2.1467</v>
      </c>
      <c r="BX228" s="76">
        <v>0.0922</v>
      </c>
      <c r="BY228" s="76">
        <v>2.0546</v>
      </c>
      <c r="BZ228" s="76">
        <v>1.6275</v>
      </c>
      <c r="CA228" s="76">
        <v>1.0703</v>
      </c>
      <c r="CB228" s="76">
        <v>0.0405</v>
      </c>
      <c r="CC228" s="76">
        <v>1.0297</v>
      </c>
      <c r="CD228" s="76">
        <v>1.2049</v>
      </c>
      <c r="CE228" s="76">
        <v>2.7964</v>
      </c>
      <c r="CF228" s="76">
        <v>0.0657</v>
      </c>
      <c r="CG228" s="76">
        <v>2.7307</v>
      </c>
      <c r="CH228" s="76">
        <v>2.635</v>
      </c>
      <c r="CI228" s="76">
        <v>2.5732</v>
      </c>
      <c r="CJ228" s="76">
        <v>0.0539</v>
      </c>
      <c r="CK228" s="76">
        <v>2.5193</v>
      </c>
      <c r="CL228" s="76">
        <v>2.5327</v>
      </c>
      <c r="CM228" s="76">
        <v>663.03</v>
      </c>
      <c r="CN228" s="76">
        <v>99.08</v>
      </c>
      <c r="CO228" s="76">
        <v>669.15</v>
      </c>
      <c r="CP228" s="76">
        <v>596.73</v>
      </c>
      <c r="CQ228" s="76">
        <v>5.18</v>
      </c>
      <c r="CR228" s="76">
        <v>31.88</v>
      </c>
      <c r="CS228" s="76">
        <v>29.24</v>
      </c>
      <c r="CT228" s="76">
        <v>0.0</v>
      </c>
      <c r="CU228" s="76">
        <v>1385.0</v>
      </c>
      <c r="CV228" s="76">
        <v>0.65</v>
      </c>
      <c r="CW228" s="76">
        <v>328.35</v>
      </c>
      <c r="CX228" s="76">
        <v>1.0</v>
      </c>
      <c r="CY228" s="76">
        <v>6.18</v>
      </c>
    </row>
    <row r="229" ht="15.75" customHeight="1">
      <c r="A229" s="164">
        <v>46248.0</v>
      </c>
      <c r="B229" s="76" t="s">
        <v>5</v>
      </c>
      <c r="C229" s="76" t="s">
        <v>151</v>
      </c>
      <c r="D229" s="76">
        <v>414.0</v>
      </c>
      <c r="E229" s="76">
        <v>1.57</v>
      </c>
      <c r="F229" s="76">
        <v>230.14</v>
      </c>
      <c r="G229" s="76">
        <v>0.5559</v>
      </c>
      <c r="H229" s="76">
        <v>5.31</v>
      </c>
      <c r="I229" s="76">
        <v>10.4609</v>
      </c>
      <c r="J229" s="76">
        <v>243.6</v>
      </c>
      <c r="K229" s="76">
        <v>170.01</v>
      </c>
      <c r="L229" s="76">
        <v>121.89</v>
      </c>
      <c r="M229" s="76">
        <v>0.717</v>
      </c>
      <c r="N229" s="76">
        <v>0.3357</v>
      </c>
      <c r="O229" s="76">
        <v>0.2272</v>
      </c>
      <c r="P229" s="76">
        <v>1.3948</v>
      </c>
      <c r="Q229" s="76">
        <v>619.0</v>
      </c>
      <c r="R229" s="76">
        <v>544.77</v>
      </c>
      <c r="S229" s="76">
        <v>74.23</v>
      </c>
      <c r="T229" s="76">
        <v>56.04</v>
      </c>
      <c r="U229" s="76">
        <v>562.96</v>
      </c>
      <c r="V229" s="76">
        <v>609.18</v>
      </c>
      <c r="W229" s="76">
        <v>3.5832</v>
      </c>
      <c r="X229" s="76">
        <v>9.05</v>
      </c>
      <c r="Y229" s="76">
        <v>441.0</v>
      </c>
      <c r="Z229" s="76">
        <v>761.0</v>
      </c>
      <c r="AA229" s="76">
        <v>1524.0</v>
      </c>
      <c r="AB229" s="76">
        <v>56.7217</v>
      </c>
      <c r="AC229" s="76">
        <v>0.7439</v>
      </c>
      <c r="AD229" s="76">
        <v>50.3</v>
      </c>
      <c r="AE229" s="76">
        <v>18.0</v>
      </c>
      <c r="AF229" s="76">
        <v>35.0</v>
      </c>
      <c r="AG229" s="76">
        <v>62.0</v>
      </c>
      <c r="AH229" s="76">
        <v>121.0</v>
      </c>
      <c r="AI229" s="76">
        <v>18.36</v>
      </c>
      <c r="AJ229" s="76">
        <v>3.62</v>
      </c>
      <c r="AK229" s="76">
        <v>0.48</v>
      </c>
      <c r="AL229" s="76">
        <v>0.1256</v>
      </c>
      <c r="AM229" s="76">
        <v>61.35</v>
      </c>
      <c r="AN229" s="76">
        <v>61.35</v>
      </c>
      <c r="AO229" s="76">
        <v>52.66</v>
      </c>
      <c r="AP229" s="76">
        <v>47.34</v>
      </c>
      <c r="AQ229" s="76">
        <v>26.7295</v>
      </c>
      <c r="AR229" s="76">
        <v>0.8309</v>
      </c>
      <c r="AS229" s="76">
        <v>25.8986</v>
      </c>
      <c r="AT229" s="76">
        <v>25.7778</v>
      </c>
      <c r="AU229" s="76">
        <v>0.1516</v>
      </c>
      <c r="AV229" s="76">
        <v>414.0</v>
      </c>
      <c r="AW229" s="76">
        <v>0.0</v>
      </c>
      <c r="AX229" s="76">
        <v>246.14</v>
      </c>
      <c r="AY229" s="76">
        <v>294.5</v>
      </c>
      <c r="AZ229" s="76">
        <v>5.65</v>
      </c>
      <c r="BA229" s="76">
        <v>56.04</v>
      </c>
      <c r="BB229" s="76">
        <v>16.67</v>
      </c>
      <c r="BC229" s="76">
        <v>212.0</v>
      </c>
      <c r="BD229" s="76">
        <v>9356.0</v>
      </c>
      <c r="BE229" s="76">
        <v>13.6401</v>
      </c>
      <c r="BF229" s="76">
        <v>0.3478</v>
      </c>
      <c r="BG229" s="76">
        <v>13.2923</v>
      </c>
      <c r="BH229" s="76">
        <v>11.4275</v>
      </c>
      <c r="BI229" s="76">
        <v>0.0672</v>
      </c>
      <c r="BJ229" s="76">
        <v>13.0894</v>
      </c>
      <c r="BK229" s="76">
        <v>0.4831</v>
      </c>
      <c r="BL229" s="76">
        <v>12.6063</v>
      </c>
      <c r="BM229" s="76">
        <v>14.3502</v>
      </c>
      <c r="BN229" s="76">
        <v>0.0844</v>
      </c>
      <c r="BO229" s="76">
        <v>4.599</v>
      </c>
      <c r="BP229" s="76">
        <v>0.1159</v>
      </c>
      <c r="BQ229" s="76">
        <v>4.4831</v>
      </c>
      <c r="BR229" s="76">
        <v>3.7971</v>
      </c>
      <c r="BS229" s="76">
        <v>5.3671</v>
      </c>
      <c r="BT229" s="76">
        <v>0.1159</v>
      </c>
      <c r="BU229" s="76">
        <v>5.2512</v>
      </c>
      <c r="BV229" s="76">
        <v>4.4034</v>
      </c>
      <c r="BW229" s="76">
        <v>3.6739</v>
      </c>
      <c r="BX229" s="76">
        <v>0.1159</v>
      </c>
      <c r="BY229" s="76">
        <v>3.558</v>
      </c>
      <c r="BZ229" s="76">
        <v>3.2271</v>
      </c>
      <c r="CA229" s="76">
        <v>2.5556</v>
      </c>
      <c r="CB229" s="76">
        <v>0.1594</v>
      </c>
      <c r="CC229" s="76">
        <v>2.3961</v>
      </c>
      <c r="CD229" s="76">
        <v>4.9493</v>
      </c>
      <c r="CE229" s="76">
        <v>5.2343</v>
      </c>
      <c r="CF229" s="76">
        <v>0.1763</v>
      </c>
      <c r="CG229" s="76">
        <v>5.058</v>
      </c>
      <c r="CH229" s="76">
        <v>4.8889</v>
      </c>
      <c r="CI229" s="76">
        <v>5.2995</v>
      </c>
      <c r="CJ229" s="76">
        <v>0.1473</v>
      </c>
      <c r="CK229" s="76">
        <v>5.1522</v>
      </c>
      <c r="CL229" s="76">
        <v>4.5121</v>
      </c>
      <c r="CM229" s="76">
        <v>1473.14</v>
      </c>
      <c r="CN229" s="76">
        <v>98.79</v>
      </c>
      <c r="CO229" s="76">
        <v>1491.14</v>
      </c>
      <c r="CP229" s="76">
        <v>1390.49</v>
      </c>
      <c r="CQ229" s="76">
        <v>9.87</v>
      </c>
      <c r="CR229" s="76">
        <v>37.25</v>
      </c>
      <c r="CS229" s="76">
        <v>35.53</v>
      </c>
      <c r="CT229" s="76">
        <v>0.0</v>
      </c>
      <c r="CU229" s="76">
        <v>200.0</v>
      </c>
      <c r="CV229" s="76">
        <v>85.9</v>
      </c>
      <c r="CW229" s="76">
        <v>704.9</v>
      </c>
      <c r="CX229" s="76">
        <v>2.2</v>
      </c>
      <c r="CY229" s="76">
        <v>12.07</v>
      </c>
    </row>
    <row r="230" ht="15.75" customHeight="1">
      <c r="A230" s="164">
        <v>46249.0</v>
      </c>
      <c r="B230" s="76" t="s">
        <v>4</v>
      </c>
      <c r="C230" s="76" t="s">
        <v>316</v>
      </c>
      <c r="D230" s="76">
        <v>5366.0</v>
      </c>
      <c r="E230" s="76">
        <v>20.58</v>
      </c>
      <c r="F230" s="76">
        <v>660.41</v>
      </c>
      <c r="G230" s="76">
        <v>0.1231</v>
      </c>
      <c r="H230" s="76">
        <v>1.4</v>
      </c>
      <c r="I230" s="76">
        <v>8.8055</v>
      </c>
      <c r="J230" s="76">
        <v>22.25</v>
      </c>
      <c r="K230" s="76">
        <v>12.6</v>
      </c>
      <c r="L230" s="76">
        <v>9.01</v>
      </c>
      <c r="M230" s="76">
        <v>0.7152</v>
      </c>
      <c r="N230" s="76">
        <v>0.4063</v>
      </c>
      <c r="O230" s="76">
        <v>0.2028</v>
      </c>
      <c r="P230" s="76">
        <v>1.3982</v>
      </c>
      <c r="Q230" s="76">
        <v>75.84</v>
      </c>
      <c r="R230" s="76">
        <v>75.71</v>
      </c>
      <c r="S230" s="76">
        <v>0.13</v>
      </c>
      <c r="T230" s="76">
        <v>9.35</v>
      </c>
      <c r="U230" s="76">
        <v>66.49</v>
      </c>
      <c r="V230" s="76">
        <v>52.03</v>
      </c>
      <c r="W230" s="76">
        <v>4.1293</v>
      </c>
      <c r="X230" s="76">
        <v>12.32</v>
      </c>
      <c r="Y230" s="76">
        <v>204.0</v>
      </c>
      <c r="Z230" s="76">
        <v>567.0</v>
      </c>
      <c r="AA230" s="76">
        <v>3553.0</v>
      </c>
      <c r="AB230" s="76">
        <v>49.9677</v>
      </c>
      <c r="AC230" s="76">
        <v>0.4928</v>
      </c>
      <c r="AI230" s="76">
        <v>0.0</v>
      </c>
      <c r="AJ230" s="76">
        <v>0.0</v>
      </c>
      <c r="AK230" s="76">
        <v>0.0</v>
      </c>
      <c r="AL230" s="76">
        <v>0.4871</v>
      </c>
      <c r="AQ230" s="76">
        <v>2.0116</v>
      </c>
      <c r="AR230" s="76">
        <v>0.084</v>
      </c>
      <c r="AS230" s="76">
        <v>1.9275</v>
      </c>
      <c r="AT230" s="76">
        <v>1.5937</v>
      </c>
      <c r="AU230" s="76">
        <v>0.1265</v>
      </c>
      <c r="AV230" s="76">
        <v>5366.0</v>
      </c>
      <c r="AW230" s="76">
        <v>0.0</v>
      </c>
      <c r="AX230" s="76">
        <v>13.0</v>
      </c>
      <c r="AY230" s="76">
        <v>50.47</v>
      </c>
      <c r="AZ230" s="76">
        <v>2.8</v>
      </c>
      <c r="BA230" s="76">
        <v>9.35</v>
      </c>
      <c r="BB230" s="76">
        <v>0.22</v>
      </c>
      <c r="BD230" s="76">
        <v>28902.0</v>
      </c>
      <c r="BE230" s="76">
        <v>0.79</v>
      </c>
      <c r="BF230" s="76">
        <v>0.0341</v>
      </c>
      <c r="BG230" s="76">
        <v>0.7559</v>
      </c>
      <c r="BH230" s="76">
        <v>0.6918</v>
      </c>
      <c r="BI230" s="76">
        <v>0.0549</v>
      </c>
      <c r="BJ230" s="76">
        <v>1.2216</v>
      </c>
      <c r="BK230" s="76">
        <v>0.0499</v>
      </c>
      <c r="BL230" s="76">
        <v>1.1716</v>
      </c>
      <c r="BM230" s="76">
        <v>0.902</v>
      </c>
      <c r="BN230" s="76">
        <v>0.0716</v>
      </c>
      <c r="BO230" s="76">
        <v>0.3021</v>
      </c>
      <c r="BP230" s="76">
        <v>0.0114</v>
      </c>
      <c r="BQ230" s="76">
        <v>0.2907</v>
      </c>
      <c r="BR230" s="76">
        <v>0.2764</v>
      </c>
      <c r="BS230" s="76">
        <v>0.2743</v>
      </c>
      <c r="BT230" s="76">
        <v>0.0108</v>
      </c>
      <c r="BU230" s="76">
        <v>0.2635</v>
      </c>
      <c r="BV230" s="76">
        <v>0.2391</v>
      </c>
      <c r="BW230" s="76">
        <v>0.2136</v>
      </c>
      <c r="BX230" s="76">
        <v>0.0119</v>
      </c>
      <c r="BY230" s="76">
        <v>0.2016</v>
      </c>
      <c r="BZ230" s="76">
        <v>0.1763</v>
      </c>
      <c r="CA230" s="76">
        <v>0.2849</v>
      </c>
      <c r="CB230" s="76">
        <v>0.0136</v>
      </c>
      <c r="CC230" s="76">
        <v>0.2713</v>
      </c>
      <c r="CD230" s="76">
        <v>0.2266</v>
      </c>
      <c r="CE230" s="76">
        <v>0.5304</v>
      </c>
      <c r="CF230" s="76">
        <v>0.0207</v>
      </c>
      <c r="CG230" s="76">
        <v>0.5097</v>
      </c>
      <c r="CH230" s="76">
        <v>0.3647</v>
      </c>
      <c r="CI230" s="76">
        <v>0.4063</v>
      </c>
      <c r="CJ230" s="76">
        <v>0.0157</v>
      </c>
      <c r="CK230" s="76">
        <v>0.3906</v>
      </c>
      <c r="CL230" s="76">
        <v>0.3107</v>
      </c>
      <c r="CM230" s="76">
        <v>174.24</v>
      </c>
      <c r="CN230" s="76">
        <v>22.21</v>
      </c>
      <c r="CO230" s="76">
        <v>784.35</v>
      </c>
      <c r="CP230" s="76">
        <v>163.32</v>
      </c>
      <c r="CQ230" s="76">
        <v>0.0</v>
      </c>
      <c r="CR230" s="76">
        <v>3.73</v>
      </c>
      <c r="CS230" s="76">
        <v>7.19</v>
      </c>
      <c r="CT230" s="76">
        <v>0.0</v>
      </c>
      <c r="CU230" s="76">
        <v>0.0</v>
      </c>
      <c r="CV230" s="76">
        <v>0.0</v>
      </c>
      <c r="CW230" s="76">
        <v>75.84</v>
      </c>
      <c r="CX230" s="76">
        <v>0.0</v>
      </c>
      <c r="CY230" s="76">
        <v>0.0</v>
      </c>
    </row>
    <row r="231" ht="15.75" customHeight="1">
      <c r="A231" s="164">
        <v>46249.0</v>
      </c>
      <c r="B231" s="76" t="s">
        <v>4</v>
      </c>
      <c r="C231" s="76" t="s">
        <v>147</v>
      </c>
      <c r="D231" s="76">
        <v>7012.0</v>
      </c>
      <c r="E231" s="76">
        <v>26.9</v>
      </c>
      <c r="F231" s="76">
        <v>106.48</v>
      </c>
      <c r="G231" s="76">
        <v>0.0152</v>
      </c>
      <c r="H231" s="76">
        <v>0.74</v>
      </c>
      <c r="I231" s="76">
        <v>2.0477</v>
      </c>
      <c r="J231" s="76">
        <v>21.78</v>
      </c>
      <c r="K231" s="76">
        <v>11.35</v>
      </c>
      <c r="L231" s="76">
        <v>5.26</v>
      </c>
      <c r="M231" s="76">
        <v>0.4637</v>
      </c>
      <c r="N231" s="76">
        <v>0.6484</v>
      </c>
      <c r="O231" s="76">
        <v>0.4062</v>
      </c>
      <c r="P231" s="76">
        <v>2.1567</v>
      </c>
      <c r="Q231" s="76">
        <v>45.75</v>
      </c>
      <c r="R231" s="76">
        <v>41.16</v>
      </c>
      <c r="S231" s="76">
        <v>4.59</v>
      </c>
      <c r="T231" s="76">
        <v>1.63</v>
      </c>
      <c r="U231" s="76">
        <v>44.13</v>
      </c>
      <c r="V231" s="76">
        <v>44.36</v>
      </c>
      <c r="W231" s="76">
        <v>3.9089</v>
      </c>
      <c r="X231" s="76">
        <v>3.55</v>
      </c>
      <c r="Y231" s="76">
        <v>205.0</v>
      </c>
      <c r="Z231" s="76">
        <v>388.0</v>
      </c>
      <c r="AA231" s="76">
        <v>1345.0</v>
      </c>
      <c r="AB231" s="76">
        <v>49.8601</v>
      </c>
      <c r="AC231" s="76">
        <v>0.598</v>
      </c>
      <c r="AD231" s="76">
        <v>3.9</v>
      </c>
      <c r="AE231" s="76">
        <v>1.0</v>
      </c>
      <c r="AF231" s="76">
        <v>3.0</v>
      </c>
      <c r="AG231" s="76">
        <v>5.0</v>
      </c>
      <c r="AH231" s="76">
        <v>8.0</v>
      </c>
      <c r="AI231" s="76">
        <v>72.29</v>
      </c>
      <c r="AJ231" s="76">
        <v>32.27</v>
      </c>
      <c r="AK231" s="76">
        <v>6.59</v>
      </c>
      <c r="AL231" s="76">
        <v>0.475</v>
      </c>
      <c r="AQ231" s="76">
        <v>3.0586</v>
      </c>
      <c r="AR231" s="76">
        <v>0.0362</v>
      </c>
      <c r="AS231" s="76">
        <v>3.0224</v>
      </c>
      <c r="AT231" s="76">
        <v>2.6028</v>
      </c>
      <c r="AU231" s="76">
        <v>0.2294</v>
      </c>
      <c r="AV231" s="76">
        <v>7012.0</v>
      </c>
      <c r="AW231" s="76">
        <v>0.0</v>
      </c>
      <c r="AX231" s="76">
        <v>24.46</v>
      </c>
      <c r="AY231" s="76">
        <v>17.11</v>
      </c>
      <c r="AZ231" s="76">
        <v>2.02</v>
      </c>
      <c r="BA231" s="76">
        <v>1.63</v>
      </c>
      <c r="BB231" s="76">
        <v>0.54</v>
      </c>
      <c r="BC231" s="76">
        <v>16.0</v>
      </c>
      <c r="BD231" s="76">
        <v>18751.0</v>
      </c>
      <c r="BE231" s="76">
        <v>1.9187</v>
      </c>
      <c r="BF231" s="76">
        <v>0.0184</v>
      </c>
      <c r="BG231" s="76">
        <v>1.9003</v>
      </c>
      <c r="BH231" s="76">
        <v>1.4853</v>
      </c>
      <c r="BI231" s="76">
        <v>0.1309</v>
      </c>
      <c r="BJ231" s="76">
        <v>1.1399</v>
      </c>
      <c r="BK231" s="76">
        <v>0.0178</v>
      </c>
      <c r="BL231" s="76">
        <v>1.1221</v>
      </c>
      <c r="BM231" s="76">
        <v>1.1175</v>
      </c>
      <c r="BN231" s="76">
        <v>0.0985</v>
      </c>
      <c r="BO231" s="76">
        <v>0.7764</v>
      </c>
      <c r="BP231" s="76">
        <v>0.0084</v>
      </c>
      <c r="BQ231" s="76">
        <v>0.768</v>
      </c>
      <c r="BR231" s="76">
        <v>0.5903</v>
      </c>
      <c r="BS231" s="76">
        <v>0.7203</v>
      </c>
      <c r="BT231" s="76">
        <v>0.0037</v>
      </c>
      <c r="BU231" s="76">
        <v>0.7166</v>
      </c>
      <c r="BV231" s="76">
        <v>0.5549</v>
      </c>
      <c r="BW231" s="76">
        <v>0.422</v>
      </c>
      <c r="BX231" s="76">
        <v>0.0063</v>
      </c>
      <c r="BY231" s="76">
        <v>0.4157</v>
      </c>
      <c r="BZ231" s="76">
        <v>0.3401</v>
      </c>
      <c r="CA231" s="76">
        <v>0.1981</v>
      </c>
      <c r="CB231" s="76">
        <v>0.0037</v>
      </c>
      <c r="CC231" s="76">
        <v>0.1944</v>
      </c>
      <c r="CD231" s="76">
        <v>0.2072</v>
      </c>
      <c r="CE231" s="76">
        <v>0.5422</v>
      </c>
      <c r="CF231" s="76">
        <v>0.0081</v>
      </c>
      <c r="CG231" s="76">
        <v>0.5341</v>
      </c>
      <c r="CH231" s="76">
        <v>0.5004</v>
      </c>
      <c r="CI231" s="76">
        <v>0.3996</v>
      </c>
      <c r="CJ231" s="76">
        <v>0.006</v>
      </c>
      <c r="CK231" s="76">
        <v>0.3936</v>
      </c>
      <c r="CL231" s="76">
        <v>0.4099</v>
      </c>
      <c r="CM231" s="76">
        <v>84.89</v>
      </c>
      <c r="CN231" s="76">
        <v>76.03</v>
      </c>
      <c r="CO231" s="76">
        <v>111.65</v>
      </c>
      <c r="CP231" s="76">
        <v>74.9</v>
      </c>
      <c r="CQ231" s="76">
        <v>0.0</v>
      </c>
      <c r="CR231" s="76">
        <v>6.91</v>
      </c>
      <c r="CS231" s="76">
        <v>3.07</v>
      </c>
      <c r="CT231" s="76">
        <v>0.0</v>
      </c>
      <c r="CU231" s="76">
        <v>1.0</v>
      </c>
      <c r="CV231" s="76">
        <v>0.0</v>
      </c>
      <c r="CW231" s="76">
        <v>45.75</v>
      </c>
      <c r="CX231" s="76">
        <v>0.0</v>
      </c>
      <c r="CY231" s="76">
        <v>0.0</v>
      </c>
    </row>
    <row r="232" ht="15.75" customHeight="1">
      <c r="A232" s="164">
        <v>46249.0</v>
      </c>
      <c r="B232" s="76" t="s">
        <v>4</v>
      </c>
      <c r="C232" s="76" t="s">
        <v>148</v>
      </c>
      <c r="D232" s="76">
        <v>5536.0</v>
      </c>
      <c r="E232" s="76">
        <v>21.23</v>
      </c>
      <c r="F232" s="76">
        <v>263.61</v>
      </c>
      <c r="G232" s="76">
        <v>0.0476</v>
      </c>
      <c r="H232" s="76">
        <v>1.66</v>
      </c>
      <c r="I232" s="76">
        <v>2.8653</v>
      </c>
      <c r="J232" s="76">
        <v>39.51</v>
      </c>
      <c r="K232" s="76">
        <v>21.8</v>
      </c>
      <c r="L232" s="76">
        <v>13.38</v>
      </c>
      <c r="M232" s="76">
        <v>0.6138</v>
      </c>
      <c r="N232" s="76">
        <v>0.5126</v>
      </c>
      <c r="O232" s="76">
        <v>0.3227</v>
      </c>
      <c r="P232" s="76">
        <v>1.6293</v>
      </c>
      <c r="Q232" s="76">
        <v>95.14</v>
      </c>
      <c r="R232" s="76">
        <v>81.92</v>
      </c>
      <c r="S232" s="76">
        <v>13.22</v>
      </c>
      <c r="T232" s="76">
        <v>3.41</v>
      </c>
      <c r="U232" s="76">
        <v>91.73</v>
      </c>
      <c r="V232" s="76">
        <v>90.1</v>
      </c>
      <c r="W232" s="76">
        <v>4.1339</v>
      </c>
      <c r="X232" s="76">
        <v>3.59</v>
      </c>
      <c r="Y232" s="76">
        <v>243.0</v>
      </c>
      <c r="Z232" s="76">
        <v>462.0</v>
      </c>
      <c r="AA232" s="76">
        <v>1438.0</v>
      </c>
      <c r="AB232" s="76">
        <v>52.1368</v>
      </c>
      <c r="AC232" s="76">
        <v>0.7022</v>
      </c>
      <c r="AD232" s="76">
        <v>9.49</v>
      </c>
      <c r="AE232" s="76">
        <v>4.0</v>
      </c>
      <c r="AF232" s="76">
        <v>8.0</v>
      </c>
      <c r="AG232" s="76">
        <v>13.0</v>
      </c>
      <c r="AH232" s="76">
        <v>19.0</v>
      </c>
      <c r="AI232" s="76">
        <v>62.93</v>
      </c>
      <c r="AJ232" s="76">
        <v>26.63</v>
      </c>
      <c r="AK232" s="76">
        <v>4.32</v>
      </c>
      <c r="AL232" s="76">
        <v>0.3553</v>
      </c>
      <c r="AQ232" s="76">
        <v>6.1924</v>
      </c>
      <c r="AR232" s="76">
        <v>0.08</v>
      </c>
      <c r="AS232" s="76">
        <v>6.1124</v>
      </c>
      <c r="AT232" s="76">
        <v>5.0773</v>
      </c>
      <c r="AU232" s="76">
        <v>0.233</v>
      </c>
      <c r="AV232" s="76">
        <v>5536.0</v>
      </c>
      <c r="AW232" s="76">
        <v>0.0</v>
      </c>
      <c r="AX232" s="76">
        <v>45.44</v>
      </c>
      <c r="AY232" s="76">
        <v>42.97</v>
      </c>
      <c r="AZ232" s="76">
        <v>2.35</v>
      </c>
      <c r="BA232" s="76">
        <v>3.41</v>
      </c>
      <c r="BB232" s="76">
        <v>0.98</v>
      </c>
      <c r="BC232" s="76">
        <v>36.0</v>
      </c>
      <c r="BD232" s="76">
        <v>20311.0</v>
      </c>
      <c r="BE232" s="76">
        <v>3.7713</v>
      </c>
      <c r="BF232" s="76">
        <v>0.0493</v>
      </c>
      <c r="BG232" s="76">
        <v>3.722</v>
      </c>
      <c r="BH232" s="76">
        <v>2.7475</v>
      </c>
      <c r="BI232" s="76">
        <v>0.1261</v>
      </c>
      <c r="BJ232" s="76">
        <v>2.4211</v>
      </c>
      <c r="BK232" s="76">
        <v>0.0307</v>
      </c>
      <c r="BL232" s="76">
        <v>2.3904</v>
      </c>
      <c r="BM232" s="76">
        <v>2.3298</v>
      </c>
      <c r="BN232" s="76">
        <v>0.1069</v>
      </c>
      <c r="BO232" s="76">
        <v>1.5069</v>
      </c>
      <c r="BP232" s="76">
        <v>0.0155</v>
      </c>
      <c r="BQ232" s="76">
        <v>1.4913</v>
      </c>
      <c r="BR232" s="76">
        <v>1.0721</v>
      </c>
      <c r="BS232" s="76">
        <v>1.4052</v>
      </c>
      <c r="BT232" s="76">
        <v>0.0117</v>
      </c>
      <c r="BU232" s="76">
        <v>1.3934</v>
      </c>
      <c r="BV232" s="76">
        <v>1.0249</v>
      </c>
      <c r="BW232" s="76">
        <v>0.8593</v>
      </c>
      <c r="BX232" s="76">
        <v>0.022</v>
      </c>
      <c r="BY232" s="76">
        <v>0.8372</v>
      </c>
      <c r="BZ232" s="76">
        <v>0.6505</v>
      </c>
      <c r="CA232" s="76">
        <v>0.4594</v>
      </c>
      <c r="CB232" s="76">
        <v>0.007</v>
      </c>
      <c r="CC232" s="76">
        <v>0.4523</v>
      </c>
      <c r="CD232" s="76">
        <v>0.5325</v>
      </c>
      <c r="CE232" s="76">
        <v>1.0365</v>
      </c>
      <c r="CF232" s="76">
        <v>0.0137</v>
      </c>
      <c r="CG232" s="76">
        <v>1.0228</v>
      </c>
      <c r="CH232" s="76">
        <v>0.9438</v>
      </c>
      <c r="CI232" s="76">
        <v>0.9252</v>
      </c>
      <c r="CJ232" s="76">
        <v>0.0099</v>
      </c>
      <c r="CK232" s="76">
        <v>0.9153</v>
      </c>
      <c r="CL232" s="76">
        <v>0.8535</v>
      </c>
      <c r="CM232" s="76">
        <v>209.39</v>
      </c>
      <c r="CN232" s="76">
        <v>89.47</v>
      </c>
      <c r="CO232" s="76">
        <v>234.03</v>
      </c>
      <c r="CP232" s="76">
        <v>187.02</v>
      </c>
      <c r="CQ232" s="76">
        <v>0.0</v>
      </c>
      <c r="CR232" s="76">
        <v>9.81</v>
      </c>
      <c r="CS232" s="76">
        <v>12.56</v>
      </c>
      <c r="CT232" s="76">
        <v>0.0</v>
      </c>
      <c r="CU232" s="76">
        <v>0.0</v>
      </c>
      <c r="CV232" s="76">
        <v>0.0</v>
      </c>
      <c r="CW232" s="76">
        <v>95.14</v>
      </c>
      <c r="CX232" s="76">
        <v>0.0</v>
      </c>
      <c r="CY232" s="76">
        <v>0.0</v>
      </c>
    </row>
    <row r="233" ht="15.75" customHeight="1">
      <c r="A233" s="164">
        <v>46249.0</v>
      </c>
      <c r="B233" s="76" t="s">
        <v>4</v>
      </c>
      <c r="C233" s="76" t="s">
        <v>149</v>
      </c>
      <c r="D233" s="76">
        <v>4779.0</v>
      </c>
      <c r="E233" s="76">
        <v>18.33</v>
      </c>
      <c r="F233" s="76">
        <v>499.96</v>
      </c>
      <c r="G233" s="76">
        <v>0.1046</v>
      </c>
      <c r="H233" s="76">
        <v>2.78</v>
      </c>
      <c r="I233" s="76">
        <v>3.7591</v>
      </c>
      <c r="J233" s="76">
        <v>59.67</v>
      </c>
      <c r="K233" s="76">
        <v>34.79</v>
      </c>
      <c r="L233" s="76">
        <v>24.45</v>
      </c>
      <c r="M233" s="76">
        <v>0.7026</v>
      </c>
      <c r="N233" s="76">
        <v>0.4232</v>
      </c>
      <c r="O233" s="76">
        <v>0.2807</v>
      </c>
      <c r="P233" s="76">
        <v>1.4232</v>
      </c>
      <c r="Q233" s="76">
        <v>162.9</v>
      </c>
      <c r="R233" s="76">
        <v>138.54</v>
      </c>
      <c r="S233" s="76">
        <v>24.36</v>
      </c>
      <c r="T233" s="76">
        <v>8.5</v>
      </c>
      <c r="U233" s="76">
        <v>154.41</v>
      </c>
      <c r="V233" s="76">
        <v>156.42</v>
      </c>
      <c r="W233" s="76">
        <v>4.496</v>
      </c>
      <c r="X233" s="76">
        <v>5.22</v>
      </c>
      <c r="Y233" s="76">
        <v>276.0</v>
      </c>
      <c r="Z233" s="76">
        <v>554.0</v>
      </c>
      <c r="AA233" s="76">
        <v>1287.0</v>
      </c>
      <c r="AB233" s="76">
        <v>53.5521</v>
      </c>
      <c r="AC233" s="76">
        <v>0.7633</v>
      </c>
      <c r="AD233" s="76">
        <v>15.75</v>
      </c>
      <c r="AE233" s="76">
        <v>6.0</v>
      </c>
      <c r="AF233" s="76">
        <v>12.0</v>
      </c>
      <c r="AG233" s="76">
        <v>22.0</v>
      </c>
      <c r="AH233" s="76">
        <v>33.0</v>
      </c>
      <c r="AI233" s="76">
        <v>53.84</v>
      </c>
      <c r="AJ233" s="76">
        <v>18.46</v>
      </c>
      <c r="AK233" s="76">
        <v>5.11</v>
      </c>
      <c r="AL233" s="76">
        <v>0.2898</v>
      </c>
      <c r="AQ233" s="76">
        <v>9.6173</v>
      </c>
      <c r="AR233" s="76">
        <v>0.2049</v>
      </c>
      <c r="AS233" s="76">
        <v>9.4124</v>
      </c>
      <c r="AT233" s="76">
        <v>7.7951</v>
      </c>
      <c r="AU233" s="76">
        <v>0.2241</v>
      </c>
      <c r="AV233" s="76">
        <v>4779.0</v>
      </c>
      <c r="AW233" s="76">
        <v>0.0</v>
      </c>
      <c r="AX233" s="76">
        <v>73.67</v>
      </c>
      <c r="AY233" s="76">
        <v>76.19</v>
      </c>
      <c r="AZ233" s="76">
        <v>2.41</v>
      </c>
      <c r="BA233" s="76">
        <v>8.5</v>
      </c>
      <c r="BB233" s="76">
        <v>2.14</v>
      </c>
      <c r="BC233" s="76">
        <v>63.0</v>
      </c>
      <c r="BD233" s="76">
        <v>15559.0</v>
      </c>
      <c r="BE233" s="76">
        <v>5.5394</v>
      </c>
      <c r="BF233" s="76">
        <v>0.1394</v>
      </c>
      <c r="BG233" s="76">
        <v>5.4001</v>
      </c>
      <c r="BH233" s="76">
        <v>4.0791</v>
      </c>
      <c r="BI233" s="76">
        <v>0.1172</v>
      </c>
      <c r="BJ233" s="76">
        <v>4.0778</v>
      </c>
      <c r="BK233" s="76">
        <v>0.0655</v>
      </c>
      <c r="BL233" s="76">
        <v>4.0123</v>
      </c>
      <c r="BM233" s="76">
        <v>3.716</v>
      </c>
      <c r="BN233" s="76">
        <v>0.1068</v>
      </c>
      <c r="BO233" s="76">
        <v>2.0442</v>
      </c>
      <c r="BP233" s="76">
        <v>0.0429</v>
      </c>
      <c r="BQ233" s="76">
        <v>2.0013</v>
      </c>
      <c r="BR233" s="76">
        <v>1.5037</v>
      </c>
      <c r="BS233" s="76">
        <v>2.0266</v>
      </c>
      <c r="BT233" s="76">
        <v>0.0448</v>
      </c>
      <c r="BU233" s="76">
        <v>1.9818</v>
      </c>
      <c r="BV233" s="76">
        <v>1.5214</v>
      </c>
      <c r="BW233" s="76">
        <v>1.4687</v>
      </c>
      <c r="BX233" s="76">
        <v>0.0517</v>
      </c>
      <c r="BY233" s="76">
        <v>1.417</v>
      </c>
      <c r="BZ233" s="76">
        <v>1.054</v>
      </c>
      <c r="CA233" s="76">
        <v>0.8487</v>
      </c>
      <c r="CB233" s="76">
        <v>0.0176</v>
      </c>
      <c r="CC233" s="76">
        <v>0.8311</v>
      </c>
      <c r="CD233" s="76">
        <v>0.8102</v>
      </c>
      <c r="CE233" s="76">
        <v>1.5055</v>
      </c>
      <c r="CF233" s="76">
        <v>0.0274</v>
      </c>
      <c r="CG233" s="76">
        <v>1.4781</v>
      </c>
      <c r="CH233" s="76">
        <v>1.3756</v>
      </c>
      <c r="CI233" s="76">
        <v>1.7236</v>
      </c>
      <c r="CJ233" s="76">
        <v>0.0205</v>
      </c>
      <c r="CK233" s="76">
        <v>1.7031</v>
      </c>
      <c r="CL233" s="76">
        <v>1.5302</v>
      </c>
      <c r="CM233" s="76">
        <v>382.33</v>
      </c>
      <c r="CN233" s="76">
        <v>96.17</v>
      </c>
      <c r="CO233" s="76">
        <v>397.55</v>
      </c>
      <c r="CP233" s="76">
        <v>349.62</v>
      </c>
      <c r="CQ233" s="76">
        <v>0.0</v>
      </c>
      <c r="CR233" s="76">
        <v>10.02</v>
      </c>
      <c r="CS233" s="76">
        <v>22.69</v>
      </c>
      <c r="CT233" s="76">
        <v>0.0</v>
      </c>
      <c r="CU233" s="76">
        <v>0.0</v>
      </c>
      <c r="CV233" s="76">
        <v>0.0</v>
      </c>
      <c r="CW233" s="76">
        <v>162.9</v>
      </c>
      <c r="CX233" s="76">
        <v>0.0</v>
      </c>
      <c r="CY233" s="76">
        <v>0.0</v>
      </c>
    </row>
    <row r="234" ht="15.75" customHeight="1">
      <c r="A234" s="164">
        <v>46249.0</v>
      </c>
      <c r="B234" s="76" t="s">
        <v>4</v>
      </c>
      <c r="C234" s="76" t="s">
        <v>150</v>
      </c>
      <c r="D234" s="76">
        <v>2945.0</v>
      </c>
      <c r="E234" s="76">
        <v>11.3</v>
      </c>
      <c r="F234" s="76">
        <v>831.4</v>
      </c>
      <c r="G234" s="76">
        <v>0.2823</v>
      </c>
      <c r="H234" s="76">
        <v>4.28</v>
      </c>
      <c r="I234" s="76">
        <v>6.5984</v>
      </c>
      <c r="J234" s="76">
        <v>110.19</v>
      </c>
      <c r="K234" s="76">
        <v>67.59</v>
      </c>
      <c r="L234" s="76">
        <v>49.73</v>
      </c>
      <c r="M234" s="76">
        <v>0.7358</v>
      </c>
      <c r="N234" s="76">
        <v>0.3859</v>
      </c>
      <c r="O234" s="76">
        <v>0.2576</v>
      </c>
      <c r="P234" s="76">
        <v>1.359</v>
      </c>
      <c r="Q234" s="76">
        <v>310.15</v>
      </c>
      <c r="R234" s="76">
        <v>265.18</v>
      </c>
      <c r="S234" s="76">
        <v>44.97</v>
      </c>
      <c r="T234" s="76">
        <v>27.11</v>
      </c>
      <c r="U234" s="76">
        <v>283.03</v>
      </c>
      <c r="V234" s="76">
        <v>294.79</v>
      </c>
      <c r="W234" s="76">
        <v>4.3616</v>
      </c>
      <c r="X234" s="76">
        <v>8.74</v>
      </c>
      <c r="Y234" s="76">
        <v>317.0</v>
      </c>
      <c r="Z234" s="76">
        <v>701.0</v>
      </c>
      <c r="AA234" s="76">
        <v>1565.0</v>
      </c>
      <c r="AB234" s="76">
        <v>55.4259</v>
      </c>
      <c r="AC234" s="76">
        <v>0.7727</v>
      </c>
      <c r="AD234" s="76">
        <v>28.31</v>
      </c>
      <c r="AE234" s="76">
        <v>10.0</v>
      </c>
      <c r="AF234" s="76">
        <v>20.0</v>
      </c>
      <c r="AG234" s="76">
        <v>40.0</v>
      </c>
      <c r="AH234" s="76">
        <v>63.0</v>
      </c>
      <c r="AI234" s="76">
        <v>38.0</v>
      </c>
      <c r="AJ234" s="76">
        <v>11.31</v>
      </c>
      <c r="AK234" s="76">
        <v>2.58</v>
      </c>
      <c r="AL234" s="76">
        <v>0.1847</v>
      </c>
      <c r="AQ234" s="76">
        <v>16.001</v>
      </c>
      <c r="AR234" s="76">
        <v>0.307</v>
      </c>
      <c r="AS234" s="76">
        <v>15.6941</v>
      </c>
      <c r="AT234" s="76">
        <v>14.5188</v>
      </c>
      <c r="AU234" s="76">
        <v>0.2148</v>
      </c>
      <c r="AV234" s="76">
        <v>2945.0</v>
      </c>
      <c r="AW234" s="76">
        <v>0.0</v>
      </c>
      <c r="AX234" s="76">
        <v>123.72</v>
      </c>
      <c r="AY234" s="76">
        <v>151.31</v>
      </c>
      <c r="AZ234" s="76">
        <v>3.66</v>
      </c>
      <c r="BA234" s="76">
        <v>27.11</v>
      </c>
      <c r="BB234" s="76">
        <v>4.33</v>
      </c>
      <c r="BC234" s="76">
        <v>119.0</v>
      </c>
      <c r="BD234" s="76">
        <v>15239.0</v>
      </c>
      <c r="BE234" s="76">
        <v>8.636</v>
      </c>
      <c r="BF234" s="76">
        <v>0.1324</v>
      </c>
      <c r="BG234" s="76">
        <v>8.5036</v>
      </c>
      <c r="BH234" s="76">
        <v>7.2676</v>
      </c>
      <c r="BI234" s="76">
        <v>0.1075</v>
      </c>
      <c r="BJ234" s="76">
        <v>7.365</v>
      </c>
      <c r="BK234" s="76">
        <v>0.1745</v>
      </c>
      <c r="BL234" s="76">
        <v>7.1905</v>
      </c>
      <c r="BM234" s="76">
        <v>7.2513</v>
      </c>
      <c r="BN234" s="76">
        <v>0.1073</v>
      </c>
      <c r="BO234" s="76">
        <v>3.0441</v>
      </c>
      <c r="BP234" s="76">
        <v>0.0465</v>
      </c>
      <c r="BQ234" s="76">
        <v>2.9976</v>
      </c>
      <c r="BR234" s="76">
        <v>2.5654</v>
      </c>
      <c r="BS234" s="76">
        <v>3.0642</v>
      </c>
      <c r="BT234" s="76">
        <v>0.0414</v>
      </c>
      <c r="BU234" s="76">
        <v>3.0228</v>
      </c>
      <c r="BV234" s="76">
        <v>2.6638</v>
      </c>
      <c r="BW234" s="76">
        <v>2.5277</v>
      </c>
      <c r="BX234" s="76">
        <v>0.0445</v>
      </c>
      <c r="BY234" s="76">
        <v>2.4832</v>
      </c>
      <c r="BZ234" s="76">
        <v>2.0384</v>
      </c>
      <c r="CA234" s="76">
        <v>1.943</v>
      </c>
      <c r="CB234" s="76">
        <v>0.0452</v>
      </c>
      <c r="CC234" s="76">
        <v>1.8978</v>
      </c>
      <c r="CD234" s="76">
        <v>2.0357</v>
      </c>
      <c r="CE234" s="76">
        <v>2.3783</v>
      </c>
      <c r="CF234" s="76">
        <v>0.0733</v>
      </c>
      <c r="CG234" s="76">
        <v>2.3049</v>
      </c>
      <c r="CH234" s="76">
        <v>2.4078</v>
      </c>
      <c r="CI234" s="76">
        <v>3.0438</v>
      </c>
      <c r="CJ234" s="76">
        <v>0.056</v>
      </c>
      <c r="CK234" s="76">
        <v>2.9878</v>
      </c>
      <c r="CL234" s="76">
        <v>2.8078</v>
      </c>
      <c r="CM234" s="76">
        <v>774.34</v>
      </c>
      <c r="CN234" s="76">
        <v>99.08</v>
      </c>
      <c r="CO234" s="76">
        <v>781.5</v>
      </c>
      <c r="CP234" s="76">
        <v>727.07</v>
      </c>
      <c r="CQ234" s="76">
        <v>0.0</v>
      </c>
      <c r="CR234" s="76">
        <v>9.63</v>
      </c>
      <c r="CS234" s="76">
        <v>37.64</v>
      </c>
      <c r="CT234" s="76">
        <v>0.0</v>
      </c>
      <c r="CU234" s="76">
        <v>0.0</v>
      </c>
      <c r="CV234" s="76">
        <v>0.0</v>
      </c>
      <c r="CW234" s="76">
        <v>310.15</v>
      </c>
      <c r="CX234" s="76">
        <v>0.0</v>
      </c>
      <c r="CY234" s="76">
        <v>0.0</v>
      </c>
    </row>
    <row r="235" ht="15.75" customHeight="1">
      <c r="A235" s="164">
        <v>46249.0</v>
      </c>
      <c r="B235" s="76" t="s">
        <v>4</v>
      </c>
      <c r="C235" s="76" t="s">
        <v>151</v>
      </c>
      <c r="D235" s="76">
        <v>433.0</v>
      </c>
      <c r="E235" s="76">
        <v>1.66</v>
      </c>
      <c r="F235" s="76">
        <v>283.16</v>
      </c>
      <c r="G235" s="76">
        <v>0.6539</v>
      </c>
      <c r="H235" s="76">
        <v>7.85</v>
      </c>
      <c r="I235" s="76">
        <v>8.3282</v>
      </c>
      <c r="J235" s="76">
        <v>232.5</v>
      </c>
      <c r="K235" s="76">
        <v>159.61</v>
      </c>
      <c r="L235" s="76">
        <v>121.36</v>
      </c>
      <c r="M235" s="76">
        <v>0.7604</v>
      </c>
      <c r="N235" s="76">
        <v>0.3338</v>
      </c>
      <c r="O235" s="76">
        <v>0.2124</v>
      </c>
      <c r="P235" s="76">
        <v>1.3152</v>
      </c>
      <c r="Q235" s="76">
        <v>617.54</v>
      </c>
      <c r="R235" s="76">
        <v>502.22</v>
      </c>
      <c r="S235" s="76">
        <v>115.32</v>
      </c>
      <c r="T235" s="76">
        <v>51.39</v>
      </c>
      <c r="U235" s="76">
        <v>566.16</v>
      </c>
      <c r="V235" s="76">
        <v>567.55</v>
      </c>
      <c r="W235" s="76">
        <v>3.5559</v>
      </c>
      <c r="X235" s="76">
        <v>8.32</v>
      </c>
      <c r="Y235" s="76">
        <v>448.0</v>
      </c>
      <c r="Z235" s="76">
        <v>915.0</v>
      </c>
      <c r="AA235" s="76">
        <v>1720.0</v>
      </c>
      <c r="AB235" s="76">
        <v>57.4695</v>
      </c>
      <c r="AC235" s="76">
        <v>0.7893</v>
      </c>
      <c r="AD235" s="76">
        <v>60.21</v>
      </c>
      <c r="AE235" s="76">
        <v>17.0</v>
      </c>
      <c r="AF235" s="76">
        <v>41.0</v>
      </c>
      <c r="AG235" s="76">
        <v>86.0</v>
      </c>
      <c r="AH235" s="76">
        <v>139.0</v>
      </c>
      <c r="AI235" s="76">
        <v>27.25</v>
      </c>
      <c r="AJ235" s="76">
        <v>5.54</v>
      </c>
      <c r="AK235" s="76">
        <v>0.92</v>
      </c>
      <c r="AL235" s="76">
        <v>0.1062</v>
      </c>
      <c r="AQ235" s="76">
        <v>33.2309</v>
      </c>
      <c r="AR235" s="76">
        <v>0.6536</v>
      </c>
      <c r="AS235" s="76">
        <v>32.5774</v>
      </c>
      <c r="AT235" s="76">
        <v>29.4134</v>
      </c>
      <c r="AU235" s="76">
        <v>0.1843</v>
      </c>
      <c r="AV235" s="76">
        <v>433.0</v>
      </c>
      <c r="AW235" s="76">
        <v>0.0</v>
      </c>
      <c r="AX235" s="76">
        <v>280.15</v>
      </c>
      <c r="AY235" s="76">
        <v>268.98</v>
      </c>
      <c r="AZ235" s="76">
        <v>5.42</v>
      </c>
      <c r="BA235" s="76">
        <v>51.39</v>
      </c>
      <c r="BB235" s="76">
        <v>11.61</v>
      </c>
      <c r="BC235" s="76">
        <v>266.0</v>
      </c>
      <c r="BD235" s="76">
        <v>16765.0</v>
      </c>
      <c r="BE235" s="76">
        <v>18.1686</v>
      </c>
      <c r="BF235" s="76">
        <v>0.2564</v>
      </c>
      <c r="BG235" s="76">
        <v>17.9122</v>
      </c>
      <c r="BH235" s="76">
        <v>14.9815</v>
      </c>
      <c r="BI235" s="76">
        <v>0.0939</v>
      </c>
      <c r="BJ235" s="76">
        <v>15.0624</v>
      </c>
      <c r="BK235" s="76">
        <v>0.3972</v>
      </c>
      <c r="BL235" s="76">
        <v>14.6651</v>
      </c>
      <c r="BM235" s="76">
        <v>14.4319</v>
      </c>
      <c r="BN235" s="76">
        <v>0.0904</v>
      </c>
      <c r="BO235" s="76">
        <v>6.3072</v>
      </c>
      <c r="BP235" s="76">
        <v>0.0831</v>
      </c>
      <c r="BQ235" s="76">
        <v>6.224</v>
      </c>
      <c r="BR235" s="76">
        <v>5.2102</v>
      </c>
      <c r="BS235" s="76">
        <v>6.6397</v>
      </c>
      <c r="BT235" s="76">
        <v>0.0831</v>
      </c>
      <c r="BU235" s="76">
        <v>6.5566</v>
      </c>
      <c r="BV235" s="76">
        <v>5.5196</v>
      </c>
      <c r="BW235" s="76">
        <v>5.2217</v>
      </c>
      <c r="BX235" s="76">
        <v>0.0901</v>
      </c>
      <c r="BY235" s="76">
        <v>5.1316</v>
      </c>
      <c r="BZ235" s="76">
        <v>4.2517</v>
      </c>
      <c r="CA235" s="76">
        <v>4.4226</v>
      </c>
      <c r="CB235" s="76">
        <v>0.1224</v>
      </c>
      <c r="CC235" s="76">
        <v>4.3002</v>
      </c>
      <c r="CD235" s="76">
        <v>4.3279</v>
      </c>
      <c r="CE235" s="76">
        <v>4.6559</v>
      </c>
      <c r="CF235" s="76">
        <v>0.1617</v>
      </c>
      <c r="CG235" s="76">
        <v>4.4942</v>
      </c>
      <c r="CH235" s="76">
        <v>4.3834</v>
      </c>
      <c r="CI235" s="76">
        <v>5.9838</v>
      </c>
      <c r="CJ235" s="76">
        <v>0.1132</v>
      </c>
      <c r="CK235" s="76">
        <v>5.8707</v>
      </c>
      <c r="CL235" s="76">
        <v>5.7206</v>
      </c>
      <c r="CM235" s="76">
        <v>1807.94</v>
      </c>
      <c r="CN235" s="76">
        <v>99.54</v>
      </c>
      <c r="CO235" s="76">
        <v>1816.33</v>
      </c>
      <c r="CP235" s="76">
        <v>1743.23</v>
      </c>
      <c r="CQ235" s="76">
        <v>0.0</v>
      </c>
      <c r="CR235" s="76">
        <v>14.55</v>
      </c>
      <c r="CS235" s="76">
        <v>50.16</v>
      </c>
      <c r="CT235" s="76">
        <v>0.0</v>
      </c>
      <c r="CU235" s="76">
        <v>0.0</v>
      </c>
      <c r="CV235" s="76">
        <v>0.0</v>
      </c>
      <c r="CW235" s="76">
        <v>617.54</v>
      </c>
      <c r="CX235" s="76">
        <v>0.0</v>
      </c>
      <c r="CY235" s="76">
        <v>0.0</v>
      </c>
    </row>
    <row r="236" ht="15.75" customHeight="1">
      <c r="A236" s="164">
        <v>46249.0</v>
      </c>
      <c r="B236" s="76" t="s">
        <v>5</v>
      </c>
      <c r="C236" s="76" t="s">
        <v>316</v>
      </c>
      <c r="D236" s="76">
        <v>5457.0</v>
      </c>
      <c r="E236" s="76">
        <v>20.98</v>
      </c>
      <c r="F236" s="76">
        <v>376.05</v>
      </c>
      <c r="G236" s="76">
        <v>0.0689</v>
      </c>
      <c r="H236" s="76">
        <v>1.21</v>
      </c>
      <c r="I236" s="76">
        <v>5.6977</v>
      </c>
      <c r="J236" s="76">
        <v>21.13</v>
      </c>
      <c r="K236" s="76">
        <v>11.3</v>
      </c>
      <c r="L236" s="76">
        <v>7.69</v>
      </c>
      <c r="M236" s="76">
        <v>0.6803</v>
      </c>
      <c r="N236" s="76">
        <v>0.4419</v>
      </c>
      <c r="O236" s="76">
        <v>0.2162</v>
      </c>
      <c r="P236" s="76">
        <v>1.4699</v>
      </c>
      <c r="Q236" s="76">
        <v>53.63</v>
      </c>
      <c r="R236" s="76">
        <v>53.55</v>
      </c>
      <c r="S236" s="76">
        <v>0.07</v>
      </c>
      <c r="T236" s="76">
        <v>5.78</v>
      </c>
      <c r="U236" s="76">
        <v>47.84</v>
      </c>
      <c r="V236" s="76">
        <v>44.03</v>
      </c>
      <c r="W236" s="76">
        <v>3.8955</v>
      </c>
      <c r="X236" s="76">
        <v>10.78</v>
      </c>
      <c r="Y236" s="76">
        <v>200.0</v>
      </c>
      <c r="Z236" s="76">
        <v>454.0</v>
      </c>
      <c r="AA236" s="76">
        <v>3094.0</v>
      </c>
      <c r="AB236" s="76">
        <v>49.8275</v>
      </c>
      <c r="AC236" s="76">
        <v>0.508</v>
      </c>
      <c r="AI236" s="76">
        <v>0.0</v>
      </c>
      <c r="AJ236" s="76">
        <v>0.0</v>
      </c>
      <c r="AK236" s="76">
        <v>0.0</v>
      </c>
      <c r="AL236" s="76">
        <v>0.4893</v>
      </c>
      <c r="AM236" s="76">
        <v>8.94</v>
      </c>
      <c r="AN236" s="76">
        <v>8.94</v>
      </c>
      <c r="AO236" s="76">
        <v>5.3</v>
      </c>
      <c r="AP236" s="76">
        <v>3.15</v>
      </c>
      <c r="AQ236" s="76">
        <v>1.5411</v>
      </c>
      <c r="AR236" s="76">
        <v>0.0572</v>
      </c>
      <c r="AS236" s="76">
        <v>1.484</v>
      </c>
      <c r="AT236" s="76">
        <v>1.4405</v>
      </c>
      <c r="AU236" s="76">
        <v>0.1275</v>
      </c>
      <c r="AV236" s="76">
        <v>5457.0</v>
      </c>
      <c r="AW236" s="76">
        <v>0.0</v>
      </c>
      <c r="AX236" s="76">
        <v>10.27</v>
      </c>
      <c r="AY236" s="76">
        <v>34.44</v>
      </c>
      <c r="AZ236" s="76">
        <v>2.95</v>
      </c>
      <c r="BA236" s="76">
        <v>5.78</v>
      </c>
      <c r="BB236" s="76">
        <v>0.19</v>
      </c>
      <c r="BD236" s="76">
        <v>27611.0</v>
      </c>
      <c r="BE236" s="76">
        <v>0.7092</v>
      </c>
      <c r="BF236" s="76">
        <v>0.0231</v>
      </c>
      <c r="BG236" s="76">
        <v>0.6861</v>
      </c>
      <c r="BH236" s="76">
        <v>0.6819</v>
      </c>
      <c r="BI236" s="76">
        <v>0.0603</v>
      </c>
      <c r="BJ236" s="76">
        <v>0.832</v>
      </c>
      <c r="BK236" s="76">
        <v>0.0341</v>
      </c>
      <c r="BL236" s="76">
        <v>0.7979</v>
      </c>
      <c r="BM236" s="76">
        <v>0.7587</v>
      </c>
      <c r="BN236" s="76">
        <v>0.0671</v>
      </c>
      <c r="BO236" s="76">
        <v>0.2864</v>
      </c>
      <c r="BP236" s="76">
        <v>0.0082</v>
      </c>
      <c r="BQ236" s="76">
        <v>0.2782</v>
      </c>
      <c r="BR236" s="76">
        <v>0.2813</v>
      </c>
      <c r="BS236" s="76">
        <v>0.2448</v>
      </c>
      <c r="BT236" s="76">
        <v>0.0071</v>
      </c>
      <c r="BU236" s="76">
        <v>0.2377</v>
      </c>
      <c r="BV236" s="76">
        <v>0.2313</v>
      </c>
      <c r="BW236" s="76">
        <v>0.1779</v>
      </c>
      <c r="BX236" s="76">
        <v>0.0077</v>
      </c>
      <c r="BY236" s="76">
        <v>0.1702</v>
      </c>
      <c r="BZ236" s="76">
        <v>0.1693</v>
      </c>
      <c r="CA236" s="76">
        <v>0.1827</v>
      </c>
      <c r="CB236" s="76">
        <v>0.0082</v>
      </c>
      <c r="CC236" s="76">
        <v>0.1745</v>
      </c>
      <c r="CD236" s="76">
        <v>0.1737</v>
      </c>
      <c r="CE236" s="76">
        <v>0.3652</v>
      </c>
      <c r="CF236" s="76">
        <v>0.0148</v>
      </c>
      <c r="CG236" s="76">
        <v>0.3504</v>
      </c>
      <c r="CH236" s="76">
        <v>0.2824</v>
      </c>
      <c r="CI236" s="76">
        <v>0.284</v>
      </c>
      <c r="CJ236" s="76">
        <v>0.011</v>
      </c>
      <c r="CK236" s="76">
        <v>0.273</v>
      </c>
      <c r="CL236" s="76">
        <v>0.3025</v>
      </c>
      <c r="CM236" s="76">
        <v>118.5</v>
      </c>
      <c r="CN236" s="76">
        <v>21.75</v>
      </c>
      <c r="CO236" s="76">
        <v>544.8</v>
      </c>
      <c r="CP236" s="76">
        <v>108.87</v>
      </c>
      <c r="CQ236" s="76">
        <v>0.0</v>
      </c>
      <c r="CR236" s="76">
        <v>3.42</v>
      </c>
      <c r="CS236" s="76">
        <v>6.21</v>
      </c>
      <c r="CT236" s="76">
        <v>0.0</v>
      </c>
      <c r="CU236" s="76">
        <v>1592.0</v>
      </c>
      <c r="CV236" s="76">
        <v>0.01</v>
      </c>
      <c r="CW236" s="76">
        <v>53.63</v>
      </c>
      <c r="CX236" s="76">
        <v>0.0</v>
      </c>
      <c r="CY236" s="76">
        <v>0.01</v>
      </c>
    </row>
    <row r="237" ht="15.75" customHeight="1">
      <c r="A237" s="164">
        <v>46249.0</v>
      </c>
      <c r="B237" s="76" t="s">
        <v>5</v>
      </c>
      <c r="C237" s="76" t="s">
        <v>147</v>
      </c>
      <c r="D237" s="76">
        <v>7144.0</v>
      </c>
      <c r="E237" s="76">
        <v>27.46</v>
      </c>
      <c r="F237" s="76">
        <v>147.73</v>
      </c>
      <c r="G237" s="76">
        <v>0.0207</v>
      </c>
      <c r="H237" s="76">
        <v>0.9</v>
      </c>
      <c r="I237" s="76">
        <v>2.3083</v>
      </c>
      <c r="J237" s="76">
        <v>21.64</v>
      </c>
      <c r="K237" s="76">
        <v>10.94</v>
      </c>
      <c r="L237" s="76">
        <v>5.15</v>
      </c>
      <c r="M237" s="76">
        <v>0.4712</v>
      </c>
      <c r="N237" s="76">
        <v>0.6392</v>
      </c>
      <c r="O237" s="76">
        <v>0.4001</v>
      </c>
      <c r="P237" s="76">
        <v>2.122</v>
      </c>
      <c r="Q237" s="76">
        <v>40.27</v>
      </c>
      <c r="R237" s="76">
        <v>37.31</v>
      </c>
      <c r="S237" s="76">
        <v>2.96</v>
      </c>
      <c r="T237" s="76">
        <v>1.71</v>
      </c>
      <c r="U237" s="76">
        <v>38.56</v>
      </c>
      <c r="V237" s="76">
        <v>38.78</v>
      </c>
      <c r="W237" s="76">
        <v>3.5453</v>
      </c>
      <c r="X237" s="76">
        <v>4.24</v>
      </c>
      <c r="Y237" s="76">
        <v>200.0</v>
      </c>
      <c r="Z237" s="76">
        <v>333.0</v>
      </c>
      <c r="AA237" s="76">
        <v>1176.0</v>
      </c>
      <c r="AB237" s="76">
        <v>49.8574</v>
      </c>
      <c r="AC237" s="76">
        <v>0.6053</v>
      </c>
      <c r="AD237" s="76">
        <v>3.87</v>
      </c>
      <c r="AE237" s="76">
        <v>1.0</v>
      </c>
      <c r="AF237" s="76">
        <v>3.0</v>
      </c>
      <c r="AG237" s="76">
        <v>5.0</v>
      </c>
      <c r="AH237" s="76">
        <v>8.0</v>
      </c>
      <c r="AI237" s="76">
        <v>72.62</v>
      </c>
      <c r="AJ237" s="76">
        <v>31.52</v>
      </c>
      <c r="AK237" s="76">
        <v>6.69</v>
      </c>
      <c r="AL237" s="76">
        <v>0.4804</v>
      </c>
      <c r="AM237" s="76">
        <v>39.36</v>
      </c>
      <c r="AN237" s="76">
        <v>39.36</v>
      </c>
      <c r="AO237" s="76">
        <v>18.13</v>
      </c>
      <c r="AP237" s="76">
        <v>5.53</v>
      </c>
      <c r="AQ237" s="76">
        <v>2.6361</v>
      </c>
      <c r="AR237" s="76">
        <v>0.0354</v>
      </c>
      <c r="AS237" s="76">
        <v>2.6006</v>
      </c>
      <c r="AT237" s="76">
        <v>2.5122</v>
      </c>
      <c r="AU237" s="76">
        <v>0.2297</v>
      </c>
      <c r="AV237" s="76">
        <v>7144.0</v>
      </c>
      <c r="AW237" s="76">
        <v>0.0</v>
      </c>
      <c r="AX237" s="76">
        <v>18.69</v>
      </c>
      <c r="AY237" s="76">
        <v>17.36</v>
      </c>
      <c r="AZ237" s="76">
        <v>1.93</v>
      </c>
      <c r="BA237" s="76">
        <v>1.71</v>
      </c>
      <c r="BB237" s="76">
        <v>0.58</v>
      </c>
      <c r="BC237" s="76">
        <v>16.0</v>
      </c>
      <c r="BD237" s="76">
        <v>18360.0</v>
      </c>
      <c r="BE237" s="76">
        <v>1.6856</v>
      </c>
      <c r="BF237" s="76">
        <v>0.0172</v>
      </c>
      <c r="BG237" s="76">
        <v>1.6684</v>
      </c>
      <c r="BH237" s="76">
        <v>1.4369</v>
      </c>
      <c r="BI237" s="76">
        <v>0.1314</v>
      </c>
      <c r="BJ237" s="76">
        <v>0.9504</v>
      </c>
      <c r="BK237" s="76">
        <v>0.0182</v>
      </c>
      <c r="BL237" s="76">
        <v>0.9323</v>
      </c>
      <c r="BM237" s="76">
        <v>1.0753</v>
      </c>
      <c r="BN237" s="76">
        <v>0.0983</v>
      </c>
      <c r="BO237" s="76">
        <v>0.7097</v>
      </c>
      <c r="BP237" s="76">
        <v>0.0076</v>
      </c>
      <c r="BQ237" s="76">
        <v>0.7021</v>
      </c>
      <c r="BR237" s="76">
        <v>0.5957</v>
      </c>
      <c r="BS237" s="76">
        <v>0.6169</v>
      </c>
      <c r="BT237" s="76">
        <v>0.0038</v>
      </c>
      <c r="BU237" s="76">
        <v>0.6131</v>
      </c>
      <c r="BV237" s="76">
        <v>0.5291</v>
      </c>
      <c r="BW237" s="76">
        <v>0.359</v>
      </c>
      <c r="BX237" s="76">
        <v>0.0059</v>
      </c>
      <c r="BY237" s="76">
        <v>0.3532</v>
      </c>
      <c r="BZ237" s="76">
        <v>0.312</v>
      </c>
      <c r="CA237" s="76">
        <v>0.1216</v>
      </c>
      <c r="CB237" s="76">
        <v>0.0035</v>
      </c>
      <c r="CC237" s="76">
        <v>0.1181</v>
      </c>
      <c r="CD237" s="76">
        <v>0.1653</v>
      </c>
      <c r="CE237" s="76">
        <v>0.4969</v>
      </c>
      <c r="CF237" s="76">
        <v>0.0067</v>
      </c>
      <c r="CG237" s="76">
        <v>0.4902</v>
      </c>
      <c r="CH237" s="76">
        <v>0.541</v>
      </c>
      <c r="CI237" s="76">
        <v>0.3319</v>
      </c>
      <c r="CJ237" s="76">
        <v>0.008</v>
      </c>
      <c r="CK237" s="76">
        <v>0.3239</v>
      </c>
      <c r="CL237" s="76">
        <v>0.369</v>
      </c>
      <c r="CM237" s="76">
        <v>74.99</v>
      </c>
      <c r="CN237" s="76">
        <v>75.77</v>
      </c>
      <c r="CO237" s="76">
        <v>98.98</v>
      </c>
      <c r="CP237" s="76">
        <v>63.79</v>
      </c>
      <c r="CQ237" s="76">
        <v>0.11</v>
      </c>
      <c r="CR237" s="76">
        <v>7.67</v>
      </c>
      <c r="CS237" s="76">
        <v>3.42</v>
      </c>
      <c r="CT237" s="76">
        <v>0.0</v>
      </c>
      <c r="CU237" s="76">
        <v>1939.0</v>
      </c>
      <c r="CV237" s="76">
        <v>0.03</v>
      </c>
      <c r="CW237" s="76">
        <v>40.3</v>
      </c>
      <c r="CX237" s="76">
        <v>0.03</v>
      </c>
      <c r="CY237" s="76">
        <v>0.14</v>
      </c>
    </row>
    <row r="238" ht="15.75" customHeight="1">
      <c r="A238" s="164">
        <v>46249.0</v>
      </c>
      <c r="B238" s="76" t="s">
        <v>5</v>
      </c>
      <c r="C238" s="76" t="s">
        <v>148</v>
      </c>
      <c r="D238" s="76">
        <v>5538.0</v>
      </c>
      <c r="E238" s="76">
        <v>21.29</v>
      </c>
      <c r="F238" s="76">
        <v>331.5</v>
      </c>
      <c r="G238" s="76">
        <v>0.0599</v>
      </c>
      <c r="H238" s="76">
        <v>2.06</v>
      </c>
      <c r="I238" s="76">
        <v>2.9079</v>
      </c>
      <c r="J238" s="76">
        <v>40.5</v>
      </c>
      <c r="K238" s="76">
        <v>21.91</v>
      </c>
      <c r="L238" s="76">
        <v>12.72</v>
      </c>
      <c r="M238" s="76">
        <v>0.5807</v>
      </c>
      <c r="N238" s="76">
        <v>0.5419</v>
      </c>
      <c r="O238" s="76">
        <v>0.3397</v>
      </c>
      <c r="P238" s="76">
        <v>1.722</v>
      </c>
      <c r="Q238" s="76">
        <v>78.72</v>
      </c>
      <c r="R238" s="76">
        <v>70.48</v>
      </c>
      <c r="S238" s="76">
        <v>8.24</v>
      </c>
      <c r="T238" s="76">
        <v>4.41</v>
      </c>
      <c r="U238" s="76">
        <v>74.32</v>
      </c>
      <c r="V238" s="76">
        <v>84.81</v>
      </c>
      <c r="W238" s="76">
        <v>3.8717</v>
      </c>
      <c r="X238" s="76">
        <v>5.6</v>
      </c>
      <c r="Y238" s="76">
        <v>213.0</v>
      </c>
      <c r="Z238" s="76">
        <v>369.0</v>
      </c>
      <c r="AA238" s="76">
        <v>968.0</v>
      </c>
      <c r="AB238" s="76">
        <v>51.905</v>
      </c>
      <c r="AC238" s="76">
        <v>0.6874</v>
      </c>
      <c r="AD238" s="76">
        <v>8.84</v>
      </c>
      <c r="AE238" s="76">
        <v>4.0</v>
      </c>
      <c r="AF238" s="76">
        <v>7.0</v>
      </c>
      <c r="AG238" s="76">
        <v>12.0</v>
      </c>
      <c r="AH238" s="76">
        <v>18.0</v>
      </c>
      <c r="AI238" s="76">
        <v>61.43</v>
      </c>
      <c r="AJ238" s="76">
        <v>23.56</v>
      </c>
      <c r="AK238" s="76">
        <v>2.87</v>
      </c>
      <c r="AL238" s="76">
        <v>0.3673</v>
      </c>
      <c r="AM238" s="76">
        <v>42.11</v>
      </c>
      <c r="AN238" s="76">
        <v>42.11</v>
      </c>
      <c r="AO238" s="76">
        <v>23.42</v>
      </c>
      <c r="AP238" s="76">
        <v>10.64</v>
      </c>
      <c r="AQ238" s="76">
        <v>4.8191</v>
      </c>
      <c r="AR238" s="76">
        <v>0.1873</v>
      </c>
      <c r="AS238" s="76">
        <v>4.6318</v>
      </c>
      <c r="AT238" s="76">
        <v>4.6417</v>
      </c>
      <c r="AU238" s="76">
        <v>0.2119</v>
      </c>
      <c r="AV238" s="76">
        <v>5538.0</v>
      </c>
      <c r="AW238" s="76">
        <v>0.0</v>
      </c>
      <c r="AX238" s="76">
        <v>36.02</v>
      </c>
      <c r="AY238" s="76">
        <v>34.25</v>
      </c>
      <c r="AZ238" s="76">
        <v>2.53</v>
      </c>
      <c r="BA238" s="76">
        <v>4.41</v>
      </c>
      <c r="BB238" s="76">
        <v>1.52</v>
      </c>
      <c r="BC238" s="76">
        <v>33.0</v>
      </c>
      <c r="BD238" s="76">
        <v>17346.0</v>
      </c>
      <c r="BE238" s="76">
        <v>2.9958</v>
      </c>
      <c r="BF238" s="76">
        <v>0.1511</v>
      </c>
      <c r="BG238" s="76">
        <v>2.8447</v>
      </c>
      <c r="BH238" s="76">
        <v>2.584</v>
      </c>
      <c r="BI238" s="76">
        <v>0.118</v>
      </c>
      <c r="BJ238" s="76">
        <v>1.8232</v>
      </c>
      <c r="BK238" s="76">
        <v>0.0361</v>
      </c>
      <c r="BL238" s="76">
        <v>1.7871</v>
      </c>
      <c r="BM238" s="76">
        <v>2.0578</v>
      </c>
      <c r="BN238" s="76">
        <v>0.0939</v>
      </c>
      <c r="BO238" s="76">
        <v>1.1051</v>
      </c>
      <c r="BP238" s="76">
        <v>0.0489</v>
      </c>
      <c r="BQ238" s="76">
        <v>1.0562</v>
      </c>
      <c r="BR238" s="76">
        <v>0.9924</v>
      </c>
      <c r="BS238" s="76">
        <v>1.1815</v>
      </c>
      <c r="BT238" s="76">
        <v>0.0462</v>
      </c>
      <c r="BU238" s="76">
        <v>1.1352</v>
      </c>
      <c r="BV238" s="76">
        <v>0.9854</v>
      </c>
      <c r="BW238" s="76">
        <v>0.7093</v>
      </c>
      <c r="BX238" s="76">
        <v>0.056</v>
      </c>
      <c r="BY238" s="76">
        <v>0.6533</v>
      </c>
      <c r="BZ238" s="76">
        <v>0.6062</v>
      </c>
      <c r="CA238" s="76">
        <v>0.2443</v>
      </c>
      <c r="CB238" s="76">
        <v>0.0083</v>
      </c>
      <c r="CC238" s="76">
        <v>0.236</v>
      </c>
      <c r="CD238" s="76">
        <v>0.3467</v>
      </c>
      <c r="CE238" s="76">
        <v>0.9133</v>
      </c>
      <c r="CF238" s="76">
        <v>0.0144</v>
      </c>
      <c r="CG238" s="76">
        <v>0.8989</v>
      </c>
      <c r="CH238" s="76">
        <v>0.9458</v>
      </c>
      <c r="CI238" s="76">
        <v>0.6656</v>
      </c>
      <c r="CJ238" s="76">
        <v>0.0134</v>
      </c>
      <c r="CK238" s="76">
        <v>0.6522</v>
      </c>
      <c r="CL238" s="76">
        <v>0.7653</v>
      </c>
      <c r="CM238" s="76">
        <v>168.66</v>
      </c>
      <c r="CN238" s="76">
        <v>88.08</v>
      </c>
      <c r="CO238" s="76">
        <v>191.48</v>
      </c>
      <c r="CP238" s="76">
        <v>145.05</v>
      </c>
      <c r="CQ238" s="76">
        <v>0.25</v>
      </c>
      <c r="CR238" s="76">
        <v>9.63</v>
      </c>
      <c r="CS238" s="76">
        <v>13.74</v>
      </c>
      <c r="CT238" s="76">
        <v>0.0</v>
      </c>
      <c r="CU238" s="76">
        <v>2024.0</v>
      </c>
      <c r="CV238" s="76">
        <v>0.05</v>
      </c>
      <c r="CW238" s="76">
        <v>78.78</v>
      </c>
      <c r="CX238" s="76">
        <v>0.05</v>
      </c>
      <c r="CY238" s="76">
        <v>0.29</v>
      </c>
    </row>
    <row r="239" ht="15.75" customHeight="1">
      <c r="A239" s="164">
        <v>46249.0</v>
      </c>
      <c r="B239" s="76" t="s">
        <v>5</v>
      </c>
      <c r="C239" s="76" t="s">
        <v>149</v>
      </c>
      <c r="D239" s="76">
        <v>4742.0</v>
      </c>
      <c r="E239" s="76">
        <v>18.23</v>
      </c>
      <c r="F239" s="76">
        <v>814.27</v>
      </c>
      <c r="G239" s="76">
        <v>0.1717</v>
      </c>
      <c r="H239" s="76">
        <v>2.74</v>
      </c>
      <c r="I239" s="76">
        <v>6.2636</v>
      </c>
      <c r="J239" s="76">
        <v>61.07</v>
      </c>
      <c r="K239" s="76">
        <v>34.79</v>
      </c>
      <c r="L239" s="76">
        <v>23.81</v>
      </c>
      <c r="M239" s="76">
        <v>0.6843</v>
      </c>
      <c r="N239" s="76">
        <v>0.4419</v>
      </c>
      <c r="O239" s="76">
        <v>0.2881</v>
      </c>
      <c r="P239" s="76">
        <v>1.4614</v>
      </c>
      <c r="Q239" s="76">
        <v>140.6</v>
      </c>
      <c r="R239" s="76">
        <v>125.71</v>
      </c>
      <c r="S239" s="76">
        <v>14.89</v>
      </c>
      <c r="T239" s="76">
        <v>13.07</v>
      </c>
      <c r="U239" s="76">
        <v>127.53</v>
      </c>
      <c r="V239" s="76">
        <v>150.45</v>
      </c>
      <c r="W239" s="76">
        <v>4.3242</v>
      </c>
      <c r="X239" s="76">
        <v>9.3</v>
      </c>
      <c r="Y239" s="76">
        <v>243.0</v>
      </c>
      <c r="Z239" s="76">
        <v>457.0</v>
      </c>
      <c r="AA239" s="76">
        <v>1052.0</v>
      </c>
      <c r="AB239" s="76">
        <v>53.5197</v>
      </c>
      <c r="AC239" s="76">
        <v>0.7518</v>
      </c>
      <c r="AD239" s="76">
        <v>15.1</v>
      </c>
      <c r="AE239" s="76">
        <v>6.0</v>
      </c>
      <c r="AF239" s="76">
        <v>11.0</v>
      </c>
      <c r="AG239" s="76">
        <v>21.0</v>
      </c>
      <c r="AH239" s="76">
        <v>31.0</v>
      </c>
      <c r="AI239" s="76">
        <v>52.95</v>
      </c>
      <c r="AJ239" s="76">
        <v>16.81</v>
      </c>
      <c r="AK239" s="76">
        <v>4.09</v>
      </c>
      <c r="AL239" s="76">
        <v>0.2746</v>
      </c>
      <c r="AM239" s="76">
        <v>41.25</v>
      </c>
      <c r="AN239" s="76">
        <v>41.25</v>
      </c>
      <c r="AO239" s="76">
        <v>21.4</v>
      </c>
      <c r="AP239" s="76">
        <v>10.04</v>
      </c>
      <c r="AQ239" s="76">
        <v>6.8851</v>
      </c>
      <c r="AR239" s="76">
        <v>0.2973</v>
      </c>
      <c r="AS239" s="76">
        <v>6.5877</v>
      </c>
      <c r="AT239" s="76">
        <v>6.9939</v>
      </c>
      <c r="AU239" s="76">
        <v>0.201</v>
      </c>
      <c r="AV239" s="76">
        <v>4742.0</v>
      </c>
      <c r="AW239" s="76">
        <v>0.0</v>
      </c>
      <c r="AX239" s="76">
        <v>59.2</v>
      </c>
      <c r="AY239" s="76">
        <v>63.69</v>
      </c>
      <c r="AZ239" s="76">
        <v>2.65</v>
      </c>
      <c r="BA239" s="76">
        <v>13.06</v>
      </c>
      <c r="BB239" s="76">
        <v>1.99</v>
      </c>
      <c r="BC239" s="76">
        <v>61.0</v>
      </c>
      <c r="BD239" s="76">
        <v>13338.0</v>
      </c>
      <c r="BE239" s="76">
        <v>4.0188</v>
      </c>
      <c r="BF239" s="76">
        <v>0.1961</v>
      </c>
      <c r="BG239" s="76">
        <v>3.8226</v>
      </c>
      <c r="BH239" s="76">
        <v>3.5485</v>
      </c>
      <c r="BI239" s="76">
        <v>0.102</v>
      </c>
      <c r="BJ239" s="76">
        <v>2.8663</v>
      </c>
      <c r="BK239" s="76">
        <v>0.1012</v>
      </c>
      <c r="BL239" s="76">
        <v>2.7651</v>
      </c>
      <c r="BM239" s="76">
        <v>3.4454</v>
      </c>
      <c r="BN239" s="76">
        <v>0.099</v>
      </c>
      <c r="BO239" s="76">
        <v>1.3798</v>
      </c>
      <c r="BP239" s="76">
        <v>0.0668</v>
      </c>
      <c r="BQ239" s="76">
        <v>1.3129</v>
      </c>
      <c r="BR239" s="76">
        <v>1.2575</v>
      </c>
      <c r="BS239" s="76">
        <v>1.608</v>
      </c>
      <c r="BT239" s="76">
        <v>0.065</v>
      </c>
      <c r="BU239" s="76">
        <v>1.543</v>
      </c>
      <c r="BV239" s="76">
        <v>1.3752</v>
      </c>
      <c r="BW239" s="76">
        <v>1.031</v>
      </c>
      <c r="BX239" s="76">
        <v>0.0643</v>
      </c>
      <c r="BY239" s="76">
        <v>0.9667</v>
      </c>
      <c r="BZ239" s="76">
        <v>0.9159</v>
      </c>
      <c r="CA239" s="76">
        <v>0.4336</v>
      </c>
      <c r="CB239" s="76">
        <v>0.0278</v>
      </c>
      <c r="CC239" s="76">
        <v>0.4057</v>
      </c>
      <c r="CD239" s="76">
        <v>0.6516</v>
      </c>
      <c r="CE239" s="76">
        <v>1.2948</v>
      </c>
      <c r="CF239" s="76">
        <v>0.0399</v>
      </c>
      <c r="CG239" s="76">
        <v>1.255</v>
      </c>
      <c r="CH239" s="76">
        <v>1.4926</v>
      </c>
      <c r="CI239" s="76">
        <v>1.1379</v>
      </c>
      <c r="CJ239" s="76">
        <v>0.0335</v>
      </c>
      <c r="CK239" s="76">
        <v>1.1044</v>
      </c>
      <c r="CL239" s="76">
        <v>1.3011</v>
      </c>
      <c r="CM239" s="76">
        <v>316.84</v>
      </c>
      <c r="CN239" s="76">
        <v>95.74</v>
      </c>
      <c r="CO239" s="76">
        <v>330.94</v>
      </c>
      <c r="CP239" s="76">
        <v>281.07</v>
      </c>
      <c r="CQ239" s="76">
        <v>0.2</v>
      </c>
      <c r="CR239" s="76">
        <v>10.48</v>
      </c>
      <c r="CS239" s="76">
        <v>25.09</v>
      </c>
      <c r="CT239" s="76">
        <v>0.0</v>
      </c>
      <c r="CU239" s="76">
        <v>1943.0</v>
      </c>
      <c r="CV239" s="76">
        <v>0.01</v>
      </c>
      <c r="CW239" s="76">
        <v>140.61</v>
      </c>
      <c r="CX239" s="76">
        <v>0.2</v>
      </c>
      <c r="CY239" s="76">
        <v>0.4</v>
      </c>
    </row>
    <row r="240" ht="15.75" customHeight="1">
      <c r="A240" s="164">
        <v>46249.0</v>
      </c>
      <c r="B240" s="76" t="s">
        <v>5</v>
      </c>
      <c r="C240" s="76" t="s">
        <v>150</v>
      </c>
      <c r="D240" s="76">
        <v>2755.0</v>
      </c>
      <c r="E240" s="76">
        <v>10.59</v>
      </c>
      <c r="F240" s="76">
        <v>645.3</v>
      </c>
      <c r="G240" s="76">
        <v>0.2342</v>
      </c>
      <c r="H240" s="76">
        <v>4.5</v>
      </c>
      <c r="I240" s="76">
        <v>5.204</v>
      </c>
      <c r="J240" s="76">
        <v>113.07</v>
      </c>
      <c r="K240" s="76">
        <v>68.43</v>
      </c>
      <c r="L240" s="76">
        <v>49.01</v>
      </c>
      <c r="M240" s="76">
        <v>0.7163</v>
      </c>
      <c r="N240" s="76">
        <v>0.4003</v>
      </c>
      <c r="O240" s="76">
        <v>0.2633</v>
      </c>
      <c r="P240" s="76">
        <v>1.3961</v>
      </c>
      <c r="Q240" s="76">
        <v>253.89</v>
      </c>
      <c r="R240" s="76">
        <v>224.58</v>
      </c>
      <c r="S240" s="76">
        <v>29.31</v>
      </c>
      <c r="T240" s="76">
        <v>24.05</v>
      </c>
      <c r="U240" s="76">
        <v>229.84</v>
      </c>
      <c r="V240" s="76">
        <v>258.95</v>
      </c>
      <c r="W240" s="76">
        <v>3.7843</v>
      </c>
      <c r="X240" s="76">
        <v>9.47</v>
      </c>
      <c r="Y240" s="76">
        <v>270.0</v>
      </c>
      <c r="Z240" s="76">
        <v>567.0</v>
      </c>
      <c r="AA240" s="76">
        <v>1266.0</v>
      </c>
      <c r="AB240" s="76">
        <v>55.1954</v>
      </c>
      <c r="AC240" s="76">
        <v>0.7619</v>
      </c>
      <c r="AD240" s="76">
        <v>26.59</v>
      </c>
      <c r="AE240" s="76">
        <v>9.0</v>
      </c>
      <c r="AF240" s="76">
        <v>18.0</v>
      </c>
      <c r="AG240" s="76">
        <v>36.0</v>
      </c>
      <c r="AH240" s="76">
        <v>60.0</v>
      </c>
      <c r="AI240" s="76">
        <v>34.19</v>
      </c>
      <c r="AJ240" s="76">
        <v>9.95</v>
      </c>
      <c r="AK240" s="76">
        <v>2.87</v>
      </c>
      <c r="AL240" s="76">
        <v>0.1855</v>
      </c>
      <c r="AM240" s="76">
        <v>36.95</v>
      </c>
      <c r="AN240" s="76">
        <v>36.95</v>
      </c>
      <c r="AO240" s="76">
        <v>21.67</v>
      </c>
      <c r="AP240" s="76">
        <v>13.68</v>
      </c>
      <c r="AQ240" s="76">
        <v>10.0138</v>
      </c>
      <c r="AR240" s="76">
        <v>0.3376</v>
      </c>
      <c r="AS240" s="76">
        <v>9.6762</v>
      </c>
      <c r="AT240" s="76">
        <v>10.6588</v>
      </c>
      <c r="AU240" s="76">
        <v>0.1558</v>
      </c>
      <c r="AV240" s="76">
        <v>2755.0</v>
      </c>
      <c r="AW240" s="76">
        <v>0.0</v>
      </c>
      <c r="AX240" s="76">
        <v>104.07</v>
      </c>
      <c r="AY240" s="76">
        <v>117.9</v>
      </c>
      <c r="AZ240" s="76">
        <v>3.6</v>
      </c>
      <c r="BA240" s="76">
        <v>24.05</v>
      </c>
      <c r="BB240" s="76">
        <v>4.27</v>
      </c>
      <c r="BC240" s="76">
        <v>126.0</v>
      </c>
      <c r="BD240" s="76">
        <v>12616.0</v>
      </c>
      <c r="BE240" s="76">
        <v>5.3535</v>
      </c>
      <c r="BF240" s="76">
        <v>0.147</v>
      </c>
      <c r="BG240" s="76">
        <v>5.2065</v>
      </c>
      <c r="BH240" s="76">
        <v>5.1546</v>
      </c>
      <c r="BI240" s="76">
        <v>0.0753</v>
      </c>
      <c r="BJ240" s="76">
        <v>4.6603</v>
      </c>
      <c r="BK240" s="76">
        <v>0.1906</v>
      </c>
      <c r="BL240" s="76">
        <v>4.4697</v>
      </c>
      <c r="BM240" s="76">
        <v>5.5042</v>
      </c>
      <c r="BN240" s="76">
        <v>0.0804</v>
      </c>
      <c r="BO240" s="76">
        <v>1.8555</v>
      </c>
      <c r="BP240" s="76">
        <v>0.0505</v>
      </c>
      <c r="BQ240" s="76">
        <v>1.8051</v>
      </c>
      <c r="BR240" s="76">
        <v>1.8323</v>
      </c>
      <c r="BS240" s="76">
        <v>2.045</v>
      </c>
      <c r="BT240" s="76">
        <v>0.0417</v>
      </c>
      <c r="BU240" s="76">
        <v>2.0033</v>
      </c>
      <c r="BV240" s="76">
        <v>1.9241</v>
      </c>
      <c r="BW240" s="76">
        <v>1.453</v>
      </c>
      <c r="BX240" s="76">
        <v>0.0548</v>
      </c>
      <c r="BY240" s="76">
        <v>1.3982</v>
      </c>
      <c r="BZ240" s="76">
        <v>1.3982</v>
      </c>
      <c r="CA240" s="76">
        <v>0.7938</v>
      </c>
      <c r="CB240" s="76">
        <v>0.0508</v>
      </c>
      <c r="CC240" s="76">
        <v>0.743</v>
      </c>
      <c r="CD240" s="76">
        <v>1.0603</v>
      </c>
      <c r="CE240" s="76">
        <v>1.9463</v>
      </c>
      <c r="CF240" s="76">
        <v>0.0791</v>
      </c>
      <c r="CG240" s="76">
        <v>1.8672</v>
      </c>
      <c r="CH240" s="76">
        <v>2.2653</v>
      </c>
      <c r="CI240" s="76">
        <v>1.9201</v>
      </c>
      <c r="CJ240" s="76">
        <v>0.0606</v>
      </c>
      <c r="CK240" s="76">
        <v>1.8595</v>
      </c>
      <c r="CL240" s="76">
        <v>2.1786</v>
      </c>
      <c r="CM240" s="76">
        <v>630.95</v>
      </c>
      <c r="CN240" s="76">
        <v>99.2</v>
      </c>
      <c r="CO240" s="76">
        <v>636.03</v>
      </c>
      <c r="CP240" s="76">
        <v>587.17</v>
      </c>
      <c r="CQ240" s="76">
        <v>0.07</v>
      </c>
      <c r="CR240" s="76">
        <v>9.5</v>
      </c>
      <c r="CS240" s="76">
        <v>34.22</v>
      </c>
      <c r="CT240" s="76">
        <v>0.0</v>
      </c>
      <c r="CU240" s="76">
        <v>1200.0</v>
      </c>
      <c r="CV240" s="76">
        <v>0.01</v>
      </c>
      <c r="CW240" s="76">
        <v>253.89</v>
      </c>
      <c r="CX240" s="76">
        <v>0.01</v>
      </c>
      <c r="CY240" s="76">
        <v>0.08</v>
      </c>
    </row>
    <row r="241" ht="15.75" customHeight="1">
      <c r="A241" s="164">
        <v>46249.0</v>
      </c>
      <c r="B241" s="76" t="s">
        <v>5</v>
      </c>
      <c r="C241" s="76" t="s">
        <v>151</v>
      </c>
      <c r="D241" s="76">
        <v>378.0</v>
      </c>
      <c r="E241" s="76">
        <v>1.45</v>
      </c>
      <c r="F241" s="76">
        <v>266.45</v>
      </c>
      <c r="G241" s="76">
        <v>0.7049</v>
      </c>
      <c r="H241" s="76">
        <v>8.2</v>
      </c>
      <c r="I241" s="76">
        <v>8.5952</v>
      </c>
      <c r="J241" s="76">
        <v>241.56</v>
      </c>
      <c r="K241" s="76">
        <v>162.58</v>
      </c>
      <c r="L241" s="76">
        <v>118.87</v>
      </c>
      <c r="M241" s="76">
        <v>0.7311</v>
      </c>
      <c r="N241" s="76">
        <v>0.3611</v>
      </c>
      <c r="O241" s="76">
        <v>0.2311</v>
      </c>
      <c r="P241" s="76">
        <v>1.3678</v>
      </c>
      <c r="Q241" s="76">
        <v>502.81</v>
      </c>
      <c r="R241" s="76">
        <v>428.93</v>
      </c>
      <c r="S241" s="76">
        <v>73.88</v>
      </c>
      <c r="T241" s="76">
        <v>60.05</v>
      </c>
      <c r="U241" s="76">
        <v>442.75</v>
      </c>
      <c r="V241" s="76">
        <v>530.03</v>
      </c>
      <c r="W241" s="76">
        <v>3.2601</v>
      </c>
      <c r="X241" s="76">
        <v>11.94</v>
      </c>
      <c r="Y241" s="76">
        <v>353.0</v>
      </c>
      <c r="Z241" s="76">
        <v>756.0</v>
      </c>
      <c r="AA241" s="76">
        <v>1632.0</v>
      </c>
      <c r="AB241" s="76">
        <v>56.9893</v>
      </c>
      <c r="AC241" s="76">
        <v>0.7702</v>
      </c>
      <c r="AD241" s="76">
        <v>53.37</v>
      </c>
      <c r="AE241" s="76">
        <v>16.0</v>
      </c>
      <c r="AF241" s="76">
        <v>37.0</v>
      </c>
      <c r="AG241" s="76">
        <v>74.0</v>
      </c>
      <c r="AH241" s="76">
        <v>122.0</v>
      </c>
      <c r="AI241" s="76">
        <v>23.28</v>
      </c>
      <c r="AJ241" s="76">
        <v>3.44</v>
      </c>
      <c r="AK241" s="76">
        <v>0.53</v>
      </c>
      <c r="AL241" s="76">
        <v>0.0873</v>
      </c>
      <c r="AM241" s="76">
        <v>48.15</v>
      </c>
      <c r="AN241" s="76">
        <v>48.15</v>
      </c>
      <c r="AO241" s="76">
        <v>36.24</v>
      </c>
      <c r="AP241" s="76">
        <v>30.16</v>
      </c>
      <c r="AQ241" s="76">
        <v>19.3862</v>
      </c>
      <c r="AR241" s="76">
        <v>0.7963</v>
      </c>
      <c r="AS241" s="76">
        <v>18.5899</v>
      </c>
      <c r="AT241" s="76">
        <v>23.7037</v>
      </c>
      <c r="AU241" s="76">
        <v>0.1458</v>
      </c>
      <c r="AV241" s="76">
        <v>378.0</v>
      </c>
      <c r="AW241" s="76">
        <v>0.0</v>
      </c>
      <c r="AX241" s="76">
        <v>229.39</v>
      </c>
      <c r="AY241" s="76">
        <v>198.51</v>
      </c>
      <c r="AZ241" s="76">
        <v>6.65</v>
      </c>
      <c r="BA241" s="76">
        <v>60.05</v>
      </c>
      <c r="BB241" s="76">
        <v>8.2</v>
      </c>
      <c r="BC241" s="76">
        <v>238.0</v>
      </c>
      <c r="BD241" s="76">
        <v>12039.0</v>
      </c>
      <c r="BE241" s="76">
        <v>10.1138</v>
      </c>
      <c r="BF241" s="76">
        <v>0.3968</v>
      </c>
      <c r="BG241" s="76">
        <v>9.7169</v>
      </c>
      <c r="BH241" s="76">
        <v>10.1587</v>
      </c>
      <c r="BI241" s="76">
        <v>0.0625</v>
      </c>
      <c r="BJ241" s="76">
        <v>9.2725</v>
      </c>
      <c r="BK241" s="76">
        <v>0.3995</v>
      </c>
      <c r="BL241" s="76">
        <v>8.873</v>
      </c>
      <c r="BM241" s="76">
        <v>13.545</v>
      </c>
      <c r="BN241" s="76">
        <v>0.0833</v>
      </c>
      <c r="BO241" s="76">
        <v>3.4127</v>
      </c>
      <c r="BP241" s="76">
        <v>0.1243</v>
      </c>
      <c r="BQ241" s="76">
        <v>3.2884</v>
      </c>
      <c r="BR241" s="76">
        <v>3.4418</v>
      </c>
      <c r="BS241" s="76">
        <v>3.6561</v>
      </c>
      <c r="BT241" s="76">
        <v>0.1005</v>
      </c>
      <c r="BU241" s="76">
        <v>3.5556</v>
      </c>
      <c r="BV241" s="76">
        <v>3.6005</v>
      </c>
      <c r="BW241" s="76">
        <v>3.045</v>
      </c>
      <c r="BX241" s="76">
        <v>0.172</v>
      </c>
      <c r="BY241" s="76">
        <v>2.873</v>
      </c>
      <c r="BZ241" s="76">
        <v>3.1164</v>
      </c>
      <c r="CA241" s="76">
        <v>1.6217</v>
      </c>
      <c r="CB241" s="76">
        <v>0.1032</v>
      </c>
      <c r="CC241" s="76">
        <v>1.5185</v>
      </c>
      <c r="CD241" s="76">
        <v>4.7407</v>
      </c>
      <c r="CE241" s="76">
        <v>3.5952</v>
      </c>
      <c r="CF241" s="76">
        <v>0.1561</v>
      </c>
      <c r="CG241" s="76">
        <v>3.4392</v>
      </c>
      <c r="CH241" s="76">
        <v>4.254</v>
      </c>
      <c r="CI241" s="76">
        <v>4.0556</v>
      </c>
      <c r="CJ241" s="76">
        <v>0.1402</v>
      </c>
      <c r="CK241" s="76">
        <v>3.9153</v>
      </c>
      <c r="CL241" s="76">
        <v>4.5503</v>
      </c>
      <c r="CM241" s="76">
        <v>1475.15</v>
      </c>
      <c r="CN241" s="76">
        <v>99.74</v>
      </c>
      <c r="CO241" s="76">
        <v>1479.06</v>
      </c>
      <c r="CP241" s="76">
        <v>1418.74</v>
      </c>
      <c r="CQ241" s="76">
        <v>0.33</v>
      </c>
      <c r="CR241" s="76">
        <v>14.18</v>
      </c>
      <c r="CS241" s="76">
        <v>41.9</v>
      </c>
      <c r="CT241" s="76">
        <v>0.0</v>
      </c>
      <c r="CU241" s="76">
        <v>169.0</v>
      </c>
      <c r="CV241" s="76">
        <v>0.0</v>
      </c>
      <c r="CW241" s="76">
        <v>502.81</v>
      </c>
      <c r="CX241" s="76">
        <v>0.0</v>
      </c>
      <c r="CY241" s="76">
        <v>0.33</v>
      </c>
    </row>
    <row r="242" ht="15.75" customHeight="1">
      <c r="A242" s="164">
        <v>46250.0</v>
      </c>
      <c r="B242" s="76" t="s">
        <v>4</v>
      </c>
      <c r="C242" s="76" t="s">
        <v>316</v>
      </c>
      <c r="D242" s="76">
        <v>5360.0</v>
      </c>
      <c r="E242" s="76">
        <v>20.6</v>
      </c>
      <c r="F242" s="76">
        <v>585.24</v>
      </c>
      <c r="G242" s="76">
        <v>0.1092</v>
      </c>
      <c r="H242" s="76">
        <v>1.57</v>
      </c>
      <c r="I242" s="76">
        <v>6.9671</v>
      </c>
      <c r="J242" s="76">
        <v>23.85</v>
      </c>
      <c r="K242" s="76">
        <v>13.51</v>
      </c>
      <c r="L242" s="76">
        <v>9.21</v>
      </c>
      <c r="M242" s="76">
        <v>0.682</v>
      </c>
      <c r="N242" s="76">
        <v>0.4378</v>
      </c>
      <c r="O242" s="76">
        <v>0.2125</v>
      </c>
      <c r="P242" s="76">
        <v>1.4664</v>
      </c>
      <c r="Q242" s="76">
        <v>54.81</v>
      </c>
      <c r="R242" s="76">
        <v>54.73</v>
      </c>
      <c r="S242" s="76">
        <v>0.09</v>
      </c>
      <c r="T242" s="76">
        <v>10.3</v>
      </c>
      <c r="U242" s="76">
        <v>44.51</v>
      </c>
      <c r="V242" s="76">
        <v>48.01</v>
      </c>
      <c r="W242" s="76">
        <v>3.5545</v>
      </c>
      <c r="X242" s="76">
        <v>18.79</v>
      </c>
      <c r="Y242" s="76">
        <v>201.0</v>
      </c>
      <c r="Z242" s="76">
        <v>540.0</v>
      </c>
      <c r="AA242" s="76">
        <v>3910.0</v>
      </c>
      <c r="AB242" s="76">
        <v>50.2842</v>
      </c>
      <c r="AC242" s="76">
        <v>0.4868</v>
      </c>
      <c r="AI242" s="76">
        <v>0.0</v>
      </c>
      <c r="AJ242" s="76">
        <v>0.0</v>
      </c>
      <c r="AK242" s="76">
        <v>0.0</v>
      </c>
      <c r="AQ242" s="76">
        <v>1.6752</v>
      </c>
      <c r="AR242" s="76">
        <v>0.1095</v>
      </c>
      <c r="AS242" s="76">
        <v>1.5657</v>
      </c>
      <c r="AT242" s="76">
        <v>1.5153</v>
      </c>
      <c r="AU242" s="76">
        <v>0.1122</v>
      </c>
      <c r="AV242" s="76">
        <v>5360.0</v>
      </c>
      <c r="AW242" s="76">
        <v>0.0</v>
      </c>
      <c r="AX242" s="76">
        <v>12.72</v>
      </c>
      <c r="AY242" s="76">
        <v>28.54</v>
      </c>
      <c r="AZ242" s="76">
        <v>3.03</v>
      </c>
      <c r="BA242" s="76">
        <v>10.3</v>
      </c>
      <c r="BB242" s="76">
        <v>0.21</v>
      </c>
      <c r="BD242" s="76">
        <v>29115.0</v>
      </c>
      <c r="BE242" s="76">
        <v>0.7244</v>
      </c>
      <c r="BF242" s="76">
        <v>0.0448</v>
      </c>
      <c r="BG242" s="76">
        <v>0.6797</v>
      </c>
      <c r="BH242" s="76">
        <v>0.6961</v>
      </c>
      <c r="BI242" s="76">
        <v>0.0515</v>
      </c>
      <c r="BJ242" s="76">
        <v>0.9507</v>
      </c>
      <c r="BK242" s="76">
        <v>0.0647</v>
      </c>
      <c r="BL242" s="76">
        <v>0.886</v>
      </c>
      <c r="BM242" s="76">
        <v>0.8192</v>
      </c>
      <c r="BN242" s="76">
        <v>0.0606</v>
      </c>
      <c r="BO242" s="76">
        <v>0.2778</v>
      </c>
      <c r="BP242" s="76">
        <v>0.0155</v>
      </c>
      <c r="BQ242" s="76">
        <v>0.2623</v>
      </c>
      <c r="BR242" s="76">
        <v>0.275</v>
      </c>
      <c r="BS242" s="76">
        <v>0.2472</v>
      </c>
      <c r="BT242" s="76">
        <v>0.0149</v>
      </c>
      <c r="BU242" s="76">
        <v>0.2323</v>
      </c>
      <c r="BV242" s="76">
        <v>0.2377</v>
      </c>
      <c r="BW242" s="76">
        <v>0.1994</v>
      </c>
      <c r="BX242" s="76">
        <v>0.0144</v>
      </c>
      <c r="BY242" s="76">
        <v>0.1851</v>
      </c>
      <c r="BZ242" s="76">
        <v>0.1834</v>
      </c>
      <c r="CA242" s="76">
        <v>0.1942</v>
      </c>
      <c r="CB242" s="76">
        <v>0.0168</v>
      </c>
      <c r="CC242" s="76">
        <v>0.1774</v>
      </c>
      <c r="CD242" s="76">
        <v>0.1961</v>
      </c>
      <c r="CE242" s="76">
        <v>0.4716</v>
      </c>
      <c r="CF242" s="76">
        <v>0.0282</v>
      </c>
      <c r="CG242" s="76">
        <v>0.4435</v>
      </c>
      <c r="CH242" s="76">
        <v>0.3638</v>
      </c>
      <c r="CI242" s="76">
        <v>0.2849</v>
      </c>
      <c r="CJ242" s="76">
        <v>0.0198</v>
      </c>
      <c r="CK242" s="76">
        <v>0.2651</v>
      </c>
      <c r="CL242" s="76">
        <v>0.2593</v>
      </c>
      <c r="CM242" s="76">
        <v>170.48</v>
      </c>
      <c r="CN242" s="76">
        <v>21.34</v>
      </c>
      <c r="CO242" s="76">
        <v>798.75</v>
      </c>
      <c r="CP242" s="76">
        <v>163.97</v>
      </c>
      <c r="CQ242" s="76">
        <v>0.0</v>
      </c>
      <c r="CR242" s="76">
        <v>2.66</v>
      </c>
      <c r="CS242" s="76">
        <v>3.85</v>
      </c>
      <c r="CT242" s="76">
        <v>0.0</v>
      </c>
      <c r="CU242" s="76">
        <v>0.0</v>
      </c>
      <c r="CV242" s="76">
        <v>0.0</v>
      </c>
      <c r="CW242" s="76">
        <v>54.81</v>
      </c>
      <c r="CX242" s="76">
        <v>0.0</v>
      </c>
      <c r="CY242" s="76">
        <v>0.0</v>
      </c>
    </row>
    <row r="243" ht="15.75" customHeight="1">
      <c r="A243" s="164">
        <v>46250.0</v>
      </c>
      <c r="B243" s="76" t="s">
        <v>4</v>
      </c>
      <c r="C243" s="76" t="s">
        <v>147</v>
      </c>
      <c r="D243" s="76">
        <v>7173.0</v>
      </c>
      <c r="E243" s="76">
        <v>27.57</v>
      </c>
      <c r="F243" s="76">
        <v>97.09</v>
      </c>
      <c r="G243" s="76">
        <v>0.0135</v>
      </c>
      <c r="H243" s="76">
        <v>0.72</v>
      </c>
      <c r="I243" s="76">
        <v>1.8671</v>
      </c>
      <c r="J243" s="76">
        <v>23.26</v>
      </c>
      <c r="K243" s="76">
        <v>11.93</v>
      </c>
      <c r="L243" s="76">
        <v>5.27</v>
      </c>
      <c r="M243" s="76">
        <v>0.4419</v>
      </c>
      <c r="N243" s="76">
        <v>0.6642</v>
      </c>
      <c r="O243" s="76">
        <v>0.4072</v>
      </c>
      <c r="P243" s="76">
        <v>2.2632</v>
      </c>
      <c r="Q243" s="76">
        <v>40.75</v>
      </c>
      <c r="R243" s="76">
        <v>36.09</v>
      </c>
      <c r="S243" s="76">
        <v>4.66</v>
      </c>
      <c r="T243" s="76">
        <v>1.44</v>
      </c>
      <c r="U243" s="76">
        <v>39.32</v>
      </c>
      <c r="V243" s="76">
        <v>42.28</v>
      </c>
      <c r="W243" s="76">
        <v>3.5435</v>
      </c>
      <c r="X243" s="76">
        <v>3.52</v>
      </c>
      <c r="Y243" s="76">
        <v>202.0</v>
      </c>
      <c r="Z243" s="76">
        <v>388.0</v>
      </c>
      <c r="AA243" s="76">
        <v>1331.0</v>
      </c>
      <c r="AB243" s="76">
        <v>49.6951</v>
      </c>
      <c r="AC243" s="76">
        <v>0.5939</v>
      </c>
      <c r="AD243" s="76">
        <v>3.91</v>
      </c>
      <c r="AE243" s="76">
        <v>1.0</v>
      </c>
      <c r="AF243" s="76">
        <v>3.0</v>
      </c>
      <c r="AG243" s="76">
        <v>5.0</v>
      </c>
      <c r="AH243" s="76">
        <v>8.0</v>
      </c>
      <c r="AI243" s="76">
        <v>72.83</v>
      </c>
      <c r="AJ243" s="76">
        <v>31.8</v>
      </c>
      <c r="AK243" s="76">
        <v>6.54</v>
      </c>
      <c r="AQ243" s="76">
        <v>2.7393</v>
      </c>
      <c r="AR243" s="76">
        <v>0.0403</v>
      </c>
      <c r="AS243" s="76">
        <v>2.699</v>
      </c>
      <c r="AT243" s="76">
        <v>2.5214</v>
      </c>
      <c r="AU243" s="76">
        <v>0.2113</v>
      </c>
      <c r="AV243" s="76">
        <v>7173.0</v>
      </c>
      <c r="AW243" s="76">
        <v>0.0</v>
      </c>
      <c r="AX243" s="76">
        <v>23.69</v>
      </c>
      <c r="AY243" s="76">
        <v>13.07</v>
      </c>
      <c r="AZ243" s="76">
        <v>1.99</v>
      </c>
      <c r="BA243" s="76">
        <v>1.44</v>
      </c>
      <c r="BB243" s="76">
        <v>0.57</v>
      </c>
      <c r="BC243" s="76">
        <v>17.0</v>
      </c>
      <c r="BD243" s="76">
        <v>20124.0</v>
      </c>
      <c r="BE243" s="76">
        <v>1.7428</v>
      </c>
      <c r="BF243" s="76">
        <v>0.0255</v>
      </c>
      <c r="BG243" s="76">
        <v>1.7173</v>
      </c>
      <c r="BH243" s="76">
        <v>1.4628</v>
      </c>
      <c r="BI243" s="76">
        <v>0.1226</v>
      </c>
      <c r="BJ243" s="76">
        <v>0.9965</v>
      </c>
      <c r="BK243" s="76">
        <v>0.0148</v>
      </c>
      <c r="BL243" s="76">
        <v>0.9817</v>
      </c>
      <c r="BM243" s="76">
        <v>1.0586</v>
      </c>
      <c r="BN243" s="76">
        <v>0.0887</v>
      </c>
      <c r="BO243" s="76">
        <v>0.7343</v>
      </c>
      <c r="BP243" s="76">
        <v>0.0092</v>
      </c>
      <c r="BQ243" s="76">
        <v>0.7251</v>
      </c>
      <c r="BR243" s="76">
        <v>0.5862</v>
      </c>
      <c r="BS243" s="76">
        <v>0.6399</v>
      </c>
      <c r="BT243" s="76">
        <v>0.0063</v>
      </c>
      <c r="BU243" s="76">
        <v>0.6336</v>
      </c>
      <c r="BV243" s="76">
        <v>0.5429</v>
      </c>
      <c r="BW243" s="76">
        <v>0.3686</v>
      </c>
      <c r="BX243" s="76">
        <v>0.01</v>
      </c>
      <c r="BY243" s="76">
        <v>0.3586</v>
      </c>
      <c r="BZ243" s="76">
        <v>0.3338</v>
      </c>
      <c r="CA243" s="76">
        <v>0.1819</v>
      </c>
      <c r="CB243" s="76">
        <v>0.0022</v>
      </c>
      <c r="CC243" s="76">
        <v>0.1797</v>
      </c>
      <c r="CD243" s="76">
        <v>0.1978</v>
      </c>
      <c r="CE243" s="76">
        <v>0.4389</v>
      </c>
      <c r="CF243" s="76">
        <v>0.0067</v>
      </c>
      <c r="CG243" s="76">
        <v>0.4322</v>
      </c>
      <c r="CH243" s="76">
        <v>0.4674</v>
      </c>
      <c r="CI243" s="76">
        <v>0.3757</v>
      </c>
      <c r="CJ243" s="76">
        <v>0.0059</v>
      </c>
      <c r="CK243" s="76">
        <v>0.3699</v>
      </c>
      <c r="CL243" s="76">
        <v>0.3933</v>
      </c>
      <c r="CM243" s="76">
        <v>84.81</v>
      </c>
      <c r="CN243" s="76">
        <v>76.5</v>
      </c>
      <c r="CO243" s="76">
        <v>110.87</v>
      </c>
      <c r="CP243" s="76">
        <v>77.29</v>
      </c>
      <c r="CQ243" s="76">
        <v>0.0</v>
      </c>
      <c r="CR243" s="76">
        <v>4.69</v>
      </c>
      <c r="CS243" s="76">
        <v>2.83</v>
      </c>
      <c r="CT243" s="76">
        <v>0.0</v>
      </c>
      <c r="CU243" s="76">
        <v>0.0</v>
      </c>
      <c r="CV243" s="76">
        <v>0.0</v>
      </c>
      <c r="CW243" s="76">
        <v>40.75</v>
      </c>
      <c r="CX243" s="76">
        <v>0.0</v>
      </c>
      <c r="CY243" s="76">
        <v>0.0</v>
      </c>
    </row>
    <row r="244" ht="15.75" customHeight="1">
      <c r="A244" s="164">
        <v>46250.0</v>
      </c>
      <c r="B244" s="76" t="s">
        <v>4</v>
      </c>
      <c r="C244" s="76" t="s">
        <v>148</v>
      </c>
      <c r="D244" s="76">
        <v>5462.0</v>
      </c>
      <c r="E244" s="76">
        <v>21.0</v>
      </c>
      <c r="F244" s="76">
        <v>395.32</v>
      </c>
      <c r="G244" s="76">
        <v>0.0724</v>
      </c>
      <c r="H244" s="76">
        <v>1.96</v>
      </c>
      <c r="I244" s="76">
        <v>3.6946</v>
      </c>
      <c r="J244" s="76">
        <v>42.05</v>
      </c>
      <c r="K244" s="76">
        <v>22.92</v>
      </c>
      <c r="L244" s="76">
        <v>13.34</v>
      </c>
      <c r="M244" s="76">
        <v>0.5819</v>
      </c>
      <c r="N244" s="76">
        <v>0.5422</v>
      </c>
      <c r="O244" s="76">
        <v>0.3363</v>
      </c>
      <c r="P244" s="76">
        <v>1.7186</v>
      </c>
      <c r="Q244" s="76">
        <v>83.19</v>
      </c>
      <c r="R244" s="76">
        <v>70.15</v>
      </c>
      <c r="S244" s="76">
        <v>13.04</v>
      </c>
      <c r="T244" s="76">
        <v>6.56</v>
      </c>
      <c r="U244" s="76">
        <v>76.63</v>
      </c>
      <c r="V244" s="76">
        <v>85.39</v>
      </c>
      <c r="W244" s="76">
        <v>3.7248</v>
      </c>
      <c r="X244" s="76">
        <v>7.89</v>
      </c>
      <c r="Y244" s="76">
        <v>224.0</v>
      </c>
      <c r="Z244" s="76">
        <v>455.0</v>
      </c>
      <c r="AA244" s="76">
        <v>1258.0</v>
      </c>
      <c r="AB244" s="76">
        <v>52.1534</v>
      </c>
      <c r="AC244" s="76">
        <v>0.7</v>
      </c>
      <c r="AD244" s="76">
        <v>9.27</v>
      </c>
      <c r="AE244" s="76">
        <v>4.0</v>
      </c>
      <c r="AF244" s="76">
        <v>8.0</v>
      </c>
      <c r="AG244" s="76">
        <v>13.0</v>
      </c>
      <c r="AH244" s="76">
        <v>19.0</v>
      </c>
      <c r="AI244" s="76">
        <v>63.18</v>
      </c>
      <c r="AJ244" s="76">
        <v>25.72</v>
      </c>
      <c r="AK244" s="76">
        <v>3.7</v>
      </c>
      <c r="AQ244" s="76">
        <v>5.5709</v>
      </c>
      <c r="AR244" s="76">
        <v>0.0979</v>
      </c>
      <c r="AS244" s="76">
        <v>5.4729</v>
      </c>
      <c r="AT244" s="76">
        <v>4.9335</v>
      </c>
      <c r="AU244" s="76">
        <v>0.2152</v>
      </c>
      <c r="AV244" s="76">
        <v>5462.0</v>
      </c>
      <c r="AW244" s="76">
        <v>0.0</v>
      </c>
      <c r="AX244" s="76">
        <v>44.03</v>
      </c>
      <c r="AY244" s="76">
        <v>28.86</v>
      </c>
      <c r="AZ244" s="76">
        <v>2.46</v>
      </c>
      <c r="BA244" s="76">
        <v>6.56</v>
      </c>
      <c r="BB244" s="76">
        <v>1.27</v>
      </c>
      <c r="BC244" s="76">
        <v>35.0</v>
      </c>
      <c r="BD244" s="76">
        <v>18975.0</v>
      </c>
      <c r="BE244" s="76">
        <v>3.4636</v>
      </c>
      <c r="BF244" s="76">
        <v>0.0434</v>
      </c>
      <c r="BG244" s="76">
        <v>3.4202</v>
      </c>
      <c r="BH244" s="76">
        <v>2.7171</v>
      </c>
      <c r="BI244" s="76">
        <v>0.1185</v>
      </c>
      <c r="BJ244" s="76">
        <v>2.1073</v>
      </c>
      <c r="BK244" s="76">
        <v>0.0546</v>
      </c>
      <c r="BL244" s="76">
        <v>2.0527</v>
      </c>
      <c r="BM244" s="76">
        <v>2.2164</v>
      </c>
      <c r="BN244" s="76">
        <v>0.0967</v>
      </c>
      <c r="BO244" s="76">
        <v>1.3523</v>
      </c>
      <c r="BP244" s="76">
        <v>0.0174</v>
      </c>
      <c r="BQ244" s="76">
        <v>1.3349</v>
      </c>
      <c r="BR244" s="76">
        <v>1.0414</v>
      </c>
      <c r="BS244" s="76">
        <v>1.2942</v>
      </c>
      <c r="BT244" s="76">
        <v>0.0108</v>
      </c>
      <c r="BU244" s="76">
        <v>1.2834</v>
      </c>
      <c r="BV244" s="76">
        <v>1.0046</v>
      </c>
      <c r="BW244" s="76">
        <v>0.8171</v>
      </c>
      <c r="BX244" s="76">
        <v>0.0152</v>
      </c>
      <c r="BY244" s="76">
        <v>0.8019</v>
      </c>
      <c r="BZ244" s="76">
        <v>0.6712</v>
      </c>
      <c r="CA244" s="76">
        <v>0.4202</v>
      </c>
      <c r="CB244" s="76">
        <v>0.0104</v>
      </c>
      <c r="CC244" s="76">
        <v>0.4097</v>
      </c>
      <c r="CD244" s="76">
        <v>0.4594</v>
      </c>
      <c r="CE244" s="76">
        <v>0.8438</v>
      </c>
      <c r="CF244" s="76">
        <v>0.0245</v>
      </c>
      <c r="CG244" s="76">
        <v>0.8193</v>
      </c>
      <c r="CH244" s="76">
        <v>0.8902</v>
      </c>
      <c r="CI244" s="76">
        <v>0.8433</v>
      </c>
      <c r="CJ244" s="76">
        <v>0.0196</v>
      </c>
      <c r="CK244" s="76">
        <v>0.8237</v>
      </c>
      <c r="CL244" s="76">
        <v>0.8669</v>
      </c>
      <c r="CM244" s="76">
        <v>206.15</v>
      </c>
      <c r="CN244" s="76">
        <v>89.89</v>
      </c>
      <c r="CO244" s="76">
        <v>229.33</v>
      </c>
      <c r="CP244" s="76">
        <v>190.87</v>
      </c>
      <c r="CQ244" s="76">
        <v>0.0</v>
      </c>
      <c r="CR244" s="76">
        <v>5.99</v>
      </c>
      <c r="CS244" s="76">
        <v>9.29</v>
      </c>
      <c r="CT244" s="76">
        <v>0.0</v>
      </c>
      <c r="CU244" s="76">
        <v>1.0</v>
      </c>
      <c r="CV244" s="76">
        <v>0.0</v>
      </c>
      <c r="CW244" s="76">
        <v>83.19</v>
      </c>
      <c r="CX244" s="76">
        <v>0.0</v>
      </c>
      <c r="CY244" s="76">
        <v>0.0</v>
      </c>
    </row>
    <row r="245" ht="15.75" customHeight="1">
      <c r="A245" s="164">
        <v>46250.0</v>
      </c>
      <c r="B245" s="76" t="s">
        <v>4</v>
      </c>
      <c r="C245" s="76" t="s">
        <v>149</v>
      </c>
      <c r="D245" s="76">
        <v>4691.0</v>
      </c>
      <c r="E245" s="76">
        <v>18.03</v>
      </c>
      <c r="F245" s="76">
        <v>524.8</v>
      </c>
      <c r="G245" s="76">
        <v>0.1119</v>
      </c>
      <c r="H245" s="76">
        <v>2.96</v>
      </c>
      <c r="I245" s="76">
        <v>3.7755</v>
      </c>
      <c r="J245" s="76">
        <v>65.15</v>
      </c>
      <c r="K245" s="76">
        <v>37.79</v>
      </c>
      <c r="L245" s="76">
        <v>25.84</v>
      </c>
      <c r="M245" s="76">
        <v>0.6837</v>
      </c>
      <c r="N245" s="76">
        <v>0.4408</v>
      </c>
      <c r="O245" s="76">
        <v>0.2855</v>
      </c>
      <c r="P245" s="76">
        <v>1.4626</v>
      </c>
      <c r="Q245" s="76">
        <v>139.51</v>
      </c>
      <c r="R245" s="76">
        <v>114.56</v>
      </c>
      <c r="S245" s="76">
        <v>24.95</v>
      </c>
      <c r="T245" s="76">
        <v>9.23</v>
      </c>
      <c r="U245" s="76">
        <v>130.28</v>
      </c>
      <c r="V245" s="76">
        <v>153.76</v>
      </c>
      <c r="W245" s="76">
        <v>4.069</v>
      </c>
      <c r="X245" s="76">
        <v>6.62</v>
      </c>
      <c r="Y245" s="76">
        <v>255.0</v>
      </c>
      <c r="Z245" s="76">
        <v>536.0</v>
      </c>
      <c r="AA245" s="76">
        <v>1261.0</v>
      </c>
      <c r="AB245" s="76">
        <v>53.7851</v>
      </c>
      <c r="AC245" s="76">
        <v>0.7613</v>
      </c>
      <c r="AD245" s="76">
        <v>16.37</v>
      </c>
      <c r="AE245" s="76">
        <v>7.0</v>
      </c>
      <c r="AF245" s="76">
        <v>12.0</v>
      </c>
      <c r="AG245" s="76">
        <v>22.0</v>
      </c>
      <c r="AH245" s="76">
        <v>34.0</v>
      </c>
      <c r="AI245" s="76">
        <v>56.02</v>
      </c>
      <c r="AJ245" s="76">
        <v>19.27</v>
      </c>
      <c r="AK245" s="76">
        <v>5.61</v>
      </c>
      <c r="AQ245" s="76">
        <v>9.0475</v>
      </c>
      <c r="AR245" s="76">
        <v>0.1838</v>
      </c>
      <c r="AS245" s="76">
        <v>8.8638</v>
      </c>
      <c r="AT245" s="76">
        <v>8.178</v>
      </c>
      <c r="AU245" s="76">
        <v>0.2164</v>
      </c>
      <c r="AV245" s="76">
        <v>4691.0</v>
      </c>
      <c r="AW245" s="76">
        <v>0.0</v>
      </c>
      <c r="AX245" s="76">
        <v>73.48</v>
      </c>
      <c r="AY245" s="76">
        <v>52.39</v>
      </c>
      <c r="AZ245" s="76">
        <v>2.59</v>
      </c>
      <c r="BA245" s="76">
        <v>9.23</v>
      </c>
      <c r="BB245" s="76">
        <v>1.83</v>
      </c>
      <c r="BC245" s="76">
        <v>70.0</v>
      </c>
      <c r="BD245" s="76">
        <v>16141.0</v>
      </c>
      <c r="BE245" s="76">
        <v>5.3997</v>
      </c>
      <c r="BF245" s="76">
        <v>0.1151</v>
      </c>
      <c r="BG245" s="76">
        <v>5.2846</v>
      </c>
      <c r="BH245" s="76">
        <v>4.4236</v>
      </c>
      <c r="BI245" s="76">
        <v>0.1171</v>
      </c>
      <c r="BJ245" s="76">
        <v>3.6478</v>
      </c>
      <c r="BK245" s="76">
        <v>0.0686</v>
      </c>
      <c r="BL245" s="76">
        <v>3.5792</v>
      </c>
      <c r="BM245" s="76">
        <v>3.7544</v>
      </c>
      <c r="BN245" s="76">
        <v>0.0994</v>
      </c>
      <c r="BO245" s="76">
        <v>1.9495</v>
      </c>
      <c r="BP245" s="76">
        <v>0.0352</v>
      </c>
      <c r="BQ245" s="76">
        <v>1.9143</v>
      </c>
      <c r="BR245" s="76">
        <v>1.6267</v>
      </c>
      <c r="BS245" s="76">
        <v>1.9578</v>
      </c>
      <c r="BT245" s="76">
        <v>0.039</v>
      </c>
      <c r="BU245" s="76">
        <v>1.9188</v>
      </c>
      <c r="BV245" s="76">
        <v>1.6355</v>
      </c>
      <c r="BW245" s="76">
        <v>1.4924</v>
      </c>
      <c r="BX245" s="76">
        <v>0.0409</v>
      </c>
      <c r="BY245" s="76">
        <v>1.4515</v>
      </c>
      <c r="BZ245" s="76">
        <v>1.1614</v>
      </c>
      <c r="CA245" s="76">
        <v>0.8303</v>
      </c>
      <c r="CB245" s="76">
        <v>0.0181</v>
      </c>
      <c r="CC245" s="76">
        <v>0.8122</v>
      </c>
      <c r="CD245" s="76">
        <v>0.8768</v>
      </c>
      <c r="CE245" s="76">
        <v>1.3583</v>
      </c>
      <c r="CF245" s="76">
        <v>0.0256</v>
      </c>
      <c r="CG245" s="76">
        <v>1.3328</v>
      </c>
      <c r="CH245" s="76">
        <v>1.401</v>
      </c>
      <c r="CI245" s="76">
        <v>1.4592</v>
      </c>
      <c r="CJ245" s="76">
        <v>0.0249</v>
      </c>
      <c r="CK245" s="76">
        <v>1.4342</v>
      </c>
      <c r="CL245" s="76">
        <v>1.4767</v>
      </c>
      <c r="CM245" s="76">
        <v>393.86</v>
      </c>
      <c r="CN245" s="76">
        <v>95.84</v>
      </c>
      <c r="CO245" s="76">
        <v>410.94</v>
      </c>
      <c r="CP245" s="76">
        <v>371.11</v>
      </c>
      <c r="CQ245" s="76">
        <v>0.0</v>
      </c>
      <c r="CR245" s="76">
        <v>6.46</v>
      </c>
      <c r="CS245" s="76">
        <v>16.28</v>
      </c>
      <c r="CT245" s="76">
        <v>0.0</v>
      </c>
      <c r="CU245" s="76">
        <v>1.0</v>
      </c>
      <c r="CV245" s="76">
        <v>0.0</v>
      </c>
      <c r="CW245" s="76">
        <v>139.51</v>
      </c>
      <c r="CX245" s="76">
        <v>0.0</v>
      </c>
      <c r="CY245" s="76">
        <v>0.0</v>
      </c>
    </row>
    <row r="246" ht="15.75" customHeight="1">
      <c r="A246" s="164">
        <v>46250.0</v>
      </c>
      <c r="B246" s="76" t="s">
        <v>4</v>
      </c>
      <c r="C246" s="76" t="s">
        <v>150</v>
      </c>
      <c r="D246" s="76">
        <v>2931.0</v>
      </c>
      <c r="E246" s="76">
        <v>11.27</v>
      </c>
      <c r="F246" s="76">
        <v>935.48</v>
      </c>
      <c r="G246" s="76">
        <v>0.3192</v>
      </c>
      <c r="H246" s="76">
        <v>5.15</v>
      </c>
      <c r="I246" s="76">
        <v>6.1952</v>
      </c>
      <c r="J246" s="76">
        <v>116.1</v>
      </c>
      <c r="K246" s="76">
        <v>71.73</v>
      </c>
      <c r="L246" s="76">
        <v>51.6</v>
      </c>
      <c r="M246" s="76">
        <v>0.7193</v>
      </c>
      <c r="N246" s="76">
        <v>0.4015</v>
      </c>
      <c r="O246" s="76">
        <v>0.2595</v>
      </c>
      <c r="P246" s="76">
        <v>1.3902</v>
      </c>
      <c r="Q246" s="76">
        <v>251.55</v>
      </c>
      <c r="R246" s="76">
        <v>205.59</v>
      </c>
      <c r="S246" s="76">
        <v>45.96</v>
      </c>
      <c r="T246" s="76">
        <v>24.99</v>
      </c>
      <c r="U246" s="76">
        <v>226.56</v>
      </c>
      <c r="V246" s="76">
        <v>279.65</v>
      </c>
      <c r="W246" s="76">
        <v>3.8987</v>
      </c>
      <c r="X246" s="76">
        <v>9.94</v>
      </c>
      <c r="Y246" s="76">
        <v>282.0</v>
      </c>
      <c r="Z246" s="76">
        <v>647.0</v>
      </c>
      <c r="AA246" s="76">
        <v>1615.0</v>
      </c>
      <c r="AB246" s="76">
        <v>55.8189</v>
      </c>
      <c r="AC246" s="76">
        <v>0.7787</v>
      </c>
      <c r="AD246" s="76">
        <v>29.12</v>
      </c>
      <c r="AE246" s="76">
        <v>10.0</v>
      </c>
      <c r="AF246" s="76">
        <v>20.0</v>
      </c>
      <c r="AG246" s="76">
        <v>41.0</v>
      </c>
      <c r="AH246" s="76">
        <v>64.0</v>
      </c>
      <c r="AI246" s="76">
        <v>38.76</v>
      </c>
      <c r="AJ246" s="76">
        <v>12.52</v>
      </c>
      <c r="AK246" s="76">
        <v>2.59</v>
      </c>
      <c r="AQ246" s="76">
        <v>15.4333</v>
      </c>
      <c r="AR246" s="76">
        <v>0.4104</v>
      </c>
      <c r="AS246" s="76">
        <v>15.0229</v>
      </c>
      <c r="AT246" s="76">
        <v>14.5694</v>
      </c>
      <c r="AU246" s="76">
        <v>0.2031</v>
      </c>
      <c r="AV246" s="76">
        <v>2931.0</v>
      </c>
      <c r="AW246" s="76">
        <v>0.0</v>
      </c>
      <c r="AX246" s="76">
        <v>124.6</v>
      </c>
      <c r="AY246" s="76">
        <v>93.63</v>
      </c>
      <c r="AZ246" s="76">
        <v>3.66</v>
      </c>
      <c r="BA246" s="76">
        <v>24.99</v>
      </c>
      <c r="BB246" s="76">
        <v>4.66</v>
      </c>
      <c r="BC246" s="76">
        <v>118.0</v>
      </c>
      <c r="BD246" s="76">
        <v>15627.0</v>
      </c>
      <c r="BE246" s="76">
        <v>8.8936</v>
      </c>
      <c r="BF246" s="76">
        <v>0.2242</v>
      </c>
      <c r="BG246" s="76">
        <v>8.6694</v>
      </c>
      <c r="BH246" s="76">
        <v>7.3579</v>
      </c>
      <c r="BI246" s="76">
        <v>0.1026</v>
      </c>
      <c r="BJ246" s="76">
        <v>6.5397</v>
      </c>
      <c r="BK246" s="76">
        <v>0.1863</v>
      </c>
      <c r="BL246" s="76">
        <v>6.3535</v>
      </c>
      <c r="BM246" s="76">
        <v>7.2115</v>
      </c>
      <c r="BN246" s="76">
        <v>0.1005</v>
      </c>
      <c r="BO246" s="76">
        <v>3.1447</v>
      </c>
      <c r="BP246" s="76">
        <v>0.0665</v>
      </c>
      <c r="BQ246" s="76">
        <v>3.0781</v>
      </c>
      <c r="BR246" s="76">
        <v>2.6216</v>
      </c>
      <c r="BS246" s="76">
        <v>3.1406</v>
      </c>
      <c r="BT246" s="76">
        <v>0.0716</v>
      </c>
      <c r="BU246" s="76">
        <v>3.0689</v>
      </c>
      <c r="BV246" s="76">
        <v>2.6564</v>
      </c>
      <c r="BW246" s="76">
        <v>2.6083</v>
      </c>
      <c r="BX246" s="76">
        <v>0.086</v>
      </c>
      <c r="BY246" s="76">
        <v>2.5223</v>
      </c>
      <c r="BZ246" s="76">
        <v>2.0798</v>
      </c>
      <c r="CA246" s="76">
        <v>1.7997</v>
      </c>
      <c r="CB246" s="76">
        <v>0.0467</v>
      </c>
      <c r="CC246" s="76">
        <v>1.753</v>
      </c>
      <c r="CD246" s="76">
        <v>2.1535</v>
      </c>
      <c r="CE246" s="76">
        <v>2.2276</v>
      </c>
      <c r="CF246" s="76">
        <v>0.0703</v>
      </c>
      <c r="CG246" s="76">
        <v>2.1573</v>
      </c>
      <c r="CH246" s="76">
        <v>2.3095</v>
      </c>
      <c r="CI246" s="76">
        <v>2.5125</v>
      </c>
      <c r="CJ246" s="76">
        <v>0.0693</v>
      </c>
      <c r="CK246" s="76">
        <v>2.4432</v>
      </c>
      <c r="CL246" s="76">
        <v>2.7485</v>
      </c>
      <c r="CM246" s="76">
        <v>785.79</v>
      </c>
      <c r="CN246" s="76">
        <v>98.84</v>
      </c>
      <c r="CO246" s="76">
        <v>795.01</v>
      </c>
      <c r="CP246" s="76">
        <v>757.25</v>
      </c>
      <c r="CQ246" s="76">
        <v>0.0</v>
      </c>
      <c r="CR246" s="76">
        <v>6.86</v>
      </c>
      <c r="CS246" s="76">
        <v>21.68</v>
      </c>
      <c r="CT246" s="76">
        <v>0.0</v>
      </c>
      <c r="CU246" s="76">
        <v>0.0</v>
      </c>
      <c r="CV246" s="76">
        <v>0.0</v>
      </c>
      <c r="CW246" s="76">
        <v>251.55</v>
      </c>
      <c r="CX246" s="76">
        <v>0.0</v>
      </c>
      <c r="CY246" s="76">
        <v>0.0</v>
      </c>
    </row>
    <row r="247" ht="15.75" customHeight="1">
      <c r="A247" s="164">
        <v>46250.0</v>
      </c>
      <c r="B247" s="76" t="s">
        <v>4</v>
      </c>
      <c r="C247" s="76" t="s">
        <v>151</v>
      </c>
      <c r="D247" s="76">
        <v>398.0</v>
      </c>
      <c r="E247" s="76">
        <v>1.53</v>
      </c>
      <c r="F247" s="76">
        <v>301.37</v>
      </c>
      <c r="G247" s="76">
        <v>0.7572</v>
      </c>
      <c r="H247" s="76">
        <v>7.79</v>
      </c>
      <c r="I247" s="76">
        <v>9.7216</v>
      </c>
      <c r="J247" s="76">
        <v>236.44</v>
      </c>
      <c r="K247" s="76">
        <v>161.62</v>
      </c>
      <c r="L247" s="76">
        <v>123.24</v>
      </c>
      <c r="M247" s="76">
        <v>0.7625</v>
      </c>
      <c r="N247" s="76">
        <v>0.3309</v>
      </c>
      <c r="O247" s="76">
        <v>0.2065</v>
      </c>
      <c r="P247" s="76">
        <v>1.3114</v>
      </c>
      <c r="Q247" s="76">
        <v>518.93</v>
      </c>
      <c r="R247" s="76">
        <v>397.09</v>
      </c>
      <c r="S247" s="76">
        <v>121.83</v>
      </c>
      <c r="T247" s="76">
        <v>59.3</v>
      </c>
      <c r="U247" s="76">
        <v>459.63</v>
      </c>
      <c r="V247" s="76">
        <v>561.06</v>
      </c>
      <c r="W247" s="76">
        <v>3.4715</v>
      </c>
      <c r="X247" s="76">
        <v>11.43</v>
      </c>
      <c r="Y247" s="76">
        <v>445.0</v>
      </c>
      <c r="Z247" s="76">
        <v>909.0</v>
      </c>
      <c r="AA247" s="76">
        <v>1995.0</v>
      </c>
      <c r="AB247" s="76">
        <v>58.1454</v>
      </c>
      <c r="AC247" s="76">
        <v>0.8055</v>
      </c>
      <c r="AD247" s="76">
        <v>60.57</v>
      </c>
      <c r="AE247" s="76">
        <v>20.0</v>
      </c>
      <c r="AF247" s="76">
        <v>41.0</v>
      </c>
      <c r="AG247" s="76">
        <v>87.0</v>
      </c>
      <c r="AH247" s="76">
        <v>142.0</v>
      </c>
      <c r="AI247" s="76">
        <v>27.39</v>
      </c>
      <c r="AJ247" s="76">
        <v>6.28</v>
      </c>
      <c r="AK247" s="76">
        <v>0.25</v>
      </c>
      <c r="AQ247" s="76">
        <v>32.8492</v>
      </c>
      <c r="AR247" s="76">
        <v>0.6709</v>
      </c>
      <c r="AS247" s="76">
        <v>32.1784</v>
      </c>
      <c r="AT247" s="76">
        <v>29.7412</v>
      </c>
      <c r="AU247" s="76">
        <v>0.184</v>
      </c>
      <c r="AV247" s="76">
        <v>398.0</v>
      </c>
      <c r="AW247" s="76">
        <v>0.0</v>
      </c>
      <c r="AX247" s="76">
        <v>290.31</v>
      </c>
      <c r="AY247" s="76">
        <v>150.48</v>
      </c>
      <c r="AZ247" s="76">
        <v>5.7</v>
      </c>
      <c r="BA247" s="76">
        <v>59.3</v>
      </c>
      <c r="BB247" s="76">
        <v>13.14</v>
      </c>
      <c r="BC247" s="76">
        <v>256.0</v>
      </c>
      <c r="BD247" s="76">
        <v>19295.0</v>
      </c>
      <c r="BE247" s="76">
        <v>18.9874</v>
      </c>
      <c r="BF247" s="76">
        <v>0.309</v>
      </c>
      <c r="BG247" s="76">
        <v>18.6784</v>
      </c>
      <c r="BH247" s="76">
        <v>15.5302</v>
      </c>
      <c r="BI247" s="76">
        <v>0.0961</v>
      </c>
      <c r="BJ247" s="76">
        <v>13.8618</v>
      </c>
      <c r="BK247" s="76">
        <v>0.3618</v>
      </c>
      <c r="BL247" s="76">
        <v>13.5</v>
      </c>
      <c r="BM247" s="76">
        <v>14.2111</v>
      </c>
      <c r="BN247" s="76">
        <v>0.0879</v>
      </c>
      <c r="BO247" s="76">
        <v>6.6558</v>
      </c>
      <c r="BP247" s="76">
        <v>0.103</v>
      </c>
      <c r="BQ247" s="76">
        <v>6.5528</v>
      </c>
      <c r="BR247" s="76">
        <v>5.4698</v>
      </c>
      <c r="BS247" s="76">
        <v>6.9623</v>
      </c>
      <c r="BT247" s="76">
        <v>0.0955</v>
      </c>
      <c r="BU247" s="76">
        <v>6.8668</v>
      </c>
      <c r="BV247" s="76">
        <v>5.6658</v>
      </c>
      <c r="BW247" s="76">
        <v>5.3693</v>
      </c>
      <c r="BX247" s="76">
        <v>0.1106</v>
      </c>
      <c r="BY247" s="76">
        <v>5.2588</v>
      </c>
      <c r="BZ247" s="76">
        <v>4.3945</v>
      </c>
      <c r="CA247" s="76">
        <v>3.7362</v>
      </c>
      <c r="CB247" s="76">
        <v>0.1106</v>
      </c>
      <c r="CC247" s="76">
        <v>3.6256</v>
      </c>
      <c r="CD247" s="76">
        <v>3.9246</v>
      </c>
      <c r="CE247" s="76">
        <v>4.7111</v>
      </c>
      <c r="CF247" s="76">
        <v>0.1407</v>
      </c>
      <c r="CG247" s="76">
        <v>4.5704</v>
      </c>
      <c r="CH247" s="76">
        <v>4.7035</v>
      </c>
      <c r="CI247" s="76">
        <v>5.4146</v>
      </c>
      <c r="CJ247" s="76">
        <v>0.1106</v>
      </c>
      <c r="CK247" s="76">
        <v>5.304</v>
      </c>
      <c r="CL247" s="76">
        <v>5.5829</v>
      </c>
      <c r="CM247" s="76">
        <v>1789.3</v>
      </c>
      <c r="CN247" s="76">
        <v>100.0</v>
      </c>
      <c r="CO247" s="76">
        <v>1789.3</v>
      </c>
      <c r="CP247" s="76">
        <v>1753.26</v>
      </c>
      <c r="CQ247" s="76">
        <v>0.0</v>
      </c>
      <c r="CR247" s="76">
        <v>11.71</v>
      </c>
      <c r="CS247" s="76">
        <v>24.33</v>
      </c>
      <c r="CT247" s="76">
        <v>0.0</v>
      </c>
      <c r="CU247" s="76">
        <v>0.0</v>
      </c>
      <c r="CV247" s="76">
        <v>0.0</v>
      </c>
      <c r="CW247" s="76">
        <v>518.93</v>
      </c>
      <c r="CX247" s="76">
        <v>0.0</v>
      </c>
      <c r="CY247" s="76">
        <v>0.0</v>
      </c>
    </row>
    <row r="248" ht="15.75" customHeight="1">
      <c r="A248" s="164">
        <v>46250.0</v>
      </c>
      <c r="B248" s="76" t="s">
        <v>5</v>
      </c>
      <c r="C248" s="76" t="s">
        <v>316</v>
      </c>
      <c r="D248" s="76">
        <v>5563.0</v>
      </c>
      <c r="E248" s="76">
        <v>21.56</v>
      </c>
      <c r="F248" s="76">
        <v>609.49</v>
      </c>
      <c r="G248" s="76">
        <v>0.1096</v>
      </c>
      <c r="H248" s="76">
        <v>1.28</v>
      </c>
      <c r="I248" s="76">
        <v>8.5844</v>
      </c>
      <c r="J248" s="76">
        <v>22.53</v>
      </c>
      <c r="K248" s="76">
        <v>12.19</v>
      </c>
      <c r="L248" s="76">
        <v>8.27</v>
      </c>
      <c r="M248" s="76">
        <v>0.679</v>
      </c>
      <c r="N248" s="76">
        <v>0.4458</v>
      </c>
      <c r="O248" s="76">
        <v>0.2163</v>
      </c>
      <c r="P248" s="76">
        <v>1.4728</v>
      </c>
      <c r="Q248" s="76">
        <v>54.04</v>
      </c>
      <c r="R248" s="76">
        <v>53.96</v>
      </c>
      <c r="S248" s="76">
        <v>0.08</v>
      </c>
      <c r="T248" s="76">
        <v>8.15</v>
      </c>
      <c r="U248" s="76">
        <v>45.88</v>
      </c>
      <c r="V248" s="76">
        <v>45.35</v>
      </c>
      <c r="W248" s="76">
        <v>3.7218</v>
      </c>
      <c r="X248" s="76">
        <v>15.09</v>
      </c>
      <c r="Y248" s="76">
        <v>195.0</v>
      </c>
      <c r="Z248" s="76">
        <v>442.0</v>
      </c>
      <c r="AA248" s="76">
        <v>2867.0</v>
      </c>
      <c r="AB248" s="76">
        <v>49.8336</v>
      </c>
      <c r="AC248" s="76">
        <v>0.4872</v>
      </c>
      <c r="AI248" s="76">
        <v>0.0</v>
      </c>
      <c r="AJ248" s="76">
        <v>0.0</v>
      </c>
      <c r="AK248" s="76">
        <v>0.0</v>
      </c>
      <c r="AM248" s="76">
        <v>10.12</v>
      </c>
      <c r="AN248" s="76">
        <v>10.12</v>
      </c>
      <c r="AO248" s="76">
        <v>6.17</v>
      </c>
      <c r="AP248" s="76">
        <v>3.51</v>
      </c>
      <c r="AQ248" s="76">
        <v>1.4228</v>
      </c>
      <c r="AR248" s="76">
        <v>0.1052</v>
      </c>
      <c r="AS248" s="76">
        <v>1.3176</v>
      </c>
      <c r="AT248" s="76">
        <v>1.6002</v>
      </c>
      <c r="AU248" s="76">
        <v>0.1313</v>
      </c>
      <c r="AV248" s="76">
        <v>5563.0</v>
      </c>
      <c r="AW248" s="76">
        <v>0.0</v>
      </c>
      <c r="AX248" s="76">
        <v>9.98</v>
      </c>
      <c r="AY248" s="76">
        <v>33.12</v>
      </c>
      <c r="AZ248" s="76">
        <v>2.56</v>
      </c>
      <c r="BA248" s="76">
        <v>8.15</v>
      </c>
      <c r="BB248" s="76">
        <v>0.22</v>
      </c>
      <c r="BD248" s="76">
        <v>26566.0</v>
      </c>
      <c r="BE248" s="76">
        <v>0.6177</v>
      </c>
      <c r="BF248" s="76">
        <v>0.0442</v>
      </c>
      <c r="BG248" s="76">
        <v>0.5734</v>
      </c>
      <c r="BH248" s="76">
        <v>0.7489</v>
      </c>
      <c r="BI248" s="76">
        <v>0.0615</v>
      </c>
      <c r="BJ248" s="76">
        <v>0.8051</v>
      </c>
      <c r="BK248" s="76">
        <v>0.0609</v>
      </c>
      <c r="BL248" s="76">
        <v>0.7442</v>
      </c>
      <c r="BM248" s="76">
        <v>0.8513</v>
      </c>
      <c r="BN248" s="76">
        <v>0.0699</v>
      </c>
      <c r="BO248" s="76">
        <v>0.2535</v>
      </c>
      <c r="BP248" s="76">
        <v>0.0149</v>
      </c>
      <c r="BQ248" s="76">
        <v>0.2385</v>
      </c>
      <c r="BR248" s="76">
        <v>0.297</v>
      </c>
      <c r="BS248" s="76">
        <v>0.2076</v>
      </c>
      <c r="BT248" s="76">
        <v>0.0144</v>
      </c>
      <c r="BU248" s="76">
        <v>0.1932</v>
      </c>
      <c r="BV248" s="76">
        <v>0.2508</v>
      </c>
      <c r="BW248" s="76">
        <v>0.1566</v>
      </c>
      <c r="BX248" s="76">
        <v>0.0149</v>
      </c>
      <c r="BY248" s="76">
        <v>0.1417</v>
      </c>
      <c r="BZ248" s="76">
        <v>0.2012</v>
      </c>
      <c r="CA248" s="76">
        <v>0.1778</v>
      </c>
      <c r="CB248" s="76">
        <v>0.0169</v>
      </c>
      <c r="CC248" s="76">
        <v>0.1609</v>
      </c>
      <c r="CD248" s="76">
        <v>0.2114</v>
      </c>
      <c r="CE248" s="76">
        <v>0.3518</v>
      </c>
      <c r="CF248" s="76">
        <v>0.0239</v>
      </c>
      <c r="CG248" s="76">
        <v>0.3279</v>
      </c>
      <c r="CH248" s="76">
        <v>0.2829</v>
      </c>
      <c r="CI248" s="76">
        <v>0.2756</v>
      </c>
      <c r="CJ248" s="76">
        <v>0.0201</v>
      </c>
      <c r="CK248" s="76">
        <v>0.2554</v>
      </c>
      <c r="CL248" s="76">
        <v>0.357</v>
      </c>
      <c r="CM248" s="76">
        <v>125.25</v>
      </c>
      <c r="CN248" s="76">
        <v>20.19</v>
      </c>
      <c r="CO248" s="76">
        <v>620.47</v>
      </c>
      <c r="CP248" s="76">
        <v>115.82</v>
      </c>
      <c r="CQ248" s="76">
        <v>0.01</v>
      </c>
      <c r="CR248" s="76">
        <v>2.55</v>
      </c>
      <c r="CS248" s="76">
        <v>6.87</v>
      </c>
      <c r="CT248" s="76">
        <v>0.0</v>
      </c>
      <c r="CU248" s="76">
        <v>1622.0</v>
      </c>
      <c r="CV248" s="76">
        <v>0.0</v>
      </c>
      <c r="CW248" s="76">
        <v>54.04</v>
      </c>
      <c r="CX248" s="76">
        <v>0.0</v>
      </c>
      <c r="CY248" s="76">
        <v>0.02</v>
      </c>
    </row>
    <row r="249" ht="15.75" customHeight="1">
      <c r="A249" s="164">
        <v>46250.0</v>
      </c>
      <c r="B249" s="76" t="s">
        <v>5</v>
      </c>
      <c r="C249" s="76" t="s">
        <v>147</v>
      </c>
      <c r="D249" s="76">
        <v>7195.0</v>
      </c>
      <c r="E249" s="76">
        <v>27.89</v>
      </c>
      <c r="F249" s="76">
        <v>125.42</v>
      </c>
      <c r="G249" s="76">
        <v>0.0174</v>
      </c>
      <c r="H249" s="76">
        <v>0.85</v>
      </c>
      <c r="I249" s="76">
        <v>2.0561</v>
      </c>
      <c r="J249" s="76">
        <v>21.9</v>
      </c>
      <c r="K249" s="76">
        <v>11.02</v>
      </c>
      <c r="L249" s="76">
        <v>5.1</v>
      </c>
      <c r="M249" s="76">
        <v>0.4628</v>
      </c>
      <c r="N249" s="76">
        <v>0.6477</v>
      </c>
      <c r="O249" s="76">
        <v>0.4081</v>
      </c>
      <c r="P249" s="76">
        <v>2.1607</v>
      </c>
      <c r="Q249" s="76">
        <v>36.28</v>
      </c>
      <c r="R249" s="76">
        <v>33.19</v>
      </c>
      <c r="S249" s="76">
        <v>3.09</v>
      </c>
      <c r="T249" s="76">
        <v>1.44</v>
      </c>
      <c r="U249" s="76">
        <v>34.84</v>
      </c>
      <c r="V249" s="76">
        <v>37.51</v>
      </c>
      <c r="W249" s="76">
        <v>3.4045</v>
      </c>
      <c r="X249" s="76">
        <v>3.97</v>
      </c>
      <c r="Y249" s="76">
        <v>197.0</v>
      </c>
      <c r="Z249" s="76">
        <v>336.0</v>
      </c>
      <c r="AA249" s="76">
        <v>1224.0</v>
      </c>
      <c r="AB249" s="76">
        <v>50.0947</v>
      </c>
      <c r="AC249" s="76">
        <v>0.6094</v>
      </c>
      <c r="AD249" s="76">
        <v>3.83</v>
      </c>
      <c r="AE249" s="76">
        <v>1.0</v>
      </c>
      <c r="AF249" s="76">
        <v>3.0</v>
      </c>
      <c r="AG249" s="76">
        <v>5.0</v>
      </c>
      <c r="AH249" s="76">
        <v>8.0</v>
      </c>
      <c r="AI249" s="76">
        <v>72.43</v>
      </c>
      <c r="AJ249" s="76">
        <v>30.84</v>
      </c>
      <c r="AK249" s="76">
        <v>6.18</v>
      </c>
      <c r="AM249" s="76">
        <v>40.64</v>
      </c>
      <c r="AN249" s="76">
        <v>40.64</v>
      </c>
      <c r="AO249" s="76">
        <v>18.37</v>
      </c>
      <c r="AP249" s="76">
        <v>5.43</v>
      </c>
      <c r="AQ249" s="76">
        <v>2.2766</v>
      </c>
      <c r="AR249" s="76">
        <v>0.0327</v>
      </c>
      <c r="AS249" s="76">
        <v>2.2439</v>
      </c>
      <c r="AT249" s="76">
        <v>2.424</v>
      </c>
      <c r="AU249" s="76">
        <v>0.22</v>
      </c>
      <c r="AV249" s="76">
        <v>7195.0</v>
      </c>
      <c r="AW249" s="76">
        <v>0.0</v>
      </c>
      <c r="AX249" s="76">
        <v>19.44</v>
      </c>
      <c r="AY249" s="76">
        <v>12.63</v>
      </c>
      <c r="AZ249" s="76">
        <v>2.07</v>
      </c>
      <c r="BA249" s="76">
        <v>1.44</v>
      </c>
      <c r="BB249" s="76">
        <v>0.7</v>
      </c>
      <c r="BC249" s="76">
        <v>16.0</v>
      </c>
      <c r="BD249" s="76">
        <v>18143.0</v>
      </c>
      <c r="BE249" s="76">
        <v>1.4445</v>
      </c>
      <c r="BF249" s="76">
        <v>0.0167</v>
      </c>
      <c r="BG249" s="76">
        <v>1.4278</v>
      </c>
      <c r="BH249" s="76">
        <v>1.3718</v>
      </c>
      <c r="BI249" s="76">
        <v>0.1245</v>
      </c>
      <c r="BJ249" s="76">
        <v>0.8321</v>
      </c>
      <c r="BK249" s="76">
        <v>0.016</v>
      </c>
      <c r="BL249" s="76">
        <v>0.8161</v>
      </c>
      <c r="BM249" s="76">
        <v>1.0523</v>
      </c>
      <c r="BN249" s="76">
        <v>0.0955</v>
      </c>
      <c r="BO249" s="76">
        <v>0.6227</v>
      </c>
      <c r="BP249" s="76">
        <v>0.0072</v>
      </c>
      <c r="BQ249" s="76">
        <v>0.6154</v>
      </c>
      <c r="BR249" s="76">
        <v>0.5823</v>
      </c>
      <c r="BS249" s="76">
        <v>0.5375</v>
      </c>
      <c r="BT249" s="76">
        <v>0.0043</v>
      </c>
      <c r="BU249" s="76">
        <v>0.5331</v>
      </c>
      <c r="BV249" s="76">
        <v>0.5097</v>
      </c>
      <c r="BW249" s="76">
        <v>0.2844</v>
      </c>
      <c r="BX249" s="76">
        <v>0.0051</v>
      </c>
      <c r="BY249" s="76">
        <v>0.2792</v>
      </c>
      <c r="BZ249" s="76">
        <v>0.2798</v>
      </c>
      <c r="CA249" s="76">
        <v>0.1081</v>
      </c>
      <c r="CB249" s="76">
        <v>0.0032</v>
      </c>
      <c r="CC249" s="76">
        <v>0.1049</v>
      </c>
      <c r="CD249" s="76">
        <v>0.1525</v>
      </c>
      <c r="CE249" s="76">
        <v>0.4236</v>
      </c>
      <c r="CF249" s="76">
        <v>0.0072</v>
      </c>
      <c r="CG249" s="76">
        <v>0.4164</v>
      </c>
      <c r="CH249" s="76">
        <v>0.5294</v>
      </c>
      <c r="CI249" s="76">
        <v>0.3003</v>
      </c>
      <c r="CJ249" s="76">
        <v>0.0056</v>
      </c>
      <c r="CK249" s="76">
        <v>0.2948</v>
      </c>
      <c r="CL249" s="76">
        <v>0.3704</v>
      </c>
      <c r="CM249" s="76">
        <v>68.42</v>
      </c>
      <c r="CN249" s="76">
        <v>77.01</v>
      </c>
      <c r="CO249" s="76">
        <v>88.85</v>
      </c>
      <c r="CP249" s="76">
        <v>60.09</v>
      </c>
      <c r="CQ249" s="76">
        <v>0.04</v>
      </c>
      <c r="CR249" s="76">
        <v>4.8</v>
      </c>
      <c r="CS249" s="76">
        <v>3.49</v>
      </c>
      <c r="CT249" s="76">
        <v>0.0</v>
      </c>
      <c r="CU249" s="76">
        <v>2013.0</v>
      </c>
      <c r="CV249" s="76">
        <v>0.01</v>
      </c>
      <c r="CW249" s="76">
        <v>36.29</v>
      </c>
      <c r="CX249" s="76">
        <v>0.01</v>
      </c>
      <c r="CY249" s="76">
        <v>0.05</v>
      </c>
    </row>
    <row r="250" ht="15.75" customHeight="1">
      <c r="A250" s="164">
        <v>46250.0</v>
      </c>
      <c r="B250" s="76" t="s">
        <v>5</v>
      </c>
      <c r="C250" s="76" t="s">
        <v>148</v>
      </c>
      <c r="D250" s="76">
        <v>5509.0</v>
      </c>
      <c r="E250" s="76">
        <v>21.35</v>
      </c>
      <c r="F250" s="76">
        <v>371.24</v>
      </c>
      <c r="G250" s="76">
        <v>0.0674</v>
      </c>
      <c r="H250" s="76">
        <v>2.14</v>
      </c>
      <c r="I250" s="76">
        <v>3.1461</v>
      </c>
      <c r="J250" s="76">
        <v>40.95</v>
      </c>
      <c r="K250" s="76">
        <v>22.08</v>
      </c>
      <c r="L250" s="76">
        <v>12.65</v>
      </c>
      <c r="M250" s="76">
        <v>0.5731</v>
      </c>
      <c r="N250" s="76">
        <v>0.5494</v>
      </c>
      <c r="O250" s="76">
        <v>0.3426</v>
      </c>
      <c r="P250" s="76">
        <v>1.745</v>
      </c>
      <c r="Q250" s="76">
        <v>74.12</v>
      </c>
      <c r="R250" s="76">
        <v>65.99</v>
      </c>
      <c r="S250" s="76">
        <v>8.14</v>
      </c>
      <c r="T250" s="76">
        <v>6.01</v>
      </c>
      <c r="U250" s="76">
        <v>68.12</v>
      </c>
      <c r="V250" s="76">
        <v>80.07</v>
      </c>
      <c r="W250" s="76">
        <v>3.626</v>
      </c>
      <c r="X250" s="76">
        <v>8.11</v>
      </c>
      <c r="Y250" s="76">
        <v>204.0</v>
      </c>
      <c r="Z250" s="76">
        <v>388.0</v>
      </c>
      <c r="AA250" s="76">
        <v>1066.0</v>
      </c>
      <c r="AB250" s="76">
        <v>51.9271</v>
      </c>
      <c r="AC250" s="76">
        <v>0.6852</v>
      </c>
      <c r="AD250" s="76">
        <v>8.73</v>
      </c>
      <c r="AE250" s="76">
        <v>4.0</v>
      </c>
      <c r="AF250" s="76">
        <v>7.0</v>
      </c>
      <c r="AG250" s="76">
        <v>12.0</v>
      </c>
      <c r="AH250" s="76">
        <v>17.0</v>
      </c>
      <c r="AI250" s="76">
        <v>60.68</v>
      </c>
      <c r="AJ250" s="76">
        <v>22.51</v>
      </c>
      <c r="AK250" s="76">
        <v>2.87</v>
      </c>
      <c r="AM250" s="76">
        <v>42.64</v>
      </c>
      <c r="AN250" s="76">
        <v>42.64</v>
      </c>
      <c r="AO250" s="76">
        <v>23.33</v>
      </c>
      <c r="AP250" s="76">
        <v>10.76</v>
      </c>
      <c r="AQ250" s="76">
        <v>4.1988</v>
      </c>
      <c r="AR250" s="76">
        <v>0.1282</v>
      </c>
      <c r="AS250" s="76">
        <v>4.0706</v>
      </c>
      <c r="AT250" s="76">
        <v>4.3984</v>
      </c>
      <c r="AU250" s="76">
        <v>0.1992</v>
      </c>
      <c r="AV250" s="76">
        <v>5509.0</v>
      </c>
      <c r="AW250" s="76">
        <v>0.0</v>
      </c>
      <c r="AX250" s="76">
        <v>34.33</v>
      </c>
      <c r="AY250" s="76">
        <v>30.02</v>
      </c>
      <c r="AZ250" s="76">
        <v>2.77</v>
      </c>
      <c r="BA250" s="76">
        <v>6.01</v>
      </c>
      <c r="BB250" s="76">
        <v>1.0</v>
      </c>
      <c r="BC250" s="76">
        <v>32.0</v>
      </c>
      <c r="BD250" s="76">
        <v>15595.0</v>
      </c>
      <c r="BE250" s="76">
        <v>2.5729</v>
      </c>
      <c r="BF250" s="76">
        <v>0.0909</v>
      </c>
      <c r="BG250" s="76">
        <v>2.4819</v>
      </c>
      <c r="BH250" s="76">
        <v>2.45</v>
      </c>
      <c r="BI250" s="76">
        <v>0.111</v>
      </c>
      <c r="BJ250" s="76">
        <v>1.6259</v>
      </c>
      <c r="BK250" s="76">
        <v>0.0372</v>
      </c>
      <c r="BL250" s="76">
        <v>1.5887</v>
      </c>
      <c r="BM250" s="76">
        <v>1.9484</v>
      </c>
      <c r="BN250" s="76">
        <v>0.0882</v>
      </c>
      <c r="BO250" s="76">
        <v>0.978</v>
      </c>
      <c r="BP250" s="76">
        <v>0.0387</v>
      </c>
      <c r="BQ250" s="76">
        <v>0.9394</v>
      </c>
      <c r="BR250" s="76">
        <v>0.9423</v>
      </c>
      <c r="BS250" s="76">
        <v>1.0245</v>
      </c>
      <c r="BT250" s="76">
        <v>0.0229</v>
      </c>
      <c r="BU250" s="76">
        <v>1.0016</v>
      </c>
      <c r="BV250" s="76">
        <v>0.935</v>
      </c>
      <c r="BW250" s="76">
        <v>0.5703</v>
      </c>
      <c r="BX250" s="76">
        <v>0.0294</v>
      </c>
      <c r="BY250" s="76">
        <v>0.5409</v>
      </c>
      <c r="BZ250" s="76">
        <v>0.5727</v>
      </c>
      <c r="CA250" s="76">
        <v>0.2075</v>
      </c>
      <c r="CB250" s="76">
        <v>0.0087</v>
      </c>
      <c r="CC250" s="76">
        <v>0.1988</v>
      </c>
      <c r="CD250" s="76">
        <v>0.3158</v>
      </c>
      <c r="CE250" s="76">
        <v>0.8357</v>
      </c>
      <c r="CF250" s="76">
        <v>0.0145</v>
      </c>
      <c r="CG250" s="76">
        <v>0.8212</v>
      </c>
      <c r="CH250" s="76">
        <v>0.9199</v>
      </c>
      <c r="CI250" s="76">
        <v>0.5827</v>
      </c>
      <c r="CJ250" s="76">
        <v>0.014</v>
      </c>
      <c r="CK250" s="76">
        <v>0.5687</v>
      </c>
      <c r="CL250" s="76">
        <v>0.7127</v>
      </c>
      <c r="CM250" s="76">
        <v>167.12</v>
      </c>
      <c r="CN250" s="76">
        <v>89.13</v>
      </c>
      <c r="CO250" s="76">
        <v>187.51</v>
      </c>
      <c r="CP250" s="76">
        <v>145.83</v>
      </c>
      <c r="CQ250" s="76">
        <v>0.11</v>
      </c>
      <c r="CR250" s="76">
        <v>6.06</v>
      </c>
      <c r="CS250" s="76">
        <v>15.12</v>
      </c>
      <c r="CT250" s="76">
        <v>0.0</v>
      </c>
      <c r="CU250" s="76">
        <v>1997.0</v>
      </c>
      <c r="CV250" s="76">
        <v>0.02</v>
      </c>
      <c r="CW250" s="76">
        <v>74.14</v>
      </c>
      <c r="CX250" s="76">
        <v>0.02</v>
      </c>
      <c r="CY250" s="76">
        <v>0.13</v>
      </c>
    </row>
    <row r="251" ht="15.75" customHeight="1">
      <c r="A251" s="164">
        <v>46250.0</v>
      </c>
      <c r="B251" s="76" t="s">
        <v>5</v>
      </c>
      <c r="C251" s="76" t="s">
        <v>149</v>
      </c>
      <c r="D251" s="76">
        <v>4548.0</v>
      </c>
      <c r="E251" s="76">
        <v>17.63</v>
      </c>
      <c r="F251" s="76">
        <v>663.06</v>
      </c>
      <c r="G251" s="76">
        <v>0.1458</v>
      </c>
      <c r="H251" s="76">
        <v>2.77</v>
      </c>
      <c r="I251" s="76">
        <v>5.2624</v>
      </c>
      <c r="J251" s="76">
        <v>62.63</v>
      </c>
      <c r="K251" s="76">
        <v>35.96</v>
      </c>
      <c r="L251" s="76">
        <v>24.03</v>
      </c>
      <c r="M251" s="76">
        <v>0.6684</v>
      </c>
      <c r="N251" s="76">
        <v>0.455</v>
      </c>
      <c r="O251" s="76">
        <v>0.2946</v>
      </c>
      <c r="P251" s="76">
        <v>1.4961</v>
      </c>
      <c r="Q251" s="76">
        <v>135.26</v>
      </c>
      <c r="R251" s="76">
        <v>120.12</v>
      </c>
      <c r="S251" s="76">
        <v>15.14</v>
      </c>
      <c r="T251" s="76">
        <v>14.71</v>
      </c>
      <c r="U251" s="76">
        <v>120.55</v>
      </c>
      <c r="V251" s="76">
        <v>139.5</v>
      </c>
      <c r="W251" s="76">
        <v>3.8796</v>
      </c>
      <c r="X251" s="76">
        <v>10.88</v>
      </c>
      <c r="Y251" s="76">
        <v>221.0</v>
      </c>
      <c r="Z251" s="76">
        <v>439.0</v>
      </c>
      <c r="AA251" s="76">
        <v>1046.0</v>
      </c>
      <c r="AB251" s="76">
        <v>53.4933</v>
      </c>
      <c r="AC251" s="76">
        <v>0.7483</v>
      </c>
      <c r="AD251" s="76">
        <v>14.93</v>
      </c>
      <c r="AE251" s="76">
        <v>6.0</v>
      </c>
      <c r="AF251" s="76">
        <v>11.0</v>
      </c>
      <c r="AG251" s="76">
        <v>21.0</v>
      </c>
      <c r="AH251" s="76">
        <v>31.0</v>
      </c>
      <c r="AI251" s="76">
        <v>52.42</v>
      </c>
      <c r="AJ251" s="76">
        <v>16.86</v>
      </c>
      <c r="AK251" s="76">
        <v>4.02</v>
      </c>
      <c r="AM251" s="76">
        <v>41.47</v>
      </c>
      <c r="AN251" s="76">
        <v>41.47</v>
      </c>
      <c r="AO251" s="76">
        <v>20.8</v>
      </c>
      <c r="AP251" s="76">
        <v>10.27</v>
      </c>
      <c r="AQ251" s="76">
        <v>6.1511</v>
      </c>
      <c r="AR251" s="76">
        <v>0.2713</v>
      </c>
      <c r="AS251" s="76">
        <v>5.8797</v>
      </c>
      <c r="AT251" s="76">
        <v>6.4125</v>
      </c>
      <c r="AU251" s="76">
        <v>0.1783</v>
      </c>
      <c r="AV251" s="76">
        <v>4548.0</v>
      </c>
      <c r="AW251" s="76">
        <v>0.0</v>
      </c>
      <c r="AX251" s="76">
        <v>58.56</v>
      </c>
      <c r="AY251" s="76">
        <v>57.24</v>
      </c>
      <c r="AZ251" s="76">
        <v>2.62</v>
      </c>
      <c r="BA251" s="76">
        <v>14.71</v>
      </c>
      <c r="BB251" s="76">
        <v>2.13</v>
      </c>
      <c r="BC251" s="76">
        <v>60.0</v>
      </c>
      <c r="BD251" s="76">
        <v>16005.0</v>
      </c>
      <c r="BE251" s="76">
        <v>3.4965</v>
      </c>
      <c r="BF251" s="76">
        <v>0.1642</v>
      </c>
      <c r="BG251" s="76">
        <v>3.3322</v>
      </c>
      <c r="BH251" s="76">
        <v>3.3599</v>
      </c>
      <c r="BI251" s="76">
        <v>0.0934</v>
      </c>
      <c r="BJ251" s="76">
        <v>2.6546</v>
      </c>
      <c r="BK251" s="76">
        <v>0.1071</v>
      </c>
      <c r="BL251" s="76">
        <v>2.5475</v>
      </c>
      <c r="BM251" s="76">
        <v>3.0526</v>
      </c>
      <c r="BN251" s="76">
        <v>0.0849</v>
      </c>
      <c r="BO251" s="76">
        <v>1.2711</v>
      </c>
      <c r="BP251" s="76">
        <v>0.0517</v>
      </c>
      <c r="BQ251" s="76">
        <v>1.2194</v>
      </c>
      <c r="BR251" s="76">
        <v>1.2291</v>
      </c>
      <c r="BS251" s="76">
        <v>1.347</v>
      </c>
      <c r="BT251" s="76">
        <v>0.0523</v>
      </c>
      <c r="BU251" s="76">
        <v>1.2946</v>
      </c>
      <c r="BV251" s="76">
        <v>1.2946</v>
      </c>
      <c r="BW251" s="76">
        <v>0.8784</v>
      </c>
      <c r="BX251" s="76">
        <v>0.0602</v>
      </c>
      <c r="BY251" s="76">
        <v>0.8182</v>
      </c>
      <c r="BZ251" s="76">
        <v>0.8362</v>
      </c>
      <c r="CA251" s="76">
        <v>0.3876</v>
      </c>
      <c r="CB251" s="76">
        <v>0.0284</v>
      </c>
      <c r="CC251" s="76">
        <v>0.3593</v>
      </c>
      <c r="CD251" s="76">
        <v>0.5251</v>
      </c>
      <c r="CE251" s="76">
        <v>1.1994</v>
      </c>
      <c r="CF251" s="76">
        <v>0.042</v>
      </c>
      <c r="CG251" s="76">
        <v>1.1574</v>
      </c>
      <c r="CH251" s="76">
        <v>1.3419</v>
      </c>
      <c r="CI251" s="76">
        <v>1.0675</v>
      </c>
      <c r="CJ251" s="76">
        <v>0.0367</v>
      </c>
      <c r="CK251" s="76">
        <v>1.0308</v>
      </c>
      <c r="CL251" s="76">
        <v>1.1856</v>
      </c>
      <c r="CM251" s="76">
        <v>312.37</v>
      </c>
      <c r="CN251" s="76">
        <v>95.95</v>
      </c>
      <c r="CO251" s="76">
        <v>325.54</v>
      </c>
      <c r="CP251" s="76">
        <v>281.64</v>
      </c>
      <c r="CQ251" s="76">
        <v>0.13</v>
      </c>
      <c r="CR251" s="76">
        <v>6.15</v>
      </c>
      <c r="CS251" s="76">
        <v>24.45</v>
      </c>
      <c r="CT251" s="76">
        <v>0.0</v>
      </c>
      <c r="CU251" s="76">
        <v>1846.0</v>
      </c>
      <c r="CV251" s="76">
        <v>0.01</v>
      </c>
      <c r="CW251" s="76">
        <v>135.27</v>
      </c>
      <c r="CX251" s="76">
        <v>0.03</v>
      </c>
      <c r="CY251" s="76">
        <v>0.16</v>
      </c>
    </row>
    <row r="252" ht="15.75" customHeight="1">
      <c r="A252" s="164">
        <v>46250.0</v>
      </c>
      <c r="B252" s="76" t="s">
        <v>5</v>
      </c>
      <c r="C252" s="76" t="s">
        <v>150</v>
      </c>
      <c r="D252" s="76">
        <v>2671.0</v>
      </c>
      <c r="E252" s="76">
        <v>10.35</v>
      </c>
      <c r="F252" s="76">
        <v>683.83</v>
      </c>
      <c r="G252" s="76">
        <v>0.256</v>
      </c>
      <c r="H252" s="76">
        <v>5.24</v>
      </c>
      <c r="I252" s="76">
        <v>4.8845</v>
      </c>
      <c r="J252" s="76">
        <v>115.48</v>
      </c>
      <c r="K252" s="76">
        <v>71.32</v>
      </c>
      <c r="L252" s="76">
        <v>51.53</v>
      </c>
      <c r="M252" s="76">
        <v>0.7225</v>
      </c>
      <c r="N252" s="76">
        <v>0.3969</v>
      </c>
      <c r="O252" s="76">
        <v>0.2593</v>
      </c>
      <c r="P252" s="76">
        <v>1.3841</v>
      </c>
      <c r="Q252" s="76">
        <v>257.46</v>
      </c>
      <c r="R252" s="76">
        <v>226.17</v>
      </c>
      <c r="S252" s="76">
        <v>31.29</v>
      </c>
      <c r="T252" s="76">
        <v>24.49</v>
      </c>
      <c r="U252" s="76">
        <v>232.98</v>
      </c>
      <c r="V252" s="76">
        <v>270.24</v>
      </c>
      <c r="W252" s="76">
        <v>3.7891</v>
      </c>
      <c r="X252" s="76">
        <v>9.51</v>
      </c>
      <c r="Y252" s="76">
        <v>271.0</v>
      </c>
      <c r="Z252" s="76">
        <v>575.0</v>
      </c>
      <c r="AA252" s="76">
        <v>1329.0</v>
      </c>
      <c r="AB252" s="76">
        <v>55.5143</v>
      </c>
      <c r="AC252" s="76">
        <v>0.7584</v>
      </c>
      <c r="AD252" s="76">
        <v>28.86</v>
      </c>
      <c r="AE252" s="76">
        <v>10.0</v>
      </c>
      <c r="AF252" s="76">
        <v>19.0</v>
      </c>
      <c r="AG252" s="76">
        <v>38.0</v>
      </c>
      <c r="AH252" s="76">
        <v>66.0</v>
      </c>
      <c r="AI252" s="76">
        <v>36.39</v>
      </c>
      <c r="AJ252" s="76">
        <v>11.72</v>
      </c>
      <c r="AK252" s="76">
        <v>3.52</v>
      </c>
      <c r="AM252" s="76">
        <v>37.81</v>
      </c>
      <c r="AN252" s="76">
        <v>37.81</v>
      </c>
      <c r="AO252" s="76">
        <v>21.45</v>
      </c>
      <c r="AP252" s="76">
        <v>13.52</v>
      </c>
      <c r="AQ252" s="76">
        <v>9.9678</v>
      </c>
      <c r="AR252" s="76">
        <v>0.3145</v>
      </c>
      <c r="AS252" s="76">
        <v>9.6533</v>
      </c>
      <c r="AT252" s="76">
        <v>10.9068</v>
      </c>
      <c r="AU252" s="76">
        <v>0.1529</v>
      </c>
      <c r="AV252" s="76">
        <v>2671.0</v>
      </c>
      <c r="AW252" s="76">
        <v>0.0</v>
      </c>
      <c r="AX252" s="76">
        <v>108.5</v>
      </c>
      <c r="AY252" s="76">
        <v>116.81</v>
      </c>
      <c r="AZ252" s="76">
        <v>3.38</v>
      </c>
      <c r="BA252" s="76">
        <v>24.49</v>
      </c>
      <c r="BB252" s="76">
        <v>4.29</v>
      </c>
      <c r="BC252" s="76">
        <v>144.0</v>
      </c>
      <c r="BD252" s="76">
        <v>16386.0</v>
      </c>
      <c r="BE252" s="76">
        <v>5.2617</v>
      </c>
      <c r="BF252" s="76">
        <v>0.1303</v>
      </c>
      <c r="BG252" s="76">
        <v>5.1314</v>
      </c>
      <c r="BH252" s="76">
        <v>5.3617</v>
      </c>
      <c r="BI252" s="76">
        <v>0.0752</v>
      </c>
      <c r="BJ252" s="76">
        <v>4.7061</v>
      </c>
      <c r="BK252" s="76">
        <v>0.1842</v>
      </c>
      <c r="BL252" s="76">
        <v>4.5219</v>
      </c>
      <c r="BM252" s="76">
        <v>5.5451</v>
      </c>
      <c r="BN252" s="76">
        <v>0.0778</v>
      </c>
      <c r="BO252" s="76">
        <v>1.8465</v>
      </c>
      <c r="BP252" s="76">
        <v>0.0397</v>
      </c>
      <c r="BQ252" s="76">
        <v>1.8068</v>
      </c>
      <c r="BR252" s="76">
        <v>1.9569</v>
      </c>
      <c r="BS252" s="76">
        <v>1.9465</v>
      </c>
      <c r="BT252" s="76">
        <v>0.0442</v>
      </c>
      <c r="BU252" s="76">
        <v>1.9023</v>
      </c>
      <c r="BV252" s="76">
        <v>1.9671</v>
      </c>
      <c r="BW252" s="76">
        <v>1.4687</v>
      </c>
      <c r="BX252" s="76">
        <v>0.0464</v>
      </c>
      <c r="BY252" s="76">
        <v>1.4223</v>
      </c>
      <c r="BZ252" s="76">
        <v>1.4377</v>
      </c>
      <c r="CA252" s="76">
        <v>0.769</v>
      </c>
      <c r="CB252" s="76">
        <v>0.0446</v>
      </c>
      <c r="CC252" s="76">
        <v>0.7244</v>
      </c>
      <c r="CD252" s="76">
        <v>1.0577</v>
      </c>
      <c r="CE252" s="76">
        <v>1.9379</v>
      </c>
      <c r="CF252" s="76">
        <v>0.0861</v>
      </c>
      <c r="CG252" s="76">
        <v>1.8517</v>
      </c>
      <c r="CH252" s="76">
        <v>2.2089</v>
      </c>
      <c r="CI252" s="76">
        <v>1.9993</v>
      </c>
      <c r="CJ252" s="76">
        <v>0.0535</v>
      </c>
      <c r="CK252" s="76">
        <v>1.9457</v>
      </c>
      <c r="CL252" s="76">
        <v>2.2785</v>
      </c>
      <c r="CM252" s="76">
        <v>656.11</v>
      </c>
      <c r="CN252" s="76">
        <v>98.69</v>
      </c>
      <c r="CO252" s="76">
        <v>664.82</v>
      </c>
      <c r="CP252" s="76">
        <v>612.84</v>
      </c>
      <c r="CQ252" s="76">
        <v>0.04</v>
      </c>
      <c r="CR252" s="76">
        <v>7.55</v>
      </c>
      <c r="CS252" s="76">
        <v>35.68</v>
      </c>
      <c r="CT252" s="76">
        <v>0.0</v>
      </c>
      <c r="CU252" s="76">
        <v>1084.0</v>
      </c>
      <c r="CV252" s="76">
        <v>0.01</v>
      </c>
      <c r="CW252" s="76">
        <v>257.47</v>
      </c>
      <c r="CX252" s="76">
        <v>0.04</v>
      </c>
      <c r="CY252" s="76">
        <v>0.08</v>
      </c>
    </row>
    <row r="253" ht="15.75" customHeight="1">
      <c r="A253" s="164">
        <v>46250.0</v>
      </c>
      <c r="B253" s="76" t="s">
        <v>5</v>
      </c>
      <c r="C253" s="76" t="s">
        <v>151</v>
      </c>
      <c r="D253" s="76">
        <v>316.0</v>
      </c>
      <c r="E253" s="76">
        <v>1.22</v>
      </c>
      <c r="F253" s="76">
        <v>318.54</v>
      </c>
      <c r="G253" s="76">
        <v>1.008</v>
      </c>
      <c r="H253" s="76">
        <v>8.23</v>
      </c>
      <c r="I253" s="76">
        <v>12.2515</v>
      </c>
      <c r="J253" s="76">
        <v>230.15</v>
      </c>
      <c r="K253" s="76">
        <v>152.63</v>
      </c>
      <c r="L253" s="76">
        <v>112.34</v>
      </c>
      <c r="M253" s="76">
        <v>0.736</v>
      </c>
      <c r="N253" s="76">
        <v>0.3649</v>
      </c>
      <c r="O253" s="76">
        <v>0.2251</v>
      </c>
      <c r="P253" s="76">
        <v>1.3587</v>
      </c>
      <c r="Q253" s="76">
        <v>492.1</v>
      </c>
      <c r="R253" s="76">
        <v>423.41</v>
      </c>
      <c r="S253" s="76">
        <v>68.69</v>
      </c>
      <c r="T253" s="76">
        <v>76.11</v>
      </c>
      <c r="U253" s="76">
        <v>415.99</v>
      </c>
      <c r="V253" s="76">
        <v>481.8</v>
      </c>
      <c r="W253" s="76">
        <v>3.1567</v>
      </c>
      <c r="X253" s="76">
        <v>15.47</v>
      </c>
      <c r="Y253" s="76">
        <v>345.0</v>
      </c>
      <c r="Z253" s="76">
        <v>698.0</v>
      </c>
      <c r="AA253" s="76">
        <v>1791.0</v>
      </c>
      <c r="AB253" s="76">
        <v>58.1283</v>
      </c>
      <c r="AC253" s="76">
        <v>0.7873</v>
      </c>
      <c r="AD253" s="76">
        <v>52.97</v>
      </c>
      <c r="AE253" s="76">
        <v>17.0</v>
      </c>
      <c r="AF253" s="76">
        <v>35.0</v>
      </c>
      <c r="AG253" s="76">
        <v>71.0</v>
      </c>
      <c r="AH253" s="76">
        <v>122.0</v>
      </c>
      <c r="AI253" s="76">
        <v>22.47</v>
      </c>
      <c r="AJ253" s="76">
        <v>3.48</v>
      </c>
      <c r="AK253" s="76">
        <v>1.27</v>
      </c>
      <c r="AM253" s="76">
        <v>45.25</v>
      </c>
      <c r="AN253" s="76">
        <v>45.25</v>
      </c>
      <c r="AO253" s="76">
        <v>35.76</v>
      </c>
      <c r="AP253" s="76">
        <v>31.01</v>
      </c>
      <c r="AQ253" s="76">
        <v>18.6234</v>
      </c>
      <c r="AR253" s="76">
        <v>0.9937</v>
      </c>
      <c r="AS253" s="76">
        <v>17.6297</v>
      </c>
      <c r="AT253" s="76">
        <v>20.6867</v>
      </c>
      <c r="AU253" s="76">
        <v>0.1355</v>
      </c>
      <c r="AV253" s="76">
        <v>316.0</v>
      </c>
      <c r="AW253" s="76">
        <v>0.0</v>
      </c>
      <c r="AX253" s="76">
        <v>216.23</v>
      </c>
      <c r="AY253" s="76">
        <v>179.35</v>
      </c>
      <c r="AZ253" s="76">
        <v>6.76</v>
      </c>
      <c r="BA253" s="76">
        <v>76.11</v>
      </c>
      <c r="BB253" s="76">
        <v>13.65</v>
      </c>
      <c r="BC253" s="76">
        <v>280.0</v>
      </c>
      <c r="BD253" s="76">
        <v>11479.0</v>
      </c>
      <c r="BE253" s="76">
        <v>9.5063</v>
      </c>
      <c r="BF253" s="76">
        <v>0.4557</v>
      </c>
      <c r="BG253" s="76">
        <v>9.0506</v>
      </c>
      <c r="BH253" s="76">
        <v>9.1076</v>
      </c>
      <c r="BI253" s="76">
        <v>0.0597</v>
      </c>
      <c r="BJ253" s="76">
        <v>9.1171</v>
      </c>
      <c r="BK253" s="76">
        <v>0.538</v>
      </c>
      <c r="BL253" s="76">
        <v>8.5791</v>
      </c>
      <c r="BM253" s="76">
        <v>11.5791</v>
      </c>
      <c r="BN253" s="76">
        <v>0.0759</v>
      </c>
      <c r="BO253" s="76">
        <v>3.1361</v>
      </c>
      <c r="BP253" s="76">
        <v>0.1519</v>
      </c>
      <c r="BQ253" s="76">
        <v>2.9842</v>
      </c>
      <c r="BR253" s="76">
        <v>2.9778</v>
      </c>
      <c r="BS253" s="76">
        <v>3.5095</v>
      </c>
      <c r="BT253" s="76">
        <v>0.1519</v>
      </c>
      <c r="BU253" s="76">
        <v>3.3576</v>
      </c>
      <c r="BV253" s="76">
        <v>3.3639</v>
      </c>
      <c r="BW253" s="76">
        <v>2.8608</v>
      </c>
      <c r="BX253" s="76">
        <v>0.1519</v>
      </c>
      <c r="BY253" s="76">
        <v>2.7089</v>
      </c>
      <c r="BZ253" s="76">
        <v>2.7658</v>
      </c>
      <c r="CA253" s="76">
        <v>1.6772</v>
      </c>
      <c r="CB253" s="76">
        <v>0.1614</v>
      </c>
      <c r="CC253" s="76">
        <v>1.5158</v>
      </c>
      <c r="CD253" s="76">
        <v>3.0348</v>
      </c>
      <c r="CE253" s="76">
        <v>3.5411</v>
      </c>
      <c r="CF253" s="76">
        <v>0.2025</v>
      </c>
      <c r="CG253" s="76">
        <v>3.3386</v>
      </c>
      <c r="CH253" s="76">
        <v>3.9525</v>
      </c>
      <c r="CI253" s="76">
        <v>3.8987</v>
      </c>
      <c r="CJ253" s="76">
        <v>0.1741</v>
      </c>
      <c r="CK253" s="76">
        <v>3.7247</v>
      </c>
      <c r="CL253" s="76">
        <v>4.5918</v>
      </c>
      <c r="CM253" s="76">
        <v>1374.31</v>
      </c>
      <c r="CN253" s="76">
        <v>99.68</v>
      </c>
      <c r="CO253" s="76">
        <v>1378.67</v>
      </c>
      <c r="CP253" s="76">
        <v>1321.03</v>
      </c>
      <c r="CQ253" s="76">
        <v>0.0</v>
      </c>
      <c r="CR253" s="76">
        <v>11.96</v>
      </c>
      <c r="CS253" s="76">
        <v>41.31</v>
      </c>
      <c r="CT253" s="76">
        <v>0.0</v>
      </c>
      <c r="CU253" s="76">
        <v>142.0</v>
      </c>
      <c r="CV253" s="76">
        <v>0.0</v>
      </c>
      <c r="CW253" s="76">
        <v>492.1</v>
      </c>
      <c r="CX253" s="76">
        <v>0.0</v>
      </c>
      <c r="CY253" s="76">
        <v>0.0</v>
      </c>
    </row>
    <row r="254" ht="15.75" customHeight="1">
      <c r="A254" s="164"/>
    </row>
    <row r="255" ht="15.75" customHeight="1">
      <c r="A255" s="164"/>
    </row>
    <row r="256" ht="15.75" customHeight="1">
      <c r="A256" s="164"/>
    </row>
    <row r="257" ht="15.75" customHeight="1">
      <c r="A257" s="164"/>
    </row>
    <row r="258" ht="15.75" customHeight="1">
      <c r="A258" s="164"/>
    </row>
    <row r="259" ht="15.75" customHeight="1">
      <c r="A259" s="164"/>
    </row>
    <row r="260" ht="15.75" customHeight="1">
      <c r="A260" s="164"/>
    </row>
    <row r="261" ht="15.75" customHeight="1">
      <c r="A261" s="164"/>
    </row>
    <row r="262" ht="15.75" customHeight="1">
      <c r="A262" s="164"/>
    </row>
    <row r="263" ht="15.75" customHeight="1">
      <c r="A263" s="164"/>
    </row>
    <row r="264" ht="15.75" customHeight="1">
      <c r="A264" s="164"/>
    </row>
    <row r="265" ht="15.75" customHeight="1">
      <c r="A265" s="164"/>
    </row>
    <row r="266" ht="15.75" customHeight="1">
      <c r="A266" s="164"/>
    </row>
    <row r="267" ht="15.75" customHeight="1">
      <c r="A267" s="164"/>
    </row>
    <row r="268" ht="15.75" customHeight="1">
      <c r="A268" s="164"/>
    </row>
    <row r="269" ht="15.75" customHeight="1">
      <c r="A269" s="164"/>
    </row>
    <row r="270" ht="15.75" customHeight="1">
      <c r="A270" s="164"/>
    </row>
    <row r="271" ht="15.75" customHeight="1">
      <c r="A271" s="164"/>
    </row>
    <row r="272" ht="15.75" customHeight="1">
      <c r="A272" s="164"/>
    </row>
    <row r="273" ht="15.75" customHeight="1">
      <c r="A273" s="164"/>
    </row>
    <row r="274" ht="15.75" customHeight="1">
      <c r="A274" s="164"/>
    </row>
    <row r="275" ht="15.75" customHeight="1">
      <c r="A275" s="164"/>
    </row>
    <row r="276" ht="15.75" customHeight="1">
      <c r="A276" s="164"/>
    </row>
    <row r="277" ht="15.75" customHeight="1">
      <c r="A277" s="164"/>
    </row>
    <row r="278" ht="15.75" customHeight="1">
      <c r="A278" s="164"/>
    </row>
    <row r="279" ht="15.75" customHeight="1">
      <c r="A279" s="164"/>
    </row>
    <row r="280" ht="15.75" customHeight="1">
      <c r="A280" s="164"/>
    </row>
    <row r="281" ht="15.75" customHeight="1">
      <c r="A281" s="164"/>
    </row>
    <row r="282" ht="15.75" customHeight="1">
      <c r="A282" s="164"/>
    </row>
    <row r="283" ht="15.75" customHeight="1">
      <c r="A283" s="164"/>
    </row>
    <row r="284" ht="15.75" customHeight="1">
      <c r="A284" s="164"/>
    </row>
    <row r="285" ht="15.75" customHeight="1">
      <c r="A285" s="164"/>
    </row>
    <row r="286" ht="15.75" customHeight="1">
      <c r="A286" s="164"/>
    </row>
    <row r="287" ht="15.75" customHeight="1">
      <c r="A287" s="164"/>
    </row>
    <row r="288" ht="15.75" customHeight="1">
      <c r="A288" s="164"/>
    </row>
    <row r="289" ht="15.75" customHeight="1">
      <c r="A289" s="164"/>
    </row>
    <row r="290" ht="15.75" customHeight="1">
      <c r="A290" s="164"/>
    </row>
    <row r="291" ht="15.75" customHeight="1">
      <c r="A291" s="164"/>
    </row>
    <row r="292" ht="15.75" customHeight="1">
      <c r="A292" s="164"/>
    </row>
    <row r="293" ht="15.75" customHeight="1">
      <c r="A293" s="164"/>
    </row>
    <row r="294" ht="15.75" customHeight="1">
      <c r="A294" s="164"/>
    </row>
    <row r="295" ht="15.75" customHeight="1">
      <c r="A295" s="164"/>
    </row>
    <row r="296" ht="15.75" customHeight="1">
      <c r="A296" s="164"/>
    </row>
    <row r="297" ht="15.75" customHeight="1">
      <c r="A297" s="164"/>
    </row>
    <row r="298" ht="15.75" customHeight="1">
      <c r="A298" s="164"/>
    </row>
    <row r="299" ht="15.75" customHeight="1">
      <c r="A299" s="164"/>
    </row>
    <row r="300" ht="15.75" customHeight="1">
      <c r="A300" s="164"/>
    </row>
    <row r="301" ht="15.75" customHeight="1">
      <c r="A301" s="164"/>
    </row>
    <row r="302" ht="15.75" customHeight="1">
      <c r="A302" s="164"/>
    </row>
    <row r="303" ht="15.75" customHeight="1">
      <c r="A303" s="164"/>
    </row>
    <row r="304" ht="15.75" customHeight="1">
      <c r="A304" s="164"/>
    </row>
    <row r="305" ht="15.75" customHeight="1">
      <c r="A305" s="164"/>
    </row>
    <row r="306" ht="15.75" customHeight="1">
      <c r="A306" s="164"/>
    </row>
    <row r="307" ht="15.75" customHeight="1">
      <c r="A307" s="164"/>
    </row>
    <row r="308" ht="15.75" customHeight="1">
      <c r="A308" s="164"/>
    </row>
    <row r="309" ht="15.75" customHeight="1">
      <c r="A309" s="164"/>
    </row>
    <row r="310" ht="15.75" customHeight="1">
      <c r="A310" s="164"/>
    </row>
    <row r="311" ht="15.75" customHeight="1">
      <c r="A311" s="164"/>
    </row>
    <row r="312" ht="15.75" customHeight="1">
      <c r="A312" s="164"/>
    </row>
    <row r="313" ht="15.75" customHeight="1">
      <c r="A313" s="164"/>
    </row>
    <row r="314" ht="15.75" customHeight="1">
      <c r="A314" s="164"/>
    </row>
    <row r="315" ht="15.75" customHeight="1">
      <c r="A315" s="164"/>
    </row>
    <row r="316" ht="15.75" customHeight="1">
      <c r="A316" s="164"/>
    </row>
    <row r="317" ht="15.75" customHeight="1">
      <c r="A317" s="164"/>
    </row>
    <row r="318" ht="15.75" customHeight="1">
      <c r="A318" s="164"/>
    </row>
    <row r="319" ht="15.75" customHeight="1">
      <c r="A319" s="164"/>
    </row>
    <row r="320" ht="15.75" customHeight="1">
      <c r="A320" s="164"/>
    </row>
    <row r="321" ht="15.75" customHeight="1">
      <c r="A321" s="164"/>
    </row>
    <row r="322" ht="15.75" customHeight="1">
      <c r="A322" s="164"/>
    </row>
    <row r="323" ht="15.75" customHeight="1">
      <c r="A323" s="164"/>
    </row>
    <row r="324" ht="15.75" customHeight="1">
      <c r="A324" s="164"/>
    </row>
    <row r="325" ht="15.75" customHeight="1">
      <c r="A325" s="164"/>
    </row>
    <row r="326" ht="15.75" customHeight="1">
      <c r="A326" s="164"/>
    </row>
    <row r="327" ht="15.75" customHeight="1">
      <c r="A327" s="164"/>
    </row>
    <row r="328" ht="15.75" customHeight="1">
      <c r="A328" s="164"/>
    </row>
    <row r="329" ht="15.75" customHeight="1">
      <c r="A329" s="164"/>
    </row>
    <row r="330" ht="15.75" customHeight="1">
      <c r="A330" s="164"/>
    </row>
    <row r="331" ht="15.75" customHeight="1">
      <c r="A331" s="164"/>
    </row>
    <row r="332" ht="15.75" customHeight="1">
      <c r="A332" s="164"/>
    </row>
    <row r="333" ht="15.75" customHeight="1">
      <c r="A333" s="164"/>
    </row>
    <row r="334" ht="15.75" customHeight="1">
      <c r="A334" s="164"/>
    </row>
    <row r="335" ht="15.75" customHeight="1">
      <c r="A335" s="164"/>
    </row>
    <row r="336" ht="15.75" customHeight="1">
      <c r="A336" s="164"/>
    </row>
    <row r="337" ht="15.75" customHeight="1">
      <c r="A337" s="164"/>
    </row>
    <row r="338" ht="15.75" customHeight="1">
      <c r="A338" s="164"/>
    </row>
    <row r="339" ht="15.75" customHeight="1">
      <c r="A339" s="164"/>
    </row>
    <row r="340" ht="15.75" customHeight="1">
      <c r="A340" s="164"/>
    </row>
    <row r="341" ht="15.75" customHeight="1">
      <c r="A341" s="164"/>
    </row>
    <row r="342" ht="15.75" customHeight="1">
      <c r="A342" s="164"/>
    </row>
    <row r="343" ht="15.75" customHeight="1">
      <c r="A343" s="164"/>
    </row>
    <row r="344" ht="15.75" customHeight="1">
      <c r="A344" s="164"/>
    </row>
    <row r="345" ht="15.75" customHeight="1">
      <c r="A345" s="164"/>
    </row>
    <row r="346" ht="15.75" customHeight="1">
      <c r="A346" s="164"/>
    </row>
    <row r="347" ht="15.75" customHeight="1">
      <c r="A347" s="164"/>
    </row>
    <row r="348" ht="15.75" customHeight="1">
      <c r="A348" s="164"/>
    </row>
    <row r="349" ht="15.75" customHeight="1">
      <c r="A349" s="164"/>
    </row>
    <row r="350" ht="15.75" customHeight="1">
      <c r="A350" s="164"/>
    </row>
    <row r="351" ht="15.75" customHeight="1">
      <c r="A351" s="164"/>
    </row>
    <row r="352" ht="15.75" customHeight="1">
      <c r="A352" s="164"/>
    </row>
    <row r="353" ht="15.75" customHeight="1">
      <c r="A353" s="164"/>
    </row>
    <row r="354" ht="15.75" customHeight="1">
      <c r="A354" s="164"/>
    </row>
    <row r="355" ht="15.75" customHeight="1">
      <c r="A355" s="164"/>
    </row>
    <row r="356" ht="15.75" customHeight="1">
      <c r="A356" s="164"/>
    </row>
    <row r="357" ht="15.75" customHeight="1">
      <c r="A357" s="164"/>
    </row>
    <row r="358" ht="15.75" customHeight="1">
      <c r="A358" s="164"/>
    </row>
    <row r="359" ht="15.75" customHeight="1">
      <c r="A359" s="164"/>
    </row>
    <row r="360" ht="15.75" customHeight="1">
      <c r="A360" s="164"/>
    </row>
    <row r="361" ht="15.75" customHeight="1">
      <c r="A361" s="164"/>
    </row>
    <row r="362" ht="15.75" customHeight="1">
      <c r="A362" s="164"/>
    </row>
    <row r="363" ht="15.75" customHeight="1">
      <c r="A363" s="164"/>
    </row>
    <row r="364" ht="15.75" customHeight="1">
      <c r="A364" s="164"/>
    </row>
    <row r="365" ht="15.75" customHeight="1">
      <c r="A365" s="164"/>
    </row>
    <row r="366" ht="15.75" customHeight="1">
      <c r="A366" s="164"/>
    </row>
    <row r="367" ht="15.75" customHeight="1">
      <c r="A367" s="164"/>
    </row>
    <row r="368" ht="15.75" customHeight="1">
      <c r="A368" s="164"/>
    </row>
    <row r="369" ht="15.75" customHeight="1">
      <c r="A369" s="164"/>
    </row>
    <row r="370" ht="15.75" customHeight="1">
      <c r="A370" s="164"/>
    </row>
    <row r="371" ht="15.75" customHeight="1">
      <c r="A371" s="164"/>
    </row>
    <row r="372" ht="15.75" customHeight="1">
      <c r="A372" s="164"/>
    </row>
    <row r="373" ht="15.75" customHeight="1">
      <c r="A373" s="164"/>
    </row>
    <row r="374" ht="15.75" customHeight="1">
      <c r="A374" s="164"/>
    </row>
    <row r="375" ht="15.75" customHeight="1">
      <c r="A375" s="164"/>
    </row>
    <row r="376" ht="15.75" customHeight="1">
      <c r="A376" s="164"/>
    </row>
    <row r="377" ht="15.75" customHeight="1">
      <c r="A377" s="164"/>
    </row>
    <row r="378" ht="15.75" customHeight="1">
      <c r="A378" s="164"/>
    </row>
    <row r="379" ht="15.75" customHeight="1">
      <c r="A379" s="164"/>
    </row>
    <row r="380" ht="15.75" customHeight="1">
      <c r="A380" s="164"/>
    </row>
    <row r="381" ht="15.75" customHeight="1">
      <c r="A381" s="164"/>
    </row>
    <row r="382" ht="15.75" customHeight="1">
      <c r="A382" s="164"/>
    </row>
    <row r="383" ht="15.75" customHeight="1">
      <c r="A383" s="164"/>
    </row>
    <row r="384" ht="15.75" customHeight="1">
      <c r="A384" s="164"/>
    </row>
    <row r="385" ht="15.75" customHeight="1">
      <c r="A385" s="164"/>
    </row>
    <row r="386" ht="15.75" customHeight="1">
      <c r="A386" s="164"/>
    </row>
    <row r="387" ht="15.75" customHeight="1">
      <c r="A387" s="164"/>
    </row>
    <row r="388" ht="15.75" customHeight="1">
      <c r="A388" s="164"/>
    </row>
    <row r="389" ht="15.75" customHeight="1">
      <c r="A389" s="164"/>
    </row>
    <row r="390" ht="15.75" customHeight="1">
      <c r="A390" s="164"/>
    </row>
    <row r="391" ht="15.75" customHeight="1">
      <c r="A391" s="164"/>
    </row>
    <row r="392" ht="15.75" customHeight="1">
      <c r="A392" s="164"/>
    </row>
    <row r="393" ht="15.75" customHeight="1">
      <c r="A393" s="164"/>
    </row>
    <row r="394" ht="15.75" customHeight="1">
      <c r="A394" s="164"/>
    </row>
    <row r="395" ht="15.75" customHeight="1">
      <c r="A395" s="164"/>
    </row>
    <row r="396" ht="15.75" customHeight="1">
      <c r="A396" s="164"/>
    </row>
    <row r="397" ht="15.75" customHeight="1">
      <c r="A397" s="164"/>
    </row>
    <row r="398" ht="15.75" customHeight="1">
      <c r="A398" s="164"/>
    </row>
    <row r="399" ht="15.75" customHeight="1">
      <c r="A399" s="164"/>
    </row>
    <row r="400" ht="15.75" customHeight="1">
      <c r="A400" s="164"/>
    </row>
    <row r="401" ht="15.75" customHeight="1">
      <c r="A401" s="164"/>
    </row>
    <row r="402" ht="15.75" customHeight="1">
      <c r="A402" s="164"/>
    </row>
    <row r="403" ht="15.75" customHeight="1">
      <c r="A403" s="164"/>
    </row>
    <row r="404" ht="15.75" customHeight="1">
      <c r="A404" s="164"/>
    </row>
    <row r="405" ht="15.75" customHeight="1">
      <c r="A405" s="164"/>
    </row>
    <row r="406" ht="15.75" customHeight="1">
      <c r="A406" s="164"/>
    </row>
    <row r="407" ht="15.75" customHeight="1">
      <c r="A407" s="164"/>
    </row>
    <row r="408" ht="15.75" customHeight="1">
      <c r="A408" s="164"/>
    </row>
    <row r="409" ht="15.75" customHeight="1">
      <c r="A409" s="164"/>
    </row>
    <row r="410" ht="15.75" customHeight="1">
      <c r="A410" s="164"/>
    </row>
    <row r="411" ht="15.75" customHeight="1">
      <c r="A411" s="164"/>
    </row>
    <row r="412" ht="15.75" customHeight="1">
      <c r="A412" s="164"/>
    </row>
    <row r="413" ht="15.75" customHeight="1">
      <c r="A413" s="164"/>
    </row>
    <row r="414" ht="15.75" customHeight="1">
      <c r="A414" s="164"/>
    </row>
    <row r="415" ht="15.75" customHeight="1">
      <c r="A415" s="164"/>
    </row>
    <row r="416" ht="15.75" customHeight="1">
      <c r="A416" s="164"/>
    </row>
    <row r="417" ht="15.75" customHeight="1">
      <c r="A417" s="164"/>
    </row>
    <row r="418" ht="15.75" customHeight="1">
      <c r="A418" s="164"/>
    </row>
    <row r="419" ht="15.75" customHeight="1">
      <c r="A419" s="164"/>
    </row>
    <row r="420" ht="15.75" customHeight="1">
      <c r="A420" s="164"/>
    </row>
    <row r="421" ht="15.75" customHeight="1">
      <c r="A421" s="164"/>
    </row>
    <row r="422" ht="15.75" customHeight="1">
      <c r="A422" s="164"/>
    </row>
    <row r="423" ht="15.75" customHeight="1">
      <c r="A423" s="164"/>
    </row>
    <row r="424" ht="15.75" customHeight="1">
      <c r="A424" s="164"/>
    </row>
    <row r="425" ht="15.75" customHeight="1">
      <c r="A425" s="164"/>
    </row>
    <row r="426" ht="15.75" customHeight="1">
      <c r="A426" s="164"/>
    </row>
    <row r="427" ht="15.75" customHeight="1">
      <c r="A427" s="164"/>
    </row>
    <row r="428" ht="15.75" customHeight="1">
      <c r="A428" s="164"/>
    </row>
    <row r="429" ht="15.75" customHeight="1">
      <c r="A429" s="164"/>
    </row>
    <row r="430" ht="15.75" customHeight="1">
      <c r="A430" s="164"/>
    </row>
    <row r="431" ht="15.75" customHeight="1">
      <c r="A431" s="164"/>
    </row>
    <row r="432" ht="15.75" customHeight="1">
      <c r="A432" s="164"/>
    </row>
    <row r="433" ht="15.75" customHeight="1">
      <c r="A433" s="164"/>
    </row>
    <row r="434" ht="15.75" customHeight="1">
      <c r="A434" s="164"/>
    </row>
    <row r="435" ht="15.75" customHeight="1">
      <c r="A435" s="164"/>
    </row>
    <row r="436" ht="15.75" customHeight="1">
      <c r="A436" s="164"/>
    </row>
    <row r="437" ht="15.75" customHeight="1">
      <c r="A437" s="164"/>
    </row>
    <row r="438" ht="15.75" customHeight="1">
      <c r="A438" s="164"/>
    </row>
    <row r="439" ht="15.75" customHeight="1">
      <c r="A439" s="164"/>
    </row>
    <row r="440" ht="15.75" customHeight="1">
      <c r="A440" s="164"/>
    </row>
    <row r="441" ht="15.75" customHeight="1">
      <c r="A441" s="164"/>
    </row>
    <row r="442" ht="15.75" customHeight="1">
      <c r="A442" s="164"/>
    </row>
    <row r="443" ht="15.75" customHeight="1">
      <c r="A443" s="164"/>
    </row>
    <row r="444" ht="15.75" customHeight="1">
      <c r="A444" s="164"/>
    </row>
    <row r="445" ht="15.75" customHeight="1">
      <c r="A445" s="164"/>
    </row>
    <row r="446" ht="15.75" customHeight="1">
      <c r="A446" s="164"/>
    </row>
    <row r="447" ht="15.75" customHeight="1">
      <c r="A447" s="164"/>
    </row>
    <row r="448" ht="15.75" customHeight="1">
      <c r="A448" s="164"/>
    </row>
    <row r="449" ht="15.75" customHeight="1">
      <c r="A449" s="164"/>
    </row>
    <row r="450" ht="15.75" customHeight="1">
      <c r="A450" s="164"/>
    </row>
    <row r="451" ht="15.75" customHeight="1">
      <c r="A451" s="164"/>
    </row>
    <row r="452" ht="15.75" customHeight="1">
      <c r="A452" s="164"/>
    </row>
    <row r="453" ht="15.75" customHeight="1">
      <c r="A453" s="164"/>
    </row>
    <row r="454" ht="15.75" customHeight="1">
      <c r="A454" s="164"/>
    </row>
    <row r="455" ht="15.75" customHeight="1">
      <c r="A455" s="164"/>
    </row>
    <row r="456" ht="15.75" customHeight="1">
      <c r="A456" s="164"/>
    </row>
    <row r="457" ht="15.75" customHeight="1">
      <c r="A457" s="164"/>
    </row>
    <row r="458" ht="15.75" customHeight="1">
      <c r="A458" s="164"/>
    </row>
    <row r="459" ht="15.75" customHeight="1">
      <c r="A459" s="164"/>
    </row>
    <row r="460" ht="15.75" customHeight="1">
      <c r="A460" s="164"/>
    </row>
    <row r="461" ht="15.75" customHeight="1">
      <c r="A461" s="164"/>
    </row>
    <row r="462" ht="15.75" customHeight="1">
      <c r="A462" s="164"/>
    </row>
    <row r="463" ht="15.75" customHeight="1">
      <c r="A463" s="164"/>
    </row>
    <row r="464" ht="15.75" customHeight="1">
      <c r="A464" s="164"/>
    </row>
    <row r="465" ht="15.75" customHeight="1">
      <c r="A465" s="164"/>
    </row>
    <row r="466" ht="15.75" customHeight="1">
      <c r="A466" s="164"/>
    </row>
    <row r="467" ht="15.75" customHeight="1">
      <c r="A467" s="164"/>
    </row>
    <row r="468" ht="15.75" customHeight="1">
      <c r="A468" s="164"/>
    </row>
    <row r="469" ht="15.75" customHeight="1">
      <c r="A469" s="164"/>
    </row>
    <row r="470" ht="15.75" customHeight="1">
      <c r="A470" s="164"/>
    </row>
    <row r="471" ht="15.75" customHeight="1">
      <c r="A471" s="164"/>
    </row>
    <row r="472" ht="15.75" customHeight="1">
      <c r="A472" s="164"/>
    </row>
    <row r="473" ht="15.75" customHeight="1">
      <c r="A473" s="164"/>
    </row>
    <row r="474" ht="15.75" customHeight="1">
      <c r="A474" s="164"/>
    </row>
    <row r="475" ht="15.75" customHeight="1">
      <c r="A475" s="164"/>
    </row>
    <row r="476" ht="15.75" customHeight="1">
      <c r="A476" s="164"/>
    </row>
    <row r="477" ht="15.75" customHeight="1">
      <c r="A477" s="164"/>
    </row>
    <row r="478" ht="15.75" customHeight="1">
      <c r="A478" s="164"/>
    </row>
    <row r="479" ht="15.75" customHeight="1">
      <c r="A479" s="164"/>
    </row>
    <row r="480" ht="15.75" customHeight="1">
      <c r="A480" s="164"/>
    </row>
    <row r="481" ht="15.75" customHeight="1">
      <c r="A481" s="164"/>
    </row>
    <row r="482" ht="15.75" customHeight="1">
      <c r="A482" s="164"/>
    </row>
    <row r="483" ht="15.75" customHeight="1">
      <c r="A483" s="164"/>
    </row>
    <row r="484" ht="15.75" customHeight="1">
      <c r="A484" s="164"/>
    </row>
    <row r="485" ht="15.75" customHeight="1">
      <c r="A485" s="164"/>
    </row>
    <row r="486" ht="15.75" customHeight="1">
      <c r="A486" s="164"/>
    </row>
    <row r="487" ht="15.75" customHeight="1">
      <c r="A487" s="164"/>
    </row>
    <row r="488" ht="15.75" customHeight="1">
      <c r="A488" s="164"/>
    </row>
    <row r="489" ht="15.75" customHeight="1">
      <c r="A489" s="164"/>
    </row>
    <row r="490" ht="15.75" customHeight="1">
      <c r="A490" s="164"/>
    </row>
    <row r="491" ht="15.75" customHeight="1">
      <c r="A491" s="164"/>
    </row>
    <row r="492" ht="15.75" customHeight="1">
      <c r="A492" s="164"/>
    </row>
    <row r="493" ht="15.75" customHeight="1">
      <c r="A493" s="164"/>
    </row>
    <row r="494" ht="15.75" customHeight="1">
      <c r="A494" s="164"/>
    </row>
    <row r="495" ht="15.75" customHeight="1">
      <c r="A495" s="164"/>
    </row>
    <row r="496" ht="15.75" customHeight="1">
      <c r="A496" s="164"/>
    </row>
    <row r="497" ht="15.75" customHeight="1">
      <c r="A497" s="164"/>
    </row>
    <row r="498" ht="15.75" customHeight="1">
      <c r="A498" s="164"/>
    </row>
    <row r="499" ht="15.75" customHeight="1">
      <c r="A499" s="164"/>
    </row>
    <row r="500" ht="15.75" customHeight="1">
      <c r="A500" s="164"/>
    </row>
    <row r="501" ht="15.75" customHeight="1">
      <c r="A501" s="164"/>
    </row>
    <row r="502" ht="15.75" customHeight="1">
      <c r="A502" s="164"/>
    </row>
    <row r="503" ht="15.75" customHeight="1">
      <c r="A503" s="164"/>
    </row>
    <row r="504" ht="15.75" customHeight="1">
      <c r="A504" s="164"/>
    </row>
    <row r="505" ht="15.75" customHeight="1">
      <c r="A505" s="164"/>
    </row>
    <row r="506" ht="15.75" customHeight="1">
      <c r="A506" s="164"/>
    </row>
    <row r="507" ht="15.75" customHeight="1">
      <c r="A507" s="164"/>
    </row>
    <row r="508" ht="15.75" customHeight="1">
      <c r="A508" s="164"/>
    </row>
    <row r="509" ht="15.75" customHeight="1">
      <c r="A509" s="164"/>
    </row>
    <row r="510" ht="15.75" customHeight="1">
      <c r="A510" s="164"/>
    </row>
    <row r="511" ht="15.75" customHeight="1">
      <c r="A511" s="164"/>
    </row>
    <row r="512" ht="15.75" customHeight="1">
      <c r="A512" s="164"/>
    </row>
    <row r="513" ht="15.75" customHeight="1">
      <c r="A513" s="164"/>
    </row>
    <row r="514" ht="15.75" customHeight="1">
      <c r="A514" s="164"/>
    </row>
    <row r="515" ht="15.75" customHeight="1">
      <c r="A515" s="164"/>
    </row>
    <row r="516" ht="15.75" customHeight="1">
      <c r="A516" s="164"/>
    </row>
    <row r="517" ht="15.75" customHeight="1">
      <c r="A517" s="164"/>
    </row>
    <row r="518" ht="15.75" customHeight="1">
      <c r="A518" s="164"/>
    </row>
    <row r="519" ht="15.75" customHeight="1">
      <c r="A519" s="164"/>
    </row>
    <row r="520" ht="15.75" customHeight="1">
      <c r="A520" s="164"/>
    </row>
    <row r="521" ht="15.75" customHeight="1">
      <c r="A521" s="164"/>
    </row>
    <row r="522" ht="15.75" customHeight="1">
      <c r="A522" s="164"/>
    </row>
    <row r="523" ht="15.75" customHeight="1">
      <c r="A523" s="164"/>
    </row>
    <row r="524" ht="15.75" customHeight="1">
      <c r="A524" s="164"/>
    </row>
    <row r="525" ht="15.75" customHeight="1">
      <c r="A525" s="164"/>
    </row>
    <row r="526" ht="15.75" customHeight="1">
      <c r="A526" s="164"/>
    </row>
    <row r="527" ht="15.75" customHeight="1">
      <c r="A527" s="164"/>
    </row>
    <row r="528" ht="15.75" customHeight="1">
      <c r="A528" s="164"/>
    </row>
    <row r="529" ht="15.75" customHeight="1">
      <c r="A529" s="164"/>
    </row>
    <row r="530" ht="15.75" customHeight="1">
      <c r="A530" s="164"/>
    </row>
    <row r="531" ht="15.75" customHeight="1">
      <c r="A531" s="164"/>
    </row>
    <row r="532" ht="15.75" customHeight="1">
      <c r="A532" s="164"/>
    </row>
    <row r="533" ht="15.75" customHeight="1">
      <c r="A533" s="164"/>
    </row>
    <row r="534" ht="15.75" customHeight="1">
      <c r="A534" s="164"/>
    </row>
    <row r="535" ht="15.75" customHeight="1">
      <c r="A535" s="164"/>
    </row>
    <row r="536" ht="15.75" customHeight="1">
      <c r="A536" s="164"/>
    </row>
    <row r="537" ht="15.75" customHeight="1">
      <c r="A537" s="164"/>
    </row>
    <row r="538" ht="15.75" customHeight="1">
      <c r="A538" s="164"/>
    </row>
    <row r="539" ht="15.75" customHeight="1">
      <c r="A539" s="164"/>
    </row>
    <row r="540" ht="15.75" customHeight="1">
      <c r="A540" s="164"/>
    </row>
    <row r="541" ht="15.75" customHeight="1">
      <c r="A541" s="164"/>
    </row>
    <row r="542" ht="15.75" customHeight="1">
      <c r="A542" s="164"/>
    </row>
    <row r="543" ht="15.75" customHeight="1">
      <c r="A543" s="164"/>
    </row>
    <row r="544" ht="15.75" customHeight="1">
      <c r="A544" s="164"/>
    </row>
    <row r="545" ht="15.75" customHeight="1">
      <c r="A545" s="164"/>
    </row>
    <row r="546" ht="15.75" customHeight="1">
      <c r="A546" s="164"/>
    </row>
    <row r="547" ht="15.75" customHeight="1">
      <c r="A547" s="164"/>
    </row>
    <row r="548" ht="15.75" customHeight="1">
      <c r="A548" s="164"/>
    </row>
    <row r="549" ht="15.75" customHeight="1">
      <c r="A549" s="164"/>
    </row>
    <row r="550" ht="15.75" customHeight="1">
      <c r="A550" s="164"/>
    </row>
    <row r="551" ht="15.75" customHeight="1">
      <c r="A551" s="164"/>
    </row>
    <row r="552" ht="15.75" customHeight="1">
      <c r="A552" s="164"/>
    </row>
    <row r="553" ht="15.75" customHeight="1">
      <c r="A553" s="164"/>
    </row>
    <row r="554" ht="15.75" customHeight="1">
      <c r="A554" s="164"/>
    </row>
    <row r="555" ht="15.75" customHeight="1">
      <c r="A555" s="164"/>
    </row>
    <row r="556" ht="15.75" customHeight="1">
      <c r="A556" s="164"/>
    </row>
    <row r="557" ht="15.75" customHeight="1">
      <c r="A557" s="164"/>
    </row>
    <row r="558" ht="15.75" customHeight="1">
      <c r="A558" s="164"/>
    </row>
    <row r="559" ht="15.75" customHeight="1">
      <c r="A559" s="164"/>
    </row>
    <row r="560" ht="15.75" customHeight="1">
      <c r="A560" s="164"/>
    </row>
    <row r="561" ht="15.75" customHeight="1">
      <c r="A561" s="164"/>
    </row>
    <row r="562" ht="15.75" customHeight="1">
      <c r="A562" s="164"/>
    </row>
    <row r="563" ht="15.75" customHeight="1">
      <c r="A563" s="164"/>
    </row>
    <row r="564" ht="15.75" customHeight="1">
      <c r="A564" s="164"/>
    </row>
    <row r="565" ht="15.75" customHeight="1">
      <c r="A565" s="164"/>
    </row>
    <row r="566" ht="15.75" customHeight="1">
      <c r="A566" s="164"/>
    </row>
    <row r="567" ht="15.75" customHeight="1">
      <c r="A567" s="164"/>
    </row>
    <row r="568" ht="15.75" customHeight="1">
      <c r="A568" s="164"/>
    </row>
    <row r="569" ht="15.75" customHeight="1">
      <c r="A569" s="164"/>
    </row>
    <row r="570" ht="15.75" customHeight="1">
      <c r="A570" s="164"/>
    </row>
    <row r="571" ht="15.75" customHeight="1">
      <c r="A571" s="164"/>
    </row>
    <row r="572" ht="15.75" customHeight="1">
      <c r="A572" s="164"/>
    </row>
    <row r="573" ht="15.75" customHeight="1">
      <c r="A573" s="164"/>
    </row>
    <row r="574" ht="15.75" customHeight="1">
      <c r="A574" s="164"/>
    </row>
    <row r="575" ht="15.75" customHeight="1">
      <c r="A575" s="164"/>
    </row>
    <row r="576" ht="15.75" customHeight="1">
      <c r="A576" s="164"/>
    </row>
    <row r="577" ht="15.75" customHeight="1">
      <c r="A577" s="164"/>
    </row>
    <row r="578" ht="15.75" customHeight="1">
      <c r="A578" s="164"/>
    </row>
    <row r="579" ht="15.75" customHeight="1">
      <c r="A579" s="164"/>
    </row>
    <row r="580" ht="15.75" customHeight="1">
      <c r="A580" s="164"/>
    </row>
    <row r="581" ht="15.75" customHeight="1">
      <c r="A581" s="164"/>
    </row>
    <row r="582" ht="15.75" customHeight="1">
      <c r="A582" s="164"/>
    </row>
    <row r="583" ht="15.75" customHeight="1">
      <c r="A583" s="164"/>
    </row>
    <row r="584" ht="15.75" customHeight="1">
      <c r="A584" s="164"/>
    </row>
    <row r="585" ht="15.75" customHeight="1">
      <c r="A585" s="164"/>
    </row>
    <row r="586" ht="15.75" customHeight="1">
      <c r="A586" s="164"/>
    </row>
    <row r="587" ht="15.75" customHeight="1">
      <c r="A587" s="164"/>
    </row>
    <row r="588" ht="15.75" customHeight="1">
      <c r="A588" s="164"/>
    </row>
    <row r="589" ht="15.75" customHeight="1">
      <c r="A589" s="164"/>
    </row>
    <row r="590" ht="15.75" customHeight="1">
      <c r="A590" s="164"/>
    </row>
    <row r="591" ht="15.75" customHeight="1">
      <c r="A591" s="164"/>
    </row>
    <row r="592" ht="15.75" customHeight="1">
      <c r="A592" s="164"/>
    </row>
    <row r="593" ht="15.75" customHeight="1">
      <c r="A593" s="164"/>
    </row>
    <row r="594" ht="15.75" customHeight="1">
      <c r="A594" s="164"/>
    </row>
    <row r="595" ht="15.75" customHeight="1">
      <c r="A595" s="164"/>
    </row>
    <row r="596" ht="15.75" customHeight="1">
      <c r="A596" s="164"/>
    </row>
    <row r="597" ht="15.75" customHeight="1">
      <c r="A597" s="164"/>
    </row>
    <row r="598" ht="15.75" customHeight="1">
      <c r="A598" s="164"/>
    </row>
    <row r="599" ht="15.75" customHeight="1">
      <c r="A599" s="164"/>
    </row>
    <row r="600" ht="15.75" customHeight="1">
      <c r="A600" s="164"/>
    </row>
    <row r="601" ht="15.75" customHeight="1">
      <c r="A601" s="164"/>
    </row>
    <row r="602" ht="15.75" customHeight="1">
      <c r="A602" s="164"/>
    </row>
    <row r="603" ht="15.75" customHeight="1">
      <c r="A603" s="164"/>
    </row>
    <row r="604" ht="15.75" customHeight="1">
      <c r="A604" s="164"/>
    </row>
    <row r="605" ht="15.75" customHeight="1">
      <c r="A605" s="164"/>
    </row>
    <row r="606" ht="15.75" customHeight="1">
      <c r="A606" s="164"/>
    </row>
    <row r="607" ht="15.75" customHeight="1">
      <c r="A607" s="164"/>
    </row>
    <row r="608" ht="15.75" customHeight="1">
      <c r="A608" s="164"/>
    </row>
    <row r="609" ht="15.75" customHeight="1">
      <c r="A609" s="164"/>
    </row>
    <row r="610" ht="15.75" customHeight="1">
      <c r="A610" s="164"/>
    </row>
    <row r="611" ht="15.75" customHeight="1">
      <c r="A611" s="164"/>
    </row>
    <row r="612" ht="15.75" customHeight="1">
      <c r="A612" s="164"/>
    </row>
    <row r="613" ht="15.75" customHeight="1">
      <c r="A613" s="164"/>
    </row>
    <row r="614" ht="15.75" customHeight="1">
      <c r="A614" s="164"/>
    </row>
    <row r="615" ht="15.75" customHeight="1">
      <c r="A615" s="164"/>
    </row>
    <row r="616" ht="15.75" customHeight="1">
      <c r="A616" s="164"/>
    </row>
    <row r="617" ht="15.75" customHeight="1">
      <c r="A617" s="164"/>
    </row>
    <row r="618" ht="15.75" customHeight="1">
      <c r="A618" s="164"/>
    </row>
    <row r="619" ht="15.75" customHeight="1">
      <c r="A619" s="164"/>
    </row>
    <row r="620" ht="15.75" customHeight="1">
      <c r="A620" s="164"/>
    </row>
    <row r="621" ht="15.75" customHeight="1">
      <c r="A621" s="164"/>
    </row>
    <row r="622" ht="15.75" customHeight="1">
      <c r="A622" s="164"/>
    </row>
    <row r="623" ht="15.75" customHeight="1">
      <c r="A623" s="164"/>
    </row>
    <row r="624" ht="15.75" customHeight="1">
      <c r="A624" s="164"/>
    </row>
    <row r="625" ht="15.75" customHeight="1">
      <c r="A625" s="164"/>
    </row>
    <row r="626" ht="15.75" customHeight="1">
      <c r="A626" s="164"/>
    </row>
    <row r="627" ht="15.75" customHeight="1">
      <c r="A627" s="164"/>
    </row>
    <row r="628" ht="15.75" customHeight="1">
      <c r="A628" s="164"/>
    </row>
    <row r="629" ht="15.75" customHeight="1">
      <c r="A629" s="164"/>
    </row>
    <row r="630" ht="15.75" customHeight="1">
      <c r="A630" s="164"/>
    </row>
    <row r="631" ht="15.75" customHeight="1">
      <c r="A631" s="164"/>
    </row>
    <row r="632" ht="15.75" customHeight="1">
      <c r="A632" s="164"/>
    </row>
    <row r="633" ht="15.75" customHeight="1">
      <c r="A633" s="164"/>
    </row>
    <row r="634" ht="15.75" customHeight="1">
      <c r="A634" s="164"/>
    </row>
    <row r="635" ht="15.75" customHeight="1">
      <c r="A635" s="164"/>
    </row>
    <row r="636" ht="15.75" customHeight="1">
      <c r="A636" s="164"/>
    </row>
    <row r="637" ht="15.75" customHeight="1">
      <c r="A637" s="164"/>
    </row>
    <row r="638" ht="15.75" customHeight="1">
      <c r="A638" s="164"/>
    </row>
    <row r="639" ht="15.75" customHeight="1">
      <c r="A639" s="164"/>
    </row>
    <row r="640" ht="15.75" customHeight="1">
      <c r="A640" s="164"/>
    </row>
    <row r="641" ht="15.75" customHeight="1">
      <c r="A641" s="164"/>
    </row>
    <row r="642" ht="15.75" customHeight="1">
      <c r="A642" s="164"/>
    </row>
    <row r="643" ht="15.75" customHeight="1">
      <c r="A643" s="164"/>
    </row>
    <row r="644" ht="15.75" customHeight="1">
      <c r="A644" s="164"/>
    </row>
    <row r="645" ht="15.75" customHeight="1">
      <c r="A645" s="164"/>
    </row>
    <row r="646" ht="15.75" customHeight="1">
      <c r="A646" s="164"/>
    </row>
    <row r="647" ht="15.75" customHeight="1">
      <c r="A647" s="164"/>
    </row>
    <row r="648" ht="15.75" customHeight="1">
      <c r="A648" s="164"/>
    </row>
    <row r="649" ht="15.75" customHeight="1">
      <c r="A649" s="164"/>
    </row>
    <row r="650" ht="15.75" customHeight="1">
      <c r="A650" s="164"/>
    </row>
    <row r="651" ht="15.75" customHeight="1">
      <c r="A651" s="164"/>
    </row>
    <row r="652" ht="15.75" customHeight="1">
      <c r="A652" s="164"/>
    </row>
    <row r="653" ht="15.75" customHeight="1">
      <c r="A653" s="164"/>
    </row>
    <row r="654" ht="15.75" customHeight="1">
      <c r="A654" s="164"/>
    </row>
    <row r="655" ht="15.75" customHeight="1">
      <c r="A655" s="164"/>
    </row>
    <row r="656" ht="15.75" customHeight="1">
      <c r="A656" s="164"/>
    </row>
    <row r="657" ht="15.75" customHeight="1">
      <c r="A657" s="164"/>
    </row>
    <row r="658" ht="15.75" customHeight="1">
      <c r="A658" s="164"/>
    </row>
    <row r="659" ht="15.75" customHeight="1">
      <c r="A659" s="164"/>
    </row>
    <row r="660" ht="15.75" customHeight="1">
      <c r="A660" s="164"/>
    </row>
    <row r="661" ht="15.75" customHeight="1">
      <c r="A661" s="164"/>
    </row>
    <row r="662" ht="15.75" customHeight="1">
      <c r="A662" s="164"/>
    </row>
    <row r="663" ht="15.75" customHeight="1">
      <c r="A663" s="164"/>
    </row>
    <row r="664" ht="15.75" customHeight="1">
      <c r="A664" s="164"/>
    </row>
    <row r="665" ht="15.75" customHeight="1">
      <c r="A665" s="164"/>
    </row>
    <row r="666" ht="15.75" customHeight="1">
      <c r="A666" s="164"/>
    </row>
    <row r="667" ht="15.75" customHeight="1">
      <c r="A667" s="164"/>
    </row>
    <row r="668" ht="15.75" customHeight="1">
      <c r="A668" s="164"/>
    </row>
    <row r="669" ht="15.75" customHeight="1">
      <c r="A669" s="164"/>
    </row>
    <row r="670" ht="15.75" customHeight="1">
      <c r="A670" s="164"/>
    </row>
    <row r="671" ht="15.75" customHeight="1">
      <c r="A671" s="164"/>
    </row>
    <row r="672" ht="15.75" customHeight="1">
      <c r="A672" s="164"/>
    </row>
    <row r="673" ht="15.75" customHeight="1">
      <c r="A673" s="164"/>
    </row>
    <row r="674" ht="15.75" customHeight="1">
      <c r="A674" s="164"/>
    </row>
    <row r="675" ht="15.75" customHeight="1">
      <c r="A675" s="164"/>
    </row>
    <row r="676" ht="15.75" customHeight="1">
      <c r="A676" s="164"/>
    </row>
    <row r="677" ht="15.75" customHeight="1">
      <c r="A677" s="164"/>
    </row>
    <row r="678" ht="15.75" customHeight="1">
      <c r="A678" s="164"/>
    </row>
    <row r="679" ht="15.75" customHeight="1">
      <c r="A679" s="164"/>
    </row>
    <row r="680" ht="15.75" customHeight="1">
      <c r="A680" s="164"/>
    </row>
    <row r="681" ht="15.75" customHeight="1">
      <c r="A681" s="164"/>
    </row>
    <row r="682" ht="15.75" customHeight="1">
      <c r="A682" s="164"/>
    </row>
    <row r="683" ht="15.75" customHeight="1">
      <c r="A683" s="164"/>
    </row>
    <row r="684" ht="15.75" customHeight="1">
      <c r="A684" s="164"/>
    </row>
    <row r="685" ht="15.75" customHeight="1">
      <c r="A685" s="164"/>
    </row>
    <row r="686" ht="15.75" customHeight="1">
      <c r="A686" s="164"/>
    </row>
    <row r="687" ht="15.75" customHeight="1">
      <c r="A687" s="164"/>
    </row>
    <row r="688" ht="15.75" customHeight="1">
      <c r="A688" s="164"/>
    </row>
    <row r="689" ht="15.75" customHeight="1">
      <c r="A689" s="164"/>
    </row>
    <row r="690" ht="15.75" customHeight="1">
      <c r="A690" s="164"/>
    </row>
    <row r="691" ht="15.75" customHeight="1">
      <c r="A691" s="164"/>
    </row>
    <row r="692" ht="15.75" customHeight="1">
      <c r="A692" s="164"/>
    </row>
    <row r="693" ht="15.75" customHeight="1">
      <c r="A693" s="164"/>
    </row>
    <row r="694" ht="15.75" customHeight="1">
      <c r="A694" s="164"/>
    </row>
    <row r="695" ht="15.75" customHeight="1">
      <c r="A695" s="164"/>
    </row>
    <row r="696" ht="15.75" customHeight="1">
      <c r="A696" s="164"/>
    </row>
    <row r="697" ht="15.75" customHeight="1">
      <c r="A697" s="164"/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148" t="s">
        <v>214</v>
      </c>
      <c r="B1" s="148" t="s">
        <v>215</v>
      </c>
      <c r="C1" s="148" t="s">
        <v>325</v>
      </c>
      <c r="D1" s="148" t="s">
        <v>216</v>
      </c>
      <c r="E1" s="148" t="s">
        <v>217</v>
      </c>
      <c r="F1" s="148" t="s">
        <v>218</v>
      </c>
      <c r="G1" s="148" t="s">
        <v>219</v>
      </c>
      <c r="H1" s="148" t="s">
        <v>220</v>
      </c>
      <c r="I1" s="148" t="s">
        <v>221</v>
      </c>
      <c r="J1" s="148" t="s">
        <v>222</v>
      </c>
      <c r="K1" s="148" t="s">
        <v>223</v>
      </c>
      <c r="L1" s="148" t="s">
        <v>224</v>
      </c>
      <c r="M1" s="148" t="s">
        <v>225</v>
      </c>
      <c r="N1" s="148" t="s">
        <v>226</v>
      </c>
      <c r="O1" s="148" t="s">
        <v>227</v>
      </c>
      <c r="P1" s="148" t="s">
        <v>228</v>
      </c>
      <c r="Q1" s="148" t="s">
        <v>229</v>
      </c>
      <c r="R1" s="148" t="s">
        <v>230</v>
      </c>
      <c r="S1" s="148" t="s">
        <v>231</v>
      </c>
      <c r="T1" s="148" t="s">
        <v>232</v>
      </c>
      <c r="U1" s="148" t="s">
        <v>233</v>
      </c>
      <c r="V1" s="148" t="s">
        <v>234</v>
      </c>
      <c r="W1" s="148" t="s">
        <v>235</v>
      </c>
      <c r="X1" s="148" t="s">
        <v>236</v>
      </c>
      <c r="Y1" s="148" t="s">
        <v>237</v>
      </c>
      <c r="Z1" s="148" t="s">
        <v>238</v>
      </c>
      <c r="AA1" s="148" t="s">
        <v>239</v>
      </c>
      <c r="AB1" s="148" t="s">
        <v>240</v>
      </c>
      <c r="AC1" s="148" t="s">
        <v>241</v>
      </c>
      <c r="AD1" s="148" t="s">
        <v>242</v>
      </c>
      <c r="AE1" s="148" t="s">
        <v>243</v>
      </c>
      <c r="AF1" s="148" t="s">
        <v>244</v>
      </c>
      <c r="AG1" s="148" t="s">
        <v>245</v>
      </c>
      <c r="AH1" s="148" t="s">
        <v>246</v>
      </c>
      <c r="AI1" s="148" t="s">
        <v>247</v>
      </c>
      <c r="AJ1" s="148" t="s">
        <v>248</v>
      </c>
      <c r="AK1" s="148" t="s">
        <v>249</v>
      </c>
      <c r="AL1" s="148" t="s">
        <v>250</v>
      </c>
      <c r="AM1" s="148" t="s">
        <v>251</v>
      </c>
      <c r="AN1" s="148" t="s">
        <v>252</v>
      </c>
      <c r="AO1" s="148" t="s">
        <v>253</v>
      </c>
      <c r="AP1" s="148" t="s">
        <v>254</v>
      </c>
      <c r="AQ1" s="148" t="s">
        <v>255</v>
      </c>
      <c r="AR1" s="148" t="s">
        <v>256</v>
      </c>
      <c r="AS1" s="148" t="s">
        <v>257</v>
      </c>
      <c r="AT1" s="148" t="s">
        <v>258</v>
      </c>
      <c r="AU1" s="148" t="s">
        <v>259</v>
      </c>
      <c r="AV1" s="150" t="s">
        <v>260</v>
      </c>
      <c r="AW1" s="150" t="s">
        <v>261</v>
      </c>
      <c r="AX1" s="150" t="s">
        <v>262</v>
      </c>
      <c r="AY1" s="150" t="s">
        <v>263</v>
      </c>
      <c r="AZ1" s="150" t="s">
        <v>264</v>
      </c>
      <c r="BA1" s="150" t="s">
        <v>265</v>
      </c>
      <c r="BB1" s="150" t="s">
        <v>266</v>
      </c>
      <c r="BC1" s="150" t="s">
        <v>267</v>
      </c>
      <c r="BD1" s="150" t="s">
        <v>268</v>
      </c>
      <c r="BE1" s="150" t="s">
        <v>269</v>
      </c>
      <c r="BF1" s="150" t="s">
        <v>270</v>
      </c>
      <c r="BG1" s="150" t="s">
        <v>271</v>
      </c>
      <c r="BH1" s="150" t="s">
        <v>272</v>
      </c>
      <c r="BI1" s="150" t="s">
        <v>273</v>
      </c>
      <c r="BJ1" s="150" t="s">
        <v>274</v>
      </c>
      <c r="BK1" s="150" t="s">
        <v>275</v>
      </c>
      <c r="BL1" s="150" t="s">
        <v>276</v>
      </c>
      <c r="BM1" s="150" t="s">
        <v>277</v>
      </c>
      <c r="BN1" s="150" t="s">
        <v>278</v>
      </c>
      <c r="BO1" s="150" t="s">
        <v>279</v>
      </c>
      <c r="BP1" s="150" t="s">
        <v>280</v>
      </c>
      <c r="BQ1" s="150" t="s">
        <v>281</v>
      </c>
      <c r="BR1" s="150" t="s">
        <v>282</v>
      </c>
      <c r="BS1" s="150" t="s">
        <v>283</v>
      </c>
      <c r="BT1" s="150" t="s">
        <v>284</v>
      </c>
      <c r="BU1" s="150" t="s">
        <v>285</v>
      </c>
      <c r="BV1" s="150" t="s">
        <v>286</v>
      </c>
      <c r="BW1" s="150" t="s">
        <v>287</v>
      </c>
      <c r="BX1" s="150" t="s">
        <v>288</v>
      </c>
      <c r="BY1" s="150" t="s">
        <v>289</v>
      </c>
      <c r="BZ1" s="150" t="s">
        <v>290</v>
      </c>
      <c r="CA1" s="150" t="s">
        <v>291</v>
      </c>
      <c r="CB1" s="150" t="s">
        <v>292</v>
      </c>
      <c r="CC1" s="150" t="s">
        <v>293</v>
      </c>
      <c r="CD1" s="150" t="s">
        <v>294</v>
      </c>
      <c r="CE1" s="150" t="s">
        <v>295</v>
      </c>
      <c r="CF1" s="150" t="s">
        <v>296</v>
      </c>
      <c r="CG1" s="150" t="s">
        <v>297</v>
      </c>
      <c r="CH1" s="150" t="s">
        <v>298</v>
      </c>
      <c r="CI1" s="150" t="s">
        <v>299</v>
      </c>
      <c r="CJ1" s="150" t="s">
        <v>300</v>
      </c>
      <c r="CK1" s="150" t="s">
        <v>301</v>
      </c>
      <c r="CL1" s="150" t="s">
        <v>302</v>
      </c>
      <c r="CM1" s="150" t="s">
        <v>303</v>
      </c>
      <c r="CN1" s="150" t="s">
        <v>304</v>
      </c>
      <c r="CO1" s="150" t="s">
        <v>305</v>
      </c>
      <c r="CP1" s="150" t="s">
        <v>306</v>
      </c>
      <c r="CQ1" s="150" t="s">
        <v>307</v>
      </c>
      <c r="CR1" s="150" t="s">
        <v>308</v>
      </c>
      <c r="CS1" s="150" t="s">
        <v>309</v>
      </c>
      <c r="CT1" s="150" t="s">
        <v>310</v>
      </c>
      <c r="CU1" s="150" t="s">
        <v>311</v>
      </c>
      <c r="CV1" s="150" t="s">
        <v>312</v>
      </c>
      <c r="CW1" s="150" t="s">
        <v>313</v>
      </c>
      <c r="CX1" s="150" t="s">
        <v>314</v>
      </c>
      <c r="CY1" s="150" t="s">
        <v>315</v>
      </c>
      <c r="CZ1" s="150" t="s">
        <v>326</v>
      </c>
      <c r="DA1" s="150" t="s">
        <v>327</v>
      </c>
      <c r="DB1" s="150" t="s">
        <v>328</v>
      </c>
      <c r="DC1" s="150" t="s">
        <v>329</v>
      </c>
      <c r="DD1" s="150" t="s">
        <v>330</v>
      </c>
      <c r="DE1" s="150" t="s">
        <v>331</v>
      </c>
      <c r="DF1" s="150" t="s">
        <v>332</v>
      </c>
      <c r="DG1" s="150" t="s">
        <v>333</v>
      </c>
      <c r="DH1" s="150" t="s">
        <v>334</v>
      </c>
      <c r="DI1" s="150" t="s">
        <v>335</v>
      </c>
      <c r="DJ1" s="150" t="s">
        <v>336</v>
      </c>
    </row>
    <row r="2">
      <c r="A2" s="152" t="s">
        <v>4</v>
      </c>
      <c r="B2" s="152" t="s">
        <v>316</v>
      </c>
      <c r="C2" s="152" t="b">
        <v>0</v>
      </c>
      <c r="D2" s="152">
        <v>54268.0</v>
      </c>
      <c r="E2" s="152">
        <v>18.4</v>
      </c>
      <c r="F2" s="152">
        <v>8193.45</v>
      </c>
      <c r="G2" s="152">
        <v>0.0796</v>
      </c>
      <c r="H2" s="152">
        <v>0.38</v>
      </c>
      <c r="I2" s="152">
        <v>39.968</v>
      </c>
      <c r="J2" s="152">
        <v>18.3682</v>
      </c>
      <c r="K2" s="152">
        <v>10.0725</v>
      </c>
      <c r="L2" s="152">
        <v>6.7675</v>
      </c>
      <c r="M2" s="152">
        <v>0.6719</v>
      </c>
      <c r="N2" s="152">
        <v>0.4392</v>
      </c>
      <c r="O2" s="152">
        <v>0.2179</v>
      </c>
      <c r="P2" s="152">
        <v>1.4884</v>
      </c>
      <c r="Q2" s="152">
        <v>47.8109</v>
      </c>
      <c r="R2" s="152">
        <v>47.662</v>
      </c>
      <c r="S2" s="152">
        <v>0.1494</v>
      </c>
      <c r="T2" s="152">
        <v>6.6431</v>
      </c>
      <c r="U2" s="152">
        <v>41.1667</v>
      </c>
      <c r="V2" s="152">
        <v>31.9866</v>
      </c>
      <c r="W2" s="152">
        <v>3.1757</v>
      </c>
      <c r="X2" s="152">
        <v>13.89</v>
      </c>
      <c r="Y2" s="152">
        <v>191.0</v>
      </c>
      <c r="Z2" s="152">
        <v>462.0</v>
      </c>
      <c r="AA2" s="152">
        <v>3395.0</v>
      </c>
      <c r="AB2" s="152">
        <v>49.9502</v>
      </c>
      <c r="AC2" s="152">
        <v>0.5114</v>
      </c>
      <c r="AD2" s="153"/>
      <c r="AE2" s="153"/>
      <c r="AF2" s="153"/>
      <c r="AG2" s="153"/>
      <c r="AH2" s="153"/>
      <c r="AI2" s="152">
        <v>0.0</v>
      </c>
      <c r="AJ2" s="152">
        <v>0.0</v>
      </c>
      <c r="AK2" s="152">
        <v>0.0</v>
      </c>
      <c r="AL2" s="152">
        <v>0.5217</v>
      </c>
      <c r="AM2" s="153"/>
      <c r="AQ2" s="76">
        <v>1.577</v>
      </c>
      <c r="AR2" s="76">
        <v>0.0681</v>
      </c>
      <c r="AS2" s="76">
        <v>1.509</v>
      </c>
      <c r="AT2" s="76">
        <v>1.1675</v>
      </c>
      <c r="AU2" s="76">
        <v>0.1159</v>
      </c>
      <c r="AV2" s="76">
        <v>54268.0</v>
      </c>
      <c r="AW2" s="76">
        <v>0.0</v>
      </c>
      <c r="AX2" s="76">
        <v>12.6015</v>
      </c>
      <c r="AY2" s="76">
        <v>26.0051</v>
      </c>
      <c r="AZ2" s="76">
        <v>2.3524</v>
      </c>
      <c r="BA2" s="76">
        <v>6.6421</v>
      </c>
      <c r="BB2" s="76">
        <v>0.2096</v>
      </c>
      <c r="BD2" s="76">
        <v>28037.0</v>
      </c>
      <c r="BE2" s="76">
        <v>0.6564</v>
      </c>
      <c r="BF2" s="76">
        <v>0.0277</v>
      </c>
      <c r="BG2" s="76">
        <v>0.6287</v>
      </c>
      <c r="BH2" s="76">
        <v>0.5358</v>
      </c>
      <c r="BI2" s="76">
        <v>0.0591</v>
      </c>
      <c r="BJ2" s="76">
        <v>0.9207</v>
      </c>
      <c r="BK2" s="76">
        <v>0.0404</v>
      </c>
      <c r="BL2" s="76">
        <v>0.8802</v>
      </c>
      <c r="BM2" s="76">
        <v>0.6316</v>
      </c>
      <c r="BN2" s="76">
        <v>0.063</v>
      </c>
      <c r="BO2" s="76">
        <v>0.2277</v>
      </c>
      <c r="BP2" s="76">
        <v>0.0098</v>
      </c>
      <c r="BQ2" s="76">
        <v>0.2179</v>
      </c>
      <c r="BR2" s="76">
        <v>0.2027</v>
      </c>
      <c r="BS2" s="76">
        <v>0.2418</v>
      </c>
      <c r="BT2" s="76">
        <v>0.009</v>
      </c>
      <c r="BU2" s="76">
        <v>0.2328</v>
      </c>
      <c r="BV2" s="76">
        <v>0.1933</v>
      </c>
      <c r="BW2" s="76">
        <v>0.1869</v>
      </c>
      <c r="BX2" s="76">
        <v>0.009</v>
      </c>
      <c r="BY2" s="76">
        <v>0.1779</v>
      </c>
      <c r="BZ2" s="76">
        <v>0.1398</v>
      </c>
      <c r="CA2" s="76">
        <v>0.1867</v>
      </c>
      <c r="CB2" s="76">
        <v>0.0095</v>
      </c>
      <c r="CC2" s="76">
        <v>0.1771</v>
      </c>
      <c r="CD2" s="76">
        <v>0.1435</v>
      </c>
      <c r="CE2" s="76">
        <v>0.4148</v>
      </c>
      <c r="CF2" s="76">
        <v>0.0187</v>
      </c>
      <c r="CG2" s="76">
        <v>0.3961</v>
      </c>
      <c r="CH2" s="76">
        <v>0.2577</v>
      </c>
      <c r="CI2" s="76">
        <v>0.3192</v>
      </c>
      <c r="CJ2" s="76">
        <v>0.0122</v>
      </c>
      <c r="CK2" s="76">
        <v>0.307</v>
      </c>
      <c r="CL2" s="76">
        <v>0.2304</v>
      </c>
      <c r="CM2" s="76">
        <v>116.8611</v>
      </c>
      <c r="CN2" s="76">
        <v>17.16</v>
      </c>
      <c r="CO2" s="76">
        <v>680.98</v>
      </c>
      <c r="CP2" s="76">
        <v>107.8446</v>
      </c>
      <c r="CQ2" s="76">
        <v>0.0</v>
      </c>
      <c r="CR2" s="76">
        <v>2.8708</v>
      </c>
      <c r="CS2" s="76">
        <v>6.1446</v>
      </c>
      <c r="CT2" s="76">
        <v>0.0</v>
      </c>
      <c r="CV2" s="76">
        <v>0.0</v>
      </c>
      <c r="CW2" s="76">
        <v>47.8109</v>
      </c>
      <c r="CX2" s="76">
        <v>0.0</v>
      </c>
      <c r="CY2" s="76">
        <v>0.0</v>
      </c>
      <c r="CZ2" s="76">
        <v>102894.0</v>
      </c>
      <c r="DA2" s="164">
        <v>46230.0</v>
      </c>
      <c r="DB2" s="164">
        <v>46250.0</v>
      </c>
      <c r="DC2" s="76">
        <v>21.0</v>
      </c>
      <c r="DD2" s="76">
        <v>205.0</v>
      </c>
      <c r="DE2" s="76">
        <v>0.151</v>
      </c>
      <c r="DF2" s="76">
        <v>194.0</v>
      </c>
      <c r="DG2" s="76">
        <v>205.0</v>
      </c>
      <c r="DH2" s="76">
        <v>2.0</v>
      </c>
      <c r="DI2" s="76">
        <v>90.65</v>
      </c>
      <c r="DJ2" s="76">
        <v>221.57</v>
      </c>
    </row>
    <row r="3">
      <c r="A3" s="152" t="s">
        <v>4</v>
      </c>
      <c r="B3" s="152" t="s">
        <v>147</v>
      </c>
      <c r="C3" s="152" t="b">
        <v>0</v>
      </c>
      <c r="D3" s="152">
        <v>65777.0</v>
      </c>
      <c r="E3" s="152">
        <v>28.2</v>
      </c>
      <c r="F3" s="152">
        <v>2646.07</v>
      </c>
      <c r="G3" s="152">
        <v>0.0168</v>
      </c>
      <c r="H3" s="152">
        <v>0.98</v>
      </c>
      <c r="I3" s="152">
        <v>4.1216</v>
      </c>
      <c r="J3" s="152">
        <v>20.5687</v>
      </c>
      <c r="K3" s="152">
        <v>10.8504</v>
      </c>
      <c r="L3" s="152">
        <v>5.1459</v>
      </c>
      <c r="M3" s="152">
        <v>0.4743</v>
      </c>
      <c r="N3" s="152">
        <v>0.6329</v>
      </c>
      <c r="O3" s="152">
        <v>0.3831</v>
      </c>
      <c r="P3" s="152">
        <v>2.1086</v>
      </c>
      <c r="Q3" s="152">
        <v>47.2137</v>
      </c>
      <c r="R3" s="152">
        <v>39.3307</v>
      </c>
      <c r="S3" s="152">
        <v>7.883</v>
      </c>
      <c r="T3" s="152">
        <v>1.602</v>
      </c>
      <c r="U3" s="152">
        <v>45.6117</v>
      </c>
      <c r="V3" s="152">
        <v>42.9941</v>
      </c>
      <c r="W3" s="152">
        <v>3.9624</v>
      </c>
      <c r="X3" s="152">
        <v>3.39</v>
      </c>
      <c r="Y3" s="152">
        <v>191.0</v>
      </c>
      <c r="Z3" s="152">
        <v>318.0</v>
      </c>
      <c r="AA3" s="152">
        <v>1113.0</v>
      </c>
      <c r="AB3" s="152">
        <v>49.618</v>
      </c>
      <c r="AC3" s="152">
        <v>0.5971</v>
      </c>
      <c r="AD3" s="152">
        <v>3.9815</v>
      </c>
      <c r="AE3" s="152">
        <v>1.0</v>
      </c>
      <c r="AF3" s="152">
        <v>3.0</v>
      </c>
      <c r="AG3" s="152">
        <v>5.0</v>
      </c>
      <c r="AH3" s="152">
        <v>8.0</v>
      </c>
      <c r="AI3" s="152">
        <v>74.7894</v>
      </c>
      <c r="AJ3" s="152">
        <v>33.3852</v>
      </c>
      <c r="AK3" s="152">
        <v>6.3533</v>
      </c>
      <c r="AL3" s="152">
        <v>0.4988</v>
      </c>
      <c r="AM3" s="153"/>
      <c r="AQ3" s="76">
        <v>2.7067</v>
      </c>
      <c r="AR3" s="76">
        <v>0.0402</v>
      </c>
      <c r="AS3" s="76">
        <v>2.6665</v>
      </c>
      <c r="AT3" s="76">
        <v>2.3243</v>
      </c>
      <c r="AU3" s="76">
        <v>0.2142</v>
      </c>
      <c r="AV3" s="76">
        <v>65777.0</v>
      </c>
      <c r="AW3" s="76">
        <v>0.0</v>
      </c>
      <c r="AX3" s="76">
        <v>27.0173</v>
      </c>
      <c r="AY3" s="76">
        <v>16.0096</v>
      </c>
      <c r="AZ3" s="76">
        <v>2.024</v>
      </c>
      <c r="BA3" s="76">
        <v>1.602</v>
      </c>
      <c r="BB3" s="76">
        <v>0.5604</v>
      </c>
      <c r="BC3" s="76">
        <v>16.0</v>
      </c>
      <c r="BD3" s="76">
        <v>19075.0</v>
      </c>
      <c r="BE3" s="76">
        <v>1.615</v>
      </c>
      <c r="BF3" s="76">
        <v>0.024</v>
      </c>
      <c r="BG3" s="76">
        <v>1.591</v>
      </c>
      <c r="BH3" s="76">
        <v>1.2944</v>
      </c>
      <c r="BI3" s="76">
        <v>0.1192</v>
      </c>
      <c r="BJ3" s="76">
        <v>1.0917</v>
      </c>
      <c r="BK3" s="76">
        <v>0.0162</v>
      </c>
      <c r="BL3" s="76">
        <v>1.0755</v>
      </c>
      <c r="BM3" s="76">
        <v>1.0299</v>
      </c>
      <c r="BN3" s="76">
        <v>0.095</v>
      </c>
      <c r="BO3" s="76">
        <v>0.5969</v>
      </c>
      <c r="BP3" s="76">
        <v>0.0098</v>
      </c>
      <c r="BQ3" s="76">
        <v>0.5872</v>
      </c>
      <c r="BR3" s="76">
        <v>0.5104</v>
      </c>
      <c r="BS3" s="76">
        <v>0.6934</v>
      </c>
      <c r="BT3" s="76">
        <v>0.0053</v>
      </c>
      <c r="BU3" s="76">
        <v>0.6881</v>
      </c>
      <c r="BV3" s="76">
        <v>0.5064</v>
      </c>
      <c r="BW3" s="76">
        <v>0.3247</v>
      </c>
      <c r="BX3" s="76">
        <v>0.009</v>
      </c>
      <c r="BY3" s="76">
        <v>0.3157</v>
      </c>
      <c r="BZ3" s="76">
        <v>0.2776</v>
      </c>
      <c r="CA3" s="76">
        <v>0.1993</v>
      </c>
      <c r="CB3" s="76">
        <v>0.0031</v>
      </c>
      <c r="CC3" s="76">
        <v>0.1962</v>
      </c>
      <c r="CD3" s="76">
        <v>0.1946</v>
      </c>
      <c r="CE3" s="76">
        <v>0.4936</v>
      </c>
      <c r="CF3" s="76">
        <v>0.0075</v>
      </c>
      <c r="CG3" s="76">
        <v>0.4861</v>
      </c>
      <c r="CH3" s="76">
        <v>0.4543</v>
      </c>
      <c r="CI3" s="76">
        <v>0.3988</v>
      </c>
      <c r="CJ3" s="76">
        <v>0.0056</v>
      </c>
      <c r="CK3" s="76">
        <v>0.3932</v>
      </c>
      <c r="CL3" s="76">
        <v>0.381</v>
      </c>
      <c r="CM3" s="76">
        <v>70.8686</v>
      </c>
      <c r="CN3" s="76">
        <v>65.03</v>
      </c>
      <c r="CO3" s="76">
        <v>108.98</v>
      </c>
      <c r="CP3" s="76">
        <v>64.2768</v>
      </c>
      <c r="CQ3" s="76">
        <v>5.0E-4</v>
      </c>
      <c r="CR3" s="76">
        <v>4.244</v>
      </c>
      <c r="CS3" s="76">
        <v>2.3459</v>
      </c>
      <c r="CT3" s="76">
        <v>0.0</v>
      </c>
      <c r="CV3" s="76">
        <v>0.0</v>
      </c>
      <c r="CW3" s="76">
        <v>47.2137</v>
      </c>
      <c r="CX3" s="76">
        <v>0.0</v>
      </c>
      <c r="CY3" s="76">
        <v>9.0E-4</v>
      </c>
      <c r="CZ3" s="76">
        <v>157641.0</v>
      </c>
      <c r="DA3" s="164">
        <v>46230.0</v>
      </c>
      <c r="DB3" s="164">
        <v>46250.0</v>
      </c>
      <c r="DC3" s="76">
        <v>21.0</v>
      </c>
      <c r="DD3" s="76">
        <v>642.0</v>
      </c>
      <c r="DE3" s="76">
        <v>0.0402</v>
      </c>
      <c r="DF3" s="76">
        <v>179.0</v>
      </c>
      <c r="DG3" s="76">
        <v>208.0</v>
      </c>
      <c r="DH3" s="76">
        <v>4.0</v>
      </c>
      <c r="DI3" s="76">
        <v>113.15</v>
      </c>
      <c r="DJ3" s="76">
        <v>169.84</v>
      </c>
    </row>
    <row r="4">
      <c r="A4" s="152" t="s">
        <v>4</v>
      </c>
      <c r="B4" s="152" t="s">
        <v>148</v>
      </c>
      <c r="C4" s="152" t="b">
        <v>0</v>
      </c>
      <c r="D4" s="152">
        <v>44938.0</v>
      </c>
      <c r="E4" s="152">
        <v>21.83</v>
      </c>
      <c r="F4" s="152">
        <v>7313.33</v>
      </c>
      <c r="G4" s="152">
        <v>0.0599</v>
      </c>
      <c r="H4" s="152">
        <v>2.39</v>
      </c>
      <c r="I4" s="152">
        <v>6.8158</v>
      </c>
      <c r="J4" s="152">
        <v>39.4428</v>
      </c>
      <c r="K4" s="152">
        <v>21.8888</v>
      </c>
      <c r="L4" s="152">
        <v>13.5322</v>
      </c>
      <c r="M4" s="152">
        <v>0.6182</v>
      </c>
      <c r="N4" s="152">
        <v>0.5051</v>
      </c>
      <c r="O4" s="152">
        <v>0.3082</v>
      </c>
      <c r="P4" s="152">
        <v>1.6175</v>
      </c>
      <c r="Q4" s="152">
        <v>98.0588</v>
      </c>
      <c r="R4" s="152">
        <v>75.442</v>
      </c>
      <c r="S4" s="152">
        <v>22.6149</v>
      </c>
      <c r="T4" s="152">
        <v>5.0216</v>
      </c>
      <c r="U4" s="152">
        <v>93.0373</v>
      </c>
      <c r="V4" s="152">
        <v>91.6722</v>
      </c>
      <c r="W4" s="152">
        <v>4.1881</v>
      </c>
      <c r="X4" s="152">
        <v>5.12</v>
      </c>
      <c r="Y4" s="152">
        <v>179.0</v>
      </c>
      <c r="Z4" s="152">
        <v>358.0</v>
      </c>
      <c r="AA4" s="152">
        <v>1167.0</v>
      </c>
      <c r="AB4" s="152">
        <v>52.0073</v>
      </c>
      <c r="AC4" s="152">
        <v>0.6965</v>
      </c>
      <c r="AD4" s="152">
        <v>9.5939</v>
      </c>
      <c r="AE4" s="152">
        <v>4.0</v>
      </c>
      <c r="AF4" s="152">
        <v>9.0</v>
      </c>
      <c r="AG4" s="152">
        <v>13.0</v>
      </c>
      <c r="AH4" s="152">
        <v>19.0</v>
      </c>
      <c r="AI4" s="152">
        <v>65.8139</v>
      </c>
      <c r="AJ4" s="152">
        <v>27.5615</v>
      </c>
      <c r="AK4" s="152">
        <v>3.4579</v>
      </c>
      <c r="AL4" s="152">
        <v>0.3681</v>
      </c>
      <c r="AM4" s="153"/>
      <c r="AQ4" s="76">
        <v>5.7024</v>
      </c>
      <c r="AR4" s="76">
        <v>0.1087</v>
      </c>
      <c r="AS4" s="76">
        <v>5.5937</v>
      </c>
      <c r="AT4" s="76">
        <v>4.7018</v>
      </c>
      <c r="AU4" s="76">
        <v>0.2148</v>
      </c>
      <c r="AV4" s="76">
        <v>44938.0</v>
      </c>
      <c r="AW4" s="76">
        <v>0.0</v>
      </c>
      <c r="AX4" s="76">
        <v>55.3968</v>
      </c>
      <c r="AY4" s="76">
        <v>33.7961</v>
      </c>
      <c r="AZ4" s="76">
        <v>2.6536</v>
      </c>
      <c r="BA4" s="76">
        <v>5.0196</v>
      </c>
      <c r="BB4" s="76">
        <v>1.193</v>
      </c>
      <c r="BC4" s="76">
        <v>34.0</v>
      </c>
      <c r="BD4" s="76">
        <v>19231.0</v>
      </c>
      <c r="BE4" s="76">
        <v>3.4483</v>
      </c>
      <c r="BF4" s="76">
        <v>0.0698</v>
      </c>
      <c r="BG4" s="76">
        <v>3.3785</v>
      </c>
      <c r="BH4" s="76">
        <v>2.5441</v>
      </c>
      <c r="BI4" s="76">
        <v>0.1163</v>
      </c>
      <c r="BJ4" s="76">
        <v>2.2541</v>
      </c>
      <c r="BK4" s="76">
        <v>0.0389</v>
      </c>
      <c r="BL4" s="76">
        <v>2.2151</v>
      </c>
      <c r="BM4" s="76">
        <v>2.1577</v>
      </c>
      <c r="BN4" s="76">
        <v>0.0986</v>
      </c>
      <c r="BO4" s="76">
        <v>1.2866</v>
      </c>
      <c r="BP4" s="76">
        <v>0.0227</v>
      </c>
      <c r="BQ4" s="76">
        <v>1.2639</v>
      </c>
      <c r="BR4" s="76">
        <v>0.9839</v>
      </c>
      <c r="BS4" s="76">
        <v>1.4679</v>
      </c>
      <c r="BT4" s="76">
        <v>0.0176</v>
      </c>
      <c r="BU4" s="76">
        <v>1.4503</v>
      </c>
      <c r="BV4" s="76">
        <v>1.0051</v>
      </c>
      <c r="BW4" s="76">
        <v>0.6938</v>
      </c>
      <c r="BX4" s="76">
        <v>0.0295</v>
      </c>
      <c r="BY4" s="76">
        <v>0.6643</v>
      </c>
      <c r="BZ4" s="76">
        <v>0.5551</v>
      </c>
      <c r="CA4" s="76">
        <v>0.4059</v>
      </c>
      <c r="CB4" s="76">
        <v>0.0086</v>
      </c>
      <c r="CC4" s="76">
        <v>0.3973</v>
      </c>
      <c r="CD4" s="76">
        <v>0.4301</v>
      </c>
      <c r="CE4" s="76">
        <v>0.9743</v>
      </c>
      <c r="CF4" s="76">
        <v>0.0162</v>
      </c>
      <c r="CG4" s="76">
        <v>0.9581</v>
      </c>
      <c r="CH4" s="76">
        <v>0.891</v>
      </c>
      <c r="CI4" s="76">
        <v>0.8738</v>
      </c>
      <c r="CJ4" s="76">
        <v>0.0141</v>
      </c>
      <c r="CK4" s="76">
        <v>0.8598</v>
      </c>
      <c r="CL4" s="76">
        <v>0.8366</v>
      </c>
      <c r="CM4" s="76">
        <v>175.971</v>
      </c>
      <c r="CN4" s="76">
        <v>80.39</v>
      </c>
      <c r="CO4" s="76">
        <v>218.91</v>
      </c>
      <c r="CP4" s="76">
        <v>160.748</v>
      </c>
      <c r="CQ4" s="76">
        <v>0.0024</v>
      </c>
      <c r="CR4" s="76">
        <v>5.9209</v>
      </c>
      <c r="CS4" s="76">
        <v>9.3021</v>
      </c>
      <c r="CT4" s="76">
        <v>0.0</v>
      </c>
      <c r="CV4" s="76">
        <v>0.0</v>
      </c>
      <c r="CW4" s="76">
        <v>98.0593</v>
      </c>
      <c r="CX4" s="76">
        <v>0.0</v>
      </c>
      <c r="CY4" s="76">
        <v>0.0028</v>
      </c>
      <c r="CZ4" s="76">
        <v>122073.0</v>
      </c>
      <c r="DA4" s="164">
        <v>46230.0</v>
      </c>
      <c r="DB4" s="164">
        <v>46250.0</v>
      </c>
      <c r="DC4" s="76">
        <v>21.0</v>
      </c>
      <c r="DD4" s="76">
        <v>1073.0</v>
      </c>
      <c r="DE4" s="76">
        <v>0.1627</v>
      </c>
      <c r="DF4" s="76">
        <v>106.0</v>
      </c>
      <c r="DG4" s="76">
        <v>243.0</v>
      </c>
      <c r="DH4" s="76">
        <v>8.0</v>
      </c>
      <c r="DI4" s="76">
        <v>266.37</v>
      </c>
      <c r="DJ4" s="76">
        <v>478.02</v>
      </c>
    </row>
    <row r="5">
      <c r="A5" s="152" t="s">
        <v>4</v>
      </c>
      <c r="B5" s="152" t="s">
        <v>149</v>
      </c>
      <c r="C5" s="152" t="b">
        <v>0</v>
      </c>
      <c r="D5" s="152">
        <v>34333.0</v>
      </c>
      <c r="E5" s="152">
        <v>18.08</v>
      </c>
      <c r="F5" s="152">
        <v>12223.99</v>
      </c>
      <c r="G5" s="152">
        <v>0.1209</v>
      </c>
      <c r="H5" s="152">
        <v>3.38</v>
      </c>
      <c r="I5" s="152">
        <v>10.5288</v>
      </c>
      <c r="J5" s="152">
        <v>60.4609</v>
      </c>
      <c r="K5" s="152">
        <v>35.6165</v>
      </c>
      <c r="L5" s="152">
        <v>25.5416</v>
      </c>
      <c r="M5" s="152">
        <v>0.7171</v>
      </c>
      <c r="N5" s="152">
        <v>0.406</v>
      </c>
      <c r="O5" s="152">
        <v>0.2632</v>
      </c>
      <c r="P5" s="152">
        <v>1.3945</v>
      </c>
      <c r="Q5" s="152">
        <v>169.2486</v>
      </c>
      <c r="R5" s="152">
        <v>125.2541</v>
      </c>
      <c r="S5" s="152">
        <v>43.9941</v>
      </c>
      <c r="T5" s="152">
        <v>10.0964</v>
      </c>
      <c r="U5" s="152">
        <v>159.1546</v>
      </c>
      <c r="V5" s="152">
        <v>162.1058</v>
      </c>
      <c r="W5" s="152">
        <v>4.5514</v>
      </c>
      <c r="X5" s="152">
        <v>5.97</v>
      </c>
      <c r="Y5" s="152">
        <v>178.0</v>
      </c>
      <c r="Z5" s="152">
        <v>417.0</v>
      </c>
      <c r="AA5" s="152">
        <v>1115.0</v>
      </c>
      <c r="AB5" s="152">
        <v>53.5444</v>
      </c>
      <c r="AC5" s="152">
        <v>0.7636</v>
      </c>
      <c r="AD5" s="152">
        <v>16.4732</v>
      </c>
      <c r="AE5" s="152">
        <v>7.0</v>
      </c>
      <c r="AF5" s="152">
        <v>13.0</v>
      </c>
      <c r="AG5" s="152">
        <v>23.0</v>
      </c>
      <c r="AH5" s="152">
        <v>33.0</v>
      </c>
      <c r="AI5" s="152">
        <v>58.5572</v>
      </c>
      <c r="AJ5" s="152">
        <v>20.3328</v>
      </c>
      <c r="AK5" s="152">
        <v>4.4407</v>
      </c>
      <c r="AL5" s="152">
        <v>0.2959</v>
      </c>
      <c r="AM5" s="153"/>
      <c r="AQ5" s="76">
        <v>9.2773</v>
      </c>
      <c r="AR5" s="76">
        <v>0.2058</v>
      </c>
      <c r="AS5" s="76">
        <v>9.0716</v>
      </c>
      <c r="AT5" s="76">
        <v>7.479</v>
      </c>
      <c r="AU5" s="76">
        <v>0.21</v>
      </c>
      <c r="AV5" s="76">
        <v>34333.0</v>
      </c>
      <c r="AW5" s="76">
        <v>0.0</v>
      </c>
      <c r="AX5" s="76">
        <v>95.7831</v>
      </c>
      <c r="AY5" s="76">
        <v>58.5919</v>
      </c>
      <c r="AZ5" s="76">
        <v>2.5973</v>
      </c>
      <c r="BA5" s="76">
        <v>10.0954</v>
      </c>
      <c r="BB5" s="76">
        <v>2.1812</v>
      </c>
      <c r="BC5" s="76">
        <v>60.0</v>
      </c>
      <c r="BD5" s="76">
        <v>17498.0</v>
      </c>
      <c r="BE5" s="76">
        <v>5.5249</v>
      </c>
      <c r="BF5" s="76">
        <v>0.1303</v>
      </c>
      <c r="BG5" s="76">
        <v>5.3946</v>
      </c>
      <c r="BH5" s="76">
        <v>3.8749</v>
      </c>
      <c r="BI5" s="76">
        <v>0.1088</v>
      </c>
      <c r="BJ5" s="76">
        <v>3.7524</v>
      </c>
      <c r="BK5" s="76">
        <v>0.0754</v>
      </c>
      <c r="BL5" s="76">
        <v>3.6769</v>
      </c>
      <c r="BM5" s="76">
        <v>3.6041</v>
      </c>
      <c r="BN5" s="76">
        <v>0.1011</v>
      </c>
      <c r="BO5" s="76">
        <v>2.0357</v>
      </c>
      <c r="BP5" s="76">
        <v>0.0409</v>
      </c>
      <c r="BQ5" s="76">
        <v>1.9948</v>
      </c>
      <c r="BR5" s="76">
        <v>1.4673</v>
      </c>
      <c r="BS5" s="76">
        <v>2.3149</v>
      </c>
      <c r="BT5" s="76">
        <v>0.0395</v>
      </c>
      <c r="BU5" s="76">
        <v>2.2754</v>
      </c>
      <c r="BV5" s="76">
        <v>1.5429</v>
      </c>
      <c r="BW5" s="76">
        <v>1.1743</v>
      </c>
      <c r="BX5" s="76">
        <v>0.0499</v>
      </c>
      <c r="BY5" s="76">
        <v>1.1244</v>
      </c>
      <c r="BZ5" s="76">
        <v>0.8647</v>
      </c>
      <c r="CA5" s="76">
        <v>0.704</v>
      </c>
      <c r="CB5" s="76">
        <v>0.0198</v>
      </c>
      <c r="CC5" s="76">
        <v>0.6841</v>
      </c>
      <c r="CD5" s="76">
        <v>0.7667</v>
      </c>
      <c r="CE5" s="76">
        <v>1.5081</v>
      </c>
      <c r="CF5" s="76">
        <v>0.0298</v>
      </c>
      <c r="CG5" s="76">
        <v>1.4784</v>
      </c>
      <c r="CH5" s="76">
        <v>1.389</v>
      </c>
      <c r="CI5" s="76">
        <v>1.5403</v>
      </c>
      <c r="CJ5" s="76">
        <v>0.0258</v>
      </c>
      <c r="CK5" s="76">
        <v>1.5144</v>
      </c>
      <c r="CL5" s="76">
        <v>1.4485</v>
      </c>
      <c r="CM5" s="76">
        <v>334.2926</v>
      </c>
      <c r="CN5" s="76">
        <v>90.54</v>
      </c>
      <c r="CO5" s="76">
        <v>369.23</v>
      </c>
      <c r="CP5" s="76">
        <v>309.5544</v>
      </c>
      <c r="CQ5" s="76">
        <v>0.0109</v>
      </c>
      <c r="CR5" s="76">
        <v>7.7549</v>
      </c>
      <c r="CS5" s="76">
        <v>16.9734</v>
      </c>
      <c r="CT5" s="76">
        <v>0.0</v>
      </c>
      <c r="CV5" s="76">
        <v>5.0E-4</v>
      </c>
      <c r="CW5" s="76">
        <v>169.249</v>
      </c>
      <c r="CX5" s="76">
        <v>0.0</v>
      </c>
      <c r="CY5" s="76">
        <v>0.0114</v>
      </c>
      <c r="CZ5" s="76">
        <v>101078.0</v>
      </c>
      <c r="DA5" s="164">
        <v>46230.0</v>
      </c>
      <c r="DB5" s="164">
        <v>46250.0</v>
      </c>
      <c r="DC5" s="76">
        <v>21.0</v>
      </c>
      <c r="DD5" s="76">
        <v>1161.0</v>
      </c>
      <c r="DE5" s="76">
        <v>0.356</v>
      </c>
      <c r="DF5" s="76">
        <v>96.0</v>
      </c>
      <c r="DG5" s="76">
        <v>287.0</v>
      </c>
      <c r="DH5" s="76">
        <v>14.0</v>
      </c>
      <c r="DI5" s="76">
        <v>498.28</v>
      </c>
      <c r="DJ5" s="76">
        <v>984.17</v>
      </c>
    </row>
    <row r="6">
      <c r="A6" s="152" t="s">
        <v>4</v>
      </c>
      <c r="B6" s="152" t="s">
        <v>150</v>
      </c>
      <c r="C6" s="152" t="b">
        <v>0</v>
      </c>
      <c r="D6" s="152">
        <v>18361.0</v>
      </c>
      <c r="E6" s="152">
        <v>11.77</v>
      </c>
      <c r="F6" s="152">
        <v>15152.74</v>
      </c>
      <c r="G6" s="152">
        <v>0.2302</v>
      </c>
      <c r="H6" s="152">
        <v>5.88</v>
      </c>
      <c r="I6" s="152">
        <v>14.0433</v>
      </c>
      <c r="J6" s="152">
        <v>111.6204</v>
      </c>
      <c r="K6" s="152">
        <v>70.0008</v>
      </c>
      <c r="L6" s="152">
        <v>52.4836</v>
      </c>
      <c r="M6" s="152">
        <v>0.7498</v>
      </c>
      <c r="N6" s="152">
        <v>0.3619</v>
      </c>
      <c r="O6" s="152">
        <v>0.2381</v>
      </c>
      <c r="P6" s="152">
        <v>1.3338</v>
      </c>
      <c r="Q6" s="152">
        <v>320.7933</v>
      </c>
      <c r="R6" s="152">
        <v>228.18</v>
      </c>
      <c r="S6" s="152">
        <v>92.6138</v>
      </c>
      <c r="T6" s="152">
        <v>20.8707</v>
      </c>
      <c r="U6" s="152">
        <v>299.9217</v>
      </c>
      <c r="V6" s="152">
        <v>314.2642</v>
      </c>
      <c r="W6" s="152">
        <v>4.4894</v>
      </c>
      <c r="X6" s="152">
        <v>6.51</v>
      </c>
      <c r="Y6" s="152">
        <v>158.0</v>
      </c>
      <c r="Z6" s="152">
        <v>494.0</v>
      </c>
      <c r="AA6" s="152">
        <v>1366.0</v>
      </c>
      <c r="AB6" s="152">
        <v>55.6286</v>
      </c>
      <c r="AC6" s="152">
        <v>0.78</v>
      </c>
      <c r="AD6" s="152">
        <v>29.2159</v>
      </c>
      <c r="AE6" s="152">
        <v>11.0</v>
      </c>
      <c r="AF6" s="152">
        <v>21.0</v>
      </c>
      <c r="AG6" s="152">
        <v>40.0</v>
      </c>
      <c r="AH6" s="152">
        <v>62.0</v>
      </c>
      <c r="AI6" s="152">
        <v>40.2228</v>
      </c>
      <c r="AJ6" s="152">
        <v>10.9764</v>
      </c>
      <c r="AK6" s="152">
        <v>2.2678</v>
      </c>
      <c r="AL6" s="152">
        <v>0.1819</v>
      </c>
      <c r="AM6" s="153"/>
      <c r="AQ6" s="76">
        <v>16.3449</v>
      </c>
      <c r="AR6" s="76">
        <v>0.4077</v>
      </c>
      <c r="AS6" s="76">
        <v>15.9372</v>
      </c>
      <c r="AT6" s="76">
        <v>13.7575</v>
      </c>
      <c r="AU6" s="76">
        <v>0.1965</v>
      </c>
      <c r="AV6" s="76">
        <v>18361.0</v>
      </c>
      <c r="AW6" s="76">
        <v>0.0</v>
      </c>
      <c r="AX6" s="76">
        <v>182.3146</v>
      </c>
      <c r="AY6" s="76">
        <v>109.3233</v>
      </c>
      <c r="AZ6" s="76">
        <v>3.6521</v>
      </c>
      <c r="BA6" s="76">
        <v>20.8615</v>
      </c>
      <c r="BB6" s="76">
        <v>4.6399</v>
      </c>
      <c r="BC6" s="76">
        <v>122.0</v>
      </c>
      <c r="BD6" s="76">
        <v>15091.0</v>
      </c>
      <c r="BE6" s="76">
        <v>9.4992</v>
      </c>
      <c r="BF6" s="76">
        <v>0.2373</v>
      </c>
      <c r="BG6" s="76">
        <v>9.2619</v>
      </c>
      <c r="BH6" s="76">
        <v>6.9393</v>
      </c>
      <c r="BI6" s="76">
        <v>0.0991</v>
      </c>
      <c r="BJ6" s="76">
        <v>6.8457</v>
      </c>
      <c r="BK6" s="76">
        <v>0.1704</v>
      </c>
      <c r="BL6" s="76">
        <v>6.6753</v>
      </c>
      <c r="BM6" s="76">
        <v>6.8183</v>
      </c>
      <c r="BN6" s="76">
        <v>0.0974</v>
      </c>
      <c r="BO6" s="76">
        <v>3.6273</v>
      </c>
      <c r="BP6" s="76">
        <v>0.0711</v>
      </c>
      <c r="BQ6" s="76">
        <v>3.5562</v>
      </c>
      <c r="BR6" s="76">
        <v>2.6371</v>
      </c>
      <c r="BS6" s="76">
        <v>3.8592</v>
      </c>
      <c r="BT6" s="76">
        <v>0.0761</v>
      </c>
      <c r="BU6" s="76">
        <v>3.7831</v>
      </c>
      <c r="BV6" s="76">
        <v>2.7699</v>
      </c>
      <c r="BW6" s="76">
        <v>2.0128</v>
      </c>
      <c r="BX6" s="76">
        <v>0.0901</v>
      </c>
      <c r="BY6" s="76">
        <v>1.9227</v>
      </c>
      <c r="BZ6" s="76">
        <v>1.5323</v>
      </c>
      <c r="CA6" s="76">
        <v>1.4643</v>
      </c>
      <c r="CB6" s="76">
        <v>0.046</v>
      </c>
      <c r="CC6" s="76">
        <v>1.4184</v>
      </c>
      <c r="CD6" s="76">
        <v>1.6775</v>
      </c>
      <c r="CE6" s="76">
        <v>2.5632</v>
      </c>
      <c r="CF6" s="76">
        <v>0.0693</v>
      </c>
      <c r="CG6" s="76">
        <v>2.4939</v>
      </c>
      <c r="CH6" s="76">
        <v>2.4527</v>
      </c>
      <c r="CI6" s="76">
        <v>2.8182</v>
      </c>
      <c r="CJ6" s="76">
        <v>0.0552</v>
      </c>
      <c r="CK6" s="76">
        <v>2.763</v>
      </c>
      <c r="CL6" s="76">
        <v>2.6881</v>
      </c>
      <c r="CM6" s="76">
        <v>700.4519</v>
      </c>
      <c r="CN6" s="76">
        <v>97.39</v>
      </c>
      <c r="CO6" s="76">
        <v>719.26</v>
      </c>
      <c r="CP6" s="76">
        <v>661.866</v>
      </c>
      <c r="CQ6" s="76">
        <v>0.008</v>
      </c>
      <c r="CR6" s="76">
        <v>10.6282</v>
      </c>
      <c r="CS6" s="76">
        <v>27.9493</v>
      </c>
      <c r="CT6" s="76">
        <v>0.0</v>
      </c>
      <c r="CV6" s="76">
        <v>0.0</v>
      </c>
      <c r="CW6" s="76">
        <v>320.7938</v>
      </c>
      <c r="CX6" s="76">
        <v>0.0</v>
      </c>
      <c r="CY6" s="76">
        <v>0.009</v>
      </c>
      <c r="CZ6" s="76">
        <v>65813.0</v>
      </c>
      <c r="DA6" s="164">
        <v>46230.0</v>
      </c>
      <c r="DB6" s="164">
        <v>46250.0</v>
      </c>
      <c r="DC6" s="76">
        <v>21.0</v>
      </c>
      <c r="DD6" s="76">
        <v>1079.0</v>
      </c>
      <c r="DE6" s="76">
        <v>0.8253</v>
      </c>
      <c r="DF6" s="76">
        <v>72.0</v>
      </c>
      <c r="DG6" s="76">
        <v>358.0</v>
      </c>
      <c r="DH6" s="76">
        <v>10.0</v>
      </c>
      <c r="DI6" s="76">
        <v>1149.85</v>
      </c>
      <c r="DJ6" s="76">
        <v>2510.69</v>
      </c>
    </row>
    <row r="7">
      <c r="A7" s="152" t="s">
        <v>4</v>
      </c>
      <c r="B7" s="152" t="s">
        <v>151</v>
      </c>
      <c r="C7" s="152" t="b">
        <v>0</v>
      </c>
      <c r="D7" s="152">
        <v>3457.0</v>
      </c>
      <c r="E7" s="152">
        <v>1.72</v>
      </c>
      <c r="F7" s="152">
        <v>4974.31</v>
      </c>
      <c r="G7" s="152">
        <v>0.5184</v>
      </c>
      <c r="H7" s="152">
        <v>8.94</v>
      </c>
      <c r="I7" s="152">
        <v>16.0981</v>
      </c>
      <c r="J7" s="152">
        <v>234.9486</v>
      </c>
      <c r="K7" s="152">
        <v>162.4614</v>
      </c>
      <c r="L7" s="152">
        <v>124.9004</v>
      </c>
      <c r="M7" s="152">
        <v>0.7688</v>
      </c>
      <c r="N7" s="152">
        <v>0.316</v>
      </c>
      <c r="O7" s="152">
        <v>0.2054</v>
      </c>
      <c r="P7" s="152">
        <v>1.3007</v>
      </c>
      <c r="Q7" s="152">
        <v>670.4996</v>
      </c>
      <c r="R7" s="152">
        <v>443.6086</v>
      </c>
      <c r="S7" s="152">
        <v>226.8922</v>
      </c>
      <c r="T7" s="152">
        <v>50.0691</v>
      </c>
      <c r="U7" s="152">
        <v>620.433</v>
      </c>
      <c r="V7" s="152">
        <v>648.635</v>
      </c>
      <c r="W7" s="152">
        <v>3.9925</v>
      </c>
      <c r="X7" s="152">
        <v>7.47</v>
      </c>
      <c r="Y7" s="152">
        <v>156.0</v>
      </c>
      <c r="Z7" s="152">
        <v>643.0</v>
      </c>
      <c r="AA7" s="152">
        <v>1501.0</v>
      </c>
      <c r="AB7" s="152">
        <v>58.2983</v>
      </c>
      <c r="AC7" s="152">
        <v>0.8053</v>
      </c>
      <c r="AD7" s="152">
        <v>55.6394</v>
      </c>
      <c r="AE7" s="152">
        <v>21.0</v>
      </c>
      <c r="AF7" s="152">
        <v>40.0</v>
      </c>
      <c r="AG7" s="152">
        <v>73.0</v>
      </c>
      <c r="AH7" s="152">
        <v>123.0</v>
      </c>
      <c r="AI7" s="152">
        <v>22.6967</v>
      </c>
      <c r="AJ7" s="152">
        <v>3.658</v>
      </c>
      <c r="AK7" s="152">
        <v>0.5842</v>
      </c>
      <c r="AL7" s="152">
        <v>0.1034</v>
      </c>
      <c r="AM7" s="153"/>
      <c r="AQ7" s="76">
        <v>34.4474</v>
      </c>
      <c r="AR7" s="76">
        <v>0.819</v>
      </c>
      <c r="AS7" s="76">
        <v>33.6284</v>
      </c>
      <c r="AT7" s="76">
        <v>31.356</v>
      </c>
      <c r="AU7" s="76">
        <v>0.193</v>
      </c>
      <c r="AV7" s="76">
        <v>3457.0</v>
      </c>
      <c r="AW7" s="76">
        <v>0.0</v>
      </c>
      <c r="AX7" s="76">
        <v>413.5547</v>
      </c>
      <c r="AY7" s="76">
        <v>188.5981</v>
      </c>
      <c r="AZ7" s="76">
        <v>5.4785</v>
      </c>
      <c r="BA7" s="76">
        <v>50.0691</v>
      </c>
      <c r="BB7" s="76">
        <v>12.8018</v>
      </c>
      <c r="BC7" s="76">
        <v>245.0</v>
      </c>
      <c r="BD7" s="76">
        <v>13871.0</v>
      </c>
      <c r="BE7" s="76">
        <v>20.0852</v>
      </c>
      <c r="BF7" s="76">
        <v>0.4489</v>
      </c>
      <c r="BG7" s="76">
        <v>19.6363</v>
      </c>
      <c r="BH7" s="76">
        <v>15.2878</v>
      </c>
      <c r="BI7" s="76">
        <v>0.0941</v>
      </c>
      <c r="BJ7" s="76">
        <v>14.3621</v>
      </c>
      <c r="BK7" s="76">
        <v>0.3701</v>
      </c>
      <c r="BL7" s="76">
        <v>13.9921</v>
      </c>
      <c r="BM7" s="76">
        <v>16.0682</v>
      </c>
      <c r="BN7" s="76">
        <v>0.099</v>
      </c>
      <c r="BO7" s="76">
        <v>7.58</v>
      </c>
      <c r="BP7" s="76">
        <v>0.1192</v>
      </c>
      <c r="BQ7" s="76">
        <v>7.4608</v>
      </c>
      <c r="BR7" s="76">
        <v>5.7525</v>
      </c>
      <c r="BS7" s="76">
        <v>8.2834</v>
      </c>
      <c r="BT7" s="76">
        <v>0.1424</v>
      </c>
      <c r="BU7" s="76">
        <v>8.1411</v>
      </c>
      <c r="BV7" s="76">
        <v>6.1588</v>
      </c>
      <c r="BW7" s="76">
        <v>4.2218</v>
      </c>
      <c r="BX7" s="76">
        <v>0.1874</v>
      </c>
      <c r="BY7" s="76">
        <v>4.0344</v>
      </c>
      <c r="BZ7" s="76">
        <v>3.3765</v>
      </c>
      <c r="CA7" s="76">
        <v>3.2992</v>
      </c>
      <c r="CB7" s="76">
        <v>0.1023</v>
      </c>
      <c r="CC7" s="76">
        <v>3.1969</v>
      </c>
      <c r="CD7" s="76">
        <v>4.6006</v>
      </c>
      <c r="CE7" s="76">
        <v>5.29</v>
      </c>
      <c r="CF7" s="76">
        <v>0.1497</v>
      </c>
      <c r="CG7" s="76">
        <v>5.1404</v>
      </c>
      <c r="CH7" s="76">
        <v>5.1584</v>
      </c>
      <c r="CI7" s="76">
        <v>5.7729</v>
      </c>
      <c r="CJ7" s="76">
        <v>0.1181</v>
      </c>
      <c r="CK7" s="76">
        <v>5.6549</v>
      </c>
      <c r="CL7" s="76">
        <v>6.3092</v>
      </c>
      <c r="CM7" s="76">
        <v>1649.0103</v>
      </c>
      <c r="CN7" s="76">
        <v>99.0</v>
      </c>
      <c r="CO7" s="76">
        <v>1665.69</v>
      </c>
      <c r="CP7" s="76">
        <v>1594.5642</v>
      </c>
      <c r="CQ7" s="76">
        <v>0.0</v>
      </c>
      <c r="CR7" s="76">
        <v>15.0828</v>
      </c>
      <c r="CS7" s="76">
        <v>39.3619</v>
      </c>
      <c r="CT7" s="76">
        <v>0.0</v>
      </c>
      <c r="CV7" s="76">
        <v>0.0</v>
      </c>
      <c r="CW7" s="76">
        <v>670.4996</v>
      </c>
      <c r="CX7" s="76">
        <v>0.0</v>
      </c>
      <c r="CY7" s="76">
        <v>0.0</v>
      </c>
      <c r="CZ7" s="76">
        <v>9596.0</v>
      </c>
      <c r="DA7" s="164">
        <v>46230.0</v>
      </c>
      <c r="DB7" s="164">
        <v>46250.0</v>
      </c>
      <c r="DC7" s="76">
        <v>21.0</v>
      </c>
      <c r="DD7" s="76">
        <v>309.0</v>
      </c>
      <c r="DE7" s="76">
        <v>1.4389</v>
      </c>
      <c r="DF7" s="76">
        <v>43.0</v>
      </c>
      <c r="DG7" s="76">
        <v>477.0</v>
      </c>
      <c r="DH7" s="76">
        <v>0.0</v>
      </c>
      <c r="DI7" s="76">
        <v>1861.18</v>
      </c>
      <c r="DJ7" s="76">
        <v>4577.35</v>
      </c>
    </row>
    <row r="8">
      <c r="A8" s="152" t="s">
        <v>5</v>
      </c>
      <c r="B8" s="152" t="s">
        <v>316</v>
      </c>
      <c r="C8" s="152" t="b">
        <v>0</v>
      </c>
      <c r="D8" s="152">
        <v>54817.0</v>
      </c>
      <c r="E8" s="152">
        <v>18.61</v>
      </c>
      <c r="F8" s="152">
        <v>6330.06</v>
      </c>
      <c r="G8" s="152">
        <v>0.0613</v>
      </c>
      <c r="H8" s="152">
        <v>0.36</v>
      </c>
      <c r="I8" s="152">
        <v>31.8093</v>
      </c>
      <c r="J8" s="152">
        <v>19.623</v>
      </c>
      <c r="K8" s="152">
        <v>10.5442</v>
      </c>
      <c r="L8" s="152">
        <v>7.1753</v>
      </c>
      <c r="M8" s="152">
        <v>0.6805</v>
      </c>
      <c r="N8" s="152">
        <v>0.4368</v>
      </c>
      <c r="O8" s="152">
        <v>0.2223</v>
      </c>
      <c r="P8" s="152">
        <v>1.4695</v>
      </c>
      <c r="Q8" s="152">
        <v>48.8573</v>
      </c>
      <c r="R8" s="152">
        <v>48.7657</v>
      </c>
      <c r="S8" s="152">
        <v>0.0921</v>
      </c>
      <c r="T8" s="152">
        <v>5.3295</v>
      </c>
      <c r="U8" s="152">
        <v>43.5266</v>
      </c>
      <c r="V8" s="152">
        <v>35.3251</v>
      </c>
      <c r="W8" s="152">
        <v>3.3502</v>
      </c>
      <c r="X8" s="152">
        <v>10.91</v>
      </c>
      <c r="Y8" s="152">
        <v>183.0</v>
      </c>
      <c r="Z8" s="152">
        <v>406.0</v>
      </c>
      <c r="AA8" s="152">
        <v>2884.0</v>
      </c>
      <c r="AB8" s="152">
        <v>49.6905</v>
      </c>
      <c r="AC8" s="152">
        <v>0.5046</v>
      </c>
      <c r="AD8" s="153"/>
      <c r="AE8" s="153"/>
      <c r="AF8" s="153"/>
      <c r="AG8" s="153"/>
      <c r="AH8" s="153"/>
      <c r="AI8" s="152">
        <v>0.0</v>
      </c>
      <c r="AJ8" s="152">
        <v>0.0</v>
      </c>
      <c r="AK8" s="152">
        <v>0.0</v>
      </c>
      <c r="AL8" s="152">
        <v>0.526</v>
      </c>
      <c r="AM8" s="152">
        <v>7.941</v>
      </c>
      <c r="AN8" s="76">
        <v>7.941</v>
      </c>
      <c r="AO8" s="76">
        <v>4.7498</v>
      </c>
      <c r="AP8" s="76">
        <v>2.5061</v>
      </c>
      <c r="AQ8" s="76">
        <v>2.3067</v>
      </c>
      <c r="AR8" s="76">
        <v>0.0643</v>
      </c>
      <c r="AS8" s="76">
        <v>2.2423</v>
      </c>
      <c r="AT8" s="76">
        <v>1.4701</v>
      </c>
      <c r="AU8" s="76">
        <v>0.1394</v>
      </c>
      <c r="AV8" s="76">
        <v>54817.0</v>
      </c>
      <c r="AW8" s="76">
        <v>0.0</v>
      </c>
      <c r="AX8" s="76">
        <v>9.1066</v>
      </c>
      <c r="AY8" s="76">
        <v>31.782</v>
      </c>
      <c r="AZ8" s="76">
        <v>2.4085</v>
      </c>
      <c r="BA8" s="76">
        <v>5.3295</v>
      </c>
      <c r="BB8" s="76">
        <v>0.2291</v>
      </c>
      <c r="BD8" s="76">
        <v>26662.0</v>
      </c>
      <c r="BE8" s="76">
        <v>0.7642</v>
      </c>
      <c r="BF8" s="76">
        <v>0.0272</v>
      </c>
      <c r="BG8" s="76">
        <v>0.737</v>
      </c>
      <c r="BH8" s="76">
        <v>0.6876</v>
      </c>
      <c r="BI8" s="76">
        <v>0.0708</v>
      </c>
      <c r="BJ8" s="76">
        <v>1.5425</v>
      </c>
      <c r="BK8" s="76">
        <v>0.0372</v>
      </c>
      <c r="BL8" s="76">
        <v>1.5053</v>
      </c>
      <c r="BM8" s="76">
        <v>0.7825</v>
      </c>
      <c r="BN8" s="76">
        <v>0.0739</v>
      </c>
      <c r="BO8" s="76">
        <v>0.2892</v>
      </c>
      <c r="BP8" s="76">
        <v>0.0096</v>
      </c>
      <c r="BQ8" s="76">
        <v>0.2796</v>
      </c>
      <c r="BR8" s="76">
        <v>0.2696</v>
      </c>
      <c r="BS8" s="76">
        <v>0.2772</v>
      </c>
      <c r="BT8" s="76">
        <v>0.0087</v>
      </c>
      <c r="BU8" s="76">
        <v>0.2685</v>
      </c>
      <c r="BV8" s="76">
        <v>0.2397</v>
      </c>
      <c r="BW8" s="76">
        <v>0.1978</v>
      </c>
      <c r="BX8" s="76">
        <v>0.0089</v>
      </c>
      <c r="BY8" s="76">
        <v>0.1889</v>
      </c>
      <c r="BZ8" s="76">
        <v>0.1783</v>
      </c>
      <c r="CA8" s="76">
        <v>0.393</v>
      </c>
      <c r="CB8" s="76">
        <v>0.0095</v>
      </c>
      <c r="CC8" s="76">
        <v>0.3836</v>
      </c>
      <c r="CD8" s="76">
        <v>0.1843</v>
      </c>
      <c r="CE8" s="76">
        <v>0.624</v>
      </c>
      <c r="CF8" s="76">
        <v>0.015</v>
      </c>
      <c r="CG8" s="76">
        <v>0.609</v>
      </c>
      <c r="CH8" s="76">
        <v>0.2837</v>
      </c>
      <c r="CI8" s="76">
        <v>0.5254</v>
      </c>
      <c r="CJ8" s="76">
        <v>0.0127</v>
      </c>
      <c r="CK8" s="76">
        <v>0.5128</v>
      </c>
      <c r="CL8" s="76">
        <v>0.3146</v>
      </c>
      <c r="CM8" s="76">
        <v>103.9761</v>
      </c>
      <c r="CN8" s="76">
        <v>17.46</v>
      </c>
      <c r="CO8" s="76">
        <v>595.53</v>
      </c>
      <c r="CP8" s="76">
        <v>89.1348</v>
      </c>
      <c r="CQ8" s="76">
        <v>7.2129</v>
      </c>
      <c r="CR8" s="76">
        <v>2.6042</v>
      </c>
      <c r="CS8" s="76">
        <v>5.0224</v>
      </c>
      <c r="CT8" s="76">
        <v>0.0</v>
      </c>
      <c r="CV8" s="76">
        <v>28.9598</v>
      </c>
      <c r="CW8" s="76">
        <v>77.8166</v>
      </c>
      <c r="CX8" s="76">
        <v>0.826</v>
      </c>
      <c r="CY8" s="76">
        <v>8.041</v>
      </c>
      <c r="CZ8" s="76">
        <v>103236.0</v>
      </c>
      <c r="DA8" s="164">
        <v>46230.0</v>
      </c>
      <c r="DB8" s="164">
        <v>46250.0</v>
      </c>
      <c r="DC8" s="76">
        <v>21.0</v>
      </c>
      <c r="DD8" s="76">
        <v>199.0</v>
      </c>
      <c r="DE8" s="76">
        <v>0.1155</v>
      </c>
      <c r="DF8" s="76">
        <v>175.0</v>
      </c>
      <c r="DG8" s="76">
        <v>201.0</v>
      </c>
      <c r="DH8" s="76">
        <v>25978.0</v>
      </c>
      <c r="DI8" s="76">
        <v>92.01</v>
      </c>
      <c r="DJ8" s="76">
        <v>195.82</v>
      </c>
    </row>
    <row r="9">
      <c r="A9" s="152" t="s">
        <v>5</v>
      </c>
      <c r="B9" s="152" t="s">
        <v>147</v>
      </c>
      <c r="C9" s="152" t="b">
        <v>0</v>
      </c>
      <c r="D9" s="152">
        <v>66203.0</v>
      </c>
      <c r="E9" s="152">
        <v>27.93</v>
      </c>
      <c r="F9" s="152">
        <v>2614.16</v>
      </c>
      <c r="G9" s="152">
        <v>0.0169</v>
      </c>
      <c r="H9" s="152">
        <v>0.96</v>
      </c>
      <c r="I9" s="152">
        <v>4.0974</v>
      </c>
      <c r="J9" s="152">
        <v>20.666</v>
      </c>
      <c r="K9" s="152">
        <v>10.6779</v>
      </c>
      <c r="L9" s="152">
        <v>5.1034</v>
      </c>
      <c r="M9" s="152">
        <v>0.4779</v>
      </c>
      <c r="N9" s="152">
        <v>0.6253</v>
      </c>
      <c r="O9" s="152">
        <v>0.3703</v>
      </c>
      <c r="P9" s="152">
        <v>2.0923</v>
      </c>
      <c r="Q9" s="152">
        <v>40.3212</v>
      </c>
      <c r="R9" s="152">
        <v>37.3568</v>
      </c>
      <c r="S9" s="152">
        <v>2.9653</v>
      </c>
      <c r="T9" s="152">
        <v>1.52</v>
      </c>
      <c r="U9" s="152">
        <v>38.8007</v>
      </c>
      <c r="V9" s="152">
        <v>38.0552</v>
      </c>
      <c r="W9" s="152">
        <v>3.5639</v>
      </c>
      <c r="X9" s="152">
        <v>3.77</v>
      </c>
      <c r="Y9" s="152">
        <v>194.0</v>
      </c>
      <c r="Z9" s="152">
        <v>293.0</v>
      </c>
      <c r="AA9" s="152">
        <v>1095.0</v>
      </c>
      <c r="AB9" s="152">
        <v>49.7607</v>
      </c>
      <c r="AC9" s="152">
        <v>0.6092</v>
      </c>
      <c r="AD9" s="152">
        <v>3.9888</v>
      </c>
      <c r="AE9" s="152">
        <v>1.0</v>
      </c>
      <c r="AF9" s="152">
        <v>3.0</v>
      </c>
      <c r="AG9" s="152">
        <v>5.0</v>
      </c>
      <c r="AH9" s="152">
        <v>8.0</v>
      </c>
      <c r="AI9" s="152">
        <v>74.8281</v>
      </c>
      <c r="AJ9" s="152">
        <v>33.5312</v>
      </c>
      <c r="AK9" s="152">
        <v>6.2212</v>
      </c>
      <c r="AL9" s="152">
        <v>0.5113</v>
      </c>
      <c r="AM9" s="152">
        <v>34.5651</v>
      </c>
      <c r="AN9" s="76">
        <v>34.5646</v>
      </c>
      <c r="AO9" s="76">
        <v>16.0543</v>
      </c>
      <c r="AP9" s="76">
        <v>4.9095</v>
      </c>
      <c r="AQ9" s="76">
        <v>2.951</v>
      </c>
      <c r="AR9" s="76">
        <v>0.0389</v>
      </c>
      <c r="AS9" s="76">
        <v>2.9121</v>
      </c>
      <c r="AT9" s="76">
        <v>2.4142</v>
      </c>
      <c r="AU9" s="76">
        <v>0.2261</v>
      </c>
      <c r="AV9" s="76">
        <v>66203.0</v>
      </c>
      <c r="AW9" s="76">
        <v>0.0</v>
      </c>
      <c r="AX9" s="76">
        <v>17.4696</v>
      </c>
      <c r="AY9" s="76">
        <v>18.9575</v>
      </c>
      <c r="AZ9" s="76">
        <v>1.8328</v>
      </c>
      <c r="BA9" s="76">
        <v>1.52</v>
      </c>
      <c r="BB9" s="76">
        <v>0.5427</v>
      </c>
      <c r="BC9" s="76">
        <v>16.0</v>
      </c>
      <c r="BD9" s="76">
        <v>17672.0</v>
      </c>
      <c r="BE9" s="76">
        <v>1.8122</v>
      </c>
      <c r="BF9" s="76">
        <v>0.0234</v>
      </c>
      <c r="BG9" s="76">
        <v>1.7888</v>
      </c>
      <c r="BH9" s="76">
        <v>1.3616</v>
      </c>
      <c r="BI9" s="76">
        <v>0.1276</v>
      </c>
      <c r="BJ9" s="76">
        <v>1.1388</v>
      </c>
      <c r="BK9" s="76">
        <v>0.0156</v>
      </c>
      <c r="BL9" s="76">
        <v>1.1233</v>
      </c>
      <c r="BM9" s="76">
        <v>1.0526</v>
      </c>
      <c r="BN9" s="76">
        <v>0.0985</v>
      </c>
      <c r="BO9" s="76">
        <v>0.7955</v>
      </c>
      <c r="BP9" s="76">
        <v>0.0099</v>
      </c>
      <c r="BQ9" s="76">
        <v>0.7856</v>
      </c>
      <c r="BR9" s="76">
        <v>0.592</v>
      </c>
      <c r="BS9" s="76">
        <v>0.7182</v>
      </c>
      <c r="BT9" s="76">
        <v>0.0054</v>
      </c>
      <c r="BU9" s="76">
        <v>0.7128</v>
      </c>
      <c r="BV9" s="76">
        <v>0.5089</v>
      </c>
      <c r="BW9" s="76">
        <v>0.2985</v>
      </c>
      <c r="BX9" s="76">
        <v>0.0081</v>
      </c>
      <c r="BY9" s="76">
        <v>0.2904</v>
      </c>
      <c r="BZ9" s="76">
        <v>0.2606</v>
      </c>
      <c r="CA9" s="76">
        <v>0.1575</v>
      </c>
      <c r="CB9" s="76">
        <v>0.0029</v>
      </c>
      <c r="CC9" s="76">
        <v>0.1546</v>
      </c>
      <c r="CD9" s="76">
        <v>0.1686</v>
      </c>
      <c r="CE9" s="76">
        <v>0.6235</v>
      </c>
      <c r="CF9" s="76">
        <v>0.0064</v>
      </c>
      <c r="CG9" s="76">
        <v>0.6171</v>
      </c>
      <c r="CH9" s="76">
        <v>0.5284</v>
      </c>
      <c r="CI9" s="76">
        <v>0.3578</v>
      </c>
      <c r="CJ9" s="76">
        <v>0.0062</v>
      </c>
      <c r="CK9" s="76">
        <v>0.3515</v>
      </c>
      <c r="CL9" s="76">
        <v>0.3556</v>
      </c>
      <c r="CM9" s="76">
        <v>64.8072</v>
      </c>
      <c r="CN9" s="76">
        <v>64.22</v>
      </c>
      <c r="CO9" s="76">
        <v>100.91</v>
      </c>
      <c r="CP9" s="76">
        <v>53.1651</v>
      </c>
      <c r="CQ9" s="76">
        <v>5.6999</v>
      </c>
      <c r="CR9" s="76">
        <v>4.0451</v>
      </c>
      <c r="CS9" s="76">
        <v>1.8966</v>
      </c>
      <c r="CT9" s="76">
        <v>0.0</v>
      </c>
      <c r="CV9" s="76">
        <v>0.4791</v>
      </c>
      <c r="CW9" s="76">
        <v>40.8007</v>
      </c>
      <c r="CX9" s="76">
        <v>0.6594</v>
      </c>
      <c r="CY9" s="76">
        <v>6.3621</v>
      </c>
      <c r="CZ9" s="76">
        <v>154944.0</v>
      </c>
      <c r="DA9" s="164">
        <v>46230.0</v>
      </c>
      <c r="DB9" s="164">
        <v>46250.0</v>
      </c>
      <c r="DC9" s="76">
        <v>21.0</v>
      </c>
      <c r="DD9" s="76">
        <v>638.0</v>
      </c>
      <c r="DE9" s="76">
        <v>0.0395</v>
      </c>
      <c r="DF9" s="76">
        <v>177.0</v>
      </c>
      <c r="DG9" s="76">
        <v>200.0</v>
      </c>
      <c r="DH9" s="76">
        <v>40730.0</v>
      </c>
      <c r="DI9" s="76">
        <v>94.37</v>
      </c>
      <c r="DJ9" s="76">
        <v>151.68</v>
      </c>
    </row>
    <row r="10">
      <c r="A10" s="152" t="s">
        <v>5</v>
      </c>
      <c r="B10" s="152" t="s">
        <v>148</v>
      </c>
      <c r="C10" s="152" t="b">
        <v>0</v>
      </c>
      <c r="D10" s="152">
        <v>45076.0</v>
      </c>
      <c r="E10" s="152">
        <v>21.98</v>
      </c>
      <c r="F10" s="152">
        <v>8034.94</v>
      </c>
      <c r="G10" s="152">
        <v>0.0659</v>
      </c>
      <c r="H10" s="152">
        <v>2.4</v>
      </c>
      <c r="I10" s="152">
        <v>7.426</v>
      </c>
      <c r="J10" s="152">
        <v>41.2924</v>
      </c>
      <c r="K10" s="152">
        <v>22.3617</v>
      </c>
      <c r="L10" s="152">
        <v>13.3638</v>
      </c>
      <c r="M10" s="152">
        <v>0.5976</v>
      </c>
      <c r="N10" s="152">
        <v>0.5222</v>
      </c>
      <c r="O10" s="152">
        <v>0.3124</v>
      </c>
      <c r="P10" s="152">
        <v>1.6733</v>
      </c>
      <c r="Q10" s="170">
        <v>84.749</v>
      </c>
      <c r="R10" s="152">
        <v>76.3147</v>
      </c>
      <c r="S10" s="152">
        <v>8.4347</v>
      </c>
      <c r="T10" s="152">
        <v>5.6969</v>
      </c>
      <c r="U10" s="152">
        <v>79.053</v>
      </c>
      <c r="V10" s="152">
        <v>81.796</v>
      </c>
      <c r="W10" s="152">
        <v>3.6579</v>
      </c>
      <c r="X10" s="152">
        <v>6.72</v>
      </c>
      <c r="Y10" s="152">
        <v>158.0</v>
      </c>
      <c r="Z10" s="152">
        <v>328.0</v>
      </c>
      <c r="AA10" s="152">
        <v>998.0</v>
      </c>
      <c r="AB10" s="152">
        <v>51.8321</v>
      </c>
      <c r="AC10" s="152">
        <v>0.6933</v>
      </c>
      <c r="AD10" s="152">
        <v>9.4326</v>
      </c>
      <c r="AE10" s="152">
        <v>4.0</v>
      </c>
      <c r="AF10" s="152">
        <v>8.0</v>
      </c>
      <c r="AG10" s="152">
        <v>13.0</v>
      </c>
      <c r="AH10" s="152">
        <v>18.0</v>
      </c>
      <c r="AI10" s="152">
        <v>65.042</v>
      </c>
      <c r="AJ10" s="152">
        <v>26.7962</v>
      </c>
      <c r="AK10" s="152">
        <v>3.2649</v>
      </c>
      <c r="AL10" s="152">
        <v>0.3696</v>
      </c>
      <c r="AM10" s="152">
        <v>39.9927</v>
      </c>
      <c r="AN10" s="76">
        <v>39.9927</v>
      </c>
      <c r="AO10" s="76">
        <v>23.1961</v>
      </c>
      <c r="AP10" s="76">
        <v>10.9131</v>
      </c>
      <c r="AQ10" s="76">
        <v>5.7627</v>
      </c>
      <c r="AR10" s="76">
        <v>0.1098</v>
      </c>
      <c r="AS10" s="76">
        <v>5.6529</v>
      </c>
      <c r="AT10" s="76">
        <v>4.8289</v>
      </c>
      <c r="AU10" s="76">
        <v>0.2159</v>
      </c>
      <c r="AV10" s="76">
        <v>45076.0</v>
      </c>
      <c r="AW10" s="76">
        <v>0.0</v>
      </c>
      <c r="AX10" s="76">
        <v>35.3453</v>
      </c>
      <c r="AY10" s="76">
        <v>39.9606</v>
      </c>
      <c r="AZ10" s="76">
        <v>2.595</v>
      </c>
      <c r="BA10" s="76">
        <v>5.6969</v>
      </c>
      <c r="BB10" s="76">
        <v>1.1535</v>
      </c>
      <c r="BC10" s="76">
        <v>33.0</v>
      </c>
      <c r="BD10" s="76">
        <v>17840.0</v>
      </c>
      <c r="BE10" s="76">
        <v>3.3087</v>
      </c>
      <c r="BF10" s="76">
        <v>0.0676</v>
      </c>
      <c r="BG10" s="76">
        <v>3.2412</v>
      </c>
      <c r="BH10" s="76">
        <v>2.5688</v>
      </c>
      <c r="BI10" s="76">
        <v>0.115</v>
      </c>
      <c r="BJ10" s="76">
        <v>2.4539</v>
      </c>
      <c r="BK10" s="76">
        <v>0.0422</v>
      </c>
      <c r="BL10" s="76">
        <v>2.4117</v>
      </c>
      <c r="BM10" s="76">
        <v>2.2601</v>
      </c>
      <c r="BN10" s="76">
        <v>0.1009</v>
      </c>
      <c r="BO10" s="76">
        <v>1.2943</v>
      </c>
      <c r="BP10" s="76">
        <v>0.0258</v>
      </c>
      <c r="BQ10" s="76">
        <v>1.2685</v>
      </c>
      <c r="BR10" s="76">
        <v>1.0342</v>
      </c>
      <c r="BS10" s="76">
        <v>1.3378</v>
      </c>
      <c r="BT10" s="76">
        <v>0.0177</v>
      </c>
      <c r="BU10" s="76">
        <v>1.3201</v>
      </c>
      <c r="BV10" s="76">
        <v>0.9721</v>
      </c>
      <c r="BW10" s="76">
        <v>0.6766</v>
      </c>
      <c r="BX10" s="76">
        <v>0.024</v>
      </c>
      <c r="BY10" s="76">
        <v>0.6526</v>
      </c>
      <c r="BZ10" s="76">
        <v>0.5625</v>
      </c>
      <c r="CA10" s="76">
        <v>0.3826</v>
      </c>
      <c r="CB10" s="76">
        <v>0.0099</v>
      </c>
      <c r="CC10" s="76">
        <v>0.3726</v>
      </c>
      <c r="CD10" s="76">
        <v>0.4143</v>
      </c>
      <c r="CE10" s="76">
        <v>1.2784</v>
      </c>
      <c r="CF10" s="76">
        <v>0.0167</v>
      </c>
      <c r="CG10" s="76">
        <v>1.2618</v>
      </c>
      <c r="CH10" s="76">
        <v>1.0656</v>
      </c>
      <c r="CI10" s="76">
        <v>0.793</v>
      </c>
      <c r="CJ10" s="76">
        <v>0.0156</v>
      </c>
      <c r="CK10" s="76">
        <v>0.7774</v>
      </c>
      <c r="CL10" s="76">
        <v>0.7802</v>
      </c>
      <c r="CM10" s="76">
        <v>157.6592</v>
      </c>
      <c r="CN10" s="76">
        <v>80.31</v>
      </c>
      <c r="CO10" s="76">
        <v>196.33</v>
      </c>
      <c r="CP10" s="76">
        <v>127.5761</v>
      </c>
      <c r="CQ10" s="76">
        <v>16.6284</v>
      </c>
      <c r="CR10" s="76">
        <v>5.7622</v>
      </c>
      <c r="CS10" s="76">
        <v>7.6921</v>
      </c>
      <c r="CT10" s="76">
        <v>0.0</v>
      </c>
      <c r="CV10" s="76">
        <v>1.0152</v>
      </c>
      <c r="CW10" s="76">
        <v>85.7651</v>
      </c>
      <c r="CX10" s="76">
        <v>2.1151</v>
      </c>
      <c r="CY10" s="76">
        <v>18.742</v>
      </c>
      <c r="CZ10" s="76">
        <v>121963.0</v>
      </c>
      <c r="DA10" s="164">
        <v>46230.0</v>
      </c>
      <c r="DB10" s="164">
        <v>46250.0</v>
      </c>
      <c r="DC10" s="76">
        <v>21.0</v>
      </c>
      <c r="DD10" s="76">
        <v>1082.0</v>
      </c>
      <c r="DE10" s="76">
        <v>0.1783</v>
      </c>
      <c r="DF10" s="76">
        <v>100.0</v>
      </c>
      <c r="DG10" s="76">
        <v>221.0</v>
      </c>
      <c r="DH10" s="76">
        <v>46594.0</v>
      </c>
      <c r="DI10" s="76">
        <v>229.31</v>
      </c>
      <c r="DJ10" s="76">
        <v>426.58</v>
      </c>
    </row>
    <row r="11">
      <c r="A11" s="152" t="s">
        <v>5</v>
      </c>
      <c r="B11" s="152" t="s">
        <v>149</v>
      </c>
      <c r="C11" s="152" t="b">
        <v>0</v>
      </c>
      <c r="D11" s="152">
        <v>34704.0</v>
      </c>
      <c r="E11" s="152">
        <v>18.55</v>
      </c>
      <c r="F11" s="152">
        <v>12474.94</v>
      </c>
      <c r="G11" s="152">
        <v>0.1212</v>
      </c>
      <c r="H11" s="152">
        <v>3.35</v>
      </c>
      <c r="I11" s="152">
        <v>10.7265</v>
      </c>
      <c r="J11" s="152">
        <v>63.2194</v>
      </c>
      <c r="K11" s="152">
        <v>36.292</v>
      </c>
      <c r="L11" s="152">
        <v>25.349</v>
      </c>
      <c r="M11" s="152">
        <v>0.6985</v>
      </c>
      <c r="N11" s="152">
        <v>0.4228</v>
      </c>
      <c r="O11" s="152">
        <v>0.2676</v>
      </c>
      <c r="P11" s="152">
        <v>1.4317</v>
      </c>
      <c r="Q11" s="152">
        <v>146.5086</v>
      </c>
      <c r="R11" s="152">
        <v>131.1762</v>
      </c>
      <c r="S11" s="152">
        <v>15.3337</v>
      </c>
      <c r="T11" s="152">
        <v>10.3281</v>
      </c>
      <c r="U11" s="152">
        <v>136.1825</v>
      </c>
      <c r="V11" s="152">
        <v>144.2017</v>
      </c>
      <c r="W11" s="152">
        <v>3.9734</v>
      </c>
      <c r="X11" s="152">
        <v>7.05</v>
      </c>
      <c r="Y11" s="152">
        <v>152.0</v>
      </c>
      <c r="Z11" s="152">
        <v>366.0</v>
      </c>
      <c r="AA11" s="152">
        <v>960.0</v>
      </c>
      <c r="AB11" s="152">
        <v>53.5079</v>
      </c>
      <c r="AC11" s="152">
        <v>0.7533</v>
      </c>
      <c r="AD11" s="152">
        <v>16.1319</v>
      </c>
      <c r="AE11" s="152">
        <v>7.0</v>
      </c>
      <c r="AF11" s="152">
        <v>13.0</v>
      </c>
      <c r="AG11" s="152">
        <v>22.0</v>
      </c>
      <c r="AH11" s="152">
        <v>32.0</v>
      </c>
      <c r="AI11" s="152">
        <v>57.4544</v>
      </c>
      <c r="AJ11" s="152">
        <v>19.5684</v>
      </c>
      <c r="AK11" s="152">
        <v>4.1765</v>
      </c>
      <c r="AL11" s="152">
        <v>0.2894</v>
      </c>
      <c r="AM11" s="152">
        <v>39.986</v>
      </c>
      <c r="AN11" s="76">
        <v>39.986</v>
      </c>
      <c r="AO11" s="76">
        <v>21.7404</v>
      </c>
      <c r="AP11" s="76">
        <v>11.1576</v>
      </c>
      <c r="AQ11" s="76">
        <v>8.6534</v>
      </c>
      <c r="AR11" s="76">
        <v>0.1814</v>
      </c>
      <c r="AS11" s="76">
        <v>8.472</v>
      </c>
      <c r="AT11" s="76">
        <v>7.2444</v>
      </c>
      <c r="AU11" s="76">
        <v>0.1996</v>
      </c>
      <c r="AV11" s="76">
        <v>34704.0</v>
      </c>
      <c r="AW11" s="76">
        <v>0.0</v>
      </c>
      <c r="AX11" s="76">
        <v>60.9768</v>
      </c>
      <c r="AY11" s="76">
        <v>70.2641</v>
      </c>
      <c r="AZ11" s="76">
        <v>2.7951</v>
      </c>
      <c r="BA11" s="76">
        <v>10.3231</v>
      </c>
      <c r="BB11" s="76">
        <v>2.1508</v>
      </c>
      <c r="BC11" s="76">
        <v>60.0</v>
      </c>
      <c r="BD11" s="76">
        <v>15108.0</v>
      </c>
      <c r="BE11" s="76">
        <v>4.7983</v>
      </c>
      <c r="BF11" s="76">
        <v>0.1053</v>
      </c>
      <c r="BG11" s="76">
        <v>4.6929</v>
      </c>
      <c r="BH11" s="76">
        <v>3.5951</v>
      </c>
      <c r="BI11" s="76">
        <v>0.099</v>
      </c>
      <c r="BJ11" s="76">
        <v>3.8551</v>
      </c>
      <c r="BK11" s="76">
        <v>0.0761</v>
      </c>
      <c r="BL11" s="76">
        <v>3.779</v>
      </c>
      <c r="BM11" s="76">
        <v>3.6493</v>
      </c>
      <c r="BN11" s="76">
        <v>0.1003</v>
      </c>
      <c r="BO11" s="76">
        <v>1.7453</v>
      </c>
      <c r="BP11" s="76">
        <v>0.0343</v>
      </c>
      <c r="BQ11" s="76">
        <v>1.711</v>
      </c>
      <c r="BR11" s="76">
        <v>1.3493</v>
      </c>
      <c r="BS11" s="76">
        <v>1.8747</v>
      </c>
      <c r="BT11" s="76">
        <v>0.0326</v>
      </c>
      <c r="BU11" s="76">
        <v>1.842</v>
      </c>
      <c r="BV11" s="76">
        <v>1.3526</v>
      </c>
      <c r="BW11" s="76">
        <v>1.1784</v>
      </c>
      <c r="BX11" s="76">
        <v>0.0385</v>
      </c>
      <c r="BY11" s="76">
        <v>1.1399</v>
      </c>
      <c r="BZ11" s="76">
        <v>0.8932</v>
      </c>
      <c r="CA11" s="76">
        <v>0.614</v>
      </c>
      <c r="CB11" s="76">
        <v>0.019</v>
      </c>
      <c r="CC11" s="76">
        <v>0.595</v>
      </c>
      <c r="CD11" s="76">
        <v>0.7295</v>
      </c>
      <c r="CE11" s="76">
        <v>1.851</v>
      </c>
      <c r="CF11" s="76">
        <v>0.0299</v>
      </c>
      <c r="CG11" s="76">
        <v>1.8211</v>
      </c>
      <c r="CH11" s="76">
        <v>1.593</v>
      </c>
      <c r="CI11" s="76">
        <v>1.3901</v>
      </c>
      <c r="CJ11" s="76">
        <v>0.0271</v>
      </c>
      <c r="CK11" s="76">
        <v>1.363</v>
      </c>
      <c r="CL11" s="76">
        <v>1.3267</v>
      </c>
      <c r="CM11" s="76">
        <v>294.9318</v>
      </c>
      <c r="CN11" s="76">
        <v>90.58</v>
      </c>
      <c r="CO11" s="76">
        <v>325.62</v>
      </c>
      <c r="CP11" s="76">
        <v>243.3483</v>
      </c>
      <c r="CQ11" s="76">
        <v>29.7107</v>
      </c>
      <c r="CR11" s="76">
        <v>7.4459</v>
      </c>
      <c r="CS11" s="76">
        <v>14.4273</v>
      </c>
      <c r="CT11" s="76">
        <v>0.0</v>
      </c>
      <c r="CV11" s="76">
        <v>1.3896</v>
      </c>
      <c r="CW11" s="76">
        <v>147.9002</v>
      </c>
      <c r="CX11" s="76">
        <v>3.7747</v>
      </c>
      <c r="CY11" s="76">
        <v>33.4855</v>
      </c>
      <c r="CZ11" s="76">
        <v>102900.0</v>
      </c>
      <c r="DA11" s="164">
        <v>46230.0</v>
      </c>
      <c r="DB11" s="164">
        <v>46250.0</v>
      </c>
      <c r="DC11" s="76">
        <v>21.0</v>
      </c>
      <c r="DD11" s="76">
        <v>1163.0</v>
      </c>
      <c r="DE11" s="76">
        <v>0.3595</v>
      </c>
      <c r="DF11" s="76">
        <v>86.0</v>
      </c>
      <c r="DG11" s="76">
        <v>256.0</v>
      </c>
      <c r="DH11" s="76">
        <v>45960.0</v>
      </c>
      <c r="DI11" s="76">
        <v>434.41</v>
      </c>
      <c r="DJ11" s="76">
        <v>874.5</v>
      </c>
    </row>
    <row r="12">
      <c r="A12" s="152" t="s">
        <v>5</v>
      </c>
      <c r="B12" s="152" t="s">
        <v>150</v>
      </c>
      <c r="C12" s="152" t="b">
        <v>0</v>
      </c>
      <c r="D12" s="152">
        <v>18134.0</v>
      </c>
      <c r="E12" s="152">
        <v>11.31</v>
      </c>
      <c r="F12" s="152">
        <v>13041.14</v>
      </c>
      <c r="G12" s="152">
        <v>0.2078</v>
      </c>
      <c r="H12" s="152">
        <v>5.76</v>
      </c>
      <c r="I12" s="152">
        <v>12.4915</v>
      </c>
      <c r="J12" s="152">
        <v>114.5255</v>
      </c>
      <c r="K12" s="152">
        <v>71.0826</v>
      </c>
      <c r="L12" s="152">
        <v>52.1002</v>
      </c>
      <c r="M12" s="152">
        <v>0.733</v>
      </c>
      <c r="N12" s="152">
        <v>0.3741</v>
      </c>
      <c r="O12" s="152">
        <v>0.2408</v>
      </c>
      <c r="P12" s="152">
        <v>1.3643</v>
      </c>
      <c r="Q12" s="152">
        <v>276.6598</v>
      </c>
      <c r="R12" s="152">
        <v>246.0577</v>
      </c>
      <c r="S12" s="152">
        <v>30.6031</v>
      </c>
      <c r="T12" s="152">
        <v>19.4868</v>
      </c>
      <c r="U12" s="152">
        <v>257.1734</v>
      </c>
      <c r="V12" s="152">
        <v>272.5789</v>
      </c>
      <c r="W12" s="152">
        <v>3.8347</v>
      </c>
      <c r="X12" s="152">
        <v>7.04</v>
      </c>
      <c r="Y12" s="152">
        <v>135.0</v>
      </c>
      <c r="Z12" s="152">
        <v>421.0</v>
      </c>
      <c r="AA12" s="152">
        <v>1110.0</v>
      </c>
      <c r="AB12" s="152">
        <v>55.4133</v>
      </c>
      <c r="AC12" s="152">
        <v>0.7633</v>
      </c>
      <c r="AD12" s="152">
        <v>27.8072</v>
      </c>
      <c r="AE12" s="152">
        <v>10.0</v>
      </c>
      <c r="AF12" s="152">
        <v>20.0</v>
      </c>
      <c r="AG12" s="152">
        <v>38.0</v>
      </c>
      <c r="AH12" s="152">
        <v>59.0</v>
      </c>
      <c r="AI12" s="152">
        <v>37.8223</v>
      </c>
      <c r="AJ12" s="152">
        <v>9.5798</v>
      </c>
      <c r="AK12" s="152">
        <v>2.1239</v>
      </c>
      <c r="AL12" s="152">
        <v>0.1828</v>
      </c>
      <c r="AM12" s="152">
        <v>42.1345</v>
      </c>
      <c r="AN12" s="76">
        <v>42.1345</v>
      </c>
      <c r="AO12" s="76">
        <v>25.6231</v>
      </c>
      <c r="AP12" s="76">
        <v>15.935</v>
      </c>
      <c r="AQ12" s="76">
        <v>13.9632</v>
      </c>
      <c r="AR12" s="76">
        <v>0.3413</v>
      </c>
      <c r="AS12" s="76">
        <v>13.6219</v>
      </c>
      <c r="AT12" s="76">
        <v>12.0162</v>
      </c>
      <c r="AU12" s="76">
        <v>0.169</v>
      </c>
      <c r="AV12" s="76">
        <v>18134.0</v>
      </c>
      <c r="AW12" s="76">
        <v>0.0</v>
      </c>
      <c r="AX12" s="76">
        <v>115.4562</v>
      </c>
      <c r="AY12" s="76">
        <v>133.7199</v>
      </c>
      <c r="AZ12" s="76">
        <v>3.5199</v>
      </c>
      <c r="BA12" s="76">
        <v>19.4798</v>
      </c>
      <c r="BB12" s="76">
        <v>4.4846</v>
      </c>
      <c r="BC12" s="76">
        <v>117.0</v>
      </c>
      <c r="BD12" s="76">
        <v>14355.0</v>
      </c>
      <c r="BE12" s="76">
        <v>7.4947</v>
      </c>
      <c r="BF12" s="76">
        <v>0.1917</v>
      </c>
      <c r="BG12" s="76">
        <v>7.303</v>
      </c>
      <c r="BH12" s="76">
        <v>5.7282</v>
      </c>
      <c r="BI12" s="76">
        <v>0.0805</v>
      </c>
      <c r="BJ12" s="76">
        <v>6.4685</v>
      </c>
      <c r="BK12" s="76">
        <v>0.1496</v>
      </c>
      <c r="BL12" s="76">
        <v>6.3189</v>
      </c>
      <c r="BM12" s="76">
        <v>6.288</v>
      </c>
      <c r="BN12" s="76">
        <v>0.0883</v>
      </c>
      <c r="BO12" s="76">
        <v>2.6518</v>
      </c>
      <c r="BP12" s="76">
        <v>0.0583</v>
      </c>
      <c r="BQ12" s="76">
        <v>2.5936</v>
      </c>
      <c r="BR12" s="76">
        <v>2.07</v>
      </c>
      <c r="BS12" s="76">
        <v>2.8606</v>
      </c>
      <c r="BT12" s="76">
        <v>0.0637</v>
      </c>
      <c r="BU12" s="76">
        <v>2.7969</v>
      </c>
      <c r="BV12" s="76">
        <v>2.1339</v>
      </c>
      <c r="BW12" s="76">
        <v>1.9823</v>
      </c>
      <c r="BX12" s="76">
        <v>0.0698</v>
      </c>
      <c r="BY12" s="76">
        <v>1.9126</v>
      </c>
      <c r="BZ12" s="76">
        <v>1.5244</v>
      </c>
      <c r="CA12" s="76">
        <v>1.0949</v>
      </c>
      <c r="CB12" s="76">
        <v>0.0383</v>
      </c>
      <c r="CC12" s="76">
        <v>1.0565</v>
      </c>
      <c r="CD12" s="76">
        <v>1.2833</v>
      </c>
      <c r="CE12" s="76">
        <v>2.8918</v>
      </c>
      <c r="CF12" s="76">
        <v>0.0617</v>
      </c>
      <c r="CG12" s="76">
        <v>2.8301</v>
      </c>
      <c r="CH12" s="76">
        <v>2.5898</v>
      </c>
      <c r="CI12" s="76">
        <v>2.4818</v>
      </c>
      <c r="CJ12" s="76">
        <v>0.0496</v>
      </c>
      <c r="CK12" s="76">
        <v>2.4322</v>
      </c>
      <c r="CL12" s="76">
        <v>2.415</v>
      </c>
      <c r="CM12" s="76">
        <v>610.2166</v>
      </c>
      <c r="CN12" s="76">
        <v>97.4</v>
      </c>
      <c r="CO12" s="76">
        <v>626.52</v>
      </c>
      <c r="CP12" s="76">
        <v>515.9361</v>
      </c>
      <c r="CQ12" s="76">
        <v>60.0612</v>
      </c>
      <c r="CR12" s="76">
        <v>10.4446</v>
      </c>
      <c r="CS12" s="76">
        <v>23.7752</v>
      </c>
      <c r="CT12" s="76">
        <v>0.0</v>
      </c>
      <c r="CV12" s="76">
        <v>3.1001</v>
      </c>
      <c r="CW12" s="76">
        <v>279.7613</v>
      </c>
      <c r="CX12" s="76">
        <v>6.6616</v>
      </c>
      <c r="CY12" s="76">
        <v>66.7212</v>
      </c>
      <c r="CZ12" s="76">
        <v>62772.0</v>
      </c>
      <c r="DA12" s="164">
        <v>46230.0</v>
      </c>
      <c r="DB12" s="164">
        <v>46250.0</v>
      </c>
      <c r="DC12" s="76">
        <v>21.0</v>
      </c>
      <c r="DD12" s="76">
        <v>1044.0</v>
      </c>
      <c r="DE12" s="76">
        <v>0.7192</v>
      </c>
      <c r="DF12" s="76">
        <v>59.0</v>
      </c>
      <c r="DG12" s="76">
        <v>319.0</v>
      </c>
      <c r="DH12" s="76">
        <v>32095.0</v>
      </c>
      <c r="DI12" s="76">
        <v>957.68</v>
      </c>
      <c r="DJ12" s="76">
        <v>2112.3</v>
      </c>
    </row>
    <row r="13">
      <c r="A13" s="152" t="s">
        <v>5</v>
      </c>
      <c r="B13" s="152" t="s">
        <v>151</v>
      </c>
      <c r="C13" s="152" t="b">
        <v>0</v>
      </c>
      <c r="D13" s="152">
        <v>3317.0</v>
      </c>
      <c r="E13" s="152">
        <v>1.63</v>
      </c>
      <c r="F13" s="152">
        <v>3434.25</v>
      </c>
      <c r="G13" s="152">
        <v>0.3809</v>
      </c>
      <c r="H13" s="152">
        <v>8.44</v>
      </c>
      <c r="I13" s="152">
        <v>12.2652</v>
      </c>
      <c r="J13" s="152">
        <v>240.2018</v>
      </c>
      <c r="K13" s="152">
        <v>166.4476</v>
      </c>
      <c r="L13" s="152">
        <v>123.6632</v>
      </c>
      <c r="M13" s="152">
        <v>0.743</v>
      </c>
      <c r="N13" s="152">
        <v>0.3331</v>
      </c>
      <c r="O13" s="152">
        <v>0.2124</v>
      </c>
      <c r="P13" s="152">
        <v>1.346</v>
      </c>
      <c r="Q13" s="152">
        <v>547.0507</v>
      </c>
      <c r="R13" s="152">
        <v>471.3108</v>
      </c>
      <c r="S13" s="152">
        <v>75.7413</v>
      </c>
      <c r="T13" s="152">
        <v>36.3979</v>
      </c>
      <c r="U13" s="152">
        <v>510.6523</v>
      </c>
      <c r="V13" s="152">
        <v>530.9585</v>
      </c>
      <c r="W13" s="152">
        <v>3.1899</v>
      </c>
      <c r="X13" s="152">
        <v>6.65</v>
      </c>
      <c r="Y13" s="152">
        <v>132.0</v>
      </c>
      <c r="Z13" s="152">
        <v>509.0</v>
      </c>
      <c r="AA13" s="152">
        <v>1250.0</v>
      </c>
      <c r="AB13" s="152">
        <v>58.1527</v>
      </c>
      <c r="AC13" s="152">
        <v>0.7815</v>
      </c>
      <c r="AD13" s="152">
        <v>50.1469</v>
      </c>
      <c r="AE13" s="152">
        <v>19.0</v>
      </c>
      <c r="AF13" s="152">
        <v>36.0</v>
      </c>
      <c r="AG13" s="152">
        <v>66.0</v>
      </c>
      <c r="AH13" s="152">
        <v>110.0</v>
      </c>
      <c r="AI13" s="152">
        <v>18.8871</v>
      </c>
      <c r="AJ13" s="152">
        <v>3.0056</v>
      </c>
      <c r="AK13" s="152">
        <v>0.3557</v>
      </c>
      <c r="AL13" s="152">
        <v>0.0971</v>
      </c>
      <c r="AM13" s="152">
        <v>63.1143</v>
      </c>
      <c r="AN13" s="76">
        <v>63.1143</v>
      </c>
      <c r="AO13" s="76">
        <v>49.5394</v>
      </c>
      <c r="AP13" s="76">
        <v>42.3537</v>
      </c>
      <c r="AQ13" s="76">
        <v>31.1075</v>
      </c>
      <c r="AR13" s="76">
        <v>0.496</v>
      </c>
      <c r="AS13" s="76">
        <v>30.6115</v>
      </c>
      <c r="AT13" s="76">
        <v>26.3933</v>
      </c>
      <c r="AU13" s="76">
        <v>0.1586</v>
      </c>
      <c r="AV13" s="76">
        <v>3317.0</v>
      </c>
      <c r="AW13" s="76">
        <v>0.0</v>
      </c>
      <c r="AX13" s="76">
        <v>255.8836</v>
      </c>
      <c r="AY13" s="76">
        <v>237.1346</v>
      </c>
      <c r="AZ13" s="76">
        <v>5.1158</v>
      </c>
      <c r="BA13" s="76">
        <v>36.3808</v>
      </c>
      <c r="BB13" s="76">
        <v>12.5355</v>
      </c>
      <c r="BC13" s="76">
        <v>221.0</v>
      </c>
      <c r="BD13" s="76">
        <v>11963.0</v>
      </c>
      <c r="BE13" s="76">
        <v>14.1689</v>
      </c>
      <c r="BF13" s="76">
        <v>0.2179</v>
      </c>
      <c r="BG13" s="76">
        <v>13.951</v>
      </c>
      <c r="BH13" s="76">
        <v>11.252</v>
      </c>
      <c r="BI13" s="76">
        <v>0.0676</v>
      </c>
      <c r="BJ13" s="76">
        <v>16.9386</v>
      </c>
      <c r="BK13" s="76">
        <v>0.278</v>
      </c>
      <c r="BL13" s="76">
        <v>16.6605</v>
      </c>
      <c r="BM13" s="76">
        <v>15.1413</v>
      </c>
      <c r="BN13" s="76">
        <v>0.0909</v>
      </c>
      <c r="BO13" s="76">
        <v>4.8037</v>
      </c>
      <c r="BP13" s="76">
        <v>0.0702</v>
      </c>
      <c r="BQ13" s="76">
        <v>4.7335</v>
      </c>
      <c r="BR13" s="76">
        <v>3.8546</v>
      </c>
      <c r="BS13" s="76">
        <v>5.3269</v>
      </c>
      <c r="BT13" s="76">
        <v>0.0659</v>
      </c>
      <c r="BU13" s="76">
        <v>5.2611</v>
      </c>
      <c r="BV13" s="76">
        <v>4.1618</v>
      </c>
      <c r="BW13" s="76">
        <v>4.0383</v>
      </c>
      <c r="BX13" s="76">
        <v>0.0819</v>
      </c>
      <c r="BY13" s="76">
        <v>3.9564</v>
      </c>
      <c r="BZ13" s="76">
        <v>3.2356</v>
      </c>
      <c r="CA13" s="76">
        <v>3.7233</v>
      </c>
      <c r="CB13" s="76">
        <v>0.0722</v>
      </c>
      <c r="CC13" s="76">
        <v>3.6511</v>
      </c>
      <c r="CD13" s="76">
        <v>4.6092</v>
      </c>
      <c r="CE13" s="76">
        <v>6.8285</v>
      </c>
      <c r="CF13" s="76">
        <v>0.1202</v>
      </c>
      <c r="CG13" s="76">
        <v>6.7083</v>
      </c>
      <c r="CH13" s="76">
        <v>5.0817</v>
      </c>
      <c r="CI13" s="76">
        <v>6.3867</v>
      </c>
      <c r="CJ13" s="76">
        <v>0.0856</v>
      </c>
      <c r="CK13" s="76">
        <v>6.3011</v>
      </c>
      <c r="CL13" s="76">
        <v>5.4504</v>
      </c>
      <c r="CM13" s="76">
        <v>1408.6781</v>
      </c>
      <c r="CN13" s="76">
        <v>98.86</v>
      </c>
      <c r="CO13" s="76">
        <v>1424.97</v>
      </c>
      <c r="CP13" s="76">
        <v>1217.9539</v>
      </c>
      <c r="CQ13" s="76">
        <v>141.0206</v>
      </c>
      <c r="CR13" s="76">
        <v>15.2379</v>
      </c>
      <c r="CS13" s="76">
        <v>34.4659</v>
      </c>
      <c r="CT13" s="76">
        <v>0.0</v>
      </c>
      <c r="CV13" s="76">
        <v>210.723</v>
      </c>
      <c r="CW13" s="76">
        <v>757.7726</v>
      </c>
      <c r="CX13" s="76">
        <v>16.5355</v>
      </c>
      <c r="CY13" s="76">
        <v>157.5581</v>
      </c>
      <c r="CZ13" s="76">
        <v>9017.0</v>
      </c>
      <c r="DA13" s="164">
        <v>46230.0</v>
      </c>
      <c r="DB13" s="164">
        <v>46250.0</v>
      </c>
      <c r="DC13" s="76">
        <v>21.0</v>
      </c>
      <c r="DD13" s="76">
        <v>280.0</v>
      </c>
      <c r="DE13" s="76">
        <v>1.0353</v>
      </c>
      <c r="DF13" s="76">
        <v>37.0</v>
      </c>
      <c r="DG13" s="76">
        <v>413.0</v>
      </c>
      <c r="DH13" s="76">
        <v>5144.0</v>
      </c>
      <c r="DI13" s="76">
        <v>1487.11</v>
      </c>
      <c r="DJ13" s="76">
        <v>3829.38</v>
      </c>
    </row>
    <row r="14">
      <c r="A14" s="152" t="s">
        <v>4</v>
      </c>
      <c r="B14" s="152" t="s">
        <v>337</v>
      </c>
      <c r="C14" s="152" t="b">
        <v>1</v>
      </c>
      <c r="D14" s="152">
        <v>138720.0</v>
      </c>
      <c r="E14" s="152">
        <v>100.0</v>
      </c>
      <c r="F14" s="152">
        <v>50503.89</v>
      </c>
      <c r="G14" s="152">
        <v>0.0903</v>
      </c>
      <c r="H14" s="152">
        <v>2.14</v>
      </c>
      <c r="I14" s="152">
        <v>17.0161</v>
      </c>
      <c r="J14" s="152">
        <v>45.8943</v>
      </c>
      <c r="K14" s="152">
        <v>27.1598</v>
      </c>
      <c r="L14" s="152">
        <v>18.5904</v>
      </c>
      <c r="M14" s="152">
        <v>0.6845</v>
      </c>
      <c r="N14" s="152">
        <v>0.4286</v>
      </c>
      <c r="O14" s="152">
        <v>0.268</v>
      </c>
      <c r="P14" s="152">
        <v>1.461</v>
      </c>
      <c r="Q14" s="152">
        <v>123.3894</v>
      </c>
      <c r="R14" s="152">
        <v>93.4514</v>
      </c>
      <c r="S14" s="152">
        <v>29.9377</v>
      </c>
      <c r="T14" s="152">
        <v>7.9121</v>
      </c>
      <c r="U14" s="152">
        <v>115.4775</v>
      </c>
      <c r="V14" s="152">
        <v>115.4578</v>
      </c>
      <c r="W14" s="152">
        <v>4.2511</v>
      </c>
      <c r="X14" s="152">
        <v>6.41</v>
      </c>
      <c r="Y14" s="152">
        <v>181.0</v>
      </c>
      <c r="Z14" s="152">
        <v>383.0</v>
      </c>
      <c r="AA14" s="152">
        <v>1414.0</v>
      </c>
      <c r="AB14" s="152">
        <v>51.7672</v>
      </c>
      <c r="AC14" s="152">
        <v>0.6582</v>
      </c>
      <c r="AD14" s="152">
        <v>12.978</v>
      </c>
      <c r="AE14" s="152">
        <v>3.0</v>
      </c>
      <c r="AF14" s="152">
        <v>7.0</v>
      </c>
      <c r="AG14" s="152">
        <v>16.0</v>
      </c>
      <c r="AH14" s="152">
        <v>30.0</v>
      </c>
      <c r="AI14" s="152">
        <v>51.1681</v>
      </c>
      <c r="AJ14" s="152">
        <v>20.4618</v>
      </c>
      <c r="AK14" s="152">
        <v>3.6262</v>
      </c>
      <c r="AL14" s="152">
        <v>0.3935</v>
      </c>
      <c r="AM14" s="153"/>
      <c r="AQ14" s="76">
        <v>6.4909</v>
      </c>
      <c r="AR14" s="76">
        <v>0.1468</v>
      </c>
      <c r="AS14" s="76">
        <v>6.3441</v>
      </c>
      <c r="AT14" s="76">
        <v>5.4066</v>
      </c>
      <c r="AU14" s="76">
        <v>0.1991</v>
      </c>
      <c r="AV14" s="76">
        <v>138720.0</v>
      </c>
      <c r="AW14" s="76">
        <v>0.0</v>
      </c>
      <c r="AX14" s="76">
        <v>67.9076</v>
      </c>
      <c r="AY14" s="76">
        <v>43.3776</v>
      </c>
      <c r="AZ14" s="76">
        <v>2.5765</v>
      </c>
      <c r="BA14" s="76">
        <v>7.9103</v>
      </c>
      <c r="BB14" s="76">
        <v>1.6173</v>
      </c>
      <c r="BC14" s="76">
        <v>87.0</v>
      </c>
      <c r="BD14" s="76">
        <v>20847.0</v>
      </c>
      <c r="BE14" s="76">
        <v>3.7908</v>
      </c>
      <c r="BF14" s="76">
        <v>0.0863</v>
      </c>
      <c r="BG14" s="76">
        <v>3.7045</v>
      </c>
      <c r="BH14" s="76">
        <v>2.7988</v>
      </c>
      <c r="BI14" s="76">
        <v>0.1028</v>
      </c>
      <c r="BJ14" s="76">
        <v>2.7001</v>
      </c>
      <c r="BK14" s="76">
        <v>0.0605</v>
      </c>
      <c r="BL14" s="76">
        <v>2.6396</v>
      </c>
      <c r="BM14" s="76">
        <v>2.6077</v>
      </c>
      <c r="BN14" s="76">
        <v>0.0914</v>
      </c>
      <c r="BO14" s="76">
        <v>1.4163</v>
      </c>
      <c r="BP14" s="76">
        <v>0.0273</v>
      </c>
      <c r="BQ14" s="76">
        <v>1.3889</v>
      </c>
      <c r="BR14" s="76">
        <v>1.0705</v>
      </c>
      <c r="BS14" s="76">
        <v>1.5755</v>
      </c>
      <c r="BT14" s="76">
        <v>0.0255</v>
      </c>
      <c r="BU14" s="76">
        <v>1.55</v>
      </c>
      <c r="BV14" s="76">
        <v>1.1085</v>
      </c>
      <c r="BW14" s="76">
        <v>0.7991</v>
      </c>
      <c r="BX14" s="76">
        <v>0.0335</v>
      </c>
      <c r="BY14" s="76">
        <v>0.7656</v>
      </c>
      <c r="BZ14" s="76">
        <v>0.6199</v>
      </c>
      <c r="CA14" s="76">
        <v>0.5354</v>
      </c>
      <c r="CB14" s="76">
        <v>0.0153</v>
      </c>
      <c r="CC14" s="76">
        <v>0.5202</v>
      </c>
      <c r="CD14" s="76">
        <v>0.5902</v>
      </c>
      <c r="CE14" s="76">
        <v>1.0934</v>
      </c>
      <c r="CF14" s="76">
        <v>0.0252</v>
      </c>
      <c r="CG14" s="76">
        <v>1.0682</v>
      </c>
      <c r="CH14" s="76">
        <v>0.9984</v>
      </c>
      <c r="CI14" s="76">
        <v>1.0713</v>
      </c>
      <c r="CJ14" s="76">
        <v>0.0201</v>
      </c>
      <c r="CK14" s="76">
        <v>1.0512</v>
      </c>
      <c r="CL14" s="76">
        <v>1.0191</v>
      </c>
      <c r="CM14" s="76">
        <v>251.1018</v>
      </c>
      <c r="CN14" s="76">
        <v>68.58</v>
      </c>
      <c r="CO14" s="76">
        <v>366.17</v>
      </c>
      <c r="CP14" s="76">
        <v>234.3111</v>
      </c>
      <c r="CQ14" s="76">
        <v>0.0036</v>
      </c>
      <c r="CR14" s="76">
        <v>5.9297</v>
      </c>
      <c r="CS14" s="76">
        <v>10.8575</v>
      </c>
      <c r="CT14" s="76">
        <v>0.0</v>
      </c>
      <c r="CV14" s="76">
        <v>1.0E-4</v>
      </c>
      <c r="CW14" s="76">
        <v>123.3896</v>
      </c>
      <c r="CX14" s="76">
        <v>0.0</v>
      </c>
      <c r="CY14" s="76">
        <v>0.004</v>
      </c>
      <c r="CZ14" s="76">
        <v>559095.0</v>
      </c>
      <c r="DA14" s="164">
        <v>46230.0</v>
      </c>
      <c r="DB14" s="164">
        <v>46250.0</v>
      </c>
      <c r="DC14" s="76">
        <v>21.0</v>
      </c>
      <c r="DD14" s="76">
        <v>2968.0</v>
      </c>
      <c r="DE14" s="76">
        <v>0.3641</v>
      </c>
      <c r="DF14" s="76">
        <v>140.0</v>
      </c>
      <c r="DG14" s="76">
        <v>239.0</v>
      </c>
      <c r="DH14" s="76">
        <v>38.0</v>
      </c>
      <c r="DI14" s="76">
        <v>497.31</v>
      </c>
      <c r="DJ14" s="76">
        <v>1012.04</v>
      </c>
    </row>
    <row r="15">
      <c r="A15" s="152" t="s">
        <v>5</v>
      </c>
      <c r="B15" s="152" t="s">
        <v>337</v>
      </c>
      <c r="C15" s="152" t="b">
        <v>1</v>
      </c>
      <c r="D15" s="152">
        <v>139110.0</v>
      </c>
      <c r="E15" s="152">
        <v>100.0</v>
      </c>
      <c r="F15" s="152">
        <v>45929.49</v>
      </c>
      <c r="G15" s="152">
        <v>0.0828</v>
      </c>
      <c r="H15" s="152">
        <v>2.11</v>
      </c>
      <c r="I15" s="152">
        <v>15.6489</v>
      </c>
      <c r="J15" s="152">
        <v>47.0849</v>
      </c>
      <c r="K15" s="152">
        <v>27.3373</v>
      </c>
      <c r="L15" s="152">
        <v>18.3034</v>
      </c>
      <c r="M15" s="152">
        <v>0.6695</v>
      </c>
      <c r="N15" s="152">
        <v>0.4406</v>
      </c>
      <c r="O15" s="152">
        <v>0.2703</v>
      </c>
      <c r="P15" s="152">
        <v>1.4936</v>
      </c>
      <c r="Q15" s="152">
        <v>106.3431</v>
      </c>
      <c r="R15" s="152">
        <v>96.1075</v>
      </c>
      <c r="S15" s="152">
        <v>10.2364</v>
      </c>
      <c r="T15" s="152">
        <v>7.3801</v>
      </c>
      <c r="U15" s="152">
        <v>98.9633</v>
      </c>
      <c r="V15" s="152">
        <v>101.3923</v>
      </c>
      <c r="W15" s="152">
        <v>3.7089</v>
      </c>
      <c r="X15" s="152">
        <v>6.94</v>
      </c>
      <c r="Y15" s="152">
        <v>174.0</v>
      </c>
      <c r="Z15" s="152">
        <v>334.0</v>
      </c>
      <c r="AA15" s="152">
        <v>1209.0</v>
      </c>
      <c r="AB15" s="152">
        <v>51.6739</v>
      </c>
      <c r="AC15" s="152">
        <v>0.6551</v>
      </c>
      <c r="AD15" s="152">
        <v>12.4583</v>
      </c>
      <c r="AE15" s="152">
        <v>3.0</v>
      </c>
      <c r="AF15" s="152">
        <v>7.0</v>
      </c>
      <c r="AG15" s="152">
        <v>15.0</v>
      </c>
      <c r="AH15" s="152">
        <v>29.0</v>
      </c>
      <c r="AI15" s="152">
        <v>50.4359</v>
      </c>
      <c r="AJ15" s="152">
        <v>20.0162</v>
      </c>
      <c r="AK15" s="152">
        <v>3.4757</v>
      </c>
      <c r="AL15" s="152">
        <v>0.3975</v>
      </c>
      <c r="AM15" s="152">
        <v>33.13</v>
      </c>
      <c r="AN15" s="76">
        <v>33.1299</v>
      </c>
      <c r="AO15" s="76">
        <v>18.2022</v>
      </c>
      <c r="AP15" s="76">
        <v>8.7967</v>
      </c>
      <c r="AQ15" s="76">
        <v>6.2102</v>
      </c>
      <c r="AR15" s="76">
        <v>0.1273</v>
      </c>
      <c r="AS15" s="76">
        <v>6.0829</v>
      </c>
      <c r="AT15" s="76">
        <v>5.1412</v>
      </c>
      <c r="AU15" s="76">
        <v>0.1881</v>
      </c>
      <c r="AV15" s="76">
        <v>139110.0</v>
      </c>
      <c r="AW15" s="76">
        <v>0.0</v>
      </c>
      <c r="AX15" s="76">
        <v>42.8724</v>
      </c>
      <c r="AY15" s="76">
        <v>52.0056</v>
      </c>
      <c r="AZ15" s="76">
        <v>2.5302</v>
      </c>
      <c r="BA15" s="76">
        <v>7.3781</v>
      </c>
      <c r="BB15" s="76">
        <v>1.5577</v>
      </c>
      <c r="BC15" s="76">
        <v>78.0</v>
      </c>
      <c r="BD15" s="76">
        <v>19409.0</v>
      </c>
      <c r="BE15" s="76">
        <v>3.3437</v>
      </c>
      <c r="BF15" s="76">
        <v>0.0712</v>
      </c>
      <c r="BG15" s="76">
        <v>3.2725</v>
      </c>
      <c r="BH15" s="76">
        <v>2.5705</v>
      </c>
      <c r="BI15" s="76">
        <v>0.1027</v>
      </c>
      <c r="BJ15" s="76">
        <v>2.8665</v>
      </c>
      <c r="BK15" s="76">
        <v>0.0561</v>
      </c>
      <c r="BL15" s="76">
        <v>2.8105</v>
      </c>
      <c r="BM15" s="76">
        <v>2.5707</v>
      </c>
      <c r="BN15" s="76">
        <v>0.0935</v>
      </c>
      <c r="BO15" s="76">
        <v>1.2623</v>
      </c>
      <c r="BP15" s="76">
        <v>0.0243</v>
      </c>
      <c r="BQ15" s="76">
        <v>1.2379</v>
      </c>
      <c r="BR15" s="76">
        <v>0.9899</v>
      </c>
      <c r="BS15" s="76">
        <v>1.3041</v>
      </c>
      <c r="BT15" s="76">
        <v>0.0213</v>
      </c>
      <c r="BU15" s="76">
        <v>1.2828</v>
      </c>
      <c r="BV15" s="76">
        <v>0.9603</v>
      </c>
      <c r="BW15" s="76">
        <v>0.7773</v>
      </c>
      <c r="BX15" s="76">
        <v>0.0255</v>
      </c>
      <c r="BY15" s="76">
        <v>0.7518</v>
      </c>
      <c r="BZ15" s="76">
        <v>0.6203</v>
      </c>
      <c r="CA15" s="76">
        <v>0.4995</v>
      </c>
      <c r="CB15" s="76">
        <v>0.0138</v>
      </c>
      <c r="CC15" s="76">
        <v>0.4857</v>
      </c>
      <c r="CD15" s="76">
        <v>0.5278</v>
      </c>
      <c r="CE15" s="76">
        <v>1.3527</v>
      </c>
      <c r="CF15" s="76">
        <v>0.0227</v>
      </c>
      <c r="CG15" s="76">
        <v>1.33</v>
      </c>
      <c r="CH15" s="76">
        <v>1.1056</v>
      </c>
      <c r="CI15" s="76">
        <v>1.0144</v>
      </c>
      <c r="CJ15" s="76">
        <v>0.0195</v>
      </c>
      <c r="CK15" s="76">
        <v>0.9948</v>
      </c>
      <c r="CL15" s="76">
        <v>0.9372</v>
      </c>
      <c r="CM15" s="76">
        <v>218.7314</v>
      </c>
      <c r="CN15" s="76">
        <v>68.26</v>
      </c>
      <c r="CO15" s="76">
        <v>320.44</v>
      </c>
      <c r="CP15" s="76">
        <v>182.7729</v>
      </c>
      <c r="CQ15" s="76">
        <v>21.1863</v>
      </c>
      <c r="CR15" s="76">
        <v>5.6911</v>
      </c>
      <c r="CS15" s="76">
        <v>9.0807</v>
      </c>
      <c r="CT15" s="76">
        <v>0.0</v>
      </c>
      <c r="CV15" s="76">
        <v>9.7785</v>
      </c>
      <c r="CW15" s="76">
        <v>116.1224</v>
      </c>
      <c r="CX15" s="76">
        <v>2.5252</v>
      </c>
      <c r="CY15" s="76">
        <v>23.7122</v>
      </c>
      <c r="CZ15" s="76">
        <v>554832.0</v>
      </c>
      <c r="DA15" s="164">
        <v>46230.0</v>
      </c>
      <c r="DB15" s="164">
        <v>46250.0</v>
      </c>
      <c r="DC15" s="76">
        <v>21.0</v>
      </c>
      <c r="DD15" s="76">
        <v>2935.0</v>
      </c>
      <c r="DE15" s="76">
        <v>0.3302</v>
      </c>
      <c r="DF15" s="76">
        <v>124.0</v>
      </c>
      <c r="DG15" s="76">
        <v>221.0</v>
      </c>
      <c r="DH15" s="76">
        <v>196501.0</v>
      </c>
      <c r="DI15" s="76">
        <v>424.14</v>
      </c>
      <c r="DJ15" s="76">
        <v>872.4</v>
      </c>
    </row>
    <row r="16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3"/>
    </row>
    <row r="17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3"/>
    </row>
    <row r="18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3"/>
    </row>
    <row r="19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3"/>
    </row>
    <row r="20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3"/>
      <c r="AE20" s="153"/>
      <c r="AF20" s="153"/>
      <c r="AG20" s="153"/>
      <c r="AH20" s="153"/>
      <c r="AI20" s="152"/>
      <c r="AJ20" s="152"/>
      <c r="AK20" s="152"/>
      <c r="AL20" s="152"/>
      <c r="AM20" s="152"/>
    </row>
    <row r="21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</row>
    <row r="22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</row>
    <row r="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3"/>
      <c r="AE26" s="153"/>
      <c r="AF26" s="153"/>
      <c r="AG26" s="153"/>
      <c r="AH26" s="153"/>
      <c r="AI26" s="152"/>
      <c r="AJ26" s="152"/>
      <c r="AK26" s="152"/>
      <c r="AL26" s="152"/>
      <c r="AM26" s="153"/>
    </row>
    <row r="27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3"/>
    </row>
    <row r="28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3"/>
    </row>
    <row r="29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3"/>
    </row>
    <row r="30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3"/>
    </row>
    <row r="31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3"/>
    </row>
    <row r="32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3"/>
      <c r="AE32" s="153"/>
      <c r="AF32" s="153"/>
      <c r="AG32" s="153"/>
      <c r="AH32" s="153"/>
      <c r="AI32" s="152"/>
      <c r="AJ32" s="152"/>
      <c r="AK32" s="152"/>
      <c r="AL32" s="152"/>
      <c r="AM32" s="152"/>
    </row>
    <row r="3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</row>
    <row r="34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</row>
    <row r="35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</row>
    <row r="36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</row>
    <row r="37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</row>
    <row r="38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3"/>
      <c r="AE38" s="153"/>
      <c r="AF38" s="153"/>
      <c r="AG38" s="153"/>
      <c r="AH38" s="153"/>
      <c r="AI38" s="152"/>
      <c r="AJ38" s="152"/>
      <c r="AK38" s="152"/>
      <c r="AL38" s="152"/>
      <c r="AM38" s="153"/>
    </row>
    <row r="39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3"/>
    </row>
    <row r="40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3"/>
    </row>
    <row r="41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3"/>
    </row>
    <row r="42">
      <c r="A42" s="151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3"/>
    </row>
    <row r="43">
      <c r="A43" s="151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3"/>
    </row>
    <row r="44">
      <c r="A44" s="151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3"/>
      <c r="AE44" s="153"/>
      <c r="AF44" s="153"/>
      <c r="AG44" s="153"/>
      <c r="AH44" s="153"/>
      <c r="AI44" s="152"/>
      <c r="AJ44" s="152"/>
      <c r="AK44" s="152"/>
      <c r="AL44" s="152"/>
      <c r="AM44" s="152"/>
    </row>
    <row r="45">
      <c r="A45" s="151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</row>
    <row r="46">
      <c r="A46" s="151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</row>
    <row r="47">
      <c r="A47" s="151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</row>
    <row r="48">
      <c r="A48" s="151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</row>
    <row r="49">
      <c r="A49" s="151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</row>
    <row r="50">
      <c r="A50" s="151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3"/>
      <c r="AE50" s="153"/>
      <c r="AF50" s="153"/>
      <c r="AG50" s="153"/>
      <c r="AH50" s="153"/>
      <c r="AI50" s="152"/>
      <c r="AJ50" s="152"/>
      <c r="AK50" s="152"/>
      <c r="AL50" s="152"/>
    </row>
    <row r="51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</row>
    <row r="5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</row>
    <row r="53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</row>
    <row r="54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</row>
    <row r="55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</row>
    <row r="56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3"/>
      <c r="AE56" s="153"/>
      <c r="AF56" s="153"/>
      <c r="AG56" s="153"/>
      <c r="AH56" s="153"/>
      <c r="AI56" s="152"/>
      <c r="AJ56" s="152"/>
      <c r="AK56" s="152"/>
      <c r="AL56" s="152"/>
    </row>
    <row r="57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</row>
    <row r="58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</row>
    <row r="59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</row>
    <row r="60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</row>
    <row r="61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</row>
    <row r="62">
      <c r="A62" s="164"/>
    </row>
    <row r="63">
      <c r="A63" s="164"/>
    </row>
    <row r="64">
      <c r="A64" s="164"/>
    </row>
    <row r="65">
      <c r="A65" s="164"/>
    </row>
    <row r="66">
      <c r="A66" s="164"/>
    </row>
    <row r="67">
      <c r="A67" s="164"/>
    </row>
    <row r="68">
      <c r="A68" s="164"/>
    </row>
    <row r="69">
      <c r="A69" s="164"/>
    </row>
    <row r="70">
      <c r="A70" s="164"/>
    </row>
    <row r="71">
      <c r="A71" s="164"/>
    </row>
    <row r="72">
      <c r="A72" s="164"/>
    </row>
    <row r="73">
      <c r="A73" s="164"/>
    </row>
    <row r="74">
      <c r="A74" s="164"/>
    </row>
    <row r="75">
      <c r="A75" s="164"/>
    </row>
    <row r="76">
      <c r="A76" s="164"/>
    </row>
    <row r="77">
      <c r="A77" s="164"/>
    </row>
    <row r="78">
      <c r="A78" s="164"/>
    </row>
    <row r="79">
      <c r="A79" s="164"/>
    </row>
    <row r="80">
      <c r="A80" s="164"/>
    </row>
    <row r="81">
      <c r="A81" s="164"/>
    </row>
    <row r="82">
      <c r="A82" s="164"/>
    </row>
    <row r="83">
      <c r="A83" s="164"/>
    </row>
    <row r="84">
      <c r="A84" s="164"/>
    </row>
    <row r="85">
      <c r="A85" s="164"/>
    </row>
    <row r="86">
      <c r="A86" s="164"/>
    </row>
    <row r="87">
      <c r="A87" s="164"/>
    </row>
    <row r="88">
      <c r="A88" s="164"/>
    </row>
    <row r="89">
      <c r="A89" s="164"/>
    </row>
    <row r="90">
      <c r="A90" s="164"/>
    </row>
    <row r="91">
      <c r="A91" s="164"/>
    </row>
    <row r="92">
      <c r="A92" s="164"/>
    </row>
    <row r="93">
      <c r="A93" s="164"/>
    </row>
    <row r="94">
      <c r="A94" s="164"/>
    </row>
    <row r="95">
      <c r="A95" s="164"/>
    </row>
    <row r="96">
      <c r="A96" s="164"/>
    </row>
    <row r="97">
      <c r="A97" s="164"/>
    </row>
    <row r="98">
      <c r="A98" s="164"/>
    </row>
    <row r="99">
      <c r="A99" s="164"/>
    </row>
    <row r="100">
      <c r="A100" s="164"/>
    </row>
    <row r="101">
      <c r="A101" s="164"/>
    </row>
    <row r="102">
      <c r="A102" s="164"/>
    </row>
    <row r="103">
      <c r="A103" s="164"/>
    </row>
    <row r="104">
      <c r="A104" s="164"/>
    </row>
    <row r="105">
      <c r="A105" s="164"/>
    </row>
    <row r="106">
      <c r="A106" s="164"/>
    </row>
    <row r="107">
      <c r="A107" s="164"/>
    </row>
    <row r="108">
      <c r="A108" s="164"/>
    </row>
    <row r="109">
      <c r="A109" s="164"/>
    </row>
    <row r="110">
      <c r="A110" s="164"/>
    </row>
    <row r="111">
      <c r="A111" s="164"/>
    </row>
    <row r="112">
      <c r="A112" s="164"/>
    </row>
    <row r="113">
      <c r="A113" s="164"/>
    </row>
    <row r="114">
      <c r="A114" s="164"/>
    </row>
    <row r="115">
      <c r="A115" s="164"/>
    </row>
    <row r="116">
      <c r="A116" s="164"/>
    </row>
    <row r="117">
      <c r="A117" s="164"/>
    </row>
    <row r="118">
      <c r="A118" s="164"/>
    </row>
    <row r="119">
      <c r="A119" s="164"/>
    </row>
    <row r="120">
      <c r="A120" s="164"/>
    </row>
    <row r="121">
      <c r="A121" s="164"/>
    </row>
    <row r="122">
      <c r="A122" s="164"/>
    </row>
    <row r="123">
      <c r="A123" s="164"/>
    </row>
    <row r="124">
      <c r="A124" s="164"/>
    </row>
    <row r="125">
      <c r="A125" s="164"/>
    </row>
    <row r="126">
      <c r="A126" s="164"/>
    </row>
    <row r="127">
      <c r="A127" s="164"/>
    </row>
    <row r="128">
      <c r="A128" s="164"/>
    </row>
    <row r="129">
      <c r="A129" s="164"/>
    </row>
    <row r="130">
      <c r="A130" s="164"/>
    </row>
    <row r="131">
      <c r="A131" s="164"/>
    </row>
    <row r="132">
      <c r="A132" s="164"/>
    </row>
    <row r="133">
      <c r="A133" s="164"/>
    </row>
    <row r="134">
      <c r="A134" s="164"/>
    </row>
    <row r="135">
      <c r="A135" s="164"/>
    </row>
    <row r="136">
      <c r="A136" s="164"/>
    </row>
    <row r="137">
      <c r="A137" s="164"/>
    </row>
    <row r="138">
      <c r="A138" s="164"/>
    </row>
    <row r="139">
      <c r="A139" s="164"/>
    </row>
    <row r="140">
      <c r="A140" s="164"/>
    </row>
    <row r="141">
      <c r="A141" s="164"/>
    </row>
    <row r="142">
      <c r="A142" s="164"/>
    </row>
    <row r="143">
      <c r="A143" s="164"/>
    </row>
    <row r="144">
      <c r="A144" s="164"/>
    </row>
    <row r="145">
      <c r="A145" s="164"/>
    </row>
    <row r="146">
      <c r="A146" s="164"/>
    </row>
    <row r="147">
      <c r="A147" s="164"/>
    </row>
    <row r="148">
      <c r="A148" s="164"/>
    </row>
    <row r="149">
      <c r="A149" s="164"/>
    </row>
    <row r="150">
      <c r="A150" s="164"/>
    </row>
    <row r="151">
      <c r="A151" s="164"/>
    </row>
    <row r="152">
      <c r="A152" s="164"/>
    </row>
    <row r="153">
      <c r="A153" s="164"/>
    </row>
    <row r="154">
      <c r="A154" s="164"/>
    </row>
    <row r="155">
      <c r="A155" s="164"/>
    </row>
    <row r="156">
      <c r="A156" s="164"/>
    </row>
    <row r="157">
      <c r="A157" s="164"/>
    </row>
    <row r="158">
      <c r="A158" s="164"/>
    </row>
    <row r="159">
      <c r="A159" s="164"/>
    </row>
    <row r="160">
      <c r="A160" s="164"/>
    </row>
    <row r="161">
      <c r="A161" s="164"/>
    </row>
    <row r="162">
      <c r="A162" s="164"/>
    </row>
    <row r="163">
      <c r="A163" s="164"/>
    </row>
    <row r="164">
      <c r="A164" s="164"/>
    </row>
    <row r="165">
      <c r="A165" s="164"/>
    </row>
    <row r="166">
      <c r="A166" s="164"/>
    </row>
    <row r="167">
      <c r="A167" s="164"/>
    </row>
    <row r="168">
      <c r="A168" s="164"/>
    </row>
    <row r="169">
      <c r="A169" s="164"/>
    </row>
    <row r="170">
      <c r="A170" s="164"/>
    </row>
    <row r="171">
      <c r="A171" s="164"/>
    </row>
    <row r="172">
      <c r="A172" s="164"/>
    </row>
    <row r="173">
      <c r="A173" s="164"/>
    </row>
    <row r="174">
      <c r="A174" s="164"/>
    </row>
    <row r="175">
      <c r="A175" s="164"/>
    </row>
    <row r="176">
      <c r="A176" s="164"/>
    </row>
    <row r="177">
      <c r="A177" s="164"/>
    </row>
    <row r="178">
      <c r="A178" s="164"/>
    </row>
    <row r="179">
      <c r="A179" s="164"/>
    </row>
    <row r="180">
      <c r="A180" s="164"/>
    </row>
    <row r="181">
      <c r="A181" s="164"/>
    </row>
    <row r="182">
      <c r="A182" s="164"/>
    </row>
    <row r="183">
      <c r="A183" s="164"/>
    </row>
    <row r="184">
      <c r="A184" s="164"/>
    </row>
    <row r="185">
      <c r="A185" s="164"/>
    </row>
    <row r="186">
      <c r="A186" s="164"/>
    </row>
    <row r="187">
      <c r="A187" s="164"/>
    </row>
    <row r="188">
      <c r="A188" s="164"/>
    </row>
    <row r="189">
      <c r="A189" s="164"/>
    </row>
    <row r="190">
      <c r="A190" s="164"/>
    </row>
    <row r="191">
      <c r="A191" s="164"/>
    </row>
    <row r="192">
      <c r="A192" s="164"/>
    </row>
    <row r="193">
      <c r="A193" s="164"/>
    </row>
    <row r="194">
      <c r="A194" s="164"/>
    </row>
    <row r="195">
      <c r="A195" s="164"/>
    </row>
    <row r="196">
      <c r="A196" s="164"/>
    </row>
    <row r="197">
      <c r="A197" s="164"/>
    </row>
    <row r="198">
      <c r="A198" s="164"/>
    </row>
    <row r="199">
      <c r="A199" s="164"/>
    </row>
    <row r="200">
      <c r="A200" s="164"/>
    </row>
    <row r="201">
      <c r="A201" s="164"/>
    </row>
    <row r="202">
      <c r="A202" s="164"/>
    </row>
    <row r="203">
      <c r="A203" s="164"/>
    </row>
    <row r="204">
      <c r="A204" s="164"/>
    </row>
    <row r="205">
      <c r="A205" s="16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148" t="s">
        <v>214</v>
      </c>
      <c r="B1" s="148" t="s">
        <v>215</v>
      </c>
      <c r="C1" s="148" t="s">
        <v>325</v>
      </c>
      <c r="D1" s="148" t="s">
        <v>216</v>
      </c>
      <c r="E1" s="148" t="s">
        <v>217</v>
      </c>
      <c r="F1" s="148" t="s">
        <v>218</v>
      </c>
      <c r="G1" s="148" t="s">
        <v>219</v>
      </c>
      <c r="H1" s="148" t="s">
        <v>220</v>
      </c>
      <c r="I1" s="148" t="s">
        <v>221</v>
      </c>
      <c r="J1" s="148" t="s">
        <v>222</v>
      </c>
      <c r="K1" s="148" t="s">
        <v>223</v>
      </c>
      <c r="L1" s="148" t="s">
        <v>224</v>
      </c>
      <c r="M1" s="148" t="s">
        <v>225</v>
      </c>
      <c r="N1" s="148" t="s">
        <v>226</v>
      </c>
      <c r="O1" s="148" t="s">
        <v>227</v>
      </c>
      <c r="P1" s="148" t="s">
        <v>228</v>
      </c>
      <c r="Q1" s="148" t="s">
        <v>229</v>
      </c>
      <c r="R1" s="148" t="s">
        <v>230</v>
      </c>
      <c r="S1" s="148" t="s">
        <v>231</v>
      </c>
      <c r="T1" s="148" t="s">
        <v>232</v>
      </c>
      <c r="U1" s="148" t="s">
        <v>233</v>
      </c>
      <c r="V1" s="148" t="s">
        <v>234</v>
      </c>
      <c r="W1" s="148" t="s">
        <v>235</v>
      </c>
      <c r="X1" s="148" t="s">
        <v>236</v>
      </c>
      <c r="Y1" s="148" t="s">
        <v>237</v>
      </c>
      <c r="Z1" s="148" t="s">
        <v>238</v>
      </c>
      <c r="AA1" s="148" t="s">
        <v>239</v>
      </c>
      <c r="AB1" s="148" t="s">
        <v>240</v>
      </c>
      <c r="AC1" s="148" t="s">
        <v>241</v>
      </c>
      <c r="AD1" s="148" t="s">
        <v>242</v>
      </c>
      <c r="AE1" s="148" t="s">
        <v>243</v>
      </c>
      <c r="AF1" s="148" t="s">
        <v>244</v>
      </c>
      <c r="AG1" s="148" t="s">
        <v>245</v>
      </c>
      <c r="AH1" s="148" t="s">
        <v>246</v>
      </c>
      <c r="AI1" s="148" t="s">
        <v>247</v>
      </c>
      <c r="AJ1" s="148" t="s">
        <v>248</v>
      </c>
      <c r="AK1" s="148" t="s">
        <v>249</v>
      </c>
      <c r="AL1" s="148" t="s">
        <v>250</v>
      </c>
      <c r="AM1" s="148" t="s">
        <v>251</v>
      </c>
      <c r="AN1" s="148" t="s">
        <v>252</v>
      </c>
      <c r="AO1" s="148" t="s">
        <v>253</v>
      </c>
      <c r="AP1" s="148" t="s">
        <v>254</v>
      </c>
      <c r="AQ1" s="148" t="s">
        <v>255</v>
      </c>
      <c r="AR1" s="148" t="s">
        <v>256</v>
      </c>
      <c r="AS1" s="148" t="s">
        <v>257</v>
      </c>
      <c r="AT1" s="148" t="s">
        <v>258</v>
      </c>
      <c r="AU1" s="148" t="s">
        <v>259</v>
      </c>
      <c r="AV1" s="150" t="s">
        <v>260</v>
      </c>
      <c r="AW1" s="150" t="s">
        <v>261</v>
      </c>
      <c r="AX1" s="150" t="s">
        <v>262</v>
      </c>
      <c r="AY1" s="150" t="s">
        <v>263</v>
      </c>
      <c r="AZ1" s="150" t="s">
        <v>264</v>
      </c>
      <c r="BA1" s="150" t="s">
        <v>265</v>
      </c>
      <c r="BB1" s="150" t="s">
        <v>266</v>
      </c>
      <c r="BC1" s="150" t="s">
        <v>267</v>
      </c>
      <c r="BD1" s="150" t="s">
        <v>268</v>
      </c>
      <c r="BE1" s="150" t="s">
        <v>269</v>
      </c>
      <c r="BF1" s="150" t="s">
        <v>270</v>
      </c>
      <c r="BG1" s="150" t="s">
        <v>271</v>
      </c>
      <c r="BH1" s="150" t="s">
        <v>272</v>
      </c>
      <c r="BI1" s="150" t="s">
        <v>273</v>
      </c>
      <c r="BJ1" s="150" t="s">
        <v>274</v>
      </c>
      <c r="BK1" s="150" t="s">
        <v>275</v>
      </c>
      <c r="BL1" s="150" t="s">
        <v>276</v>
      </c>
      <c r="BM1" s="150" t="s">
        <v>277</v>
      </c>
      <c r="BN1" s="150" t="s">
        <v>278</v>
      </c>
      <c r="BO1" s="150" t="s">
        <v>279</v>
      </c>
      <c r="BP1" s="150" t="s">
        <v>280</v>
      </c>
      <c r="BQ1" s="150" t="s">
        <v>281</v>
      </c>
      <c r="BR1" s="150" t="s">
        <v>282</v>
      </c>
      <c r="BS1" s="150" t="s">
        <v>283</v>
      </c>
      <c r="BT1" s="150" t="s">
        <v>284</v>
      </c>
      <c r="BU1" s="150" t="s">
        <v>285</v>
      </c>
      <c r="BV1" s="150" t="s">
        <v>286</v>
      </c>
      <c r="BW1" s="150" t="s">
        <v>287</v>
      </c>
      <c r="BX1" s="150" t="s">
        <v>288</v>
      </c>
      <c r="BY1" s="150" t="s">
        <v>289</v>
      </c>
      <c r="BZ1" s="150" t="s">
        <v>290</v>
      </c>
      <c r="CA1" s="150" t="s">
        <v>291</v>
      </c>
      <c r="CB1" s="150" t="s">
        <v>292</v>
      </c>
      <c r="CC1" s="150" t="s">
        <v>293</v>
      </c>
      <c r="CD1" s="150" t="s">
        <v>294</v>
      </c>
      <c r="CE1" s="150" t="s">
        <v>295</v>
      </c>
      <c r="CF1" s="150" t="s">
        <v>296</v>
      </c>
      <c r="CG1" s="150" t="s">
        <v>297</v>
      </c>
      <c r="CH1" s="150" t="s">
        <v>298</v>
      </c>
      <c r="CI1" s="150" t="s">
        <v>299</v>
      </c>
      <c r="CJ1" s="150" t="s">
        <v>300</v>
      </c>
      <c r="CK1" s="150" t="s">
        <v>301</v>
      </c>
      <c r="CL1" s="150" t="s">
        <v>302</v>
      </c>
      <c r="CM1" s="150" t="s">
        <v>303</v>
      </c>
      <c r="CN1" s="150" t="s">
        <v>304</v>
      </c>
      <c r="CO1" s="150" t="s">
        <v>305</v>
      </c>
      <c r="CP1" s="150" t="s">
        <v>306</v>
      </c>
      <c r="CQ1" s="150" t="s">
        <v>307</v>
      </c>
      <c r="CR1" s="150" t="s">
        <v>308</v>
      </c>
      <c r="CS1" s="150" t="s">
        <v>309</v>
      </c>
      <c r="CT1" s="150" t="s">
        <v>310</v>
      </c>
      <c r="CU1" s="150" t="s">
        <v>311</v>
      </c>
      <c r="CV1" s="150" t="s">
        <v>312</v>
      </c>
      <c r="CW1" s="150" t="s">
        <v>313</v>
      </c>
      <c r="CX1" s="150" t="s">
        <v>314</v>
      </c>
      <c r="CY1" s="150" t="s">
        <v>315</v>
      </c>
      <c r="CZ1" s="150" t="s">
        <v>326</v>
      </c>
      <c r="DA1" s="150" t="s">
        <v>327</v>
      </c>
      <c r="DB1" s="150" t="s">
        <v>328</v>
      </c>
      <c r="DC1" s="150" t="s">
        <v>329</v>
      </c>
      <c r="DD1" s="150" t="s">
        <v>330</v>
      </c>
      <c r="DE1" s="150" t="s">
        <v>331</v>
      </c>
      <c r="DF1" s="150" t="s">
        <v>332</v>
      </c>
      <c r="DG1" s="150" t="s">
        <v>333</v>
      </c>
      <c r="DH1" s="150" t="s">
        <v>334</v>
      </c>
      <c r="DI1" s="150" t="s">
        <v>335</v>
      </c>
      <c r="DJ1" s="150" t="s">
        <v>336</v>
      </c>
    </row>
    <row r="2">
      <c r="A2" s="152" t="s">
        <v>4</v>
      </c>
      <c r="B2" s="152" t="s">
        <v>316</v>
      </c>
      <c r="C2" s="152" t="b">
        <v>0</v>
      </c>
      <c r="D2" s="152">
        <v>19525.0</v>
      </c>
      <c r="E2" s="152">
        <v>12.43</v>
      </c>
      <c r="F2" s="152">
        <v>-0.82</v>
      </c>
      <c r="G2" s="152">
        <v>0.0</v>
      </c>
      <c r="H2" s="152">
        <v>0.0</v>
      </c>
      <c r="I2" s="152"/>
      <c r="J2" s="152">
        <v>2.3789</v>
      </c>
      <c r="K2" s="152">
        <v>0.7642</v>
      </c>
      <c r="L2" s="152">
        <v>0.0</v>
      </c>
      <c r="M2" s="152">
        <v>0.0</v>
      </c>
      <c r="N2" s="152">
        <v>1.0</v>
      </c>
      <c r="O2" s="152">
        <v>1.0</v>
      </c>
      <c r="P2" s="152"/>
      <c r="Q2" s="152">
        <v>9.5589</v>
      </c>
      <c r="R2" s="152">
        <v>9.4411</v>
      </c>
      <c r="S2" s="152">
        <v>0.1169</v>
      </c>
      <c r="T2" s="152">
        <v>0.0</v>
      </c>
      <c r="U2" s="152">
        <v>9.5589</v>
      </c>
      <c r="V2" s="152">
        <v>2.2402</v>
      </c>
      <c r="W2" s="152">
        <v>2.9313</v>
      </c>
      <c r="X2" s="152">
        <v>0.0</v>
      </c>
      <c r="Y2" s="152">
        <v>200.0</v>
      </c>
      <c r="Z2" s="152">
        <v>200.0</v>
      </c>
      <c r="AA2" s="152">
        <v>348.0</v>
      </c>
      <c r="AB2" s="152">
        <v>49.756</v>
      </c>
      <c r="AC2" s="152">
        <v>0.733</v>
      </c>
      <c r="AD2" s="153"/>
      <c r="AE2" s="153"/>
      <c r="AF2" s="153"/>
      <c r="AG2" s="153"/>
      <c r="AH2" s="153"/>
      <c r="AI2" s="152">
        <v>0.0</v>
      </c>
      <c r="AJ2" s="152">
        <v>0.0</v>
      </c>
      <c r="AK2" s="152">
        <v>0.0</v>
      </c>
      <c r="AL2" s="152">
        <v>0.7902</v>
      </c>
      <c r="AM2" s="153"/>
      <c r="AQ2" s="76">
        <v>0.4306</v>
      </c>
      <c r="AR2" s="76">
        <v>0.0067</v>
      </c>
      <c r="AS2" s="76">
        <v>0.4239</v>
      </c>
      <c r="AT2" s="76">
        <v>0.1544</v>
      </c>
      <c r="AU2" s="76">
        <v>0.2021</v>
      </c>
      <c r="AV2" s="76">
        <v>19525.0</v>
      </c>
      <c r="AW2" s="76">
        <v>0.0</v>
      </c>
      <c r="AX2" s="76">
        <v>3.8626</v>
      </c>
      <c r="AY2" s="76">
        <v>5.5796</v>
      </c>
      <c r="AZ2" s="76">
        <v>0.0861</v>
      </c>
      <c r="BA2" s="76">
        <v>0.0</v>
      </c>
      <c r="BB2" s="76">
        <v>0.0287</v>
      </c>
      <c r="BD2" s="76">
        <v>1176.0</v>
      </c>
      <c r="BE2" s="76">
        <v>0.2099</v>
      </c>
      <c r="BF2" s="76">
        <v>0.0043</v>
      </c>
      <c r="BG2" s="76">
        <v>0.2057</v>
      </c>
      <c r="BH2" s="76">
        <v>0.0818</v>
      </c>
      <c r="BI2" s="76">
        <v>0.109</v>
      </c>
      <c r="BJ2" s="76">
        <v>0.2207</v>
      </c>
      <c r="BK2" s="76">
        <v>0.0024</v>
      </c>
      <c r="BL2" s="76">
        <v>0.2182</v>
      </c>
      <c r="BM2" s="76">
        <v>0.0726</v>
      </c>
      <c r="BN2" s="76">
        <v>0.1031</v>
      </c>
      <c r="BO2" s="76">
        <v>0.0621</v>
      </c>
      <c r="BP2" s="76">
        <v>0.0018</v>
      </c>
      <c r="BQ2" s="76">
        <v>0.0603</v>
      </c>
      <c r="BR2" s="76">
        <v>0.0308</v>
      </c>
      <c r="BS2" s="76">
        <v>0.0919</v>
      </c>
      <c r="BT2" s="76">
        <v>0.0014</v>
      </c>
      <c r="BU2" s="76">
        <v>0.0904</v>
      </c>
      <c r="BV2" s="76">
        <v>0.0331</v>
      </c>
      <c r="BW2" s="76">
        <v>0.0559</v>
      </c>
      <c r="BX2" s="76">
        <v>0.001</v>
      </c>
      <c r="BY2" s="76">
        <v>0.0549</v>
      </c>
      <c r="BZ2" s="76">
        <v>0.0179</v>
      </c>
      <c r="CA2" s="76">
        <v>0.029</v>
      </c>
      <c r="CB2" s="76">
        <v>0.0</v>
      </c>
      <c r="CC2" s="76">
        <v>0.029</v>
      </c>
      <c r="CD2" s="76">
        <v>0.0112</v>
      </c>
      <c r="CE2" s="76">
        <v>0.1172</v>
      </c>
      <c r="CF2" s="76">
        <v>0.0015</v>
      </c>
      <c r="CG2" s="76">
        <v>0.1156</v>
      </c>
      <c r="CH2" s="76">
        <v>0.0323</v>
      </c>
      <c r="CI2" s="76">
        <v>0.0745</v>
      </c>
      <c r="CJ2" s="76">
        <v>9.0E-4</v>
      </c>
      <c r="CK2" s="76">
        <v>0.0736</v>
      </c>
      <c r="CL2" s="76">
        <v>0.0291</v>
      </c>
      <c r="CM2" s="76">
        <v>2.6823</v>
      </c>
      <c r="CN2" s="76">
        <v>3.97</v>
      </c>
      <c r="CO2" s="76">
        <v>67.51</v>
      </c>
      <c r="CP2" s="76">
        <v>0.2548</v>
      </c>
      <c r="CQ2" s="76">
        <v>0.0</v>
      </c>
      <c r="CR2" s="76">
        <v>0.8999</v>
      </c>
      <c r="CS2" s="76">
        <v>1.5276</v>
      </c>
      <c r="CT2" s="76">
        <v>0.0</v>
      </c>
      <c r="CV2" s="76">
        <v>0.0</v>
      </c>
      <c r="CW2" s="76">
        <v>9.5589</v>
      </c>
      <c r="CX2" s="76">
        <v>0.0</v>
      </c>
      <c r="CY2" s="76">
        <v>0.0</v>
      </c>
      <c r="CZ2" s="76">
        <v>23231.0</v>
      </c>
      <c r="DA2" s="164">
        <v>46230.0</v>
      </c>
      <c r="DB2" s="164">
        <v>46250.0</v>
      </c>
      <c r="DC2" s="76">
        <v>21.0</v>
      </c>
      <c r="DD2" s="76">
        <v>0.0</v>
      </c>
      <c r="DE2" s="76">
        <v>0.0</v>
      </c>
      <c r="DF2" s="76">
        <v>200.0</v>
      </c>
      <c r="DG2" s="76">
        <v>200.0</v>
      </c>
      <c r="DH2" s="76">
        <v>0.0</v>
      </c>
      <c r="DI2" s="76">
        <v>11.37</v>
      </c>
      <c r="DJ2" s="76">
        <v>3.19</v>
      </c>
    </row>
    <row r="3">
      <c r="A3" s="152" t="s">
        <v>4</v>
      </c>
      <c r="B3" s="152" t="s">
        <v>147</v>
      </c>
      <c r="C3" s="152" t="b">
        <v>0</v>
      </c>
      <c r="D3" s="152">
        <v>30966.0</v>
      </c>
      <c r="E3" s="152">
        <v>22.95</v>
      </c>
      <c r="F3" s="152">
        <v>9.77</v>
      </c>
      <c r="G3" s="152">
        <v>2.0E-4</v>
      </c>
      <c r="H3" s="152">
        <v>0.01</v>
      </c>
      <c r="I3" s="152">
        <v>3.2567</v>
      </c>
      <c r="J3" s="152">
        <v>6.8664</v>
      </c>
      <c r="K3" s="152">
        <v>5.257</v>
      </c>
      <c r="L3" s="152">
        <v>4.3922</v>
      </c>
      <c r="M3" s="152">
        <v>0.8355</v>
      </c>
      <c r="N3" s="152">
        <v>0.1887</v>
      </c>
      <c r="O3" s="152">
        <v>0.107</v>
      </c>
      <c r="P3" s="152">
        <v>1.1969</v>
      </c>
      <c r="Q3" s="152">
        <v>20.0292</v>
      </c>
      <c r="R3" s="152">
        <v>16.8609</v>
      </c>
      <c r="S3" s="152">
        <v>3.1684</v>
      </c>
      <c r="T3" s="152">
        <v>0.0109</v>
      </c>
      <c r="U3" s="152">
        <v>20.0188</v>
      </c>
      <c r="V3" s="152">
        <v>13.2723</v>
      </c>
      <c r="W3" s="152">
        <v>2.5247</v>
      </c>
      <c r="X3" s="152">
        <v>0.05</v>
      </c>
      <c r="Y3" s="152">
        <v>200.0</v>
      </c>
      <c r="Z3" s="152">
        <v>235.0</v>
      </c>
      <c r="AA3" s="152">
        <v>310.0</v>
      </c>
      <c r="AB3" s="152">
        <v>49.7268</v>
      </c>
      <c r="AC3" s="152">
        <v>0.8281</v>
      </c>
      <c r="AD3" s="152">
        <v>4.0664</v>
      </c>
      <c r="AE3" s="152">
        <v>2.0</v>
      </c>
      <c r="AF3" s="152">
        <v>3.0</v>
      </c>
      <c r="AG3" s="152">
        <v>6.0</v>
      </c>
      <c r="AH3" s="152">
        <v>8.0</v>
      </c>
      <c r="AI3" s="152">
        <v>79.4829</v>
      </c>
      <c r="AJ3" s="152">
        <v>39.244</v>
      </c>
      <c r="AK3" s="152">
        <v>3.3265</v>
      </c>
      <c r="AL3" s="152">
        <v>0.7819</v>
      </c>
      <c r="AM3" s="153"/>
      <c r="AQ3" s="76">
        <v>1.2295</v>
      </c>
      <c r="AR3" s="76">
        <v>0.0393</v>
      </c>
      <c r="AS3" s="76">
        <v>1.1901</v>
      </c>
      <c r="AT3" s="76">
        <v>0.8325</v>
      </c>
      <c r="AU3" s="76">
        <v>0.1584</v>
      </c>
      <c r="AV3" s="76">
        <v>30966.0</v>
      </c>
      <c r="AW3" s="76">
        <v>0.0</v>
      </c>
      <c r="AX3" s="76">
        <v>15.3598</v>
      </c>
      <c r="AY3" s="76">
        <v>4.431</v>
      </c>
      <c r="AZ3" s="76">
        <v>0.1043</v>
      </c>
      <c r="BA3" s="76">
        <v>0.0109</v>
      </c>
      <c r="BB3" s="76">
        <v>0.1241</v>
      </c>
      <c r="BC3" s="76">
        <v>13.0</v>
      </c>
      <c r="BD3" s="76">
        <v>861.0</v>
      </c>
      <c r="BE3" s="76">
        <v>0.9409</v>
      </c>
      <c r="BF3" s="76">
        <v>0.0341</v>
      </c>
      <c r="BG3" s="76">
        <v>0.9068</v>
      </c>
      <c r="BH3" s="76">
        <v>0.6075</v>
      </c>
      <c r="BI3" s="76">
        <v>0.1154</v>
      </c>
      <c r="BJ3" s="76">
        <v>0.2886</v>
      </c>
      <c r="BK3" s="76">
        <v>0.0052</v>
      </c>
      <c r="BL3" s="76">
        <v>0.2833</v>
      </c>
      <c r="BM3" s="76">
        <v>0.225</v>
      </c>
      <c r="BN3" s="76">
        <v>0.0401</v>
      </c>
      <c r="BO3" s="76">
        <v>0.2521</v>
      </c>
      <c r="BP3" s="76">
        <v>0.0152</v>
      </c>
      <c r="BQ3" s="76">
        <v>0.2369</v>
      </c>
      <c r="BR3" s="76">
        <v>0.2749</v>
      </c>
      <c r="BS3" s="76">
        <v>0.5009</v>
      </c>
      <c r="BT3" s="76">
        <v>0.0055</v>
      </c>
      <c r="BU3" s="76">
        <v>0.4955</v>
      </c>
      <c r="BV3" s="76">
        <v>0.1882</v>
      </c>
      <c r="BW3" s="76">
        <v>0.1879</v>
      </c>
      <c r="BX3" s="76">
        <v>0.0135</v>
      </c>
      <c r="BY3" s="76">
        <v>0.1744</v>
      </c>
      <c r="BZ3" s="76">
        <v>0.1444</v>
      </c>
      <c r="CA3" s="76">
        <v>0.0395</v>
      </c>
      <c r="CB3" s="76">
        <v>2.0E-4</v>
      </c>
      <c r="CC3" s="76">
        <v>0.0393</v>
      </c>
      <c r="CD3" s="76">
        <v>0.0492</v>
      </c>
      <c r="CE3" s="76">
        <v>0.1425</v>
      </c>
      <c r="CF3" s="76">
        <v>0.002</v>
      </c>
      <c r="CG3" s="76">
        <v>0.1405</v>
      </c>
      <c r="CH3" s="76">
        <v>0.0874</v>
      </c>
      <c r="CI3" s="76">
        <v>0.1065</v>
      </c>
      <c r="CJ3" s="76">
        <v>0.003</v>
      </c>
      <c r="CK3" s="76">
        <v>0.1035</v>
      </c>
      <c r="CL3" s="76">
        <v>0.0885</v>
      </c>
      <c r="CM3" s="76">
        <v>16.1033</v>
      </c>
      <c r="CN3" s="76">
        <v>16.3</v>
      </c>
      <c r="CO3" s="76">
        <v>98.8</v>
      </c>
      <c r="CP3" s="76">
        <v>13.7172</v>
      </c>
      <c r="CQ3" s="76">
        <v>0.0</v>
      </c>
      <c r="CR3" s="76">
        <v>1.4678</v>
      </c>
      <c r="CS3" s="76">
        <v>0.9184</v>
      </c>
      <c r="CT3" s="76">
        <v>0.0</v>
      </c>
      <c r="CV3" s="76">
        <v>0.0</v>
      </c>
      <c r="CW3" s="76">
        <v>20.0292</v>
      </c>
      <c r="CX3" s="76">
        <v>0.0</v>
      </c>
      <c r="CY3" s="76">
        <v>0.0</v>
      </c>
      <c r="CZ3" s="76">
        <v>42902.0</v>
      </c>
      <c r="DA3" s="164">
        <v>46230.0</v>
      </c>
      <c r="DB3" s="164">
        <v>46250.0</v>
      </c>
      <c r="DC3" s="76">
        <v>21.0</v>
      </c>
      <c r="DD3" s="76">
        <v>3.0</v>
      </c>
      <c r="DE3" s="76">
        <v>3.0E-4</v>
      </c>
      <c r="DF3" s="76">
        <v>200.0</v>
      </c>
      <c r="DG3" s="76">
        <v>200.0</v>
      </c>
      <c r="DH3" s="76">
        <v>0.0</v>
      </c>
      <c r="DI3" s="76">
        <v>27.75</v>
      </c>
      <c r="DJ3" s="76">
        <v>22.31</v>
      </c>
    </row>
    <row r="4">
      <c r="A4" s="152" t="s">
        <v>4</v>
      </c>
      <c r="B4" s="152" t="s">
        <v>148</v>
      </c>
      <c r="C4" s="152" t="b">
        <v>0</v>
      </c>
      <c r="D4" s="152">
        <v>21404.0</v>
      </c>
      <c r="E4" s="152">
        <v>20.33</v>
      </c>
      <c r="F4" s="152">
        <v>130.59</v>
      </c>
      <c r="G4" s="152">
        <v>0.0034</v>
      </c>
      <c r="H4" s="152">
        <v>0.23</v>
      </c>
      <c r="I4" s="152">
        <v>2.6651</v>
      </c>
      <c r="J4" s="152">
        <v>20.9466</v>
      </c>
      <c r="K4" s="152">
        <v>15.1179</v>
      </c>
      <c r="L4" s="152">
        <v>12.1363</v>
      </c>
      <c r="M4" s="152">
        <v>0.8028</v>
      </c>
      <c r="N4" s="152">
        <v>0.2458</v>
      </c>
      <c r="O4" s="152">
        <v>0.1481</v>
      </c>
      <c r="P4" s="152">
        <v>1.2457</v>
      </c>
      <c r="Q4" s="152">
        <v>75.6798</v>
      </c>
      <c r="R4" s="152">
        <v>57.8358</v>
      </c>
      <c r="S4" s="152">
        <v>17.8435</v>
      </c>
      <c r="T4" s="152">
        <v>0.3282</v>
      </c>
      <c r="U4" s="152">
        <v>75.3512</v>
      </c>
      <c r="V4" s="152">
        <v>57.4908</v>
      </c>
      <c r="W4" s="152">
        <v>3.8028</v>
      </c>
      <c r="X4" s="152">
        <v>0.43</v>
      </c>
      <c r="Y4" s="152">
        <v>245.0</v>
      </c>
      <c r="Z4" s="152">
        <v>322.0</v>
      </c>
      <c r="AA4" s="152">
        <v>477.0</v>
      </c>
      <c r="AB4" s="152">
        <v>50.173</v>
      </c>
      <c r="AC4" s="152">
        <v>0.8413</v>
      </c>
      <c r="AD4" s="152">
        <v>9.9072</v>
      </c>
      <c r="AE4" s="152">
        <v>5.0</v>
      </c>
      <c r="AF4" s="152">
        <v>10.0</v>
      </c>
      <c r="AG4" s="152">
        <v>14.0</v>
      </c>
      <c r="AH4" s="152">
        <v>17.0</v>
      </c>
      <c r="AI4" s="152">
        <v>72.1498</v>
      </c>
      <c r="AJ4" s="152">
        <v>30.6386</v>
      </c>
      <c r="AK4" s="152">
        <v>1.8355</v>
      </c>
      <c r="AL4" s="152">
        <v>0.558</v>
      </c>
      <c r="AM4" s="153"/>
      <c r="AQ4" s="76">
        <v>4.6824</v>
      </c>
      <c r="AR4" s="76">
        <v>0.1378</v>
      </c>
      <c r="AS4" s="76">
        <v>4.5446</v>
      </c>
      <c r="AT4" s="76">
        <v>2.9243</v>
      </c>
      <c r="AU4" s="76">
        <v>0.1934</v>
      </c>
      <c r="AV4" s="76">
        <v>21404.0</v>
      </c>
      <c r="AW4" s="76">
        <v>0.0</v>
      </c>
      <c r="AX4" s="76">
        <v>57.6657</v>
      </c>
      <c r="AY4" s="76">
        <v>16.5924</v>
      </c>
      <c r="AZ4" s="76">
        <v>0.4734</v>
      </c>
      <c r="BA4" s="76">
        <v>0.3282</v>
      </c>
      <c r="BB4" s="76">
        <v>0.6199</v>
      </c>
      <c r="BC4" s="76">
        <v>29.0</v>
      </c>
      <c r="BD4" s="76">
        <v>1210.0</v>
      </c>
      <c r="BE4" s="76">
        <v>3.3958</v>
      </c>
      <c r="BF4" s="76">
        <v>0.122</v>
      </c>
      <c r="BG4" s="76">
        <v>3.2738</v>
      </c>
      <c r="BH4" s="76">
        <v>1.7944</v>
      </c>
      <c r="BI4" s="76">
        <v>0.1192</v>
      </c>
      <c r="BJ4" s="76">
        <v>1.2866</v>
      </c>
      <c r="BK4" s="76">
        <v>0.0158</v>
      </c>
      <c r="BL4" s="76">
        <v>1.2708</v>
      </c>
      <c r="BM4" s="76">
        <v>1.1299</v>
      </c>
      <c r="BN4" s="76">
        <v>0.0735</v>
      </c>
      <c r="BO4" s="76">
        <v>1.1944</v>
      </c>
      <c r="BP4" s="76">
        <v>0.0388</v>
      </c>
      <c r="BQ4" s="76">
        <v>1.1556</v>
      </c>
      <c r="BR4" s="76">
        <v>0.7456</v>
      </c>
      <c r="BS4" s="76">
        <v>1.5463</v>
      </c>
      <c r="BT4" s="76">
        <v>0.026</v>
      </c>
      <c r="BU4" s="76">
        <v>1.5203</v>
      </c>
      <c r="BV4" s="76">
        <v>0.6091</v>
      </c>
      <c r="BW4" s="76">
        <v>0.6551</v>
      </c>
      <c r="BX4" s="76">
        <v>0.0572</v>
      </c>
      <c r="BY4" s="76">
        <v>0.5979</v>
      </c>
      <c r="BZ4" s="76">
        <v>0.4397</v>
      </c>
      <c r="CA4" s="76">
        <v>0.1711</v>
      </c>
      <c r="CB4" s="76">
        <v>0.0013</v>
      </c>
      <c r="CC4" s="76">
        <v>0.1698</v>
      </c>
      <c r="CD4" s="76">
        <v>0.2527</v>
      </c>
      <c r="CE4" s="76">
        <v>0.6155</v>
      </c>
      <c r="CF4" s="76">
        <v>0.0058</v>
      </c>
      <c r="CG4" s="76">
        <v>0.6097</v>
      </c>
      <c r="CH4" s="76">
        <v>0.4222</v>
      </c>
      <c r="CI4" s="76">
        <v>0.5</v>
      </c>
      <c r="CJ4" s="76">
        <v>0.0088</v>
      </c>
      <c r="CK4" s="76">
        <v>0.4913</v>
      </c>
      <c r="CL4" s="76">
        <v>0.455</v>
      </c>
      <c r="CM4" s="76">
        <v>90.6849</v>
      </c>
      <c r="CN4" s="76">
        <v>55.43</v>
      </c>
      <c r="CO4" s="76">
        <v>163.61</v>
      </c>
      <c r="CP4" s="76">
        <v>80.5258</v>
      </c>
      <c r="CQ4" s="76">
        <v>0.0</v>
      </c>
      <c r="CR4" s="76">
        <v>5.1303</v>
      </c>
      <c r="CS4" s="76">
        <v>5.0284</v>
      </c>
      <c r="CT4" s="76">
        <v>0.0</v>
      </c>
      <c r="CV4" s="76">
        <v>0.0</v>
      </c>
      <c r="CW4" s="76">
        <v>75.6798</v>
      </c>
      <c r="CX4" s="76">
        <v>0.0</v>
      </c>
      <c r="CY4" s="76">
        <v>0.0</v>
      </c>
      <c r="CZ4" s="76">
        <v>38011.0</v>
      </c>
      <c r="DA4" s="164">
        <v>46230.0</v>
      </c>
      <c r="DB4" s="164">
        <v>46250.0</v>
      </c>
      <c r="DC4" s="76">
        <v>21.0</v>
      </c>
      <c r="DD4" s="76">
        <v>49.0</v>
      </c>
      <c r="DE4" s="76">
        <v>0.0061</v>
      </c>
      <c r="DF4" s="76">
        <v>200.0</v>
      </c>
      <c r="DG4" s="76">
        <v>260.0</v>
      </c>
      <c r="DH4" s="76">
        <v>0.0</v>
      </c>
      <c r="DI4" s="76">
        <v>134.4</v>
      </c>
      <c r="DJ4" s="76">
        <v>161.05</v>
      </c>
    </row>
    <row r="5">
      <c r="A5" s="152" t="s">
        <v>4</v>
      </c>
      <c r="B5" s="152" t="s">
        <v>149</v>
      </c>
      <c r="C5" s="152" t="b">
        <v>0</v>
      </c>
      <c r="D5" s="152">
        <v>18793.0</v>
      </c>
      <c r="E5" s="152">
        <v>23.02</v>
      </c>
      <c r="F5" s="152">
        <v>835.57</v>
      </c>
      <c r="G5" s="152">
        <v>0.0194</v>
      </c>
      <c r="H5" s="152">
        <v>1.06</v>
      </c>
      <c r="I5" s="152">
        <v>4.1988</v>
      </c>
      <c r="J5" s="152">
        <v>43.9847</v>
      </c>
      <c r="K5" s="152">
        <v>29.8653</v>
      </c>
      <c r="L5" s="152">
        <v>23.2553</v>
      </c>
      <c r="M5" s="152">
        <v>0.7787</v>
      </c>
      <c r="N5" s="152">
        <v>0.2897</v>
      </c>
      <c r="O5" s="152">
        <v>0.1839</v>
      </c>
      <c r="P5" s="152">
        <v>1.2842</v>
      </c>
      <c r="Q5" s="152">
        <v>148.6217</v>
      </c>
      <c r="R5" s="152">
        <v>110.4681</v>
      </c>
      <c r="S5" s="152">
        <v>38.1517</v>
      </c>
      <c r="T5" s="152">
        <v>2.2401</v>
      </c>
      <c r="U5" s="152">
        <v>146.3812</v>
      </c>
      <c r="V5" s="152">
        <v>130.8435</v>
      </c>
      <c r="W5" s="152">
        <v>4.3811</v>
      </c>
      <c r="X5" s="152">
        <v>1.51</v>
      </c>
      <c r="Y5" s="152">
        <v>232.0</v>
      </c>
      <c r="Z5" s="152">
        <v>383.0</v>
      </c>
      <c r="AA5" s="152">
        <v>650.0</v>
      </c>
      <c r="AB5" s="152">
        <v>51.3059</v>
      </c>
      <c r="AC5" s="152">
        <v>0.8136</v>
      </c>
      <c r="AD5" s="152">
        <v>15.6447</v>
      </c>
      <c r="AE5" s="152">
        <v>6.0</v>
      </c>
      <c r="AF5" s="152">
        <v>13.0</v>
      </c>
      <c r="AG5" s="152">
        <v>22.0</v>
      </c>
      <c r="AH5" s="152">
        <v>31.0</v>
      </c>
      <c r="AI5" s="152">
        <v>57.556</v>
      </c>
      <c r="AJ5" s="152">
        <v>19.5211</v>
      </c>
      <c r="AK5" s="152">
        <v>2.2735</v>
      </c>
      <c r="AL5" s="152">
        <v>0.3771</v>
      </c>
      <c r="AM5" s="153"/>
      <c r="AQ5" s="76">
        <v>8.7532</v>
      </c>
      <c r="AR5" s="76">
        <v>0.2122</v>
      </c>
      <c r="AS5" s="76">
        <v>8.541</v>
      </c>
      <c r="AT5" s="76">
        <v>5.6498</v>
      </c>
      <c r="AU5" s="76">
        <v>0.1892</v>
      </c>
      <c r="AV5" s="76">
        <v>18793.0</v>
      </c>
      <c r="AW5" s="76">
        <v>0.0</v>
      </c>
      <c r="AX5" s="76">
        <v>104.5216</v>
      </c>
      <c r="AY5" s="76">
        <v>39.3027</v>
      </c>
      <c r="AZ5" s="76">
        <v>0.995</v>
      </c>
      <c r="BA5" s="76">
        <v>2.2401</v>
      </c>
      <c r="BB5" s="76">
        <v>1.5612</v>
      </c>
      <c r="BC5" s="76">
        <v>51.0</v>
      </c>
      <c r="BD5" s="76">
        <v>1529.0</v>
      </c>
      <c r="BE5" s="76">
        <v>5.7256</v>
      </c>
      <c r="BF5" s="76">
        <v>0.1784</v>
      </c>
      <c r="BG5" s="76">
        <v>5.5472</v>
      </c>
      <c r="BH5" s="76">
        <v>2.9111</v>
      </c>
      <c r="BI5" s="76">
        <v>0.0974</v>
      </c>
      <c r="BJ5" s="76">
        <v>3.0276</v>
      </c>
      <c r="BK5" s="76">
        <v>0.0338</v>
      </c>
      <c r="BL5" s="76">
        <v>2.9938</v>
      </c>
      <c r="BM5" s="76">
        <v>2.7387</v>
      </c>
      <c r="BN5" s="76">
        <v>0.0914</v>
      </c>
      <c r="BO5" s="76">
        <v>2.0074</v>
      </c>
      <c r="BP5" s="76">
        <v>0.0552</v>
      </c>
      <c r="BQ5" s="76">
        <v>1.9523</v>
      </c>
      <c r="BR5" s="76">
        <v>1.105</v>
      </c>
      <c r="BS5" s="76">
        <v>2.5021</v>
      </c>
      <c r="BT5" s="76">
        <v>0.0514</v>
      </c>
      <c r="BU5" s="76">
        <v>2.4507</v>
      </c>
      <c r="BV5" s="76">
        <v>1.1086</v>
      </c>
      <c r="BW5" s="76">
        <v>1.2161</v>
      </c>
      <c r="BX5" s="76">
        <v>0.0718</v>
      </c>
      <c r="BY5" s="76">
        <v>1.1442</v>
      </c>
      <c r="BZ5" s="76">
        <v>0.6975</v>
      </c>
      <c r="CA5" s="76">
        <v>0.4624</v>
      </c>
      <c r="CB5" s="76">
        <v>0.0054</v>
      </c>
      <c r="CC5" s="76">
        <v>0.457</v>
      </c>
      <c r="CD5" s="76">
        <v>0.6039</v>
      </c>
      <c r="CE5" s="76">
        <v>1.2814</v>
      </c>
      <c r="CF5" s="76">
        <v>0.0139</v>
      </c>
      <c r="CG5" s="76">
        <v>1.2675</v>
      </c>
      <c r="CH5" s="76">
        <v>1.0076</v>
      </c>
      <c r="CI5" s="76">
        <v>1.2838</v>
      </c>
      <c r="CJ5" s="76">
        <v>0.0145</v>
      </c>
      <c r="CK5" s="76">
        <v>1.2693</v>
      </c>
      <c r="CL5" s="76">
        <v>1.1272</v>
      </c>
      <c r="CM5" s="76">
        <v>244.5223</v>
      </c>
      <c r="CN5" s="76">
        <v>85.42</v>
      </c>
      <c r="CO5" s="76">
        <v>286.27</v>
      </c>
      <c r="CP5" s="76">
        <v>222.9863</v>
      </c>
      <c r="CQ5" s="76">
        <v>0.0</v>
      </c>
      <c r="CR5" s="76">
        <v>8.3985</v>
      </c>
      <c r="CS5" s="76">
        <v>13.137</v>
      </c>
      <c r="CT5" s="76">
        <v>0.0</v>
      </c>
      <c r="CV5" s="76">
        <v>0.0</v>
      </c>
      <c r="CW5" s="76">
        <v>148.6217</v>
      </c>
      <c r="CX5" s="76">
        <v>0.0</v>
      </c>
      <c r="CY5" s="76">
        <v>0.0</v>
      </c>
      <c r="CZ5" s="76">
        <v>43031.0</v>
      </c>
      <c r="DA5" s="164">
        <v>46230.0</v>
      </c>
      <c r="DB5" s="164">
        <v>46250.0</v>
      </c>
      <c r="DC5" s="76">
        <v>21.0</v>
      </c>
      <c r="DD5" s="76">
        <v>199.0</v>
      </c>
      <c r="DE5" s="76">
        <v>0.0445</v>
      </c>
      <c r="DF5" s="76">
        <v>166.0</v>
      </c>
      <c r="DG5" s="76">
        <v>306.0</v>
      </c>
      <c r="DH5" s="76">
        <v>0.0</v>
      </c>
      <c r="DI5" s="76">
        <v>340.3</v>
      </c>
      <c r="DJ5" s="76">
        <v>559.89</v>
      </c>
    </row>
    <row r="6">
      <c r="A6" s="152" t="s">
        <v>4</v>
      </c>
      <c r="B6" s="152" t="s">
        <v>150</v>
      </c>
      <c r="C6" s="152" t="b">
        <v>0</v>
      </c>
      <c r="D6" s="152">
        <v>11961.0</v>
      </c>
      <c r="E6" s="152">
        <v>18.18</v>
      </c>
      <c r="F6" s="152">
        <v>3352.13</v>
      </c>
      <c r="G6" s="152">
        <v>0.0986</v>
      </c>
      <c r="H6" s="152">
        <v>3.5</v>
      </c>
      <c r="I6" s="152">
        <v>8.0003</v>
      </c>
      <c r="J6" s="152">
        <v>97.4394</v>
      </c>
      <c r="K6" s="152">
        <v>66.2621</v>
      </c>
      <c r="L6" s="152">
        <v>48.9648</v>
      </c>
      <c r="M6" s="152">
        <v>0.739</v>
      </c>
      <c r="N6" s="152">
        <v>0.3345</v>
      </c>
      <c r="O6" s="152">
        <v>0.2036</v>
      </c>
      <c r="P6" s="152">
        <v>1.3533</v>
      </c>
      <c r="Q6" s="152">
        <v>300.1998</v>
      </c>
      <c r="R6" s="152">
        <v>215.953</v>
      </c>
      <c r="S6" s="152">
        <v>84.2464</v>
      </c>
      <c r="T6" s="152">
        <v>10.4247</v>
      </c>
      <c r="U6" s="152">
        <v>289.7739</v>
      </c>
      <c r="V6" s="152">
        <v>289.8831</v>
      </c>
      <c r="W6" s="152">
        <v>4.3748</v>
      </c>
      <c r="X6" s="152">
        <v>3.47</v>
      </c>
      <c r="Y6" s="152">
        <v>155.0</v>
      </c>
      <c r="Z6" s="152">
        <v>407.0</v>
      </c>
      <c r="AA6" s="152">
        <v>780.0</v>
      </c>
      <c r="AB6" s="152">
        <v>52.7755</v>
      </c>
      <c r="AC6" s="152">
        <v>0.7626</v>
      </c>
      <c r="AD6" s="152">
        <v>25.8345</v>
      </c>
      <c r="AE6" s="152">
        <v>10.0</v>
      </c>
      <c r="AF6" s="152">
        <v>20.0</v>
      </c>
      <c r="AG6" s="152">
        <v>38.0</v>
      </c>
      <c r="AH6" s="152">
        <v>53.0</v>
      </c>
      <c r="AI6" s="152">
        <v>36.5848</v>
      </c>
      <c r="AJ6" s="152">
        <v>7.1333</v>
      </c>
      <c r="AK6" s="152">
        <v>0.8803</v>
      </c>
      <c r="AL6" s="152">
        <v>0.2179</v>
      </c>
      <c r="AM6" s="153"/>
      <c r="AQ6" s="76">
        <v>16.5246</v>
      </c>
      <c r="AR6" s="76">
        <v>0.4001</v>
      </c>
      <c r="AS6" s="76">
        <v>16.1244</v>
      </c>
      <c r="AT6" s="76">
        <v>12.5791</v>
      </c>
      <c r="AU6" s="76">
        <v>0.1898</v>
      </c>
      <c r="AV6" s="76">
        <v>11961.0</v>
      </c>
      <c r="AW6" s="76">
        <v>0.0</v>
      </c>
      <c r="AX6" s="76">
        <v>199.7442</v>
      </c>
      <c r="AY6" s="76">
        <v>84.2409</v>
      </c>
      <c r="AZ6" s="76">
        <v>2.2541</v>
      </c>
      <c r="BA6" s="76">
        <v>10.4247</v>
      </c>
      <c r="BB6" s="76">
        <v>3.5367</v>
      </c>
      <c r="BC6" s="76">
        <v>97.0</v>
      </c>
      <c r="BD6" s="76">
        <v>1826.0</v>
      </c>
      <c r="BE6" s="76">
        <v>10.1758</v>
      </c>
      <c r="BF6" s="76">
        <v>0.299</v>
      </c>
      <c r="BG6" s="76">
        <v>9.8769</v>
      </c>
      <c r="BH6" s="76">
        <v>6.3198</v>
      </c>
      <c r="BI6" s="76">
        <v>0.0953</v>
      </c>
      <c r="BJ6" s="76">
        <v>6.3487</v>
      </c>
      <c r="BK6" s="76">
        <v>0.1012</v>
      </c>
      <c r="BL6" s="76">
        <v>6.2476</v>
      </c>
      <c r="BM6" s="76">
        <v>6.2593</v>
      </c>
      <c r="BN6" s="76">
        <v>0.0944</v>
      </c>
      <c r="BO6" s="76">
        <v>3.8293</v>
      </c>
      <c r="BP6" s="76">
        <v>0.0847</v>
      </c>
      <c r="BQ6" s="76">
        <v>3.7446</v>
      </c>
      <c r="BR6" s="76">
        <v>2.3418</v>
      </c>
      <c r="BS6" s="76">
        <v>4.2159</v>
      </c>
      <c r="BT6" s="76">
        <v>0.0946</v>
      </c>
      <c r="BU6" s="76">
        <v>4.1213</v>
      </c>
      <c r="BV6" s="76">
        <v>2.5067</v>
      </c>
      <c r="BW6" s="76">
        <v>2.1306</v>
      </c>
      <c r="BX6" s="76">
        <v>0.1196</v>
      </c>
      <c r="BY6" s="76">
        <v>2.011</v>
      </c>
      <c r="BZ6" s="76">
        <v>1.4713</v>
      </c>
      <c r="CA6" s="76">
        <v>1.1662</v>
      </c>
      <c r="CB6" s="76">
        <v>0.0234</v>
      </c>
      <c r="CC6" s="76">
        <v>1.1427</v>
      </c>
      <c r="CD6" s="76">
        <v>1.5435</v>
      </c>
      <c r="CE6" s="76">
        <v>2.4495</v>
      </c>
      <c r="CF6" s="76">
        <v>0.0421</v>
      </c>
      <c r="CG6" s="76">
        <v>2.4073</v>
      </c>
      <c r="CH6" s="76">
        <v>2.1948</v>
      </c>
      <c r="CI6" s="76">
        <v>2.7331</v>
      </c>
      <c r="CJ6" s="76">
        <v>0.0356</v>
      </c>
      <c r="CK6" s="76">
        <v>2.6975</v>
      </c>
      <c r="CL6" s="76">
        <v>2.5211</v>
      </c>
      <c r="CM6" s="76">
        <v>599.659</v>
      </c>
      <c r="CN6" s="76">
        <v>97.57</v>
      </c>
      <c r="CO6" s="76">
        <v>614.57</v>
      </c>
      <c r="CP6" s="76">
        <v>564.1447</v>
      </c>
      <c r="CQ6" s="76">
        <v>0.0</v>
      </c>
      <c r="CR6" s="76">
        <v>12.9962</v>
      </c>
      <c r="CS6" s="76">
        <v>22.5169</v>
      </c>
      <c r="CT6" s="76">
        <v>0.0</v>
      </c>
      <c r="CV6" s="76">
        <v>0.0</v>
      </c>
      <c r="CW6" s="76">
        <v>300.1998</v>
      </c>
      <c r="CX6" s="76">
        <v>0.0</v>
      </c>
      <c r="CY6" s="76">
        <v>0.0</v>
      </c>
      <c r="CZ6" s="76">
        <v>33986.0</v>
      </c>
      <c r="DA6" s="164">
        <v>46230.0</v>
      </c>
      <c r="DB6" s="164">
        <v>46250.0</v>
      </c>
      <c r="DC6" s="76">
        <v>21.0</v>
      </c>
      <c r="DD6" s="76">
        <v>419.0</v>
      </c>
      <c r="DE6" s="76">
        <v>0.2803</v>
      </c>
      <c r="DF6" s="76">
        <v>69.0</v>
      </c>
      <c r="DG6" s="76">
        <v>355.0</v>
      </c>
      <c r="DH6" s="76">
        <v>0.0</v>
      </c>
      <c r="DI6" s="76">
        <v>852.99</v>
      </c>
      <c r="DJ6" s="76">
        <v>1703.87</v>
      </c>
    </row>
    <row r="7">
      <c r="A7" s="152" t="s">
        <v>4</v>
      </c>
      <c r="B7" s="152" t="s">
        <v>151</v>
      </c>
      <c r="C7" s="152" t="b">
        <v>0</v>
      </c>
      <c r="D7" s="152">
        <v>2635.0</v>
      </c>
      <c r="E7" s="152">
        <v>3.09</v>
      </c>
      <c r="F7" s="152">
        <v>2440.46</v>
      </c>
      <c r="G7" s="152">
        <v>0.4219</v>
      </c>
      <c r="H7" s="152">
        <v>7.02</v>
      </c>
      <c r="I7" s="152">
        <v>13.1917</v>
      </c>
      <c r="J7" s="152">
        <v>233.5578</v>
      </c>
      <c r="K7" s="152">
        <v>170.0164</v>
      </c>
      <c r="L7" s="152">
        <v>124.9346</v>
      </c>
      <c r="M7" s="152">
        <v>0.7348</v>
      </c>
      <c r="N7" s="152">
        <v>0.3221</v>
      </c>
      <c r="O7" s="152">
        <v>0.1886</v>
      </c>
      <c r="P7" s="152">
        <v>1.3608</v>
      </c>
      <c r="Q7" s="152">
        <v>687.5711</v>
      </c>
      <c r="R7" s="152">
        <v>463.4407</v>
      </c>
      <c r="S7" s="152">
        <v>224.1319</v>
      </c>
      <c r="T7" s="152">
        <v>48.228</v>
      </c>
      <c r="U7" s="152">
        <v>639.3434</v>
      </c>
      <c r="V7" s="152">
        <v>664.2783</v>
      </c>
      <c r="W7" s="152">
        <v>3.9071</v>
      </c>
      <c r="X7" s="152">
        <v>7.01</v>
      </c>
      <c r="Y7" s="152">
        <v>124.0</v>
      </c>
      <c r="Z7" s="152">
        <v>473.0</v>
      </c>
      <c r="AA7" s="152">
        <v>1005.0</v>
      </c>
      <c r="AB7" s="152">
        <v>55.6928</v>
      </c>
      <c r="AC7" s="152">
        <v>0.7609</v>
      </c>
      <c r="AD7" s="152">
        <v>49.7749</v>
      </c>
      <c r="AE7" s="152">
        <v>20.0</v>
      </c>
      <c r="AF7" s="152">
        <v>37.0</v>
      </c>
      <c r="AG7" s="152">
        <v>65.0</v>
      </c>
      <c r="AH7" s="152">
        <v>107.0</v>
      </c>
      <c r="AI7" s="152">
        <v>17.7364</v>
      </c>
      <c r="AJ7" s="152">
        <v>2.2995</v>
      </c>
      <c r="AK7" s="152">
        <v>0.4319</v>
      </c>
      <c r="AL7" s="152">
        <v>0.1128</v>
      </c>
      <c r="AM7" s="153"/>
      <c r="AQ7" s="76">
        <v>37.2</v>
      </c>
      <c r="AR7" s="76">
        <v>0.92</v>
      </c>
      <c r="AS7" s="76">
        <v>36.28</v>
      </c>
      <c r="AT7" s="76">
        <v>32.041</v>
      </c>
      <c r="AU7" s="76">
        <v>0.1885</v>
      </c>
      <c r="AV7" s="76">
        <v>2635.0</v>
      </c>
      <c r="AW7" s="76">
        <v>0.0</v>
      </c>
      <c r="AX7" s="76">
        <v>465.9027</v>
      </c>
      <c r="AY7" s="76">
        <v>156.3112</v>
      </c>
      <c r="AZ7" s="76">
        <v>5.0403</v>
      </c>
      <c r="BA7" s="76">
        <v>48.228</v>
      </c>
      <c r="BB7" s="76">
        <v>12.0878</v>
      </c>
      <c r="BC7" s="76">
        <v>224.0</v>
      </c>
      <c r="BD7" s="76">
        <v>2734.0</v>
      </c>
      <c r="BE7" s="76">
        <v>22.3252</v>
      </c>
      <c r="BF7" s="76">
        <v>0.5658</v>
      </c>
      <c r="BG7" s="76">
        <v>21.7594</v>
      </c>
      <c r="BH7" s="76">
        <v>16.2534</v>
      </c>
      <c r="BI7" s="76">
        <v>0.0956</v>
      </c>
      <c r="BJ7" s="76">
        <v>14.8748</v>
      </c>
      <c r="BK7" s="76">
        <v>0.3542</v>
      </c>
      <c r="BL7" s="76">
        <v>14.5206</v>
      </c>
      <c r="BM7" s="76">
        <v>15.7876</v>
      </c>
      <c r="BN7" s="76">
        <v>0.093</v>
      </c>
      <c r="BO7" s="76">
        <v>8.2309</v>
      </c>
      <c r="BP7" s="76">
        <v>0.144</v>
      </c>
      <c r="BQ7" s="76">
        <v>8.0869</v>
      </c>
      <c r="BR7" s="76">
        <v>5.9326</v>
      </c>
      <c r="BS7" s="76">
        <v>9.3644</v>
      </c>
      <c r="BT7" s="76">
        <v>0.1704</v>
      </c>
      <c r="BU7" s="76">
        <v>9.1939</v>
      </c>
      <c r="BV7" s="76">
        <v>6.576</v>
      </c>
      <c r="BW7" s="76">
        <v>4.7298</v>
      </c>
      <c r="BX7" s="76">
        <v>0.2513</v>
      </c>
      <c r="BY7" s="76">
        <v>4.4785</v>
      </c>
      <c r="BZ7" s="76">
        <v>3.7449</v>
      </c>
      <c r="CA7" s="76">
        <v>3.1321</v>
      </c>
      <c r="CB7" s="76">
        <v>0.1025</v>
      </c>
      <c r="CC7" s="76">
        <v>3.0296</v>
      </c>
      <c r="CD7" s="76">
        <v>3.8399</v>
      </c>
      <c r="CE7" s="76">
        <v>5.5874</v>
      </c>
      <c r="CF7" s="76">
        <v>0.1305</v>
      </c>
      <c r="CG7" s="76">
        <v>5.4569</v>
      </c>
      <c r="CH7" s="76">
        <v>5.2481</v>
      </c>
      <c r="CI7" s="76">
        <v>6.1554</v>
      </c>
      <c r="CJ7" s="76">
        <v>0.1212</v>
      </c>
      <c r="CK7" s="76">
        <v>6.0342</v>
      </c>
      <c r="CL7" s="76">
        <v>6.6996</v>
      </c>
      <c r="CM7" s="76">
        <v>1578.8267</v>
      </c>
      <c r="CN7" s="76">
        <v>99.22</v>
      </c>
      <c r="CO7" s="76">
        <v>1591.21</v>
      </c>
      <c r="CP7" s="76">
        <v>1531.6052</v>
      </c>
      <c r="CQ7" s="76">
        <v>0.0</v>
      </c>
      <c r="CR7" s="76">
        <v>18.4861</v>
      </c>
      <c r="CS7" s="76">
        <v>28.7362</v>
      </c>
      <c r="CT7" s="76">
        <v>0.0</v>
      </c>
      <c r="CV7" s="76">
        <v>0.0</v>
      </c>
      <c r="CW7" s="76">
        <v>687.5711</v>
      </c>
      <c r="CX7" s="76">
        <v>0.0</v>
      </c>
      <c r="CY7" s="76">
        <v>0.0</v>
      </c>
      <c r="CZ7" s="76">
        <v>5785.0</v>
      </c>
      <c r="DA7" s="164">
        <v>46230.0</v>
      </c>
      <c r="DB7" s="164">
        <v>46250.0</v>
      </c>
      <c r="DC7" s="76">
        <v>21.0</v>
      </c>
      <c r="DD7" s="76">
        <v>185.0</v>
      </c>
      <c r="DE7" s="76">
        <v>0.9262</v>
      </c>
      <c r="DF7" s="76">
        <v>32.0</v>
      </c>
      <c r="DG7" s="76">
        <v>451.0</v>
      </c>
      <c r="DH7" s="76">
        <v>0.0</v>
      </c>
      <c r="DI7" s="76">
        <v>1509.53</v>
      </c>
      <c r="DJ7" s="76">
        <v>3466.23</v>
      </c>
    </row>
    <row r="8">
      <c r="A8" s="152" t="s">
        <v>5</v>
      </c>
      <c r="B8" s="152" t="s">
        <v>316</v>
      </c>
      <c r="C8" s="152" t="b">
        <v>0</v>
      </c>
      <c r="D8" s="152">
        <v>19902.0</v>
      </c>
      <c r="E8" s="152">
        <v>12.76</v>
      </c>
      <c r="F8" s="152">
        <v>0.0</v>
      </c>
      <c r="G8" s="152">
        <v>0.0</v>
      </c>
      <c r="H8" s="152">
        <v>0.0</v>
      </c>
      <c r="I8" s="152"/>
      <c r="J8" s="152">
        <v>2.3812</v>
      </c>
      <c r="K8" s="152">
        <v>0.7222</v>
      </c>
      <c r="L8" s="152">
        <v>0.0</v>
      </c>
      <c r="M8" s="152">
        <v>0.0</v>
      </c>
      <c r="N8" s="152">
        <v>1.0</v>
      </c>
      <c r="O8" s="152">
        <v>1.0</v>
      </c>
      <c r="P8" s="152"/>
      <c r="Q8" s="152">
        <v>8.0537</v>
      </c>
      <c r="R8" s="152">
        <v>8.0155</v>
      </c>
      <c r="S8" s="152">
        <v>0.0371</v>
      </c>
      <c r="T8" s="152">
        <v>0.0</v>
      </c>
      <c r="U8" s="152">
        <v>8.0537</v>
      </c>
      <c r="V8" s="152">
        <v>1.6445</v>
      </c>
      <c r="W8" s="152">
        <v>2.277</v>
      </c>
      <c r="X8" s="152">
        <v>0.0</v>
      </c>
      <c r="Y8" s="152">
        <v>200.0</v>
      </c>
      <c r="Z8" s="152">
        <v>201.0</v>
      </c>
      <c r="AA8" s="152">
        <v>309.0</v>
      </c>
      <c r="AB8" s="152">
        <v>49.7461</v>
      </c>
      <c r="AC8" s="152">
        <v>0.7318</v>
      </c>
      <c r="AD8" s="153"/>
      <c r="AE8" s="153"/>
      <c r="AF8" s="153"/>
      <c r="AG8" s="153"/>
      <c r="AH8" s="153"/>
      <c r="AI8" s="152">
        <v>0.0</v>
      </c>
      <c r="AJ8" s="152">
        <v>0.0</v>
      </c>
      <c r="AK8" s="152">
        <v>0.0</v>
      </c>
      <c r="AL8" s="152">
        <v>0.7904</v>
      </c>
      <c r="AM8" s="152">
        <v>0.0085</v>
      </c>
      <c r="AN8" s="76">
        <v>0.0085</v>
      </c>
      <c r="AO8" s="76">
        <v>0.0</v>
      </c>
      <c r="AP8" s="76">
        <v>0.0</v>
      </c>
      <c r="AQ8" s="76">
        <v>0.4497</v>
      </c>
      <c r="AR8" s="76">
        <v>0.0062</v>
      </c>
      <c r="AS8" s="76">
        <v>0.4435</v>
      </c>
      <c r="AT8" s="76">
        <v>0.1554</v>
      </c>
      <c r="AU8" s="76">
        <v>0.2151</v>
      </c>
      <c r="AV8" s="76">
        <v>19902.0</v>
      </c>
      <c r="AW8" s="76">
        <v>0.0</v>
      </c>
      <c r="AX8" s="76">
        <v>2.7071</v>
      </c>
      <c r="AY8" s="76">
        <v>5.2192</v>
      </c>
      <c r="AZ8" s="76">
        <v>0.0923</v>
      </c>
      <c r="BA8" s="76">
        <v>0.0</v>
      </c>
      <c r="BB8" s="76">
        <v>0.036</v>
      </c>
      <c r="BD8" s="76">
        <v>941.0</v>
      </c>
      <c r="BE8" s="76">
        <v>0.2318</v>
      </c>
      <c r="BF8" s="76">
        <v>0.0037</v>
      </c>
      <c r="BG8" s="76">
        <v>0.2281</v>
      </c>
      <c r="BH8" s="76">
        <v>0.0765</v>
      </c>
      <c r="BI8" s="76">
        <v>0.1077</v>
      </c>
      <c r="BJ8" s="76">
        <v>0.2179</v>
      </c>
      <c r="BK8" s="76">
        <v>0.0025</v>
      </c>
      <c r="BL8" s="76">
        <v>0.2154</v>
      </c>
      <c r="BM8" s="76">
        <v>0.0788</v>
      </c>
      <c r="BN8" s="76">
        <v>0.1149</v>
      </c>
      <c r="BO8" s="76">
        <v>0.0769</v>
      </c>
      <c r="BP8" s="76">
        <v>0.002</v>
      </c>
      <c r="BQ8" s="76">
        <v>0.0749</v>
      </c>
      <c r="BR8" s="76">
        <v>0.029</v>
      </c>
      <c r="BS8" s="76">
        <v>0.096</v>
      </c>
      <c r="BT8" s="76">
        <v>8.0E-4</v>
      </c>
      <c r="BU8" s="76">
        <v>0.0952</v>
      </c>
      <c r="BV8" s="76">
        <v>0.0286</v>
      </c>
      <c r="BW8" s="76">
        <v>0.0589</v>
      </c>
      <c r="BX8" s="76">
        <v>9.0E-4</v>
      </c>
      <c r="BY8" s="76">
        <v>0.058</v>
      </c>
      <c r="BZ8" s="76">
        <v>0.0189</v>
      </c>
      <c r="CA8" s="76">
        <v>0.033</v>
      </c>
      <c r="CB8" s="76">
        <v>3.0E-4</v>
      </c>
      <c r="CC8" s="76">
        <v>0.0328</v>
      </c>
      <c r="CD8" s="76">
        <v>0.0145</v>
      </c>
      <c r="CE8" s="76">
        <v>0.1138</v>
      </c>
      <c r="CF8" s="76">
        <v>0.0011</v>
      </c>
      <c r="CG8" s="76">
        <v>0.1126</v>
      </c>
      <c r="CH8" s="76">
        <v>0.0358</v>
      </c>
      <c r="CI8" s="76">
        <v>0.0711</v>
      </c>
      <c r="CJ8" s="76">
        <v>0.0011</v>
      </c>
      <c r="CK8" s="76">
        <v>0.0699</v>
      </c>
      <c r="CL8" s="76">
        <v>0.0285</v>
      </c>
      <c r="CM8" s="76">
        <v>2.2797</v>
      </c>
      <c r="CN8" s="76">
        <v>4.17</v>
      </c>
      <c r="CO8" s="76">
        <v>54.64</v>
      </c>
      <c r="CP8" s="76">
        <v>0.3801</v>
      </c>
      <c r="CQ8" s="76">
        <v>0.1852</v>
      </c>
      <c r="CR8" s="76">
        <v>0.9419</v>
      </c>
      <c r="CS8" s="76">
        <v>0.7748</v>
      </c>
      <c r="CT8" s="76">
        <v>0.0</v>
      </c>
      <c r="CV8" s="76">
        <v>0.0205</v>
      </c>
      <c r="CW8" s="76">
        <v>8.0741</v>
      </c>
      <c r="CX8" s="76">
        <v>0.0421</v>
      </c>
      <c r="CY8" s="76">
        <v>0.2288</v>
      </c>
      <c r="CZ8" s="76">
        <v>23750.0</v>
      </c>
      <c r="DA8" s="164">
        <v>46230.0</v>
      </c>
      <c r="DB8" s="164">
        <v>46250.0</v>
      </c>
      <c r="DC8" s="76">
        <v>21.0</v>
      </c>
      <c r="DD8" s="76">
        <v>0.0</v>
      </c>
      <c r="DE8" s="76">
        <v>0.0</v>
      </c>
      <c r="DF8" s="76">
        <v>200.0</v>
      </c>
      <c r="DG8" s="76">
        <v>200.0</v>
      </c>
      <c r="DH8" s="76">
        <v>2491.0</v>
      </c>
      <c r="DI8" s="76">
        <v>9.61</v>
      </c>
      <c r="DJ8" s="76">
        <v>2.72</v>
      </c>
    </row>
    <row r="9">
      <c r="A9" s="152" t="s">
        <v>5</v>
      </c>
      <c r="B9" s="152" t="s">
        <v>147</v>
      </c>
      <c r="C9" s="152" t="b">
        <v>0</v>
      </c>
      <c r="D9" s="152">
        <v>31447.0</v>
      </c>
      <c r="E9" s="152">
        <v>23.42</v>
      </c>
      <c r="F9" s="152">
        <v>23.33</v>
      </c>
      <c r="G9" s="152">
        <v>5.0E-4</v>
      </c>
      <c r="H9" s="152">
        <v>0.03</v>
      </c>
      <c r="I9" s="152">
        <v>2.333</v>
      </c>
      <c r="J9" s="152">
        <v>6.9813</v>
      </c>
      <c r="K9" s="152">
        <v>5.2264</v>
      </c>
      <c r="L9" s="152">
        <v>4.3854</v>
      </c>
      <c r="M9" s="152">
        <v>0.8391</v>
      </c>
      <c r="N9" s="152">
        <v>0.1849</v>
      </c>
      <c r="O9" s="152">
        <v>0.1039</v>
      </c>
      <c r="P9" s="152">
        <v>1.1918</v>
      </c>
      <c r="Q9" s="152">
        <v>16.4772</v>
      </c>
      <c r="R9" s="152">
        <v>15.1129</v>
      </c>
      <c r="S9" s="152">
        <v>1.3649</v>
      </c>
      <c r="T9" s="152">
        <v>0.044</v>
      </c>
      <c r="U9" s="152">
        <v>16.4336</v>
      </c>
      <c r="V9" s="152">
        <v>11.8196</v>
      </c>
      <c r="W9" s="152">
        <v>2.2615</v>
      </c>
      <c r="X9" s="152">
        <v>0.27</v>
      </c>
      <c r="Y9" s="152">
        <v>200.0</v>
      </c>
      <c r="Z9" s="152">
        <v>222.0</v>
      </c>
      <c r="AA9" s="152">
        <v>275.0</v>
      </c>
      <c r="AB9" s="152">
        <v>49.8045</v>
      </c>
      <c r="AC9" s="152">
        <v>0.83</v>
      </c>
      <c r="AD9" s="152">
        <v>4.069</v>
      </c>
      <c r="AE9" s="152">
        <v>2.0</v>
      </c>
      <c r="AF9" s="152">
        <v>3.0</v>
      </c>
      <c r="AG9" s="152">
        <v>6.0</v>
      </c>
      <c r="AH9" s="152">
        <v>8.0</v>
      </c>
      <c r="AI9" s="152">
        <v>79.5733</v>
      </c>
      <c r="AJ9" s="152">
        <v>39.2045</v>
      </c>
      <c r="AK9" s="152">
        <v>3.2251</v>
      </c>
      <c r="AL9" s="152">
        <v>0.7833</v>
      </c>
      <c r="AM9" s="152">
        <v>3.217</v>
      </c>
      <c r="AN9" s="76">
        <v>3.217</v>
      </c>
      <c r="AO9" s="76">
        <v>1.5278</v>
      </c>
      <c r="AP9" s="76">
        <v>0.4752</v>
      </c>
      <c r="AQ9" s="76">
        <v>1.117</v>
      </c>
      <c r="AR9" s="76">
        <v>0.0346</v>
      </c>
      <c r="AS9" s="76">
        <v>1.0824</v>
      </c>
      <c r="AT9" s="76">
        <v>0.8065</v>
      </c>
      <c r="AU9" s="76">
        <v>0.1543</v>
      </c>
      <c r="AV9" s="76">
        <v>31447.0</v>
      </c>
      <c r="AW9" s="76">
        <v>0.0</v>
      </c>
      <c r="AX9" s="76">
        <v>11.165</v>
      </c>
      <c r="AY9" s="76">
        <v>5.0493</v>
      </c>
      <c r="AZ9" s="76">
        <v>0.1075</v>
      </c>
      <c r="BA9" s="76">
        <v>0.044</v>
      </c>
      <c r="BB9" s="76">
        <v>0.1104</v>
      </c>
      <c r="BC9" s="76">
        <v>13.0</v>
      </c>
      <c r="BD9" s="76">
        <v>701.0</v>
      </c>
      <c r="BE9" s="76">
        <v>0.8263</v>
      </c>
      <c r="BF9" s="76">
        <v>0.0298</v>
      </c>
      <c r="BG9" s="76">
        <v>0.7965</v>
      </c>
      <c r="BH9" s="76">
        <v>0.5668</v>
      </c>
      <c r="BI9" s="76">
        <v>0.1084</v>
      </c>
      <c r="BJ9" s="76">
        <v>0.2907</v>
      </c>
      <c r="BK9" s="76">
        <v>0.0048</v>
      </c>
      <c r="BL9" s="76">
        <v>0.2859</v>
      </c>
      <c r="BM9" s="76">
        <v>0.2397</v>
      </c>
      <c r="BN9" s="76">
        <v>0.0431</v>
      </c>
      <c r="BO9" s="76">
        <v>0.2233</v>
      </c>
      <c r="BP9" s="76">
        <v>0.0145</v>
      </c>
      <c r="BQ9" s="76">
        <v>0.2088</v>
      </c>
      <c r="BR9" s="76">
        <v>0.2616</v>
      </c>
      <c r="BS9" s="76">
        <v>0.4211</v>
      </c>
      <c r="BT9" s="76">
        <v>0.0052</v>
      </c>
      <c r="BU9" s="76">
        <v>0.4158</v>
      </c>
      <c r="BV9" s="76">
        <v>0.1664</v>
      </c>
      <c r="BW9" s="76">
        <v>0.182</v>
      </c>
      <c r="BX9" s="76">
        <v>0.0101</v>
      </c>
      <c r="BY9" s="76">
        <v>0.1719</v>
      </c>
      <c r="BZ9" s="76">
        <v>0.1388</v>
      </c>
      <c r="CA9" s="76">
        <v>0.0315</v>
      </c>
      <c r="CB9" s="76">
        <v>1.0E-4</v>
      </c>
      <c r="CC9" s="76">
        <v>0.0314</v>
      </c>
      <c r="CD9" s="76">
        <v>0.0467</v>
      </c>
      <c r="CE9" s="76">
        <v>0.1634</v>
      </c>
      <c r="CF9" s="76">
        <v>0.0023</v>
      </c>
      <c r="CG9" s="76">
        <v>0.161</v>
      </c>
      <c r="CH9" s="76">
        <v>0.1063</v>
      </c>
      <c r="CI9" s="76">
        <v>0.0959</v>
      </c>
      <c r="CJ9" s="76">
        <v>0.0024</v>
      </c>
      <c r="CK9" s="76">
        <v>0.0935</v>
      </c>
      <c r="CL9" s="76">
        <v>0.0867</v>
      </c>
      <c r="CM9" s="76">
        <v>14.0713</v>
      </c>
      <c r="CN9" s="76">
        <v>16.95</v>
      </c>
      <c r="CO9" s="76">
        <v>83.0</v>
      </c>
      <c r="CP9" s="76">
        <v>11.4582</v>
      </c>
      <c r="CQ9" s="76">
        <v>0.7533</v>
      </c>
      <c r="CR9" s="76">
        <v>1.5568</v>
      </c>
      <c r="CS9" s="76">
        <v>0.3035</v>
      </c>
      <c r="CT9" s="76">
        <v>0.0</v>
      </c>
      <c r="CV9" s="76">
        <v>0.1043</v>
      </c>
      <c r="CW9" s="76">
        <v>16.5822</v>
      </c>
      <c r="CX9" s="76">
        <v>0.1107</v>
      </c>
      <c r="CY9" s="76">
        <v>0.8635</v>
      </c>
      <c r="CZ9" s="76">
        <v>43585.0</v>
      </c>
      <c r="DA9" s="164">
        <v>46230.0</v>
      </c>
      <c r="DB9" s="164">
        <v>46250.0</v>
      </c>
      <c r="DC9" s="76">
        <v>21.0</v>
      </c>
      <c r="DD9" s="76">
        <v>10.0</v>
      </c>
      <c r="DE9" s="76">
        <v>7.0E-4</v>
      </c>
      <c r="DF9" s="76">
        <v>200.0</v>
      </c>
      <c r="DG9" s="76">
        <v>200.0</v>
      </c>
      <c r="DH9" s="76">
        <v>2742.0</v>
      </c>
      <c r="DI9" s="76">
        <v>22.84</v>
      </c>
      <c r="DJ9" s="76">
        <v>19.5</v>
      </c>
    </row>
    <row r="10">
      <c r="A10" s="152" t="s">
        <v>5</v>
      </c>
      <c r="B10" s="152" t="s">
        <v>148</v>
      </c>
      <c r="C10" s="152" t="b">
        <v>0</v>
      </c>
      <c r="D10" s="152">
        <v>21501.0</v>
      </c>
      <c r="E10" s="152">
        <v>20.13</v>
      </c>
      <c r="F10" s="152">
        <v>142.42</v>
      </c>
      <c r="G10" s="152">
        <v>0.0038</v>
      </c>
      <c r="H10" s="152">
        <v>0.24</v>
      </c>
      <c r="I10" s="152">
        <v>2.7925</v>
      </c>
      <c r="J10" s="152">
        <v>20.9209</v>
      </c>
      <c r="K10" s="152">
        <v>14.9706</v>
      </c>
      <c r="L10" s="152">
        <v>11.9696</v>
      </c>
      <c r="M10" s="152">
        <v>0.7995</v>
      </c>
      <c r="N10" s="152">
        <v>0.2451</v>
      </c>
      <c r="O10" s="152">
        <v>0.144</v>
      </c>
      <c r="P10" s="152">
        <v>1.2507</v>
      </c>
      <c r="Q10" s="152">
        <v>59.352</v>
      </c>
      <c r="R10" s="152">
        <v>51.9917</v>
      </c>
      <c r="S10" s="152">
        <v>7.36</v>
      </c>
      <c r="T10" s="152">
        <v>0.3946</v>
      </c>
      <c r="U10" s="152">
        <v>58.9569</v>
      </c>
      <c r="V10" s="152">
        <v>47.7292</v>
      </c>
      <c r="W10" s="152">
        <v>3.1882</v>
      </c>
      <c r="X10" s="152">
        <v>0.66</v>
      </c>
      <c r="Y10" s="152">
        <v>224.0</v>
      </c>
      <c r="Z10" s="152">
        <v>283.0</v>
      </c>
      <c r="AA10" s="152">
        <v>405.0</v>
      </c>
      <c r="AB10" s="152">
        <v>50.1518</v>
      </c>
      <c r="AC10" s="152">
        <v>0.8418</v>
      </c>
      <c r="AD10" s="152">
        <v>9.7507</v>
      </c>
      <c r="AE10" s="152">
        <v>5.0</v>
      </c>
      <c r="AF10" s="152">
        <v>10.0</v>
      </c>
      <c r="AG10" s="152">
        <v>13.0</v>
      </c>
      <c r="AH10" s="152">
        <v>17.0</v>
      </c>
      <c r="AI10" s="152">
        <v>71.7708</v>
      </c>
      <c r="AJ10" s="152">
        <v>29.799</v>
      </c>
      <c r="AK10" s="152">
        <v>1.5434</v>
      </c>
      <c r="AL10" s="152">
        <v>0.5619</v>
      </c>
      <c r="AM10" s="152">
        <v>9.6148</v>
      </c>
      <c r="AN10" s="76">
        <v>9.6148</v>
      </c>
      <c r="AO10" s="76">
        <v>4.3858</v>
      </c>
      <c r="AP10" s="76">
        <v>1.5421</v>
      </c>
      <c r="AQ10" s="76">
        <v>3.8203</v>
      </c>
      <c r="AR10" s="76">
        <v>0.116</v>
      </c>
      <c r="AS10" s="76">
        <v>3.7043</v>
      </c>
      <c r="AT10" s="76">
        <v>2.7115</v>
      </c>
      <c r="AU10" s="76">
        <v>0.1811</v>
      </c>
      <c r="AV10" s="76">
        <v>21501.0</v>
      </c>
      <c r="AW10" s="76">
        <v>0.0</v>
      </c>
      <c r="AX10" s="76">
        <v>40.7468</v>
      </c>
      <c r="AY10" s="76">
        <v>17.2422</v>
      </c>
      <c r="AZ10" s="76">
        <v>0.4487</v>
      </c>
      <c r="BA10" s="76">
        <v>0.3946</v>
      </c>
      <c r="BB10" s="76">
        <v>0.5175</v>
      </c>
      <c r="BC10" s="76">
        <v>28.0</v>
      </c>
      <c r="BD10" s="76">
        <v>971.0</v>
      </c>
      <c r="BE10" s="76">
        <v>2.554</v>
      </c>
      <c r="BF10" s="76">
        <v>0.1033</v>
      </c>
      <c r="BG10" s="76">
        <v>2.4506</v>
      </c>
      <c r="BH10" s="76">
        <v>1.6471</v>
      </c>
      <c r="BI10" s="76">
        <v>0.1109</v>
      </c>
      <c r="BJ10" s="76">
        <v>1.2663</v>
      </c>
      <c r="BK10" s="76">
        <v>0.0127</v>
      </c>
      <c r="BL10" s="76">
        <v>1.2536</v>
      </c>
      <c r="BM10" s="76">
        <v>1.0643</v>
      </c>
      <c r="BN10" s="76">
        <v>0.0703</v>
      </c>
      <c r="BO10" s="76">
        <v>0.8362</v>
      </c>
      <c r="BP10" s="76">
        <v>0.0453</v>
      </c>
      <c r="BQ10" s="76">
        <v>0.791</v>
      </c>
      <c r="BR10" s="76">
        <v>0.6884</v>
      </c>
      <c r="BS10" s="76">
        <v>1.109</v>
      </c>
      <c r="BT10" s="76">
        <v>0.0213</v>
      </c>
      <c r="BU10" s="76">
        <v>1.0876</v>
      </c>
      <c r="BV10" s="76">
        <v>0.5331</v>
      </c>
      <c r="BW10" s="76">
        <v>0.6088</v>
      </c>
      <c r="BX10" s="76">
        <v>0.0367</v>
      </c>
      <c r="BY10" s="76">
        <v>0.572</v>
      </c>
      <c r="BZ10" s="76">
        <v>0.4256</v>
      </c>
      <c r="CA10" s="76">
        <v>0.1444</v>
      </c>
      <c r="CB10" s="76">
        <v>0.0011</v>
      </c>
      <c r="CC10" s="76">
        <v>0.1433</v>
      </c>
      <c r="CD10" s="76">
        <v>0.2181</v>
      </c>
      <c r="CE10" s="76">
        <v>0.708</v>
      </c>
      <c r="CF10" s="76">
        <v>0.0051</v>
      </c>
      <c r="CG10" s="76">
        <v>0.7029</v>
      </c>
      <c r="CH10" s="76">
        <v>0.4468</v>
      </c>
      <c r="CI10" s="76">
        <v>0.414</v>
      </c>
      <c r="CJ10" s="76">
        <v>0.0065</v>
      </c>
      <c r="CK10" s="76">
        <v>0.4075</v>
      </c>
      <c r="CL10" s="76">
        <v>0.3994</v>
      </c>
      <c r="CM10" s="76">
        <v>76.7502</v>
      </c>
      <c r="CN10" s="76">
        <v>54.94</v>
      </c>
      <c r="CO10" s="76">
        <v>139.7</v>
      </c>
      <c r="CP10" s="76">
        <v>63.8032</v>
      </c>
      <c r="CQ10" s="76">
        <v>4.895</v>
      </c>
      <c r="CR10" s="76">
        <v>4.8823</v>
      </c>
      <c r="CS10" s="76">
        <v>3.1678</v>
      </c>
      <c r="CT10" s="76">
        <v>0.0</v>
      </c>
      <c r="CV10" s="76">
        <v>0.4385</v>
      </c>
      <c r="CW10" s="76">
        <v>59.7914</v>
      </c>
      <c r="CX10" s="76">
        <v>0.8003</v>
      </c>
      <c r="CY10" s="76">
        <v>5.6944</v>
      </c>
      <c r="CZ10" s="76">
        <v>37460.0</v>
      </c>
      <c r="DA10" s="164">
        <v>46230.0</v>
      </c>
      <c r="DB10" s="164">
        <v>46250.0</v>
      </c>
      <c r="DC10" s="76">
        <v>21.0</v>
      </c>
      <c r="DD10" s="76">
        <v>51.0</v>
      </c>
      <c r="DE10" s="76">
        <v>0.0066</v>
      </c>
      <c r="DF10" s="76">
        <v>200.0</v>
      </c>
      <c r="DG10" s="76">
        <v>239.0</v>
      </c>
      <c r="DH10" s="76">
        <v>6998.0</v>
      </c>
      <c r="DI10" s="76">
        <v>103.41</v>
      </c>
      <c r="DJ10" s="76">
        <v>133.72</v>
      </c>
    </row>
    <row r="11">
      <c r="A11" s="152" t="s">
        <v>5</v>
      </c>
      <c r="B11" s="152" t="s">
        <v>149</v>
      </c>
      <c r="C11" s="152" t="b">
        <v>0</v>
      </c>
      <c r="D11" s="152">
        <v>19126.0</v>
      </c>
      <c r="E11" s="152">
        <v>22.93</v>
      </c>
      <c r="F11" s="152">
        <v>1114.46</v>
      </c>
      <c r="G11" s="152">
        <v>0.0261</v>
      </c>
      <c r="H11" s="152">
        <v>0.95</v>
      </c>
      <c r="I11" s="152">
        <v>6.1234</v>
      </c>
      <c r="J11" s="152">
        <v>43.9501</v>
      </c>
      <c r="K11" s="152">
        <v>29.753</v>
      </c>
      <c r="L11" s="152">
        <v>22.9955</v>
      </c>
      <c r="M11" s="152">
        <v>0.7729</v>
      </c>
      <c r="N11" s="152">
        <v>0.2912</v>
      </c>
      <c r="O11" s="152">
        <v>0.18</v>
      </c>
      <c r="P11" s="152">
        <v>1.2939</v>
      </c>
      <c r="Q11" s="152">
        <v>118.6596</v>
      </c>
      <c r="R11" s="152">
        <v>105.5581</v>
      </c>
      <c r="S11" s="152">
        <v>13.1005</v>
      </c>
      <c r="T11" s="152">
        <v>2.4891</v>
      </c>
      <c r="U11" s="152">
        <v>116.1709</v>
      </c>
      <c r="V11" s="152">
        <v>105.8732</v>
      </c>
      <c r="W11" s="152">
        <v>3.5584</v>
      </c>
      <c r="X11" s="152">
        <v>2.1</v>
      </c>
      <c r="Y11" s="152">
        <v>204.0</v>
      </c>
      <c r="Z11" s="152">
        <v>319.0</v>
      </c>
      <c r="AA11" s="152">
        <v>509.0</v>
      </c>
      <c r="AB11" s="152">
        <v>51.2122</v>
      </c>
      <c r="AC11" s="152">
        <v>0.8097</v>
      </c>
      <c r="AD11" s="152">
        <v>15.4134</v>
      </c>
      <c r="AE11" s="152">
        <v>7.0</v>
      </c>
      <c r="AF11" s="152">
        <v>13.0</v>
      </c>
      <c r="AG11" s="152">
        <v>22.0</v>
      </c>
      <c r="AH11" s="152">
        <v>30.0</v>
      </c>
      <c r="AI11" s="152">
        <v>57.1716</v>
      </c>
      <c r="AJ11" s="152">
        <v>18.6714</v>
      </c>
      <c r="AK11" s="152">
        <v>1.9995</v>
      </c>
      <c r="AL11" s="152">
        <v>0.3812</v>
      </c>
      <c r="AM11" s="152">
        <v>17.2423</v>
      </c>
      <c r="AN11" s="76">
        <v>17.2423</v>
      </c>
      <c r="AO11" s="76">
        <v>7.2434</v>
      </c>
      <c r="AP11" s="76">
        <v>3.0084</v>
      </c>
      <c r="AQ11" s="76">
        <v>7.5492</v>
      </c>
      <c r="AR11" s="76">
        <v>0.1251</v>
      </c>
      <c r="AS11" s="76">
        <v>7.4241</v>
      </c>
      <c r="AT11" s="76">
        <v>5.1475</v>
      </c>
      <c r="AU11" s="76">
        <v>0.173</v>
      </c>
      <c r="AV11" s="76">
        <v>19126.0</v>
      </c>
      <c r="AW11" s="76">
        <v>0.0</v>
      </c>
      <c r="AX11" s="76">
        <v>73.0105</v>
      </c>
      <c r="AY11" s="76">
        <v>40.739</v>
      </c>
      <c r="AZ11" s="76">
        <v>0.9807</v>
      </c>
      <c r="BA11" s="76">
        <v>2.4891</v>
      </c>
      <c r="BB11" s="76">
        <v>1.4397</v>
      </c>
      <c r="BC11" s="76">
        <v>50.0</v>
      </c>
      <c r="BD11" s="76">
        <v>1230.0</v>
      </c>
      <c r="BE11" s="76">
        <v>4.6028</v>
      </c>
      <c r="BF11" s="76">
        <v>0.0959</v>
      </c>
      <c r="BG11" s="76">
        <v>4.5069</v>
      </c>
      <c r="BH11" s="76">
        <v>2.5268</v>
      </c>
      <c r="BI11" s="76">
        <v>0.085</v>
      </c>
      <c r="BJ11" s="76">
        <v>2.9464</v>
      </c>
      <c r="BK11" s="76">
        <v>0.0292</v>
      </c>
      <c r="BL11" s="76">
        <v>2.9172</v>
      </c>
      <c r="BM11" s="76">
        <v>2.6207</v>
      </c>
      <c r="BN11" s="76">
        <v>0.088</v>
      </c>
      <c r="BO11" s="76">
        <v>1.5683</v>
      </c>
      <c r="BP11" s="76">
        <v>0.0332</v>
      </c>
      <c r="BQ11" s="76">
        <v>1.5351</v>
      </c>
      <c r="BR11" s="76">
        <v>0.9281</v>
      </c>
      <c r="BS11" s="76">
        <v>1.8841</v>
      </c>
      <c r="BT11" s="76">
        <v>0.0266</v>
      </c>
      <c r="BU11" s="76">
        <v>1.8576</v>
      </c>
      <c r="BV11" s="76">
        <v>0.9139</v>
      </c>
      <c r="BW11" s="76">
        <v>1.1504</v>
      </c>
      <c r="BX11" s="76">
        <v>0.0362</v>
      </c>
      <c r="BY11" s="76">
        <v>1.1142</v>
      </c>
      <c r="BZ11" s="76">
        <v>0.6848</v>
      </c>
      <c r="CA11" s="76">
        <v>0.3965</v>
      </c>
      <c r="CB11" s="76">
        <v>0.0046</v>
      </c>
      <c r="CC11" s="76">
        <v>0.3919</v>
      </c>
      <c r="CD11" s="76">
        <v>0.5582</v>
      </c>
      <c r="CE11" s="76">
        <v>1.44</v>
      </c>
      <c r="CF11" s="76">
        <v>0.0126</v>
      </c>
      <c r="CG11" s="76">
        <v>1.4274</v>
      </c>
      <c r="CH11" s="76">
        <v>1.0705</v>
      </c>
      <c r="CI11" s="76">
        <v>1.1099</v>
      </c>
      <c r="CJ11" s="76">
        <v>0.012</v>
      </c>
      <c r="CK11" s="76">
        <v>1.0979</v>
      </c>
      <c r="CL11" s="76">
        <v>0.992</v>
      </c>
      <c r="CM11" s="76">
        <v>208.6379</v>
      </c>
      <c r="CN11" s="76">
        <v>85.03</v>
      </c>
      <c r="CO11" s="76">
        <v>245.38</v>
      </c>
      <c r="CP11" s="76">
        <v>175.5396</v>
      </c>
      <c r="CQ11" s="76">
        <v>15.4517</v>
      </c>
      <c r="CR11" s="76">
        <v>8.188</v>
      </c>
      <c r="CS11" s="76">
        <v>9.4566</v>
      </c>
      <c r="CT11" s="76">
        <v>0.0</v>
      </c>
      <c r="CV11" s="76">
        <v>0.9511</v>
      </c>
      <c r="CW11" s="76">
        <v>119.6103</v>
      </c>
      <c r="CX11" s="76">
        <v>2.4017</v>
      </c>
      <c r="CY11" s="76">
        <v>17.8537</v>
      </c>
      <c r="CZ11" s="76">
        <v>42673.0</v>
      </c>
      <c r="DA11" s="164">
        <v>46230.0</v>
      </c>
      <c r="DB11" s="164">
        <v>46250.0</v>
      </c>
      <c r="DC11" s="76">
        <v>21.0</v>
      </c>
      <c r="DD11" s="76">
        <v>182.0</v>
      </c>
      <c r="DE11" s="76">
        <v>0.0583</v>
      </c>
      <c r="DF11" s="76">
        <v>150.0</v>
      </c>
      <c r="DG11" s="76">
        <v>268.0</v>
      </c>
      <c r="DH11" s="76">
        <v>13412.0</v>
      </c>
      <c r="DI11" s="76">
        <v>264.75</v>
      </c>
      <c r="DJ11" s="76">
        <v>465.5</v>
      </c>
    </row>
    <row r="12">
      <c r="A12" s="152" t="s">
        <v>5</v>
      </c>
      <c r="B12" s="152" t="s">
        <v>150</v>
      </c>
      <c r="C12" s="152" t="b">
        <v>0</v>
      </c>
      <c r="D12" s="152">
        <v>11924.0</v>
      </c>
      <c r="E12" s="152">
        <v>17.82</v>
      </c>
      <c r="F12" s="152">
        <v>3355.48</v>
      </c>
      <c r="G12" s="152">
        <v>0.1012</v>
      </c>
      <c r="H12" s="152">
        <v>3.56</v>
      </c>
      <c r="I12" s="152">
        <v>7.8952</v>
      </c>
      <c r="J12" s="152">
        <v>99.5946</v>
      </c>
      <c r="K12" s="152">
        <v>67.5232</v>
      </c>
      <c r="L12" s="152">
        <v>48.7354</v>
      </c>
      <c r="M12" s="152">
        <v>0.7218</v>
      </c>
      <c r="N12" s="152">
        <v>0.3457</v>
      </c>
      <c r="O12" s="152">
        <v>0.2044</v>
      </c>
      <c r="P12" s="152">
        <v>1.3855</v>
      </c>
      <c r="Q12" s="152">
        <v>245.8267</v>
      </c>
      <c r="R12" s="152">
        <v>218.2473</v>
      </c>
      <c r="S12" s="152">
        <v>27.5823</v>
      </c>
      <c r="T12" s="152">
        <v>10.1092</v>
      </c>
      <c r="U12" s="152">
        <v>235.7177</v>
      </c>
      <c r="V12" s="152">
        <v>237.1469</v>
      </c>
      <c r="W12" s="152">
        <v>3.5121</v>
      </c>
      <c r="X12" s="152">
        <v>4.11</v>
      </c>
      <c r="Y12" s="152">
        <v>127.0</v>
      </c>
      <c r="Z12" s="152">
        <v>343.0</v>
      </c>
      <c r="AA12" s="152">
        <v>650.0</v>
      </c>
      <c r="AB12" s="152">
        <v>52.5034</v>
      </c>
      <c r="AC12" s="152">
        <v>0.7444</v>
      </c>
      <c r="AD12" s="152">
        <v>24.8119</v>
      </c>
      <c r="AE12" s="152">
        <v>10.0</v>
      </c>
      <c r="AF12" s="152">
        <v>18.0</v>
      </c>
      <c r="AG12" s="152">
        <v>35.0</v>
      </c>
      <c r="AH12" s="152">
        <v>52.0</v>
      </c>
      <c r="AI12" s="152">
        <v>34.4956</v>
      </c>
      <c r="AJ12" s="152">
        <v>6.2644</v>
      </c>
      <c r="AK12" s="152">
        <v>0.8799</v>
      </c>
      <c r="AL12" s="152">
        <v>0.2173</v>
      </c>
      <c r="AM12" s="152">
        <v>30.8548</v>
      </c>
      <c r="AN12" s="76">
        <v>30.8548</v>
      </c>
      <c r="AO12" s="76">
        <v>20.2947</v>
      </c>
      <c r="AP12" s="76">
        <v>13.6099</v>
      </c>
      <c r="AQ12" s="76">
        <v>14.1462</v>
      </c>
      <c r="AR12" s="76">
        <v>0.2703</v>
      </c>
      <c r="AS12" s="76">
        <v>13.8759</v>
      </c>
      <c r="AT12" s="76">
        <v>10.966</v>
      </c>
      <c r="AU12" s="76">
        <v>0.1624</v>
      </c>
      <c r="AV12" s="76">
        <v>11924.0</v>
      </c>
      <c r="AW12" s="76">
        <v>0.0</v>
      </c>
      <c r="AX12" s="76">
        <v>137.624</v>
      </c>
      <c r="AY12" s="76">
        <v>92.5225</v>
      </c>
      <c r="AZ12" s="76">
        <v>2.2009</v>
      </c>
      <c r="BA12" s="76">
        <v>10.1092</v>
      </c>
      <c r="BB12" s="76">
        <v>3.3706</v>
      </c>
      <c r="BC12" s="76">
        <v>95.0</v>
      </c>
      <c r="BD12" s="76">
        <v>1524.0</v>
      </c>
      <c r="BE12" s="76">
        <v>8.027</v>
      </c>
      <c r="BF12" s="76">
        <v>0.1705</v>
      </c>
      <c r="BG12" s="76">
        <v>7.8566</v>
      </c>
      <c r="BH12" s="76">
        <v>5.1624</v>
      </c>
      <c r="BI12" s="76">
        <v>0.0764</v>
      </c>
      <c r="BJ12" s="76">
        <v>6.1192</v>
      </c>
      <c r="BK12" s="76">
        <v>0.0998</v>
      </c>
      <c r="BL12" s="76">
        <v>6.0194</v>
      </c>
      <c r="BM12" s="76">
        <v>5.8036</v>
      </c>
      <c r="BN12" s="76">
        <v>0.086</v>
      </c>
      <c r="BO12" s="76">
        <v>2.7472</v>
      </c>
      <c r="BP12" s="76">
        <v>0.0485</v>
      </c>
      <c r="BQ12" s="76">
        <v>2.6987</v>
      </c>
      <c r="BR12" s="76">
        <v>1.793</v>
      </c>
      <c r="BS12" s="76">
        <v>3.2203</v>
      </c>
      <c r="BT12" s="76">
        <v>0.0556</v>
      </c>
      <c r="BU12" s="76">
        <v>3.1646</v>
      </c>
      <c r="BV12" s="76">
        <v>1.9438</v>
      </c>
      <c r="BW12" s="76">
        <v>2.0595</v>
      </c>
      <c r="BX12" s="76">
        <v>0.0663</v>
      </c>
      <c r="BY12" s="76">
        <v>1.9932</v>
      </c>
      <c r="BZ12" s="76">
        <v>1.4256</v>
      </c>
      <c r="CA12" s="76">
        <v>0.8988</v>
      </c>
      <c r="CB12" s="76">
        <v>0.0222</v>
      </c>
      <c r="CC12" s="76">
        <v>0.8766</v>
      </c>
      <c r="CD12" s="76">
        <v>1.1785</v>
      </c>
      <c r="CE12" s="76">
        <v>2.8327</v>
      </c>
      <c r="CF12" s="76">
        <v>0.0426</v>
      </c>
      <c r="CG12" s="76">
        <v>2.7901</v>
      </c>
      <c r="CH12" s="76">
        <v>2.367</v>
      </c>
      <c r="CI12" s="76">
        <v>2.3876</v>
      </c>
      <c r="CJ12" s="76">
        <v>0.035</v>
      </c>
      <c r="CK12" s="76">
        <v>2.3526</v>
      </c>
      <c r="CL12" s="76">
        <v>2.2582</v>
      </c>
      <c r="CM12" s="76">
        <v>521.1801</v>
      </c>
      <c r="CN12" s="76">
        <v>97.7</v>
      </c>
      <c r="CO12" s="76">
        <v>533.45</v>
      </c>
      <c r="CP12" s="76">
        <v>449.2626</v>
      </c>
      <c r="CQ12" s="76">
        <v>40.8145</v>
      </c>
      <c r="CR12" s="76">
        <v>12.885</v>
      </c>
      <c r="CS12" s="76">
        <v>18.2197</v>
      </c>
      <c r="CT12" s="76">
        <v>0.0</v>
      </c>
      <c r="CV12" s="76">
        <v>1.8773</v>
      </c>
      <c r="CW12" s="76">
        <v>247.7032</v>
      </c>
      <c r="CX12" s="76">
        <v>5.3824</v>
      </c>
      <c r="CY12" s="76">
        <v>46.196</v>
      </c>
      <c r="CZ12" s="76">
        <v>33167.0</v>
      </c>
      <c r="DA12" s="164">
        <v>46230.0</v>
      </c>
      <c r="DB12" s="164">
        <v>46250.0</v>
      </c>
      <c r="DC12" s="76">
        <v>21.0</v>
      </c>
      <c r="DD12" s="76">
        <v>425.0</v>
      </c>
      <c r="DE12" s="76">
        <v>0.2814</v>
      </c>
      <c r="DF12" s="76">
        <v>57.0</v>
      </c>
      <c r="DG12" s="76">
        <v>311.0</v>
      </c>
      <c r="DH12" s="76">
        <v>13783.0</v>
      </c>
      <c r="DI12" s="76">
        <v>683.78</v>
      </c>
      <c r="DJ12" s="76">
        <v>1449.68</v>
      </c>
    </row>
    <row r="13">
      <c r="A13" s="152" t="s">
        <v>5</v>
      </c>
      <c r="B13" s="152" t="s">
        <v>151</v>
      </c>
      <c r="C13" s="152" t="b">
        <v>0</v>
      </c>
      <c r="D13" s="152">
        <v>2562.0</v>
      </c>
      <c r="E13" s="152">
        <v>2.93</v>
      </c>
      <c r="F13" s="152">
        <v>1677.99</v>
      </c>
      <c r="G13" s="152">
        <v>0.3073</v>
      </c>
      <c r="H13" s="152">
        <v>6.87</v>
      </c>
      <c r="I13" s="152">
        <v>9.534</v>
      </c>
      <c r="J13" s="152">
        <v>234.4381</v>
      </c>
      <c r="K13" s="152">
        <v>172.9164</v>
      </c>
      <c r="L13" s="152">
        <v>124.0314</v>
      </c>
      <c r="M13" s="152">
        <v>0.7173</v>
      </c>
      <c r="N13" s="152">
        <v>0.3288</v>
      </c>
      <c r="O13" s="152">
        <v>0.1896</v>
      </c>
      <c r="P13" s="152">
        <v>1.3941</v>
      </c>
      <c r="Q13" s="152">
        <v>545.9948</v>
      </c>
      <c r="R13" s="152">
        <v>470.2872</v>
      </c>
      <c r="S13" s="152">
        <v>75.7089</v>
      </c>
      <c r="T13" s="152">
        <v>30.2246</v>
      </c>
      <c r="U13" s="152">
        <v>515.7718</v>
      </c>
      <c r="V13" s="152">
        <v>519.1814</v>
      </c>
      <c r="W13" s="152">
        <v>3.0025</v>
      </c>
      <c r="X13" s="152">
        <v>5.54</v>
      </c>
      <c r="Y13" s="152">
        <v>117.0</v>
      </c>
      <c r="Z13" s="152">
        <v>426.0</v>
      </c>
      <c r="AA13" s="152">
        <v>891.0</v>
      </c>
      <c r="AB13" s="152">
        <v>55.6404</v>
      </c>
      <c r="AC13" s="152">
        <v>0.7431</v>
      </c>
      <c r="AD13" s="152">
        <v>45.6735</v>
      </c>
      <c r="AE13" s="152">
        <v>19.0</v>
      </c>
      <c r="AF13" s="152">
        <v>35.0</v>
      </c>
      <c r="AG13" s="152">
        <v>57.0</v>
      </c>
      <c r="AH13" s="152">
        <v>97.0</v>
      </c>
      <c r="AI13" s="152">
        <v>14.9056</v>
      </c>
      <c r="AJ13" s="152">
        <v>1.8875</v>
      </c>
      <c r="AK13" s="152">
        <v>0.2746</v>
      </c>
      <c r="AL13" s="152">
        <v>0.1136</v>
      </c>
      <c r="AM13" s="152">
        <v>69.6579</v>
      </c>
      <c r="AN13" s="76">
        <v>69.6579</v>
      </c>
      <c r="AO13" s="76">
        <v>62.0779</v>
      </c>
      <c r="AP13" s="76">
        <v>57.1688</v>
      </c>
      <c r="AQ13" s="76">
        <v>31.0379</v>
      </c>
      <c r="AR13" s="76">
        <v>0.4384</v>
      </c>
      <c r="AS13" s="76">
        <v>30.5995</v>
      </c>
      <c r="AT13" s="76">
        <v>27.2882</v>
      </c>
      <c r="AU13" s="76">
        <v>0.1578</v>
      </c>
      <c r="AV13" s="76">
        <v>2562.0</v>
      </c>
      <c r="AW13" s="76">
        <v>0.0</v>
      </c>
      <c r="AX13" s="76">
        <v>311.6361</v>
      </c>
      <c r="AY13" s="76">
        <v>188.6629</v>
      </c>
      <c r="AZ13" s="76">
        <v>4.2913</v>
      </c>
      <c r="BA13" s="76">
        <v>30.2246</v>
      </c>
      <c r="BB13" s="76">
        <v>11.1814</v>
      </c>
      <c r="BC13" s="76">
        <v>204.0</v>
      </c>
      <c r="BD13" s="76">
        <v>3014.0</v>
      </c>
      <c r="BE13" s="76">
        <v>16.4977</v>
      </c>
      <c r="BF13" s="76">
        <v>0.2044</v>
      </c>
      <c r="BG13" s="76">
        <v>16.2934</v>
      </c>
      <c r="BH13" s="76">
        <v>11.9947</v>
      </c>
      <c r="BI13" s="76">
        <v>0.0694</v>
      </c>
      <c r="BJ13" s="76">
        <v>14.5402</v>
      </c>
      <c r="BK13" s="76">
        <v>0.234</v>
      </c>
      <c r="BL13" s="76">
        <v>14.3062</v>
      </c>
      <c r="BM13" s="76">
        <v>15.2935</v>
      </c>
      <c r="BN13" s="76">
        <v>0.0885</v>
      </c>
      <c r="BO13" s="76">
        <v>5.575</v>
      </c>
      <c r="BP13" s="76">
        <v>0.0641</v>
      </c>
      <c r="BQ13" s="76">
        <v>5.5109</v>
      </c>
      <c r="BR13" s="76">
        <v>4.0231</v>
      </c>
      <c r="BS13" s="76">
        <v>6.5074</v>
      </c>
      <c r="BT13" s="76">
        <v>0.0624</v>
      </c>
      <c r="BU13" s="76">
        <v>6.445</v>
      </c>
      <c r="BV13" s="76">
        <v>4.5929</v>
      </c>
      <c r="BW13" s="76">
        <v>4.4153</v>
      </c>
      <c r="BX13" s="76">
        <v>0.0778</v>
      </c>
      <c r="BY13" s="76">
        <v>4.3375</v>
      </c>
      <c r="BZ13" s="76">
        <v>3.3787</v>
      </c>
      <c r="CA13" s="76">
        <v>2.5239</v>
      </c>
      <c r="CB13" s="76">
        <v>0.0634</v>
      </c>
      <c r="CC13" s="76">
        <v>2.4605</v>
      </c>
      <c r="CD13" s="76">
        <v>3.9808</v>
      </c>
      <c r="CE13" s="76">
        <v>6.3155</v>
      </c>
      <c r="CF13" s="76">
        <v>0.0963</v>
      </c>
      <c r="CG13" s="76">
        <v>6.2192</v>
      </c>
      <c r="CH13" s="76">
        <v>5.4105</v>
      </c>
      <c r="CI13" s="76">
        <v>5.7008</v>
      </c>
      <c r="CJ13" s="76">
        <v>0.0743</v>
      </c>
      <c r="CK13" s="76">
        <v>5.6264</v>
      </c>
      <c r="CL13" s="76">
        <v>5.9022</v>
      </c>
      <c r="CM13" s="76">
        <v>1353.8944</v>
      </c>
      <c r="CN13" s="76">
        <v>98.97</v>
      </c>
      <c r="CO13" s="76">
        <v>1367.92</v>
      </c>
      <c r="CP13" s="76">
        <v>1189.5609</v>
      </c>
      <c r="CQ13" s="76">
        <v>117.2565</v>
      </c>
      <c r="CR13" s="76">
        <v>18.8352</v>
      </c>
      <c r="CS13" s="76">
        <v>28.2415</v>
      </c>
      <c r="CT13" s="76">
        <v>0.0</v>
      </c>
      <c r="CV13" s="76">
        <v>64.3138</v>
      </c>
      <c r="CW13" s="76">
        <v>610.3087</v>
      </c>
      <c r="CX13" s="76">
        <v>13.5363</v>
      </c>
      <c r="CY13" s="76">
        <v>130.7914</v>
      </c>
      <c r="CZ13" s="76">
        <v>5461.0</v>
      </c>
      <c r="DA13" s="164">
        <v>46230.0</v>
      </c>
      <c r="DB13" s="164">
        <v>46250.0</v>
      </c>
      <c r="DC13" s="76">
        <v>21.0</v>
      </c>
      <c r="DD13" s="76">
        <v>176.0</v>
      </c>
      <c r="DE13" s="76">
        <v>0.655</v>
      </c>
      <c r="DF13" s="76">
        <v>34.0</v>
      </c>
      <c r="DG13" s="76">
        <v>395.0</v>
      </c>
      <c r="DH13" s="76">
        <v>2560.0</v>
      </c>
      <c r="DI13" s="76">
        <v>1163.81</v>
      </c>
      <c r="DJ13" s="76">
        <v>2885.88</v>
      </c>
    </row>
    <row r="14">
      <c r="A14" s="152" t="s">
        <v>4</v>
      </c>
      <c r="B14" s="152" t="s">
        <v>337</v>
      </c>
      <c r="C14" s="152" t="b">
        <v>1</v>
      </c>
      <c r="D14" s="152">
        <v>70514.0</v>
      </c>
      <c r="E14" s="152">
        <v>100.0</v>
      </c>
      <c r="F14" s="152">
        <v>6767.7</v>
      </c>
      <c r="G14" s="152">
        <v>0.0362</v>
      </c>
      <c r="H14" s="152">
        <v>0.94</v>
      </c>
      <c r="I14" s="152">
        <v>10.1617</v>
      </c>
      <c r="J14" s="152">
        <v>41.1962</v>
      </c>
      <c r="K14" s="152">
        <v>28.5569</v>
      </c>
      <c r="L14" s="152">
        <v>21.5961</v>
      </c>
      <c r="M14" s="152">
        <v>0.7562</v>
      </c>
      <c r="N14" s="152">
        <v>0.3079</v>
      </c>
      <c r="O14" s="152">
        <v>0.1887</v>
      </c>
      <c r="P14" s="152">
        <v>1.3223</v>
      </c>
      <c r="Q14" s="152">
        <v>131.2334</v>
      </c>
      <c r="R14" s="152">
        <v>95.83</v>
      </c>
      <c r="S14" s="152">
        <v>35.4028</v>
      </c>
      <c r="T14" s="152">
        <v>3.9724</v>
      </c>
      <c r="U14" s="152">
        <v>127.2606</v>
      </c>
      <c r="V14" s="152">
        <v>118.3865</v>
      </c>
      <c r="W14" s="152">
        <v>4.1456</v>
      </c>
      <c r="X14" s="152">
        <v>3.03</v>
      </c>
      <c r="Y14" s="152">
        <v>209.0</v>
      </c>
      <c r="Z14" s="152">
        <v>308.0</v>
      </c>
      <c r="AA14" s="152">
        <v>531.0</v>
      </c>
      <c r="AB14" s="152">
        <v>50.9235</v>
      </c>
      <c r="AC14" s="152">
        <v>0.8016</v>
      </c>
      <c r="AD14" s="152">
        <v>14.5998</v>
      </c>
      <c r="AE14" s="152">
        <v>4.0</v>
      </c>
      <c r="AF14" s="152">
        <v>9.0</v>
      </c>
      <c r="AG14" s="152">
        <v>18.0</v>
      </c>
      <c r="AH14" s="152">
        <v>34.0</v>
      </c>
      <c r="AI14" s="152">
        <v>53.3584</v>
      </c>
      <c r="AJ14" s="152">
        <v>21.097</v>
      </c>
      <c r="AK14" s="152">
        <v>1.8333</v>
      </c>
      <c r="AL14" s="152">
        <v>0.5212</v>
      </c>
      <c r="AM14" s="153"/>
      <c r="AQ14" s="76">
        <v>7.4578</v>
      </c>
      <c r="AR14" s="76">
        <v>0.1879</v>
      </c>
      <c r="AS14" s="76">
        <v>7.2698</v>
      </c>
      <c r="AT14" s="76">
        <v>5.3836</v>
      </c>
      <c r="AU14" s="76">
        <v>0.1885</v>
      </c>
      <c r="AV14" s="76">
        <v>70514.0</v>
      </c>
      <c r="AW14" s="76">
        <v>0.0</v>
      </c>
      <c r="AX14" s="76">
        <v>90.5184</v>
      </c>
      <c r="AY14" s="76">
        <v>34.2822</v>
      </c>
      <c r="AZ14" s="76">
        <v>0.9257</v>
      </c>
      <c r="BA14" s="76">
        <v>3.9724</v>
      </c>
      <c r="BB14" s="76">
        <v>1.5345</v>
      </c>
      <c r="BC14" s="76">
        <v>85.0</v>
      </c>
      <c r="BD14" s="76">
        <v>1489.0</v>
      </c>
      <c r="BE14" s="76">
        <v>4.7912</v>
      </c>
      <c r="BF14" s="76">
        <v>0.1461</v>
      </c>
      <c r="BG14" s="76">
        <v>4.6451</v>
      </c>
      <c r="BH14" s="76">
        <v>2.8364</v>
      </c>
      <c r="BI14" s="76">
        <v>0.107</v>
      </c>
      <c r="BJ14" s="76">
        <v>2.6666</v>
      </c>
      <c r="BK14" s="76">
        <v>0.0418</v>
      </c>
      <c r="BL14" s="76">
        <v>2.6248</v>
      </c>
      <c r="BM14" s="76">
        <v>2.5472</v>
      </c>
      <c r="BN14" s="76">
        <v>0.0781</v>
      </c>
      <c r="BO14" s="76">
        <v>1.7214</v>
      </c>
      <c r="BP14" s="76">
        <v>0.0442</v>
      </c>
      <c r="BQ14" s="76">
        <v>1.6772</v>
      </c>
      <c r="BR14" s="76">
        <v>1.0822</v>
      </c>
      <c r="BS14" s="76">
        <v>2.0729</v>
      </c>
      <c r="BT14" s="76">
        <v>0.041</v>
      </c>
      <c r="BU14" s="76">
        <v>2.0319</v>
      </c>
      <c r="BV14" s="76">
        <v>1.0855</v>
      </c>
      <c r="BW14" s="76">
        <v>0.9969</v>
      </c>
      <c r="BX14" s="76">
        <v>0.0609</v>
      </c>
      <c r="BY14" s="76">
        <v>0.936</v>
      </c>
      <c r="BZ14" s="76">
        <v>0.6687</v>
      </c>
      <c r="CA14" s="76">
        <v>0.4628</v>
      </c>
      <c r="CB14" s="76">
        <v>0.009</v>
      </c>
      <c r="CC14" s="76">
        <v>0.4538</v>
      </c>
      <c r="CD14" s="76">
        <v>0.6025</v>
      </c>
      <c r="CE14" s="76">
        <v>1.0856</v>
      </c>
      <c r="CF14" s="76">
        <v>0.0167</v>
      </c>
      <c r="CG14" s="76">
        <v>1.0689</v>
      </c>
      <c r="CH14" s="76">
        <v>0.9032</v>
      </c>
      <c r="CI14" s="76">
        <v>1.1182</v>
      </c>
      <c r="CJ14" s="76">
        <v>0.0161</v>
      </c>
      <c r="CK14" s="76">
        <v>1.1021</v>
      </c>
      <c r="CL14" s="76">
        <v>1.0415</v>
      </c>
      <c r="CM14" s="76">
        <v>236.6232</v>
      </c>
      <c r="CN14" s="76">
        <v>55.97</v>
      </c>
      <c r="CO14" s="76">
        <v>422.74</v>
      </c>
      <c r="CP14" s="76">
        <v>220.8336</v>
      </c>
      <c r="CQ14" s="76">
        <v>0.0</v>
      </c>
      <c r="CR14" s="76">
        <v>6.3597</v>
      </c>
      <c r="CS14" s="76">
        <v>9.4296</v>
      </c>
      <c r="CT14" s="76">
        <v>0.0</v>
      </c>
      <c r="CV14" s="76">
        <v>0.0</v>
      </c>
      <c r="CW14" s="76">
        <v>131.2334</v>
      </c>
      <c r="CX14" s="76">
        <v>0.0</v>
      </c>
      <c r="CY14" s="76">
        <v>0.0</v>
      </c>
      <c r="CZ14" s="76">
        <v>186946.0</v>
      </c>
      <c r="DA14" s="164">
        <v>46230.0</v>
      </c>
      <c r="DB14" s="164">
        <v>46250.0</v>
      </c>
      <c r="DC14" s="76">
        <v>21.0</v>
      </c>
      <c r="DD14" s="76">
        <v>666.0</v>
      </c>
      <c r="DE14" s="76">
        <v>0.096</v>
      </c>
      <c r="DF14" s="76">
        <v>199.0</v>
      </c>
      <c r="DG14" s="76">
        <v>247.0</v>
      </c>
      <c r="DH14" s="76">
        <v>0.0</v>
      </c>
      <c r="DI14" s="76">
        <v>347.92</v>
      </c>
      <c r="DJ14" s="76">
        <v>627.33</v>
      </c>
    </row>
    <row r="15">
      <c r="A15" s="152" t="s">
        <v>5</v>
      </c>
      <c r="B15" s="152" t="s">
        <v>337</v>
      </c>
      <c r="C15" s="152" t="b">
        <v>1</v>
      </c>
      <c r="D15" s="152">
        <v>71085.0</v>
      </c>
      <c r="E15" s="152">
        <v>100.0</v>
      </c>
      <c r="F15" s="152">
        <v>6313.68</v>
      </c>
      <c r="G15" s="152">
        <v>0.0339</v>
      </c>
      <c r="H15" s="152">
        <v>0.91</v>
      </c>
      <c r="I15" s="152">
        <v>9.7283</v>
      </c>
      <c r="J15" s="152">
        <v>40.8581</v>
      </c>
      <c r="K15" s="152">
        <v>28.2609</v>
      </c>
      <c r="L15" s="152">
        <v>21.0351</v>
      </c>
      <c r="M15" s="152">
        <v>0.7443</v>
      </c>
      <c r="N15" s="152">
        <v>0.3139</v>
      </c>
      <c r="O15" s="152">
        <v>0.1876</v>
      </c>
      <c r="P15" s="152">
        <v>1.3435</v>
      </c>
      <c r="Q15" s="152">
        <v>103.8783</v>
      </c>
      <c r="R15" s="152">
        <v>91.931</v>
      </c>
      <c r="S15" s="152">
        <v>11.9475</v>
      </c>
      <c r="T15" s="152">
        <v>3.3492</v>
      </c>
      <c r="U15" s="152">
        <v>100.5293</v>
      </c>
      <c r="V15" s="152">
        <v>94.3641</v>
      </c>
      <c r="W15" s="152">
        <v>3.339</v>
      </c>
      <c r="X15" s="152">
        <v>3.22</v>
      </c>
      <c r="Y15" s="152">
        <v>200.0</v>
      </c>
      <c r="Z15" s="152">
        <v>268.0</v>
      </c>
      <c r="AA15" s="152">
        <v>431.0</v>
      </c>
      <c r="AB15" s="152">
        <v>50.842</v>
      </c>
      <c r="AC15" s="152">
        <v>0.7974</v>
      </c>
      <c r="AD15" s="152">
        <v>13.9991</v>
      </c>
      <c r="AE15" s="152">
        <v>4.0</v>
      </c>
      <c r="AF15" s="152">
        <v>9.0</v>
      </c>
      <c r="AG15" s="152">
        <v>17.0</v>
      </c>
      <c r="AH15" s="152">
        <v>32.0</v>
      </c>
      <c r="AI15" s="152">
        <v>52.7789</v>
      </c>
      <c r="AJ15" s="152">
        <v>20.6336</v>
      </c>
      <c r="AK15" s="152">
        <v>1.6894</v>
      </c>
      <c r="AL15" s="152">
        <v>0.5271</v>
      </c>
      <c r="AM15" s="152">
        <v>14.1869</v>
      </c>
      <c r="AN15" s="76">
        <v>14.1869</v>
      </c>
      <c r="AO15" s="76">
        <v>8.3403</v>
      </c>
      <c r="AP15" s="76">
        <v>5.2148</v>
      </c>
      <c r="AQ15" s="76">
        <v>6.2511</v>
      </c>
      <c r="AR15" s="76">
        <v>0.122</v>
      </c>
      <c r="AS15" s="76">
        <v>6.1291</v>
      </c>
      <c r="AT15" s="76">
        <v>4.6901</v>
      </c>
      <c r="AU15" s="76">
        <v>0.166</v>
      </c>
      <c r="AV15" s="76">
        <v>71085.0</v>
      </c>
      <c r="AW15" s="76">
        <v>0.0</v>
      </c>
      <c r="AX15" s="76">
        <v>61.5773</v>
      </c>
      <c r="AY15" s="76">
        <v>36.6873</v>
      </c>
      <c r="AZ15" s="76">
        <v>0.8703</v>
      </c>
      <c r="BA15" s="76">
        <v>3.3492</v>
      </c>
      <c r="BB15" s="76">
        <v>1.3936</v>
      </c>
      <c r="BC15" s="76">
        <v>79.0</v>
      </c>
      <c r="BD15" s="76">
        <v>1201.0</v>
      </c>
      <c r="BE15" s="76">
        <v>3.7074</v>
      </c>
      <c r="BF15" s="76">
        <v>0.0866</v>
      </c>
      <c r="BG15" s="76">
        <v>3.6208</v>
      </c>
      <c r="BH15" s="76">
        <v>2.3255</v>
      </c>
      <c r="BI15" s="76">
        <v>0.0966</v>
      </c>
      <c r="BJ15" s="76">
        <v>2.5437</v>
      </c>
      <c r="BK15" s="76">
        <v>0.0353</v>
      </c>
      <c r="BL15" s="76">
        <v>2.5083</v>
      </c>
      <c r="BM15" s="76">
        <v>2.3645</v>
      </c>
      <c r="BN15" s="76">
        <v>0.077</v>
      </c>
      <c r="BO15" s="76">
        <v>1.2433</v>
      </c>
      <c r="BP15" s="76">
        <v>0.0309</v>
      </c>
      <c r="BQ15" s="76">
        <v>1.2124</v>
      </c>
      <c r="BR15" s="76">
        <v>0.854</v>
      </c>
      <c r="BS15" s="76">
        <v>1.531</v>
      </c>
      <c r="BT15" s="76">
        <v>0.0234</v>
      </c>
      <c r="BU15" s="76">
        <v>1.5076</v>
      </c>
      <c r="BV15" s="76">
        <v>0.8407</v>
      </c>
      <c r="BW15" s="76">
        <v>0.9331</v>
      </c>
      <c r="BX15" s="76">
        <v>0.0323</v>
      </c>
      <c r="BY15" s="76">
        <v>0.9008</v>
      </c>
      <c r="BZ15" s="76">
        <v>0.6308</v>
      </c>
      <c r="CA15" s="76">
        <v>0.3658</v>
      </c>
      <c r="CB15" s="76">
        <v>0.0071</v>
      </c>
      <c r="CC15" s="76">
        <v>0.3587</v>
      </c>
      <c r="CD15" s="76">
        <v>0.5116</v>
      </c>
      <c r="CE15" s="76">
        <v>1.2157</v>
      </c>
      <c r="CF15" s="76">
        <v>0.015</v>
      </c>
      <c r="CG15" s="76">
        <v>1.2007</v>
      </c>
      <c r="CH15" s="76">
        <v>0.9455</v>
      </c>
      <c r="CI15" s="76">
        <v>0.9622</v>
      </c>
      <c r="CJ15" s="76">
        <v>0.0132</v>
      </c>
      <c r="CK15" s="76">
        <v>0.949</v>
      </c>
      <c r="CL15" s="76">
        <v>0.9075</v>
      </c>
      <c r="CM15" s="76">
        <v>199.4955</v>
      </c>
      <c r="CN15" s="76">
        <v>55.38</v>
      </c>
      <c r="CO15" s="76">
        <v>360.26</v>
      </c>
      <c r="CP15" s="76">
        <v>170.8053</v>
      </c>
      <c r="CQ15" s="76">
        <v>15.4436</v>
      </c>
      <c r="CR15" s="76">
        <v>6.1943</v>
      </c>
      <c r="CS15" s="76">
        <v>7.0521</v>
      </c>
      <c r="CT15" s="76">
        <v>0.0</v>
      </c>
      <c r="CV15" s="76">
        <v>2.5553</v>
      </c>
      <c r="CW15" s="76">
        <v>106.4337</v>
      </c>
      <c r="CX15" s="76">
        <v>2.0996</v>
      </c>
      <c r="CY15" s="76">
        <v>17.543</v>
      </c>
      <c r="CZ15" s="76">
        <v>186096.0</v>
      </c>
      <c r="DA15" s="164">
        <v>46230.0</v>
      </c>
      <c r="DB15" s="164">
        <v>46250.0</v>
      </c>
      <c r="DC15" s="76">
        <v>21.0</v>
      </c>
      <c r="DD15" s="76">
        <v>649.0</v>
      </c>
      <c r="DE15" s="76">
        <v>0.0888</v>
      </c>
      <c r="DF15" s="76">
        <v>199.0</v>
      </c>
      <c r="DG15" s="76">
        <v>227.0</v>
      </c>
      <c r="DH15" s="76">
        <v>41986.0</v>
      </c>
      <c r="DI15" s="76">
        <v>271.95</v>
      </c>
      <c r="DJ15" s="76">
        <v>522.27</v>
      </c>
    </row>
    <row r="16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3"/>
    </row>
    <row r="17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3"/>
    </row>
    <row r="18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3"/>
    </row>
    <row r="19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3"/>
    </row>
    <row r="20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3"/>
      <c r="AE20" s="153"/>
      <c r="AF20" s="153"/>
      <c r="AG20" s="153"/>
      <c r="AH20" s="153"/>
      <c r="AI20" s="152"/>
      <c r="AJ20" s="152"/>
      <c r="AK20" s="152"/>
      <c r="AL20" s="152"/>
      <c r="AM20" s="152"/>
    </row>
    <row r="21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</row>
    <row r="22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</row>
    <row r="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3"/>
      <c r="AE26" s="153"/>
      <c r="AF26" s="153"/>
      <c r="AG26" s="153"/>
      <c r="AH26" s="153"/>
      <c r="AI26" s="152"/>
      <c r="AJ26" s="152"/>
      <c r="AK26" s="152"/>
      <c r="AL26" s="152"/>
      <c r="AM26" s="153"/>
    </row>
    <row r="27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3"/>
    </row>
    <row r="28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3"/>
    </row>
    <row r="29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3"/>
    </row>
    <row r="30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3"/>
    </row>
    <row r="31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3"/>
    </row>
    <row r="32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3"/>
      <c r="AE32" s="153"/>
      <c r="AF32" s="153"/>
      <c r="AG32" s="153"/>
      <c r="AH32" s="153"/>
      <c r="AI32" s="152"/>
      <c r="AJ32" s="152"/>
      <c r="AK32" s="152"/>
      <c r="AL32" s="152"/>
      <c r="AM32" s="152"/>
    </row>
    <row r="3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</row>
    <row r="34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</row>
    <row r="35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</row>
    <row r="36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</row>
    <row r="37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</row>
    <row r="38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3"/>
      <c r="AE38" s="153"/>
      <c r="AF38" s="153"/>
      <c r="AG38" s="153"/>
      <c r="AH38" s="153"/>
      <c r="AI38" s="152"/>
      <c r="AJ38" s="152"/>
      <c r="AK38" s="152"/>
      <c r="AL38" s="152"/>
      <c r="AM38" s="153"/>
    </row>
    <row r="39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3"/>
    </row>
    <row r="40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3"/>
    </row>
    <row r="41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3"/>
    </row>
    <row r="42">
      <c r="A42" s="151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3"/>
    </row>
    <row r="43">
      <c r="A43" s="151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3"/>
    </row>
    <row r="44">
      <c r="A44" s="151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3"/>
      <c r="AE44" s="153"/>
      <c r="AF44" s="153"/>
      <c r="AG44" s="153"/>
      <c r="AH44" s="153"/>
      <c r="AI44" s="152"/>
      <c r="AJ44" s="152"/>
      <c r="AK44" s="152"/>
      <c r="AL44" s="152"/>
      <c r="AM44" s="152"/>
    </row>
    <row r="45">
      <c r="A45" s="151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</row>
    <row r="46">
      <c r="A46" s="151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</row>
    <row r="47">
      <c r="A47" s="151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</row>
    <row r="48">
      <c r="A48" s="151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</row>
    <row r="49">
      <c r="A49" s="151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</row>
    <row r="50">
      <c r="A50" s="151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3"/>
      <c r="AE50" s="153"/>
      <c r="AF50" s="153"/>
      <c r="AG50" s="153"/>
      <c r="AH50" s="153"/>
      <c r="AI50" s="152"/>
      <c r="AJ50" s="152"/>
      <c r="AK50" s="152"/>
      <c r="AL50" s="152"/>
    </row>
    <row r="51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</row>
    <row r="5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</row>
    <row r="53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</row>
    <row r="54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</row>
    <row r="55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</row>
    <row r="56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3"/>
      <c r="AE56" s="153"/>
      <c r="AF56" s="153"/>
      <c r="AG56" s="153"/>
      <c r="AH56" s="153"/>
      <c r="AI56" s="152"/>
      <c r="AJ56" s="152"/>
      <c r="AK56" s="152"/>
      <c r="AL56" s="152"/>
    </row>
    <row r="57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</row>
    <row r="58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</row>
    <row r="59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</row>
    <row r="60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</row>
    <row r="61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</row>
    <row r="62">
      <c r="A62" s="164"/>
    </row>
    <row r="63">
      <c r="A63" s="164"/>
    </row>
    <row r="64">
      <c r="A64" s="164"/>
    </row>
    <row r="65">
      <c r="A65" s="164"/>
    </row>
    <row r="66">
      <c r="A66" s="164"/>
    </row>
    <row r="67">
      <c r="A67" s="164"/>
    </row>
    <row r="68">
      <c r="A68" s="164"/>
    </row>
    <row r="69">
      <c r="A69" s="164"/>
    </row>
    <row r="70">
      <c r="A70" s="164"/>
    </row>
    <row r="71">
      <c r="A71" s="164"/>
    </row>
    <row r="72">
      <c r="A72" s="164"/>
    </row>
    <row r="73">
      <c r="A73" s="164"/>
    </row>
    <row r="74">
      <c r="A74" s="164"/>
    </row>
    <row r="75">
      <c r="A75" s="164"/>
    </row>
    <row r="76">
      <c r="A76" s="164"/>
    </row>
    <row r="77">
      <c r="A77" s="164"/>
    </row>
    <row r="78">
      <c r="A78" s="164"/>
    </row>
    <row r="79">
      <c r="A79" s="164"/>
    </row>
    <row r="80">
      <c r="A80" s="164"/>
    </row>
    <row r="81">
      <c r="A81" s="164"/>
    </row>
    <row r="82">
      <c r="A82" s="164"/>
    </row>
    <row r="83">
      <c r="A83" s="164"/>
    </row>
    <row r="84">
      <c r="A84" s="164"/>
    </row>
    <row r="85">
      <c r="A85" s="164"/>
    </row>
    <row r="86">
      <c r="A86" s="164"/>
    </row>
    <row r="87">
      <c r="A87" s="164"/>
    </row>
    <row r="88">
      <c r="A88" s="164"/>
    </row>
    <row r="89">
      <c r="A89" s="164"/>
    </row>
    <row r="90">
      <c r="A90" s="164"/>
    </row>
    <row r="91">
      <c r="A91" s="164"/>
    </row>
    <row r="92">
      <c r="A92" s="164"/>
    </row>
    <row r="93">
      <c r="A93" s="164"/>
    </row>
    <row r="94">
      <c r="A94" s="164"/>
    </row>
    <row r="95">
      <c r="A95" s="164"/>
    </row>
    <row r="96">
      <c r="A96" s="164"/>
    </row>
    <row r="97">
      <c r="A97" s="164"/>
    </row>
    <row r="98">
      <c r="A98" s="164"/>
    </row>
    <row r="99">
      <c r="A99" s="164"/>
    </row>
    <row r="100">
      <c r="A100" s="164"/>
    </row>
    <row r="101">
      <c r="A101" s="164"/>
    </row>
    <row r="102">
      <c r="A102" s="164"/>
    </row>
    <row r="103">
      <c r="A103" s="164"/>
    </row>
    <row r="104">
      <c r="A104" s="164"/>
    </row>
    <row r="105">
      <c r="A105" s="164"/>
    </row>
    <row r="106">
      <c r="A106" s="164"/>
    </row>
    <row r="107">
      <c r="A107" s="164"/>
    </row>
    <row r="108">
      <c r="A108" s="164"/>
    </row>
    <row r="109">
      <c r="A109" s="164"/>
    </row>
    <row r="110">
      <c r="A110" s="164"/>
    </row>
    <row r="111">
      <c r="A111" s="164"/>
    </row>
    <row r="112">
      <c r="A112" s="164"/>
    </row>
    <row r="113">
      <c r="A113" s="164"/>
    </row>
    <row r="114">
      <c r="A114" s="164"/>
    </row>
    <row r="115">
      <c r="A115" s="164"/>
    </row>
    <row r="116">
      <c r="A116" s="164"/>
    </row>
    <row r="117">
      <c r="A117" s="164"/>
    </row>
    <row r="118">
      <c r="A118" s="164"/>
    </row>
    <row r="119">
      <c r="A119" s="164"/>
    </row>
    <row r="120">
      <c r="A120" s="164"/>
    </row>
    <row r="121">
      <c r="A121" s="164"/>
    </row>
    <row r="122">
      <c r="A122" s="164"/>
    </row>
    <row r="123">
      <c r="A123" s="164"/>
    </row>
    <row r="124">
      <c r="A124" s="164"/>
    </row>
    <row r="125">
      <c r="A125" s="164"/>
    </row>
    <row r="126">
      <c r="A126" s="164"/>
    </row>
    <row r="127">
      <c r="A127" s="164"/>
    </row>
    <row r="128">
      <c r="A128" s="164"/>
    </row>
    <row r="129">
      <c r="A129" s="164"/>
    </row>
    <row r="130">
      <c r="A130" s="164"/>
    </row>
    <row r="131">
      <c r="A131" s="164"/>
    </row>
    <row r="132">
      <c r="A132" s="164"/>
    </row>
    <row r="133">
      <c r="A133" s="164"/>
    </row>
    <row r="134">
      <c r="A134" s="164"/>
    </row>
    <row r="135">
      <c r="A135" s="164"/>
    </row>
    <row r="136">
      <c r="A136" s="164"/>
    </row>
    <row r="137">
      <c r="A137" s="164"/>
    </row>
    <row r="138">
      <c r="A138" s="164"/>
    </row>
    <row r="139">
      <c r="A139" s="164"/>
    </row>
    <row r="140">
      <c r="A140" s="164"/>
    </row>
    <row r="141">
      <c r="A141" s="164"/>
    </row>
    <row r="142">
      <c r="A142" s="164"/>
    </row>
    <row r="143">
      <c r="A143" s="164"/>
    </row>
    <row r="144">
      <c r="A144" s="164"/>
    </row>
    <row r="145">
      <c r="A145" s="164"/>
    </row>
    <row r="146">
      <c r="A146" s="164"/>
    </row>
    <row r="147">
      <c r="A147" s="164"/>
    </row>
    <row r="148">
      <c r="A148" s="164"/>
    </row>
    <row r="149">
      <c r="A149" s="164"/>
    </row>
    <row r="150">
      <c r="A150" s="164"/>
    </row>
    <row r="151">
      <c r="A151" s="164"/>
    </row>
    <row r="152">
      <c r="A152" s="164"/>
    </row>
    <row r="153">
      <c r="A153" s="164"/>
    </row>
    <row r="154">
      <c r="A154" s="164"/>
    </row>
    <row r="155">
      <c r="A155" s="164"/>
    </row>
    <row r="156">
      <c r="A156" s="164"/>
    </row>
    <row r="157">
      <c r="A157" s="164"/>
    </row>
    <row r="158">
      <c r="A158" s="164"/>
    </row>
    <row r="159">
      <c r="A159" s="164"/>
    </row>
    <row r="160">
      <c r="A160" s="164"/>
    </row>
    <row r="161">
      <c r="A161" s="164"/>
    </row>
    <row r="162">
      <c r="A162" s="164"/>
    </row>
    <row r="163">
      <c r="A163" s="164"/>
    </row>
    <row r="164">
      <c r="A164" s="164"/>
    </row>
    <row r="165">
      <c r="A165" s="164"/>
    </row>
    <row r="166">
      <c r="A166" s="164"/>
    </row>
    <row r="167">
      <c r="A167" s="164"/>
    </row>
    <row r="168">
      <c r="A168" s="164"/>
    </row>
    <row r="169">
      <c r="A169" s="164"/>
    </row>
    <row r="170">
      <c r="A170" s="164"/>
    </row>
    <row r="171">
      <c r="A171" s="164"/>
    </row>
    <row r="172">
      <c r="A172" s="164"/>
    </row>
    <row r="173">
      <c r="A173" s="164"/>
    </row>
    <row r="174">
      <c r="A174" s="164"/>
    </row>
    <row r="175">
      <c r="A175" s="164"/>
    </row>
    <row r="176">
      <c r="A176" s="164"/>
    </row>
    <row r="177">
      <c r="A177" s="164"/>
    </row>
    <row r="178">
      <c r="A178" s="164"/>
    </row>
    <row r="179">
      <c r="A179" s="164"/>
    </row>
    <row r="180">
      <c r="A180" s="164"/>
    </row>
    <row r="181">
      <c r="A181" s="164"/>
    </row>
    <row r="182">
      <c r="A182" s="164"/>
    </row>
    <row r="183">
      <c r="A183" s="164"/>
    </row>
    <row r="184">
      <c r="A184" s="164"/>
    </row>
    <row r="185">
      <c r="A185" s="164"/>
    </row>
    <row r="186">
      <c r="A186" s="164"/>
    </row>
    <row r="187">
      <c r="A187" s="164"/>
    </row>
    <row r="188">
      <c r="A188" s="164"/>
    </row>
    <row r="189">
      <c r="A189" s="164"/>
    </row>
    <row r="190">
      <c r="A190" s="164"/>
    </row>
    <row r="191">
      <c r="A191" s="164"/>
    </row>
    <row r="192">
      <c r="A192" s="164"/>
    </row>
    <row r="193">
      <c r="A193" s="164"/>
    </row>
    <row r="194">
      <c r="A194" s="164"/>
    </row>
    <row r="195">
      <c r="A195" s="164"/>
    </row>
    <row r="196">
      <c r="A196" s="164"/>
    </row>
    <row r="197">
      <c r="A197" s="164"/>
    </row>
    <row r="198">
      <c r="A198" s="164"/>
    </row>
    <row r="199">
      <c r="A199" s="164"/>
    </row>
    <row r="200">
      <c r="A200" s="164"/>
    </row>
    <row r="201">
      <c r="A201" s="164"/>
    </row>
    <row r="202">
      <c r="A202" s="164"/>
    </row>
    <row r="203">
      <c r="A203" s="164"/>
    </row>
    <row r="204">
      <c r="A204" s="164"/>
    </row>
    <row r="205">
      <c r="A205" s="16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148" t="s">
        <v>214</v>
      </c>
      <c r="B1" s="148" t="s">
        <v>215</v>
      </c>
      <c r="C1" s="148" t="s">
        <v>325</v>
      </c>
      <c r="D1" s="148" t="s">
        <v>216</v>
      </c>
      <c r="E1" s="148" t="s">
        <v>217</v>
      </c>
      <c r="F1" s="148" t="s">
        <v>218</v>
      </c>
      <c r="G1" s="148" t="s">
        <v>219</v>
      </c>
      <c r="H1" s="148" t="s">
        <v>220</v>
      </c>
      <c r="I1" s="148" t="s">
        <v>221</v>
      </c>
      <c r="J1" s="148" t="s">
        <v>222</v>
      </c>
      <c r="K1" s="148" t="s">
        <v>223</v>
      </c>
      <c r="L1" s="148" t="s">
        <v>224</v>
      </c>
      <c r="M1" s="148" t="s">
        <v>225</v>
      </c>
      <c r="N1" s="148" t="s">
        <v>226</v>
      </c>
      <c r="O1" s="148" t="s">
        <v>227</v>
      </c>
      <c r="P1" s="148" t="s">
        <v>228</v>
      </c>
      <c r="Q1" s="148" t="s">
        <v>229</v>
      </c>
      <c r="R1" s="148" t="s">
        <v>230</v>
      </c>
      <c r="S1" s="148" t="s">
        <v>231</v>
      </c>
      <c r="T1" s="148" t="s">
        <v>232</v>
      </c>
      <c r="U1" s="148" t="s">
        <v>233</v>
      </c>
      <c r="V1" s="148" t="s">
        <v>234</v>
      </c>
      <c r="W1" s="148" t="s">
        <v>235</v>
      </c>
      <c r="X1" s="148" t="s">
        <v>236</v>
      </c>
      <c r="Y1" s="148" t="s">
        <v>237</v>
      </c>
      <c r="Z1" s="148" t="s">
        <v>238</v>
      </c>
      <c r="AA1" s="148" t="s">
        <v>239</v>
      </c>
      <c r="AB1" s="148" t="s">
        <v>240</v>
      </c>
      <c r="AC1" s="148" t="s">
        <v>241</v>
      </c>
      <c r="AD1" s="148" t="s">
        <v>242</v>
      </c>
      <c r="AE1" s="148" t="s">
        <v>243</v>
      </c>
      <c r="AF1" s="148" t="s">
        <v>244</v>
      </c>
      <c r="AG1" s="148" t="s">
        <v>245</v>
      </c>
      <c r="AH1" s="148" t="s">
        <v>246</v>
      </c>
      <c r="AI1" s="148" t="s">
        <v>247</v>
      </c>
      <c r="AJ1" s="148" t="s">
        <v>248</v>
      </c>
      <c r="AK1" s="148" t="s">
        <v>249</v>
      </c>
      <c r="AL1" s="148" t="s">
        <v>250</v>
      </c>
      <c r="AM1" s="148" t="s">
        <v>251</v>
      </c>
      <c r="AN1" s="148" t="s">
        <v>252</v>
      </c>
      <c r="AO1" s="148" t="s">
        <v>253</v>
      </c>
      <c r="AP1" s="148" t="s">
        <v>254</v>
      </c>
      <c r="AQ1" s="148" t="s">
        <v>255</v>
      </c>
      <c r="AR1" s="148" t="s">
        <v>256</v>
      </c>
      <c r="AS1" s="148" t="s">
        <v>257</v>
      </c>
      <c r="AT1" s="148" t="s">
        <v>258</v>
      </c>
      <c r="AU1" s="148" t="s">
        <v>259</v>
      </c>
      <c r="AV1" s="150" t="s">
        <v>260</v>
      </c>
      <c r="AW1" s="150" t="s">
        <v>261</v>
      </c>
      <c r="AX1" s="150" t="s">
        <v>262</v>
      </c>
      <c r="AY1" s="150" t="s">
        <v>263</v>
      </c>
      <c r="AZ1" s="150" t="s">
        <v>264</v>
      </c>
      <c r="BA1" s="150" t="s">
        <v>265</v>
      </c>
      <c r="BB1" s="150" t="s">
        <v>266</v>
      </c>
      <c r="BC1" s="150" t="s">
        <v>267</v>
      </c>
      <c r="BD1" s="150" t="s">
        <v>268</v>
      </c>
      <c r="BE1" s="150" t="s">
        <v>269</v>
      </c>
      <c r="BF1" s="150" t="s">
        <v>270</v>
      </c>
      <c r="BG1" s="150" t="s">
        <v>271</v>
      </c>
      <c r="BH1" s="150" t="s">
        <v>272</v>
      </c>
      <c r="BI1" s="150" t="s">
        <v>273</v>
      </c>
      <c r="BJ1" s="150" t="s">
        <v>274</v>
      </c>
      <c r="BK1" s="150" t="s">
        <v>275</v>
      </c>
      <c r="BL1" s="150" t="s">
        <v>276</v>
      </c>
      <c r="BM1" s="150" t="s">
        <v>277</v>
      </c>
      <c r="BN1" s="150" t="s">
        <v>278</v>
      </c>
      <c r="BO1" s="150" t="s">
        <v>279</v>
      </c>
      <c r="BP1" s="150" t="s">
        <v>280</v>
      </c>
      <c r="BQ1" s="150" t="s">
        <v>281</v>
      </c>
      <c r="BR1" s="150" t="s">
        <v>282</v>
      </c>
      <c r="BS1" s="150" t="s">
        <v>283</v>
      </c>
      <c r="BT1" s="150" t="s">
        <v>284</v>
      </c>
      <c r="BU1" s="150" t="s">
        <v>285</v>
      </c>
      <c r="BV1" s="150" t="s">
        <v>286</v>
      </c>
      <c r="BW1" s="150" t="s">
        <v>287</v>
      </c>
      <c r="BX1" s="150" t="s">
        <v>288</v>
      </c>
      <c r="BY1" s="150" t="s">
        <v>289</v>
      </c>
      <c r="BZ1" s="150" t="s">
        <v>290</v>
      </c>
      <c r="CA1" s="150" t="s">
        <v>291</v>
      </c>
      <c r="CB1" s="150" t="s">
        <v>292</v>
      </c>
      <c r="CC1" s="150" t="s">
        <v>293</v>
      </c>
      <c r="CD1" s="150" t="s">
        <v>294</v>
      </c>
      <c r="CE1" s="150" t="s">
        <v>295</v>
      </c>
      <c r="CF1" s="150" t="s">
        <v>296</v>
      </c>
      <c r="CG1" s="150" t="s">
        <v>297</v>
      </c>
      <c r="CH1" s="150" t="s">
        <v>298</v>
      </c>
      <c r="CI1" s="150" t="s">
        <v>299</v>
      </c>
      <c r="CJ1" s="150" t="s">
        <v>300</v>
      </c>
      <c r="CK1" s="150" t="s">
        <v>301</v>
      </c>
      <c r="CL1" s="150" t="s">
        <v>302</v>
      </c>
      <c r="CM1" s="150" t="s">
        <v>303</v>
      </c>
      <c r="CN1" s="150" t="s">
        <v>304</v>
      </c>
      <c r="CO1" s="150" t="s">
        <v>305</v>
      </c>
      <c r="CP1" s="150" t="s">
        <v>306</v>
      </c>
      <c r="CQ1" s="150" t="s">
        <v>307</v>
      </c>
      <c r="CR1" s="150" t="s">
        <v>308</v>
      </c>
      <c r="CS1" s="150" t="s">
        <v>309</v>
      </c>
      <c r="CT1" s="150" t="s">
        <v>310</v>
      </c>
      <c r="CU1" s="150" t="s">
        <v>311</v>
      </c>
      <c r="CV1" s="150" t="s">
        <v>312</v>
      </c>
      <c r="CW1" s="150" t="s">
        <v>313</v>
      </c>
      <c r="CX1" s="150" t="s">
        <v>314</v>
      </c>
      <c r="CY1" s="150" t="s">
        <v>315</v>
      </c>
      <c r="CZ1" s="150" t="s">
        <v>326</v>
      </c>
      <c r="DA1" s="150" t="s">
        <v>327</v>
      </c>
      <c r="DB1" s="150" t="s">
        <v>328</v>
      </c>
      <c r="DC1" s="150" t="s">
        <v>329</v>
      </c>
      <c r="DD1" s="150" t="s">
        <v>330</v>
      </c>
      <c r="DE1" s="150" t="s">
        <v>331</v>
      </c>
      <c r="DF1" s="150" t="s">
        <v>332</v>
      </c>
      <c r="DG1" s="150" t="s">
        <v>333</v>
      </c>
      <c r="DH1" s="150" t="s">
        <v>334</v>
      </c>
      <c r="DI1" s="150" t="s">
        <v>335</v>
      </c>
      <c r="DJ1" s="150" t="s">
        <v>336</v>
      </c>
    </row>
    <row r="2">
      <c r="A2" s="152" t="s">
        <v>4</v>
      </c>
      <c r="B2" s="152" t="s">
        <v>316</v>
      </c>
      <c r="C2" s="152" t="b">
        <v>0</v>
      </c>
      <c r="D2" s="152">
        <v>34743.0</v>
      </c>
      <c r="E2" s="152">
        <v>21.41</v>
      </c>
      <c r="F2" s="152">
        <v>8194.27</v>
      </c>
      <c r="G2" s="152">
        <v>0.1029</v>
      </c>
      <c r="H2" s="152">
        <v>0.59</v>
      </c>
      <c r="I2" s="152">
        <v>39.972</v>
      </c>
      <c r="J2" s="152">
        <v>23.0305</v>
      </c>
      <c r="K2" s="152">
        <v>12.7886</v>
      </c>
      <c r="L2" s="152">
        <v>8.7423</v>
      </c>
      <c r="M2" s="152">
        <v>0.6836</v>
      </c>
      <c r="N2" s="152">
        <v>0.4295</v>
      </c>
      <c r="O2" s="152">
        <v>0.2137</v>
      </c>
      <c r="P2" s="152">
        <v>1.4628</v>
      </c>
      <c r="Q2" s="152">
        <v>58.9645</v>
      </c>
      <c r="R2" s="152">
        <v>58.8074</v>
      </c>
      <c r="S2" s="152">
        <v>0.1594</v>
      </c>
      <c r="T2" s="152">
        <v>8.5796</v>
      </c>
      <c r="U2" s="152">
        <v>50.3835</v>
      </c>
      <c r="V2" s="152">
        <v>40.6614</v>
      </c>
      <c r="W2" s="152">
        <v>3.1795</v>
      </c>
      <c r="X2" s="152">
        <v>14.55</v>
      </c>
      <c r="Y2" s="152">
        <v>183.0</v>
      </c>
      <c r="Z2" s="152">
        <v>714.0</v>
      </c>
      <c r="AA2" s="152">
        <v>5547.0</v>
      </c>
      <c r="AB2" s="152">
        <v>49.9866</v>
      </c>
      <c r="AC2" s="152">
        <v>0.4727</v>
      </c>
      <c r="AD2" s="153"/>
      <c r="AE2" s="153"/>
      <c r="AF2" s="153"/>
      <c r="AG2" s="153"/>
      <c r="AH2" s="153"/>
      <c r="AI2" s="152">
        <v>0.0</v>
      </c>
      <c r="AJ2" s="152">
        <v>0.0</v>
      </c>
      <c r="AK2" s="152">
        <v>0.0</v>
      </c>
      <c r="AL2" s="152">
        <v>0.4433</v>
      </c>
      <c r="AM2" s="153"/>
      <c r="AQ2" s="76">
        <v>1.9114</v>
      </c>
      <c r="AR2" s="76">
        <v>0.086</v>
      </c>
      <c r="AS2" s="76">
        <v>1.8254</v>
      </c>
      <c r="AT2" s="76">
        <v>1.4629</v>
      </c>
      <c r="AU2" s="76">
        <v>0.1144</v>
      </c>
      <c r="AV2" s="76">
        <v>34743.0</v>
      </c>
      <c r="AW2" s="76">
        <v>0.0</v>
      </c>
      <c r="AX2" s="76">
        <v>15.1498</v>
      </c>
      <c r="AY2" s="76">
        <v>31.9611</v>
      </c>
      <c r="AZ2" s="76">
        <v>3.0139</v>
      </c>
      <c r="BA2" s="76">
        <v>8.5781</v>
      </c>
      <c r="BB2" s="76">
        <v>0.2611</v>
      </c>
      <c r="BD2" s="76">
        <v>30760.0</v>
      </c>
      <c r="BE2" s="76">
        <v>0.7866</v>
      </c>
      <c r="BF2" s="76">
        <v>0.0345</v>
      </c>
      <c r="BG2" s="76">
        <v>0.7521</v>
      </c>
      <c r="BH2" s="76">
        <v>0.6682</v>
      </c>
      <c r="BI2" s="76">
        <v>0.0579</v>
      </c>
      <c r="BJ2" s="76">
        <v>1.1248</v>
      </c>
      <c r="BK2" s="76">
        <v>0.0515</v>
      </c>
      <c r="BL2" s="76">
        <v>1.0733</v>
      </c>
      <c r="BM2" s="76">
        <v>0.7947</v>
      </c>
      <c r="BN2" s="76">
        <v>0.0623</v>
      </c>
      <c r="BO2" s="76">
        <v>0.276</v>
      </c>
      <c r="BP2" s="76">
        <v>0.0121</v>
      </c>
      <c r="BQ2" s="76">
        <v>0.2639</v>
      </c>
      <c r="BR2" s="76">
        <v>0.2529</v>
      </c>
      <c r="BS2" s="76">
        <v>0.2855</v>
      </c>
      <c r="BT2" s="76">
        <v>0.0111</v>
      </c>
      <c r="BU2" s="76">
        <v>0.2744</v>
      </c>
      <c r="BV2" s="76">
        <v>0.24</v>
      </c>
      <c r="BW2" s="76">
        <v>0.2251</v>
      </c>
      <c r="BX2" s="76">
        <v>0.0113</v>
      </c>
      <c r="BY2" s="76">
        <v>0.2138</v>
      </c>
      <c r="BZ2" s="76">
        <v>0.1753</v>
      </c>
      <c r="CA2" s="76">
        <v>0.2326</v>
      </c>
      <c r="CB2" s="76">
        <v>0.0123</v>
      </c>
      <c r="CC2" s="76">
        <v>0.2203</v>
      </c>
      <c r="CD2" s="76">
        <v>0.1821</v>
      </c>
      <c r="CE2" s="76">
        <v>0.5016</v>
      </c>
      <c r="CF2" s="76">
        <v>0.0237</v>
      </c>
      <c r="CG2" s="76">
        <v>0.4779</v>
      </c>
      <c r="CH2" s="76">
        <v>0.3234</v>
      </c>
      <c r="CI2" s="76">
        <v>0.3906</v>
      </c>
      <c r="CJ2" s="76">
        <v>0.0155</v>
      </c>
      <c r="CK2" s="76">
        <v>0.3751</v>
      </c>
      <c r="CL2" s="76">
        <v>0.2891</v>
      </c>
      <c r="CM2" s="76">
        <v>150.1566</v>
      </c>
      <c r="CN2" s="76">
        <v>21.01</v>
      </c>
      <c r="CO2" s="76">
        <v>714.75</v>
      </c>
      <c r="CP2" s="76">
        <v>139.2206</v>
      </c>
      <c r="CQ2" s="76">
        <v>0.0</v>
      </c>
      <c r="CR2" s="76">
        <v>3.4461</v>
      </c>
      <c r="CS2" s="76">
        <v>7.492</v>
      </c>
      <c r="CT2" s="76">
        <v>0.0</v>
      </c>
      <c r="CV2" s="76">
        <v>0.0</v>
      </c>
      <c r="CW2" s="76">
        <v>58.9645</v>
      </c>
      <c r="CX2" s="76">
        <v>0.0</v>
      </c>
      <c r="CY2" s="76">
        <v>0.0</v>
      </c>
      <c r="CZ2" s="76">
        <v>79663.0</v>
      </c>
      <c r="DA2" s="164">
        <v>46230.0</v>
      </c>
      <c r="DB2" s="164">
        <v>46250.0</v>
      </c>
      <c r="DC2" s="76">
        <v>21.0</v>
      </c>
      <c r="DD2" s="76">
        <v>205.0</v>
      </c>
      <c r="DE2" s="76">
        <v>0.2359</v>
      </c>
      <c r="DF2" s="76">
        <v>156.0</v>
      </c>
      <c r="DG2" s="76">
        <v>212.0</v>
      </c>
      <c r="DH2" s="76">
        <v>2.0</v>
      </c>
      <c r="DI2" s="76">
        <v>135.2</v>
      </c>
      <c r="DJ2" s="76">
        <v>344.3</v>
      </c>
    </row>
    <row r="3">
      <c r="A3" s="152" t="s">
        <v>4</v>
      </c>
      <c r="B3" s="152" t="s">
        <v>147</v>
      </c>
      <c r="C3" s="152" t="b">
        <v>0</v>
      </c>
      <c r="D3" s="152">
        <v>34811.0</v>
      </c>
      <c r="E3" s="152">
        <v>30.83</v>
      </c>
      <c r="F3" s="152">
        <v>2636.3</v>
      </c>
      <c r="G3" s="152">
        <v>0.023</v>
      </c>
      <c r="H3" s="152">
        <v>1.84</v>
      </c>
      <c r="I3" s="152">
        <v>4.1257</v>
      </c>
      <c r="J3" s="152">
        <v>25.6924</v>
      </c>
      <c r="K3" s="152">
        <v>12.942</v>
      </c>
      <c r="L3" s="152">
        <v>5.4268</v>
      </c>
      <c r="M3" s="152">
        <v>0.4193</v>
      </c>
      <c r="N3" s="152">
        <v>0.7003</v>
      </c>
      <c r="O3" s="152">
        <v>0.4679</v>
      </c>
      <c r="P3" s="152">
        <v>2.3848</v>
      </c>
      <c r="Q3" s="152">
        <v>57.3787</v>
      </c>
      <c r="R3" s="152">
        <v>47.7312</v>
      </c>
      <c r="S3" s="152">
        <v>9.6465</v>
      </c>
      <c r="T3" s="152">
        <v>2.1975</v>
      </c>
      <c r="U3" s="152">
        <v>55.1811</v>
      </c>
      <c r="V3" s="152">
        <v>54.1058</v>
      </c>
      <c r="W3" s="152">
        <v>4.1806</v>
      </c>
      <c r="X3" s="152">
        <v>3.83</v>
      </c>
      <c r="Y3" s="152">
        <v>138.0</v>
      </c>
      <c r="Z3" s="152">
        <v>435.0</v>
      </c>
      <c r="AA3" s="152">
        <v>1996.0</v>
      </c>
      <c r="AB3" s="152">
        <v>49.6035</v>
      </c>
      <c r="AC3" s="152">
        <v>0.5549</v>
      </c>
      <c r="AD3" s="152">
        <v>3.9493</v>
      </c>
      <c r="AE3" s="152">
        <v>1.0</v>
      </c>
      <c r="AF3" s="152">
        <v>3.0</v>
      </c>
      <c r="AG3" s="152">
        <v>5.0</v>
      </c>
      <c r="AH3" s="152">
        <v>9.0</v>
      </c>
      <c r="AI3" s="152">
        <v>73.0467</v>
      </c>
      <c r="AJ3" s="152">
        <v>31.2092</v>
      </c>
      <c r="AK3" s="152">
        <v>7.4882</v>
      </c>
      <c r="AL3" s="152">
        <v>0.393</v>
      </c>
      <c r="AM3" s="153"/>
      <c r="AQ3" s="76">
        <v>3.259</v>
      </c>
      <c r="AR3" s="76">
        <v>0.0405</v>
      </c>
      <c r="AS3" s="76">
        <v>3.2185</v>
      </c>
      <c r="AT3" s="76">
        <v>2.8821</v>
      </c>
      <c r="AU3" s="76">
        <v>0.2227</v>
      </c>
      <c r="AV3" s="76">
        <v>34811.0</v>
      </c>
      <c r="AW3" s="76">
        <v>0.0</v>
      </c>
      <c r="AX3" s="76">
        <v>31.3753</v>
      </c>
      <c r="AY3" s="76">
        <v>20.3409</v>
      </c>
      <c r="AZ3" s="76">
        <v>2.7426</v>
      </c>
      <c r="BA3" s="76">
        <v>2.1975</v>
      </c>
      <c r="BB3" s="76">
        <v>0.7242</v>
      </c>
      <c r="BC3" s="76">
        <v>17.0</v>
      </c>
      <c r="BD3" s="76">
        <v>22830.0</v>
      </c>
      <c r="BE3" s="76">
        <v>1.867</v>
      </c>
      <c r="BF3" s="76">
        <v>0.0202</v>
      </c>
      <c r="BG3" s="76">
        <v>1.8468</v>
      </c>
      <c r="BH3" s="76">
        <v>1.5512</v>
      </c>
      <c r="BI3" s="76">
        <v>0.1199</v>
      </c>
      <c r="BJ3" s="76">
        <v>1.3919</v>
      </c>
      <c r="BK3" s="76">
        <v>0.0202</v>
      </c>
      <c r="BL3" s="76">
        <v>1.3717</v>
      </c>
      <c r="BM3" s="76">
        <v>1.3309</v>
      </c>
      <c r="BN3" s="76">
        <v>0.103</v>
      </c>
      <c r="BO3" s="76">
        <v>0.7259</v>
      </c>
      <c r="BP3" s="76">
        <v>0.0077</v>
      </c>
      <c r="BQ3" s="76">
        <v>0.7182</v>
      </c>
      <c r="BR3" s="76">
        <v>0.5985</v>
      </c>
      <c r="BS3" s="76">
        <v>0.7653</v>
      </c>
      <c r="BT3" s="76">
        <v>0.0052</v>
      </c>
      <c r="BU3" s="76">
        <v>0.7601</v>
      </c>
      <c r="BV3" s="76">
        <v>0.6253</v>
      </c>
      <c r="BW3" s="76">
        <v>0.3758</v>
      </c>
      <c r="BX3" s="76">
        <v>0.0073</v>
      </c>
      <c r="BY3" s="76">
        <v>0.3685</v>
      </c>
      <c r="BZ3" s="76">
        <v>0.3274</v>
      </c>
      <c r="CA3" s="76">
        <v>0.259</v>
      </c>
      <c r="CB3" s="76">
        <v>0.0041</v>
      </c>
      <c r="CC3" s="76">
        <v>0.2549</v>
      </c>
      <c r="CD3" s="76">
        <v>0.249</v>
      </c>
      <c r="CE3" s="76">
        <v>0.6248</v>
      </c>
      <c r="CF3" s="76">
        <v>0.0095</v>
      </c>
      <c r="CG3" s="76">
        <v>0.6153</v>
      </c>
      <c r="CH3" s="76">
        <v>0.5915</v>
      </c>
      <c r="CI3" s="76">
        <v>0.5081</v>
      </c>
      <c r="CJ3" s="76">
        <v>0.0066</v>
      </c>
      <c r="CK3" s="76">
        <v>0.5015</v>
      </c>
      <c r="CL3" s="76">
        <v>0.4904</v>
      </c>
      <c r="CM3" s="76">
        <v>91.3463</v>
      </c>
      <c r="CN3" s="76">
        <v>83.25</v>
      </c>
      <c r="CO3" s="76">
        <v>109.72</v>
      </c>
      <c r="CP3" s="76">
        <v>83.1814</v>
      </c>
      <c r="CQ3" s="76">
        <v>9.0E-4</v>
      </c>
      <c r="CR3" s="76">
        <v>5.2824</v>
      </c>
      <c r="CS3" s="76">
        <v>2.8796</v>
      </c>
      <c r="CT3" s="76">
        <v>0.0</v>
      </c>
      <c r="CV3" s="76">
        <v>0.0</v>
      </c>
      <c r="CW3" s="76">
        <v>57.3787</v>
      </c>
      <c r="CX3" s="76">
        <v>0.0</v>
      </c>
      <c r="CY3" s="76">
        <v>9.0E-4</v>
      </c>
      <c r="CZ3" s="76">
        <v>114739.0</v>
      </c>
      <c r="DA3" s="164">
        <v>46230.0</v>
      </c>
      <c r="DB3" s="164">
        <v>46250.0</v>
      </c>
      <c r="DC3" s="76">
        <v>21.0</v>
      </c>
      <c r="DD3" s="76">
        <v>639.0</v>
      </c>
      <c r="DE3" s="76">
        <v>0.0757</v>
      </c>
      <c r="DF3" s="76">
        <v>95.0</v>
      </c>
      <c r="DG3" s="76">
        <v>193.0</v>
      </c>
      <c r="DH3" s="76">
        <v>4.0</v>
      </c>
      <c r="DI3" s="76">
        <v>189.12</v>
      </c>
      <c r="DJ3" s="76">
        <v>301.08</v>
      </c>
    </row>
    <row r="4">
      <c r="A4" s="152" t="s">
        <v>4</v>
      </c>
      <c r="B4" s="152" t="s">
        <v>148</v>
      </c>
      <c r="C4" s="152" t="b">
        <v>0</v>
      </c>
      <c r="D4" s="152">
        <v>23534.0</v>
      </c>
      <c r="E4" s="152">
        <v>22.59</v>
      </c>
      <c r="F4" s="152">
        <v>7182.74</v>
      </c>
      <c r="G4" s="152">
        <v>0.0854</v>
      </c>
      <c r="H4" s="152">
        <v>4.35</v>
      </c>
      <c r="I4" s="152">
        <v>7.0144</v>
      </c>
      <c r="J4" s="152">
        <v>47.808</v>
      </c>
      <c r="K4" s="152">
        <v>24.9513</v>
      </c>
      <c r="L4" s="152">
        <v>14.1632</v>
      </c>
      <c r="M4" s="152">
        <v>0.5676</v>
      </c>
      <c r="N4" s="152">
        <v>0.5761</v>
      </c>
      <c r="O4" s="152">
        <v>0.3713</v>
      </c>
      <c r="P4" s="152">
        <v>1.7617</v>
      </c>
      <c r="Q4" s="152">
        <v>108.1771</v>
      </c>
      <c r="R4" s="152">
        <v>83.4041</v>
      </c>
      <c r="S4" s="152">
        <v>24.7721</v>
      </c>
      <c r="T4" s="152">
        <v>7.1423</v>
      </c>
      <c r="U4" s="152">
        <v>101.0336</v>
      </c>
      <c r="V4" s="152">
        <v>107.1296</v>
      </c>
      <c r="W4" s="152">
        <v>4.2935</v>
      </c>
      <c r="X4" s="152">
        <v>6.6</v>
      </c>
      <c r="Y4" s="152">
        <v>123.0</v>
      </c>
      <c r="Z4" s="152">
        <v>458.0</v>
      </c>
      <c r="AA4" s="152">
        <v>2208.0</v>
      </c>
      <c r="AB4" s="152">
        <v>52.5846</v>
      </c>
      <c r="AC4" s="152">
        <v>0.6509</v>
      </c>
      <c r="AD4" s="152">
        <v>9.4525</v>
      </c>
      <c r="AE4" s="152">
        <v>4.0</v>
      </c>
      <c r="AF4" s="152">
        <v>8.0</v>
      </c>
      <c r="AG4" s="152">
        <v>13.0</v>
      </c>
      <c r="AH4" s="152">
        <v>19.0</v>
      </c>
      <c r="AI4" s="152">
        <v>62.9668</v>
      </c>
      <c r="AJ4" s="152">
        <v>26.1794</v>
      </c>
      <c r="AK4" s="152">
        <v>4.191</v>
      </c>
      <c r="AL4" s="152">
        <v>0.2832</v>
      </c>
      <c r="AM4" s="153"/>
      <c r="AQ4" s="76">
        <v>6.1636</v>
      </c>
      <c r="AR4" s="76">
        <v>0.0955</v>
      </c>
      <c r="AS4" s="76">
        <v>6.068</v>
      </c>
      <c r="AT4" s="76">
        <v>5.5055</v>
      </c>
      <c r="AU4" s="76">
        <v>0.2207</v>
      </c>
      <c r="AV4" s="76">
        <v>23534.0</v>
      </c>
      <c r="AW4" s="76">
        <v>0.0</v>
      </c>
      <c r="AX4" s="76">
        <v>54.3699</v>
      </c>
      <c r="AY4" s="76">
        <v>41.5756</v>
      </c>
      <c r="AZ4" s="76">
        <v>3.6401</v>
      </c>
      <c r="BA4" s="76">
        <v>7.1393</v>
      </c>
      <c r="BB4" s="76">
        <v>1.4523</v>
      </c>
      <c r="BC4" s="76">
        <v>36.0</v>
      </c>
      <c r="BD4" s="76">
        <v>23397.0</v>
      </c>
      <c r="BE4" s="76">
        <v>3.472</v>
      </c>
      <c r="BF4" s="76">
        <v>0.0461</v>
      </c>
      <c r="BG4" s="76">
        <v>3.4259</v>
      </c>
      <c r="BH4" s="76">
        <v>2.8831</v>
      </c>
      <c r="BI4" s="76">
        <v>0.1156</v>
      </c>
      <c r="BJ4" s="76">
        <v>2.6915</v>
      </c>
      <c r="BK4" s="76">
        <v>0.0494</v>
      </c>
      <c r="BL4" s="76">
        <v>2.6421</v>
      </c>
      <c r="BM4" s="76">
        <v>2.6225</v>
      </c>
      <c r="BN4" s="76">
        <v>0.1053</v>
      </c>
      <c r="BO4" s="76">
        <v>1.3283</v>
      </c>
      <c r="BP4" s="76">
        <v>0.0154</v>
      </c>
      <c r="BQ4" s="76">
        <v>1.3129</v>
      </c>
      <c r="BR4" s="76">
        <v>1.0916</v>
      </c>
      <c r="BS4" s="76">
        <v>1.4325</v>
      </c>
      <c r="BT4" s="76">
        <v>0.0138</v>
      </c>
      <c r="BU4" s="76">
        <v>1.4187</v>
      </c>
      <c r="BV4" s="76">
        <v>1.1842</v>
      </c>
      <c r="BW4" s="76">
        <v>0.7112</v>
      </c>
      <c r="BX4" s="76">
        <v>0.0169</v>
      </c>
      <c r="BY4" s="76">
        <v>0.6943</v>
      </c>
      <c r="BZ4" s="76">
        <v>0.6073</v>
      </c>
      <c r="CA4" s="76">
        <v>0.5121</v>
      </c>
      <c r="CB4" s="76">
        <v>0.012</v>
      </c>
      <c r="CC4" s="76">
        <v>0.5001</v>
      </c>
      <c r="CD4" s="76">
        <v>0.5104</v>
      </c>
      <c r="CE4" s="76">
        <v>1.1365</v>
      </c>
      <c r="CF4" s="76">
        <v>0.021</v>
      </c>
      <c r="CG4" s="76">
        <v>1.1156</v>
      </c>
      <c r="CH4" s="76">
        <v>1.103</v>
      </c>
      <c r="CI4" s="76">
        <v>1.0429</v>
      </c>
      <c r="CJ4" s="76">
        <v>0.0165</v>
      </c>
      <c r="CK4" s="76">
        <v>1.0264</v>
      </c>
      <c r="CL4" s="76">
        <v>1.0091</v>
      </c>
      <c r="CM4" s="76">
        <v>214.5352</v>
      </c>
      <c r="CN4" s="76">
        <v>91.67</v>
      </c>
      <c r="CO4" s="76">
        <v>234.02</v>
      </c>
      <c r="CP4" s="76">
        <v>197.0201</v>
      </c>
      <c r="CQ4" s="76">
        <v>0.0033</v>
      </c>
      <c r="CR4" s="76">
        <v>6.2786</v>
      </c>
      <c r="CS4" s="76">
        <v>11.2317</v>
      </c>
      <c r="CT4" s="76">
        <v>0.0</v>
      </c>
      <c r="CV4" s="76">
        <v>0.0</v>
      </c>
      <c r="CW4" s="76">
        <v>108.1771</v>
      </c>
      <c r="CX4" s="76">
        <v>5.0E-4</v>
      </c>
      <c r="CY4" s="76">
        <v>0.0038</v>
      </c>
      <c r="CZ4" s="76">
        <v>84062.0</v>
      </c>
      <c r="DA4" s="164">
        <v>46230.0</v>
      </c>
      <c r="DB4" s="164">
        <v>46250.0</v>
      </c>
      <c r="DC4" s="76">
        <v>21.0</v>
      </c>
      <c r="DD4" s="76">
        <v>1024.0</v>
      </c>
      <c r="DE4" s="76">
        <v>0.3052</v>
      </c>
      <c r="DF4" s="76">
        <v>72.0</v>
      </c>
      <c r="DG4" s="76">
        <v>212.0</v>
      </c>
      <c r="DH4" s="76">
        <v>8.0</v>
      </c>
      <c r="DI4" s="76">
        <v>386.4</v>
      </c>
      <c r="DJ4" s="76">
        <v>766.31</v>
      </c>
    </row>
    <row r="5">
      <c r="A5" s="152" t="s">
        <v>4</v>
      </c>
      <c r="B5" s="152" t="s">
        <v>149</v>
      </c>
      <c r="C5" s="152" t="b">
        <v>0</v>
      </c>
      <c r="D5" s="152">
        <v>15540.0</v>
      </c>
      <c r="E5" s="152">
        <v>15.6</v>
      </c>
      <c r="F5" s="152">
        <v>11388.42</v>
      </c>
      <c r="G5" s="152">
        <v>0.1962</v>
      </c>
      <c r="H5" s="152">
        <v>6.19</v>
      </c>
      <c r="I5" s="152">
        <v>11.8383</v>
      </c>
      <c r="J5" s="152">
        <v>72.6752</v>
      </c>
      <c r="K5" s="152">
        <v>39.8813</v>
      </c>
      <c r="L5" s="152">
        <v>27.2366</v>
      </c>
      <c r="M5" s="152">
        <v>0.6829</v>
      </c>
      <c r="N5" s="152">
        <v>0.4705</v>
      </c>
      <c r="O5" s="152">
        <v>0.3141</v>
      </c>
      <c r="P5" s="152">
        <v>1.4643</v>
      </c>
      <c r="Q5" s="152">
        <v>184.5403</v>
      </c>
      <c r="R5" s="152">
        <v>136.2154</v>
      </c>
      <c r="S5" s="152">
        <v>48.3256</v>
      </c>
      <c r="T5" s="152">
        <v>15.9183</v>
      </c>
      <c r="U5" s="152">
        <v>168.6218</v>
      </c>
      <c r="V5" s="152">
        <v>185.2802</v>
      </c>
      <c r="W5" s="152">
        <v>4.6458</v>
      </c>
      <c r="X5" s="152">
        <v>8.63</v>
      </c>
      <c r="Y5" s="152">
        <v>129.0</v>
      </c>
      <c r="Z5" s="152">
        <v>508.0</v>
      </c>
      <c r="AA5" s="152">
        <v>2114.0</v>
      </c>
      <c r="AB5" s="152">
        <v>54.8463</v>
      </c>
      <c r="AC5" s="152">
        <v>0.735</v>
      </c>
      <c r="AD5" s="152">
        <v>17.0874</v>
      </c>
      <c r="AE5" s="152">
        <v>7.0</v>
      </c>
      <c r="AF5" s="152">
        <v>13.0</v>
      </c>
      <c r="AG5" s="152">
        <v>23.0</v>
      </c>
      <c r="AH5" s="152">
        <v>35.0</v>
      </c>
      <c r="AI5" s="152">
        <v>59.2727</v>
      </c>
      <c r="AJ5" s="152">
        <v>20.9382</v>
      </c>
      <c r="AK5" s="152">
        <v>6.0458</v>
      </c>
      <c r="AL5" s="152">
        <v>0.2365</v>
      </c>
      <c r="AM5" s="153"/>
      <c r="AQ5" s="76">
        <v>9.6658</v>
      </c>
      <c r="AR5" s="76">
        <v>0.201</v>
      </c>
      <c r="AS5" s="76">
        <v>9.4648</v>
      </c>
      <c r="AT5" s="76">
        <v>8.8351</v>
      </c>
      <c r="AU5" s="76">
        <v>0.2215</v>
      </c>
      <c r="AV5" s="76">
        <v>15540.0</v>
      </c>
      <c r="AW5" s="76">
        <v>0.0</v>
      </c>
      <c r="AX5" s="76">
        <v>89.304</v>
      </c>
      <c r="AY5" s="76">
        <v>72.8921</v>
      </c>
      <c r="AZ5" s="76">
        <v>3.7847</v>
      </c>
      <c r="BA5" s="76">
        <v>15.9175</v>
      </c>
      <c r="BB5" s="76">
        <v>2.6402</v>
      </c>
      <c r="BC5" s="76">
        <v>66.0</v>
      </c>
      <c r="BD5" s="76">
        <v>21494.0</v>
      </c>
      <c r="BE5" s="76">
        <v>5.3762</v>
      </c>
      <c r="BF5" s="76">
        <v>0.0947</v>
      </c>
      <c r="BG5" s="76">
        <v>5.2815</v>
      </c>
      <c r="BH5" s="76">
        <v>4.5895</v>
      </c>
      <c r="BI5" s="76">
        <v>0.1151</v>
      </c>
      <c r="BJ5" s="76">
        <v>4.2896</v>
      </c>
      <c r="BK5" s="76">
        <v>0.1063</v>
      </c>
      <c r="BL5" s="76">
        <v>4.1833</v>
      </c>
      <c r="BM5" s="76">
        <v>4.2456</v>
      </c>
      <c r="BN5" s="76">
        <v>0.1064</v>
      </c>
      <c r="BO5" s="76">
        <v>2.0567</v>
      </c>
      <c r="BP5" s="76">
        <v>0.0303</v>
      </c>
      <c r="BQ5" s="76">
        <v>2.0264</v>
      </c>
      <c r="BR5" s="76">
        <v>1.736</v>
      </c>
      <c r="BS5" s="76">
        <v>2.1762</v>
      </c>
      <c r="BT5" s="76">
        <v>0.0307</v>
      </c>
      <c r="BU5" s="76">
        <v>2.1455</v>
      </c>
      <c r="BV5" s="76">
        <v>1.8649</v>
      </c>
      <c r="BW5" s="76">
        <v>1.1433</v>
      </c>
      <c r="BX5" s="76">
        <v>0.0337</v>
      </c>
      <c r="BY5" s="76">
        <v>1.1096</v>
      </c>
      <c r="BZ5" s="76">
        <v>0.9886</v>
      </c>
      <c r="CA5" s="76">
        <v>0.8831</v>
      </c>
      <c r="CB5" s="76">
        <v>0.0306</v>
      </c>
      <c r="CC5" s="76">
        <v>0.8525</v>
      </c>
      <c r="CD5" s="76">
        <v>0.8873</v>
      </c>
      <c r="CE5" s="76">
        <v>1.6762</v>
      </c>
      <c r="CF5" s="76">
        <v>0.0415</v>
      </c>
      <c r="CG5" s="76">
        <v>1.6347</v>
      </c>
      <c r="CH5" s="76">
        <v>1.6717</v>
      </c>
      <c r="CI5" s="76">
        <v>1.7304</v>
      </c>
      <c r="CJ5" s="76">
        <v>0.0342</v>
      </c>
      <c r="CK5" s="76">
        <v>1.6962</v>
      </c>
      <c r="CL5" s="76">
        <v>1.6866</v>
      </c>
      <c r="CM5" s="76">
        <v>400.8426</v>
      </c>
      <c r="CN5" s="76">
        <v>94.33</v>
      </c>
      <c r="CO5" s="76">
        <v>424.91</v>
      </c>
      <c r="CP5" s="76">
        <v>373.7277</v>
      </c>
      <c r="CQ5" s="76">
        <v>0.0197</v>
      </c>
      <c r="CR5" s="76">
        <v>7.2781</v>
      </c>
      <c r="CS5" s="76">
        <v>19.8171</v>
      </c>
      <c r="CT5" s="76">
        <v>0.0</v>
      </c>
      <c r="CV5" s="76">
        <v>9.0E-4</v>
      </c>
      <c r="CW5" s="76">
        <v>184.5423</v>
      </c>
      <c r="CX5" s="76">
        <v>5.0E-4</v>
      </c>
      <c r="CY5" s="76">
        <v>0.0201</v>
      </c>
      <c r="CZ5" s="76">
        <v>58047.0</v>
      </c>
      <c r="DA5" s="164">
        <v>46230.0</v>
      </c>
      <c r="DB5" s="164">
        <v>46250.0</v>
      </c>
      <c r="DC5" s="76">
        <v>21.0</v>
      </c>
      <c r="DD5" s="76">
        <v>962.0</v>
      </c>
      <c r="DE5" s="76">
        <v>0.7328</v>
      </c>
      <c r="DF5" s="76">
        <v>62.0</v>
      </c>
      <c r="DG5" s="76">
        <v>253.0</v>
      </c>
      <c r="DH5" s="76">
        <v>14.0</v>
      </c>
      <c r="DI5" s="76">
        <v>689.32</v>
      </c>
      <c r="DJ5" s="76">
        <v>1497.28</v>
      </c>
    </row>
    <row r="6">
      <c r="A6" s="152" t="s">
        <v>4</v>
      </c>
      <c r="B6" s="152" t="s">
        <v>150</v>
      </c>
      <c r="C6" s="152" t="b">
        <v>0</v>
      </c>
      <c r="D6" s="152">
        <v>6400.0</v>
      </c>
      <c r="E6" s="152">
        <v>8.55</v>
      </c>
      <c r="F6" s="152">
        <v>11800.61</v>
      </c>
      <c r="G6" s="152">
        <v>0.3708</v>
      </c>
      <c r="H6" s="152">
        <v>10.31</v>
      </c>
      <c r="I6" s="152">
        <v>17.8797</v>
      </c>
      <c r="J6" s="152">
        <v>126.7647</v>
      </c>
      <c r="K6" s="152">
        <v>73.9934</v>
      </c>
      <c r="L6" s="152">
        <v>56.2396</v>
      </c>
      <c r="M6" s="152">
        <v>0.7601</v>
      </c>
      <c r="N6" s="152">
        <v>0.3881</v>
      </c>
      <c r="O6" s="152">
        <v>0.2707</v>
      </c>
      <c r="P6" s="152">
        <v>1.3157</v>
      </c>
      <c r="Q6" s="152">
        <v>342.7851</v>
      </c>
      <c r="R6" s="152">
        <v>241.2365</v>
      </c>
      <c r="S6" s="152">
        <v>101.5492</v>
      </c>
      <c r="T6" s="152">
        <v>32.0267</v>
      </c>
      <c r="U6" s="152">
        <v>310.7591</v>
      </c>
      <c r="V6" s="152">
        <v>340.2966</v>
      </c>
      <c r="W6" s="152">
        <v>4.599</v>
      </c>
      <c r="X6" s="152">
        <v>9.34</v>
      </c>
      <c r="Y6" s="152">
        <v>163.0</v>
      </c>
      <c r="Z6" s="152">
        <v>782.0</v>
      </c>
      <c r="AA6" s="152">
        <v>3131.0</v>
      </c>
      <c r="AB6" s="152">
        <v>57.9871</v>
      </c>
      <c r="AC6" s="152">
        <v>0.7961</v>
      </c>
      <c r="AD6" s="152">
        <v>32.8264</v>
      </c>
      <c r="AE6" s="152">
        <v>12.0</v>
      </c>
      <c r="AF6" s="152">
        <v>24.0</v>
      </c>
      <c r="AG6" s="152">
        <v>45.0</v>
      </c>
      <c r="AH6" s="152">
        <v>70.0</v>
      </c>
      <c r="AI6" s="152">
        <v>44.1075</v>
      </c>
      <c r="AJ6" s="152">
        <v>15.0845</v>
      </c>
      <c r="AK6" s="152">
        <v>3.7511</v>
      </c>
      <c r="AL6" s="152">
        <v>0.1439</v>
      </c>
      <c r="AM6" s="153"/>
      <c r="AQ6" s="76">
        <v>16.1531</v>
      </c>
      <c r="AR6" s="76">
        <v>0.4159</v>
      </c>
      <c r="AS6" s="76">
        <v>15.7373</v>
      </c>
      <c r="AT6" s="76">
        <v>15.0159</v>
      </c>
      <c r="AU6" s="76">
        <v>0.2029</v>
      </c>
      <c r="AV6" s="76">
        <v>6400.0</v>
      </c>
      <c r="AW6" s="76">
        <v>0.0</v>
      </c>
      <c r="AX6" s="76">
        <v>163.7027</v>
      </c>
      <c r="AY6" s="76">
        <v>136.106</v>
      </c>
      <c r="AZ6" s="76">
        <v>5.1488</v>
      </c>
      <c r="BA6" s="76">
        <v>32.0079</v>
      </c>
      <c r="BB6" s="76">
        <v>5.8211</v>
      </c>
      <c r="BC6" s="76">
        <v>134.0</v>
      </c>
      <c r="BD6" s="76">
        <v>21181.0</v>
      </c>
      <c r="BE6" s="76">
        <v>8.7767</v>
      </c>
      <c r="BF6" s="76">
        <v>0.1715</v>
      </c>
      <c r="BG6" s="76">
        <v>8.6052</v>
      </c>
      <c r="BH6" s="76">
        <v>7.6007</v>
      </c>
      <c r="BI6" s="76">
        <v>0.1027</v>
      </c>
      <c r="BJ6" s="76">
        <v>7.3764</v>
      </c>
      <c r="BK6" s="76">
        <v>0.2444</v>
      </c>
      <c r="BL6" s="76">
        <v>7.1321</v>
      </c>
      <c r="BM6" s="76">
        <v>7.4152</v>
      </c>
      <c r="BN6" s="76">
        <v>0.1002</v>
      </c>
      <c r="BO6" s="76">
        <v>3.4116</v>
      </c>
      <c r="BP6" s="76">
        <v>0.0566</v>
      </c>
      <c r="BQ6" s="76">
        <v>3.355</v>
      </c>
      <c r="BR6" s="76">
        <v>2.9523</v>
      </c>
      <c r="BS6" s="76">
        <v>3.4782</v>
      </c>
      <c r="BT6" s="76">
        <v>0.0563</v>
      </c>
      <c r="BU6" s="76">
        <v>3.4219</v>
      </c>
      <c r="BV6" s="76">
        <v>3.0509</v>
      </c>
      <c r="BW6" s="76">
        <v>1.8869</v>
      </c>
      <c r="BX6" s="76">
        <v>0.0586</v>
      </c>
      <c r="BY6" s="76">
        <v>1.8283</v>
      </c>
      <c r="BZ6" s="76">
        <v>1.5975</v>
      </c>
      <c r="CA6" s="76">
        <v>1.7827</v>
      </c>
      <c r="CB6" s="76">
        <v>0.07</v>
      </c>
      <c r="CC6" s="76">
        <v>1.7127</v>
      </c>
      <c r="CD6" s="76">
        <v>1.8206</v>
      </c>
      <c r="CE6" s="76">
        <v>2.6846</v>
      </c>
      <c r="CF6" s="76">
        <v>0.0983</v>
      </c>
      <c r="CG6" s="76">
        <v>2.5863</v>
      </c>
      <c r="CH6" s="76">
        <v>2.7281</v>
      </c>
      <c r="CI6" s="76">
        <v>2.9091</v>
      </c>
      <c r="CJ6" s="76">
        <v>0.0761</v>
      </c>
      <c r="CK6" s="76">
        <v>2.8331</v>
      </c>
      <c r="CL6" s="76">
        <v>2.8665</v>
      </c>
      <c r="CM6" s="76">
        <v>808.0798</v>
      </c>
      <c r="CN6" s="76">
        <v>97.19</v>
      </c>
      <c r="CO6" s="76">
        <v>831.48</v>
      </c>
      <c r="CP6" s="76">
        <v>766.2141</v>
      </c>
      <c r="CQ6" s="76">
        <v>0.0175</v>
      </c>
      <c r="CR6" s="76">
        <v>8.0984</v>
      </c>
      <c r="CS6" s="76">
        <v>33.7495</v>
      </c>
      <c r="CT6" s="76">
        <v>0.0</v>
      </c>
      <c r="CV6" s="76">
        <v>8.0E-4</v>
      </c>
      <c r="CW6" s="76">
        <v>342.786</v>
      </c>
      <c r="CX6" s="76">
        <v>0.0</v>
      </c>
      <c r="CY6" s="76">
        <v>0.018</v>
      </c>
      <c r="CZ6" s="76">
        <v>31827.0</v>
      </c>
      <c r="DA6" s="164">
        <v>46230.0</v>
      </c>
      <c r="DB6" s="164">
        <v>46250.0</v>
      </c>
      <c r="DC6" s="76">
        <v>21.0</v>
      </c>
      <c r="DD6" s="76">
        <v>660.0</v>
      </c>
      <c r="DE6" s="76">
        <v>1.8438</v>
      </c>
      <c r="DF6" s="76">
        <v>65.0</v>
      </c>
      <c r="DG6" s="76">
        <v>365.0</v>
      </c>
      <c r="DH6" s="76">
        <v>10.0</v>
      </c>
      <c r="DI6" s="76">
        <v>1704.66</v>
      </c>
      <c r="DJ6" s="76">
        <v>4018.56</v>
      </c>
    </row>
    <row r="7">
      <c r="A7" s="152" t="s">
        <v>4</v>
      </c>
      <c r="B7" s="152" t="s">
        <v>151</v>
      </c>
      <c r="C7" s="152" t="b">
        <v>0</v>
      </c>
      <c r="D7" s="152">
        <v>822.0</v>
      </c>
      <c r="E7" s="152">
        <v>1.02</v>
      </c>
      <c r="F7" s="152">
        <v>2533.85</v>
      </c>
      <c r="G7" s="152">
        <v>0.6649</v>
      </c>
      <c r="H7" s="152">
        <v>15.09</v>
      </c>
      <c r="I7" s="152">
        <v>20.4343</v>
      </c>
      <c r="J7" s="152">
        <v>237.0615</v>
      </c>
      <c r="K7" s="152">
        <v>150.9943</v>
      </c>
      <c r="L7" s="152">
        <v>124.848</v>
      </c>
      <c r="M7" s="152">
        <v>0.8268</v>
      </c>
      <c r="N7" s="152">
        <v>0.3056</v>
      </c>
      <c r="O7" s="152">
        <v>0.2312</v>
      </c>
      <c r="P7" s="152">
        <v>1.2094</v>
      </c>
      <c r="Q7" s="152">
        <v>644.5876</v>
      </c>
      <c r="R7" s="152">
        <v>413.5036</v>
      </c>
      <c r="S7" s="152">
        <v>231.0829</v>
      </c>
      <c r="T7" s="152">
        <v>52.8603</v>
      </c>
      <c r="U7" s="152">
        <v>591.7268</v>
      </c>
      <c r="V7" s="152">
        <v>624.8888</v>
      </c>
      <c r="W7" s="152">
        <v>4.1385</v>
      </c>
      <c r="X7" s="152">
        <v>8.2</v>
      </c>
      <c r="Y7" s="152">
        <v>232.0</v>
      </c>
      <c r="Z7" s="152">
        <v>978.0</v>
      </c>
      <c r="AA7" s="152">
        <v>3770.0</v>
      </c>
      <c r="AB7" s="152">
        <v>60.8863</v>
      </c>
      <c r="AC7" s="152">
        <v>0.8505</v>
      </c>
      <c r="AD7" s="152">
        <v>64.5416</v>
      </c>
      <c r="AE7" s="152">
        <v>22.0</v>
      </c>
      <c r="AF7" s="152">
        <v>44.0</v>
      </c>
      <c r="AG7" s="152">
        <v>93.0</v>
      </c>
      <c r="AH7" s="152">
        <v>143.0</v>
      </c>
      <c r="AI7" s="152">
        <v>30.2547</v>
      </c>
      <c r="AJ7" s="152">
        <v>5.7204</v>
      </c>
      <c r="AK7" s="152">
        <v>0.8143</v>
      </c>
      <c r="AL7" s="152">
        <v>0.0893</v>
      </c>
      <c r="AM7" s="153"/>
      <c r="AQ7" s="76">
        <v>30.269</v>
      </c>
      <c r="AR7" s="76">
        <v>0.6657</v>
      </c>
      <c r="AS7" s="76">
        <v>29.6032</v>
      </c>
      <c r="AT7" s="76">
        <v>30.3162</v>
      </c>
      <c r="AU7" s="76">
        <v>0.2008</v>
      </c>
      <c r="AV7" s="76">
        <v>822.0</v>
      </c>
      <c r="AW7" s="76">
        <v>0.0</v>
      </c>
      <c r="AX7" s="76">
        <v>334.0911</v>
      </c>
      <c r="AY7" s="76">
        <v>237.6076</v>
      </c>
      <c r="AZ7" s="76">
        <v>6.145</v>
      </c>
      <c r="BA7" s="76">
        <v>52.8603</v>
      </c>
      <c r="BB7" s="76">
        <v>13.8839</v>
      </c>
      <c r="BC7" s="76">
        <v>267.0</v>
      </c>
      <c r="BD7" s="76">
        <v>25980.0</v>
      </c>
      <c r="BE7" s="76">
        <v>16.6851</v>
      </c>
      <c r="BF7" s="76">
        <v>0.2716</v>
      </c>
      <c r="BG7" s="76">
        <v>16.4135</v>
      </c>
      <c r="BH7" s="76">
        <v>13.8221</v>
      </c>
      <c r="BI7" s="76">
        <v>0.0917</v>
      </c>
      <c r="BJ7" s="76">
        <v>13.5838</v>
      </c>
      <c r="BK7" s="76">
        <v>0.3941</v>
      </c>
      <c r="BL7" s="76">
        <v>13.1897</v>
      </c>
      <c r="BM7" s="76">
        <v>16.4941</v>
      </c>
      <c r="BN7" s="76">
        <v>0.1098</v>
      </c>
      <c r="BO7" s="76">
        <v>6.592</v>
      </c>
      <c r="BP7" s="76">
        <v>0.0816</v>
      </c>
      <c r="BQ7" s="76">
        <v>6.5104</v>
      </c>
      <c r="BR7" s="76">
        <v>5.4791</v>
      </c>
      <c r="BS7" s="76">
        <v>6.6426</v>
      </c>
      <c r="BT7" s="76">
        <v>0.0997</v>
      </c>
      <c r="BU7" s="76">
        <v>6.5429</v>
      </c>
      <c r="BV7" s="76">
        <v>5.5256</v>
      </c>
      <c r="BW7" s="76">
        <v>3.4505</v>
      </c>
      <c r="BX7" s="76">
        <v>0.0903</v>
      </c>
      <c r="BY7" s="76">
        <v>3.3603</v>
      </c>
      <c r="BZ7" s="76">
        <v>2.8174</v>
      </c>
      <c r="CA7" s="76">
        <v>3.5529</v>
      </c>
      <c r="CB7" s="76">
        <v>0.1021</v>
      </c>
      <c r="CC7" s="76">
        <v>3.4508</v>
      </c>
      <c r="CD7" s="76">
        <v>5.7552</v>
      </c>
      <c r="CE7" s="76">
        <v>4.8386</v>
      </c>
      <c r="CF7" s="76">
        <v>0.1787</v>
      </c>
      <c r="CG7" s="76">
        <v>4.6599</v>
      </c>
      <c r="CH7" s="76">
        <v>5.0223</v>
      </c>
      <c r="CI7" s="76">
        <v>5.1923</v>
      </c>
      <c r="CJ7" s="76">
        <v>0.1134</v>
      </c>
      <c r="CK7" s="76">
        <v>5.079</v>
      </c>
      <c r="CL7" s="76">
        <v>5.7166</v>
      </c>
      <c r="CM7" s="76">
        <v>1755.5476</v>
      </c>
      <c r="CN7" s="76">
        <v>98.66</v>
      </c>
      <c r="CO7" s="76">
        <v>1779.36</v>
      </c>
      <c r="CP7" s="76">
        <v>1690.1339</v>
      </c>
      <c r="CQ7" s="76">
        <v>0.0</v>
      </c>
      <c r="CR7" s="76">
        <v>9.9188</v>
      </c>
      <c r="CS7" s="76">
        <v>55.4956</v>
      </c>
      <c r="CT7" s="76">
        <v>0.0</v>
      </c>
      <c r="CV7" s="76">
        <v>0.0</v>
      </c>
      <c r="CW7" s="76">
        <v>644.5876</v>
      </c>
      <c r="CX7" s="76">
        <v>0.0</v>
      </c>
      <c r="CY7" s="76">
        <v>0.0</v>
      </c>
      <c r="CZ7" s="76">
        <v>3811.0</v>
      </c>
      <c r="DA7" s="164">
        <v>46230.0</v>
      </c>
      <c r="DB7" s="164">
        <v>46250.0</v>
      </c>
      <c r="DC7" s="76">
        <v>21.0</v>
      </c>
      <c r="DD7" s="76">
        <v>124.0</v>
      </c>
      <c r="DE7" s="76">
        <v>3.0825</v>
      </c>
      <c r="DF7" s="76">
        <v>72.0</v>
      </c>
      <c r="DG7" s="76">
        <v>545.0</v>
      </c>
      <c r="DH7" s="76">
        <v>0.0</v>
      </c>
      <c r="DI7" s="76">
        <v>2988.47</v>
      </c>
      <c r="DJ7" s="76">
        <v>8139.16</v>
      </c>
    </row>
    <row r="8">
      <c r="A8" s="152" t="s">
        <v>5</v>
      </c>
      <c r="B8" s="152" t="s">
        <v>316</v>
      </c>
      <c r="C8" s="152" t="b">
        <v>0</v>
      </c>
      <c r="D8" s="152">
        <v>34915.0</v>
      </c>
      <c r="E8" s="152">
        <v>21.56</v>
      </c>
      <c r="F8" s="152">
        <v>6330.06</v>
      </c>
      <c r="G8" s="152">
        <v>0.0796</v>
      </c>
      <c r="H8" s="152">
        <v>0.57</v>
      </c>
      <c r="I8" s="152">
        <v>31.8093</v>
      </c>
      <c r="J8" s="152">
        <v>24.7753</v>
      </c>
      <c r="K8" s="152">
        <v>13.4786</v>
      </c>
      <c r="L8" s="152">
        <v>9.3194</v>
      </c>
      <c r="M8" s="152">
        <v>0.6914</v>
      </c>
      <c r="N8" s="152">
        <v>0.4278</v>
      </c>
      <c r="O8" s="152">
        <v>0.2184</v>
      </c>
      <c r="P8" s="152">
        <v>1.4463</v>
      </c>
      <c r="Q8" s="152">
        <v>61.0488</v>
      </c>
      <c r="R8" s="152">
        <v>60.9405</v>
      </c>
      <c r="S8" s="152">
        <v>0.1087</v>
      </c>
      <c r="T8" s="152">
        <v>6.9222</v>
      </c>
      <c r="U8" s="152">
        <v>54.127</v>
      </c>
      <c r="V8" s="152">
        <v>45.3902</v>
      </c>
      <c r="W8" s="152">
        <v>3.3676</v>
      </c>
      <c r="X8" s="152">
        <v>11.34</v>
      </c>
      <c r="Y8" s="152">
        <v>163.0</v>
      </c>
      <c r="Z8" s="152">
        <v>625.0</v>
      </c>
      <c r="AA8" s="152">
        <v>4506.0</v>
      </c>
      <c r="AB8" s="152">
        <v>49.6832</v>
      </c>
      <c r="AC8" s="152">
        <v>0.464</v>
      </c>
      <c r="AD8" s="153"/>
      <c r="AE8" s="153"/>
      <c r="AF8" s="153"/>
      <c r="AG8" s="153"/>
      <c r="AH8" s="153"/>
      <c r="AI8" s="152">
        <v>0.0</v>
      </c>
      <c r="AJ8" s="152">
        <v>0.0</v>
      </c>
      <c r="AK8" s="152">
        <v>0.0</v>
      </c>
      <c r="AL8" s="152">
        <v>0.447</v>
      </c>
      <c r="AM8" s="152">
        <v>10.3119</v>
      </c>
      <c r="AN8" s="76">
        <v>10.3119</v>
      </c>
      <c r="AO8" s="76">
        <v>6.1679</v>
      </c>
      <c r="AP8" s="76">
        <v>3.2548</v>
      </c>
      <c r="AQ8" s="76">
        <v>2.8615</v>
      </c>
      <c r="AR8" s="76">
        <v>0.0817</v>
      </c>
      <c r="AS8" s="76">
        <v>2.7798</v>
      </c>
      <c r="AT8" s="76">
        <v>1.8629</v>
      </c>
      <c r="AU8" s="76">
        <v>0.1382</v>
      </c>
      <c r="AV8" s="76">
        <v>34915.0</v>
      </c>
      <c r="AW8" s="76">
        <v>0.0</v>
      </c>
      <c r="AX8" s="76">
        <v>11.0202</v>
      </c>
      <c r="AY8" s="76">
        <v>39.7191</v>
      </c>
      <c r="AZ8" s="76">
        <v>3.1018</v>
      </c>
      <c r="BA8" s="76">
        <v>6.9222</v>
      </c>
      <c r="BB8" s="76">
        <v>0.2886</v>
      </c>
      <c r="BD8" s="76">
        <v>29025.0</v>
      </c>
      <c r="BE8" s="76">
        <v>0.9232</v>
      </c>
      <c r="BF8" s="76">
        <v>0.0342</v>
      </c>
      <c r="BG8" s="76">
        <v>0.889</v>
      </c>
      <c r="BH8" s="76">
        <v>0.8701</v>
      </c>
      <c r="BI8" s="76">
        <v>0.0701</v>
      </c>
      <c r="BJ8" s="76">
        <v>1.9383</v>
      </c>
      <c r="BK8" s="76">
        <v>0.0475</v>
      </c>
      <c r="BL8" s="76">
        <v>1.8908</v>
      </c>
      <c r="BM8" s="76">
        <v>0.9928</v>
      </c>
      <c r="BN8" s="76">
        <v>0.073</v>
      </c>
      <c r="BO8" s="76">
        <v>0.3526</v>
      </c>
      <c r="BP8" s="76">
        <v>0.0118</v>
      </c>
      <c r="BQ8" s="76">
        <v>0.3408</v>
      </c>
      <c r="BR8" s="76">
        <v>0.3414</v>
      </c>
      <c r="BS8" s="76">
        <v>0.3314</v>
      </c>
      <c r="BT8" s="76">
        <v>0.0111</v>
      </c>
      <c r="BU8" s="76">
        <v>0.3203</v>
      </c>
      <c r="BV8" s="76">
        <v>0.3028</v>
      </c>
      <c r="BW8" s="76">
        <v>0.2392</v>
      </c>
      <c r="BX8" s="76">
        <v>0.0113</v>
      </c>
      <c r="BY8" s="76">
        <v>0.228</v>
      </c>
      <c r="BZ8" s="76">
        <v>0.2259</v>
      </c>
      <c r="CA8" s="76">
        <v>0.5006</v>
      </c>
      <c r="CB8" s="76">
        <v>0.0123</v>
      </c>
      <c r="CC8" s="76">
        <v>0.4884</v>
      </c>
      <c r="CD8" s="76">
        <v>0.2351</v>
      </c>
      <c r="CE8" s="76">
        <v>0.7765</v>
      </c>
      <c r="CF8" s="76">
        <v>0.0192</v>
      </c>
      <c r="CG8" s="76">
        <v>0.7573</v>
      </c>
      <c r="CH8" s="76">
        <v>0.3577</v>
      </c>
      <c r="CI8" s="76">
        <v>0.6612</v>
      </c>
      <c r="CJ8" s="76">
        <v>0.0161</v>
      </c>
      <c r="CK8" s="76">
        <v>0.6451</v>
      </c>
      <c r="CL8" s="76">
        <v>0.4</v>
      </c>
      <c r="CM8" s="76">
        <v>134.3642</v>
      </c>
      <c r="CN8" s="76">
        <v>21.43</v>
      </c>
      <c r="CO8" s="76">
        <v>626.99</v>
      </c>
      <c r="CP8" s="76">
        <v>115.6574</v>
      </c>
      <c r="CQ8" s="76">
        <v>9.3144</v>
      </c>
      <c r="CR8" s="76">
        <v>3.1</v>
      </c>
      <c r="CS8" s="76">
        <v>6.2914</v>
      </c>
      <c r="CT8" s="76">
        <v>0.0</v>
      </c>
      <c r="CV8" s="76">
        <v>37.6053</v>
      </c>
      <c r="CW8" s="76">
        <v>98.6555</v>
      </c>
      <c r="CX8" s="76">
        <v>1.0611</v>
      </c>
      <c r="CY8" s="76">
        <v>10.3745</v>
      </c>
      <c r="CZ8" s="76">
        <v>79486.0</v>
      </c>
      <c r="DA8" s="164">
        <v>46230.0</v>
      </c>
      <c r="DB8" s="164">
        <v>46250.0</v>
      </c>
      <c r="DC8" s="76">
        <v>21.0</v>
      </c>
      <c r="DD8" s="76">
        <v>199.0</v>
      </c>
      <c r="DE8" s="76">
        <v>0.1813</v>
      </c>
      <c r="DF8" s="76">
        <v>123.0</v>
      </c>
      <c r="DG8" s="76">
        <v>194.0</v>
      </c>
      <c r="DH8" s="76">
        <v>23487.0</v>
      </c>
      <c r="DI8" s="76">
        <v>138.98</v>
      </c>
      <c r="DJ8" s="76">
        <v>305.89</v>
      </c>
    </row>
    <row r="9">
      <c r="A9" s="152" t="s">
        <v>5</v>
      </c>
      <c r="B9" s="152" t="s">
        <v>147</v>
      </c>
      <c r="C9" s="152" t="b">
        <v>0</v>
      </c>
      <c r="D9" s="152">
        <v>34756.0</v>
      </c>
      <c r="E9" s="152">
        <v>30.2</v>
      </c>
      <c r="F9" s="152">
        <v>2590.83</v>
      </c>
      <c r="G9" s="152">
        <v>0.0233</v>
      </c>
      <c r="H9" s="152">
        <v>1.81</v>
      </c>
      <c r="I9" s="152">
        <v>4.1255</v>
      </c>
      <c r="J9" s="152">
        <v>26.0213</v>
      </c>
      <c r="K9" s="152">
        <v>12.8092</v>
      </c>
      <c r="L9" s="152">
        <v>5.3858</v>
      </c>
      <c r="M9" s="152">
        <v>0.4205</v>
      </c>
      <c r="N9" s="152">
        <v>0.6956</v>
      </c>
      <c r="O9" s="152">
        <v>0.4566</v>
      </c>
      <c r="P9" s="152">
        <v>2.3783</v>
      </c>
      <c r="Q9" s="152">
        <v>49.6534</v>
      </c>
      <c r="R9" s="152">
        <v>46.0628</v>
      </c>
      <c r="S9" s="152">
        <v>3.5896</v>
      </c>
      <c r="T9" s="152">
        <v>2.0979</v>
      </c>
      <c r="U9" s="152">
        <v>47.5551</v>
      </c>
      <c r="V9" s="152">
        <v>48.3213</v>
      </c>
      <c r="W9" s="152">
        <v>3.7724</v>
      </c>
      <c r="X9" s="152">
        <v>4.23</v>
      </c>
      <c r="Y9" s="152">
        <v>126.0</v>
      </c>
      <c r="Z9" s="152">
        <v>407.0</v>
      </c>
      <c r="AA9" s="152">
        <v>1831.0</v>
      </c>
      <c r="AB9" s="152">
        <v>49.7635</v>
      </c>
      <c r="AC9" s="152">
        <v>0.5668</v>
      </c>
      <c r="AD9" s="152">
        <v>3.958</v>
      </c>
      <c r="AE9" s="152">
        <v>1.0</v>
      </c>
      <c r="AF9" s="152">
        <v>3.0</v>
      </c>
      <c r="AG9" s="152">
        <v>5.0</v>
      </c>
      <c r="AH9" s="152">
        <v>9.0</v>
      </c>
      <c r="AI9" s="152">
        <v>72.9627</v>
      </c>
      <c r="AJ9" s="152">
        <v>31.3017</v>
      </c>
      <c r="AK9" s="152">
        <v>7.3909</v>
      </c>
      <c r="AL9" s="152">
        <v>0.4045</v>
      </c>
      <c r="AM9" s="152">
        <v>46.8328</v>
      </c>
      <c r="AN9" s="76">
        <v>46.8319</v>
      </c>
      <c r="AO9" s="76">
        <v>21.7404</v>
      </c>
      <c r="AP9" s="76">
        <v>6.6434</v>
      </c>
      <c r="AQ9" s="76">
        <v>3.6688</v>
      </c>
      <c r="AR9" s="76">
        <v>0.0406</v>
      </c>
      <c r="AS9" s="76">
        <v>3.6282</v>
      </c>
      <c r="AT9" s="76">
        <v>3.0435</v>
      </c>
      <c r="AU9" s="76">
        <v>0.2376</v>
      </c>
      <c r="AV9" s="76">
        <v>34756.0</v>
      </c>
      <c r="AW9" s="76">
        <v>0.0</v>
      </c>
      <c r="AX9" s="76">
        <v>19.938</v>
      </c>
      <c r="AY9" s="76">
        <v>24.4</v>
      </c>
      <c r="AZ9" s="76">
        <v>2.5055</v>
      </c>
      <c r="BA9" s="76">
        <v>2.0969</v>
      </c>
      <c r="BB9" s="76">
        <v>0.7125</v>
      </c>
      <c r="BC9" s="76">
        <v>17.0</v>
      </c>
      <c r="BD9" s="76">
        <v>21741.0</v>
      </c>
      <c r="BE9" s="76">
        <v>2.198</v>
      </c>
      <c r="BF9" s="76">
        <v>0.0208</v>
      </c>
      <c r="BG9" s="76">
        <v>2.1772</v>
      </c>
      <c r="BH9" s="76">
        <v>1.6727</v>
      </c>
      <c r="BI9" s="76">
        <v>0.1307</v>
      </c>
      <c r="BJ9" s="76">
        <v>1.4707</v>
      </c>
      <c r="BK9" s="76">
        <v>0.0198</v>
      </c>
      <c r="BL9" s="76">
        <v>1.451</v>
      </c>
      <c r="BM9" s="76">
        <v>1.3708</v>
      </c>
      <c r="BN9" s="76">
        <v>0.107</v>
      </c>
      <c r="BO9" s="76">
        <v>1.0195</v>
      </c>
      <c r="BP9" s="76">
        <v>0.0081</v>
      </c>
      <c r="BQ9" s="76">
        <v>1.0114</v>
      </c>
      <c r="BR9" s="76">
        <v>0.7213</v>
      </c>
      <c r="BS9" s="76">
        <v>0.8344</v>
      </c>
      <c r="BT9" s="76">
        <v>0.0054</v>
      </c>
      <c r="BU9" s="76">
        <v>0.829</v>
      </c>
      <c r="BV9" s="76">
        <v>0.643</v>
      </c>
      <c r="BW9" s="76">
        <v>0.3441</v>
      </c>
      <c r="BX9" s="76">
        <v>0.0073</v>
      </c>
      <c r="BY9" s="76">
        <v>0.3368</v>
      </c>
      <c r="BZ9" s="76">
        <v>0.3084</v>
      </c>
      <c r="CA9" s="76">
        <v>0.2068</v>
      </c>
      <c r="CB9" s="76">
        <v>0.004</v>
      </c>
      <c r="CC9" s="76">
        <v>0.2028</v>
      </c>
      <c r="CD9" s="76">
        <v>0.2163</v>
      </c>
      <c r="CE9" s="76">
        <v>0.8036</v>
      </c>
      <c r="CF9" s="76">
        <v>0.008</v>
      </c>
      <c r="CG9" s="76">
        <v>0.7957</v>
      </c>
      <c r="CH9" s="76">
        <v>0.6936</v>
      </c>
      <c r="CI9" s="76">
        <v>0.4602</v>
      </c>
      <c r="CJ9" s="76">
        <v>0.0077</v>
      </c>
      <c r="CK9" s="76">
        <v>0.4525</v>
      </c>
      <c r="CL9" s="76">
        <v>0.4608</v>
      </c>
      <c r="CM9" s="76">
        <v>84.6666</v>
      </c>
      <c r="CN9" s="76">
        <v>82.72</v>
      </c>
      <c r="CO9" s="76">
        <v>102.35</v>
      </c>
      <c r="CP9" s="76">
        <v>69.4877</v>
      </c>
      <c r="CQ9" s="76">
        <v>7.6382</v>
      </c>
      <c r="CR9" s="76">
        <v>5.0193</v>
      </c>
      <c r="CS9" s="76">
        <v>2.5195</v>
      </c>
      <c r="CT9" s="76">
        <v>0.0</v>
      </c>
      <c r="CV9" s="76">
        <v>0.6268</v>
      </c>
      <c r="CW9" s="76">
        <v>50.2816</v>
      </c>
      <c r="CX9" s="76">
        <v>0.876</v>
      </c>
      <c r="CY9" s="76">
        <v>8.5137</v>
      </c>
      <c r="CZ9" s="76">
        <v>111359.0</v>
      </c>
      <c r="DA9" s="164">
        <v>46230.0</v>
      </c>
      <c r="DB9" s="164">
        <v>46250.0</v>
      </c>
      <c r="DC9" s="76">
        <v>21.0</v>
      </c>
      <c r="DD9" s="76">
        <v>628.0</v>
      </c>
      <c r="DE9" s="76">
        <v>0.0745</v>
      </c>
      <c r="DF9" s="76">
        <v>92.0</v>
      </c>
      <c r="DG9" s="76">
        <v>180.0</v>
      </c>
      <c r="DH9" s="76">
        <v>37988.0</v>
      </c>
      <c r="DI9" s="76">
        <v>159.09</v>
      </c>
      <c r="DJ9" s="76">
        <v>271.27</v>
      </c>
    </row>
    <row r="10">
      <c r="A10" s="152" t="s">
        <v>5</v>
      </c>
      <c r="B10" s="152" t="s">
        <v>148</v>
      </c>
      <c r="C10" s="152" t="b">
        <v>0</v>
      </c>
      <c r="D10" s="152">
        <v>23575.0</v>
      </c>
      <c r="E10" s="152">
        <v>22.92</v>
      </c>
      <c r="F10" s="152">
        <v>7892.52</v>
      </c>
      <c r="G10" s="152">
        <v>0.0934</v>
      </c>
      <c r="H10" s="152">
        <v>4.37</v>
      </c>
      <c r="I10" s="152">
        <v>7.6552</v>
      </c>
      <c r="J10" s="152">
        <v>50.3255</v>
      </c>
      <c r="K10" s="152">
        <v>25.6395</v>
      </c>
      <c r="L10" s="152">
        <v>13.9814</v>
      </c>
      <c r="M10" s="152">
        <v>0.5453</v>
      </c>
      <c r="N10" s="152">
        <v>0.594</v>
      </c>
      <c r="O10" s="152">
        <v>0.3774</v>
      </c>
      <c r="P10" s="152">
        <v>1.8338</v>
      </c>
      <c r="Q10" s="152">
        <v>96.0089</v>
      </c>
      <c r="R10" s="152">
        <v>87.0985</v>
      </c>
      <c r="S10" s="152">
        <v>8.9099</v>
      </c>
      <c r="T10" s="152">
        <v>8.0483</v>
      </c>
      <c r="U10" s="152">
        <v>87.9614</v>
      </c>
      <c r="V10" s="152">
        <v>96.8989</v>
      </c>
      <c r="W10" s="152">
        <v>3.7793</v>
      </c>
      <c r="X10" s="152">
        <v>8.38</v>
      </c>
      <c r="Y10" s="152">
        <v>108.0</v>
      </c>
      <c r="Z10" s="152">
        <v>363.0</v>
      </c>
      <c r="AA10" s="152">
        <v>1764.0</v>
      </c>
      <c r="AB10" s="152">
        <v>52.3509</v>
      </c>
      <c r="AC10" s="152">
        <v>0.6472</v>
      </c>
      <c r="AD10" s="152">
        <v>9.2921</v>
      </c>
      <c r="AE10" s="152">
        <v>4.0</v>
      </c>
      <c r="AF10" s="152">
        <v>7.0</v>
      </c>
      <c r="AG10" s="152">
        <v>13.0</v>
      </c>
      <c r="AH10" s="152">
        <v>19.0</v>
      </c>
      <c r="AI10" s="152">
        <v>62.0469</v>
      </c>
      <c r="AJ10" s="152">
        <v>25.4569</v>
      </c>
      <c r="AK10" s="152">
        <v>4.027</v>
      </c>
      <c r="AL10" s="152">
        <v>0.2853</v>
      </c>
      <c r="AM10" s="152">
        <v>53.4591</v>
      </c>
      <c r="AN10" s="76">
        <v>53.4591</v>
      </c>
      <c r="AO10" s="76">
        <v>31.535</v>
      </c>
      <c r="AP10" s="76">
        <v>15.0685</v>
      </c>
      <c r="AQ10" s="76">
        <v>6.6238</v>
      </c>
      <c r="AR10" s="76">
        <v>0.107</v>
      </c>
      <c r="AS10" s="76">
        <v>6.5167</v>
      </c>
      <c r="AT10" s="76">
        <v>5.7675</v>
      </c>
      <c r="AU10" s="76">
        <v>0.2249</v>
      </c>
      <c r="AV10" s="76">
        <v>23575.0</v>
      </c>
      <c r="AW10" s="76">
        <v>0.0</v>
      </c>
      <c r="AX10" s="76">
        <v>32.9501</v>
      </c>
      <c r="AY10" s="76">
        <v>50.0331</v>
      </c>
      <c r="AZ10" s="76">
        <v>3.548</v>
      </c>
      <c r="BA10" s="76">
        <v>8.0479</v>
      </c>
      <c r="BB10" s="76">
        <v>1.4335</v>
      </c>
      <c r="BC10" s="76">
        <v>36.0</v>
      </c>
      <c r="BD10" s="76">
        <v>21653.0</v>
      </c>
      <c r="BE10" s="76">
        <v>3.6433</v>
      </c>
      <c r="BF10" s="76">
        <v>0.0517</v>
      </c>
      <c r="BG10" s="76">
        <v>3.5916</v>
      </c>
      <c r="BH10" s="76">
        <v>2.9773</v>
      </c>
      <c r="BI10" s="76">
        <v>0.1163</v>
      </c>
      <c r="BJ10" s="76">
        <v>2.9804</v>
      </c>
      <c r="BK10" s="76">
        <v>0.0553</v>
      </c>
      <c r="BL10" s="76">
        <v>2.9251</v>
      </c>
      <c r="BM10" s="76">
        <v>2.7902</v>
      </c>
      <c r="BN10" s="76">
        <v>0.1086</v>
      </c>
      <c r="BO10" s="76">
        <v>1.4974</v>
      </c>
      <c r="BP10" s="76">
        <v>0.0172</v>
      </c>
      <c r="BQ10" s="76">
        <v>1.4802</v>
      </c>
      <c r="BR10" s="76">
        <v>1.1874</v>
      </c>
      <c r="BS10" s="76">
        <v>1.4393</v>
      </c>
      <c r="BT10" s="76">
        <v>0.0161</v>
      </c>
      <c r="BU10" s="76">
        <v>1.4231</v>
      </c>
      <c r="BV10" s="76">
        <v>1.1667</v>
      </c>
      <c r="BW10" s="76">
        <v>0.7067</v>
      </c>
      <c r="BX10" s="76">
        <v>0.0184</v>
      </c>
      <c r="BY10" s="76">
        <v>0.6883</v>
      </c>
      <c r="BZ10" s="76">
        <v>0.6232</v>
      </c>
      <c r="CA10" s="76">
        <v>0.4881</v>
      </c>
      <c r="CB10" s="76">
        <v>0.0139</v>
      </c>
      <c r="CC10" s="76">
        <v>0.4743</v>
      </c>
      <c r="CD10" s="76">
        <v>0.5013</v>
      </c>
      <c r="CE10" s="76">
        <v>1.5313</v>
      </c>
      <c r="CF10" s="76">
        <v>0.0218</v>
      </c>
      <c r="CG10" s="76">
        <v>1.5095</v>
      </c>
      <c r="CH10" s="76">
        <v>1.3399</v>
      </c>
      <c r="CI10" s="76">
        <v>0.961</v>
      </c>
      <c r="CJ10" s="76">
        <v>0.0197</v>
      </c>
      <c r="CK10" s="76">
        <v>0.9414</v>
      </c>
      <c r="CL10" s="76">
        <v>0.949</v>
      </c>
      <c r="CM10" s="76">
        <v>193.5265</v>
      </c>
      <c r="CN10" s="76">
        <v>91.55</v>
      </c>
      <c r="CO10" s="76">
        <v>211.39</v>
      </c>
      <c r="CP10" s="76">
        <v>155.8472</v>
      </c>
      <c r="CQ10" s="76">
        <v>21.8282</v>
      </c>
      <c r="CR10" s="76">
        <v>6.1528</v>
      </c>
      <c r="CS10" s="76">
        <v>9.6968</v>
      </c>
      <c r="CT10" s="76">
        <v>0.0</v>
      </c>
      <c r="CV10" s="76">
        <v>1.2685</v>
      </c>
      <c r="CW10" s="76">
        <v>97.2788</v>
      </c>
      <c r="CX10" s="76">
        <v>2.6983</v>
      </c>
      <c r="CY10" s="76">
        <v>24.5259</v>
      </c>
      <c r="CZ10" s="76">
        <v>84503.0</v>
      </c>
      <c r="DA10" s="164">
        <v>46230.0</v>
      </c>
      <c r="DB10" s="164">
        <v>46250.0</v>
      </c>
      <c r="DC10" s="76">
        <v>21.0</v>
      </c>
      <c r="DD10" s="76">
        <v>1031.0</v>
      </c>
      <c r="DE10" s="76">
        <v>0.3348</v>
      </c>
      <c r="DF10" s="76">
        <v>67.0</v>
      </c>
      <c r="DG10" s="76">
        <v>191.0</v>
      </c>
      <c r="DH10" s="76">
        <v>39596.0</v>
      </c>
      <c r="DI10" s="76">
        <v>344.14</v>
      </c>
      <c r="DJ10" s="76">
        <v>693.68</v>
      </c>
    </row>
    <row r="11">
      <c r="A11" s="152" t="s">
        <v>5</v>
      </c>
      <c r="B11" s="152" t="s">
        <v>149</v>
      </c>
      <c r="C11" s="152" t="b">
        <v>0</v>
      </c>
      <c r="D11" s="152">
        <v>15578.0</v>
      </c>
      <c r="E11" s="152">
        <v>16.33</v>
      </c>
      <c r="F11" s="152">
        <v>11360.48</v>
      </c>
      <c r="G11" s="152">
        <v>0.1886</v>
      </c>
      <c r="H11" s="152">
        <v>6.3</v>
      </c>
      <c r="I11" s="152">
        <v>11.5805</v>
      </c>
      <c r="J11" s="152">
        <v>76.8712</v>
      </c>
      <c r="K11" s="152">
        <v>40.9239</v>
      </c>
      <c r="L11" s="152">
        <v>27.015</v>
      </c>
      <c r="M11" s="152">
        <v>0.6601</v>
      </c>
      <c r="N11" s="152">
        <v>0.4905</v>
      </c>
      <c r="O11" s="152">
        <v>0.3213</v>
      </c>
      <c r="P11" s="152">
        <v>1.5149</v>
      </c>
      <c r="Q11" s="152">
        <v>166.2425</v>
      </c>
      <c r="R11" s="152">
        <v>149.3268</v>
      </c>
      <c r="S11" s="152">
        <v>16.9139</v>
      </c>
      <c r="T11" s="152">
        <v>15.8823</v>
      </c>
      <c r="U11" s="152">
        <v>150.3592</v>
      </c>
      <c r="V11" s="152">
        <v>171.3582</v>
      </c>
      <c r="W11" s="152">
        <v>4.1872</v>
      </c>
      <c r="X11" s="152">
        <v>9.55</v>
      </c>
      <c r="Y11" s="152">
        <v>123.0</v>
      </c>
      <c r="Z11" s="152">
        <v>437.0</v>
      </c>
      <c r="AA11" s="152">
        <v>1894.0</v>
      </c>
      <c r="AB11" s="152">
        <v>54.7646</v>
      </c>
      <c r="AC11" s="152">
        <v>0.7227</v>
      </c>
      <c r="AD11" s="152">
        <v>16.6408</v>
      </c>
      <c r="AE11" s="152">
        <v>7.0</v>
      </c>
      <c r="AF11" s="152">
        <v>13.0</v>
      </c>
      <c r="AG11" s="152">
        <v>23.0</v>
      </c>
      <c r="AH11" s="152">
        <v>35.0</v>
      </c>
      <c r="AI11" s="152">
        <v>57.6228</v>
      </c>
      <c r="AJ11" s="152">
        <v>20.193</v>
      </c>
      <c r="AK11" s="152">
        <v>5.72</v>
      </c>
      <c r="AL11" s="152">
        <v>0.2253</v>
      </c>
      <c r="AM11" s="152">
        <v>56.1035</v>
      </c>
      <c r="AN11" s="76">
        <v>56.1035</v>
      </c>
      <c r="AO11" s="76">
        <v>32.0123</v>
      </c>
      <c r="AP11" s="76">
        <v>16.9306</v>
      </c>
      <c r="AQ11" s="76">
        <v>9.4358</v>
      </c>
      <c r="AR11" s="76">
        <v>0.2213</v>
      </c>
      <c r="AS11" s="76">
        <v>9.2144</v>
      </c>
      <c r="AT11" s="76">
        <v>8.7302</v>
      </c>
      <c r="AU11" s="76">
        <v>0.2133</v>
      </c>
      <c r="AV11" s="76">
        <v>15578.0</v>
      </c>
      <c r="AW11" s="76">
        <v>0.0</v>
      </c>
      <c r="AX11" s="76">
        <v>52.4517</v>
      </c>
      <c r="AY11" s="76">
        <v>91.1843</v>
      </c>
      <c r="AZ11" s="76">
        <v>4.0806</v>
      </c>
      <c r="BA11" s="76">
        <v>15.8743</v>
      </c>
      <c r="BB11" s="76">
        <v>2.6533</v>
      </c>
      <c r="BC11" s="76">
        <v>64.0</v>
      </c>
      <c r="BD11" s="76">
        <v>19592.0</v>
      </c>
      <c r="BE11" s="76">
        <v>4.9368</v>
      </c>
      <c r="BF11" s="76">
        <v>0.112</v>
      </c>
      <c r="BG11" s="76">
        <v>4.8247</v>
      </c>
      <c r="BH11" s="76">
        <v>4.3521</v>
      </c>
      <c r="BI11" s="76">
        <v>0.1063</v>
      </c>
      <c r="BJ11" s="76">
        <v>4.499</v>
      </c>
      <c r="BK11" s="76">
        <v>0.1093</v>
      </c>
      <c r="BL11" s="76">
        <v>4.3897</v>
      </c>
      <c r="BM11" s="76">
        <v>4.3781</v>
      </c>
      <c r="BN11" s="76">
        <v>0.1066</v>
      </c>
      <c r="BO11" s="76">
        <v>1.8707</v>
      </c>
      <c r="BP11" s="76">
        <v>0.0351</v>
      </c>
      <c r="BQ11" s="76">
        <v>1.8356</v>
      </c>
      <c r="BR11" s="76">
        <v>1.6478</v>
      </c>
      <c r="BS11" s="76">
        <v>1.8679</v>
      </c>
      <c r="BT11" s="76">
        <v>0.0369</v>
      </c>
      <c r="BU11" s="76">
        <v>1.831</v>
      </c>
      <c r="BV11" s="76">
        <v>1.6634</v>
      </c>
      <c r="BW11" s="76">
        <v>1.1981</v>
      </c>
      <c r="BX11" s="76">
        <v>0.0401</v>
      </c>
      <c r="BY11" s="76">
        <v>1.1581</v>
      </c>
      <c r="BZ11" s="76">
        <v>1.0409</v>
      </c>
      <c r="CA11" s="76">
        <v>0.7681</v>
      </c>
      <c r="CB11" s="76">
        <v>0.0293</v>
      </c>
      <c r="CC11" s="76">
        <v>0.7389</v>
      </c>
      <c r="CD11" s="76">
        <v>0.8509</v>
      </c>
      <c r="CE11" s="76">
        <v>2.1423</v>
      </c>
      <c r="CF11" s="76">
        <v>0.0423</v>
      </c>
      <c r="CG11" s="76">
        <v>2.1</v>
      </c>
      <c r="CH11" s="76">
        <v>1.9632</v>
      </c>
      <c r="CI11" s="76">
        <v>1.5886</v>
      </c>
      <c r="CJ11" s="76">
        <v>0.0378</v>
      </c>
      <c r="CK11" s="76">
        <v>1.5508</v>
      </c>
      <c r="CL11" s="76">
        <v>1.5639</v>
      </c>
      <c r="CM11" s="76">
        <v>356.0758</v>
      </c>
      <c r="CN11" s="76">
        <v>94.51</v>
      </c>
      <c r="CO11" s="76">
        <v>376.76</v>
      </c>
      <c r="CP11" s="76">
        <v>291.394</v>
      </c>
      <c r="CQ11" s="76">
        <v>39.8128</v>
      </c>
      <c r="CR11" s="76">
        <v>6.9191</v>
      </c>
      <c r="CS11" s="76">
        <v>17.9499</v>
      </c>
      <c r="CT11" s="76">
        <v>0.0</v>
      </c>
      <c r="CV11" s="76">
        <v>1.702</v>
      </c>
      <c r="CW11" s="76">
        <v>167.944</v>
      </c>
      <c r="CX11" s="76">
        <v>4.7479</v>
      </c>
      <c r="CY11" s="76">
        <v>44.5614</v>
      </c>
      <c r="CZ11" s="76">
        <v>60227.0</v>
      </c>
      <c r="DA11" s="164">
        <v>46230.0</v>
      </c>
      <c r="DB11" s="164">
        <v>46250.0</v>
      </c>
      <c r="DC11" s="76">
        <v>21.0</v>
      </c>
      <c r="DD11" s="76">
        <v>981.0</v>
      </c>
      <c r="DE11" s="76">
        <v>0.7293</v>
      </c>
      <c r="DF11" s="76">
        <v>59.0</v>
      </c>
      <c r="DG11" s="76">
        <v>237.0</v>
      </c>
      <c r="DH11" s="76">
        <v>32548.0</v>
      </c>
      <c r="DI11" s="76">
        <v>642.72</v>
      </c>
      <c r="DJ11" s="76">
        <v>1376.65</v>
      </c>
    </row>
    <row r="12">
      <c r="A12" s="152" t="s">
        <v>5</v>
      </c>
      <c r="B12" s="152" t="s">
        <v>150</v>
      </c>
      <c r="C12" s="152" t="b">
        <v>0</v>
      </c>
      <c r="D12" s="152">
        <v>6210.0</v>
      </c>
      <c r="E12" s="152">
        <v>8.03</v>
      </c>
      <c r="F12" s="152">
        <v>9685.66</v>
      </c>
      <c r="G12" s="152">
        <v>0.3272</v>
      </c>
      <c r="H12" s="152">
        <v>9.97</v>
      </c>
      <c r="I12" s="152">
        <v>15.6473</v>
      </c>
      <c r="J12" s="152">
        <v>131.2521</v>
      </c>
      <c r="K12" s="152">
        <v>75.0724</v>
      </c>
      <c r="L12" s="152">
        <v>55.8691</v>
      </c>
      <c r="M12" s="152">
        <v>0.7442</v>
      </c>
      <c r="N12" s="152">
        <v>0.4028</v>
      </c>
      <c r="O12" s="152">
        <v>0.2769</v>
      </c>
      <c r="P12" s="152">
        <v>1.3437</v>
      </c>
      <c r="Q12" s="152">
        <v>311.2033</v>
      </c>
      <c r="R12" s="152">
        <v>277.2141</v>
      </c>
      <c r="S12" s="152">
        <v>33.9879</v>
      </c>
      <c r="T12" s="152">
        <v>29.9903</v>
      </c>
      <c r="U12" s="152">
        <v>281.212</v>
      </c>
      <c r="V12" s="152">
        <v>312.2743</v>
      </c>
      <c r="W12" s="152">
        <v>4.1596</v>
      </c>
      <c r="X12" s="152">
        <v>9.64</v>
      </c>
      <c r="Y12" s="152">
        <v>150.0</v>
      </c>
      <c r="Z12" s="152">
        <v>636.0</v>
      </c>
      <c r="AA12" s="152">
        <v>2717.0</v>
      </c>
      <c r="AB12" s="152">
        <v>57.9187</v>
      </c>
      <c r="AC12" s="152">
        <v>0.7815</v>
      </c>
      <c r="AD12" s="152">
        <v>31.163</v>
      </c>
      <c r="AE12" s="152">
        <v>12.0</v>
      </c>
      <c r="AF12" s="152">
        <v>22.0</v>
      </c>
      <c r="AG12" s="152">
        <v>42.0</v>
      </c>
      <c r="AH12" s="152">
        <v>67.0</v>
      </c>
      <c r="AI12" s="152">
        <v>41.5387</v>
      </c>
      <c r="AJ12" s="152">
        <v>13.2912</v>
      </c>
      <c r="AK12" s="152">
        <v>3.5132</v>
      </c>
      <c r="AL12" s="152">
        <v>0.1448</v>
      </c>
      <c r="AM12" s="152">
        <v>54.7711</v>
      </c>
      <c r="AN12" s="76">
        <v>54.7711</v>
      </c>
      <c r="AO12" s="76">
        <v>31.5924</v>
      </c>
      <c r="AP12" s="76">
        <v>18.5405</v>
      </c>
      <c r="AQ12" s="76">
        <v>13.7581</v>
      </c>
      <c r="AR12" s="76">
        <v>0.4208</v>
      </c>
      <c r="AS12" s="76">
        <v>13.3374</v>
      </c>
      <c r="AT12" s="76">
        <v>13.1927</v>
      </c>
      <c r="AU12" s="76">
        <v>0.1757</v>
      </c>
      <c r="AV12" s="76">
        <v>6210.0</v>
      </c>
      <c r="AW12" s="76">
        <v>0.0</v>
      </c>
      <c r="AX12" s="76">
        <v>90.6196</v>
      </c>
      <c r="AY12" s="76">
        <v>179.8743</v>
      </c>
      <c r="AZ12" s="76">
        <v>4.9969</v>
      </c>
      <c r="BA12" s="76">
        <v>29.9762</v>
      </c>
      <c r="BB12" s="76">
        <v>5.7326</v>
      </c>
      <c r="BC12" s="76">
        <v>132.0</v>
      </c>
      <c r="BD12" s="76">
        <v>20957.0</v>
      </c>
      <c r="BE12" s="76">
        <v>6.8983</v>
      </c>
      <c r="BF12" s="76">
        <v>0.2154</v>
      </c>
      <c r="BG12" s="76">
        <v>6.6829</v>
      </c>
      <c r="BH12" s="76">
        <v>6.3621</v>
      </c>
      <c r="BI12" s="76">
        <v>0.0846</v>
      </c>
      <c r="BJ12" s="76">
        <v>6.8598</v>
      </c>
      <c r="BK12" s="76">
        <v>0.2053</v>
      </c>
      <c r="BL12" s="76">
        <v>6.6545</v>
      </c>
      <c r="BM12" s="76">
        <v>6.8306</v>
      </c>
      <c r="BN12" s="76">
        <v>0.0906</v>
      </c>
      <c r="BO12" s="76">
        <v>2.5449</v>
      </c>
      <c r="BP12" s="76">
        <v>0.0692</v>
      </c>
      <c r="BQ12" s="76">
        <v>2.4757</v>
      </c>
      <c r="BR12" s="76">
        <v>2.3803</v>
      </c>
      <c r="BS12" s="76">
        <v>2.4576</v>
      </c>
      <c r="BT12" s="76">
        <v>0.0727</v>
      </c>
      <c r="BU12" s="76">
        <v>2.3849</v>
      </c>
      <c r="BV12" s="76">
        <v>2.3467</v>
      </c>
      <c r="BW12" s="76">
        <v>1.8958</v>
      </c>
      <c r="BX12" s="76">
        <v>0.0736</v>
      </c>
      <c r="BY12" s="76">
        <v>1.8223</v>
      </c>
      <c r="BZ12" s="76">
        <v>1.6351</v>
      </c>
      <c r="CA12" s="76">
        <v>1.3146</v>
      </c>
      <c r="CB12" s="76">
        <v>0.0565</v>
      </c>
      <c r="CC12" s="76">
        <v>1.2581</v>
      </c>
      <c r="CD12" s="76">
        <v>1.4006</v>
      </c>
      <c r="CE12" s="76">
        <v>2.9579</v>
      </c>
      <c r="CF12" s="76">
        <v>0.083</v>
      </c>
      <c r="CG12" s="76">
        <v>2.8749</v>
      </c>
      <c r="CH12" s="76">
        <v>2.8393</v>
      </c>
      <c r="CI12" s="76">
        <v>2.5873</v>
      </c>
      <c r="CJ12" s="76">
        <v>0.0659</v>
      </c>
      <c r="CK12" s="76">
        <v>2.5214</v>
      </c>
      <c r="CL12" s="76">
        <v>2.5906</v>
      </c>
      <c r="CM12" s="76">
        <v>709.9676</v>
      </c>
      <c r="CN12" s="76">
        <v>97.06</v>
      </c>
      <c r="CO12" s="76">
        <v>731.48</v>
      </c>
      <c r="CP12" s="76">
        <v>590.6303</v>
      </c>
      <c r="CQ12" s="76">
        <v>81.6254</v>
      </c>
      <c r="CR12" s="76">
        <v>7.7107</v>
      </c>
      <c r="CS12" s="76">
        <v>30.0</v>
      </c>
      <c r="CT12" s="76">
        <v>0.0</v>
      </c>
      <c r="CV12" s="76">
        <v>4.4732</v>
      </c>
      <c r="CW12" s="76">
        <v>315.6754</v>
      </c>
      <c r="CX12" s="76">
        <v>8.094</v>
      </c>
      <c r="CY12" s="76">
        <v>89.7187</v>
      </c>
      <c r="CZ12" s="76">
        <v>29605.0</v>
      </c>
      <c r="DA12" s="164">
        <v>46230.0</v>
      </c>
      <c r="DB12" s="164">
        <v>46250.0</v>
      </c>
      <c r="DC12" s="76">
        <v>21.0</v>
      </c>
      <c r="DD12" s="76">
        <v>619.0</v>
      </c>
      <c r="DE12" s="76">
        <v>1.5597</v>
      </c>
      <c r="DF12" s="76">
        <v>58.0</v>
      </c>
      <c r="DG12" s="76">
        <v>336.0</v>
      </c>
      <c r="DH12" s="76">
        <v>18312.0</v>
      </c>
      <c r="DI12" s="76">
        <v>1483.6</v>
      </c>
      <c r="DJ12" s="76">
        <v>3384.64</v>
      </c>
    </row>
    <row r="13">
      <c r="A13" s="152" t="s">
        <v>5</v>
      </c>
      <c r="B13" s="152" t="s">
        <v>151</v>
      </c>
      <c r="C13" s="152" t="b">
        <v>0</v>
      </c>
      <c r="D13" s="152">
        <v>755.0</v>
      </c>
      <c r="E13" s="152">
        <v>0.96</v>
      </c>
      <c r="F13" s="152">
        <v>1756.26</v>
      </c>
      <c r="G13" s="152">
        <v>0.4939</v>
      </c>
      <c r="H13" s="152">
        <v>13.77</v>
      </c>
      <c r="I13" s="152">
        <v>16.8871</v>
      </c>
      <c r="J13" s="152">
        <v>249.0567</v>
      </c>
      <c r="K13" s="152">
        <v>156.5142</v>
      </c>
      <c r="L13" s="152">
        <v>123.0955</v>
      </c>
      <c r="M13" s="152">
        <v>0.7865</v>
      </c>
      <c r="N13" s="152">
        <v>0.3404</v>
      </c>
      <c r="O13" s="152">
        <v>0.2478</v>
      </c>
      <c r="P13" s="152">
        <v>1.2715</v>
      </c>
      <c r="Q13" s="152">
        <v>548.6701</v>
      </c>
      <c r="R13" s="152">
        <v>472.882</v>
      </c>
      <c r="S13" s="152">
        <v>75.7889</v>
      </c>
      <c r="T13" s="152">
        <v>45.8822</v>
      </c>
      <c r="U13" s="152">
        <v>502.7883</v>
      </c>
      <c r="V13" s="152">
        <v>549.0447</v>
      </c>
      <c r="W13" s="152">
        <v>3.508</v>
      </c>
      <c r="X13" s="152">
        <v>8.36</v>
      </c>
      <c r="Y13" s="152">
        <v>165.0</v>
      </c>
      <c r="Z13" s="152">
        <v>749.0</v>
      </c>
      <c r="AA13" s="152">
        <v>3165.0</v>
      </c>
      <c r="AB13" s="152">
        <v>60.6092</v>
      </c>
      <c r="AC13" s="152">
        <v>0.8201</v>
      </c>
      <c r="AD13" s="152">
        <v>57.0208</v>
      </c>
      <c r="AE13" s="152">
        <v>20.0</v>
      </c>
      <c r="AF13" s="152">
        <v>37.0</v>
      </c>
      <c r="AG13" s="152">
        <v>78.0</v>
      </c>
      <c r="AH13" s="152">
        <v>131.0</v>
      </c>
      <c r="AI13" s="152">
        <v>24.999</v>
      </c>
      <c r="AJ13" s="152">
        <v>4.7239</v>
      </c>
      <c r="AK13" s="152">
        <v>0.4779</v>
      </c>
      <c r="AL13" s="152">
        <v>0.0718</v>
      </c>
      <c r="AM13" s="152">
        <v>53.0659</v>
      </c>
      <c r="AN13" s="76">
        <v>53.0659</v>
      </c>
      <c r="AO13" s="76">
        <v>30.2865</v>
      </c>
      <c r="AP13" s="76">
        <v>19.6</v>
      </c>
      <c r="AQ13" s="76">
        <v>31.2143</v>
      </c>
      <c r="AR13" s="76">
        <v>0.5844</v>
      </c>
      <c r="AS13" s="76">
        <v>30.6299</v>
      </c>
      <c r="AT13" s="76">
        <v>25.0188</v>
      </c>
      <c r="AU13" s="76">
        <v>0.1599</v>
      </c>
      <c r="AV13" s="76">
        <v>755.0</v>
      </c>
      <c r="AW13" s="76">
        <v>0.0</v>
      </c>
      <c r="AX13" s="76">
        <v>170.2659</v>
      </c>
      <c r="AY13" s="76">
        <v>311.5711</v>
      </c>
      <c r="AZ13" s="76">
        <v>6.3803</v>
      </c>
      <c r="BA13" s="76">
        <v>45.8386</v>
      </c>
      <c r="BB13" s="76">
        <v>14.6153</v>
      </c>
      <c r="BC13" s="76">
        <v>238.0</v>
      </c>
      <c r="BD13" s="76">
        <v>24078.0</v>
      </c>
      <c r="BE13" s="76">
        <v>10.5925</v>
      </c>
      <c r="BF13" s="76">
        <v>0.2387</v>
      </c>
      <c r="BG13" s="76">
        <v>10.3538</v>
      </c>
      <c r="BH13" s="76">
        <v>10.1113</v>
      </c>
      <c r="BI13" s="76">
        <v>0.0649</v>
      </c>
      <c r="BJ13" s="76">
        <v>20.6218</v>
      </c>
      <c r="BK13" s="76">
        <v>0.3456</v>
      </c>
      <c r="BL13" s="76">
        <v>20.2762</v>
      </c>
      <c r="BM13" s="76">
        <v>14.9075</v>
      </c>
      <c r="BN13" s="76">
        <v>0.0951</v>
      </c>
      <c r="BO13" s="76">
        <v>3.6192</v>
      </c>
      <c r="BP13" s="76">
        <v>0.0796</v>
      </c>
      <c r="BQ13" s="76">
        <v>3.5397</v>
      </c>
      <c r="BR13" s="76">
        <v>3.5959</v>
      </c>
      <c r="BS13" s="76">
        <v>3.5141</v>
      </c>
      <c r="BT13" s="76">
        <v>0.0711</v>
      </c>
      <c r="BU13" s="76">
        <v>3.4429</v>
      </c>
      <c r="BV13" s="76">
        <v>3.4997</v>
      </c>
      <c r="BW13" s="76">
        <v>3.4592</v>
      </c>
      <c r="BX13" s="76">
        <v>0.088</v>
      </c>
      <c r="BY13" s="76">
        <v>3.3712</v>
      </c>
      <c r="BZ13" s="76">
        <v>3.0158</v>
      </c>
      <c r="CA13" s="76">
        <v>5.5652</v>
      </c>
      <c r="CB13" s="76">
        <v>0.0858</v>
      </c>
      <c r="CC13" s="76">
        <v>5.4795</v>
      </c>
      <c r="CD13" s="76">
        <v>5.5742</v>
      </c>
      <c r="CE13" s="76">
        <v>7.6164</v>
      </c>
      <c r="CF13" s="76">
        <v>0.1569</v>
      </c>
      <c r="CG13" s="76">
        <v>7.4595</v>
      </c>
      <c r="CH13" s="76">
        <v>4.5768</v>
      </c>
      <c r="CI13" s="76">
        <v>7.4401</v>
      </c>
      <c r="CJ13" s="76">
        <v>0.1029</v>
      </c>
      <c r="CK13" s="76">
        <v>7.3372</v>
      </c>
      <c r="CL13" s="76">
        <v>4.7565</v>
      </c>
      <c r="CM13" s="76">
        <v>1492.8134</v>
      </c>
      <c r="CN13" s="76">
        <v>98.68</v>
      </c>
      <c r="CO13" s="76">
        <v>1512.81</v>
      </c>
      <c r="CP13" s="76">
        <v>1261.5551</v>
      </c>
      <c r="CQ13" s="76">
        <v>177.5165</v>
      </c>
      <c r="CR13" s="76">
        <v>9.7127</v>
      </c>
      <c r="CS13" s="76">
        <v>44.0272</v>
      </c>
      <c r="CT13" s="76">
        <v>0.0</v>
      </c>
      <c r="CV13" s="76">
        <v>435.5648</v>
      </c>
      <c r="CW13" s="76">
        <v>984.2344</v>
      </c>
      <c r="CX13" s="76">
        <v>21.1427</v>
      </c>
      <c r="CY13" s="76">
        <v>198.6598</v>
      </c>
      <c r="CZ13" s="76">
        <v>3556.0</v>
      </c>
      <c r="DA13" s="164">
        <v>46230.0</v>
      </c>
      <c r="DB13" s="164">
        <v>46250.0</v>
      </c>
      <c r="DC13" s="76">
        <v>21.0</v>
      </c>
      <c r="DD13" s="76">
        <v>104.0</v>
      </c>
      <c r="DE13" s="76">
        <v>2.3262</v>
      </c>
      <c r="DF13" s="76">
        <v>49.0</v>
      </c>
      <c r="DG13" s="76">
        <v>462.0</v>
      </c>
      <c r="DH13" s="76">
        <v>2584.0</v>
      </c>
      <c r="DI13" s="76">
        <v>2584.2</v>
      </c>
      <c r="DJ13" s="76">
        <v>7031.05</v>
      </c>
    </row>
    <row r="14">
      <c r="A14" s="152" t="s">
        <v>4</v>
      </c>
      <c r="B14" s="152" t="s">
        <v>337</v>
      </c>
      <c r="C14" s="152" t="b">
        <v>1</v>
      </c>
      <c r="D14" s="152">
        <v>68206.0</v>
      </c>
      <c r="E14" s="152">
        <v>100.0</v>
      </c>
      <c r="F14" s="152">
        <v>43736.19</v>
      </c>
      <c r="G14" s="152">
        <v>0.1175</v>
      </c>
      <c r="H14" s="152">
        <v>3.38</v>
      </c>
      <c r="I14" s="152">
        <v>18.9992</v>
      </c>
      <c r="J14" s="152">
        <v>48.2549</v>
      </c>
      <c r="K14" s="152">
        <v>26.4588</v>
      </c>
      <c r="L14" s="152">
        <v>17.0803</v>
      </c>
      <c r="M14" s="152">
        <v>0.6455</v>
      </c>
      <c r="N14" s="152">
        <v>0.4941</v>
      </c>
      <c r="O14" s="152">
        <v>0.3239</v>
      </c>
      <c r="P14" s="152">
        <v>1.5491</v>
      </c>
      <c r="Q14" s="152">
        <v>119.4489</v>
      </c>
      <c r="R14" s="152">
        <v>92.2564</v>
      </c>
      <c r="S14" s="152">
        <v>27.1927</v>
      </c>
      <c r="T14" s="152">
        <v>9.8906</v>
      </c>
      <c r="U14" s="152">
        <v>109.5577</v>
      </c>
      <c r="V14" s="152">
        <v>113.9861</v>
      </c>
      <c r="W14" s="152">
        <v>4.3081</v>
      </c>
      <c r="X14" s="152">
        <v>8.28</v>
      </c>
      <c r="Y14" s="152">
        <v>147.0</v>
      </c>
      <c r="Z14" s="152">
        <v>528.0</v>
      </c>
      <c r="AA14" s="152">
        <v>2709.0</v>
      </c>
      <c r="AB14" s="152">
        <v>52.0092</v>
      </c>
      <c r="AC14" s="152">
        <v>0.6107</v>
      </c>
      <c r="AD14" s="152">
        <v>12.0701</v>
      </c>
      <c r="AE14" s="152">
        <v>3.0</v>
      </c>
      <c r="AF14" s="152">
        <v>6.0</v>
      </c>
      <c r="AG14" s="152">
        <v>14.0</v>
      </c>
      <c r="AH14" s="152">
        <v>28.0</v>
      </c>
      <c r="AI14" s="152">
        <v>50.0717</v>
      </c>
      <c r="AJ14" s="152">
        <v>20.1503</v>
      </c>
      <c r="AK14" s="152">
        <v>4.5276</v>
      </c>
      <c r="AL14" s="152">
        <v>0.3297</v>
      </c>
      <c r="AM14" s="153"/>
      <c r="AQ14" s="76">
        <v>6.0053</v>
      </c>
      <c r="AR14" s="76">
        <v>0.1262</v>
      </c>
      <c r="AS14" s="76">
        <v>5.8791</v>
      </c>
      <c r="AT14" s="76">
        <v>5.4181</v>
      </c>
      <c r="AU14" s="76">
        <v>0.2048</v>
      </c>
      <c r="AV14" s="76">
        <v>68206.0</v>
      </c>
      <c r="AW14" s="76">
        <v>0.0</v>
      </c>
      <c r="AX14" s="76">
        <v>56.5486</v>
      </c>
      <c r="AY14" s="76">
        <v>47.9471</v>
      </c>
      <c r="AZ14" s="76">
        <v>3.4066</v>
      </c>
      <c r="BA14" s="76">
        <v>9.8879</v>
      </c>
      <c r="BB14" s="76">
        <v>1.659</v>
      </c>
      <c r="BC14" s="76">
        <v>87.0</v>
      </c>
      <c r="BD14" s="76">
        <v>24748.0</v>
      </c>
      <c r="BE14" s="76">
        <v>3.2883</v>
      </c>
      <c r="BF14" s="76">
        <v>0.0563</v>
      </c>
      <c r="BG14" s="76">
        <v>3.2321</v>
      </c>
      <c r="BH14" s="76">
        <v>2.78</v>
      </c>
      <c r="BI14" s="76">
        <v>0.1031</v>
      </c>
      <c r="BJ14" s="76">
        <v>2.7169</v>
      </c>
      <c r="BK14" s="76">
        <v>0.0699</v>
      </c>
      <c r="BL14" s="76">
        <v>2.647</v>
      </c>
      <c r="BM14" s="76">
        <v>2.6381</v>
      </c>
      <c r="BN14" s="76">
        <v>0.0952</v>
      </c>
      <c r="BO14" s="76">
        <v>1.263</v>
      </c>
      <c r="BP14" s="76">
        <v>0.0189</v>
      </c>
      <c r="BQ14" s="76">
        <v>1.2441</v>
      </c>
      <c r="BR14" s="76">
        <v>1.0646</v>
      </c>
      <c r="BS14" s="76">
        <v>1.3256</v>
      </c>
      <c r="BT14" s="76">
        <v>0.0177</v>
      </c>
      <c r="BU14" s="76">
        <v>1.3079</v>
      </c>
      <c r="BV14" s="76">
        <v>1.1201</v>
      </c>
      <c r="BW14" s="76">
        <v>0.6997</v>
      </c>
      <c r="BX14" s="76">
        <v>0.0197</v>
      </c>
      <c r="BY14" s="76">
        <v>0.6801</v>
      </c>
      <c r="BZ14" s="76">
        <v>0.5953</v>
      </c>
      <c r="CA14" s="76">
        <v>0.5719</v>
      </c>
      <c r="CB14" s="76">
        <v>0.0184</v>
      </c>
      <c r="CC14" s="76">
        <v>0.5535</v>
      </c>
      <c r="CD14" s="76">
        <v>0.5841</v>
      </c>
      <c r="CE14" s="76">
        <v>1.0973</v>
      </c>
      <c r="CF14" s="76">
        <v>0.0294</v>
      </c>
      <c r="CG14" s="76">
        <v>1.0679</v>
      </c>
      <c r="CH14" s="76">
        <v>1.0463</v>
      </c>
      <c r="CI14" s="76">
        <v>1.0477</v>
      </c>
      <c r="CJ14" s="76">
        <v>0.0221</v>
      </c>
      <c r="CK14" s="76">
        <v>1.0256</v>
      </c>
      <c r="CL14" s="76">
        <v>1.0078</v>
      </c>
      <c r="CM14" s="76">
        <v>258.3751</v>
      </c>
      <c r="CN14" s="76">
        <v>74.91</v>
      </c>
      <c r="CO14" s="76">
        <v>344.92</v>
      </c>
      <c r="CP14" s="76">
        <v>241.0807</v>
      </c>
      <c r="CQ14" s="76">
        <v>0.0056</v>
      </c>
      <c r="CR14" s="76">
        <v>5.714</v>
      </c>
      <c r="CS14" s="76">
        <v>11.5743</v>
      </c>
      <c r="CT14" s="76">
        <v>0.0</v>
      </c>
      <c r="CV14" s="76">
        <v>2.0E-4</v>
      </c>
      <c r="CW14" s="76">
        <v>119.4493</v>
      </c>
      <c r="CX14" s="76">
        <v>2.0E-4</v>
      </c>
      <c r="CY14" s="76">
        <v>0.0058</v>
      </c>
      <c r="CZ14" s="76">
        <v>372149.0</v>
      </c>
      <c r="DA14" s="164">
        <v>46230.0</v>
      </c>
      <c r="DB14" s="164">
        <v>46250.0</v>
      </c>
      <c r="DC14" s="76">
        <v>21.0</v>
      </c>
      <c r="DD14" s="76">
        <v>2302.0</v>
      </c>
      <c r="DE14" s="76">
        <v>0.6412</v>
      </c>
      <c r="DF14" s="76">
        <v>89.0</v>
      </c>
      <c r="DG14" s="76">
        <v>230.0</v>
      </c>
      <c r="DH14" s="76">
        <v>38.0</v>
      </c>
      <c r="DI14" s="76">
        <v>651.74</v>
      </c>
      <c r="DJ14" s="76">
        <v>1409.76</v>
      </c>
    </row>
    <row r="15">
      <c r="A15" s="152" t="s">
        <v>5</v>
      </c>
      <c r="B15" s="152" t="s">
        <v>337</v>
      </c>
      <c r="C15" s="152" t="b">
        <v>1</v>
      </c>
      <c r="D15" s="152">
        <v>68025.0</v>
      </c>
      <c r="E15" s="152">
        <v>100.0</v>
      </c>
      <c r="F15" s="152">
        <v>39615.81</v>
      </c>
      <c r="G15" s="152">
        <v>0.1074</v>
      </c>
      <c r="H15" s="152">
        <v>3.36</v>
      </c>
      <c r="I15" s="152">
        <v>17.3298</v>
      </c>
      <c r="J15" s="152">
        <v>50.2276</v>
      </c>
      <c r="K15" s="152">
        <v>26.8707</v>
      </c>
      <c r="L15" s="152">
        <v>16.9247</v>
      </c>
      <c r="M15" s="152">
        <v>0.6299</v>
      </c>
      <c r="N15" s="152">
        <v>0.5078</v>
      </c>
      <c r="O15" s="152">
        <v>0.3279</v>
      </c>
      <c r="P15" s="152">
        <v>1.5877</v>
      </c>
      <c r="Q15" s="152">
        <v>107.5877</v>
      </c>
      <c r="R15" s="152">
        <v>98.2153</v>
      </c>
      <c r="S15" s="152">
        <v>9.3717</v>
      </c>
      <c r="T15" s="152">
        <v>9.4146</v>
      </c>
      <c r="U15" s="152">
        <v>98.173</v>
      </c>
      <c r="V15" s="152">
        <v>104.9391</v>
      </c>
      <c r="W15" s="152">
        <v>3.9053</v>
      </c>
      <c r="X15" s="152">
        <v>8.75</v>
      </c>
      <c r="Y15" s="152">
        <v>131.0</v>
      </c>
      <c r="Z15" s="152">
        <v>441.0</v>
      </c>
      <c r="AA15" s="152">
        <v>2437.0</v>
      </c>
      <c r="AB15" s="152">
        <v>51.9153</v>
      </c>
      <c r="AC15" s="152">
        <v>0.6082</v>
      </c>
      <c r="AD15" s="152">
        <v>11.5939</v>
      </c>
      <c r="AE15" s="152">
        <v>3.0</v>
      </c>
      <c r="AF15" s="152">
        <v>7.0</v>
      </c>
      <c r="AG15" s="152">
        <v>14.0</v>
      </c>
      <c r="AH15" s="152">
        <v>27.0</v>
      </c>
      <c r="AI15" s="152">
        <v>49.242</v>
      </c>
      <c r="AJ15" s="152">
        <v>19.698</v>
      </c>
      <c r="AK15" s="152">
        <v>4.3759</v>
      </c>
      <c r="AL15" s="152">
        <v>0.3324</v>
      </c>
      <c r="AM15" s="152">
        <v>42.6904</v>
      </c>
      <c r="AN15" s="76">
        <v>42.6902</v>
      </c>
      <c r="AO15" s="76">
        <v>23.1793</v>
      </c>
      <c r="AP15" s="76">
        <v>10.6041</v>
      </c>
      <c r="AQ15" s="76">
        <v>6.1896</v>
      </c>
      <c r="AR15" s="76">
        <v>0.13</v>
      </c>
      <c r="AS15" s="76">
        <v>6.0596</v>
      </c>
      <c r="AT15" s="76">
        <v>5.3689</v>
      </c>
      <c r="AU15" s="76">
        <v>0.1998</v>
      </c>
      <c r="AV15" s="76">
        <v>68025.0</v>
      </c>
      <c r="AW15" s="76">
        <v>0.0</v>
      </c>
      <c r="AX15" s="76">
        <v>33.4328</v>
      </c>
      <c r="AY15" s="76">
        <v>59.7368</v>
      </c>
      <c r="AZ15" s="76">
        <v>3.3676</v>
      </c>
      <c r="BA15" s="76">
        <v>9.4114</v>
      </c>
      <c r="BB15" s="76">
        <v>1.6405</v>
      </c>
      <c r="BC15" s="76">
        <v>81.0</v>
      </c>
      <c r="BD15" s="76">
        <v>23585.0</v>
      </c>
      <c r="BE15" s="76">
        <v>3.1601</v>
      </c>
      <c r="BF15" s="76">
        <v>0.0634</v>
      </c>
      <c r="BG15" s="76">
        <v>3.0967</v>
      </c>
      <c r="BH15" s="76">
        <v>2.6942</v>
      </c>
      <c r="BI15" s="76">
        <v>0.106</v>
      </c>
      <c r="BJ15" s="76">
        <v>3.0295</v>
      </c>
      <c r="BK15" s="76">
        <v>0.0666</v>
      </c>
      <c r="BL15" s="76">
        <v>2.9629</v>
      </c>
      <c r="BM15" s="76">
        <v>2.6747</v>
      </c>
      <c r="BN15" s="76">
        <v>0.0985</v>
      </c>
      <c r="BO15" s="76">
        <v>1.2718</v>
      </c>
      <c r="BP15" s="76">
        <v>0.021</v>
      </c>
      <c r="BQ15" s="76">
        <v>1.2508</v>
      </c>
      <c r="BR15" s="76">
        <v>1.0585</v>
      </c>
      <c r="BS15" s="76">
        <v>1.1896</v>
      </c>
      <c r="BT15" s="76">
        <v>0.0203</v>
      </c>
      <c r="BU15" s="76">
        <v>1.1693</v>
      </c>
      <c r="BV15" s="76">
        <v>1.0207</v>
      </c>
      <c r="BW15" s="76">
        <v>0.6987</v>
      </c>
      <c r="BX15" s="76">
        <v>0.0222</v>
      </c>
      <c r="BY15" s="76">
        <v>0.6766</v>
      </c>
      <c r="BZ15" s="76">
        <v>0.615</v>
      </c>
      <c r="CA15" s="76">
        <v>0.5669</v>
      </c>
      <c r="CB15" s="76">
        <v>0.0172</v>
      </c>
      <c r="CC15" s="76">
        <v>0.5497</v>
      </c>
      <c r="CD15" s="76">
        <v>0.5361</v>
      </c>
      <c r="CE15" s="76">
        <v>1.4218</v>
      </c>
      <c r="CF15" s="76">
        <v>0.0266</v>
      </c>
      <c r="CG15" s="76">
        <v>1.3952</v>
      </c>
      <c r="CH15" s="76">
        <v>1.1864</v>
      </c>
      <c r="CI15" s="76">
        <v>1.0407</v>
      </c>
      <c r="CJ15" s="76">
        <v>0.0228</v>
      </c>
      <c r="CK15" s="76">
        <v>1.018</v>
      </c>
      <c r="CL15" s="76">
        <v>0.9522</v>
      </c>
      <c r="CM15" s="76">
        <v>228.4411</v>
      </c>
      <c r="CN15" s="76">
        <v>74.76</v>
      </c>
      <c r="CO15" s="76">
        <v>305.55</v>
      </c>
      <c r="CP15" s="76">
        <v>188.8133</v>
      </c>
      <c r="CQ15" s="76">
        <v>24.0852</v>
      </c>
      <c r="CR15" s="76">
        <v>5.437</v>
      </c>
      <c r="CS15" s="76">
        <v>10.1044</v>
      </c>
      <c r="CT15" s="76">
        <v>0.0</v>
      </c>
      <c r="CV15" s="76">
        <v>13.4239</v>
      </c>
      <c r="CW15" s="76">
        <v>121.0125</v>
      </c>
      <c r="CX15" s="76">
        <v>2.7409</v>
      </c>
      <c r="CY15" s="76">
        <v>26.8256</v>
      </c>
      <c r="CZ15" s="76">
        <v>368736.0</v>
      </c>
      <c r="DA15" s="164">
        <v>46230.0</v>
      </c>
      <c r="DB15" s="164">
        <v>46250.0</v>
      </c>
      <c r="DC15" s="76">
        <v>21.0</v>
      </c>
      <c r="DD15" s="76">
        <v>2286.0</v>
      </c>
      <c r="DE15" s="76">
        <v>0.5824</v>
      </c>
      <c r="DF15" s="76">
        <v>84.0</v>
      </c>
      <c r="DG15" s="76">
        <v>210.0</v>
      </c>
      <c r="DH15" s="76">
        <v>154515.0</v>
      </c>
      <c r="DI15" s="76">
        <v>583.19</v>
      </c>
      <c r="DJ15" s="76">
        <v>1238.29</v>
      </c>
    </row>
    <row r="16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3"/>
    </row>
    <row r="17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3"/>
    </row>
    <row r="18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3"/>
    </row>
    <row r="19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3"/>
    </row>
    <row r="20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3"/>
      <c r="AE20" s="153"/>
      <c r="AF20" s="153"/>
      <c r="AG20" s="153"/>
      <c r="AH20" s="153"/>
      <c r="AI20" s="152"/>
      <c r="AJ20" s="152"/>
      <c r="AK20" s="152"/>
      <c r="AL20" s="152"/>
      <c r="AM20" s="152"/>
    </row>
    <row r="21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</row>
    <row r="22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</row>
    <row r="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3"/>
      <c r="AE26" s="153"/>
      <c r="AF26" s="153"/>
      <c r="AG26" s="153"/>
      <c r="AH26" s="153"/>
      <c r="AI26" s="152"/>
      <c r="AJ26" s="152"/>
      <c r="AK26" s="152"/>
      <c r="AL26" s="152"/>
      <c r="AM26" s="153"/>
    </row>
    <row r="27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3"/>
    </row>
    <row r="28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3"/>
    </row>
    <row r="29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3"/>
    </row>
    <row r="30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3"/>
    </row>
    <row r="31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3"/>
    </row>
    <row r="32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3"/>
      <c r="AE32" s="153"/>
      <c r="AF32" s="153"/>
      <c r="AG32" s="153"/>
      <c r="AH32" s="153"/>
      <c r="AI32" s="152"/>
      <c r="AJ32" s="152"/>
      <c r="AK32" s="152"/>
      <c r="AL32" s="152"/>
      <c r="AM32" s="152"/>
    </row>
    <row r="3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</row>
    <row r="34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</row>
    <row r="35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</row>
    <row r="36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</row>
    <row r="37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</row>
    <row r="38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3"/>
      <c r="AE38" s="153"/>
      <c r="AF38" s="153"/>
      <c r="AG38" s="153"/>
      <c r="AH38" s="153"/>
      <c r="AI38" s="152"/>
      <c r="AJ38" s="152"/>
      <c r="AK38" s="152"/>
      <c r="AL38" s="152"/>
      <c r="AM38" s="153"/>
    </row>
    <row r="39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3"/>
    </row>
    <row r="40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3"/>
    </row>
    <row r="41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3"/>
    </row>
    <row r="42">
      <c r="A42" s="151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3"/>
    </row>
    <row r="43">
      <c r="A43" s="151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3"/>
    </row>
    <row r="44">
      <c r="A44" s="151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3"/>
      <c r="AE44" s="153"/>
      <c r="AF44" s="153"/>
      <c r="AG44" s="153"/>
      <c r="AH44" s="153"/>
      <c r="AI44" s="152"/>
      <c r="AJ44" s="152"/>
      <c r="AK44" s="152"/>
      <c r="AL44" s="152"/>
      <c r="AM44" s="152"/>
    </row>
    <row r="45">
      <c r="A45" s="151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</row>
    <row r="46">
      <c r="A46" s="151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</row>
    <row r="47">
      <c r="A47" s="151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</row>
    <row r="48">
      <c r="A48" s="151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</row>
    <row r="49">
      <c r="A49" s="151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</row>
    <row r="50">
      <c r="A50" s="151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3"/>
      <c r="AE50" s="153"/>
      <c r="AF50" s="153"/>
      <c r="AG50" s="153"/>
      <c r="AH50" s="153"/>
      <c r="AI50" s="152"/>
      <c r="AJ50" s="152"/>
      <c r="AK50" s="152"/>
      <c r="AL50" s="152"/>
    </row>
    <row r="51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</row>
    <row r="5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</row>
    <row r="53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</row>
    <row r="54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</row>
    <row r="55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</row>
    <row r="56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3"/>
      <c r="AE56" s="153"/>
      <c r="AF56" s="153"/>
      <c r="AG56" s="153"/>
      <c r="AH56" s="153"/>
      <c r="AI56" s="152"/>
      <c r="AJ56" s="152"/>
      <c r="AK56" s="152"/>
      <c r="AL56" s="152"/>
    </row>
    <row r="57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</row>
    <row r="58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</row>
    <row r="59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</row>
    <row r="60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</row>
    <row r="61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</row>
    <row r="62">
      <c r="A62" s="164"/>
    </row>
    <row r="63">
      <c r="A63" s="164"/>
    </row>
    <row r="64">
      <c r="A64" s="164"/>
    </row>
    <row r="65">
      <c r="A65" s="164"/>
    </row>
    <row r="66">
      <c r="A66" s="164"/>
    </row>
    <row r="67">
      <c r="A67" s="164"/>
    </row>
    <row r="68">
      <c r="A68" s="164"/>
    </row>
    <row r="69">
      <c r="A69" s="164"/>
    </row>
    <row r="70">
      <c r="A70" s="164"/>
    </row>
    <row r="71">
      <c r="A71" s="164"/>
    </row>
    <row r="72">
      <c r="A72" s="164"/>
    </row>
    <row r="73">
      <c r="A73" s="164"/>
    </row>
    <row r="74">
      <c r="A74" s="164"/>
    </row>
    <row r="75">
      <c r="A75" s="164"/>
    </row>
    <row r="76">
      <c r="A76" s="164"/>
    </row>
    <row r="77">
      <c r="A77" s="164"/>
    </row>
    <row r="78">
      <c r="A78" s="164"/>
    </row>
    <row r="79">
      <c r="A79" s="164"/>
    </row>
    <row r="80">
      <c r="A80" s="164"/>
    </row>
    <row r="81">
      <c r="A81" s="164"/>
    </row>
    <row r="82">
      <c r="A82" s="164"/>
    </row>
    <row r="83">
      <c r="A83" s="164"/>
    </row>
    <row r="84">
      <c r="A84" s="164"/>
    </row>
    <row r="85">
      <c r="A85" s="164"/>
    </row>
    <row r="86">
      <c r="A86" s="164"/>
    </row>
    <row r="87">
      <c r="A87" s="164"/>
    </row>
    <row r="88">
      <c r="A88" s="164"/>
    </row>
    <row r="89">
      <c r="A89" s="164"/>
    </row>
    <row r="90">
      <c r="A90" s="164"/>
    </row>
    <row r="91">
      <c r="A91" s="164"/>
    </row>
    <row r="92">
      <c r="A92" s="164"/>
    </row>
    <row r="93">
      <c r="A93" s="164"/>
    </row>
    <row r="94">
      <c r="A94" s="164"/>
    </row>
    <row r="95">
      <c r="A95" s="164"/>
    </row>
    <row r="96">
      <c r="A96" s="164"/>
    </row>
    <row r="97">
      <c r="A97" s="164"/>
    </row>
    <row r="98">
      <c r="A98" s="164"/>
    </row>
    <row r="99">
      <c r="A99" s="164"/>
    </row>
    <row r="100">
      <c r="A100" s="164"/>
    </row>
    <row r="101">
      <c r="A101" s="164"/>
    </row>
    <row r="102">
      <c r="A102" s="164"/>
    </row>
    <row r="103">
      <c r="A103" s="164"/>
    </row>
    <row r="104">
      <c r="A104" s="164"/>
    </row>
    <row r="105">
      <c r="A105" s="164"/>
    </row>
    <row r="106">
      <c r="A106" s="164"/>
    </row>
    <row r="107">
      <c r="A107" s="164"/>
    </row>
    <row r="108">
      <c r="A108" s="164"/>
    </row>
    <row r="109">
      <c r="A109" s="164"/>
    </row>
    <row r="110">
      <c r="A110" s="164"/>
    </row>
    <row r="111">
      <c r="A111" s="164"/>
    </row>
    <row r="112">
      <c r="A112" s="164"/>
    </row>
    <row r="113">
      <c r="A113" s="164"/>
    </row>
    <row r="114">
      <c r="A114" s="164"/>
    </row>
    <row r="115">
      <c r="A115" s="164"/>
    </row>
    <row r="116">
      <c r="A116" s="164"/>
    </row>
    <row r="117">
      <c r="A117" s="164"/>
    </row>
    <row r="118">
      <c r="A118" s="164"/>
    </row>
    <row r="119">
      <c r="A119" s="164"/>
    </row>
    <row r="120">
      <c r="A120" s="164"/>
    </row>
    <row r="121">
      <c r="A121" s="164"/>
    </row>
    <row r="122">
      <c r="A122" s="164"/>
    </row>
    <row r="123">
      <c r="A123" s="164"/>
    </row>
    <row r="124">
      <c r="A124" s="164"/>
    </row>
    <row r="125">
      <c r="A125" s="164"/>
    </row>
    <row r="126">
      <c r="A126" s="164"/>
    </row>
    <row r="127">
      <c r="A127" s="164"/>
    </row>
    <row r="128">
      <c r="A128" s="164"/>
    </row>
    <row r="129">
      <c r="A129" s="164"/>
    </row>
    <row r="130">
      <c r="A130" s="164"/>
    </row>
    <row r="131">
      <c r="A131" s="164"/>
    </row>
    <row r="132">
      <c r="A132" s="164"/>
    </row>
    <row r="133">
      <c r="A133" s="164"/>
    </row>
    <row r="134">
      <c r="A134" s="164"/>
    </row>
    <row r="135">
      <c r="A135" s="164"/>
    </row>
    <row r="136">
      <c r="A136" s="164"/>
    </row>
    <row r="137">
      <c r="A137" s="164"/>
    </row>
    <row r="138">
      <c r="A138" s="164"/>
    </row>
    <row r="139">
      <c r="A139" s="164"/>
    </row>
    <row r="140">
      <c r="A140" s="164"/>
    </row>
    <row r="141">
      <c r="A141" s="164"/>
    </row>
    <row r="142">
      <c r="A142" s="164"/>
    </row>
    <row r="143">
      <c r="A143" s="164"/>
    </row>
    <row r="144">
      <c r="A144" s="164"/>
    </row>
    <row r="145">
      <c r="A145" s="164"/>
    </row>
    <row r="146">
      <c r="A146" s="164"/>
    </row>
    <row r="147">
      <c r="A147" s="164"/>
    </row>
    <row r="148">
      <c r="A148" s="164"/>
    </row>
    <row r="149">
      <c r="A149" s="164"/>
    </row>
    <row r="150">
      <c r="A150" s="164"/>
    </row>
    <row r="151">
      <c r="A151" s="164"/>
    </row>
    <row r="152">
      <c r="A152" s="164"/>
    </row>
    <row r="153">
      <c r="A153" s="164"/>
    </row>
    <row r="154">
      <c r="A154" s="164"/>
    </row>
    <row r="155">
      <c r="A155" s="164"/>
    </row>
    <row r="156">
      <c r="A156" s="164"/>
    </row>
    <row r="157">
      <c r="A157" s="164"/>
    </row>
    <row r="158">
      <c r="A158" s="164"/>
    </row>
    <row r="159">
      <c r="A159" s="164"/>
    </row>
    <row r="160">
      <c r="A160" s="164"/>
    </row>
    <row r="161">
      <c r="A161" s="164"/>
    </row>
    <row r="162">
      <c r="A162" s="164"/>
    </row>
    <row r="163">
      <c r="A163" s="164"/>
    </row>
    <row r="164">
      <c r="A164" s="164"/>
    </row>
    <row r="165">
      <c r="A165" s="164"/>
    </row>
    <row r="166">
      <c r="A166" s="164"/>
    </row>
    <row r="167">
      <c r="A167" s="164"/>
    </row>
    <row r="168">
      <c r="A168" s="164"/>
    </row>
    <row r="169">
      <c r="A169" s="164"/>
    </row>
    <row r="170">
      <c r="A170" s="164"/>
    </row>
    <row r="171">
      <c r="A171" s="164"/>
    </row>
    <row r="172">
      <c r="A172" s="164"/>
    </row>
    <row r="173">
      <c r="A173" s="164"/>
    </row>
    <row r="174">
      <c r="A174" s="164"/>
    </row>
    <row r="175">
      <c r="A175" s="164"/>
    </row>
    <row r="176">
      <c r="A176" s="164"/>
    </row>
    <row r="177">
      <c r="A177" s="164"/>
    </row>
    <row r="178">
      <c r="A178" s="164"/>
    </row>
    <row r="179">
      <c r="A179" s="164"/>
    </row>
    <row r="180">
      <c r="A180" s="164"/>
    </row>
    <row r="181">
      <c r="A181" s="164"/>
    </row>
    <row r="182">
      <c r="A182" s="164"/>
    </row>
    <row r="183">
      <c r="A183" s="164"/>
    </row>
    <row r="184">
      <c r="A184" s="164"/>
    </row>
    <row r="185">
      <c r="A185" s="164"/>
    </row>
    <row r="186">
      <c r="A186" s="164"/>
    </row>
    <row r="187">
      <c r="A187" s="164"/>
    </row>
    <row r="188">
      <c r="A188" s="164"/>
    </row>
    <row r="189">
      <c r="A189" s="164"/>
    </row>
    <row r="190">
      <c r="A190" s="164"/>
    </row>
    <row r="191">
      <c r="A191" s="164"/>
    </row>
    <row r="192">
      <c r="A192" s="164"/>
    </row>
    <row r="193">
      <c r="A193" s="164"/>
    </row>
    <row r="194">
      <c r="A194" s="164"/>
    </row>
    <row r="195">
      <c r="A195" s="164"/>
    </row>
    <row r="196">
      <c r="A196" s="164"/>
    </row>
    <row r="197">
      <c r="A197" s="164"/>
    </row>
    <row r="198">
      <c r="A198" s="164"/>
    </row>
    <row r="199">
      <c r="A199" s="164"/>
    </row>
    <row r="200">
      <c r="A200" s="164"/>
    </row>
    <row r="201">
      <c r="A201" s="164"/>
    </row>
    <row r="202">
      <c r="A202" s="164"/>
    </row>
    <row r="203">
      <c r="A203" s="164"/>
    </row>
    <row r="204">
      <c r="A204" s="164"/>
    </row>
    <row r="205">
      <c r="A205" s="164"/>
    </row>
  </sheetData>
  <drawing r:id="rId1"/>
</worksheet>
</file>