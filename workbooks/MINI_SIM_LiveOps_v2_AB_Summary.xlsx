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y Bucket" sheetId="1" r:id="rId5"/>
    <sheet state="visible" name="Overall" sheetId="2" r:id="rId6"/>
    <sheet state="visible" name="Overall (new users)" sheetId="3" r:id="rId7"/>
    <sheet state="visible" name="Overall (old players)" sheetId="4" r:id="rId8"/>
    <sheet state="visible" name="Daily" sheetId="5" r:id="rId9"/>
    <sheet state="visible" name="NS_Config_Change_Est" sheetId="6" r:id="rId10"/>
    <sheet state="visible" name="Saga_Config_Change_Est" sheetId="7" r:id="rId11"/>
    <sheet state="visible" name="RM_Config_Change_Est" sheetId="8" r:id="rId12"/>
    <sheet state="visible" name="S" sheetId="9" r:id="rId13"/>
    <sheet state="visible" name="Raw_Data_Daily" sheetId="10" r:id="rId14"/>
    <sheet state="visible" name="Raw_Data_RM_Completions" sheetId="11" r:id="rId15"/>
    <sheet state="visible" name="Raw_Data_Period" sheetId="12" r:id="rId16"/>
    <sheet state="visible" name="Raw_Data_Period_new_users" sheetId="13" r:id="rId17"/>
    <sheet state="visible" name="Raw_Data_Period_old_users" sheetId="14" r:id="rId18"/>
  </sheets>
  <definedNames/>
  <calcPr/>
</workbook>
</file>

<file path=xl/sharedStrings.xml><?xml version="1.0" encoding="utf-8"?>
<sst xmlns="http://schemas.openxmlformats.org/spreadsheetml/2006/main" count="2079" uniqueCount="421">
  <si>
    <t>A/B Test Summary By 7d Completion Bucket</t>
  </si>
  <si>
    <t>A/B Test Summary - Overall (across all buckets)</t>
  </si>
  <si>
    <t>Category</t>
  </si>
  <si>
    <t>Metric</t>
  </si>
  <si>
    <t>Control</t>
  </si>
  <si>
    <t>Variant</t>
  </si>
  <si>
    <t>Δ Abs</t>
  </si>
  <si>
    <t>Δ %</t>
  </si>
  <si>
    <t>Players</t>
  </si>
  <si>
    <t xml:space="preserve"> 1-9</t>
  </si>
  <si>
    <t>prev Δ %</t>
  </si>
  <si>
    <t xml:space="preserve"> 10-19</t>
  </si>
  <si>
    <t>Players (sum)</t>
  </si>
  <si>
    <t xml:space="preserve"> 20-39</t>
  </si>
  <si>
    <t xml:space="preserve"> 40-99</t>
  </si>
  <si>
    <t xml:space="preserve"> 100+</t>
  </si>
  <si>
    <t>Revenue</t>
  </si>
  <si>
    <t>Total revenue</t>
  </si>
  <si>
    <t>ARPDAU</t>
  </si>
  <si>
    <t>ARPPU</t>
  </si>
  <si>
    <t>Engagement</t>
  </si>
  <si>
    <t>Time spent (mins)</t>
  </si>
  <si>
    <t>Level attempts / player</t>
  </si>
  <si>
    <t>Level completes / player</t>
  </si>
  <si>
    <t>Daily Streak</t>
  </si>
  <si>
    <t>Avg daily streak</t>
  </si>
  <si>
    <t>P25 daily streak</t>
  </si>
  <si>
    <t>P50 daily streak</t>
  </si>
  <si>
    <t>P75 daily streak</t>
  </si>
  <si>
    <t>P90 daily streak</t>
  </si>
  <si>
    <t>P99 daily streak</t>
  </si>
  <si>
    <t>Difficulty</t>
  </si>
  <si>
    <t>Pass rate</t>
  </si>
  <si>
    <t>OOM rate</t>
  </si>
  <si>
    <t>First-try OOM rate</t>
  </si>
  <si>
    <t>Attempts per completion</t>
  </si>
  <si>
    <t>HC Economy</t>
  </si>
  <si>
    <t>HC gain total / player</t>
  </si>
  <si>
    <t>AVG Payer day (%)</t>
  </si>
  <si>
    <t>HC gain (ex-saga) / player</t>
  </si>
  <si>
    <t>HC gain from saga / player</t>
  </si>
  <si>
    <t>HC gain PAID / player</t>
  </si>
  <si>
    <t>HC gain FREE / player</t>
  </si>
  <si>
    <t>HC spent / player</t>
  </si>
  <si>
    <t>HC net (gain - spend) / player</t>
  </si>
  <si>
    <t>HC spent / attempt</t>
  </si>
  <si>
    <t>Paid % of total HC gain</t>
  </si>
  <si>
    <t>HC Economy - Sources</t>
  </si>
  <si>
    <t>HC gain / player (CORE)</t>
  </si>
  <si>
    <t>HC gain / player (META)</t>
  </si>
  <si>
    <t>HC gain / player (AD)</t>
  </si>
  <si>
    <t>HC gain / player (PURCHASE)</t>
  </si>
  <si>
    <t>HC gain / player (OTHER)</t>
  </si>
  <si>
    <t>HC Balance</t>
  </si>
  <si>
    <t>P50 HC balance</t>
  </si>
  <si>
    <t>P75 HC balance</t>
  </si>
  <si>
    <t>P90 HC balance</t>
  </si>
  <si>
    <t>P99 HC balance</t>
  </si>
  <si>
    <t>Performance</t>
  </si>
  <si>
    <t>Avg player performance</t>
  </si>
  <si>
    <t>Avg PR (last 50 lvls)</t>
  </si>
  <si>
    <t>NS Round Pass %</t>
  </si>
  <si>
    <t>R1 pass rate (%)</t>
  </si>
  <si>
    <t>R2 pass rate (%)</t>
  </si>
  <si>
    <t>R3 pass rate (%)</t>
  </si>
  <si>
    <t>Retention</t>
  </si>
  <si>
    <t>D1 churn rate</t>
  </si>
  <si>
    <t>NS Actual Completions</t>
  </si>
  <si>
    <t>NS active rate (%)</t>
  </si>
  <si>
    <t>R1 finished (%) [claims]</t>
  </si>
  <si>
    <t>R2 finished (%) [claims]</t>
  </si>
  <si>
    <t>R3 finished (%) [claims]</t>
  </si>
  <si>
    <t>Boosters</t>
  </si>
  <si>
    <t>Booster gain total / player</t>
  </si>
  <si>
    <t>Booster gain PAID / player</t>
  </si>
  <si>
    <t>Booster gain FREE / player</t>
  </si>
  <si>
    <t>Booster spent / player</t>
  </si>
  <si>
    <t>Booster NET (gain - spend) / player</t>
  </si>
  <si>
    <t>Booster spent / attempt</t>
  </si>
  <si>
    <t>Red</t>
  </si>
  <si>
    <t>Red gain total / player</t>
  </si>
  <si>
    <t>Red gain PAID / player</t>
  </si>
  <si>
    <t>Red gain FREE / player</t>
  </si>
  <si>
    <t>Red spent / player</t>
  </si>
  <si>
    <t>Red NET (gain - spend) / player</t>
  </si>
  <si>
    <t>Chuck</t>
  </si>
  <si>
    <t>Chuck gain total / player</t>
  </si>
  <si>
    <t>Chuck gain PAID / player</t>
  </si>
  <si>
    <t>Chuck gain FREE / player</t>
  </si>
  <si>
    <t>Chuck spent / player</t>
  </si>
  <si>
    <t>Chuck NET (gain - spend) / player</t>
  </si>
  <si>
    <t>Bomb</t>
  </si>
  <si>
    <t>Bomb gain total / player</t>
  </si>
  <si>
    <t>Bomb gain PAID / player</t>
  </si>
  <si>
    <t>Bomb gain FREE / player</t>
  </si>
  <si>
    <t>Bomb spent / player</t>
  </si>
  <si>
    <t>Bomb NET (gain - spend) / player</t>
  </si>
  <si>
    <t>Slingshot</t>
  </si>
  <si>
    <t>Slingshot gain total / player</t>
  </si>
  <si>
    <t>Slingshot gain PAID / player</t>
  </si>
  <si>
    <t>Slingshot gain FREE / player</t>
  </si>
  <si>
    <t>Slingshot spent / player</t>
  </si>
  <si>
    <t>Slingshot NET (gain - spend) / player</t>
  </si>
  <si>
    <t>Shuffle</t>
  </si>
  <si>
    <t>Shuffle gain total / player</t>
  </si>
  <si>
    <t>Shuffle gain PAID / player</t>
  </si>
  <si>
    <t>Shuffle gain FREE / player</t>
  </si>
  <si>
    <t>Shuffle spent / player</t>
  </si>
  <si>
    <t>Shuffle NET (gain - spend) / player</t>
  </si>
  <si>
    <t>Star</t>
  </si>
  <si>
    <t>Star gain total / player</t>
  </si>
  <si>
    <t>Star gain PAID / player</t>
  </si>
  <si>
    <t>Star gain FREE / player</t>
  </si>
  <si>
    <t>Star spent / player</t>
  </si>
  <si>
    <t>Star NET (gain - spend) / player</t>
  </si>
  <si>
    <t>SPT</t>
  </si>
  <si>
    <t/>
  </si>
  <si>
    <t>SPT gain total / player</t>
  </si>
  <si>
    <t>SPT gainer rate (%)</t>
  </si>
  <si>
    <t>SPT gain / gainer</t>
  </si>
  <si>
    <t>SPT gain / player (CORE)</t>
  </si>
  <si>
    <t>SPT gain / player (RAINBOW)</t>
  </si>
  <si>
    <t>SPT gain / player (OFFER)</t>
  </si>
  <si>
    <t>SPT gain / player (EVENT)</t>
  </si>
  <si>
    <t>SPT gain / player (OTHER)</t>
  </si>
  <si>
    <t>A/B Test Summary - Daily Trend (selected segment)</t>
  </si>
  <si>
    <t>Segment:</t>
  </si>
  <si>
    <t>10-19</t>
  </si>
  <si>
    <t>Date</t>
  </si>
  <si>
    <t>% of DAU</t>
  </si>
  <si>
    <t>Payer rate (%)</t>
  </si>
  <si>
    <t>HC net (gain − spend) / player</t>
  </si>
  <si>
    <t>R1 finished (%) [actual]</t>
  </si>
  <si>
    <t>R2 finished (%) [actual]</t>
  </si>
  <si>
    <t>R3 finished (%) [actual]</t>
  </si>
  <si>
    <t>Δ%</t>
  </si>
  <si>
    <t>Night Sky New Rewards</t>
  </si>
  <si>
    <t>Block</t>
  </si>
  <si>
    <t>1-9</t>
  </si>
  <si>
    <t>20-39</t>
  </si>
  <si>
    <t>40-99</t>
  </si>
  <si>
    <t>100+</t>
  </si>
  <si>
    <t>B. 1-9</t>
  </si>
  <si>
    <t>C. 10-19</t>
  </si>
  <si>
    <t>D. 20-39</t>
  </si>
  <si>
    <t>E. 40-99</t>
  </si>
  <si>
    <t>F. 100+</t>
  </si>
  <si>
    <t>NS CONFIG</t>
  </si>
  <si>
    <t>Cum streak req - R1</t>
  </si>
  <si>
    <t>Cum streak req - R2</t>
  </si>
  <si>
    <t>Cum streak req - R3</t>
  </si>
  <si>
    <t>NS CONFIG - HC REWARDS</t>
  </si>
  <si>
    <t>Current HC reward - R1</t>
  </si>
  <si>
    <t>Current HC reward - R2</t>
  </si>
  <si>
    <t>Current HC reward - R3</t>
  </si>
  <si>
    <t>NEW HC reward - R1</t>
  </si>
  <si>
    <t>Saga New Rewards</t>
  </si>
  <si>
    <t>NEW HC reward - R2</t>
  </si>
  <si>
    <t>CURRENT CONFIG</t>
  </si>
  <si>
    <t>NEW HC reward - R3</t>
  </si>
  <si>
    <t>Diff HC - R1</t>
  </si>
  <si>
    <t>Segment 0-9</t>
  </si>
  <si>
    <t>Diff HC - R2</t>
  </si>
  <si>
    <t>Node</t>
  </si>
  <si>
    <t>Levels Req</t>
  </si>
  <si>
    <t>RewardChestId</t>
  </si>
  <si>
    <t>HC Reward</t>
  </si>
  <si>
    <t>Comet</t>
  </si>
  <si>
    <t>Unlimited Lives</t>
  </si>
  <si>
    <t>Unlimited Red</t>
  </si>
  <si>
    <t>Unlimited Chuck</t>
  </si>
  <si>
    <t>Unlimited Bomb</t>
  </si>
  <si>
    <t>Coin Val</t>
  </si>
  <si>
    <t>Diff HC - R3</t>
  </si>
  <si>
    <t>NS CONFIG - BOOSTER REWARDS</t>
  </si>
  <si>
    <t>Current Red reward - R1</t>
  </si>
  <si>
    <t>Current Chuck reward - R1</t>
  </si>
  <si>
    <t>Current Bomb reward - R1</t>
  </si>
  <si>
    <t>Current Red reward - R2</t>
  </si>
  <si>
    <t>Current Chuck reward - R2</t>
  </si>
  <si>
    <t>Current Bomb reward - R2</t>
  </si>
  <si>
    <t>Current Red reward - R3</t>
  </si>
  <si>
    <t>Current Chuck reward - R3</t>
  </si>
  <si>
    <t>Current Bomb reward - R3</t>
  </si>
  <si>
    <t>NEW Red reward - R1</t>
  </si>
  <si>
    <t>NEW Chuck reward - R1</t>
  </si>
  <si>
    <t>NEW Bomb reward - R1</t>
  </si>
  <si>
    <t>NEW Red reward - R2</t>
  </si>
  <si>
    <t>NEW Chuck reward - R2</t>
  </si>
  <si>
    <t>NEW Bomb reward - R2</t>
  </si>
  <si>
    <t>NEW Red reward - R3</t>
  </si>
  <si>
    <t>NEW Chuck reward - R3</t>
  </si>
  <si>
    <t>NEW Bomb reward - R3</t>
  </si>
  <si>
    <t>Diff Red - R1</t>
  </si>
  <si>
    <t>Diff Chuck - R1</t>
  </si>
  <si>
    <t>Total per Cycle</t>
  </si>
  <si>
    <t>Diff Bomb - R1</t>
  </si>
  <si>
    <t>Diff Red - R2</t>
  </si>
  <si>
    <t>Diff Chuck - R2</t>
  </si>
  <si>
    <t>Diff Bomb - R2</t>
  </si>
  <si>
    <t>Diff Red - R3</t>
  </si>
  <si>
    <t>Resource per Level</t>
  </si>
  <si>
    <t>Diff Chuck - R3</t>
  </si>
  <si>
    <t>Diff Bomb - R3</t>
  </si>
  <si>
    <t>VARIANT DATA</t>
  </si>
  <si>
    <t>Claim rate / player-day - R1 (%)</t>
  </si>
  <si>
    <t>Segment 10-19</t>
  </si>
  <si>
    <t>Claim rate / player-day - R2 (%)</t>
  </si>
  <si>
    <t>Segment 20-39</t>
  </si>
  <si>
    <t>Claim rate / player-day - R3 (%)</t>
  </si>
  <si>
    <t>Daily streak p50</t>
  </si>
  <si>
    <t>Segment 40-99</t>
  </si>
  <si>
    <t>Daily streak p75</t>
  </si>
  <si>
    <t>todo</t>
  </si>
  <si>
    <t>Daily streak p90</t>
  </si>
  <si>
    <t>Segment 100+</t>
  </si>
  <si>
    <t>NS HC PER PLAYER-DAY</t>
  </si>
  <si>
    <t>NS HC gain per Player NOW (est)</t>
  </si>
  <si>
    <t>NS HC with new Config</t>
  </si>
  <si>
    <t>Diff NS HC / player-day</t>
  </si>
  <si>
    <t>NS uplift %</t>
  </si>
  <si>
    <t>NS BOOSTERS PER PLAYER-DAY</t>
  </si>
  <si>
    <t>Red HC gain per Player NOW (est)</t>
  </si>
  <si>
    <t>NEW CONFIG</t>
  </si>
  <si>
    <t>x</t>
  </si>
  <si>
    <t>NS reward increase (careful wiht 100+)</t>
  </si>
  <si>
    <t>Red HC with new Config</t>
  </si>
  <si>
    <t>look into 100+ net</t>
  </si>
  <si>
    <t>Diff Red HC / player-day</t>
  </si>
  <si>
    <t>Red uplift %</t>
  </si>
  <si>
    <t>Chuck HC gain per Player NOW (est)</t>
  </si>
  <si>
    <t>Chuck HC with new Config</t>
  </si>
  <si>
    <t>Diff Chuck HC / player-day</t>
  </si>
  <si>
    <t>Chuck uplift %</t>
  </si>
  <si>
    <t>Bomb HC gain per Player NOW (est)</t>
  </si>
  <si>
    <t>Bomb HC with new Config</t>
  </si>
  <si>
    <t>Diff Bomb HC / player-day</t>
  </si>
  <si>
    <t>Bomb uplift %</t>
  </si>
  <si>
    <t>TOTAL RESOURCE GAIN / PLAYER</t>
  </si>
  <si>
    <t>Booster analysis</t>
  </si>
  <si>
    <t>Variant (as tested)</t>
  </si>
  <si>
    <t>Variant + proposal</t>
  </si>
  <si>
    <t>HC Change % Control vs Variant (Current)</t>
  </si>
  <si>
    <t>HC Change % Control vs NEW Estimate</t>
  </si>
  <si>
    <t>ulbs</t>
  </si>
  <si>
    <t>0-9</t>
  </si>
  <si>
    <t>Control HC</t>
  </si>
  <si>
    <t>Variant HC (as tested)</t>
  </si>
  <si>
    <t>SPTs</t>
  </si>
  <si>
    <t>Variant HC + proposal</t>
  </si>
  <si>
    <t>Red Change % Control vs Variant (Current)</t>
  </si>
  <si>
    <t>Red Change % Control vs NEW Estimate</t>
  </si>
  <si>
    <t>HC NET (gain - spend) / player</t>
  </si>
  <si>
    <t>PRE-LEVEL BOOSTERS</t>
  </si>
  <si>
    <t>Chuck Change % Control vs Variant (Current)</t>
  </si>
  <si>
    <t>Chuck Change % Control vs NEW Estimate</t>
  </si>
  <si>
    <t>Bomb Change % Control vs Variant (Current)</t>
  </si>
  <si>
    <t>Bomb Change % Control vs NEW Estimate</t>
  </si>
  <si>
    <t>MILESTONE CONFIG 4 day</t>
  </si>
  <si>
    <t>Milestone</t>
  </si>
  <si>
    <t>Matchables Req</t>
  </si>
  <si>
    <t>Req Accum</t>
  </si>
  <si>
    <t>Chest</t>
  </si>
  <si>
    <t>Coins</t>
  </si>
  <si>
    <t>SPT x2</t>
  </si>
  <si>
    <t>COOP Token</t>
  </si>
  <si>
    <t>Avatar</t>
  </si>
  <si>
    <t>MILESTONE CONFIG NEW</t>
  </si>
  <si>
    <t>POWER-UPS</t>
  </si>
  <si>
    <t>Slingshot Change % Control vs Variant (Current)</t>
  </si>
  <si>
    <t>Slingshot Change % Control vs NEW Estimate</t>
  </si>
  <si>
    <t>Estimate of Saga + NS Change Effects to Daily Gains (accounting for Weekend)</t>
  </si>
  <si>
    <t>Overall - Control</t>
  </si>
  <si>
    <t>Shuffle Change % Control vs Variant (Current)</t>
  </si>
  <si>
    <t>HC</t>
  </si>
  <si>
    <t>Shuffle Change % Control vs NEW Estimate</t>
  </si>
  <si>
    <t>Star Change % Control vs Variant (Current)</t>
  </si>
  <si>
    <t>Star Change % Control vs NEW Estimate</t>
  </si>
  <si>
    <t>Overall - Var</t>
  </si>
  <si>
    <t>Overall - Var (est)</t>
  </si>
  <si>
    <t>event_date</t>
  </si>
  <si>
    <t>ab_group</t>
  </si>
  <si>
    <t>avg_completions_7d_bucket</t>
  </si>
  <si>
    <t>players</t>
  </si>
  <si>
    <t>pct_of_dau</t>
  </si>
  <si>
    <t>total_revenue</t>
  </si>
  <si>
    <t>arpdau</t>
  </si>
  <si>
    <t>payer_rate_pct</t>
  </si>
  <si>
    <t>arppu</t>
  </si>
  <si>
    <t>avg_time_spent_mins</t>
  </si>
  <si>
    <t>avg_level_attempts</t>
  </si>
  <si>
    <t>avg_level_completes</t>
  </si>
  <si>
    <t>pass_rate</t>
  </si>
  <si>
    <t>oom_rate</t>
  </si>
  <si>
    <t>foom_rate</t>
  </si>
  <si>
    <t>avg_apc</t>
  </si>
  <si>
    <t>avg_hc_gain_total</t>
  </si>
  <si>
    <t>avg_hc_gain_total_minus_saga</t>
  </si>
  <si>
    <t>avg_hc_gain_saga</t>
  </si>
  <si>
    <t>avg_hc_gain_paid</t>
  </si>
  <si>
    <t>avg_hc_gain_free</t>
  </si>
  <si>
    <t>avg_hc_spent</t>
  </si>
  <si>
    <t>hc_spent_per_attempt</t>
  </si>
  <si>
    <t>paid_pct_of_total_gain</t>
  </si>
  <si>
    <t>p50_hc_balance</t>
  </si>
  <si>
    <t>p75_hc_balance</t>
  </si>
  <si>
    <t>p90_hc_balance</t>
  </si>
  <si>
    <t>avg_player_performance</t>
  </si>
  <si>
    <t>avg_pr_last_50_levels</t>
  </si>
  <si>
    <t>avg_daily_streak</t>
  </si>
  <si>
    <t>p25_daily_streak</t>
  </si>
  <si>
    <t>p50_daily_streak</t>
  </si>
  <si>
    <t>p75_daily_streak</t>
  </si>
  <si>
    <t>p90_daily_streak</t>
  </si>
  <si>
    <t>pct_player_days_passed_R1</t>
  </si>
  <si>
    <t>pct_player_days_passed_R2</t>
  </si>
  <si>
    <t>pct_player_days_passed_R3</t>
  </si>
  <si>
    <t>d1_churn_rate</t>
  </si>
  <si>
    <t>actual_liveops_active_rate_pct</t>
  </si>
  <si>
    <t>actual_pct_finished_R1</t>
  </si>
  <si>
    <t>actual_pct_finished_R2</t>
  </si>
  <si>
    <t>actual_pct_finished_R3</t>
  </si>
  <si>
    <t>avg_booster_gain_total</t>
  </si>
  <si>
    <t>avg_booster_gain_paid</t>
  </si>
  <si>
    <t>avg_booster_gain_free</t>
  </si>
  <si>
    <t>avg_booster_spend</t>
  </si>
  <si>
    <t>booster_spend_per_attempt</t>
  </si>
  <si>
    <t>hc_clean_players</t>
  </si>
  <si>
    <t>hc_excluded_players</t>
  </si>
  <si>
    <t>avg_hc_gain_CORE</t>
  </si>
  <si>
    <t>avg_hc_gain_META</t>
  </si>
  <si>
    <t>avg_hc_gain_ADS</t>
  </si>
  <si>
    <t>avg_hc_gain_PURCHASE</t>
  </si>
  <si>
    <t>avg_hc_gain_OTHER</t>
  </si>
  <si>
    <t>p99_daily_streak</t>
  </si>
  <si>
    <t>p99_hc_balance</t>
  </si>
  <si>
    <t>avg_prelevel_gain_total</t>
  </si>
  <si>
    <t>avg_prelevel_gain_paid</t>
  </si>
  <si>
    <t>avg_prelevel_gain_free</t>
  </si>
  <si>
    <t>avg_prelevel_spend</t>
  </si>
  <si>
    <t>prelevel_spend_per_attempt</t>
  </si>
  <si>
    <t>avg_ingame_gain_total</t>
  </si>
  <si>
    <t>avg_ingame_gain_paid</t>
  </si>
  <si>
    <t>avg_ingame_gain_free</t>
  </si>
  <si>
    <t>avg_ingame_spend</t>
  </si>
  <si>
    <t>ingame_spend_per_attempt</t>
  </si>
  <si>
    <t>avg_red_gain_total</t>
  </si>
  <si>
    <t>avg_red_gain_paid</t>
  </si>
  <si>
    <t>avg_red_gain_free</t>
  </si>
  <si>
    <t>avg_red_spend</t>
  </si>
  <si>
    <t>avg_chuck_gain_total</t>
  </si>
  <si>
    <t>avg_chuck_gain_paid</t>
  </si>
  <si>
    <t>avg_chuck_gain_free</t>
  </si>
  <si>
    <t>avg_chuck_spend</t>
  </si>
  <si>
    <t>avg_bomb_gain_total</t>
  </si>
  <si>
    <t>avg_bomb_gain_paid</t>
  </si>
  <si>
    <t>avg_bomb_gain_free</t>
  </si>
  <si>
    <t>avg_bomb_spend</t>
  </si>
  <si>
    <t>avg_star_gain_total</t>
  </si>
  <si>
    <t>avg_star_gain_paid</t>
  </si>
  <si>
    <t>avg_star_gain_free</t>
  </si>
  <si>
    <t>avg_star_spend</t>
  </si>
  <si>
    <t>avg_slingshot_gain_total</t>
  </si>
  <si>
    <t>avg_slingshot_gain_paid</t>
  </si>
  <si>
    <t>avg_slingshot_gain_free</t>
  </si>
  <si>
    <t>avg_slingshot_spend</t>
  </si>
  <si>
    <t>avg_shuffle_gain_total</t>
  </si>
  <si>
    <t>avg_shuffle_gain_paid</t>
  </si>
  <si>
    <t>avg_shuffle_gain_free</t>
  </si>
  <si>
    <t>avg_shuffle_spend</t>
  </si>
  <si>
    <t>avg_spt_gain_total</t>
  </si>
  <si>
    <t>spt_gainer_rate_pct</t>
  </si>
  <si>
    <t>avg_spt_gain_per_gainer</t>
  </si>
  <si>
    <t>avg_spt_gain_CORE</t>
  </si>
  <si>
    <t>avg_spt_gain_RAINBOW</t>
  </si>
  <si>
    <t>avg_spt_gain_OFFER</t>
  </si>
  <si>
    <t>avg_spt_gain_EVENT</t>
  </si>
  <si>
    <t>avg_spt_gain_OTHER</t>
  </si>
  <si>
    <t>hc_players_over_config</t>
  </si>
  <si>
    <t>avg_hc_excess_removed</t>
  </si>
  <si>
    <t>avg_hc_gain_total_uncorrected</t>
  </si>
  <si>
    <t>avg_spt_excess_removed</t>
  </si>
  <si>
    <t>avg_spt_gain_RAINBOW_uncorrected</t>
  </si>
  <si>
    <t>avg_unlimited_booster_minutes_total</t>
  </si>
  <si>
    <t>avg_unlimited_booster_minutes_paid</t>
  </si>
  <si>
    <t>avg_unlimited_booster_minutes_free</t>
  </si>
  <si>
    <t>avg_unlimited_lives_minutes_total</t>
  </si>
  <si>
    <t>avg_unlimited_lives_minutes_paid</t>
  </si>
  <si>
    <t>avg_unlimited_lives_minutes_free</t>
  </si>
  <si>
    <t>avg_unlimited_red_minutes_total</t>
  </si>
  <si>
    <t>avg_unlimited_red_minutes_paid</t>
  </si>
  <si>
    <t>avg_unlimited_red_minutes_free</t>
  </si>
  <si>
    <t>avg_unlimited_chuck_minutes_total</t>
  </si>
  <si>
    <t>avg_unlimited_chuck_minutes_paid</t>
  </si>
  <si>
    <t>avg_unlimited_chuck_minutes_free</t>
  </si>
  <si>
    <t>avg_unlimited_bomb_minutes_total</t>
  </si>
  <si>
    <t>avg_unlimited_bomb_minutes_paid</t>
  </si>
  <si>
    <t>avg_unlimited_bomb_minutes_free</t>
  </si>
  <si>
    <t>A. 0</t>
  </si>
  <si>
    <t>Overall - Change - Var</t>
  </si>
  <si>
    <t>Overall - Change - Var (est)</t>
  </si>
  <si>
    <t>milestone</t>
  </si>
  <si>
    <t>avg_levels_completed_to_milestone_average</t>
  </si>
  <si>
    <t>players_reached_max</t>
  </si>
  <si>
    <t>players_reached_pct_max</t>
  </si>
  <si>
    <t>median_levels_completed_to_milestone_average</t>
  </si>
  <si>
    <t>is_total</t>
  </si>
  <si>
    <t>player_days</t>
  </si>
  <si>
    <t>period_start</t>
  </si>
  <si>
    <t>period_end</t>
  </si>
  <si>
    <t>active_dates</t>
  </si>
  <si>
    <t>payers_distinct</t>
  </si>
  <si>
    <t>revenue_per_player_period</t>
  </si>
  <si>
    <t>p50_min_hc_balance</t>
  </si>
  <si>
    <t>p50_max_hc_balance</t>
  </si>
  <si>
    <t>hc_player_days_over_config</t>
  </si>
  <si>
    <t>hc_gain_total_period_per_player</t>
  </si>
  <si>
    <t>spt_gain_total_period_per_player</t>
  </si>
  <si>
    <t>ALL</t>
  </si>
  <si>
    <t>Previous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</si>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</sst>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\+0.00%;\-0.00%;0.00%"/>
    <numFmt numFmtId="165" formatCode="\$#,##0"/>
    <numFmt numFmtId="166" formatCode="[$$]#,##0.00"/>
    <numFmt numFmtId="167" formatCode="\$0.0000"/>
    <numFmt numFmtId="168" formatCode="0.0000"/>
    <numFmt numFmtId="169" formatCode="0.000"/>
    <numFmt numFmtId="170" formatCode="0.00\%"/>
    <numFmt numFmtId="171" formatCode="yyyy\-mm\-dd"/>
    <numFmt numFmtId="172" formatCode="+0.00%;-0.00%;0.00%"/>
    <numFmt numFmtId="173" formatCode="yyyy-mm-dd"/>
  </numFmts>
  <fonts count="33">
    <font>
      <sz val="11.0"/>
      <color theme="1"/>
      <name val="Calibri"/>
      <scheme val="minor"/>
    </font>
    <font>
      <b/>
      <sz val="14.0"/>
      <color rgb="FF1F3864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Arial"/>
    </font>
    <font>
      <b/>
      <sz val="10.0"/>
      <color rgb="FF1F3864"/>
      <name val="Arial"/>
    </font>
    <font/>
    <font>
      <sz val="10.0"/>
      <color theme="1"/>
      <name val="Arial"/>
    </font>
    <font>
      <b/>
      <sz val="10.0"/>
      <color rgb="FFFFFFFF"/>
      <name val="Arial"/>
    </font>
    <font>
      <b/>
      <sz val="10.0"/>
      <color rgb="FF3F3F3F"/>
      <name val="Arial"/>
    </font>
    <font>
      <b/>
      <sz val="10.0"/>
      <color rgb="FF980000"/>
      <name val="Arial"/>
    </font>
    <font>
      <b/>
      <sz val="10.0"/>
      <color rgb="FF9C0006"/>
      <name val="Arial"/>
    </font>
    <font>
      <b/>
      <sz val="10.0"/>
      <color rgb="FF006100"/>
      <name val="Arial"/>
    </font>
    <font>
      <b/>
      <sz val="10.0"/>
      <color theme="1"/>
      <name val="Arial"/>
    </font>
    <font>
      <b/>
      <sz val="11.0"/>
      <color theme="1"/>
      <name val="Arial"/>
    </font>
    <font>
      <i/>
      <sz val="11.0"/>
      <color rgb="FF808080"/>
      <name val="Arial"/>
    </font>
    <font>
      <b/>
      <color rgb="FFFFFFFF"/>
      <name val="Arial"/>
    </font>
    <font>
      <sz val="11.0"/>
      <color theme="1"/>
      <name val="Arial"/>
    </font>
    <font>
      <b/>
      <sz val="11.0"/>
      <color rgb="FF3F3F3F"/>
      <name val="Arial"/>
    </font>
    <font>
      <b/>
      <sz val="11.0"/>
      <color rgb="FF006100"/>
      <name val="Arial"/>
    </font>
    <font>
      <sz val="8.0"/>
      <color rgb="FF7F7F7F"/>
      <name val="Arial"/>
    </font>
    <font>
      <sz val="10.0"/>
      <color rgb="FFFF0000"/>
      <name val="Arial"/>
    </font>
    <font>
      <sz val="10.0"/>
      <color rgb="FF000000"/>
      <name val="Arial"/>
    </font>
    <font>
      <i/>
      <sz val="9.0"/>
      <color rgb="FF7F7F7F"/>
      <name val="Arial"/>
    </font>
    <font>
      <b/>
      <sz val="10.0"/>
      <color rgb="FF000000"/>
      <name val="Arial"/>
    </font>
    <font>
      <b/>
      <color rgb="FFFFFFFF"/>
      <name val="Calibri"/>
      <scheme val="minor"/>
    </font>
    <font>
      <b/>
      <sz val="11.0"/>
      <color rgb="FF9C0006"/>
      <name val="Arial"/>
    </font>
    <font>
      <b/>
      <color theme="1"/>
      <name val="Calibri"/>
      <scheme val="minor"/>
    </font>
    <font>
      <b/>
      <sz val="11.0"/>
      <color rgb="FFFFFFFF"/>
      <name val="Calibri"/>
    </font>
    <font>
      <color rgb="FFFF0000"/>
      <name val="Calibri"/>
      <scheme val="minor"/>
    </font>
    <font>
      <i/>
      <sz val="10.0"/>
      <color theme="1"/>
      <name val="Arial"/>
    </font>
    <font>
      <color theme="1"/>
      <name val="Arial"/>
    </font>
    <font>
      <i/>
      <color theme="1"/>
      <name val="Calibri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355999"/>
        <bgColor rgb="FF355999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FFFF00"/>
        <bgColor rgb="FFFFFF00"/>
      </patternFill>
    </fill>
    <fill>
      <patternFill patternType="solid">
        <fgColor rgb="FFECF2FD"/>
        <bgColor rgb="FFECF2FD"/>
      </patternFill>
    </fill>
  </fills>
  <borders count="32">
    <border/>
    <border>
      <right style="thin">
        <color rgb="FF000000"/>
      </right>
    </border>
    <border>
      <left style="thin">
        <color rgb="FF000000"/>
      </left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000000"/>
      </right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/>
      <bottom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666666"/>
      </top>
      <bottom style="thin">
        <color rgb="FFBFBFBF"/>
      </bottom>
    </border>
    <border>
      <left style="thin">
        <color rgb="FFBFBFBF"/>
      </left>
      <right style="thin">
        <color rgb="FF000000"/>
      </right>
      <top/>
      <bottom style="thin">
        <color rgb="FFBFBFBF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ck">
        <color rgb="FF000000"/>
      </top>
      <bottom style="thin">
        <color rgb="FFBFBFBF"/>
      </bottom>
    </border>
  </borders>
  <cellStyleXfs count="1">
    <xf borderId="0" fillId="0" fontId="0" numFmtId="0" applyAlignment="1" applyFont="1"/>
  </cellStyleXfs>
  <cellXfs count="2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2" numFmtId="0" xfId="0" applyBorder="1" applyFont="1"/>
    <xf borderId="1" fillId="0" fontId="3" numFmtId="0" xfId="0" applyBorder="1" applyFont="1"/>
    <xf borderId="3" fillId="2" fontId="4" numFmtId="0" xfId="0" applyAlignment="1" applyBorder="1" applyFill="1" applyFont="1">
      <alignment horizontal="center" vertical="center"/>
    </xf>
    <xf borderId="4" fillId="2" fontId="4" numFmtId="0" xfId="0" applyAlignment="1" applyBorder="1" applyFill="1" applyFont="1">
      <alignment horizontal="center" vertical="center"/>
    </xf>
    <xf borderId="5" fillId="2" fontId="4" numFmtId="0" xfId="0" applyAlignment="1" applyBorder="1" applyFill="1" applyFont="1">
      <alignment horizontal="center" vertical="center"/>
    </xf>
    <xf borderId="6" fillId="3" fontId="4" numFmtId="0" xfId="0" applyAlignment="1" applyBorder="1" applyFill="1" applyFont="1">
      <alignment horizontal="center" vertical="center"/>
    </xf>
    <xf borderId="4" fillId="4" fontId="5" numFmtId="0" xfId="0" applyBorder="1" applyFill="1" applyFont="1"/>
    <xf borderId="7" fillId="0" fontId="6" numFmtId="0" xfId="0" applyBorder="1" applyFont="1"/>
    <xf borderId="8" fillId="0" fontId="6" numFmtId="0" xfId="0" applyBorder="1" applyFont="1"/>
    <xf borderId="4" fillId="4" fontId="2" numFmtId="0" xfId="0" applyBorder="1" applyFill="1" applyFont="1"/>
    <xf borderId="4" fillId="2" fontId="4" numFmtId="0" xfId="0" applyAlignment="1" applyBorder="1" applyFill="1" applyFont="1">
      <alignment horizontal="center" readingOrder="0" vertical="center"/>
    </xf>
    <xf borderId="9" fillId="0" fontId="6" numFmtId="0" xfId="0" applyBorder="1" applyFont="1"/>
    <xf borderId="4" fillId="5" fontId="2" numFmtId="0" xfId="0" applyBorder="1" applyFill="1" applyFont="1"/>
    <xf borderId="4" fillId="5" fontId="7" numFmtId="0" xfId="0" applyBorder="1" applyFill="1" applyFont="1"/>
    <xf borderId="10" fillId="3" fontId="4" numFmtId="0" xfId="0" applyAlignment="1" applyBorder="1" applyFill="1" applyFont="1">
      <alignment horizontal="center" vertical="center"/>
    </xf>
    <xf borderId="11" fillId="0" fontId="6" numFmtId="0" xfId="0" applyBorder="1" applyFont="1"/>
    <xf borderId="12" fillId="0" fontId="6" numFmtId="0" xfId="0" applyBorder="1" applyFont="1"/>
    <xf borderId="13" fillId="2" fontId="8" numFmtId="0" xfId="0" applyAlignment="1" applyBorder="1" applyFill="1" applyFont="1">
      <alignment horizontal="center"/>
    </xf>
    <xf borderId="4" fillId="2" fontId="8" numFmtId="0" xfId="0" applyAlignment="1" applyBorder="1" applyFill="1" applyFont="1">
      <alignment horizontal="center"/>
    </xf>
    <xf borderId="14" fillId="2" fontId="8" numFmtId="0" xfId="0" applyAlignment="1" applyBorder="1" applyFill="1" applyFont="1">
      <alignment horizontal="center"/>
    </xf>
    <xf borderId="15" fillId="2" fontId="8" numFmtId="0" xfId="0" applyAlignment="1" applyBorder="1" applyFill="1" applyFont="1">
      <alignment horizontal="center"/>
    </xf>
    <xf borderId="16" fillId="2" fontId="8" numFmtId="0" xfId="0" applyAlignment="1" applyBorder="1" applyFill="1" applyFont="1">
      <alignment horizontal="center"/>
    </xf>
    <xf borderId="4" fillId="4" fontId="5" numFmtId="0" xfId="0" applyAlignment="1" applyBorder="1" applyFill="1" applyFont="1">
      <alignment vertical="center"/>
    </xf>
    <xf borderId="4" fillId="5" fontId="7" numFmtId="3" xfId="0" applyAlignment="1" applyBorder="1" applyFill="1" applyFont="1" applyNumberFormat="1">
      <alignment horizontal="right"/>
    </xf>
    <xf borderId="16" fillId="4" fontId="2" numFmtId="0" xfId="0" applyBorder="1" applyFill="1" applyFont="1"/>
    <xf borderId="13" fillId="4" fontId="2" numFmtId="0" xfId="0" applyBorder="1" applyFill="1" applyFont="1"/>
    <xf borderId="14" fillId="4" fontId="2" numFmtId="0" xfId="0" applyBorder="1" applyFill="1" applyFont="1"/>
    <xf borderId="15" fillId="4" fontId="2" numFmtId="0" xfId="0" applyBorder="1" applyFill="1" applyFont="1"/>
    <xf borderId="16" fillId="5" fontId="7" numFmtId="0" xfId="0" applyBorder="1" applyFill="1" applyFont="1"/>
    <xf borderId="4" fillId="6" fontId="9" numFmtId="3" xfId="0" applyAlignment="1" applyBorder="1" applyFill="1" applyFont="1" applyNumberFormat="1">
      <alignment horizontal="right"/>
    </xf>
    <xf borderId="13" fillId="5" fontId="7" numFmtId="3" xfId="0" applyAlignment="1" applyBorder="1" applyFill="1" applyFont="1" applyNumberFormat="1">
      <alignment horizontal="right"/>
    </xf>
    <xf borderId="4" fillId="6" fontId="9" numFmtId="164" xfId="0" applyAlignment="1" applyBorder="1" applyFill="1" applyFont="1" applyNumberFormat="1">
      <alignment horizontal="right"/>
    </xf>
    <xf borderId="14" fillId="6" fontId="9" numFmtId="164" xfId="0" applyAlignment="1" applyBorder="1" applyFill="1" applyFont="1" applyNumberFormat="1">
      <alignment horizontal="right"/>
    </xf>
    <xf borderId="4" fillId="5" fontId="7" numFmtId="165" xfId="0" applyAlignment="1" applyBorder="1" applyFill="1" applyFont="1" applyNumberFormat="1">
      <alignment horizontal="right"/>
    </xf>
    <xf borderId="15" fillId="5" fontId="7" numFmtId="3" xfId="0" applyAlignment="1" applyBorder="1" applyFill="1" applyFont="1" applyNumberFormat="1">
      <alignment horizontal="right"/>
    </xf>
    <xf borderId="4" fillId="7" fontId="10" numFmtId="166" xfId="0" applyAlignment="1" applyBorder="1" applyFill="1" applyFont="1" applyNumberFormat="1">
      <alignment horizontal="right"/>
    </xf>
    <xf borderId="16" fillId="6" fontId="9" numFmtId="164" xfId="0" applyAlignment="1" applyBorder="1" applyFill="1" applyFont="1" applyNumberFormat="1">
      <alignment horizontal="right"/>
    </xf>
    <xf borderId="4" fillId="8" fontId="11" numFmtId="164" xfId="0" applyAlignment="1" applyBorder="1" applyFill="1" applyFont="1" applyNumberFormat="1">
      <alignment horizontal="right"/>
    </xf>
    <xf borderId="4" fillId="5" fontId="7" numFmtId="167" xfId="0" applyAlignment="1" applyBorder="1" applyFill="1" applyFont="1" applyNumberFormat="1">
      <alignment horizontal="right"/>
    </xf>
    <xf borderId="4" fillId="5" fontId="7" numFmtId="2" xfId="0" applyAlignment="1" applyBorder="1" applyFill="1" applyFont="1" applyNumberFormat="1">
      <alignment horizontal="right"/>
    </xf>
    <xf borderId="4" fillId="9" fontId="12" numFmtId="2" xfId="0" applyAlignment="1" applyBorder="1" applyFill="1" applyFont="1" applyNumberFormat="1">
      <alignment horizontal="right"/>
    </xf>
    <xf borderId="13" fillId="5" fontId="7" numFmtId="165" xfId="0" applyAlignment="1" applyBorder="1" applyFill="1" applyFont="1" applyNumberFormat="1">
      <alignment horizontal="right"/>
    </xf>
    <xf borderId="4" fillId="9" fontId="12" numFmtId="164" xfId="0" applyAlignment="1" applyBorder="1" applyFill="1" applyFont="1" applyNumberFormat="1">
      <alignment horizontal="right"/>
    </xf>
    <xf borderId="14" fillId="9" fontId="12" numFmtId="164" xfId="0" applyAlignment="1" applyBorder="1" applyFill="1" applyFont="1" applyNumberFormat="1">
      <alignment horizontal="right"/>
    </xf>
    <xf borderId="15" fillId="5" fontId="7" numFmtId="165" xfId="0" applyAlignment="1" applyBorder="1" applyFill="1" applyFont="1" applyNumberFormat="1">
      <alignment horizontal="right"/>
    </xf>
    <xf borderId="16" fillId="9" fontId="12" numFmtId="164" xfId="0" applyAlignment="1" applyBorder="1" applyFill="1" applyFont="1" applyNumberFormat="1">
      <alignment horizontal="right"/>
    </xf>
    <xf borderId="14" fillId="8" fontId="11" numFmtId="164" xfId="0" applyAlignment="1" applyBorder="1" applyFill="1" applyFont="1" applyNumberFormat="1">
      <alignment horizontal="right"/>
    </xf>
    <xf borderId="16" fillId="8" fontId="11" numFmtId="164" xfId="0" applyAlignment="1" applyBorder="1" applyFill="1" applyFont="1" applyNumberFormat="1">
      <alignment horizontal="right"/>
    </xf>
    <xf borderId="0" fillId="0" fontId="3" numFmtId="10" xfId="0" applyFont="1" applyNumberFormat="1"/>
    <xf borderId="13" fillId="5" fontId="7" numFmtId="167" xfId="0" applyAlignment="1" applyBorder="1" applyFill="1" applyFont="1" applyNumberFormat="1">
      <alignment horizontal="right"/>
    </xf>
    <xf borderId="15" fillId="5" fontId="7" numFmtId="167" xfId="0" applyAlignment="1" applyBorder="1" applyFill="1" applyFont="1" applyNumberFormat="1">
      <alignment horizontal="right"/>
    </xf>
    <xf borderId="4" fillId="5" fontId="7" numFmtId="0" xfId="0" applyAlignment="1" applyBorder="1" applyFill="1" applyFont="1">
      <alignment readingOrder="0"/>
    </xf>
    <xf borderId="4" fillId="5" fontId="7" numFmtId="168" xfId="0" applyAlignment="1" applyBorder="1" applyFill="1" applyFont="1" applyNumberFormat="1">
      <alignment horizontal="right"/>
    </xf>
    <xf borderId="4" fillId="6" fontId="9" numFmtId="168" xfId="0" applyAlignment="1" applyBorder="1" applyFill="1" applyFont="1" applyNumberFormat="1">
      <alignment horizontal="right"/>
    </xf>
    <xf borderId="4" fillId="6" fontId="9" numFmtId="2" xfId="0" applyAlignment="1" applyBorder="1" applyFill="1" applyFont="1" applyNumberFormat="1">
      <alignment horizontal="right"/>
    </xf>
    <xf borderId="4" fillId="5" fontId="13" numFmtId="0" xfId="0" applyBorder="1" applyFill="1" applyFont="1"/>
    <xf borderId="4" fillId="8" fontId="11" numFmtId="169" xfId="0" applyAlignment="1" applyBorder="1" applyFill="1" applyFont="1" applyNumberFormat="1">
      <alignment horizontal="right"/>
    </xf>
    <xf borderId="13" fillId="5" fontId="7" numFmtId="170" xfId="0" applyAlignment="1" applyBorder="1" applyFill="1" applyFont="1" applyNumberFormat="1">
      <alignment horizontal="right"/>
    </xf>
    <xf borderId="4" fillId="5" fontId="7" numFmtId="170" xfId="0" applyAlignment="1" applyBorder="1" applyFill="1" applyFont="1" applyNumberFormat="1">
      <alignment horizontal="right"/>
    </xf>
    <xf borderId="15" fillId="5" fontId="7" numFmtId="170" xfId="0" applyAlignment="1" applyBorder="1" applyFill="1" applyFont="1" applyNumberFormat="1">
      <alignment horizontal="right"/>
    </xf>
    <xf borderId="4" fillId="8" fontId="11" numFmtId="2" xfId="0" applyAlignment="1" applyBorder="1" applyFill="1" applyFont="1" applyNumberFormat="1">
      <alignment horizontal="right"/>
    </xf>
    <xf borderId="4" fillId="5" fontId="7" numFmtId="0" xfId="0" applyBorder="1" applyFill="1" applyFont="1"/>
    <xf borderId="13" fillId="5" fontId="7" numFmtId="2" xfId="0" applyAlignment="1" applyBorder="1" applyFill="1" applyFont="1" applyNumberFormat="1">
      <alignment horizontal="right"/>
    </xf>
    <xf borderId="4" fillId="8" fontId="11" numFmtId="170" xfId="0" applyAlignment="1" applyBorder="1" applyFill="1" applyFont="1" applyNumberFormat="1">
      <alignment horizontal="right"/>
    </xf>
    <xf borderId="15" fillId="5" fontId="7" numFmtId="2" xfId="0" applyAlignment="1" applyBorder="1" applyFill="1" applyFont="1" applyNumberFormat="1">
      <alignment horizontal="right"/>
    </xf>
    <xf borderId="4" fillId="9" fontId="12" numFmtId="170" xfId="0" applyAlignment="1" applyBorder="1" applyFill="1" applyFont="1" applyNumberFormat="1">
      <alignment horizontal="right"/>
    </xf>
    <xf borderId="4" fillId="9" fontId="12" numFmtId="168" xfId="0" applyAlignment="1" applyBorder="1" applyFill="1" applyFont="1" applyNumberFormat="1">
      <alignment horizontal="right"/>
    </xf>
    <xf borderId="4" fillId="5" fontId="7" numFmtId="0" xfId="0" applyAlignment="1" applyBorder="1" applyFill="1" applyFont="1">
      <alignment readingOrder="0"/>
    </xf>
    <xf borderId="4" fillId="9" fontId="12" numFmtId="169" xfId="0" applyAlignment="1" applyBorder="1" applyFill="1" applyFont="1" applyNumberFormat="1">
      <alignment horizontal="right"/>
    </xf>
    <xf borderId="0" fillId="0" fontId="3" numFmtId="0" xfId="0" applyFont="1"/>
    <xf borderId="4" fillId="4" fontId="5" numFmtId="0" xfId="0" applyAlignment="1" applyBorder="1" applyFill="1" applyFont="1">
      <alignment readingOrder="0"/>
    </xf>
    <xf borderId="4" fillId="5" fontId="13" numFmtId="0" xfId="0" applyAlignment="1" applyBorder="1" applyFill="1" applyFont="1">
      <alignment readingOrder="0"/>
    </xf>
    <xf borderId="4" fillId="4" fontId="2" numFmtId="0" xfId="0" applyAlignment="1" applyBorder="1" applyFill="1" applyFont="1">
      <alignment readingOrder="0"/>
    </xf>
    <xf borderId="4" fillId="5" fontId="2" numFmtId="0" xfId="0" applyAlignment="1" applyBorder="1" applyFill="1" applyFont="1">
      <alignment readingOrder="0"/>
    </xf>
    <xf borderId="0" fillId="0" fontId="1" numFmtId="0" xfId="0" applyAlignment="1" applyFont="1">
      <alignment vertical="bottom"/>
    </xf>
    <xf borderId="17" fillId="9" fontId="12" numFmtId="164" xfId="0" applyAlignment="1" applyBorder="1" applyFill="1" applyFont="1" applyNumberFormat="1">
      <alignment horizontal="right"/>
    </xf>
    <xf borderId="0" fillId="0" fontId="2" numFmtId="0" xfId="0" applyAlignment="1" applyFont="1">
      <alignment vertical="bottom"/>
    </xf>
    <xf borderId="16" fillId="5" fontId="7" numFmtId="0" xfId="0" applyAlignment="1" applyBorder="1" applyFill="1" applyFont="1">
      <alignment readingOrder="0"/>
    </xf>
    <xf borderId="0" fillId="0" fontId="2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18" fillId="10" fontId="14" numFmtId="0" xfId="0" applyAlignment="1" applyBorder="1" applyFill="1" applyFont="1">
      <alignment horizontal="center" readingOrder="0" vertical="bottom"/>
    </xf>
    <xf borderId="0" fillId="0" fontId="15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3" fillId="2" fontId="4" numFmtId="0" xfId="0" applyAlignment="1" applyBorder="1" applyFill="1" applyFont="1">
      <alignment horizontal="center"/>
    </xf>
    <xf borderId="19" fillId="3" fontId="4" numFmtId="0" xfId="0" applyAlignment="1" applyBorder="1" applyFill="1" applyFont="1">
      <alignment horizontal="center"/>
    </xf>
    <xf borderId="20" fillId="0" fontId="6" numFmtId="0" xfId="0" applyBorder="1" applyFont="1"/>
    <xf borderId="21" fillId="0" fontId="6" numFmtId="0" xfId="0" applyBorder="1" applyFont="1"/>
    <xf borderId="4" fillId="2" fontId="16" numFmtId="0" xfId="0" applyAlignment="1" applyBorder="1" applyFill="1" applyFont="1">
      <alignment horizontal="center" vertical="bottom"/>
    </xf>
    <xf borderId="4" fillId="0" fontId="17" numFmtId="171" xfId="0" applyAlignment="1" applyBorder="1" applyFont="1" applyNumberFormat="1">
      <alignment horizontal="right" vertical="bottom"/>
    </xf>
    <xf borderId="4" fillId="0" fontId="17" numFmtId="3" xfId="0" applyAlignment="1" applyBorder="1" applyFont="1" applyNumberFormat="1">
      <alignment horizontal="right" vertical="bottom"/>
    </xf>
    <xf borderId="4" fillId="6" fontId="18" numFmtId="164" xfId="0" applyAlignment="1" applyBorder="1" applyFill="1" applyFont="1" applyNumberFormat="1">
      <alignment horizontal="right" vertical="bottom"/>
    </xf>
    <xf borderId="4" fillId="0" fontId="17" numFmtId="170" xfId="0" applyAlignment="1" applyBorder="1" applyFont="1" applyNumberFormat="1">
      <alignment horizontal="right" vertical="bottom"/>
    </xf>
    <xf borderId="4" fillId="0" fontId="17" numFmtId="165" xfId="0" applyAlignment="1" applyBorder="1" applyFont="1" applyNumberFormat="1">
      <alignment horizontal="right" vertical="bottom"/>
    </xf>
    <xf borderId="4" fillId="9" fontId="19" numFmtId="164" xfId="0" applyAlignment="1" applyBorder="1" applyFill="1" applyFont="1" applyNumberFormat="1">
      <alignment horizontal="right" vertical="bottom"/>
    </xf>
    <xf borderId="4" fillId="0" fontId="17" numFmtId="167" xfId="0" applyAlignment="1" applyBorder="1" applyFont="1" applyNumberFormat="1">
      <alignment horizontal="right" vertical="bottom"/>
    </xf>
    <xf borderId="0" fillId="0" fontId="1" numFmtId="0" xfId="0" applyAlignment="1" applyFont="1">
      <alignment readingOrder="0"/>
    </xf>
    <xf borderId="4" fillId="2" fontId="4" numFmtId="0" xfId="0" applyAlignment="1" applyBorder="1" applyFill="1" applyFont="1">
      <alignment horizontal="center"/>
    </xf>
    <xf borderId="4" fillId="3" fontId="4" numFmtId="0" xfId="0" applyAlignment="1" applyBorder="1" applyFill="1" applyFont="1">
      <alignment horizontal="center"/>
    </xf>
    <xf borderId="4" fillId="6" fontId="7" numFmtId="0" xfId="0" applyBorder="1" applyFill="1" applyFont="1"/>
    <xf borderId="4" fillId="6" fontId="20" numFmtId="0" xfId="0" applyBorder="1" applyFill="1" applyFont="1"/>
    <xf borderId="4" fillId="6" fontId="20" numFmtId="0" xfId="0" applyAlignment="1" applyBorder="1" applyFill="1" applyFont="1">
      <alignment horizontal="center"/>
    </xf>
    <xf borderId="4" fillId="4" fontId="7" numFmtId="0" xfId="0" applyBorder="1" applyFill="1" applyFont="1"/>
    <xf borderId="4" fillId="10" fontId="21" numFmtId="0" xfId="0" applyBorder="1" applyFill="1" applyFont="1"/>
    <xf borderId="4" fillId="10" fontId="22" numFmtId="0" xfId="0" applyBorder="1" applyFill="1" applyFont="1"/>
    <xf borderId="4" fillId="10" fontId="22" numFmtId="3" xfId="0" applyAlignment="1" applyBorder="1" applyFill="1" applyFont="1" applyNumberFormat="1">
      <alignment horizontal="right"/>
    </xf>
    <xf borderId="0" fillId="0" fontId="23" numFmtId="0" xfId="0" applyFont="1"/>
    <xf borderId="22" fillId="4" fontId="2" numFmtId="0" xfId="0" applyBorder="1" applyFill="1" applyFont="1"/>
    <xf borderId="3" fillId="10" fontId="22" numFmtId="3" xfId="0" applyAlignment="1" applyBorder="1" applyFill="1" applyFont="1" applyNumberFormat="1">
      <alignment horizontal="right"/>
    </xf>
    <xf borderId="23" fillId="10" fontId="22" numFmtId="3" xfId="0" applyAlignment="1" applyBorder="1" applyFill="1" applyFont="1" applyNumberFormat="1">
      <alignment horizontal="right"/>
    </xf>
    <xf borderId="23" fillId="10" fontId="22" numFmtId="3" xfId="0" applyAlignment="1" applyBorder="1" applyFill="1" applyFont="1" applyNumberFormat="1">
      <alignment horizontal="right" readingOrder="0"/>
    </xf>
    <xf borderId="4" fillId="10" fontId="22" numFmtId="3" xfId="0" applyAlignment="1" applyBorder="1" applyFill="1" applyFont="1" applyNumberFormat="1">
      <alignment horizontal="right" readingOrder="0"/>
    </xf>
    <xf borderId="3" fillId="10" fontId="22" numFmtId="3" xfId="0" applyAlignment="1" applyBorder="1" applyFill="1" applyFont="1" applyNumberFormat="1">
      <alignment horizontal="right" readingOrder="0"/>
    </xf>
    <xf borderId="13" fillId="5" fontId="7" numFmtId="168" xfId="0" applyAlignment="1" applyBorder="1" applyFill="1" applyFont="1" applyNumberFormat="1">
      <alignment horizontal="right"/>
    </xf>
    <xf borderId="4" fillId="10" fontId="24" numFmtId="0" xfId="0" applyAlignment="1" applyBorder="1" applyFill="1" applyFont="1">
      <alignment readingOrder="0"/>
    </xf>
    <xf borderId="4" fillId="5" fontId="21" numFmtId="0" xfId="0" applyBorder="1" applyFill="1" applyFont="1"/>
    <xf borderId="6" fillId="5" fontId="22" numFmtId="0" xfId="0" applyAlignment="1" applyBorder="1" applyFill="1" applyFont="1">
      <alignment readingOrder="0"/>
    </xf>
    <xf borderId="15" fillId="5" fontId="7" numFmtId="168" xfId="0" applyAlignment="1" applyBorder="1" applyFill="1" applyFont="1" applyNumberFormat="1">
      <alignment horizontal="right"/>
    </xf>
    <xf borderId="4" fillId="11" fontId="25" numFmtId="0" xfId="0" applyAlignment="1" applyBorder="1" applyFill="1" applyFont="1">
      <alignment readingOrder="0"/>
    </xf>
    <xf borderId="4" fillId="0" fontId="17" numFmtId="2" xfId="0" applyAlignment="1" applyBorder="1" applyFont="1" applyNumberFormat="1">
      <alignment horizontal="right" vertical="bottom"/>
    </xf>
    <xf borderId="23" fillId="5" fontId="7" numFmtId="1" xfId="0" applyAlignment="1" applyBorder="1" applyFill="1" applyFont="1" applyNumberFormat="1">
      <alignment horizontal="right"/>
    </xf>
    <xf borderId="4" fillId="11" fontId="25" numFmtId="10" xfId="0" applyAlignment="1" applyBorder="1" applyFill="1" applyFont="1" applyNumberFormat="1">
      <alignment horizontal="right"/>
    </xf>
    <xf borderId="0" fillId="11" fontId="25" numFmtId="0" xfId="0" applyFill="1" applyFont="1"/>
    <xf borderId="23" fillId="5" fontId="7" numFmtId="2" xfId="0" applyAlignment="1" applyBorder="1" applyFill="1" applyFont="1" applyNumberFormat="1">
      <alignment horizontal="right"/>
    </xf>
    <xf borderId="4" fillId="11" fontId="25" numFmtId="0" xfId="0" applyAlignment="1" applyBorder="1" applyFill="1" applyFont="1">
      <alignment readingOrder="0" shrinkToFit="0" wrapText="1"/>
    </xf>
    <xf borderId="4" fillId="11" fontId="25" numFmtId="0" xfId="0" applyAlignment="1" applyBorder="1" applyFill="1" applyFont="1">
      <alignment horizontal="right" readingOrder="0" shrinkToFit="0" wrapText="1"/>
    </xf>
    <xf borderId="0" fillId="11" fontId="25" numFmtId="0" xfId="0" applyAlignment="1" applyFill="1" applyFont="1">
      <alignment readingOrder="0" shrinkToFit="0" wrapText="1"/>
    </xf>
    <xf borderId="0" fillId="0" fontId="3" numFmtId="0" xfId="0" applyAlignment="1" applyFont="1">
      <alignment shrinkToFit="0" wrapText="1"/>
    </xf>
    <xf borderId="4" fillId="10" fontId="22" numFmtId="0" xfId="0" applyAlignment="1" applyBorder="1" applyFill="1" applyFont="1">
      <alignment readingOrder="0"/>
    </xf>
    <xf borderId="11" fillId="10" fontId="22" numFmtId="3" xfId="0" applyAlignment="1" applyBorder="1" applyFill="1" applyFont="1" applyNumberFormat="1">
      <alignment horizontal="right" readingOrder="0"/>
    </xf>
    <xf borderId="24" fillId="10" fontId="22" numFmtId="3" xfId="0" applyAlignment="1" applyBorder="1" applyFill="1" applyFont="1" applyNumberFormat="1">
      <alignment horizontal="right" readingOrder="0"/>
    </xf>
    <xf borderId="25" fillId="10" fontId="22" numFmtId="3" xfId="0" applyAlignment="1" applyBorder="1" applyFill="1" applyFont="1" applyNumberFormat="1">
      <alignment horizontal="right" readingOrder="0"/>
    </xf>
    <xf borderId="6" fillId="5" fontId="22" numFmtId="3" xfId="0" applyAlignment="1" applyBorder="1" applyFill="1" applyFont="1" applyNumberFormat="1">
      <alignment horizontal="right" readingOrder="0"/>
    </xf>
    <xf borderId="0" fillId="0" fontId="3" numFmtId="0" xfId="0" applyAlignment="1" applyFont="1">
      <alignment readingOrder="0"/>
    </xf>
    <xf borderId="14" fillId="5" fontId="7" numFmtId="168" xfId="0" applyAlignment="1" applyBorder="1" applyFill="1" applyFont="1" applyNumberFormat="1">
      <alignment horizontal="right"/>
    </xf>
    <xf borderId="0" fillId="0" fontId="3" numFmtId="2" xfId="0" applyAlignment="1" applyFont="1" applyNumberFormat="1">
      <alignment readingOrder="0"/>
    </xf>
    <xf borderId="0" fillId="0" fontId="3" numFmtId="2" xfId="0" applyFont="1" applyNumberFormat="1"/>
    <xf borderId="4" fillId="0" fontId="17" numFmtId="168" xfId="0" applyAlignment="1" applyBorder="1" applyFont="1" applyNumberFormat="1">
      <alignment horizontal="right" vertical="bottom"/>
    </xf>
    <xf borderId="11" fillId="4" fontId="7" numFmtId="0" xfId="0" applyBorder="1" applyFill="1" applyFont="1"/>
    <xf borderId="0" fillId="11" fontId="25" numFmtId="0" xfId="0" applyAlignment="1" applyFill="1" applyFont="1">
      <alignment readingOrder="0"/>
    </xf>
    <xf borderId="4" fillId="8" fontId="26" numFmtId="164" xfId="0" applyAlignment="1" applyBorder="1" applyFill="1" applyFont="1" applyNumberFormat="1">
      <alignment horizontal="right" vertical="bottom"/>
    </xf>
    <xf borderId="0" fillId="0" fontId="27" numFmtId="0" xfId="0" applyAlignment="1" applyFont="1">
      <alignment readingOrder="0"/>
    </xf>
    <xf borderId="4" fillId="5" fontId="7" numFmtId="4" xfId="0" applyAlignment="1" applyBorder="1" applyFill="1" applyFont="1" applyNumberFormat="1">
      <alignment horizontal="right"/>
    </xf>
    <xf borderId="4" fillId="5" fontId="13" numFmtId="4" xfId="0" applyAlignment="1" applyBorder="1" applyFill="1" applyFont="1" applyNumberFormat="1">
      <alignment horizontal="right"/>
    </xf>
    <xf borderId="4" fillId="5" fontId="7" numFmtId="172" xfId="0" applyAlignment="1" applyBorder="1" applyFill="1" applyFont="1" applyNumberFormat="1">
      <alignment horizontal="right"/>
    </xf>
    <xf borderId="0" fillId="11" fontId="2" numFmtId="0" xfId="0" applyAlignment="1" applyFill="1" applyFont="1">
      <alignment vertical="bottom"/>
    </xf>
    <xf borderId="0" fillId="11" fontId="28" numFmtId="0" xfId="0" applyAlignment="1" applyFill="1" applyFont="1">
      <alignment shrinkToFit="0" vertical="bottom" wrapText="1"/>
    </xf>
    <xf borderId="0" fillId="0" fontId="2" numFmtId="0" xfId="0" applyAlignment="1" applyFont="1">
      <alignment horizontal="right" vertical="bottom"/>
    </xf>
    <xf borderId="14" fillId="5" fontId="7" numFmtId="2" xfId="0" applyAlignment="1" applyBorder="1" applyFill="1" applyFont="1" applyNumberFormat="1">
      <alignment horizontal="right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horizontal="right" readingOrder="0" vertical="bottom"/>
    </xf>
    <xf borderId="0" fillId="0" fontId="29" numFmtId="0" xfId="0" applyAlignment="1" applyFont="1">
      <alignment readingOrder="0"/>
    </xf>
    <xf borderId="16" fillId="5" fontId="13" numFmtId="0" xfId="0" applyBorder="1" applyFill="1" applyFont="1"/>
    <xf borderId="0" fillId="0" fontId="3" numFmtId="169" xfId="0" applyFont="1" applyNumberFormat="1"/>
    <xf borderId="26" fillId="5" fontId="7" numFmtId="0" xfId="0" applyAlignment="1" applyBorder="1" applyFill="1" applyFont="1">
      <alignment readingOrder="0"/>
    </xf>
    <xf borderId="26" fillId="5" fontId="7" numFmtId="4" xfId="0" applyAlignment="1" applyBorder="1" applyFill="1" applyFont="1" applyNumberFormat="1">
      <alignment horizontal="right"/>
    </xf>
    <xf borderId="3" fillId="5" fontId="7" numFmtId="0" xfId="0" applyAlignment="1" applyBorder="1" applyFill="1" applyFont="1">
      <alignment readingOrder="0"/>
    </xf>
    <xf borderId="3" fillId="5" fontId="7" numFmtId="0" xfId="0" applyBorder="1" applyFill="1" applyFont="1"/>
    <xf borderId="3" fillId="5" fontId="13" numFmtId="0" xfId="0" applyAlignment="1" applyBorder="1" applyFill="1" applyFont="1">
      <alignment readingOrder="0"/>
    </xf>
    <xf borderId="27" fillId="8" fontId="11" numFmtId="164" xfId="0" applyAlignment="1" applyBorder="1" applyFill="1" applyFont="1" applyNumberFormat="1">
      <alignment horizontal="right"/>
    </xf>
    <xf borderId="3" fillId="12" fontId="13" numFmtId="172" xfId="0" applyAlignment="1" applyBorder="1" applyFill="1" applyFont="1" applyNumberFormat="1">
      <alignment horizontal="right"/>
    </xf>
    <xf borderId="4" fillId="4" fontId="7" numFmtId="0" xfId="0" applyAlignment="1" applyBorder="1" applyFill="1" applyFont="1">
      <alignment readingOrder="0"/>
    </xf>
    <xf borderId="0" fillId="5" fontId="7" numFmtId="0" xfId="0" applyFill="1" applyFont="1"/>
    <xf borderId="11" fillId="5" fontId="7" numFmtId="0" xfId="0" applyBorder="1" applyFill="1" applyFont="1"/>
    <xf borderId="4" fillId="5" fontId="7" numFmtId="10" xfId="0" applyAlignment="1" applyBorder="1" applyFill="1" applyFont="1" applyNumberFormat="1">
      <alignment horizontal="right"/>
    </xf>
    <xf borderId="4" fillId="12" fontId="13" numFmtId="10" xfId="0" applyAlignment="1" applyBorder="1" applyFill="1" applyFont="1" applyNumberFormat="1">
      <alignment horizontal="right"/>
    </xf>
    <xf borderId="4" fillId="0" fontId="2" numFmtId="170" xfId="0" applyAlignment="1" applyBorder="1" applyFont="1" applyNumberFormat="1">
      <alignment vertical="bottom"/>
    </xf>
    <xf borderId="4" fillId="8" fontId="2" numFmtId="164" xfId="0" applyAlignment="1" applyBorder="1" applyFill="1" applyFont="1" applyNumberFormat="1">
      <alignment vertical="bottom"/>
    </xf>
    <xf borderId="3" fillId="12" fontId="7" numFmtId="172" xfId="0" applyAlignment="1" applyBorder="1" applyFill="1" applyFont="1" applyNumberFormat="1">
      <alignment horizontal="right"/>
    </xf>
    <xf borderId="0" fillId="0" fontId="3" numFmtId="2" xfId="0" applyFont="1" applyNumberFormat="1"/>
    <xf borderId="0" fillId="5" fontId="30" numFmtId="0" xfId="0" applyAlignment="1" applyFill="1" applyFont="1">
      <alignment readingOrder="0"/>
    </xf>
    <xf borderId="4" fillId="9" fontId="2" numFmtId="164" xfId="0" applyAlignment="1" applyBorder="1" applyFill="1" applyFont="1" applyNumberFormat="1">
      <alignment horizontal="right" vertical="bottom"/>
    </xf>
    <xf borderId="4" fillId="8" fontId="2" numFmtId="164" xfId="0" applyAlignment="1" applyBorder="1" applyFill="1" applyFont="1" applyNumberFormat="1">
      <alignment horizontal="right" vertical="bottom"/>
    </xf>
    <xf borderId="0" fillId="13" fontId="4" numFmtId="0" xfId="0" applyFill="1" applyFont="1"/>
    <xf borderId="0" fillId="13" fontId="31" numFmtId="0" xfId="0" applyFill="1" applyFont="1"/>
    <xf borderId="28" fillId="14" fontId="14" numFmtId="0" xfId="0" applyAlignment="1" applyBorder="1" applyFill="1" applyFont="1">
      <alignment horizontal="center" vertical="bottom"/>
    </xf>
    <xf borderId="28" fillId="14" fontId="14" numFmtId="0" xfId="0" applyAlignment="1" applyBorder="1" applyFill="1" applyFont="1">
      <alignment horizontal="center" shrinkToFit="0" vertical="bottom" wrapText="1"/>
    </xf>
    <xf borderId="29" fillId="14" fontId="14" numFmtId="0" xfId="0" applyAlignment="1" applyBorder="1" applyFill="1" applyFont="1">
      <alignment horizontal="center" textRotation="180" vertical="bottom"/>
    </xf>
    <xf borderId="30" fillId="14" fontId="14" numFmtId="0" xfId="0" applyAlignment="1" applyBorder="1" applyFill="1" applyFont="1">
      <alignment horizontal="center" textRotation="180" vertical="bottom"/>
    </xf>
    <xf borderId="0" fillId="0" fontId="17" numFmtId="0" xfId="0" applyAlignment="1" applyFont="1">
      <alignment horizontal="center"/>
    </xf>
    <xf borderId="0" fillId="15" fontId="17" numFmtId="0" xfId="0" applyAlignment="1" applyFill="1" applyFont="1">
      <alignment horizontal="center" vertical="bottom"/>
    </xf>
    <xf borderId="29" fillId="0" fontId="31" numFmtId="0" xfId="0" applyAlignment="1" applyBorder="1" applyFont="1">
      <alignment horizontal="right" vertical="bottom"/>
    </xf>
    <xf borderId="30" fillId="0" fontId="31" numFmtId="0" xfId="0" applyAlignment="1" applyBorder="1" applyFont="1">
      <alignment horizontal="right" vertical="bottom"/>
    </xf>
    <xf borderId="30" fillId="15" fontId="17" numFmtId="0" xfId="0" applyAlignment="1" applyBorder="1" applyFill="1" applyFont="1">
      <alignment horizontal="center" vertical="bottom"/>
    </xf>
    <xf borderId="0" fillId="16" fontId="17" numFmtId="0" xfId="0" applyAlignment="1" applyFill="1" applyFont="1">
      <alignment horizontal="center"/>
    </xf>
    <xf borderId="0" fillId="16" fontId="17" numFmtId="0" xfId="0" applyAlignment="1" applyFill="1" applyFont="1">
      <alignment horizontal="center" vertical="bottom"/>
    </xf>
    <xf borderId="29" fillId="15" fontId="17" numFmtId="0" xfId="0" applyAlignment="1" applyBorder="1" applyFill="1" applyFont="1">
      <alignment horizontal="center" vertical="bottom"/>
    </xf>
    <xf borderId="0" fillId="0" fontId="17" numFmtId="0" xfId="0" applyAlignment="1" applyFont="1">
      <alignment horizontal="center" vertical="bottom"/>
    </xf>
    <xf borderId="30" fillId="15" fontId="31" numFmtId="0" xfId="0" applyAlignment="1" applyBorder="1" applyFill="1" applyFont="1">
      <alignment horizontal="right" vertical="bottom"/>
    </xf>
    <xf borderId="0" fillId="15" fontId="31" numFmtId="0" xfId="0" applyAlignment="1" applyFill="1" applyFont="1">
      <alignment horizontal="center" vertical="bottom"/>
    </xf>
    <xf borderId="0" fillId="15" fontId="31" numFmtId="0" xfId="0" applyAlignment="1" applyFill="1" applyFont="1">
      <alignment horizontal="right" vertical="bottom"/>
    </xf>
    <xf borderId="0" fillId="0" fontId="31" numFmtId="0" xfId="0" applyAlignment="1" applyFont="1">
      <alignment horizontal="right" vertical="bottom"/>
    </xf>
    <xf borderId="29" fillId="15" fontId="31" numFmtId="0" xfId="0" applyAlignment="1" applyBorder="1" applyFill="1" applyFont="1">
      <alignment horizontal="right" vertical="bottom"/>
    </xf>
    <xf borderId="4" fillId="4" fontId="5" numFmtId="0" xfId="0" applyAlignment="1" applyBorder="1" applyFill="1" applyFont="1">
      <alignment readingOrder="0" vertical="center"/>
    </xf>
    <xf borderId="0" fillId="13" fontId="4" numFmtId="0" xfId="0" applyAlignment="1" applyFill="1" applyFont="1">
      <alignment readingOrder="0"/>
    </xf>
    <xf borderId="16" fillId="5" fontId="7" numFmtId="0" xfId="0" applyAlignment="1" applyBorder="1" applyFill="1" applyFont="1">
      <alignment readingOrder="0"/>
    </xf>
    <xf borderId="29" fillId="0" fontId="17" numFmtId="0" xfId="0" applyAlignment="1" applyBorder="1" applyFont="1">
      <alignment horizontal="center"/>
    </xf>
    <xf borderId="30" fillId="0" fontId="17" numFmtId="0" xfId="0" applyAlignment="1" applyBorder="1" applyFont="1">
      <alignment horizontal="center"/>
    </xf>
    <xf borderId="30" fillId="15" fontId="17" numFmtId="0" xfId="0" applyAlignment="1" applyBorder="1" applyFill="1" applyFont="1">
      <alignment horizontal="center"/>
    </xf>
    <xf borderId="29" fillId="15" fontId="17" numFmtId="0" xfId="0" applyAlignment="1" applyBorder="1" applyFill="1" applyFont="1">
      <alignment horizontal="center"/>
    </xf>
    <xf borderId="0" fillId="0" fontId="32" numFmtId="0" xfId="0" applyAlignment="1" applyFont="1">
      <alignment readingOrder="0"/>
    </xf>
    <xf borderId="0" fillId="0" fontId="31" numFmtId="0" xfId="0" applyAlignment="1" applyFont="1">
      <alignment horizontal="center" vertical="bottom"/>
    </xf>
    <xf borderId="0" fillId="0" fontId="3" numFmtId="0" xfId="0" applyAlignment="1" applyFont="1">
      <alignment horizontal="right"/>
    </xf>
    <xf borderId="0" fillId="12" fontId="3" numFmtId="2" xfId="0" applyAlignment="1" applyFill="1" applyFont="1" applyNumberFormat="1">
      <alignment horizontal="center"/>
    </xf>
    <xf borderId="0" fillId="0" fontId="27" numFmtId="2" xfId="0" applyAlignment="1" applyFont="1" applyNumberFormat="1">
      <alignment readingOrder="0"/>
    </xf>
    <xf borderId="4" fillId="2" fontId="4" numFmtId="0" xfId="0" applyAlignment="1" applyBorder="1" applyFill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4" fillId="0" fontId="7" numFmtId="173" xfId="0" applyAlignment="1" applyBorder="1" applyFont="1" applyNumberFormat="1">
      <alignment readingOrder="0"/>
    </xf>
    <xf borderId="4" fillId="0" fontId="7" numFmtId="0" xfId="0" applyAlignment="1" applyBorder="1" applyFont="1">
      <alignment readingOrder="0"/>
    </xf>
    <xf borderId="4" fillId="0" fontId="7" numFmtId="0" xfId="0" applyBorder="1" applyFont="1"/>
    <xf borderId="0" fillId="0" fontId="3" numFmtId="10" xfId="0" applyFont="1" applyNumberFormat="1"/>
    <xf borderId="0" fillId="0" fontId="27" numFmtId="0" xfId="0" applyAlignment="1" applyFont="1">
      <alignment readingOrder="0" shrinkToFit="0" wrapText="1"/>
    </xf>
    <xf borderId="0" fillId="0" fontId="3" numFmtId="173" xfId="0" applyAlignment="1" applyFont="1" applyNumberFormat="1">
      <alignment readingOrder="0"/>
    </xf>
    <xf borderId="4" fillId="17" fontId="7" numFmtId="0" xfId="0" applyAlignment="1" applyBorder="1" applyFill="1" applyFont="1">
      <alignment readingOrder="0"/>
    </xf>
    <xf borderId="22" fillId="9" fontId="12" numFmtId="164" xfId="0" applyAlignment="1" applyBorder="1" applyFill="1" applyFont="1" applyNumberFormat="1">
      <alignment horizontal="right"/>
    </xf>
    <xf borderId="16" fillId="5" fontId="21" numFmtId="0" xfId="0" applyBorder="1" applyFill="1" applyFont="1"/>
    <xf borderId="4" fillId="18" fontId="5" numFmtId="0" xfId="0" applyAlignment="1" applyBorder="1" applyFill="1" applyFont="1">
      <alignment horizontal="center" vertical="center"/>
    </xf>
    <xf borderId="16" fillId="18" fontId="5" numFmtId="0" xfId="0" applyAlignment="1" applyBorder="1" applyFill="1" applyFont="1">
      <alignment horizontal="center" vertical="center"/>
    </xf>
    <xf borderId="8" fillId="18" fontId="5" numFmtId="0" xfId="0" applyAlignment="1" applyBorder="1" applyFill="1" applyFont="1">
      <alignment horizontal="center" vertical="center"/>
    </xf>
    <xf borderId="3" fillId="18" fontId="5" numFmtId="0" xfId="0" applyAlignment="1" applyBorder="1" applyFill="1" applyFont="1">
      <alignment horizontal="center" vertical="center"/>
    </xf>
    <xf borderId="6" fillId="5" fontId="7" numFmtId="170" xfId="0" applyAlignment="1" applyBorder="1" applyFill="1" applyFont="1" applyNumberFormat="1">
      <alignment horizontal="right"/>
    </xf>
    <xf borderId="16" fillId="5" fontId="13" numFmtId="0" xfId="0" applyAlignment="1" applyBorder="1" applyFill="1" applyFont="1">
      <alignment readingOrder="0"/>
    </xf>
    <xf borderId="4" fillId="17" fontId="17" numFmtId="171" xfId="0" applyAlignment="1" applyBorder="1" applyFill="1" applyFont="1" applyNumberFormat="1">
      <alignment horizontal="right" vertical="bottom"/>
    </xf>
    <xf borderId="4" fillId="17" fontId="17" numFmtId="3" xfId="0" applyAlignment="1" applyBorder="1" applyFill="1" applyFont="1" applyNumberFormat="1">
      <alignment horizontal="right" vertical="bottom"/>
    </xf>
    <xf borderId="4" fillId="17" fontId="18" numFmtId="164" xfId="0" applyAlignment="1" applyBorder="1" applyFill="1" applyFont="1" applyNumberFormat="1">
      <alignment horizontal="right" vertical="bottom"/>
    </xf>
    <xf borderId="4" fillId="17" fontId="17" numFmtId="170" xfId="0" applyAlignment="1" applyBorder="1" applyFill="1" applyFont="1" applyNumberFormat="1">
      <alignment horizontal="right" vertical="bottom"/>
    </xf>
    <xf borderId="4" fillId="17" fontId="17" numFmtId="165" xfId="0" applyAlignment="1" applyBorder="1" applyFill="1" applyFont="1" applyNumberFormat="1">
      <alignment horizontal="right" vertical="bottom"/>
    </xf>
    <xf borderId="4" fillId="17" fontId="19" numFmtId="164" xfId="0" applyAlignment="1" applyBorder="1" applyFill="1" applyFont="1" applyNumberFormat="1">
      <alignment horizontal="right" vertical="bottom"/>
    </xf>
    <xf borderId="4" fillId="17" fontId="17" numFmtId="167" xfId="0" applyAlignment="1" applyBorder="1" applyFill="1" applyFont="1" applyNumberFormat="1">
      <alignment horizontal="right" vertical="bottom"/>
    </xf>
    <xf borderId="4" fillId="17" fontId="17" numFmtId="2" xfId="0" applyAlignment="1" applyBorder="1" applyFill="1" applyFont="1" applyNumberFormat="1">
      <alignment horizontal="right" vertical="bottom"/>
    </xf>
    <xf borderId="4" fillId="17" fontId="17" numFmtId="168" xfId="0" applyAlignment="1" applyBorder="1" applyFill="1" applyFont="1" applyNumberFormat="1">
      <alignment horizontal="right" vertical="bottom"/>
    </xf>
    <xf borderId="4" fillId="17" fontId="26" numFmtId="164" xfId="0" applyAlignment="1" applyBorder="1" applyFill="1" applyFont="1" applyNumberFormat="1">
      <alignment horizontal="right" vertical="bottom"/>
    </xf>
    <xf borderId="4" fillId="17" fontId="2" numFmtId="170" xfId="0" applyAlignment="1" applyBorder="1" applyFill="1" applyFont="1" applyNumberFormat="1">
      <alignment vertical="bottom"/>
    </xf>
    <xf borderId="4" fillId="17" fontId="2" numFmtId="164" xfId="0" applyAlignment="1" applyBorder="1" applyFill="1" applyFont="1" applyNumberFormat="1">
      <alignment vertical="bottom"/>
    </xf>
    <xf borderId="4" fillId="17" fontId="2" numFmtId="164" xfId="0" applyAlignment="1" applyBorder="1" applyFill="1" applyFont="1" applyNumberFormat="1">
      <alignment horizontal="right" vertical="bottom"/>
    </xf>
    <xf borderId="16" fillId="4" fontId="2" numFmtId="0" xfId="0" applyAlignment="1" applyBorder="1" applyFill="1" applyFont="1">
      <alignment readingOrder="0"/>
    </xf>
    <xf borderId="3" fillId="0" fontId="17" numFmtId="171" xfId="0" applyAlignment="1" applyBorder="1" applyFont="1" applyNumberFormat="1">
      <alignment horizontal="right" vertical="bottom"/>
    </xf>
    <xf borderId="3" fillId="0" fontId="17" numFmtId="3" xfId="0" applyAlignment="1" applyBorder="1" applyFont="1" applyNumberFormat="1">
      <alignment horizontal="right" vertical="bottom"/>
    </xf>
    <xf borderId="3" fillId="6" fontId="18" numFmtId="164" xfId="0" applyAlignment="1" applyBorder="1" applyFill="1" applyFont="1" applyNumberFormat="1">
      <alignment horizontal="right" vertical="bottom"/>
    </xf>
    <xf borderId="3" fillId="0" fontId="17" numFmtId="170" xfId="0" applyAlignment="1" applyBorder="1" applyFont="1" applyNumberFormat="1">
      <alignment horizontal="right" vertical="bottom"/>
    </xf>
    <xf borderId="3" fillId="0" fontId="17" numFmtId="165" xfId="0" applyAlignment="1" applyBorder="1" applyFont="1" applyNumberFormat="1">
      <alignment horizontal="right" vertical="bottom"/>
    </xf>
    <xf borderId="3" fillId="9" fontId="19" numFmtId="164" xfId="0" applyAlignment="1" applyBorder="1" applyFill="1" applyFont="1" applyNumberFormat="1">
      <alignment horizontal="right" vertical="bottom"/>
    </xf>
    <xf borderId="3" fillId="0" fontId="17" numFmtId="167" xfId="0" applyAlignment="1" applyBorder="1" applyFont="1" applyNumberFormat="1">
      <alignment horizontal="right" vertical="bottom"/>
    </xf>
    <xf borderId="3" fillId="0" fontId="17" numFmtId="2" xfId="0" applyAlignment="1" applyBorder="1" applyFont="1" applyNumberFormat="1">
      <alignment horizontal="right" vertical="bottom"/>
    </xf>
    <xf borderId="3" fillId="0" fontId="17" numFmtId="168" xfId="0" applyAlignment="1" applyBorder="1" applyFont="1" applyNumberFormat="1">
      <alignment horizontal="right" vertical="bottom"/>
    </xf>
    <xf borderId="3" fillId="8" fontId="26" numFmtId="164" xfId="0" applyAlignment="1" applyBorder="1" applyFill="1" applyFont="1" applyNumberFormat="1">
      <alignment horizontal="right" vertical="bottom"/>
    </xf>
    <xf borderId="3" fillId="0" fontId="2" numFmtId="170" xfId="0" applyAlignment="1" applyBorder="1" applyFont="1" applyNumberFormat="1">
      <alignment vertical="bottom"/>
    </xf>
    <xf borderId="3" fillId="8" fontId="2" numFmtId="164" xfId="0" applyAlignment="1" applyBorder="1" applyFill="1" applyFont="1" applyNumberFormat="1">
      <alignment vertical="bottom"/>
    </xf>
    <xf borderId="3" fillId="9" fontId="2" numFmtId="164" xfId="0" applyAlignment="1" applyBorder="1" applyFill="1" applyFont="1" applyNumberFormat="1">
      <alignment horizontal="right" vertical="bottom"/>
    </xf>
    <xf borderId="3" fillId="8" fontId="2" numFmtId="164" xfId="0" applyAlignment="1" applyBorder="1" applyFill="1" applyFont="1" applyNumberFormat="1">
      <alignment horizontal="right" vertical="bottom"/>
    </xf>
    <xf borderId="31" fillId="0" fontId="17" numFmtId="171" xfId="0" applyAlignment="1" applyBorder="1" applyFont="1" applyNumberFormat="1">
      <alignment horizontal="right" vertical="bottom"/>
    </xf>
    <xf borderId="31" fillId="0" fontId="17" numFmtId="3" xfId="0" applyAlignment="1" applyBorder="1" applyFont="1" applyNumberFormat="1">
      <alignment horizontal="right" vertical="bottom"/>
    </xf>
    <xf borderId="31" fillId="6" fontId="18" numFmtId="164" xfId="0" applyAlignment="1" applyBorder="1" applyFill="1" applyFont="1" applyNumberFormat="1">
      <alignment horizontal="right" vertical="bottom"/>
    </xf>
    <xf borderId="31" fillId="0" fontId="17" numFmtId="170" xfId="0" applyAlignment="1" applyBorder="1" applyFont="1" applyNumberFormat="1">
      <alignment horizontal="right" vertical="bottom"/>
    </xf>
    <xf borderId="31" fillId="0" fontId="17" numFmtId="165" xfId="0" applyAlignment="1" applyBorder="1" applyFont="1" applyNumberFormat="1">
      <alignment horizontal="right" vertical="bottom"/>
    </xf>
    <xf borderId="31" fillId="9" fontId="19" numFmtId="164" xfId="0" applyAlignment="1" applyBorder="1" applyFill="1" applyFont="1" applyNumberFormat="1">
      <alignment horizontal="right" vertical="bottom"/>
    </xf>
    <xf borderId="31" fillId="0" fontId="17" numFmtId="167" xfId="0" applyAlignment="1" applyBorder="1" applyFont="1" applyNumberFormat="1">
      <alignment horizontal="right" vertical="bottom"/>
    </xf>
    <xf borderId="31" fillId="0" fontId="17" numFmtId="2" xfId="0" applyAlignment="1" applyBorder="1" applyFont="1" applyNumberFormat="1">
      <alignment horizontal="right" vertical="bottom"/>
    </xf>
    <xf borderId="31" fillId="0" fontId="17" numFmtId="168" xfId="0" applyAlignment="1" applyBorder="1" applyFont="1" applyNumberFormat="1">
      <alignment horizontal="right" vertical="bottom"/>
    </xf>
    <xf borderId="31" fillId="8" fontId="26" numFmtId="164" xfId="0" applyAlignment="1" applyBorder="1" applyFill="1" applyFont="1" applyNumberFormat="1">
      <alignment horizontal="right" vertical="bottom"/>
    </xf>
    <xf borderId="31" fillId="0" fontId="2" numFmtId="170" xfId="0" applyAlignment="1" applyBorder="1" applyFont="1" applyNumberFormat="1">
      <alignment vertical="bottom"/>
    </xf>
    <xf borderId="31" fillId="8" fontId="2" numFmtId="164" xfId="0" applyAlignment="1" applyBorder="1" applyFill="1" applyFont="1" applyNumberFormat="1">
      <alignment vertical="bottom"/>
    </xf>
    <xf borderId="31" fillId="9" fontId="2" numFmtId="164" xfId="0" applyAlignment="1" applyBorder="1" applyFill="1" applyFont="1" applyNumberFormat="1">
      <alignment horizontal="right" vertical="bottom"/>
    </xf>
    <xf borderId="31" fillId="8" fontId="2" numFmtId="164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17"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>
        <b/>
      </font>
      <fill>
        <patternFill patternType="solid">
          <fgColor rgb="FFCC99FF"/>
          <bgColor rgb="FFCC99FF"/>
        </patternFill>
      </fill>
      <border/>
    </dxf>
    <dxf>
      <font>
        <b/>
        <i/>
        <color rgb="FF197F19"/>
      </font>
      <fill>
        <patternFill patternType="solid">
          <fgColor rgb="FFD8EDD3"/>
          <bgColor rgb="FFD8EDD3"/>
        </patternFill>
      </fill>
      <border/>
    </dxf>
    <dxf>
      <font>
        <color rgb="FF197F19"/>
      </font>
      <fill>
        <patternFill patternType="solid">
          <fgColor rgb="FFD8EDD3"/>
          <bgColor rgb="FFD8EDD3"/>
        </patternFill>
      </fill>
      <border/>
    </dxf>
    <dxf>
      <font>
        <b/>
        <i/>
        <color rgb="FF990000"/>
      </font>
      <fill>
        <patternFill patternType="solid">
          <fgColor rgb="FFF9CCCC"/>
          <bgColor rgb="FFF9CCCC"/>
        </patternFill>
      </fill>
      <border/>
    </dxf>
    <dxf>
      <font>
        <color rgb="FF990000"/>
      </font>
      <fill>
        <patternFill patternType="solid">
          <fgColor rgb="FFF9CCCC"/>
          <bgColor rgb="FFF9CCCC"/>
        </patternFill>
      </fill>
      <border/>
    </dxf>
    <dxf>
      <font>
        <b/>
        <i/>
        <color rgb="FF4C4C4C"/>
      </font>
      <fill>
        <patternFill patternType="solid">
          <fgColor rgb="FFE5E5E5"/>
          <bgColor rgb="FFE5E5E5"/>
        </patternFill>
      </fill>
      <border/>
    </dxf>
    <dxf>
      <font>
        <color rgb="FF4C4C4C"/>
      </font>
      <fill>
        <patternFill patternType="solid">
          <fgColor rgb="FFE5E5E5"/>
          <bgColor rgb="FFE5E5E5"/>
        </patternFill>
      </fill>
      <border/>
    </dxf>
    <dxf>
      <font>
        <color rgb="FF197F19"/>
      </font>
      <fill>
        <patternFill patternType="solid">
          <fgColor rgb="FFD8EDD3"/>
          <bgColor rgb="FFD8EDD3"/>
        </patternFill>
      </fill>
      <border/>
    </dxf>
    <dxf>
      <font>
        <color rgb="FF990000"/>
      </font>
      <fill>
        <patternFill patternType="solid">
          <fgColor rgb="FFF9CCCC"/>
          <bgColor rgb="FFF9CCCC"/>
        </patternFill>
      </fill>
      <border/>
    </dxf>
    <dxf>
      <font>
        <color rgb="FF4C4C4C"/>
      </font>
      <fill>
        <patternFill patternType="solid">
          <fgColor rgb="FFE5E5E5"/>
          <bgColor rgb="FFE5E5E5"/>
        </patternFill>
      </fill>
      <border/>
    </dxf>
    <dxf>
      <font>
        <b/>
        <sz val="10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2.57"/>
    <col customWidth="1" min="2" max="2" width="31.0"/>
    <col customWidth="1" hidden="1" min="3" max="4" width="11.0"/>
    <col customWidth="1" hidden="1" min="5" max="5" width="10.0"/>
    <col customWidth="1" min="6" max="7" width="11.0"/>
    <col customWidth="1" min="8" max="8" width="10.0"/>
    <col customWidth="1" min="9" max="10" width="11.0"/>
    <col customWidth="1" min="11" max="11" width="10.0"/>
    <col customWidth="1" min="12" max="13" width="11.0"/>
    <col customWidth="1" min="14" max="14" width="10.0"/>
    <col customWidth="1" min="15" max="16" width="11.0"/>
    <col customWidth="1" min="17" max="17" width="10.0"/>
    <col customWidth="1" min="18" max="19" width="11.0"/>
    <col customWidth="1" min="20" max="20" width="10.0"/>
    <col hidden="1" min="21" max="22" width="14.43"/>
  </cols>
  <sheetData>
    <row r="1">
      <c r="A1" s="1" t="s">
        <v>0</v>
      </c>
    </row>
    <row r="2">
      <c r="B2" s="2"/>
      <c r="F2" s="3"/>
      <c r="H2" s="2"/>
      <c r="L2" s="3"/>
      <c r="N2" s="2"/>
      <c r="R2" s="3"/>
      <c r="T2" s="4"/>
    </row>
    <row r="3" ht="21.75" customHeight="1">
      <c r="A3" s="5" t="s">
        <v>2</v>
      </c>
      <c r="B3" s="7" t="s">
        <v>3</v>
      </c>
      <c r="C3" s="8">
        <v>0.0</v>
      </c>
      <c r="D3" s="10"/>
      <c r="E3" s="11"/>
      <c r="F3" s="8" t="s">
        <v>9</v>
      </c>
      <c r="G3" s="10"/>
      <c r="H3" s="14"/>
      <c r="I3" s="8" t="s">
        <v>11</v>
      </c>
      <c r="J3" s="10"/>
      <c r="K3" s="11"/>
      <c r="L3" s="17" t="s">
        <v>13</v>
      </c>
      <c r="M3" s="10"/>
      <c r="N3" s="14"/>
      <c r="O3" s="8" t="s">
        <v>14</v>
      </c>
      <c r="P3" s="10"/>
      <c r="Q3" s="11"/>
      <c r="R3" s="8" t="s">
        <v>15</v>
      </c>
      <c r="S3" s="10"/>
      <c r="T3" s="14"/>
    </row>
    <row r="4" ht="18.0" customHeight="1">
      <c r="A4" s="18"/>
      <c r="B4" s="19"/>
      <c r="C4" s="20" t="s">
        <v>4</v>
      </c>
      <c r="D4" s="21" t="s">
        <v>5</v>
      </c>
      <c r="E4" s="22" t="s">
        <v>7</v>
      </c>
      <c r="F4" s="23" t="s">
        <v>4</v>
      </c>
      <c r="G4" s="21" t="s">
        <v>5</v>
      </c>
      <c r="H4" s="24" t="s">
        <v>7</v>
      </c>
      <c r="I4" s="20" t="s">
        <v>4</v>
      </c>
      <c r="J4" s="21" t="s">
        <v>5</v>
      </c>
      <c r="K4" s="22" t="s">
        <v>7</v>
      </c>
      <c r="L4" s="23" t="s">
        <v>4</v>
      </c>
      <c r="M4" s="21" t="s">
        <v>5</v>
      </c>
      <c r="N4" s="24" t="s">
        <v>7</v>
      </c>
      <c r="O4" s="20" t="s">
        <v>4</v>
      </c>
      <c r="P4" s="21" t="s">
        <v>5</v>
      </c>
      <c r="Q4" s="22" t="s">
        <v>7</v>
      </c>
      <c r="R4" s="23" t="s">
        <v>4</v>
      </c>
      <c r="S4" s="21" t="s">
        <v>5</v>
      </c>
      <c r="T4" s="24" t="s">
        <v>7</v>
      </c>
    </row>
    <row r="5">
      <c r="A5" s="25" t="s">
        <v>8</v>
      </c>
      <c r="B5" s="27"/>
      <c r="C5" s="28"/>
      <c r="D5" s="12"/>
      <c r="E5" s="29"/>
      <c r="F5" s="30"/>
      <c r="G5" s="12"/>
      <c r="H5" s="27"/>
      <c r="I5" s="28"/>
      <c r="J5" s="12"/>
      <c r="K5" s="29"/>
      <c r="L5" s="30"/>
      <c r="M5" s="12"/>
      <c r="N5" s="27"/>
      <c r="O5" s="28"/>
      <c r="P5" s="12"/>
      <c r="Q5" s="29"/>
      <c r="R5" s="30"/>
      <c r="S5" s="12"/>
      <c r="T5" s="27"/>
    </row>
    <row r="6">
      <c r="A6" s="15"/>
      <c r="B6" s="31" t="s">
        <v>12</v>
      </c>
      <c r="C6" s="33">
        <f>SUMIFS(Raw_Data_Daily!$D:$D, Raw_Data_Daily!$B:$B, "Control", Raw_Data_Daily!$C:$C, "A. 0")</f>
        <v>37219</v>
      </c>
      <c r="D6" s="26">
        <f>SUMIFS(Raw_Data_Daily!$D:$D, Raw_Data_Daily!$B:$B, "Variant", Raw_Data_Daily!$C:$C, "A. 0")</f>
        <v>36892</v>
      </c>
      <c r="E6" s="35">
        <f>IFERROR((D6-C6)/ABS(C6),"")</f>
        <v>-0.008785835192</v>
      </c>
      <c r="F6" s="37">
        <f>SUMIFS(Raw_Data_Daily!$D:$D, Raw_Data_Daily!$B:$B, "Control", Raw_Data_Daily!$C:$C, "B. 1-9")</f>
        <v>52186</v>
      </c>
      <c r="G6" s="26">
        <f>SUMIFS(Raw_Data_Daily!$D:$D, Raw_Data_Daily!$B:$B, "Variant", Raw_Data_Daily!$C:$C, "B. 1-9")</f>
        <v>52224</v>
      </c>
      <c r="H6" s="39">
        <f>IFERROR((G6-F6)/ABS(F6),"")</f>
        <v>0.0007281646419</v>
      </c>
      <c r="I6" s="33">
        <f>SUMIFS(Raw_Data_Daily!$D:$D, Raw_Data_Daily!$B:$B, "Control", Raw_Data_Daily!$C:$C, "C. 10-19")</f>
        <v>41272</v>
      </c>
      <c r="J6" s="26">
        <f>SUMIFS(Raw_Data_Daily!$D:$D, Raw_Data_Daily!$B:$B, "Variant", Raw_Data_Daily!$C:$C, "C. 10-19")</f>
        <v>41673</v>
      </c>
      <c r="K6" s="35">
        <f>IFERROR((J6-I6)/ABS(I6),"")</f>
        <v>0.009716030238</v>
      </c>
      <c r="L6" s="37">
        <f>SUMIFS(Raw_Data_Daily!$D:$D, Raw_Data_Daily!$B:$B, "Control", Raw_Data_Daily!$C:$C, "D. 20-39")</f>
        <v>32231</v>
      </c>
      <c r="M6" s="26">
        <f>SUMIFS(Raw_Data_Daily!$D:$D, Raw_Data_Daily!$B:$B, "Variant", Raw_Data_Daily!$C:$C, "D. 20-39")</f>
        <v>31954</v>
      </c>
      <c r="N6" s="39">
        <f>IFERROR((M6-L6)/ABS(L6),"")</f>
        <v>-0.008594210543</v>
      </c>
      <c r="O6" s="33">
        <f>SUMIFS(Raw_Data_Daily!$D:$D, Raw_Data_Daily!$B:$B, "Control", Raw_Data_Daily!$C:$C, "E. 40-99")</f>
        <v>18255</v>
      </c>
      <c r="P6" s="26">
        <f>SUMIFS(Raw_Data_Daily!$D:$D, Raw_Data_Daily!$B:$B, "Variant", Raw_Data_Daily!$C:$C, "E. 40-99")</f>
        <v>17364</v>
      </c>
      <c r="Q6" s="35">
        <f>IFERROR((P6-O6)/ABS(O6),"")</f>
        <v>-0.0488085456</v>
      </c>
      <c r="R6" s="37">
        <f>SUMIFS(Raw_Data_Daily!$D:$D, Raw_Data_Daily!$B:$B, "Control", Raw_Data_Daily!$C:$C, "F. 100+")</f>
        <v>2672</v>
      </c>
      <c r="S6" s="26">
        <f>SUMIFS(Raw_Data_Daily!$D:$D, Raw_Data_Daily!$B:$B, "Variant", Raw_Data_Daily!$C:$C, "F. 100+")</f>
        <v>2405</v>
      </c>
      <c r="T6" s="39">
        <f>IFERROR((S6-R6)/ABS(R6),"")</f>
        <v>-0.0999251497</v>
      </c>
    </row>
    <row r="7">
      <c r="A7" s="25" t="s">
        <v>16</v>
      </c>
      <c r="B7" s="27"/>
      <c r="C7" s="28"/>
      <c r="D7" s="12"/>
      <c r="E7" s="29"/>
      <c r="F7" s="30"/>
      <c r="G7" s="12"/>
      <c r="H7" s="27"/>
      <c r="I7" s="28"/>
      <c r="J7" s="12"/>
      <c r="K7" s="29"/>
      <c r="L7" s="30"/>
      <c r="M7" s="12"/>
      <c r="N7" s="27"/>
      <c r="O7" s="28"/>
      <c r="P7" s="12"/>
      <c r="Q7" s="29"/>
      <c r="R7" s="30"/>
      <c r="S7" s="12"/>
      <c r="T7" s="27"/>
    </row>
    <row r="8">
      <c r="A8" s="15"/>
      <c r="B8" s="31" t="s">
        <v>17</v>
      </c>
      <c r="C8" s="44">
        <f>SUMIFS(Raw_Data_Daily!$F:$F, Raw_Data_Daily!$B:$B, "Control", Raw_Data_Daily!$C:$C, "A. 0")</f>
        <v>3422.13</v>
      </c>
      <c r="D8" s="36">
        <f>SUMIFS(Raw_Data_Daily!$F:$F, Raw_Data_Daily!$B:$B, "Variant", Raw_Data_Daily!$C:$C, "A. 0")</f>
        <v>3941.97</v>
      </c>
      <c r="E8" s="46">
        <f t="shared" ref="E8:E11" si="1">IFERROR((D8-C8)/ABS(C8),"")</f>
        <v>0.1519053923</v>
      </c>
      <c r="F8" s="47">
        <f>SUMIFS(Raw_Data_Daily!$F:$F, Raw_Data_Daily!$B:$B, "Control", Raw_Data_Daily!$C:$C, "B. 1-9")</f>
        <v>1483.5</v>
      </c>
      <c r="G8" s="36">
        <f>SUMIFS(Raw_Data_Daily!$F:$F, Raw_Data_Daily!$B:$B, "Variant", Raw_Data_Daily!$C:$C, "B. 1-9")</f>
        <v>1360.84</v>
      </c>
      <c r="H8" s="48">
        <f t="shared" ref="H8:H11" si="2">IFERROR((G8-F8)/ABS(F8),"")</f>
        <v>-0.08268284462</v>
      </c>
      <c r="I8" s="44">
        <f>SUMIFS(Raw_Data_Daily!$F:$F, Raw_Data_Daily!$B:$B, "Control", Raw_Data_Daily!$C:$C, "C. 10-19")</f>
        <v>4052.57</v>
      </c>
      <c r="J8" s="36">
        <f>SUMIFS(Raw_Data_Daily!$F:$F, Raw_Data_Daily!$B:$B, "Variant", Raw_Data_Daily!$C:$C, "C. 10-19")</f>
        <v>4051.34</v>
      </c>
      <c r="K8" s="46">
        <f t="shared" ref="K8:K11" si="3">IFERROR((J8-I8)/ABS(I8),"")</f>
        <v>-0.0003035111053</v>
      </c>
      <c r="L8" s="47">
        <f>SUMIFS(Raw_Data_Daily!$F:$F, Raw_Data_Daily!$B:$B, "Control", Raw_Data_Daily!$C:$C, "D. 20-39")</f>
        <v>6915.24</v>
      </c>
      <c r="M8" s="36">
        <f>SUMIFS(Raw_Data_Daily!$F:$F, Raw_Data_Daily!$B:$B, "Variant", Raw_Data_Daily!$C:$C, "D. 20-39")</f>
        <v>6219.38</v>
      </c>
      <c r="N8" s="48">
        <f t="shared" ref="N8:N11" si="4">IFERROR((M8-L8)/ABS(L8),"")</f>
        <v>-0.1006270209</v>
      </c>
      <c r="O8" s="44">
        <f>SUMIFS(Raw_Data_Daily!$F:$F, Raw_Data_Daily!$B:$B, "Control", Raw_Data_Daily!$C:$C, "E. 40-99")</f>
        <v>8534.93</v>
      </c>
      <c r="P8" s="36">
        <f>SUMIFS(Raw_Data_Daily!$F:$F, Raw_Data_Daily!$B:$B, "Variant", Raw_Data_Daily!$C:$C, "E. 40-99")</f>
        <v>8769.3</v>
      </c>
      <c r="Q8" s="49">
        <f t="shared" ref="Q8:Q11" si="5">IFERROR((P8-O8)/ABS(O8),"")</f>
        <v>0.02746009633</v>
      </c>
      <c r="R8" s="47">
        <f>SUMIFS(Raw_Data_Daily!$F:$F, Raw_Data_Daily!$B:$B, "Control", Raw_Data_Daily!$C:$C, "F. 100+")</f>
        <v>3131.81</v>
      </c>
      <c r="S8" s="36">
        <f>SUMIFS(Raw_Data_Daily!$F:$F, Raw_Data_Daily!$B:$B, "Variant", Raw_Data_Daily!$C:$C, "F. 100+")</f>
        <v>1715.56</v>
      </c>
      <c r="T8" s="50">
        <f t="shared" ref="T8:T11" si="6">IFERROR((S8-R8)/ABS(R8),"")</f>
        <v>-0.4522145341</v>
      </c>
      <c r="V8" s="51"/>
    </row>
    <row r="9">
      <c r="A9" s="15"/>
      <c r="B9" s="31" t="s">
        <v>18</v>
      </c>
      <c r="C9" s="52">
        <f>IFERROR(SUMIFS(Raw_Data_Daily!$F:$F, Raw_Data_Daily!$B:$B, "Control", Raw_Data_Daily!$C:$C, "A. 0")/SUMIFS(Raw_Data_Daily!$D:$D, Raw_Data_Daily!$B:$B, "Control", Raw_Data_Daily!$C:$C, "A. 0"),"")</f>
        <v>0.09194578038</v>
      </c>
      <c r="D9" s="41">
        <f>IFERROR(SUMIFS(Raw_Data_Daily!$F:$F, Raw_Data_Daily!$B:$B, "Variant", Raw_Data_Daily!$C:$C, "A. 0")/SUMIFS(Raw_Data_Daily!$D:$D, Raw_Data_Daily!$B:$B, "Variant", Raw_Data_Daily!$C:$C, "A. 0"),"")</f>
        <v>0.1068516209</v>
      </c>
      <c r="E9" s="46">
        <f t="shared" si="1"/>
        <v>0.1621155479</v>
      </c>
      <c r="F9" s="53">
        <f>IFERROR(SUMIFS(Raw_Data_Daily!$F:$F, Raw_Data_Daily!$B:$B, "Control", Raw_Data_Daily!$C:$C, "B. 1-9")/SUMIFS(Raw_Data_Daily!$D:$D, Raw_Data_Daily!$B:$B, "Control", Raw_Data_Daily!$C:$C, "B. 1-9"),"")</f>
        <v>0.02842716437</v>
      </c>
      <c r="G9" s="41">
        <f>IFERROR(SUMIFS(Raw_Data_Daily!$F:$F, Raw_Data_Daily!$B:$B, "Variant", Raw_Data_Daily!$C:$C, "B. 1-9")/SUMIFS(Raw_Data_Daily!$D:$D, Raw_Data_Daily!$B:$B, "Variant", Raw_Data_Daily!$C:$C, "B. 1-9"),"")</f>
        <v>0.02605775123</v>
      </c>
      <c r="H9" s="48">
        <f t="shared" si="2"/>
        <v>-0.08335031651</v>
      </c>
      <c r="I9" s="52">
        <f>IFERROR(SUMIFS(Raw_Data_Daily!$F:$F, Raw_Data_Daily!$B:$B, "Control", Raw_Data_Daily!$C:$C, "C. 10-19")/SUMIFS(Raw_Data_Daily!$D:$D, Raw_Data_Daily!$B:$B, "Control", Raw_Data_Daily!$C:$C, "C. 10-19"),"")</f>
        <v>0.09819175228</v>
      </c>
      <c r="J9" s="41">
        <f>IFERROR(SUMIFS(Raw_Data_Daily!$F:$F, Raw_Data_Daily!$B:$B, "Variant", Raw_Data_Daily!$C:$C, "C. 10-19")/SUMIFS(Raw_Data_Daily!$D:$D, Raw_Data_Daily!$B:$B, "Variant", Raw_Data_Daily!$C:$C, "C. 10-19"),"")</f>
        <v>0.09721738296</v>
      </c>
      <c r="K9" s="46">
        <f t="shared" si="3"/>
        <v>-0.009923127933</v>
      </c>
      <c r="L9" s="53">
        <f>IFERROR(SUMIFS(Raw_Data_Daily!$F:$F, Raw_Data_Daily!$B:$B, "Control", Raw_Data_Daily!$C:$C, "D. 20-39")/SUMIFS(Raw_Data_Daily!$D:$D, Raw_Data_Daily!$B:$B, "Control", Raw_Data_Daily!$C:$C, "D. 20-39"),"")</f>
        <v>0.2145524495</v>
      </c>
      <c r="M9" s="41">
        <f>IFERROR(SUMIFS(Raw_Data_Daily!$F:$F, Raw_Data_Daily!$B:$B, "Variant", Raw_Data_Daily!$C:$C, "D. 20-39")/SUMIFS(Raw_Data_Daily!$D:$D, Raw_Data_Daily!$B:$B, "Variant", Raw_Data_Daily!$C:$C, "D. 20-39"),"")</f>
        <v>0.1946354134</v>
      </c>
      <c r="N9" s="48">
        <f t="shared" si="4"/>
        <v>-0.09283061622</v>
      </c>
      <c r="O9" s="52">
        <f>IFERROR(SUMIFS(Raw_Data_Daily!$F:$F, Raw_Data_Daily!$B:$B, "Control", Raw_Data_Daily!$C:$C, "E. 40-99")/SUMIFS(Raw_Data_Daily!$D:$D, Raw_Data_Daily!$B:$B, "Control", Raw_Data_Daily!$C:$C, "E. 40-99"),"")</f>
        <v>0.4675393043</v>
      </c>
      <c r="P9" s="41">
        <f>IFERROR(SUMIFS(Raw_Data_Daily!$F:$F, Raw_Data_Daily!$B:$B, "Variant", Raw_Data_Daily!$C:$C, "E. 40-99")/SUMIFS(Raw_Data_Daily!$D:$D, Raw_Data_Daily!$B:$B, "Variant", Raw_Data_Daily!$C:$C, "E. 40-99"),"")</f>
        <v>0.5050276434</v>
      </c>
      <c r="Q9" s="49">
        <f t="shared" si="5"/>
        <v>0.08018221945</v>
      </c>
      <c r="R9" s="53">
        <f>IFERROR(SUMIFS(Raw_Data_Daily!$F:$F, Raw_Data_Daily!$B:$B, "Control", Raw_Data_Daily!$C:$C, "F. 100+")/SUMIFS(Raw_Data_Daily!$D:$D, Raw_Data_Daily!$B:$B, "Control", Raw_Data_Daily!$C:$C, "F. 100+"),"")</f>
        <v>1.172084581</v>
      </c>
      <c r="S9" s="41">
        <f>IFERROR(SUMIFS(Raw_Data_Daily!$F:$F, Raw_Data_Daily!$B:$B, "Variant", Raw_Data_Daily!$C:$C, "F. 100+")/SUMIFS(Raw_Data_Daily!$D:$D, Raw_Data_Daily!$B:$B, "Variant", Raw_Data_Daily!$C:$C, "F. 100+"),"")</f>
        <v>0.7133305613</v>
      </c>
      <c r="T9" s="50">
        <f t="shared" si="6"/>
        <v>-0.3914000977</v>
      </c>
    </row>
    <row r="10">
      <c r="A10" s="15"/>
      <c r="B10" s="31" t="s">
        <v>38</v>
      </c>
      <c r="C10" s="60">
        <f>IFERROR(SUMPRODUCT((Raw_Data_Daily!$B$2:$B$9999="Control")*(Raw_Data_Daily!$C$2:$C$9999="A. 0")*Raw_Data_Daily!$D$2:$D$9999*Raw_Data_Daily!$H$2:$H$9999/100)/SUMIFS(Raw_Data_Daily!$D:$D, Raw_Data_Daily!$B:$B, "Control", Raw_Data_Daily!$C:$C, "A. 0")*100,"")</f>
        <v>1.103376501</v>
      </c>
      <c r="D10" s="61">
        <f>IFERROR(SUMPRODUCT((Raw_Data_Daily!$B$2:$B$9999="Variant")*(Raw_Data_Daily!$C$2:$C$9999="A. 0")*Raw_Data_Daily!$D$2:$D$9999*Raw_Data_Daily!$H$2:$H$9999/100)/SUMIFS(Raw_Data_Daily!$D:$D, Raw_Data_Daily!$B:$B, "Variant", Raw_Data_Daily!$C:$C, "A. 0")*100,"")</f>
        <v>1.027100726</v>
      </c>
      <c r="E10" s="46">
        <f t="shared" si="1"/>
        <v>-0.06912941749</v>
      </c>
      <c r="F10" s="62">
        <f>IFERROR(SUMPRODUCT((Raw_Data_Daily!$B$2:$B$9999="Control")*(Raw_Data_Daily!$C$2:$C$9999="B. 1-9")*Raw_Data_Daily!$D$2:$D$9999*Raw_Data_Daily!$H$2:$H$9999/100)/SUMIFS(Raw_Data_Daily!$D:$D, Raw_Data_Daily!$B:$B, "Control", Raw_Data_Daily!$C:$C, "B. 1-9")*100,"")</f>
        <v>1.037846357</v>
      </c>
      <c r="G10" s="61">
        <f>IFERROR(SUMPRODUCT((Raw_Data_Daily!$B$2:$B$9999="Variant")*(Raw_Data_Daily!$C$2:$C$9999="B. 1-9")*Raw_Data_Daily!$D$2:$D$9999*Raw_Data_Daily!$H$2:$H$9999/100)/SUMIFS(Raw_Data_Daily!$D:$D, Raw_Data_Daily!$B:$B, "Variant", Raw_Data_Daily!$C:$C, "B. 1-9")*100,"")</f>
        <v>1.043295803</v>
      </c>
      <c r="H10" s="50">
        <f t="shared" si="2"/>
        <v>0.005250724635</v>
      </c>
      <c r="I10" s="60">
        <f>IFERROR(SUMPRODUCT((Raw_Data_Daily!$B$2:$B$9999="Control")*(Raw_Data_Daily!$C$2:$C$9999="C. 10-19")*Raw_Data_Daily!$D$2:$D$9999*Raw_Data_Daily!$H$2:$H$9999/100)/SUMIFS(Raw_Data_Daily!$D:$D, Raw_Data_Daily!$B:$B, "Control", Raw_Data_Daily!$C:$C, "C. 10-19")*100,"")</f>
        <v>2.745043371</v>
      </c>
      <c r="J10" s="61">
        <f>IFERROR(SUMPRODUCT((Raw_Data_Daily!$B$2:$B$9999="Variant")*(Raw_Data_Daily!$C$2:$C$9999="C. 10-19")*Raw_Data_Daily!$D$2:$D$9999*Raw_Data_Daily!$H$2:$H$9999/100)/SUMIFS(Raw_Data_Daily!$D:$D, Raw_Data_Daily!$B:$B, "Variant", Raw_Data_Daily!$C:$C, "C. 10-19")*100,"")</f>
        <v>2.853115206</v>
      </c>
      <c r="K10" s="49">
        <f t="shared" si="3"/>
        <v>0.0393698099</v>
      </c>
      <c r="L10" s="62">
        <f>IFERROR(SUMPRODUCT((Raw_Data_Daily!$B$2:$B$9999="Control")*(Raw_Data_Daily!$C$2:$C$9999="D. 20-39")*Raw_Data_Daily!$D$2:$D$9999*Raw_Data_Daily!$H$2:$H$9999/100)/SUMIFS(Raw_Data_Daily!$D:$D, Raw_Data_Daily!$B:$B, "Control", Raw_Data_Daily!$C:$C, "D. 20-39")*100,"")</f>
        <v>4.045322205</v>
      </c>
      <c r="M10" s="61">
        <f>IFERROR(SUMPRODUCT((Raw_Data_Daily!$B$2:$B$9999="Variant")*(Raw_Data_Daily!$C$2:$C$9999="D. 20-39")*Raw_Data_Daily!$D$2:$D$9999*Raw_Data_Daily!$H$2:$H$9999/100)/SUMIFS(Raw_Data_Daily!$D:$D, Raw_Data_Daily!$B:$B, "Variant", Raw_Data_Daily!$C:$C, "D. 20-39")*100,"")</f>
        <v>3.886625149</v>
      </c>
      <c r="N10" s="48">
        <f t="shared" si="4"/>
        <v>-0.03922976926</v>
      </c>
      <c r="O10" s="60">
        <f>IFERROR(SUMPRODUCT((Raw_Data_Daily!$B$2:$B$9999="Control")*(Raw_Data_Daily!$C$2:$C$9999="E. 40-99")*Raw_Data_Daily!$D$2:$D$9999*Raw_Data_Daily!$H$2:$H$9999/100)/SUMIFS(Raw_Data_Daily!$D:$D, Raw_Data_Daily!$B:$B, "Control", Raw_Data_Daily!$C:$C, "E. 40-99")*100,"")</f>
        <v>6.387817036</v>
      </c>
      <c r="P10" s="61">
        <f>IFERROR(SUMPRODUCT((Raw_Data_Daily!$B$2:$B$9999="Variant")*(Raw_Data_Daily!$C$2:$C$9999="E. 40-99")*Raw_Data_Daily!$D$2:$D$9999*Raw_Data_Daily!$H$2:$H$9999/100)/SUMIFS(Raw_Data_Daily!$D:$D, Raw_Data_Daily!$B:$B, "Variant", Raw_Data_Daily!$C:$C, "E. 40-99")*100,"")</f>
        <v>6.291620018</v>
      </c>
      <c r="Q10" s="49">
        <f t="shared" si="5"/>
        <v>-0.01505945105</v>
      </c>
      <c r="R10" s="62">
        <f>IFERROR(SUMPRODUCT((Raw_Data_Daily!$B$2:$B$9999="Control")*(Raw_Data_Daily!$C$2:$C$9999="F. 100+")*Raw_Data_Daily!$D$2:$D$9999*Raw_Data_Daily!$H$2:$H$9999/100)/SUMIFS(Raw_Data_Daily!$D:$D, Raw_Data_Daily!$B:$B, "Control", Raw_Data_Daily!$C:$C, "F. 100+")*100,"")</f>
        <v>9.430101048</v>
      </c>
      <c r="S10" s="61">
        <f>IFERROR(SUMPRODUCT((Raw_Data_Daily!$B$2:$B$9999="Variant")*(Raw_Data_Daily!$C$2:$C$9999="F. 100+")*Raw_Data_Daily!$D$2:$D$9999*Raw_Data_Daily!$H$2:$H$9999/100)/SUMIFS(Raw_Data_Daily!$D:$D, Raw_Data_Daily!$B:$B, "Variant", Raw_Data_Daily!$C:$C, "F. 100+")*100,"")</f>
        <v>7.774220374</v>
      </c>
      <c r="T10" s="50">
        <f t="shared" si="6"/>
        <v>-0.1755952206</v>
      </c>
    </row>
    <row r="11">
      <c r="A11" s="15"/>
      <c r="B11" s="31" t="s">
        <v>19</v>
      </c>
      <c r="C11" s="52">
        <f>IFERROR(SUMIFS(Raw_Data_Daily!$F:$F, Raw_Data_Daily!$B:$B, "Control", Raw_Data_Daily!$C:$C, "A. 0")/SUMPRODUCT((Raw_Data_Daily!$B$2:$B$9999="Control")*(Raw_Data_Daily!$C$2:$C$9999="A. 0")*Raw_Data_Daily!$D$2:$D$9999*Raw_Data_Daily!$H$2:$H$9999/100),"")</f>
        <v>8.333128382</v>
      </c>
      <c r="D11" s="41">
        <f>IFERROR(SUMIFS(Raw_Data_Daily!$F:$F, Raw_Data_Daily!$B:$B, "Variant", Raw_Data_Daily!$C:$C, "A. 0")/SUMPRODUCT((Raw_Data_Daily!$B$2:$B$9999="Variant")*(Raw_Data_Daily!$C$2:$C$9999="A. 0")*Raw_Data_Daily!$D$2:$D$9999*Raw_Data_Daily!$H$2:$H$9999/100),"")</f>
        <v>10.40322708</v>
      </c>
      <c r="E11" s="46">
        <f t="shared" si="1"/>
        <v>0.2484179539</v>
      </c>
      <c r="F11" s="53">
        <f>IFERROR(SUMIFS(Raw_Data_Daily!$F:$F, Raw_Data_Daily!$B:$B, "Control", Raw_Data_Daily!$C:$C, "B. 1-9")/SUMPRODUCT((Raw_Data_Daily!$B$2:$B$9999="Control")*(Raw_Data_Daily!$C$2:$C$9999="B. 1-9")*Raw_Data_Daily!$D$2:$D$9999*Raw_Data_Daily!$H$2:$H$9999/100),"")</f>
        <v>2.73905325</v>
      </c>
      <c r="G11" s="41">
        <f>IFERROR(SUMIFS(Raw_Data_Daily!$F:$F, Raw_Data_Daily!$B:$B, "Variant", Raw_Data_Daily!$C:$C, "B. 1-9")/SUMPRODUCT((Raw_Data_Daily!$B$2:$B$9999="Variant")*(Raw_Data_Daily!$C$2:$C$9999="B. 1-9")*Raw_Data_Daily!$D$2:$D$9999*Raw_Data_Daily!$H$2:$H$9999/100),"")</f>
        <v>2.497637885</v>
      </c>
      <c r="H11" s="48">
        <f t="shared" si="2"/>
        <v>-0.08813825146</v>
      </c>
      <c r="I11" s="52">
        <f>IFERROR(SUMIFS(Raw_Data_Daily!$F:$F, Raw_Data_Daily!$B:$B, "Control", Raw_Data_Daily!$C:$C, "C. 10-19")/SUMPRODUCT((Raw_Data_Daily!$B$2:$B$9999="Control")*(Raw_Data_Daily!$C$2:$C$9999="C. 10-19")*Raw_Data_Daily!$D$2:$D$9999*Raw_Data_Daily!$H$2:$H$9999/100),"")</f>
        <v>3.577056498</v>
      </c>
      <c r="J11" s="41">
        <f>IFERROR(SUMIFS(Raw_Data_Daily!$F:$F, Raw_Data_Daily!$B:$B, "Variant", Raw_Data_Daily!$C:$C, "C. 10-19")/SUMPRODUCT((Raw_Data_Daily!$B$2:$B$9999="Variant")*(Raw_Data_Daily!$C$2:$C$9999="C. 10-19")*Raw_Data_Daily!$D$2:$D$9999*Raw_Data_Daily!$H$2:$H$9999/100),"")</f>
        <v>3.407411756</v>
      </c>
      <c r="K11" s="46">
        <f t="shared" si="3"/>
        <v>-0.04742579337</v>
      </c>
      <c r="L11" s="53">
        <f>IFERROR(SUMIFS(Raw_Data_Daily!$F:$F, Raw_Data_Daily!$B:$B, "Control", Raw_Data_Daily!$C:$C, "D. 20-39")/SUMPRODUCT((Raw_Data_Daily!$B$2:$B$9999="Control")*(Raw_Data_Daily!$C$2:$C$9999="D. 20-39")*Raw_Data_Daily!$D$2:$D$9999*Raw_Data_Daily!$H$2:$H$9999/100),"")</f>
        <v>5.303717198</v>
      </c>
      <c r="M11" s="41">
        <f>IFERROR(SUMIFS(Raw_Data_Daily!$F:$F, Raw_Data_Daily!$B:$B, "Variant", Raw_Data_Daily!$C:$C, "D. 20-39")/SUMPRODUCT((Raw_Data_Daily!$B$2:$B$9999="Variant")*(Raw_Data_Daily!$C$2:$C$9999="D. 20-39")*Raw_Data_Daily!$D$2:$D$9999*Raw_Data_Daily!$H$2:$H$9999/100),"")</f>
        <v>5.007825709</v>
      </c>
      <c r="N11" s="50">
        <f t="shared" si="4"/>
        <v>-0.05578945438</v>
      </c>
      <c r="O11" s="52">
        <f>IFERROR(SUMIFS(Raw_Data_Daily!$F:$F, Raw_Data_Daily!$B:$B, "Control", Raw_Data_Daily!$C:$C, "E. 40-99")/SUMPRODUCT((Raw_Data_Daily!$B$2:$B$9999="Control")*(Raw_Data_Daily!$C$2:$C$9999="E. 40-99")*Raw_Data_Daily!$D$2:$D$9999*Raw_Data_Daily!$H$2:$H$9999/100),"")</f>
        <v>7.319234437</v>
      </c>
      <c r="P11" s="41">
        <f>IFERROR(SUMIFS(Raw_Data_Daily!$F:$F, Raw_Data_Daily!$B:$B, "Variant", Raw_Data_Daily!$C:$C, "E. 40-99")/SUMPRODUCT((Raw_Data_Daily!$B$2:$B$9999="Variant")*(Raw_Data_Daily!$C$2:$C$9999="E. 40-99")*Raw_Data_Daily!$D$2:$D$9999*Raw_Data_Daily!$H$2:$H$9999/100),"")</f>
        <v>8.026988946</v>
      </c>
      <c r="Q11" s="49">
        <f t="shared" si="5"/>
        <v>0.09669788761</v>
      </c>
      <c r="R11" s="53">
        <f>IFERROR(SUMIFS(Raw_Data_Daily!$F:$F, Raw_Data_Daily!$B:$B, "Control", Raw_Data_Daily!$C:$C, "F. 100+")/SUMPRODUCT((Raw_Data_Daily!$B$2:$B$9999="Control")*(Raw_Data_Daily!$C$2:$C$9999="F. 100+")*Raw_Data_Daily!$D$2:$D$9999*Raw_Data_Daily!$H$2:$H$9999/100),"")</f>
        <v>12.42918368</v>
      </c>
      <c r="S11" s="41">
        <f>IFERROR(SUMIFS(Raw_Data_Daily!$F:$F, Raw_Data_Daily!$B:$B, "Variant", Raw_Data_Daily!$C:$C, "F. 100+")/SUMPRODUCT((Raw_Data_Daily!$B$2:$B$9999="Variant")*(Raw_Data_Daily!$C$2:$C$9999="F. 100+")*Raw_Data_Daily!$D$2:$D$9999*Raw_Data_Daily!$H$2:$H$9999/100),"")</f>
        <v>9.175589667</v>
      </c>
      <c r="T11" s="50">
        <f t="shared" si="6"/>
        <v>-0.2617705314</v>
      </c>
    </row>
    <row r="12">
      <c r="A12" s="25" t="s">
        <v>20</v>
      </c>
      <c r="B12" s="27"/>
      <c r="C12" s="28"/>
      <c r="D12" s="12"/>
      <c r="E12" s="29"/>
      <c r="F12" s="30"/>
      <c r="G12" s="12"/>
      <c r="H12" s="27"/>
      <c r="I12" s="28"/>
      <c r="J12" s="12"/>
      <c r="K12" s="29"/>
      <c r="L12" s="30"/>
      <c r="M12" s="12"/>
      <c r="N12" s="27"/>
      <c r="O12" s="28"/>
      <c r="P12" s="12"/>
      <c r="Q12" s="29"/>
      <c r="R12" s="30"/>
      <c r="S12" s="12"/>
      <c r="T12" s="27"/>
    </row>
    <row r="13">
      <c r="A13" s="15"/>
      <c r="B13" s="31" t="s">
        <v>21</v>
      </c>
      <c r="C13" s="65">
        <f>IFERROR(SUMPRODUCT((Raw_Data_Daily!$B$2:$B$9999="Control")*(Raw_Data_Daily!$C$2:$C$9999="A. 0")*Raw_Data_Daily!$D$2:$D$9999*Raw_Data_Daily!$J$2:$J$9999)/SUMIFS(Raw_Data_Daily!$D:$D, Raw_Data_Daily!$B:$B, "Control", Raw_Data_Daily!$C:$C, "A. 0"),"")</f>
        <v>17.31001048</v>
      </c>
      <c r="D13" s="42">
        <f>IFERROR(SUMPRODUCT((Raw_Data_Daily!$B$2:$B$9999="Variant")*(Raw_Data_Daily!$C$2:$C$9999="A. 0")*Raw_Data_Daily!$D$2:$D$9999*Raw_Data_Daily!$J$2:$J$9999)/SUMIFS(Raw_Data_Daily!$D:$D, Raw_Data_Daily!$B:$B, "Variant", Raw_Data_Daily!$C:$C, "A. 0"),"")</f>
        <v>18.64268324</v>
      </c>
      <c r="E13" s="49">
        <f t="shared" ref="E13:E15" si="7">IFERROR((D13-C13)/ABS(C13),"")</f>
        <v>0.07698855877</v>
      </c>
      <c r="F13" s="67">
        <f>IFERROR(SUMPRODUCT((Raw_Data_Daily!$B$2:$B$9999="Control")*(Raw_Data_Daily!$C$2:$C$9999="B. 1-9")*Raw_Data_Daily!$D$2:$D$9999*Raw_Data_Daily!$J$2:$J$9999)/SUMIFS(Raw_Data_Daily!$D:$D, Raw_Data_Daily!$B:$B, "Control", Raw_Data_Daily!$C:$C, "B. 1-9"),"")</f>
        <v>22.44848159</v>
      </c>
      <c r="G13" s="42">
        <f>IFERROR(SUMPRODUCT((Raw_Data_Daily!$B$2:$B$9999="Variant")*(Raw_Data_Daily!$C$2:$C$9999="B. 1-9")*Raw_Data_Daily!$D$2:$D$9999*Raw_Data_Daily!$J$2:$J$9999)/SUMIFS(Raw_Data_Daily!$D:$D, Raw_Data_Daily!$B:$B, "Variant", Raw_Data_Daily!$C:$C, "B. 1-9"),"")</f>
        <v>22.33624043</v>
      </c>
      <c r="H13" s="48">
        <f t="shared" ref="H13:H15" si="8">IFERROR((G13-F13)/ABS(F13),"")</f>
        <v>-0.004999944376</v>
      </c>
      <c r="I13" s="65">
        <f>IFERROR(SUMPRODUCT((Raw_Data_Daily!$B$2:$B$9999="Control")*(Raw_Data_Daily!$C$2:$C$9999="C. 10-19")*Raw_Data_Daily!$D$2:$D$9999*Raw_Data_Daily!$J$2:$J$9999)/SUMIFS(Raw_Data_Daily!$D:$D, Raw_Data_Daily!$B:$B, "Control", Raw_Data_Daily!$C:$C, "C. 10-19"),"")</f>
        <v>45.10771177</v>
      </c>
      <c r="J13" s="42">
        <f>IFERROR(SUMPRODUCT((Raw_Data_Daily!$B$2:$B$9999="Variant")*(Raw_Data_Daily!$C$2:$C$9999="C. 10-19")*Raw_Data_Daily!$D$2:$D$9999*Raw_Data_Daily!$J$2:$J$9999)/SUMIFS(Raw_Data_Daily!$D:$D, Raw_Data_Daily!$B:$B, "Variant", Raw_Data_Daily!$C:$C, "C. 10-19"),"")</f>
        <v>46.38891824</v>
      </c>
      <c r="K13" s="46">
        <f t="shared" ref="K13:K15" si="9">IFERROR((J13-I13)/ABS(I13),"")</f>
        <v>0.02840326916</v>
      </c>
      <c r="L13" s="67">
        <f>IFERROR(SUMPRODUCT((Raw_Data_Daily!$B$2:$B$9999="Control")*(Raw_Data_Daily!$C$2:$C$9999="D. 20-39")*Raw_Data_Daily!$D$2:$D$9999*Raw_Data_Daily!$J$2:$J$9999)/SUMIFS(Raw_Data_Daily!$D:$D, Raw_Data_Daily!$B:$B, "Control", Raw_Data_Daily!$C:$C, "D. 20-39"),"")</f>
        <v>68.76506841</v>
      </c>
      <c r="M13" s="42">
        <f>IFERROR(SUMPRODUCT((Raw_Data_Daily!$B$2:$B$9999="Variant")*(Raw_Data_Daily!$C$2:$C$9999="D. 20-39")*Raw_Data_Daily!$D$2:$D$9999*Raw_Data_Daily!$J$2:$J$9999)/SUMIFS(Raw_Data_Daily!$D:$D, Raw_Data_Daily!$B:$B, "Variant", Raw_Data_Daily!$C:$C, "D. 20-39"),"")</f>
        <v>71.82263128</v>
      </c>
      <c r="N13" s="48">
        <f t="shared" ref="N13:N15" si="10">IFERROR((M13-L13)/ABS(L13),"")</f>
        <v>0.04446389629</v>
      </c>
      <c r="O13" s="65">
        <f>IFERROR(SUMPRODUCT((Raw_Data_Daily!$B$2:$B$9999="Control")*(Raw_Data_Daily!$C$2:$C$9999="E. 40-99")*Raw_Data_Daily!$D$2:$D$9999*Raw_Data_Daily!$J$2:$J$9999)/SUMIFS(Raw_Data_Daily!$D:$D, Raw_Data_Daily!$B:$B, "Control", Raw_Data_Daily!$C:$C, "E. 40-99"),"")</f>
        <v>120.5325872</v>
      </c>
      <c r="P13" s="42">
        <f>IFERROR(SUMPRODUCT((Raw_Data_Daily!$B$2:$B$9999="Variant")*(Raw_Data_Daily!$C$2:$C$9999="E. 40-99")*Raw_Data_Daily!$D$2:$D$9999*Raw_Data_Daily!$J$2:$J$9999)/SUMIFS(Raw_Data_Daily!$D:$D, Raw_Data_Daily!$B:$B, "Variant", Raw_Data_Daily!$C:$C, "E. 40-99"),"")</f>
        <v>122.7715267</v>
      </c>
      <c r="Q13" s="46">
        <f t="shared" ref="Q13:Q15" si="11">IFERROR((P13-O13)/ABS(O13),"")</f>
        <v>0.01857538726</v>
      </c>
      <c r="R13" s="67">
        <f>IFERROR(SUMPRODUCT((Raw_Data_Daily!$B$2:$B$9999="Control")*(Raw_Data_Daily!$C$2:$C$9999="F. 100+")*Raw_Data_Daily!$D$2:$D$9999*Raw_Data_Daily!$J$2:$J$9999)/SUMIFS(Raw_Data_Daily!$D:$D, Raw_Data_Daily!$B:$B, "Control", Raw_Data_Daily!$C:$C, "F. 100+"),"")</f>
        <v>247.7976347</v>
      </c>
      <c r="S13" s="42">
        <f>IFERROR(SUMPRODUCT((Raw_Data_Daily!$B$2:$B$9999="Variant")*(Raw_Data_Daily!$C$2:$C$9999="F. 100+")*Raw_Data_Daily!$D$2:$D$9999*Raw_Data_Daily!$J$2:$J$9999)/SUMIFS(Raw_Data_Daily!$D:$D, Raw_Data_Daily!$B:$B, "Variant", Raw_Data_Daily!$C:$C, "F. 100+"),"")</f>
        <v>243.3283326</v>
      </c>
      <c r="T13" s="50">
        <f t="shared" ref="T13:T15" si="12">IFERROR((S13-R13)/ABS(R13),"")</f>
        <v>-0.01803609665</v>
      </c>
    </row>
    <row r="14">
      <c r="A14" s="15"/>
      <c r="B14" s="31" t="s">
        <v>22</v>
      </c>
      <c r="C14" s="65">
        <f>IFERROR(SUMPRODUCT((Raw_Data_Daily!$B$2:$B$9999="Control")*(Raw_Data_Daily!$C$2:$C$9999="A. 0")*Raw_Data_Daily!$D$2:$D$9999*Raw_Data_Daily!$K$2:$K$9999)/SUMIFS(Raw_Data_Daily!$D:$D, Raw_Data_Daily!$B:$B, "Control", Raw_Data_Daily!$C:$C, "A. 0"),"")</f>
        <v>9.258141003</v>
      </c>
      <c r="D14" s="42">
        <f>IFERROR(SUMPRODUCT((Raw_Data_Daily!$B$2:$B$9999="Variant")*(Raw_Data_Daily!$C$2:$C$9999="A. 0")*Raw_Data_Daily!$D$2:$D$9999*Raw_Data_Daily!$K$2:$K$9999)/SUMIFS(Raw_Data_Daily!$D:$D, Raw_Data_Daily!$B:$B, "Variant", Raw_Data_Daily!$C:$C, "A. 0"),"")</f>
        <v>9.905178358</v>
      </c>
      <c r="E14" s="49">
        <f t="shared" si="7"/>
        <v>0.06988847491</v>
      </c>
      <c r="F14" s="67">
        <f>IFERROR(SUMPRODUCT((Raw_Data_Daily!$B$2:$B$9999="Control")*(Raw_Data_Daily!$C$2:$C$9999="B. 1-9")*Raw_Data_Daily!$D$2:$D$9999*Raw_Data_Daily!$K$2:$K$9999)/SUMIFS(Raw_Data_Daily!$D:$D, Raw_Data_Daily!$B:$B, "Control", Raw_Data_Daily!$C:$C, "B. 1-9"),"")</f>
        <v>11.64877132</v>
      </c>
      <c r="G14" s="42">
        <f>IFERROR(SUMPRODUCT((Raw_Data_Daily!$B$2:$B$9999="Variant")*(Raw_Data_Daily!$C$2:$C$9999="B. 1-9")*Raw_Data_Daily!$D$2:$D$9999*Raw_Data_Daily!$K$2:$K$9999)/SUMIFS(Raw_Data_Daily!$D:$D, Raw_Data_Daily!$B:$B, "Variant", Raw_Data_Daily!$C:$C, "B. 1-9"),"")</f>
        <v>11.40698989</v>
      </c>
      <c r="H14" s="48">
        <f t="shared" si="8"/>
        <v>-0.02075595972</v>
      </c>
      <c r="I14" s="65">
        <f>IFERROR(SUMPRODUCT((Raw_Data_Daily!$B$2:$B$9999="Control")*(Raw_Data_Daily!$C$2:$C$9999="C. 10-19")*Raw_Data_Daily!$D$2:$D$9999*Raw_Data_Daily!$K$2:$K$9999)/SUMIFS(Raw_Data_Daily!$D:$D, Raw_Data_Daily!$B:$B, "Control", Raw_Data_Daily!$C:$C, "C. 10-19"),"")</f>
        <v>24.36610172</v>
      </c>
      <c r="J14" s="42">
        <f>IFERROR(SUMPRODUCT((Raw_Data_Daily!$B$2:$B$9999="Variant")*(Raw_Data_Daily!$C$2:$C$9999="C. 10-19")*Raw_Data_Daily!$D$2:$D$9999*Raw_Data_Daily!$K$2:$K$9999)/SUMIFS(Raw_Data_Daily!$D:$D, Raw_Data_Daily!$B:$B, "Variant", Raw_Data_Daily!$C:$C, "C. 10-19"),"")</f>
        <v>24.8973928</v>
      </c>
      <c r="K14" s="49">
        <f t="shared" si="9"/>
        <v>0.02180451707</v>
      </c>
      <c r="L14" s="67">
        <f>IFERROR(SUMPRODUCT((Raw_Data_Daily!$B$2:$B$9999="Control")*(Raw_Data_Daily!$C$2:$C$9999="D. 20-39")*Raw_Data_Daily!$D$2:$D$9999*Raw_Data_Daily!$K$2:$K$9999)/SUMIFS(Raw_Data_Daily!$D:$D, Raw_Data_Daily!$B:$B, "Control", Raw_Data_Daily!$C:$C, "D. 20-39"),"")</f>
        <v>39.05533958</v>
      </c>
      <c r="M14" s="42">
        <f>IFERROR(SUMPRODUCT((Raw_Data_Daily!$B$2:$B$9999="Variant")*(Raw_Data_Daily!$C$2:$C$9999="D. 20-39")*Raw_Data_Daily!$D$2:$D$9999*Raw_Data_Daily!$K$2:$K$9999)/SUMIFS(Raw_Data_Daily!$D:$D, Raw_Data_Daily!$B:$B, "Variant", Raw_Data_Daily!$C:$C, "D. 20-39"),"")</f>
        <v>40.58559773</v>
      </c>
      <c r="N14" s="48">
        <f t="shared" si="10"/>
        <v>0.03918179104</v>
      </c>
      <c r="O14" s="65">
        <f>IFERROR(SUMPRODUCT((Raw_Data_Daily!$B$2:$B$9999="Control")*(Raw_Data_Daily!$C$2:$C$9999="E. 40-99")*Raw_Data_Daily!$D$2:$D$9999*Raw_Data_Daily!$K$2:$K$9999)/SUMIFS(Raw_Data_Daily!$D:$D, Raw_Data_Daily!$B:$B, "Control", Raw_Data_Daily!$C:$C, "E. 40-99"),"")</f>
        <v>72.51562859</v>
      </c>
      <c r="P14" s="42">
        <f>IFERROR(SUMPRODUCT((Raw_Data_Daily!$B$2:$B$9999="Variant")*(Raw_Data_Daily!$C$2:$C$9999="E. 40-99")*Raw_Data_Daily!$D$2:$D$9999*Raw_Data_Daily!$K$2:$K$9999)/SUMIFS(Raw_Data_Daily!$D:$D, Raw_Data_Daily!$B:$B, "Variant", Raw_Data_Daily!$C:$C, "E. 40-99"),"")</f>
        <v>74.46009099</v>
      </c>
      <c r="Q14" s="46">
        <f t="shared" si="11"/>
        <v>0.02681439071</v>
      </c>
      <c r="R14" s="67">
        <f>IFERROR(SUMPRODUCT((Raw_Data_Daily!$B$2:$B$9999="Control")*(Raw_Data_Daily!$C$2:$C$9999="F. 100+")*Raw_Data_Daily!$D$2:$D$9999*Raw_Data_Daily!$K$2:$K$9999)/SUMIFS(Raw_Data_Daily!$D:$D, Raw_Data_Daily!$B:$B, "Control", Raw_Data_Daily!$C:$C, "F. 100+"),"")</f>
        <v>164.6710105</v>
      </c>
      <c r="S14" s="42">
        <f>IFERROR(SUMPRODUCT((Raw_Data_Daily!$B$2:$B$9999="Variant")*(Raw_Data_Daily!$C$2:$C$9999="F. 100+")*Raw_Data_Daily!$D$2:$D$9999*Raw_Data_Daily!$K$2:$K$9999)/SUMIFS(Raw_Data_Daily!$D:$D, Raw_Data_Daily!$B:$B, "Variant", Raw_Data_Daily!$C:$C, "F. 100+"),"")</f>
        <v>161.4699875</v>
      </c>
      <c r="T14" s="48">
        <f t="shared" si="12"/>
        <v>-0.01943889786</v>
      </c>
    </row>
    <row r="15">
      <c r="A15" s="15"/>
      <c r="B15" s="31" t="s">
        <v>23</v>
      </c>
      <c r="C15" s="65">
        <f>IFERROR(SUMPRODUCT((Raw_Data_Daily!$B$2:$B$9999="Control")*(Raw_Data_Daily!$C$2:$C$9999="A. 0")*Raw_Data_Daily!$D$2:$D$9999*Raw_Data_Daily!$L$2:$L$9999)/SUMIFS(Raw_Data_Daily!$D:$D, Raw_Data_Daily!$B:$B, "Control", Raw_Data_Daily!$C:$C, "A. 0"),"")</f>
        <v>5.909786131</v>
      </c>
      <c r="D15" s="42">
        <f>IFERROR(SUMPRODUCT((Raw_Data_Daily!$B$2:$B$9999="Variant")*(Raw_Data_Daily!$C$2:$C$9999="A. 0")*Raw_Data_Daily!$D$2:$D$9999*Raw_Data_Daily!$L$2:$L$9999)/SUMIFS(Raw_Data_Daily!$D:$D, Raw_Data_Daily!$B:$B, "Variant", Raw_Data_Daily!$C:$C, "A. 0"),"")</f>
        <v>6.572631465</v>
      </c>
      <c r="E15" s="35">
        <f t="shared" si="7"/>
        <v>0.1121606297</v>
      </c>
      <c r="F15" s="67">
        <f>IFERROR(SUMPRODUCT((Raw_Data_Daily!$B$2:$B$9999="Control")*(Raw_Data_Daily!$C$2:$C$9999="B. 1-9")*Raw_Data_Daily!$D$2:$D$9999*Raw_Data_Daily!$L$2:$L$9999)/SUMIFS(Raw_Data_Daily!$D:$D, Raw_Data_Daily!$B:$B, "Control", Raw_Data_Daily!$C:$C, "B. 1-9"),"")</f>
        <v>5.268246273</v>
      </c>
      <c r="G15" s="42">
        <f>IFERROR(SUMPRODUCT((Raw_Data_Daily!$B$2:$B$9999="Variant")*(Raw_Data_Daily!$C$2:$C$9999="B. 1-9")*Raw_Data_Daily!$D$2:$D$9999*Raw_Data_Daily!$L$2:$L$9999)/SUMIFS(Raw_Data_Daily!$D:$D, Raw_Data_Daily!$B:$B, "Variant", Raw_Data_Daily!$C:$C, "B. 1-9"),"")</f>
        <v>5.210056487</v>
      </c>
      <c r="H15" s="48">
        <f t="shared" si="8"/>
        <v>-0.01104538066</v>
      </c>
      <c r="I15" s="65">
        <f>IFERROR(SUMPRODUCT((Raw_Data_Daily!$B$2:$B$9999="Control")*(Raw_Data_Daily!$C$2:$C$9999="C. 10-19")*Raw_Data_Daily!$D$2:$D$9999*Raw_Data_Daily!$L$2:$L$9999)/SUMIFS(Raw_Data_Daily!$D:$D, Raw_Data_Daily!$B:$B, "Control", Raw_Data_Daily!$C:$C, "C. 10-19"),"")</f>
        <v>13.82884474</v>
      </c>
      <c r="J15" s="42">
        <f>IFERROR(SUMPRODUCT((Raw_Data_Daily!$B$2:$B$9999="Variant")*(Raw_Data_Daily!$C$2:$C$9999="C. 10-19")*Raw_Data_Daily!$D$2:$D$9999*Raw_Data_Daily!$L$2:$L$9999)/SUMIFS(Raw_Data_Daily!$D:$D, Raw_Data_Daily!$B:$B, "Variant", Raw_Data_Daily!$C:$C, "C. 10-19"),"")</f>
        <v>13.81426943</v>
      </c>
      <c r="K15" s="46">
        <f t="shared" si="9"/>
        <v>-0.001053978592</v>
      </c>
      <c r="L15" s="67">
        <f>IFERROR(SUMPRODUCT((Raw_Data_Daily!$B$2:$B$9999="Control")*(Raw_Data_Daily!$C$2:$C$9999="D. 20-39")*Raw_Data_Daily!$D$2:$D$9999*Raw_Data_Daily!$L$2:$L$9999)/SUMIFS(Raw_Data_Daily!$D:$D, Raw_Data_Daily!$B:$B, "Control", Raw_Data_Daily!$C:$C, "D. 20-39"),"")</f>
        <v>26.0643241</v>
      </c>
      <c r="M15" s="42">
        <f>IFERROR(SUMPRODUCT((Raw_Data_Daily!$B$2:$B$9999="Variant")*(Raw_Data_Daily!$C$2:$C$9999="D. 20-39")*Raw_Data_Daily!$D$2:$D$9999*Raw_Data_Daily!$L$2:$L$9999)/SUMIFS(Raw_Data_Daily!$D:$D, Raw_Data_Daily!$B:$B, "Variant", Raw_Data_Daily!$C:$C, "D. 20-39"),"")</f>
        <v>26.45096076</v>
      </c>
      <c r="N15" s="48">
        <f t="shared" si="10"/>
        <v>0.01483394147</v>
      </c>
      <c r="O15" s="65">
        <f>IFERROR(SUMPRODUCT((Raw_Data_Daily!$B$2:$B$9999="Control")*(Raw_Data_Daily!$C$2:$C$9999="E. 40-99")*Raw_Data_Daily!$D$2:$D$9999*Raw_Data_Daily!$L$2:$L$9999)/SUMIFS(Raw_Data_Daily!$D:$D, Raw_Data_Daily!$B:$B, "Control", Raw_Data_Daily!$C:$C, "E. 40-99"),"")</f>
        <v>53.13670885</v>
      </c>
      <c r="P15" s="42">
        <f>IFERROR(SUMPRODUCT((Raw_Data_Daily!$B$2:$B$9999="Variant")*(Raw_Data_Daily!$C$2:$C$9999="E. 40-99")*Raw_Data_Daily!$D$2:$D$9999*Raw_Data_Daily!$L$2:$L$9999)/SUMIFS(Raw_Data_Daily!$D:$D, Raw_Data_Daily!$B:$B, "Variant", Raw_Data_Daily!$C:$C, "E. 40-99"),"")</f>
        <v>54.22970859</v>
      </c>
      <c r="Q15" s="46">
        <f t="shared" si="11"/>
        <v>0.02056957929</v>
      </c>
      <c r="R15" s="67">
        <f>IFERROR(SUMPRODUCT((Raw_Data_Daily!$B$2:$B$9999="Control")*(Raw_Data_Daily!$C$2:$C$9999="F. 100+")*Raw_Data_Daily!$D$2:$D$9999*Raw_Data_Daily!$L$2:$L$9999)/SUMIFS(Raw_Data_Daily!$D:$D, Raw_Data_Daily!$B:$B, "Control", Raw_Data_Daily!$C:$C, "F. 100+"),"")</f>
        <v>128.4121819</v>
      </c>
      <c r="S15" s="42">
        <f>IFERROR(SUMPRODUCT((Raw_Data_Daily!$B$2:$B$9999="Variant")*(Raw_Data_Daily!$C$2:$C$9999="F. 100+")*Raw_Data_Daily!$D$2:$D$9999*Raw_Data_Daily!$L$2:$L$9999)/SUMIFS(Raw_Data_Daily!$D:$D, Raw_Data_Daily!$B:$B, "Variant", Raw_Data_Daily!$C:$C, "F. 100+"),"")</f>
        <v>123.8750437</v>
      </c>
      <c r="T15" s="48">
        <f t="shared" si="12"/>
        <v>-0.03533261534</v>
      </c>
    </row>
    <row r="16" ht="15.75" customHeight="1">
      <c r="A16" s="25" t="s">
        <v>24</v>
      </c>
      <c r="B16" s="27"/>
      <c r="C16" s="28"/>
      <c r="D16" s="12"/>
      <c r="E16" s="29"/>
      <c r="F16" s="30"/>
      <c r="G16" s="12"/>
      <c r="H16" s="27"/>
      <c r="I16" s="28"/>
      <c r="J16" s="12"/>
      <c r="K16" s="29"/>
      <c r="L16" s="30"/>
      <c r="M16" s="12"/>
      <c r="N16" s="27"/>
      <c r="O16" s="28"/>
      <c r="P16" s="12"/>
      <c r="Q16" s="29"/>
      <c r="R16" s="30"/>
      <c r="S16" s="12"/>
      <c r="T16" s="27"/>
    </row>
    <row r="17" ht="15.75" customHeight="1">
      <c r="A17" s="15"/>
      <c r="B17" s="31" t="s">
        <v>25</v>
      </c>
      <c r="C17" s="65">
        <f>IFERROR(SUMPRODUCT((Raw_Data_Daily!$B$2:$B$9999="Control")*(Raw_Data_Daily!$C$2:$C$9999="A. 0")*Raw_Data_Daily!$D$2:$D$9999*Raw_Data_Daily!$AD$2:$AD$9999)/SUMIFS(Raw_Data_Daily!$D:$D, Raw_Data_Daily!$B:$B, "Control", Raw_Data_Daily!$C:$C, "A. 0"),"")</f>
        <v>0</v>
      </c>
      <c r="D17" s="42">
        <f>IFERROR(SUMPRODUCT((Raw_Data_Daily!$B$2:$B$9999="Variant")*(Raw_Data_Daily!$C$2:$C$9999="A. 0")*Raw_Data_Daily!$D$2:$D$9999*Raw_Data_Daily!$AD$2:$AD$9999)/SUMIFS(Raw_Data_Daily!$D:$D, Raw_Data_Daily!$B:$B, "Variant", Raw_Data_Daily!$C:$C, "A. 0"),"")</f>
        <v>0</v>
      </c>
      <c r="E17" s="35" t="str">
        <f t="shared" ref="E17:E22" si="13">IFERROR((D17-C17)/ABS(C17),"")</f>
        <v/>
      </c>
      <c r="F17" s="67">
        <f>IFERROR(SUMPRODUCT((Raw_Data_Daily!$B$2:$B$9999="Control")*(Raw_Data_Daily!$C$2:$C$9999="B. 1-9")*Raw_Data_Daily!$D$2:$D$9999*Raw_Data_Daily!$AD$2:$AD$9999)/SUMIFS(Raw_Data_Daily!$D:$D, Raw_Data_Daily!$B:$B, "Control", Raw_Data_Daily!$C:$C, "B. 1-9"),"")</f>
        <v>4.060303721</v>
      </c>
      <c r="G17" s="42">
        <f>IFERROR(SUMPRODUCT((Raw_Data_Daily!$B$2:$B$9999="Variant")*(Raw_Data_Daily!$C$2:$C$9999="B. 1-9")*Raw_Data_Daily!$D$2:$D$9999*Raw_Data_Daily!$AD$2:$AD$9999)/SUMIFS(Raw_Data_Daily!$D:$D, Raw_Data_Daily!$B:$B, "Variant", Raw_Data_Daily!$C:$C, "B. 1-9"),"")</f>
        <v>4.073265165</v>
      </c>
      <c r="H17" s="48">
        <f t="shared" ref="H17:H22" si="14">IFERROR((G17-F17)/ABS(F17),"")</f>
        <v>0.00319223512</v>
      </c>
      <c r="I17" s="65">
        <f>IFERROR(SUMPRODUCT((Raw_Data_Daily!$B$2:$B$9999="Control")*(Raw_Data_Daily!$C$2:$C$9999="C. 10-19")*Raw_Data_Daily!$D$2:$D$9999*Raw_Data_Daily!$AD$2:$AD$9999)/SUMIFS(Raw_Data_Daily!$D:$D, Raw_Data_Daily!$B:$B, "Control", Raw_Data_Daily!$C:$C, "C. 10-19"),"")</f>
        <v>9.458995687</v>
      </c>
      <c r="J17" s="42">
        <f>IFERROR(SUMPRODUCT((Raw_Data_Daily!$B$2:$B$9999="Variant")*(Raw_Data_Daily!$C$2:$C$9999="C. 10-19")*Raw_Data_Daily!$D$2:$D$9999*Raw_Data_Daily!$AD$2:$AD$9999)/SUMIFS(Raw_Data_Daily!$D:$D, Raw_Data_Daily!$B:$B, "Variant", Raw_Data_Daily!$C:$C, "C. 10-19"),"")</f>
        <v>9.464976124</v>
      </c>
      <c r="K17" s="46">
        <f t="shared" ref="K17:K22" si="15">IFERROR((J17-I17)/ABS(I17),"")</f>
        <v>0.0006322485683</v>
      </c>
      <c r="L17" s="67">
        <f>IFERROR(SUMPRODUCT((Raw_Data_Daily!$B$2:$B$9999="Control")*(Raw_Data_Daily!$C$2:$C$9999="D. 20-39")*Raw_Data_Daily!$D$2:$D$9999*Raw_Data_Daily!$AD$2:$AD$9999)/SUMIFS(Raw_Data_Daily!$D:$D, Raw_Data_Daily!$B:$B, "Control", Raw_Data_Daily!$C:$C, "D. 20-39"),"")</f>
        <v>16.63680928</v>
      </c>
      <c r="M17" s="42">
        <f>IFERROR(SUMPRODUCT((Raw_Data_Daily!$B$2:$B$9999="Variant")*(Raw_Data_Daily!$C$2:$C$9999="D. 20-39")*Raw_Data_Daily!$D$2:$D$9999*Raw_Data_Daily!$AD$2:$AD$9999)/SUMIFS(Raw_Data_Daily!$D:$D, Raw_Data_Daily!$B:$B, "Variant", Raw_Data_Daily!$C:$C, "D. 20-39"),"")</f>
        <v>16.66353852</v>
      </c>
      <c r="N17" s="48">
        <f t="shared" ref="N17:N22" si="16">IFERROR((M17-L17)/ABS(L17),"")</f>
        <v>0.001606632659</v>
      </c>
      <c r="O17" s="65">
        <f>IFERROR(SUMPRODUCT((Raw_Data_Daily!$B$2:$B$9999="Control")*(Raw_Data_Daily!$C$2:$C$9999="E. 40-99")*Raw_Data_Daily!$D$2:$D$9999*Raw_Data_Daily!$AD$2:$AD$9999)/SUMIFS(Raw_Data_Daily!$D:$D, Raw_Data_Daily!$B:$B, "Control", Raw_Data_Daily!$C:$C, "E. 40-99"),"")</f>
        <v>30.50561654</v>
      </c>
      <c r="P17" s="42">
        <f>IFERROR(SUMPRODUCT((Raw_Data_Daily!$B$2:$B$9999="Variant")*(Raw_Data_Daily!$C$2:$C$9999="E. 40-99")*Raw_Data_Daily!$D$2:$D$9999*Raw_Data_Daily!$AD$2:$AD$9999)/SUMIFS(Raw_Data_Daily!$D:$D, Raw_Data_Daily!$B:$B, "Variant", Raw_Data_Daily!$C:$C, "E. 40-99"),"")</f>
        <v>30.60719132</v>
      </c>
      <c r="Q17" s="46">
        <f t="shared" ref="Q17:Q22" si="17">IFERROR((P17-O17)/ABS(O17),"")</f>
        <v>0.00332970723</v>
      </c>
      <c r="R17" s="67">
        <f>IFERROR(SUMPRODUCT((Raw_Data_Daily!$B$2:$B$9999="Control")*(Raw_Data_Daily!$C$2:$C$9999="F. 100+")*Raw_Data_Daily!$D$2:$D$9999*Raw_Data_Daily!$AD$2:$AD$9999)/SUMIFS(Raw_Data_Daily!$D:$D, Raw_Data_Daily!$B:$B, "Control", Raw_Data_Daily!$C:$C, "F. 100+"),"")</f>
        <v>57.7922006</v>
      </c>
      <c r="S17" s="42">
        <f>IFERROR(SUMPRODUCT((Raw_Data_Daily!$B$2:$B$9999="Variant")*(Raw_Data_Daily!$C$2:$C$9999="F. 100+")*Raw_Data_Daily!$D$2:$D$9999*Raw_Data_Daily!$AD$2:$AD$9999)/SUMIFS(Raw_Data_Daily!$D:$D, Raw_Data_Daily!$B:$B, "Variant", Raw_Data_Daily!$C:$C, "F. 100+"),"")</f>
        <v>56.87259044</v>
      </c>
      <c r="T17" s="50">
        <f t="shared" ref="T17:T22" si="18">IFERROR((S17-R17)/ABS(R17),"")</f>
        <v>-0.0159123576</v>
      </c>
      <c r="V17" s="51"/>
    </row>
    <row r="18" ht="15.75" customHeight="1">
      <c r="A18" s="15"/>
      <c r="B18" s="31" t="s">
        <v>26</v>
      </c>
      <c r="C18" s="65">
        <f>IFERROR(SUMPRODUCT((Raw_Data_Daily!$B$2:$B$9999="Control")*(Raw_Data_Daily!$C$2:$C$9999="A. 0")*Raw_Data_Daily!$D$2:$D$9999*Raw_Data_Daily!$AE$2:$AE$9999)/SUMIFS(Raw_Data_Daily!$D:$D, Raw_Data_Daily!$B:$B, "Control", Raw_Data_Daily!$C:$C, "A. 0"),"")</f>
        <v>0</v>
      </c>
      <c r="D18" s="42">
        <f>IFERROR(SUMPRODUCT((Raw_Data_Daily!$B$2:$B$9999="Variant")*(Raw_Data_Daily!$C$2:$C$9999="A. 0")*Raw_Data_Daily!$D$2:$D$9999*Raw_Data_Daily!$AE$2:$AE$9999)/SUMIFS(Raw_Data_Daily!$D:$D, Raw_Data_Daily!$B:$B, "Variant", Raw_Data_Daily!$C:$C, "A. 0"),"")</f>
        <v>0</v>
      </c>
      <c r="E18" s="35" t="str">
        <f t="shared" si="13"/>
        <v/>
      </c>
      <c r="F18" s="67">
        <f>IFERROR(SUMPRODUCT((Raw_Data_Daily!$B$2:$B$9999="Control")*(Raw_Data_Daily!$C$2:$C$9999="B. 1-9")*Raw_Data_Daily!$D$2:$D$9999*Raw_Data_Daily!$AE$2:$AE$9999)/SUMIFS(Raw_Data_Daily!$D:$D, Raw_Data_Daily!$B:$B, "Control", Raw_Data_Daily!$C:$C, "B. 1-9"),"")</f>
        <v>1.355861725</v>
      </c>
      <c r="G18" s="42">
        <f>IFERROR(SUMPRODUCT((Raw_Data_Daily!$B$2:$B$9999="Variant")*(Raw_Data_Daily!$C$2:$C$9999="B. 1-9")*Raw_Data_Daily!$D$2:$D$9999*Raw_Data_Daily!$AE$2:$AE$9999)/SUMIFS(Raw_Data_Daily!$D:$D, Raw_Data_Daily!$B:$B, "Variant", Raw_Data_Daily!$C:$C, "B. 1-9"),"")</f>
        <v>1.283183977</v>
      </c>
      <c r="H18" s="39">
        <f t="shared" si="14"/>
        <v>-0.05360262576</v>
      </c>
      <c r="I18" s="65">
        <f>IFERROR(SUMPRODUCT((Raw_Data_Daily!$B$2:$B$9999="Control")*(Raw_Data_Daily!$C$2:$C$9999="C. 10-19")*Raw_Data_Daily!$D$2:$D$9999*Raw_Data_Daily!$AE$2:$AE$9999)/SUMIFS(Raw_Data_Daily!$D:$D, Raw_Data_Daily!$B:$B, "Control", Raw_Data_Daily!$C:$C, "C. 10-19"),"")</f>
        <v>4.143147897</v>
      </c>
      <c r="J18" s="42">
        <f>IFERROR(SUMPRODUCT((Raw_Data_Daily!$B$2:$B$9999="Variant")*(Raw_Data_Daily!$C$2:$C$9999="C. 10-19")*Raw_Data_Daily!$D$2:$D$9999*Raw_Data_Daily!$AE$2:$AE$9999)/SUMIFS(Raw_Data_Daily!$D:$D, Raw_Data_Daily!$B:$B, "Variant", Raw_Data_Daily!$C:$C, "C. 10-19"),"")</f>
        <v>4.145945816</v>
      </c>
      <c r="K18" s="46">
        <f t="shared" si="15"/>
        <v>0.0006753124499</v>
      </c>
      <c r="L18" s="67">
        <f>IFERROR(SUMPRODUCT((Raw_Data_Daily!$B$2:$B$9999="Control")*(Raw_Data_Daily!$C$2:$C$9999="D. 20-39")*Raw_Data_Daily!$D$2:$D$9999*Raw_Data_Daily!$AE$2:$AE$9999)/SUMIFS(Raw_Data_Daily!$D:$D, Raw_Data_Daily!$B:$B, "Control", Raw_Data_Daily!$C:$C, "D. 20-39"),"")</f>
        <v>6.952064782</v>
      </c>
      <c r="M18" s="42">
        <f>IFERROR(SUMPRODUCT((Raw_Data_Daily!$B$2:$B$9999="Variant")*(Raw_Data_Daily!$C$2:$C$9999="D. 20-39")*Raw_Data_Daily!$D$2:$D$9999*Raw_Data_Daily!$AE$2:$AE$9999)/SUMIFS(Raw_Data_Daily!$D:$D, Raw_Data_Daily!$B:$B, "Variant", Raw_Data_Daily!$C:$C, "D. 20-39"),"")</f>
        <v>7.152281405</v>
      </c>
      <c r="N18" s="50">
        <f t="shared" si="16"/>
        <v>0.02879959098</v>
      </c>
      <c r="O18" s="65">
        <f>IFERROR(SUMPRODUCT((Raw_Data_Daily!$B$2:$B$9999="Control")*(Raw_Data_Daily!$C$2:$C$9999="E. 40-99")*Raw_Data_Daily!$D$2:$D$9999*Raw_Data_Daily!$AE$2:$AE$9999)/SUMIFS(Raw_Data_Daily!$D:$D, Raw_Data_Daily!$B:$B, "Control", Raw_Data_Daily!$C:$C, "E. 40-99"),"")</f>
        <v>12.10725829</v>
      </c>
      <c r="P18" s="42">
        <f>IFERROR(SUMPRODUCT((Raw_Data_Daily!$B$2:$B$9999="Variant")*(Raw_Data_Daily!$C$2:$C$9999="E. 40-99")*Raw_Data_Daily!$D$2:$D$9999*Raw_Data_Daily!$AE$2:$AE$9999)/SUMIFS(Raw_Data_Daily!$D:$D, Raw_Data_Daily!$B:$B, "Variant", Raw_Data_Daily!$C:$C, "E. 40-99"),"")</f>
        <v>12.57285188</v>
      </c>
      <c r="Q18" s="46">
        <f t="shared" si="17"/>
        <v>0.03845574126</v>
      </c>
      <c r="R18" s="67">
        <f>IFERROR(SUMPRODUCT((Raw_Data_Daily!$B$2:$B$9999="Control")*(Raw_Data_Daily!$C$2:$C$9999="F. 100+")*Raw_Data_Daily!$D$2:$D$9999*Raw_Data_Daily!$AE$2:$AE$9999)/SUMIFS(Raw_Data_Daily!$D:$D, Raw_Data_Daily!$B:$B, "Control", Raw_Data_Daily!$C:$C, "F. 100+"),"")</f>
        <v>23.00523952</v>
      </c>
      <c r="S18" s="42">
        <f>IFERROR(SUMPRODUCT((Raw_Data_Daily!$B$2:$B$9999="Variant")*(Raw_Data_Daily!$C$2:$C$9999="F. 100+")*Raw_Data_Daily!$D$2:$D$9999*Raw_Data_Daily!$AE$2:$AE$9999)/SUMIFS(Raw_Data_Daily!$D:$D, Raw_Data_Daily!$B:$B, "Variant", Raw_Data_Daily!$C:$C, "F. 100+"),"")</f>
        <v>23.13762994</v>
      </c>
      <c r="T18" s="50">
        <f t="shared" si="18"/>
        <v>0.0057547941</v>
      </c>
    </row>
    <row r="19" ht="15.75" customHeight="1">
      <c r="A19" s="15"/>
      <c r="B19" s="31" t="s">
        <v>27</v>
      </c>
      <c r="C19" s="65">
        <f>IFERROR(SUMPRODUCT((Raw_Data_Daily!$B$2:$B$9999="Control")*(Raw_Data_Daily!$C$2:$C$9999="A. 0")*Raw_Data_Daily!$D$2:$D$9999*Raw_Data_Daily!$AF$2:$AF$9999)/SUMIFS(Raw_Data_Daily!$D:$D, Raw_Data_Daily!$B:$B, "Control", Raw_Data_Daily!$C:$C, "A. 0"),"")</f>
        <v>0</v>
      </c>
      <c r="D19" s="42">
        <f>IFERROR(SUMPRODUCT((Raw_Data_Daily!$B$2:$B$9999="Variant")*(Raw_Data_Daily!$C$2:$C$9999="A. 0")*Raw_Data_Daily!$D$2:$D$9999*Raw_Data_Daily!$AF$2:$AF$9999)/SUMIFS(Raw_Data_Daily!$D:$D, Raw_Data_Daily!$B:$B, "Variant", Raw_Data_Daily!$C:$C, "A. 0"),"")</f>
        <v>0</v>
      </c>
      <c r="E19" s="35" t="str">
        <f t="shared" si="13"/>
        <v/>
      </c>
      <c r="F19" s="67">
        <f>IFERROR(SUMPRODUCT((Raw_Data_Daily!$B$2:$B$9999="Control")*(Raw_Data_Daily!$C$2:$C$9999="B. 1-9")*Raw_Data_Daily!$D$2:$D$9999*Raw_Data_Daily!$AF$2:$AF$9999)/SUMIFS(Raw_Data_Daily!$D:$D, Raw_Data_Daily!$B:$B, "Control", Raw_Data_Daily!$C:$C, "B. 1-9"),"")</f>
        <v>3</v>
      </c>
      <c r="G19" s="42">
        <f>IFERROR(SUMPRODUCT((Raw_Data_Daily!$B$2:$B$9999="Variant")*(Raw_Data_Daily!$C$2:$C$9999="B. 1-9")*Raw_Data_Daily!$D$2:$D$9999*Raw_Data_Daily!$AF$2:$AF$9999)/SUMIFS(Raw_Data_Daily!$D:$D, Raw_Data_Daily!$B:$B, "Variant", Raw_Data_Daily!$C:$C, "B. 1-9"),"")</f>
        <v>3</v>
      </c>
      <c r="H19" s="39">
        <f t="shared" si="14"/>
        <v>0</v>
      </c>
      <c r="I19" s="65">
        <f>IFERROR(SUMPRODUCT((Raw_Data_Daily!$B$2:$B$9999="Control")*(Raw_Data_Daily!$C$2:$C$9999="C. 10-19")*Raw_Data_Daily!$D$2:$D$9999*Raw_Data_Daily!$AF$2:$AF$9999)/SUMIFS(Raw_Data_Daily!$D:$D, Raw_Data_Daily!$B:$B, "Control", Raw_Data_Daily!$C:$C, "C. 10-19"),"")</f>
        <v>7.922392906</v>
      </c>
      <c r="J19" s="42">
        <f>IFERROR(SUMPRODUCT((Raw_Data_Daily!$B$2:$B$9999="Variant")*(Raw_Data_Daily!$C$2:$C$9999="C. 10-19")*Raw_Data_Daily!$D$2:$D$9999*Raw_Data_Daily!$AF$2:$AF$9999)/SUMIFS(Raw_Data_Daily!$D:$D, Raw_Data_Daily!$B:$B, "Variant", Raw_Data_Daily!$C:$C, "C. 10-19"),"")</f>
        <v>8.285148657</v>
      </c>
      <c r="K19" s="46">
        <f t="shared" si="15"/>
        <v>0.04578865958</v>
      </c>
      <c r="L19" s="67">
        <f>IFERROR(SUMPRODUCT((Raw_Data_Daily!$B$2:$B$9999="Control")*(Raw_Data_Daily!$C$2:$C$9999="D. 20-39")*Raw_Data_Daily!$D$2:$D$9999*Raw_Data_Daily!$AF$2:$AF$9999)/SUMIFS(Raw_Data_Daily!$D:$D, Raw_Data_Daily!$B:$B, "Control", Raw_Data_Daily!$C:$C, "D. 20-39"),"")</f>
        <v>13.14957649</v>
      </c>
      <c r="M19" s="42">
        <f>IFERROR(SUMPRODUCT((Raw_Data_Daily!$B$2:$B$9999="Variant")*(Raw_Data_Daily!$C$2:$C$9999="D. 20-39")*Raw_Data_Daily!$D$2:$D$9999*Raw_Data_Daily!$AF$2:$AF$9999)/SUMIFS(Raw_Data_Daily!$D:$D, Raw_Data_Daily!$B:$B, "Variant", Raw_Data_Daily!$C:$C, "D. 20-39"),"")</f>
        <v>13.1522814</v>
      </c>
      <c r="N19" s="50">
        <f t="shared" si="16"/>
        <v>0.0002057031906</v>
      </c>
      <c r="O19" s="65">
        <f>IFERROR(SUMPRODUCT((Raw_Data_Daily!$B$2:$B$9999="Control")*(Raw_Data_Daily!$C$2:$C$9999="E. 40-99")*Raw_Data_Daily!$D$2:$D$9999*Raw_Data_Daily!$AF$2:$AF$9999)/SUMIFS(Raw_Data_Daily!$D:$D, Raw_Data_Daily!$B:$B, "Control", Raw_Data_Daily!$C:$C, "E. 40-99"),"")</f>
        <v>23.01057245</v>
      </c>
      <c r="P19" s="42">
        <f>IFERROR(SUMPRODUCT((Raw_Data_Daily!$B$2:$B$9999="Variant")*(Raw_Data_Daily!$C$2:$C$9999="E. 40-99")*Raw_Data_Daily!$D$2:$D$9999*Raw_Data_Daily!$AF$2:$AF$9999)/SUMIFS(Raw_Data_Daily!$D:$D, Raw_Data_Daily!$B:$B, "Variant", Raw_Data_Daily!$C:$C, "E. 40-99"),"")</f>
        <v>23.43359825</v>
      </c>
      <c r="Q19" s="46">
        <f t="shared" si="17"/>
        <v>0.01838397564</v>
      </c>
      <c r="R19" s="67">
        <f>IFERROR(SUMPRODUCT((Raw_Data_Daily!$B$2:$B$9999="Control")*(Raw_Data_Daily!$C$2:$C$9999="F. 100+")*Raw_Data_Daily!$D$2:$D$9999*Raw_Data_Daily!$AF$2:$AF$9999)/SUMIFS(Raw_Data_Daily!$D:$D, Raw_Data_Daily!$B:$B, "Control", Raw_Data_Daily!$C:$C, "F. 100+"),"")</f>
        <v>41.22043413</v>
      </c>
      <c r="S19" s="42">
        <f>IFERROR(SUMPRODUCT((Raw_Data_Daily!$B$2:$B$9999="Variant")*(Raw_Data_Daily!$C$2:$C$9999="F. 100+")*Raw_Data_Daily!$D$2:$D$9999*Raw_Data_Daily!$AF$2:$AF$9999)/SUMIFS(Raw_Data_Daily!$D:$D, Raw_Data_Daily!$B:$B, "Variant", Raw_Data_Daily!$C:$C, "F. 100+"),"")</f>
        <v>42.28274428</v>
      </c>
      <c r="T19" s="50">
        <f t="shared" si="18"/>
        <v>0.025771445</v>
      </c>
    </row>
    <row r="20" ht="15.75" customHeight="1">
      <c r="A20" s="15"/>
      <c r="B20" s="31" t="s">
        <v>28</v>
      </c>
      <c r="C20" s="65">
        <f>IFERROR(SUMPRODUCT((Raw_Data_Daily!$B$2:$B$9999="Control")*(Raw_Data_Daily!$C$2:$C$9999="A. 0")*Raw_Data_Daily!$D$2:$D$9999*Raw_Data_Daily!$AG$2:$AG$9999)/SUMIFS(Raw_Data_Daily!$D:$D, Raw_Data_Daily!$B:$B, "Control", Raw_Data_Daily!$C:$C, "A. 0"),"")</f>
        <v>0</v>
      </c>
      <c r="D20" s="42">
        <f>IFERROR(SUMPRODUCT((Raw_Data_Daily!$B$2:$B$9999="Variant")*(Raw_Data_Daily!$C$2:$C$9999="A. 0")*Raw_Data_Daily!$D$2:$D$9999*Raw_Data_Daily!$AG$2:$AG$9999)/SUMIFS(Raw_Data_Daily!$D:$D, Raw_Data_Daily!$B:$B, "Variant", Raw_Data_Daily!$C:$C, "A. 0"),"")</f>
        <v>0</v>
      </c>
      <c r="E20" s="35" t="str">
        <f t="shared" si="13"/>
        <v/>
      </c>
      <c r="F20" s="67">
        <f>IFERROR(SUMPRODUCT((Raw_Data_Daily!$B$2:$B$9999="Control")*(Raw_Data_Daily!$C$2:$C$9999="B. 1-9")*Raw_Data_Daily!$D$2:$D$9999*Raw_Data_Daily!$AG$2:$AG$9999)/SUMIFS(Raw_Data_Daily!$D:$D, Raw_Data_Daily!$B:$B, "Control", Raw_Data_Daily!$C:$C, "B. 1-9"),"")</f>
        <v>5.494174683</v>
      </c>
      <c r="G20" s="42">
        <f>IFERROR(SUMPRODUCT((Raw_Data_Daily!$B$2:$B$9999="Variant")*(Raw_Data_Daily!$C$2:$C$9999="B. 1-9")*Raw_Data_Daily!$D$2:$D$9999*Raw_Data_Daily!$AG$2:$AG$9999)/SUMIFS(Raw_Data_Daily!$D:$D, Raw_Data_Daily!$B:$B, "Variant", Raw_Data_Daily!$C:$C, "B. 1-9"),"")</f>
        <v>5.493604473</v>
      </c>
      <c r="H20" s="39">
        <f t="shared" si="14"/>
        <v>-0.0001037844369</v>
      </c>
      <c r="I20" s="65">
        <f>IFERROR(SUMPRODUCT((Raw_Data_Daily!$B$2:$B$9999="Control")*(Raw_Data_Daily!$C$2:$C$9999="C. 10-19")*Raw_Data_Daily!$D$2:$D$9999*Raw_Data_Daily!$AG$2:$AG$9999)/SUMIFS(Raw_Data_Daily!$D:$D, Raw_Data_Daily!$B:$B, "Control", Raw_Data_Daily!$C:$C, "C. 10-19"),"")</f>
        <v>12.92239291</v>
      </c>
      <c r="J20" s="42">
        <f>IFERROR(SUMPRODUCT((Raw_Data_Daily!$B$2:$B$9999="Variant")*(Raw_Data_Daily!$C$2:$C$9999="C. 10-19")*Raw_Data_Daily!$D$2:$D$9999*Raw_Data_Daily!$AG$2:$AG$9999)/SUMIFS(Raw_Data_Daily!$D:$D, Raw_Data_Daily!$B:$B, "Variant", Raw_Data_Daily!$C:$C, "C. 10-19"),"")</f>
        <v>13</v>
      </c>
      <c r="K20" s="46">
        <f t="shared" si="15"/>
        <v>0.006005628754</v>
      </c>
      <c r="L20" s="67">
        <f>IFERROR(SUMPRODUCT((Raw_Data_Daily!$B$2:$B$9999="Control")*(Raw_Data_Daily!$C$2:$C$9999="D. 20-39")*Raw_Data_Daily!$D$2:$D$9999*Raw_Data_Daily!$AG$2:$AG$9999)/SUMIFS(Raw_Data_Daily!$D:$D, Raw_Data_Daily!$B:$B, "Control", Raw_Data_Daily!$C:$C, "D. 20-39"),"")</f>
        <v>23.01219323</v>
      </c>
      <c r="M20" s="42">
        <f>IFERROR(SUMPRODUCT((Raw_Data_Daily!$B$2:$B$9999="Variant")*(Raw_Data_Daily!$C$2:$C$9999="D. 20-39")*Raw_Data_Daily!$D$2:$D$9999*Raw_Data_Daily!$AG$2:$AG$9999)/SUMIFS(Raw_Data_Daily!$D:$D, Raw_Data_Daily!$B:$B, "Variant", Raw_Data_Daily!$C:$C, "D. 20-39"),"")</f>
        <v>23.15697565</v>
      </c>
      <c r="N20" s="48">
        <f t="shared" si="16"/>
        <v>0.006291552523</v>
      </c>
      <c r="O20" s="65">
        <f>IFERROR(SUMPRODUCT((Raw_Data_Daily!$B$2:$B$9999="Control")*(Raw_Data_Daily!$C$2:$C$9999="E. 40-99")*Raw_Data_Daily!$D$2:$D$9999*Raw_Data_Daily!$AG$2:$AG$9999)/SUMIFS(Raw_Data_Daily!$D:$D, Raw_Data_Daily!$B:$B, "Control", Raw_Data_Daily!$C:$C, "E. 40-99"),"")</f>
        <v>41.69657628</v>
      </c>
      <c r="P20" s="42">
        <f>IFERROR(SUMPRODUCT((Raw_Data_Daily!$B$2:$B$9999="Variant")*(Raw_Data_Daily!$C$2:$C$9999="E. 40-99")*Raw_Data_Daily!$D$2:$D$9999*Raw_Data_Daily!$AG$2:$AG$9999)/SUMIFS(Raw_Data_Daily!$D:$D, Raw_Data_Daily!$B:$B, "Variant", Raw_Data_Daily!$C:$C, "E. 40-99"),"")</f>
        <v>41.92328956</v>
      </c>
      <c r="Q20" s="46">
        <f t="shared" si="17"/>
        <v>0.005437215819</v>
      </c>
      <c r="R20" s="67">
        <f>IFERROR(SUMPRODUCT((Raw_Data_Daily!$B$2:$B$9999="Control")*(Raw_Data_Daily!$C$2:$C$9999="F. 100+")*Raw_Data_Daily!$D$2:$D$9999*Raw_Data_Daily!$AG$2:$AG$9999)/SUMIFS(Raw_Data_Daily!$D:$D, Raw_Data_Daily!$B:$B, "Control", Raw_Data_Daily!$C:$C, "F. 100+"),"")</f>
        <v>75.33495509</v>
      </c>
      <c r="S20" s="42">
        <f>IFERROR(SUMPRODUCT((Raw_Data_Daily!$B$2:$B$9999="Variant")*(Raw_Data_Daily!$C$2:$C$9999="F. 100+")*Raw_Data_Daily!$D$2:$D$9999*Raw_Data_Daily!$AG$2:$AG$9999)/SUMIFS(Raw_Data_Daily!$D:$D, Raw_Data_Daily!$B:$B, "Variant", Raw_Data_Daily!$C:$C, "F. 100+"),"")</f>
        <v>74.79334719</v>
      </c>
      <c r="T20" s="50">
        <f t="shared" si="18"/>
        <v>-0.007189330581</v>
      </c>
    </row>
    <row r="21" ht="15.75" customHeight="1">
      <c r="A21" s="15"/>
      <c r="B21" s="31" t="s">
        <v>29</v>
      </c>
      <c r="C21" s="65">
        <f>IFERROR(SUMPRODUCT((Raw_Data_Daily!$B$2:$B$9999="Control")*(Raw_Data_Daily!$C$2:$C$9999="A. 0")*Raw_Data_Daily!$D$2:$D$9999*Raw_Data_Daily!$AH$2:$AH$9999)/SUMIFS(Raw_Data_Daily!$D:$D, Raw_Data_Daily!$B:$B, "Control", Raw_Data_Daily!$C:$C, "A. 0"),"")</f>
        <v>0</v>
      </c>
      <c r="D21" s="42">
        <f>IFERROR(SUMPRODUCT((Raw_Data_Daily!$B$2:$B$9999="Variant")*(Raw_Data_Daily!$C$2:$C$9999="A. 0")*Raw_Data_Daily!$D$2:$D$9999*Raw_Data_Daily!$AH$2:$AH$9999)/SUMIFS(Raw_Data_Daily!$D:$D, Raw_Data_Daily!$B:$B, "Variant", Raw_Data_Daily!$C:$C, "A. 0"),"")</f>
        <v>0</v>
      </c>
      <c r="E21" s="35" t="str">
        <f t="shared" si="13"/>
        <v/>
      </c>
      <c r="F21" s="67">
        <f>IFERROR(SUMPRODUCT((Raw_Data_Daily!$B$2:$B$9999="Control")*(Raw_Data_Daily!$C$2:$C$9999="B. 1-9")*Raw_Data_Daily!$D$2:$D$9999*Raw_Data_Daily!$AH$2:$AH$9999)/SUMIFS(Raw_Data_Daily!$D:$D, Raw_Data_Daily!$B:$B, "Control", Raw_Data_Daily!$C:$C, "B. 1-9"),"")</f>
        <v>8.494174683</v>
      </c>
      <c r="G21" s="42">
        <f>IFERROR(SUMPRODUCT((Raw_Data_Daily!$B$2:$B$9999="Variant")*(Raw_Data_Daily!$C$2:$C$9999="B. 1-9")*Raw_Data_Daily!$D$2:$D$9999*Raw_Data_Daily!$AH$2:$AH$9999)/SUMIFS(Raw_Data_Daily!$D:$D, Raw_Data_Daily!$B:$B, "Variant", Raw_Data_Daily!$C:$C, "B. 1-9"),"")</f>
        <v>8.636546415</v>
      </c>
      <c r="H21" s="50">
        <f t="shared" si="14"/>
        <v>0.01676110251</v>
      </c>
      <c r="I21" s="65">
        <f>IFERROR(SUMPRODUCT((Raw_Data_Daily!$B$2:$B$9999="Control")*(Raw_Data_Daily!$C$2:$C$9999="C. 10-19")*Raw_Data_Daily!$D$2:$D$9999*Raw_Data_Daily!$AH$2:$AH$9999)/SUMIFS(Raw_Data_Daily!$D:$D, Raw_Data_Daily!$B:$B, "Control", Raw_Data_Daily!$C:$C, "C. 10-19"),"")</f>
        <v>18.64254216</v>
      </c>
      <c r="J21" s="42">
        <f>IFERROR(SUMPRODUCT((Raw_Data_Daily!$B$2:$B$9999="Variant")*(Raw_Data_Daily!$C$2:$C$9999="C. 10-19")*Raw_Data_Daily!$D$2:$D$9999*Raw_Data_Daily!$AH$2:$AH$9999)/SUMIFS(Raw_Data_Daily!$D:$D, Raw_Data_Daily!$B:$B, "Variant", Raw_Data_Daily!$C:$C, "C. 10-19"),"")</f>
        <v>18.63928683</v>
      </c>
      <c r="K21" s="49">
        <f t="shared" si="15"/>
        <v>-0.0001746184025</v>
      </c>
      <c r="L21" s="67">
        <f>IFERROR(SUMPRODUCT((Raw_Data_Daily!$B$2:$B$9999="Control")*(Raw_Data_Daily!$C$2:$C$9999="D. 20-39")*Raw_Data_Daily!$D$2:$D$9999*Raw_Data_Daily!$AH$2:$AH$9999)/SUMIFS(Raw_Data_Daily!$D:$D, Raw_Data_Daily!$B:$B, "Control", Raw_Data_Daily!$C:$C, "D. 20-39"),"")</f>
        <v>33.85042351</v>
      </c>
      <c r="M21" s="42">
        <f>IFERROR(SUMPRODUCT((Raw_Data_Daily!$B$2:$B$9999="Variant")*(Raw_Data_Daily!$C$2:$C$9999="D. 20-39")*Raw_Data_Daily!$D$2:$D$9999*Raw_Data_Daily!$AH$2:$AH$9999)/SUMIFS(Raw_Data_Daily!$D:$D, Raw_Data_Daily!$B:$B, "Variant", Raw_Data_Daily!$C:$C, "D. 20-39"),"")</f>
        <v>34.01455217</v>
      </c>
      <c r="N21" s="48">
        <f t="shared" si="16"/>
        <v>0.004848644313</v>
      </c>
      <c r="O21" s="65">
        <f>IFERROR(SUMPRODUCT((Raw_Data_Daily!$B$2:$B$9999="Control")*(Raw_Data_Daily!$C$2:$C$9999="E. 40-99")*Raw_Data_Daily!$D$2:$D$9999*Raw_Data_Daily!$AH$2:$AH$9999)/SUMIFS(Raw_Data_Daily!$D:$D, Raw_Data_Daily!$B:$B, "Control", Raw_Data_Daily!$C:$C, "E. 40-99"),"")</f>
        <v>63.49263216</v>
      </c>
      <c r="P21" s="42">
        <f>IFERROR(SUMPRODUCT((Raw_Data_Daily!$B$2:$B$9999="Variant")*(Raw_Data_Daily!$C$2:$C$9999="E. 40-99")*Raw_Data_Daily!$D$2:$D$9999*Raw_Data_Daily!$AH$2:$AH$9999)/SUMIFS(Raw_Data_Daily!$D:$D, Raw_Data_Daily!$B:$B, "Variant", Raw_Data_Daily!$C:$C, "E. 40-99"),"")</f>
        <v>63.11915457</v>
      </c>
      <c r="Q21" s="46">
        <f t="shared" si="17"/>
        <v>-0.005882219247</v>
      </c>
      <c r="R21" s="67">
        <f>IFERROR(SUMPRODUCT((Raw_Data_Daily!$B$2:$B$9999="Control")*(Raw_Data_Daily!$C$2:$C$9999="F. 100+")*Raw_Data_Daily!$D$2:$D$9999*Raw_Data_Daily!$AH$2:$AH$9999)/SUMIFS(Raw_Data_Daily!$D:$D, Raw_Data_Daily!$B:$B, "Control", Raw_Data_Daily!$C:$C, "F. 100+"),"")</f>
        <v>126.0961826</v>
      </c>
      <c r="S21" s="42">
        <f>IFERROR(SUMPRODUCT((Raw_Data_Daily!$B$2:$B$9999="Variant")*(Raw_Data_Daily!$C$2:$C$9999="F. 100+")*Raw_Data_Daily!$D$2:$D$9999*Raw_Data_Daily!$AH$2:$AH$9999)/SUMIFS(Raw_Data_Daily!$D:$D, Raw_Data_Daily!$B:$B, "Variant", Raw_Data_Daily!$C:$C, "F. 100+"),"")</f>
        <v>118.0972973</v>
      </c>
      <c r="T21" s="78">
        <f t="shared" si="18"/>
        <v>-0.06343479374</v>
      </c>
    </row>
    <row r="22" ht="15.75" customHeight="1">
      <c r="A22" s="15"/>
      <c r="B22" s="80" t="s">
        <v>30</v>
      </c>
      <c r="C22" s="65">
        <f>IFERROR(SUMPRODUCT((Raw_Data_Daily!$B$2:$B$9999="Control")*(Raw_Data_Daily!$C$2:$C$9999="A. 0")*Raw_Data_Daily!$D$2:$D$9999*Raw_Data_Daily!$BC$2:$BC$9999)/SUMIFS(Raw_Data_Daily!$D:$D, Raw_Data_Daily!$B:$B, "Control", Raw_Data_Daily!$C:$C, "A. 0"),"")</f>
        <v>0</v>
      </c>
      <c r="D22" s="42">
        <f>IFERROR(SUMPRODUCT((Raw_Data_Daily!$B$2:$B$9999="Variant")*(Raw_Data_Daily!$C$2:$C$9999="A. 0")*Raw_Data_Daily!$D$2:$D$9999*Raw_Data_Daily!$BC$2:$BC$9999)/SUMIFS(Raw_Data_Daily!$D:$D, Raw_Data_Daily!$B:$B, "Variant", Raw_Data_Daily!$C:$C, "A. 0"),"")</f>
        <v>0</v>
      </c>
      <c r="E22" s="35" t="str">
        <f t="shared" si="13"/>
        <v/>
      </c>
      <c r="F22" s="67">
        <f>IFERROR(SUMPRODUCT((Raw_Data_Daily!$B$2:$B$9999="Control")*(Raw_Data_Daily!$C$2:$C$9999="B. 1-9")*Raw_Data_Daily!$D$2:$D$9999*Raw_Data_Daily!$BC$2:$BC$9999)/SUMIFS(Raw_Data_Daily!$D:$D, Raw_Data_Daily!$B:$B, "Control", Raw_Data_Daily!$C:$C, "B. 1-9"),"")</f>
        <v>16.85534435</v>
      </c>
      <c r="G22" s="42">
        <f>IFERROR(SUMPRODUCT((Raw_Data_Daily!$B$2:$B$9999="Variant")*(Raw_Data_Daily!$C$2:$C$9999="B. 1-9")*Raw_Data_Daily!$D$2:$D$9999*Raw_Data_Daily!$BC$2:$BC$9999)/SUMIFS(Raw_Data_Daily!$D:$D, Raw_Data_Daily!$B:$B, "Variant", Raw_Data_Daily!$C:$C, "B. 1-9"),"")</f>
        <v>17.07366345</v>
      </c>
      <c r="H22" s="50">
        <f t="shared" si="14"/>
        <v>0.01295251524</v>
      </c>
      <c r="I22" s="65">
        <f>IFERROR(SUMPRODUCT((Raw_Data_Daily!$B$2:$B$9999="Control")*(Raw_Data_Daily!$C$2:$C$9999="C. 10-19")*Raw_Data_Daily!$D$2:$D$9999*Raw_Data_Daily!$BC$2:$BC$9999)/SUMIFS(Raw_Data_Daily!$D:$D, Raw_Data_Daily!$B:$B, "Control", Raw_Data_Daily!$C:$C, "C. 10-19"),"")</f>
        <v>33.84626381</v>
      </c>
      <c r="J22" s="42">
        <f>IFERROR(SUMPRODUCT((Raw_Data_Daily!$B$2:$B$9999="Variant")*(Raw_Data_Daily!$C$2:$C$9999="C. 10-19")*Raw_Data_Daily!$D$2:$D$9999*Raw_Data_Daily!$BC$2:$BC$9999)/SUMIFS(Raw_Data_Daily!$D:$D, Raw_Data_Daily!$B:$B, "Variant", Raw_Data_Daily!$C:$C, "C. 10-19"),"")</f>
        <v>34.20884026</v>
      </c>
      <c r="K22" s="49">
        <f t="shared" si="15"/>
        <v>0.01071245108</v>
      </c>
      <c r="L22" s="67">
        <f>IFERROR(SUMPRODUCT((Raw_Data_Daily!$B$2:$B$9999="Control")*(Raw_Data_Daily!$C$2:$C$9999="D. 20-39")*Raw_Data_Daily!$D$2:$D$9999*Raw_Data_Daily!$BC$2:$BC$9999)/SUMIFS(Raw_Data_Daily!$D:$D, Raw_Data_Daily!$B:$B, "Control", Raw_Data_Daily!$C:$C, "D. 20-39"),"")</f>
        <v>61.75405665</v>
      </c>
      <c r="M22" s="42">
        <f>IFERROR(SUMPRODUCT((Raw_Data_Daily!$B$2:$B$9999="Variant")*(Raw_Data_Daily!$C$2:$C$9999="D. 20-39")*Raw_Data_Daily!$D$2:$D$9999*Raw_Data_Daily!$BC$2:$BC$9999)/SUMIFS(Raw_Data_Daily!$D:$D, Raw_Data_Daily!$B:$B, "Variant", Raw_Data_Daily!$C:$C, "D. 20-39"),"")</f>
        <v>61.23624585</v>
      </c>
      <c r="N22" s="48">
        <f t="shared" si="16"/>
        <v>-0.008385049148</v>
      </c>
      <c r="O22" s="65">
        <f>IFERROR(SUMPRODUCT((Raw_Data_Daily!$B$2:$B$9999="Control")*(Raw_Data_Daily!$C$2:$C$9999="E. 40-99")*Raw_Data_Daily!$D$2:$D$9999*Raw_Data_Daily!$BC$2:$BC$9999)/SUMIFS(Raw_Data_Daily!$D:$D, Raw_Data_Daily!$B:$B, "Control", Raw_Data_Daily!$C:$C, "E. 40-99"),"")</f>
        <v>124.1198028</v>
      </c>
      <c r="P22" s="42">
        <f>IFERROR(SUMPRODUCT((Raw_Data_Daily!$B$2:$B$9999="Variant")*(Raw_Data_Daily!$C$2:$C$9999="E. 40-99")*Raw_Data_Daily!$D$2:$D$9999*Raw_Data_Daily!$BC$2:$BC$9999)/SUMIFS(Raw_Data_Daily!$D:$D, Raw_Data_Daily!$B:$B, "Variant", Raw_Data_Daily!$C:$C, "E. 40-99"),"")</f>
        <v>118.9565192</v>
      </c>
      <c r="Q22" s="46">
        <f t="shared" si="17"/>
        <v>-0.04159919241</v>
      </c>
      <c r="R22" s="67">
        <f>IFERROR(SUMPRODUCT((Raw_Data_Daily!$B$2:$B$9999="Control")*(Raw_Data_Daily!$C$2:$C$9999="F. 100+")*Raw_Data_Daily!$D$2:$D$9999*Raw_Data_Daily!$BC$2:$BC$9999)/SUMIFS(Raw_Data_Daily!$D:$D, Raw_Data_Daily!$B:$B, "Control", Raw_Data_Daily!$C:$C, "F. 100+"),"")</f>
        <v>254.0677395</v>
      </c>
      <c r="S22" s="42">
        <f>IFERROR(SUMPRODUCT((Raw_Data_Daily!$B$2:$B$9999="Variant")*(Raw_Data_Daily!$C$2:$C$9999="F. 100+")*Raw_Data_Daily!$D$2:$D$9999*Raw_Data_Daily!$BC$2:$BC$9999)/SUMIFS(Raw_Data_Daily!$D:$D, Raw_Data_Daily!$B:$B, "Variant", Raw_Data_Daily!$C:$C, "F. 100+"),"")</f>
        <v>237.8066528</v>
      </c>
      <c r="T22" s="78">
        <f t="shared" si="18"/>
        <v>-0.06400295742</v>
      </c>
    </row>
    <row r="23" ht="15.75" customHeight="1">
      <c r="A23" s="25" t="s">
        <v>31</v>
      </c>
      <c r="B23" s="27"/>
      <c r="C23" s="28"/>
      <c r="D23" s="12"/>
      <c r="E23" s="29"/>
      <c r="F23" s="30"/>
      <c r="G23" s="12"/>
      <c r="H23" s="27"/>
      <c r="I23" s="28"/>
      <c r="J23" s="12"/>
      <c r="K23" s="29"/>
      <c r="L23" s="30"/>
      <c r="M23" s="12"/>
      <c r="N23" s="27"/>
      <c r="O23" s="28"/>
      <c r="P23" s="12"/>
      <c r="Q23" s="29"/>
      <c r="R23" s="30"/>
      <c r="S23" s="29"/>
      <c r="T23" s="109"/>
    </row>
    <row r="24" ht="15.75" customHeight="1">
      <c r="A24" s="15"/>
      <c r="B24" s="31" t="s">
        <v>32</v>
      </c>
      <c r="C24" s="115">
        <f>IFERROR(SUMPRODUCT((Raw_Data_Daily!$B$2:$B$9999="Control")*(Raw_Data_Daily!$C$2:$C$9999="A. 0")*Raw_Data_Daily!$D$2:$D$9999*Raw_Data_Daily!$M$2:$M$9999)/SUMIFS(Raw_Data_Daily!$D:$D, Raw_Data_Daily!$B:$B, "Control", Raw_Data_Daily!$C:$C, "A. 0"),"")</f>
        <v>0.5754583654</v>
      </c>
      <c r="D24" s="55">
        <f>IFERROR(SUMPRODUCT((Raw_Data_Daily!$B$2:$B$9999="Variant")*(Raw_Data_Daily!$C$2:$C$9999="A. 0")*Raw_Data_Daily!$D$2:$D$9999*Raw_Data_Daily!$M$2:$M$9999)/SUMIFS(Raw_Data_Daily!$D:$D, Raw_Data_Daily!$B:$B, "Variant", Raw_Data_Daily!$C:$C, "A. 0"),"")</f>
        <v>0.6041132061</v>
      </c>
      <c r="E24" s="39">
        <f t="shared" ref="E24:E27" si="19">IFERROR((D24-C24)/ABS(C24),"")</f>
        <v>0.04979481139</v>
      </c>
      <c r="F24" s="119">
        <f>IFERROR(SUMPRODUCT((Raw_Data_Daily!$B$2:$B$9999="Control")*(Raw_Data_Daily!$C$2:$C$9999="B. 1-9")*Raw_Data_Daily!$D$2:$D$9999*Raw_Data_Daily!$M$2:$M$9999)/SUMIFS(Raw_Data_Daily!$D:$D, Raw_Data_Daily!$B:$B, "Control", Raw_Data_Daily!$C:$C, "B. 1-9"),"")</f>
        <v>0.4545538114</v>
      </c>
      <c r="G24" s="55">
        <f>IFERROR(SUMPRODUCT((Raw_Data_Daily!$B$2:$B$9999="Variant")*(Raw_Data_Daily!$C$2:$C$9999="B. 1-9")*Raw_Data_Daily!$D$2:$D$9999*Raw_Data_Daily!$M$2:$M$9999)/SUMIFS(Raw_Data_Daily!$D:$D, Raw_Data_Daily!$B:$B, "Variant", Raw_Data_Daily!$C:$C, "B. 1-9"),"")</f>
        <v>0.4609512025</v>
      </c>
      <c r="H24" s="39">
        <f t="shared" ref="H24:H27" si="20">IFERROR((G24-F24)/ABS(F24),"")</f>
        <v>0.01407400177</v>
      </c>
      <c r="I24" s="115">
        <f>IFERROR(SUMPRODUCT((Raw_Data_Daily!$B$2:$B$9999="Control")*(Raw_Data_Daily!$C$2:$C$9999="C. 10-19")*Raw_Data_Daily!$D$2:$D$9999*Raw_Data_Daily!$M$2:$M$9999)/SUMIFS(Raw_Data_Daily!$D:$D, Raw_Data_Daily!$B:$B, "Control", Raw_Data_Daily!$C:$C, "C. 10-19"),"")</f>
        <v>0.5686052166</v>
      </c>
      <c r="J24" s="55">
        <f>IFERROR(SUMPRODUCT((Raw_Data_Daily!$B$2:$B$9999="Variant")*(Raw_Data_Daily!$C$2:$C$9999="C. 10-19")*Raw_Data_Daily!$D$2:$D$9999*Raw_Data_Daily!$M$2:$M$9999)/SUMIFS(Raw_Data_Daily!$D:$D, Raw_Data_Daily!$B:$B, "Variant", Raw_Data_Daily!$C:$C, "C. 10-19"),"")</f>
        <v>0.5574112639</v>
      </c>
      <c r="K24" s="39">
        <f t="shared" ref="K24:K27" si="21">IFERROR((J24-I24)/ABS(I24),"")</f>
        <v>-0.01968668664</v>
      </c>
      <c r="L24" s="119">
        <f>IFERROR(SUMPRODUCT((Raw_Data_Daily!$B$2:$B$9999="Control")*(Raw_Data_Daily!$C$2:$C$9999="D. 20-39")*Raw_Data_Daily!$D$2:$D$9999*Raw_Data_Daily!$M$2:$M$9999)/SUMIFS(Raw_Data_Daily!$D:$D, Raw_Data_Daily!$B:$B, "Control", Raw_Data_Daily!$C:$C, "D. 20-39"),"")</f>
        <v>0.6674243554</v>
      </c>
      <c r="M24" s="55">
        <f>IFERROR(SUMPRODUCT((Raw_Data_Daily!$B$2:$B$9999="Variant")*(Raw_Data_Daily!$C$2:$C$9999="D. 20-39")*Raw_Data_Daily!$D$2:$D$9999*Raw_Data_Daily!$M$2:$M$9999)/SUMIFS(Raw_Data_Daily!$D:$D, Raw_Data_Daily!$B:$B, "Variant", Raw_Data_Daily!$C:$C, "D. 20-39"),"")</f>
        <v>0.6523313513</v>
      </c>
      <c r="N24" s="39">
        <f t="shared" ref="N24:N27" si="22">IFERROR((M24-L24)/ABS(L24),"")</f>
        <v>-0.02261380484</v>
      </c>
      <c r="O24" s="115">
        <f>IFERROR(SUMPRODUCT((Raw_Data_Daily!$B$2:$B$9999="Control")*(Raw_Data_Daily!$C$2:$C$9999="E. 40-99")*Raw_Data_Daily!$D$2:$D$9999*Raw_Data_Daily!$M$2:$M$9999)/SUMIFS(Raw_Data_Daily!$D:$D, Raw_Data_Daily!$B:$B, "Control", Raw_Data_Daily!$C:$C, "E. 40-99"),"")</f>
        <v>0.732779014</v>
      </c>
      <c r="P24" s="55">
        <f>IFERROR(SUMPRODUCT((Raw_Data_Daily!$B$2:$B$9999="Variant")*(Raw_Data_Daily!$C$2:$C$9999="E. 40-99")*Raw_Data_Daily!$D$2:$D$9999*Raw_Data_Daily!$M$2:$M$9999)/SUMIFS(Raw_Data_Daily!$D:$D, Raw_Data_Daily!$B:$B, "Variant", Raw_Data_Daily!$C:$C, "E. 40-99"),"")</f>
        <v>0.7283511921</v>
      </c>
      <c r="Q24" s="39">
        <f t="shared" ref="Q24:Q27" si="23">IFERROR((P24-O24)/ABS(O24),"")</f>
        <v>-0.006042506353</v>
      </c>
      <c r="R24" s="119">
        <f>IFERROR(SUMPRODUCT((Raw_Data_Daily!$B$2:$B$9999="Control")*(Raw_Data_Daily!$C$2:$C$9999="F. 100+")*Raw_Data_Daily!$D$2:$D$9999*Raw_Data_Daily!$M$2:$M$9999)/SUMIFS(Raw_Data_Daily!$D:$D, Raw_Data_Daily!$B:$B, "Control", Raw_Data_Daily!$C:$C, "F. 100+"),"")</f>
        <v>0.780059506</v>
      </c>
      <c r="S24" s="136">
        <f>IFERROR(SUMPRODUCT((Raw_Data_Daily!$B$2:$B$9999="Variant")*(Raw_Data_Daily!$C$2:$C$9999="F. 100+")*Raw_Data_Daily!$D$2:$D$9999*Raw_Data_Daily!$M$2:$M$9999)/SUMIFS(Raw_Data_Daily!$D:$D, Raw_Data_Daily!$B:$B, "Variant", Raw_Data_Daily!$C:$C, "F. 100+"),"")</f>
        <v>0.7671831185</v>
      </c>
      <c r="T24" s="39">
        <f t="shared" ref="T24:T27" si="24">IFERROR((S24-R24)/ABS(R24),"")</f>
        <v>-0.01650692977</v>
      </c>
    </row>
    <row r="25" ht="15.75" customHeight="1">
      <c r="A25" s="15"/>
      <c r="B25" s="31" t="s">
        <v>33</v>
      </c>
      <c r="C25" s="115">
        <f>IFERROR(SUMPRODUCT((Raw_Data_Daily!$B$2:$B$9999="Control")*(Raw_Data_Daily!$C$2:$C$9999="A. 0")*Raw_Data_Daily!$D$2:$D$9999*Raw_Data_Daily!$N$2:$N$9999)/SUMIFS(Raw_Data_Daily!$D:$D, Raw_Data_Daily!$B:$B, "Control", Raw_Data_Daily!$C:$C, "A. 0"),"")</f>
        <v>0.5265223192</v>
      </c>
      <c r="D25" s="55">
        <f>IFERROR(SUMPRODUCT((Raw_Data_Daily!$B$2:$B$9999="Variant")*(Raw_Data_Daily!$C$2:$C$9999="A. 0")*Raw_Data_Daily!$D$2:$D$9999*Raw_Data_Daily!$N$2:$N$9999)/SUMIFS(Raw_Data_Daily!$D:$D, Raw_Data_Daily!$B:$B, "Variant", Raw_Data_Daily!$C:$C, "A. 0"),"")</f>
        <v>0.5072017538</v>
      </c>
      <c r="E25" s="39">
        <f t="shared" si="19"/>
        <v>-0.03669467518</v>
      </c>
      <c r="F25" s="119">
        <f>IFERROR(SUMPRODUCT((Raw_Data_Daily!$B$2:$B$9999="Control")*(Raw_Data_Daily!$C$2:$C$9999="B. 1-9")*Raw_Data_Daily!$D$2:$D$9999*Raw_Data_Daily!$N$2:$N$9999)/SUMIFS(Raw_Data_Daily!$D:$D, Raw_Data_Daily!$B:$B, "Control", Raw_Data_Daily!$C:$C, "B. 1-9"),"")</f>
        <v>0.6518381462</v>
      </c>
      <c r="G25" s="55">
        <f>IFERROR(SUMPRODUCT((Raw_Data_Daily!$B$2:$B$9999="Variant")*(Raw_Data_Daily!$C$2:$C$9999="B. 1-9")*Raw_Data_Daily!$D$2:$D$9999*Raw_Data_Daily!$N$2:$N$9999)/SUMIFS(Raw_Data_Daily!$D:$D, Raw_Data_Daily!$B:$B, "Variant", Raw_Data_Daily!$C:$C, "B. 1-9"),"")</f>
        <v>0.6441025793</v>
      </c>
      <c r="H25" s="39">
        <f t="shared" si="20"/>
        <v>-0.01186731249</v>
      </c>
      <c r="I25" s="115">
        <f>IFERROR(SUMPRODUCT((Raw_Data_Daily!$B$2:$B$9999="Control")*(Raw_Data_Daily!$C$2:$C$9999="C. 10-19")*Raw_Data_Daily!$D$2:$D$9999*Raw_Data_Daily!$N$2:$N$9999)/SUMIFS(Raw_Data_Daily!$D:$D, Raw_Data_Daily!$B:$B, "Control", Raw_Data_Daily!$C:$C, "C. 10-19"),"")</f>
        <v>0.5586567019</v>
      </c>
      <c r="J25" s="55">
        <f>IFERROR(SUMPRODUCT((Raw_Data_Daily!$B$2:$B$9999="Variant")*(Raw_Data_Daily!$C$2:$C$9999="C. 10-19")*Raw_Data_Daily!$D$2:$D$9999*Raw_Data_Daily!$N$2:$N$9999)/SUMIFS(Raw_Data_Daily!$D:$D, Raw_Data_Daily!$B:$B, "Variant", Raw_Data_Daily!$C:$C, "C. 10-19"),"")</f>
        <v>0.5647639455</v>
      </c>
      <c r="K25" s="39">
        <f t="shared" si="21"/>
        <v>0.01093201528</v>
      </c>
      <c r="L25" s="119">
        <f>IFERROR(SUMPRODUCT((Raw_Data_Daily!$B$2:$B$9999="Control")*(Raw_Data_Daily!$C$2:$C$9999="D. 20-39")*Raw_Data_Daily!$D$2:$D$9999*Raw_Data_Daily!$N$2:$N$9999)/SUMIFS(Raw_Data_Daily!$D:$D, Raw_Data_Daily!$B:$B, "Control", Raw_Data_Daily!$C:$C, "D. 20-39"),"")</f>
        <v>0.4689212932</v>
      </c>
      <c r="M25" s="55">
        <f>IFERROR(SUMPRODUCT((Raw_Data_Daily!$B$2:$B$9999="Variant")*(Raw_Data_Daily!$C$2:$C$9999="D. 20-39")*Raw_Data_Daily!$D$2:$D$9999*Raw_Data_Daily!$N$2:$N$9999)/SUMIFS(Raw_Data_Daily!$D:$D, Raw_Data_Daily!$B:$B, "Variant", Raw_Data_Daily!$C:$C, "D. 20-39"),"")</f>
        <v>0.4805560963</v>
      </c>
      <c r="N25" s="39">
        <f t="shared" si="22"/>
        <v>0.0248118464</v>
      </c>
      <c r="O25" s="115">
        <f>IFERROR(SUMPRODUCT((Raw_Data_Daily!$B$2:$B$9999="Control")*(Raw_Data_Daily!$C$2:$C$9999="E. 40-99")*Raw_Data_Daily!$D$2:$D$9999*Raw_Data_Daily!$N$2:$N$9999)/SUMIFS(Raw_Data_Daily!$D:$D, Raw_Data_Daily!$B:$B, "Control", Raw_Data_Daily!$C:$C, "E. 40-99"),"")</f>
        <v>0.3989373761</v>
      </c>
      <c r="P25" s="55">
        <f>IFERROR(SUMPRODUCT((Raw_Data_Daily!$B$2:$B$9999="Variant")*(Raw_Data_Daily!$C$2:$C$9999="E. 40-99")*Raw_Data_Daily!$D$2:$D$9999*Raw_Data_Daily!$N$2:$N$9999)/SUMIFS(Raw_Data_Daily!$D:$D, Raw_Data_Daily!$B:$B, "Variant", Raw_Data_Daily!$C:$C, "E. 40-99"),"")</f>
        <v>0.4028953006</v>
      </c>
      <c r="Q25" s="39">
        <f t="shared" si="23"/>
        <v>0.009921167577</v>
      </c>
      <c r="R25" s="119">
        <f>IFERROR(SUMPRODUCT((Raw_Data_Daily!$B$2:$B$9999="Control")*(Raw_Data_Daily!$C$2:$C$9999="F. 100+")*Raw_Data_Daily!$D$2:$D$9999*Raw_Data_Daily!$N$2:$N$9999)/SUMIFS(Raw_Data_Daily!$D:$D, Raw_Data_Daily!$B:$B, "Control", Raw_Data_Daily!$C:$C, "F. 100+"),"")</f>
        <v>0.3250168787</v>
      </c>
      <c r="S25" s="136">
        <f>IFERROR(SUMPRODUCT((Raw_Data_Daily!$B$2:$B$9999="Variant")*(Raw_Data_Daily!$C$2:$C$9999="F. 100+")*Raw_Data_Daily!$D$2:$D$9999*Raw_Data_Daily!$N$2:$N$9999)/SUMIFS(Raw_Data_Daily!$D:$D, Raw_Data_Daily!$B:$B, "Variant", Raw_Data_Daily!$C:$C, "F. 100+"),"")</f>
        <v>0.3374404158</v>
      </c>
      <c r="T25" s="39">
        <f t="shared" si="24"/>
        <v>0.03822428271</v>
      </c>
    </row>
    <row r="26" ht="15.75" customHeight="1">
      <c r="A26" s="15"/>
      <c r="B26" s="31" t="s">
        <v>34</v>
      </c>
      <c r="C26" s="115">
        <f>IFERROR(SUMPRODUCT((Raw_Data_Daily!$B$2:$B$9999="Control")*(Raw_Data_Daily!$C$2:$C$9999="A. 0")*Raw_Data_Daily!$D$2:$D$9999*Raw_Data_Daily!$O$2:$O$9999)/SUMIFS(Raw_Data_Daily!$D:$D, Raw_Data_Daily!$B:$B, "Control", Raw_Data_Daily!$C:$C, "A. 0"),"")</f>
        <v>0.2660410194</v>
      </c>
      <c r="D26" s="55">
        <f>IFERROR(SUMPRODUCT((Raw_Data_Daily!$B$2:$B$9999="Variant")*(Raw_Data_Daily!$C$2:$C$9999="A. 0")*Raw_Data_Daily!$D$2:$D$9999*Raw_Data_Daily!$O$2:$O$9999)/SUMIFS(Raw_Data_Daily!$D:$D, Raw_Data_Daily!$B:$B, "Variant", Raw_Data_Daily!$C:$C, "A. 0"),"")</f>
        <v>0.2542265017</v>
      </c>
      <c r="E26" s="39">
        <f t="shared" si="19"/>
        <v>-0.04440863187</v>
      </c>
      <c r="F26" s="119">
        <f>IFERROR(SUMPRODUCT((Raw_Data_Daily!$B$2:$B$9999="Control")*(Raw_Data_Daily!$C$2:$C$9999="B. 1-9")*Raw_Data_Daily!$D$2:$D$9999*Raw_Data_Daily!$O$2:$O$9999)/SUMIFS(Raw_Data_Daily!$D:$D, Raw_Data_Daily!$B:$B, "Control", Raw_Data_Daily!$C:$C, "B. 1-9"),"")</f>
        <v>0.3929980819</v>
      </c>
      <c r="G26" s="55">
        <f>IFERROR(SUMPRODUCT((Raw_Data_Daily!$B$2:$B$9999="Variant")*(Raw_Data_Daily!$C$2:$C$9999="B. 1-9")*Raw_Data_Daily!$D$2:$D$9999*Raw_Data_Daily!$O$2:$O$9999)/SUMIFS(Raw_Data_Daily!$D:$D, Raw_Data_Daily!$B:$B, "Variant", Raw_Data_Daily!$C:$C, "B. 1-9"),"")</f>
        <v>0.3804295267</v>
      </c>
      <c r="H26" s="39">
        <f t="shared" si="20"/>
        <v>-0.0319812126</v>
      </c>
      <c r="I26" s="115">
        <f>IFERROR(SUMPRODUCT((Raw_Data_Daily!$B$2:$B$9999="Control")*(Raw_Data_Daily!$C$2:$C$9999="C. 10-19")*Raw_Data_Daily!$D$2:$D$9999*Raw_Data_Daily!$O$2:$O$9999)/SUMIFS(Raw_Data_Daily!$D:$D, Raw_Data_Daily!$B:$B, "Control", Raw_Data_Daily!$C:$C, "C. 10-19"),"")</f>
        <v>0.3347536829</v>
      </c>
      <c r="J26" s="55">
        <f>IFERROR(SUMPRODUCT((Raw_Data_Daily!$B$2:$B$9999="Variant")*(Raw_Data_Daily!$C$2:$C$9999="C. 10-19")*Raw_Data_Daily!$D$2:$D$9999*Raw_Data_Daily!$O$2:$O$9999)/SUMIFS(Raw_Data_Daily!$D:$D, Raw_Data_Daily!$B:$B, "Variant", Raw_Data_Daily!$C:$C, "C. 10-19"),"")</f>
        <v>0.3320735584</v>
      </c>
      <c r="K26" s="39">
        <f t="shared" si="21"/>
        <v>-0.008006258339</v>
      </c>
      <c r="L26" s="119">
        <f>IFERROR(SUMPRODUCT((Raw_Data_Daily!$B$2:$B$9999="Control")*(Raw_Data_Daily!$C$2:$C$9999="D. 20-39")*Raw_Data_Daily!$D$2:$D$9999*Raw_Data_Daily!$O$2:$O$9999)/SUMIFS(Raw_Data_Daily!$D:$D, Raw_Data_Daily!$B:$B, "Control", Raw_Data_Daily!$C:$C, "D. 20-39"),"")</f>
        <v>0.2900933635</v>
      </c>
      <c r="M26" s="55">
        <f>IFERROR(SUMPRODUCT((Raw_Data_Daily!$B$2:$B$9999="Variant")*(Raw_Data_Daily!$C$2:$C$9999="D. 20-39")*Raw_Data_Daily!$D$2:$D$9999*Raw_Data_Daily!$O$2:$O$9999)/SUMIFS(Raw_Data_Daily!$D:$D, Raw_Data_Daily!$B:$B, "Variant", Raw_Data_Daily!$C:$C, "D. 20-39"),"")</f>
        <v>0.2913212806</v>
      </c>
      <c r="N26" s="39">
        <f t="shared" si="22"/>
        <v>0.004232834022</v>
      </c>
      <c r="O26" s="115">
        <f>IFERROR(SUMPRODUCT((Raw_Data_Daily!$B$2:$B$9999="Control")*(Raw_Data_Daily!$C$2:$C$9999="E. 40-99")*Raw_Data_Daily!$D$2:$D$9999*Raw_Data_Daily!$O$2:$O$9999)/SUMIFS(Raw_Data_Daily!$D:$D, Raw_Data_Daily!$B:$B, "Control", Raw_Data_Daily!$C:$C, "E. 40-99"),"")</f>
        <v>0.2507289838</v>
      </c>
      <c r="P26" s="55">
        <f>IFERROR(SUMPRODUCT((Raw_Data_Daily!$B$2:$B$9999="Variant")*(Raw_Data_Daily!$C$2:$C$9999="E. 40-99")*Raw_Data_Daily!$D$2:$D$9999*Raw_Data_Daily!$O$2:$O$9999)/SUMIFS(Raw_Data_Daily!$D:$D, Raw_Data_Daily!$B:$B, "Variant", Raw_Data_Daily!$C:$C, "E. 40-99"),"")</f>
        <v>0.2508296648</v>
      </c>
      <c r="Q26" s="39">
        <f t="shared" si="23"/>
        <v>0.0004015530322</v>
      </c>
      <c r="R26" s="119">
        <f>IFERROR(SUMPRODUCT((Raw_Data_Daily!$B$2:$B$9999="Control")*(Raw_Data_Daily!$C$2:$C$9999="F. 100+")*Raw_Data_Daily!$D$2:$D$9999*Raw_Data_Daily!$O$2:$O$9999)/SUMIFS(Raw_Data_Daily!$D:$D, Raw_Data_Daily!$B:$B, "Control", Raw_Data_Daily!$C:$C, "F. 100+"),"")</f>
        <v>0.2032313997</v>
      </c>
      <c r="S26" s="136">
        <f>IFERROR(SUMPRODUCT((Raw_Data_Daily!$B$2:$B$9999="Variant")*(Raw_Data_Daily!$C$2:$C$9999="F. 100+")*Raw_Data_Daily!$D$2:$D$9999*Raw_Data_Daily!$O$2:$O$9999)/SUMIFS(Raw_Data_Daily!$D:$D, Raw_Data_Daily!$B:$B, "Variant", Raw_Data_Daily!$C:$C, "F. 100+"),"")</f>
        <v>0.2056672765</v>
      </c>
      <c r="T26" s="39">
        <f t="shared" si="24"/>
        <v>0.0119857306</v>
      </c>
      <c r="V26" s="143" t="s">
        <v>213</v>
      </c>
    </row>
    <row r="27" ht="15.75" customHeight="1">
      <c r="A27" s="15"/>
      <c r="B27" s="31" t="s">
        <v>35</v>
      </c>
      <c r="C27" s="65">
        <f>IFERROR(SUMPRODUCT((Raw_Data_Daily!$B$2:$B$9999="Control")*(Raw_Data_Daily!$C$2:$C$9999="A. 0")*Raw_Data_Daily!$D$2:$D$9999*Raw_Data_Daily!$P$2:$P$9999)/SUMIFS(Raw_Data_Daily!$D:$D, Raw_Data_Daily!$B:$B, "Control", Raw_Data_Daily!$C:$C, "A. 0"),"")</f>
        <v>2.786572415</v>
      </c>
      <c r="D27" s="42">
        <f>IFERROR(SUMPRODUCT((Raw_Data_Daily!$B$2:$B$9999="Variant")*(Raw_Data_Daily!$C$2:$C$9999="A. 0")*Raw_Data_Daily!$D$2:$D$9999*Raw_Data_Daily!$P$2:$P$9999)/SUMIFS(Raw_Data_Daily!$D:$D, Raw_Data_Daily!$B:$B, "Variant", Raw_Data_Daily!$C:$C, "A. 0"),"")</f>
        <v>2.222938453</v>
      </c>
      <c r="E27" s="39">
        <f t="shared" si="19"/>
        <v>-0.2022678323</v>
      </c>
      <c r="F27" s="67">
        <f>IFERROR(SUMPRODUCT((Raw_Data_Daily!$B$2:$B$9999="Control")*(Raw_Data_Daily!$C$2:$C$9999="B. 1-9")*Raw_Data_Daily!$D$2:$D$9999*Raw_Data_Daily!$P$2:$P$9999)/SUMIFS(Raw_Data_Daily!$D:$D, Raw_Data_Daily!$B:$B, "Control", Raw_Data_Daily!$C:$C, "B. 1-9"),"")</f>
        <v>2.213226415</v>
      </c>
      <c r="G27" s="42">
        <f>IFERROR(SUMPRODUCT((Raw_Data_Daily!$B$2:$B$9999="Variant")*(Raw_Data_Daily!$C$2:$C$9999="B. 1-9")*Raw_Data_Daily!$D$2:$D$9999*Raw_Data_Daily!$P$2:$P$9999)/SUMIFS(Raw_Data_Daily!$D:$D, Raw_Data_Daily!$B:$B, "Variant", Raw_Data_Daily!$C:$C, "B. 1-9"),"")</f>
        <v>2.188152397</v>
      </c>
      <c r="H27" s="39">
        <f t="shared" si="20"/>
        <v>-0.01132916976</v>
      </c>
      <c r="I27" s="65">
        <f>IFERROR(SUMPRODUCT((Raw_Data_Daily!$B$2:$B$9999="Control")*(Raw_Data_Daily!$C$2:$C$9999="C. 10-19")*Raw_Data_Daily!$D$2:$D$9999*Raw_Data_Daily!$P$2:$P$9999)/SUMIFS(Raw_Data_Daily!$D:$D, Raw_Data_Daily!$B:$B, "Control", Raw_Data_Daily!$C:$C, "C. 10-19"),"")</f>
        <v>1.762504669</v>
      </c>
      <c r="J27" s="42">
        <f>IFERROR(SUMPRODUCT((Raw_Data_Daily!$B$2:$B$9999="Variant")*(Raw_Data_Daily!$C$2:$C$9999="C. 10-19")*Raw_Data_Daily!$D$2:$D$9999*Raw_Data_Daily!$P$2:$P$9999)/SUMIFS(Raw_Data_Daily!$D:$D, Raw_Data_Daily!$B:$B, "Variant", Raw_Data_Daily!$C:$C, "C. 10-19"),"")</f>
        <v>1.80011637</v>
      </c>
      <c r="K27" s="39">
        <f t="shared" si="21"/>
        <v>0.02133991583</v>
      </c>
      <c r="L27" s="67">
        <f>IFERROR(SUMPRODUCT((Raw_Data_Daily!$B$2:$B$9999="Control")*(Raw_Data_Daily!$C$2:$C$9999="D. 20-39")*Raw_Data_Daily!$D$2:$D$9999*Raw_Data_Daily!$P$2:$P$9999)/SUMIFS(Raw_Data_Daily!$D:$D, Raw_Data_Daily!$B:$B, "Control", Raw_Data_Daily!$C:$C, "D. 20-39"),"")</f>
        <v>1.499293047</v>
      </c>
      <c r="M27" s="42">
        <f>IFERROR(SUMPRODUCT((Raw_Data_Daily!$B$2:$B$9999="Variant")*(Raw_Data_Daily!$C$2:$C$9999="D. 20-39")*Raw_Data_Daily!$D$2:$D$9999*Raw_Data_Daily!$P$2:$P$9999)/SUMIFS(Raw_Data_Daily!$D:$D, Raw_Data_Daily!$B:$B, "Variant", Raw_Data_Daily!$C:$C, "D. 20-39"),"")</f>
        <v>1.533841988</v>
      </c>
      <c r="N27" s="39">
        <f t="shared" si="22"/>
        <v>0.02304348805</v>
      </c>
      <c r="O27" s="65">
        <f>IFERROR(SUMPRODUCT((Raw_Data_Daily!$B$2:$B$9999="Control")*(Raw_Data_Daily!$C$2:$C$9999="E. 40-99")*Raw_Data_Daily!$D$2:$D$9999*Raw_Data_Daily!$P$2:$P$9999)/SUMIFS(Raw_Data_Daily!$D:$D, Raw_Data_Daily!$B:$B, "Control", Raw_Data_Daily!$C:$C, "E. 40-99"),"")</f>
        <v>1.365058959</v>
      </c>
      <c r="P27" s="42">
        <f>IFERROR(SUMPRODUCT((Raw_Data_Daily!$B$2:$B$9999="Variant")*(Raw_Data_Daily!$C$2:$C$9999="E. 40-99")*Raw_Data_Daily!$D$2:$D$9999*Raw_Data_Daily!$P$2:$P$9999)/SUMIFS(Raw_Data_Daily!$D:$D, Raw_Data_Daily!$B:$B, "Variant", Raw_Data_Daily!$C:$C, "E. 40-99"),"")</f>
        <v>1.373083408</v>
      </c>
      <c r="Q27" s="39">
        <f t="shared" si="23"/>
        <v>0.005878463313</v>
      </c>
      <c r="R27" s="67">
        <f>IFERROR(SUMPRODUCT((Raw_Data_Daily!$B$2:$B$9999="Control")*(Raw_Data_Daily!$C$2:$C$9999="F. 100+")*Raw_Data_Daily!$D$2:$D$9999*Raw_Data_Daily!$P$2:$P$9999)/SUMIFS(Raw_Data_Daily!$D:$D, Raw_Data_Daily!$B:$B, "Control", Raw_Data_Daily!$C:$C, "F. 100+"),"")</f>
        <v>1.282172829</v>
      </c>
      <c r="S27" s="150">
        <f>IFERROR(SUMPRODUCT((Raw_Data_Daily!$B$2:$B$9999="Variant")*(Raw_Data_Daily!$C$2:$C$9999="F. 100+")*Raw_Data_Daily!$D$2:$D$9999*Raw_Data_Daily!$P$2:$P$9999)/SUMIFS(Raw_Data_Daily!$D:$D, Raw_Data_Daily!$B:$B, "Variant", Raw_Data_Daily!$C:$C, "F. 100+"),"")</f>
        <v>1.303488981</v>
      </c>
      <c r="T27" s="39">
        <f t="shared" si="24"/>
        <v>0.01662502235</v>
      </c>
      <c r="U27" s="151" t="s">
        <v>224</v>
      </c>
      <c r="V27" s="153" t="s">
        <v>225</v>
      </c>
    </row>
    <row r="28" ht="15.75" customHeight="1">
      <c r="A28" s="25" t="s">
        <v>36</v>
      </c>
      <c r="B28" s="27"/>
      <c r="C28" s="28"/>
      <c r="D28" s="12"/>
      <c r="E28" s="29"/>
      <c r="F28" s="30"/>
      <c r="G28" s="12"/>
      <c r="H28" s="27"/>
      <c r="I28" s="28"/>
      <c r="J28" s="12"/>
      <c r="K28" s="29"/>
      <c r="L28" s="30"/>
      <c r="M28" s="12"/>
      <c r="N28" s="27"/>
      <c r="O28" s="28"/>
      <c r="P28" s="12"/>
      <c r="Q28" s="29"/>
      <c r="R28" s="30"/>
      <c r="S28" s="29"/>
      <c r="T28" s="109"/>
      <c r="U28" s="151" t="s">
        <v>224</v>
      </c>
      <c r="V28" s="135" t="s">
        <v>227</v>
      </c>
    </row>
    <row r="29" ht="15.75" customHeight="1">
      <c r="A29" s="15"/>
      <c r="B29" s="154" t="s">
        <v>37</v>
      </c>
      <c r="C29" s="65">
        <f>IFERROR(SUMPRODUCT((Raw_Data_Daily!$B$2:$B$9999="Control")*(Raw_Data_Daily!$C$2:$C$9999="A. 0")*Raw_Data_Daily!$D$2:$D$9999*Raw_Data_Daily!$Q$2:$Q$9999)/SUMIFS(Raw_Data_Daily!$D:$D, Raw_Data_Daily!$B:$B, "Control", Raw_Data_Daily!$C:$C, "A. 0"),"")</f>
        <v>47.66658481</v>
      </c>
      <c r="D29" s="42">
        <f>IFERROR(SUMPRODUCT((Raw_Data_Daily!$B$2:$B$9999="Variant")*(Raw_Data_Daily!$C$2:$C$9999="A. 0")*Raw_Data_Daily!$D$2:$D$9999*Raw_Data_Daily!$Q$2:$Q$9999)/SUMIFS(Raw_Data_Daily!$D:$D, Raw_Data_Daily!$B:$B, "Variant", Raw_Data_Daily!$C:$C, "A. 0"),"")</f>
        <v>56.2569015</v>
      </c>
      <c r="E29" s="46">
        <f t="shared" ref="E29:E35" si="25">IFERROR((D29-C29)/ABS(C29),"")</f>
        <v>0.1802167435</v>
      </c>
      <c r="F29" s="67">
        <f>IFERROR(SUMPRODUCT((Raw_Data_Daily!$B$2:$B$9999="Control")*(Raw_Data_Daily!$C$2:$C$9999="B. 1-9")*Raw_Data_Daily!$D$2:$D$9999*Raw_Data_Daily!$Q$2:$Q$9999)/SUMIFS(Raw_Data_Daily!$D:$D, Raw_Data_Daily!$B:$B, "Control", Raw_Data_Daily!$C:$C, "B. 1-9"),"")</f>
        <v>46.35863488</v>
      </c>
      <c r="G29" s="42">
        <f>IFERROR(SUMPRODUCT((Raw_Data_Daily!$B$2:$B$9999="Variant")*(Raw_Data_Daily!$C$2:$C$9999="B. 1-9")*Raw_Data_Daily!$D$2:$D$9999*Raw_Data_Daily!$Q$2:$Q$9999)/SUMIFS(Raw_Data_Daily!$D:$D, Raw_Data_Daily!$B:$B, "Variant", Raw_Data_Daily!$C:$C, "B. 1-9"),"")</f>
        <v>44.96964882</v>
      </c>
      <c r="H29" s="50">
        <f t="shared" ref="H29:H35" si="26">IFERROR((G29-F29)/ABS(F29),"")</f>
        <v>-0.02996175504</v>
      </c>
      <c r="I29" s="65">
        <f>IFERROR(SUMPRODUCT((Raw_Data_Daily!$B$2:$B$9999="Control")*(Raw_Data_Daily!$C$2:$C$9999="C. 10-19")*Raw_Data_Daily!$D$2:$D$9999*Raw_Data_Daily!$Q$2:$Q$9999)/SUMIFS(Raw_Data_Daily!$D:$D, Raw_Data_Daily!$B:$B, "Control", Raw_Data_Daily!$C:$C, "C. 10-19"),"")</f>
        <v>98.26141137</v>
      </c>
      <c r="J29" s="42">
        <f>IFERROR(SUMPRODUCT((Raw_Data_Daily!$B$2:$B$9999="Variant")*(Raw_Data_Daily!$C$2:$C$9999="C. 10-19")*Raw_Data_Daily!$D$2:$D$9999*Raw_Data_Daily!$Q$2:$Q$9999)/SUMIFS(Raw_Data_Daily!$D:$D, Raw_Data_Daily!$B:$B, "Variant", Raw_Data_Daily!$C:$C, "C. 10-19"),"")</f>
        <v>94.93157872</v>
      </c>
      <c r="K29" s="49">
        <f t="shared" ref="K29:K35" si="27">IFERROR((J29-I29)/ABS(I29),"")</f>
        <v>-0.03388749054</v>
      </c>
      <c r="L29" s="67">
        <f>IFERROR(SUMPRODUCT((Raw_Data_Daily!$B$2:$B$9999="Control")*(Raw_Data_Daily!$C$2:$C$9999="D. 20-39")*Raw_Data_Daily!$D$2:$D$9999*Raw_Data_Daily!$Q$2:$Q$9999)/SUMIFS(Raw_Data_Daily!$D:$D, Raw_Data_Daily!$B:$B, "Control", Raw_Data_Daily!$C:$C, "D. 20-39"),"")</f>
        <v>168.459865</v>
      </c>
      <c r="M29" s="42">
        <f>IFERROR(SUMPRODUCT((Raw_Data_Daily!$B$2:$B$9999="Variant")*(Raw_Data_Daily!$C$2:$C$9999="D. 20-39")*Raw_Data_Daily!$D$2:$D$9999*Raw_Data_Daily!$Q$2:$Q$9999)/SUMIFS(Raw_Data_Daily!$D:$D, Raw_Data_Daily!$B:$B, "Variant", Raw_Data_Daily!$C:$C, "D. 20-39"),"")</f>
        <v>172.8712806</v>
      </c>
      <c r="N29" s="50">
        <f t="shared" ref="N29:N35" si="28">IFERROR((M29-L29)/ABS(L29),"")</f>
        <v>0.02618674515</v>
      </c>
      <c r="O29" s="65">
        <f>IFERROR(SUMPRODUCT((Raw_Data_Daily!$B$2:$B$9999="Control")*(Raw_Data_Daily!$C$2:$C$9999="E. 40-99")*Raw_Data_Daily!$D$2:$D$9999*Raw_Data_Daily!$Q$2:$Q$9999)/SUMIFS(Raw_Data_Daily!$D:$D, Raw_Data_Daily!$B:$B, "Control", Raw_Data_Daily!$C:$C, "E. 40-99"),"")</f>
        <v>312.7207428</v>
      </c>
      <c r="P29" s="42">
        <f>IFERROR(SUMPRODUCT((Raw_Data_Daily!$B$2:$B$9999="Variant")*(Raw_Data_Daily!$C$2:$C$9999="E. 40-99")*Raw_Data_Daily!$D$2:$D$9999*Raw_Data_Daily!$Q$2:$Q$9999)/SUMIFS(Raw_Data_Daily!$D:$D, Raw_Data_Daily!$B:$B, "Variant", Raw_Data_Daily!$C:$C, "E. 40-99"),"")</f>
        <v>339.1089075</v>
      </c>
      <c r="Q29" s="49">
        <f t="shared" ref="Q29:Q35" si="29">IFERROR((P29-O29)/ABS(O29),"")</f>
        <v>0.08438252117</v>
      </c>
      <c r="R29" s="67">
        <f>IFERROR(SUMPRODUCT((Raw_Data_Daily!$B$2:$B$9999="Control")*(Raw_Data_Daily!$C$2:$C$9999="F. 100+")*Raw_Data_Daily!$D$2:$D$9999*Raw_Data_Daily!$Q$2:$Q$9999)/SUMIFS(Raw_Data_Daily!$D:$D, Raw_Data_Daily!$B:$B, "Control", Raw_Data_Daily!$C:$C, "F. 100+"),"")</f>
        <v>592.9608645</v>
      </c>
      <c r="S29" s="150">
        <f>IFERROR(SUMPRODUCT((Raw_Data_Daily!$B$2:$B$9999="Variant")*(Raw_Data_Daily!$C$2:$C$9999="F. 100+")*Raw_Data_Daily!$D$2:$D$9999*Raw_Data_Daily!$Q$2:$Q$9999)/SUMIFS(Raw_Data_Daily!$D:$D, Raw_Data_Daily!$B:$B, "Variant", Raw_Data_Daily!$C:$C, "F. 100+"),"")</f>
        <v>602.1949106</v>
      </c>
      <c r="T29" s="50">
        <f t="shared" ref="T29:T35" si="30">IFERROR((S29-R29)/ABS(R29),"")</f>
        <v>0.01557277492</v>
      </c>
      <c r="U29" s="151" t="s">
        <v>224</v>
      </c>
      <c r="V29" s="135" t="s">
        <v>239</v>
      </c>
    </row>
    <row r="30" ht="15.75" customHeight="1">
      <c r="A30" s="15"/>
      <c r="B30" s="154" t="s">
        <v>41</v>
      </c>
      <c r="C30" s="65">
        <f>IFERROR(SUMPRODUCT((Raw_Data_Daily!$B$2:$B$9999="Control")*(Raw_Data_Daily!$C$2:$C$9999="A. 0")*Raw_Data_Daily!$D$2:$D$9999*Raw_Data_Daily!$T$2:$T$9999)/SUMIFS(Raw_Data_Daily!$D:$D, Raw_Data_Daily!$B:$B, "Control", Raw_Data_Daily!$C:$C, "A. 0"),"")</f>
        <v>7.021160966</v>
      </c>
      <c r="D30" s="42">
        <f>IFERROR(SUMPRODUCT((Raw_Data_Daily!$B$2:$B$9999="Variant")*(Raw_Data_Daily!$C$2:$C$9999="A. 0")*Raw_Data_Daily!$D$2:$D$9999*Raw_Data_Daily!$T$2:$T$9999)/SUMIFS(Raw_Data_Daily!$D:$D, Raw_Data_Daily!$B:$B, "Variant", Raw_Data_Daily!$C:$C, "A. 0"),"")</f>
        <v>8.033376071</v>
      </c>
      <c r="E30" s="46">
        <f t="shared" si="25"/>
        <v>0.1441663436</v>
      </c>
      <c r="F30" s="67">
        <f>IFERROR(SUMPRODUCT((Raw_Data_Daily!$B$2:$B$9999="Control")*(Raw_Data_Daily!$C$2:$C$9999="B. 1-9")*Raw_Data_Daily!$D$2:$D$9999*Raw_Data_Daily!$T$2:$T$9999)/SUMIFS(Raw_Data_Daily!$D:$D, Raw_Data_Daily!$B:$B, "Control", Raw_Data_Daily!$C:$C, "B. 1-9"),"")</f>
        <v>2.158399954</v>
      </c>
      <c r="G30" s="42">
        <f>IFERROR(SUMPRODUCT((Raw_Data_Daily!$B$2:$B$9999="Variant")*(Raw_Data_Daily!$C$2:$C$9999="B. 1-9")*Raw_Data_Daily!$D$2:$D$9999*Raw_Data_Daily!$T$2:$T$9999)/SUMIFS(Raw_Data_Daily!$D:$D, Raw_Data_Daily!$B:$B, "Variant", Raw_Data_Daily!$C:$C, "B. 1-9"),"")</f>
        <v>2.112599188</v>
      </c>
      <c r="H30" s="48">
        <f t="shared" si="26"/>
        <v>-0.02121977709</v>
      </c>
      <c r="I30" s="65">
        <f>IFERROR(SUMPRODUCT((Raw_Data_Daily!$B$2:$B$9999="Control")*(Raw_Data_Daily!$C$2:$C$9999="C. 10-19")*Raw_Data_Daily!$D$2:$D$9999*Raw_Data_Daily!$T$2:$T$9999)/SUMIFS(Raw_Data_Daily!$D:$D, Raw_Data_Daily!$B:$B, "Control", Raw_Data_Daily!$C:$C, "C. 10-19"),"")</f>
        <v>7.515286393</v>
      </c>
      <c r="J30" s="42">
        <f>IFERROR(SUMPRODUCT((Raw_Data_Daily!$B$2:$B$9999="Variant")*(Raw_Data_Daily!$C$2:$C$9999="C. 10-19")*Raw_Data_Daily!$D$2:$D$9999*Raw_Data_Daily!$T$2:$T$9999)/SUMIFS(Raw_Data_Daily!$D:$D, Raw_Data_Daily!$B:$B, "Variant", Raw_Data_Daily!$C:$C, "C. 10-19"),"")</f>
        <v>7.354783193</v>
      </c>
      <c r="K30" s="46">
        <f t="shared" si="27"/>
        <v>-0.02135689731</v>
      </c>
      <c r="L30" s="67">
        <f>IFERROR(SUMPRODUCT((Raw_Data_Daily!$B$2:$B$9999="Control")*(Raw_Data_Daily!$C$2:$C$9999="D. 20-39")*Raw_Data_Daily!$D$2:$D$9999*Raw_Data_Daily!$T$2:$T$9999)/SUMIFS(Raw_Data_Daily!$D:$D, Raw_Data_Daily!$B:$B, "Control", Raw_Data_Daily!$C:$C, "D. 20-39"),"")</f>
        <v>15.54688623</v>
      </c>
      <c r="M30" s="42">
        <f>IFERROR(SUMPRODUCT((Raw_Data_Daily!$B$2:$B$9999="Variant")*(Raw_Data_Daily!$C$2:$C$9999="D. 20-39")*Raw_Data_Daily!$D$2:$D$9999*Raw_Data_Daily!$T$2:$T$9999)/SUMIFS(Raw_Data_Daily!$D:$D, Raw_Data_Daily!$B:$B, "Variant", Raw_Data_Daily!$C:$C, "D. 20-39"),"")</f>
        <v>13.66635507</v>
      </c>
      <c r="N30" s="48">
        <f t="shared" si="28"/>
        <v>-0.1209587005</v>
      </c>
      <c r="O30" s="65">
        <f>IFERROR(SUMPRODUCT((Raw_Data_Daily!$B$2:$B$9999="Control")*(Raw_Data_Daily!$C$2:$C$9999="E. 40-99")*Raw_Data_Daily!$D$2:$D$9999*Raw_Data_Daily!$T$2:$T$9999)/SUMIFS(Raw_Data_Daily!$D:$D, Raw_Data_Daily!$B:$B, "Control", Raw_Data_Daily!$C:$C, "E. 40-99"),"")</f>
        <v>38.64409751</v>
      </c>
      <c r="P30" s="42">
        <f>IFERROR(SUMPRODUCT((Raw_Data_Daily!$B$2:$B$9999="Variant")*(Raw_Data_Daily!$C$2:$C$9999="E. 40-99")*Raw_Data_Daily!$D$2:$D$9999*Raw_Data_Daily!$T$2:$T$9999)/SUMIFS(Raw_Data_Daily!$D:$D, Raw_Data_Daily!$B:$B, "Variant", Raw_Data_Daily!$C:$C, "E. 40-99"),"")</f>
        <v>38.89454273</v>
      </c>
      <c r="Q30" s="49">
        <f t="shared" si="29"/>
        <v>0.006480814425</v>
      </c>
      <c r="R30" s="67">
        <f>IFERROR(SUMPRODUCT((Raw_Data_Daily!$B$2:$B$9999="Control")*(Raw_Data_Daily!$C$2:$C$9999="F. 100+")*Raw_Data_Daily!$D$2:$D$9999*Raw_Data_Daily!$T$2:$T$9999)/SUMIFS(Raw_Data_Daily!$D:$D, Raw_Data_Daily!$B:$B, "Control", Raw_Data_Daily!$C:$C, "F. 100+"),"")</f>
        <v>86.24722305</v>
      </c>
      <c r="S30" s="42">
        <f>IFERROR(SUMPRODUCT((Raw_Data_Daily!$B$2:$B$9999="Variant")*(Raw_Data_Daily!$C$2:$C$9999="F. 100+")*Raw_Data_Daily!$D$2:$D$9999*Raw_Data_Daily!$T$2:$T$9999)/SUMIFS(Raw_Data_Daily!$D:$D, Raw_Data_Daily!$B:$B, "Variant", Raw_Data_Daily!$C:$C, "F. 100+"),"")</f>
        <v>63.90406237</v>
      </c>
      <c r="T30" s="161">
        <f t="shared" si="30"/>
        <v>-0.2590594792</v>
      </c>
      <c r="U30" s="151"/>
      <c r="V30" s="135" t="s">
        <v>244</v>
      </c>
    </row>
    <row r="31" ht="15.75" customHeight="1">
      <c r="A31" s="15"/>
      <c r="B31" s="154" t="s">
        <v>42</v>
      </c>
      <c r="C31" s="65">
        <f>IFERROR(SUMPRODUCT((Raw_Data_Daily!$B$2:$B$9999="Control")*(Raw_Data_Daily!$C$2:$C$9999="A. 0")*Raw_Data_Daily!$D$2:$D$9999*Raw_Data_Daily!$U$2:$U$9999)/SUMIFS(Raw_Data_Daily!$D:$D, Raw_Data_Daily!$B:$B, "Control", Raw_Data_Daily!$C:$C, "A. 0"),"")</f>
        <v>40.64542384</v>
      </c>
      <c r="D31" s="42">
        <f>IFERROR(SUMPRODUCT((Raw_Data_Daily!$B$2:$B$9999="Variant")*(Raw_Data_Daily!$C$2:$C$9999="A. 0")*Raw_Data_Daily!$D$2:$D$9999*Raw_Data_Daily!$U$2:$U$9999)/SUMIFS(Raw_Data_Daily!$D:$D, Raw_Data_Daily!$B:$B, "Variant", Raw_Data_Daily!$C:$C, "A. 0"),"")</f>
        <v>48.22158408</v>
      </c>
      <c r="E31" s="46">
        <f t="shared" si="25"/>
        <v>0.1863963892</v>
      </c>
      <c r="F31" s="67">
        <f>IFERROR(SUMPRODUCT((Raw_Data_Daily!$B$2:$B$9999="Control")*(Raw_Data_Daily!$C$2:$C$9999="B. 1-9")*Raw_Data_Daily!$D$2:$D$9999*Raw_Data_Daily!$U$2:$U$9999)/SUMIFS(Raw_Data_Daily!$D:$D, Raw_Data_Daily!$B:$B, "Control", Raw_Data_Daily!$C:$C, "B. 1-9"),"")</f>
        <v>44.20023493</v>
      </c>
      <c r="G31" s="42">
        <f>IFERROR(SUMPRODUCT((Raw_Data_Daily!$B$2:$B$9999="Variant")*(Raw_Data_Daily!$C$2:$C$9999="B. 1-9")*Raw_Data_Daily!$D$2:$D$9999*Raw_Data_Daily!$U$2:$U$9999)/SUMIFS(Raw_Data_Daily!$D:$D, Raw_Data_Daily!$B:$B, "Variant", Raw_Data_Daily!$C:$C, "B. 1-9"),"")</f>
        <v>42.85704963</v>
      </c>
      <c r="H31" s="50">
        <f t="shared" si="26"/>
        <v>-0.03038864609</v>
      </c>
      <c r="I31" s="65">
        <f>IFERROR(SUMPRODUCT((Raw_Data_Daily!$B$2:$B$9999="Control")*(Raw_Data_Daily!$C$2:$C$9999="C. 10-19")*Raw_Data_Daily!$D$2:$D$9999*Raw_Data_Daily!$U$2:$U$9999)/SUMIFS(Raw_Data_Daily!$D:$D, Raw_Data_Daily!$B:$B, "Control", Raw_Data_Daily!$C:$C, "C. 10-19"),"")</f>
        <v>90.75056649</v>
      </c>
      <c r="J31" s="42">
        <f>IFERROR(SUMPRODUCT((Raw_Data_Daily!$B$2:$B$9999="Variant")*(Raw_Data_Daily!$C$2:$C$9999="C. 10-19")*Raw_Data_Daily!$D$2:$D$9999*Raw_Data_Daily!$U$2:$U$9999)/SUMIFS(Raw_Data_Daily!$D:$D, Raw_Data_Daily!$B:$B, "Variant", Raw_Data_Daily!$C:$C, "C. 10-19"),"")</f>
        <v>87.576025</v>
      </c>
      <c r="K31" s="49">
        <f t="shared" si="27"/>
        <v>-0.03498095499</v>
      </c>
      <c r="L31" s="67">
        <f>IFERROR(SUMPRODUCT((Raw_Data_Daily!$B$2:$B$9999="Control")*(Raw_Data_Daily!$C$2:$C$9999="D. 20-39")*Raw_Data_Daily!$D$2:$D$9999*Raw_Data_Daily!$U$2:$U$9999)/SUMIFS(Raw_Data_Daily!$D:$D, Raw_Data_Daily!$B:$B, "Control", Raw_Data_Daily!$C:$C, "D. 20-39"),"")</f>
        <v>152.9125206</v>
      </c>
      <c r="M31" s="42">
        <f>IFERROR(SUMPRODUCT((Raw_Data_Daily!$B$2:$B$9999="Variant")*(Raw_Data_Daily!$C$2:$C$9999="D. 20-39")*Raw_Data_Daily!$D$2:$D$9999*Raw_Data_Daily!$U$2:$U$9999)/SUMIFS(Raw_Data_Daily!$D:$D, Raw_Data_Daily!$B:$B, "Variant", Raw_Data_Daily!$C:$C, "D. 20-39"),"")</f>
        <v>159.208444</v>
      </c>
      <c r="N31" s="50">
        <f t="shared" si="28"/>
        <v>0.04117336786</v>
      </c>
      <c r="O31" s="65">
        <f>IFERROR(SUMPRODUCT((Raw_Data_Daily!$B$2:$B$9999="Control")*(Raw_Data_Daily!$C$2:$C$9999="E. 40-99")*Raw_Data_Daily!$D$2:$D$9999*Raw_Data_Daily!$U$2:$U$9999)/SUMIFS(Raw_Data_Daily!$D:$D, Raw_Data_Daily!$B:$B, "Control", Raw_Data_Daily!$C:$C, "E. 40-99"),"")</f>
        <v>274.0766453</v>
      </c>
      <c r="P31" s="42">
        <f>IFERROR(SUMPRODUCT((Raw_Data_Daily!$B$2:$B$9999="Variant")*(Raw_Data_Daily!$C$2:$C$9999="E. 40-99")*Raw_Data_Daily!$D$2:$D$9999*Raw_Data_Daily!$U$2:$U$9999)/SUMIFS(Raw_Data_Daily!$D:$D, Raw_Data_Daily!$B:$B, "Variant", Raw_Data_Daily!$C:$C, "E. 40-99"),"")</f>
        <v>300.2158322</v>
      </c>
      <c r="Q31" s="49">
        <f t="shared" si="29"/>
        <v>0.09537181415</v>
      </c>
      <c r="R31" s="67">
        <f>IFERROR(SUMPRODUCT((Raw_Data_Daily!$B$2:$B$9999="Control")*(Raw_Data_Daily!$C$2:$C$9999="F. 100+")*Raw_Data_Daily!$D$2:$D$9999*Raw_Data_Daily!$U$2:$U$9999)/SUMIFS(Raw_Data_Daily!$D:$D, Raw_Data_Daily!$B:$B, "Control", Raw_Data_Daily!$C:$C, "F. 100+"),"")</f>
        <v>506.7143675</v>
      </c>
      <c r="S31" s="42">
        <f>IFERROR(SUMPRODUCT((Raw_Data_Daily!$B$2:$B$9999="Variant")*(Raw_Data_Daily!$C$2:$C$9999="F. 100+")*Raw_Data_Daily!$D$2:$D$9999*Raw_Data_Daily!$U$2:$U$9999)/SUMIFS(Raw_Data_Daily!$D:$D, Raw_Data_Daily!$B:$B, "Variant", Raw_Data_Daily!$C:$C, "F. 100+"),"")</f>
        <v>538.2901746</v>
      </c>
      <c r="T31" s="50">
        <f t="shared" si="30"/>
        <v>0.06231480523</v>
      </c>
      <c r="U31" s="151" t="s">
        <v>224</v>
      </c>
      <c r="V31" s="135" t="s">
        <v>248</v>
      </c>
    </row>
    <row r="32" ht="15.75" customHeight="1">
      <c r="A32" s="15"/>
      <c r="B32" s="154" t="s">
        <v>43</v>
      </c>
      <c r="C32" s="65">
        <f>IFERROR(SUMPRODUCT((Raw_Data_Daily!$B$2:$B$9999="Control")*(Raw_Data_Daily!$C$2:$C$9999="A. 0")*Raw_Data_Daily!$D$2:$D$9999*Raw_Data_Daily!$V$2:$V$9999)/SUMIFS(Raw_Data_Daily!$D:$D, Raw_Data_Daily!$B:$B, "Control", Raw_Data_Daily!$C:$C, "A. 0"),"")</f>
        <v>35.17531986</v>
      </c>
      <c r="D32" s="42">
        <f>IFERROR(SUMPRODUCT((Raw_Data_Daily!$B$2:$B$9999="Variant")*(Raw_Data_Daily!$C$2:$C$9999="A. 0")*Raw_Data_Daily!$D$2:$D$9999*Raw_Data_Daily!$V$2:$V$9999)/SUMIFS(Raw_Data_Daily!$D:$D, Raw_Data_Daily!$B:$B, "Variant", Raw_Data_Daily!$C:$C, "A. 0"),"")</f>
        <v>42.49429226</v>
      </c>
      <c r="E32" s="35">
        <f t="shared" si="25"/>
        <v>0.2080712392</v>
      </c>
      <c r="F32" s="67">
        <f>IFERROR(SUMPRODUCT((Raw_Data_Daily!$B$2:$B$9999="Control")*(Raw_Data_Daily!$C$2:$C$9999="B. 1-9")*Raw_Data_Daily!$D$2:$D$9999*Raw_Data_Daily!$V$2:$V$9999)/SUMIFS(Raw_Data_Daily!$D:$D, Raw_Data_Daily!$B:$B, "Control", Raw_Data_Daily!$C:$C, "B. 1-9"),"")</f>
        <v>44.98277488</v>
      </c>
      <c r="G32" s="42">
        <f>IFERROR(SUMPRODUCT((Raw_Data_Daily!$B$2:$B$9999="Variant")*(Raw_Data_Daily!$C$2:$C$9999="B. 1-9")*Raw_Data_Daily!$D$2:$D$9999*Raw_Data_Daily!$V$2:$V$9999)/SUMIFS(Raw_Data_Daily!$D:$D, Raw_Data_Daily!$B:$B, "Variant", Raw_Data_Daily!$C:$C, "B. 1-9"),"")</f>
        <v>43.76915499</v>
      </c>
      <c r="H32" s="48">
        <f t="shared" si="26"/>
        <v>-0.02697965831</v>
      </c>
      <c r="I32" s="65">
        <f>IFERROR(SUMPRODUCT((Raw_Data_Daily!$B$2:$B$9999="Control")*(Raw_Data_Daily!$C$2:$C$9999="C. 10-19")*Raw_Data_Daily!$D$2:$D$9999*Raw_Data_Daily!$V$2:$V$9999)/SUMIFS(Raw_Data_Daily!$D:$D, Raw_Data_Daily!$B:$B, "Control", Raw_Data_Daily!$C:$C, "C. 10-19"),"")</f>
        <v>101.6471797</v>
      </c>
      <c r="J32" s="42">
        <f>IFERROR(SUMPRODUCT((Raw_Data_Daily!$B$2:$B$9999="Variant")*(Raw_Data_Daily!$C$2:$C$9999="C. 10-19")*Raw_Data_Daily!$D$2:$D$9999*Raw_Data_Daily!$V$2:$V$9999)/SUMIFS(Raw_Data_Daily!$D:$D, Raw_Data_Daily!$B:$B, "Variant", Raw_Data_Daily!$C:$C, "C. 10-19"),"")</f>
        <v>96.66086123</v>
      </c>
      <c r="K32" s="48">
        <f t="shared" si="27"/>
        <v>-0.04905515797</v>
      </c>
      <c r="L32" s="67">
        <f>IFERROR(SUMPRODUCT((Raw_Data_Daily!$B$2:$B$9999="Control")*(Raw_Data_Daily!$C$2:$C$9999="D. 20-39")*Raw_Data_Daily!$D$2:$D$9999*Raw_Data_Daily!$V$2:$V$9999)/SUMIFS(Raw_Data_Daily!$D:$D, Raw_Data_Daily!$B:$B, "Control", Raw_Data_Daily!$C:$C, "D. 20-39"),"")</f>
        <v>175.9318243</v>
      </c>
      <c r="M32" s="42">
        <f>IFERROR(SUMPRODUCT((Raw_Data_Daily!$B$2:$B$9999="Variant")*(Raw_Data_Daily!$C$2:$C$9999="D. 20-39")*Raw_Data_Daily!$D$2:$D$9999*Raw_Data_Daily!$V$2:$V$9999)/SUMIFS(Raw_Data_Daily!$D:$D, Raw_Data_Daily!$B:$B, "Variant", Raw_Data_Daily!$C:$C, "D. 20-39"),"")</f>
        <v>178.1447568</v>
      </c>
      <c r="N32" s="48">
        <f t="shared" si="28"/>
        <v>0.01257835253</v>
      </c>
      <c r="O32" s="65">
        <f>IFERROR(SUMPRODUCT((Raw_Data_Daily!$B$2:$B$9999="Control")*(Raw_Data_Daily!$C$2:$C$9999="E. 40-99")*Raw_Data_Daily!$D$2:$D$9999*Raw_Data_Daily!$V$2:$V$9999)/SUMIFS(Raw_Data_Daily!$D:$D, Raw_Data_Daily!$B:$B, "Control", Raw_Data_Daily!$C:$C, "E. 40-99"),"")</f>
        <v>326.3091027</v>
      </c>
      <c r="P32" s="42">
        <f>IFERROR(SUMPRODUCT((Raw_Data_Daily!$B$2:$B$9999="Variant")*(Raw_Data_Daily!$C$2:$C$9999="E. 40-99")*Raw_Data_Daily!$D$2:$D$9999*Raw_Data_Daily!$V$2:$V$9999)/SUMIFS(Raw_Data_Daily!$D:$D, Raw_Data_Daily!$B:$B, "Variant", Raw_Data_Daily!$C:$C, "E. 40-99"),"")</f>
        <v>356.5724643</v>
      </c>
      <c r="Q32" s="48">
        <f t="shared" si="29"/>
        <v>0.09274446018</v>
      </c>
      <c r="R32" s="67">
        <f>IFERROR(SUMPRODUCT((Raw_Data_Daily!$B$2:$B$9999="Control")*(Raw_Data_Daily!$C$2:$C$9999="F. 100+")*Raw_Data_Daily!$D$2:$D$9999*Raw_Data_Daily!$V$2:$V$9999)/SUMIFS(Raw_Data_Daily!$D:$D, Raw_Data_Daily!$B:$B, "Control", Raw_Data_Daily!$C:$C, "F. 100+"),"")</f>
        <v>617.5514222</v>
      </c>
      <c r="S32" s="42">
        <f>IFERROR(SUMPRODUCT((Raw_Data_Daily!$B$2:$B$9999="Variant")*(Raw_Data_Daily!$C$2:$C$9999="F. 100+")*Raw_Data_Daily!$D$2:$D$9999*Raw_Data_Daily!$V$2:$V$9999)/SUMIFS(Raw_Data_Daily!$D:$D, Raw_Data_Daily!$B:$B, "Variant", Raw_Data_Daily!$C:$C, "F. 100+"),"")</f>
        <v>669.0418503</v>
      </c>
      <c r="T32" s="50">
        <f t="shared" si="30"/>
        <v>0.08337836544</v>
      </c>
    </row>
    <row r="33" ht="15.75" customHeight="1">
      <c r="A33" s="15"/>
      <c r="B33" s="154" t="s">
        <v>252</v>
      </c>
      <c r="C33" s="65">
        <f>IFERROR(SUMPRODUCT((Raw_Data_Daily!$B$2:$B$9999="Control")*(Raw_Data_Daily!$C$2:$C$9999="A. 0")*Raw_Data_Daily!$D$2:$D$9999*(Raw_Data_Daily!$Q$2:$Q$9999-Raw_Data_Daily!$V$2:$V$9999))/SUMIFS(Raw_Data_Daily!$D:$D, Raw_Data_Daily!$B:$B, "Control", Raw_Data_Daily!$C:$C, "A. 0"),"")</f>
        <v>12.49126495</v>
      </c>
      <c r="D33" s="42">
        <f>IFERROR(SUMPRODUCT((Raw_Data_Daily!$B$2:$B$9999="Variant")*(Raw_Data_Daily!$C$2:$C$9999="A. 0")*Raw_Data_Daily!$D$2:$D$9999*(Raw_Data_Daily!$Q$2:$Q$9999-Raw_Data_Daily!$V$2:$V$9999))/SUMIFS(Raw_Data_Daily!$D:$D, Raw_Data_Daily!$B:$B, "Variant", Raw_Data_Daily!$C:$C, "A. 0"),"")</f>
        <v>13.76260924</v>
      </c>
      <c r="E33" s="35">
        <f t="shared" si="25"/>
        <v>0.1017786668</v>
      </c>
      <c r="F33" s="67">
        <f>IFERROR(SUMPRODUCT((Raw_Data_Daily!$B$2:$B$9999="Control")*(Raw_Data_Daily!$C$2:$C$9999="B. 1-9")*Raw_Data_Daily!$D$2:$D$9999*(Raw_Data_Daily!$Q$2:$Q$9999-Raw_Data_Daily!$V$2:$V$9999))/SUMIFS(Raw_Data_Daily!$D:$D, Raw_Data_Daily!$B:$B, "Control", Raw_Data_Daily!$C:$C, "B. 1-9"),"")</f>
        <v>1.375860001</v>
      </c>
      <c r="G33" s="42">
        <f>IFERROR(SUMPRODUCT((Raw_Data_Daily!$B$2:$B$9999="Variant")*(Raw_Data_Daily!$C$2:$C$9999="B. 1-9")*Raw_Data_Daily!$D$2:$D$9999*(Raw_Data_Daily!$Q$2:$Q$9999-Raw_Data_Daily!$V$2:$V$9999))/SUMIFS(Raw_Data_Daily!$D:$D, Raw_Data_Daily!$B:$B, "Variant", Raw_Data_Daily!$C:$C, "B. 1-9"),"")</f>
        <v>1.200493834</v>
      </c>
      <c r="H33" s="50">
        <f t="shared" si="26"/>
        <v>-0.1274593101</v>
      </c>
      <c r="I33" s="65">
        <f>IFERROR(SUMPRODUCT((Raw_Data_Daily!$B$2:$B$9999="Control")*(Raw_Data_Daily!$C$2:$C$9999="C. 10-19")*Raw_Data_Daily!$D$2:$D$9999*(Raw_Data_Daily!$Q$2:$Q$9999-Raw_Data_Daily!$V$2:$V$9999))/SUMIFS(Raw_Data_Daily!$D:$D, Raw_Data_Daily!$B:$B, "Control", Raw_Data_Daily!$C:$C, "C. 10-19"),"")</f>
        <v>-3.385768318</v>
      </c>
      <c r="J33" s="42">
        <f>IFERROR(SUMPRODUCT((Raw_Data_Daily!$B$2:$B$9999="Variant")*(Raw_Data_Daily!$C$2:$C$9999="C. 10-19")*Raw_Data_Daily!$D$2:$D$9999*(Raw_Data_Daily!$Q$2:$Q$9999-Raw_Data_Daily!$V$2:$V$9999))/SUMIFS(Raw_Data_Daily!$D:$D, Raw_Data_Daily!$B:$B, "Variant", Raw_Data_Daily!$C:$C, "C. 10-19"),"")</f>
        <v>-1.729282509</v>
      </c>
      <c r="K33" s="49">
        <f t="shared" si="27"/>
        <v>0.489249604</v>
      </c>
      <c r="L33" s="67">
        <f>IFERROR(SUMPRODUCT((Raw_Data_Daily!$B$2:$B$9999="Control")*(Raw_Data_Daily!$C$2:$C$9999="D. 20-39")*Raw_Data_Daily!$D$2:$D$9999*(Raw_Data_Daily!$Q$2:$Q$9999-Raw_Data_Daily!$V$2:$V$9999))/SUMIFS(Raw_Data_Daily!$D:$D, Raw_Data_Daily!$B:$B, "Control", Raw_Data_Daily!$C:$C, "D. 20-39"),"")</f>
        <v>-7.471959294</v>
      </c>
      <c r="M33" s="42">
        <f>IFERROR(SUMPRODUCT((Raw_Data_Daily!$B$2:$B$9999="Variant")*(Raw_Data_Daily!$C$2:$C$9999="D. 20-39")*Raw_Data_Daily!$D$2:$D$9999*(Raw_Data_Daily!$Q$2:$Q$9999-Raw_Data_Daily!$V$2:$V$9999))/SUMIFS(Raw_Data_Daily!$D:$D, Raw_Data_Daily!$B:$B, "Variant", Raw_Data_Daily!$C:$C, "D. 20-39"),"")</f>
        <v>-5.273476247</v>
      </c>
      <c r="N33" s="50">
        <f t="shared" si="28"/>
        <v>0.2942311327</v>
      </c>
      <c r="O33" s="65">
        <f>IFERROR(SUMPRODUCT((Raw_Data_Daily!$B$2:$B$9999="Control")*(Raw_Data_Daily!$C$2:$C$9999="E. 40-99")*Raw_Data_Daily!$D$2:$D$9999*(Raw_Data_Daily!$Q$2:$Q$9999-Raw_Data_Daily!$V$2:$V$9999))/SUMIFS(Raw_Data_Daily!$D:$D, Raw_Data_Daily!$B:$B, "Control", Raw_Data_Daily!$C:$C, "E. 40-99"),"")</f>
        <v>-13.5883599</v>
      </c>
      <c r="P33" s="42">
        <f>IFERROR(SUMPRODUCT((Raw_Data_Daily!$B$2:$B$9999="Variant")*(Raw_Data_Daily!$C$2:$C$9999="E. 40-99")*Raw_Data_Daily!$D$2:$D$9999*(Raw_Data_Daily!$Q$2:$Q$9999-Raw_Data_Daily!$V$2:$V$9999))/SUMIFS(Raw_Data_Daily!$D:$D, Raw_Data_Daily!$B:$B, "Variant", Raw_Data_Daily!$C:$C, "E. 40-99"),"")</f>
        <v>-17.46355678</v>
      </c>
      <c r="Q33" s="49">
        <f t="shared" si="29"/>
        <v>-0.2851850342</v>
      </c>
      <c r="R33" s="67">
        <f>IFERROR(SUMPRODUCT((Raw_Data_Daily!$B$2:$B$9999="Control")*(Raw_Data_Daily!$C$2:$C$9999="F. 100+")*Raw_Data_Daily!$D$2:$D$9999*(Raw_Data_Daily!$Q$2:$Q$9999-Raw_Data_Daily!$V$2:$V$9999))/SUMIFS(Raw_Data_Daily!$D:$D, Raw_Data_Daily!$B:$B, "Control", Raw_Data_Daily!$C:$C, "F. 100+"),"")</f>
        <v>-24.59055763</v>
      </c>
      <c r="S33" s="42">
        <f>IFERROR(SUMPRODUCT((Raw_Data_Daily!$B$2:$B$9999="Variant")*(Raw_Data_Daily!$C$2:$C$9999="F. 100+")*Raw_Data_Daily!$D$2:$D$9999*(Raw_Data_Daily!$Q$2:$Q$9999-Raw_Data_Daily!$V$2:$V$9999))/SUMIFS(Raw_Data_Daily!$D:$D, Raw_Data_Daily!$B:$B, "Variant", Raw_Data_Daily!$C:$C, "F. 100+"),"")</f>
        <v>-66.84693971</v>
      </c>
      <c r="T33" s="50">
        <f t="shared" si="30"/>
        <v>-1.718398692</v>
      </c>
      <c r="V33" s="51"/>
    </row>
    <row r="34" ht="15.75" customHeight="1">
      <c r="A34" s="15"/>
      <c r="B34" s="31" t="s">
        <v>45</v>
      </c>
      <c r="C34" s="65">
        <f>IFERROR(SUMPRODUCT((Raw_Data_Daily!$B$2:$B$9999="Control")*(Raw_Data_Daily!$C$2:$C$9999="A. 0")*Raw_Data_Daily!$D$2:$D$9999*Raw_Data_Daily!$W$2:$W$9999)/SUMIFS(Raw_Data_Daily!$D:$D, Raw_Data_Daily!$B:$B, "Control", Raw_Data_Daily!$C:$C, "A. 0"),"")</f>
        <v>3.627252868</v>
      </c>
      <c r="D34" s="42">
        <f>IFERROR(SUMPRODUCT((Raw_Data_Daily!$B$2:$B$9999="Variant")*(Raw_Data_Daily!$C$2:$C$9999="A. 0")*Raw_Data_Daily!$D$2:$D$9999*Raw_Data_Daily!$W$2:$W$9999)/SUMIFS(Raw_Data_Daily!$D:$D, Raw_Data_Daily!$B:$B, "Variant", Raw_Data_Daily!$C:$C, "A. 0"),"")</f>
        <v>4.128055698</v>
      </c>
      <c r="E34" s="35">
        <f t="shared" si="25"/>
        <v>0.1380666989</v>
      </c>
      <c r="F34" s="67">
        <f>IFERROR(SUMPRODUCT((Raw_Data_Daily!$B$2:$B$9999="Control")*(Raw_Data_Daily!$C$2:$C$9999="B. 1-9")*Raw_Data_Daily!$D$2:$D$9999*Raw_Data_Daily!$W$2:$W$9999)/SUMIFS(Raw_Data_Daily!$D:$D, Raw_Data_Daily!$B:$B, "Control", Raw_Data_Daily!$C:$C, "B. 1-9"),"")</f>
        <v>3.870465951</v>
      </c>
      <c r="G34" s="42">
        <f>IFERROR(SUMPRODUCT((Raw_Data_Daily!$B$2:$B$9999="Variant")*(Raw_Data_Daily!$C$2:$C$9999="B. 1-9")*Raw_Data_Daily!$D$2:$D$9999*Raw_Data_Daily!$W$2:$W$9999)/SUMIFS(Raw_Data_Daily!$D:$D, Raw_Data_Daily!$B:$B, "Variant", Raw_Data_Daily!$C:$C, "B. 1-9"),"")</f>
        <v>3.847952945</v>
      </c>
      <c r="H34" s="39">
        <f t="shared" si="26"/>
        <v>-0.005816613793</v>
      </c>
      <c r="I34" s="65">
        <f>IFERROR(SUMPRODUCT((Raw_Data_Daily!$B$2:$B$9999="Control")*(Raw_Data_Daily!$C$2:$C$9999="C. 10-19")*Raw_Data_Daily!$D$2:$D$9999*Raw_Data_Daily!$W$2:$W$9999)/SUMIFS(Raw_Data_Daily!$D:$D, Raw_Data_Daily!$B:$B, "Control", Raw_Data_Daily!$C:$C, "C. 10-19"),"")</f>
        <v>4.181636751</v>
      </c>
      <c r="J34" s="42">
        <f>IFERROR(SUMPRODUCT((Raw_Data_Daily!$B$2:$B$9999="Variant")*(Raw_Data_Daily!$C$2:$C$9999="C. 10-19")*Raw_Data_Daily!$D$2:$D$9999*Raw_Data_Daily!$W$2:$W$9999)/SUMIFS(Raw_Data_Daily!$D:$D, Raw_Data_Daily!$B:$B, "Variant", Raw_Data_Daily!$C:$C, "C. 10-19"),"")</f>
        <v>3.894149917</v>
      </c>
      <c r="K34" s="35">
        <f t="shared" si="27"/>
        <v>-0.06874983438</v>
      </c>
      <c r="L34" s="67">
        <f>IFERROR(SUMPRODUCT((Raw_Data_Daily!$B$2:$B$9999="Control")*(Raw_Data_Daily!$C$2:$C$9999="D. 20-39")*Raw_Data_Daily!$D$2:$D$9999*Raw_Data_Daily!$W$2:$W$9999)/SUMIFS(Raw_Data_Daily!$D:$D, Raw_Data_Daily!$B:$B, "Control", Raw_Data_Daily!$C:$C, "D. 20-39"),"")</f>
        <v>4.504200878</v>
      </c>
      <c r="M34" s="42">
        <f>IFERROR(SUMPRODUCT((Raw_Data_Daily!$B$2:$B$9999="Variant")*(Raw_Data_Daily!$C$2:$C$9999="D. 20-39")*Raw_Data_Daily!$D$2:$D$9999*Raw_Data_Daily!$W$2:$W$9999)/SUMIFS(Raw_Data_Daily!$D:$D, Raw_Data_Daily!$B:$B, "Variant", Raw_Data_Daily!$C:$C, "D. 20-39"),"")</f>
        <v>4.390154397</v>
      </c>
      <c r="N34" s="39">
        <f t="shared" si="28"/>
        <v>-0.0253200255</v>
      </c>
      <c r="O34" s="65">
        <f>IFERROR(SUMPRODUCT((Raw_Data_Daily!$B$2:$B$9999="Control")*(Raw_Data_Daily!$C$2:$C$9999="E. 40-99")*Raw_Data_Daily!$D$2:$D$9999*Raw_Data_Daily!$W$2:$W$9999)/SUMIFS(Raw_Data_Daily!$D:$D, Raw_Data_Daily!$B:$B, "Control", Raw_Data_Daily!$C:$C, "E. 40-99"),"")</f>
        <v>4.500857842</v>
      </c>
      <c r="P34" s="42">
        <f>IFERROR(SUMPRODUCT((Raw_Data_Daily!$B$2:$B$9999="Variant")*(Raw_Data_Daily!$C$2:$C$9999="E. 40-99")*Raw_Data_Daily!$D$2:$D$9999*Raw_Data_Daily!$W$2:$W$9999)/SUMIFS(Raw_Data_Daily!$D:$D, Raw_Data_Daily!$B:$B, "Variant", Raw_Data_Daily!$C:$C, "E. 40-99"),"")</f>
        <v>4.785731404</v>
      </c>
      <c r="Q34" s="35">
        <f t="shared" si="29"/>
        <v>0.06329317041</v>
      </c>
      <c r="R34" s="67">
        <f>IFERROR(SUMPRODUCT((Raw_Data_Daily!$B$2:$B$9999="Control")*(Raw_Data_Daily!$C$2:$C$9999="F. 100+")*Raw_Data_Daily!$D$2:$D$9999*Raw_Data_Daily!$W$2:$W$9999)/SUMIFS(Raw_Data_Daily!$D:$D, Raw_Data_Daily!$B:$B, "Control", Raw_Data_Daily!$C:$C, "F. 100+"),"")</f>
        <v>3.753590157</v>
      </c>
      <c r="S34" s="42">
        <f>IFERROR(SUMPRODUCT((Raw_Data_Daily!$B$2:$B$9999="Variant")*(Raw_Data_Daily!$C$2:$C$9999="F. 100+")*Raw_Data_Daily!$D$2:$D$9999*Raw_Data_Daily!$W$2:$W$9999)/SUMIFS(Raw_Data_Daily!$D:$D, Raw_Data_Daily!$B:$B, "Variant", Raw_Data_Daily!$C:$C, "F. 100+"),"")</f>
        <v>4.139964033</v>
      </c>
      <c r="T34" s="39">
        <f t="shared" si="30"/>
        <v>0.1029344867</v>
      </c>
    </row>
    <row r="35" ht="15.75" customHeight="1">
      <c r="A35" s="15"/>
      <c r="B35" s="31" t="s">
        <v>46</v>
      </c>
      <c r="C35" s="115">
        <f>IFERROR(SUMPRODUCT((Raw_Data_Daily!$B$2:$B$9999="Control")*(Raw_Data_Daily!$C$2:$C$9999="A. 0")*Raw_Data_Daily!$D$2:$D$9999*Raw_Data_Daily!$X$2:$X$9999)/SUMIFS(Raw_Data_Daily!$D:$D, Raw_Data_Daily!$B:$B, "Control", Raw_Data_Daily!$C:$C, "A. 0"),"")</f>
        <v>14.26464091</v>
      </c>
      <c r="D35" s="55">
        <f>IFERROR(SUMPRODUCT((Raw_Data_Daily!$B$2:$B$9999="Variant")*(Raw_Data_Daily!$C$2:$C$9999="A. 0")*Raw_Data_Daily!$D$2:$D$9999*Raw_Data_Daily!$X$2:$X$9999)/SUMIFS(Raw_Data_Daily!$D:$D, Raw_Data_Daily!$B:$B, "Variant", Raw_Data_Daily!$C:$C, "A. 0"),"")</f>
        <v>14.12084436</v>
      </c>
      <c r="E35" s="46">
        <f t="shared" si="25"/>
        <v>-0.01008062899</v>
      </c>
      <c r="F35" s="119">
        <f>IFERROR(SUMPRODUCT((Raw_Data_Daily!$B$2:$B$9999="Control")*(Raw_Data_Daily!$C$2:$C$9999="B. 1-9")*Raw_Data_Daily!$D$2:$D$9999*Raw_Data_Daily!$X$2:$X$9999)/SUMIFS(Raw_Data_Daily!$D:$D, Raw_Data_Daily!$B:$B, "Control", Raw_Data_Daily!$C:$C, "B. 1-9"),"")</f>
        <v>4.842538037</v>
      </c>
      <c r="G35" s="55">
        <f>IFERROR(SUMPRODUCT((Raw_Data_Daily!$B$2:$B$9999="Variant")*(Raw_Data_Daily!$C$2:$C$9999="B. 1-9")*Raw_Data_Daily!$D$2:$D$9999*Raw_Data_Daily!$X$2:$X$9999)/SUMIFS(Raw_Data_Daily!$D:$D, Raw_Data_Daily!$B:$B, "Variant", Raw_Data_Daily!$C:$C, "B. 1-9"),"")</f>
        <v>4.774242494</v>
      </c>
      <c r="H35" s="50">
        <f t="shared" si="26"/>
        <v>-0.01410325384</v>
      </c>
      <c r="I35" s="115">
        <f>IFERROR(SUMPRODUCT((Raw_Data_Daily!$B$2:$B$9999="Control")*(Raw_Data_Daily!$C$2:$C$9999="C. 10-19")*Raw_Data_Daily!$D$2:$D$9999*Raw_Data_Daily!$X$2:$X$9999)/SUMIFS(Raw_Data_Daily!$D:$D, Raw_Data_Daily!$B:$B, "Control", Raw_Data_Daily!$C:$C, "C. 10-19"),"")</f>
        <v>7.913252811</v>
      </c>
      <c r="J35" s="55">
        <f>IFERROR(SUMPRODUCT((Raw_Data_Daily!$B$2:$B$9999="Variant")*(Raw_Data_Daily!$C$2:$C$9999="C. 10-19")*Raw_Data_Daily!$D$2:$D$9999*Raw_Data_Daily!$X$2:$X$9999)/SUMIFS(Raw_Data_Daily!$D:$D, Raw_Data_Daily!$B:$B, "Variant", Raw_Data_Daily!$C:$C, "C. 10-19"),"")</f>
        <v>8.027813452</v>
      </c>
      <c r="K35" s="49">
        <f t="shared" si="27"/>
        <v>0.01447706076</v>
      </c>
      <c r="L35" s="119">
        <f>IFERROR(SUMPRODUCT((Raw_Data_Daily!$B$2:$B$9999="Control")*(Raw_Data_Daily!$C$2:$C$9999="D. 20-39")*Raw_Data_Daily!$D$2:$D$9999*Raw_Data_Daily!$X$2:$X$9999)/SUMIFS(Raw_Data_Daily!$D:$D, Raw_Data_Daily!$B:$B, "Control", Raw_Data_Daily!$C:$C, "D. 20-39"),"")</f>
        <v>9.436776395</v>
      </c>
      <c r="M35" s="55">
        <f>IFERROR(SUMPRODUCT((Raw_Data_Daily!$B$2:$B$9999="Variant")*(Raw_Data_Daily!$C$2:$C$9999="D. 20-39")*Raw_Data_Daily!$D$2:$D$9999*Raw_Data_Daily!$X$2:$X$9999)/SUMIFS(Raw_Data_Daily!$D:$D, Raw_Data_Daily!$B:$B, "Variant", Raw_Data_Daily!$C:$C, "D. 20-39"),"")</f>
        <v>8.113329787</v>
      </c>
      <c r="N35" s="50">
        <f t="shared" si="28"/>
        <v>-0.1402435062</v>
      </c>
      <c r="O35" s="115">
        <f>IFERROR(SUMPRODUCT((Raw_Data_Daily!$B$2:$B$9999="Control")*(Raw_Data_Daily!$C$2:$C$9999="E. 40-99")*Raw_Data_Daily!$D$2:$D$9999*Raw_Data_Daily!$X$2:$X$9999)/SUMIFS(Raw_Data_Daily!$D:$D, Raw_Data_Daily!$B:$B, "Control", Raw_Data_Daily!$C:$C, "E. 40-99"),"")</f>
        <v>12.67925171</v>
      </c>
      <c r="P35" s="55">
        <f>IFERROR(SUMPRODUCT((Raw_Data_Daily!$B$2:$B$9999="Variant")*(Raw_Data_Daily!$C$2:$C$9999="E. 40-99")*Raw_Data_Daily!$D$2:$D$9999*Raw_Data_Daily!$X$2:$X$9999)/SUMIFS(Raw_Data_Daily!$D:$D, Raw_Data_Daily!$B:$B, "Variant", Raw_Data_Daily!$C:$C, "E. 40-99"),"")</f>
        <v>11.6474021</v>
      </c>
      <c r="Q35" s="49">
        <f t="shared" si="29"/>
        <v>-0.0813809552</v>
      </c>
      <c r="R35" s="119">
        <f>IFERROR(SUMPRODUCT((Raw_Data_Daily!$B$2:$B$9999="Control")*(Raw_Data_Daily!$C$2:$C$9999="F. 100+")*Raw_Data_Daily!$D$2:$D$9999*Raw_Data_Daily!$X$2:$X$9999)/SUMIFS(Raw_Data_Daily!$D:$D, Raw_Data_Daily!$B:$B, "Control", Raw_Data_Daily!$C:$C, "F. 100+"),"")</f>
        <v>14.85909431</v>
      </c>
      <c r="S35" s="55">
        <f>IFERROR(SUMPRODUCT((Raw_Data_Daily!$B$2:$B$9999="Variant")*(Raw_Data_Daily!$C$2:$C$9999="F. 100+")*Raw_Data_Daily!$D$2:$D$9999*Raw_Data_Daily!$X$2:$X$9999)/SUMIFS(Raw_Data_Daily!$D:$D, Raw_Data_Daily!$B:$B, "Variant", Raw_Data_Daily!$C:$C, "F. 100+"),"")</f>
        <v>10.60959252</v>
      </c>
      <c r="T35" s="50">
        <f t="shared" si="30"/>
        <v>-0.2859865956</v>
      </c>
    </row>
    <row r="36" ht="15.75" customHeight="1">
      <c r="A36" s="195" t="s">
        <v>47</v>
      </c>
      <c r="B36" s="27"/>
      <c r="C36" s="28"/>
      <c r="D36" s="12"/>
      <c r="E36" s="29"/>
      <c r="F36" s="30"/>
      <c r="G36" s="12"/>
      <c r="H36" s="27"/>
      <c r="I36" s="28"/>
      <c r="J36" s="12"/>
      <c r="K36" s="29"/>
      <c r="L36" s="30"/>
      <c r="M36" s="12"/>
      <c r="N36" s="27"/>
      <c r="O36" s="28"/>
      <c r="P36" s="12"/>
      <c r="Q36" s="29"/>
      <c r="R36" s="30"/>
      <c r="S36" s="12"/>
      <c r="T36" s="27"/>
    </row>
    <row r="37" ht="15.75" customHeight="1">
      <c r="A37" s="15"/>
      <c r="B37" s="197" t="s">
        <v>48</v>
      </c>
      <c r="C37" s="33">
        <f>IFERROR(SUMPRODUCT((Raw_Data_Daily!$B$2:$B$9999="Control")*(Raw_Data_Daily!$C$2:$C$9999="A. 0")*Raw_Data_Daily!$D$2:$D$9999*Raw_Data_Daily!$AX$2:$AX$9999)/SUMIFS(Raw_Data_Daily!$D:$D, Raw_Data_Daily!$B:$B, "Control", Raw_Data_Daily!$C:$C, "A. 0"),"")</f>
        <v>10.78738655</v>
      </c>
      <c r="D37" s="26">
        <f>IFERROR(SUMPRODUCT((Raw_Data_Daily!$B$2:$B$9999="Variant")*(Raw_Data_Daily!$C$2:$C$9999="A. 0")*Raw_Data_Daily!$D$2:$D$9999*Raw_Data_Daily!$AX$2:$AX$9999)/SUMIFS(Raw_Data_Daily!$D:$D, Raw_Data_Daily!$B:$B, "Variant", Raw_Data_Daily!$C:$C, "A. 0"),"")</f>
        <v>9.252043532</v>
      </c>
      <c r="E37" s="35">
        <f t="shared" ref="E37:E41" si="31">IFERROR((D37-C37)/ABS(C37),"")</f>
        <v>-0.1423276166</v>
      </c>
      <c r="F37" s="37">
        <f>IFERROR(SUMPRODUCT((Raw_Data_Daily!$B$2:$B$9999="Control")*(Raw_Data_Daily!$C$2:$C$9999="B. 1-9")*Raw_Data_Daily!$D$2:$D$9999*Raw_Data_Daily!$AX$2:$AX$9999)/SUMIFS(Raw_Data_Daily!$D:$D, Raw_Data_Daily!$B:$B, "Control", Raw_Data_Daily!$C:$C, "B. 1-9"),"")</f>
        <v>21.23019162</v>
      </c>
      <c r="G37" s="26">
        <f>IFERROR(SUMPRODUCT((Raw_Data_Daily!$B$2:$B$9999="Variant")*(Raw_Data_Daily!$C$2:$C$9999="B. 1-9")*Raw_Data_Daily!$D$2:$D$9999*Raw_Data_Daily!$AX$2:$AX$9999)/SUMIFS(Raw_Data_Daily!$D:$D, Raw_Data_Daily!$B:$B, "Variant", Raw_Data_Daily!$C:$C, "B. 1-9"),"")</f>
        <v>18.34629021</v>
      </c>
      <c r="H37" s="39">
        <f t="shared" ref="H37:H41" si="32">IFERROR((G37-F37)/ABS(F37),"")</f>
        <v>-0.1358396317</v>
      </c>
      <c r="I37" s="33">
        <f>IFERROR(SUMPRODUCT((Raw_Data_Daily!$B$2:$B$9999="Control")*(Raw_Data_Daily!$C$2:$C$9999="C. 10-19")*Raw_Data_Daily!$D$2:$D$9999*Raw_Data_Daily!$AX$2:$AX$9999)/SUMIFS(Raw_Data_Daily!$D:$D, Raw_Data_Daily!$B:$B, "Control", Raw_Data_Daily!$C:$C, "C. 10-19"),"")</f>
        <v>40.28557497</v>
      </c>
      <c r="J37" s="26">
        <f>IFERROR(SUMPRODUCT((Raw_Data_Daily!$B$2:$B$9999="Variant")*(Raw_Data_Daily!$C$2:$C$9999="C. 10-19")*Raw_Data_Daily!$D$2:$D$9999*Raw_Data_Daily!$AX$2:$AX$9999)/SUMIFS(Raw_Data_Daily!$D:$D, Raw_Data_Daily!$B:$B, "Variant", Raw_Data_Daily!$C:$C, "C. 10-19"),"")</f>
        <v>35.6557944</v>
      </c>
      <c r="K37" s="35">
        <f t="shared" ref="K37:K41" si="33">IFERROR((J37-I37)/ABS(I37),"")</f>
        <v>-0.1149240285</v>
      </c>
      <c r="L37" s="37">
        <f>IFERROR(SUMPRODUCT((Raw_Data_Daily!$B$2:$B$9999="Control")*(Raw_Data_Daily!$C$2:$C$9999="D. 20-39")*Raw_Data_Daily!$D$2:$D$9999*Raw_Data_Daily!$AX$2:$AX$9999)/SUMIFS(Raw_Data_Daily!$D:$D, Raw_Data_Daily!$B:$B, "Control", Raw_Data_Daily!$C:$C, "D. 20-39"),"")</f>
        <v>65.98164097</v>
      </c>
      <c r="M37" s="26">
        <f>IFERROR(SUMPRODUCT((Raw_Data_Daily!$B$2:$B$9999="Variant")*(Raw_Data_Daily!$C$2:$C$9999="D. 20-39")*Raw_Data_Daily!$D$2:$D$9999*Raw_Data_Daily!$AX$2:$AX$9999)/SUMIFS(Raw_Data_Daily!$D:$D, Raw_Data_Daily!$B:$B, "Variant", Raw_Data_Daily!$C:$C, "D. 20-39"),"")</f>
        <v>59.99104901</v>
      </c>
      <c r="N37" s="39">
        <f t="shared" ref="N37:N41" si="34">IFERROR((M37-L37)/ABS(L37),"")</f>
        <v>-0.09079180013</v>
      </c>
      <c r="O37" s="33">
        <f>IFERROR(SUMPRODUCT((Raw_Data_Daily!$B$2:$B$9999="Control")*(Raw_Data_Daily!$C$2:$C$9999="E. 40-99")*Raw_Data_Daily!$D$2:$D$9999*Raw_Data_Daily!$AX$2:$AX$9999)/SUMIFS(Raw_Data_Daily!$D:$D, Raw_Data_Daily!$B:$B, "Control", Raw_Data_Daily!$C:$C, "E. 40-99"),"")</f>
        <v>119.9296018</v>
      </c>
      <c r="P37" s="26">
        <f>IFERROR(SUMPRODUCT((Raw_Data_Daily!$B$2:$B$9999="Variant")*(Raw_Data_Daily!$C$2:$C$9999="E. 40-99")*Raw_Data_Daily!$D$2:$D$9999*Raw_Data_Daily!$AX$2:$AX$9999)/SUMIFS(Raw_Data_Daily!$D:$D, Raw_Data_Daily!$B:$B, "Variant", Raw_Data_Daily!$C:$C, "E. 40-99"),"")</f>
        <v>111.8369748</v>
      </c>
      <c r="Q37" s="35">
        <f t="shared" ref="Q37:Q41" si="35">IFERROR((P37-O37)/ABS(O37),"")</f>
        <v>-0.06747814434</v>
      </c>
      <c r="R37" s="37">
        <f>IFERROR(SUMPRODUCT((Raw_Data_Daily!$B$2:$B$9999="Control")*(Raw_Data_Daily!$C$2:$C$9999="F. 100+")*Raw_Data_Daily!$D$2:$D$9999*Raw_Data_Daily!$AX$2:$AX$9999)/SUMIFS(Raw_Data_Daily!$D:$D, Raw_Data_Daily!$B:$B, "Control", Raw_Data_Daily!$C:$C, "F. 100+"),"")</f>
        <v>281.2710217</v>
      </c>
      <c r="S37" s="26">
        <f>IFERROR(SUMPRODUCT((Raw_Data_Daily!$B$2:$B$9999="Variant")*(Raw_Data_Daily!$C$2:$C$9999="F. 100+")*Raw_Data_Daily!$D$2:$D$9999*Raw_Data_Daily!$AX$2:$AX$9999)/SUMIFS(Raw_Data_Daily!$D:$D, Raw_Data_Daily!$B:$B, "Variant", Raw_Data_Daily!$C:$C, "F. 100+"),"")</f>
        <v>242.7218753</v>
      </c>
      <c r="T37" s="39">
        <f t="shared" ref="T37:T41" si="36">IFERROR((S37-R37)/ABS(R37),"")</f>
        <v>-0.1370533879</v>
      </c>
    </row>
    <row r="38" ht="15.75" customHeight="1">
      <c r="A38" s="15"/>
      <c r="B38" s="197" t="s">
        <v>49</v>
      </c>
      <c r="C38" s="33">
        <f>IFERROR(SUMPRODUCT((Raw_Data_Daily!$B$2:$B$9999="Control")*(Raw_Data_Daily!$C$2:$C$9999="A. 0")*Raw_Data_Daily!$D$2:$D$9999*Raw_Data_Daily!$AY$2:$AY$9999)/SUMIFS(Raw_Data_Daily!$D:$D, Raw_Data_Daily!$B:$B, "Control", Raw_Data_Daily!$C:$C, "A. 0"),"")</f>
        <v>27.17335528</v>
      </c>
      <c r="D38" s="26">
        <f>IFERROR(SUMPRODUCT((Raw_Data_Daily!$B$2:$B$9999="Variant")*(Raw_Data_Daily!$C$2:$C$9999="A. 0")*Raw_Data_Daily!$D$2:$D$9999*Raw_Data_Daily!$AY$2:$AY$9999)/SUMIFS(Raw_Data_Daily!$D:$D, Raw_Data_Daily!$B:$B, "Variant", Raw_Data_Daily!$C:$C, "A. 0"),"")</f>
        <v>36.19139407</v>
      </c>
      <c r="E38" s="35">
        <f t="shared" si="31"/>
        <v>0.3318706395</v>
      </c>
      <c r="F38" s="37">
        <f>IFERROR(SUMPRODUCT((Raw_Data_Daily!$B$2:$B$9999="Control")*(Raw_Data_Daily!$C$2:$C$9999="B. 1-9")*Raw_Data_Daily!$D$2:$D$9999*Raw_Data_Daily!$AY$2:$AY$9999)/SUMIFS(Raw_Data_Daily!$D:$D, Raw_Data_Daily!$B:$B, "Control", Raw_Data_Daily!$C:$C, "B. 1-9"),"")</f>
        <v>20.27220826</v>
      </c>
      <c r="G38" s="26">
        <f>IFERROR(SUMPRODUCT((Raw_Data_Daily!$B$2:$B$9999="Variant")*(Raw_Data_Daily!$C$2:$C$9999="B. 1-9")*Raw_Data_Daily!$D$2:$D$9999*Raw_Data_Daily!$AY$2:$AY$9999)/SUMIFS(Raw_Data_Daily!$D:$D, Raw_Data_Daily!$B:$B, "Variant", Raw_Data_Daily!$C:$C, "B. 1-9"),"")</f>
        <v>21.92519129</v>
      </c>
      <c r="H38" s="39">
        <f t="shared" si="32"/>
        <v>0.08153936737</v>
      </c>
      <c r="I38" s="33">
        <f>IFERROR(SUMPRODUCT((Raw_Data_Daily!$B$2:$B$9999="Control")*(Raw_Data_Daily!$C$2:$C$9999="C. 10-19")*Raw_Data_Daily!$D$2:$D$9999*Raw_Data_Daily!$AY$2:$AY$9999)/SUMIFS(Raw_Data_Daily!$D:$D, Raw_Data_Daily!$B:$B, "Control", Raw_Data_Daily!$C:$C, "C. 10-19"),"")</f>
        <v>46.08379337</v>
      </c>
      <c r="J38" s="26">
        <f>IFERROR(SUMPRODUCT((Raw_Data_Daily!$B$2:$B$9999="Variant")*(Raw_Data_Daily!$C$2:$C$9999="C. 10-19")*Raw_Data_Daily!$D$2:$D$9999*Raw_Data_Daily!$AY$2:$AY$9999)/SUMIFS(Raw_Data_Daily!$D:$D, Raw_Data_Daily!$B:$B, "Variant", Raw_Data_Daily!$C:$C, "C. 10-19"),"")</f>
        <v>47.75951959</v>
      </c>
      <c r="K38" s="35">
        <f t="shared" si="33"/>
        <v>0.036362593</v>
      </c>
      <c r="L38" s="37">
        <f>IFERROR(SUMPRODUCT((Raw_Data_Daily!$B$2:$B$9999="Control")*(Raw_Data_Daily!$C$2:$C$9999="D. 20-39")*Raw_Data_Daily!$D$2:$D$9999*Raw_Data_Daily!$AY$2:$AY$9999)/SUMIFS(Raw_Data_Daily!$D:$D, Raw_Data_Daily!$B:$B, "Control", Raw_Data_Daily!$C:$C, "D. 20-39"),"")</f>
        <v>81.5307409</v>
      </c>
      <c r="M38" s="26">
        <f>IFERROR(SUMPRODUCT((Raw_Data_Daily!$B$2:$B$9999="Variant")*(Raw_Data_Daily!$C$2:$C$9999="D. 20-39")*Raw_Data_Daily!$D$2:$D$9999*Raw_Data_Daily!$AY$2:$AY$9999)/SUMIFS(Raw_Data_Daily!$D:$D, Raw_Data_Daily!$B:$B, "Variant", Raw_Data_Daily!$C:$C, "D. 20-39"),"")</f>
        <v>93.76380109</v>
      </c>
      <c r="N38" s="39">
        <f t="shared" si="34"/>
        <v>0.1500423037</v>
      </c>
      <c r="O38" s="33">
        <f>IFERROR(SUMPRODUCT((Raw_Data_Daily!$B$2:$B$9999="Control")*(Raw_Data_Daily!$C$2:$C$9999="E. 40-99")*Raw_Data_Daily!$D$2:$D$9999*Raw_Data_Daily!$AY$2:$AY$9999)/SUMIFS(Raw_Data_Daily!$D:$D, Raw_Data_Daily!$B:$B, "Control", Raw_Data_Daily!$C:$C, "E. 40-99"),"")</f>
        <v>144.5646568</v>
      </c>
      <c r="P38" s="26">
        <f>IFERROR(SUMPRODUCT((Raw_Data_Daily!$B$2:$B$9999="Variant")*(Raw_Data_Daily!$C$2:$C$9999="E. 40-99")*Raw_Data_Daily!$D$2:$D$9999*Raw_Data_Daily!$AY$2:$AY$9999)/SUMIFS(Raw_Data_Daily!$D:$D, Raw_Data_Daily!$B:$B, "Variant", Raw_Data_Daily!$C:$C, "E. 40-99"),"")</f>
        <v>178.7343849</v>
      </c>
      <c r="Q38" s="35">
        <f t="shared" si="35"/>
        <v>0.2363629457</v>
      </c>
      <c r="R38" s="37">
        <f>IFERROR(SUMPRODUCT((Raw_Data_Daily!$B$2:$B$9999="Control")*(Raw_Data_Daily!$C$2:$C$9999="F. 100+")*Raw_Data_Daily!$D$2:$D$9999*Raw_Data_Daily!$AY$2:$AY$9999)/SUMIFS(Raw_Data_Daily!$D:$D, Raw_Data_Daily!$B:$B, "Control", Raw_Data_Daily!$C:$C, "F. 100+"),"")</f>
        <v>204.2154828</v>
      </c>
      <c r="S38" s="26">
        <f>IFERROR(SUMPRODUCT((Raw_Data_Daily!$B$2:$B$9999="Variant")*(Raw_Data_Daily!$C$2:$C$9999="F. 100+")*Raw_Data_Daily!$D$2:$D$9999*Raw_Data_Daily!$AY$2:$AY$9999)/SUMIFS(Raw_Data_Daily!$D:$D, Raw_Data_Daily!$B:$B, "Variant", Raw_Data_Daily!$C:$C, "F. 100+"),"")</f>
        <v>277.3411642</v>
      </c>
      <c r="T38" s="39">
        <f t="shared" si="36"/>
        <v>0.3580809861</v>
      </c>
    </row>
    <row r="39" ht="15.75" customHeight="1">
      <c r="A39" s="15"/>
      <c r="B39" s="197" t="s">
        <v>50</v>
      </c>
      <c r="C39" s="33">
        <f>IFERROR(SUMPRODUCT((Raw_Data_Daily!$B$2:$B$9999="Control")*(Raw_Data_Daily!$C$2:$C$9999="A. 0")*Raw_Data_Daily!$D$2:$D$9999*Raw_Data_Daily!$AZ$2:$AZ$9999)/SUMIFS(Raw_Data_Daily!$D:$D, Raw_Data_Daily!$B:$B, "Control", Raw_Data_Daily!$C:$C, "A. 0"),"")</f>
        <v>2.502286198</v>
      </c>
      <c r="D39" s="26">
        <f>IFERROR(SUMPRODUCT((Raw_Data_Daily!$B$2:$B$9999="Variant")*(Raw_Data_Daily!$C$2:$C$9999="A. 0")*Raw_Data_Daily!$D$2:$D$9999*Raw_Data_Daily!$AZ$2:$AZ$9999)/SUMIFS(Raw_Data_Daily!$D:$D, Raw_Data_Daily!$B:$B, "Variant", Raw_Data_Daily!$C:$C, "A. 0"),"")</f>
        <v>2.587099913</v>
      </c>
      <c r="E39" s="35">
        <f t="shared" si="31"/>
        <v>0.03389449034</v>
      </c>
      <c r="F39" s="37">
        <f>IFERROR(SUMPRODUCT((Raw_Data_Daily!$B$2:$B$9999="Control")*(Raw_Data_Daily!$C$2:$C$9999="B. 1-9")*Raw_Data_Daily!$D$2:$D$9999*Raw_Data_Daily!$AZ$2:$AZ$9999)/SUMIFS(Raw_Data_Daily!$D:$D, Raw_Data_Daily!$B:$B, "Control", Raw_Data_Daily!$C:$C, "B. 1-9"),"")</f>
        <v>2.228249914</v>
      </c>
      <c r="G39" s="26">
        <f>IFERROR(SUMPRODUCT((Raw_Data_Daily!$B$2:$B$9999="Variant")*(Raw_Data_Daily!$C$2:$C$9999="B. 1-9")*Raw_Data_Daily!$D$2:$D$9999*Raw_Data_Daily!$AZ$2:$AZ$9999)/SUMIFS(Raw_Data_Daily!$D:$D, Raw_Data_Daily!$B:$B, "Variant", Raw_Data_Daily!$C:$C, "B. 1-9"),"")</f>
        <v>2.098002834</v>
      </c>
      <c r="H39" s="39">
        <f t="shared" si="32"/>
        <v>-0.05845263542</v>
      </c>
      <c r="I39" s="33">
        <f>IFERROR(SUMPRODUCT((Raw_Data_Daily!$B$2:$B$9999="Control")*(Raw_Data_Daily!$C$2:$C$9999="C. 10-19")*Raw_Data_Daily!$D$2:$D$9999*Raw_Data_Daily!$AZ$2:$AZ$9999)/SUMIFS(Raw_Data_Daily!$D:$D, Raw_Data_Daily!$B:$B, "Control", Raw_Data_Daily!$C:$C, "C. 10-19"),"")</f>
        <v>3.138756542</v>
      </c>
      <c r="J39" s="26">
        <f>IFERROR(SUMPRODUCT((Raw_Data_Daily!$B$2:$B$9999="Variant")*(Raw_Data_Daily!$C$2:$C$9999="C. 10-19")*Raw_Data_Daily!$D$2:$D$9999*Raw_Data_Daily!$AZ$2:$AZ$9999)/SUMIFS(Raw_Data_Daily!$D:$D, Raw_Data_Daily!$B:$B, "Variant", Raw_Data_Daily!$C:$C, "C. 10-19"),"")</f>
        <v>2.99184532</v>
      </c>
      <c r="K39" s="39">
        <f t="shared" si="33"/>
        <v>-0.04680554879</v>
      </c>
      <c r="L39" s="37">
        <f>IFERROR(SUMPRODUCT((Raw_Data_Daily!$B$2:$B$9999="Control")*(Raw_Data_Daily!$C$2:$C$9999="D. 20-39")*Raw_Data_Daily!$D$2:$D$9999*Raw_Data_Daily!$AZ$2:$AZ$9999)/SUMIFS(Raw_Data_Daily!$D:$D, Raw_Data_Daily!$B:$B, "Control", Raw_Data_Daily!$C:$C, "D. 20-39"),"")</f>
        <v>3.102805684</v>
      </c>
      <c r="M39" s="26">
        <f>IFERROR(SUMPRODUCT((Raw_Data_Daily!$B$2:$B$9999="Variant")*(Raw_Data_Daily!$C$2:$C$9999="D. 20-39")*Raw_Data_Daily!$D$2:$D$9999*Raw_Data_Daily!$AZ$2:$AZ$9999)/SUMIFS(Raw_Data_Daily!$D:$D, Raw_Data_Daily!$B:$B, "Variant", Raw_Data_Daily!$C:$C, "D. 20-39"),"")</f>
        <v>3.280310759</v>
      </c>
      <c r="N39" s="39">
        <f t="shared" si="34"/>
        <v>0.05720792513</v>
      </c>
      <c r="O39" s="33">
        <f>IFERROR(SUMPRODUCT((Raw_Data_Daily!$B$2:$B$9999="Control")*(Raw_Data_Daily!$C$2:$C$9999="E. 40-99")*Raw_Data_Daily!$D$2:$D$9999*Raw_Data_Daily!$AZ$2:$AZ$9999)/SUMIFS(Raw_Data_Daily!$D:$D, Raw_Data_Daily!$B:$B, "Control", Raw_Data_Daily!$C:$C, "E. 40-99"),"")</f>
        <v>4.36901123</v>
      </c>
      <c r="P39" s="26">
        <f>IFERROR(SUMPRODUCT((Raw_Data_Daily!$B$2:$B$9999="Variant")*(Raw_Data_Daily!$C$2:$C$9999="E. 40-99")*Raw_Data_Daily!$D$2:$D$9999*Raw_Data_Daily!$AZ$2:$AZ$9999)/SUMIFS(Raw_Data_Daily!$D:$D, Raw_Data_Daily!$B:$B, "Variant", Raw_Data_Daily!$C:$C, "E. 40-99"),"")</f>
        <v>4.184157452</v>
      </c>
      <c r="Q39" s="39">
        <f t="shared" si="35"/>
        <v>-0.04231020885</v>
      </c>
      <c r="R39" s="37">
        <f>IFERROR(SUMPRODUCT((Raw_Data_Daily!$B$2:$B$9999="Control")*(Raw_Data_Daily!$C$2:$C$9999="F. 100+")*Raw_Data_Daily!$D$2:$D$9999*Raw_Data_Daily!$AZ$2:$AZ$9999)/SUMIFS(Raw_Data_Daily!$D:$D, Raw_Data_Daily!$B:$B, "Control", Raw_Data_Daily!$C:$C, "F. 100+"),"")</f>
        <v>7.323884731</v>
      </c>
      <c r="S39" s="26">
        <f>IFERROR(SUMPRODUCT((Raw_Data_Daily!$B$2:$B$9999="Variant")*(Raw_Data_Daily!$C$2:$C$9999="F. 100+")*Raw_Data_Daily!$D$2:$D$9999*Raw_Data_Daily!$AZ$2:$AZ$9999)/SUMIFS(Raw_Data_Daily!$D:$D, Raw_Data_Daily!$B:$B, "Variant", Raw_Data_Daily!$C:$C, "F. 100+"),"")</f>
        <v>6.990902287</v>
      </c>
      <c r="T39" s="39">
        <f t="shared" si="36"/>
        <v>-0.04546527641</v>
      </c>
    </row>
    <row r="40" ht="15.75" customHeight="1">
      <c r="A40" s="15"/>
      <c r="B40" s="197" t="s">
        <v>51</v>
      </c>
      <c r="C40" s="33">
        <f>IFERROR(SUMPRODUCT((Raw_Data_Daily!$B$2:$B$9999="Control")*(Raw_Data_Daily!$C$2:$C$9999="A. 0")*Raw_Data_Daily!$D$2:$D$9999*Raw_Data_Daily!$BA$2:$BA$9999)/SUMIFS(Raw_Data_Daily!$D:$D, Raw_Data_Daily!$B:$B, "Control", Raw_Data_Daily!$C:$C, "A. 0"),"")</f>
        <v>7.021160966</v>
      </c>
      <c r="D40" s="26">
        <f>IFERROR(SUMPRODUCT((Raw_Data_Daily!$B$2:$B$9999="Variant")*(Raw_Data_Daily!$C$2:$C$9999="A. 0")*Raw_Data_Daily!$D$2:$D$9999*Raw_Data_Daily!$BA$2:$BA$9999)/SUMIFS(Raw_Data_Daily!$D:$D, Raw_Data_Daily!$B:$B, "Variant", Raw_Data_Daily!$C:$C, "A. 0"),"")</f>
        <v>8.033376071</v>
      </c>
      <c r="E40" s="35">
        <f t="shared" si="31"/>
        <v>0.1441663436</v>
      </c>
      <c r="F40" s="37">
        <f>IFERROR(SUMPRODUCT((Raw_Data_Daily!$B$2:$B$9999="Control")*(Raw_Data_Daily!$C$2:$C$9999="B. 1-9")*Raw_Data_Daily!$D$2:$D$9999*Raw_Data_Daily!$BA$2:$BA$9999)/SUMIFS(Raw_Data_Daily!$D:$D, Raw_Data_Daily!$B:$B, "Control", Raw_Data_Daily!$C:$C, "B. 1-9"),"")</f>
        <v>2.158399954</v>
      </c>
      <c r="G40" s="26">
        <f>IFERROR(SUMPRODUCT((Raw_Data_Daily!$B$2:$B$9999="Variant")*(Raw_Data_Daily!$C$2:$C$9999="B. 1-9")*Raw_Data_Daily!$D$2:$D$9999*Raw_Data_Daily!$BA$2:$BA$9999)/SUMIFS(Raw_Data_Daily!$D:$D, Raw_Data_Daily!$B:$B, "Variant", Raw_Data_Daily!$C:$C, "B. 1-9"),"")</f>
        <v>2.110378945</v>
      </c>
      <c r="H40" s="39">
        <f t="shared" si="32"/>
        <v>-0.02224842962</v>
      </c>
      <c r="I40" s="33">
        <f>IFERROR(SUMPRODUCT((Raw_Data_Daily!$B$2:$B$9999="Control")*(Raw_Data_Daily!$C$2:$C$9999="C. 10-19")*Raw_Data_Daily!$D$2:$D$9999*Raw_Data_Daily!$BA$2:$BA$9999)/SUMIFS(Raw_Data_Daily!$D:$D, Raw_Data_Daily!$B:$B, "Control", Raw_Data_Daily!$C:$C, "C. 10-19"),"")</f>
        <v>7.515286393</v>
      </c>
      <c r="J40" s="26">
        <f>IFERROR(SUMPRODUCT((Raw_Data_Daily!$B$2:$B$9999="Variant")*(Raw_Data_Daily!$C$2:$C$9999="C. 10-19")*Raw_Data_Daily!$D$2:$D$9999*Raw_Data_Daily!$BA$2:$BA$9999)/SUMIFS(Raw_Data_Daily!$D:$D, Raw_Data_Daily!$B:$B, "Variant", Raw_Data_Daily!$C:$C, "C. 10-19"),"")</f>
        <v>7.352560651</v>
      </c>
      <c r="K40" s="39">
        <f t="shared" si="33"/>
        <v>-0.0216526335</v>
      </c>
      <c r="L40" s="37">
        <f>IFERROR(SUMPRODUCT((Raw_Data_Daily!$B$2:$B$9999="Control")*(Raw_Data_Daily!$C$2:$C$9999="D. 20-39")*Raw_Data_Daily!$D$2:$D$9999*Raw_Data_Daily!$BA$2:$BA$9999)/SUMIFS(Raw_Data_Daily!$D:$D, Raw_Data_Daily!$B:$B, "Control", Raw_Data_Daily!$C:$C, "D. 20-39"),"")</f>
        <v>15.54688623</v>
      </c>
      <c r="M40" s="26">
        <f>IFERROR(SUMPRODUCT((Raw_Data_Daily!$B$2:$B$9999="Variant")*(Raw_Data_Daily!$C$2:$C$9999="D. 20-39")*Raw_Data_Daily!$D$2:$D$9999*Raw_Data_Daily!$BA$2:$BA$9999)/SUMIFS(Raw_Data_Daily!$D:$D, Raw_Data_Daily!$B:$B, "Variant", Raw_Data_Daily!$C:$C, "D. 20-39"),"")</f>
        <v>13.66635507</v>
      </c>
      <c r="N40" s="39">
        <f t="shared" si="34"/>
        <v>-0.1209587005</v>
      </c>
      <c r="O40" s="33">
        <f>IFERROR(SUMPRODUCT((Raw_Data_Daily!$B$2:$B$9999="Control")*(Raw_Data_Daily!$C$2:$C$9999="E. 40-99")*Raw_Data_Daily!$D$2:$D$9999*Raw_Data_Daily!$BA$2:$BA$9999)/SUMIFS(Raw_Data_Daily!$D:$D, Raw_Data_Daily!$B:$B, "Control", Raw_Data_Daily!$C:$C, "E. 40-99"),"")</f>
        <v>38.63809586</v>
      </c>
      <c r="P40" s="26">
        <f>IFERROR(SUMPRODUCT((Raw_Data_Daily!$B$2:$B$9999="Variant")*(Raw_Data_Daily!$C$2:$C$9999="E. 40-99")*Raw_Data_Daily!$D$2:$D$9999*Raw_Data_Daily!$BA$2:$BA$9999)/SUMIFS(Raw_Data_Daily!$D:$D, Raw_Data_Daily!$B:$B, "Variant", Raw_Data_Daily!$C:$C, "E. 40-99"),"")</f>
        <v>38.89245623</v>
      </c>
      <c r="Q40" s="39">
        <f t="shared" si="35"/>
        <v>0.006583149647</v>
      </c>
      <c r="R40" s="37">
        <f>IFERROR(SUMPRODUCT((Raw_Data_Daily!$B$2:$B$9999="Control")*(Raw_Data_Daily!$C$2:$C$9999="F. 100+")*Raw_Data_Daily!$D$2:$D$9999*Raw_Data_Daily!$BA$2:$BA$9999)/SUMIFS(Raw_Data_Daily!$D:$D, Raw_Data_Daily!$B:$B, "Control", Raw_Data_Daily!$C:$C, "F. 100+"),"")</f>
        <v>86.24722305</v>
      </c>
      <c r="S40" s="26">
        <f>IFERROR(SUMPRODUCT((Raw_Data_Daily!$B$2:$B$9999="Variant")*(Raw_Data_Daily!$C$2:$C$9999="F. 100+")*Raw_Data_Daily!$D$2:$D$9999*Raw_Data_Daily!$BA$2:$BA$9999)/SUMIFS(Raw_Data_Daily!$D:$D, Raw_Data_Daily!$B:$B, "Variant", Raw_Data_Daily!$C:$C, "F. 100+"),"")</f>
        <v>63.76210395</v>
      </c>
      <c r="T40" s="39">
        <f t="shared" si="36"/>
        <v>-0.2607054269</v>
      </c>
    </row>
    <row r="41" ht="15.75" customHeight="1">
      <c r="A41" s="15"/>
      <c r="B41" s="197" t="s">
        <v>52</v>
      </c>
      <c r="C41" s="33">
        <f>IFERROR(SUMPRODUCT((Raw_Data_Daily!$B$2:$B$9999="Control")*(Raw_Data_Daily!$C$2:$C$9999="A. 0")*Raw_Data_Daily!$D$2:$D$9999*Raw_Data_Daily!$BB$2:$BB$9999)/SUMIFS(Raw_Data_Daily!$D:$D, Raw_Data_Daily!$B:$B, "Control", Raw_Data_Daily!$C:$C, "A. 0"),"")</f>
        <v>0.1871073914</v>
      </c>
      <c r="D41" s="26">
        <f>IFERROR(SUMPRODUCT((Raw_Data_Daily!$B$2:$B$9999="Variant")*(Raw_Data_Daily!$C$2:$C$9999="A. 0")*Raw_Data_Daily!$D$2:$D$9999*Raw_Data_Daily!$BB$2:$BB$9999)/SUMIFS(Raw_Data_Daily!$D:$D, Raw_Data_Daily!$B:$B, "Variant", Raw_Data_Daily!$C:$C, "A. 0"),"")</f>
        <v>0.1898430554</v>
      </c>
      <c r="E41" s="35">
        <f t="shared" si="31"/>
        <v>0.01462082283</v>
      </c>
      <c r="F41" s="37">
        <f>IFERROR(SUMPRODUCT((Raw_Data_Daily!$B$2:$B$9999="Control")*(Raw_Data_Daily!$C$2:$C$9999="B. 1-9")*Raw_Data_Daily!$D$2:$D$9999*Raw_Data_Daily!$BB$2:$BB$9999)/SUMIFS(Raw_Data_Daily!$D:$D, Raw_Data_Daily!$B:$B, "Control", Raw_Data_Daily!$C:$C, "B. 1-9"),"")</f>
        <v>0.4681385812</v>
      </c>
      <c r="G41" s="26">
        <f>IFERROR(SUMPRODUCT((Raw_Data_Daily!$B$2:$B$9999="Variant")*(Raw_Data_Daily!$C$2:$C$9999="B. 1-9")*Raw_Data_Daily!$D$2:$D$9999*Raw_Data_Daily!$BB$2:$BB$9999)/SUMIFS(Raw_Data_Daily!$D:$D, Raw_Data_Daily!$B:$B, "Variant", Raw_Data_Daily!$C:$C, "B. 1-9"),"")</f>
        <v>0.4947367111</v>
      </c>
      <c r="H41" s="39">
        <f t="shared" si="32"/>
        <v>0.05681678659</v>
      </c>
      <c r="I41" s="33">
        <f>IFERROR(SUMPRODUCT((Raw_Data_Daily!$B$2:$B$9999="Control")*(Raw_Data_Daily!$C$2:$C$9999="C. 10-19")*Raw_Data_Daily!$D$2:$D$9999*Raw_Data_Daily!$BB$2:$BB$9999)/SUMIFS(Raw_Data_Daily!$D:$D, Raw_Data_Daily!$B:$B, "Control", Raw_Data_Daily!$C:$C, "C. 10-19"),"")</f>
        <v>1.238841103</v>
      </c>
      <c r="J41" s="26">
        <f>IFERROR(SUMPRODUCT((Raw_Data_Daily!$B$2:$B$9999="Variant")*(Raw_Data_Daily!$C$2:$C$9999="C. 10-19")*Raw_Data_Daily!$D$2:$D$9999*Raw_Data_Daily!$BB$2:$BB$9999)/SUMIFS(Raw_Data_Daily!$D:$D, Raw_Data_Daily!$B:$B, "Variant", Raw_Data_Daily!$C:$C, "C. 10-19"),"")</f>
        <v>1.169103496</v>
      </c>
      <c r="K41" s="35">
        <f t="shared" si="33"/>
        <v>-0.05629261613</v>
      </c>
      <c r="L41" s="37">
        <f>IFERROR(SUMPRODUCT((Raw_Data_Daily!$B$2:$B$9999="Control")*(Raw_Data_Daily!$C$2:$C$9999="D. 20-39")*Raw_Data_Daily!$D$2:$D$9999*Raw_Data_Daily!$BB$2:$BB$9999)/SUMIFS(Raw_Data_Daily!$D:$D, Raw_Data_Daily!$B:$B, "Control", Raw_Data_Daily!$C:$C, "D. 20-39"),"")</f>
        <v>2.300272719</v>
      </c>
      <c r="M41" s="26">
        <f>IFERROR(SUMPRODUCT((Raw_Data_Daily!$B$2:$B$9999="Variant")*(Raw_Data_Daily!$C$2:$C$9999="D. 20-39")*Raw_Data_Daily!$D$2:$D$9999*Raw_Data_Daily!$BB$2:$BB$9999)/SUMIFS(Raw_Data_Daily!$D:$D, Raw_Data_Daily!$B:$B, "Variant", Raw_Data_Daily!$C:$C, "D. 20-39"),"")</f>
        <v>2.174805971</v>
      </c>
      <c r="N41" s="39">
        <f t="shared" si="34"/>
        <v>-0.05454429238</v>
      </c>
      <c r="O41" s="33">
        <f>IFERROR(SUMPRODUCT((Raw_Data_Daily!$B$2:$B$9999="Control")*(Raw_Data_Daily!$C$2:$C$9999="E. 40-99")*Raw_Data_Daily!$D$2:$D$9999*Raw_Data_Daily!$BB$2:$BB$9999)/SUMIFS(Raw_Data_Daily!$D:$D, Raw_Data_Daily!$B:$B, "Control", Raw_Data_Daily!$C:$C, "E. 40-99"),"")</f>
        <v>5.212349493</v>
      </c>
      <c r="P41" s="26">
        <f>IFERROR(SUMPRODUCT((Raw_Data_Daily!$B$2:$B$9999="Variant")*(Raw_Data_Daily!$C$2:$C$9999="E. 40-99")*Raw_Data_Daily!$D$2:$D$9999*Raw_Data_Daily!$BB$2:$BB$9999)/SUMIFS(Raw_Data_Daily!$D:$D, Raw_Data_Daily!$B:$B, "Variant", Raw_Data_Daily!$C:$C, "E. 40-99"),"")</f>
        <v>5.46031502</v>
      </c>
      <c r="Q41" s="35">
        <f t="shared" si="35"/>
        <v>0.04757269761</v>
      </c>
      <c r="R41" s="37">
        <f>IFERROR(SUMPRODUCT((Raw_Data_Daily!$B$2:$B$9999="Control")*(Raw_Data_Daily!$C$2:$C$9999="F. 100+")*Raw_Data_Daily!$D$2:$D$9999*Raw_Data_Daily!$BB$2:$BB$9999)/SUMIFS(Raw_Data_Daily!$D:$D, Raw_Data_Daily!$B:$B, "Control", Raw_Data_Daily!$C:$C, "F. 100+"),"")</f>
        <v>13.9011003</v>
      </c>
      <c r="S41" s="26">
        <f>IFERROR(SUMPRODUCT((Raw_Data_Daily!$B$2:$B$9999="Variant")*(Raw_Data_Daily!$C$2:$C$9999="F. 100+")*Raw_Data_Daily!$D$2:$D$9999*Raw_Data_Daily!$BB$2:$BB$9999)/SUMIFS(Raw_Data_Daily!$D:$D, Raw_Data_Daily!$B:$B, "Variant", Raw_Data_Daily!$C:$C, "F. 100+"),"")</f>
        <v>11.37824532</v>
      </c>
      <c r="T41" s="39">
        <f t="shared" si="36"/>
        <v>-0.181485992</v>
      </c>
    </row>
    <row r="42" ht="15.75" customHeight="1">
      <c r="A42" s="25" t="s">
        <v>53</v>
      </c>
      <c r="B42" s="27"/>
      <c r="C42" s="28"/>
      <c r="D42" s="12"/>
      <c r="E42" s="29"/>
      <c r="F42" s="30"/>
      <c r="G42" s="12"/>
      <c r="H42" s="27"/>
      <c r="I42" s="28"/>
      <c r="J42" s="12"/>
      <c r="K42" s="29"/>
      <c r="L42" s="30"/>
      <c r="M42" s="12"/>
      <c r="N42" s="27"/>
      <c r="O42" s="28"/>
      <c r="P42" s="12"/>
      <c r="Q42" s="29"/>
      <c r="R42" s="30"/>
      <c r="S42" s="12"/>
      <c r="T42" s="27"/>
    </row>
    <row r="43" ht="15.75" customHeight="1">
      <c r="A43" s="15"/>
      <c r="B43" s="31" t="s">
        <v>54</v>
      </c>
      <c r="C43" s="33">
        <f>IFERROR(SUMPRODUCT((Raw_Data_Daily!$B$2:$B$9999="Control")*(Raw_Data_Daily!$C$2:$C$9999="A. 0")*Raw_Data_Daily!$D$2:$D$9999*Raw_Data_Daily!$Y$2:$Y$9999)/SUMIFS(Raw_Data_Daily!$D:$D, Raw_Data_Daily!$B:$B, "Control", Raw_Data_Daily!$C:$C, "A. 0"),"")</f>
        <v>202.8865902</v>
      </c>
      <c r="D43" s="26">
        <f>IFERROR(SUMPRODUCT((Raw_Data_Daily!$B$2:$B$9999="Variant")*(Raw_Data_Daily!$C$2:$C$9999="A. 0")*Raw_Data_Daily!$D$2:$D$9999*Raw_Data_Daily!$Y$2:$Y$9999)/SUMIFS(Raw_Data_Daily!$D:$D, Raw_Data_Daily!$B:$B, "Variant", Raw_Data_Daily!$C:$C, "A. 0"),"")</f>
        <v>200.529871</v>
      </c>
      <c r="E43" s="35">
        <f t="shared" ref="E43:E46" si="37">IFERROR((D43-C43)/ABS(C43),"")</f>
        <v>-0.01161594369</v>
      </c>
      <c r="F43" s="37">
        <f>IFERROR(SUMPRODUCT((Raw_Data_Daily!$B$2:$B$9999="Control")*(Raw_Data_Daily!$C$2:$C$9999="B. 1-9")*Raw_Data_Daily!$D$2:$D$9999*Raw_Data_Daily!$Y$2:$Y$9999)/SUMIFS(Raw_Data_Daily!$D:$D, Raw_Data_Daily!$B:$B, "Control", Raw_Data_Daily!$C:$C, "B. 1-9"),"")</f>
        <v>198.2029472</v>
      </c>
      <c r="G43" s="26">
        <f>IFERROR(SUMPRODUCT((Raw_Data_Daily!$B$2:$B$9999="Variant")*(Raw_Data_Daily!$C$2:$C$9999="B. 1-9")*Raw_Data_Daily!$D$2:$D$9999*Raw_Data_Daily!$Y$2:$Y$9999)/SUMIFS(Raw_Data_Daily!$D:$D, Raw_Data_Daily!$B:$B, "Variant", Raw_Data_Daily!$C:$C, "B. 1-9"),"")</f>
        <v>199.2729396</v>
      </c>
      <c r="H43" s="39">
        <f t="shared" ref="H43:H46" si="38">IFERROR((G43-F43)/ABS(F43),"")</f>
        <v>0.005398469142</v>
      </c>
      <c r="I43" s="33">
        <f>IFERROR(SUMPRODUCT((Raw_Data_Daily!$B$2:$B$9999="Control")*(Raw_Data_Daily!$C$2:$C$9999="C. 10-19")*Raw_Data_Daily!$D$2:$D$9999*Raw_Data_Daily!$Y$2:$Y$9999)/SUMIFS(Raw_Data_Daily!$D:$D, Raw_Data_Daily!$B:$B, "Control", Raw_Data_Daily!$C:$C, "C. 10-19"),"")</f>
        <v>221.1649302</v>
      </c>
      <c r="J43" s="26">
        <f>IFERROR(SUMPRODUCT((Raw_Data_Daily!$B$2:$B$9999="Variant")*(Raw_Data_Daily!$C$2:$C$9999="C. 10-19")*Raw_Data_Daily!$D$2:$D$9999*Raw_Data_Daily!$Y$2:$Y$9999)/SUMIFS(Raw_Data_Daily!$D:$D, Raw_Data_Daily!$B:$B, "Variant", Raw_Data_Daily!$C:$C, "C. 10-19"),"")</f>
        <v>211.2079284</v>
      </c>
      <c r="K43" s="35">
        <f t="shared" ref="K43:K46" si="39">IFERROR((J43-I43)/ABS(I43),"")</f>
        <v>-0.04502070837</v>
      </c>
      <c r="L43" s="37">
        <f>IFERROR(SUMPRODUCT((Raw_Data_Daily!$B$2:$B$9999="Control")*(Raw_Data_Daily!$C$2:$C$9999="D. 20-39")*Raw_Data_Daily!$D$2:$D$9999*Raw_Data_Daily!$Y$2:$Y$9999)/SUMIFS(Raw_Data_Daily!$D:$D, Raw_Data_Daily!$B:$B, "Control", Raw_Data_Daily!$C:$C, "D. 20-39"),"")</f>
        <v>254.2330986</v>
      </c>
      <c r="M43" s="26">
        <f>IFERROR(SUMPRODUCT((Raw_Data_Daily!$B$2:$B$9999="Variant")*(Raw_Data_Daily!$C$2:$C$9999="D. 20-39")*Raw_Data_Daily!$D$2:$D$9999*Raw_Data_Daily!$Y$2:$Y$9999)/SUMIFS(Raw_Data_Daily!$D:$D, Raw_Data_Daily!$B:$B, "Variant", Raw_Data_Daily!$C:$C, "D. 20-39"),"")</f>
        <v>249.2967391</v>
      </c>
      <c r="N43" s="39">
        <f t="shared" ref="N43:N46" si="40">IFERROR((M43-L43)/ABS(L43),"")</f>
        <v>-0.01941666736</v>
      </c>
      <c r="O43" s="33">
        <f>IFERROR(SUMPRODUCT((Raw_Data_Daily!$B$2:$B$9999="Control")*(Raw_Data_Daily!$C$2:$C$9999="E. 40-99")*Raw_Data_Daily!$D$2:$D$9999*Raw_Data_Daily!$Y$2:$Y$9999)/SUMIFS(Raw_Data_Daily!$D:$D, Raw_Data_Daily!$B:$B, "Control", Raw_Data_Daily!$C:$C, "E. 40-99"),"")</f>
        <v>312.3926048</v>
      </c>
      <c r="P43" s="26">
        <f>IFERROR(SUMPRODUCT((Raw_Data_Daily!$B$2:$B$9999="Variant")*(Raw_Data_Daily!$C$2:$C$9999="E. 40-99")*Raw_Data_Daily!$D$2:$D$9999*Raw_Data_Daily!$Y$2:$Y$9999)/SUMIFS(Raw_Data_Daily!$D:$D, Raw_Data_Daily!$B:$B, "Variant", Raw_Data_Daily!$C:$C, "E. 40-99"),"")</f>
        <v>321.2482723</v>
      </c>
      <c r="Q43" s="35">
        <f t="shared" ref="Q43:Q46" si="41">IFERROR((P43-O43)/ABS(O43),"")</f>
        <v>0.02834787824</v>
      </c>
      <c r="R43" s="37">
        <f>IFERROR(SUMPRODUCT((Raw_Data_Daily!$B$2:$B$9999="Control")*(Raw_Data_Daily!$C$2:$C$9999="F. 100+")*Raw_Data_Daily!$D$2:$D$9999*Raw_Data_Daily!$Y$2:$Y$9999)/SUMIFS(Raw_Data_Daily!$D:$D, Raw_Data_Daily!$B:$B, "Control", Raw_Data_Daily!$C:$C, "F. 100+"),"")</f>
        <v>398.7294162</v>
      </c>
      <c r="S43" s="26">
        <f>IFERROR(SUMPRODUCT((Raw_Data_Daily!$B$2:$B$9999="Variant")*(Raw_Data_Daily!$C$2:$C$9999="F. 100+")*Raw_Data_Daily!$D$2:$D$9999*Raw_Data_Daily!$Y$2:$Y$9999)/SUMIFS(Raw_Data_Daily!$D:$D, Raw_Data_Daily!$B:$B, "Variant", Raw_Data_Daily!$C:$C, "F. 100+"),"")</f>
        <v>419.6054054</v>
      </c>
      <c r="T43" s="39">
        <f t="shared" ref="T43:T46" si="42">IFERROR((S43-R43)/ABS(R43),"")</f>
        <v>0.0523562807</v>
      </c>
    </row>
    <row r="44" ht="15.75" customHeight="1">
      <c r="A44" s="15"/>
      <c r="B44" s="31" t="s">
        <v>55</v>
      </c>
      <c r="C44" s="33">
        <f>IFERROR(SUMPRODUCT((Raw_Data_Daily!$B$2:$B$9999="Control")*(Raw_Data_Daily!$C$2:$C$9999="A. 0")*Raw_Data_Daily!$D$2:$D$9999*Raw_Data_Daily!$Z$2:$Z$9999)/SUMIFS(Raw_Data_Daily!$D:$D, Raw_Data_Daily!$B:$B, "Control", Raw_Data_Daily!$C:$C, "A. 0"),"")</f>
        <v>641.5460383</v>
      </c>
      <c r="D44" s="26">
        <f>IFERROR(SUMPRODUCT((Raw_Data_Daily!$B$2:$B$9999="Variant")*(Raw_Data_Daily!$C$2:$C$9999="A. 0")*Raw_Data_Daily!$D$2:$D$9999*Raw_Data_Daily!$Z$2:$Z$9999)/SUMIFS(Raw_Data_Daily!$D:$D, Raw_Data_Daily!$B:$B, "Variant", Raw_Data_Daily!$C:$C, "A. 0"),"")</f>
        <v>574.1741841</v>
      </c>
      <c r="E44" s="35">
        <f t="shared" si="37"/>
        <v>-0.1050148394</v>
      </c>
      <c r="F44" s="37">
        <f>IFERROR(SUMPRODUCT((Raw_Data_Daily!$B$2:$B$9999="Control")*(Raw_Data_Daily!$C$2:$C$9999="B. 1-9")*Raw_Data_Daily!$D$2:$D$9999*Raw_Data_Daily!$Z$2:$Z$9999)/SUMIFS(Raw_Data_Daily!$D:$D, Raw_Data_Daily!$B:$B, "Control", Raw_Data_Daily!$C:$C, "B. 1-9"),"")</f>
        <v>384.4305753</v>
      </c>
      <c r="G44" s="26">
        <f>IFERROR(SUMPRODUCT((Raw_Data_Daily!$B$2:$B$9999="Variant")*(Raw_Data_Daily!$C$2:$C$9999="B. 1-9")*Raw_Data_Daily!$D$2:$D$9999*Raw_Data_Daily!$Z$2:$Z$9999)/SUMIFS(Raw_Data_Daily!$D:$D, Raw_Data_Daily!$B:$B, "Variant", Raw_Data_Daily!$C:$C, "B. 1-9"),"")</f>
        <v>367.8952206</v>
      </c>
      <c r="H44" s="39">
        <f t="shared" si="38"/>
        <v>-0.04301258986</v>
      </c>
      <c r="I44" s="33">
        <f>IFERROR(SUMPRODUCT((Raw_Data_Daily!$B$2:$B$9999="Control")*(Raw_Data_Daily!$C$2:$C$9999="C. 10-19")*Raw_Data_Daily!$D$2:$D$9999*Raw_Data_Daily!$Z$2:$Z$9999)/SUMIFS(Raw_Data_Daily!$D:$D, Raw_Data_Daily!$B:$B, "Control", Raw_Data_Daily!$C:$C, "C. 10-19"),"")</f>
        <v>451.450596</v>
      </c>
      <c r="J44" s="26">
        <f>IFERROR(SUMPRODUCT((Raw_Data_Daily!$B$2:$B$9999="Variant")*(Raw_Data_Daily!$C$2:$C$9999="C. 10-19")*Raw_Data_Daily!$D$2:$D$9999*Raw_Data_Daily!$Z$2:$Z$9999)/SUMIFS(Raw_Data_Daily!$D:$D, Raw_Data_Daily!$B:$B, "Variant", Raw_Data_Daily!$C:$C, "C. 10-19"),"")</f>
        <v>395.6035563</v>
      </c>
      <c r="K44" s="35">
        <f t="shared" si="39"/>
        <v>-0.1237057616</v>
      </c>
      <c r="L44" s="37">
        <f>IFERROR(SUMPRODUCT((Raw_Data_Daily!$B$2:$B$9999="Control")*(Raw_Data_Daily!$C$2:$C$9999="D. 20-39")*Raw_Data_Daily!$D$2:$D$9999*Raw_Data_Daily!$Z$2:$Z$9999)/SUMIFS(Raw_Data_Daily!$D:$D, Raw_Data_Daily!$B:$B, "Control", Raw_Data_Daily!$C:$C, "D. 20-39"),"")</f>
        <v>511.5481989</v>
      </c>
      <c r="M44" s="26">
        <f>IFERROR(SUMPRODUCT((Raw_Data_Daily!$B$2:$B$9999="Variant")*(Raw_Data_Daily!$C$2:$C$9999="D. 20-39")*Raw_Data_Daily!$D$2:$D$9999*Raw_Data_Daily!$Z$2:$Z$9999)/SUMIFS(Raw_Data_Daily!$D:$D, Raw_Data_Daily!$B:$B, "Variant", Raw_Data_Daily!$C:$C, "D. 20-39"),"")</f>
        <v>485.3982913</v>
      </c>
      <c r="N44" s="39">
        <f t="shared" si="40"/>
        <v>-0.05111914713</v>
      </c>
      <c r="O44" s="33">
        <f>IFERROR(SUMPRODUCT((Raw_Data_Daily!$B$2:$B$9999="Control")*(Raw_Data_Daily!$C$2:$C$9999="E. 40-99")*Raw_Data_Daily!$D$2:$D$9999*Raw_Data_Daily!$Z$2:$Z$9999)/SUMIFS(Raw_Data_Daily!$D:$D, Raw_Data_Daily!$B:$B, "Control", Raw_Data_Daily!$C:$C, "E. 40-99"),"")</f>
        <v>672.0107916</v>
      </c>
      <c r="P44" s="26">
        <f>IFERROR(SUMPRODUCT((Raw_Data_Daily!$B$2:$B$9999="Variant")*(Raw_Data_Daily!$C$2:$C$9999="E. 40-99")*Raw_Data_Daily!$D$2:$D$9999*Raw_Data_Daily!$Z$2:$Z$9999)/SUMIFS(Raw_Data_Daily!$D:$D, Raw_Data_Daily!$B:$B, "Variant", Raw_Data_Daily!$C:$C, "E. 40-99"),"")</f>
        <v>596.8460032</v>
      </c>
      <c r="Q44" s="35">
        <f t="shared" si="41"/>
        <v>-0.1118505674</v>
      </c>
      <c r="R44" s="37">
        <f>IFERROR(SUMPRODUCT((Raw_Data_Daily!$B$2:$B$9999="Control")*(Raw_Data_Daily!$C$2:$C$9999="F. 100+")*Raw_Data_Daily!$D$2:$D$9999*Raw_Data_Daily!$Z$2:$Z$9999)/SUMIFS(Raw_Data_Daily!$D:$D, Raw_Data_Daily!$B:$B, "Control", Raw_Data_Daily!$C:$C, "F. 100+"),"")</f>
        <v>908.6710329</v>
      </c>
      <c r="S44" s="26">
        <f>IFERROR(SUMPRODUCT((Raw_Data_Daily!$B$2:$B$9999="Variant")*(Raw_Data_Daily!$C$2:$C$9999="F. 100+")*Raw_Data_Daily!$D$2:$D$9999*Raw_Data_Daily!$Z$2:$Z$9999)/SUMIFS(Raw_Data_Daily!$D:$D, Raw_Data_Daily!$B:$B, "Variant", Raw_Data_Daily!$C:$C, "F. 100+"),"")</f>
        <v>732.5002079</v>
      </c>
      <c r="T44" s="39">
        <f t="shared" si="42"/>
        <v>-0.1938774525</v>
      </c>
    </row>
    <row r="45" ht="15.75" customHeight="1">
      <c r="A45" s="15"/>
      <c r="B45" s="31" t="s">
        <v>56</v>
      </c>
      <c r="C45" s="33">
        <f>IFERROR(SUMPRODUCT((Raw_Data_Daily!$B$2:$B$9999="Control")*(Raw_Data_Daily!$C$2:$C$9999="A. 0")*Raw_Data_Daily!$D$2:$D$9999*Raw_Data_Daily!$AA$2:$AA$9999)/SUMIFS(Raw_Data_Daily!$D:$D, Raw_Data_Daily!$B:$B, "Control", Raw_Data_Daily!$C:$C, "A. 0"),"")</f>
        <v>5043.916145</v>
      </c>
      <c r="D45" s="26">
        <f>IFERROR(SUMPRODUCT((Raw_Data_Daily!$B$2:$B$9999="Variant")*(Raw_Data_Daily!$C$2:$C$9999="A. 0")*Raw_Data_Daily!$D$2:$D$9999*Raw_Data_Daily!$AA$2:$AA$9999)/SUMIFS(Raw_Data_Daily!$D:$D, Raw_Data_Daily!$B:$B, "Variant", Raw_Data_Daily!$C:$C, "A. 0"),"")</f>
        <v>4600.622628</v>
      </c>
      <c r="E45" s="35">
        <f t="shared" si="37"/>
        <v>-0.08788677369</v>
      </c>
      <c r="F45" s="37">
        <f>IFERROR(SUMPRODUCT((Raw_Data_Daily!$B$2:$B$9999="Control")*(Raw_Data_Daily!$C$2:$C$9999="B. 1-9")*Raw_Data_Daily!$D$2:$D$9999*Raw_Data_Daily!$AA$2:$AA$9999)/SUMIFS(Raw_Data_Daily!$D:$D, Raw_Data_Daily!$B:$B, "Control", Raw_Data_Daily!$C:$C, "B. 1-9"),"")</f>
        <v>1519.755777</v>
      </c>
      <c r="G45" s="26">
        <f>IFERROR(SUMPRODUCT((Raw_Data_Daily!$B$2:$B$9999="Variant")*(Raw_Data_Daily!$C$2:$C$9999="B. 1-9")*Raw_Data_Daily!$D$2:$D$9999*Raw_Data_Daily!$AA$2:$AA$9999)/SUMIFS(Raw_Data_Daily!$D:$D, Raw_Data_Daily!$B:$B, "Variant", Raw_Data_Daily!$C:$C, "B. 1-9"),"")</f>
        <v>1477.999674</v>
      </c>
      <c r="H45" s="39">
        <f t="shared" si="38"/>
        <v>-0.02747553492</v>
      </c>
      <c r="I45" s="33">
        <f>IFERROR(SUMPRODUCT((Raw_Data_Daily!$B$2:$B$9999="Control")*(Raw_Data_Daily!$C$2:$C$9999="C. 10-19")*Raw_Data_Daily!$D$2:$D$9999*Raw_Data_Daily!$AA$2:$AA$9999)/SUMIFS(Raw_Data_Daily!$D:$D, Raw_Data_Daily!$B:$B, "Control", Raw_Data_Daily!$C:$C, "C. 10-19"),"")</f>
        <v>1592.032322</v>
      </c>
      <c r="J45" s="26">
        <f>IFERROR(SUMPRODUCT((Raw_Data_Daily!$B$2:$B$9999="Variant")*(Raw_Data_Daily!$C$2:$C$9999="C. 10-19")*Raw_Data_Daily!$D$2:$D$9999*Raw_Data_Daily!$AA$2:$AA$9999)/SUMIFS(Raw_Data_Daily!$D:$D, Raw_Data_Daily!$B:$B, "Variant", Raw_Data_Daily!$C:$C, "C. 10-19"),"")</f>
        <v>1310.25117</v>
      </c>
      <c r="K45" s="35">
        <f t="shared" si="39"/>
        <v>-0.1769946178</v>
      </c>
      <c r="L45" s="37">
        <f>IFERROR(SUMPRODUCT((Raw_Data_Daily!$B$2:$B$9999="Control")*(Raw_Data_Daily!$C$2:$C$9999="D. 20-39")*Raw_Data_Daily!$D$2:$D$9999*Raw_Data_Daily!$AA$2:$AA$9999)/SUMIFS(Raw_Data_Daily!$D:$D, Raw_Data_Daily!$B:$B, "Control", Raw_Data_Daily!$C:$C, "D. 20-39"),"")</f>
        <v>1504.323353</v>
      </c>
      <c r="M45" s="26">
        <f>IFERROR(SUMPRODUCT((Raw_Data_Daily!$B$2:$B$9999="Variant")*(Raw_Data_Daily!$C$2:$C$9999="D. 20-39")*Raw_Data_Daily!$D$2:$D$9999*Raw_Data_Daily!$AA$2:$AA$9999)/SUMIFS(Raw_Data_Daily!$D:$D, Raw_Data_Daily!$B:$B, "Variant", Raw_Data_Daily!$C:$C, "D. 20-39"),"")</f>
        <v>1351.943919</v>
      </c>
      <c r="N45" s="39">
        <f t="shared" si="40"/>
        <v>-0.1012943351</v>
      </c>
      <c r="O45" s="33">
        <f>IFERROR(SUMPRODUCT((Raw_Data_Daily!$B$2:$B$9999="Control")*(Raw_Data_Daily!$C$2:$C$9999="E. 40-99")*Raw_Data_Daily!$D$2:$D$9999*Raw_Data_Daily!$AA$2:$AA$9999)/SUMIFS(Raw_Data_Daily!$D:$D, Raw_Data_Daily!$B:$B, "Control", Raw_Data_Daily!$C:$C, "E. 40-99"),"")</f>
        <v>1893.094878</v>
      </c>
      <c r="P45" s="26">
        <f>IFERROR(SUMPRODUCT((Raw_Data_Daily!$B$2:$B$9999="Variant")*(Raw_Data_Daily!$C$2:$C$9999="E. 40-99")*Raw_Data_Daily!$D$2:$D$9999*Raw_Data_Daily!$AA$2:$AA$9999)/SUMIFS(Raw_Data_Daily!$D:$D, Raw_Data_Daily!$B:$B, "Variant", Raw_Data_Daily!$C:$C, "E. 40-99"),"")</f>
        <v>1564.98065</v>
      </c>
      <c r="Q45" s="35">
        <f t="shared" si="41"/>
        <v>-0.1733215975</v>
      </c>
      <c r="R45" s="37">
        <f>IFERROR(SUMPRODUCT((Raw_Data_Daily!$B$2:$B$9999="Control")*(Raw_Data_Daily!$C$2:$C$9999="F. 100+")*Raw_Data_Daily!$D$2:$D$9999*Raw_Data_Daily!$AA$2:$AA$9999)/SUMIFS(Raw_Data_Daily!$D:$D, Raw_Data_Daily!$B:$B, "Control", Raw_Data_Daily!$C:$C, "F. 100+"),"")</f>
        <v>2141.806886</v>
      </c>
      <c r="S45" s="26">
        <f>IFERROR(SUMPRODUCT((Raw_Data_Daily!$B$2:$B$9999="Variant")*(Raw_Data_Daily!$C$2:$C$9999="F. 100+")*Raw_Data_Daily!$D$2:$D$9999*Raw_Data_Daily!$AA$2:$AA$9999)/SUMIFS(Raw_Data_Daily!$D:$D, Raw_Data_Daily!$B:$B, "Variant", Raw_Data_Daily!$C:$C, "F. 100+"),"")</f>
        <v>1491.673597</v>
      </c>
      <c r="T45" s="39">
        <f t="shared" si="42"/>
        <v>-0.3035443082</v>
      </c>
    </row>
    <row r="46" ht="15.75" customHeight="1">
      <c r="A46" s="15"/>
      <c r="B46" s="80" t="s">
        <v>57</v>
      </c>
      <c r="C46" s="33">
        <f>IFERROR(SUMPRODUCT((Raw_Data_Daily!$B$2:$B$9999="Control")*(Raw_Data_Daily!$C$2:$C$9999="A. 0")*Raw_Data_Daily!$D$2:$D$9999*Raw_Data_Daily!$BD$2:$BD$9999)/SUMIFS(Raw_Data_Daily!$D:$D, Raw_Data_Daily!$B:$B, "Control", Raw_Data_Daily!$C:$C, "A. 0"),"")</f>
        <v>29603.63709</v>
      </c>
      <c r="D46" s="26">
        <f>IFERROR(SUMPRODUCT((Raw_Data_Daily!$B$2:$B$9999="Variant")*(Raw_Data_Daily!$C$2:$C$9999="A. 0")*Raw_Data_Daily!$D$2:$D$9999*Raw_Data_Daily!$BD$2:$BD$9999)/SUMIFS(Raw_Data_Daily!$D:$D, Raw_Data_Daily!$B:$B, "Variant", Raw_Data_Daily!$C:$C, "A. 0"),"")</f>
        <v>27832.17215</v>
      </c>
      <c r="E46" s="35">
        <f t="shared" si="37"/>
        <v>-0.05983943585</v>
      </c>
      <c r="F46" s="37">
        <f>IFERROR(SUMPRODUCT((Raw_Data_Daily!$B$2:$B$9999="Control")*(Raw_Data_Daily!$C$2:$C$9999="B. 1-9")*Raw_Data_Daily!$D$2:$D$9999*Raw_Data_Daily!$BD$2:$BD$9999)/SUMIFS(Raw_Data_Daily!$D:$D, Raw_Data_Daily!$B:$B, "Control", Raw_Data_Daily!$C:$C, "B. 1-9"),"")</f>
        <v>20204.90246</v>
      </c>
      <c r="G46" s="26">
        <f>IFERROR(SUMPRODUCT((Raw_Data_Daily!$B$2:$B$9999="Variant")*(Raw_Data_Daily!$C$2:$C$9999="B. 1-9")*Raw_Data_Daily!$D$2:$D$9999*Raw_Data_Daily!$BD$2:$BD$9999)/SUMIFS(Raw_Data_Daily!$D:$D, Raw_Data_Daily!$B:$B, "Variant", Raw_Data_Daily!$C:$C, "B. 1-9"),"")</f>
        <v>19804.24066</v>
      </c>
      <c r="H46" s="39">
        <f t="shared" si="38"/>
        <v>-0.01982993035</v>
      </c>
      <c r="I46" s="33">
        <f>IFERROR(SUMPRODUCT((Raw_Data_Daily!$B$2:$B$9999="Control")*(Raw_Data_Daily!$C$2:$C$9999="C. 10-19")*Raw_Data_Daily!$D$2:$D$9999*Raw_Data_Daily!$BD$2:$BD$9999)/SUMIFS(Raw_Data_Daily!$D:$D, Raw_Data_Daily!$B:$B, "Control", Raw_Data_Daily!$C:$C, "C. 10-19"),"")</f>
        <v>21057.0518</v>
      </c>
      <c r="J46" s="26">
        <f>IFERROR(SUMPRODUCT((Raw_Data_Daily!$B$2:$B$9999="Variant")*(Raw_Data_Daily!$C$2:$C$9999="C. 10-19")*Raw_Data_Daily!$D$2:$D$9999*Raw_Data_Daily!$BD$2:$BD$9999)/SUMIFS(Raw_Data_Daily!$D:$D, Raw_Data_Daily!$B:$B, "Variant", Raw_Data_Daily!$C:$C, "C. 10-19"),"")</f>
        <v>18965.44439</v>
      </c>
      <c r="K46" s="35">
        <f t="shared" si="39"/>
        <v>-0.09933049668</v>
      </c>
      <c r="L46" s="37">
        <f>IFERROR(SUMPRODUCT((Raw_Data_Daily!$B$2:$B$9999="Control")*(Raw_Data_Daily!$C$2:$C$9999="D. 20-39")*Raw_Data_Daily!$D$2:$D$9999*Raw_Data_Daily!$BD$2:$BD$9999)/SUMIFS(Raw_Data_Daily!$D:$D, Raw_Data_Daily!$B:$B, "Control", Raw_Data_Daily!$C:$C, "D. 20-39"),"")</f>
        <v>18711.67035</v>
      </c>
      <c r="M46" s="26">
        <f>IFERROR(SUMPRODUCT((Raw_Data_Daily!$B$2:$B$9999="Variant")*(Raw_Data_Daily!$C$2:$C$9999="D. 20-39")*Raw_Data_Daily!$D$2:$D$9999*Raw_Data_Daily!$BD$2:$BD$9999)/SUMIFS(Raw_Data_Daily!$D:$D, Raw_Data_Daily!$B:$B, "Variant", Raw_Data_Daily!$C:$C, "D. 20-39"),"")</f>
        <v>16075.45822</v>
      </c>
      <c r="N46" s="39">
        <f t="shared" si="40"/>
        <v>-0.140885986</v>
      </c>
      <c r="O46" s="33">
        <f>IFERROR(SUMPRODUCT((Raw_Data_Daily!$B$2:$B$9999="Control")*(Raw_Data_Daily!$C$2:$C$9999="E. 40-99")*Raw_Data_Daily!$D$2:$D$9999*Raw_Data_Daily!$BD$2:$BD$9999)/SUMIFS(Raw_Data_Daily!$D:$D, Raw_Data_Daily!$B:$B, "Control", Raw_Data_Daily!$C:$C, "E. 40-99"),"")</f>
        <v>17973.80926</v>
      </c>
      <c r="P46" s="26">
        <f>IFERROR(SUMPRODUCT((Raw_Data_Daily!$B$2:$B$9999="Variant")*(Raw_Data_Daily!$C$2:$C$9999="E. 40-99")*Raw_Data_Daily!$D$2:$D$9999*Raw_Data_Daily!$BD$2:$BD$9999)/SUMIFS(Raw_Data_Daily!$D:$D, Raw_Data_Daily!$B:$B, "Variant", Raw_Data_Daily!$C:$C, "E. 40-99"),"")</f>
        <v>15724.16471</v>
      </c>
      <c r="Q46" s="35">
        <f t="shared" si="41"/>
        <v>-0.1251623691</v>
      </c>
      <c r="R46" s="37">
        <f>IFERROR(SUMPRODUCT((Raw_Data_Daily!$B$2:$B$9999="Control")*(Raw_Data_Daily!$C$2:$C$9999="F. 100+")*Raw_Data_Daily!$D$2:$D$9999*Raw_Data_Daily!$BD$2:$BD$9999)/SUMIFS(Raw_Data_Daily!$D:$D, Raw_Data_Daily!$B:$B, "Control", Raw_Data_Daily!$C:$C, "F. 100+"),"")</f>
        <v>18931.59469</v>
      </c>
      <c r="S46" s="26">
        <f>IFERROR(SUMPRODUCT((Raw_Data_Daily!$B$2:$B$9999="Variant")*(Raw_Data_Daily!$C$2:$C$9999="F. 100+")*Raw_Data_Daily!$D$2:$D$9999*Raw_Data_Daily!$BD$2:$BD$9999)/SUMIFS(Raw_Data_Daily!$D:$D, Raw_Data_Daily!$B:$B, "Variant", Raw_Data_Daily!$C:$C, "F. 100+"),"")</f>
        <v>10609.9264</v>
      </c>
      <c r="T46" s="39">
        <f t="shared" si="42"/>
        <v>-0.4395650985</v>
      </c>
    </row>
    <row r="47" ht="15.75" customHeight="1">
      <c r="A47" s="25" t="s">
        <v>72</v>
      </c>
      <c r="B47" s="27"/>
      <c r="C47" s="28"/>
      <c r="D47" s="12"/>
      <c r="E47" s="29"/>
      <c r="F47" s="30"/>
      <c r="G47" s="12"/>
      <c r="H47" s="27"/>
      <c r="I47" s="28"/>
      <c r="J47" s="12"/>
      <c r="K47" s="29"/>
      <c r="L47" s="30"/>
      <c r="M47" s="12"/>
      <c r="N47" s="27"/>
      <c r="O47" s="28"/>
      <c r="P47" s="12"/>
      <c r="Q47" s="29"/>
      <c r="R47" s="30"/>
      <c r="S47" s="12"/>
      <c r="T47" s="27"/>
    </row>
    <row r="48" ht="15.75" customHeight="1">
      <c r="A48" s="15"/>
      <c r="B48" s="154" t="s">
        <v>73</v>
      </c>
      <c r="C48" s="115">
        <f>IFERROR(SUMPRODUCT((Raw_Data_Daily!$B$2:$B$9999="Control")*(Raw_Data_Daily!$C$2:$C$9999="A. 0")*Raw_Data_Daily!$D$2:$D$9999*Raw_Data_Daily!$AQ$2:$AQ$9999)/SUMIFS(Raw_Data_Daily!$D:$D, Raw_Data_Daily!$B:$B, "Control", Raw_Data_Daily!$C:$C, "A. 0"),"")</f>
        <v>1.669480666</v>
      </c>
      <c r="D48" s="55">
        <f>IFERROR(SUMPRODUCT((Raw_Data_Daily!$B$2:$B$9999="Variant")*(Raw_Data_Daily!$C$2:$C$9999="A. 0")*Raw_Data_Daily!$D$2:$D$9999*Raw_Data_Daily!$AQ$2:$AQ$9999)/SUMIFS(Raw_Data_Daily!$D:$D, Raw_Data_Daily!$B:$B, "Variant", Raw_Data_Daily!$C:$C, "A. 0"),"")</f>
        <v>1.887653323</v>
      </c>
      <c r="E48" s="46">
        <f t="shared" ref="E48:E53" si="43">IFERROR((D48-C48)/ABS(C48),"")</f>
        <v>0.1306829494</v>
      </c>
      <c r="F48" s="119">
        <f>IFERROR(SUMPRODUCT((Raw_Data_Daily!$B$2:$B$9999="Control")*(Raw_Data_Daily!$C$2:$C$9999="B. 1-9")*Raw_Data_Daily!$D$2:$D$9999*Raw_Data_Daily!$AQ$2:$AQ$9999)/SUMIFS(Raw_Data_Daily!$D:$D, Raw_Data_Daily!$B:$B, "Control", Raw_Data_Daily!$C:$C, "B. 1-9"),"")</f>
        <v>3.270481175</v>
      </c>
      <c r="G48" s="55">
        <f>IFERROR(SUMPRODUCT((Raw_Data_Daily!$B$2:$B$9999="Variant")*(Raw_Data_Daily!$C$2:$C$9999="B. 1-9")*Raw_Data_Daily!$D$2:$D$9999*Raw_Data_Daily!$AQ$2:$AQ$9999)/SUMIFS(Raw_Data_Daily!$D:$D, Raw_Data_Daily!$B:$B, "Variant", Raw_Data_Daily!$C:$C, "B. 1-9"),"")</f>
        <v>3.420891073</v>
      </c>
      <c r="H48" s="50">
        <f t="shared" ref="H48:H53" si="44">IFERROR((G48-F48)/ABS(F48),"")</f>
        <v>0.04599014334</v>
      </c>
      <c r="I48" s="115">
        <f>IFERROR(SUMPRODUCT((Raw_Data_Daily!$B$2:$B$9999="Control")*(Raw_Data_Daily!$C$2:$C$9999="C. 10-19")*Raw_Data_Daily!$D$2:$D$9999*Raw_Data_Daily!$AQ$2:$AQ$9999)/SUMIFS(Raw_Data_Daily!$D:$D, Raw_Data_Daily!$B:$B, "Control", Raw_Data_Daily!$C:$C, "C. 10-19"),"")</f>
        <v>6.519517688</v>
      </c>
      <c r="J48" s="55">
        <f>IFERROR(SUMPRODUCT((Raw_Data_Daily!$B$2:$B$9999="Variant")*(Raw_Data_Daily!$C$2:$C$9999="C. 10-19")*Raw_Data_Daily!$D$2:$D$9999*Raw_Data_Daily!$AQ$2:$AQ$9999)/SUMIFS(Raw_Data_Daily!$D:$D, Raw_Data_Daily!$B:$B, "Variant", Raw_Data_Daily!$C:$C, "C. 10-19"),"")</f>
        <v>6.531391592</v>
      </c>
      <c r="K48" s="49">
        <f t="shared" ref="K48:K53" si="45">IFERROR((J48-I48)/ABS(I48),"")</f>
        <v>0.00182128567</v>
      </c>
      <c r="L48" s="119">
        <f>IFERROR(SUMPRODUCT((Raw_Data_Daily!$B$2:$B$9999="Control")*(Raw_Data_Daily!$C$2:$C$9999="D. 20-39")*Raw_Data_Daily!$D$2:$D$9999*Raw_Data_Daily!$AQ$2:$AQ$9999)/SUMIFS(Raw_Data_Daily!$D:$D, Raw_Data_Daily!$B:$B, "Control", Raw_Data_Daily!$C:$C, "D. 20-39"),"")</f>
        <v>10.13996116</v>
      </c>
      <c r="M48" s="55">
        <f>IFERROR(SUMPRODUCT((Raw_Data_Daily!$B$2:$B$9999="Variant")*(Raw_Data_Daily!$C$2:$C$9999="D. 20-39")*Raw_Data_Daily!$D$2:$D$9999*Raw_Data_Daily!$AQ$2:$AQ$9999)/SUMIFS(Raw_Data_Daily!$D:$D, Raw_Data_Daily!$B:$B, "Variant", Raw_Data_Daily!$C:$C, "D. 20-39"),"")</f>
        <v>9.696667319</v>
      </c>
      <c r="N48" s="50">
        <f t="shared" ref="N48:N53" si="46">IFERROR((M48-L48)/ABS(L48),"")</f>
        <v>-0.04371750867</v>
      </c>
      <c r="O48" s="115">
        <f>IFERROR(SUMPRODUCT((Raw_Data_Daily!$B$2:$B$9999="Control")*(Raw_Data_Daily!$C$2:$C$9999="E. 40-99")*Raw_Data_Daily!$D$2:$D$9999*Raw_Data_Daily!$AQ$2:$AQ$9999)/SUMIFS(Raw_Data_Daily!$D:$D, Raw_Data_Daily!$B:$B, "Control", Raw_Data_Daily!$C:$C, "E. 40-99"),"")</f>
        <v>16.78683249</v>
      </c>
      <c r="P48" s="55">
        <f>IFERROR(SUMPRODUCT((Raw_Data_Daily!$B$2:$B$9999="Variant")*(Raw_Data_Daily!$C$2:$C$9999="E. 40-99")*Raw_Data_Daily!$D$2:$D$9999*Raw_Data_Daily!$AQ$2:$AQ$9999)/SUMIFS(Raw_Data_Daily!$D:$D, Raw_Data_Daily!$B:$B, "Variant", Raw_Data_Daily!$C:$C, "E. 40-99"),"")</f>
        <v>14.89223344</v>
      </c>
      <c r="Q48" s="49">
        <f t="shared" ref="Q48:Q53" si="47">IFERROR((P48-O48)/ABS(O48),"")</f>
        <v>-0.112862212</v>
      </c>
      <c r="R48" s="119">
        <f>IFERROR(SUMPRODUCT((Raw_Data_Daily!$B$2:$B$9999="Control")*(Raw_Data_Daily!$C$2:$C$9999="F. 100+")*Raw_Data_Daily!$D$2:$D$9999*Raw_Data_Daily!$AQ$2:$AQ$9999)/SUMIFS(Raw_Data_Daily!$D:$D, Raw_Data_Daily!$B:$B, "Control", Raw_Data_Daily!$C:$C, "F. 100+"),"")</f>
        <v>34.00187549</v>
      </c>
      <c r="S48" s="136">
        <f>IFERROR(SUMPRODUCT((Raw_Data_Daily!$B$2:$B$9999="Variant")*(Raw_Data_Daily!$C$2:$C$9999="F. 100+")*Raw_Data_Daily!$D$2:$D$9999*Raw_Data_Daily!$AQ$2:$AQ$9999)/SUMIFS(Raw_Data_Daily!$D:$D, Raw_Data_Daily!$B:$B, "Variant", Raw_Data_Daily!$C:$C, "F. 100+"),"")</f>
        <v>26.06153123</v>
      </c>
      <c r="T48" s="216">
        <f t="shared" ref="T48:T53" si="48">IFERROR((S48-R48)/ABS(R48),"")</f>
        <v>-0.2335266554</v>
      </c>
    </row>
    <row r="49" ht="15.75" customHeight="1">
      <c r="A49" s="15"/>
      <c r="B49" s="154" t="s">
        <v>74</v>
      </c>
      <c r="C49" s="115">
        <f>IFERROR(SUMPRODUCT((Raw_Data_Daily!$B$2:$B$9999="Control")*(Raw_Data_Daily!$C$2:$C$9999="A. 0")*Raw_Data_Daily!$D$2:$D$9999*Raw_Data_Daily!$AR$2:$AR$9999)/SUMIFS(Raw_Data_Daily!$D:$D, Raw_Data_Daily!$B:$B, "Control", Raw_Data_Daily!$C:$C, "A. 0"),"")</f>
        <v>0.09412986378</v>
      </c>
      <c r="D49" s="55">
        <f>IFERROR(SUMPRODUCT((Raw_Data_Daily!$B$2:$B$9999="Variant")*(Raw_Data_Daily!$C$2:$C$9999="A. 0")*Raw_Data_Daily!$D$2:$D$9999*Raw_Data_Daily!$AR$2:$AR$9999)/SUMIFS(Raw_Data_Daily!$D:$D, Raw_Data_Daily!$B:$B, "Variant", Raw_Data_Daily!$C:$C, "A. 0"),"")</f>
        <v>0.09495259677</v>
      </c>
      <c r="E49" s="46">
        <f t="shared" si="43"/>
        <v>0.008740403488</v>
      </c>
      <c r="F49" s="119">
        <f>IFERROR(SUMPRODUCT((Raw_Data_Daily!$B$2:$B$9999="Control")*(Raw_Data_Daily!$C$2:$C$9999="B. 1-9")*Raw_Data_Daily!$D$2:$D$9999*Raw_Data_Daily!$AR$2:$AR$9999)/SUMIFS(Raw_Data_Daily!$D:$D, Raw_Data_Daily!$B:$B, "Control", Raw_Data_Daily!$C:$C, "B. 1-9"),"")</f>
        <v>0.04583906603</v>
      </c>
      <c r="G49" s="55">
        <f>IFERROR(SUMPRODUCT((Raw_Data_Daily!$B$2:$B$9999="Variant")*(Raw_Data_Daily!$C$2:$C$9999="B. 1-9")*Raw_Data_Daily!$D$2:$D$9999*Raw_Data_Daily!$AR$2:$AR$9999)/SUMIFS(Raw_Data_Daily!$D:$D, Raw_Data_Daily!$B:$B, "Variant", Raw_Data_Daily!$C:$C, "B. 1-9"),"")</f>
        <v>0.04235326478</v>
      </c>
      <c r="H49" s="50">
        <f t="shared" si="44"/>
        <v>-0.07604433406</v>
      </c>
      <c r="I49" s="115">
        <f>IFERROR(SUMPRODUCT((Raw_Data_Daily!$B$2:$B$9999="Control")*(Raw_Data_Daily!$C$2:$C$9999="C. 10-19")*Raw_Data_Daily!$D$2:$D$9999*Raw_Data_Daily!$AR$2:$AR$9999)/SUMIFS(Raw_Data_Daily!$D:$D, Raw_Data_Daily!$B:$B, "Control", Raw_Data_Daily!$C:$C, "C. 10-19"),"")</f>
        <v>0.1520823415</v>
      </c>
      <c r="J49" s="55">
        <f>IFERROR(SUMPRODUCT((Raw_Data_Daily!$B$2:$B$9999="Variant")*(Raw_Data_Daily!$C$2:$C$9999="C. 10-19")*Raw_Data_Daily!$D$2:$D$9999*Raw_Data_Daily!$AR$2:$AR$9999)/SUMIFS(Raw_Data_Daily!$D:$D, Raw_Data_Daily!$B:$B, "Variant", Raw_Data_Daily!$C:$C, "C. 10-19"),"")</f>
        <v>0.1212150697</v>
      </c>
      <c r="K49" s="49">
        <f t="shared" si="45"/>
        <v>-0.2029642069</v>
      </c>
      <c r="L49" s="119">
        <f>IFERROR(SUMPRODUCT((Raw_Data_Daily!$B$2:$B$9999="Control")*(Raw_Data_Daily!$C$2:$C$9999="D. 20-39")*Raw_Data_Daily!$D$2:$D$9999*Raw_Data_Daily!$AR$2:$AR$9999)/SUMIFS(Raw_Data_Daily!$D:$D, Raw_Data_Daily!$B:$B, "Control", Raw_Data_Daily!$C:$C, "D. 20-39"),"")</f>
        <v>0.2666119295</v>
      </c>
      <c r="M49" s="55">
        <f>IFERROR(SUMPRODUCT((Raw_Data_Daily!$B$2:$B$9999="Variant")*(Raw_Data_Daily!$C$2:$C$9999="D. 20-39")*Raw_Data_Daily!$D$2:$D$9999*Raw_Data_Daily!$AR$2:$AR$9999)/SUMIFS(Raw_Data_Daily!$D:$D, Raw_Data_Daily!$B:$B, "Variant", Raw_Data_Daily!$C:$C, "D. 20-39"),"")</f>
        <v>0.2338356481</v>
      </c>
      <c r="N49" s="50">
        <f t="shared" si="46"/>
        <v>-0.1229362896</v>
      </c>
      <c r="O49" s="115">
        <f>IFERROR(SUMPRODUCT((Raw_Data_Daily!$B$2:$B$9999="Control")*(Raw_Data_Daily!$C$2:$C$9999="E. 40-99")*Raw_Data_Daily!$D$2:$D$9999*Raw_Data_Daily!$AR$2:$AR$9999)/SUMIFS(Raw_Data_Daily!$D:$D, Raw_Data_Daily!$B:$B, "Control", Raw_Data_Daily!$C:$C, "E. 40-99"),"")</f>
        <v>0.499035771</v>
      </c>
      <c r="P49" s="55">
        <f>IFERROR(SUMPRODUCT((Raw_Data_Daily!$B$2:$B$9999="Variant")*(Raw_Data_Daily!$C$2:$C$9999="E. 40-99")*Raw_Data_Daily!$D$2:$D$9999*Raw_Data_Daily!$AR$2:$AR$9999)/SUMIFS(Raw_Data_Daily!$D:$D, Raw_Data_Daily!$B:$B, "Variant", Raw_Data_Daily!$C:$C, "E. 40-99"),"")</f>
        <v>0.6160495911</v>
      </c>
      <c r="Q49" s="49">
        <f t="shared" si="47"/>
        <v>0.2344798247</v>
      </c>
      <c r="R49" s="119">
        <f>IFERROR(SUMPRODUCT((Raw_Data_Daily!$B$2:$B$9999="Control")*(Raw_Data_Daily!$C$2:$C$9999="F. 100+")*Raw_Data_Daily!$D$2:$D$9999*Raw_Data_Daily!$AR$2:$AR$9999)/SUMIFS(Raw_Data_Daily!$D:$D, Raw_Data_Daily!$B:$B, "Control", Raw_Data_Daily!$C:$C, "F. 100+"),"")</f>
        <v>1.287804379</v>
      </c>
      <c r="S49" s="136">
        <f>IFERROR(SUMPRODUCT((Raw_Data_Daily!$B$2:$B$9999="Variant")*(Raw_Data_Daily!$C$2:$C$9999="F. 100+")*Raw_Data_Daily!$D$2:$D$9999*Raw_Data_Daily!$AR$2:$AR$9999)/SUMIFS(Raw_Data_Daily!$D:$D, Raw_Data_Daily!$B:$B, "Variant", Raw_Data_Daily!$C:$C, "F. 100+"),"")</f>
        <v>1.481925613</v>
      </c>
      <c r="T49" s="216">
        <f t="shared" si="48"/>
        <v>0.1507381383</v>
      </c>
    </row>
    <row r="50" ht="15.75" customHeight="1">
      <c r="A50" s="15"/>
      <c r="B50" s="154" t="s">
        <v>75</v>
      </c>
      <c r="C50" s="115">
        <f>IFERROR(SUMPRODUCT((Raw_Data_Daily!$B$2:$B$9999="Control")*(Raw_Data_Daily!$C$2:$C$9999="A. 0")*Raw_Data_Daily!$D$2:$D$9999*Raw_Data_Daily!$AS$2:$AS$9999)/SUMIFS(Raw_Data_Daily!$D:$D, Raw_Data_Daily!$B:$B, "Control", Raw_Data_Daily!$C:$C, "A. 0"),"")</f>
        <v>1.575375295</v>
      </c>
      <c r="D50" s="55">
        <f>IFERROR(SUMPRODUCT((Raw_Data_Daily!$B$2:$B$9999="Variant")*(Raw_Data_Daily!$C$2:$C$9999="A. 0")*Raw_Data_Daily!$D$2:$D$9999*Raw_Data_Daily!$AS$2:$AS$9999)/SUMIFS(Raw_Data_Daily!$D:$D, Raw_Data_Daily!$B:$B, "Variant", Raw_Data_Daily!$C:$C, "A. 0"),"")</f>
        <v>1.79273201</v>
      </c>
      <c r="E50" s="46">
        <f t="shared" si="43"/>
        <v>0.1379713872</v>
      </c>
      <c r="F50" s="119">
        <f>IFERROR(SUMPRODUCT((Raw_Data_Daily!$B$2:$B$9999="Control")*(Raw_Data_Daily!$C$2:$C$9999="B. 1-9")*Raw_Data_Daily!$D$2:$D$9999*Raw_Data_Daily!$AS$2:$AS$9999)/SUMIFS(Raw_Data_Daily!$D:$D, Raw_Data_Daily!$B:$B, "Control", Raw_Data_Daily!$C:$C, "B. 1-9"),"")</f>
        <v>3.224642109</v>
      </c>
      <c r="G50" s="55">
        <f>IFERROR(SUMPRODUCT((Raw_Data_Daily!$B$2:$B$9999="Variant")*(Raw_Data_Daily!$C$2:$C$9999="B. 1-9")*Raw_Data_Daily!$D$2:$D$9999*Raw_Data_Daily!$AS$2:$AS$9999)/SUMIFS(Raw_Data_Daily!$D:$D, Raw_Data_Daily!$B:$B, "Variant", Raw_Data_Daily!$C:$C, "B. 1-9"),"")</f>
        <v>3.378552102</v>
      </c>
      <c r="H50" s="50">
        <f t="shared" si="44"/>
        <v>0.0477293257</v>
      </c>
      <c r="I50" s="115">
        <f>IFERROR(SUMPRODUCT((Raw_Data_Daily!$B$2:$B$9999="Control")*(Raw_Data_Daily!$C$2:$C$9999="C. 10-19")*Raw_Data_Daily!$D$2:$D$9999*Raw_Data_Daily!$AS$2:$AS$9999)/SUMIFS(Raw_Data_Daily!$D:$D, Raw_Data_Daily!$B:$B, "Control", Raw_Data_Daily!$C:$C, "C. 10-19"),"")</f>
        <v>6.367457421</v>
      </c>
      <c r="J50" s="55">
        <f>IFERROR(SUMPRODUCT((Raw_Data_Daily!$B$2:$B$9999="Variant")*(Raw_Data_Daily!$C$2:$C$9999="C. 10-19")*Raw_Data_Daily!$D$2:$D$9999*Raw_Data_Daily!$AS$2:$AS$9999)/SUMIFS(Raw_Data_Daily!$D:$D, Raw_Data_Daily!$B:$B, "Variant", Raw_Data_Daily!$C:$C, "C. 10-19"),"")</f>
        <v>6.410162676</v>
      </c>
      <c r="K50" s="49">
        <f t="shared" si="45"/>
        <v>0.006706798609</v>
      </c>
      <c r="L50" s="119">
        <f>IFERROR(SUMPRODUCT((Raw_Data_Daily!$B$2:$B$9999="Control")*(Raw_Data_Daily!$C$2:$C$9999="D. 20-39")*Raw_Data_Daily!$D$2:$D$9999*Raw_Data_Daily!$AS$2:$AS$9999)/SUMIFS(Raw_Data_Daily!$D:$D, Raw_Data_Daily!$B:$B, "Control", Raw_Data_Daily!$C:$C, "D. 20-39"),"")</f>
        <v>9.873348739</v>
      </c>
      <c r="M50" s="55">
        <f>IFERROR(SUMPRODUCT((Raw_Data_Daily!$B$2:$B$9999="Variant")*(Raw_Data_Daily!$C$2:$C$9999="D. 20-39")*Raw_Data_Daily!$D$2:$D$9999*Raw_Data_Daily!$AS$2:$AS$9999)/SUMIFS(Raw_Data_Daily!$D:$D, Raw_Data_Daily!$B:$B, "Variant", Raw_Data_Daily!$C:$C, "D. 20-39"),"")</f>
        <v>9.462824113</v>
      </c>
      <c r="N50" s="50">
        <f t="shared" si="46"/>
        <v>-0.04157906672</v>
      </c>
      <c r="O50" s="115">
        <f>IFERROR(SUMPRODUCT((Raw_Data_Daily!$B$2:$B$9999="Control")*(Raw_Data_Daily!$C$2:$C$9999="E. 40-99")*Raw_Data_Daily!$D$2:$D$9999*Raw_Data_Daily!$AS$2:$AS$9999)/SUMIFS(Raw_Data_Daily!$D:$D, Raw_Data_Daily!$B:$B, "Control", Raw_Data_Daily!$C:$C, "E. 40-99"),"")</f>
        <v>16.28780744</v>
      </c>
      <c r="P50" s="55">
        <f>IFERROR(SUMPRODUCT((Raw_Data_Daily!$B$2:$B$9999="Variant")*(Raw_Data_Daily!$C$2:$C$9999="E. 40-99")*Raw_Data_Daily!$D$2:$D$9999*Raw_Data_Daily!$AS$2:$AS$9999)/SUMIFS(Raw_Data_Daily!$D:$D, Raw_Data_Daily!$B:$B, "Variant", Raw_Data_Daily!$C:$C, "E. 40-99"),"")</f>
        <v>14.27620481</v>
      </c>
      <c r="Q50" s="49">
        <f t="shared" si="47"/>
        <v>-0.1235035862</v>
      </c>
      <c r="R50" s="119">
        <f>IFERROR(SUMPRODUCT((Raw_Data_Daily!$B$2:$B$9999="Control")*(Raw_Data_Daily!$C$2:$C$9999="F. 100+")*Raw_Data_Daily!$D$2:$D$9999*Raw_Data_Daily!$AS$2:$AS$9999)/SUMIFS(Raw_Data_Daily!$D:$D, Raw_Data_Daily!$B:$B, "Control", Raw_Data_Daily!$C:$C, "F. 100+"),"")</f>
        <v>32.71407111</v>
      </c>
      <c r="S50" s="136">
        <f>IFERROR(SUMPRODUCT((Raw_Data_Daily!$B$2:$B$9999="Variant")*(Raw_Data_Daily!$C$2:$C$9999="F. 100+")*Raw_Data_Daily!$D$2:$D$9999*Raw_Data_Daily!$AS$2:$AS$9999)/SUMIFS(Raw_Data_Daily!$D:$D, Raw_Data_Daily!$B:$B, "Variant", Raw_Data_Daily!$C:$C, "F. 100+"),"")</f>
        <v>24.57964187</v>
      </c>
      <c r="T50" s="216">
        <f t="shared" si="48"/>
        <v>-0.2486523065</v>
      </c>
    </row>
    <row r="51" ht="15.75" customHeight="1">
      <c r="A51" s="15"/>
      <c r="B51" s="154" t="s">
        <v>76</v>
      </c>
      <c r="C51" s="115">
        <f>IFERROR(SUMPRODUCT((Raw_Data_Daily!$B$2:$B$9999="Control")*(Raw_Data_Daily!$C$2:$C$9999="A. 0")*Raw_Data_Daily!$D$2:$D$9999*Raw_Data_Daily!$AT$2:$AT$9999)/SUMIFS(Raw_Data_Daily!$D:$D, Raw_Data_Daily!$B:$B, "Control", Raw_Data_Daily!$C:$C, "A. 0"),"")</f>
        <v>1.233459805</v>
      </c>
      <c r="D51" s="55">
        <f>IFERROR(SUMPRODUCT((Raw_Data_Daily!$B$2:$B$9999="Variant")*(Raw_Data_Daily!$C$2:$C$9999="A. 0")*Raw_Data_Daily!$D$2:$D$9999*Raw_Data_Daily!$AT$2:$AT$9999)/SUMIFS(Raw_Data_Daily!$D:$D, Raw_Data_Daily!$B:$B, "Variant", Raw_Data_Daily!$C:$C, "A. 0"),"")</f>
        <v>1.384463087</v>
      </c>
      <c r="E51" s="46">
        <f t="shared" si="43"/>
        <v>0.1224225392</v>
      </c>
      <c r="F51" s="119">
        <f>IFERROR(SUMPRODUCT((Raw_Data_Daily!$B$2:$B$9999="Control")*(Raw_Data_Daily!$C$2:$C$9999="B. 1-9")*Raw_Data_Daily!$D$2:$D$9999*Raw_Data_Daily!$AT$2:$AT$9999)/SUMIFS(Raw_Data_Daily!$D:$D, Raw_Data_Daily!$B:$B, "Control", Raw_Data_Daily!$C:$C, "B. 1-9"),"")</f>
        <v>2.729823234</v>
      </c>
      <c r="G51" s="55">
        <f>IFERROR(SUMPRODUCT((Raw_Data_Daily!$B$2:$B$9999="Variant")*(Raw_Data_Daily!$C$2:$C$9999="B. 1-9")*Raw_Data_Daily!$D$2:$D$9999*Raw_Data_Daily!$AT$2:$AT$9999)/SUMIFS(Raw_Data_Daily!$D:$D, Raw_Data_Daily!$B:$B, "Variant", Raw_Data_Daily!$C:$C, "B. 1-9"),"")</f>
        <v>2.758931055</v>
      </c>
      <c r="H51" s="50">
        <f t="shared" si="44"/>
        <v>0.01066289572</v>
      </c>
      <c r="I51" s="115">
        <f>IFERROR(SUMPRODUCT((Raw_Data_Daily!$B$2:$B$9999="Control")*(Raw_Data_Daily!$C$2:$C$9999="C. 10-19")*Raw_Data_Daily!$D$2:$D$9999*Raw_Data_Daily!$AT$2:$AT$9999)/SUMIFS(Raw_Data_Daily!$D:$D, Raw_Data_Daily!$B:$B, "Control", Raw_Data_Daily!$C:$C, "C. 10-19"),"")</f>
        <v>5.781036536</v>
      </c>
      <c r="J51" s="55">
        <f>IFERROR(SUMPRODUCT((Raw_Data_Daily!$B$2:$B$9999="Variant")*(Raw_Data_Daily!$C$2:$C$9999="C. 10-19")*Raw_Data_Daily!$D$2:$D$9999*Raw_Data_Daily!$AT$2:$AT$9999)/SUMIFS(Raw_Data_Daily!$D:$D, Raw_Data_Daily!$B:$B, "Variant", Raw_Data_Daily!$C:$C, "C. 10-19"),"")</f>
        <v>5.677855105</v>
      </c>
      <c r="K51" s="49">
        <f t="shared" si="45"/>
        <v>-0.0178482578</v>
      </c>
      <c r="L51" s="119">
        <f>IFERROR(SUMPRODUCT((Raw_Data_Daily!$B$2:$B$9999="Control")*(Raw_Data_Daily!$C$2:$C$9999="D. 20-39")*Raw_Data_Daily!$D$2:$D$9999*Raw_Data_Daily!$AT$2:$AT$9999)/SUMIFS(Raw_Data_Daily!$D:$D, Raw_Data_Daily!$B:$B, "Control", Raw_Data_Daily!$C:$C, "D. 20-39"),"")</f>
        <v>9.296921731</v>
      </c>
      <c r="M51" s="55">
        <f>IFERROR(SUMPRODUCT((Raw_Data_Daily!$B$2:$B$9999="Variant")*(Raw_Data_Daily!$C$2:$C$9999="D. 20-39")*Raw_Data_Daily!$D$2:$D$9999*Raw_Data_Daily!$AT$2:$AT$9999)/SUMIFS(Raw_Data_Daily!$D:$D, Raw_Data_Daily!$B:$B, "Variant", Raw_Data_Daily!$C:$C, "D. 20-39"),"")</f>
        <v>8.440910947</v>
      </c>
      <c r="N51" s="50">
        <f t="shared" si="46"/>
        <v>-0.09207464669</v>
      </c>
      <c r="O51" s="115">
        <f>IFERROR(SUMPRODUCT((Raw_Data_Daily!$B$2:$B$9999="Control")*(Raw_Data_Daily!$C$2:$C$9999="E. 40-99")*Raw_Data_Daily!$D$2:$D$9999*Raw_Data_Daily!$AT$2:$AT$9999)/SUMIFS(Raw_Data_Daily!$D:$D, Raw_Data_Daily!$B:$B, "Control", Raw_Data_Daily!$C:$C, "E. 40-99"),"")</f>
        <v>16.28390138</v>
      </c>
      <c r="P51" s="55">
        <f>IFERROR(SUMPRODUCT((Raw_Data_Daily!$B$2:$B$9999="Variant")*(Raw_Data_Daily!$C$2:$C$9999="E. 40-99")*Raw_Data_Daily!$D$2:$D$9999*Raw_Data_Daily!$AT$2:$AT$9999)/SUMIFS(Raw_Data_Daily!$D:$D, Raw_Data_Daily!$B:$B, "Variant", Raw_Data_Daily!$C:$C, "E. 40-99"),"")</f>
        <v>13.54819121</v>
      </c>
      <c r="Q51" s="49">
        <f t="shared" si="47"/>
        <v>-0.1680009053</v>
      </c>
      <c r="R51" s="119">
        <f>IFERROR(SUMPRODUCT((Raw_Data_Daily!$B$2:$B$9999="Control")*(Raw_Data_Daily!$C$2:$C$9999="F. 100+")*Raw_Data_Daily!$D$2:$D$9999*Raw_Data_Daily!$AT$2:$AT$9999)/SUMIFS(Raw_Data_Daily!$D:$D, Raw_Data_Daily!$B:$B, "Control", Raw_Data_Daily!$C:$C, "F. 100+"),"")</f>
        <v>32.85404266</v>
      </c>
      <c r="S51" s="136">
        <f>IFERROR(SUMPRODUCT((Raw_Data_Daily!$B$2:$B$9999="Variant")*(Raw_Data_Daily!$C$2:$C$9999="F. 100+")*Raw_Data_Daily!$D$2:$D$9999*Raw_Data_Daily!$AT$2:$AT$9999)/SUMIFS(Raw_Data_Daily!$D:$D, Raw_Data_Daily!$B:$B, "Variant", Raw_Data_Daily!$C:$C, "F. 100+"),"")</f>
        <v>25.64408141</v>
      </c>
      <c r="T51" s="216">
        <f t="shared" si="48"/>
        <v>-0.2194543096</v>
      </c>
    </row>
    <row r="52" ht="15.75" customHeight="1">
      <c r="A52" s="15"/>
      <c r="B52" s="154" t="s">
        <v>77</v>
      </c>
      <c r="C52" s="115">
        <f>IFERROR(SUMPRODUCT((Raw_Data_Daily!$B$2:$B$9999="Control")*(Raw_Data_Daily!$C$2:$C$9999="A. 0")*Raw_Data_Daily!$D$2:$D$9999*(Raw_Data_Daily!$AQ$2:$AQ$9999-Raw_Data_Daily!$AT$2:$AT$9999))/SUMIFS(Raw_Data_Daily!$D:$D, Raw_Data_Daily!$B:$B, "Control", Raw_Data_Daily!$C:$C, "A. 0"),"")</f>
        <v>0.4360208603</v>
      </c>
      <c r="D52" s="55">
        <f>IFERROR(SUMPRODUCT((Raw_Data_Daily!$B$2:$B$9999="Variant")*(Raw_Data_Daily!$C$2:$C$9999="A. 0")*Raw_Data_Daily!$D$2:$D$9999*(Raw_Data_Daily!$AQ$2:$AQ$9999-Raw_Data_Daily!$AT$2:$AT$9999))/SUMIFS(Raw_Data_Daily!$D:$D, Raw_Data_Daily!$B:$B, "Variant", Raw_Data_Daily!$C:$C, "A. 0"),"")</f>
        <v>0.5031902364</v>
      </c>
      <c r="E52" s="35">
        <f t="shared" si="43"/>
        <v>0.1540508314</v>
      </c>
      <c r="F52" s="119">
        <f>IFERROR(SUMPRODUCT((Raw_Data_Daily!$B$2:$B$9999="Control")*(Raw_Data_Daily!$C$2:$C$9999="B. 1-9")*Raw_Data_Daily!$D$2:$D$9999*(Raw_Data_Daily!$AQ$2:$AQ$9999-Raw_Data_Daily!$AT$2:$AT$9999))/SUMIFS(Raw_Data_Daily!$D:$D, Raw_Data_Daily!$B:$B, "Control", Raw_Data_Daily!$C:$C, "B. 1-9"),"")</f>
        <v>0.5406579408</v>
      </c>
      <c r="G52" s="55">
        <f>IFERROR(SUMPRODUCT((Raw_Data_Daily!$B$2:$B$9999="Variant")*(Raw_Data_Daily!$C$2:$C$9999="B. 1-9")*Raw_Data_Daily!$D$2:$D$9999*(Raw_Data_Daily!$AQ$2:$AQ$9999-Raw_Data_Daily!$AT$2:$AT$9999))/SUMIFS(Raw_Data_Daily!$D:$D, Raw_Data_Daily!$B:$B, "Variant", Raw_Data_Daily!$C:$C, "B. 1-9"),"")</f>
        <v>0.6619600184</v>
      </c>
      <c r="H52" s="50">
        <f t="shared" si="44"/>
        <v>0.2243601146</v>
      </c>
      <c r="I52" s="115">
        <f>IFERROR(SUMPRODUCT((Raw_Data_Daily!$B$2:$B$9999="Control")*(Raw_Data_Daily!$C$2:$C$9999="C. 10-19")*Raw_Data_Daily!$D$2:$D$9999*(Raw_Data_Daily!$AQ$2:$AQ$9999-Raw_Data_Daily!$AT$2:$AT$9999))/SUMIFS(Raw_Data_Daily!$D:$D, Raw_Data_Daily!$B:$B, "Control", Raw_Data_Daily!$C:$C, "C. 10-19"),"")</f>
        <v>0.7384811519</v>
      </c>
      <c r="J52" s="55">
        <f>IFERROR(SUMPRODUCT((Raw_Data_Daily!$B$2:$B$9999="Variant")*(Raw_Data_Daily!$C$2:$C$9999="C. 10-19")*Raw_Data_Daily!$D$2:$D$9999*(Raw_Data_Daily!$AQ$2:$AQ$9999-Raw_Data_Daily!$AT$2:$AT$9999))/SUMIFS(Raw_Data_Daily!$D:$D, Raw_Data_Daily!$B:$B, "Variant", Raw_Data_Daily!$C:$C, "C. 10-19"),"")</f>
        <v>0.8535364865</v>
      </c>
      <c r="K52" s="49">
        <f t="shared" si="45"/>
        <v>0.1557999609</v>
      </c>
      <c r="L52" s="119">
        <f>IFERROR(SUMPRODUCT((Raw_Data_Daily!$B$2:$B$9999="Control")*(Raw_Data_Daily!$C$2:$C$9999="D. 20-39")*Raw_Data_Daily!$D$2:$D$9999*(Raw_Data_Daily!$AQ$2:$AQ$9999-Raw_Data_Daily!$AT$2:$AT$9999))/SUMIFS(Raw_Data_Daily!$D:$D, Raw_Data_Daily!$B:$B, "Control", Raw_Data_Daily!$C:$C, "D. 20-39"),"")</f>
        <v>0.8430394279</v>
      </c>
      <c r="M52" s="55">
        <f>IFERROR(SUMPRODUCT((Raw_Data_Daily!$B$2:$B$9999="Variant")*(Raw_Data_Daily!$C$2:$C$9999="D. 20-39")*Raw_Data_Daily!$D$2:$D$9999*(Raw_Data_Daily!$AQ$2:$AQ$9999-Raw_Data_Daily!$AT$2:$AT$9999))/SUMIFS(Raw_Data_Daily!$D:$D, Raw_Data_Daily!$B:$B, "Variant", Raw_Data_Daily!$C:$C, "D. 20-39"),"")</f>
        <v>1.255756372</v>
      </c>
      <c r="N52" s="50">
        <f t="shared" si="46"/>
        <v>0.4895582936</v>
      </c>
      <c r="O52" s="115">
        <f>IFERROR(SUMPRODUCT((Raw_Data_Daily!$B$2:$B$9999="Control")*(Raw_Data_Daily!$C$2:$C$9999="E. 40-99")*Raw_Data_Daily!$D$2:$D$9999*(Raw_Data_Daily!$AQ$2:$AQ$9999-Raw_Data_Daily!$AT$2:$AT$9999))/SUMIFS(Raw_Data_Daily!$D:$D, Raw_Data_Daily!$B:$B, "Control", Raw_Data_Daily!$C:$C, "E. 40-99"),"")</f>
        <v>0.5029311093</v>
      </c>
      <c r="P52" s="55">
        <f>IFERROR(SUMPRODUCT((Raw_Data_Daily!$B$2:$B$9999="Variant")*(Raw_Data_Daily!$C$2:$C$9999="E. 40-99")*Raw_Data_Daily!$D$2:$D$9999*(Raw_Data_Daily!$AQ$2:$AQ$9999-Raw_Data_Daily!$AT$2:$AT$9999))/SUMIFS(Raw_Data_Daily!$D:$D, Raw_Data_Daily!$B:$B, "Variant", Raw_Data_Daily!$C:$C, "E. 40-99"),"")</f>
        <v>1.344042237</v>
      </c>
      <c r="Q52" s="49">
        <f t="shared" si="47"/>
        <v>1.672418174</v>
      </c>
      <c r="R52" s="119">
        <f>IFERROR(SUMPRODUCT((Raw_Data_Daily!$B$2:$B$9999="Control")*(Raw_Data_Daily!$C$2:$C$9999="F. 100+")*Raw_Data_Daily!$D$2:$D$9999*(Raw_Data_Daily!$AQ$2:$AQ$9999-Raw_Data_Daily!$AT$2:$AT$9999))/SUMIFS(Raw_Data_Daily!$D:$D, Raw_Data_Daily!$B:$B, "Control", Raw_Data_Daily!$C:$C, "F. 100+"),"")</f>
        <v>1.147832822</v>
      </c>
      <c r="S52" s="55">
        <f>IFERROR(SUMPRODUCT((Raw_Data_Daily!$B$2:$B$9999="Variant")*(Raw_Data_Daily!$C$2:$C$9999="F. 100+")*Raw_Data_Daily!$D$2:$D$9999*(Raw_Data_Daily!$AQ$2:$AQ$9999-Raw_Data_Daily!$AT$2:$AT$9999))/SUMIFS(Raw_Data_Daily!$D:$D, Raw_Data_Daily!$B:$B, "Variant", Raw_Data_Daily!$C:$C, "F. 100+"),"")</f>
        <v>0.4174498129</v>
      </c>
      <c r="T52" s="50">
        <f t="shared" si="48"/>
        <v>-0.6363147969</v>
      </c>
      <c r="V52" s="51"/>
    </row>
    <row r="53" ht="15.75" customHeight="1">
      <c r="A53" s="15"/>
      <c r="B53" s="31" t="s">
        <v>78</v>
      </c>
      <c r="C53" s="115">
        <f>IFERROR(SUMPRODUCT((Raw_Data_Daily!$B$2:$B$9999="Control")*(Raw_Data_Daily!$C$2:$C$9999="A. 0")*Raw_Data_Daily!$D$2:$D$9999*Raw_Data_Daily!$AU$2:$AU$9999)/SUMIFS(Raw_Data_Daily!$D:$D, Raw_Data_Daily!$B:$B, "Control", Raw_Data_Daily!$C:$C, "A. 0"),"")</f>
        <v>0.1397252344</v>
      </c>
      <c r="D53" s="55">
        <f>IFERROR(SUMPRODUCT((Raw_Data_Daily!$B$2:$B$9999="Variant")*(Raw_Data_Daily!$C$2:$C$9999="A. 0")*Raw_Data_Daily!$D$2:$D$9999*Raw_Data_Daily!$AU$2:$AU$9999)/SUMIFS(Raw_Data_Daily!$D:$D, Raw_Data_Daily!$B:$B, "Variant", Raw_Data_Daily!$C:$C, "A. 0"),"")</f>
        <v>0.1467759379</v>
      </c>
      <c r="E53" s="35">
        <f t="shared" si="43"/>
        <v>0.05046120322</v>
      </c>
      <c r="F53" s="119">
        <f>IFERROR(SUMPRODUCT((Raw_Data_Daily!$B$2:$B$9999="Control")*(Raw_Data_Daily!$C$2:$C$9999="B. 1-9")*Raw_Data_Daily!$D$2:$D$9999*Raw_Data_Daily!$AU$2:$AU$9999)/SUMIFS(Raw_Data_Daily!$D:$D, Raw_Data_Daily!$B:$B, "Control", Raw_Data_Daily!$C:$C, "B. 1-9"),"")</f>
        <v>0.2348444851</v>
      </c>
      <c r="G53" s="55">
        <f>IFERROR(SUMPRODUCT((Raw_Data_Daily!$B$2:$B$9999="Variant")*(Raw_Data_Daily!$C$2:$C$9999="B. 1-9")*Raw_Data_Daily!$D$2:$D$9999*Raw_Data_Daily!$AU$2:$AU$9999)/SUMIFS(Raw_Data_Daily!$D:$D, Raw_Data_Daily!$B:$B, "Variant", Raw_Data_Daily!$C:$C, "B. 1-9"),"")</f>
        <v>0.2423998755</v>
      </c>
      <c r="H53" s="39">
        <f t="shared" si="44"/>
        <v>0.0321718878</v>
      </c>
      <c r="I53" s="115">
        <f>IFERROR(SUMPRODUCT((Raw_Data_Daily!$B$2:$B$9999="Control")*(Raw_Data_Daily!$C$2:$C$9999="C. 10-19")*Raw_Data_Daily!$D$2:$D$9999*Raw_Data_Daily!$AU$2:$AU$9999)/SUMIFS(Raw_Data_Daily!$D:$D, Raw_Data_Daily!$B:$B, "Control", Raw_Data_Daily!$C:$C, "C. 10-19"),"")</f>
        <v>0.2379676124</v>
      </c>
      <c r="J53" s="55">
        <f>IFERROR(SUMPRODUCT((Raw_Data_Daily!$B$2:$B$9999="Variant")*(Raw_Data_Daily!$C$2:$C$9999="C. 10-19")*Raw_Data_Daily!$D$2:$D$9999*Raw_Data_Daily!$AU$2:$AU$9999)/SUMIFS(Raw_Data_Daily!$D:$D, Raw_Data_Daily!$B:$B, "Variant", Raw_Data_Daily!$C:$C, "C. 10-19"),"")</f>
        <v>0.2282950112</v>
      </c>
      <c r="K53" s="35">
        <f t="shared" si="45"/>
        <v>-0.04064671309</v>
      </c>
      <c r="L53" s="119">
        <f>IFERROR(SUMPRODUCT((Raw_Data_Daily!$B$2:$B$9999="Control")*(Raw_Data_Daily!$C$2:$C$9999="D. 20-39")*Raw_Data_Daily!$D$2:$D$9999*Raw_Data_Daily!$AU$2:$AU$9999)/SUMIFS(Raw_Data_Daily!$D:$D, Raw_Data_Daily!$B:$B, "Control", Raw_Data_Daily!$C:$C, "D. 20-39"),"")</f>
        <v>0.2381083739</v>
      </c>
      <c r="M53" s="55">
        <f>IFERROR(SUMPRODUCT((Raw_Data_Daily!$B$2:$B$9999="Variant")*(Raw_Data_Daily!$C$2:$C$9999="D. 20-39")*Raw_Data_Daily!$D$2:$D$9999*Raw_Data_Daily!$AU$2:$AU$9999)/SUMIFS(Raw_Data_Daily!$D:$D, Raw_Data_Daily!$B:$B, "Variant", Raw_Data_Daily!$C:$C, "D. 20-39"),"")</f>
        <v>0.2077160512</v>
      </c>
      <c r="N53" s="39">
        <f t="shared" si="46"/>
        <v>-0.1276407135</v>
      </c>
      <c r="O53" s="115">
        <f>IFERROR(SUMPRODUCT((Raw_Data_Daily!$B$2:$B$9999="Control")*(Raw_Data_Daily!$C$2:$C$9999="E. 40-99")*Raw_Data_Daily!$D$2:$D$9999*Raw_Data_Daily!$AU$2:$AU$9999)/SUMIFS(Raw_Data_Daily!$D:$D, Raw_Data_Daily!$B:$B, "Control", Raw_Data_Daily!$C:$C, "E. 40-99"),"")</f>
        <v>0.2245062065</v>
      </c>
      <c r="P53" s="55">
        <f>IFERROR(SUMPRODUCT((Raw_Data_Daily!$B$2:$B$9999="Variant")*(Raw_Data_Daily!$C$2:$C$9999="E. 40-99")*Raw_Data_Daily!$D$2:$D$9999*Raw_Data_Daily!$AU$2:$AU$9999)/SUMIFS(Raw_Data_Daily!$D:$D, Raw_Data_Daily!$B:$B, "Variant", Raw_Data_Daily!$C:$C, "E. 40-99"),"")</f>
        <v>0.1817196441</v>
      </c>
      <c r="Q53" s="35">
        <f t="shared" si="47"/>
        <v>-0.1905807554</v>
      </c>
      <c r="R53" s="119">
        <f>IFERROR(SUMPRODUCT((Raw_Data_Daily!$B$2:$B$9999="Control")*(Raw_Data_Daily!$C$2:$C$9999="F. 100+")*Raw_Data_Daily!$D$2:$D$9999*Raw_Data_Daily!$AU$2:$AU$9999)/SUMIFS(Raw_Data_Daily!$D:$D, Raw_Data_Daily!$B:$B, "Control", Raw_Data_Daily!$C:$C, "F. 100+"),"")</f>
        <v>0.199787238</v>
      </c>
      <c r="S53" s="55">
        <f>IFERROR(SUMPRODUCT((Raw_Data_Daily!$B$2:$B$9999="Variant")*(Raw_Data_Daily!$C$2:$C$9999="F. 100+")*Raw_Data_Daily!$D$2:$D$9999*Raw_Data_Daily!$AU$2:$AU$9999)/SUMIFS(Raw_Data_Daily!$D:$D, Raw_Data_Daily!$B:$B, "Variant", Raw_Data_Daily!$C:$C, "F. 100+"),"")</f>
        <v>0.1587523909</v>
      </c>
      <c r="T53" s="39">
        <f t="shared" si="48"/>
        <v>-0.2053927347</v>
      </c>
    </row>
    <row r="54" ht="15.75" hidden="1" customHeight="1">
      <c r="B54" s="4"/>
      <c r="H54" s="4"/>
      <c r="K54" s="4"/>
      <c r="N54" s="4"/>
      <c r="Q54" s="4"/>
    </row>
    <row r="55" ht="15.75" hidden="1" customHeight="1">
      <c r="A55" s="25" t="s">
        <v>67</v>
      </c>
      <c r="B55" s="27"/>
      <c r="C55" s="28"/>
      <c r="D55" s="12"/>
      <c r="E55" s="29"/>
      <c r="F55" s="30"/>
      <c r="G55" s="12"/>
      <c r="H55" s="27"/>
      <c r="I55" s="28"/>
      <c r="J55" s="12"/>
      <c r="K55" s="29"/>
      <c r="L55" s="30"/>
      <c r="M55" s="12"/>
      <c r="N55" s="27"/>
      <c r="O55" s="28"/>
      <c r="P55" s="12"/>
      <c r="Q55" s="29"/>
      <c r="R55" s="30"/>
      <c r="S55" s="12"/>
      <c r="T55" s="12"/>
    </row>
    <row r="56" ht="15.75" hidden="1" customHeight="1">
      <c r="A56" s="15"/>
      <c r="B56" s="217"/>
      <c r="C56" s="60"/>
      <c r="D56" s="61"/>
      <c r="E56" s="35"/>
      <c r="F56" s="218" t="s">
        <v>419</v>
      </c>
      <c r="G56" s="218" t="s">
        <v>420</v>
      </c>
      <c r="H56" s="219" t="s">
        <v>7</v>
      </c>
      <c r="I56" s="220" t="s">
        <v>419</v>
      </c>
      <c r="J56" s="218" t="s">
        <v>420</v>
      </c>
      <c r="K56" s="219" t="s">
        <v>7</v>
      </c>
      <c r="L56" s="220" t="s">
        <v>419</v>
      </c>
      <c r="M56" s="218" t="s">
        <v>420</v>
      </c>
      <c r="N56" s="219" t="s">
        <v>7</v>
      </c>
      <c r="O56" s="220" t="s">
        <v>419</v>
      </c>
      <c r="P56" s="218" t="s">
        <v>420</v>
      </c>
      <c r="Q56" s="219" t="s">
        <v>7</v>
      </c>
      <c r="R56" s="220" t="s">
        <v>419</v>
      </c>
      <c r="S56" s="218" t="s">
        <v>420</v>
      </c>
      <c r="T56" s="221" t="s">
        <v>7</v>
      </c>
    </row>
    <row r="57" ht="15.75" hidden="1" customHeight="1">
      <c r="A57" s="15"/>
      <c r="B57" s="31" t="s">
        <v>68</v>
      </c>
      <c r="C57" s="60"/>
      <c r="D57" s="61">
        <f>IFERROR(SUMPRODUCT((Raw_Data_Daily!$B$2:$B$9999="Variant")*(Raw_Data_Daily!$C$2:$C$9999="A. 0")*Raw_Data_Daily!$D$2:$D$9999*Raw_Data_Daily!$AM$2:$AM$9999)/SUMIFS(Raw_Data_Daily!$D:$D, Raw_Data_Daily!$B:$B, "Variant", Raw_Data_Daily!$C:$C, "A. 0"),"")</f>
        <v>7.019825707</v>
      </c>
      <c r="E57" s="35"/>
      <c r="F57" s="62">
        <v>42.64714275913684</v>
      </c>
      <c r="G57" s="61">
        <f>IFERROR(SUMPRODUCT((Raw_Data_Daily!$B$2:$B$9999="Variant")*(Raw_Data_Daily!$C$2:$C$9999="B. 1-9")*Raw_Data_Daily!$D$2:$D$9999*Raw_Data_Daily!$AM$2:$AM$9999)/SUMIFS(Raw_Data_Daily!$D:$D, Raw_Data_Daily!$B:$B, "Variant", Raw_Data_Daily!$C:$C, "B. 1-9"),"")</f>
        <v>36.00827646</v>
      </c>
      <c r="H57" s="35">
        <f t="shared" ref="H57:H60" si="49">IFERROR((G57-F57)/ABS(F57),"")</f>
        <v>-0.1556696619</v>
      </c>
      <c r="I57" s="62">
        <v>64.2180393913231</v>
      </c>
      <c r="J57" s="61">
        <f>IFERROR(SUMPRODUCT((Raw_Data_Daily!$B$2:$B$9999="Variant")*(Raw_Data_Daily!$C$2:$C$9999="C. 10-19")*Raw_Data_Daily!$D$2:$D$9999*Raw_Data_Daily!$AM$2:$AM$9999)/SUMIFS(Raw_Data_Daily!$D:$D, Raw_Data_Daily!$B:$B, "Variant", Raw_Data_Daily!$C:$C, "C. 10-19"),"")</f>
        <v>44.07868476</v>
      </c>
      <c r="K57" s="35">
        <f t="shared" ref="K57:K60" si="50">IFERROR((J57-I57)/ABS(I57),"")</f>
        <v>-0.3136089925</v>
      </c>
      <c r="L57" s="62">
        <v>67.13105330341149</v>
      </c>
      <c r="M57" s="61">
        <f>IFERROR(SUMPRODUCT((Raw_Data_Daily!$B$2:$B$9999="Variant")*(Raw_Data_Daily!$C$2:$C$9999="D. 20-39")*Raw_Data_Daily!$D$2:$D$9999*Raw_Data_Daily!$AM$2:$AM$9999)/SUMIFS(Raw_Data_Daily!$D:$D, Raw_Data_Daily!$B:$B, "Variant", Raw_Data_Daily!$C:$C, "D. 20-39"),"")</f>
        <v>45.2026873</v>
      </c>
      <c r="N57" s="35">
        <f t="shared" ref="N57:N60" si="51">IFERROR((M57-L57)/ABS(L57),"")</f>
        <v>-0.3266501108</v>
      </c>
      <c r="O57" s="62">
        <v>69.47695179730147</v>
      </c>
      <c r="P57" s="61">
        <f>IFERROR(SUMPRODUCT((Raw_Data_Daily!$B$2:$B$9999="Variant")*(Raw_Data_Daily!$C$2:$C$9999="E. 40-99")*Raw_Data_Daily!$D$2:$D$9999*Raw_Data_Daily!$AM$2:$AM$9999)/SUMIFS(Raw_Data_Daily!$D:$D, Raw_Data_Daily!$B:$B, "Variant", Raw_Data_Daily!$C:$C, "E. 40-99"),"")</f>
        <v>42.96440336</v>
      </c>
      <c r="Q57" s="35">
        <f t="shared" ref="Q57:Q60" si="52">IFERROR((P57-O57)/ABS(O57),"")</f>
        <v>-0.3816020673</v>
      </c>
      <c r="R57" s="62">
        <v>69.55612235067437</v>
      </c>
      <c r="S57" s="222">
        <f>IFERROR(SUMPRODUCT((Raw_Data_Daily!$B$2:$B$9999="Variant")*(Raw_Data_Daily!$C$2:$C$9999="F. 100+")*Raw_Data_Daily!$D$2:$D$9999*Raw_Data_Daily!$AM$2:$AM$9999)/SUMIFS(Raw_Data_Daily!$D:$D, Raw_Data_Daily!$B:$B, "Variant", Raw_Data_Daily!$C:$C, "F. 100+"),"")</f>
        <v>47.06741788</v>
      </c>
      <c r="T57" s="34">
        <f t="shared" ref="T57:T60" si="53">IFERROR((S57-R57)/ABS(R57),"")</f>
        <v>-0.3233173977</v>
      </c>
    </row>
    <row r="58" ht="15.75" hidden="1" customHeight="1">
      <c r="A58" s="15"/>
      <c r="B58" s="31" t="s">
        <v>132</v>
      </c>
      <c r="C58" s="60"/>
      <c r="D58" s="61">
        <f>IFERROR(SUMPRODUCT((Raw_Data_Daily!$B$2:$B$9999="Variant")*(Raw_Data_Daily!$C$2:$C$9999="A. 0")*Raw_Data_Daily!$D$2:$D$9999*Raw_Data_Daily!$AN$2:$AN$9999)/SUMIFS(Raw_Data_Daily!$D:$D, Raw_Data_Daily!$B:$B, "Variant", Raw_Data_Daily!$C:$C, "A. 0"),"")</f>
        <v>7.019825707</v>
      </c>
      <c r="E58" s="35"/>
      <c r="F58" s="62">
        <v>42.64714275913684</v>
      </c>
      <c r="G58" s="61">
        <f>IFERROR(SUMPRODUCT((Raw_Data_Daily!$B$2:$B$9999="Variant")*(Raw_Data_Daily!$C$2:$C$9999="B. 1-9")*Raw_Data_Daily!$D$2:$D$9999*Raw_Data_Daily!$AN$2:$AN$9999)/SUMIFS(Raw_Data_Daily!$D:$D, Raw_Data_Daily!$B:$B, "Variant", Raw_Data_Daily!$C:$C, "B. 1-9"),"")</f>
        <v>36.00827646</v>
      </c>
      <c r="H58" s="35">
        <f t="shared" si="49"/>
        <v>-0.1556696619</v>
      </c>
      <c r="I58" s="62">
        <v>64.2180393913231</v>
      </c>
      <c r="J58" s="61">
        <f>IFERROR(SUMPRODUCT((Raw_Data_Daily!$B$2:$B$9999="Variant")*(Raw_Data_Daily!$C$2:$C$9999="C. 10-19")*Raw_Data_Daily!$D$2:$D$9999*Raw_Data_Daily!$AN$2:$AN$9999)/SUMIFS(Raw_Data_Daily!$D:$D, Raw_Data_Daily!$B:$B, "Variant", Raw_Data_Daily!$C:$C, "C. 10-19"),"")</f>
        <v>44.07868476</v>
      </c>
      <c r="K58" s="35">
        <f t="shared" si="50"/>
        <v>-0.3136089925</v>
      </c>
      <c r="L58" s="62">
        <v>67.13105330341149</v>
      </c>
      <c r="M58" s="61">
        <f>IFERROR(SUMPRODUCT((Raw_Data_Daily!$B$2:$B$9999="Variant")*(Raw_Data_Daily!$C$2:$C$9999="D. 20-39")*Raw_Data_Daily!$D$2:$D$9999*Raw_Data_Daily!$AN$2:$AN$9999)/SUMIFS(Raw_Data_Daily!$D:$D, Raw_Data_Daily!$B:$B, "Variant", Raw_Data_Daily!$C:$C, "D. 20-39"),"")</f>
        <v>45.2026873</v>
      </c>
      <c r="N58" s="35">
        <f t="shared" si="51"/>
        <v>-0.3266501108</v>
      </c>
      <c r="O58" s="62">
        <v>69.47695179730147</v>
      </c>
      <c r="P58" s="61">
        <f>IFERROR(SUMPRODUCT((Raw_Data_Daily!$B$2:$B$9999="Variant")*(Raw_Data_Daily!$C$2:$C$9999="E. 40-99")*Raw_Data_Daily!$D$2:$D$9999*Raw_Data_Daily!$AN$2:$AN$9999)/SUMIFS(Raw_Data_Daily!$D:$D, Raw_Data_Daily!$B:$B, "Variant", Raw_Data_Daily!$C:$C, "E. 40-99"),"")</f>
        <v>42.96440336</v>
      </c>
      <c r="Q58" s="35">
        <f t="shared" si="52"/>
        <v>-0.3816020673</v>
      </c>
      <c r="R58" s="62">
        <v>69.55612235067437</v>
      </c>
      <c r="S58" s="222">
        <f>IFERROR(SUMPRODUCT((Raw_Data_Daily!$B$2:$B$9999="Variant")*(Raw_Data_Daily!$C$2:$C$9999="F. 100+")*Raw_Data_Daily!$D$2:$D$9999*Raw_Data_Daily!$AN$2:$AN$9999)/SUMIFS(Raw_Data_Daily!$D:$D, Raw_Data_Daily!$B:$B, "Variant", Raw_Data_Daily!$C:$C, "F. 100+"),"")</f>
        <v>47.06741788</v>
      </c>
      <c r="T58" s="34">
        <f t="shared" si="53"/>
        <v>-0.3233173977</v>
      </c>
    </row>
    <row r="59" ht="15.75" hidden="1" customHeight="1">
      <c r="A59" s="15"/>
      <c r="B59" s="31" t="s">
        <v>133</v>
      </c>
      <c r="C59" s="60"/>
      <c r="D59" s="61">
        <f>IFERROR(SUMPRODUCT((Raw_Data_Daily!$B$2:$B$9999="Variant")*(Raw_Data_Daily!$C$2:$C$9999="A. 0")*Raw_Data_Daily!$D$2:$D$9999*Raw_Data_Daily!$AO$2:$AO$9999)/SUMIFS(Raw_Data_Daily!$D:$D, Raw_Data_Daily!$B:$B, "Variant", Raw_Data_Daily!$C:$C, "A. 0"),"")</f>
        <v>4.424236691</v>
      </c>
      <c r="E59" s="35"/>
      <c r="F59" s="62">
        <v>20.758437882000745</v>
      </c>
      <c r="G59" s="61">
        <f>IFERROR(SUMPRODUCT((Raw_Data_Daily!$B$2:$B$9999="Variant")*(Raw_Data_Daily!$C$2:$C$9999="B. 1-9")*Raw_Data_Daily!$D$2:$D$9999*Raw_Data_Daily!$AO$2:$AO$9999)/SUMIFS(Raw_Data_Daily!$D:$D, Raw_Data_Daily!$B:$B, "Variant", Raw_Data_Daily!$C:$C, "B. 1-9"),"")</f>
        <v>17.57231062</v>
      </c>
      <c r="H59" s="35">
        <f t="shared" si="49"/>
        <v>-0.1534858874</v>
      </c>
      <c r="I59" s="62">
        <v>44.857285344269364</v>
      </c>
      <c r="J59" s="61">
        <f>IFERROR(SUMPRODUCT((Raw_Data_Daily!$B$2:$B$9999="Variant")*(Raw_Data_Daily!$C$2:$C$9999="C. 10-19")*Raw_Data_Daily!$D$2:$D$9999*Raw_Data_Daily!$AO$2:$AO$9999)/SUMIFS(Raw_Data_Daily!$D:$D, Raw_Data_Daily!$B:$B, "Variant", Raw_Data_Daily!$C:$C, "C. 10-19"),"")</f>
        <v>25.48058959</v>
      </c>
      <c r="K59" s="35">
        <f t="shared" si="50"/>
        <v>-0.4319631829</v>
      </c>
      <c r="L59" s="62">
        <v>44.82143398324103</v>
      </c>
      <c r="M59" s="61">
        <f>IFERROR(SUMPRODUCT((Raw_Data_Daily!$B$2:$B$9999="Variant")*(Raw_Data_Daily!$C$2:$C$9999="D. 20-39")*Raw_Data_Daily!$D$2:$D$9999*Raw_Data_Daily!$AO$2:$AO$9999)/SUMIFS(Raw_Data_Daily!$D:$D, Raw_Data_Daily!$B:$B, "Variant", Raw_Data_Daily!$C:$C, "D. 20-39"),"")</f>
        <v>24.54699255</v>
      </c>
      <c r="N59" s="35">
        <f t="shared" si="51"/>
        <v>-0.4523380809</v>
      </c>
      <c r="O59" s="62">
        <v>49.47428880420229</v>
      </c>
      <c r="P59" s="61">
        <f>IFERROR(SUMPRODUCT((Raw_Data_Daily!$B$2:$B$9999="Variant")*(Raw_Data_Daily!$C$2:$C$9999="E. 40-99")*Raw_Data_Daily!$D$2:$D$9999*Raw_Data_Daily!$AO$2:$AO$9999)/SUMIFS(Raw_Data_Daily!$D:$D, Raw_Data_Daily!$B:$B, "Variant", Raw_Data_Daily!$C:$C, "E. 40-99"),"")</f>
        <v>24.3942496</v>
      </c>
      <c r="Q59" s="35">
        <f t="shared" si="52"/>
        <v>-0.5069307677</v>
      </c>
      <c r="R59" s="62">
        <v>49.613294797687864</v>
      </c>
      <c r="S59" s="222">
        <f>IFERROR(SUMPRODUCT((Raw_Data_Daily!$B$2:$B$9999="Variant")*(Raw_Data_Daily!$C$2:$C$9999="F. 100+")*Raw_Data_Daily!$D$2:$D$9999*Raw_Data_Daily!$AO$2:$AO$9999)/SUMIFS(Raw_Data_Daily!$D:$D, Raw_Data_Daily!$B:$B, "Variant", Raw_Data_Daily!$C:$C, "F. 100+"),"")</f>
        <v>35.30200416</v>
      </c>
      <c r="T59" s="34">
        <f t="shared" si="53"/>
        <v>-0.2884567674</v>
      </c>
    </row>
    <row r="60" ht="15.75" hidden="1" customHeight="1">
      <c r="A60" s="15"/>
      <c r="B60" s="31" t="s">
        <v>134</v>
      </c>
      <c r="C60" s="60"/>
      <c r="D60" s="61">
        <f>IFERROR(SUMPRODUCT((Raw_Data_Daily!$B$2:$B$9999="Variant")*(Raw_Data_Daily!$C$2:$C$9999="A. 0")*Raw_Data_Daily!$D$2:$D$9999*Raw_Data_Daily!$AP$2:$AP$9999)/SUMIFS(Raw_Data_Daily!$D:$D, Raw_Data_Daily!$B:$B, "Variant", Raw_Data_Daily!$C:$C, "A. 0"),"")</f>
        <v>2.499087065</v>
      </c>
      <c r="E60" s="35"/>
      <c r="F60" s="62">
        <v>8.35851789946364</v>
      </c>
      <c r="G60" s="61">
        <f>IFERROR(SUMPRODUCT((Raw_Data_Daily!$B$2:$B$9999="Variant")*(Raw_Data_Daily!$C$2:$C$9999="B. 1-9")*Raw_Data_Daily!$D$2:$D$9999*Raw_Data_Daily!$AP$2:$AP$9999)/SUMIFS(Raw_Data_Daily!$D:$D, Raw_Data_Daily!$B:$B, "Variant", Raw_Data_Daily!$C:$C, "B. 1-9"),"")</f>
        <v>5.504851218</v>
      </c>
      <c r="H60" s="35">
        <f t="shared" si="49"/>
        <v>-0.3414082157</v>
      </c>
      <c r="I60" s="62">
        <v>25.564667601985754</v>
      </c>
      <c r="J60" s="61">
        <f>IFERROR(SUMPRODUCT((Raw_Data_Daily!$B$2:$B$9999="Variant")*(Raw_Data_Daily!$C$2:$C$9999="C. 10-19")*Raw_Data_Daily!$D$2:$D$9999*Raw_Data_Daily!$AP$2:$AP$9999)/SUMIFS(Raw_Data_Daily!$D:$D, Raw_Data_Daily!$B:$B, "Variant", Raw_Data_Daily!$C:$C, "C. 10-19"),"")</f>
        <v>11.72021885</v>
      </c>
      <c r="K60" s="35">
        <f t="shared" si="50"/>
        <v>-0.5415462063</v>
      </c>
      <c r="L60" s="62">
        <v>29.76296452615758</v>
      </c>
      <c r="M60" s="61">
        <f>IFERROR(SUMPRODUCT((Raw_Data_Daily!$B$2:$B$9999="Variant")*(Raw_Data_Daily!$C$2:$C$9999="D. 20-39")*Raw_Data_Daily!$D$2:$D$9999*Raw_Data_Daily!$AP$2:$AP$9999)/SUMIFS(Raw_Data_Daily!$D:$D, Raw_Data_Daily!$B:$B, "Variant", Raw_Data_Daily!$C:$C, "D. 20-39"),"")</f>
        <v>12.12236277</v>
      </c>
      <c r="N60" s="35">
        <f t="shared" si="51"/>
        <v>-0.5927031139</v>
      </c>
      <c r="O60" s="62">
        <v>34.037131012462666</v>
      </c>
      <c r="P60" s="61">
        <f>IFERROR(SUMPRODUCT((Raw_Data_Daily!$B$2:$B$9999="Variant")*(Raw_Data_Daily!$C$2:$C$9999="E. 40-99")*Raw_Data_Daily!$D$2:$D$9999*Raw_Data_Daily!$AP$2:$AP$9999)/SUMIFS(Raw_Data_Daily!$D:$D, Raw_Data_Daily!$B:$B, "Variant", Raw_Data_Daily!$C:$C, "E. 40-99"),"")</f>
        <v>14.46121285</v>
      </c>
      <c r="Q60" s="35">
        <f t="shared" si="52"/>
        <v>-0.5751342013</v>
      </c>
      <c r="R60" s="62">
        <v>36.70592485549133</v>
      </c>
      <c r="S60" s="222">
        <f>IFERROR(SUMPRODUCT((Raw_Data_Daily!$B$2:$B$9999="Variant")*(Raw_Data_Daily!$C$2:$C$9999="F. 100+")*Raw_Data_Daily!$D$2:$D$9999*Raw_Data_Daily!$AP$2:$AP$9999)/SUMIFS(Raw_Data_Daily!$D:$D, Raw_Data_Daily!$B:$B, "Variant", Raw_Data_Daily!$C:$C, "F. 100+"),"")</f>
        <v>29.7309106</v>
      </c>
      <c r="T60" s="34">
        <f t="shared" si="53"/>
        <v>-0.1900242067</v>
      </c>
    </row>
    <row r="61" ht="15.75" customHeight="1">
      <c r="B61" s="2"/>
      <c r="F61" s="3"/>
    </row>
    <row r="62" ht="15.75" customHeight="1">
      <c r="A62" s="195" t="s">
        <v>79</v>
      </c>
      <c r="B62" s="27"/>
      <c r="C62" s="28"/>
      <c r="D62" s="12"/>
      <c r="E62" s="29"/>
      <c r="F62" s="30"/>
      <c r="G62" s="12"/>
      <c r="H62" s="27"/>
      <c r="I62" s="28"/>
      <c r="J62" s="12"/>
      <c r="K62" s="29"/>
      <c r="L62" s="30"/>
      <c r="M62" s="12"/>
      <c r="N62" s="27"/>
      <c r="O62" s="28"/>
      <c r="P62" s="12"/>
      <c r="Q62" s="29"/>
      <c r="R62" s="30"/>
      <c r="S62" s="12"/>
      <c r="T62" s="27"/>
    </row>
    <row r="63" ht="15.75" customHeight="1">
      <c r="A63" s="15"/>
      <c r="B63" s="223" t="s">
        <v>80</v>
      </c>
      <c r="C63" s="115">
        <f>IFERROR(SUMPRODUCT((Raw_Data_Daily!$B$2:$B$9999="Control")*(Raw_Data_Daily!$C$2:$C$9999="A. 0")*Raw_Data_Daily!$D$2:$D$9999*Raw_Data_Daily!$BO$2:$BO$9999)/SUMIFS(Raw_Data_Daily!$D:$D, Raw_Data_Daily!$B:$B, "Control", Raw_Data_Daily!$C:$C, "A. 0"),"")</f>
        <v>0.2865499046</v>
      </c>
      <c r="D63" s="55">
        <f>IFERROR(SUMPRODUCT((Raw_Data_Daily!$B$2:$B$9999="Variant")*(Raw_Data_Daily!$C$2:$C$9999="A. 0")*Raw_Data_Daily!$D$2:$D$9999*Raw_Data_Daily!$BO$2:$BO$9999)/SUMIFS(Raw_Data_Daily!$D:$D, Raw_Data_Daily!$B:$B, "Variant", Raw_Data_Daily!$C:$C, "A. 0"),"")</f>
        <v>0.3441486339</v>
      </c>
      <c r="E63" s="46">
        <f t="shared" ref="E63:E67" si="54">IFERROR((D63-C63)/ABS(C63),"")</f>
        <v>0.201007672</v>
      </c>
      <c r="F63" s="119">
        <f>IFERROR(SUMPRODUCT((Raw_Data_Daily!$B$2:$B$9999="Control")*(Raw_Data_Daily!$C$2:$C$9999="B. 1-9")*Raw_Data_Daily!$D$2:$D$9999*Raw_Data_Daily!$BO$2:$BO$9999)/SUMIFS(Raw_Data_Daily!$D:$D, Raw_Data_Daily!$B:$B, "Control", Raw_Data_Daily!$C:$C, "B. 1-9"),"")</f>
        <v>0.8323750584</v>
      </c>
      <c r="G63" s="55">
        <f>IFERROR(SUMPRODUCT((Raw_Data_Daily!$B$2:$B$9999="Variant")*(Raw_Data_Daily!$C$2:$C$9999="B. 1-9")*Raw_Data_Daily!$D$2:$D$9999*Raw_Data_Daily!$BO$2:$BO$9999)/SUMIFS(Raw_Data_Daily!$D:$D, Raw_Data_Daily!$B:$B, "Variant", Raw_Data_Daily!$C:$C, "B. 1-9"),"")</f>
        <v>1.08145288</v>
      </c>
      <c r="H63" s="50">
        <f t="shared" ref="H63:H67" si="55">IFERROR((G63-F63)/ABS(F63),"")</f>
        <v>0.2992374879</v>
      </c>
      <c r="I63" s="115">
        <f>IFERROR(SUMPRODUCT((Raw_Data_Daily!$B$2:$B$9999="Control")*(Raw_Data_Daily!$C$2:$C$9999="C. 10-19")*Raw_Data_Daily!$D$2:$D$9999*Raw_Data_Daily!$BO$2:$BO$9999)/SUMIFS(Raw_Data_Daily!$D:$D, Raw_Data_Daily!$B:$B, "Control", Raw_Data_Daily!$C:$C, "C. 10-19"),"")</f>
        <v>1.579392343</v>
      </c>
      <c r="J63" s="55">
        <f>IFERROR(SUMPRODUCT((Raw_Data_Daily!$B$2:$B$9999="Variant")*(Raw_Data_Daily!$C$2:$C$9999="C. 10-19")*Raw_Data_Daily!$D$2:$D$9999*Raw_Data_Daily!$BO$2:$BO$9999)/SUMIFS(Raw_Data_Daily!$D:$D, Raw_Data_Daily!$B:$B, "Variant", Raw_Data_Daily!$C:$C, "C. 10-19"),"")</f>
        <v>1.800934732</v>
      </c>
      <c r="K63" s="49">
        <f t="shared" ref="K63:K67" si="56">IFERROR((J63-I63)/ABS(I63),"")</f>
        <v>0.1402706489</v>
      </c>
      <c r="L63" s="119">
        <f>IFERROR(SUMPRODUCT((Raw_Data_Daily!$B$2:$B$9999="Control")*(Raw_Data_Daily!$C$2:$C$9999="D. 20-39")*Raw_Data_Daily!$D$2:$D$9999*Raw_Data_Daily!$BO$2:$BO$9999)/SUMIFS(Raw_Data_Daily!$D:$D, Raw_Data_Daily!$B:$B, "Control", Raw_Data_Daily!$C:$C, "D. 20-39"),"")</f>
        <v>2.248582464</v>
      </c>
      <c r="M63" s="55">
        <f>IFERROR(SUMPRODUCT((Raw_Data_Daily!$B$2:$B$9999="Variant")*(Raw_Data_Daily!$C$2:$C$9999="D. 20-39")*Raw_Data_Daily!$D$2:$D$9999*Raw_Data_Daily!$BO$2:$BO$9999)/SUMIFS(Raw_Data_Daily!$D:$D, Raw_Data_Daily!$B:$B, "Variant", Raw_Data_Daily!$C:$C, "D. 20-39"),"")</f>
        <v>2.32974448</v>
      </c>
      <c r="N63" s="50">
        <f t="shared" ref="N63:N67" si="57">IFERROR((M63-L63)/ABS(L63),"")</f>
        <v>0.03609474715</v>
      </c>
      <c r="O63" s="115">
        <f>IFERROR(SUMPRODUCT((Raw_Data_Daily!$B$2:$B$9999="Control")*(Raw_Data_Daily!$C$2:$C$9999="E. 40-99")*Raw_Data_Daily!$D$2:$D$9999*Raw_Data_Daily!$BO$2:$BO$9999)/SUMIFS(Raw_Data_Daily!$D:$D, Raw_Data_Daily!$B:$B, "Control", Raw_Data_Daily!$C:$C, "E. 40-99"),"")</f>
        <v>3.420928294</v>
      </c>
      <c r="P63" s="55">
        <f>IFERROR(SUMPRODUCT((Raw_Data_Daily!$B$2:$B$9999="Variant")*(Raw_Data_Daily!$C$2:$C$9999="E. 40-99")*Raw_Data_Daily!$D$2:$D$9999*Raw_Data_Daily!$BO$2:$BO$9999)/SUMIFS(Raw_Data_Daily!$D:$D, Raw_Data_Daily!$B:$B, "Variant", Raw_Data_Daily!$C:$C, "E. 40-99"),"")</f>
        <v>3.129570853</v>
      </c>
      <c r="Q63" s="49">
        <f t="shared" ref="Q63:Q67" si="58">IFERROR((P63-O63)/ABS(O63),"")</f>
        <v>-0.08516911643</v>
      </c>
      <c r="R63" s="119">
        <f>IFERROR(SUMPRODUCT((Raw_Data_Daily!$B$2:$B$9999="Control")*(Raw_Data_Daily!$C$2:$C$9999="F. 100+")*Raw_Data_Daily!$D$2:$D$9999*Raw_Data_Daily!$BO$2:$BO$9999)/SUMIFS(Raw_Data_Daily!$D:$D, Raw_Data_Daily!$B:$B, "Control", Raw_Data_Daily!$C:$C, "F. 100+"),"")</f>
        <v>6.869744948</v>
      </c>
      <c r="S63" s="136">
        <f>IFERROR(SUMPRODUCT((Raw_Data_Daily!$B$2:$B$9999="Variant")*(Raw_Data_Daily!$C$2:$C$9999="F. 100+")*Raw_Data_Daily!$D$2:$D$9999*Raw_Data_Daily!$BO$2:$BO$9999)/SUMIFS(Raw_Data_Daily!$D:$D, Raw_Data_Daily!$B:$B, "Variant", Raw_Data_Daily!$C:$C, "F. 100+"),"")</f>
        <v>5.079436466</v>
      </c>
      <c r="T63" s="216">
        <f t="shared" ref="T63:T67" si="59">IFERROR((S63-R63)/ABS(R63),"")</f>
        <v>-0.2606077075</v>
      </c>
    </row>
    <row r="64" ht="15.75" customHeight="1">
      <c r="A64" s="15"/>
      <c r="B64" s="223" t="s">
        <v>81</v>
      </c>
      <c r="C64" s="115">
        <f>IFERROR(SUMPRODUCT((Raw_Data_Daily!$B$2:$B$9999="Control")*(Raw_Data_Daily!$C$2:$C$9999="A. 0")*Raw_Data_Daily!$D$2:$D$9999*Raw_Data_Daily!$BP$2:$BP$9999)/SUMIFS(Raw_Data_Daily!$D:$D, Raw_Data_Daily!$B:$B, "Control", Raw_Data_Daily!$C:$C, "A. 0"),"")</f>
        <v>0.01432308767</v>
      </c>
      <c r="D64" s="55">
        <f>IFERROR(SUMPRODUCT((Raw_Data_Daily!$B$2:$B$9999="Variant")*(Raw_Data_Daily!$C$2:$C$9999="A. 0")*Raw_Data_Daily!$D$2:$D$9999*Raw_Data_Daily!$BP$2:$BP$9999)/SUMIFS(Raw_Data_Daily!$D:$D, Raw_Data_Daily!$B:$B, "Variant", Raw_Data_Daily!$C:$C, "A. 0"),"")</f>
        <v>0.01374867993</v>
      </c>
      <c r="E64" s="46">
        <f t="shared" si="54"/>
        <v>-0.0401036252</v>
      </c>
      <c r="F64" s="119">
        <f>IFERROR(SUMPRODUCT((Raw_Data_Daily!$B$2:$B$9999="Control")*(Raw_Data_Daily!$C$2:$C$9999="B. 1-9")*Raw_Data_Daily!$D$2:$D$9999*Raw_Data_Daily!$BP$2:$BP$9999)/SUMIFS(Raw_Data_Daily!$D:$D, Raw_Data_Daily!$B:$B, "Control", Raw_Data_Daily!$C:$C, "B. 1-9"),"")</f>
        <v>0.01033148162</v>
      </c>
      <c r="G64" s="55">
        <f>IFERROR(SUMPRODUCT((Raw_Data_Daily!$B$2:$B$9999="Variant")*(Raw_Data_Daily!$C$2:$C$9999="B. 1-9")*Raw_Data_Daily!$D$2:$D$9999*Raw_Data_Daily!$BP$2:$BP$9999)/SUMIFS(Raw_Data_Daily!$D:$D, Raw_Data_Daily!$B:$B, "Variant", Raw_Data_Daily!$C:$C, "B. 1-9"),"")</f>
        <v>0.01088601984</v>
      </c>
      <c r="H64" s="50">
        <f t="shared" si="55"/>
        <v>0.05367460684</v>
      </c>
      <c r="I64" s="115">
        <f>IFERROR(SUMPRODUCT((Raw_Data_Daily!$B$2:$B$9999="Control")*(Raw_Data_Daily!$C$2:$C$9999="C. 10-19")*Raw_Data_Daily!$D$2:$D$9999*Raw_Data_Daily!$BP$2:$BP$9999)/SUMIFS(Raw_Data_Daily!$D:$D, Raw_Data_Daily!$B:$B, "Control", Raw_Data_Daily!$C:$C, "C. 10-19"),"")</f>
        <v>0.03084791384</v>
      </c>
      <c r="J64" s="55">
        <f>IFERROR(SUMPRODUCT((Raw_Data_Daily!$B$2:$B$9999="Variant")*(Raw_Data_Daily!$C$2:$C$9999="C. 10-19")*Raw_Data_Daily!$D$2:$D$9999*Raw_Data_Daily!$BP$2:$BP$9999)/SUMIFS(Raw_Data_Daily!$D:$D, Raw_Data_Daily!$B:$B, "Variant", Raw_Data_Daily!$C:$C, "C. 10-19"),"")</f>
        <v>0.02866838241</v>
      </c>
      <c r="K64" s="49">
        <f t="shared" si="56"/>
        <v>-0.07065409497</v>
      </c>
      <c r="L64" s="119">
        <f>IFERROR(SUMPRODUCT((Raw_Data_Daily!$B$2:$B$9999="Control")*(Raw_Data_Daily!$C$2:$C$9999="D. 20-39")*Raw_Data_Daily!$D$2:$D$9999*Raw_Data_Daily!$BP$2:$BP$9999)/SUMIFS(Raw_Data_Daily!$D:$D, Raw_Data_Daily!$B:$B, "Control", Raw_Data_Daily!$C:$C, "D. 20-39"),"")</f>
        <v>0.04703176445</v>
      </c>
      <c r="M64" s="55">
        <f>IFERROR(SUMPRODUCT((Raw_Data_Daily!$B$2:$B$9999="Variant")*(Raw_Data_Daily!$C$2:$C$9999="D. 20-39")*Raw_Data_Daily!$D$2:$D$9999*Raw_Data_Daily!$BP$2:$BP$9999)/SUMIFS(Raw_Data_Daily!$D:$D, Raw_Data_Daily!$B:$B, "Variant", Raw_Data_Daily!$C:$C, "D. 20-39"),"")</f>
        <v>0.04184914878</v>
      </c>
      <c r="N64" s="50">
        <f t="shared" si="57"/>
        <v>-0.1101939452</v>
      </c>
      <c r="O64" s="115">
        <f>IFERROR(SUMPRODUCT((Raw_Data_Daily!$B$2:$B$9999="Control")*(Raw_Data_Daily!$C$2:$C$9999="E. 40-99")*Raw_Data_Daily!$D$2:$D$9999*Raw_Data_Daily!$BP$2:$BP$9999)/SUMIFS(Raw_Data_Daily!$D:$D, Raw_Data_Daily!$B:$B, "Control", Raw_Data_Daily!$C:$C, "E. 40-99"),"")</f>
        <v>0.07000926322</v>
      </c>
      <c r="P64" s="55">
        <f>IFERROR(SUMPRODUCT((Raw_Data_Daily!$B$2:$B$9999="Variant")*(Raw_Data_Daily!$C$2:$C$9999="E. 40-99")*Raw_Data_Daily!$D$2:$D$9999*Raw_Data_Daily!$BP$2:$BP$9999)/SUMIFS(Raw_Data_Daily!$D:$D, Raw_Data_Daily!$B:$B, "Variant", Raw_Data_Daily!$C:$C, "E. 40-99"),"")</f>
        <v>0.1056776319</v>
      </c>
      <c r="Q64" s="49">
        <f t="shared" si="58"/>
        <v>0.5094807034</v>
      </c>
      <c r="R64" s="119">
        <f>IFERROR(SUMPRODUCT((Raw_Data_Daily!$B$2:$B$9999="Control")*(Raw_Data_Daily!$C$2:$C$9999="F. 100+")*Raw_Data_Daily!$D$2:$D$9999*Raw_Data_Daily!$BP$2:$BP$9999)/SUMIFS(Raw_Data_Daily!$D:$D, Raw_Data_Daily!$B:$B, "Control", Raw_Data_Daily!$C:$C, "F. 100+"),"")</f>
        <v>0.1931295284</v>
      </c>
      <c r="S64" s="136">
        <f>IFERROR(SUMPRODUCT((Raw_Data_Daily!$B$2:$B$9999="Variant")*(Raw_Data_Daily!$C$2:$C$9999="F. 100+")*Raw_Data_Daily!$D$2:$D$9999*Raw_Data_Daily!$BP$2:$BP$9999)/SUMIFS(Raw_Data_Daily!$D:$D, Raw_Data_Daily!$B:$B, "Variant", Raw_Data_Daily!$C:$C, "F. 100+"),"")</f>
        <v>0.2964706029</v>
      </c>
      <c r="T64" s="216">
        <f t="shared" si="59"/>
        <v>0.5350868679</v>
      </c>
    </row>
    <row r="65" ht="15.75" customHeight="1">
      <c r="A65" s="15"/>
      <c r="B65" s="223" t="s">
        <v>82</v>
      </c>
      <c r="C65" s="115">
        <f>IFERROR(SUMPRODUCT((Raw_Data_Daily!$B$2:$B$9999="Control")*(Raw_Data_Daily!$C$2:$C$9999="A. 0")*Raw_Data_Daily!$D$2:$D$9999*Raw_Data_Daily!$BQ$2:$BQ$9999)/SUMIFS(Raw_Data_Daily!$D:$D, Raw_Data_Daily!$B:$B, "Control", Raw_Data_Daily!$C:$C, "A. 0"),"")</f>
        <v>0.272214506</v>
      </c>
      <c r="D65" s="55">
        <f>IFERROR(SUMPRODUCT((Raw_Data_Daily!$B$2:$B$9999="Variant")*(Raw_Data_Daily!$C$2:$C$9999="A. 0")*Raw_Data_Daily!$D$2:$D$9999*Raw_Data_Daily!$BQ$2:$BQ$9999)/SUMIFS(Raw_Data_Daily!$D:$D, Raw_Data_Daily!$B:$B, "Variant", Raw_Data_Daily!$C:$C, "A. 0"),"")</f>
        <v>0.3304070584</v>
      </c>
      <c r="E65" s="46">
        <f t="shared" si="54"/>
        <v>0.2137746194</v>
      </c>
      <c r="F65" s="119">
        <f>IFERROR(SUMPRODUCT((Raw_Data_Daily!$B$2:$B$9999="Control")*(Raw_Data_Daily!$C$2:$C$9999="B. 1-9")*Raw_Data_Daily!$D$2:$D$9999*Raw_Data_Daily!$BQ$2:$BQ$9999)/SUMIFS(Raw_Data_Daily!$D:$D, Raw_Data_Daily!$B:$B, "Control", Raw_Data_Daily!$C:$C, "B. 1-9"),"")</f>
        <v>0.8220432166</v>
      </c>
      <c r="G65" s="55">
        <f>IFERROR(SUMPRODUCT((Raw_Data_Daily!$B$2:$B$9999="Variant")*(Raw_Data_Daily!$C$2:$C$9999="B. 1-9")*Raw_Data_Daily!$D$2:$D$9999*Raw_Data_Daily!$BQ$2:$BQ$9999)/SUMIFS(Raw_Data_Daily!$D:$D, Raw_Data_Daily!$B:$B, "Variant", Raw_Data_Daily!$C:$C, "B. 1-9"),"")</f>
        <v>1.070545351</v>
      </c>
      <c r="H65" s="50">
        <f t="shared" si="55"/>
        <v>0.3022981386</v>
      </c>
      <c r="I65" s="115">
        <f>IFERROR(SUMPRODUCT((Raw_Data_Daily!$B$2:$B$9999="Control")*(Raw_Data_Daily!$C$2:$C$9999="C. 10-19")*Raw_Data_Daily!$D$2:$D$9999*Raw_Data_Daily!$BQ$2:$BQ$9999)/SUMIFS(Raw_Data_Daily!$D:$D, Raw_Data_Daily!$B:$B, "Control", Raw_Data_Daily!$C:$C, "C. 10-19"),"")</f>
        <v>1.548588052</v>
      </c>
      <c r="J65" s="55">
        <f>IFERROR(SUMPRODUCT((Raw_Data_Daily!$B$2:$B$9999="Variant")*(Raw_Data_Daily!$C$2:$C$9999="C. 10-19")*Raw_Data_Daily!$D$2:$D$9999*Raw_Data_Daily!$BQ$2:$BQ$9999)/SUMIFS(Raw_Data_Daily!$D:$D, Raw_Data_Daily!$B:$B, "Variant", Raw_Data_Daily!$C:$C, "C. 10-19"),"")</f>
        <v>1.77226635</v>
      </c>
      <c r="K65" s="49">
        <f t="shared" si="56"/>
        <v>0.1444401545</v>
      </c>
      <c r="L65" s="119">
        <f>IFERROR(SUMPRODUCT((Raw_Data_Daily!$B$2:$B$9999="Control")*(Raw_Data_Daily!$C$2:$C$9999="D. 20-39")*Raw_Data_Daily!$D$2:$D$9999*Raw_Data_Daily!$BQ$2:$BQ$9999)/SUMIFS(Raw_Data_Daily!$D:$D, Raw_Data_Daily!$B:$B, "Control", Raw_Data_Daily!$C:$C, "D. 20-39"),"")</f>
        <v>2.201546117</v>
      </c>
      <c r="M65" s="55">
        <f>IFERROR(SUMPRODUCT((Raw_Data_Daily!$B$2:$B$9999="Variant")*(Raw_Data_Daily!$C$2:$C$9999="D. 20-39")*Raw_Data_Daily!$D$2:$D$9999*Raw_Data_Daily!$BQ$2:$BQ$9999)/SUMIFS(Raw_Data_Daily!$D:$D, Raw_Data_Daily!$B:$B, "Variant", Raw_Data_Daily!$C:$C, "D. 20-39"),"")</f>
        <v>2.287888759</v>
      </c>
      <c r="N65" s="50">
        <f t="shared" si="57"/>
        <v>0.03921909293</v>
      </c>
      <c r="O65" s="115">
        <f>IFERROR(SUMPRODUCT((Raw_Data_Daily!$B$2:$B$9999="Control")*(Raw_Data_Daily!$C$2:$C$9999="E. 40-99")*Raw_Data_Daily!$D$2:$D$9999*Raw_Data_Daily!$BQ$2:$BQ$9999)/SUMIFS(Raw_Data_Daily!$D:$D, Raw_Data_Daily!$B:$B, "Control", Raw_Data_Daily!$C:$C, "E. 40-99"),"")</f>
        <v>3.35091903</v>
      </c>
      <c r="P65" s="55">
        <f>IFERROR(SUMPRODUCT((Raw_Data_Daily!$B$2:$B$9999="Variant")*(Raw_Data_Daily!$C$2:$C$9999="E. 40-99")*Raw_Data_Daily!$D$2:$D$9999*Raw_Data_Daily!$BQ$2:$BQ$9999)/SUMIFS(Raw_Data_Daily!$D:$D, Raw_Data_Daily!$B:$B, "Variant", Raw_Data_Daily!$C:$C, "E. 40-99"),"")</f>
        <v>3.023907521</v>
      </c>
      <c r="Q65" s="49">
        <f t="shared" si="58"/>
        <v>-0.09758860364</v>
      </c>
      <c r="R65" s="119">
        <f>IFERROR(SUMPRODUCT((Raw_Data_Daily!$B$2:$B$9999="Control")*(Raw_Data_Daily!$C$2:$C$9999="F. 100+")*Raw_Data_Daily!$D$2:$D$9999*Raw_Data_Daily!$BQ$2:$BQ$9999)/SUMIFS(Raw_Data_Daily!$D:$D, Raw_Data_Daily!$B:$B, "Control", Raw_Data_Daily!$C:$C, "F. 100+"),"")</f>
        <v>6.676651048</v>
      </c>
      <c r="S65" s="136">
        <f>IFERROR(SUMPRODUCT((Raw_Data_Daily!$B$2:$B$9999="Variant")*(Raw_Data_Daily!$C$2:$C$9999="F. 100+")*Raw_Data_Daily!$D$2:$D$9999*Raw_Data_Daily!$BQ$2:$BQ$9999)/SUMIFS(Raw_Data_Daily!$D:$D, Raw_Data_Daily!$B:$B, "Variant", Raw_Data_Daily!$C:$C, "F. 100+"),"")</f>
        <v>4.782959127</v>
      </c>
      <c r="T65" s="216">
        <f t="shared" si="59"/>
        <v>-0.2836290091</v>
      </c>
    </row>
    <row r="66" ht="15.75" customHeight="1">
      <c r="A66" s="15"/>
      <c r="B66" s="223" t="s">
        <v>83</v>
      </c>
      <c r="C66" s="115">
        <f>IFERROR(SUMPRODUCT((Raw_Data_Daily!$B$2:$B$9999="Control")*(Raw_Data_Daily!$C$2:$C$9999="A. 0")*Raw_Data_Daily!$D$2:$D$9999*Raw_Data_Daily!$BR$2:$BR$9999)/SUMIFS(Raw_Data_Daily!$D:$D, Raw_Data_Daily!$B:$B, "Control", Raw_Data_Daily!$C:$C, "A. 0"),"")</f>
        <v>0.2451972971</v>
      </c>
      <c r="D66" s="55">
        <f>IFERROR(SUMPRODUCT((Raw_Data_Daily!$B$2:$B$9999="Variant")*(Raw_Data_Daily!$C$2:$C$9999="A. 0")*Raw_Data_Daily!$D$2:$D$9999*Raw_Data_Daily!$BR$2:$BR$9999)/SUMIFS(Raw_Data_Daily!$D:$D, Raw_Data_Daily!$B:$B, "Variant", Raw_Data_Daily!$C:$C, "A. 0"),"")</f>
        <v>0.2737176271</v>
      </c>
      <c r="E66" s="46">
        <f t="shared" si="54"/>
        <v>0.1163158419</v>
      </c>
      <c r="F66" s="119">
        <f>IFERROR(SUMPRODUCT((Raw_Data_Daily!$B$2:$B$9999="Control")*(Raw_Data_Daily!$C$2:$C$9999="B. 1-9")*Raw_Data_Daily!$D$2:$D$9999*Raw_Data_Daily!$BR$2:$BR$9999)/SUMIFS(Raw_Data_Daily!$D:$D, Raw_Data_Daily!$B:$B, "Control", Raw_Data_Daily!$C:$C, "B. 1-9"),"")</f>
        <v>0.6357793374</v>
      </c>
      <c r="G66" s="55">
        <f>IFERROR(SUMPRODUCT((Raw_Data_Daily!$B$2:$B$9999="Variant")*(Raw_Data_Daily!$C$2:$C$9999="B. 1-9")*Raw_Data_Daily!$D$2:$D$9999*Raw_Data_Daily!$BR$2:$BR$9999)/SUMIFS(Raw_Data_Daily!$D:$D, Raw_Data_Daily!$B:$B, "Variant", Raw_Data_Daily!$C:$C, "B. 1-9"),"")</f>
        <v>0.7106953719</v>
      </c>
      <c r="H66" s="50">
        <f t="shared" si="55"/>
        <v>0.1178333898</v>
      </c>
      <c r="I66" s="115">
        <f>IFERROR(SUMPRODUCT((Raw_Data_Daily!$B$2:$B$9999="Control")*(Raw_Data_Daily!$C$2:$C$9999="C. 10-19")*Raw_Data_Daily!$D$2:$D$9999*Raw_Data_Daily!$BR$2:$BR$9999)/SUMIFS(Raw_Data_Daily!$D:$D, Raw_Data_Daily!$B:$B, "Control", Raw_Data_Daily!$C:$C, "C. 10-19"),"")</f>
        <v>1.282243058</v>
      </c>
      <c r="J66" s="55">
        <f>IFERROR(SUMPRODUCT((Raw_Data_Daily!$B$2:$B$9999="Variant")*(Raw_Data_Daily!$C$2:$C$9999="C. 10-19")*Raw_Data_Daily!$D$2:$D$9999*Raw_Data_Daily!$BR$2:$BR$9999)/SUMIFS(Raw_Data_Daily!$D:$D, Raw_Data_Daily!$B:$B, "Variant", Raw_Data_Daily!$C:$C, "C. 10-19"),"")</f>
        <v>1.360796026</v>
      </c>
      <c r="K66" s="49">
        <f t="shared" si="56"/>
        <v>0.06126215108</v>
      </c>
      <c r="L66" s="119">
        <f>IFERROR(SUMPRODUCT((Raw_Data_Daily!$B$2:$B$9999="Control")*(Raw_Data_Daily!$C$2:$C$9999="D. 20-39")*Raw_Data_Daily!$D$2:$D$9999*Raw_Data_Daily!$BR$2:$BR$9999)/SUMIFS(Raw_Data_Daily!$D:$D, Raw_Data_Daily!$B:$B, "Control", Raw_Data_Daily!$C:$C, "D. 20-39"),"")</f>
        <v>1.86833918</v>
      </c>
      <c r="M66" s="55">
        <f>IFERROR(SUMPRODUCT((Raw_Data_Daily!$B$2:$B$9999="Variant")*(Raw_Data_Daily!$C$2:$C$9999="D. 20-39")*Raw_Data_Daily!$D$2:$D$9999*Raw_Data_Daily!$BR$2:$BR$9999)/SUMIFS(Raw_Data_Daily!$D:$D, Raw_Data_Daily!$B:$B, "Variant", Raw_Data_Daily!$C:$C, "D. 20-39"),"")</f>
        <v>1.801256259</v>
      </c>
      <c r="N66" s="50">
        <f t="shared" si="57"/>
        <v>-0.03590510835</v>
      </c>
      <c r="O66" s="115">
        <f>IFERROR(SUMPRODUCT((Raw_Data_Daily!$B$2:$B$9999="Control")*(Raw_Data_Daily!$C$2:$C$9999="E. 40-99")*Raw_Data_Daily!$D$2:$D$9999*Raw_Data_Daily!$BR$2:$BR$9999)/SUMIFS(Raw_Data_Daily!$D:$D, Raw_Data_Daily!$B:$B, "Control", Raw_Data_Daily!$C:$C, "E. 40-99"),"")</f>
        <v>2.991628058</v>
      </c>
      <c r="P66" s="55">
        <f>IFERROR(SUMPRODUCT((Raw_Data_Daily!$B$2:$B$9999="Variant")*(Raw_Data_Daily!$C$2:$C$9999="E. 40-99")*Raw_Data_Daily!$D$2:$D$9999*Raw_Data_Daily!$BR$2:$BR$9999)/SUMIFS(Raw_Data_Daily!$D:$D, Raw_Data_Daily!$B:$B, "Variant", Raw_Data_Daily!$C:$C, "E. 40-99"),"")</f>
        <v>2.594259692</v>
      </c>
      <c r="Q66" s="49">
        <f t="shared" si="58"/>
        <v>-0.1328267946</v>
      </c>
      <c r="R66" s="119">
        <f>IFERROR(SUMPRODUCT((Raw_Data_Daily!$B$2:$B$9999="Control")*(Raw_Data_Daily!$C$2:$C$9999="F. 100+")*Raw_Data_Daily!$D$2:$D$9999*Raw_Data_Daily!$BR$2:$BR$9999)/SUMIFS(Raw_Data_Daily!$D:$D, Raw_Data_Daily!$B:$B, "Control", Raw_Data_Daily!$C:$C, "F. 100+"),"")</f>
        <v>5.872746482</v>
      </c>
      <c r="S66" s="136">
        <f>IFERROR(SUMPRODUCT((Raw_Data_Daily!$B$2:$B$9999="Variant")*(Raw_Data_Daily!$C$2:$C$9999="F. 100+")*Raw_Data_Daily!$D$2:$D$9999*Raw_Data_Daily!$BR$2:$BR$9999)/SUMIFS(Raw_Data_Daily!$D:$D, Raw_Data_Daily!$B:$B, "Variant", Raw_Data_Daily!$C:$C, "F. 100+"),"")</f>
        <v>4.445728441</v>
      </c>
      <c r="T66" s="216">
        <f t="shared" si="59"/>
        <v>-0.2429898933</v>
      </c>
    </row>
    <row r="67" ht="15.75" customHeight="1">
      <c r="A67" s="15"/>
      <c r="B67" s="223" t="s">
        <v>84</v>
      </c>
      <c r="C67" s="115">
        <f>IFERROR(SUMPRODUCT((Raw_Data_Daily!$B$2:$B$9999="Control")*(Raw_Data_Daily!$C$2:$C$9999="A. 0")*Raw_Data_Daily!$D$2:$D$9999*(Raw_Data_Daily!$BO$2:$BO$9999-Raw_Data_Daily!$BR$2:$BR$9999))/SUMIFS(Raw_Data_Daily!$D:$D, Raw_Data_Daily!$B:$B, "Control", Raw_Data_Daily!$C:$C, "A. 0"),"")</f>
        <v>0.04135260754</v>
      </c>
      <c r="D67" s="55">
        <f>IFERROR(SUMPRODUCT((Raw_Data_Daily!$B$2:$B$9999="Variant")*(Raw_Data_Daily!$C$2:$C$9999="A. 0")*Raw_Data_Daily!$D$2:$D$9999*(Raw_Data_Daily!$BO$2:$BO$9999-Raw_Data_Daily!$BR$2:$BR$9999))/SUMIFS(Raw_Data_Daily!$D:$D, Raw_Data_Daily!$B:$B, "Variant", Raw_Data_Daily!$C:$C, "A. 0"),"")</f>
        <v>0.07043100672</v>
      </c>
      <c r="E67" s="35">
        <f t="shared" si="54"/>
        <v>0.703181756</v>
      </c>
      <c r="F67" s="119">
        <f>IFERROR(SUMPRODUCT((Raw_Data_Daily!$B$2:$B$9999="Control")*(Raw_Data_Daily!$C$2:$C$9999="B. 1-9")*Raw_Data_Daily!$D$2:$D$9999*(Raw_Data_Daily!$BO$2:$BO$9999-Raw_Data_Daily!$BR$2:$BR$9999))/SUMIFS(Raw_Data_Daily!$D:$D, Raw_Data_Daily!$B:$B, "Control", Raw_Data_Daily!$C:$C, "B. 1-9"),"")</f>
        <v>0.1965957211</v>
      </c>
      <c r="G67" s="55">
        <f>IFERROR(SUMPRODUCT((Raw_Data_Daily!$B$2:$B$9999="Variant")*(Raw_Data_Daily!$C$2:$C$9999="B. 1-9")*Raw_Data_Daily!$D$2:$D$9999*(Raw_Data_Daily!$BO$2:$BO$9999-Raw_Data_Daily!$BR$2:$BR$9999))/SUMIFS(Raw_Data_Daily!$D:$D, Raw_Data_Daily!$B:$B, "Variant", Raw_Data_Daily!$C:$C, "B. 1-9"),"")</f>
        <v>0.370757508</v>
      </c>
      <c r="H67" s="50">
        <f t="shared" si="55"/>
        <v>0.8858879838</v>
      </c>
      <c r="I67" s="115">
        <f>IFERROR(SUMPRODUCT((Raw_Data_Daily!$B$2:$B$9999="Control")*(Raw_Data_Daily!$C$2:$C$9999="C. 10-19")*Raw_Data_Daily!$D$2:$D$9999*(Raw_Data_Daily!$BO$2:$BO$9999-Raw_Data_Daily!$BR$2:$BR$9999))/SUMIFS(Raw_Data_Daily!$D:$D, Raw_Data_Daily!$B:$B, "Control", Raw_Data_Daily!$C:$C, "C. 10-19"),"")</f>
        <v>0.2971492852</v>
      </c>
      <c r="J67" s="55">
        <f>IFERROR(SUMPRODUCT((Raw_Data_Daily!$B$2:$B$9999="Variant")*(Raw_Data_Daily!$C$2:$C$9999="C. 10-19")*Raw_Data_Daily!$D$2:$D$9999*(Raw_Data_Daily!$BO$2:$BO$9999-Raw_Data_Daily!$BR$2:$BR$9999))/SUMIFS(Raw_Data_Daily!$D:$D, Raw_Data_Daily!$B:$B, "Variant", Raw_Data_Daily!$C:$C, "C. 10-19"),"")</f>
        <v>0.4401387061</v>
      </c>
      <c r="K67" s="49">
        <f t="shared" si="56"/>
        <v>0.4812039873</v>
      </c>
      <c r="L67" s="119">
        <f>IFERROR(SUMPRODUCT((Raw_Data_Daily!$B$2:$B$9999="Control")*(Raw_Data_Daily!$C$2:$C$9999="D. 20-39")*Raw_Data_Daily!$D$2:$D$9999*(Raw_Data_Daily!$BO$2:$BO$9999-Raw_Data_Daily!$BR$2:$BR$9999))/SUMIFS(Raw_Data_Daily!$D:$D, Raw_Data_Daily!$B:$B, "Control", Raw_Data_Daily!$C:$C, "D. 20-39"),"")</f>
        <v>0.3802432844</v>
      </c>
      <c r="M67" s="55">
        <f>IFERROR(SUMPRODUCT((Raw_Data_Daily!$B$2:$B$9999="Variant")*(Raw_Data_Daily!$C$2:$C$9999="D. 20-39")*Raw_Data_Daily!$D$2:$D$9999*(Raw_Data_Daily!$BO$2:$BO$9999-Raw_Data_Daily!$BR$2:$BR$9999))/SUMIFS(Raw_Data_Daily!$D:$D, Raw_Data_Daily!$B:$B, "Variant", Raw_Data_Daily!$C:$C, "D. 20-39"),"")</f>
        <v>0.5284882206</v>
      </c>
      <c r="N67" s="50">
        <f t="shared" si="57"/>
        <v>0.3898686505</v>
      </c>
      <c r="O67" s="115">
        <f>IFERROR(SUMPRODUCT((Raw_Data_Daily!$B$2:$B$9999="Control")*(Raw_Data_Daily!$C$2:$C$9999="E. 40-99")*Raw_Data_Daily!$D$2:$D$9999*(Raw_Data_Daily!$BO$2:$BO$9999-Raw_Data_Daily!$BR$2:$BR$9999))/SUMIFS(Raw_Data_Daily!$D:$D, Raw_Data_Daily!$B:$B, "Control", Raw_Data_Daily!$C:$C, "E. 40-99"),"")</f>
        <v>0.4293002356</v>
      </c>
      <c r="P67" s="55">
        <f>IFERROR(SUMPRODUCT((Raw_Data_Daily!$B$2:$B$9999="Variant")*(Raw_Data_Daily!$C$2:$C$9999="E. 40-99")*Raw_Data_Daily!$D$2:$D$9999*(Raw_Data_Daily!$BO$2:$BO$9999-Raw_Data_Daily!$BR$2:$BR$9999))/SUMIFS(Raw_Data_Daily!$D:$D, Raw_Data_Daily!$B:$B, "Variant", Raw_Data_Daily!$C:$C, "E. 40-99"),"")</f>
        <v>0.535311161</v>
      </c>
      <c r="Q67" s="49">
        <f t="shared" si="58"/>
        <v>0.2469388943</v>
      </c>
      <c r="R67" s="119">
        <f>IFERROR(SUMPRODUCT((Raw_Data_Daily!$B$2:$B$9999="Control")*(Raw_Data_Daily!$C$2:$C$9999="F. 100+")*Raw_Data_Daily!$D$2:$D$9999*(Raw_Data_Daily!$BO$2:$BO$9999-Raw_Data_Daily!$BR$2:$BR$9999))/SUMIFS(Raw_Data_Daily!$D:$D, Raw_Data_Daily!$B:$B, "Control", Raw_Data_Daily!$C:$C, "F. 100+"),"")</f>
        <v>0.9969984656</v>
      </c>
      <c r="S67" s="55">
        <f>IFERROR(SUMPRODUCT((Raw_Data_Daily!$B$2:$B$9999="Variant")*(Raw_Data_Daily!$C$2:$C$9999="F. 100+")*Raw_Data_Daily!$D$2:$D$9999*(Raw_Data_Daily!$BO$2:$BO$9999-Raw_Data_Daily!$BR$2:$BR$9999))/SUMIFS(Raw_Data_Daily!$D:$D, Raw_Data_Daily!$B:$B, "Variant", Raw_Data_Daily!$C:$C, "F. 100+"),"")</f>
        <v>0.6337080249</v>
      </c>
      <c r="T67" s="50">
        <f t="shared" si="59"/>
        <v>-0.3643841522</v>
      </c>
    </row>
    <row r="68" ht="15.75" customHeight="1">
      <c r="A68" s="195" t="s">
        <v>85</v>
      </c>
      <c r="B68" s="27"/>
      <c r="C68" s="28"/>
      <c r="D68" s="12"/>
      <c r="E68" s="29"/>
      <c r="F68" s="30"/>
      <c r="G68" s="12"/>
      <c r="H68" s="27"/>
      <c r="I68" s="28"/>
      <c r="J68" s="12"/>
      <c r="K68" s="29"/>
      <c r="L68" s="30"/>
      <c r="M68" s="12"/>
      <c r="N68" s="27"/>
      <c r="O68" s="28"/>
      <c r="P68" s="12"/>
      <c r="Q68" s="29"/>
      <c r="R68" s="30"/>
      <c r="S68" s="12"/>
      <c r="T68" s="27"/>
    </row>
    <row r="69" ht="15.75" customHeight="1">
      <c r="A69" s="15"/>
      <c r="B69" s="223" t="s">
        <v>86</v>
      </c>
      <c r="C69" s="115">
        <f>IFERROR(SUMPRODUCT((Raw_Data_Daily!$B$2:$B$9999="Control")*(Raw_Data_Daily!$C$2:$C$9999="A. 0")*Raw_Data_Daily!$D$2:$D$9999*Raw_Data_Daily!$BS$2:$BS$9999)/SUMIFS(Raw_Data_Daily!$D:$D, Raw_Data_Daily!$B:$B, "Control", Raw_Data_Daily!$C:$C, "A. 0"),"")</f>
        <v>0.3071229265</v>
      </c>
      <c r="D69" s="55">
        <f>IFERROR(SUMPRODUCT((Raw_Data_Daily!$B$2:$B$9999="Variant")*(Raw_Data_Daily!$C$2:$C$9999="A. 0")*Raw_Data_Daily!$D$2:$D$9999*Raw_Data_Daily!$BS$2:$BS$9999)/SUMIFS(Raw_Data_Daily!$D:$D, Raw_Data_Daily!$B:$B, "Variant", Raw_Data_Daily!$C:$C, "A. 0"),"")</f>
        <v>0.346736268</v>
      </c>
      <c r="E69" s="46">
        <f t="shared" ref="E69:E73" si="60">IFERROR((D69-C69)/ABS(C69),"")</f>
        <v>0.1289820399</v>
      </c>
      <c r="F69" s="119">
        <f>IFERROR(SUMPRODUCT((Raw_Data_Daily!$B$2:$B$9999="Control")*(Raw_Data_Daily!$C$2:$C$9999="B. 1-9")*Raw_Data_Daily!$D$2:$D$9999*Raw_Data_Daily!$BS$2:$BS$9999)/SUMIFS(Raw_Data_Daily!$D:$D, Raw_Data_Daily!$B:$B, "Control", Raw_Data_Daily!$C:$C, "B. 1-9"),"")</f>
        <v>0.8448537424</v>
      </c>
      <c r="G69" s="55">
        <f>IFERROR(SUMPRODUCT((Raw_Data_Daily!$B$2:$B$9999="Variant")*(Raw_Data_Daily!$C$2:$C$9999="B. 1-9")*Raw_Data_Daily!$D$2:$D$9999*Raw_Data_Daily!$BS$2:$BS$9999)/SUMIFS(Raw_Data_Daily!$D:$D, Raw_Data_Daily!$B:$B, "Variant", Raw_Data_Daily!$C:$C, "B. 1-9"),"")</f>
        <v>0.9914429056</v>
      </c>
      <c r="H69" s="50">
        <f t="shared" ref="H69:H73" si="61">IFERROR((G69-F69)/ABS(F69),"")</f>
        <v>0.1735083315</v>
      </c>
      <c r="I69" s="115">
        <f>IFERROR(SUMPRODUCT((Raw_Data_Daily!$B$2:$B$9999="Control")*(Raw_Data_Daily!$C$2:$C$9999="C. 10-19")*Raw_Data_Daily!$D$2:$D$9999*Raw_Data_Daily!$BS$2:$BS$9999)/SUMIFS(Raw_Data_Daily!$D:$D, Raw_Data_Daily!$B:$B, "Control", Raw_Data_Daily!$C:$C, "C. 10-19"),"")</f>
        <v>1.563498965</v>
      </c>
      <c r="J69" s="55">
        <f>IFERROR(SUMPRODUCT((Raw_Data_Daily!$B$2:$B$9999="Variant")*(Raw_Data_Daily!$C$2:$C$9999="C. 10-19")*Raw_Data_Daily!$D$2:$D$9999*Raw_Data_Daily!$BS$2:$BS$9999)/SUMIFS(Raw_Data_Daily!$D:$D, Raw_Data_Daily!$B:$B, "Variant", Raw_Data_Daily!$C:$C, "C. 10-19"),"")</f>
        <v>1.76462719</v>
      </c>
      <c r="K69" s="49">
        <f t="shared" ref="K69:K73" si="62">IFERROR((J69-I69)/ABS(I69),"")</f>
        <v>0.1286398196</v>
      </c>
      <c r="L69" s="119">
        <f>IFERROR(SUMPRODUCT((Raw_Data_Daily!$B$2:$B$9999="Control")*(Raw_Data_Daily!$C$2:$C$9999="D. 20-39")*Raw_Data_Daily!$D$2:$D$9999*Raw_Data_Daily!$BS$2:$BS$9999)/SUMIFS(Raw_Data_Daily!$D:$D, Raw_Data_Daily!$B:$B, "Control", Raw_Data_Daily!$C:$C, "D. 20-39"),"")</f>
        <v>2.350108104</v>
      </c>
      <c r="M69" s="55">
        <f>IFERROR(SUMPRODUCT((Raw_Data_Daily!$B$2:$B$9999="Variant")*(Raw_Data_Daily!$C$2:$C$9999="D. 20-39")*Raw_Data_Daily!$D$2:$D$9999*Raw_Data_Daily!$BS$2:$BS$9999)/SUMIFS(Raw_Data_Daily!$D:$D, Raw_Data_Daily!$B:$B, "Variant", Raw_Data_Daily!$C:$C, "D. 20-39"),"")</f>
        <v>2.421017932</v>
      </c>
      <c r="N69" s="50">
        <f t="shared" ref="N69:N73" si="63">IFERROR((M69-L69)/ABS(L69),"")</f>
        <v>0.0301730069</v>
      </c>
      <c r="O69" s="115">
        <f>IFERROR(SUMPRODUCT((Raw_Data_Daily!$B$2:$B$9999="Control")*(Raw_Data_Daily!$C$2:$C$9999="E. 40-99")*Raw_Data_Daily!$D$2:$D$9999*Raw_Data_Daily!$BS$2:$BS$9999)/SUMIFS(Raw_Data_Daily!$D:$D, Raw_Data_Daily!$B:$B, "Control", Raw_Data_Daily!$C:$C, "E. 40-99"),"")</f>
        <v>3.573487428</v>
      </c>
      <c r="P69" s="55">
        <f>IFERROR(SUMPRODUCT((Raw_Data_Daily!$B$2:$B$9999="Variant")*(Raw_Data_Daily!$C$2:$C$9999="E. 40-99")*Raw_Data_Daily!$D$2:$D$9999*Raw_Data_Daily!$BS$2:$BS$9999)/SUMIFS(Raw_Data_Daily!$D:$D, Raw_Data_Daily!$B:$B, "Variant", Raw_Data_Daily!$C:$C, "E. 40-99"),"")</f>
        <v>3.331421262</v>
      </c>
      <c r="Q69" s="49">
        <f t="shared" ref="Q69:Q73" si="64">IFERROR((P69-O69)/ABS(O69),"")</f>
        <v>-0.06773947596</v>
      </c>
      <c r="R69" s="119">
        <f>IFERROR(SUMPRODUCT((Raw_Data_Daily!$B$2:$B$9999="Control")*(Raw_Data_Daily!$C$2:$C$9999="F. 100+")*Raw_Data_Daily!$D$2:$D$9999*Raw_Data_Daily!$BS$2:$BS$9999)/SUMIFS(Raw_Data_Daily!$D:$D, Raw_Data_Daily!$B:$B, "Control", Raw_Data_Daily!$C:$C, "F. 100+"),"")</f>
        <v>7.285957784</v>
      </c>
      <c r="S69" s="136">
        <f>IFERROR(SUMPRODUCT((Raw_Data_Daily!$B$2:$B$9999="Variant")*(Raw_Data_Daily!$C$2:$C$9999="F. 100+")*Raw_Data_Daily!$D$2:$D$9999*Raw_Data_Daily!$BS$2:$BS$9999)/SUMIFS(Raw_Data_Daily!$D:$D, Raw_Data_Daily!$B:$B, "Variant", Raw_Data_Daily!$C:$C, "F. 100+"),"")</f>
        <v>5.513944241</v>
      </c>
      <c r="T69" s="216">
        <f t="shared" ref="T69:T73" si="65">IFERROR((S69-R69)/ABS(R69),"")</f>
        <v>-0.2432094168</v>
      </c>
    </row>
    <row r="70" ht="15.75" customHeight="1">
      <c r="A70" s="15"/>
      <c r="B70" s="223" t="s">
        <v>87</v>
      </c>
      <c r="C70" s="115">
        <f>IFERROR(SUMPRODUCT((Raw_Data_Daily!$B$2:$B$9999="Control")*(Raw_Data_Daily!$C$2:$C$9999="A. 0")*Raw_Data_Daily!$D$2:$D$9999*Raw_Data_Daily!$BT$2:$BT$9999)/SUMIFS(Raw_Data_Daily!$D:$D, Raw_Data_Daily!$B:$B, "Control", Raw_Data_Daily!$C:$C, "A. 0"),"")</f>
        <v>0.01344167495</v>
      </c>
      <c r="D70" s="55">
        <f>IFERROR(SUMPRODUCT((Raw_Data_Daily!$B$2:$B$9999="Variant")*(Raw_Data_Daily!$C$2:$C$9999="A. 0")*Raw_Data_Daily!$D$2:$D$9999*Raw_Data_Daily!$BT$2:$BT$9999)/SUMIFS(Raw_Data_Daily!$D:$D, Raw_Data_Daily!$B:$B, "Variant", Raw_Data_Daily!$C:$C, "A. 0"),"")</f>
        <v>0.01301234414</v>
      </c>
      <c r="E70" s="46">
        <f t="shared" si="60"/>
        <v>-0.03194027626</v>
      </c>
      <c r="F70" s="119">
        <f>IFERROR(SUMPRODUCT((Raw_Data_Daily!$B$2:$B$9999="Control")*(Raw_Data_Daily!$C$2:$C$9999="B. 1-9")*Raw_Data_Daily!$D$2:$D$9999*Raw_Data_Daily!$BT$2:$BT$9999)/SUMIFS(Raw_Data_Daily!$D:$D, Raw_Data_Daily!$B:$B, "Control", Raw_Data_Daily!$C:$C, "B. 1-9"),"")</f>
        <v>0.006739581497</v>
      </c>
      <c r="G70" s="55">
        <f>IFERROR(SUMPRODUCT((Raw_Data_Daily!$B$2:$B$9999="Variant")*(Raw_Data_Daily!$C$2:$C$9999="B. 1-9")*Raw_Data_Daily!$D$2:$D$9999*Raw_Data_Daily!$BT$2:$BT$9999)/SUMIFS(Raw_Data_Daily!$D:$D, Raw_Data_Daily!$B:$B, "Variant", Raw_Data_Daily!$C:$C, "B. 1-9"),"")</f>
        <v>0.006040293735</v>
      </c>
      <c r="H70" s="50">
        <f t="shared" si="61"/>
        <v>-0.1037583361</v>
      </c>
      <c r="I70" s="115">
        <f>IFERROR(SUMPRODUCT((Raw_Data_Daily!$B$2:$B$9999="Control")*(Raw_Data_Daily!$C$2:$C$9999="C. 10-19")*Raw_Data_Daily!$D$2:$D$9999*Raw_Data_Daily!$BT$2:$BT$9999)/SUMIFS(Raw_Data_Daily!$D:$D, Raw_Data_Daily!$B:$B, "Control", Raw_Data_Daily!$C:$C, "C. 10-19"),"")</f>
        <v>0.02574168928</v>
      </c>
      <c r="J70" s="55">
        <f>IFERROR(SUMPRODUCT((Raw_Data_Daily!$B$2:$B$9999="Variant")*(Raw_Data_Daily!$C$2:$C$9999="C. 10-19")*Raw_Data_Daily!$D$2:$D$9999*Raw_Data_Daily!$BT$2:$BT$9999)/SUMIFS(Raw_Data_Daily!$D:$D, Raw_Data_Daily!$B:$B, "Variant", Raw_Data_Daily!$C:$C, "C. 10-19"),"")</f>
        <v>0.01809433446</v>
      </c>
      <c r="K70" s="49">
        <f t="shared" si="62"/>
        <v>-0.2970805349</v>
      </c>
      <c r="L70" s="119">
        <f>IFERROR(SUMPRODUCT((Raw_Data_Daily!$B$2:$B$9999="Control")*(Raw_Data_Daily!$C$2:$C$9999="D. 20-39")*Raw_Data_Daily!$D$2:$D$9999*Raw_Data_Daily!$BT$2:$BT$9999)/SUMIFS(Raw_Data_Daily!$D:$D, Raw_Data_Daily!$B:$B, "Control", Raw_Data_Daily!$C:$C, "D. 20-39"),"")</f>
        <v>0.04742768453</v>
      </c>
      <c r="M70" s="55">
        <f>IFERROR(SUMPRODUCT((Raw_Data_Daily!$B$2:$B$9999="Variant")*(Raw_Data_Daily!$C$2:$C$9999="D. 20-39")*Raw_Data_Daily!$D$2:$D$9999*Raw_Data_Daily!$BT$2:$BT$9999)/SUMIFS(Raw_Data_Daily!$D:$D, Raw_Data_Daily!$B:$B, "Variant", Raw_Data_Daily!$C:$C, "D. 20-39"),"")</f>
        <v>0.04304896727</v>
      </c>
      <c r="N70" s="50">
        <f t="shared" si="63"/>
        <v>-0.09232407834</v>
      </c>
      <c r="O70" s="115">
        <f>IFERROR(SUMPRODUCT((Raw_Data_Daily!$B$2:$B$9999="Control")*(Raw_Data_Daily!$C$2:$C$9999="E. 40-99")*Raw_Data_Daily!$D$2:$D$9999*Raw_Data_Daily!$BT$2:$BT$9999)/SUMIFS(Raw_Data_Daily!$D:$D, Raw_Data_Daily!$B:$B, "Control", Raw_Data_Daily!$C:$C, "E. 40-99"),"")</f>
        <v>0.07247230896</v>
      </c>
      <c r="P70" s="55">
        <f>IFERROR(SUMPRODUCT((Raw_Data_Daily!$B$2:$B$9999="Variant")*(Raw_Data_Daily!$C$2:$C$9999="E. 40-99")*Raw_Data_Daily!$D$2:$D$9999*Raw_Data_Daily!$BT$2:$BT$9999)/SUMIFS(Raw_Data_Daily!$D:$D, Raw_Data_Daily!$B:$B, "Variant", Raw_Data_Daily!$C:$C, "E. 40-99"),"")</f>
        <v>0.1117122495</v>
      </c>
      <c r="Q70" s="49">
        <f t="shared" si="64"/>
        <v>0.5414473623</v>
      </c>
      <c r="R70" s="119">
        <f>IFERROR(SUMPRODUCT((Raw_Data_Daily!$B$2:$B$9999="Control")*(Raw_Data_Daily!$C$2:$C$9999="F. 100+")*Raw_Data_Daily!$D$2:$D$9999*Raw_Data_Daily!$BT$2:$BT$9999)/SUMIFS(Raw_Data_Daily!$D:$D, Raw_Data_Daily!$B:$B, "Control", Raw_Data_Daily!$C:$C, "F. 100+"),"")</f>
        <v>0.2122365269</v>
      </c>
      <c r="S70" s="136">
        <f>IFERROR(SUMPRODUCT((Raw_Data_Daily!$B$2:$B$9999="Variant")*(Raw_Data_Daily!$C$2:$C$9999="F. 100+")*Raw_Data_Daily!$D$2:$D$9999*Raw_Data_Daily!$BT$2:$BT$9999)/SUMIFS(Raw_Data_Daily!$D:$D, Raw_Data_Daily!$B:$B, "Variant", Raw_Data_Daily!$C:$C, "F. 100+"),"")</f>
        <v>0.3189037422</v>
      </c>
      <c r="T70" s="216">
        <f t="shared" si="65"/>
        <v>0.5025865095</v>
      </c>
    </row>
    <row r="71" ht="15.75" customHeight="1">
      <c r="A71" s="15"/>
      <c r="B71" s="223" t="s">
        <v>88</v>
      </c>
      <c r="C71" s="115">
        <f>IFERROR(SUMPRODUCT((Raw_Data_Daily!$B$2:$B$9999="Control")*(Raw_Data_Daily!$C$2:$C$9999="A. 0")*Raw_Data_Daily!$D$2:$D$9999*Raw_Data_Daily!$BU$2:$BU$9999)/SUMIFS(Raw_Data_Daily!$D:$D, Raw_Data_Daily!$B:$B, "Control", Raw_Data_Daily!$C:$C, "A. 0"),"")</f>
        <v>0.2936963594</v>
      </c>
      <c r="D71" s="55">
        <f>IFERROR(SUMPRODUCT((Raw_Data_Daily!$B$2:$B$9999="Variant")*(Raw_Data_Daily!$C$2:$C$9999="A. 0")*Raw_Data_Daily!$D$2:$D$9999*Raw_Data_Daily!$BU$2:$BU$9999)/SUMIFS(Raw_Data_Daily!$D:$D, Raw_Data_Daily!$B:$B, "Variant", Raw_Data_Daily!$C:$C, "A. 0"),"")</f>
        <v>0.3337382386</v>
      </c>
      <c r="E71" s="46">
        <f t="shared" si="60"/>
        <v>0.1363376766</v>
      </c>
      <c r="F71" s="119">
        <f>IFERROR(SUMPRODUCT((Raw_Data_Daily!$B$2:$B$9999="Control")*(Raw_Data_Daily!$C$2:$C$9999="B. 1-9")*Raw_Data_Daily!$D$2:$D$9999*Raw_Data_Daily!$BU$2:$BU$9999)/SUMIFS(Raw_Data_Daily!$D:$D, Raw_Data_Daily!$B:$B, "Control", Raw_Data_Daily!$C:$C, "B. 1-9"),"")</f>
        <v>0.8381508719</v>
      </c>
      <c r="G71" s="55">
        <f>IFERROR(SUMPRODUCT((Raw_Data_Daily!$B$2:$B$9999="Variant")*(Raw_Data_Daily!$C$2:$C$9999="B. 1-9")*Raw_Data_Daily!$D$2:$D$9999*Raw_Data_Daily!$BU$2:$BU$9999)/SUMIFS(Raw_Data_Daily!$D:$D, Raw_Data_Daily!$B:$B, "Variant", Raw_Data_Daily!$C:$C, "B. 1-9"),"")</f>
        <v>0.9854241211</v>
      </c>
      <c r="H71" s="50">
        <f t="shared" si="61"/>
        <v>0.1757120993</v>
      </c>
      <c r="I71" s="115">
        <f>IFERROR(SUMPRODUCT((Raw_Data_Daily!$B$2:$B$9999="Control")*(Raw_Data_Daily!$C$2:$C$9999="C. 10-19")*Raw_Data_Daily!$D$2:$D$9999*Raw_Data_Daily!$BU$2:$BU$9999)/SUMIFS(Raw_Data_Daily!$D:$D, Raw_Data_Daily!$B:$B, "Control", Raw_Data_Daily!$C:$C, "C. 10-19"),"")</f>
        <v>1.537757276</v>
      </c>
      <c r="J71" s="55">
        <f>IFERROR(SUMPRODUCT((Raw_Data_Daily!$B$2:$B$9999="Variant")*(Raw_Data_Daily!$C$2:$C$9999="C. 10-19")*Raw_Data_Daily!$D$2:$D$9999*Raw_Data_Daily!$BU$2:$BU$9999)/SUMIFS(Raw_Data_Daily!$D:$D, Raw_Data_Daily!$B:$B, "Variant", Raw_Data_Daily!$C:$C, "C. 10-19"),"")</f>
        <v>1.746532107</v>
      </c>
      <c r="K71" s="49">
        <f t="shared" si="62"/>
        <v>0.1357657897</v>
      </c>
      <c r="L71" s="119">
        <f>IFERROR(SUMPRODUCT((Raw_Data_Daily!$B$2:$B$9999="Control")*(Raw_Data_Daily!$C$2:$C$9999="D. 20-39")*Raw_Data_Daily!$D$2:$D$9999*Raw_Data_Daily!$BU$2:$BU$9999)/SUMIFS(Raw_Data_Daily!$D:$D, Raw_Data_Daily!$B:$B, "Control", Raw_Data_Daily!$C:$C, "D. 20-39"),"")</f>
        <v>2.302695588</v>
      </c>
      <c r="M71" s="55">
        <f>IFERROR(SUMPRODUCT((Raw_Data_Daily!$B$2:$B$9999="Variant")*(Raw_Data_Daily!$C$2:$C$9999="D. 20-39")*Raw_Data_Daily!$D$2:$D$9999*Raw_Data_Daily!$BU$2:$BU$9999)/SUMIFS(Raw_Data_Daily!$D:$D, Raw_Data_Daily!$B:$B, "Variant", Raw_Data_Daily!$C:$C, "D. 20-39"),"")</f>
        <v>2.377948589</v>
      </c>
      <c r="N71" s="50">
        <f t="shared" si="63"/>
        <v>0.03268039462</v>
      </c>
      <c r="O71" s="115">
        <f>IFERROR(SUMPRODUCT((Raw_Data_Daily!$B$2:$B$9999="Control")*(Raw_Data_Daily!$C$2:$C$9999="E. 40-99")*Raw_Data_Daily!$D$2:$D$9999*Raw_Data_Daily!$BU$2:$BU$9999)/SUMIFS(Raw_Data_Daily!$D:$D, Raw_Data_Daily!$B:$B, "Control", Raw_Data_Daily!$C:$C, "E. 40-99"),"")</f>
        <v>3.501029981</v>
      </c>
      <c r="P71" s="55">
        <f>IFERROR(SUMPRODUCT((Raw_Data_Daily!$B$2:$B$9999="Variant")*(Raw_Data_Daily!$C$2:$C$9999="E. 40-99")*Raw_Data_Daily!$D$2:$D$9999*Raw_Data_Daily!$BU$2:$BU$9999)/SUMIFS(Raw_Data_Daily!$D:$D, Raw_Data_Daily!$B:$B, "Variant", Raw_Data_Daily!$C:$C, "E. 40-99"),"")</f>
        <v>3.219709013</v>
      </c>
      <c r="Q71" s="49">
        <f t="shared" si="64"/>
        <v>-0.08035377288</v>
      </c>
      <c r="R71" s="119">
        <f>IFERROR(SUMPRODUCT((Raw_Data_Daily!$B$2:$B$9999="Control")*(Raw_Data_Daily!$C$2:$C$9999="F. 100+")*Raw_Data_Daily!$D$2:$D$9999*Raw_Data_Daily!$BU$2:$BU$9999)/SUMIFS(Raw_Data_Daily!$D:$D, Raw_Data_Daily!$B:$B, "Control", Raw_Data_Daily!$C:$C, "F. 100+"),"")</f>
        <v>7.073735591</v>
      </c>
      <c r="S71" s="136">
        <f>IFERROR(SUMPRODUCT((Raw_Data_Daily!$B$2:$B$9999="Variant")*(Raw_Data_Daily!$C$2:$C$9999="F. 100+")*Raw_Data_Daily!$D$2:$D$9999*Raw_Data_Daily!$BU$2:$BU$9999)/SUMIFS(Raw_Data_Daily!$D:$D, Raw_Data_Daily!$B:$B, "Variant", Raw_Data_Daily!$C:$C, "F. 100+"),"")</f>
        <v>5.195004324</v>
      </c>
      <c r="T71" s="216">
        <f t="shared" si="65"/>
        <v>-0.2655925208</v>
      </c>
    </row>
    <row r="72" ht="15.75" customHeight="1">
      <c r="A72" s="15"/>
      <c r="B72" s="223" t="s">
        <v>89</v>
      </c>
      <c r="C72" s="115">
        <f>IFERROR(SUMPRODUCT((Raw_Data_Daily!$B$2:$B$9999="Control")*(Raw_Data_Daily!$C$2:$C$9999="A. 0")*Raw_Data_Daily!$D$2:$D$9999*Raw_Data_Daily!$BV$2:$BV$9999)/SUMIFS(Raw_Data_Daily!$D:$D, Raw_Data_Daily!$B:$B, "Control", Raw_Data_Daily!$C:$C, "A. 0"),"")</f>
        <v>0.231502308</v>
      </c>
      <c r="D72" s="55">
        <f>IFERROR(SUMPRODUCT((Raw_Data_Daily!$B$2:$B$9999="Variant")*(Raw_Data_Daily!$C$2:$C$9999="A. 0")*Raw_Data_Daily!$D$2:$D$9999*Raw_Data_Daily!$BV$2:$BV$9999)/SUMIFS(Raw_Data_Daily!$D:$D, Raw_Data_Daily!$B:$B, "Variant", Raw_Data_Daily!$C:$C, "A. 0"),"")</f>
        <v>0.2556637835</v>
      </c>
      <c r="E72" s="46">
        <f t="shared" si="60"/>
        <v>0.1043681842</v>
      </c>
      <c r="F72" s="119">
        <f>IFERROR(SUMPRODUCT((Raw_Data_Daily!$B$2:$B$9999="Control")*(Raw_Data_Daily!$C$2:$C$9999="B. 1-9")*Raw_Data_Daily!$D$2:$D$9999*Raw_Data_Daily!$BV$2:$BV$9999)/SUMIFS(Raw_Data_Daily!$D:$D, Raw_Data_Daily!$B:$B, "Control", Raw_Data_Daily!$C:$C, "B. 1-9"),"")</f>
        <v>0.5944169145</v>
      </c>
      <c r="G72" s="55">
        <f>IFERROR(SUMPRODUCT((Raw_Data_Daily!$B$2:$B$9999="Variant")*(Raw_Data_Daily!$C$2:$C$9999="B. 1-9")*Raw_Data_Daily!$D$2:$D$9999*Raw_Data_Daily!$BV$2:$BV$9999)/SUMIFS(Raw_Data_Daily!$D:$D, Raw_Data_Daily!$B:$B, "Variant", Raw_Data_Daily!$C:$C, "B. 1-9"),"")</f>
        <v>0.6455749368</v>
      </c>
      <c r="H72" s="50">
        <f t="shared" si="61"/>
        <v>0.08606421026</v>
      </c>
      <c r="I72" s="115">
        <f>IFERROR(SUMPRODUCT((Raw_Data_Daily!$B$2:$B$9999="Control")*(Raw_Data_Daily!$C$2:$C$9999="C. 10-19")*Raw_Data_Daily!$D$2:$D$9999*Raw_Data_Daily!$BV$2:$BV$9999)/SUMIFS(Raw_Data_Daily!$D:$D, Raw_Data_Daily!$B:$B, "Control", Raw_Data_Daily!$C:$C, "C. 10-19"),"")</f>
        <v>1.227135901</v>
      </c>
      <c r="J72" s="55">
        <f>IFERROR(SUMPRODUCT((Raw_Data_Daily!$B$2:$B$9999="Variant")*(Raw_Data_Daily!$C$2:$C$9999="C. 10-19")*Raw_Data_Daily!$D$2:$D$9999*Raw_Data_Daily!$BV$2:$BV$9999)/SUMIFS(Raw_Data_Daily!$D:$D, Raw_Data_Daily!$B:$B, "Variant", Raw_Data_Daily!$C:$C, "C. 10-19"),"")</f>
        <v>1.279569815</v>
      </c>
      <c r="K72" s="49">
        <f t="shared" si="62"/>
        <v>0.04272869378</v>
      </c>
      <c r="L72" s="119">
        <f>IFERROR(SUMPRODUCT((Raw_Data_Daily!$B$2:$B$9999="Control")*(Raw_Data_Daily!$C$2:$C$9999="D. 20-39")*Raw_Data_Daily!$D$2:$D$9999*Raw_Data_Daily!$BV$2:$BV$9999)/SUMIFS(Raw_Data_Daily!$D:$D, Raw_Data_Daily!$B:$B, "Control", Raw_Data_Daily!$C:$C, "D. 20-39"),"")</f>
        <v>1.910205529</v>
      </c>
      <c r="M72" s="55">
        <f>IFERROR(SUMPRODUCT((Raw_Data_Daily!$B$2:$B$9999="Variant")*(Raw_Data_Daily!$C$2:$C$9999="D. 20-39")*Raw_Data_Daily!$D$2:$D$9999*Raw_Data_Daily!$BV$2:$BV$9999)/SUMIFS(Raw_Data_Daily!$D:$D, Raw_Data_Daily!$B:$B, "Variant", Raw_Data_Daily!$C:$C, "D. 20-39"),"")</f>
        <v>1.805846457</v>
      </c>
      <c r="N72" s="50">
        <f t="shared" si="63"/>
        <v>-0.05463237848</v>
      </c>
      <c r="O72" s="115">
        <f>IFERROR(SUMPRODUCT((Raw_Data_Daily!$B$2:$B$9999="Control")*(Raw_Data_Daily!$C$2:$C$9999="E. 40-99")*Raw_Data_Daily!$D$2:$D$9999*Raw_Data_Daily!$BV$2:$BV$9999)/SUMIFS(Raw_Data_Daily!$D:$D, Raw_Data_Daily!$B:$B, "Control", Raw_Data_Daily!$C:$C, "E. 40-99"),"")</f>
        <v>3.104136456</v>
      </c>
      <c r="P72" s="55">
        <f>IFERROR(SUMPRODUCT((Raw_Data_Daily!$B$2:$B$9999="Variant")*(Raw_Data_Daily!$C$2:$C$9999="E. 40-99")*Raw_Data_Daily!$D$2:$D$9999*Raw_Data_Daily!$BV$2:$BV$9999)/SUMIFS(Raw_Data_Daily!$D:$D, Raw_Data_Daily!$B:$B, "Variant", Raw_Data_Daily!$C:$C, "E. 40-99"),"")</f>
        <v>2.667411345</v>
      </c>
      <c r="Q72" s="49">
        <f t="shared" si="64"/>
        <v>-0.1406913377</v>
      </c>
      <c r="R72" s="119">
        <f>IFERROR(SUMPRODUCT((Raw_Data_Daily!$B$2:$B$9999="Control")*(Raw_Data_Daily!$C$2:$C$9999="F. 100+")*Raw_Data_Daily!$D$2:$D$9999*Raw_Data_Daily!$BV$2:$BV$9999)/SUMIFS(Raw_Data_Daily!$D:$D, Raw_Data_Daily!$B:$B, "Control", Raw_Data_Daily!$C:$C, "F. 100+"),"")</f>
        <v>6.072979903</v>
      </c>
      <c r="S72" s="136">
        <f>IFERROR(SUMPRODUCT((Raw_Data_Daily!$B$2:$B$9999="Variant")*(Raw_Data_Daily!$C$2:$C$9999="F. 100+")*Raw_Data_Daily!$D$2:$D$9999*Raw_Data_Daily!$BV$2:$BV$9999)/SUMIFS(Raw_Data_Daily!$D:$D, Raw_Data_Daily!$B:$B, "Variant", Raw_Data_Daily!$C:$C, "F. 100+"),"")</f>
        <v>4.738456674</v>
      </c>
      <c r="T72" s="216">
        <f t="shared" si="65"/>
        <v>-0.2197476775</v>
      </c>
    </row>
    <row r="73" ht="15.75" customHeight="1">
      <c r="A73" s="15"/>
      <c r="B73" s="223" t="s">
        <v>90</v>
      </c>
      <c r="C73" s="115">
        <f>IFERROR(SUMPRODUCT((Raw_Data_Daily!$B$2:$B$9999="Control")*(Raw_Data_Daily!$C$2:$C$9999="A. 0")*Raw_Data_Daily!$D$2:$D$9999*(Raw_Data_Daily!$BS$2:$BS$9999-Raw_Data_Daily!$BV$2:$BV$9999))/SUMIFS(Raw_Data_Daily!$D:$D, Raw_Data_Daily!$B:$B, "Control", Raw_Data_Daily!$C:$C, "A. 0"),"")</f>
        <v>0.0756206185</v>
      </c>
      <c r="D73" s="55">
        <f>IFERROR(SUMPRODUCT((Raw_Data_Daily!$B$2:$B$9999="Variant")*(Raw_Data_Daily!$C$2:$C$9999="A. 0")*Raw_Data_Daily!$D$2:$D$9999*(Raw_Data_Daily!$BS$2:$BS$9999-Raw_Data_Daily!$BV$2:$BV$9999))/SUMIFS(Raw_Data_Daily!$D:$D, Raw_Data_Daily!$B:$B, "Variant", Raw_Data_Daily!$C:$C, "A. 0"),"")</f>
        <v>0.09107248455</v>
      </c>
      <c r="E73" s="35">
        <f t="shared" si="60"/>
        <v>0.2043340342</v>
      </c>
      <c r="F73" s="119">
        <f>IFERROR(SUMPRODUCT((Raw_Data_Daily!$B$2:$B$9999="Control")*(Raw_Data_Daily!$C$2:$C$9999="B. 1-9")*Raw_Data_Daily!$D$2:$D$9999*(Raw_Data_Daily!$BS$2:$BS$9999-Raw_Data_Daily!$BV$2:$BV$9999))/SUMIFS(Raw_Data_Daily!$D:$D, Raw_Data_Daily!$B:$B, "Control", Raw_Data_Daily!$C:$C, "B. 1-9"),"")</f>
        <v>0.2504368279</v>
      </c>
      <c r="G73" s="55">
        <f>IFERROR(SUMPRODUCT((Raw_Data_Daily!$B$2:$B$9999="Variant")*(Raw_Data_Daily!$C$2:$C$9999="B. 1-9")*Raw_Data_Daily!$D$2:$D$9999*(Raw_Data_Daily!$BS$2:$BS$9999-Raw_Data_Daily!$BV$2:$BV$9999))/SUMIFS(Raw_Data_Daily!$D:$D, Raw_Data_Daily!$B:$B, "Variant", Raw_Data_Daily!$C:$C, "B. 1-9"),"")</f>
        <v>0.3458679688</v>
      </c>
      <c r="H73" s="50">
        <f t="shared" si="61"/>
        <v>0.3810587351</v>
      </c>
      <c r="I73" s="115">
        <f>IFERROR(SUMPRODUCT((Raw_Data_Daily!$B$2:$B$9999="Control")*(Raw_Data_Daily!$C$2:$C$9999="C. 10-19")*Raw_Data_Daily!$D$2:$D$9999*(Raw_Data_Daily!$BS$2:$BS$9999-Raw_Data_Daily!$BV$2:$BV$9999))/SUMIFS(Raw_Data_Daily!$D:$D, Raw_Data_Daily!$B:$B, "Control", Raw_Data_Daily!$C:$C, "C. 10-19"),"")</f>
        <v>0.3363630645</v>
      </c>
      <c r="J73" s="55">
        <f>IFERROR(SUMPRODUCT((Raw_Data_Daily!$B$2:$B$9999="Variant")*(Raw_Data_Daily!$C$2:$C$9999="C. 10-19")*Raw_Data_Daily!$D$2:$D$9999*(Raw_Data_Daily!$BS$2:$BS$9999-Raw_Data_Daily!$BV$2:$BV$9999))/SUMIFS(Raw_Data_Daily!$D:$D, Raw_Data_Daily!$B:$B, "Variant", Raw_Data_Daily!$C:$C, "C. 10-19"),"")</f>
        <v>0.4850573753</v>
      </c>
      <c r="K73" s="49">
        <f t="shared" si="62"/>
        <v>0.4420649185</v>
      </c>
      <c r="L73" s="119">
        <f>IFERROR(SUMPRODUCT((Raw_Data_Daily!$B$2:$B$9999="Control")*(Raw_Data_Daily!$C$2:$C$9999="D. 20-39")*Raw_Data_Daily!$D$2:$D$9999*(Raw_Data_Daily!$BS$2:$BS$9999-Raw_Data_Daily!$BV$2:$BV$9999))/SUMIFS(Raw_Data_Daily!$D:$D, Raw_Data_Daily!$B:$B, "Control", Raw_Data_Daily!$C:$C, "D. 20-39"),"")</f>
        <v>0.4399025752</v>
      </c>
      <c r="M73" s="55">
        <f>IFERROR(SUMPRODUCT((Raw_Data_Daily!$B$2:$B$9999="Variant")*(Raw_Data_Daily!$C$2:$C$9999="D. 20-39")*Raw_Data_Daily!$D$2:$D$9999*(Raw_Data_Daily!$BS$2:$BS$9999-Raw_Data_Daily!$BV$2:$BV$9999))/SUMIFS(Raw_Data_Daily!$D:$D, Raw_Data_Daily!$B:$B, "Variant", Raw_Data_Daily!$C:$C, "D. 20-39"),"")</f>
        <v>0.6151714746</v>
      </c>
      <c r="N73" s="50">
        <f t="shared" si="63"/>
        <v>0.3984266275</v>
      </c>
      <c r="O73" s="115">
        <f>IFERROR(SUMPRODUCT((Raw_Data_Daily!$B$2:$B$9999="Control")*(Raw_Data_Daily!$C$2:$C$9999="E. 40-99")*Raw_Data_Daily!$D$2:$D$9999*(Raw_Data_Daily!$BS$2:$BS$9999-Raw_Data_Daily!$BV$2:$BV$9999))/SUMIFS(Raw_Data_Daily!$D:$D, Raw_Data_Daily!$B:$B, "Control", Raw_Data_Daily!$C:$C, "E. 40-99"),"")</f>
        <v>0.4693509723</v>
      </c>
      <c r="P73" s="55">
        <f>IFERROR(SUMPRODUCT((Raw_Data_Daily!$B$2:$B$9999="Variant")*(Raw_Data_Daily!$C$2:$C$9999="E. 40-99")*Raw_Data_Daily!$D$2:$D$9999*(Raw_Data_Daily!$BS$2:$BS$9999-Raw_Data_Daily!$BV$2:$BV$9999))/SUMIFS(Raw_Data_Daily!$D:$D, Raw_Data_Daily!$B:$B, "Variant", Raw_Data_Daily!$C:$C, "E. 40-99"),"")</f>
        <v>0.6640099171</v>
      </c>
      <c r="Q73" s="49">
        <f t="shared" si="64"/>
        <v>0.414740687</v>
      </c>
      <c r="R73" s="119">
        <f>IFERROR(SUMPRODUCT((Raw_Data_Daily!$B$2:$B$9999="Control")*(Raw_Data_Daily!$C$2:$C$9999="F. 100+")*Raw_Data_Daily!$D$2:$D$9999*(Raw_Data_Daily!$BS$2:$BS$9999-Raw_Data_Daily!$BV$2:$BV$9999))/SUMIFS(Raw_Data_Daily!$D:$D, Raw_Data_Daily!$B:$B, "Control", Raw_Data_Daily!$C:$C, "F. 100+"),"")</f>
        <v>1.212977882</v>
      </c>
      <c r="S73" s="55">
        <f>IFERROR(SUMPRODUCT((Raw_Data_Daily!$B$2:$B$9999="Variant")*(Raw_Data_Daily!$C$2:$C$9999="F. 100+")*Raw_Data_Daily!$D$2:$D$9999*(Raw_Data_Daily!$BS$2:$BS$9999-Raw_Data_Daily!$BV$2:$BV$9999))/SUMIFS(Raw_Data_Daily!$D:$D, Raw_Data_Daily!$B:$B, "Variant", Raw_Data_Daily!$C:$C, "F. 100+"),"")</f>
        <v>0.7754875676</v>
      </c>
      <c r="T73" s="50">
        <f t="shared" si="65"/>
        <v>-0.3606746015</v>
      </c>
    </row>
    <row r="74" ht="15.75" customHeight="1">
      <c r="A74" s="195" t="s">
        <v>91</v>
      </c>
      <c r="B74" s="27"/>
      <c r="C74" s="28"/>
      <c r="D74" s="12"/>
      <c r="E74" s="29"/>
      <c r="F74" s="30"/>
      <c r="G74" s="12"/>
      <c r="H74" s="27"/>
      <c r="I74" s="28"/>
      <c r="J74" s="12"/>
      <c r="K74" s="29"/>
      <c r="L74" s="30"/>
      <c r="M74" s="12"/>
      <c r="N74" s="27"/>
      <c r="O74" s="28"/>
      <c r="P74" s="12"/>
      <c r="Q74" s="29"/>
      <c r="R74" s="30"/>
      <c r="S74" s="12"/>
      <c r="T74" s="27"/>
    </row>
    <row r="75" ht="15.75" customHeight="1">
      <c r="A75" s="15"/>
      <c r="B75" s="223" t="s">
        <v>92</v>
      </c>
      <c r="C75" s="115">
        <f>IFERROR(SUMPRODUCT((Raw_Data_Daily!$B$2:$B$9999="Control")*(Raw_Data_Daily!$C$2:$C$9999="A. 0")*Raw_Data_Daily!$D$2:$D$9999*Raw_Data_Daily!$BW$2:$BW$9999)/SUMIFS(Raw_Data_Daily!$D:$D, Raw_Data_Daily!$B:$B, "Control", Raw_Data_Daily!$C:$C, "A. 0"),"")</f>
        <v>0.2003735914</v>
      </c>
      <c r="D75" s="55">
        <f>IFERROR(SUMPRODUCT((Raw_Data_Daily!$B$2:$B$9999="Variant")*(Raw_Data_Daily!$C$2:$C$9999="A. 0")*Raw_Data_Daily!$D$2:$D$9999*Raw_Data_Daily!$BW$2:$BW$9999)/SUMIFS(Raw_Data_Daily!$D:$D, Raw_Data_Daily!$B:$B, "Variant", Raw_Data_Daily!$C:$C, "A. 0"),"")</f>
        <v>0.2290500542</v>
      </c>
      <c r="E75" s="46">
        <f t="shared" ref="E75:E79" si="66">IFERROR((D75-C75)/ABS(C75),"")</f>
        <v>0.1431149812</v>
      </c>
      <c r="F75" s="119">
        <f>IFERROR(SUMPRODUCT((Raw_Data_Daily!$B$2:$B$9999="Control")*(Raw_Data_Daily!$C$2:$C$9999="B. 1-9")*Raw_Data_Daily!$D$2:$D$9999*Raw_Data_Daily!$BW$2:$BW$9999)/SUMIFS(Raw_Data_Daily!$D:$D, Raw_Data_Daily!$B:$B, "Control", Raw_Data_Daily!$C:$C, "B. 1-9"),"")</f>
        <v>0.3991151937</v>
      </c>
      <c r="G75" s="55">
        <f>IFERROR(SUMPRODUCT((Raw_Data_Daily!$B$2:$B$9999="Variant")*(Raw_Data_Daily!$C$2:$C$9999="B. 1-9")*Raw_Data_Daily!$D$2:$D$9999*Raw_Data_Daily!$BW$2:$BW$9999)/SUMIFS(Raw_Data_Daily!$D:$D, Raw_Data_Daily!$B:$B, "Variant", Raw_Data_Daily!$C:$C, "B. 1-9"),"")</f>
        <v>0.3138424498</v>
      </c>
      <c r="H75" s="50">
        <f t="shared" ref="H75:H79" si="67">IFERROR((G75-F75)/ABS(F75),"")</f>
        <v>-0.2136544668</v>
      </c>
      <c r="I75" s="115">
        <f>IFERROR(SUMPRODUCT((Raw_Data_Daily!$B$2:$B$9999="Control")*(Raw_Data_Daily!$C$2:$C$9999="C. 10-19")*Raw_Data_Daily!$D$2:$D$9999*Raw_Data_Daily!$BW$2:$BW$9999)/SUMIFS(Raw_Data_Daily!$D:$D, Raw_Data_Daily!$B:$B, "Control", Raw_Data_Daily!$C:$C, "C. 10-19"),"")</f>
        <v>0.8755020014</v>
      </c>
      <c r="J75" s="55">
        <f>IFERROR(SUMPRODUCT((Raw_Data_Daily!$B$2:$B$9999="Variant")*(Raw_Data_Daily!$C$2:$C$9999="C. 10-19")*Raw_Data_Daily!$D$2:$D$9999*Raw_Data_Daily!$BW$2:$BW$9999)/SUMIFS(Raw_Data_Daily!$D:$D, Raw_Data_Daily!$B:$B, "Variant", Raw_Data_Daily!$C:$C, "C. 10-19"),"")</f>
        <v>0.7306796967</v>
      </c>
      <c r="K75" s="49">
        <f t="shared" ref="K75:K79" si="68">IFERROR((J75-I75)/ABS(I75),"")</f>
        <v>-0.1654163034</v>
      </c>
      <c r="L75" s="119">
        <f>IFERROR(SUMPRODUCT((Raw_Data_Daily!$B$2:$B$9999="Control")*(Raw_Data_Daily!$C$2:$C$9999="D. 20-39")*Raw_Data_Daily!$D$2:$D$9999*Raw_Data_Daily!$BW$2:$BW$9999)/SUMIFS(Raw_Data_Daily!$D:$D, Raw_Data_Daily!$B:$B, "Control", Raw_Data_Daily!$C:$C, "D. 20-39"),"")</f>
        <v>1.546975179</v>
      </c>
      <c r="M75" s="55">
        <f>IFERROR(SUMPRODUCT((Raw_Data_Daily!$B$2:$B$9999="Variant")*(Raw_Data_Daily!$C$2:$C$9999="D. 20-39")*Raw_Data_Daily!$D$2:$D$9999*Raw_Data_Daily!$BW$2:$BW$9999)/SUMIFS(Raw_Data_Daily!$D:$D, Raw_Data_Daily!$B:$B, "Variant", Raw_Data_Daily!$C:$C, "D. 20-39"),"")</f>
        <v>1.412214549</v>
      </c>
      <c r="N75" s="50">
        <f t="shared" ref="N75:N79" si="69">IFERROR((M75-L75)/ABS(L75),"")</f>
        <v>-0.08711234152</v>
      </c>
      <c r="O75" s="115">
        <f>IFERROR(SUMPRODUCT((Raw_Data_Daily!$B$2:$B$9999="Control")*(Raw_Data_Daily!$C$2:$C$9999="E. 40-99")*Raw_Data_Daily!$D$2:$D$9999*Raw_Data_Daily!$BW$2:$BW$9999)/SUMIFS(Raw_Data_Daily!$D:$D, Raw_Data_Daily!$B:$B, "Control", Raw_Data_Daily!$C:$C, "E. 40-99"),"")</f>
        <v>2.729720915</v>
      </c>
      <c r="P75" s="55">
        <f>IFERROR(SUMPRODUCT((Raw_Data_Daily!$B$2:$B$9999="Variant")*(Raw_Data_Daily!$C$2:$C$9999="E. 40-99")*Raw_Data_Daily!$D$2:$D$9999*Raw_Data_Daily!$BW$2:$BW$9999)/SUMIFS(Raw_Data_Daily!$D:$D, Raw_Data_Daily!$B:$B, "Variant", Raw_Data_Daily!$C:$C, "E. 40-99"),"")</f>
        <v>2.488533996</v>
      </c>
      <c r="Q75" s="49">
        <f t="shared" ref="Q75:Q79" si="70">IFERROR((P75-O75)/ABS(O75),"")</f>
        <v>-0.08835588938</v>
      </c>
      <c r="R75" s="119">
        <f>IFERROR(SUMPRODUCT((Raw_Data_Daily!$B$2:$B$9999="Control")*(Raw_Data_Daily!$C$2:$C$9999="F. 100+")*Raw_Data_Daily!$D$2:$D$9999*Raw_Data_Daily!$BW$2:$BW$9999)/SUMIFS(Raw_Data_Daily!$D:$D, Raw_Data_Daily!$B:$B, "Control", Raw_Data_Daily!$C:$C, "F. 100+"),"")</f>
        <v>5.64745</v>
      </c>
      <c r="S75" s="136">
        <f>IFERROR(SUMPRODUCT((Raw_Data_Daily!$B$2:$B$9999="Variant")*(Raw_Data_Daily!$C$2:$C$9999="F. 100+")*Raw_Data_Daily!$D$2:$D$9999*Raw_Data_Daily!$BW$2:$BW$9999)/SUMIFS(Raw_Data_Daily!$D:$D, Raw_Data_Daily!$B:$B, "Variant", Raw_Data_Daily!$C:$C, "F. 100+"),"")</f>
        <v>4.695633805</v>
      </c>
      <c r="T75" s="216">
        <f t="shared" ref="T75:T79" si="71">IFERROR((S75-R75)/ABS(R75),"")</f>
        <v>-0.1685391098</v>
      </c>
    </row>
    <row r="76" ht="15.75" customHeight="1">
      <c r="A76" s="15"/>
      <c r="B76" s="223" t="s">
        <v>93</v>
      </c>
      <c r="C76" s="115">
        <f>IFERROR(SUMPRODUCT((Raw_Data_Daily!$B$2:$B$9999="Control")*(Raw_Data_Daily!$C$2:$C$9999="A. 0")*Raw_Data_Daily!$D$2:$D$9999*Raw_Data_Daily!$BX$2:$BX$9999)/SUMIFS(Raw_Data_Daily!$D:$D, Raw_Data_Daily!$B:$B, "Control", Raw_Data_Daily!$C:$C, "A. 0"),"")</f>
        <v>0.01399718423</v>
      </c>
      <c r="D76" s="55">
        <f>IFERROR(SUMPRODUCT((Raw_Data_Daily!$B$2:$B$9999="Variant")*(Raw_Data_Daily!$C$2:$C$9999="A. 0")*Raw_Data_Daily!$D$2:$D$9999*Raw_Data_Daily!$BX$2:$BX$9999)/SUMIFS(Raw_Data_Daily!$D:$D, Raw_Data_Daily!$B:$B, "Variant", Raw_Data_Daily!$C:$C, "A. 0"),"")</f>
        <v>0.01299513174</v>
      </c>
      <c r="E76" s="46">
        <f t="shared" si="66"/>
        <v>-0.07158957696</v>
      </c>
      <c r="F76" s="119">
        <f>IFERROR(SUMPRODUCT((Raw_Data_Daily!$B$2:$B$9999="Control")*(Raw_Data_Daily!$C$2:$C$9999="B. 1-9")*Raw_Data_Daily!$D$2:$D$9999*Raw_Data_Daily!$BX$2:$BX$9999)/SUMIFS(Raw_Data_Daily!$D:$D, Raw_Data_Daily!$B:$B, "Control", Raw_Data_Daily!$C:$C, "B. 1-9"),"")</f>
        <v>0.01136061587</v>
      </c>
      <c r="G76" s="55">
        <f>IFERROR(SUMPRODUCT((Raw_Data_Daily!$B$2:$B$9999="Variant")*(Raw_Data_Daily!$C$2:$C$9999="B. 1-9")*Raw_Data_Daily!$D$2:$D$9999*Raw_Data_Daily!$BX$2:$BX$9999)/SUMIFS(Raw_Data_Daily!$D:$D, Raw_Data_Daily!$B:$B, "Variant", Raw_Data_Daily!$C:$C, "B. 1-9"),"")</f>
        <v>0.008646560968</v>
      </c>
      <c r="H76" s="50">
        <f t="shared" si="67"/>
        <v>-0.2389003322</v>
      </c>
      <c r="I76" s="115">
        <f>IFERROR(SUMPRODUCT((Raw_Data_Daily!$B$2:$B$9999="Control")*(Raw_Data_Daily!$C$2:$C$9999="C. 10-19")*Raw_Data_Daily!$D$2:$D$9999*Raw_Data_Daily!$BX$2:$BX$9999)/SUMIFS(Raw_Data_Daily!$D:$D, Raw_Data_Daily!$B:$B, "Control", Raw_Data_Daily!$C:$C, "C. 10-19"),"")</f>
        <v>0.04229821186</v>
      </c>
      <c r="J76" s="55">
        <f>IFERROR(SUMPRODUCT((Raw_Data_Daily!$B$2:$B$9999="Variant")*(Raw_Data_Daily!$C$2:$C$9999="C. 10-19")*Raw_Data_Daily!$D$2:$D$9999*Raw_Data_Daily!$BX$2:$BX$9999)/SUMIFS(Raw_Data_Daily!$D:$D, Raw_Data_Daily!$B:$B, "Variant", Raw_Data_Daily!$C:$C, "C. 10-19"),"")</f>
        <v>0.02341509131</v>
      </c>
      <c r="K76" s="49">
        <f t="shared" si="68"/>
        <v>-0.4464283412</v>
      </c>
      <c r="L76" s="119">
        <f>IFERROR(SUMPRODUCT((Raw_Data_Daily!$B$2:$B$9999="Control")*(Raw_Data_Daily!$C$2:$C$9999="D. 20-39")*Raw_Data_Daily!$D$2:$D$9999*Raw_Data_Daily!$BX$2:$BX$9999)/SUMIFS(Raw_Data_Daily!$D:$D, Raw_Data_Daily!$B:$B, "Control", Raw_Data_Daily!$C:$C, "D. 20-39"),"")</f>
        <v>0.05865283423</v>
      </c>
      <c r="M76" s="55">
        <f>IFERROR(SUMPRODUCT((Raw_Data_Daily!$B$2:$B$9999="Variant")*(Raw_Data_Daily!$C$2:$C$9999="D. 20-39")*Raw_Data_Daily!$D$2:$D$9999*Raw_Data_Daily!$BX$2:$BX$9999)/SUMIFS(Raw_Data_Daily!$D:$D, Raw_Data_Daily!$B:$B, "Variant", Raw_Data_Daily!$C:$C, "D. 20-39"),"")</f>
        <v>0.04953825812</v>
      </c>
      <c r="N76" s="50">
        <f t="shared" si="69"/>
        <v>-0.1553987327</v>
      </c>
      <c r="O76" s="115">
        <f>IFERROR(SUMPRODUCT((Raw_Data_Daily!$B$2:$B$9999="Control")*(Raw_Data_Daily!$C$2:$C$9999="E. 40-99")*Raw_Data_Daily!$D$2:$D$9999*Raw_Data_Daily!$BX$2:$BX$9999)/SUMIFS(Raw_Data_Daily!$D:$D, Raw_Data_Daily!$B:$B, "Control", Raw_Data_Daily!$C:$C, "E. 40-99"),"")</f>
        <v>0.0793698384</v>
      </c>
      <c r="P76" s="55">
        <f>IFERROR(SUMPRODUCT((Raw_Data_Daily!$B$2:$B$9999="Variant")*(Raw_Data_Daily!$C$2:$C$9999="E. 40-99")*Raw_Data_Daily!$D$2:$D$9999*Raw_Data_Daily!$BX$2:$BX$9999)/SUMIFS(Raw_Data_Daily!$D:$D, Raw_Data_Daily!$B:$B, "Variant", Raw_Data_Daily!$C:$C, "E. 40-99"),"")</f>
        <v>0.1345530235</v>
      </c>
      <c r="Q76" s="49">
        <f t="shared" si="70"/>
        <v>0.6952664414</v>
      </c>
      <c r="R76" s="119">
        <f>IFERROR(SUMPRODUCT((Raw_Data_Daily!$B$2:$B$9999="Control")*(Raw_Data_Daily!$C$2:$C$9999="F. 100+")*Raw_Data_Daily!$D$2:$D$9999*Raw_Data_Daily!$BX$2:$BX$9999)/SUMIFS(Raw_Data_Daily!$D:$D, Raw_Data_Daily!$B:$B, "Control", Raw_Data_Daily!$C:$C, "F. 100+"),"")</f>
        <v>0.2414085704</v>
      </c>
      <c r="S76" s="136">
        <f>IFERROR(SUMPRODUCT((Raw_Data_Daily!$B$2:$B$9999="Variant")*(Raw_Data_Daily!$C$2:$C$9999="F. 100+")*Raw_Data_Daily!$D$2:$D$9999*Raw_Data_Daily!$BX$2:$BX$9999)/SUMIFS(Raw_Data_Daily!$D:$D, Raw_Data_Daily!$B:$B, "Variant", Raw_Data_Daily!$C:$C, "F. 100+"),"")</f>
        <v>0.3800327651</v>
      </c>
      <c r="T76" s="216">
        <f t="shared" si="71"/>
        <v>0.574230627</v>
      </c>
    </row>
    <row r="77" ht="15.75" customHeight="1">
      <c r="A77" s="15"/>
      <c r="B77" s="223" t="s">
        <v>94</v>
      </c>
      <c r="C77" s="115">
        <f>IFERROR(SUMPRODUCT((Raw_Data_Daily!$B$2:$B$9999="Control")*(Raw_Data_Daily!$C$2:$C$9999="A. 0")*Raw_Data_Daily!$D$2:$D$9999*Raw_Data_Daily!$BY$2:$BY$9999)/SUMIFS(Raw_Data_Daily!$D:$D, Raw_Data_Daily!$B:$B, "Control", Raw_Data_Daily!$C:$C, "A. 0"),"")</f>
        <v>0.1863642253</v>
      </c>
      <c r="D77" s="55">
        <f>IFERROR(SUMPRODUCT((Raw_Data_Daily!$B$2:$B$9999="Variant")*(Raw_Data_Daily!$C$2:$C$9999="A. 0")*Raw_Data_Daily!$D$2:$D$9999*Raw_Data_Daily!$BY$2:$BY$9999)/SUMIFS(Raw_Data_Daily!$D:$D, Raw_Data_Daily!$B:$B, "Variant", Raw_Data_Daily!$C:$C, "A. 0"),"")</f>
        <v>0.2160330261</v>
      </c>
      <c r="E77" s="46">
        <f t="shared" si="66"/>
        <v>0.1591979406</v>
      </c>
      <c r="F77" s="119">
        <f>IFERROR(SUMPRODUCT((Raw_Data_Daily!$B$2:$B$9999="Control")*(Raw_Data_Daily!$C$2:$C$9999="B. 1-9")*Raw_Data_Daily!$D$2:$D$9999*Raw_Data_Daily!$BY$2:$BY$9999)/SUMIFS(Raw_Data_Daily!$D:$D, Raw_Data_Daily!$B:$B, "Control", Raw_Data_Daily!$C:$C, "B. 1-9"),"")</f>
        <v>0.3877254129</v>
      </c>
      <c r="G77" s="55">
        <f>IFERROR(SUMPRODUCT((Raw_Data_Daily!$B$2:$B$9999="Variant")*(Raw_Data_Daily!$C$2:$C$9999="B. 1-9")*Raw_Data_Daily!$D$2:$D$9999*Raw_Data_Daily!$BY$2:$BY$9999)/SUMIFS(Raw_Data_Daily!$D:$D, Raw_Data_Daily!$B:$B, "Variant", Raw_Data_Daily!$C:$C, "B. 1-9"),"")</f>
        <v>0.3051736864</v>
      </c>
      <c r="H77" s="50">
        <f t="shared" si="67"/>
        <v>-0.2129128599</v>
      </c>
      <c r="I77" s="115">
        <f>IFERROR(SUMPRODUCT((Raw_Data_Daily!$B$2:$B$9999="Control")*(Raw_Data_Daily!$C$2:$C$9999="C. 10-19")*Raw_Data_Daily!$D$2:$D$9999*Raw_Data_Daily!$BY$2:$BY$9999)/SUMIFS(Raw_Data_Daily!$D:$D, Raw_Data_Daily!$B:$B, "Control", Raw_Data_Daily!$C:$C, "C. 10-19"),"")</f>
        <v>0.8331822422</v>
      </c>
      <c r="J77" s="55">
        <f>IFERROR(SUMPRODUCT((Raw_Data_Daily!$B$2:$B$9999="Variant")*(Raw_Data_Daily!$C$2:$C$9999="C. 10-19")*Raw_Data_Daily!$D$2:$D$9999*Raw_Data_Daily!$BY$2:$BY$9999)/SUMIFS(Raw_Data_Daily!$D:$D, Raw_Data_Daily!$B:$B, "Variant", Raw_Data_Daily!$C:$C, "C. 10-19"),"")</f>
        <v>0.7072153457</v>
      </c>
      <c r="K77" s="49">
        <f t="shared" si="68"/>
        <v>-0.1511876876</v>
      </c>
      <c r="L77" s="119">
        <f>IFERROR(SUMPRODUCT((Raw_Data_Daily!$B$2:$B$9999="Control")*(Raw_Data_Daily!$C$2:$C$9999="D. 20-39")*Raw_Data_Daily!$D$2:$D$9999*Raw_Data_Daily!$BY$2:$BY$9999)/SUMIFS(Raw_Data_Daily!$D:$D, Raw_Data_Daily!$B:$B, "Control", Raw_Data_Daily!$C:$C, "D. 20-39"),"")</f>
        <v>1.488337514</v>
      </c>
      <c r="M77" s="55">
        <f>IFERROR(SUMPRODUCT((Raw_Data_Daily!$B$2:$B$9999="Variant")*(Raw_Data_Daily!$C$2:$C$9999="D. 20-39")*Raw_Data_Daily!$D$2:$D$9999*Raw_Data_Daily!$BY$2:$BY$9999)/SUMIFS(Raw_Data_Daily!$D:$D, Raw_Data_Daily!$B:$B, "Variant", Raw_Data_Daily!$C:$C, "D. 20-39"),"")</f>
        <v>1.362661451</v>
      </c>
      <c r="N77" s="50">
        <f t="shared" si="69"/>
        <v>-0.08444056647</v>
      </c>
      <c r="O77" s="115">
        <f>IFERROR(SUMPRODUCT((Raw_Data_Daily!$B$2:$B$9999="Control")*(Raw_Data_Daily!$C$2:$C$9999="E. 40-99")*Raw_Data_Daily!$D$2:$D$9999*Raw_Data_Daily!$BY$2:$BY$9999)/SUMIFS(Raw_Data_Daily!$D:$D, Raw_Data_Daily!$B:$B, "Control", Raw_Data_Daily!$C:$C, "E. 40-99"),"")</f>
        <v>2.65032143</v>
      </c>
      <c r="P77" s="55">
        <f>IFERROR(SUMPRODUCT((Raw_Data_Daily!$B$2:$B$9999="Variant")*(Raw_Data_Daily!$C$2:$C$9999="E. 40-99")*Raw_Data_Daily!$D$2:$D$9999*Raw_Data_Daily!$BY$2:$BY$9999)/SUMIFS(Raw_Data_Daily!$D:$D, Raw_Data_Daily!$B:$B, "Variant", Raw_Data_Daily!$C:$C, "E. 40-99"),"")</f>
        <v>2.353996055</v>
      </c>
      <c r="Q77" s="49">
        <f t="shared" si="70"/>
        <v>-0.1118073345</v>
      </c>
      <c r="R77" s="119">
        <f>IFERROR(SUMPRODUCT((Raw_Data_Daily!$B$2:$B$9999="Control")*(Raw_Data_Daily!$C$2:$C$9999="F. 100+")*Raw_Data_Daily!$D$2:$D$9999*Raw_Data_Daily!$BY$2:$BY$9999)/SUMIFS(Raw_Data_Daily!$D:$D, Raw_Data_Daily!$B:$B, "Control", Raw_Data_Daily!$C:$C, "F. 100+"),"")</f>
        <v>5.406048353</v>
      </c>
      <c r="S77" s="136">
        <f>IFERROR(SUMPRODUCT((Raw_Data_Daily!$B$2:$B$9999="Variant")*(Raw_Data_Daily!$C$2:$C$9999="F. 100+")*Raw_Data_Daily!$D$2:$D$9999*Raw_Data_Daily!$BY$2:$BY$9999)/SUMIFS(Raw_Data_Daily!$D:$D, Raw_Data_Daily!$B:$B, "Variant", Raw_Data_Daily!$C:$C, "F. 100+"),"")</f>
        <v>4.315607859</v>
      </c>
      <c r="T77" s="216">
        <f t="shared" si="71"/>
        <v>-0.2017074993</v>
      </c>
    </row>
    <row r="78" ht="15.75" customHeight="1">
      <c r="A78" s="15"/>
      <c r="B78" s="223" t="s">
        <v>95</v>
      </c>
      <c r="C78" s="115">
        <f>IFERROR(SUMPRODUCT((Raw_Data_Daily!$B$2:$B$9999="Control")*(Raw_Data_Daily!$C$2:$C$9999="A. 0")*Raw_Data_Daily!$D$2:$D$9999*Raw_Data_Daily!$BZ$2:$BZ$9999)/SUMIFS(Raw_Data_Daily!$D:$D, Raw_Data_Daily!$B:$B, "Control", Raw_Data_Daily!$C:$C, "A. 0"),"")</f>
        <v>0.1568017491</v>
      </c>
      <c r="D78" s="55">
        <f>IFERROR(SUMPRODUCT((Raw_Data_Daily!$B$2:$B$9999="Variant")*(Raw_Data_Daily!$C$2:$C$9999="A. 0")*Raw_Data_Daily!$D$2:$D$9999*Raw_Data_Daily!$BZ$2:$BZ$9999)/SUMIFS(Raw_Data_Daily!$D:$D, Raw_Data_Daily!$B:$B, "Variant", Raw_Data_Daily!$C:$C, "A. 0"),"")</f>
        <v>0.1749155427</v>
      </c>
      <c r="E78" s="46">
        <f t="shared" si="66"/>
        <v>0.115520354</v>
      </c>
      <c r="F78" s="119">
        <f>IFERROR(SUMPRODUCT((Raw_Data_Daily!$B$2:$B$9999="Control")*(Raw_Data_Daily!$C$2:$C$9999="B. 1-9")*Raw_Data_Daily!$D$2:$D$9999*Raw_Data_Daily!$BZ$2:$BZ$9999)/SUMIFS(Raw_Data_Daily!$D:$D, Raw_Data_Daily!$B:$B, "Control", Raw_Data_Daily!$C:$C, "B. 1-9"),"")</f>
        <v>0.337670814</v>
      </c>
      <c r="G78" s="55">
        <f>IFERROR(SUMPRODUCT((Raw_Data_Daily!$B$2:$B$9999="Variant")*(Raw_Data_Daily!$C$2:$C$9999="B. 1-9")*Raw_Data_Daily!$D$2:$D$9999*Raw_Data_Daily!$BZ$2:$BZ$9999)/SUMIFS(Raw_Data_Daily!$D:$D, Raw_Data_Daily!$B:$B, "Variant", Raw_Data_Daily!$C:$C, "B. 1-9"),"")</f>
        <v>0.2918242302</v>
      </c>
      <c r="H78" s="50">
        <f t="shared" si="67"/>
        <v>-0.1357730129</v>
      </c>
      <c r="I78" s="115">
        <f>IFERROR(SUMPRODUCT((Raw_Data_Daily!$B$2:$B$9999="Control")*(Raw_Data_Daily!$C$2:$C$9999="C. 10-19")*Raw_Data_Daily!$D$2:$D$9999*Raw_Data_Daily!$BZ$2:$BZ$9999)/SUMIFS(Raw_Data_Daily!$D:$D, Raw_Data_Daily!$B:$B, "Control", Raw_Data_Daily!$C:$C, "C. 10-19"),"")</f>
        <v>0.7619800397</v>
      </c>
      <c r="J78" s="55">
        <f>IFERROR(SUMPRODUCT((Raw_Data_Daily!$B$2:$B$9999="Variant")*(Raw_Data_Daily!$C$2:$C$9999="C. 10-19")*Raw_Data_Daily!$D$2:$D$9999*Raw_Data_Daily!$BZ$2:$BZ$9999)/SUMIFS(Raw_Data_Daily!$D:$D, Raw_Data_Daily!$B:$B, "Variant", Raw_Data_Daily!$C:$C, "C. 10-19"),"")</f>
        <v>0.6649101193</v>
      </c>
      <c r="K78" s="49">
        <f t="shared" si="68"/>
        <v>-0.1273916841</v>
      </c>
      <c r="L78" s="119">
        <f>IFERROR(SUMPRODUCT((Raw_Data_Daily!$B$2:$B$9999="Control")*(Raw_Data_Daily!$C$2:$C$9999="D. 20-39")*Raw_Data_Daily!$D$2:$D$9999*Raw_Data_Daily!$BZ$2:$BZ$9999)/SUMIFS(Raw_Data_Daily!$D:$D, Raw_Data_Daily!$B:$B, "Control", Raw_Data_Daily!$C:$C, "D. 20-39"),"")</f>
        <v>1.304698157</v>
      </c>
      <c r="M78" s="55">
        <f>IFERROR(SUMPRODUCT((Raw_Data_Daily!$B$2:$B$9999="Variant")*(Raw_Data_Daily!$C$2:$C$9999="D. 20-39")*Raw_Data_Daily!$D$2:$D$9999*Raw_Data_Daily!$BZ$2:$BZ$9999)/SUMIFS(Raw_Data_Daily!$D:$D, Raw_Data_Daily!$B:$B, "Variant", Raw_Data_Daily!$C:$C, "D. 20-39"),"")</f>
        <v>1.118571018</v>
      </c>
      <c r="N78" s="50">
        <f t="shared" si="69"/>
        <v>-0.1426591571</v>
      </c>
      <c r="O78" s="115">
        <f>IFERROR(SUMPRODUCT((Raw_Data_Daily!$B$2:$B$9999="Control")*(Raw_Data_Daily!$C$2:$C$9999="E. 40-99")*Raw_Data_Daily!$D$2:$D$9999*Raw_Data_Daily!$BZ$2:$BZ$9999)/SUMIFS(Raw_Data_Daily!$D:$D, Raw_Data_Daily!$B:$B, "Control", Raw_Data_Daily!$C:$C, "E. 40-99"),"")</f>
        <v>2.35509438</v>
      </c>
      <c r="P78" s="55">
        <f>IFERROR(SUMPRODUCT((Raw_Data_Daily!$B$2:$B$9999="Variant")*(Raw_Data_Daily!$C$2:$C$9999="E. 40-99")*Raw_Data_Daily!$D$2:$D$9999*Raw_Data_Daily!$BZ$2:$BZ$9999)/SUMIFS(Raw_Data_Daily!$D:$D, Raw_Data_Daily!$B:$B, "Variant", Raw_Data_Daily!$C:$C, "E. 40-99"),"")</f>
        <v>1.936762676</v>
      </c>
      <c r="Q78" s="49">
        <f t="shared" si="70"/>
        <v>-0.1776284244</v>
      </c>
      <c r="R78" s="119">
        <f>IFERROR(SUMPRODUCT((Raw_Data_Daily!$B$2:$B$9999="Control")*(Raw_Data_Daily!$C$2:$C$9999="F. 100+")*Raw_Data_Daily!$D$2:$D$9999*Raw_Data_Daily!$BZ$2:$BZ$9999)/SUMIFS(Raw_Data_Daily!$D:$D, Raw_Data_Daily!$B:$B, "Control", Raw_Data_Daily!$C:$C, "F. 100+"),"")</f>
        <v>4.818478705</v>
      </c>
      <c r="S78" s="136">
        <f>IFERROR(SUMPRODUCT((Raw_Data_Daily!$B$2:$B$9999="Variant")*(Raw_Data_Daily!$C$2:$C$9999="F. 100+")*Raw_Data_Daily!$D$2:$D$9999*Raw_Data_Daily!$BZ$2:$BZ$9999)/SUMIFS(Raw_Data_Daily!$D:$D, Raw_Data_Daily!$B:$B, "Variant", Raw_Data_Daily!$C:$C, "F. 100+"),"")</f>
        <v>3.96881763</v>
      </c>
      <c r="T78" s="216">
        <f t="shared" si="71"/>
        <v>-0.1763338861</v>
      </c>
    </row>
    <row r="79" ht="15.75" customHeight="1">
      <c r="A79" s="15"/>
      <c r="B79" s="223" t="s">
        <v>96</v>
      </c>
      <c r="C79" s="115">
        <f>IFERROR(SUMPRODUCT((Raw_Data_Daily!$B$2:$B$9999="Control")*(Raw_Data_Daily!$C$2:$C$9999="A. 0")*Raw_Data_Daily!$D$2:$D$9999*(Raw_Data_Daily!$BW$2:$BW$9999-Raw_Data_Daily!$BZ$2:$BZ$9999))/SUMIFS(Raw_Data_Daily!$D:$D, Raw_Data_Daily!$B:$B, "Control", Raw_Data_Daily!$C:$C, "A. 0"),"")</f>
        <v>0.04357184234</v>
      </c>
      <c r="D79" s="55">
        <f>IFERROR(SUMPRODUCT((Raw_Data_Daily!$B$2:$B$9999="Variant")*(Raw_Data_Daily!$C$2:$C$9999="A. 0")*Raw_Data_Daily!$D$2:$D$9999*(Raw_Data_Daily!$BW$2:$BW$9999-Raw_Data_Daily!$BZ$2:$BZ$9999))/SUMIFS(Raw_Data_Daily!$D:$D, Raw_Data_Daily!$B:$B, "Variant", Raw_Data_Daily!$C:$C, "A. 0"),"")</f>
        <v>0.05413451155</v>
      </c>
      <c r="E79" s="35">
        <f t="shared" si="66"/>
        <v>0.2424196142</v>
      </c>
      <c r="F79" s="119">
        <f>IFERROR(SUMPRODUCT((Raw_Data_Daily!$B$2:$B$9999="Control")*(Raw_Data_Daily!$C$2:$C$9999="B. 1-9")*Raw_Data_Daily!$D$2:$D$9999*(Raw_Data_Daily!$BW$2:$BW$9999-Raw_Data_Daily!$BZ$2:$BZ$9999))/SUMIFS(Raw_Data_Daily!$D:$D, Raw_Data_Daily!$B:$B, "Control", Raw_Data_Daily!$C:$C, "B. 1-9"),"")</f>
        <v>0.06144437972</v>
      </c>
      <c r="G79" s="55">
        <f>IFERROR(SUMPRODUCT((Raw_Data_Daily!$B$2:$B$9999="Variant")*(Raw_Data_Daily!$C$2:$C$9999="B. 1-9")*Raw_Data_Daily!$D$2:$D$9999*(Raw_Data_Daily!$BW$2:$BW$9999-Raw_Data_Daily!$BZ$2:$BZ$9999))/SUMIFS(Raw_Data_Daily!$D:$D, Raw_Data_Daily!$B:$B, "Variant", Raw_Data_Daily!$C:$C, "B. 1-9"),"")</f>
        <v>0.02201821959</v>
      </c>
      <c r="H79" s="50">
        <f t="shared" si="67"/>
        <v>-0.6416560848</v>
      </c>
      <c r="I79" s="115">
        <f>IFERROR(SUMPRODUCT((Raw_Data_Daily!$B$2:$B$9999="Control")*(Raw_Data_Daily!$C$2:$C$9999="C. 10-19")*Raw_Data_Daily!$D$2:$D$9999*(Raw_Data_Daily!$BW$2:$BW$9999-Raw_Data_Daily!$BZ$2:$BZ$9999))/SUMIFS(Raw_Data_Daily!$D:$D, Raw_Data_Daily!$B:$B, "Control", Raw_Data_Daily!$C:$C, "C. 10-19"),"")</f>
        <v>0.1135219616</v>
      </c>
      <c r="J79" s="55">
        <f>IFERROR(SUMPRODUCT((Raw_Data_Daily!$B$2:$B$9999="Variant")*(Raw_Data_Daily!$C$2:$C$9999="C. 10-19")*Raw_Data_Daily!$D$2:$D$9999*(Raw_Data_Daily!$BW$2:$BW$9999-Raw_Data_Daily!$BZ$2:$BZ$9999))/SUMIFS(Raw_Data_Daily!$D:$D, Raw_Data_Daily!$B:$B, "Variant", Raw_Data_Daily!$C:$C, "C. 10-19"),"")</f>
        <v>0.06576957742</v>
      </c>
      <c r="K79" s="49">
        <f t="shared" si="68"/>
        <v>-0.4206444596</v>
      </c>
      <c r="L79" s="119">
        <f>IFERROR(SUMPRODUCT((Raw_Data_Daily!$B$2:$B$9999="Control")*(Raw_Data_Daily!$C$2:$C$9999="D. 20-39")*Raw_Data_Daily!$D$2:$D$9999*(Raw_Data_Daily!$BW$2:$BW$9999-Raw_Data_Daily!$BZ$2:$BZ$9999))/SUMIFS(Raw_Data_Daily!$D:$D, Raw_Data_Daily!$B:$B, "Control", Raw_Data_Daily!$C:$C, "D. 20-39"),"")</f>
        <v>0.2422770221</v>
      </c>
      <c r="M79" s="55">
        <f>IFERROR(SUMPRODUCT((Raw_Data_Daily!$B$2:$B$9999="Variant")*(Raw_Data_Daily!$C$2:$C$9999="D. 20-39")*Raw_Data_Daily!$D$2:$D$9999*(Raw_Data_Daily!$BW$2:$BW$9999-Raw_Data_Daily!$BZ$2:$BZ$9999))/SUMIFS(Raw_Data_Daily!$D:$D, Raw_Data_Daily!$B:$B, "Variant", Raw_Data_Daily!$C:$C, "D. 20-39"),"")</f>
        <v>0.2936435313</v>
      </c>
      <c r="N79" s="50">
        <f t="shared" si="69"/>
        <v>0.2120156041</v>
      </c>
      <c r="O79" s="115">
        <f>IFERROR(SUMPRODUCT((Raw_Data_Daily!$B$2:$B$9999="Control")*(Raw_Data_Daily!$C$2:$C$9999="E. 40-99")*Raw_Data_Daily!$D$2:$D$9999*(Raw_Data_Daily!$BW$2:$BW$9999-Raw_Data_Daily!$BZ$2:$BZ$9999))/SUMIFS(Raw_Data_Daily!$D:$D, Raw_Data_Daily!$B:$B, "Control", Raw_Data_Daily!$C:$C, "E. 40-99"),"")</f>
        <v>0.3746265352</v>
      </c>
      <c r="P79" s="55">
        <f>IFERROR(SUMPRODUCT((Raw_Data_Daily!$B$2:$B$9999="Variant")*(Raw_Data_Daily!$C$2:$C$9999="E. 40-99")*Raw_Data_Daily!$D$2:$D$9999*(Raw_Data_Daily!$BW$2:$BW$9999-Raw_Data_Daily!$BZ$2:$BZ$9999))/SUMIFS(Raw_Data_Daily!$D:$D, Raw_Data_Daily!$B:$B, "Variant", Raw_Data_Daily!$C:$C, "E. 40-99"),"")</f>
        <v>0.55177132</v>
      </c>
      <c r="Q79" s="49">
        <f t="shared" si="70"/>
        <v>0.4728570139</v>
      </c>
      <c r="R79" s="119">
        <f>IFERROR(SUMPRODUCT((Raw_Data_Daily!$B$2:$B$9999="Control")*(Raw_Data_Daily!$C$2:$C$9999="F. 100+")*Raw_Data_Daily!$D$2:$D$9999*(Raw_Data_Daily!$BW$2:$BW$9999-Raw_Data_Daily!$BZ$2:$BZ$9999))/SUMIFS(Raw_Data_Daily!$D:$D, Raw_Data_Daily!$B:$B, "Control", Raw_Data_Daily!$C:$C, "F. 100+"),"")</f>
        <v>0.8289712949</v>
      </c>
      <c r="S79" s="55">
        <f>IFERROR(SUMPRODUCT((Raw_Data_Daily!$B$2:$B$9999="Variant")*(Raw_Data_Daily!$C$2:$C$9999="F. 100+")*Raw_Data_Daily!$D$2:$D$9999*(Raw_Data_Daily!$BW$2:$BW$9999-Raw_Data_Daily!$BZ$2:$BZ$9999))/SUMIFS(Raw_Data_Daily!$D:$D, Raw_Data_Daily!$B:$B, "Variant", Raw_Data_Daily!$C:$C, "F. 100+"),"")</f>
        <v>0.7268161746</v>
      </c>
      <c r="T79" s="50">
        <f t="shared" si="71"/>
        <v>-0.1232311914</v>
      </c>
    </row>
    <row r="80" ht="15.75" customHeight="1">
      <c r="A80" s="195" t="s">
        <v>97</v>
      </c>
      <c r="B80" s="27"/>
      <c r="C80" s="28"/>
      <c r="D80" s="12"/>
      <c r="E80" s="29"/>
      <c r="F80" s="30"/>
      <c r="G80" s="12"/>
      <c r="H80" s="27"/>
      <c r="I80" s="28"/>
      <c r="J80" s="12"/>
      <c r="K80" s="29"/>
      <c r="L80" s="30"/>
      <c r="M80" s="12"/>
      <c r="N80" s="27"/>
      <c r="O80" s="28"/>
      <c r="P80" s="12"/>
      <c r="Q80" s="29"/>
      <c r="R80" s="30"/>
      <c r="S80" s="12"/>
      <c r="T80" s="27"/>
    </row>
    <row r="81" ht="15.75" customHeight="1">
      <c r="A81" s="15"/>
      <c r="B81" s="223" t="s">
        <v>98</v>
      </c>
      <c r="C81" s="115">
        <f>IFERROR(SUMPRODUCT((Raw_Data_Daily!$B$2:$B$9999="Control")*(Raw_Data_Daily!$C$2:$C$9999="A. 0")*Raw_Data_Daily!$D$2:$D$9999*Raw_Data_Daily!$CE$2:$CE$9999)/SUMIFS(Raw_Data_Daily!$D:$D, Raw_Data_Daily!$B:$B, "Control", Raw_Data_Daily!$C:$C, "A. 0"),"")</f>
        <v>0.4025384777</v>
      </c>
      <c r="D81" s="55">
        <f>IFERROR(SUMPRODUCT((Raw_Data_Daily!$B$2:$B$9999="Variant")*(Raw_Data_Daily!$C$2:$C$9999="A. 0")*Raw_Data_Daily!$D$2:$D$9999*Raw_Data_Daily!$CE$2:$CE$9999)/SUMIFS(Raw_Data_Daily!$D:$D, Raw_Data_Daily!$B:$B, "Variant", Raw_Data_Daily!$C:$C, "A. 0"),"")</f>
        <v>0.4195097311</v>
      </c>
      <c r="E81" s="46">
        <f t="shared" ref="E81:E85" si="72">IFERROR((D81-C81)/ABS(C81),"")</f>
        <v>0.04216057443</v>
      </c>
      <c r="F81" s="119">
        <f>IFERROR(SUMPRODUCT((Raw_Data_Daily!$B$2:$B$9999="Control")*(Raw_Data_Daily!$C$2:$C$9999="B. 1-9")*Raw_Data_Daily!$D$2:$D$9999*Raw_Data_Daily!$CE$2:$CE$9999)/SUMIFS(Raw_Data_Daily!$D:$D, Raw_Data_Daily!$B:$B, "Control", Raw_Data_Daily!$C:$C, "B. 1-9"),"")</f>
        <v>0.5313805043</v>
      </c>
      <c r="G81" s="55">
        <f>IFERROR(SUMPRODUCT((Raw_Data_Daily!$B$2:$B$9999="Variant")*(Raw_Data_Daily!$C$2:$C$9999="B. 1-9")*Raw_Data_Daily!$D$2:$D$9999*Raw_Data_Daily!$CE$2:$CE$9999)/SUMIFS(Raw_Data_Daily!$D:$D, Raw_Data_Daily!$B:$B, "Variant", Raw_Data_Daily!$C:$C, "B. 1-9"),"")</f>
        <v>0.4763263614</v>
      </c>
      <c r="H81" s="50">
        <f t="shared" ref="H81:H85" si="73">IFERROR((G81-F81)/ABS(F81),"")</f>
        <v>-0.1036058765</v>
      </c>
      <c r="I81" s="115">
        <f>IFERROR(SUMPRODUCT((Raw_Data_Daily!$B$2:$B$9999="Control")*(Raw_Data_Daily!$C$2:$C$9999="C. 10-19")*Raw_Data_Daily!$D$2:$D$9999*Raw_Data_Daily!$CE$2:$CE$9999)/SUMIFS(Raw_Data_Daily!$D:$D, Raw_Data_Daily!$B:$B, "Control", Raw_Data_Daily!$C:$C, "C. 10-19"),"")</f>
        <v>1.03248066</v>
      </c>
      <c r="J81" s="55">
        <f>IFERROR(SUMPRODUCT((Raw_Data_Daily!$B$2:$B$9999="Variant")*(Raw_Data_Daily!$C$2:$C$9999="C. 10-19")*Raw_Data_Daily!$D$2:$D$9999*Raw_Data_Daily!$CE$2:$CE$9999)/SUMIFS(Raw_Data_Daily!$D:$D, Raw_Data_Daily!$B:$B, "Variant", Raw_Data_Daily!$C:$C, "C. 10-19"),"")</f>
        <v>0.904771226</v>
      </c>
      <c r="K81" s="49">
        <f t="shared" ref="K81:K85" si="74">IFERROR((J81-I81)/ABS(I81),"")</f>
        <v>-0.1236918414</v>
      </c>
      <c r="L81" s="119">
        <f>IFERROR(SUMPRODUCT((Raw_Data_Daily!$B$2:$B$9999="Control")*(Raw_Data_Daily!$C$2:$C$9999="D. 20-39")*Raw_Data_Daily!$D$2:$D$9999*Raw_Data_Daily!$CE$2:$CE$9999)/SUMIFS(Raw_Data_Daily!$D:$D, Raw_Data_Daily!$B:$B, "Control", Raw_Data_Daily!$C:$C, "D. 20-39"),"")</f>
        <v>1.483454035</v>
      </c>
      <c r="M81" s="55">
        <f>IFERROR(SUMPRODUCT((Raw_Data_Daily!$B$2:$B$9999="Variant")*(Raw_Data_Daily!$C$2:$C$9999="D. 20-39")*Raw_Data_Daily!$D$2:$D$9999*Raw_Data_Daily!$CE$2:$CE$9999)/SUMIFS(Raw_Data_Daily!$D:$D, Raw_Data_Daily!$B:$B, "Variant", Raw_Data_Daily!$C:$C, "D. 20-39"),"")</f>
        <v>1.23686069</v>
      </c>
      <c r="N81" s="50">
        <f t="shared" ref="N81:N85" si="75">IFERROR((M81-L81)/ABS(L81),"")</f>
        <v>-0.1662291778</v>
      </c>
      <c r="O81" s="115">
        <f>IFERROR(SUMPRODUCT((Raw_Data_Daily!$B$2:$B$9999="Control")*(Raw_Data_Daily!$C$2:$C$9999="E. 40-99")*Raw_Data_Daily!$D$2:$D$9999*Raw_Data_Daily!$CE$2:$CE$9999)/SUMIFS(Raw_Data_Daily!$D:$D, Raw_Data_Daily!$B:$B, "Control", Raw_Data_Daily!$C:$C, "E. 40-99"),"")</f>
        <v>2.348577151</v>
      </c>
      <c r="P81" s="55">
        <f>IFERROR(SUMPRODUCT((Raw_Data_Daily!$B$2:$B$9999="Variant")*(Raw_Data_Daily!$C$2:$C$9999="E. 40-99")*Raw_Data_Daily!$D$2:$D$9999*Raw_Data_Daily!$CE$2:$CE$9999)/SUMIFS(Raw_Data_Daily!$D:$D, Raw_Data_Daily!$B:$B, "Variant", Raw_Data_Daily!$C:$C, "E. 40-99"),"")</f>
        <v>1.868755321</v>
      </c>
      <c r="Q81" s="49">
        <f t="shared" ref="Q81:Q85" si="76">IFERROR((P81-O81)/ABS(O81),"")</f>
        <v>-0.2043032011</v>
      </c>
      <c r="R81" s="119">
        <f>IFERROR(SUMPRODUCT((Raw_Data_Daily!$B$2:$B$9999="Control")*(Raw_Data_Daily!$C$2:$C$9999="F. 100+")*Raw_Data_Daily!$D$2:$D$9999*Raw_Data_Daily!$CE$2:$CE$9999)/SUMIFS(Raw_Data_Daily!$D:$D, Raw_Data_Daily!$B:$B, "Control", Raw_Data_Daily!$C:$C, "F. 100+"),"")</f>
        <v>4.459220284</v>
      </c>
      <c r="S81" s="136">
        <f>IFERROR(SUMPRODUCT((Raw_Data_Daily!$B$2:$B$9999="Variant")*(Raw_Data_Daily!$C$2:$C$9999="F. 100+")*Raw_Data_Daily!$D$2:$D$9999*Raw_Data_Daily!$CE$2:$CE$9999)/SUMIFS(Raw_Data_Daily!$D:$D, Raw_Data_Daily!$B:$B, "Variant", Raw_Data_Daily!$C:$C, "F. 100+"),"")</f>
        <v>3.179216507</v>
      </c>
      <c r="T81" s="216">
        <f t="shared" ref="T81:T85" si="77">IFERROR((S81-R81)/ABS(R81),"")</f>
        <v>-0.2870465452</v>
      </c>
    </row>
    <row r="82" ht="15.75" customHeight="1">
      <c r="A82" s="15"/>
      <c r="B82" s="223" t="s">
        <v>99</v>
      </c>
      <c r="C82" s="115">
        <f>IFERROR(SUMPRODUCT((Raw_Data_Daily!$B$2:$B$9999="Control")*(Raw_Data_Daily!$C$2:$C$9999="A. 0")*Raw_Data_Daily!$D$2:$D$9999*Raw_Data_Daily!$CF$2:$CF$9999)/SUMIFS(Raw_Data_Daily!$D:$D, Raw_Data_Daily!$B:$B, "Control", Raw_Data_Daily!$C:$C, "A. 0"),"")</f>
        <v>0.02163366291</v>
      </c>
      <c r="D82" s="55">
        <f>IFERROR(SUMPRODUCT((Raw_Data_Daily!$B$2:$B$9999="Variant")*(Raw_Data_Daily!$C$2:$C$9999="A. 0")*Raw_Data_Daily!$D$2:$D$9999*Raw_Data_Daily!$CF$2:$CF$9999)/SUMIFS(Raw_Data_Daily!$D:$D, Raw_Data_Daily!$B:$B, "Variant", Raw_Data_Daily!$C:$C, "A. 0"),"")</f>
        <v>0.02267520872</v>
      </c>
      <c r="E82" s="46">
        <f t="shared" si="72"/>
        <v>0.04814468116</v>
      </c>
      <c r="F82" s="119">
        <f>IFERROR(SUMPRODUCT((Raw_Data_Daily!$B$2:$B$9999="Control")*(Raw_Data_Daily!$C$2:$C$9999="B. 1-9")*Raw_Data_Daily!$D$2:$D$9999*Raw_Data_Daily!$CF$2:$CF$9999)/SUMIFS(Raw_Data_Daily!$D:$D, Raw_Data_Daily!$B:$B, "Control", Raw_Data_Daily!$C:$C, "B. 1-9"),"")</f>
        <v>0.006910088913</v>
      </c>
      <c r="G82" s="55">
        <f>IFERROR(SUMPRODUCT((Raw_Data_Daily!$B$2:$B$9999="Variant")*(Raw_Data_Daily!$C$2:$C$9999="B. 1-9")*Raw_Data_Daily!$D$2:$D$9999*Raw_Data_Daily!$CF$2:$CF$9999)/SUMIFS(Raw_Data_Daily!$D:$D, Raw_Data_Daily!$B:$B, "Variant", Raw_Data_Daily!$C:$C, "B. 1-9"),"")</f>
        <v>0.006994048713</v>
      </c>
      <c r="H82" s="50">
        <f t="shared" si="73"/>
        <v>0.0121503213</v>
      </c>
      <c r="I82" s="115">
        <f>IFERROR(SUMPRODUCT((Raw_Data_Daily!$B$2:$B$9999="Control")*(Raw_Data_Daily!$C$2:$C$9999="C. 10-19")*Raw_Data_Daily!$D$2:$D$9999*Raw_Data_Daily!$CF$2:$CF$9999)/SUMIFS(Raw_Data_Daily!$D:$D, Raw_Data_Daily!$B:$B, "Control", Raw_Data_Daily!$C:$C, "C. 10-19"),"")</f>
        <v>0.02107932739</v>
      </c>
      <c r="J82" s="55">
        <f>IFERROR(SUMPRODUCT((Raw_Data_Daily!$B$2:$B$9999="Variant")*(Raw_Data_Daily!$C$2:$C$9999="C. 10-19")*Raw_Data_Daily!$D$2:$D$9999*Raw_Data_Daily!$CF$2:$CF$9999)/SUMIFS(Raw_Data_Daily!$D:$D, Raw_Data_Daily!$B:$B, "Variant", Raw_Data_Daily!$C:$C, "C. 10-19"),"")</f>
        <v>0.02162745903</v>
      </c>
      <c r="K82" s="49">
        <f t="shared" si="74"/>
        <v>0.02600327928</v>
      </c>
      <c r="L82" s="119">
        <f>IFERROR(SUMPRODUCT((Raw_Data_Daily!$B$2:$B$9999="Control")*(Raw_Data_Daily!$C$2:$C$9999="D. 20-39")*Raw_Data_Daily!$D$2:$D$9999*Raw_Data_Daily!$CF$2:$CF$9999)/SUMIFS(Raw_Data_Daily!$D:$D, Raw_Data_Daily!$B:$B, "Control", Raw_Data_Daily!$C:$C, "D. 20-39"),"")</f>
        <v>0.04379081629</v>
      </c>
      <c r="M82" s="55">
        <f>IFERROR(SUMPRODUCT((Raw_Data_Daily!$B$2:$B$9999="Variant")*(Raw_Data_Daily!$C$2:$C$9999="D. 20-39")*Raw_Data_Daily!$D$2:$D$9999*Raw_Data_Daily!$CF$2:$CF$9999)/SUMIFS(Raw_Data_Daily!$D:$D, Raw_Data_Daily!$B:$B, "Variant", Raw_Data_Daily!$C:$C, "D. 20-39"),"")</f>
        <v>0.03997167804</v>
      </c>
      <c r="N82" s="50">
        <f t="shared" si="75"/>
        <v>-0.0872132237</v>
      </c>
      <c r="O82" s="115">
        <f>IFERROR(SUMPRODUCT((Raw_Data_Daily!$B$2:$B$9999="Control")*(Raw_Data_Daily!$C$2:$C$9999="E. 40-99")*Raw_Data_Daily!$D$2:$D$9999*Raw_Data_Daily!$CF$2:$CF$9999)/SUMIFS(Raw_Data_Daily!$D:$D, Raw_Data_Daily!$B:$B, "Control", Raw_Data_Daily!$C:$C, "E. 40-99"),"")</f>
        <v>0.1079657299</v>
      </c>
      <c r="P82" s="55">
        <f>IFERROR(SUMPRODUCT((Raw_Data_Daily!$B$2:$B$9999="Variant")*(Raw_Data_Daily!$C$2:$C$9999="E. 40-99")*Raw_Data_Daily!$D$2:$D$9999*Raw_Data_Daily!$CF$2:$CF$9999)/SUMIFS(Raw_Data_Daily!$D:$D, Raw_Data_Daily!$B:$B, "Variant", Raw_Data_Daily!$C:$C, "E. 40-99"),"")</f>
        <v>0.104125668</v>
      </c>
      <c r="Q82" s="49">
        <f t="shared" si="76"/>
        <v>-0.03556741468</v>
      </c>
      <c r="R82" s="119">
        <f>IFERROR(SUMPRODUCT((Raw_Data_Daily!$B$2:$B$9999="Control")*(Raw_Data_Daily!$C$2:$C$9999="F. 100+")*Raw_Data_Daily!$D$2:$D$9999*Raw_Data_Daily!$CF$2:$CF$9999)/SUMIFS(Raw_Data_Daily!$D:$D, Raw_Data_Daily!$B:$B, "Control", Raw_Data_Daily!$C:$C, "F. 100+"),"")</f>
        <v>0.2458840569</v>
      </c>
      <c r="S82" s="136">
        <f>IFERROR(SUMPRODUCT((Raw_Data_Daily!$B$2:$B$9999="Variant")*(Raw_Data_Daily!$C$2:$C$9999="F. 100+")*Raw_Data_Daily!$D$2:$D$9999*Raw_Data_Daily!$CF$2:$CF$9999)/SUMIFS(Raw_Data_Daily!$D:$D, Raw_Data_Daily!$B:$B, "Variant", Raw_Data_Daily!$C:$C, "F. 100+"),"")</f>
        <v>0.1962728482</v>
      </c>
      <c r="T82" s="216">
        <f t="shared" si="77"/>
        <v>-0.2017666752</v>
      </c>
    </row>
    <row r="83" ht="15.75" customHeight="1">
      <c r="A83" s="15"/>
      <c r="B83" s="223" t="s">
        <v>100</v>
      </c>
      <c r="C83" s="115">
        <f>IFERROR(SUMPRODUCT((Raw_Data_Daily!$B$2:$B$9999="Control")*(Raw_Data_Daily!$C$2:$C$9999="A. 0")*Raw_Data_Daily!$D$2:$D$9999*Raw_Data_Daily!$CG$2:$CG$9999)/SUMIFS(Raw_Data_Daily!$D:$D, Raw_Data_Daily!$B:$B, "Control", Raw_Data_Daily!$C:$C, "A. 0"),"")</f>
        <v>0.3809438271</v>
      </c>
      <c r="D83" s="55">
        <f>IFERROR(SUMPRODUCT((Raw_Data_Daily!$B$2:$B$9999="Variant")*(Raw_Data_Daily!$C$2:$C$9999="A. 0")*Raw_Data_Daily!$D$2:$D$9999*Raw_Data_Daily!$CG$2:$CG$9999)/SUMIFS(Raw_Data_Daily!$D:$D, Raw_Data_Daily!$B:$B, "Variant", Raw_Data_Daily!$C:$C, "A. 0"),"")</f>
        <v>0.3968345224</v>
      </c>
      <c r="E83" s="46">
        <f t="shared" si="72"/>
        <v>0.04171401184</v>
      </c>
      <c r="F83" s="119">
        <f>IFERROR(SUMPRODUCT((Raw_Data_Daily!$B$2:$B$9999="Control")*(Raw_Data_Daily!$C$2:$C$9999="B. 1-9")*Raw_Data_Daily!$D$2:$D$9999*Raw_Data_Daily!$CG$2:$CG$9999)/SUMIFS(Raw_Data_Daily!$D:$D, Raw_Data_Daily!$B:$B, "Control", Raw_Data_Daily!$C:$C, "B. 1-9"),"")</f>
        <v>0.5244704154</v>
      </c>
      <c r="G83" s="55">
        <f>IFERROR(SUMPRODUCT((Raw_Data_Daily!$B$2:$B$9999="Variant")*(Raw_Data_Daily!$C$2:$C$9999="B. 1-9")*Raw_Data_Daily!$D$2:$D$9999*Raw_Data_Daily!$CG$2:$CG$9999)/SUMIFS(Raw_Data_Daily!$D:$D, Raw_Data_Daily!$B:$B, "Variant", Raw_Data_Daily!$C:$C, "B. 1-9"),"")</f>
        <v>0.4693816732</v>
      </c>
      <c r="H83" s="50">
        <f t="shared" si="73"/>
        <v>-0.1050368918</v>
      </c>
      <c r="I83" s="115">
        <f>IFERROR(SUMPRODUCT((Raw_Data_Daily!$B$2:$B$9999="Control")*(Raw_Data_Daily!$C$2:$C$9999="C. 10-19")*Raw_Data_Daily!$D$2:$D$9999*Raw_Data_Daily!$CG$2:$CG$9999)/SUMIFS(Raw_Data_Daily!$D:$D, Raw_Data_Daily!$B:$B, "Control", Raw_Data_Daily!$C:$C, "C. 10-19"),"")</f>
        <v>1.011387403</v>
      </c>
      <c r="J83" s="55">
        <f>IFERROR(SUMPRODUCT((Raw_Data_Daily!$B$2:$B$9999="Variant")*(Raw_Data_Daily!$C$2:$C$9999="C. 10-19")*Raw_Data_Daily!$D$2:$D$9999*Raw_Data_Daily!$CG$2:$CG$9999)/SUMIFS(Raw_Data_Daily!$D:$D, Raw_Data_Daily!$B:$B, "Variant", Raw_Data_Daily!$C:$C, "C. 10-19"),"")</f>
        <v>0.8831511842</v>
      </c>
      <c r="K83" s="49">
        <f t="shared" si="74"/>
        <v>-0.1267923829</v>
      </c>
      <c r="L83" s="119">
        <f>IFERROR(SUMPRODUCT((Raw_Data_Daily!$B$2:$B$9999="Control")*(Raw_Data_Daily!$C$2:$C$9999="D. 20-39")*Raw_Data_Daily!$D$2:$D$9999*Raw_Data_Daily!$CG$2:$CG$9999)/SUMIFS(Raw_Data_Daily!$D:$D, Raw_Data_Daily!$B:$B, "Control", Raw_Data_Daily!$C:$C, "D. 20-39"),"")</f>
        <v>1.439663219</v>
      </c>
      <c r="M83" s="55">
        <f>IFERROR(SUMPRODUCT((Raw_Data_Daily!$B$2:$B$9999="Variant")*(Raw_Data_Daily!$C$2:$C$9999="D. 20-39")*Raw_Data_Daily!$D$2:$D$9999*Raw_Data_Daily!$CG$2:$CG$9999)/SUMIFS(Raw_Data_Daily!$D:$D, Raw_Data_Daily!$B:$B, "Variant", Raw_Data_Daily!$C:$C, "D. 20-39"),"")</f>
        <v>1.196903383</v>
      </c>
      <c r="N83" s="50">
        <f t="shared" si="75"/>
        <v>-0.168622656</v>
      </c>
      <c r="O83" s="115">
        <f>IFERROR(SUMPRODUCT((Raw_Data_Daily!$B$2:$B$9999="Control")*(Raw_Data_Daily!$C$2:$C$9999="E. 40-99")*Raw_Data_Daily!$D$2:$D$9999*Raw_Data_Daily!$CG$2:$CG$9999)/SUMIFS(Raw_Data_Daily!$D:$D, Raw_Data_Daily!$B:$B, "Control", Raw_Data_Daily!$C:$C, "E. 40-99"),"")</f>
        <v>2.240596637</v>
      </c>
      <c r="P83" s="55">
        <f>IFERROR(SUMPRODUCT((Raw_Data_Daily!$B$2:$B$9999="Variant")*(Raw_Data_Daily!$C$2:$C$9999="E. 40-99")*Raw_Data_Daily!$D$2:$D$9999*Raw_Data_Daily!$CG$2:$CG$9999)/SUMIFS(Raw_Data_Daily!$D:$D, Raw_Data_Daily!$B:$B, "Variant", Raw_Data_Daily!$C:$C, "E. 40-99"),"")</f>
        <v>1.764645018</v>
      </c>
      <c r="Q83" s="49">
        <f t="shared" si="76"/>
        <v>-0.2124218212</v>
      </c>
      <c r="R83" s="119">
        <f>IFERROR(SUMPRODUCT((Raw_Data_Daily!$B$2:$B$9999="Control")*(Raw_Data_Daily!$C$2:$C$9999="F. 100+")*Raw_Data_Daily!$D$2:$D$9999*Raw_Data_Daily!$CG$2:$CG$9999)/SUMIFS(Raw_Data_Daily!$D:$D, Raw_Data_Daily!$B:$B, "Control", Raw_Data_Daily!$C:$C, "F. 100+"),"")</f>
        <v>4.213321894</v>
      </c>
      <c r="S83" s="136">
        <f>IFERROR(SUMPRODUCT((Raw_Data_Daily!$B$2:$B$9999="Variant")*(Raw_Data_Daily!$C$2:$C$9999="F. 100+")*Raw_Data_Daily!$D$2:$D$9999*Raw_Data_Daily!$CG$2:$CG$9999)/SUMIFS(Raw_Data_Daily!$D:$D, Raw_Data_Daily!$B:$B, "Variant", Raw_Data_Daily!$C:$C, "F. 100+"),"")</f>
        <v>2.982965156</v>
      </c>
      <c r="T83" s="216">
        <f t="shared" si="77"/>
        <v>-0.2920158414</v>
      </c>
    </row>
    <row r="84" ht="15.75" customHeight="1">
      <c r="A84" s="15"/>
      <c r="B84" s="223" t="s">
        <v>101</v>
      </c>
      <c r="C84" s="115">
        <f>IFERROR(SUMPRODUCT((Raw_Data_Daily!$B$2:$B$9999="Control")*(Raw_Data_Daily!$C$2:$C$9999="A. 0")*Raw_Data_Daily!$D$2:$D$9999*Raw_Data_Daily!$CH$2:$CH$9999)/SUMIFS(Raw_Data_Daily!$D:$D, Raw_Data_Daily!$B:$B, "Control", Raw_Data_Daily!$C:$C, "A. 0"),"")</f>
        <v>0.242694355</v>
      </c>
      <c r="D84" s="55">
        <f>IFERROR(SUMPRODUCT((Raw_Data_Daily!$B$2:$B$9999="Variant")*(Raw_Data_Daily!$C$2:$C$9999="A. 0")*Raw_Data_Daily!$D$2:$D$9999*Raw_Data_Daily!$CH$2:$CH$9999)/SUMIFS(Raw_Data_Daily!$D:$D, Raw_Data_Daily!$B:$B, "Variant", Raw_Data_Daily!$C:$C, "A. 0"),"")</f>
        <v>0.2622533693</v>
      </c>
      <c r="E84" s="46">
        <f t="shared" si="72"/>
        <v>0.08059113801</v>
      </c>
      <c r="F84" s="119">
        <f>IFERROR(SUMPRODUCT((Raw_Data_Daily!$B$2:$B$9999="Control")*(Raw_Data_Daily!$C$2:$C$9999="B. 1-9")*Raw_Data_Daily!$D$2:$D$9999*Raw_Data_Daily!$CH$2:$CH$9999)/SUMIFS(Raw_Data_Daily!$D:$D, Raw_Data_Daily!$B:$B, "Control", Raw_Data_Daily!$C:$C, "B. 1-9"),"")</f>
        <v>0.5039802322</v>
      </c>
      <c r="G84" s="55">
        <f>IFERROR(SUMPRODUCT((Raw_Data_Daily!$B$2:$B$9999="Variant")*(Raw_Data_Daily!$C$2:$C$9999="B. 1-9")*Raw_Data_Daily!$D$2:$D$9999*Raw_Data_Daily!$CH$2:$CH$9999)/SUMIFS(Raw_Data_Daily!$D:$D, Raw_Data_Daily!$B:$B, "Variant", Raw_Data_Daily!$C:$C, "B. 1-9"),"")</f>
        <v>0.5202473614</v>
      </c>
      <c r="H84" s="50">
        <f t="shared" si="73"/>
        <v>0.03227731581</v>
      </c>
      <c r="I84" s="115">
        <f>IFERROR(SUMPRODUCT((Raw_Data_Daily!$B$2:$B$9999="Control")*(Raw_Data_Daily!$C$2:$C$9999="C. 10-19")*Raw_Data_Daily!$D$2:$D$9999*Raw_Data_Daily!$CH$2:$CH$9999)/SUMIFS(Raw_Data_Daily!$D:$D, Raw_Data_Daily!$B:$B, "Control", Raw_Data_Daily!$C:$C, "C. 10-19"),"")</f>
        <v>1.013876456</v>
      </c>
      <c r="J84" s="55">
        <f>IFERROR(SUMPRODUCT((Raw_Data_Daily!$B$2:$B$9999="Variant")*(Raw_Data_Daily!$C$2:$C$9999="C. 10-19")*Raw_Data_Daily!$D$2:$D$9999*Raw_Data_Daily!$CH$2:$CH$9999)/SUMIFS(Raw_Data_Daily!$D:$D, Raw_Data_Daily!$B:$B, "Variant", Raw_Data_Daily!$C:$C, "C. 10-19"),"")</f>
        <v>0.9934368344</v>
      </c>
      <c r="K84" s="49">
        <f t="shared" si="74"/>
        <v>-0.02015987418</v>
      </c>
      <c r="L84" s="119">
        <f>IFERROR(SUMPRODUCT((Raw_Data_Daily!$B$2:$B$9999="Control")*(Raw_Data_Daily!$C$2:$C$9999="D. 20-39")*Raw_Data_Daily!$D$2:$D$9999*Raw_Data_Daily!$CH$2:$CH$9999)/SUMIFS(Raw_Data_Daily!$D:$D, Raw_Data_Daily!$B:$B, "Control", Raw_Data_Daily!$C:$C, "D. 20-39"),"")</f>
        <v>1.509297264</v>
      </c>
      <c r="M84" s="55">
        <f>IFERROR(SUMPRODUCT((Raw_Data_Daily!$B$2:$B$9999="Variant")*(Raw_Data_Daily!$C$2:$C$9999="D. 20-39")*Raw_Data_Daily!$D$2:$D$9999*Raw_Data_Daily!$CH$2:$CH$9999)/SUMIFS(Raw_Data_Daily!$D:$D, Raw_Data_Daily!$B:$B, "Variant", Raw_Data_Daily!$C:$C, "D. 20-39"),"")</f>
        <v>1.383589012</v>
      </c>
      <c r="N84" s="50">
        <f t="shared" si="75"/>
        <v>-0.08328925932</v>
      </c>
      <c r="O84" s="115">
        <f>IFERROR(SUMPRODUCT((Raw_Data_Daily!$B$2:$B$9999="Control")*(Raw_Data_Daily!$C$2:$C$9999="E. 40-99")*Raw_Data_Daily!$D$2:$D$9999*Raw_Data_Daily!$CH$2:$CH$9999)/SUMIFS(Raw_Data_Daily!$D:$D, Raw_Data_Daily!$B:$B, "Control", Raw_Data_Daily!$C:$C, "E. 40-99"),"")</f>
        <v>2.412753059</v>
      </c>
      <c r="P84" s="55">
        <f>IFERROR(SUMPRODUCT((Raw_Data_Daily!$B$2:$B$9999="Variant")*(Raw_Data_Daily!$C$2:$C$9999="E. 40-99")*Raw_Data_Daily!$D$2:$D$9999*Raw_Data_Daily!$CH$2:$CH$9999)/SUMIFS(Raw_Data_Daily!$D:$D, Raw_Data_Daily!$B:$B, "Variant", Raw_Data_Daily!$C:$C, "E. 40-99"),"")</f>
        <v>2.023000513</v>
      </c>
      <c r="Q84" s="49">
        <f t="shared" si="76"/>
        <v>-0.1615385152</v>
      </c>
      <c r="R84" s="119">
        <f>IFERROR(SUMPRODUCT((Raw_Data_Daily!$B$2:$B$9999="Control")*(Raw_Data_Daily!$C$2:$C$9999="F. 100+")*Raw_Data_Daily!$D$2:$D$9999*Raw_Data_Daily!$CH$2:$CH$9999)/SUMIFS(Raw_Data_Daily!$D:$D, Raw_Data_Daily!$B:$B, "Control", Raw_Data_Daily!$C:$C, "F. 100+"),"")</f>
        <v>4.531045434</v>
      </c>
      <c r="S84" s="136">
        <f>IFERROR(SUMPRODUCT((Raw_Data_Daily!$B$2:$B$9999="Variant")*(Raw_Data_Daily!$C$2:$C$9999="F. 100+")*Raw_Data_Daily!$D$2:$D$9999*Raw_Data_Daily!$CH$2:$CH$9999)/SUMIFS(Raw_Data_Daily!$D:$D, Raw_Data_Daily!$B:$B, "Variant", Raw_Data_Daily!$C:$C, "F. 100+"),"")</f>
        <v>3.462772474</v>
      </c>
      <c r="T84" s="216">
        <f t="shared" si="77"/>
        <v>-0.2357674351</v>
      </c>
    </row>
    <row r="85" ht="15.75" customHeight="1">
      <c r="A85" s="15"/>
      <c r="B85" s="223" t="s">
        <v>102</v>
      </c>
      <c r="C85" s="115">
        <f>IFERROR(SUMPRODUCT((Raw_Data_Daily!$B$2:$B$9999="Control")*(Raw_Data_Daily!$C$2:$C$9999="A. 0")*Raw_Data_Daily!$D$2:$D$9999*(Raw_Data_Daily!$CE$2:$CE$9999-Raw_Data_Daily!$CH$2:$CH$9999))/SUMIFS(Raw_Data_Daily!$D:$D, Raw_Data_Daily!$B:$B, "Control", Raw_Data_Daily!$C:$C, "A. 0"),"")</f>
        <v>0.1598441226</v>
      </c>
      <c r="D85" s="55">
        <f>IFERROR(SUMPRODUCT((Raw_Data_Daily!$B$2:$B$9999="Variant")*(Raw_Data_Daily!$C$2:$C$9999="A. 0")*Raw_Data_Daily!$D$2:$D$9999*(Raw_Data_Daily!$CE$2:$CE$9999-Raw_Data_Daily!$CH$2:$CH$9999))/SUMIFS(Raw_Data_Daily!$D:$D, Raw_Data_Daily!$B:$B, "Variant", Raw_Data_Daily!$C:$C, "A. 0"),"")</f>
        <v>0.1572563618</v>
      </c>
      <c r="E85" s="35">
        <f t="shared" si="72"/>
        <v>-0.01618927722</v>
      </c>
      <c r="F85" s="119">
        <f>IFERROR(SUMPRODUCT((Raw_Data_Daily!$B$2:$B$9999="Control")*(Raw_Data_Daily!$C$2:$C$9999="B. 1-9")*Raw_Data_Daily!$D$2:$D$9999*(Raw_Data_Daily!$CE$2:$CE$9999-Raw_Data_Daily!$CH$2:$CH$9999))/SUMIFS(Raw_Data_Daily!$D:$D, Raw_Data_Daily!$B:$B, "Control", Raw_Data_Daily!$C:$C, "B. 1-9"),"")</f>
        <v>0.0274002721</v>
      </c>
      <c r="G85" s="55">
        <f>IFERROR(SUMPRODUCT((Raw_Data_Daily!$B$2:$B$9999="Variant")*(Raw_Data_Daily!$C$2:$C$9999="B. 1-9")*Raw_Data_Daily!$D$2:$D$9999*(Raw_Data_Daily!$CE$2:$CE$9999-Raw_Data_Daily!$CH$2:$CH$9999))/SUMIFS(Raw_Data_Daily!$D:$D, Raw_Data_Daily!$B:$B, "Variant", Raw_Data_Daily!$C:$C, "B. 1-9"),"")</f>
        <v>-0.04392099992</v>
      </c>
      <c r="H85" s="50">
        <f t="shared" si="73"/>
        <v>-2.602940283</v>
      </c>
      <c r="I85" s="115">
        <f>IFERROR(SUMPRODUCT((Raw_Data_Daily!$B$2:$B$9999="Control")*(Raw_Data_Daily!$C$2:$C$9999="C. 10-19")*Raw_Data_Daily!$D$2:$D$9999*(Raw_Data_Daily!$CE$2:$CE$9999-Raw_Data_Daily!$CH$2:$CH$9999))/SUMIFS(Raw_Data_Daily!$D:$D, Raw_Data_Daily!$B:$B, "Control", Raw_Data_Daily!$C:$C, "C. 10-19"),"")</f>
        <v>0.01860420382</v>
      </c>
      <c r="J85" s="55">
        <f>IFERROR(SUMPRODUCT((Raw_Data_Daily!$B$2:$B$9999="Variant")*(Raw_Data_Daily!$C$2:$C$9999="C. 10-19")*Raw_Data_Daily!$D$2:$D$9999*(Raw_Data_Daily!$CE$2:$CE$9999-Raw_Data_Daily!$CH$2:$CH$9999))/SUMIFS(Raw_Data_Daily!$D:$D, Raw_Data_Daily!$B:$B, "Variant", Raw_Data_Daily!$C:$C, "C. 10-19"),"")</f>
        <v>-0.08866560843</v>
      </c>
      <c r="K85" s="49">
        <f t="shared" si="74"/>
        <v>-5.765891048</v>
      </c>
      <c r="L85" s="119">
        <f>IFERROR(SUMPRODUCT((Raw_Data_Daily!$B$2:$B$9999="Control")*(Raw_Data_Daily!$C$2:$C$9999="D. 20-39")*Raw_Data_Daily!$D$2:$D$9999*(Raw_Data_Daily!$CE$2:$CE$9999-Raw_Data_Daily!$CH$2:$CH$9999))/SUMIFS(Raw_Data_Daily!$D:$D, Raw_Data_Daily!$B:$B, "Control", Raw_Data_Daily!$C:$C, "D. 20-39"),"")</f>
        <v>-0.02584322857</v>
      </c>
      <c r="M85" s="55">
        <f>IFERROR(SUMPRODUCT((Raw_Data_Daily!$B$2:$B$9999="Variant")*(Raw_Data_Daily!$C$2:$C$9999="D. 20-39")*Raw_Data_Daily!$D$2:$D$9999*(Raw_Data_Daily!$CE$2:$CE$9999-Raw_Data_Daily!$CH$2:$CH$9999))/SUMIFS(Raw_Data_Daily!$D:$D, Raw_Data_Daily!$B:$B, "Variant", Raw_Data_Daily!$C:$C, "D. 20-39"),"")</f>
        <v>-0.146728322</v>
      </c>
      <c r="N85" s="50">
        <f t="shared" si="75"/>
        <v>-4.677631244</v>
      </c>
      <c r="O85" s="115">
        <f>IFERROR(SUMPRODUCT((Raw_Data_Daily!$B$2:$B$9999="Control")*(Raw_Data_Daily!$C$2:$C$9999="E. 40-99")*Raw_Data_Daily!$D$2:$D$9999*(Raw_Data_Daily!$CE$2:$CE$9999-Raw_Data_Daily!$CH$2:$CH$9999))/SUMIFS(Raw_Data_Daily!$D:$D, Raw_Data_Daily!$B:$B, "Control", Raw_Data_Daily!$C:$C, "E. 40-99"),"")</f>
        <v>-0.06417590797</v>
      </c>
      <c r="P85" s="55">
        <f>IFERROR(SUMPRODUCT((Raw_Data_Daily!$B$2:$B$9999="Variant")*(Raw_Data_Daily!$C$2:$C$9999="E. 40-99")*Raw_Data_Daily!$D$2:$D$9999*(Raw_Data_Daily!$CE$2:$CE$9999-Raw_Data_Daily!$CH$2:$CH$9999))/SUMIFS(Raw_Data_Daily!$D:$D, Raw_Data_Daily!$B:$B, "Variant", Raw_Data_Daily!$C:$C, "E. 40-99"),"")</f>
        <v>-0.1542451912</v>
      </c>
      <c r="Q85" s="49">
        <f t="shared" si="76"/>
        <v>-1.403475012</v>
      </c>
      <c r="R85" s="119">
        <f>IFERROR(SUMPRODUCT((Raw_Data_Daily!$B$2:$B$9999="Control")*(Raw_Data_Daily!$C$2:$C$9999="F. 100+")*Raw_Data_Daily!$D$2:$D$9999*(Raw_Data_Daily!$CE$2:$CE$9999-Raw_Data_Daily!$CH$2:$CH$9999))/SUMIFS(Raw_Data_Daily!$D:$D, Raw_Data_Daily!$B:$B, "Control", Raw_Data_Daily!$C:$C, "F. 100+"),"")</f>
        <v>-0.0718251497</v>
      </c>
      <c r="S85" s="55">
        <f>IFERROR(SUMPRODUCT((Raw_Data_Daily!$B$2:$B$9999="Variant")*(Raw_Data_Daily!$C$2:$C$9999="F. 100+")*Raw_Data_Daily!$D$2:$D$9999*(Raw_Data_Daily!$CE$2:$CE$9999-Raw_Data_Daily!$CH$2:$CH$9999))/SUMIFS(Raw_Data_Daily!$D:$D, Raw_Data_Daily!$B:$B, "Variant", Raw_Data_Daily!$C:$C, "F. 100+"),"")</f>
        <v>-0.2835559667</v>
      </c>
      <c r="T85" s="50">
        <f t="shared" si="77"/>
        <v>-2.947864612</v>
      </c>
    </row>
    <row r="86" ht="15.75" customHeight="1">
      <c r="A86" s="195" t="s">
        <v>103</v>
      </c>
      <c r="B86" s="27"/>
      <c r="C86" s="28"/>
      <c r="D86" s="12"/>
      <c r="E86" s="29"/>
      <c r="F86" s="30"/>
      <c r="G86" s="12"/>
      <c r="H86" s="27"/>
      <c r="I86" s="28"/>
      <c r="J86" s="12"/>
      <c r="K86" s="29"/>
      <c r="L86" s="30"/>
      <c r="M86" s="12"/>
      <c r="N86" s="27"/>
      <c r="O86" s="28"/>
      <c r="P86" s="12"/>
      <c r="Q86" s="29"/>
      <c r="R86" s="30"/>
      <c r="S86" s="12"/>
      <c r="T86" s="27"/>
    </row>
    <row r="87" ht="15.75" customHeight="1">
      <c r="A87" s="15"/>
      <c r="B87" s="223" t="s">
        <v>104</v>
      </c>
      <c r="C87" s="115">
        <f>IFERROR(SUMPRODUCT((Raw_Data_Daily!$B$2:$B$9999="Control")*(Raw_Data_Daily!$C$2:$C$9999="A. 0")*Raw_Data_Daily!$D$2:$D$9999*Raw_Data_Daily!$CI$2:$CI$9999)/SUMIFS(Raw_Data_Daily!$D:$D, Raw_Data_Daily!$B:$B, "Control", Raw_Data_Daily!$C:$C, "A. 0"),"")</f>
        <v>0.3101455144</v>
      </c>
      <c r="D87" s="55">
        <f>IFERROR(SUMPRODUCT((Raw_Data_Daily!$B$2:$B$9999="Variant")*(Raw_Data_Daily!$C$2:$C$9999="A. 0")*Raw_Data_Daily!$D$2:$D$9999*Raw_Data_Daily!$CI$2:$CI$9999)/SUMIFS(Raw_Data_Daily!$D:$D, Raw_Data_Daily!$B:$B, "Variant", Raw_Data_Daily!$C:$C, "A. 0"),"")</f>
        <v>0.3499324135</v>
      </c>
      <c r="E87" s="46">
        <f t="shared" ref="E87:E91" si="78">IFERROR((D87-C87)/ABS(C87),"")</f>
        <v>0.128284619</v>
      </c>
      <c r="F87" s="119">
        <f>IFERROR(SUMPRODUCT((Raw_Data_Daily!$B$2:$B$9999="Control")*(Raw_Data_Daily!$C$2:$C$9999="B. 1-9")*Raw_Data_Daily!$D$2:$D$9999*Raw_Data_Daily!$CI$2:$CI$9999)/SUMIFS(Raw_Data_Daily!$D:$D, Raw_Data_Daily!$B:$B, "Control", Raw_Data_Daily!$C:$C, "B. 1-9"),"")</f>
        <v>0.4251427107</v>
      </c>
      <c r="G87" s="55">
        <f>IFERROR(SUMPRODUCT((Raw_Data_Daily!$B$2:$B$9999="Variant")*(Raw_Data_Daily!$C$2:$C$9999="B. 1-9")*Raw_Data_Daily!$D$2:$D$9999*Raw_Data_Daily!$CI$2:$CI$9999)/SUMIFS(Raw_Data_Daily!$D:$D, Raw_Data_Daily!$B:$B, "Variant", Raw_Data_Daily!$C:$C, "B. 1-9"),"")</f>
        <v>0.3907586359</v>
      </c>
      <c r="H87" s="50">
        <f t="shared" ref="H87:H91" si="79">IFERROR((G87-F87)/ABS(F87),"")</f>
        <v>-0.08087654792</v>
      </c>
      <c r="I87" s="115">
        <f>IFERROR(SUMPRODUCT((Raw_Data_Daily!$B$2:$B$9999="Control")*(Raw_Data_Daily!$C$2:$C$9999="C. 10-19")*Raw_Data_Daily!$D$2:$D$9999*Raw_Data_Daily!$CI$2:$CI$9999)/SUMIFS(Raw_Data_Daily!$D:$D, Raw_Data_Daily!$B:$B, "Control", Raw_Data_Daily!$C:$C, "C. 10-19"),"")</f>
        <v>0.9499224535</v>
      </c>
      <c r="J87" s="55">
        <f>IFERROR(SUMPRODUCT((Raw_Data_Daily!$B$2:$B$9999="Variant")*(Raw_Data_Daily!$C$2:$C$9999="C. 10-19")*Raw_Data_Daily!$D$2:$D$9999*Raw_Data_Daily!$CI$2:$CI$9999)/SUMIFS(Raw_Data_Daily!$D:$D, Raw_Data_Daily!$B:$B, "Variant", Raw_Data_Daily!$C:$C, "C. 10-19"),"")</f>
        <v>0.9102358338</v>
      </c>
      <c r="K87" s="49">
        <f t="shared" ref="K87:K91" si="80">IFERROR((J87-I87)/ABS(I87),"")</f>
        <v>-0.0417787995</v>
      </c>
      <c r="L87" s="119">
        <f>IFERROR(SUMPRODUCT((Raw_Data_Daily!$B$2:$B$9999="Control")*(Raw_Data_Daily!$C$2:$C$9999="D. 20-39")*Raw_Data_Daily!$D$2:$D$9999*Raw_Data_Daily!$CI$2:$CI$9999)/SUMIFS(Raw_Data_Daily!$D:$D, Raw_Data_Daily!$B:$B, "Control", Raw_Data_Daily!$C:$C, "D. 20-39"),"")</f>
        <v>1.595695343</v>
      </c>
      <c r="M87" s="55">
        <f>IFERROR(SUMPRODUCT((Raw_Data_Daily!$B$2:$B$9999="Variant")*(Raw_Data_Daily!$C$2:$C$9999="D. 20-39")*Raw_Data_Daily!$D$2:$D$9999*Raw_Data_Daily!$CI$2:$CI$9999)/SUMIFS(Raw_Data_Daily!$D:$D, Raw_Data_Daily!$B:$B, "Variant", Raw_Data_Daily!$C:$C, "D. 20-39"),"")</f>
        <v>1.550140489</v>
      </c>
      <c r="N87" s="50">
        <f t="shared" ref="N87:N91" si="81">IFERROR((M87-L87)/ABS(L87),"")</f>
        <v>-0.02854859089</v>
      </c>
      <c r="O87" s="115">
        <f>IFERROR(SUMPRODUCT((Raw_Data_Daily!$B$2:$B$9999="Control")*(Raw_Data_Daily!$C$2:$C$9999="E. 40-99")*Raw_Data_Daily!$D$2:$D$9999*Raw_Data_Daily!$CI$2:$CI$9999)/SUMIFS(Raw_Data_Daily!$D:$D, Raw_Data_Daily!$B:$B, "Control", Raw_Data_Daily!$C:$C, "E. 40-99"),"")</f>
        <v>2.841135886</v>
      </c>
      <c r="P87" s="55">
        <f>IFERROR(SUMPRODUCT((Raw_Data_Daily!$B$2:$B$9999="Variant")*(Raw_Data_Daily!$C$2:$C$9999="E. 40-99")*Raw_Data_Daily!$D$2:$D$9999*Raw_Data_Daily!$CI$2:$CI$9999)/SUMIFS(Raw_Data_Daily!$D:$D, Raw_Data_Daily!$B:$B, "Variant", Raw_Data_Daily!$C:$C, "E. 40-99"),"")</f>
        <v>2.714930454</v>
      </c>
      <c r="Q87" s="49">
        <f t="shared" ref="Q87:Q91" si="82">IFERROR((P87-O87)/ABS(O87),"")</f>
        <v>-0.04442076596</v>
      </c>
      <c r="R87" s="119">
        <f>IFERROR(SUMPRODUCT((Raw_Data_Daily!$B$2:$B$9999="Control")*(Raw_Data_Daily!$C$2:$C$9999="F. 100+")*Raw_Data_Daily!$D$2:$D$9999*Raw_Data_Daily!$CI$2:$CI$9999)/SUMIFS(Raw_Data_Daily!$D:$D, Raw_Data_Daily!$B:$B, "Control", Raw_Data_Daily!$C:$C, "F. 100+"),"")</f>
        <v>5.685269573</v>
      </c>
      <c r="S87" s="136">
        <f>IFERROR(SUMPRODUCT((Raw_Data_Daily!$B$2:$B$9999="Variant")*(Raw_Data_Daily!$C$2:$C$9999="F. 100+")*Raw_Data_Daily!$D$2:$D$9999*Raw_Data_Daily!$CI$2:$CI$9999)/SUMIFS(Raw_Data_Daily!$D:$D, Raw_Data_Daily!$B:$B, "Variant", Raw_Data_Daily!$C:$C, "F. 100+"),"")</f>
        <v>4.9567842</v>
      </c>
      <c r="T87" s="216">
        <f t="shared" ref="T87:T91" si="83">IFERROR((S87-R87)/ABS(R87),"")</f>
        <v>-0.1281355905</v>
      </c>
    </row>
    <row r="88" ht="15.75" customHeight="1">
      <c r="A88" s="15"/>
      <c r="B88" s="223" t="s">
        <v>105</v>
      </c>
      <c r="C88" s="115">
        <f>IFERROR(SUMPRODUCT((Raw_Data_Daily!$B$2:$B$9999="Control")*(Raw_Data_Daily!$C$2:$C$9999="A. 0")*Raw_Data_Daily!$D$2:$D$9999*Raw_Data_Daily!$CJ$2:$CJ$9999)/SUMIFS(Raw_Data_Daily!$D:$D, Raw_Data_Daily!$B:$B, "Control", Raw_Data_Daily!$C:$C, "A. 0"),"")</f>
        <v>0.01695508477</v>
      </c>
      <c r="D88" s="55">
        <f>IFERROR(SUMPRODUCT((Raw_Data_Daily!$B$2:$B$9999="Variant")*(Raw_Data_Daily!$C$2:$C$9999="A. 0")*Raw_Data_Daily!$D$2:$D$9999*Raw_Data_Daily!$CJ$2:$CJ$9999)/SUMIFS(Raw_Data_Daily!$D:$D, Raw_Data_Daily!$B:$B, "Variant", Raw_Data_Daily!$C:$C, "A. 0"),"")</f>
        <v>0.01835683617</v>
      </c>
      <c r="E88" s="46">
        <f t="shared" si="78"/>
        <v>0.08267439656</v>
      </c>
      <c r="F88" s="119">
        <f>IFERROR(SUMPRODUCT((Raw_Data_Daily!$B$2:$B$9999="Control")*(Raw_Data_Daily!$C$2:$C$9999="B. 1-9")*Raw_Data_Daily!$D$2:$D$9999*Raw_Data_Daily!$CJ$2:$CJ$9999)/SUMIFS(Raw_Data_Daily!$D:$D, Raw_Data_Daily!$B:$B, "Control", Raw_Data_Daily!$C:$C, "B. 1-9"),"")</f>
        <v>0.006595132794</v>
      </c>
      <c r="G88" s="55">
        <f>IFERROR(SUMPRODUCT((Raw_Data_Daily!$B$2:$B$9999="Variant")*(Raw_Data_Daily!$C$2:$C$9999="B. 1-9")*Raw_Data_Daily!$D$2:$D$9999*Raw_Data_Daily!$CJ$2:$CJ$9999)/SUMIFS(Raw_Data_Daily!$D:$D, Raw_Data_Daily!$B:$B, "Variant", Raw_Data_Daily!$C:$C, "B. 1-9"),"")</f>
        <v>0.006289393765</v>
      </c>
      <c r="H88" s="50">
        <f t="shared" si="79"/>
        <v>-0.04635828246</v>
      </c>
      <c r="I88" s="115">
        <f>IFERROR(SUMPRODUCT((Raw_Data_Daily!$B$2:$B$9999="Control")*(Raw_Data_Daily!$C$2:$C$9999="C. 10-19")*Raw_Data_Daily!$D$2:$D$9999*Raw_Data_Daily!$CJ$2:$CJ$9999)/SUMIFS(Raw_Data_Daily!$D:$D, Raw_Data_Daily!$B:$B, "Control", Raw_Data_Daily!$C:$C, "C. 10-19"),"")</f>
        <v>0.01859281111</v>
      </c>
      <c r="J88" s="55">
        <f>IFERROR(SUMPRODUCT((Raw_Data_Daily!$B$2:$B$9999="Variant")*(Raw_Data_Daily!$C$2:$C$9999="C. 10-19")*Raw_Data_Daily!$D$2:$D$9999*Raw_Data_Daily!$CJ$2:$CJ$9999)/SUMIFS(Raw_Data_Daily!$D:$D, Raw_Data_Daily!$B:$B, "Variant", Raw_Data_Daily!$C:$C, "C. 10-19"),"")</f>
        <v>0.01678697478</v>
      </c>
      <c r="K88" s="49">
        <f t="shared" si="80"/>
        <v>-0.09712551354</v>
      </c>
      <c r="L88" s="119">
        <f>IFERROR(SUMPRODUCT((Raw_Data_Daily!$B$2:$B$9999="Control")*(Raw_Data_Daily!$C$2:$C$9999="D. 20-39")*Raw_Data_Daily!$D$2:$D$9999*Raw_Data_Daily!$CJ$2:$CJ$9999)/SUMIFS(Raw_Data_Daily!$D:$D, Raw_Data_Daily!$B:$B, "Control", Raw_Data_Daily!$C:$C, "D. 20-39"),"")</f>
        <v>0.03873878874</v>
      </c>
      <c r="M88" s="55">
        <f>IFERROR(SUMPRODUCT((Raw_Data_Daily!$B$2:$B$9999="Variant")*(Raw_Data_Daily!$C$2:$C$9999="D. 20-39")*Raw_Data_Daily!$D$2:$D$9999*Raw_Data_Daily!$CJ$2:$CJ$9999)/SUMIFS(Raw_Data_Daily!$D:$D, Raw_Data_Daily!$B:$B, "Variant", Raw_Data_Daily!$C:$C, "D. 20-39"),"")</f>
        <v>0.03349275521</v>
      </c>
      <c r="N88" s="50">
        <f t="shared" si="81"/>
        <v>-0.1354206908</v>
      </c>
      <c r="O88" s="115">
        <f>IFERROR(SUMPRODUCT((Raw_Data_Daily!$B$2:$B$9999="Control")*(Raw_Data_Daily!$C$2:$C$9999="E. 40-99")*Raw_Data_Daily!$D$2:$D$9999*Raw_Data_Daily!$CJ$2:$CJ$9999)/SUMIFS(Raw_Data_Daily!$D:$D, Raw_Data_Daily!$B:$B, "Control", Raw_Data_Daily!$C:$C, "E. 40-99"),"")</f>
        <v>0.08971901397</v>
      </c>
      <c r="P88" s="55">
        <f>IFERROR(SUMPRODUCT((Raw_Data_Daily!$B$2:$B$9999="Variant")*(Raw_Data_Daily!$C$2:$C$9999="E. 40-99")*Raw_Data_Daily!$D$2:$D$9999*Raw_Data_Daily!$CJ$2:$CJ$9999)/SUMIFS(Raw_Data_Daily!$D:$D, Raw_Data_Daily!$B:$B, "Variant", Raw_Data_Daily!$C:$C, "E. 40-99"),"")</f>
        <v>0.08580537319</v>
      </c>
      <c r="Q88" s="49">
        <f t="shared" si="82"/>
        <v>-0.04362108554</v>
      </c>
      <c r="R88" s="119">
        <f>IFERROR(SUMPRODUCT((Raw_Data_Daily!$B$2:$B$9999="Control")*(Raw_Data_Daily!$C$2:$C$9999="F. 100+")*Raw_Data_Daily!$D$2:$D$9999*Raw_Data_Daily!$CJ$2:$CJ$9999)/SUMIFS(Raw_Data_Daily!$D:$D, Raw_Data_Daily!$B:$B, "Control", Raw_Data_Daily!$C:$C, "F. 100+"),"")</f>
        <v>0.212216991</v>
      </c>
      <c r="S88" s="136">
        <f>IFERROR(SUMPRODUCT((Raw_Data_Daily!$B$2:$B$9999="Variant")*(Raw_Data_Daily!$C$2:$C$9999="F. 100+")*Raw_Data_Daily!$D$2:$D$9999*Raw_Data_Daily!$CJ$2:$CJ$9999)/SUMIFS(Raw_Data_Daily!$D:$D, Raw_Data_Daily!$B:$B, "Variant", Raw_Data_Daily!$C:$C, "F. 100+"),"")</f>
        <v>0.1650694387</v>
      </c>
      <c r="T88" s="216">
        <f t="shared" si="83"/>
        <v>-0.2221667178</v>
      </c>
    </row>
    <row r="89" ht="15.75" customHeight="1">
      <c r="A89" s="15"/>
      <c r="B89" s="223" t="s">
        <v>106</v>
      </c>
      <c r="C89" s="115">
        <f>IFERROR(SUMPRODUCT((Raw_Data_Daily!$B$2:$B$9999="Control")*(Raw_Data_Daily!$C$2:$C$9999="A. 0")*Raw_Data_Daily!$D$2:$D$9999*Raw_Data_Daily!$CK$2:$CK$9999)/SUMIFS(Raw_Data_Daily!$D:$D, Raw_Data_Daily!$B:$B, "Control", Raw_Data_Daily!$C:$C, "A. 0"),"")</f>
        <v>0.2931765577</v>
      </c>
      <c r="D89" s="55">
        <f>IFERROR(SUMPRODUCT((Raw_Data_Daily!$B$2:$B$9999="Variant")*(Raw_Data_Daily!$C$2:$C$9999="A. 0")*Raw_Data_Daily!$D$2:$D$9999*Raw_Data_Daily!$CK$2:$CK$9999)/SUMIFS(Raw_Data_Daily!$D:$D, Raw_Data_Daily!$B:$B, "Variant", Raw_Data_Daily!$C:$C, "A. 0"),"")</f>
        <v>0.3315839071</v>
      </c>
      <c r="E89" s="46">
        <f t="shared" si="78"/>
        <v>0.1310041625</v>
      </c>
      <c r="F89" s="119">
        <f>IFERROR(SUMPRODUCT((Raw_Data_Daily!$B$2:$B$9999="Control")*(Raw_Data_Daily!$C$2:$C$9999="B. 1-9")*Raw_Data_Daily!$D$2:$D$9999*Raw_Data_Daily!$CK$2:$CK$9999)/SUMIFS(Raw_Data_Daily!$D:$D, Raw_Data_Daily!$B:$B, "Control", Raw_Data_Daily!$C:$C, "B. 1-9"),"")</f>
        <v>0.4185842889</v>
      </c>
      <c r="G89" s="55">
        <f>IFERROR(SUMPRODUCT((Raw_Data_Daily!$B$2:$B$9999="Variant")*(Raw_Data_Daily!$C$2:$C$9999="B. 1-9")*Raw_Data_Daily!$D$2:$D$9999*Raw_Data_Daily!$CK$2:$CK$9999)/SUMIFS(Raw_Data_Daily!$D:$D, Raw_Data_Daily!$B:$B, "Variant", Raw_Data_Daily!$C:$C, "B. 1-9"),"")</f>
        <v>0.3844554151</v>
      </c>
      <c r="H89" s="50">
        <f t="shared" si="79"/>
        <v>-0.08153405338</v>
      </c>
      <c r="I89" s="115">
        <f>IFERROR(SUMPRODUCT((Raw_Data_Daily!$B$2:$B$9999="Control")*(Raw_Data_Daily!$C$2:$C$9999="C. 10-19")*Raw_Data_Daily!$D$2:$D$9999*Raw_Data_Daily!$CK$2:$CK$9999)/SUMIFS(Raw_Data_Daily!$D:$D, Raw_Data_Daily!$B:$B, "Control", Raw_Data_Daily!$C:$C, "C. 10-19"),"")</f>
        <v>0.9313157128</v>
      </c>
      <c r="J89" s="55">
        <f>IFERROR(SUMPRODUCT((Raw_Data_Daily!$B$2:$B$9999="Variant")*(Raw_Data_Daily!$C$2:$C$9999="C. 10-19")*Raw_Data_Daily!$D$2:$D$9999*Raw_Data_Daily!$CK$2:$CK$9999)/SUMIFS(Raw_Data_Daily!$D:$D, Raw_Data_Daily!$B:$B, "Variant", Raw_Data_Daily!$C:$C, "C. 10-19"),"")</f>
        <v>0.8933912197</v>
      </c>
      <c r="K89" s="49">
        <f t="shared" si="80"/>
        <v>-0.04072141442</v>
      </c>
      <c r="L89" s="119">
        <f>IFERROR(SUMPRODUCT((Raw_Data_Daily!$B$2:$B$9999="Control")*(Raw_Data_Daily!$C$2:$C$9999="D. 20-39")*Raw_Data_Daily!$D$2:$D$9999*Raw_Data_Daily!$CK$2:$CK$9999)/SUMIFS(Raw_Data_Daily!$D:$D, Raw_Data_Daily!$B:$B, "Control", Raw_Data_Daily!$C:$C, "D. 20-39"),"")</f>
        <v>1.556942115</v>
      </c>
      <c r="M89" s="55">
        <f>IFERROR(SUMPRODUCT((Raw_Data_Daily!$B$2:$B$9999="Variant")*(Raw_Data_Daily!$C$2:$C$9999="D. 20-39")*Raw_Data_Daily!$D$2:$D$9999*Raw_Data_Daily!$CK$2:$CK$9999)/SUMIFS(Raw_Data_Daily!$D:$D, Raw_Data_Daily!$B:$B, "Variant", Raw_Data_Daily!$C:$C, "D. 20-39"),"")</f>
        <v>1.516682919</v>
      </c>
      <c r="N89" s="50">
        <f t="shared" si="81"/>
        <v>-0.02585786277</v>
      </c>
      <c r="O89" s="115">
        <f>IFERROR(SUMPRODUCT((Raw_Data_Daily!$B$2:$B$9999="Control")*(Raw_Data_Daily!$C$2:$C$9999="E. 40-99")*Raw_Data_Daily!$D$2:$D$9999*Raw_Data_Daily!$CK$2:$CK$9999)/SUMIFS(Raw_Data_Daily!$D:$D, Raw_Data_Daily!$B:$B, "Control", Raw_Data_Daily!$C:$C, "E. 40-99"),"")</f>
        <v>2.751416872</v>
      </c>
      <c r="P89" s="55">
        <f>IFERROR(SUMPRODUCT((Raw_Data_Daily!$B$2:$B$9999="Variant")*(Raw_Data_Daily!$C$2:$C$9999="E. 40-99")*Raw_Data_Daily!$D$2:$D$9999*Raw_Data_Daily!$CK$2:$CK$9999)/SUMIFS(Raw_Data_Daily!$D:$D, Raw_Data_Daily!$B:$B, "Variant", Raw_Data_Daily!$C:$C, "E. 40-99"),"")</f>
        <v>2.629125081</v>
      </c>
      <c r="Q89" s="49">
        <f t="shared" si="82"/>
        <v>-0.04444684217</v>
      </c>
      <c r="R89" s="119">
        <f>IFERROR(SUMPRODUCT((Raw_Data_Daily!$B$2:$B$9999="Control")*(Raw_Data_Daily!$C$2:$C$9999="F. 100+")*Raw_Data_Daily!$D$2:$D$9999*Raw_Data_Daily!$CK$2:$CK$9999)/SUMIFS(Raw_Data_Daily!$D:$D, Raw_Data_Daily!$B:$B, "Control", Raw_Data_Daily!$C:$C, "F. 100+"),"")</f>
        <v>5.473031325</v>
      </c>
      <c r="S89" s="136">
        <f>IFERROR(SUMPRODUCT((Raw_Data_Daily!$B$2:$B$9999="Variant")*(Raw_Data_Daily!$C$2:$C$9999="F. 100+")*Raw_Data_Daily!$D$2:$D$9999*Raw_Data_Daily!$CK$2:$CK$9999)/SUMIFS(Raw_Data_Daily!$D:$D, Raw_Data_Daily!$B:$B, "Variant", Raw_Data_Daily!$C:$C, "F. 100+"),"")</f>
        <v>4.791678503</v>
      </c>
      <c r="T89" s="216">
        <f t="shared" si="83"/>
        <v>-0.1244927685</v>
      </c>
    </row>
    <row r="90" ht="15.75" customHeight="1">
      <c r="A90" s="15"/>
      <c r="B90" s="223" t="s">
        <v>107</v>
      </c>
      <c r="C90" s="115">
        <f>IFERROR(SUMPRODUCT((Raw_Data_Daily!$B$2:$B$9999="Control")*(Raw_Data_Daily!$C$2:$C$9999="A. 0")*Raw_Data_Daily!$D$2:$D$9999*Raw_Data_Daily!$CL$2:$CL$9999)/SUMIFS(Raw_Data_Daily!$D:$D, Raw_Data_Daily!$B:$B, "Control", Raw_Data_Daily!$C:$C, "A. 0"),"")</f>
        <v>0.2218976652</v>
      </c>
      <c r="D90" s="55">
        <f>IFERROR(SUMPRODUCT((Raw_Data_Daily!$B$2:$B$9999="Variant")*(Raw_Data_Daily!$C$2:$C$9999="A. 0")*Raw_Data_Daily!$D$2:$D$9999*Raw_Data_Daily!$CL$2:$CL$9999)/SUMIFS(Raw_Data_Daily!$D:$D, Raw_Data_Daily!$B:$B, "Variant", Raw_Data_Daily!$C:$C, "A. 0"),"")</f>
        <v>0.2625523853</v>
      </c>
      <c r="E90" s="46">
        <f t="shared" si="78"/>
        <v>0.1832138258</v>
      </c>
      <c r="F90" s="119">
        <f>IFERROR(SUMPRODUCT((Raw_Data_Daily!$B$2:$B$9999="Control")*(Raw_Data_Daily!$C$2:$C$9999="B. 1-9")*Raw_Data_Daily!$D$2:$D$9999*Raw_Data_Daily!$CL$2:$CL$9999)/SUMIFS(Raw_Data_Daily!$D:$D, Raw_Data_Daily!$B:$B, "Control", Raw_Data_Daily!$C:$C, "B. 1-9"),"")</f>
        <v>0.422789913</v>
      </c>
      <c r="G90" s="55">
        <f>IFERROR(SUMPRODUCT((Raw_Data_Daily!$B$2:$B$9999="Variant")*(Raw_Data_Daily!$C$2:$C$9999="B. 1-9")*Raw_Data_Daily!$D$2:$D$9999*Raw_Data_Daily!$CL$2:$CL$9999)/SUMIFS(Raw_Data_Daily!$D:$D, Raw_Data_Daily!$B:$B, "Variant", Raw_Data_Daily!$C:$C, "B. 1-9"),"")</f>
        <v>0.4000288028</v>
      </c>
      <c r="H90" s="50">
        <f t="shared" si="79"/>
        <v>-0.05383550897</v>
      </c>
      <c r="I90" s="115">
        <f>IFERROR(SUMPRODUCT((Raw_Data_Daily!$B$2:$B$9999="Control")*(Raw_Data_Daily!$C$2:$C$9999="C. 10-19")*Raw_Data_Daily!$D$2:$D$9999*Raw_Data_Daily!$CL$2:$CL$9999)/SUMIFS(Raw_Data_Daily!$D:$D, Raw_Data_Daily!$B:$B, "Control", Raw_Data_Daily!$C:$C, "C. 10-19"),"")</f>
        <v>0.9604215643</v>
      </c>
      <c r="J90" s="55">
        <f>IFERROR(SUMPRODUCT((Raw_Data_Daily!$B$2:$B$9999="Variant")*(Raw_Data_Daily!$C$2:$C$9999="C. 10-19")*Raw_Data_Daily!$D$2:$D$9999*Raw_Data_Daily!$CL$2:$CL$9999)/SUMIFS(Raw_Data_Daily!$D:$D, Raw_Data_Daily!$B:$B, "Variant", Raw_Data_Daily!$C:$C, "C. 10-19"),"")</f>
        <v>0.9064890505</v>
      </c>
      <c r="K90" s="49">
        <f t="shared" si="80"/>
        <v>-0.05615504253</v>
      </c>
      <c r="L90" s="119">
        <f>IFERROR(SUMPRODUCT((Raw_Data_Daily!$B$2:$B$9999="Control")*(Raw_Data_Daily!$C$2:$C$9999="D. 20-39")*Raw_Data_Daily!$D$2:$D$9999*Raw_Data_Daily!$CL$2:$CL$9999)/SUMIFS(Raw_Data_Daily!$D:$D, Raw_Data_Daily!$B:$B, "Control", Raw_Data_Daily!$C:$C, "D. 20-39"),"")</f>
        <v>1.642360637</v>
      </c>
      <c r="M90" s="55">
        <f>IFERROR(SUMPRODUCT((Raw_Data_Daily!$B$2:$B$9999="Variant")*(Raw_Data_Daily!$C$2:$C$9999="D. 20-39")*Raw_Data_Daily!$D$2:$D$9999*Raw_Data_Daily!$CL$2:$CL$9999)/SUMIFS(Raw_Data_Daily!$D:$D, Raw_Data_Daily!$B:$B, "Variant", Raw_Data_Daily!$C:$C, "D. 20-39"),"")</f>
        <v>1.537889357</v>
      </c>
      <c r="N90" s="50">
        <f t="shared" si="81"/>
        <v>-0.06361043874</v>
      </c>
      <c r="O90" s="115">
        <f>IFERROR(SUMPRODUCT((Raw_Data_Daily!$B$2:$B$9999="Control")*(Raw_Data_Daily!$C$2:$C$9999="E. 40-99")*Raw_Data_Daily!$D$2:$D$9999*Raw_Data_Daily!$CL$2:$CL$9999)/SUMIFS(Raw_Data_Daily!$D:$D, Raw_Data_Daily!$B:$B, "Control", Raw_Data_Daily!$C:$C, "E. 40-99"),"")</f>
        <v>3.107213383</v>
      </c>
      <c r="P90" s="55">
        <f>IFERROR(SUMPRODUCT((Raw_Data_Daily!$B$2:$B$9999="Variant")*(Raw_Data_Daily!$C$2:$C$9999="E. 40-99")*Raw_Data_Daily!$D$2:$D$9999*Raw_Data_Daily!$CL$2:$CL$9999)/SUMIFS(Raw_Data_Daily!$D:$D, Raw_Data_Daily!$B:$B, "Variant", Raw_Data_Daily!$C:$C, "E. 40-99"),"")</f>
        <v>2.821756796</v>
      </c>
      <c r="Q90" s="49">
        <f t="shared" si="82"/>
        <v>-0.09186900023</v>
      </c>
      <c r="R90" s="119">
        <f>IFERROR(SUMPRODUCT((Raw_Data_Daily!$B$2:$B$9999="Control")*(Raw_Data_Daily!$C$2:$C$9999="F. 100+")*Raw_Data_Daily!$D$2:$D$9999*Raw_Data_Daily!$CL$2:$CL$9999)/SUMIFS(Raw_Data_Daily!$D:$D, Raw_Data_Daily!$B:$B, "Control", Raw_Data_Daily!$C:$C, "F. 100+"),"")</f>
        <v>7.181513436</v>
      </c>
      <c r="S90" s="136">
        <f>IFERROR(SUMPRODUCT((Raw_Data_Daily!$B$2:$B$9999="Variant")*(Raw_Data_Daily!$C$2:$C$9999="F. 100+")*Raw_Data_Daily!$D$2:$D$9999*Raw_Data_Daily!$CL$2:$CL$9999)/SUMIFS(Raw_Data_Daily!$D:$D, Raw_Data_Daily!$B:$B, "Variant", Raw_Data_Daily!$C:$C, "F. 100+"),"")</f>
        <v>5.126388399</v>
      </c>
      <c r="T90" s="216">
        <f t="shared" si="83"/>
        <v>-0.2861687937</v>
      </c>
    </row>
    <row r="91" ht="15.75" customHeight="1">
      <c r="A91" s="15"/>
      <c r="B91" s="223" t="s">
        <v>108</v>
      </c>
      <c r="C91" s="115">
        <f>IFERROR(SUMPRODUCT((Raw_Data_Daily!$B$2:$B$9999="Control")*(Raw_Data_Daily!$C$2:$C$9999="A. 0")*Raw_Data_Daily!$D$2:$D$9999*(Raw_Data_Daily!$CI$2:$CI$9999-Raw_Data_Daily!$CL$2:$CL$9999))/SUMIFS(Raw_Data_Daily!$D:$D, Raw_Data_Daily!$B:$B, "Control", Raw_Data_Daily!$C:$C, "A. 0"),"")</f>
        <v>0.08824784922</v>
      </c>
      <c r="D91" s="55">
        <f>IFERROR(SUMPRODUCT((Raw_Data_Daily!$B$2:$B$9999="Variant")*(Raw_Data_Daily!$C$2:$C$9999="A. 0")*Raw_Data_Daily!$D$2:$D$9999*(Raw_Data_Daily!$CI$2:$CI$9999-Raw_Data_Daily!$CL$2:$CL$9999))/SUMIFS(Raw_Data_Daily!$D:$D, Raw_Data_Daily!$B:$B, "Variant", Raw_Data_Daily!$C:$C, "A. 0"),"")</f>
        <v>0.08738002819</v>
      </c>
      <c r="E91" s="35">
        <f t="shared" si="78"/>
        <v>-0.009833905688</v>
      </c>
      <c r="F91" s="119">
        <f>IFERROR(SUMPRODUCT((Raw_Data_Daily!$B$2:$B$9999="Control")*(Raw_Data_Daily!$C$2:$C$9999="B. 1-9")*Raw_Data_Daily!$D$2:$D$9999*(Raw_Data_Daily!$CI$2:$CI$9999-Raw_Data_Daily!$CL$2:$CL$9999))/SUMIFS(Raw_Data_Daily!$D:$D, Raw_Data_Daily!$B:$B, "Control", Raw_Data_Daily!$C:$C, "B. 1-9"),"")</f>
        <v>0.002352797685</v>
      </c>
      <c r="G91" s="55">
        <f>IFERROR(SUMPRODUCT((Raw_Data_Daily!$B$2:$B$9999="Variant")*(Raw_Data_Daily!$C$2:$C$9999="B. 1-9")*Raw_Data_Daily!$D$2:$D$9999*(Raw_Data_Daily!$CI$2:$CI$9999-Raw_Data_Daily!$CL$2:$CL$9999))/SUMIFS(Raw_Data_Daily!$D:$D, Raw_Data_Daily!$B:$B, "Variant", Raw_Data_Daily!$C:$C, "B. 1-9"),"")</f>
        <v>-0.009270166973</v>
      </c>
      <c r="H91" s="50">
        <f t="shared" si="79"/>
        <v>-4.940061243</v>
      </c>
      <c r="I91" s="115">
        <f>IFERROR(SUMPRODUCT((Raw_Data_Daily!$B$2:$B$9999="Control")*(Raw_Data_Daily!$C$2:$C$9999="C. 10-19")*Raw_Data_Daily!$D$2:$D$9999*(Raw_Data_Daily!$CI$2:$CI$9999-Raw_Data_Daily!$CL$2:$CL$9999))/SUMIFS(Raw_Data_Daily!$D:$D, Raw_Data_Daily!$B:$B, "Control", Raw_Data_Daily!$C:$C, "C. 10-19"),"")</f>
        <v>-0.01049911078</v>
      </c>
      <c r="J91" s="55">
        <f>IFERROR(SUMPRODUCT((Raw_Data_Daily!$B$2:$B$9999="Variant")*(Raw_Data_Daily!$C$2:$C$9999="C. 10-19")*Raw_Data_Daily!$D$2:$D$9999*(Raw_Data_Daily!$CI$2:$CI$9999-Raw_Data_Daily!$CL$2:$CL$9999))/SUMIFS(Raw_Data_Daily!$D:$D, Raw_Data_Daily!$B:$B, "Variant", Raw_Data_Daily!$C:$C, "C. 10-19"),"")</f>
        <v>0.003746783289</v>
      </c>
      <c r="K91" s="49">
        <f t="shared" si="80"/>
        <v>1.356866726</v>
      </c>
      <c r="L91" s="119">
        <f>IFERROR(SUMPRODUCT((Raw_Data_Daily!$B$2:$B$9999="Control")*(Raw_Data_Daily!$C$2:$C$9999="D. 20-39")*Raw_Data_Daily!$D$2:$D$9999*(Raw_Data_Daily!$CI$2:$CI$9999-Raw_Data_Daily!$CL$2:$CL$9999))/SUMIFS(Raw_Data_Daily!$D:$D, Raw_Data_Daily!$B:$B, "Control", Raw_Data_Daily!$C:$C, "D. 20-39"),"")</f>
        <v>-0.04666529428</v>
      </c>
      <c r="M91" s="55">
        <f>IFERROR(SUMPRODUCT((Raw_Data_Daily!$B$2:$B$9999="Variant")*(Raw_Data_Daily!$C$2:$C$9999="D. 20-39")*Raw_Data_Daily!$D$2:$D$9999*(Raw_Data_Daily!$CI$2:$CI$9999-Raw_Data_Daily!$CL$2:$CL$9999))/SUMIFS(Raw_Data_Daily!$D:$D, Raw_Data_Daily!$B:$B, "Variant", Raw_Data_Daily!$C:$C, "D. 20-39"),"")</f>
        <v>0.01225113288</v>
      </c>
      <c r="N91" s="50">
        <f t="shared" si="81"/>
        <v>1.262531997</v>
      </c>
      <c r="O91" s="115">
        <f>IFERROR(SUMPRODUCT((Raw_Data_Daily!$B$2:$B$9999="Control")*(Raw_Data_Daily!$C$2:$C$9999="E. 40-99")*Raw_Data_Daily!$D$2:$D$9999*(Raw_Data_Daily!$CI$2:$CI$9999-Raw_Data_Daily!$CL$2:$CL$9999))/SUMIFS(Raw_Data_Daily!$D:$D, Raw_Data_Daily!$B:$B, "Control", Raw_Data_Daily!$C:$C, "E. 40-99"),"")</f>
        <v>-0.2660774966</v>
      </c>
      <c r="P91" s="55">
        <f>IFERROR(SUMPRODUCT((Raw_Data_Daily!$B$2:$B$9999="Variant")*(Raw_Data_Daily!$C$2:$C$9999="E. 40-99")*Raw_Data_Daily!$D$2:$D$9999*(Raw_Data_Daily!$CI$2:$CI$9999-Raw_Data_Daily!$CL$2:$CL$9999))/SUMIFS(Raw_Data_Daily!$D:$D, Raw_Data_Daily!$B:$B, "Variant", Raw_Data_Daily!$C:$C, "E. 40-99"),"")</f>
        <v>-0.1068263419</v>
      </c>
      <c r="Q91" s="49">
        <f t="shared" si="82"/>
        <v>0.5985141801</v>
      </c>
      <c r="R91" s="119">
        <f>IFERROR(SUMPRODUCT((Raw_Data_Daily!$B$2:$B$9999="Control")*(Raw_Data_Daily!$C$2:$C$9999="F. 100+")*Raw_Data_Daily!$D$2:$D$9999*(Raw_Data_Daily!$CI$2:$CI$9999-Raw_Data_Daily!$CL$2:$CL$9999))/SUMIFS(Raw_Data_Daily!$D:$D, Raw_Data_Daily!$B:$B, "Control", Raw_Data_Daily!$C:$C, "F. 100+"),"")</f>
        <v>-1.496243862</v>
      </c>
      <c r="S91" s="55">
        <f>IFERROR(SUMPRODUCT((Raw_Data_Daily!$B$2:$B$9999="Variant")*(Raw_Data_Daily!$C$2:$C$9999="F. 100+")*Raw_Data_Daily!$D$2:$D$9999*(Raw_Data_Daily!$CI$2:$CI$9999-Raw_Data_Daily!$CL$2:$CL$9999))/SUMIFS(Raw_Data_Daily!$D:$D, Raw_Data_Daily!$B:$B, "Variant", Raw_Data_Daily!$C:$C, "F. 100+"),"")</f>
        <v>-0.1696041996</v>
      </c>
      <c r="T91" s="50">
        <f t="shared" si="83"/>
        <v>0.8866466865</v>
      </c>
    </row>
    <row r="92" ht="15.75" customHeight="1">
      <c r="A92" s="195" t="s">
        <v>109</v>
      </c>
      <c r="B92" s="27"/>
      <c r="C92" s="28"/>
      <c r="D92" s="12"/>
      <c r="E92" s="29"/>
      <c r="F92" s="30"/>
      <c r="G92" s="12"/>
      <c r="H92" s="27"/>
      <c r="I92" s="28"/>
      <c r="J92" s="12"/>
      <c r="K92" s="29"/>
      <c r="L92" s="30"/>
      <c r="M92" s="12"/>
      <c r="N92" s="27"/>
      <c r="O92" s="28"/>
      <c r="P92" s="12"/>
      <c r="Q92" s="29"/>
      <c r="R92" s="30"/>
      <c r="S92" s="12"/>
      <c r="T92" s="27"/>
    </row>
    <row r="93" ht="15.75" customHeight="1">
      <c r="A93" s="15"/>
      <c r="B93" s="223" t="s">
        <v>110</v>
      </c>
      <c r="C93" s="115">
        <f>IFERROR(SUMPRODUCT((Raw_Data_Daily!$B$2:$B$9999="Control")*(Raw_Data_Daily!$C$2:$C$9999="A. 0")*Raw_Data_Daily!$D$2:$D$9999*Raw_Data_Daily!$CA$2:$CA$9999)/SUMIFS(Raw_Data_Daily!$D:$D, Raw_Data_Daily!$B:$B, "Control", Raw_Data_Daily!$C:$C, "A. 0"),"")</f>
        <v>0.1627240684</v>
      </c>
      <c r="D93" s="55">
        <f>IFERROR(SUMPRODUCT((Raw_Data_Daily!$B$2:$B$9999="Variant")*(Raw_Data_Daily!$C$2:$C$9999="A. 0")*Raw_Data_Daily!$D$2:$D$9999*Raw_Data_Daily!$CA$2:$CA$9999)/SUMIFS(Raw_Data_Daily!$D:$D, Raw_Data_Daily!$B:$B, "Variant", Raw_Data_Daily!$C:$C, "A. 0"),"")</f>
        <v>0.1983030494</v>
      </c>
      <c r="E93" s="46">
        <f t="shared" ref="E93:E97" si="84">IFERROR((D93-C93)/ABS(C93),"")</f>
        <v>0.2186460887</v>
      </c>
      <c r="F93" s="119">
        <f>IFERROR(SUMPRODUCT((Raw_Data_Daily!$B$2:$B$9999="Control")*(Raw_Data_Daily!$C$2:$C$9999="B. 1-9")*Raw_Data_Daily!$D$2:$D$9999*Raw_Data_Daily!$CA$2:$CA$9999)/SUMIFS(Raw_Data_Daily!$D:$D, Raw_Data_Daily!$B:$B, "Control", Raw_Data_Daily!$C:$C, "B. 1-9"),"")</f>
        <v>0.2375563676</v>
      </c>
      <c r="G93" s="55">
        <f>IFERROR(SUMPRODUCT((Raw_Data_Daily!$B$2:$B$9999="Variant")*(Raw_Data_Daily!$C$2:$C$9999="B. 1-9")*Raw_Data_Daily!$D$2:$D$9999*Raw_Data_Daily!$CA$2:$CA$9999)/SUMIFS(Raw_Data_Daily!$D:$D, Raw_Data_Daily!$B:$B, "Variant", Raw_Data_Daily!$C:$C, "B. 1-9"),"")</f>
        <v>0.167096852</v>
      </c>
      <c r="H93" s="50">
        <f t="shared" ref="H93:H97" si="85">IFERROR((G93-F93)/ABS(F93),"")</f>
        <v>-0.29660125</v>
      </c>
      <c r="I93" s="115">
        <f>IFERROR(SUMPRODUCT((Raw_Data_Daily!$B$2:$B$9999="Control")*(Raw_Data_Daily!$C$2:$C$9999="C. 10-19")*Raw_Data_Daily!$D$2:$D$9999*Raw_Data_Daily!$CA$2:$CA$9999)/SUMIFS(Raw_Data_Daily!$D:$D, Raw_Data_Daily!$B:$B, "Control", Raw_Data_Daily!$C:$C, "C. 10-19"),"")</f>
        <v>0.5187709391</v>
      </c>
      <c r="J93" s="55">
        <f>IFERROR(SUMPRODUCT((Raw_Data_Daily!$B$2:$B$9999="Variant")*(Raw_Data_Daily!$C$2:$C$9999="C. 10-19")*Raw_Data_Daily!$D$2:$D$9999*Raw_Data_Daily!$CA$2:$CA$9999)/SUMIFS(Raw_Data_Daily!$D:$D, Raw_Data_Daily!$B:$B, "Variant", Raw_Data_Daily!$C:$C, "C. 10-19"),"")</f>
        <v>0.4201651549</v>
      </c>
      <c r="K93" s="49">
        <f t="shared" ref="K93:K97" si="86">IFERROR((J93-I93)/ABS(I93),"")</f>
        <v>-0.1900757672</v>
      </c>
      <c r="L93" s="119">
        <f>IFERROR(SUMPRODUCT((Raw_Data_Daily!$B$2:$B$9999="Control")*(Raw_Data_Daily!$C$2:$C$9999="D. 20-39")*Raw_Data_Daily!$D$2:$D$9999*Raw_Data_Daily!$CA$2:$CA$9999)/SUMIFS(Raw_Data_Daily!$D:$D, Raw_Data_Daily!$B:$B, "Control", Raw_Data_Daily!$C:$C, "D. 20-39"),"")</f>
        <v>0.9151657845</v>
      </c>
      <c r="M93" s="55">
        <f>IFERROR(SUMPRODUCT((Raw_Data_Daily!$B$2:$B$9999="Variant")*(Raw_Data_Daily!$C$2:$C$9999="D. 20-39")*Raw_Data_Daily!$D$2:$D$9999*Raw_Data_Daily!$CA$2:$CA$9999)/SUMIFS(Raw_Data_Daily!$D:$D, Raw_Data_Daily!$B:$B, "Variant", Raw_Data_Daily!$C:$C, "D. 20-39"),"")</f>
        <v>0.7466441729</v>
      </c>
      <c r="N93" s="50">
        <f t="shared" ref="N93:N97" si="87">IFERROR((M93-L93)/ABS(L93),"")</f>
        <v>-0.1841432607</v>
      </c>
      <c r="O93" s="115">
        <f>IFERROR(SUMPRODUCT((Raw_Data_Daily!$B$2:$B$9999="Control")*(Raw_Data_Daily!$C$2:$C$9999="E. 40-99")*Raw_Data_Daily!$D$2:$D$9999*Raw_Data_Daily!$CA$2:$CA$9999)/SUMIFS(Raw_Data_Daily!$D:$D, Raw_Data_Daily!$B:$B, "Control", Raw_Data_Daily!$C:$C, "E. 40-99"),"")</f>
        <v>1.873018521</v>
      </c>
      <c r="P93" s="55">
        <f>IFERROR(SUMPRODUCT((Raw_Data_Daily!$B$2:$B$9999="Variant")*(Raw_Data_Daily!$C$2:$C$9999="E. 40-99")*Raw_Data_Daily!$D$2:$D$9999*Raw_Data_Daily!$CA$2:$CA$9999)/SUMIFS(Raw_Data_Daily!$D:$D, Raw_Data_Daily!$B:$B, "Variant", Raw_Data_Daily!$C:$C, "E. 40-99"),"")</f>
        <v>1.359013136</v>
      </c>
      <c r="Q93" s="49">
        <f t="shared" ref="Q93:Q97" si="88">IFERROR((P93-O93)/ABS(O93),"")</f>
        <v>-0.2744262157</v>
      </c>
      <c r="R93" s="119">
        <f>IFERROR(SUMPRODUCT((Raw_Data_Daily!$B$2:$B$9999="Control")*(Raw_Data_Daily!$C$2:$C$9999="F. 100+")*Raw_Data_Daily!$D$2:$D$9999*Raw_Data_Daily!$CA$2:$CA$9999)/SUMIFS(Raw_Data_Daily!$D:$D, Raw_Data_Daily!$B:$B, "Control", Raw_Data_Daily!$C:$C, "F. 100+"),"")</f>
        <v>4.054254379</v>
      </c>
      <c r="S93" s="136">
        <f>IFERROR(SUMPRODUCT((Raw_Data_Daily!$B$2:$B$9999="Variant")*(Raw_Data_Daily!$C$2:$C$9999="F. 100+")*Raw_Data_Daily!$D$2:$D$9999*Raw_Data_Daily!$CA$2:$CA$9999)/SUMIFS(Raw_Data_Daily!$D:$D, Raw_Data_Daily!$B:$B, "Variant", Raw_Data_Daily!$C:$C, "F. 100+"),"")</f>
        <v>2.636609896</v>
      </c>
      <c r="T93" s="216">
        <f t="shared" ref="T93:T97" si="89">IFERROR((S93-R93)/ABS(R93),"")</f>
        <v>-0.3496683608</v>
      </c>
    </row>
    <row r="94" ht="15.75" customHeight="1">
      <c r="A94" s="15"/>
      <c r="B94" s="223" t="s">
        <v>111</v>
      </c>
      <c r="C94" s="115">
        <f>IFERROR(SUMPRODUCT((Raw_Data_Daily!$B$2:$B$9999="Control")*(Raw_Data_Daily!$C$2:$C$9999="A. 0")*Raw_Data_Daily!$D$2:$D$9999*Raw_Data_Daily!$CB$2:$CB$9999)/SUMIFS(Raw_Data_Daily!$D:$D, Raw_Data_Daily!$B:$B, "Control", Raw_Data_Daily!$C:$C, "A. 0"),"")</f>
        <v>0.01378553964</v>
      </c>
      <c r="D94" s="55">
        <f>IFERROR(SUMPRODUCT((Raw_Data_Daily!$B$2:$B$9999="Variant")*(Raw_Data_Daily!$C$2:$C$9999="A. 0")*Raw_Data_Daily!$D$2:$D$9999*Raw_Data_Daily!$CB$2:$CB$9999)/SUMIFS(Raw_Data_Daily!$D:$D, Raw_Data_Daily!$B:$B, "Variant", Raw_Data_Daily!$C:$C, "A. 0"),"")</f>
        <v>0.01419425079</v>
      </c>
      <c r="E94" s="46">
        <f t="shared" si="84"/>
        <v>0.02964781597</v>
      </c>
      <c r="F94" s="119">
        <f>IFERROR(SUMPRODUCT((Raw_Data_Daily!$B$2:$B$9999="Control")*(Raw_Data_Daily!$C$2:$C$9999="B. 1-9")*Raw_Data_Daily!$D$2:$D$9999*Raw_Data_Daily!$CB$2:$CB$9999)/SUMIFS(Raw_Data_Daily!$D:$D, Raw_Data_Daily!$B:$B, "Control", Raw_Data_Daily!$C:$C, "B. 1-9"),"")</f>
        <v>0.003865944889</v>
      </c>
      <c r="G94" s="55">
        <f>IFERROR(SUMPRODUCT((Raw_Data_Daily!$B$2:$B$9999="Variant")*(Raw_Data_Daily!$C$2:$C$9999="B. 1-9")*Raw_Data_Daily!$D$2:$D$9999*Raw_Data_Daily!$CB$2:$CB$9999)/SUMIFS(Raw_Data_Daily!$D:$D, Raw_Data_Daily!$B:$B, "Variant", Raw_Data_Daily!$C:$C, "B. 1-9"),"")</f>
        <v>0.003533444393</v>
      </c>
      <c r="H94" s="50">
        <f t="shared" si="85"/>
        <v>-0.08600756233</v>
      </c>
      <c r="I94" s="115">
        <f>IFERROR(SUMPRODUCT((Raw_Data_Daily!$B$2:$B$9999="Control")*(Raw_Data_Daily!$C$2:$C$9999="C. 10-19")*Raw_Data_Daily!$D$2:$D$9999*Raw_Data_Daily!$CB$2:$CB$9999)/SUMIFS(Raw_Data_Daily!$D:$D, Raw_Data_Daily!$B:$B, "Control", Raw_Data_Daily!$C:$C, "C. 10-19"),"")</f>
        <v>0.01358021419</v>
      </c>
      <c r="J94" s="55">
        <f>IFERROR(SUMPRODUCT((Raw_Data_Daily!$B$2:$B$9999="Variant")*(Raw_Data_Daily!$C$2:$C$9999="C. 10-19")*Raw_Data_Daily!$D$2:$D$9999*Raw_Data_Daily!$CB$2:$CB$9999)/SUMIFS(Raw_Data_Daily!$D:$D, Raw_Data_Daily!$B:$B, "Variant", Raw_Data_Daily!$C:$C, "C. 10-19"),"")</f>
        <v>0.01263142082</v>
      </c>
      <c r="K94" s="49">
        <f t="shared" si="86"/>
        <v>-0.06986586158</v>
      </c>
      <c r="L94" s="119">
        <f>IFERROR(SUMPRODUCT((Raw_Data_Daily!$B$2:$B$9999="Control")*(Raw_Data_Daily!$C$2:$C$9999="D. 20-39")*Raw_Data_Daily!$D$2:$D$9999*Raw_Data_Daily!$CB$2:$CB$9999)/SUMIFS(Raw_Data_Daily!$D:$D, Raw_Data_Daily!$B:$B, "Control", Raw_Data_Daily!$C:$C, "D. 20-39"),"")</f>
        <v>0.0309505352</v>
      </c>
      <c r="M94" s="55">
        <f>IFERROR(SUMPRODUCT((Raw_Data_Daily!$B$2:$B$9999="Variant")*(Raw_Data_Daily!$C$2:$C$9999="D. 20-39")*Raw_Data_Daily!$D$2:$D$9999*Raw_Data_Daily!$CB$2:$CB$9999)/SUMIFS(Raw_Data_Daily!$D:$D, Raw_Data_Daily!$B:$B, "Variant", Raw_Data_Daily!$C:$C, "D. 20-39"),"")</f>
        <v>0.02594908306</v>
      </c>
      <c r="N94" s="50">
        <f t="shared" si="87"/>
        <v>-0.1615950131</v>
      </c>
      <c r="O94" s="115">
        <f>IFERROR(SUMPRODUCT((Raw_Data_Daily!$B$2:$B$9999="Control")*(Raw_Data_Daily!$C$2:$C$9999="E. 40-99")*Raw_Data_Daily!$D$2:$D$9999*Raw_Data_Daily!$CB$2:$CB$9999)/SUMIFS(Raw_Data_Daily!$D:$D, Raw_Data_Daily!$B:$B, "Control", Raw_Data_Daily!$C:$C, "E. 40-99"),"")</f>
        <v>0.07948394412</v>
      </c>
      <c r="P94" s="55">
        <f>IFERROR(SUMPRODUCT((Raw_Data_Daily!$B$2:$B$9999="Variant")*(Raw_Data_Daily!$C$2:$C$9999="E. 40-99")*Raw_Data_Daily!$D$2:$D$9999*Raw_Data_Daily!$CB$2:$CB$9999)/SUMIFS(Raw_Data_Daily!$D:$D, Raw_Data_Daily!$B:$B, "Variant", Raw_Data_Daily!$C:$C, "E. 40-99"),"")</f>
        <v>0.0741693619</v>
      </c>
      <c r="Q94" s="49">
        <f t="shared" si="88"/>
        <v>-0.06686359472</v>
      </c>
      <c r="R94" s="119">
        <f>IFERROR(SUMPRODUCT((Raw_Data_Daily!$B$2:$B$9999="Control")*(Raw_Data_Daily!$C$2:$C$9999="F. 100+")*Raw_Data_Daily!$D$2:$D$9999*Raw_Data_Daily!$CB$2:$CB$9999)/SUMIFS(Raw_Data_Daily!$D:$D, Raw_Data_Daily!$B:$B, "Control", Raw_Data_Daily!$C:$C, "F. 100+"),"")</f>
        <v>0.1830075599</v>
      </c>
      <c r="S94" s="136">
        <f>IFERROR(SUMPRODUCT((Raw_Data_Daily!$B$2:$B$9999="Variant")*(Raw_Data_Daily!$C$2:$C$9999="F. 100+")*Raw_Data_Daily!$D$2:$D$9999*Raw_Data_Daily!$CB$2:$CB$9999)/SUMIFS(Raw_Data_Daily!$D:$D, Raw_Data_Daily!$B:$B, "Variant", Raw_Data_Daily!$C:$C, "F. 100+"),"")</f>
        <v>0.1251540956</v>
      </c>
      <c r="T94" s="216">
        <f t="shared" si="89"/>
        <v>-0.3161260895</v>
      </c>
    </row>
    <row r="95" ht="15.75" customHeight="1">
      <c r="A95" s="15"/>
      <c r="B95" s="223" t="s">
        <v>112</v>
      </c>
      <c r="C95" s="115">
        <f>IFERROR(SUMPRODUCT((Raw_Data_Daily!$B$2:$B$9999="Control")*(Raw_Data_Daily!$C$2:$C$9999="A. 0")*Raw_Data_Daily!$D$2:$D$9999*Raw_Data_Daily!$CC$2:$CC$9999)/SUMIFS(Raw_Data_Daily!$D:$D, Raw_Data_Daily!$B:$B, "Control", Raw_Data_Daily!$C:$C, "A. 0"),"")</f>
        <v>0.1489385287</v>
      </c>
      <c r="D95" s="55">
        <f>IFERROR(SUMPRODUCT((Raw_Data_Daily!$B$2:$B$9999="Variant")*(Raw_Data_Daily!$C$2:$C$9999="A. 0")*Raw_Data_Daily!$D$2:$D$9999*Raw_Data_Daily!$CC$2:$CC$9999)/SUMIFS(Raw_Data_Daily!$D:$D, Raw_Data_Daily!$B:$B, "Variant", Raw_Data_Daily!$C:$C, "A. 0"),"")</f>
        <v>0.1841472921</v>
      </c>
      <c r="E95" s="46">
        <f t="shared" si="84"/>
        <v>0.2363979535</v>
      </c>
      <c r="F95" s="119">
        <f>IFERROR(SUMPRODUCT((Raw_Data_Daily!$B$2:$B$9999="Control")*(Raw_Data_Daily!$C$2:$C$9999="B. 1-9")*Raw_Data_Daily!$D$2:$D$9999*Raw_Data_Daily!$CC$2:$CC$9999)/SUMIFS(Raw_Data_Daily!$D:$D, Raw_Data_Daily!$B:$B, "Control", Raw_Data_Daily!$C:$C, "B. 1-9"),"")</f>
        <v>0.2336904227</v>
      </c>
      <c r="G95" s="55">
        <f>IFERROR(SUMPRODUCT((Raw_Data_Daily!$B$2:$B$9999="Variant")*(Raw_Data_Daily!$C$2:$C$9999="B. 1-9")*Raw_Data_Daily!$D$2:$D$9999*Raw_Data_Daily!$CC$2:$CC$9999)/SUMIFS(Raw_Data_Daily!$D:$D, Raw_Data_Daily!$B:$B, "Variant", Raw_Data_Daily!$C:$C, "B. 1-9"),"")</f>
        <v>0.1635491134</v>
      </c>
      <c r="H95" s="50">
        <f t="shared" si="85"/>
        <v>-0.3001462724</v>
      </c>
      <c r="I95" s="115">
        <f>IFERROR(SUMPRODUCT((Raw_Data_Daily!$B$2:$B$9999="Control")*(Raw_Data_Daily!$C$2:$C$9999="C. 10-19")*Raw_Data_Daily!$D$2:$D$9999*Raw_Data_Daily!$CC$2:$CC$9999)/SUMIFS(Raw_Data_Daily!$D:$D, Raw_Data_Daily!$B:$B, "Control", Raw_Data_Daily!$C:$C, "C. 10-19"),"")</f>
        <v>0.5051767954</v>
      </c>
      <c r="J95" s="55">
        <f>IFERROR(SUMPRODUCT((Raw_Data_Daily!$B$2:$B$9999="Variant")*(Raw_Data_Daily!$C$2:$C$9999="C. 10-19")*Raw_Data_Daily!$D$2:$D$9999*Raw_Data_Daily!$CC$2:$CC$9999)/SUMIFS(Raw_Data_Daily!$D:$D, Raw_Data_Daily!$B:$B, "Variant", Raw_Data_Daily!$C:$C, "C. 10-19"),"")</f>
        <v>0.4075478679</v>
      </c>
      <c r="K95" s="49">
        <f t="shared" si="86"/>
        <v>-0.1932569516</v>
      </c>
      <c r="L95" s="119">
        <f>IFERROR(SUMPRODUCT((Raw_Data_Daily!$B$2:$B$9999="Control")*(Raw_Data_Daily!$C$2:$C$9999="D. 20-39")*Raw_Data_Daily!$D$2:$D$9999*Raw_Data_Daily!$CC$2:$CC$9999)/SUMIFS(Raw_Data_Daily!$D:$D, Raw_Data_Daily!$B:$B, "Control", Raw_Data_Daily!$C:$C, "D. 20-39"),"")</f>
        <v>0.8841598151</v>
      </c>
      <c r="M95" s="55">
        <f>IFERROR(SUMPRODUCT((Raw_Data_Daily!$B$2:$B$9999="Variant")*(Raw_Data_Daily!$C$2:$C$9999="D. 20-39")*Raw_Data_Daily!$D$2:$D$9999*Raw_Data_Daily!$CC$2:$CC$9999)/SUMIFS(Raw_Data_Daily!$D:$D, Raw_Data_Daily!$B:$B, "Variant", Raw_Data_Daily!$C:$C, "D. 20-39"),"")</f>
        <v>0.7207395287</v>
      </c>
      <c r="N95" s="50">
        <f t="shared" si="87"/>
        <v>-0.1848311624</v>
      </c>
      <c r="O95" s="115">
        <f>IFERROR(SUMPRODUCT((Raw_Data_Daily!$B$2:$B$9999="Control")*(Raw_Data_Daily!$C$2:$C$9999="E. 40-99")*Raw_Data_Daily!$D$2:$D$9999*Raw_Data_Daily!$CC$2:$CC$9999)/SUMIFS(Raw_Data_Daily!$D:$D, Raw_Data_Daily!$B:$B, "Control", Raw_Data_Daily!$C:$C, "E. 40-99"),"")</f>
        <v>1.793534577</v>
      </c>
      <c r="P95" s="55">
        <f>IFERROR(SUMPRODUCT((Raw_Data_Daily!$B$2:$B$9999="Variant")*(Raw_Data_Daily!$C$2:$C$9999="E. 40-99")*Raw_Data_Daily!$D$2:$D$9999*Raw_Data_Daily!$CC$2:$CC$9999)/SUMIFS(Raw_Data_Daily!$D:$D, Raw_Data_Daily!$B:$B, "Variant", Raw_Data_Daily!$C:$C, "E. 40-99"),"")</f>
        <v>1.284837491</v>
      </c>
      <c r="Q95" s="49">
        <f t="shared" si="88"/>
        <v>-0.2836282568</v>
      </c>
      <c r="R95" s="119">
        <f>IFERROR(SUMPRODUCT((Raw_Data_Daily!$B$2:$B$9999="Control")*(Raw_Data_Daily!$C$2:$C$9999="F. 100+")*Raw_Data_Daily!$D$2:$D$9999*Raw_Data_Daily!$CC$2:$CC$9999)/SUMIFS(Raw_Data_Daily!$D:$D, Raw_Data_Daily!$B:$B, "Control", Raw_Data_Daily!$C:$C, "F. 100+"),"")</f>
        <v>3.871275599</v>
      </c>
      <c r="S95" s="136">
        <f>IFERROR(SUMPRODUCT((Raw_Data_Daily!$B$2:$B$9999="Variant")*(Raw_Data_Daily!$C$2:$C$9999="F. 100+")*Raw_Data_Daily!$D$2:$D$9999*Raw_Data_Daily!$CC$2:$CC$9999)/SUMIFS(Raw_Data_Daily!$D:$D, Raw_Data_Daily!$B:$B, "Variant", Raw_Data_Daily!$C:$C, "F. 100+"),"")</f>
        <v>2.511419002</v>
      </c>
      <c r="T95" s="216">
        <f t="shared" si="89"/>
        <v>-0.3512683512</v>
      </c>
    </row>
    <row r="96" ht="15.75" customHeight="1">
      <c r="A96" s="15"/>
      <c r="B96" s="223" t="s">
        <v>113</v>
      </c>
      <c r="C96" s="115">
        <f>IFERROR(SUMPRODUCT((Raw_Data_Daily!$B$2:$B$9999="Control")*(Raw_Data_Daily!$C$2:$C$9999="A. 0")*Raw_Data_Daily!$D$2:$D$9999*Raw_Data_Daily!$CD$2:$CD$9999)/SUMIFS(Raw_Data_Daily!$D:$D, Raw_Data_Daily!$B:$B, "Control", Raw_Data_Daily!$C:$C, "A. 0"),"")</f>
        <v>0.1353867756</v>
      </c>
      <c r="D96" s="55">
        <f>IFERROR(SUMPRODUCT((Raw_Data_Daily!$B$2:$B$9999="Variant")*(Raw_Data_Daily!$C$2:$C$9999="A. 0")*Raw_Data_Daily!$D$2:$D$9999*Raw_Data_Daily!$CD$2:$CD$9999)/SUMIFS(Raw_Data_Daily!$D:$D, Raw_Data_Daily!$B:$B, "Variant", Raw_Data_Daily!$C:$C, "A. 0"),"")</f>
        <v>0.1553400791</v>
      </c>
      <c r="E96" s="46">
        <f t="shared" si="84"/>
        <v>0.1473800044</v>
      </c>
      <c r="F96" s="119">
        <f>IFERROR(SUMPRODUCT((Raw_Data_Daily!$B$2:$B$9999="Control")*(Raw_Data_Daily!$C$2:$C$9999="B. 1-9")*Raw_Data_Daily!$D$2:$D$9999*Raw_Data_Daily!$CD$2:$CD$9999)/SUMIFS(Raw_Data_Daily!$D:$D, Raw_Data_Daily!$B:$B, "Control", Raw_Data_Daily!$C:$C, "B. 1-9"),"")</f>
        <v>0.2351356973</v>
      </c>
      <c r="G96" s="55">
        <f>IFERROR(SUMPRODUCT((Raw_Data_Daily!$B$2:$B$9999="Variant")*(Raw_Data_Daily!$C$2:$C$9999="B. 1-9")*Raw_Data_Daily!$D$2:$D$9999*Raw_Data_Daily!$CD$2:$CD$9999)/SUMIFS(Raw_Data_Daily!$D:$D, Raw_Data_Daily!$B:$B, "Variant", Raw_Data_Daily!$C:$C, "B. 1-9"),"")</f>
        <v>0.1905744945</v>
      </c>
      <c r="H96" s="50">
        <f t="shared" si="85"/>
        <v>-0.1895127084</v>
      </c>
      <c r="I96" s="115">
        <f>IFERROR(SUMPRODUCT((Raw_Data_Daily!$B$2:$B$9999="Control")*(Raw_Data_Daily!$C$2:$C$9999="C. 10-19")*Raw_Data_Daily!$D$2:$D$9999*Raw_Data_Daily!$CD$2:$CD$9999)/SUMIFS(Raw_Data_Daily!$D:$D, Raw_Data_Daily!$B:$B, "Control", Raw_Data_Daily!$C:$C, "C. 10-19"),"")</f>
        <v>0.5354155263</v>
      </c>
      <c r="J96" s="55">
        <f>IFERROR(SUMPRODUCT((Raw_Data_Daily!$B$2:$B$9999="Variant")*(Raw_Data_Daily!$C$2:$C$9999="C. 10-19")*Raw_Data_Daily!$D$2:$D$9999*Raw_Data_Daily!$CD$2:$CD$9999)/SUMIFS(Raw_Data_Daily!$D:$D, Raw_Data_Daily!$B:$B, "Variant", Raw_Data_Daily!$C:$C, "C. 10-19"),"")</f>
        <v>0.4726449548</v>
      </c>
      <c r="K96" s="49">
        <f t="shared" si="86"/>
        <v>-0.1172371148</v>
      </c>
      <c r="L96" s="119">
        <f>IFERROR(SUMPRODUCT((Raw_Data_Daily!$B$2:$B$9999="Control")*(Raw_Data_Daily!$C$2:$C$9999="D. 20-39")*Raw_Data_Daily!$D$2:$D$9999*Raw_Data_Daily!$CD$2:$CD$9999)/SUMIFS(Raw_Data_Daily!$D:$D, Raw_Data_Daily!$B:$B, "Control", Raw_Data_Daily!$C:$C, "D. 20-39"),"")</f>
        <v>1.062021693</v>
      </c>
      <c r="M96" s="55">
        <f>IFERROR(SUMPRODUCT((Raw_Data_Daily!$B$2:$B$9999="Variant")*(Raw_Data_Daily!$C$2:$C$9999="D. 20-39")*Raw_Data_Daily!$D$2:$D$9999*Raw_Data_Daily!$CD$2:$CD$9999)/SUMIFS(Raw_Data_Daily!$D:$D, Raw_Data_Daily!$B:$B, "Variant", Raw_Data_Daily!$C:$C, "D. 20-39"),"")</f>
        <v>0.7937579865</v>
      </c>
      <c r="N96" s="50">
        <f t="shared" si="87"/>
        <v>-0.2525972008</v>
      </c>
      <c r="O96" s="115">
        <f>IFERROR(SUMPRODUCT((Raw_Data_Daily!$B$2:$B$9999="Control")*(Raw_Data_Daily!$C$2:$C$9999="E. 40-99")*Raw_Data_Daily!$D$2:$D$9999*Raw_Data_Daily!$CD$2:$CD$9999)/SUMIFS(Raw_Data_Daily!$D:$D, Raw_Data_Daily!$B:$B, "Control", Raw_Data_Daily!$C:$C, "E. 40-99"),"")</f>
        <v>2.313130775</v>
      </c>
      <c r="P96" s="55">
        <f>IFERROR(SUMPRODUCT((Raw_Data_Daily!$B$2:$B$9999="Variant")*(Raw_Data_Daily!$C$2:$C$9999="E. 40-99")*Raw_Data_Daily!$D$2:$D$9999*Raw_Data_Daily!$CD$2:$CD$9999)/SUMIFS(Raw_Data_Daily!$D:$D, Raw_Data_Daily!$B:$B, "Variant", Raw_Data_Daily!$C:$C, "E. 40-99"),"")</f>
        <v>1.504994304</v>
      </c>
      <c r="Q96" s="49">
        <f t="shared" si="88"/>
        <v>-0.3493691232</v>
      </c>
      <c r="R96" s="119">
        <f>IFERROR(SUMPRODUCT((Raw_Data_Daily!$B$2:$B$9999="Control")*(Raw_Data_Daily!$C$2:$C$9999="F. 100+")*Raw_Data_Daily!$D$2:$D$9999*Raw_Data_Daily!$CD$2:$CD$9999)/SUMIFS(Raw_Data_Daily!$D:$D, Raw_Data_Daily!$B:$B, "Control", Raw_Data_Daily!$C:$C, "F. 100+"),"")</f>
        <v>4.377242852</v>
      </c>
      <c r="S96" s="136">
        <f>IFERROR(SUMPRODUCT((Raw_Data_Daily!$B$2:$B$9999="Variant")*(Raw_Data_Daily!$C$2:$C$9999="F. 100+")*Raw_Data_Daily!$D$2:$D$9999*Raw_Data_Daily!$CD$2:$CD$9999)/SUMIFS(Raw_Data_Daily!$D:$D, Raw_Data_Daily!$B:$B, "Variant", Raw_Data_Daily!$C:$C, "F. 100+"),"")</f>
        <v>3.901888358</v>
      </c>
      <c r="T96" s="216">
        <f t="shared" si="89"/>
        <v>-0.1085967835</v>
      </c>
    </row>
    <row r="97" ht="15.75" customHeight="1">
      <c r="A97" s="15"/>
      <c r="B97" s="223" t="s">
        <v>114</v>
      </c>
      <c r="C97" s="115">
        <f>IFERROR(SUMPRODUCT((Raw_Data_Daily!$B$2:$B$9999="Control")*(Raw_Data_Daily!$C$2:$C$9999="A. 0")*Raw_Data_Daily!$D$2:$D$9999*(Raw_Data_Daily!$CA$2:$CA$9999-Raw_Data_Daily!$CD$2:$CD$9999))/SUMIFS(Raw_Data_Daily!$D:$D, Raw_Data_Daily!$B:$B, "Control", Raw_Data_Daily!$C:$C, "A. 0"),"")</f>
        <v>0.02733729278</v>
      </c>
      <c r="D97" s="55">
        <f>IFERROR(SUMPRODUCT((Raw_Data_Daily!$B$2:$B$9999="Variant")*(Raw_Data_Daily!$C$2:$C$9999="A. 0")*Raw_Data_Daily!$D$2:$D$9999*(Raw_Data_Daily!$CA$2:$CA$9999-Raw_Data_Daily!$CD$2:$CD$9999))/SUMIFS(Raw_Data_Daily!$D:$D, Raw_Data_Daily!$B:$B, "Variant", Raw_Data_Daily!$C:$C, "A. 0"),"")</f>
        <v>0.04296297029</v>
      </c>
      <c r="E97" s="35">
        <f t="shared" si="84"/>
        <v>0.5715883294</v>
      </c>
      <c r="F97" s="119">
        <f>IFERROR(SUMPRODUCT((Raw_Data_Daily!$B$2:$B$9999="Control")*(Raw_Data_Daily!$C$2:$C$9999="B. 1-9")*Raw_Data_Daily!$D$2:$D$9999*(Raw_Data_Daily!$CA$2:$CA$9999-Raw_Data_Daily!$CD$2:$CD$9999))/SUMIFS(Raw_Data_Daily!$D:$D, Raw_Data_Daily!$B:$B, "Control", Raw_Data_Daily!$C:$C, "B. 1-9"),"")</f>
        <v>0.002420670295</v>
      </c>
      <c r="G97" s="55">
        <f>IFERROR(SUMPRODUCT((Raw_Data_Daily!$B$2:$B$9999="Variant")*(Raw_Data_Daily!$C$2:$C$9999="B. 1-9")*Raw_Data_Daily!$D$2:$D$9999*(Raw_Data_Daily!$CA$2:$CA$9999-Raw_Data_Daily!$CD$2:$CD$9999))/SUMIFS(Raw_Data_Daily!$D:$D, Raw_Data_Daily!$B:$B, "Variant", Raw_Data_Daily!$C:$C, "B. 1-9"),"")</f>
        <v>-0.02347764246</v>
      </c>
      <c r="H97" s="50">
        <f t="shared" si="85"/>
        <v>-10.69881876</v>
      </c>
      <c r="I97" s="115">
        <f>IFERROR(SUMPRODUCT((Raw_Data_Daily!$B$2:$B$9999="Control")*(Raw_Data_Daily!$C$2:$C$9999="C. 10-19")*Raw_Data_Daily!$D$2:$D$9999*(Raw_Data_Daily!$CA$2:$CA$9999-Raw_Data_Daily!$CD$2:$CD$9999))/SUMIFS(Raw_Data_Daily!$D:$D, Raw_Data_Daily!$B:$B, "Control", Raw_Data_Daily!$C:$C, "C. 10-19"),"")</f>
        <v>-0.01664458713</v>
      </c>
      <c r="J97" s="55">
        <f>IFERROR(SUMPRODUCT((Raw_Data_Daily!$B$2:$B$9999="Variant")*(Raw_Data_Daily!$C$2:$C$9999="C. 10-19")*Raw_Data_Daily!$D$2:$D$9999*(Raw_Data_Daily!$CA$2:$CA$9999-Raw_Data_Daily!$CD$2:$CD$9999))/SUMIFS(Raw_Data_Daily!$D:$D, Raw_Data_Daily!$B:$B, "Variant", Raw_Data_Daily!$C:$C, "C. 10-19"),"")</f>
        <v>-0.05247979987</v>
      </c>
      <c r="K97" s="49">
        <f t="shared" si="86"/>
        <v>-2.152964953</v>
      </c>
      <c r="L97" s="119">
        <f>IFERROR(SUMPRODUCT((Raw_Data_Daily!$B$2:$B$9999="Control")*(Raw_Data_Daily!$C$2:$C$9999="D. 20-39")*Raw_Data_Daily!$D$2:$D$9999*(Raw_Data_Daily!$CA$2:$CA$9999-Raw_Data_Daily!$CD$2:$CD$9999))/SUMIFS(Raw_Data_Daily!$D:$D, Raw_Data_Daily!$B:$B, "Control", Raw_Data_Daily!$C:$C, "D. 20-39"),"")</f>
        <v>-0.1468559089</v>
      </c>
      <c r="M97" s="55">
        <f>IFERROR(SUMPRODUCT((Raw_Data_Daily!$B$2:$B$9999="Variant")*(Raw_Data_Daily!$C$2:$C$9999="D. 20-39")*Raw_Data_Daily!$D$2:$D$9999*(Raw_Data_Daily!$CA$2:$CA$9999-Raw_Data_Daily!$CD$2:$CD$9999))/SUMIFS(Raw_Data_Daily!$D:$D, Raw_Data_Daily!$B:$B, "Variant", Raw_Data_Daily!$C:$C, "D. 20-39"),"")</f>
        <v>-0.04711381361</v>
      </c>
      <c r="N97" s="50">
        <f t="shared" si="87"/>
        <v>0.6791833985</v>
      </c>
      <c r="O97" s="115">
        <f>IFERROR(SUMPRODUCT((Raw_Data_Daily!$B$2:$B$9999="Control")*(Raw_Data_Daily!$C$2:$C$9999="E. 40-99")*Raw_Data_Daily!$D$2:$D$9999*(Raw_Data_Daily!$CA$2:$CA$9999-Raw_Data_Daily!$CD$2:$CD$9999))/SUMIFS(Raw_Data_Daily!$D:$D, Raw_Data_Daily!$B:$B, "Control", Raw_Data_Daily!$C:$C, "E. 40-99"),"")</f>
        <v>-0.4401122542</v>
      </c>
      <c r="P97" s="55">
        <f>IFERROR(SUMPRODUCT((Raw_Data_Daily!$B$2:$B$9999="Variant")*(Raw_Data_Daily!$C$2:$C$9999="E. 40-99")*Raw_Data_Daily!$D$2:$D$9999*(Raw_Data_Daily!$CA$2:$CA$9999-Raw_Data_Daily!$CD$2:$CD$9999))/SUMIFS(Raw_Data_Daily!$D:$D, Raw_Data_Daily!$B:$B, "Variant", Raw_Data_Daily!$C:$C, "E. 40-99"),"")</f>
        <v>-0.1459811679</v>
      </c>
      <c r="Q97" s="49">
        <f t="shared" si="88"/>
        <v>0.6683092403</v>
      </c>
      <c r="R97" s="119">
        <f>IFERROR(SUMPRODUCT((Raw_Data_Daily!$B$2:$B$9999="Control")*(Raw_Data_Daily!$C$2:$C$9999="F. 100+")*Raw_Data_Daily!$D$2:$D$9999*(Raw_Data_Daily!$CA$2:$CA$9999-Raw_Data_Daily!$CD$2:$CD$9999))/SUMIFS(Raw_Data_Daily!$D:$D, Raw_Data_Daily!$B:$B, "Control", Raw_Data_Daily!$C:$C, "F. 100+"),"")</f>
        <v>-0.3229884731</v>
      </c>
      <c r="S97" s="55">
        <f>IFERROR(SUMPRODUCT((Raw_Data_Daily!$B$2:$B$9999="Variant")*(Raw_Data_Daily!$C$2:$C$9999="F. 100+")*Raw_Data_Daily!$D$2:$D$9999*(Raw_Data_Daily!$CA$2:$CA$9999-Raw_Data_Daily!$CD$2:$CD$9999))/SUMIFS(Raw_Data_Daily!$D:$D, Raw_Data_Daily!$B:$B, "Variant", Raw_Data_Daily!$C:$C, "F. 100+"),"")</f>
        <v>-1.265278462</v>
      </c>
      <c r="T97" s="50">
        <f t="shared" si="89"/>
        <v>-2.91741058</v>
      </c>
    </row>
    <row r="98" ht="15.75" customHeight="1">
      <c r="A98" s="195" t="s">
        <v>115</v>
      </c>
      <c r="B98" s="237" t="s">
        <v>116</v>
      </c>
      <c r="C98" s="28"/>
      <c r="D98" s="12"/>
      <c r="E98" s="29"/>
      <c r="F98" s="30"/>
      <c r="G98" s="12"/>
      <c r="H98" s="27"/>
      <c r="I98" s="28"/>
      <c r="J98" s="12"/>
      <c r="K98" s="29"/>
      <c r="L98" s="30"/>
      <c r="M98" s="12"/>
      <c r="N98" s="27"/>
      <c r="O98" s="28"/>
      <c r="P98" s="12"/>
      <c r="Q98" s="29"/>
      <c r="R98" s="30"/>
      <c r="S98" s="12"/>
      <c r="T98" s="27"/>
    </row>
    <row r="99" ht="15.75" customHeight="1">
      <c r="A99" s="76" t="s">
        <v>116</v>
      </c>
      <c r="B99" s="223" t="s">
        <v>117</v>
      </c>
      <c r="C99" s="115">
        <f>IFERROR(SUMPRODUCT((Raw_Data_Daily!$B$2:$B$9999="Control")*(Raw_Data_Daily!$C$2:$C$9999="A. 0")*Raw_Data_Daily!$D$2:$D$9999*Raw_Data_Daily!$CM$2:$CM$9999)/SUMIFS(Raw_Data_Daily!$D:$D, Raw_Data_Daily!$B:$B, "Control", Raw_Data_Daily!$C:$C, "A. 0"),"")</f>
        <v>137.5898168</v>
      </c>
      <c r="D99" s="55">
        <f>IFERROR(SUMPRODUCT((Raw_Data_Daily!$B$2:$B$9999="Variant")*(Raw_Data_Daily!$C$2:$C$9999="A. 0")*Raw_Data_Daily!$D$2:$D$9999*Raw_Data_Daily!$CM$2:$CM$9999)/SUMIFS(Raw_Data_Daily!$D:$D, Raw_Data_Daily!$B:$B, "Variant", Raw_Data_Daily!$C:$C, "A. 0"),"")</f>
        <v>136.7133875</v>
      </c>
      <c r="E99" s="46">
        <f t="shared" ref="E99:E106" si="90">IFERROR((D99-C99)/ABS(C99),"")</f>
        <v>-0.006369870428</v>
      </c>
      <c r="F99" s="119">
        <f>IFERROR(SUMPRODUCT((Raw_Data_Daily!$B$2:$B$9999="Control")*(Raw_Data_Daily!$C$2:$C$9999="B. 1-9")*Raw_Data_Daily!$D$2:$D$9999*Raw_Data_Daily!$CM$2:$CM$9999)/SUMIFS(Raw_Data_Daily!$D:$D, Raw_Data_Daily!$B:$B, "Control", Raw_Data_Daily!$C:$C, "B. 1-9"),"")</f>
        <v>124.7216819</v>
      </c>
      <c r="G99" s="55">
        <f>IFERROR(SUMPRODUCT((Raw_Data_Daily!$B$2:$B$9999="Variant")*(Raw_Data_Daily!$C$2:$C$9999="B. 1-9")*Raw_Data_Daily!$D$2:$D$9999*Raw_Data_Daily!$CM$2:$CM$9999)/SUMIFS(Raw_Data_Daily!$D:$D, Raw_Data_Daily!$B:$B, "Variant", Raw_Data_Daily!$C:$C, "B. 1-9"),"")</f>
        <v>114.0174546</v>
      </c>
      <c r="H99" s="50">
        <f t="shared" ref="H99:H106" si="91">IFERROR((G99-F99)/ABS(F99),"")</f>
        <v>-0.08582491103</v>
      </c>
      <c r="I99" s="115">
        <f>IFERROR(SUMPRODUCT((Raw_Data_Daily!$B$2:$B$9999="Control")*(Raw_Data_Daily!$C$2:$C$9999="C. 10-19")*Raw_Data_Daily!$D$2:$D$9999*Raw_Data_Daily!$CM$2:$CM$9999)/SUMIFS(Raw_Data_Daily!$D:$D, Raw_Data_Daily!$B:$B, "Control", Raw_Data_Daily!$C:$C, "C. 10-19"),"")</f>
        <v>257.7297715</v>
      </c>
      <c r="J99" s="55">
        <f>IFERROR(SUMPRODUCT((Raw_Data_Daily!$B$2:$B$9999="Variant")*(Raw_Data_Daily!$C$2:$C$9999="C. 10-19")*Raw_Data_Daily!$D$2:$D$9999*Raw_Data_Daily!$CM$2:$CM$9999)/SUMIFS(Raw_Data_Daily!$D:$D, Raw_Data_Daily!$B:$B, "Variant", Raw_Data_Daily!$C:$C, "C. 10-19"),"")</f>
        <v>239.8867262</v>
      </c>
      <c r="K99" s="49">
        <f t="shared" ref="K99:K106" si="92">IFERROR((J99-I99)/ABS(I99),"")</f>
        <v>-0.06923160345</v>
      </c>
      <c r="L99" s="119">
        <f>IFERROR(SUMPRODUCT((Raw_Data_Daily!$B$2:$B$9999="Control")*(Raw_Data_Daily!$C$2:$C$9999="D. 20-39")*Raw_Data_Daily!$D$2:$D$9999*Raw_Data_Daily!$CM$2:$CM$9999)/SUMIFS(Raw_Data_Daily!$D:$D, Raw_Data_Daily!$B:$B, "Control", Raw_Data_Daily!$C:$C, "D. 20-39"),"")</f>
        <v>476.5797543</v>
      </c>
      <c r="M99" s="55">
        <f>IFERROR(SUMPRODUCT((Raw_Data_Daily!$B$2:$B$9999="Variant")*(Raw_Data_Daily!$C$2:$C$9999="D. 20-39")*Raw_Data_Daily!$D$2:$D$9999*Raw_Data_Daily!$CM$2:$CM$9999)/SUMIFS(Raw_Data_Daily!$D:$D, Raw_Data_Daily!$B:$B, "Variant", Raw_Data_Daily!$C:$C, "D. 20-39"),"")</f>
        <v>443.0059811</v>
      </c>
      <c r="N99" s="50">
        <f t="shared" ref="N99:N106" si="93">IFERROR((M99-L99)/ABS(L99),"")</f>
        <v>-0.0704473341</v>
      </c>
      <c r="O99" s="115">
        <f>IFERROR(SUMPRODUCT((Raw_Data_Daily!$B$2:$B$9999="Control")*(Raw_Data_Daily!$C$2:$C$9999="E. 40-99")*Raw_Data_Daily!$D$2:$D$9999*Raw_Data_Daily!$CM$2:$CM$9999)/SUMIFS(Raw_Data_Daily!$D:$D, Raw_Data_Daily!$B:$B, "Control", Raw_Data_Daily!$C:$C, "E. 40-99"),"")</f>
        <v>935.1775727</v>
      </c>
      <c r="P99" s="55">
        <f>IFERROR(SUMPRODUCT((Raw_Data_Daily!$B$2:$B$9999="Variant")*(Raw_Data_Daily!$C$2:$C$9999="E. 40-99")*Raw_Data_Daily!$D$2:$D$9999*Raw_Data_Daily!$CM$2:$CM$9999)/SUMIFS(Raw_Data_Daily!$D:$D, Raw_Data_Daily!$B:$B, "Variant", Raw_Data_Daily!$C:$C, "E. 40-99"),"")</f>
        <v>873.3193308</v>
      </c>
      <c r="Q99" s="49">
        <f t="shared" ref="Q99:Q106" si="94">IFERROR((P99-O99)/ABS(O99),"")</f>
        <v>-0.06614598524</v>
      </c>
      <c r="R99" s="119">
        <f>IFERROR(SUMPRODUCT((Raw_Data_Daily!$B$2:$B$9999="Control")*(Raw_Data_Daily!$C$2:$C$9999="F. 100+")*Raw_Data_Daily!$D$2:$D$9999*Raw_Data_Daily!$CM$2:$CM$9999)/SUMIFS(Raw_Data_Daily!$D:$D, Raw_Data_Daily!$B:$B, "Control", Raw_Data_Daily!$C:$C, "F. 100+"),"")</f>
        <v>2045.563301</v>
      </c>
      <c r="S99" s="136">
        <f>IFERROR(SUMPRODUCT((Raw_Data_Daily!$B$2:$B$9999="Variant")*(Raw_Data_Daily!$C$2:$C$9999="F. 100+")*Raw_Data_Daily!$D$2:$D$9999*Raw_Data_Daily!$CM$2:$CM$9999)/SUMIFS(Raw_Data_Daily!$D:$D, Raw_Data_Daily!$B:$B, "Variant", Raw_Data_Daily!$C:$C, "F. 100+"),"")</f>
        <v>1840.93269</v>
      </c>
      <c r="T99" s="49">
        <f t="shared" ref="T99:T106" si="95">IFERROR((S99-R99)/ABS(R99),"")</f>
        <v>-0.100036313</v>
      </c>
    </row>
    <row r="100" ht="15.75" customHeight="1">
      <c r="A100" s="76" t="s">
        <v>116</v>
      </c>
      <c r="B100" s="223" t="s">
        <v>118</v>
      </c>
      <c r="C100" s="115">
        <f>IFERROR(SUMPRODUCT((Raw_Data_Daily!$B$2:$B$9999="Control")*(Raw_Data_Daily!$C$2:$C$9999="A. 0")*Raw_Data_Daily!$D$2:$D$9999*Raw_Data_Daily!$CN$2:$CN$9999)/SUMIFS(Raw_Data_Daily!$D:$D, Raw_Data_Daily!$B:$B, "Control", Raw_Data_Daily!$C:$C, "A. 0"),"")</f>
        <v>15.79932803</v>
      </c>
      <c r="D100" s="55">
        <f>IFERROR(SUMPRODUCT((Raw_Data_Daily!$B$2:$B$9999="Variant")*(Raw_Data_Daily!$C$2:$C$9999="A. 0")*Raw_Data_Daily!$D$2:$D$9999*Raw_Data_Daily!$CN$2:$CN$9999)/SUMIFS(Raw_Data_Daily!$D:$D, Raw_Data_Daily!$B:$B, "Variant", Raw_Data_Daily!$C:$C, "A. 0"),"")</f>
        <v>16.71652743</v>
      </c>
      <c r="E100" s="46">
        <f t="shared" si="90"/>
        <v>0.05805306392</v>
      </c>
      <c r="F100" s="119">
        <f>IFERROR(SUMPRODUCT((Raw_Data_Daily!$B$2:$B$9999="Control")*(Raw_Data_Daily!$C$2:$C$9999="B. 1-9")*Raw_Data_Daily!$D$2:$D$9999*Raw_Data_Daily!$CN$2:$CN$9999)/SUMIFS(Raw_Data_Daily!$D:$D, Raw_Data_Daily!$B:$B, "Control", Raw_Data_Daily!$C:$C, "B. 1-9"),"")</f>
        <v>75.82139673</v>
      </c>
      <c r="G100" s="55">
        <f>IFERROR(SUMPRODUCT((Raw_Data_Daily!$B$2:$B$9999="Variant")*(Raw_Data_Daily!$C$2:$C$9999="B. 1-9")*Raw_Data_Daily!$D$2:$D$9999*Raw_Data_Daily!$CN$2:$CN$9999)/SUMIFS(Raw_Data_Daily!$D:$D, Raw_Data_Daily!$B:$B, "Variant", Raw_Data_Daily!$C:$C, "B. 1-9"),"")</f>
        <v>75.48984873</v>
      </c>
      <c r="H100" s="50">
        <f t="shared" si="91"/>
        <v>-0.004372749916</v>
      </c>
      <c r="I100" s="115">
        <f>IFERROR(SUMPRODUCT((Raw_Data_Daily!$B$2:$B$9999="Control")*(Raw_Data_Daily!$C$2:$C$9999="C. 10-19")*Raw_Data_Daily!$D$2:$D$9999*Raw_Data_Daily!$CN$2:$CN$9999)/SUMIFS(Raw_Data_Daily!$D:$D, Raw_Data_Daily!$B:$B, "Control", Raw_Data_Daily!$C:$C, "C. 10-19"),"")</f>
        <v>89.72016331</v>
      </c>
      <c r="J100" s="55">
        <f>IFERROR(SUMPRODUCT((Raw_Data_Daily!$B$2:$B$9999="Variant")*(Raw_Data_Daily!$C$2:$C$9999="C. 10-19")*Raw_Data_Daily!$D$2:$D$9999*Raw_Data_Daily!$CN$2:$CN$9999)/SUMIFS(Raw_Data_Daily!$D:$D, Raw_Data_Daily!$B:$B, "Variant", Raw_Data_Daily!$C:$C, "C. 10-19"),"")</f>
        <v>89.57117702</v>
      </c>
      <c r="K100" s="49">
        <f t="shared" si="92"/>
        <v>-0.001660566368</v>
      </c>
      <c r="L100" s="119">
        <f>IFERROR(SUMPRODUCT((Raw_Data_Daily!$B$2:$B$9999="Control")*(Raw_Data_Daily!$C$2:$C$9999="D. 20-39")*Raw_Data_Daily!$D$2:$D$9999*Raw_Data_Daily!$CN$2:$CN$9999)/SUMIFS(Raw_Data_Daily!$D:$D, Raw_Data_Daily!$B:$B, "Control", Raw_Data_Daily!$C:$C, "D. 20-39"),"")</f>
        <v>95.91937731</v>
      </c>
      <c r="M100" s="55">
        <f>IFERROR(SUMPRODUCT((Raw_Data_Daily!$B$2:$B$9999="Variant")*(Raw_Data_Daily!$C$2:$C$9999="D. 20-39")*Raw_Data_Daily!$D$2:$D$9999*Raw_Data_Daily!$CN$2:$CN$9999)/SUMIFS(Raw_Data_Daily!$D:$D, Raw_Data_Daily!$B:$B, "Variant", Raw_Data_Daily!$C:$C, "D. 20-39"),"")</f>
        <v>95.54450272</v>
      </c>
      <c r="N100" s="50">
        <f t="shared" si="93"/>
        <v>-0.003908225798</v>
      </c>
      <c r="O100" s="115">
        <f>IFERROR(SUMPRODUCT((Raw_Data_Daily!$B$2:$B$9999="Control")*(Raw_Data_Daily!$C$2:$C$9999="E. 40-99")*Raw_Data_Daily!$D$2:$D$9999*Raw_Data_Daily!$CN$2:$CN$9999)/SUMIFS(Raw_Data_Daily!$D:$D, Raw_Data_Daily!$B:$B, "Control", Raw_Data_Daily!$C:$C, "E. 40-99"),"")</f>
        <v>98.93303424</v>
      </c>
      <c r="P100" s="55">
        <f>IFERROR(SUMPRODUCT((Raw_Data_Daily!$B$2:$B$9999="Variant")*(Raw_Data_Daily!$C$2:$C$9999="E. 40-99")*Raw_Data_Daily!$D$2:$D$9999*Raw_Data_Daily!$CN$2:$CN$9999)/SUMIFS(Raw_Data_Daily!$D:$D, Raw_Data_Daily!$B:$B, "Variant", Raw_Data_Daily!$C:$C, "E. 40-99"),"")</f>
        <v>98.97771769</v>
      </c>
      <c r="Q100" s="49">
        <f t="shared" si="94"/>
        <v>0.0004516535344</v>
      </c>
      <c r="R100" s="119">
        <f>IFERROR(SUMPRODUCT((Raw_Data_Daily!$B$2:$B$9999="Control")*(Raw_Data_Daily!$C$2:$C$9999="F. 100+")*Raw_Data_Daily!$D$2:$D$9999*Raw_Data_Daily!$CN$2:$CN$9999)/SUMIFS(Raw_Data_Daily!$D:$D, Raw_Data_Daily!$B:$B, "Control", Raw_Data_Daily!$C:$C, "F. 100+"),"")</f>
        <v>99.77531811</v>
      </c>
      <c r="S100" s="136">
        <f>IFERROR(SUMPRODUCT((Raw_Data_Daily!$B$2:$B$9999="Variant")*(Raw_Data_Daily!$C$2:$C$9999="F. 100+")*Raw_Data_Daily!$D$2:$D$9999*Raw_Data_Daily!$CN$2:$CN$9999)/SUMIFS(Raw_Data_Daily!$D:$D, Raw_Data_Daily!$B:$B, "Variant", Raw_Data_Daily!$C:$C, "F. 100+"),"")</f>
        <v>99.79150104</v>
      </c>
      <c r="T100" s="49">
        <f t="shared" si="95"/>
        <v>0.0001621936771</v>
      </c>
    </row>
    <row r="101" ht="15.75" customHeight="1">
      <c r="A101" s="76" t="s">
        <v>116</v>
      </c>
      <c r="B101" s="223" t="s">
        <v>119</v>
      </c>
      <c r="C101" s="115">
        <f>IFERROR(SUMPRODUCT((Raw_Data_Daily!$B$2:$B$9999="Control")*(Raw_Data_Daily!$C$2:$C$9999="A. 0")*Raw_Data_Daily!$D$2:$D$9999*Raw_Data_Daily!$CO$2:$CO$9999)/SUMIFS(Raw_Data_Daily!$D:$D, Raw_Data_Daily!$B:$B, "Control", Raw_Data_Daily!$C:$C, "A. 0"),"")</f>
        <v>724.5612588</v>
      </c>
      <c r="D101" s="55">
        <f>IFERROR(SUMPRODUCT((Raw_Data_Daily!$B$2:$B$9999="Variant")*(Raw_Data_Daily!$C$2:$C$9999="A. 0")*Raw_Data_Daily!$D$2:$D$9999*Raw_Data_Daily!$CO$2:$CO$9999)/SUMIFS(Raw_Data_Daily!$D:$D, Raw_Data_Daily!$B:$B, "Variant", Raw_Data_Daily!$C:$C, "A. 0"),"")</f>
        <v>692.4885582</v>
      </c>
      <c r="E101" s="46">
        <f t="shared" si="90"/>
        <v>-0.04426499506</v>
      </c>
      <c r="F101" s="119">
        <f>IFERROR(SUMPRODUCT((Raw_Data_Daily!$B$2:$B$9999="Control")*(Raw_Data_Daily!$C$2:$C$9999="B. 1-9")*Raw_Data_Daily!$D$2:$D$9999*Raw_Data_Daily!$CO$2:$CO$9999)/SUMIFS(Raw_Data_Daily!$D:$D, Raw_Data_Daily!$B:$B, "Control", Raw_Data_Daily!$C:$C, "B. 1-9"),"")</f>
        <v>168.2404281</v>
      </c>
      <c r="G101" s="55">
        <f>IFERROR(SUMPRODUCT((Raw_Data_Daily!$B$2:$B$9999="Variant")*(Raw_Data_Daily!$C$2:$C$9999="B. 1-9")*Raw_Data_Daily!$D$2:$D$9999*Raw_Data_Daily!$CO$2:$CO$9999)/SUMIFS(Raw_Data_Daily!$D:$D, Raw_Data_Daily!$B:$B, "Variant", Raw_Data_Daily!$C:$C, "B. 1-9"),"")</f>
        <v>153.7026495</v>
      </c>
      <c r="H101" s="50">
        <f t="shared" si="91"/>
        <v>-0.08641073196</v>
      </c>
      <c r="I101" s="115">
        <f>IFERROR(SUMPRODUCT((Raw_Data_Daily!$B$2:$B$9999="Control")*(Raw_Data_Daily!$C$2:$C$9999="C. 10-19")*Raw_Data_Daily!$D$2:$D$9999*Raw_Data_Daily!$CO$2:$CO$9999)/SUMIFS(Raw_Data_Daily!$D:$D, Raw_Data_Daily!$B:$B, "Control", Raw_Data_Daily!$C:$C, "C. 10-19"),"")</f>
        <v>289.4402677</v>
      </c>
      <c r="J101" s="55">
        <f>IFERROR(SUMPRODUCT((Raw_Data_Daily!$B$2:$B$9999="Variant")*(Raw_Data_Daily!$C$2:$C$9999="C. 10-19")*Raw_Data_Daily!$D$2:$D$9999*Raw_Data_Daily!$CO$2:$CO$9999)/SUMIFS(Raw_Data_Daily!$D:$D, Raw_Data_Daily!$B:$B, "Variant", Raw_Data_Daily!$C:$C, "C. 10-19"),"")</f>
        <v>269.4422197</v>
      </c>
      <c r="K101" s="49">
        <f t="shared" si="92"/>
        <v>-0.06909214198</v>
      </c>
      <c r="L101" s="119">
        <f>IFERROR(SUMPRODUCT((Raw_Data_Daily!$B$2:$B$9999="Control")*(Raw_Data_Daily!$C$2:$C$9999="D. 20-39")*Raw_Data_Daily!$D$2:$D$9999*Raw_Data_Daily!$CO$2:$CO$9999)/SUMIFS(Raw_Data_Daily!$D:$D, Raw_Data_Daily!$B:$B, "Control", Raw_Data_Daily!$C:$C, "D. 20-39"),"")</f>
        <v>498.1517213</v>
      </c>
      <c r="M101" s="55">
        <f>IFERROR(SUMPRODUCT((Raw_Data_Daily!$B$2:$B$9999="Variant")*(Raw_Data_Daily!$C$2:$C$9999="D. 20-39")*Raw_Data_Daily!$D$2:$D$9999*Raw_Data_Daily!$CO$2:$CO$9999)/SUMIFS(Raw_Data_Daily!$D:$D, Raw_Data_Daily!$B:$B, "Variant", Raw_Data_Daily!$C:$C, "D. 20-39"),"")</f>
        <v>464.6684941</v>
      </c>
      <c r="N101" s="50">
        <f t="shared" si="93"/>
        <v>-0.06721491828</v>
      </c>
      <c r="O101" s="115">
        <f>IFERROR(SUMPRODUCT((Raw_Data_Daily!$B$2:$B$9999="Control")*(Raw_Data_Daily!$C$2:$C$9999="E. 40-99")*Raw_Data_Daily!$D$2:$D$9999*Raw_Data_Daily!$CO$2:$CO$9999)/SUMIFS(Raw_Data_Daily!$D:$D, Raw_Data_Daily!$B:$B, "Control", Raw_Data_Daily!$C:$C, "E. 40-99"),"")</f>
        <v>946.1318384</v>
      </c>
      <c r="P101" s="55">
        <f>IFERROR(SUMPRODUCT((Raw_Data_Daily!$B$2:$B$9999="Variant")*(Raw_Data_Daily!$C$2:$C$9999="E. 40-99")*Raw_Data_Daily!$D$2:$D$9999*Raw_Data_Daily!$CO$2:$CO$9999)/SUMIFS(Raw_Data_Daily!$D:$D, Raw_Data_Daily!$B:$B, "Variant", Raw_Data_Daily!$C:$C, "E. 40-99"),"")</f>
        <v>882.3653657</v>
      </c>
      <c r="Q101" s="49">
        <f t="shared" si="94"/>
        <v>-0.06739702662</v>
      </c>
      <c r="R101" s="119">
        <f>IFERROR(SUMPRODUCT((Raw_Data_Daily!$B$2:$B$9999="Control")*(Raw_Data_Daily!$C$2:$C$9999="F. 100+")*Raw_Data_Daily!$D$2:$D$9999*Raw_Data_Daily!$CO$2:$CO$9999)/SUMIFS(Raw_Data_Daily!$D:$D, Raw_Data_Daily!$B:$B, "Control", Raw_Data_Daily!$C:$C, "F. 100+"),"")</f>
        <v>2049.270348</v>
      </c>
      <c r="S101" s="136">
        <f>IFERROR(SUMPRODUCT((Raw_Data_Daily!$B$2:$B$9999="Variant")*(Raw_Data_Daily!$C$2:$C$9999="F. 100+")*Raw_Data_Daily!$D$2:$D$9999*Raw_Data_Daily!$CO$2:$CO$9999)/SUMIFS(Raw_Data_Daily!$D:$D, Raw_Data_Daily!$B:$B, "Variant", Raw_Data_Daily!$C:$C, "F. 100+"),"")</f>
        <v>1846.305364</v>
      </c>
      <c r="T101" s="49">
        <f t="shared" si="95"/>
        <v>-0.09904256138</v>
      </c>
    </row>
    <row r="102" ht="15.75" customHeight="1">
      <c r="A102" s="76" t="s">
        <v>116</v>
      </c>
      <c r="B102" s="223" t="s">
        <v>120</v>
      </c>
      <c r="C102" s="115">
        <f>IFERROR(SUMPRODUCT((Raw_Data_Daily!$B$2:$B$9999="Control")*(Raw_Data_Daily!$C$2:$C$9999="A. 0")*Raw_Data_Daily!$D$2:$D$9999*Raw_Data_Daily!$CP$2:$CP$9999)/SUMIFS(Raw_Data_Daily!$D:$D, Raw_Data_Daily!$B:$B, "Control", Raw_Data_Daily!$C:$C, "A. 0"),"")</f>
        <v>132.0391902</v>
      </c>
      <c r="D102" s="55">
        <f>IFERROR(SUMPRODUCT((Raw_Data_Daily!$B$2:$B$9999="Variant")*(Raw_Data_Daily!$C$2:$C$9999="A. 0")*Raw_Data_Daily!$D$2:$D$9999*Raw_Data_Daily!$CP$2:$CP$9999)/SUMIFS(Raw_Data_Daily!$D:$D, Raw_Data_Daily!$B:$B, "Variant", Raw_Data_Daily!$C:$C, "A. 0"),"")</f>
        <v>123.5249946</v>
      </c>
      <c r="E102" s="46">
        <f t="shared" si="90"/>
        <v>-0.06448233746</v>
      </c>
      <c r="F102" s="119">
        <f>IFERROR(SUMPRODUCT((Raw_Data_Daily!$B$2:$B$9999="Control")*(Raw_Data_Daily!$C$2:$C$9999="B. 1-9")*Raw_Data_Daily!$D$2:$D$9999*Raw_Data_Daily!$CP$2:$CP$9999)/SUMIFS(Raw_Data_Daily!$D:$D, Raw_Data_Daily!$B:$B, "Control", Raw_Data_Daily!$C:$C, "B. 1-9"),"")</f>
        <v>117.5451843</v>
      </c>
      <c r="G102" s="55">
        <f>IFERROR(SUMPRODUCT((Raw_Data_Daily!$B$2:$B$9999="Variant")*(Raw_Data_Daily!$C$2:$C$9999="B. 1-9")*Raw_Data_Daily!$D$2:$D$9999*Raw_Data_Daily!$CP$2:$CP$9999)/SUMIFS(Raw_Data_Daily!$D:$D, Raw_Data_Daily!$B:$B, "Variant", Raw_Data_Daily!$C:$C, "B. 1-9"),"")</f>
        <v>100.1826254</v>
      </c>
      <c r="H102" s="50">
        <f t="shared" si="91"/>
        <v>-0.1477096575</v>
      </c>
      <c r="I102" s="115">
        <f>IFERROR(SUMPRODUCT((Raw_Data_Daily!$B$2:$B$9999="Control")*(Raw_Data_Daily!$C$2:$C$9999="C. 10-19")*Raw_Data_Daily!$D$2:$D$9999*Raw_Data_Daily!$CP$2:$CP$9999)/SUMIFS(Raw_Data_Daily!$D:$D, Raw_Data_Daily!$B:$B, "Control", Raw_Data_Daily!$C:$C, "C. 10-19"),"")</f>
        <v>242.5884498</v>
      </c>
      <c r="J102" s="55">
        <f>IFERROR(SUMPRODUCT((Raw_Data_Daily!$B$2:$B$9999="Variant")*(Raw_Data_Daily!$C$2:$C$9999="C. 10-19")*Raw_Data_Daily!$D$2:$D$9999*Raw_Data_Daily!$CP$2:$CP$9999)/SUMIFS(Raw_Data_Daily!$D:$D, Raw_Data_Daily!$B:$B, "Variant", Raw_Data_Daily!$C:$C, "C. 10-19"),"")</f>
        <v>205.3183942</v>
      </c>
      <c r="K102" s="49">
        <f t="shared" si="92"/>
        <v>-0.153634914</v>
      </c>
      <c r="L102" s="119">
        <f>IFERROR(SUMPRODUCT((Raw_Data_Daily!$B$2:$B$9999="Control")*(Raw_Data_Daily!$C$2:$C$9999="D. 20-39")*Raw_Data_Daily!$D$2:$D$9999*Raw_Data_Daily!$CP$2:$CP$9999)/SUMIFS(Raw_Data_Daily!$D:$D, Raw_Data_Daily!$B:$B, "Control", Raw_Data_Daily!$C:$C, "D. 20-39"),"")</f>
        <v>454.1567876</v>
      </c>
      <c r="M102" s="55">
        <f>IFERROR(SUMPRODUCT((Raw_Data_Daily!$B$2:$B$9999="Variant")*(Raw_Data_Daily!$C$2:$C$9999="D. 20-39")*Raw_Data_Daily!$D$2:$D$9999*Raw_Data_Daily!$CP$2:$CP$9999)/SUMIFS(Raw_Data_Daily!$D:$D, Raw_Data_Daily!$B:$B, "Variant", Raw_Data_Daily!$C:$C, "D. 20-39"),"")</f>
        <v>384.9240602</v>
      </c>
      <c r="N102" s="50">
        <f t="shared" si="93"/>
        <v>-0.1524423487</v>
      </c>
      <c r="O102" s="115">
        <f>IFERROR(SUMPRODUCT((Raw_Data_Daily!$B$2:$B$9999="Control")*(Raw_Data_Daily!$C$2:$C$9999="E. 40-99")*Raw_Data_Daily!$D$2:$D$9999*Raw_Data_Daily!$CP$2:$CP$9999)/SUMIFS(Raw_Data_Daily!$D:$D, Raw_Data_Daily!$B:$B, "Control", Raw_Data_Daily!$C:$C, "E. 40-99"),"")</f>
        <v>904.1588009</v>
      </c>
      <c r="P102" s="55">
        <f>IFERROR(SUMPRODUCT((Raw_Data_Daily!$B$2:$B$9999="Variant")*(Raw_Data_Daily!$C$2:$C$9999="E. 40-99")*Raw_Data_Daily!$D$2:$D$9999*Raw_Data_Daily!$CP$2:$CP$9999)/SUMIFS(Raw_Data_Daily!$D:$D, Raw_Data_Daily!$B:$B, "Variant", Raw_Data_Daily!$C:$C, "E. 40-99"),"")</f>
        <v>769.6135159</v>
      </c>
      <c r="Q102" s="49">
        <f t="shared" si="94"/>
        <v>-0.1488071397</v>
      </c>
      <c r="R102" s="119">
        <f>IFERROR(SUMPRODUCT((Raw_Data_Daily!$B$2:$B$9999="Control")*(Raw_Data_Daily!$C$2:$C$9999="F. 100+")*Raw_Data_Daily!$D$2:$D$9999*Raw_Data_Daily!$CP$2:$CP$9999)/SUMIFS(Raw_Data_Daily!$D:$D, Raw_Data_Daily!$B:$B, "Control", Raw_Data_Daily!$C:$C, "F. 100+"),"")</f>
        <v>2004.292103</v>
      </c>
      <c r="S102" s="136">
        <f>IFERROR(SUMPRODUCT((Raw_Data_Daily!$B$2:$B$9999="Variant")*(Raw_Data_Daily!$C$2:$C$9999="F. 100+")*Raw_Data_Daily!$D$2:$D$9999*Raw_Data_Daily!$CP$2:$CP$9999)/SUMIFS(Raw_Data_Daily!$D:$D, Raw_Data_Daily!$B:$B, "Variant", Raw_Data_Daily!$C:$C, "F. 100+"),"")</f>
        <v>1629.060058</v>
      </c>
      <c r="T102" s="49">
        <f t="shared" si="95"/>
        <v>-0.1872142511</v>
      </c>
    </row>
    <row r="103" ht="15.75" customHeight="1">
      <c r="A103" s="76" t="s">
        <v>116</v>
      </c>
      <c r="B103" s="223" t="s">
        <v>121</v>
      </c>
      <c r="C103" s="115">
        <f>IFERROR(SUMPRODUCT((Raw_Data_Daily!$B$2:$B$9999="Control")*(Raw_Data_Daily!$C$2:$C$9999="A. 0")*Raw_Data_Daily!$D$2:$D$9999*Raw_Data_Daily!$CQ$2:$CQ$9999)/SUMIFS(Raw_Data_Daily!$D:$D, Raw_Data_Daily!$B:$B, "Control", Raw_Data_Daily!$C:$C, "A. 0"),"")</f>
        <v>0</v>
      </c>
      <c r="D103" s="55">
        <f>IFERROR(SUMPRODUCT((Raw_Data_Daily!$B$2:$B$9999="Variant")*(Raw_Data_Daily!$C$2:$C$9999="A. 0")*Raw_Data_Daily!$D$2:$D$9999*Raw_Data_Daily!$CQ$2:$CQ$9999)/SUMIFS(Raw_Data_Daily!$D:$D, Raw_Data_Daily!$B:$B, "Variant", Raw_Data_Daily!$C:$C, "A. 0"),"")</f>
        <v>6.547841809</v>
      </c>
      <c r="E103" s="46" t="str">
        <f t="shared" si="90"/>
        <v/>
      </c>
      <c r="F103" s="119">
        <f>IFERROR(SUMPRODUCT((Raw_Data_Daily!$B$2:$B$9999="Control")*(Raw_Data_Daily!$C$2:$C$9999="B. 1-9")*Raw_Data_Daily!$D$2:$D$9999*Raw_Data_Daily!$CQ$2:$CQ$9999)/SUMIFS(Raw_Data_Daily!$D:$D, Raw_Data_Daily!$B:$B, "Control", Raw_Data_Daily!$C:$C, "B. 1-9"),"")</f>
        <v>0</v>
      </c>
      <c r="G103" s="55">
        <f>IFERROR(SUMPRODUCT((Raw_Data_Daily!$B$2:$B$9999="Variant")*(Raw_Data_Daily!$C$2:$C$9999="B. 1-9")*Raw_Data_Daily!$D$2:$D$9999*Raw_Data_Daily!$CQ$2:$CQ$9999)/SUMIFS(Raw_Data_Daily!$D:$D, Raw_Data_Daily!$B:$B, "Variant", Raw_Data_Daily!$C:$C, "B. 1-9"),"")</f>
        <v>6.983218635</v>
      </c>
      <c r="H103" s="50" t="str">
        <f t="shared" si="91"/>
        <v/>
      </c>
      <c r="I103" s="115">
        <f>IFERROR(SUMPRODUCT((Raw_Data_Daily!$B$2:$B$9999="Control")*(Raw_Data_Daily!$C$2:$C$9999="C. 10-19")*Raw_Data_Daily!$D$2:$D$9999*Raw_Data_Daily!$CQ$2:$CQ$9999)/SUMIFS(Raw_Data_Daily!$D:$D, Raw_Data_Daily!$B:$B, "Control", Raw_Data_Daily!$C:$C, "C. 10-19"),"")</f>
        <v>0.001446258965</v>
      </c>
      <c r="J103" s="55">
        <f>IFERROR(SUMPRODUCT((Raw_Data_Daily!$B$2:$B$9999="Variant")*(Raw_Data_Daily!$C$2:$C$9999="C. 10-19")*Raw_Data_Daily!$D$2:$D$9999*Raw_Data_Daily!$CQ$2:$CQ$9999)/SUMIFS(Raw_Data_Daily!$D:$D, Raw_Data_Daily!$B:$B, "Variant", Raw_Data_Daily!$C:$C, "C. 10-19"),"")</f>
        <v>19.59572049</v>
      </c>
      <c r="K103" s="49">
        <f t="shared" si="92"/>
        <v>13548.24738</v>
      </c>
      <c r="L103" s="119">
        <f>IFERROR(SUMPRODUCT((Raw_Data_Daily!$B$2:$B$9999="Control")*(Raw_Data_Daily!$C$2:$C$9999="D. 20-39")*Raw_Data_Daily!$D$2:$D$9999*Raw_Data_Daily!$CQ$2:$CQ$9999)/SUMIFS(Raw_Data_Daily!$D:$D, Raw_Data_Daily!$B:$B, "Control", Raw_Data_Daily!$C:$C, "D. 20-39"),"")</f>
        <v>0</v>
      </c>
      <c r="M103" s="55">
        <f>IFERROR(SUMPRODUCT((Raw_Data_Daily!$B$2:$B$9999="Variant")*(Raw_Data_Daily!$C$2:$C$9999="D. 20-39")*Raw_Data_Daily!$D$2:$D$9999*Raw_Data_Daily!$CQ$2:$CQ$9999)/SUMIFS(Raw_Data_Daily!$D:$D, Raw_Data_Daily!$B:$B, "Variant", Raw_Data_Daily!$C:$C, "D. 20-39"),"")</f>
        <v>33.77374507</v>
      </c>
      <c r="N103" s="50" t="str">
        <f t="shared" si="93"/>
        <v/>
      </c>
      <c r="O103" s="115">
        <f>IFERROR(SUMPRODUCT((Raw_Data_Daily!$B$2:$B$9999="Control")*(Raw_Data_Daily!$C$2:$C$9999="E. 40-99")*Raw_Data_Daily!$D$2:$D$9999*Raw_Data_Daily!$CQ$2:$CQ$9999)/SUMIFS(Raw_Data_Daily!$D:$D, Raw_Data_Daily!$B:$B, "Control", Raw_Data_Daily!$C:$C, "E. 40-99"),"")</f>
        <v>0</v>
      </c>
      <c r="P103" s="55">
        <f>IFERROR(SUMPRODUCT((Raw_Data_Daily!$B$2:$B$9999="Variant")*(Raw_Data_Daily!$C$2:$C$9999="E. 40-99")*Raw_Data_Daily!$D$2:$D$9999*Raw_Data_Daily!$CQ$2:$CQ$9999)/SUMIFS(Raw_Data_Daily!$D:$D, Raw_Data_Daily!$B:$B, "Variant", Raw_Data_Daily!$C:$C, "E. 40-99"),"")</f>
        <v>67.08677263</v>
      </c>
      <c r="Q103" s="49" t="str">
        <f t="shared" si="94"/>
        <v/>
      </c>
      <c r="R103" s="119">
        <f>IFERROR(SUMPRODUCT((Raw_Data_Daily!$B$2:$B$9999="Control")*(Raw_Data_Daily!$C$2:$C$9999="F. 100+")*Raw_Data_Daily!$D$2:$D$9999*Raw_Data_Daily!$CQ$2:$CQ$9999)/SUMIFS(Raw_Data_Daily!$D:$D, Raw_Data_Daily!$B:$B, "Control", Raw_Data_Daily!$C:$C, "F. 100+"),"")</f>
        <v>0</v>
      </c>
      <c r="S103" s="136">
        <f>IFERROR(SUMPRODUCT((Raw_Data_Daily!$B$2:$B$9999="Variant")*(Raw_Data_Daily!$C$2:$C$9999="F. 100+")*Raw_Data_Daily!$D$2:$D$9999*Raw_Data_Daily!$CQ$2:$CQ$9999)/SUMIFS(Raw_Data_Daily!$D:$D, Raw_Data_Daily!$B:$B, "Variant", Raw_Data_Daily!$C:$C, "F. 100+"),"")</f>
        <v>159.8913098</v>
      </c>
      <c r="T103" s="49" t="str">
        <f t="shared" si="95"/>
        <v/>
      </c>
    </row>
    <row r="104" ht="15.75" customHeight="1">
      <c r="A104" s="76" t="s">
        <v>116</v>
      </c>
      <c r="B104" s="223" t="s">
        <v>122</v>
      </c>
      <c r="C104" s="115">
        <f>IFERROR(SUMPRODUCT((Raw_Data_Daily!$B$2:$B$9999="Control")*(Raw_Data_Daily!$C$2:$C$9999="A. 0")*Raw_Data_Daily!$D$2:$D$9999*Raw_Data_Daily!$CR$2:$CR$9999)/SUMIFS(Raw_Data_Daily!$D:$D, Raw_Data_Daily!$B:$B, "Control", Raw_Data_Daily!$C:$C, "A. 0"),"")</f>
        <v>2.933618313</v>
      </c>
      <c r="D104" s="55">
        <f>IFERROR(SUMPRODUCT((Raw_Data_Daily!$B$2:$B$9999="Variant")*(Raw_Data_Daily!$C$2:$C$9999="A. 0")*Raw_Data_Daily!$D$2:$D$9999*Raw_Data_Daily!$CR$2:$CR$9999)/SUMIFS(Raw_Data_Daily!$D:$D, Raw_Data_Daily!$B:$B, "Variant", Raw_Data_Daily!$C:$C, "A. 0"),"")</f>
        <v>2.902169305</v>
      </c>
      <c r="E104" s="46">
        <f t="shared" si="90"/>
        <v>-0.01072021131</v>
      </c>
      <c r="F104" s="119">
        <f>IFERROR(SUMPRODUCT((Raw_Data_Daily!$B$2:$B$9999="Control")*(Raw_Data_Daily!$C$2:$C$9999="B. 1-9")*Raw_Data_Daily!$D$2:$D$9999*Raw_Data_Daily!$CR$2:$CR$9999)/SUMIFS(Raw_Data_Daily!$D:$D, Raw_Data_Daily!$B:$B, "Control", Raw_Data_Daily!$C:$C, "B. 1-9"),"")</f>
        <v>5.078330012</v>
      </c>
      <c r="G104" s="55">
        <f>IFERROR(SUMPRODUCT((Raw_Data_Daily!$B$2:$B$9999="Variant")*(Raw_Data_Daily!$C$2:$C$9999="B. 1-9")*Raw_Data_Daily!$D$2:$D$9999*Raw_Data_Daily!$CR$2:$CR$9999)/SUMIFS(Raw_Data_Daily!$D:$D, Raw_Data_Daily!$B:$B, "Variant", Raw_Data_Daily!$C:$C, "B. 1-9"),"")</f>
        <v>4.800789484</v>
      </c>
      <c r="H104" s="50">
        <f t="shared" si="91"/>
        <v>-0.05465192838</v>
      </c>
      <c r="I104" s="115">
        <f>IFERROR(SUMPRODUCT((Raw_Data_Daily!$B$2:$B$9999="Control")*(Raw_Data_Daily!$C$2:$C$9999="C. 10-19")*Raw_Data_Daily!$D$2:$D$9999*Raw_Data_Daily!$CR$2:$CR$9999)/SUMIFS(Raw_Data_Daily!$D:$D, Raw_Data_Daily!$B:$B, "Control", Raw_Data_Daily!$C:$C, "C. 10-19"),"")</f>
        <v>6.694550058</v>
      </c>
      <c r="J104" s="55">
        <f>IFERROR(SUMPRODUCT((Raw_Data_Daily!$B$2:$B$9999="Variant")*(Raw_Data_Daily!$C$2:$C$9999="C. 10-19")*Raw_Data_Daily!$D$2:$D$9999*Raw_Data_Daily!$CR$2:$CR$9999)/SUMIFS(Raw_Data_Daily!$D:$D, Raw_Data_Daily!$B:$B, "Variant", Raw_Data_Daily!$C:$C, "C. 10-19"),"")</f>
        <v>6.340644782</v>
      </c>
      <c r="K104" s="49">
        <f t="shared" si="92"/>
        <v>-0.05286468442</v>
      </c>
      <c r="L104" s="119">
        <f>IFERROR(SUMPRODUCT((Raw_Data_Daily!$B$2:$B$9999="Control")*(Raw_Data_Daily!$C$2:$C$9999="D. 20-39")*Raw_Data_Daily!$D$2:$D$9999*Raw_Data_Daily!$CR$2:$CR$9999)/SUMIFS(Raw_Data_Daily!$D:$D, Raw_Data_Daily!$B:$B, "Control", Raw_Data_Daily!$C:$C, "D. 20-39"),"")</f>
        <v>8.27764016</v>
      </c>
      <c r="M104" s="55">
        <f>IFERROR(SUMPRODUCT((Raw_Data_Daily!$B$2:$B$9999="Variant")*(Raw_Data_Daily!$C$2:$C$9999="D. 20-39")*Raw_Data_Daily!$D$2:$D$9999*Raw_Data_Daily!$CR$2:$CR$9999)/SUMIFS(Raw_Data_Daily!$D:$D, Raw_Data_Daily!$B:$B, "Variant", Raw_Data_Daily!$C:$C, "D. 20-39"),"")</f>
        <v>7.799987169</v>
      </c>
      <c r="N104" s="50">
        <f t="shared" si="93"/>
        <v>-0.05770400522</v>
      </c>
      <c r="O104" s="115">
        <f>IFERROR(SUMPRODUCT((Raw_Data_Daily!$B$2:$B$9999="Control")*(Raw_Data_Daily!$C$2:$C$9999="E. 40-99")*Raw_Data_Daily!$D$2:$D$9999*Raw_Data_Daily!$CR$2:$CR$9999)/SUMIFS(Raw_Data_Daily!$D:$D, Raw_Data_Daily!$B:$B, "Control", Raw_Data_Daily!$C:$C, "E. 40-99"),"")</f>
        <v>10.63384881</v>
      </c>
      <c r="P104" s="55">
        <f>IFERROR(SUMPRODUCT((Raw_Data_Daily!$B$2:$B$9999="Variant")*(Raw_Data_Daily!$C$2:$C$9999="E. 40-99")*Raw_Data_Daily!$D$2:$D$9999*Raw_Data_Daily!$CR$2:$CR$9999)/SUMIFS(Raw_Data_Daily!$D:$D, Raw_Data_Daily!$B:$B, "Variant", Raw_Data_Daily!$C:$C, "E. 40-99"),"")</f>
        <v>10.53162002</v>
      </c>
      <c r="Q104" s="49">
        <f t="shared" si="94"/>
        <v>-0.009613526763</v>
      </c>
      <c r="R104" s="119">
        <f>IFERROR(SUMPRODUCT((Raw_Data_Daily!$B$2:$B$9999="Control")*(Raw_Data_Daily!$C$2:$C$9999="F. 100+")*Raw_Data_Daily!$D$2:$D$9999*Raw_Data_Daily!$CR$2:$CR$9999)/SUMIFS(Raw_Data_Daily!$D:$D, Raw_Data_Daily!$B:$B, "Control", Raw_Data_Daily!$C:$C, "F. 100+"),"")</f>
        <v>15.96575225</v>
      </c>
      <c r="S104" s="136">
        <f>IFERROR(SUMPRODUCT((Raw_Data_Daily!$B$2:$B$9999="Variant")*(Raw_Data_Daily!$C$2:$C$9999="F. 100+")*Raw_Data_Daily!$D$2:$D$9999*Raw_Data_Daily!$CR$2:$CR$9999)/SUMIFS(Raw_Data_Daily!$D:$D, Raw_Data_Daily!$B:$B, "Variant", Raw_Data_Daily!$C:$C, "F. 100+"),"")</f>
        <v>15.21843243</v>
      </c>
      <c r="T104" s="49">
        <f t="shared" si="95"/>
        <v>-0.04680767944</v>
      </c>
    </row>
    <row r="105" ht="15.75" customHeight="1">
      <c r="A105" s="76" t="s">
        <v>116</v>
      </c>
      <c r="B105" s="223" t="s">
        <v>123</v>
      </c>
      <c r="C105" s="115">
        <f>IFERROR(SUMPRODUCT((Raw_Data_Daily!$B$2:$B$9999="Control")*(Raw_Data_Daily!$C$2:$C$9999="A. 0")*Raw_Data_Daily!$D$2:$D$9999*Raw_Data_Daily!$CS$2:$CS$9999)/SUMIFS(Raw_Data_Daily!$D:$D, Raw_Data_Daily!$B:$B, "Control", Raw_Data_Daily!$C:$C, "A. 0"),"")</f>
        <v>2.615454741</v>
      </c>
      <c r="D105" s="55">
        <f>IFERROR(SUMPRODUCT((Raw_Data_Daily!$B$2:$B$9999="Variant")*(Raw_Data_Daily!$C$2:$C$9999="A. 0")*Raw_Data_Daily!$D$2:$D$9999*Raw_Data_Daily!$CS$2:$CS$9999)/SUMIFS(Raw_Data_Daily!$D:$D, Raw_Data_Daily!$B:$B, "Variant", Raw_Data_Daily!$C:$C, "A. 0"),"")</f>
        <v>3.737161444</v>
      </c>
      <c r="E105" s="46">
        <f t="shared" si="90"/>
        <v>0.4288763578</v>
      </c>
      <c r="F105" s="119">
        <f>IFERROR(SUMPRODUCT((Raw_Data_Daily!$B$2:$B$9999="Control")*(Raw_Data_Daily!$C$2:$C$9999="B. 1-9")*Raw_Data_Daily!$D$2:$D$9999*Raw_Data_Daily!$CS$2:$CS$9999)/SUMIFS(Raw_Data_Daily!$D:$D, Raw_Data_Daily!$B:$B, "Control", Raw_Data_Daily!$C:$C, "B. 1-9"),"")</f>
        <v>2.098931897</v>
      </c>
      <c r="G105" s="55">
        <f>IFERROR(SUMPRODUCT((Raw_Data_Daily!$B$2:$B$9999="Variant")*(Raw_Data_Daily!$C$2:$C$9999="B. 1-9")*Raw_Data_Daily!$D$2:$D$9999*Raw_Data_Daily!$CS$2:$CS$9999)/SUMIFS(Raw_Data_Daily!$D:$D, Raw_Data_Daily!$B:$B, "Variant", Raw_Data_Daily!$C:$C, "B. 1-9"),"")</f>
        <v>2.050801356</v>
      </c>
      <c r="H105" s="50">
        <f t="shared" si="91"/>
        <v>-0.02293096875</v>
      </c>
      <c r="I105" s="115">
        <f>IFERROR(SUMPRODUCT((Raw_Data_Daily!$B$2:$B$9999="Control")*(Raw_Data_Daily!$C$2:$C$9999="C. 10-19")*Raw_Data_Daily!$D$2:$D$9999*Raw_Data_Daily!$CS$2:$CS$9999)/SUMIFS(Raw_Data_Daily!$D:$D, Raw_Data_Daily!$B:$B, "Control", Raw_Data_Daily!$C:$C, "C. 10-19"),"")</f>
        <v>8.446771661</v>
      </c>
      <c r="J105" s="55">
        <f>IFERROR(SUMPRODUCT((Raw_Data_Daily!$B$2:$B$9999="Variant")*(Raw_Data_Daily!$C$2:$C$9999="C. 10-19")*Raw_Data_Daily!$D$2:$D$9999*Raw_Data_Daily!$CS$2:$CS$9999)/SUMIFS(Raw_Data_Daily!$D:$D, Raw_Data_Daily!$B:$B, "Variant", Raw_Data_Daily!$C:$C, "C. 10-19"),"")</f>
        <v>8.632685432</v>
      </c>
      <c r="K105" s="49">
        <f t="shared" si="92"/>
        <v>0.02201003864</v>
      </c>
      <c r="L105" s="119">
        <f>IFERROR(SUMPRODUCT((Raw_Data_Daily!$B$2:$B$9999="Control")*(Raw_Data_Daily!$C$2:$C$9999="D. 20-39")*Raw_Data_Daily!$D$2:$D$9999*Raw_Data_Daily!$CS$2:$CS$9999)/SUMIFS(Raw_Data_Daily!$D:$D, Raw_Data_Daily!$B:$B, "Control", Raw_Data_Daily!$C:$C, "D. 20-39"),"")</f>
        <v>14.14532655</v>
      </c>
      <c r="M105" s="55">
        <f>IFERROR(SUMPRODUCT((Raw_Data_Daily!$B$2:$B$9999="Variant")*(Raw_Data_Daily!$C$2:$C$9999="D. 20-39")*Raw_Data_Daily!$D$2:$D$9999*Raw_Data_Daily!$CS$2:$CS$9999)/SUMIFS(Raw_Data_Daily!$D:$D, Raw_Data_Daily!$B:$B, "Variant", Raw_Data_Daily!$C:$C, "D. 20-39"),"")</f>
        <v>16.50669181</v>
      </c>
      <c r="N105" s="50">
        <f t="shared" si="93"/>
        <v>0.1669360725</v>
      </c>
      <c r="O105" s="115">
        <f>IFERROR(SUMPRODUCT((Raw_Data_Daily!$B$2:$B$9999="Control")*(Raw_Data_Daily!$C$2:$C$9999="E. 40-99")*Raw_Data_Daily!$D$2:$D$9999*Raw_Data_Daily!$CS$2:$CS$9999)/SUMIFS(Raw_Data_Daily!$D:$D, Raw_Data_Daily!$B:$B, "Control", Raw_Data_Daily!$C:$C, "E. 40-99"),"")</f>
        <v>20.38544508</v>
      </c>
      <c r="P105" s="55">
        <f>IFERROR(SUMPRODUCT((Raw_Data_Daily!$B$2:$B$9999="Variant")*(Raw_Data_Daily!$C$2:$C$9999="E. 40-99")*Raw_Data_Daily!$D$2:$D$9999*Raw_Data_Daily!$CS$2:$CS$9999)/SUMIFS(Raw_Data_Daily!$D:$D, Raw_Data_Daily!$B:$B, "Variant", Raw_Data_Daily!$C:$C, "E. 40-99"),"")</f>
        <v>26.08381767</v>
      </c>
      <c r="Q105" s="49">
        <f t="shared" si="94"/>
        <v>0.2795314285</v>
      </c>
      <c r="R105" s="119">
        <f>IFERROR(SUMPRODUCT((Raw_Data_Daily!$B$2:$B$9999="Control")*(Raw_Data_Daily!$C$2:$C$9999="F. 100+")*Raw_Data_Daily!$D$2:$D$9999*Raw_Data_Daily!$CS$2:$CS$9999)/SUMIFS(Raw_Data_Daily!$D:$D, Raw_Data_Daily!$B:$B, "Control", Raw_Data_Daily!$C:$C, "F. 100+"),"")</f>
        <v>25.30543413</v>
      </c>
      <c r="S105" s="136">
        <f>IFERROR(SUMPRODUCT((Raw_Data_Daily!$B$2:$B$9999="Variant")*(Raw_Data_Daily!$C$2:$C$9999="F. 100+")*Raw_Data_Daily!$D$2:$D$9999*Raw_Data_Daily!$CS$2:$CS$9999)/SUMIFS(Raw_Data_Daily!$D:$D, Raw_Data_Daily!$B:$B, "Variant", Raw_Data_Daily!$C:$C, "F. 100+"),"")</f>
        <v>36.76510187</v>
      </c>
      <c r="T105" s="49">
        <f t="shared" si="95"/>
        <v>0.4528540265</v>
      </c>
    </row>
    <row r="106" ht="15.75" customHeight="1">
      <c r="A106" s="76" t="s">
        <v>116</v>
      </c>
      <c r="B106" s="223" t="s">
        <v>124</v>
      </c>
      <c r="C106" s="115">
        <f>IFERROR(SUMPRODUCT((Raw_Data_Daily!$B$2:$B$9999="Control")*(Raw_Data_Daily!$C$2:$C$9999="A. 0")*Raw_Data_Daily!$D$2:$D$9999*Raw_Data_Daily!$CT$2:$CT$9999)/SUMIFS(Raw_Data_Daily!$D:$D, Raw_Data_Daily!$B:$B, "Control", Raw_Data_Daily!$C:$C, "A. 0"),"")</f>
        <v>0</v>
      </c>
      <c r="D106" s="55">
        <f>IFERROR(SUMPRODUCT((Raw_Data_Daily!$B$2:$B$9999="Variant")*(Raw_Data_Daily!$C$2:$C$9999="A. 0")*Raw_Data_Daily!$D$2:$D$9999*Raw_Data_Daily!$CT$2:$CT$9999)/SUMIFS(Raw_Data_Daily!$D:$D, Raw_Data_Daily!$B:$B, "Variant", Raw_Data_Daily!$C:$C, "A. 0"),"")</f>
        <v>0</v>
      </c>
      <c r="E106" s="46" t="str">
        <f t="shared" si="90"/>
        <v/>
      </c>
      <c r="F106" s="119">
        <f>IFERROR(SUMPRODUCT((Raw_Data_Daily!$B$2:$B$9999="Control")*(Raw_Data_Daily!$C$2:$C$9999="B. 1-9")*Raw_Data_Daily!$D$2:$D$9999*Raw_Data_Daily!$CT$2:$CT$9999)/SUMIFS(Raw_Data_Daily!$D:$D, Raw_Data_Daily!$B:$B, "Control", Raw_Data_Daily!$C:$C, "B. 1-9"),"")</f>
        <v>0</v>
      </c>
      <c r="G106" s="55">
        <f>IFERROR(SUMPRODUCT((Raw_Data_Daily!$B$2:$B$9999="Variant")*(Raw_Data_Daily!$C$2:$C$9999="B. 1-9")*Raw_Data_Daily!$D$2:$D$9999*Raw_Data_Daily!$CT$2:$CT$9999)/SUMIFS(Raw_Data_Daily!$D:$D, Raw_Data_Daily!$B:$B, "Variant", Raw_Data_Daily!$C:$C, "B. 1-9"),"")</f>
        <v>0</v>
      </c>
      <c r="H106" s="50" t="str">
        <f t="shared" si="91"/>
        <v/>
      </c>
      <c r="I106" s="115">
        <f>IFERROR(SUMPRODUCT((Raw_Data_Daily!$B$2:$B$9999="Control")*(Raw_Data_Daily!$C$2:$C$9999="C. 10-19")*Raw_Data_Daily!$D$2:$D$9999*Raw_Data_Daily!$CT$2:$CT$9999)/SUMIFS(Raw_Data_Daily!$D:$D, Raw_Data_Daily!$B:$B, "Control", Raw_Data_Daily!$C:$C, "C. 10-19"),"")</f>
        <v>0</v>
      </c>
      <c r="J106" s="55">
        <f>IFERROR(SUMPRODUCT((Raw_Data_Daily!$B$2:$B$9999="Variant")*(Raw_Data_Daily!$C$2:$C$9999="C. 10-19")*Raw_Data_Daily!$D$2:$D$9999*Raw_Data_Daily!$CT$2:$CT$9999)/SUMIFS(Raw_Data_Daily!$D:$D, Raw_Data_Daily!$B:$B, "Variant", Raw_Data_Daily!$C:$C, "C. 10-19"),"")</f>
        <v>0</v>
      </c>
      <c r="K106" s="49" t="str">
        <f t="shared" si="92"/>
        <v/>
      </c>
      <c r="L106" s="119">
        <f>IFERROR(SUMPRODUCT((Raw_Data_Daily!$B$2:$B$9999="Control")*(Raw_Data_Daily!$C$2:$C$9999="D. 20-39")*Raw_Data_Daily!$D$2:$D$9999*Raw_Data_Daily!$CT$2:$CT$9999)/SUMIFS(Raw_Data_Daily!$D:$D, Raw_Data_Daily!$B:$B, "Control", Raw_Data_Daily!$C:$C, "D. 20-39"),"")</f>
        <v>0</v>
      </c>
      <c r="M106" s="55">
        <f>IFERROR(SUMPRODUCT((Raw_Data_Daily!$B$2:$B$9999="Variant")*(Raw_Data_Daily!$C$2:$C$9999="D. 20-39")*Raw_Data_Daily!$D$2:$D$9999*Raw_Data_Daily!$CT$2:$CT$9999)/SUMIFS(Raw_Data_Daily!$D:$D, Raw_Data_Daily!$B:$B, "Variant", Raw_Data_Daily!$C:$C, "D. 20-39"),"")</f>
        <v>0</v>
      </c>
      <c r="N106" s="50" t="str">
        <f t="shared" si="93"/>
        <v/>
      </c>
      <c r="O106" s="115">
        <f>IFERROR(SUMPRODUCT((Raw_Data_Daily!$B$2:$B$9999="Control")*(Raw_Data_Daily!$C$2:$C$9999="E. 40-99")*Raw_Data_Daily!$D$2:$D$9999*Raw_Data_Daily!$CT$2:$CT$9999)/SUMIFS(Raw_Data_Daily!$D:$D, Raw_Data_Daily!$B:$B, "Control", Raw_Data_Daily!$C:$C, "E. 40-99"),"")</f>
        <v>0</v>
      </c>
      <c r="P106" s="55">
        <f>IFERROR(SUMPRODUCT((Raw_Data_Daily!$B$2:$B$9999="Variant")*(Raw_Data_Daily!$C$2:$C$9999="E. 40-99")*Raw_Data_Daily!$D$2:$D$9999*Raw_Data_Daily!$CT$2:$CT$9999)/SUMIFS(Raw_Data_Daily!$D:$D, Raw_Data_Daily!$B:$B, "Variant", Raw_Data_Daily!$C:$C, "E. 40-99"),"")</f>
        <v>0</v>
      </c>
      <c r="Q106" s="49" t="str">
        <f t="shared" si="94"/>
        <v/>
      </c>
      <c r="R106" s="119">
        <f>IFERROR(SUMPRODUCT((Raw_Data_Daily!$B$2:$B$9999="Control")*(Raw_Data_Daily!$C$2:$C$9999="F. 100+")*Raw_Data_Daily!$D$2:$D$9999*Raw_Data_Daily!$CT$2:$CT$9999)/SUMIFS(Raw_Data_Daily!$D:$D, Raw_Data_Daily!$B:$B, "Control", Raw_Data_Daily!$C:$C, "F. 100+"),"")</f>
        <v>0</v>
      </c>
      <c r="S106" s="136">
        <f>IFERROR(SUMPRODUCT((Raw_Data_Daily!$B$2:$B$9999="Variant")*(Raw_Data_Daily!$C$2:$C$9999="F. 100+")*Raw_Data_Daily!$D$2:$D$9999*Raw_Data_Daily!$CT$2:$CT$9999)/SUMIFS(Raw_Data_Daily!$D:$D, Raw_Data_Daily!$B:$B, "Variant", Raw_Data_Daily!$C:$C, "F. 100+"),"")</f>
        <v>0</v>
      </c>
      <c r="T106" s="49" t="str">
        <f t="shared" si="95"/>
        <v/>
      </c>
    </row>
    <row r="107" ht="15.75" customHeight="1">
      <c r="B107" s="2"/>
      <c r="F107" s="3"/>
    </row>
    <row r="108" ht="15.75" customHeight="1">
      <c r="B108" s="2"/>
      <c r="F108" s="3"/>
    </row>
    <row r="109" ht="15.75" customHeight="1">
      <c r="B109" s="2"/>
      <c r="F109" s="3"/>
    </row>
    <row r="110" ht="15.75" customHeight="1">
      <c r="B110" s="2"/>
      <c r="F110" s="3"/>
    </row>
    <row r="111" ht="15.75" customHeight="1">
      <c r="B111" s="2"/>
      <c r="F111" s="3"/>
    </row>
    <row r="112" ht="15.75" customHeight="1">
      <c r="B112" s="2"/>
      <c r="F112" s="3"/>
    </row>
    <row r="113" ht="15.75" customHeight="1">
      <c r="B113" s="2"/>
      <c r="F113" s="3"/>
    </row>
    <row r="114" ht="15.75" customHeight="1">
      <c r="B114" s="2"/>
      <c r="F114" s="3"/>
    </row>
    <row r="115" ht="15.75" customHeight="1">
      <c r="B115" s="2"/>
      <c r="F115" s="3"/>
    </row>
    <row r="116" ht="15.75" customHeight="1">
      <c r="B116" s="2"/>
      <c r="F116" s="3"/>
    </row>
    <row r="117" ht="15.75" customHeight="1">
      <c r="B117" s="2"/>
      <c r="F117" s="3"/>
    </row>
    <row r="118" ht="15.75" customHeight="1">
      <c r="B118" s="2"/>
      <c r="F118" s="3"/>
    </row>
    <row r="119" ht="15.75" customHeight="1">
      <c r="B119" s="2"/>
      <c r="F119" s="3"/>
    </row>
    <row r="120" ht="15.75" customHeight="1">
      <c r="B120" s="2"/>
      <c r="F120" s="3"/>
    </row>
    <row r="121" ht="15.75" customHeight="1">
      <c r="B121" s="2"/>
      <c r="F121" s="3"/>
    </row>
    <row r="122" ht="15.75" customHeight="1">
      <c r="B122" s="2"/>
      <c r="F122" s="3"/>
    </row>
    <row r="123" ht="15.75" customHeight="1">
      <c r="B123" s="2"/>
      <c r="F123" s="3"/>
    </row>
    <row r="124" ht="15.75" customHeight="1">
      <c r="B124" s="2"/>
      <c r="F124" s="3"/>
    </row>
    <row r="125" ht="15.75" customHeight="1">
      <c r="B125" s="2"/>
      <c r="F125" s="3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</sheetData>
  <mergeCells count="9">
    <mergeCell ref="O3:Q3"/>
    <mergeCell ref="R3:T3"/>
    <mergeCell ref="A1:T1"/>
    <mergeCell ref="A3:A4"/>
    <mergeCell ref="B3:B4"/>
    <mergeCell ref="C3:E3"/>
    <mergeCell ref="F3:H3"/>
    <mergeCell ref="I3:K3"/>
    <mergeCell ref="L3:N3"/>
  </mergeCells>
  <conditionalFormatting sqref="E8:E11">
    <cfRule type="cellIs" dxfId="15" priority="1" operator="greaterThan">
      <formula>0</formula>
    </cfRule>
  </conditionalFormatting>
  <conditionalFormatting sqref="E8:E11">
    <cfRule type="cellIs" dxfId="16" priority="2" operator="lessThan">
      <formula>0</formula>
    </cfRule>
  </conditionalFormatting>
  <conditionalFormatting sqref="E13:E15">
    <cfRule type="cellIs" dxfId="15" priority="3" operator="greaterThan">
      <formula>0</formula>
    </cfRule>
  </conditionalFormatting>
  <conditionalFormatting sqref="E13:E15">
    <cfRule type="cellIs" dxfId="16" priority="4" operator="lessThan">
      <formula>0</formula>
    </cfRule>
  </conditionalFormatting>
  <conditionalFormatting sqref="E17:E22">
    <cfRule type="cellIs" dxfId="15" priority="5" operator="greaterThan">
      <formula>0</formula>
    </cfRule>
  </conditionalFormatting>
  <conditionalFormatting sqref="E17:E22">
    <cfRule type="cellIs" dxfId="16" priority="6" operator="lessThan">
      <formula>0</formula>
    </cfRule>
  </conditionalFormatting>
  <conditionalFormatting sqref="E29">
    <cfRule type="cellIs" dxfId="2" priority="7" operator="greaterThan">
      <formula>0</formula>
    </cfRule>
  </conditionalFormatting>
  <conditionalFormatting sqref="E29">
    <cfRule type="cellIs" dxfId="3" priority="8" operator="lessThan">
      <formula>0</formula>
    </cfRule>
  </conditionalFormatting>
  <conditionalFormatting sqref="E30">
    <cfRule type="cellIs" dxfId="15" priority="9" operator="greaterThan">
      <formula>0</formula>
    </cfRule>
  </conditionalFormatting>
  <conditionalFormatting sqref="E30">
    <cfRule type="cellIs" dxfId="16" priority="10" operator="lessThan">
      <formula>0</formula>
    </cfRule>
  </conditionalFormatting>
  <conditionalFormatting sqref="E31">
    <cfRule type="cellIs" dxfId="2" priority="11" operator="lessThan">
      <formula>0</formula>
    </cfRule>
  </conditionalFormatting>
  <conditionalFormatting sqref="E31">
    <cfRule type="cellIs" dxfId="3" priority="12" operator="greaterThan">
      <formula>0</formula>
    </cfRule>
  </conditionalFormatting>
  <conditionalFormatting sqref="E32">
    <cfRule type="cellIs" dxfId="2" priority="13" operator="greaterThan">
      <formula>0</formula>
    </cfRule>
  </conditionalFormatting>
  <conditionalFormatting sqref="E32">
    <cfRule type="cellIs" dxfId="3" priority="14" operator="lessThan">
      <formula>0</formula>
    </cfRule>
  </conditionalFormatting>
  <conditionalFormatting sqref="E33">
    <cfRule type="cellIs" dxfId="2" priority="15" operator="lessThan">
      <formula>0</formula>
    </cfRule>
  </conditionalFormatting>
  <conditionalFormatting sqref="E33">
    <cfRule type="cellIs" dxfId="3" priority="16" operator="greaterThan">
      <formula>0</formula>
    </cfRule>
  </conditionalFormatting>
  <conditionalFormatting sqref="E34">
    <cfRule type="cellIs" dxfId="2" priority="17" operator="greaterThan">
      <formula>0</formula>
    </cfRule>
  </conditionalFormatting>
  <conditionalFormatting sqref="E34">
    <cfRule type="cellIs" dxfId="3" priority="18" operator="lessThan">
      <formula>0</formula>
    </cfRule>
  </conditionalFormatting>
  <conditionalFormatting sqref="E35">
    <cfRule type="cellIs" dxfId="15" priority="19" operator="greaterThan">
      <formula>0</formula>
    </cfRule>
  </conditionalFormatting>
  <conditionalFormatting sqref="E35">
    <cfRule type="cellIs" dxfId="16" priority="20" operator="lessThan">
      <formula>0</formula>
    </cfRule>
  </conditionalFormatting>
  <conditionalFormatting sqref="E56:E60">
    <cfRule type="cellIs" dxfId="2" priority="21" operator="greaterThan">
      <formula>0</formula>
    </cfRule>
  </conditionalFormatting>
  <conditionalFormatting sqref="E56:E60">
    <cfRule type="cellIs" dxfId="3" priority="22" operator="lessThan">
      <formula>0</formula>
    </cfRule>
  </conditionalFormatting>
  <conditionalFormatting sqref="E48:E49 E63:E64 E69:E70 E75:E76 E81:E82 E87:E88 E93:E94 E99:E106">
    <cfRule type="cellIs" dxfId="2" priority="23" operator="greaterThan">
      <formula>0</formula>
    </cfRule>
  </conditionalFormatting>
  <conditionalFormatting sqref="E48:E49 E63:E64 E69:E70 E75:E76 E81:E82 E87:E88 E93:E94 E99:E106">
    <cfRule type="cellIs" dxfId="3" priority="24" operator="lessThan">
      <formula>0</formula>
    </cfRule>
  </conditionalFormatting>
  <conditionalFormatting sqref="E50 E65 E71 E77 E83 E89 E95">
    <cfRule type="cellIs" dxfId="2" priority="25" operator="lessThan">
      <formula>0</formula>
    </cfRule>
  </conditionalFormatting>
  <conditionalFormatting sqref="E50 E65 E71 E77 E83 E89 E95">
    <cfRule type="cellIs" dxfId="3" priority="26" operator="greaterThan">
      <formula>0</formula>
    </cfRule>
  </conditionalFormatting>
  <conditionalFormatting sqref="E51 E66 E72 E78 E84 E90 E96">
    <cfRule type="cellIs" dxfId="2" priority="27" operator="greaterThan">
      <formula>0</formula>
    </cfRule>
  </conditionalFormatting>
  <conditionalFormatting sqref="E51 E66 E72 E78 E84 E90 E96">
    <cfRule type="cellIs" dxfId="3" priority="28" operator="lessThan">
      <formula>0</formula>
    </cfRule>
  </conditionalFormatting>
  <conditionalFormatting sqref="E52 E67 E73 E79 E85 E91 E97">
    <cfRule type="cellIs" dxfId="2" priority="29" operator="lessThan">
      <formula>0</formula>
    </cfRule>
  </conditionalFormatting>
  <conditionalFormatting sqref="E52 E67 E73 E79 E85 E91 E97">
    <cfRule type="cellIs" dxfId="3" priority="30" operator="greaterThan">
      <formula>0</formula>
    </cfRule>
  </conditionalFormatting>
  <conditionalFormatting sqref="E53">
    <cfRule type="cellIs" dxfId="2" priority="31" operator="greaterThan">
      <formula>0</formula>
    </cfRule>
  </conditionalFormatting>
  <conditionalFormatting sqref="E53">
    <cfRule type="cellIs" dxfId="3" priority="32" operator="lessThan">
      <formula>0</formula>
    </cfRule>
  </conditionalFormatting>
  <conditionalFormatting sqref="H8:H11">
    <cfRule type="cellIs" dxfId="15" priority="33" operator="greaterThan">
      <formula>0</formula>
    </cfRule>
  </conditionalFormatting>
  <conditionalFormatting sqref="H8:H11">
    <cfRule type="cellIs" dxfId="16" priority="34" operator="lessThan">
      <formula>0</formula>
    </cfRule>
  </conditionalFormatting>
  <conditionalFormatting sqref="H13:H15">
    <cfRule type="cellIs" dxfId="15" priority="35" operator="greaterThan">
      <formula>0</formula>
    </cfRule>
  </conditionalFormatting>
  <conditionalFormatting sqref="H13:H15">
    <cfRule type="cellIs" dxfId="16" priority="36" operator="lessThan">
      <formula>0</formula>
    </cfRule>
  </conditionalFormatting>
  <conditionalFormatting sqref="H17:H22 H39:H40 K39:K40 N39:N40 Q39:Q40 T39:T40">
    <cfRule type="cellIs" dxfId="15" priority="37" operator="greaterThan">
      <formula>0</formula>
    </cfRule>
  </conditionalFormatting>
  <conditionalFormatting sqref="H17:H22 H39:H40 K39:K40 N39:N40 Q39:Q40 T39:T40">
    <cfRule type="cellIs" dxfId="16" priority="38" operator="lessThan">
      <formula>0</formula>
    </cfRule>
  </conditionalFormatting>
  <conditionalFormatting sqref="H30">
    <cfRule type="cellIs" dxfId="15" priority="39" operator="greaterThan">
      <formula>0</formula>
    </cfRule>
  </conditionalFormatting>
  <conditionalFormatting sqref="H30">
    <cfRule type="cellIs" dxfId="16" priority="40" operator="lessThan">
      <formula>0</formula>
    </cfRule>
  </conditionalFormatting>
  <conditionalFormatting sqref="H31">
    <cfRule type="cellIs" dxfId="2" priority="41" operator="lessThan">
      <formula>0</formula>
    </cfRule>
  </conditionalFormatting>
  <conditionalFormatting sqref="H31">
    <cfRule type="cellIs" dxfId="3" priority="42" operator="greaterThan">
      <formula>0</formula>
    </cfRule>
  </conditionalFormatting>
  <conditionalFormatting sqref="H32">
    <cfRule type="cellIs" dxfId="2" priority="43" operator="greaterThan">
      <formula>0</formula>
    </cfRule>
  </conditionalFormatting>
  <conditionalFormatting sqref="H32">
    <cfRule type="cellIs" dxfId="3" priority="44" operator="lessThan">
      <formula>0</formula>
    </cfRule>
  </conditionalFormatting>
  <conditionalFormatting sqref="H33">
    <cfRule type="cellIs" dxfId="2" priority="45" operator="lessThan">
      <formula>0</formula>
    </cfRule>
  </conditionalFormatting>
  <conditionalFormatting sqref="H33">
    <cfRule type="cellIs" dxfId="3" priority="46" operator="greaterThan">
      <formula>0</formula>
    </cfRule>
  </conditionalFormatting>
  <conditionalFormatting sqref="H34">
    <cfRule type="cellIs" dxfId="2" priority="47" operator="greaterThan">
      <formula>0</formula>
    </cfRule>
  </conditionalFormatting>
  <conditionalFormatting sqref="H34">
    <cfRule type="cellIs" dxfId="3" priority="48" operator="lessThan">
      <formula>0</formula>
    </cfRule>
  </conditionalFormatting>
  <conditionalFormatting sqref="H35">
    <cfRule type="cellIs" dxfId="15" priority="49" operator="greaterThan">
      <formula>0</formula>
    </cfRule>
  </conditionalFormatting>
  <conditionalFormatting sqref="H35">
    <cfRule type="cellIs" dxfId="16" priority="50" operator="lessThan">
      <formula>0</formula>
    </cfRule>
  </conditionalFormatting>
  <conditionalFormatting sqref="H49 H64 H70 H76 H82 H88 H94">
    <cfRule type="cellIs" dxfId="2" priority="51" operator="greaterThan">
      <formula>0</formula>
    </cfRule>
  </conditionalFormatting>
  <conditionalFormatting sqref="H49 H64 H70 H76 H82 H88 H94">
    <cfRule type="cellIs" dxfId="3" priority="52" operator="lessThan">
      <formula>0</formula>
    </cfRule>
  </conditionalFormatting>
  <conditionalFormatting sqref="H50 H65 H71 H77 H83 H89 H95">
    <cfRule type="cellIs" dxfId="2" priority="53" operator="lessThan">
      <formula>0</formula>
    </cfRule>
  </conditionalFormatting>
  <conditionalFormatting sqref="H50 H65 H71 H77 H83 H89 H95">
    <cfRule type="cellIs" dxfId="3" priority="54" operator="greaterThan">
      <formula>0</formula>
    </cfRule>
  </conditionalFormatting>
  <conditionalFormatting sqref="H51 H66 H72 H78 H84 H90 H96">
    <cfRule type="cellIs" dxfId="2" priority="55" operator="greaterThan">
      <formula>0</formula>
    </cfRule>
  </conditionalFormatting>
  <conditionalFormatting sqref="H51 H66 H72 H78 H84 H90 H96">
    <cfRule type="cellIs" dxfId="3" priority="56" operator="lessThan">
      <formula>0</formula>
    </cfRule>
  </conditionalFormatting>
  <conditionalFormatting sqref="H52 H67 H73 H79 H85 H91 H97">
    <cfRule type="cellIs" dxfId="2" priority="57" operator="lessThan">
      <formula>0</formula>
    </cfRule>
  </conditionalFormatting>
  <conditionalFormatting sqref="H52 H67 H73 H79 H85 H91 H97">
    <cfRule type="cellIs" dxfId="3" priority="58" operator="greaterThan">
      <formula>0</formula>
    </cfRule>
  </conditionalFormatting>
  <conditionalFormatting sqref="H53">
    <cfRule type="cellIs" dxfId="2" priority="59" operator="greaterThan">
      <formula>0</formula>
    </cfRule>
  </conditionalFormatting>
  <conditionalFormatting sqref="H53">
    <cfRule type="cellIs" dxfId="3" priority="60" operator="lessThan">
      <formula>0</formula>
    </cfRule>
  </conditionalFormatting>
  <conditionalFormatting sqref="K8:K11">
    <cfRule type="cellIs" dxfId="15" priority="61" operator="greaterThan">
      <formula>0</formula>
    </cfRule>
  </conditionalFormatting>
  <conditionalFormatting sqref="K8:K11">
    <cfRule type="cellIs" dxfId="16" priority="62" operator="lessThan">
      <formula>0</formula>
    </cfRule>
  </conditionalFormatting>
  <conditionalFormatting sqref="K13:K15">
    <cfRule type="cellIs" dxfId="15" priority="63" operator="greaterThan">
      <formula>0</formula>
    </cfRule>
  </conditionalFormatting>
  <conditionalFormatting sqref="K13:K15">
    <cfRule type="cellIs" dxfId="16" priority="64" operator="lessThan">
      <formula>0</formula>
    </cfRule>
  </conditionalFormatting>
  <conditionalFormatting sqref="K17:K22">
    <cfRule type="cellIs" dxfId="15" priority="65" operator="greaterThan">
      <formula>0</formula>
    </cfRule>
  </conditionalFormatting>
  <conditionalFormatting sqref="K17:K22">
    <cfRule type="cellIs" dxfId="16" priority="66" operator="lessThan">
      <formula>0</formula>
    </cfRule>
  </conditionalFormatting>
  <conditionalFormatting sqref="K30">
    <cfRule type="cellIs" dxfId="15" priority="67" operator="greaterThan">
      <formula>0</formula>
    </cfRule>
  </conditionalFormatting>
  <conditionalFormatting sqref="K30">
    <cfRule type="cellIs" dxfId="16" priority="68" operator="lessThan">
      <formula>0</formula>
    </cfRule>
  </conditionalFormatting>
  <conditionalFormatting sqref="K31">
    <cfRule type="cellIs" dxfId="2" priority="69" operator="lessThan">
      <formula>0</formula>
    </cfRule>
  </conditionalFormatting>
  <conditionalFormatting sqref="K31">
    <cfRule type="cellIs" dxfId="3" priority="70" operator="greaterThan">
      <formula>0</formula>
    </cfRule>
  </conditionalFormatting>
  <conditionalFormatting sqref="K32">
    <cfRule type="cellIs" dxfId="2" priority="71" operator="greaterThan">
      <formula>0</formula>
    </cfRule>
  </conditionalFormatting>
  <conditionalFormatting sqref="K32">
    <cfRule type="cellIs" dxfId="3" priority="72" operator="lessThan">
      <formula>0</formula>
    </cfRule>
  </conditionalFormatting>
  <conditionalFormatting sqref="K33">
    <cfRule type="cellIs" dxfId="2" priority="73" operator="lessThan">
      <formula>0</formula>
    </cfRule>
  </conditionalFormatting>
  <conditionalFormatting sqref="K33">
    <cfRule type="cellIs" dxfId="3" priority="74" operator="greaterThan">
      <formula>0</formula>
    </cfRule>
  </conditionalFormatting>
  <conditionalFormatting sqref="K34">
    <cfRule type="cellIs" dxfId="2" priority="75" operator="greaterThan">
      <formula>0</formula>
    </cfRule>
  </conditionalFormatting>
  <conditionalFormatting sqref="K34">
    <cfRule type="cellIs" dxfId="3" priority="76" operator="lessThan">
      <formula>0</formula>
    </cfRule>
  </conditionalFormatting>
  <conditionalFormatting sqref="K35">
    <cfRule type="cellIs" dxfId="15" priority="77" operator="greaterThan">
      <formula>0</formula>
    </cfRule>
  </conditionalFormatting>
  <conditionalFormatting sqref="K35">
    <cfRule type="cellIs" dxfId="16" priority="78" operator="lessThan">
      <formula>0</formula>
    </cfRule>
  </conditionalFormatting>
  <conditionalFormatting sqref="K49 K64 K70 K76 K82 K88 K94">
    <cfRule type="cellIs" dxfId="2" priority="79" operator="greaterThan">
      <formula>0</formula>
    </cfRule>
  </conditionalFormatting>
  <conditionalFormatting sqref="K49 K64 K70 K76 K82 K88 K94">
    <cfRule type="cellIs" dxfId="3" priority="80" operator="lessThan">
      <formula>0</formula>
    </cfRule>
  </conditionalFormatting>
  <conditionalFormatting sqref="K50 K65 K71 K77 K83 K89 K95">
    <cfRule type="cellIs" dxfId="2" priority="81" operator="lessThan">
      <formula>0</formula>
    </cfRule>
  </conditionalFormatting>
  <conditionalFormatting sqref="K50 K65 K71 K77 K83 K89 K95">
    <cfRule type="cellIs" dxfId="3" priority="82" operator="greaterThan">
      <formula>0</formula>
    </cfRule>
  </conditionalFormatting>
  <conditionalFormatting sqref="K51 K66 K72 K78 K84 K90 K96">
    <cfRule type="cellIs" dxfId="2" priority="83" operator="greaterThan">
      <formula>0</formula>
    </cfRule>
  </conditionalFormatting>
  <conditionalFormatting sqref="K51 K66 K72 K78 K84 K90 K96">
    <cfRule type="cellIs" dxfId="3" priority="84" operator="lessThan">
      <formula>0</formula>
    </cfRule>
  </conditionalFormatting>
  <conditionalFormatting sqref="K52 K67 K73 K79 K85 K91 K97">
    <cfRule type="cellIs" dxfId="2" priority="85" operator="lessThan">
      <formula>0</formula>
    </cfRule>
  </conditionalFormatting>
  <conditionalFormatting sqref="K52 K67 K73 K79 K85 K91 K97">
    <cfRule type="cellIs" dxfId="3" priority="86" operator="greaterThan">
      <formula>0</formula>
    </cfRule>
  </conditionalFormatting>
  <conditionalFormatting sqref="K53">
    <cfRule type="cellIs" dxfId="2" priority="87" operator="greaterThan">
      <formula>0</formula>
    </cfRule>
  </conditionalFormatting>
  <conditionalFormatting sqref="K53">
    <cfRule type="cellIs" dxfId="3" priority="88" operator="lessThan">
      <formula>0</formula>
    </cfRule>
  </conditionalFormatting>
  <conditionalFormatting sqref="N8:N11">
    <cfRule type="cellIs" dxfId="15" priority="89" operator="greaterThan">
      <formula>0</formula>
    </cfRule>
  </conditionalFormatting>
  <conditionalFormatting sqref="N8:N11">
    <cfRule type="cellIs" dxfId="16" priority="90" operator="lessThan">
      <formula>0</formula>
    </cfRule>
  </conditionalFormatting>
  <conditionalFormatting sqref="N13:N15">
    <cfRule type="cellIs" dxfId="15" priority="91" operator="greaterThan">
      <formula>0</formula>
    </cfRule>
  </conditionalFormatting>
  <conditionalFormatting sqref="N13:N15">
    <cfRule type="cellIs" dxfId="16" priority="92" operator="lessThan">
      <formula>0</formula>
    </cfRule>
  </conditionalFormatting>
  <conditionalFormatting sqref="N17:N22">
    <cfRule type="cellIs" dxfId="15" priority="93" operator="greaterThan">
      <formula>0</formula>
    </cfRule>
  </conditionalFormatting>
  <conditionalFormatting sqref="N17:N22">
    <cfRule type="cellIs" dxfId="16" priority="94" operator="lessThan">
      <formula>0</formula>
    </cfRule>
  </conditionalFormatting>
  <conditionalFormatting sqref="N30">
    <cfRule type="cellIs" dxfId="15" priority="95" operator="greaterThan">
      <formula>0</formula>
    </cfRule>
  </conditionalFormatting>
  <conditionalFormatting sqref="N30">
    <cfRule type="cellIs" dxfId="16" priority="96" operator="lessThan">
      <formula>0</formula>
    </cfRule>
  </conditionalFormatting>
  <conditionalFormatting sqref="N31">
    <cfRule type="cellIs" dxfId="2" priority="97" operator="lessThan">
      <formula>0</formula>
    </cfRule>
  </conditionalFormatting>
  <conditionalFormatting sqref="N31">
    <cfRule type="cellIs" dxfId="3" priority="98" operator="greaterThan">
      <formula>0</formula>
    </cfRule>
  </conditionalFormatting>
  <conditionalFormatting sqref="N32">
    <cfRule type="cellIs" dxfId="2" priority="99" operator="greaterThan">
      <formula>0</formula>
    </cfRule>
  </conditionalFormatting>
  <conditionalFormatting sqref="N32">
    <cfRule type="cellIs" dxfId="3" priority="100" operator="lessThan">
      <formula>0</formula>
    </cfRule>
  </conditionalFormatting>
  <conditionalFormatting sqref="N33">
    <cfRule type="cellIs" dxfId="2" priority="101" operator="lessThan">
      <formula>0</formula>
    </cfRule>
  </conditionalFormatting>
  <conditionalFormatting sqref="N33">
    <cfRule type="cellIs" dxfId="3" priority="102" operator="greaterThan">
      <formula>0</formula>
    </cfRule>
  </conditionalFormatting>
  <conditionalFormatting sqref="N34">
    <cfRule type="cellIs" dxfId="2" priority="103" operator="greaterThan">
      <formula>0</formula>
    </cfRule>
  </conditionalFormatting>
  <conditionalFormatting sqref="N34">
    <cfRule type="cellIs" dxfId="3" priority="104" operator="lessThan">
      <formula>0</formula>
    </cfRule>
  </conditionalFormatting>
  <conditionalFormatting sqref="N35">
    <cfRule type="cellIs" dxfId="15" priority="105" operator="greaterThan">
      <formula>0</formula>
    </cfRule>
  </conditionalFormatting>
  <conditionalFormatting sqref="N35">
    <cfRule type="cellIs" dxfId="16" priority="106" operator="lessThan">
      <formula>0</formula>
    </cfRule>
  </conditionalFormatting>
  <conditionalFormatting sqref="N49 N64 N70 N76 N82 N88 N94">
    <cfRule type="cellIs" dxfId="2" priority="107" operator="greaterThan">
      <formula>0</formula>
    </cfRule>
  </conditionalFormatting>
  <conditionalFormatting sqref="N49 N64 N70 N76 N82 N88 N94">
    <cfRule type="cellIs" dxfId="3" priority="108" operator="lessThan">
      <formula>0</formula>
    </cfRule>
  </conditionalFormatting>
  <conditionalFormatting sqref="N50 N65 N71 N77 N83 N89 N95">
    <cfRule type="cellIs" dxfId="2" priority="109" operator="lessThan">
      <formula>0</formula>
    </cfRule>
  </conditionalFormatting>
  <conditionalFormatting sqref="N50 N65 N71 N77 N83 N89 N95">
    <cfRule type="cellIs" dxfId="3" priority="110" operator="greaterThan">
      <formula>0</formula>
    </cfRule>
  </conditionalFormatting>
  <conditionalFormatting sqref="N51 N66 N72 N78 N84 N90 N96">
    <cfRule type="cellIs" dxfId="2" priority="111" operator="greaterThan">
      <formula>0</formula>
    </cfRule>
  </conditionalFormatting>
  <conditionalFormatting sqref="N51 N66 N72 N78 N84 N90 N96">
    <cfRule type="cellIs" dxfId="3" priority="112" operator="lessThan">
      <formula>0</formula>
    </cfRule>
  </conditionalFormatting>
  <conditionalFormatting sqref="N52 N67 N73 N79 N85 N91 N97">
    <cfRule type="cellIs" dxfId="2" priority="113" operator="lessThan">
      <formula>0</formula>
    </cfRule>
  </conditionalFormatting>
  <conditionalFormatting sqref="N52 N67 N73 N79 N85 N91 N97">
    <cfRule type="cellIs" dxfId="3" priority="114" operator="greaterThan">
      <formula>0</formula>
    </cfRule>
  </conditionalFormatting>
  <conditionalFormatting sqref="N53">
    <cfRule type="cellIs" dxfId="2" priority="115" operator="greaterThan">
      <formula>0</formula>
    </cfRule>
  </conditionalFormatting>
  <conditionalFormatting sqref="N53">
    <cfRule type="cellIs" dxfId="3" priority="116" operator="lessThan">
      <formula>0</formula>
    </cfRule>
  </conditionalFormatting>
  <conditionalFormatting sqref="Q8:Q11">
    <cfRule type="cellIs" dxfId="15" priority="117" operator="greaterThan">
      <formula>0</formula>
    </cfRule>
  </conditionalFormatting>
  <conditionalFormatting sqref="Q8:Q11">
    <cfRule type="cellIs" dxfId="16" priority="118" operator="lessThan">
      <formula>0</formula>
    </cfRule>
  </conditionalFormatting>
  <conditionalFormatting sqref="Q13:Q15">
    <cfRule type="cellIs" dxfId="15" priority="119" operator="greaterThan">
      <formula>0</formula>
    </cfRule>
  </conditionalFormatting>
  <conditionalFormatting sqref="Q13:Q15">
    <cfRule type="cellIs" dxfId="16" priority="120" operator="lessThan">
      <formula>0</formula>
    </cfRule>
  </conditionalFormatting>
  <conditionalFormatting sqref="Q17:Q22">
    <cfRule type="cellIs" dxfId="15" priority="121" operator="greaterThan">
      <formula>0</formula>
    </cfRule>
  </conditionalFormatting>
  <conditionalFormatting sqref="Q17:Q22">
    <cfRule type="cellIs" dxfId="16" priority="122" operator="lessThan">
      <formula>0</formula>
    </cfRule>
  </conditionalFormatting>
  <conditionalFormatting sqref="Q30">
    <cfRule type="cellIs" dxfId="15" priority="123" operator="greaterThan">
      <formula>0</formula>
    </cfRule>
  </conditionalFormatting>
  <conditionalFormatting sqref="Q30">
    <cfRule type="cellIs" dxfId="16" priority="124" operator="lessThan">
      <formula>0</formula>
    </cfRule>
  </conditionalFormatting>
  <conditionalFormatting sqref="Q31">
    <cfRule type="cellIs" dxfId="2" priority="125" operator="lessThan">
      <formula>0</formula>
    </cfRule>
  </conditionalFormatting>
  <conditionalFormatting sqref="Q31">
    <cfRule type="cellIs" dxfId="3" priority="126" operator="greaterThan">
      <formula>0</formula>
    </cfRule>
  </conditionalFormatting>
  <conditionalFormatting sqref="Q32">
    <cfRule type="cellIs" dxfId="2" priority="127" operator="greaterThan">
      <formula>0</formula>
    </cfRule>
  </conditionalFormatting>
  <conditionalFormatting sqref="Q32">
    <cfRule type="cellIs" dxfId="3" priority="128" operator="lessThan">
      <formula>0</formula>
    </cfRule>
  </conditionalFormatting>
  <conditionalFormatting sqref="Q33">
    <cfRule type="cellIs" dxfId="2" priority="129" operator="lessThan">
      <formula>0</formula>
    </cfRule>
  </conditionalFormatting>
  <conditionalFormatting sqref="Q33">
    <cfRule type="cellIs" dxfId="3" priority="130" operator="greaterThan">
      <formula>0</formula>
    </cfRule>
  </conditionalFormatting>
  <conditionalFormatting sqref="Q34">
    <cfRule type="cellIs" dxfId="2" priority="131" operator="greaterThan">
      <formula>0</formula>
    </cfRule>
  </conditionalFormatting>
  <conditionalFormatting sqref="Q34">
    <cfRule type="cellIs" dxfId="3" priority="132" operator="lessThan">
      <formula>0</formula>
    </cfRule>
  </conditionalFormatting>
  <conditionalFormatting sqref="Q35">
    <cfRule type="cellIs" dxfId="15" priority="133" operator="greaterThan">
      <formula>0</formula>
    </cfRule>
  </conditionalFormatting>
  <conditionalFormatting sqref="Q35">
    <cfRule type="cellIs" dxfId="16" priority="134" operator="lessThan">
      <formula>0</formula>
    </cfRule>
  </conditionalFormatting>
  <conditionalFormatting sqref="Q49 Q64 Q70 Q76 Q82 Q88 Q94">
    <cfRule type="cellIs" dxfId="2" priority="135" operator="greaterThan">
      <formula>0</formula>
    </cfRule>
  </conditionalFormatting>
  <conditionalFormatting sqref="Q49 Q64 Q70 Q76 Q82 Q88 Q94">
    <cfRule type="cellIs" dxfId="3" priority="136" operator="lessThan">
      <formula>0</formula>
    </cfRule>
  </conditionalFormatting>
  <conditionalFormatting sqref="Q50 Q65 Q71 Q77 Q83 Q89 Q95">
    <cfRule type="cellIs" dxfId="2" priority="137" operator="lessThan">
      <formula>0</formula>
    </cfRule>
  </conditionalFormatting>
  <conditionalFormatting sqref="Q50 Q65 Q71 Q77 Q83 Q89 Q95">
    <cfRule type="cellIs" dxfId="3" priority="138" operator="greaterThan">
      <formula>0</formula>
    </cfRule>
  </conditionalFormatting>
  <conditionalFormatting sqref="Q51 Q66 Q72 Q78 Q84 Q90 Q96">
    <cfRule type="cellIs" dxfId="2" priority="139" operator="greaterThan">
      <formula>0</formula>
    </cfRule>
  </conditionalFormatting>
  <conditionalFormatting sqref="Q51 Q66 Q72 Q78 Q84 Q90 Q96">
    <cfRule type="cellIs" dxfId="3" priority="140" operator="lessThan">
      <formula>0</formula>
    </cfRule>
  </conditionalFormatting>
  <conditionalFormatting sqref="Q52 Q67 Q73 Q79 Q85 Q91 Q97">
    <cfRule type="cellIs" dxfId="2" priority="141" operator="lessThan">
      <formula>0</formula>
    </cfRule>
  </conditionalFormatting>
  <conditionalFormatting sqref="Q52 Q67 Q73 Q79 Q85 Q91 Q97">
    <cfRule type="cellIs" dxfId="3" priority="142" operator="greaterThan">
      <formula>0</formula>
    </cfRule>
  </conditionalFormatting>
  <conditionalFormatting sqref="Q53">
    <cfRule type="cellIs" dxfId="2" priority="143" operator="greaterThan">
      <formula>0</formula>
    </cfRule>
  </conditionalFormatting>
  <conditionalFormatting sqref="Q53">
    <cfRule type="cellIs" dxfId="3" priority="144" operator="lessThan">
      <formula>0</formula>
    </cfRule>
  </conditionalFormatting>
  <conditionalFormatting sqref="T8:T11">
    <cfRule type="cellIs" dxfId="15" priority="145" operator="greaterThan">
      <formula>0</formula>
    </cfRule>
  </conditionalFormatting>
  <conditionalFormatting sqref="T8:T11">
    <cfRule type="cellIs" dxfId="16" priority="146" operator="lessThan">
      <formula>0</formula>
    </cfRule>
  </conditionalFormatting>
  <conditionalFormatting sqref="T13:T15">
    <cfRule type="cellIs" dxfId="15" priority="147" operator="greaterThan">
      <formula>0</formula>
    </cfRule>
  </conditionalFormatting>
  <conditionalFormatting sqref="T13:T15">
    <cfRule type="cellIs" dxfId="16" priority="148" operator="lessThan">
      <formula>0</formula>
    </cfRule>
  </conditionalFormatting>
  <conditionalFormatting sqref="T17:T22">
    <cfRule type="cellIs" dxfId="15" priority="149" operator="greaterThan">
      <formula>0</formula>
    </cfRule>
  </conditionalFormatting>
  <conditionalFormatting sqref="T17:T22">
    <cfRule type="cellIs" dxfId="16" priority="150" operator="lessThan">
      <formula>0</formula>
    </cfRule>
  </conditionalFormatting>
  <conditionalFormatting sqref="T30">
    <cfRule type="cellIs" dxfId="15" priority="151" operator="greaterThan">
      <formula>0</formula>
    </cfRule>
  </conditionalFormatting>
  <conditionalFormatting sqref="T30">
    <cfRule type="cellIs" dxfId="16" priority="152" operator="lessThan">
      <formula>0</formula>
    </cfRule>
  </conditionalFormatting>
  <conditionalFormatting sqref="T31">
    <cfRule type="cellIs" dxfId="2" priority="153" operator="lessThan">
      <formula>0</formula>
    </cfRule>
  </conditionalFormatting>
  <conditionalFormatting sqref="T31">
    <cfRule type="cellIs" dxfId="3" priority="154" operator="greaterThan">
      <formula>0</formula>
    </cfRule>
  </conditionalFormatting>
  <conditionalFormatting sqref="T32">
    <cfRule type="cellIs" dxfId="2" priority="155" operator="greaterThan">
      <formula>0</formula>
    </cfRule>
  </conditionalFormatting>
  <conditionalFormatting sqref="T32">
    <cfRule type="cellIs" dxfId="3" priority="156" operator="lessThan">
      <formula>0</formula>
    </cfRule>
  </conditionalFormatting>
  <conditionalFormatting sqref="T33">
    <cfRule type="cellIs" dxfId="2" priority="157" operator="lessThan">
      <formula>0</formula>
    </cfRule>
  </conditionalFormatting>
  <conditionalFormatting sqref="T33">
    <cfRule type="cellIs" dxfId="3" priority="158" operator="greaterThan">
      <formula>0</formula>
    </cfRule>
  </conditionalFormatting>
  <conditionalFormatting sqref="T34">
    <cfRule type="cellIs" dxfId="2" priority="159" operator="greaterThan">
      <formula>0</formula>
    </cfRule>
  </conditionalFormatting>
  <conditionalFormatting sqref="T34">
    <cfRule type="cellIs" dxfId="3" priority="160" operator="lessThan">
      <formula>0</formula>
    </cfRule>
  </conditionalFormatting>
  <conditionalFormatting sqref="T35">
    <cfRule type="cellIs" dxfId="15" priority="161" operator="greaterThan">
      <formula>0</formula>
    </cfRule>
  </conditionalFormatting>
  <conditionalFormatting sqref="T35">
    <cfRule type="cellIs" dxfId="16" priority="162" operator="lessThan">
      <formula>0</formula>
    </cfRule>
  </conditionalFormatting>
  <conditionalFormatting sqref="T49 T64 T70 T76 T82 T88 T94">
    <cfRule type="cellIs" dxfId="2" priority="163" operator="greaterThan">
      <formula>0</formula>
    </cfRule>
  </conditionalFormatting>
  <conditionalFormatting sqref="T49 T64 T70 T76 T82 T88 T94">
    <cfRule type="cellIs" dxfId="3" priority="164" operator="lessThan">
      <formula>0</formula>
    </cfRule>
  </conditionalFormatting>
  <conditionalFormatting sqref="T50 T65 T71 T77 T83 T89 T95">
    <cfRule type="cellIs" dxfId="2" priority="165" operator="lessThan">
      <formula>0</formula>
    </cfRule>
  </conditionalFormatting>
  <conditionalFormatting sqref="T50 T65 T71 T77 T83 T89 T95">
    <cfRule type="cellIs" dxfId="3" priority="166" operator="greaterThan">
      <formula>0</formula>
    </cfRule>
  </conditionalFormatting>
  <conditionalFormatting sqref="T51 T66 T72 T78 T84 T90 T96">
    <cfRule type="cellIs" dxfId="2" priority="167" operator="greaterThan">
      <formula>0</formula>
    </cfRule>
  </conditionalFormatting>
  <conditionalFormatting sqref="T51 T66 T72 T78 T84 T90 T96">
    <cfRule type="cellIs" dxfId="3" priority="168" operator="lessThan">
      <formula>0</formula>
    </cfRule>
  </conditionalFormatting>
  <conditionalFormatting sqref="T52 T67 T73 T79 T85 T91 T97">
    <cfRule type="cellIs" dxfId="2" priority="169" operator="lessThan">
      <formula>0</formula>
    </cfRule>
  </conditionalFormatting>
  <conditionalFormatting sqref="T52 T67 T73 T79 T85 T91 T97">
    <cfRule type="cellIs" dxfId="3" priority="170" operator="greaterThan">
      <formula>0</formula>
    </cfRule>
  </conditionalFormatting>
  <conditionalFormatting sqref="T53">
    <cfRule type="cellIs" dxfId="2" priority="171" operator="greaterThan">
      <formula>0</formula>
    </cfRule>
  </conditionalFormatting>
  <conditionalFormatting sqref="T53">
    <cfRule type="cellIs" dxfId="3" priority="172" operator="lessThan">
      <formula>0</formula>
    </cfRule>
  </conditionalFormatting>
  <conditionalFormatting sqref="H29">
    <cfRule type="cellIs" dxfId="2" priority="173" operator="lessThan">
      <formula>0</formula>
    </cfRule>
  </conditionalFormatting>
  <conditionalFormatting sqref="H29">
    <cfRule type="cellIs" dxfId="3" priority="174" operator="greaterThan">
      <formula>0</formula>
    </cfRule>
  </conditionalFormatting>
  <conditionalFormatting sqref="K29">
    <cfRule type="cellIs" dxfId="2" priority="175" operator="lessThan">
      <formula>0</formula>
    </cfRule>
  </conditionalFormatting>
  <conditionalFormatting sqref="K29">
    <cfRule type="cellIs" dxfId="3" priority="176" operator="greaterThan">
      <formula>0</formula>
    </cfRule>
  </conditionalFormatting>
  <conditionalFormatting sqref="N29">
    <cfRule type="cellIs" dxfId="2" priority="177" operator="lessThan">
      <formula>0</formula>
    </cfRule>
  </conditionalFormatting>
  <conditionalFormatting sqref="N29">
    <cfRule type="cellIs" dxfId="3" priority="178" operator="greaterThan">
      <formula>0</formula>
    </cfRule>
  </conditionalFormatting>
  <conditionalFormatting sqref="Q29">
    <cfRule type="cellIs" dxfId="2" priority="179" operator="lessThan">
      <formula>0</formula>
    </cfRule>
  </conditionalFormatting>
  <conditionalFormatting sqref="Q29">
    <cfRule type="cellIs" dxfId="3" priority="180" operator="greaterThan">
      <formula>0</formula>
    </cfRule>
  </conditionalFormatting>
  <conditionalFormatting sqref="T29">
    <cfRule type="cellIs" dxfId="2" priority="181" operator="lessThan">
      <formula>0</formula>
    </cfRule>
  </conditionalFormatting>
  <conditionalFormatting sqref="T29">
    <cfRule type="cellIs" dxfId="3" priority="182" operator="greaterThan">
      <formula>0</formula>
    </cfRule>
  </conditionalFormatting>
  <conditionalFormatting sqref="H48 H63 H69 H75 H81 H87 H93 H99:H106">
    <cfRule type="cellIs" dxfId="2" priority="183" operator="lessThan">
      <formula>0</formula>
    </cfRule>
  </conditionalFormatting>
  <conditionalFormatting sqref="H48 H63 H69 H75 H81 H87 H93 H99:H106">
    <cfRule type="cellIs" dxfId="3" priority="184" operator="greaterThan">
      <formula>0</formula>
    </cfRule>
  </conditionalFormatting>
  <conditionalFormatting sqref="K48 K63 K69 K75 K81 K87 K93 K99:K106">
    <cfRule type="cellIs" dxfId="2" priority="185" operator="lessThan">
      <formula>0</formula>
    </cfRule>
  </conditionalFormatting>
  <conditionalFormatting sqref="K48 K63 K69 K75 K81 K87 K93 K99:K106">
    <cfRule type="cellIs" dxfId="3" priority="186" operator="greaterThan">
      <formula>0</formula>
    </cfRule>
  </conditionalFormatting>
  <conditionalFormatting sqref="N48 N63 N69 N75 N81 N87 N93 N99:N106">
    <cfRule type="cellIs" dxfId="2" priority="187" operator="lessThan">
      <formula>0</formula>
    </cfRule>
  </conditionalFormatting>
  <conditionalFormatting sqref="N48 N63 N69 N75 N81 N87 N93 N99:N106">
    <cfRule type="cellIs" dxfId="3" priority="188" operator="greaterThan">
      <formula>0</formula>
    </cfRule>
  </conditionalFormatting>
  <conditionalFormatting sqref="Q48 Q63 Q69 Q75 Q81 Q87 Q93 Q99:Q106 T99:T106">
    <cfRule type="cellIs" dxfId="2" priority="189" operator="lessThan">
      <formula>0</formula>
    </cfRule>
  </conditionalFormatting>
  <conditionalFormatting sqref="Q48 Q63 Q69 Q75 Q81 Q87 Q93 Q99:Q106 T99:T106">
    <cfRule type="cellIs" dxfId="3" priority="190" operator="greaterThan">
      <formula>0</formula>
    </cfRule>
  </conditionalFormatting>
  <conditionalFormatting sqref="T48 T63 T69 T75 T81 T87 T93 T99:T106">
    <cfRule type="cellIs" dxfId="2" priority="191" operator="lessThan">
      <formula>0</formula>
    </cfRule>
  </conditionalFormatting>
  <conditionalFormatting sqref="T48 T63 T69 T75 T81 T87 T93 T99:T106">
    <cfRule type="cellIs" dxfId="3" priority="192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32.0"/>
    <col customWidth="1" min="3" max="4" width="16.0"/>
    <col customWidth="1" min="5" max="5" width="14.0"/>
    <col customWidth="1" min="6" max="6" width="12.0"/>
    <col customWidth="1" min="7" max="7" width="10.29"/>
  </cols>
  <sheetData>
    <row r="1">
      <c r="A1" s="1" t="s">
        <v>1</v>
      </c>
    </row>
    <row r="3" ht="21.7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H3" s="13" t="s">
        <v>10</v>
      </c>
    </row>
    <row r="4">
      <c r="A4" s="9" t="s">
        <v>8</v>
      </c>
      <c r="B4" s="12"/>
      <c r="C4" s="12"/>
      <c r="D4" s="12"/>
      <c r="E4" s="12"/>
      <c r="F4" s="12"/>
      <c r="H4" s="12" t="str">
        <f>IFERROR(__xludf.DUMMYFUNCTION("IMPORTRANGE(""https://docs.google.com/spreadsheets/d/1nt0LFfnpnwWo0th6JXqkovcI76UyWN4MHn4_IXAMeG4/edit?gid=2040034026#gid=2040034026"", ""Overall!F4:F113"")"),"")</f>
        <v/>
      </c>
    </row>
    <row r="5">
      <c r="A5" s="15"/>
      <c r="B5" s="16" t="s">
        <v>12</v>
      </c>
      <c r="C5" s="26">
        <f>SUMIFS(Raw_Data_Period!D:D, Raw_Data_Period!$A:$A, "Control", Raw_Data_Period!$C:$C, TRUE)</f>
        <v>80181</v>
      </c>
      <c r="D5" s="26">
        <f>SUMIFS(Raw_Data_Period!D:D, Raw_Data_Period!$A:$A, "Variant", Raw_Data_Period!$C:$C, TRUE)</f>
        <v>80056</v>
      </c>
      <c r="E5" s="32">
        <f>IFERROR(D5-C5,"")</f>
        <v>-125</v>
      </c>
      <c r="F5" s="34">
        <f>IFERROR((D5-C5)/ABS(C5),"")</f>
        <v>-0.001558972824</v>
      </c>
      <c r="H5" s="34">
        <f>IFERROR(__xludf.DUMMYFUNCTION("""COMPUTED_VALUE"""),0.0028114186851211074)</f>
        <v>0.002811418685</v>
      </c>
    </row>
    <row r="6">
      <c r="A6" s="9" t="s">
        <v>16</v>
      </c>
      <c r="B6" s="12"/>
      <c r="C6" s="12"/>
      <c r="D6" s="12"/>
      <c r="E6" s="12"/>
      <c r="F6" s="12"/>
      <c r="H6" s="12"/>
    </row>
    <row r="7">
      <c r="A7" s="15"/>
      <c r="B7" s="16" t="s">
        <v>17</v>
      </c>
      <c r="C7" s="36">
        <f>SUMIFS(Raw_Data_Period!F:F, Raw_Data_Period!$A:$A, "Control", Raw_Data_Period!$C:$C, TRUE)</f>
        <v>27540.18</v>
      </c>
      <c r="D7" s="36">
        <f>SUMIFS(Raw_Data_Period!F:F, Raw_Data_Period!$A:$A, "Variant", Raw_Data_Period!$C:$C, TRUE)</f>
        <v>26058.39</v>
      </c>
      <c r="E7" s="38">
        <f t="shared" ref="E7:E9" si="1">IFERROR(D7-C7,"")</f>
        <v>-1481.79</v>
      </c>
      <c r="F7" s="40">
        <f t="shared" ref="F7:F9" si="2">IFERROR((D7-C7)/ABS(C7),"")</f>
        <v>-0.05380465923</v>
      </c>
      <c r="H7" s="40">
        <f>IFERROR(__xludf.DUMMYFUNCTION("""COMPUTED_VALUE"""),-0.09057520123697406)</f>
        <v>-0.09057520124</v>
      </c>
    </row>
    <row r="8">
      <c r="A8" s="15"/>
      <c r="B8" s="16" t="s">
        <v>18</v>
      </c>
      <c r="C8" s="41">
        <f>SUMIFS(Raw_Data_Period!G:G, Raw_Data_Period!$A:$A, "Control", Raw_Data_Period!$C:$C, TRUE)</f>
        <v>0.1498</v>
      </c>
      <c r="D8" s="41">
        <f>SUMIFS(Raw_Data_Period!G:G, Raw_Data_Period!$A:$A, "Variant", Raw_Data_Period!$C:$C, TRUE)</f>
        <v>0.1428</v>
      </c>
      <c r="E8" s="38">
        <f t="shared" si="1"/>
        <v>-0.007</v>
      </c>
      <c r="F8" s="40">
        <f t="shared" si="2"/>
        <v>-0.04672897196</v>
      </c>
      <c r="H8" s="40">
        <f>IFERROR(__xludf.DUMMYFUNCTION("""COMPUTED_VALUE"""),-0.08305647840531569)</f>
        <v>-0.08305647841</v>
      </c>
    </row>
    <row r="9">
      <c r="A9" s="15"/>
      <c r="B9" s="16" t="s">
        <v>19</v>
      </c>
      <c r="C9" s="41">
        <f>SUMIFS(Raw_Data_Period!I:I, Raw_Data_Period!$A:$A, "Control", Raw_Data_Period!$C:$C, TRUE)</f>
        <v>9.8008</v>
      </c>
      <c r="D9" s="41">
        <f>SUMIFS(Raw_Data_Period!I:I, Raw_Data_Period!$A:$A, "Variant", Raw_Data_Period!$C:$C, TRUE)</f>
        <v>9.2801</v>
      </c>
      <c r="E9" s="38">
        <f t="shared" si="1"/>
        <v>-0.5207</v>
      </c>
      <c r="F9" s="40">
        <f t="shared" si="2"/>
        <v>-0.05312831606</v>
      </c>
      <c r="H9" s="40">
        <f>IFERROR(__xludf.DUMMYFUNCTION("""COMPUTED_VALUE"""),-0.0803474356638714)</f>
        <v>-0.08034743566</v>
      </c>
    </row>
    <row r="10">
      <c r="A10" s="9" t="s">
        <v>20</v>
      </c>
      <c r="B10" s="12"/>
      <c r="C10" s="12"/>
      <c r="D10" s="12"/>
      <c r="E10" s="12"/>
      <c r="F10" s="12"/>
      <c r="H10" s="12"/>
    </row>
    <row r="11">
      <c r="A11" s="15"/>
      <c r="B11" s="16" t="s">
        <v>21</v>
      </c>
      <c r="C11" s="42">
        <f>SUMIFS(Raw_Data_Period!J:J, Raw_Data_Period!$A:$A, "Control", Raw_Data_Period!$C:$C, TRUE)</f>
        <v>47.631</v>
      </c>
      <c r="D11" s="42">
        <f>SUMIFS(Raw_Data_Period!J:J, Raw_Data_Period!$A:$A, "Variant", Raw_Data_Period!$C:$C, TRUE)</f>
        <v>48.213</v>
      </c>
      <c r="E11" s="43">
        <f t="shared" ref="E11:E13" si="3">IFERROR(D11-C11,"")</f>
        <v>0.582</v>
      </c>
      <c r="F11" s="45">
        <f t="shared" ref="F11:F13" si="4">IFERROR((D11-C11)/ABS(C11),"")</f>
        <v>0.01221893305</v>
      </c>
      <c r="H11" s="45">
        <f>IFERROR(__xludf.DUMMYFUNCTION("""COMPUTED_VALUE"""),0.025942219404152506)</f>
        <v>0.0259422194</v>
      </c>
    </row>
    <row r="12">
      <c r="A12" s="15"/>
      <c r="B12" s="16" t="s">
        <v>22</v>
      </c>
      <c r="C12" s="42">
        <f>SUMIFS(Raw_Data_Period!K:K, Raw_Data_Period!$A:$A, "Control", Raw_Data_Period!$C:$C, TRUE)</f>
        <v>27.0932</v>
      </c>
      <c r="D12" s="42">
        <f>SUMIFS(Raw_Data_Period!K:K, Raw_Data_Period!$A:$A, "Variant", Raw_Data_Period!$C:$C, TRUE)</f>
        <v>27.2685</v>
      </c>
      <c r="E12" s="43">
        <f t="shared" si="3"/>
        <v>0.1753</v>
      </c>
      <c r="F12" s="45">
        <f t="shared" si="4"/>
        <v>0.00647025822</v>
      </c>
      <c r="H12" s="45">
        <f>IFERROR(__xludf.DUMMYFUNCTION("""COMPUTED_VALUE"""),0.006535394222343258)</f>
        <v>0.006535394222</v>
      </c>
    </row>
    <row r="13">
      <c r="A13" s="15"/>
      <c r="B13" s="16" t="s">
        <v>23</v>
      </c>
      <c r="C13" s="42">
        <f>SUMIFS(Raw_Data_Period!L:L, Raw_Data_Period!$A:$A, "Control", Raw_Data_Period!$C:$C, TRUE)</f>
        <v>17.5094</v>
      </c>
      <c r="D13" s="42">
        <f>SUMIFS(Raw_Data_Period!L:L, Raw_Data_Period!$A:$A, "Variant", Raw_Data_Period!$C:$C, TRUE)</f>
        <v>17.3963</v>
      </c>
      <c r="E13" s="43">
        <f t="shared" si="3"/>
        <v>-0.1131</v>
      </c>
      <c r="F13" s="45">
        <f t="shared" si="4"/>
        <v>-0.006459387529</v>
      </c>
      <c r="H13" s="45">
        <f>IFERROR(__xludf.DUMMYFUNCTION("""COMPUTED_VALUE"""),-0.015438075565883416)</f>
        <v>-0.01543807557</v>
      </c>
    </row>
    <row r="14" ht="15.75" customHeight="1">
      <c r="A14" s="9" t="s">
        <v>24</v>
      </c>
      <c r="B14" s="12"/>
      <c r="C14" s="12"/>
      <c r="D14" s="12"/>
      <c r="E14" s="12"/>
      <c r="F14" s="12"/>
      <c r="H14" s="12"/>
    </row>
    <row r="15" ht="15.75" customHeight="1">
      <c r="A15" s="15"/>
      <c r="B15" s="16" t="s">
        <v>25</v>
      </c>
      <c r="C15" s="42">
        <f>SUMIFS(Raw_Data_Period!AD:AD, Raw_Data_Period!$A:$A, "Control", Raw_Data_Period!$C:$C, TRUE)</f>
        <v>12.6174</v>
      </c>
      <c r="D15" s="42">
        <f>SUMIFS(Raw_Data_Period!AD:AD, Raw_Data_Period!$A:$A, "Variant", Raw_Data_Period!$C:$C, TRUE)</f>
        <v>12.4157</v>
      </c>
      <c r="E15" s="43">
        <f t="shared" ref="E15:E20" si="5">IFERROR(D15-C15,"")</f>
        <v>-0.2017</v>
      </c>
      <c r="F15" s="45">
        <f t="shared" ref="F15:F20" si="6">IFERROR((D15-C15)/ABS(C15),"")</f>
        <v>-0.0159858608</v>
      </c>
      <c r="H15" s="45">
        <f>IFERROR(__xludf.DUMMYFUNCTION("""COMPUTED_VALUE"""),-0.04004469101556482)</f>
        <v>-0.04004469102</v>
      </c>
    </row>
    <row r="16" ht="15.75" customHeight="1">
      <c r="A16" s="15"/>
      <c r="B16" s="16" t="s">
        <v>26</v>
      </c>
      <c r="C16" s="42">
        <f>SUMIFS(Raw_Data_Period!AE:AE, Raw_Data_Period!$A:$A, "Control", Raw_Data_Period!$C:$C, TRUE)</f>
        <v>3</v>
      </c>
      <c r="D16" s="42">
        <f>SUMIFS(Raw_Data_Period!AE:AE, Raw_Data_Period!$A:$A, "Variant", Raw_Data_Period!$C:$C, TRUE)</f>
        <v>3</v>
      </c>
      <c r="E16" s="43">
        <f t="shared" si="5"/>
        <v>0</v>
      </c>
      <c r="F16" s="45">
        <f t="shared" si="6"/>
        <v>0</v>
      </c>
      <c r="H16" s="45">
        <f>IFERROR(__xludf.DUMMYFUNCTION("""COMPUTED_VALUE"""),0.0)</f>
        <v>0</v>
      </c>
    </row>
    <row r="17" ht="15.75" customHeight="1">
      <c r="A17" s="15"/>
      <c r="B17" s="16" t="s">
        <v>27</v>
      </c>
      <c r="C17" s="42">
        <f>SUMIFS(Raw_Data_Period!AF:AF, Raw_Data_Period!$A:$A, "Control", Raw_Data_Period!$C:$C, TRUE)</f>
        <v>8</v>
      </c>
      <c r="D17" s="42">
        <f>SUMIFS(Raw_Data_Period!AF:AF, Raw_Data_Period!$A:$A, "Variant", Raw_Data_Period!$C:$C, TRUE)</f>
        <v>7</v>
      </c>
      <c r="E17" s="43">
        <f t="shared" si="5"/>
        <v>-1</v>
      </c>
      <c r="F17" s="45">
        <f t="shared" si="6"/>
        <v>-0.125</v>
      </c>
      <c r="H17" s="45">
        <f>IFERROR(__xludf.DUMMYFUNCTION("""COMPUTED_VALUE"""),0.0)</f>
        <v>0</v>
      </c>
    </row>
    <row r="18" ht="15.75" customHeight="1">
      <c r="A18" s="15"/>
      <c r="B18" s="16" t="s">
        <v>28</v>
      </c>
      <c r="C18" s="42">
        <f>SUMIFS(Raw_Data_Period!AG:AG, Raw_Data_Period!$A:$A, "Control", Raw_Data_Period!$C:$C, TRUE)</f>
        <v>15</v>
      </c>
      <c r="D18" s="42">
        <f>SUMIFS(Raw_Data_Period!AG:AG, Raw_Data_Period!$A:$A, "Variant", Raw_Data_Period!$C:$C, TRUE)</f>
        <v>15</v>
      </c>
      <c r="E18" s="43">
        <f t="shared" si="5"/>
        <v>0</v>
      </c>
      <c r="F18" s="45">
        <f t="shared" si="6"/>
        <v>0</v>
      </c>
      <c r="H18" s="45">
        <f>IFERROR(__xludf.DUMMYFUNCTION("""COMPUTED_VALUE"""),-0.0625)</f>
        <v>-0.0625</v>
      </c>
    </row>
    <row r="19" ht="15.75" customHeight="1">
      <c r="A19" s="15"/>
      <c r="B19" s="16" t="s">
        <v>29</v>
      </c>
      <c r="C19" s="42">
        <f>SUMIFS(Raw_Data_Period!AH:AH, Raw_Data_Period!$A:$A, "Control", Raw_Data_Period!$C:$C, TRUE)</f>
        <v>29</v>
      </c>
      <c r="D19" s="42">
        <f>SUMIFS(Raw_Data_Period!AH:AH, Raw_Data_Period!$A:$A, "Variant", Raw_Data_Period!$C:$C, TRUE)</f>
        <v>29</v>
      </c>
      <c r="E19" s="43">
        <f t="shared" si="5"/>
        <v>0</v>
      </c>
      <c r="F19" s="45">
        <f t="shared" si="6"/>
        <v>0</v>
      </c>
      <c r="H19" s="45">
        <f>IFERROR(__xludf.DUMMYFUNCTION("""COMPUTED_VALUE"""),-0.03333333333333333)</f>
        <v>-0.03333333333</v>
      </c>
    </row>
    <row r="20" ht="15.75" customHeight="1">
      <c r="A20" s="15"/>
      <c r="B20" s="54" t="s">
        <v>30</v>
      </c>
      <c r="C20" s="42">
        <f>SUMIFS(Raw_Data_Period!BC:BC, Raw_Data_Period!$A:$A, "Control", Raw_Data_Period!$C:$C, TRUE)</f>
        <v>83</v>
      </c>
      <c r="D20" s="42">
        <f>SUMIFS(Raw_Data_Period!BC:BC, Raw_Data_Period!$A:$A, "Variant", Raw_Data_Period!$C:$C, TRUE)</f>
        <v>80</v>
      </c>
      <c r="E20" s="43">
        <f t="shared" si="5"/>
        <v>-3</v>
      </c>
      <c r="F20" s="45">
        <f t="shared" si="6"/>
        <v>-0.03614457831</v>
      </c>
      <c r="H20" s="45">
        <f>IFERROR(__xludf.DUMMYFUNCTION("""COMPUTED_VALUE"""),-0.10344827586206896)</f>
        <v>-0.1034482759</v>
      </c>
    </row>
    <row r="21">
      <c r="A21" s="9" t="s">
        <v>31</v>
      </c>
      <c r="B21" s="12"/>
      <c r="C21" s="12"/>
      <c r="D21" s="12"/>
      <c r="E21" s="12"/>
      <c r="F21" s="12"/>
      <c r="H21" s="12"/>
    </row>
    <row r="22" ht="15.75" customHeight="1">
      <c r="A22" s="15"/>
      <c r="B22" s="16" t="s">
        <v>32</v>
      </c>
      <c r="C22" s="55">
        <f>SUMIFS(Raw_Data_Period!M:M, Raw_Data_Period!$A:$A, "Control", Raw_Data_Period!$C:$C, TRUE)</f>
        <v>0.6463</v>
      </c>
      <c r="D22" s="55">
        <f>SUMIFS(Raw_Data_Period!M:M, Raw_Data_Period!$A:$A, "Variant", Raw_Data_Period!$C:$C, TRUE)</f>
        <v>0.638</v>
      </c>
      <c r="E22" s="56">
        <f t="shared" ref="E22:E25" si="7">IFERROR(D22-C22,"")</f>
        <v>-0.0083</v>
      </c>
      <c r="F22" s="34">
        <f t="shared" ref="F22:F25" si="8">IFERROR((D22-C22)/ABS(C22),"")</f>
        <v>-0.01284233328</v>
      </c>
      <c r="H22" s="34">
        <f>IFERROR(__xludf.DUMMYFUNCTION("""COMPUTED_VALUE"""),-0.0219138056975895)</f>
        <v>-0.0219138057</v>
      </c>
    </row>
    <row r="23" ht="15.75" customHeight="1">
      <c r="A23" s="15"/>
      <c r="B23" s="16" t="s">
        <v>33</v>
      </c>
      <c r="C23" s="55">
        <f>SUMIFS(Raw_Data_Period!N:N, Raw_Data_Period!$A:$A, "Control", Raw_Data_Period!$C:$C, TRUE)</f>
        <v>0.4791</v>
      </c>
      <c r="D23" s="55">
        <f>SUMIFS(Raw_Data_Period!N:N, Raw_Data_Period!$A:$A, "Variant", Raw_Data_Period!$C:$C, TRUE)</f>
        <v>0.486</v>
      </c>
      <c r="E23" s="56">
        <f t="shared" si="7"/>
        <v>0.0069</v>
      </c>
      <c r="F23" s="34">
        <f t="shared" si="8"/>
        <v>0.01440200376</v>
      </c>
      <c r="H23" s="34">
        <f>IFERROR(__xludf.DUMMYFUNCTION("""COMPUTED_VALUE"""),0.027998133457769508)</f>
        <v>0.02799813346</v>
      </c>
    </row>
    <row r="24" ht="15.75" customHeight="1">
      <c r="A24" s="15"/>
      <c r="B24" s="16" t="s">
        <v>34</v>
      </c>
      <c r="C24" s="55">
        <f>SUMIFS(Raw_Data_Period!O:O, Raw_Data_Period!$A:$A, "Control", Raw_Data_Period!$C:$C, TRUE)</f>
        <v>0.2895</v>
      </c>
      <c r="D24" s="55">
        <f>SUMIFS(Raw_Data_Period!O:O, Raw_Data_Period!$A:$A, "Variant", Raw_Data_Period!$C:$C, TRUE)</f>
        <v>0.2892</v>
      </c>
      <c r="E24" s="56">
        <f t="shared" si="7"/>
        <v>-0.0003</v>
      </c>
      <c r="F24" s="34">
        <f t="shared" si="8"/>
        <v>-0.00103626943</v>
      </c>
      <c r="H24" s="34">
        <f>IFERROR(__xludf.DUMMYFUNCTION("""COMPUTED_VALUE"""),0.008582089552238688)</f>
        <v>0.008582089552</v>
      </c>
    </row>
    <row r="25" ht="15.75" customHeight="1">
      <c r="A25" s="15"/>
      <c r="B25" s="16" t="s">
        <v>35</v>
      </c>
      <c r="C25" s="42">
        <f>SUMIFS(Raw_Data_Period!P:P, Raw_Data_Period!$A:$A, "Control", Raw_Data_Period!$C:$C, TRUE)</f>
        <v>1.5474</v>
      </c>
      <c r="D25" s="42">
        <f>SUMIFS(Raw_Data_Period!P:P, Raw_Data_Period!$A:$A, "Variant", Raw_Data_Period!$C:$C, TRUE)</f>
        <v>1.5675</v>
      </c>
      <c r="E25" s="57">
        <f t="shared" si="7"/>
        <v>0.0201</v>
      </c>
      <c r="F25" s="34">
        <f t="shared" si="8"/>
        <v>0.01298953083</v>
      </c>
      <c r="H25" s="34">
        <f>IFERROR(__xludf.DUMMYFUNCTION("""COMPUTED_VALUE"""),0.022313483915126598)</f>
        <v>0.02231348392</v>
      </c>
    </row>
    <row r="26" ht="15.75" customHeight="1">
      <c r="A26" s="9" t="s">
        <v>36</v>
      </c>
      <c r="B26" s="12"/>
      <c r="C26" s="12"/>
      <c r="D26" s="12"/>
      <c r="E26" s="12"/>
      <c r="F26" s="12"/>
      <c r="H26" s="12"/>
    </row>
    <row r="27" ht="15.75" customHeight="1">
      <c r="A27" s="15"/>
      <c r="B27" s="58" t="s">
        <v>37</v>
      </c>
      <c r="C27" s="42">
        <f>SUMIFS(Raw_Data_Period!Q:Q, Raw_Data_Period!$A:$A, "Control", Raw_Data_Period!$C:$C, TRUE)</f>
        <v>114.0782</v>
      </c>
      <c r="D27" s="42">
        <f>SUMIFS(Raw_Data_Period!Q:Q, Raw_Data_Period!$A:$A, "Variant", Raw_Data_Period!$C:$C, TRUE)</f>
        <v>116.3787</v>
      </c>
      <c r="E27" s="59">
        <f t="shared" ref="E27:E35" si="9">IFERROR(D27-C27,"")</f>
        <v>2.3005</v>
      </c>
      <c r="F27" s="40">
        <f t="shared" ref="F27:F35" si="10">IFERROR((D27-C27)/ABS(C27),"")</f>
        <v>0.0201659914</v>
      </c>
      <c r="H27" s="40">
        <f>IFERROR(__xludf.DUMMYFUNCTION("""COMPUTED_VALUE"""),-0.13815044079961478)</f>
        <v>-0.1381504408</v>
      </c>
    </row>
    <row r="28" ht="15.75" customHeight="1">
      <c r="A28" s="15"/>
      <c r="B28" s="16" t="s">
        <v>39</v>
      </c>
      <c r="C28" s="42">
        <f>SUMIFS(Raw_Data_Period!R:R, Raw_Data_Period!$A:$A, "Control", Raw_Data_Period!$C:$C, TRUE)</f>
        <v>99.6256</v>
      </c>
      <c r="D28" s="42">
        <f>SUMIFS(Raw_Data_Period!R:R, Raw_Data_Period!$A:$A, "Variant", Raw_Data_Period!$C:$C, TRUE)</f>
        <v>104.5396</v>
      </c>
      <c r="E28" s="57">
        <f t="shared" si="9"/>
        <v>4.914</v>
      </c>
      <c r="F28" s="34">
        <f t="shared" si="10"/>
        <v>0.04932467157</v>
      </c>
      <c r="H28" s="34">
        <f>IFERROR(__xludf.DUMMYFUNCTION("""COMPUTED_VALUE"""),0.02842226012665401)</f>
        <v>0.02842226013</v>
      </c>
    </row>
    <row r="29" ht="15.75" customHeight="1">
      <c r="A29" s="15"/>
      <c r="B29" s="16" t="s">
        <v>40</v>
      </c>
      <c r="C29" s="42">
        <f>SUMIFS(Raw_Data_Period!S:S, Raw_Data_Period!$A:$A, "Control", Raw_Data_Period!$C:$C, TRUE)</f>
        <v>14.4551</v>
      </c>
      <c r="D29" s="42">
        <f>SUMIFS(Raw_Data_Period!S:S, Raw_Data_Period!$A:$A, "Variant", Raw_Data_Period!$C:$C, TRUE)</f>
        <v>11.8396</v>
      </c>
      <c r="E29" s="57">
        <f t="shared" si="9"/>
        <v>-2.6155</v>
      </c>
      <c r="F29" s="34">
        <f t="shared" si="10"/>
        <v>-0.1809395992</v>
      </c>
      <c r="H29" s="34">
        <f>IFERROR(__xludf.DUMMYFUNCTION("""COMPUTED_VALUE"""),-0.6580766057512768)</f>
        <v>-0.6580766058</v>
      </c>
    </row>
    <row r="30" ht="15.75" customHeight="1">
      <c r="A30" s="15"/>
      <c r="B30" s="58" t="s">
        <v>41</v>
      </c>
      <c r="C30" s="42">
        <f>SUMIFS(Raw_Data_Period!T:T, Raw_Data_Period!$A:$A, "Control", Raw_Data_Period!$C:$C, TRUE)</f>
        <v>11.5382</v>
      </c>
      <c r="D30" s="42">
        <f>SUMIFS(Raw_Data_Period!T:T, Raw_Data_Period!$A:$A, "Variant", Raw_Data_Period!$C:$C, TRUE)</f>
        <v>10.8428</v>
      </c>
      <c r="E30" s="43">
        <f t="shared" si="9"/>
        <v>-0.6954</v>
      </c>
      <c r="F30" s="40">
        <f t="shared" si="10"/>
        <v>-0.06026936611</v>
      </c>
      <c r="H30" s="40">
        <f>IFERROR(__xludf.DUMMYFUNCTION("""COMPUTED_VALUE"""),-0.0672387861629656)</f>
        <v>-0.06723878616</v>
      </c>
    </row>
    <row r="31" ht="15.75" customHeight="1">
      <c r="A31" s="15"/>
      <c r="B31" s="58" t="s">
        <v>42</v>
      </c>
      <c r="C31" s="42">
        <f>SUMIFS(Raw_Data_Period!U:U, Raw_Data_Period!$A:$A, "Control", Raw_Data_Period!$C:$C, TRUE)</f>
        <v>102.5409</v>
      </c>
      <c r="D31" s="42">
        <f>SUMIFS(Raw_Data_Period!U:U, Raw_Data_Period!$A:$A, "Variant", Raw_Data_Period!$C:$C, TRUE)</f>
        <v>105.536</v>
      </c>
      <c r="E31" s="43">
        <f t="shared" si="9"/>
        <v>2.9951</v>
      </c>
      <c r="F31" s="40">
        <f t="shared" si="10"/>
        <v>0.02920883277</v>
      </c>
      <c r="H31" s="40">
        <f>IFERROR(__xludf.DUMMYFUNCTION("""COMPUTED_VALUE"""),-0.14300794527072375)</f>
        <v>-0.1430079453</v>
      </c>
    </row>
    <row r="32" ht="15.75" customHeight="1">
      <c r="A32" s="15"/>
      <c r="B32" s="58" t="s">
        <v>43</v>
      </c>
      <c r="C32" s="42">
        <f>SUMIFS(Raw_Data_Period!V:V, Raw_Data_Period!$A:$A, "Control", Raw_Data_Period!$C:$C, TRUE)</f>
        <v>114.9355</v>
      </c>
      <c r="D32" s="42">
        <f>SUMIFS(Raw_Data_Period!V:V, Raw_Data_Period!$A:$A, "Variant", Raw_Data_Period!$C:$C, TRUE)</f>
        <v>117.1137</v>
      </c>
      <c r="E32" s="63">
        <f t="shared" si="9"/>
        <v>2.1782</v>
      </c>
      <c r="F32" s="45">
        <f t="shared" si="10"/>
        <v>0.01895149888</v>
      </c>
      <c r="H32" s="45">
        <f>IFERROR(__xludf.DUMMYFUNCTION("""COMPUTED_VALUE"""),-0.12182373126804771)</f>
        <v>-0.1218237313</v>
      </c>
    </row>
    <row r="33" ht="15.75" customHeight="1">
      <c r="A33" s="15"/>
      <c r="B33" s="58" t="s">
        <v>44</v>
      </c>
      <c r="C33" s="42">
        <f>SUMIFS(Raw_Data_Period!Q:Q, Raw_Data_Period!$A:$A, "Control", Raw_Data_Period!$C:$C, TRUE) - SUMIFS(Raw_Data_Period!V:V, Raw_Data_Period!$A:$A, "Control", Raw_Data_Period!$C:$C, TRUE)</f>
        <v>-0.8573</v>
      </c>
      <c r="D33" s="42">
        <f>SUMIFS(Raw_Data_Period!Q:Q, Raw_Data_Period!$A:$A, "Variant", Raw_Data_Period!$C:$C, TRUE) - SUMIFS(Raw_Data_Period!V:V, Raw_Data_Period!$A:$A, "Variant", Raw_Data_Period!$C:$C, TRUE)</f>
        <v>-0.735</v>
      </c>
      <c r="E33" s="43">
        <f t="shared" si="9"/>
        <v>0.1223</v>
      </c>
      <c r="F33" s="40">
        <f t="shared" si="10"/>
        <v>0.1426571795</v>
      </c>
      <c r="H33" s="40">
        <f>IFERROR(__xludf.DUMMYFUNCTION("""COMPUTED_VALUE"""),-0.37581320288466286)</f>
        <v>-0.3758132029</v>
      </c>
    </row>
    <row r="34" ht="15.75" customHeight="1">
      <c r="A34" s="15"/>
      <c r="B34" s="16" t="s">
        <v>45</v>
      </c>
      <c r="C34" s="42">
        <f>SUMIFS(Raw_Data_Period!W:W, Raw_Data_Period!$A:$A, "Control", Raw_Data_Period!$C:$C, TRUE)</f>
        <v>4.2422</v>
      </c>
      <c r="D34" s="42">
        <f>SUMIFS(Raw_Data_Period!W:W, Raw_Data_Period!$A:$A, "Variant", Raw_Data_Period!$C:$C, TRUE)</f>
        <v>4.2948</v>
      </c>
      <c r="E34" s="63">
        <f t="shared" si="9"/>
        <v>0.0526</v>
      </c>
      <c r="F34" s="45">
        <f t="shared" si="10"/>
        <v>0.01239922682</v>
      </c>
      <c r="H34" s="45">
        <f>IFERROR(__xludf.DUMMYFUNCTION("""COMPUTED_VALUE"""),-0.1275434593399356)</f>
        <v>-0.1275434593</v>
      </c>
    </row>
    <row r="35" ht="15.75" customHeight="1">
      <c r="A35" s="15"/>
      <c r="B35" s="16" t="s">
        <v>46</v>
      </c>
      <c r="C35" s="55">
        <f>SUMIFS(Raw_Data_Period!X:X, Raw_Data_Period!$A:$A, "Control", Raw_Data_Period!$C:$C, TRUE)</f>
        <v>10.11</v>
      </c>
      <c r="D35" s="55">
        <f>SUMIFS(Raw_Data_Period!X:X, Raw_Data_Period!$A:$A, "Variant", Raw_Data_Period!$C:$C, TRUE)</f>
        <v>9.32</v>
      </c>
      <c r="E35" s="43">
        <f t="shared" si="9"/>
        <v>-0.79</v>
      </c>
      <c r="F35" s="40">
        <f t="shared" si="10"/>
        <v>-0.078140455</v>
      </c>
      <c r="H35" s="40">
        <f>IFERROR(__xludf.DUMMYFUNCTION("""COMPUTED_VALUE"""),0.08268330733229333)</f>
        <v>0.08268330733</v>
      </c>
    </row>
    <row r="36" ht="15.75" customHeight="1">
      <c r="A36" s="9" t="s">
        <v>47</v>
      </c>
      <c r="B36" s="12"/>
      <c r="C36" s="12"/>
      <c r="D36" s="12"/>
      <c r="E36" s="12"/>
      <c r="F36" s="12"/>
      <c r="H36" s="12"/>
    </row>
    <row r="37" ht="15.75" customHeight="1">
      <c r="A37" s="15"/>
      <c r="B37" s="64" t="s">
        <v>48</v>
      </c>
      <c r="C37" s="42">
        <f>SUMIFS(Raw_Data_Period!AX:AX, Raw_Data_Period!$A:$A, "Control", Raw_Data_Period!$C:$C, TRUE)</f>
        <v>44.8207</v>
      </c>
      <c r="D37" s="42">
        <f>SUMIFS(Raw_Data_Period!AX:AX, Raw_Data_Period!$A:$A, "Variant", Raw_Data_Period!$C:$C, TRUE)</f>
        <v>39.6027</v>
      </c>
      <c r="E37" s="56">
        <f t="shared" ref="E37:E41" si="11">IFERROR(D37-C37,"")</f>
        <v>-5.218</v>
      </c>
      <c r="F37" s="34">
        <f t="shared" ref="F37:F41" si="12">IFERROR((D37-C37)/ABS(C37),"")</f>
        <v>-0.1164194223</v>
      </c>
      <c r="H37" s="34">
        <f>IFERROR(__xludf.DUMMYFUNCTION("""COMPUTED_VALUE"""),-0.36866565745218505)</f>
        <v>-0.3686656575</v>
      </c>
    </row>
    <row r="38" ht="15.75" customHeight="1">
      <c r="A38" s="15"/>
      <c r="B38" s="64" t="s">
        <v>49</v>
      </c>
      <c r="C38" s="42">
        <f>SUMIFS(Raw_Data_Period!AY:AY, Raw_Data_Period!$A:$A, "Control", Raw_Data_Period!$C:$C, TRUE)</f>
        <v>53.2204</v>
      </c>
      <c r="D38" s="42">
        <f>SUMIFS(Raw_Data_Period!AY:AY, Raw_Data_Period!$A:$A, "Variant", Raw_Data_Period!$C:$C, TRUE)</f>
        <v>61.5694</v>
      </c>
      <c r="E38" s="56">
        <f t="shared" si="11"/>
        <v>8.349</v>
      </c>
      <c r="F38" s="34">
        <f t="shared" si="12"/>
        <v>0.1568759348</v>
      </c>
      <c r="H38" s="34">
        <f>IFERROR(__xludf.DUMMYFUNCTION("""COMPUTED_VALUE"""),0.1989045037069824)</f>
        <v>0.1989045037</v>
      </c>
    </row>
    <row r="39" ht="15.75" customHeight="1">
      <c r="A39" s="15"/>
      <c r="B39" s="64" t="s">
        <v>50</v>
      </c>
      <c r="C39" s="42">
        <f>SUMIFS(Raw_Data_Period!AZ:AZ, Raw_Data_Period!$A:$A, "Control", Raw_Data_Period!$C:$C, TRUE)</f>
        <v>2.9281</v>
      </c>
      <c r="D39" s="42">
        <f>SUMIFS(Raw_Data_Period!AZ:AZ, Raw_Data_Period!$A:$A, "Variant", Raw_Data_Period!$C:$C, TRUE)</f>
        <v>2.8709</v>
      </c>
      <c r="E39" s="63">
        <f t="shared" si="11"/>
        <v>-0.0572</v>
      </c>
      <c r="F39" s="45">
        <f t="shared" si="12"/>
        <v>-0.01953485195</v>
      </c>
      <c r="H39" s="45">
        <f>IFERROR(__xludf.DUMMYFUNCTION("""COMPUTED_VALUE"""),-0.017970114496409863)</f>
        <v>-0.0179701145</v>
      </c>
    </row>
    <row r="40" ht="15.75" customHeight="1">
      <c r="A40" s="15"/>
      <c r="B40" s="64" t="s">
        <v>51</v>
      </c>
      <c r="C40" s="42">
        <f>SUMIFS(Raw_Data_Period!BA:BA, Raw_Data_Period!$A:$A, "Control", Raw_Data_Period!$C:$C, TRUE)</f>
        <v>11.5376</v>
      </c>
      <c r="D40" s="42">
        <f>SUMIFS(Raw_Data_Period!BA:BA, Raw_Data_Period!$A:$A, "Variant", Raw_Data_Period!$C:$C, TRUE)</f>
        <v>10.8396</v>
      </c>
      <c r="E40" s="63">
        <f t="shared" si="11"/>
        <v>-0.698</v>
      </c>
      <c r="F40" s="45">
        <f t="shared" si="12"/>
        <v>-0.06049785051</v>
      </c>
      <c r="H40" s="45">
        <f>IFERROR(__xludf.DUMMYFUNCTION("""COMPUTED_VALUE"""),-0.06727936993540073)</f>
        <v>-0.06727936994</v>
      </c>
    </row>
    <row r="41" ht="15.75" customHeight="1">
      <c r="A41" s="15"/>
      <c r="B41" s="64" t="s">
        <v>52</v>
      </c>
      <c r="C41" s="42">
        <f>SUMIFS(Raw_Data_Period!BB:BB, Raw_Data_Period!$A:$A, "Control", Raw_Data_Period!$C:$C, TRUE)</f>
        <v>1.5718</v>
      </c>
      <c r="D41" s="42">
        <f>SUMIFS(Raw_Data_Period!BB:BB, Raw_Data_Period!$A:$A, "Variant", Raw_Data_Period!$C:$C, TRUE)</f>
        <v>1.4971</v>
      </c>
      <c r="E41" s="56">
        <f t="shared" si="11"/>
        <v>-0.0747</v>
      </c>
      <c r="F41" s="34">
        <f t="shared" si="12"/>
        <v>-0.04752513042</v>
      </c>
      <c r="H41" s="34">
        <f>IFERROR(__xludf.DUMMYFUNCTION("""COMPUTED_VALUE"""),-0.0368515426946144)</f>
        <v>-0.03685154269</v>
      </c>
    </row>
    <row r="42" ht="15.75" customHeight="1">
      <c r="A42" s="9" t="s">
        <v>53</v>
      </c>
      <c r="B42" s="12"/>
      <c r="C42" s="12"/>
      <c r="D42" s="12"/>
      <c r="E42" s="12"/>
      <c r="F42" s="12"/>
      <c r="H42" s="12"/>
    </row>
    <row r="43" ht="15.75" customHeight="1">
      <c r="A43" s="15"/>
      <c r="B43" s="16" t="s">
        <v>54</v>
      </c>
      <c r="C43" s="26">
        <f>SUMIFS(Raw_Data_Period!Y:Y, Raw_Data_Period!$A:$A, "Control", Raw_Data_Period!$C:$C, TRUE)</f>
        <v>148</v>
      </c>
      <c r="D43" s="26">
        <f>SUMIFS(Raw_Data_Period!Y:Y, Raw_Data_Period!$A:$A, "Variant", Raw_Data_Period!$C:$C, TRUE)</f>
        <v>152</v>
      </c>
      <c r="E43" s="32">
        <f t="shared" ref="E43:E46" si="13">IFERROR(D43-C43,"")</f>
        <v>4</v>
      </c>
      <c r="F43" s="34">
        <f t="shared" ref="F43:F46" si="14">IFERROR((D43-C43)/ABS(C43),"")</f>
        <v>0.02702702703</v>
      </c>
      <c r="H43" s="34">
        <f>IFERROR(__xludf.DUMMYFUNCTION("""COMPUTED_VALUE"""),-0.03867403314917127)</f>
        <v>-0.03867403315</v>
      </c>
    </row>
    <row r="44" ht="15.75" customHeight="1">
      <c r="A44" s="15"/>
      <c r="B44" s="16" t="s">
        <v>55</v>
      </c>
      <c r="C44" s="26">
        <f>SUMIFS(Raw_Data_Period!Z:Z, Raw_Data_Period!$A:$A, "Control", Raw_Data_Period!$C:$C, TRUE)</f>
        <v>402</v>
      </c>
      <c r="D44" s="26">
        <f>SUMIFS(Raw_Data_Period!Z:Z, Raw_Data_Period!$A:$A, "Variant", Raw_Data_Period!$C:$C, TRUE)</f>
        <v>371</v>
      </c>
      <c r="E44" s="32">
        <f t="shared" si="13"/>
        <v>-31</v>
      </c>
      <c r="F44" s="34">
        <f t="shared" si="14"/>
        <v>-0.07711442786</v>
      </c>
      <c r="H44" s="34">
        <f>IFERROR(__xludf.DUMMYFUNCTION("""COMPUTED_VALUE"""),-0.1279373368146214)</f>
        <v>-0.1279373368</v>
      </c>
    </row>
    <row r="45" ht="15.75" customHeight="1">
      <c r="A45" s="15"/>
      <c r="B45" s="16" t="s">
        <v>56</v>
      </c>
      <c r="C45" s="26">
        <f>SUMIFS(Raw_Data_Period!AA:AA, Raw_Data_Period!$A:$A, "Control", Raw_Data_Period!$C:$C, TRUE)</f>
        <v>1779</v>
      </c>
      <c r="D45" s="26">
        <f>SUMIFS(Raw_Data_Period!AA:AA, Raw_Data_Period!$A:$A, "Variant", Raw_Data_Period!$C:$C, TRUE)</f>
        <v>1578</v>
      </c>
      <c r="E45" s="32">
        <f t="shared" si="13"/>
        <v>-201</v>
      </c>
      <c r="F45" s="34">
        <f t="shared" si="14"/>
        <v>-0.1129848229</v>
      </c>
      <c r="H45" s="34">
        <f>IFERROR(__xludf.DUMMYFUNCTION("""COMPUTED_VALUE"""),-0.144978783592645)</f>
        <v>-0.1449787836</v>
      </c>
    </row>
    <row r="46" ht="15.75" customHeight="1">
      <c r="A46" s="15"/>
      <c r="B46" s="54" t="s">
        <v>57</v>
      </c>
      <c r="C46" s="26">
        <f>SUMIFS(Raw_Data_Period!BD:BD, Raw_Data_Period!$A:$A, "Control", Raw_Data_Period!$C:$C, TRUE)</f>
        <v>23035</v>
      </c>
      <c r="D46" s="26">
        <f>SUMIFS(Raw_Data_Period!BD:BD, Raw_Data_Period!$A:$A, "Variant", Raw_Data_Period!$C:$C, TRUE)</f>
        <v>21816</v>
      </c>
      <c r="E46" s="32">
        <f t="shared" si="13"/>
        <v>-1219</v>
      </c>
      <c r="F46" s="34">
        <f t="shared" si="14"/>
        <v>-0.05291947037</v>
      </c>
      <c r="H46" s="34">
        <f>IFERROR(__xludf.DUMMYFUNCTION("""COMPUTED_VALUE"""),-0.06897874994003933)</f>
        <v>-0.06897874994</v>
      </c>
    </row>
    <row r="47" ht="15.75" customHeight="1">
      <c r="A47" s="9" t="s">
        <v>58</v>
      </c>
      <c r="B47" s="12"/>
      <c r="C47" s="12"/>
      <c r="D47" s="12"/>
      <c r="E47" s="12"/>
      <c r="F47" s="12"/>
      <c r="H47" s="12"/>
    </row>
    <row r="48" ht="15.75" customHeight="1">
      <c r="A48" s="15"/>
      <c r="B48" s="16" t="s">
        <v>59</v>
      </c>
      <c r="C48" s="42">
        <f>SUMIFS(Raw_Data_Period!AB:AB, Raw_Data_Period!$A:$A, "Control", Raw_Data_Period!$C:$C, TRUE)</f>
        <v>51.7467</v>
      </c>
      <c r="D48" s="42">
        <f>SUMIFS(Raw_Data_Period!AB:AB, Raw_Data_Period!$A:$A, "Variant", Raw_Data_Period!$C:$C, TRUE)</f>
        <v>51.5752</v>
      </c>
      <c r="E48" s="43">
        <f t="shared" ref="E48:E49" si="15">IFERROR(D48-C48,"")</f>
        <v>-0.1715</v>
      </c>
      <c r="F48" s="45">
        <f t="shared" ref="F48:F49" si="16">IFERROR((D48-C48)/ABS(C48),"")</f>
        <v>-0.003314221003</v>
      </c>
      <c r="H48" s="45">
        <f>IFERROR(__xludf.DUMMYFUNCTION("""COMPUTED_VALUE"""),-0.0018022995255682994)</f>
        <v>-0.001802299526</v>
      </c>
    </row>
    <row r="49" ht="15.75" customHeight="1">
      <c r="A49" s="15"/>
      <c r="B49" s="16" t="s">
        <v>60</v>
      </c>
      <c r="C49" s="42">
        <f>SUMIFS(Raw_Data_Period!AC:AC, Raw_Data_Period!$A:$A, "Control", Raw_Data_Period!$C:$C, TRUE)</f>
        <v>0.6335</v>
      </c>
      <c r="D49" s="42">
        <f>SUMIFS(Raw_Data_Period!AC:AC, Raw_Data_Period!$A:$A, "Variant", Raw_Data_Period!$C:$C, TRUE)</f>
        <v>0.6285</v>
      </c>
      <c r="E49" s="43">
        <f t="shared" si="15"/>
        <v>-0.005</v>
      </c>
      <c r="F49" s="40">
        <f t="shared" si="16"/>
        <v>-0.007892659826</v>
      </c>
      <c r="H49" s="40">
        <f>IFERROR(__xludf.DUMMYFUNCTION("""COMPUTED_VALUE"""),-0.004709814646004241)</f>
        <v>-0.004709814646</v>
      </c>
    </row>
    <row r="50" ht="15.75" hidden="1" customHeight="1">
      <c r="A50" s="9" t="s">
        <v>61</v>
      </c>
      <c r="B50" s="12"/>
      <c r="C50" s="12"/>
      <c r="D50" s="12"/>
      <c r="E50" s="12"/>
      <c r="F50" s="12"/>
      <c r="H50" s="12"/>
    </row>
    <row r="51" ht="15.75" hidden="1" customHeight="1">
      <c r="A51" s="15"/>
      <c r="B51" s="16" t="s">
        <v>62</v>
      </c>
      <c r="C51" s="61">
        <f>SUMIFS(Raw_Data_Period!AI:AI, Raw_Data_Period!$A:$A, "Control", Raw_Data_Period!$C:$C, TRUE)</f>
        <v>50.6731</v>
      </c>
      <c r="D51" s="61">
        <f>SUMIFS(Raw_Data_Period!AI:AI, Raw_Data_Period!$A:$A, "Variant", Raw_Data_Period!$C:$C, TRUE)</f>
        <v>50.7544</v>
      </c>
      <c r="E51" s="66">
        <f t="shared" ref="E51:E53" si="17">IFERROR(D51-C51,"")</f>
        <v>0.0813</v>
      </c>
      <c r="F51" s="40">
        <f t="shared" ref="F51:F53" si="18">IFERROR((D51-C51)/ABS(C51),"")</f>
        <v>0.001604401546</v>
      </c>
      <c r="H51" s="40">
        <f>IFERROR(__xludf.DUMMYFUNCTION("""COMPUTED_VALUE"""),-0.014309696861912127)</f>
        <v>-0.01430969686</v>
      </c>
    </row>
    <row r="52" ht="15.75" hidden="1" customHeight="1">
      <c r="A52" s="15"/>
      <c r="B52" s="16" t="s">
        <v>63</v>
      </c>
      <c r="C52" s="61">
        <f>SUMIFS(Raw_Data_Period!AJ:AJ, Raw_Data_Period!$A:$A, "Control", Raw_Data_Period!$C:$C, TRUE)</f>
        <v>20.4532</v>
      </c>
      <c r="D52" s="61">
        <f>SUMIFS(Raw_Data_Period!AJ:AJ, Raw_Data_Period!$A:$A, "Variant", Raw_Data_Period!$C:$C, TRUE)</f>
        <v>20.573</v>
      </c>
      <c r="E52" s="68">
        <f t="shared" si="17"/>
        <v>0.1198</v>
      </c>
      <c r="F52" s="45">
        <f t="shared" si="18"/>
        <v>0.005857274167</v>
      </c>
      <c r="H52" s="45">
        <f>IFERROR(__xludf.DUMMYFUNCTION("""COMPUTED_VALUE"""),-0.02177716525427865)</f>
        <v>-0.02177716525</v>
      </c>
    </row>
    <row r="53" ht="15.75" hidden="1" customHeight="1">
      <c r="A53" s="15"/>
      <c r="B53" s="16" t="s">
        <v>64</v>
      </c>
      <c r="C53" s="61">
        <f>SUMIFS(Raw_Data_Period!AK:AK, Raw_Data_Period!$A:$A, "Control", Raw_Data_Period!$C:$C, TRUE)</f>
        <v>3.8817</v>
      </c>
      <c r="D53" s="61">
        <f>SUMIFS(Raw_Data_Period!AK:AK, Raw_Data_Period!$A:$A, "Variant", Raw_Data_Period!$C:$C, TRUE)</f>
        <v>3.9935</v>
      </c>
      <c r="E53" s="68">
        <f t="shared" si="17"/>
        <v>0.1118</v>
      </c>
      <c r="F53" s="45">
        <f t="shared" si="18"/>
        <v>0.02880181364</v>
      </c>
      <c r="H53" s="45">
        <f>IFERROR(__xludf.DUMMYFUNCTION("""COMPUTED_VALUE"""),-0.041503502288897494)</f>
        <v>-0.04150350229</v>
      </c>
    </row>
    <row r="54" ht="15.75" customHeight="1">
      <c r="A54" s="9" t="s">
        <v>65</v>
      </c>
      <c r="B54" s="12"/>
      <c r="C54" s="12"/>
      <c r="D54" s="12"/>
      <c r="E54" s="12"/>
      <c r="F54" s="12"/>
      <c r="H54" s="12"/>
    </row>
    <row r="55" ht="15.75" customHeight="1">
      <c r="A55" s="15"/>
      <c r="B55" s="16" t="s">
        <v>66</v>
      </c>
      <c r="C55" s="55">
        <f>SUMIFS(Raw_Data_Period!AL:AL, Raw_Data_Period!$A:$A, "Control", Raw_Data_Period!$C:$C, TRUE)</f>
        <v>0.3789</v>
      </c>
      <c r="D55" s="55">
        <f>SUMIFS(Raw_Data_Period!AL:AL, Raw_Data_Period!$A:$A, "Variant", Raw_Data_Period!$C:$C, TRUE)</f>
        <v>0.38</v>
      </c>
      <c r="E55" s="69">
        <f>IFERROR(D55-C55,"")</f>
        <v>0.0011</v>
      </c>
      <c r="F55" s="45">
        <f>IFERROR((D55-C55)/ABS(C55),"")</f>
        <v>0.00290314067</v>
      </c>
      <c r="H55" s="45">
        <f>IFERROR(__xludf.DUMMYFUNCTION("""COMPUTED_VALUE"""),0.010165184243964431)</f>
        <v>0.01016518424</v>
      </c>
    </row>
    <row r="56" ht="15.75" hidden="1" customHeight="1">
      <c r="A56" s="9" t="s">
        <v>67</v>
      </c>
      <c r="B56" s="12"/>
      <c r="C56" s="12"/>
      <c r="D56" s="12"/>
      <c r="E56" s="12"/>
      <c r="F56" s="12"/>
      <c r="H56" s="12"/>
    </row>
    <row r="57" ht="15.75" hidden="1" customHeight="1">
      <c r="A57" s="15"/>
      <c r="B57" s="16" t="s">
        <v>68</v>
      </c>
      <c r="C57" s="61"/>
      <c r="D57" s="61">
        <f>SUMIFS(Raw_Data_Period!AI:AI, Raw_Data_Period!$A:$A, "Variant", Raw_Data_Period!$C:$C, TRUE)</f>
        <v>50.7544</v>
      </c>
      <c r="E57" s="66"/>
      <c r="F57" s="40"/>
      <c r="H57" s="40"/>
    </row>
    <row r="58" ht="15.75" hidden="1" customHeight="1">
      <c r="A58" s="15"/>
      <c r="B58" s="70" t="s">
        <v>69</v>
      </c>
      <c r="C58" s="61"/>
      <c r="D58" s="61">
        <f>SUMIFS(Raw_Data_Period!AI:AI, Raw_Data_Period!$A:$A, "Variant", Raw_Data_Period!$C:$C, TRUE)</f>
        <v>50.7544</v>
      </c>
      <c r="E58" s="66"/>
      <c r="F58" s="40"/>
      <c r="H58" s="40"/>
    </row>
    <row r="59" ht="15.75" hidden="1" customHeight="1">
      <c r="A59" s="15"/>
      <c r="B59" s="70" t="s">
        <v>70</v>
      </c>
      <c r="C59" s="61"/>
      <c r="D59" s="61">
        <f>SUMIFS(Raw_Data_Period!AJ:AJ, Raw_Data_Period!$A:$A, "Variant", Raw_Data_Period!$C:$C, TRUE)</f>
        <v>20.573</v>
      </c>
      <c r="E59" s="66"/>
      <c r="F59" s="40"/>
      <c r="H59" s="40"/>
    </row>
    <row r="60" ht="15.75" hidden="1" customHeight="1">
      <c r="A60" s="15"/>
      <c r="B60" s="70" t="s">
        <v>71</v>
      </c>
      <c r="C60" s="61"/>
      <c r="D60" s="61">
        <f>SUMIFS(Raw_Data_Period!AK:AK, Raw_Data_Period!$A:$A, "Variant", Raw_Data_Period!$C:$C, TRUE)</f>
        <v>3.9935</v>
      </c>
      <c r="E60" s="66"/>
      <c r="F60" s="40"/>
      <c r="H60" s="40"/>
    </row>
    <row r="61" ht="15.75" customHeight="1">
      <c r="A61" s="9" t="s">
        <v>72</v>
      </c>
      <c r="B61" s="12"/>
      <c r="C61" s="12"/>
      <c r="D61" s="12"/>
      <c r="E61" s="12"/>
      <c r="F61" s="12"/>
      <c r="H61" s="12"/>
    </row>
    <row r="62" ht="15.75" customHeight="1">
      <c r="A62" s="15"/>
      <c r="B62" s="58" t="s">
        <v>73</v>
      </c>
      <c r="C62" s="55">
        <f>SUMIFS(Raw_Data_Period!AQ:AQ, Raw_Data_Period!$A:$A, "Control", Raw_Data_Period!$C:$C, TRUE)</f>
        <v>6.669</v>
      </c>
      <c r="D62" s="55">
        <f>SUMIFS(Raw_Data_Period!AQ:AQ, Raw_Data_Period!$A:$A, "Variant", Raw_Data_Period!$C:$C, TRUE)</f>
        <v>6.3097</v>
      </c>
      <c r="E62" s="63">
        <f t="shared" ref="E62:E67" si="19">IFERROR(D62-C62,"")</f>
        <v>-0.3593</v>
      </c>
      <c r="F62" s="40">
        <f t="shared" ref="F62:F67" si="20">IFERROR((D62-C62)/ABS(C62),"")</f>
        <v>-0.05387614335</v>
      </c>
      <c r="H62" s="40">
        <f>IFERROR(__xludf.DUMMYFUNCTION("""COMPUTED_VALUE"""),-0.04324515860666464)</f>
        <v>-0.04324515861</v>
      </c>
    </row>
    <row r="63" ht="15.75" customHeight="1">
      <c r="A63" s="15"/>
      <c r="B63" s="58" t="s">
        <v>74</v>
      </c>
      <c r="C63" s="55">
        <f>SUMIFS(Raw_Data_Period!AR:AR, Raw_Data_Period!$A:$A, "Control", Raw_Data_Period!$C:$C, TRUE)</f>
        <v>0.1812</v>
      </c>
      <c r="D63" s="55">
        <f>SUMIFS(Raw_Data_Period!AR:AR, Raw_Data_Period!$A:$A, "Variant", Raw_Data_Period!$C:$C, TRUE)</f>
        <v>0.1781</v>
      </c>
      <c r="E63" s="43">
        <f t="shared" si="19"/>
        <v>-0.0031</v>
      </c>
      <c r="F63" s="40">
        <f t="shared" si="20"/>
        <v>-0.01710816777</v>
      </c>
      <c r="H63" s="40">
        <f>IFERROR(__xludf.DUMMYFUNCTION("""COMPUTED_VALUE"""),-0.13283378746594016)</f>
        <v>-0.1328337875</v>
      </c>
    </row>
    <row r="64" ht="15.75" customHeight="1">
      <c r="A64" s="15"/>
      <c r="B64" s="58" t="s">
        <v>75</v>
      </c>
      <c r="C64" s="55">
        <f>SUMIFS(Raw_Data_Period!AS:AS, Raw_Data_Period!$A:$A, "Control", Raw_Data_Period!$C:$C, TRUE)</f>
        <v>6.4878</v>
      </c>
      <c r="D64" s="55">
        <f>SUMIFS(Raw_Data_Period!AS:AS, Raw_Data_Period!$A:$A, "Variant", Raw_Data_Period!$C:$C, TRUE)</f>
        <v>6.1316</v>
      </c>
      <c r="E64" s="63">
        <f t="shared" si="19"/>
        <v>-0.3562</v>
      </c>
      <c r="F64" s="40">
        <f t="shared" si="20"/>
        <v>-0.0549030488</v>
      </c>
      <c r="H64" s="40">
        <f>IFERROR(__xludf.DUMMYFUNCTION("""COMPUTED_VALUE"""),-0.04117211267161609)</f>
        <v>-0.04117211267</v>
      </c>
    </row>
    <row r="65" ht="15.75" customHeight="1">
      <c r="A65" s="15"/>
      <c r="B65" s="58" t="s">
        <v>76</v>
      </c>
      <c r="C65" s="55">
        <f>SUMIFS(Raw_Data_Period!AT:AT, Raw_Data_Period!$A:$A, "Control", Raw_Data_Period!$C:$C, TRUE)</f>
        <v>6.047</v>
      </c>
      <c r="D65" s="55">
        <f>SUMIFS(Raw_Data_Period!AT:AT, Raw_Data_Period!$A:$A, "Variant", Raw_Data_Period!$C:$C, TRUE)</f>
        <v>5.4704</v>
      </c>
      <c r="E65" s="43">
        <f t="shared" si="19"/>
        <v>-0.5766</v>
      </c>
      <c r="F65" s="40">
        <f t="shared" si="20"/>
        <v>-0.09535306764</v>
      </c>
      <c r="H65" s="40">
        <f>IFERROR(__xludf.DUMMYFUNCTION("""COMPUTED_VALUE"""),-0.04908815151851434)</f>
        <v>-0.04908815152</v>
      </c>
    </row>
    <row r="66" ht="15.75" customHeight="1">
      <c r="A66" s="15"/>
      <c r="B66" s="58" t="s">
        <v>77</v>
      </c>
      <c r="C66" s="55">
        <f>SUMIFS(Raw_Data_Period!AQ:AQ, Raw_Data_Period!$A:$A, "Control", Raw_Data_Period!$C:$C, TRUE) - SUMIFS(Raw_Data_Period!AT:AT, Raw_Data_Period!$A:$A, "Control", Raw_Data_Period!$C:$C, TRUE)</f>
        <v>0.622</v>
      </c>
      <c r="D66" s="55">
        <f>SUMIFS(Raw_Data_Period!AQ:AQ, Raw_Data_Period!$A:$A, "Variant", Raw_Data_Period!$C:$C, TRUE) - SUMIFS(Raw_Data_Period!AT:AT, Raw_Data_Period!$A:$A, "Variant", Raw_Data_Period!$C:$C, TRUE)</f>
        <v>0.8393</v>
      </c>
      <c r="E66" s="63">
        <f t="shared" si="19"/>
        <v>0.2173</v>
      </c>
      <c r="F66" s="40">
        <f t="shared" si="20"/>
        <v>0.3493569132</v>
      </c>
      <c r="H66" s="40">
        <f>IFERROR(__xludf.DUMMYFUNCTION("""COMPUTED_VALUE"""),-0.014110486027851952)</f>
        <v>-0.01411048603</v>
      </c>
    </row>
    <row r="67" ht="15.75" customHeight="1">
      <c r="A67" s="15"/>
      <c r="B67" s="16" t="s">
        <v>78</v>
      </c>
      <c r="C67" s="55">
        <f>SUMIFS(Raw_Data_Period!AU:AU, Raw_Data_Period!$A:$A, "Control", Raw_Data_Period!$C:$C, TRUE)</f>
        <v>0.2232</v>
      </c>
      <c r="D67" s="55">
        <f>SUMIFS(Raw_Data_Period!AU:AU, Raw_Data_Period!$A:$A, "Variant", Raw_Data_Period!$C:$C, TRUE)</f>
        <v>0.2006</v>
      </c>
      <c r="E67" s="71">
        <f t="shared" si="19"/>
        <v>-0.0226</v>
      </c>
      <c r="F67" s="45">
        <f t="shared" si="20"/>
        <v>-0.1012544803</v>
      </c>
      <c r="H67" s="45">
        <f>IFERROR(__xludf.DUMMYFUNCTION("""COMPUTED_VALUE"""),-0.05524861878453043)</f>
        <v>-0.05524861878</v>
      </c>
    </row>
    <row r="68" ht="15.75" customHeight="1">
      <c r="H68" s="72"/>
    </row>
    <row r="69" ht="15.75" customHeight="1">
      <c r="A69" s="73" t="s">
        <v>79</v>
      </c>
      <c r="B69" s="12"/>
      <c r="C69" s="12"/>
      <c r="D69" s="12"/>
      <c r="E69" s="12"/>
      <c r="F69" s="12"/>
      <c r="H69" s="12"/>
    </row>
    <row r="70" ht="15.75" customHeight="1">
      <c r="A70" s="15"/>
      <c r="B70" s="74" t="s">
        <v>80</v>
      </c>
      <c r="C70" s="55">
        <f>SUMIFS(Raw_Data_Period!BO:BO, Raw_Data_Period!$A:$A, "Control", Raw_Data_Period!$C:$C, TRUE)</f>
        <v>1.4827</v>
      </c>
      <c r="D70" s="55">
        <f>SUMIFS(Raw_Data_Period!BO:BO, Raw_Data_Period!$A:$A, "Variant", Raw_Data_Period!$C:$C, TRUE)</f>
        <v>1.5628</v>
      </c>
      <c r="E70" s="63">
        <f t="shared" ref="E70:E74" si="21">IFERROR(D70-C70,"")</f>
        <v>0.0801</v>
      </c>
      <c r="F70" s="40">
        <f t="shared" ref="F70:F74" si="22">IFERROR((D70-C70)/ABS(C70),"")</f>
        <v>0.05402306603</v>
      </c>
      <c r="H70" s="40">
        <f>IFERROR(__xludf.DUMMYFUNCTION("""COMPUTED_VALUE"""),-0.1087340252771305)</f>
        <v>-0.1087340253</v>
      </c>
    </row>
    <row r="71" ht="15.75" customHeight="1">
      <c r="A71" s="15"/>
      <c r="B71" s="74" t="s">
        <v>81</v>
      </c>
      <c r="C71" s="55">
        <f>SUMIFS(Raw_Data_Period!BP:BP, Raw_Data_Period!$A:$A, "Control", Raw_Data_Period!$C:$C, TRUE)</f>
        <v>0.0308</v>
      </c>
      <c r="D71" s="55">
        <f>SUMIFS(Raw_Data_Period!BP:BP, Raw_Data_Period!$A:$A, "Variant", Raw_Data_Period!$C:$C, TRUE)</f>
        <v>0.0337</v>
      </c>
      <c r="E71" s="43">
        <f t="shared" si="21"/>
        <v>0.0029</v>
      </c>
      <c r="F71" s="40">
        <f t="shared" si="22"/>
        <v>0.09415584416</v>
      </c>
      <c r="H71" s="40">
        <f>IFERROR(__xludf.DUMMYFUNCTION("""COMPUTED_VALUE"""),-0.10989010989010999)</f>
        <v>-0.1098901099</v>
      </c>
    </row>
    <row r="72" ht="15.75" customHeight="1">
      <c r="A72" s="15"/>
      <c r="B72" s="74" t="s">
        <v>82</v>
      </c>
      <c r="C72" s="55">
        <f>SUMIFS(Raw_Data_Period!BQ:BQ, Raw_Data_Period!$A:$A, "Control", Raw_Data_Period!$C:$C, TRUE)</f>
        <v>1.4519</v>
      </c>
      <c r="D72" s="55">
        <f>SUMIFS(Raw_Data_Period!BQ:BQ, Raw_Data_Period!$A:$A, "Variant", Raw_Data_Period!$C:$C, TRUE)</f>
        <v>1.5291</v>
      </c>
      <c r="E72" s="63">
        <f t="shared" si="21"/>
        <v>0.0772</v>
      </c>
      <c r="F72" s="40">
        <f t="shared" si="22"/>
        <v>0.05317170604</v>
      </c>
      <c r="H72" s="40">
        <f>IFERROR(__xludf.DUMMYFUNCTION("""COMPUTED_VALUE"""),-0.10871913024695803)</f>
        <v>-0.1087191302</v>
      </c>
    </row>
    <row r="73" ht="15.75" customHeight="1">
      <c r="A73" s="15"/>
      <c r="B73" s="74" t="s">
        <v>83</v>
      </c>
      <c r="C73" s="55">
        <f>SUMIFS(Raw_Data_Period!BR:BR, Raw_Data_Period!$A:$A, "Control", Raw_Data_Period!$C:$C, TRUE)</f>
        <v>1.228</v>
      </c>
      <c r="D73" s="55">
        <f>SUMIFS(Raw_Data_Period!BR:BR, Raw_Data_Period!$A:$A, "Variant", Raw_Data_Period!$C:$C, TRUE)</f>
        <v>1.1902</v>
      </c>
      <c r="E73" s="43">
        <f t="shared" si="21"/>
        <v>-0.0378</v>
      </c>
      <c r="F73" s="40">
        <f t="shared" si="22"/>
        <v>-0.03078175896</v>
      </c>
      <c r="H73" s="40">
        <f>IFERROR(__xludf.DUMMYFUNCTION("""COMPUTED_VALUE"""),-0.07529191966370855)</f>
        <v>-0.07529191966</v>
      </c>
    </row>
    <row r="74" ht="15.75" customHeight="1">
      <c r="A74" s="15"/>
      <c r="B74" s="74" t="s">
        <v>84</v>
      </c>
      <c r="C74" s="55">
        <f>SUMIFS(Raw_Data_Period!BO:BO, Raw_Data_Period!$A:$A, "Control", Raw_Data_Period!$C:$C, TRUE) - SUMIFS(Raw_Data_Period!BR:BR, Raw_Data_Period!$A:$A, "Control", Raw_Data_Period!$C:$C, TRUE)</f>
        <v>0.2547</v>
      </c>
      <c r="D74" s="55">
        <f>SUMIFS(Raw_Data_Period!BO:BO, Raw_Data_Period!$A:$A, "Variant", Raw_Data_Period!$C:$C, TRUE) - SUMIFS(Raw_Data_Period!BR:BR, Raw_Data_Period!$A:$A, "Variant", Raw_Data_Period!$C:$C, TRUE)</f>
        <v>0.3726</v>
      </c>
      <c r="E74" s="63">
        <f t="shared" si="21"/>
        <v>0.1179</v>
      </c>
      <c r="F74" s="40">
        <f t="shared" si="22"/>
        <v>0.4628975265</v>
      </c>
      <c r="H74" s="40">
        <f>IFERROR(__xludf.DUMMYFUNCTION("""COMPUTED_VALUE"""),-0.21226142278773838)</f>
        <v>-0.2122614228</v>
      </c>
    </row>
    <row r="75" ht="15.75" customHeight="1">
      <c r="A75" s="73" t="s">
        <v>85</v>
      </c>
      <c r="B75" s="12"/>
      <c r="C75" s="12"/>
      <c r="D75" s="12"/>
      <c r="E75" s="12"/>
      <c r="F75" s="12"/>
      <c r="H75" s="12"/>
    </row>
    <row r="76" ht="15.75" customHeight="1">
      <c r="A76" s="15"/>
      <c r="B76" s="74" t="s">
        <v>86</v>
      </c>
      <c r="C76" s="55">
        <f>SUMIFS(Raw_Data_Period!BS:BS, Raw_Data_Period!$A:$A, "Control", Raw_Data_Period!$C:$C, TRUE)</f>
        <v>1.5258</v>
      </c>
      <c r="D76" s="55">
        <f>SUMIFS(Raw_Data_Period!BS:BS, Raw_Data_Period!$A:$A, "Variant", Raw_Data_Period!$C:$C, TRUE)</f>
        <v>1.5702</v>
      </c>
      <c r="E76" s="63">
        <f t="shared" ref="E76:E80" si="23">IFERROR(D76-C76,"")</f>
        <v>0.0444</v>
      </c>
      <c r="F76" s="40">
        <f t="shared" ref="F76:F80" si="24">IFERROR((D76-C76)/ABS(C76),"")</f>
        <v>0.02909948879</v>
      </c>
      <c r="H76" s="40">
        <f>IFERROR(__xludf.DUMMYFUNCTION("""COMPUTED_VALUE"""),-0.17226277372262766)</f>
        <v>-0.1722627737</v>
      </c>
    </row>
    <row r="77" ht="15.75" customHeight="1">
      <c r="A77" s="15"/>
      <c r="B77" s="74" t="s">
        <v>87</v>
      </c>
      <c r="C77" s="55">
        <f>SUMIFS(Raw_Data_Period!BT:BT, Raw_Data_Period!$A:$A, "Control", Raw_Data_Period!$C:$C, TRUE)</f>
        <v>0.029</v>
      </c>
      <c r="D77" s="55">
        <f>SUMIFS(Raw_Data_Period!BT:BT, Raw_Data_Period!$A:$A, "Variant", Raw_Data_Period!$C:$C, TRUE)</f>
        <v>0.0309</v>
      </c>
      <c r="E77" s="43">
        <f t="shared" si="23"/>
        <v>0.0019</v>
      </c>
      <c r="F77" s="40">
        <f t="shared" si="24"/>
        <v>0.06551724138</v>
      </c>
      <c r="H77" s="40">
        <f>IFERROR(__xludf.DUMMYFUNCTION("""COMPUTED_VALUE"""),-0.16470588235294115)</f>
        <v>-0.1647058824</v>
      </c>
    </row>
    <row r="78" ht="15.75" customHeight="1">
      <c r="A78" s="15"/>
      <c r="B78" s="74" t="s">
        <v>88</v>
      </c>
      <c r="C78" s="55">
        <f>SUMIFS(Raw_Data_Period!BU:BU, Raw_Data_Period!$A:$A, "Control", Raw_Data_Period!$C:$C, TRUE)</f>
        <v>1.4968</v>
      </c>
      <c r="D78" s="55">
        <f>SUMIFS(Raw_Data_Period!BU:BU, Raw_Data_Period!$A:$A, "Variant", Raw_Data_Period!$C:$C, TRUE)</f>
        <v>1.5393</v>
      </c>
      <c r="E78" s="63">
        <f t="shared" si="23"/>
        <v>0.0425</v>
      </c>
      <c r="F78" s="40">
        <f t="shared" si="24"/>
        <v>0.028393907</v>
      </c>
      <c r="H78" s="40">
        <f>IFERROR(__xludf.DUMMYFUNCTION("""COMPUTED_VALUE"""),-0.17238709677419362)</f>
        <v>-0.1723870968</v>
      </c>
    </row>
    <row r="79" ht="15.75" customHeight="1">
      <c r="A79" s="15"/>
      <c r="B79" s="74" t="s">
        <v>89</v>
      </c>
      <c r="C79" s="55">
        <f>SUMIFS(Raw_Data_Period!BV:BV, Raw_Data_Period!$A:$A, "Control", Raw_Data_Period!$C:$C, TRUE)</f>
        <v>1.2225</v>
      </c>
      <c r="D79" s="55">
        <f>SUMIFS(Raw_Data_Period!BV:BV, Raw_Data_Period!$A:$A, "Variant", Raw_Data_Period!$C:$C, TRUE)</f>
        <v>1.1609</v>
      </c>
      <c r="E79" s="43">
        <f t="shared" si="23"/>
        <v>-0.0616</v>
      </c>
      <c r="F79" s="40">
        <f t="shared" si="24"/>
        <v>-0.05038854806</v>
      </c>
      <c r="H79" s="40">
        <f>IFERROR(__xludf.DUMMYFUNCTION("""COMPUTED_VALUE"""),-0.13369418132611638)</f>
        <v>-0.1336941813</v>
      </c>
    </row>
    <row r="80" ht="15.75" customHeight="1">
      <c r="A80" s="15"/>
      <c r="B80" s="74" t="s">
        <v>90</v>
      </c>
      <c r="C80" s="55">
        <f>SUMIFS(Raw_Data_Period!BS:BS, Raw_Data_Period!$A:$A, "Control", Raw_Data_Period!$C:$C, TRUE) - SUMIFS(Raw_Data_Period!BV:BV, Raw_Data_Period!$A:$A, "Control", Raw_Data_Period!$C:$C, TRUE)</f>
        <v>0.3033</v>
      </c>
      <c r="D80" s="55">
        <f>SUMIFS(Raw_Data_Period!BS:BS, Raw_Data_Period!$A:$A, "Variant", Raw_Data_Period!$C:$C, TRUE) - SUMIFS(Raw_Data_Period!BV:BV, Raw_Data_Period!$A:$A, "Variant", Raw_Data_Period!$C:$C, TRUE)</f>
        <v>0.4093</v>
      </c>
      <c r="E80" s="63">
        <f t="shared" si="23"/>
        <v>0.106</v>
      </c>
      <c r="F80" s="40">
        <f t="shared" si="24"/>
        <v>0.3494889548</v>
      </c>
      <c r="H80" s="40">
        <f>IFERROR(__xludf.DUMMYFUNCTION("""COMPUTED_VALUE"""),-0.26381156316916465)</f>
        <v>-0.2638115632</v>
      </c>
    </row>
    <row r="81" ht="15.75" customHeight="1">
      <c r="A81" s="73" t="s">
        <v>91</v>
      </c>
      <c r="B81" s="12"/>
      <c r="C81" s="12"/>
      <c r="D81" s="12"/>
      <c r="E81" s="12"/>
      <c r="F81" s="12"/>
      <c r="H81" s="12"/>
    </row>
    <row r="82" ht="15.75" customHeight="1">
      <c r="A82" s="15"/>
      <c r="B82" s="74" t="s">
        <v>92</v>
      </c>
      <c r="C82" s="55">
        <f>SUMIFS(Raw_Data_Period!BW:BW, Raw_Data_Period!$A:$A, "Control", Raw_Data_Period!$C:$C, TRUE)</f>
        <v>0.9748</v>
      </c>
      <c r="D82" s="55">
        <f>SUMIFS(Raw_Data_Period!BW:BW, Raw_Data_Period!$A:$A, "Variant", Raw_Data_Period!$C:$C, TRUE)</f>
        <v>0.8488</v>
      </c>
      <c r="E82" s="63">
        <f t="shared" ref="E82:E86" si="25">IFERROR(D82-C82,"")</f>
        <v>-0.126</v>
      </c>
      <c r="F82" s="40">
        <f t="shared" ref="F82:F86" si="26">IFERROR((D82-C82)/ABS(C82),"")</f>
        <v>-0.1292572835</v>
      </c>
      <c r="H82" s="40">
        <f>IFERROR(__xludf.DUMMYFUNCTION("""COMPUTED_VALUE"""),-0.027280690777124316)</f>
        <v>-0.02728069078</v>
      </c>
    </row>
    <row r="83" ht="15.75" customHeight="1">
      <c r="A83" s="15"/>
      <c r="B83" s="74" t="s">
        <v>93</v>
      </c>
      <c r="C83" s="55">
        <f>SUMIFS(Raw_Data_Period!BX:BX, Raw_Data_Period!$A:$A, "Control", Raw_Data_Period!$C:$C, TRUE)</f>
        <v>0.0372</v>
      </c>
      <c r="D83" s="55">
        <f>SUMIFS(Raw_Data_Period!BX:BX, Raw_Data_Period!$A:$A, "Variant", Raw_Data_Period!$C:$C, TRUE)</f>
        <v>0.0369</v>
      </c>
      <c r="E83" s="43">
        <f t="shared" si="25"/>
        <v>-0.0003</v>
      </c>
      <c r="F83" s="40">
        <f t="shared" si="26"/>
        <v>-0.008064516129</v>
      </c>
      <c r="H83" s="40">
        <f>IFERROR(__xludf.DUMMYFUNCTION("""COMPUTED_VALUE"""),-0.23880597014925384)</f>
        <v>-0.2388059701</v>
      </c>
    </row>
    <row r="84" ht="15.75" customHeight="1">
      <c r="A84" s="15"/>
      <c r="B84" s="74" t="s">
        <v>94</v>
      </c>
      <c r="C84" s="55">
        <f>SUMIFS(Raw_Data_Period!BY:BY, Raw_Data_Period!$A:$A, "Control", Raw_Data_Period!$C:$C, TRUE)</f>
        <v>0.9375</v>
      </c>
      <c r="D84" s="55">
        <f>SUMIFS(Raw_Data_Period!BY:BY, Raw_Data_Period!$A:$A, "Variant", Raw_Data_Period!$C:$C, TRUE)</f>
        <v>0.8119</v>
      </c>
      <c r="E84" s="63">
        <f t="shared" si="25"/>
        <v>-0.1256</v>
      </c>
      <c r="F84" s="40">
        <f t="shared" si="26"/>
        <v>-0.1339733333</v>
      </c>
      <c r="H84" s="40">
        <f>IFERROR(__xludf.DUMMYFUNCTION("""COMPUTED_VALUE"""),-0.018025078369905856)</f>
        <v>-0.01802507837</v>
      </c>
    </row>
    <row r="85" ht="15.75" customHeight="1">
      <c r="A85" s="15"/>
      <c r="B85" s="74" t="s">
        <v>95</v>
      </c>
      <c r="C85" s="55">
        <f>SUMIFS(Raw_Data_Period!BZ:BZ, Raw_Data_Period!$A:$A, "Control", Raw_Data_Period!$C:$C, TRUE)</f>
        <v>0.8313</v>
      </c>
      <c r="D85" s="55">
        <f>SUMIFS(Raw_Data_Period!BZ:BZ, Raw_Data_Period!$A:$A, "Variant", Raw_Data_Period!$C:$C, TRUE)</f>
        <v>0.7031</v>
      </c>
      <c r="E85" s="43">
        <f t="shared" si="25"/>
        <v>-0.1282</v>
      </c>
      <c r="F85" s="40">
        <f t="shared" si="26"/>
        <v>-0.1542162877</v>
      </c>
      <c r="H85" s="40">
        <f>IFERROR(__xludf.DUMMYFUNCTION("""COMPUTED_VALUE"""),6.452653653814421E-4)</f>
        <v>0.0006452653654</v>
      </c>
    </row>
    <row r="86" ht="15.75" customHeight="1">
      <c r="A86" s="15"/>
      <c r="B86" s="74" t="s">
        <v>96</v>
      </c>
      <c r="C86" s="55">
        <f>SUMIFS(Raw_Data_Period!BW:BW, Raw_Data_Period!$A:$A, "Control", Raw_Data_Period!$C:$C, TRUE) - SUMIFS(Raw_Data_Period!BZ:BZ, Raw_Data_Period!$A:$A, "Control", Raw_Data_Period!$C:$C, TRUE)</f>
        <v>0.1435</v>
      </c>
      <c r="D86" s="55">
        <f>SUMIFS(Raw_Data_Period!BW:BW, Raw_Data_Period!$A:$A, "Variant", Raw_Data_Period!$C:$C, TRUE) - SUMIFS(Raw_Data_Period!BZ:BZ, Raw_Data_Period!$A:$A, "Variant", Raw_Data_Period!$C:$C, TRUE)</f>
        <v>0.1457</v>
      </c>
      <c r="E86" s="63">
        <f t="shared" si="25"/>
        <v>0.0022</v>
      </c>
      <c r="F86" s="40">
        <f t="shared" si="26"/>
        <v>0.01533101045</v>
      </c>
      <c r="H86" s="40">
        <f>IFERROR(__xludf.DUMMYFUNCTION("""COMPUTED_VALUE"""),-0.12388392857142853)</f>
        <v>-0.1238839286</v>
      </c>
    </row>
    <row r="87" ht="15.75" customHeight="1">
      <c r="A87" s="73" t="s">
        <v>97</v>
      </c>
      <c r="B87" s="12"/>
      <c r="C87" s="12"/>
      <c r="D87" s="12"/>
      <c r="E87" s="12"/>
      <c r="F87" s="12"/>
      <c r="H87" s="12"/>
    </row>
    <row r="88" ht="15.75" customHeight="1">
      <c r="A88" s="15"/>
      <c r="B88" s="74" t="s">
        <v>98</v>
      </c>
      <c r="C88" s="55">
        <f>SUMIFS(Raw_Data_Period!CE:CE, Raw_Data_Period!$A:$A, "Control", Raw_Data_Period!$C:$C, TRUE)</f>
        <v>1.0223</v>
      </c>
      <c r="D88" s="55">
        <f>SUMIFS(Raw_Data_Period!CE:CE, Raw_Data_Period!$A:$A, "Variant", Raw_Data_Period!$C:$C, TRUE)</f>
        <v>0.8639</v>
      </c>
      <c r="E88" s="63">
        <f t="shared" ref="E88:E92" si="27">IFERROR(D88-C88,"")</f>
        <v>-0.1584</v>
      </c>
      <c r="F88" s="40">
        <f t="shared" ref="F88:F92" si="28">IFERROR((D88-C88)/ABS(C88),"")</f>
        <v>-0.1549447325</v>
      </c>
      <c r="H88" s="40">
        <f>IFERROR(__xludf.DUMMYFUNCTION("""COMPUTED_VALUE"""),0.23715017376989217)</f>
        <v>0.2371501738</v>
      </c>
    </row>
    <row r="89" ht="15.75" customHeight="1">
      <c r="A89" s="15"/>
      <c r="B89" s="74" t="s">
        <v>99</v>
      </c>
      <c r="C89" s="55">
        <f>SUMIFS(Raw_Data_Period!CF:CF, Raw_Data_Period!$A:$A, "Control", Raw_Data_Period!$C:$C, TRUE)</f>
        <v>0.033</v>
      </c>
      <c r="D89" s="55">
        <f>SUMIFS(Raw_Data_Period!CF:CF, Raw_Data_Period!$A:$A, "Variant", Raw_Data_Period!$C:$C, TRUE)</f>
        <v>0.031</v>
      </c>
      <c r="E89" s="43">
        <f t="shared" si="27"/>
        <v>-0.002</v>
      </c>
      <c r="F89" s="40">
        <f t="shared" si="28"/>
        <v>-0.06060606061</v>
      </c>
      <c r="H89" s="40">
        <f>IFERROR(__xludf.DUMMYFUNCTION("""COMPUTED_VALUE"""),-0.09920634920634916)</f>
        <v>-0.09920634921</v>
      </c>
    </row>
    <row r="90" ht="15.75" customHeight="1">
      <c r="A90" s="15"/>
      <c r="B90" s="74" t="s">
        <v>100</v>
      </c>
      <c r="C90" s="55">
        <f>SUMIFS(Raw_Data_Period!CG:CG, Raw_Data_Period!$A:$A, "Control", Raw_Data_Period!$C:$C, TRUE)</f>
        <v>0.9892</v>
      </c>
      <c r="D90" s="55">
        <f>SUMIFS(Raw_Data_Period!CG:CG, Raw_Data_Period!$A:$A, "Variant", Raw_Data_Period!$C:$C, TRUE)</f>
        <v>0.8329</v>
      </c>
      <c r="E90" s="63">
        <f t="shared" si="27"/>
        <v>-0.1563</v>
      </c>
      <c r="F90" s="40">
        <f t="shared" si="28"/>
        <v>-0.1580064699</v>
      </c>
      <c r="H90" s="40">
        <f>IFERROR(__xludf.DUMMYFUNCTION("""COMPUTED_VALUE"""),0.2450851900393185)</f>
        <v>0.24508519</v>
      </c>
    </row>
    <row r="91" ht="15.75" customHeight="1">
      <c r="A91" s="15"/>
      <c r="B91" s="74" t="s">
        <v>101</v>
      </c>
      <c r="C91" s="55">
        <f>SUMIFS(Raw_Data_Period!CH:CH, Raw_Data_Period!$A:$A, "Control", Raw_Data_Period!$C:$C, TRUE)</f>
        <v>0.9899</v>
      </c>
      <c r="D91" s="55">
        <f>SUMIFS(Raw_Data_Period!CH:CH, Raw_Data_Period!$A:$A, "Variant", Raw_Data_Period!$C:$C, TRUE)</f>
        <v>0.909</v>
      </c>
      <c r="E91" s="43">
        <f t="shared" si="27"/>
        <v>-0.0809</v>
      </c>
      <c r="F91" s="40">
        <f t="shared" si="28"/>
        <v>-0.08172542681</v>
      </c>
      <c r="H91" s="40">
        <f>IFERROR(__xludf.DUMMYFUNCTION("""COMPUTED_VALUE"""),0.10737179487179484)</f>
        <v>0.1073717949</v>
      </c>
    </row>
    <row r="92" ht="15.75" customHeight="1">
      <c r="A92" s="15"/>
      <c r="B92" s="74" t="s">
        <v>102</v>
      </c>
      <c r="C92" s="55">
        <f>SUMIFS(Raw_Data_Period!CE:CE, Raw_Data_Period!$A:$A, "Control", Raw_Data_Period!$C:$C, TRUE) - SUMIFS(Raw_Data_Period!CH:CH, Raw_Data_Period!$A:$A, "Control", Raw_Data_Period!$C:$C, TRUE)</f>
        <v>0.0324</v>
      </c>
      <c r="D92" s="55">
        <f>SUMIFS(Raw_Data_Period!CE:CE, Raw_Data_Period!$A:$A, "Variant", Raw_Data_Period!$C:$C, TRUE) - SUMIFS(Raw_Data_Period!CH:CH, Raw_Data_Period!$A:$A, "Variant", Raw_Data_Period!$C:$C, TRUE)</f>
        <v>-0.0451</v>
      </c>
      <c r="E92" s="63">
        <f t="shared" si="27"/>
        <v>-0.0775</v>
      </c>
      <c r="F92" s="40">
        <f t="shared" si="28"/>
        <v>-2.391975309</v>
      </c>
      <c r="H92" s="40">
        <f>IFERROR(__xludf.DUMMYFUNCTION("""COMPUTED_VALUE"""),1.601052631578949)</f>
        <v>1.601052632</v>
      </c>
    </row>
    <row r="93" ht="15.75" customHeight="1">
      <c r="A93" s="73" t="s">
        <v>103</v>
      </c>
      <c r="B93" s="12"/>
      <c r="C93" s="12"/>
      <c r="D93" s="12"/>
      <c r="E93" s="12"/>
      <c r="F93" s="12"/>
      <c r="H93" s="12"/>
    </row>
    <row r="94" ht="15.75" customHeight="1">
      <c r="A94" s="15"/>
      <c r="B94" s="74" t="s">
        <v>104</v>
      </c>
      <c r="C94" s="55">
        <f>SUMIFS(Raw_Data_Period!CI:CI, Raw_Data_Period!$A:$A, "Control", Raw_Data_Period!$C:$C, TRUE)</f>
        <v>1.0413</v>
      </c>
      <c r="D94" s="55">
        <f>SUMIFS(Raw_Data_Period!CI:CI, Raw_Data_Period!$A:$A, "Variant", Raw_Data_Period!$C:$C, TRUE)</f>
        <v>0.9854</v>
      </c>
      <c r="E94" s="63">
        <f t="shared" ref="E94:E98" si="29">IFERROR(D94-C94,"")</f>
        <v>-0.0559</v>
      </c>
      <c r="F94" s="40">
        <f t="shared" ref="F94:F98" si="30">IFERROR((D94-C94)/ABS(C94),"")</f>
        <v>-0.05368289638</v>
      </c>
      <c r="H94" s="40">
        <f>IFERROR(__xludf.DUMMYFUNCTION("""COMPUTED_VALUE"""),-0.05311304023149441)</f>
        <v>-0.05311304023</v>
      </c>
    </row>
    <row r="95" ht="15.75" customHeight="1">
      <c r="A95" s="15"/>
      <c r="B95" s="74" t="s">
        <v>105</v>
      </c>
      <c r="C95" s="55">
        <f>SUMIFS(Raw_Data_Period!CJ:CJ, Raw_Data_Period!$A:$A, "Control", Raw_Data_Period!$C:$C, TRUE)</f>
        <v>0.0283</v>
      </c>
      <c r="D95" s="55">
        <f>SUMIFS(Raw_Data_Period!CJ:CJ, Raw_Data_Period!$A:$A, "Variant", Raw_Data_Period!$C:$C, TRUE)</f>
        <v>0.0255</v>
      </c>
      <c r="E95" s="43">
        <f t="shared" si="29"/>
        <v>-0.0028</v>
      </c>
      <c r="F95" s="40">
        <f t="shared" si="30"/>
        <v>-0.09893992933</v>
      </c>
      <c r="H95" s="40">
        <f>IFERROR(__xludf.DUMMYFUNCTION("""COMPUTED_VALUE"""),-0.02985074626865671)</f>
        <v>-0.02985074627</v>
      </c>
    </row>
    <row r="96" ht="15.75" customHeight="1">
      <c r="A96" s="15"/>
      <c r="B96" s="74" t="s">
        <v>106</v>
      </c>
      <c r="C96" s="55">
        <f>SUMIFS(Raw_Data_Period!CK:CK, Raw_Data_Period!$A:$A, "Control", Raw_Data_Period!$C:$C, TRUE)</f>
        <v>1.013</v>
      </c>
      <c r="D96" s="55">
        <f>SUMIFS(Raw_Data_Period!CK:CK, Raw_Data_Period!$A:$A, "Variant", Raw_Data_Period!$C:$C, TRUE)</f>
        <v>0.9598</v>
      </c>
      <c r="E96" s="63">
        <f t="shared" si="29"/>
        <v>-0.0532</v>
      </c>
      <c r="F96" s="40">
        <f t="shared" si="30"/>
        <v>-0.05251727542</v>
      </c>
      <c r="H96" s="40">
        <f>IFERROR(__xludf.DUMMYFUNCTION("""COMPUTED_VALUE"""),-0.05365296803652959)</f>
        <v>-0.05365296804</v>
      </c>
    </row>
    <row r="97" ht="15.75" customHeight="1">
      <c r="A97" s="15"/>
      <c r="B97" s="74" t="s">
        <v>107</v>
      </c>
      <c r="C97" s="55">
        <f>SUMIFS(Raw_Data_Period!CL:CL, Raw_Data_Period!$A:$A, "Control", Raw_Data_Period!$C:$C, TRUE)</f>
        <v>1.0814</v>
      </c>
      <c r="D97" s="55">
        <f>SUMIFS(Raw_Data_Period!CL:CL, Raw_Data_Period!$A:$A, "Variant", Raw_Data_Period!$C:$C, TRUE)</f>
        <v>0.9798</v>
      </c>
      <c r="E97" s="43">
        <f t="shared" si="29"/>
        <v>-0.1016</v>
      </c>
      <c r="F97" s="40">
        <f t="shared" si="30"/>
        <v>-0.09395228408</v>
      </c>
      <c r="H97" s="40">
        <f>IFERROR(__xludf.DUMMYFUNCTION("""COMPUTED_VALUE"""),-0.0803650279658521)</f>
        <v>-0.08036502797</v>
      </c>
    </row>
    <row r="98" ht="15.75" customHeight="1">
      <c r="A98" s="15"/>
      <c r="B98" s="74" t="s">
        <v>108</v>
      </c>
      <c r="C98" s="55">
        <f>SUMIFS(Raw_Data_Period!CI:CI, Raw_Data_Period!$A:$A, "Control", Raw_Data_Period!$C:$C, TRUE) - SUMIFS(Raw_Data_Period!CL:CL, Raw_Data_Period!$A:$A, "Control", Raw_Data_Period!$C:$C, TRUE)</f>
        <v>-0.0401</v>
      </c>
      <c r="D98" s="55">
        <f>SUMIFS(Raw_Data_Period!CI:CI, Raw_Data_Period!$A:$A, "Variant", Raw_Data_Period!$C:$C, TRUE) - SUMIFS(Raw_Data_Period!CL:CL, Raw_Data_Period!$A:$A, "Variant", Raw_Data_Period!$C:$C, TRUE)</f>
        <v>0.0056</v>
      </c>
      <c r="E98" s="63">
        <f t="shared" si="29"/>
        <v>0.0457</v>
      </c>
      <c r="F98" s="40">
        <f t="shared" si="30"/>
        <v>1.139650873</v>
      </c>
      <c r="H98" s="40">
        <f>IFERROR(__xludf.DUMMYFUNCTION("""COMPUTED_VALUE"""),0.4789272030651322)</f>
        <v>0.4789272031</v>
      </c>
    </row>
    <row r="99" ht="15.75" customHeight="1">
      <c r="A99" s="73" t="s">
        <v>109</v>
      </c>
      <c r="B99" s="12"/>
      <c r="C99" s="12"/>
      <c r="D99" s="12"/>
      <c r="E99" s="12"/>
      <c r="F99" s="12"/>
      <c r="H99" s="12"/>
    </row>
    <row r="100" ht="15.75" customHeight="1">
      <c r="A100" s="15"/>
      <c r="B100" s="74" t="s">
        <v>110</v>
      </c>
      <c r="C100" s="55">
        <f>SUMIFS(Raw_Data_Period!CA:CA, Raw_Data_Period!$A:$A, "Control", Raw_Data_Period!$C:$C, TRUE)</f>
        <v>0.6222</v>
      </c>
      <c r="D100" s="55">
        <f>SUMIFS(Raw_Data_Period!CA:CA, Raw_Data_Period!$A:$A, "Variant", Raw_Data_Period!$C:$C, TRUE)</f>
        <v>0.4786</v>
      </c>
      <c r="E100" s="63">
        <f t="shared" ref="E100:E104" si="31">IFERROR(D100-C100,"")</f>
        <v>-0.1436</v>
      </c>
      <c r="F100" s="40">
        <f t="shared" ref="F100:F104" si="32">IFERROR((D100-C100)/ABS(C100),"")</f>
        <v>-0.2307939569</v>
      </c>
      <c r="H100" s="40">
        <f>IFERROR(__xludf.DUMMYFUNCTION("""COMPUTED_VALUE"""),-0.06705267090026147)</f>
        <v>-0.0670526709</v>
      </c>
    </row>
    <row r="101" ht="15.75" customHeight="1">
      <c r="A101" s="15"/>
      <c r="B101" s="74" t="s">
        <v>111</v>
      </c>
      <c r="C101" s="55">
        <f>SUMIFS(Raw_Data_Period!CB:CB, Raw_Data_Period!$A:$A, "Control", Raw_Data_Period!$C:$C, TRUE)</f>
        <v>0.0229</v>
      </c>
      <c r="D101" s="55">
        <f>SUMIFS(Raw_Data_Period!CB:CB, Raw_Data_Period!$A:$A, "Variant", Raw_Data_Period!$C:$C, TRUE)</f>
        <v>0.02</v>
      </c>
      <c r="E101" s="43">
        <f t="shared" si="31"/>
        <v>-0.0029</v>
      </c>
      <c r="F101" s="40">
        <f t="shared" si="32"/>
        <v>-0.1266375546</v>
      </c>
      <c r="H101" s="40">
        <f>IFERROR(__xludf.DUMMYFUNCTION("""COMPUTED_VALUE"""),-0.09803921568627448)</f>
        <v>-0.09803921569</v>
      </c>
    </row>
    <row r="102" ht="15.75" customHeight="1">
      <c r="A102" s="15"/>
      <c r="B102" s="74" t="s">
        <v>112</v>
      </c>
      <c r="C102" s="55">
        <f>SUMIFS(Raw_Data_Period!CC:CC, Raw_Data_Period!$A:$A, "Control", Raw_Data_Period!$C:$C, TRUE)</f>
        <v>0.5993</v>
      </c>
      <c r="D102" s="55">
        <f>SUMIFS(Raw_Data_Period!CC:CC, Raw_Data_Period!$A:$A, "Variant", Raw_Data_Period!$C:$C, TRUE)</f>
        <v>0.4586</v>
      </c>
      <c r="E102" s="63">
        <f t="shared" si="31"/>
        <v>-0.1407</v>
      </c>
      <c r="F102" s="40">
        <f t="shared" si="32"/>
        <v>-0.2347739029</v>
      </c>
      <c r="H102" s="40">
        <f>IFERROR(__xludf.DUMMYFUNCTION("""COMPUTED_VALUE"""),-0.06632064590542094)</f>
        <v>-0.06632064591</v>
      </c>
    </row>
    <row r="103" ht="15.75" customHeight="1">
      <c r="A103" s="15"/>
      <c r="B103" s="74" t="s">
        <v>113</v>
      </c>
      <c r="C103" s="55">
        <f>SUMIFS(Raw_Data_Period!CD:CD, Raw_Data_Period!$A:$A, "Control", Raw_Data_Period!$C:$C, TRUE)</f>
        <v>0.6939</v>
      </c>
      <c r="D103" s="55">
        <f>SUMIFS(Raw_Data_Period!CD:CD, Raw_Data_Period!$A:$A, "Variant", Raw_Data_Period!$C:$C, TRUE)</f>
        <v>0.5274</v>
      </c>
      <c r="E103" s="43">
        <f t="shared" si="31"/>
        <v>-0.1665</v>
      </c>
      <c r="F103" s="40">
        <f t="shared" si="32"/>
        <v>-0.2399481193</v>
      </c>
      <c r="H103" s="40">
        <f>IFERROR(__xludf.DUMMYFUNCTION("""COMPUTED_VALUE"""),-0.10572687224669587)</f>
        <v>-0.1057268722</v>
      </c>
    </row>
    <row r="104" ht="15.75" customHeight="1">
      <c r="A104" s="15"/>
      <c r="B104" s="74" t="s">
        <v>114</v>
      </c>
      <c r="C104" s="55">
        <f>SUMIFS(Raw_Data_Period!CA:CA, Raw_Data_Period!$A:$A, "Control", Raw_Data_Period!$C:$C, TRUE) - SUMIFS(Raw_Data_Period!CD:CD, Raw_Data_Period!$A:$A, "Control", Raw_Data_Period!$C:$C, TRUE)</f>
        <v>-0.0717</v>
      </c>
      <c r="D104" s="55">
        <f>SUMIFS(Raw_Data_Period!CA:CA, Raw_Data_Period!$A:$A, "Variant", Raw_Data_Period!$C:$C, TRUE) - SUMIFS(Raw_Data_Period!CD:CD, Raw_Data_Period!$A:$A, "Variant", Raw_Data_Period!$C:$C, TRUE)</f>
        <v>-0.0488</v>
      </c>
      <c r="E104" s="63">
        <f t="shared" si="31"/>
        <v>0.0229</v>
      </c>
      <c r="F104" s="40">
        <f t="shared" si="32"/>
        <v>0.3193863319</v>
      </c>
      <c r="H104" s="40">
        <f>IFERROR(__xludf.DUMMYFUNCTION("""COMPUTED_VALUE"""),0.4835766423357652)</f>
        <v>0.4835766423</v>
      </c>
    </row>
    <row r="105" ht="15.75" customHeight="1">
      <c r="A105" s="73" t="s">
        <v>115</v>
      </c>
      <c r="B105" s="75" t="s">
        <v>116</v>
      </c>
      <c r="C105" s="12"/>
      <c r="D105" s="12"/>
      <c r="E105" s="12"/>
      <c r="F105" s="12"/>
      <c r="H105" s="12"/>
    </row>
    <row r="106" ht="15.75" customHeight="1">
      <c r="A106" s="76" t="s">
        <v>116</v>
      </c>
      <c r="B106" s="74" t="s">
        <v>117</v>
      </c>
      <c r="C106" s="55">
        <f>SUMIFS(Raw_Data_Period!CM:CM, Raw_Data_Period!$A:$A, "Control", Raw_Data_Period!$C:$C, TRUE)</f>
        <v>327.2759</v>
      </c>
      <c r="D106" s="55">
        <f>SUMIFS(Raw_Data_Period!CM:CM, Raw_Data_Period!$A:$A, "Variant", Raw_Data_Period!$C:$C, TRUE)</f>
        <v>299.9389</v>
      </c>
      <c r="E106" s="63">
        <f t="shared" ref="E106:E113" si="33">IFERROR(D106-C106,"")</f>
        <v>-27.337</v>
      </c>
      <c r="F106" s="40">
        <f t="shared" ref="F106:F113" si="34">IFERROR((D106-C106)/ABS(C106),"")</f>
        <v>-0.08352891246</v>
      </c>
      <c r="H106" s="40">
        <f>IFERROR(__xludf.DUMMYFUNCTION("""COMPUTED_VALUE"""),-0.12891345263156215)</f>
        <v>-0.1289134526</v>
      </c>
    </row>
    <row r="107" ht="15.75" customHeight="1">
      <c r="A107" s="76" t="s">
        <v>116</v>
      </c>
      <c r="B107" s="74" t="s">
        <v>118</v>
      </c>
      <c r="C107" s="55">
        <f>SUMIFS(Raw_Data_Period!CN:CN, Raw_Data_Period!$A:$A, "Control", Raw_Data_Period!$C:$C, TRUE)</f>
        <v>72.96</v>
      </c>
      <c r="D107" s="55">
        <f>SUMIFS(Raw_Data_Period!CN:CN, Raw_Data_Period!$A:$A, "Variant", Raw_Data_Period!$C:$C, TRUE)</f>
        <v>72.89</v>
      </c>
      <c r="E107" s="63">
        <f t="shared" si="33"/>
        <v>-0.07</v>
      </c>
      <c r="F107" s="40">
        <f t="shared" si="34"/>
        <v>-0.0009594298246</v>
      </c>
      <c r="H107" s="40">
        <f>IFERROR(__xludf.DUMMYFUNCTION("""COMPUTED_VALUE"""),-0.004666083406240787)</f>
        <v>-0.004666083406</v>
      </c>
    </row>
    <row r="108" ht="15.75" customHeight="1">
      <c r="A108" s="76" t="s">
        <v>116</v>
      </c>
      <c r="B108" s="74" t="s">
        <v>119</v>
      </c>
      <c r="C108" s="55">
        <f>SUMIFS(Raw_Data_Period!CO:CO, Raw_Data_Period!$A:$A, "Control", Raw_Data_Period!$C:$C, TRUE)</f>
        <v>448.59</v>
      </c>
      <c r="D108" s="55">
        <f>SUMIFS(Raw_Data_Period!CO:CO, Raw_Data_Period!$A:$A, "Variant", Raw_Data_Period!$C:$C, TRUE)</f>
        <v>411.49</v>
      </c>
      <c r="E108" s="63">
        <f t="shared" si="33"/>
        <v>-37.1</v>
      </c>
      <c r="F108" s="40">
        <f t="shared" si="34"/>
        <v>-0.08270358234</v>
      </c>
      <c r="H108" s="40">
        <f>IFERROR(__xludf.DUMMYFUNCTION("""COMPUTED_VALUE"""),-0.12488734740694217)</f>
        <v>-0.1248873474</v>
      </c>
    </row>
    <row r="109" ht="15.75" customHeight="1">
      <c r="A109" s="76" t="s">
        <v>116</v>
      </c>
      <c r="B109" s="74" t="s">
        <v>120</v>
      </c>
      <c r="C109" s="55">
        <f>SUMIFS(Raw_Data_Period!CP:CP, Raw_Data_Period!$A:$A, "Control", Raw_Data_Period!$C:$C, TRUE)</f>
        <v>313.1042</v>
      </c>
      <c r="D109" s="55">
        <f>SUMIFS(Raw_Data_Period!CP:CP, Raw_Data_Period!$A:$A, "Variant", Raw_Data_Period!$C:$C, TRUE)</f>
        <v>262.5941</v>
      </c>
      <c r="E109" s="63">
        <f t="shared" si="33"/>
        <v>-50.5101</v>
      </c>
      <c r="F109" s="40">
        <f t="shared" si="34"/>
        <v>-0.1613204167</v>
      </c>
      <c r="H109" s="40">
        <f>IFERROR(__xludf.DUMMYFUNCTION("""COMPUTED_VALUE"""),-0.21995628888260102)</f>
        <v>-0.2199562889</v>
      </c>
    </row>
    <row r="110" ht="15.75" customHeight="1">
      <c r="A110" s="76" t="s">
        <v>116</v>
      </c>
      <c r="B110" s="74" t="s">
        <v>121</v>
      </c>
      <c r="C110" s="55">
        <f>SUMIFS(Raw_Data_Period!CQ:CQ, Raw_Data_Period!$A:$A, "Control", Raw_Data_Period!$C:$C, TRUE)</f>
        <v>0.0003</v>
      </c>
      <c r="D110" s="55">
        <f>SUMIFS(Raw_Data_Period!CQ:CQ, Raw_Data_Period!$A:$A, "Variant", Raw_Data_Period!$C:$C, TRUE)</f>
        <v>22.1986</v>
      </c>
      <c r="E110" s="63">
        <f t="shared" si="33"/>
        <v>22.1983</v>
      </c>
      <c r="F110" s="40">
        <f t="shared" si="34"/>
        <v>73994.33333</v>
      </c>
      <c r="H110" s="40">
        <f>IFERROR(__xludf.DUMMYFUNCTION("""COMPUTED_VALUE"""),5884.083333333334)</f>
        <v>5884.083333</v>
      </c>
    </row>
    <row r="111" ht="15.75" customHeight="1">
      <c r="A111" s="76" t="s">
        <v>116</v>
      </c>
      <c r="B111" s="74" t="s">
        <v>122</v>
      </c>
      <c r="C111" s="55">
        <f>SUMIFS(Raw_Data_Period!CR:CR, Raw_Data_Period!$A:$A, "Control", Raw_Data_Period!$C:$C, TRUE)</f>
        <v>6.2778</v>
      </c>
      <c r="D111" s="55">
        <f>SUMIFS(Raw_Data_Period!CR:CR, Raw_Data_Period!$A:$A, "Variant", Raw_Data_Period!$C:$C, TRUE)</f>
        <v>5.9762</v>
      </c>
      <c r="E111" s="63">
        <f t="shared" si="33"/>
        <v>-0.3016</v>
      </c>
      <c r="F111" s="40">
        <f t="shared" si="34"/>
        <v>-0.04804230781</v>
      </c>
      <c r="H111" s="40">
        <f>IFERROR(__xludf.DUMMYFUNCTION("""COMPUTED_VALUE"""),-0.040238123345194665)</f>
        <v>-0.04023812335</v>
      </c>
    </row>
    <row r="112" ht="15.75" customHeight="1">
      <c r="A112" s="76" t="s">
        <v>116</v>
      </c>
      <c r="B112" s="74" t="s">
        <v>123</v>
      </c>
      <c r="C112" s="55">
        <f>SUMIFS(Raw_Data_Period!CS:CS, Raw_Data_Period!$A:$A, "Control", Raw_Data_Period!$C:$C, TRUE)</f>
        <v>7.8938</v>
      </c>
      <c r="D112" s="55">
        <f>SUMIFS(Raw_Data_Period!CS:CS, Raw_Data_Period!$A:$A, "Variant", Raw_Data_Period!$C:$C, TRUE)</f>
        <v>9.1694</v>
      </c>
      <c r="E112" s="63">
        <f t="shared" si="33"/>
        <v>1.2756</v>
      </c>
      <c r="F112" s="40">
        <f t="shared" si="34"/>
        <v>0.161595176</v>
      </c>
      <c r="H112" s="40">
        <f>IFERROR(__xludf.DUMMYFUNCTION("""COMPUTED_VALUE"""),-0.16364724844577477)</f>
        <v>-0.1636472484</v>
      </c>
    </row>
    <row r="113" ht="15.75" customHeight="1">
      <c r="A113" s="76" t="s">
        <v>116</v>
      </c>
      <c r="B113" s="74" t="s">
        <v>124</v>
      </c>
      <c r="C113" s="55">
        <f>SUMIFS(Raw_Data_Period!CT:CT, Raw_Data_Period!$A:$A, "Control", Raw_Data_Period!$C:$C, TRUE)</f>
        <v>0</v>
      </c>
      <c r="D113" s="55">
        <f>SUMIFS(Raw_Data_Period!CT:CT, Raw_Data_Period!$A:$A, "Variant", Raw_Data_Period!$C:$C, TRUE)</f>
        <v>0</v>
      </c>
      <c r="E113" s="63">
        <f t="shared" si="33"/>
        <v>0</v>
      </c>
      <c r="F113" s="40" t="str">
        <f t="shared" si="34"/>
        <v/>
      </c>
      <c r="H113" s="40" t="str">
        <f>IFERROR(__xludf.DUMMYFUNCTION("""COMPUTED_VALUE"""),"")</f>
        <v/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</sheetData>
  <mergeCells count="1">
    <mergeCell ref="A1:F1"/>
  </mergeCells>
  <conditionalFormatting sqref="E23:F25 H23:H25 E27:F29 H27:H29 E31:F31 H31 E33:F33 H33 E37:F38 H37:H38 E41:F41 H41 E43:F46 H43:H46 E55:F55 H55 E62:F62 H62 E64:F64 H64 E66:F66 H66 E70:F70 H70 E72:F72 H72 E74:F74 H74 E76:F76 H76 E78:F78 H78 E80:F80 H80 E82:F82 H82 E84:F84 H84 E86:F86 H86 E88:F88 H88 E90:F90 H90 E92:F92 H92 E94:F94 H94 E96:F96 H96 E98:F98 H98 E100:F100 H100 E102:F102 H102 E104:F104 H104 E106:F113 H106:H113">
    <cfRule type="cellIs" dxfId="0" priority="1" stopIfTrue="1" operator="lessThan">
      <formula>0</formula>
    </cfRule>
  </conditionalFormatting>
  <conditionalFormatting sqref="E23:F25 H23:H25 E27:F29 H27:H29 E31:F31 H31 E33:F33 H33 E37:F38 H37:H38 E41:F41 H41 E43:F46 H43:H46 E55:F55 H55 E62:F62 H62 E64:F64 H64 E66:F66 H66 E70:F70 H70 E72:F72 H72 E74:F74 H74 E76:F76 H76 E78:F78 H78 E80:F80 H80 E82:F82 H82 E84:F84 H84 E86:F86 H86 E88:F88 H88 E90:F90 H90 E92:F92 H92 E94:F94 H94 E96:F96 H96 E98:F98 H98 E100:F100 H100 E102:F102 H102 E104:F104 H104 E106:F113 H106:H113">
    <cfRule type="cellIs" dxfId="1" priority="2" stopIfTrue="1" operator="greaterThan">
      <formula>0</formula>
    </cfRule>
  </conditionalFormatting>
  <conditionalFormatting sqref="E5:F5 H5 E7:F9 H7:H9 E11:F13 H11:H13 E15:F20 H15:H20 E22:F22 H22 E30:F30 H30 E32:F32 H32 E34:F35 H34:H35 E39:F40 H39:H40 E48:F49 H48:H49 E51:F53 H51:H53 E63:F63 H63 E65:F65 H65 E67:F67 H67 E71:F71 H71 E73:F73 H73 E77:F77 H77 E79:F79 H79 E83:F83 H83 E85:F85 H85 E89:F89 H89 E91:F91 H91 E95:F95 H95 E97:F97 H97 E101:F101 H101 E103:F103 H103">
    <cfRule type="cellIs" dxfId="1" priority="3" stopIfTrue="1" operator="lessThan">
      <formula>0</formula>
    </cfRule>
  </conditionalFormatting>
  <conditionalFormatting sqref="E5:F5 H5 E7:F9 H7:H9 E11:F13 H11:H13 E15:F20 H15:H20 E22:F22 H22 E30:F30 H30 E32:F32 H32 E34:F35 H34:H35 E39:F40 H39:H40 E48:F49 H48:H49 E51:F53 H51:H53 E63:F63 H63 E65:F65 H65 E67:F67 H67 E71:F71 H71 E73:F73 H73 E77:F77 H77 E79:F79 H79 E83:F83 H83 E85:F85 H85 E89:F89 H89 E91:F91 H91 E95:F95 H95 E97:F97 H97 E101:F101 H101 E103:F103 H103">
    <cfRule type="cellIs" dxfId="0" priority="4" stopIfTrue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32.0"/>
    <col customWidth="1" min="3" max="4" width="16.0"/>
    <col customWidth="1" min="5" max="5" width="14.0"/>
    <col customWidth="1" min="6" max="6" width="12.0"/>
  </cols>
  <sheetData>
    <row r="1">
      <c r="A1" s="1" t="s">
        <v>1</v>
      </c>
    </row>
    <row r="3" ht="21.7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>
      <c r="A4" s="9" t="s">
        <v>8</v>
      </c>
      <c r="B4" s="12"/>
      <c r="C4" s="12"/>
      <c r="D4" s="12"/>
      <c r="E4" s="12"/>
      <c r="F4" s="12"/>
    </row>
    <row r="5">
      <c r="A5" s="15"/>
      <c r="B5" s="16" t="s">
        <v>12</v>
      </c>
      <c r="C5" s="26">
        <f>SUMIFS(Raw_Data_Period_new_users!D:D, Raw_Data_Period_new_users!$A:$A, "Control", Raw_Data_Period_new_users!$C:$C, TRUE)</f>
        <v>0</v>
      </c>
      <c r="D5" s="26">
        <f>SUMIFS(Raw_Data_Period_new_users!D:D, Raw_Data_Period_new_users!$A:$A, "Variant", Raw_Data_Period_new_users!$C:$C, TRUE)</f>
        <v>0</v>
      </c>
      <c r="E5" s="32">
        <f>IFERROR(D5-C5,"")</f>
        <v>0</v>
      </c>
      <c r="F5" s="34" t="str">
        <f>IFERROR((D5-C5)/ABS(C5),"")</f>
        <v/>
      </c>
    </row>
    <row r="6">
      <c r="A6" s="9" t="s">
        <v>16</v>
      </c>
      <c r="B6" s="12"/>
      <c r="C6" s="12"/>
      <c r="D6" s="12"/>
      <c r="E6" s="12"/>
      <c r="F6" s="12"/>
    </row>
    <row r="7">
      <c r="A7" s="15"/>
      <c r="B7" s="16" t="s">
        <v>17</v>
      </c>
      <c r="C7" s="36">
        <f>SUMIFS(Raw_Data_Period_new_users!F:F, Raw_Data_Period_new_users!$A:$A, "Control", Raw_Data_Period_new_users!$C:$C, TRUE)</f>
        <v>0</v>
      </c>
      <c r="D7" s="36">
        <f>SUMIFS(Raw_Data_Period_new_users!F:F, Raw_Data_Period_new_users!$A:$A, "Variant", Raw_Data_Period_new_users!$C:$C, TRUE)</f>
        <v>0</v>
      </c>
      <c r="E7" s="38">
        <f t="shared" ref="E7:E9" si="1">IFERROR(D7-C7,"")</f>
        <v>0</v>
      </c>
      <c r="F7" s="40" t="str">
        <f t="shared" ref="F7:F9" si="2">IFERROR((D7-C7)/ABS(C7),"")</f>
        <v/>
      </c>
    </row>
    <row r="8">
      <c r="A8" s="15"/>
      <c r="B8" s="16" t="s">
        <v>18</v>
      </c>
      <c r="C8" s="41">
        <f>SUMIFS(Raw_Data_Period_new_users!G:G, Raw_Data_Period_new_users!$A:$A, "Control", Raw_Data_Period_new_users!$C:$C, TRUE)</f>
        <v>0</v>
      </c>
      <c r="D8" s="41">
        <f>SUMIFS(Raw_Data_Period_new_users!G:G, Raw_Data_Period_new_users!$A:$A, "Variant", Raw_Data_Period_new_users!$C:$C, TRUE)</f>
        <v>0</v>
      </c>
      <c r="E8" s="38">
        <f t="shared" si="1"/>
        <v>0</v>
      </c>
      <c r="F8" s="40" t="str">
        <f t="shared" si="2"/>
        <v/>
      </c>
    </row>
    <row r="9">
      <c r="A9" s="15"/>
      <c r="B9" s="16" t="s">
        <v>19</v>
      </c>
      <c r="C9" s="41">
        <f>SUMIFS(Raw_Data_Period_new_users!I:I, Raw_Data_Period_new_users!$A:$A, "Control", Raw_Data_Period_new_users!$C:$C, TRUE)</f>
        <v>0</v>
      </c>
      <c r="D9" s="41">
        <f>SUMIFS(Raw_Data_Period_new_users!I:I, Raw_Data_Period_new_users!$A:$A, "Variant", Raw_Data_Period_new_users!$C:$C, TRUE)</f>
        <v>0</v>
      </c>
      <c r="E9" s="38">
        <f t="shared" si="1"/>
        <v>0</v>
      </c>
      <c r="F9" s="40" t="str">
        <f t="shared" si="2"/>
        <v/>
      </c>
    </row>
    <row r="10">
      <c r="A10" s="9" t="s">
        <v>20</v>
      </c>
      <c r="B10" s="12"/>
      <c r="C10" s="12"/>
      <c r="D10" s="12"/>
      <c r="E10" s="12"/>
      <c r="F10" s="12"/>
    </row>
    <row r="11">
      <c r="A11" s="15"/>
      <c r="B11" s="16" t="s">
        <v>21</v>
      </c>
      <c r="C11" s="42">
        <f>SUMIFS(Raw_Data_Period_new_users!J:J, Raw_Data_Period_new_users!$A:$A, "Control", Raw_Data_Period_new_users!$C:$C, TRUE)</f>
        <v>0</v>
      </c>
      <c r="D11" s="42">
        <f>SUMIFS(Raw_Data_Period_new_users!J:J, Raw_Data_Period_new_users!$A:$A, "Variant", Raw_Data_Period_new_users!$C:$C, TRUE)</f>
        <v>0</v>
      </c>
      <c r="E11" s="43">
        <f t="shared" ref="E11:E13" si="3">IFERROR(D11-C11,"")</f>
        <v>0</v>
      </c>
      <c r="F11" s="45" t="str">
        <f t="shared" ref="F11:F13" si="4">IFERROR((D11-C11)/ABS(C11),"")</f>
        <v/>
      </c>
    </row>
    <row r="12">
      <c r="A12" s="15"/>
      <c r="B12" s="16" t="s">
        <v>22</v>
      </c>
      <c r="C12" s="42">
        <f>SUMIFS(Raw_Data_Period_new_users!K:K, Raw_Data_Period_new_users!$A:$A, "Control", Raw_Data_Period_new_users!$C:$C, TRUE)</f>
        <v>0</v>
      </c>
      <c r="D12" s="42">
        <f>SUMIFS(Raw_Data_Period_new_users!K:K, Raw_Data_Period_new_users!$A:$A, "Variant", Raw_Data_Period_new_users!$C:$C, TRUE)</f>
        <v>0</v>
      </c>
      <c r="E12" s="43">
        <f t="shared" si="3"/>
        <v>0</v>
      </c>
      <c r="F12" s="45" t="str">
        <f t="shared" si="4"/>
        <v/>
      </c>
    </row>
    <row r="13">
      <c r="A13" s="15"/>
      <c r="B13" s="16" t="s">
        <v>23</v>
      </c>
      <c r="C13" s="42">
        <f>SUMIFS(Raw_Data_Period_new_users!L:L, Raw_Data_Period_new_users!$A:$A, "Control", Raw_Data_Period_new_users!$C:$C, TRUE)</f>
        <v>0</v>
      </c>
      <c r="D13" s="42">
        <f>SUMIFS(Raw_Data_Period_new_users!L:L, Raw_Data_Period_new_users!$A:$A, "Variant", Raw_Data_Period_new_users!$C:$C, TRUE)</f>
        <v>0</v>
      </c>
      <c r="E13" s="43">
        <f t="shared" si="3"/>
        <v>0</v>
      </c>
      <c r="F13" s="45" t="str">
        <f t="shared" si="4"/>
        <v/>
      </c>
    </row>
    <row r="14" ht="15.75" customHeight="1">
      <c r="A14" s="9" t="s">
        <v>24</v>
      </c>
      <c r="B14" s="12"/>
      <c r="C14" s="12"/>
      <c r="D14" s="12"/>
      <c r="E14" s="12"/>
      <c r="F14" s="12"/>
    </row>
    <row r="15" ht="15.75" customHeight="1">
      <c r="A15" s="15"/>
      <c r="B15" s="16" t="s">
        <v>25</v>
      </c>
      <c r="C15" s="42">
        <f>SUMIFS(Raw_Data_Period_new_users!AD:AD, Raw_Data_Period_new_users!$A:$A, "Control", Raw_Data_Period_new_users!$C:$C, TRUE)</f>
        <v>0</v>
      </c>
      <c r="D15" s="42">
        <f>SUMIFS(Raw_Data_Period_new_users!AD:AD, Raw_Data_Period_new_users!$A:$A, "Variant", Raw_Data_Period_new_users!$C:$C, TRUE)</f>
        <v>0</v>
      </c>
      <c r="E15" s="43">
        <f t="shared" ref="E15:E20" si="5">IFERROR(D15-C15,"")</f>
        <v>0</v>
      </c>
      <c r="F15" s="45" t="str">
        <f t="shared" ref="F15:F20" si="6">IFERROR((D15-C15)/ABS(C15),"")</f>
        <v/>
      </c>
    </row>
    <row r="16" ht="15.75" customHeight="1">
      <c r="A16" s="15"/>
      <c r="B16" s="16" t="s">
        <v>26</v>
      </c>
      <c r="C16" s="42">
        <f>SUMIFS(Raw_Data_Period_new_users!AE:AE, Raw_Data_Period_new_users!$A:$A, "Control", Raw_Data_Period_new_users!$C:$C, TRUE)</f>
        <v>0</v>
      </c>
      <c r="D16" s="42">
        <f>SUMIFS(Raw_Data_Period_new_users!AE:AE, Raw_Data_Period_new_users!$A:$A, "Variant", Raw_Data_Period_new_users!$C:$C, TRUE)</f>
        <v>0</v>
      </c>
      <c r="E16" s="43">
        <f t="shared" si="5"/>
        <v>0</v>
      </c>
      <c r="F16" s="45" t="str">
        <f t="shared" si="6"/>
        <v/>
      </c>
    </row>
    <row r="17" ht="15.75" customHeight="1">
      <c r="A17" s="15"/>
      <c r="B17" s="16" t="s">
        <v>27</v>
      </c>
      <c r="C17" s="42">
        <f>SUMIFS(Raw_Data_Period_new_users!AF:AF, Raw_Data_Period_new_users!$A:$A, "Control", Raw_Data_Period_new_users!$C:$C, TRUE)</f>
        <v>0</v>
      </c>
      <c r="D17" s="42">
        <f>SUMIFS(Raw_Data_Period_new_users!AF:AF, Raw_Data_Period_new_users!$A:$A, "Variant", Raw_Data_Period_new_users!$C:$C, TRUE)</f>
        <v>0</v>
      </c>
      <c r="E17" s="43">
        <f t="shared" si="5"/>
        <v>0</v>
      </c>
      <c r="F17" s="45" t="str">
        <f t="shared" si="6"/>
        <v/>
      </c>
    </row>
    <row r="18" ht="15.75" customHeight="1">
      <c r="A18" s="15"/>
      <c r="B18" s="16" t="s">
        <v>28</v>
      </c>
      <c r="C18" s="42">
        <f>SUMIFS(Raw_Data_Period_new_users!AG:AG, Raw_Data_Period_new_users!$A:$A, "Control", Raw_Data_Period_new_users!$C:$C, TRUE)</f>
        <v>0</v>
      </c>
      <c r="D18" s="42">
        <f>SUMIFS(Raw_Data_Period_new_users!AG:AG, Raw_Data_Period_new_users!$A:$A, "Variant", Raw_Data_Period_new_users!$C:$C, TRUE)</f>
        <v>0</v>
      </c>
      <c r="E18" s="43">
        <f t="shared" si="5"/>
        <v>0</v>
      </c>
      <c r="F18" s="45" t="str">
        <f t="shared" si="6"/>
        <v/>
      </c>
    </row>
    <row r="19" ht="15.75" customHeight="1">
      <c r="A19" s="15"/>
      <c r="B19" s="16" t="s">
        <v>29</v>
      </c>
      <c r="C19" s="42">
        <f>SUMIFS(Raw_Data_Period_new_users!AH:AH, Raw_Data_Period_new_users!$A:$A, "Control", Raw_Data_Period_new_users!$C:$C, TRUE)</f>
        <v>0</v>
      </c>
      <c r="D19" s="42">
        <f>SUMIFS(Raw_Data_Period_new_users!AH:AH, Raw_Data_Period_new_users!$A:$A, "Variant", Raw_Data_Period_new_users!$C:$C, TRUE)</f>
        <v>0</v>
      </c>
      <c r="E19" s="43">
        <f t="shared" si="5"/>
        <v>0</v>
      </c>
      <c r="F19" s="45" t="str">
        <f t="shared" si="6"/>
        <v/>
      </c>
    </row>
    <row r="20" ht="15.75" customHeight="1">
      <c r="A20" s="15"/>
      <c r="B20" s="54" t="s">
        <v>30</v>
      </c>
      <c r="C20" s="42">
        <f>SUMIFS(Raw_Data_Period_new_users!BC:BC, Raw_Data_Period_new_users!$A:$A, "Control", Raw_Data_Period_new_users!$C:$C, TRUE)</f>
        <v>0</v>
      </c>
      <c r="D20" s="42">
        <f>SUMIFS(Raw_Data_Period_new_users!BC:BC, Raw_Data_Period_new_users!$A:$A, "Variant", Raw_Data_Period_new_users!$C:$C, TRUE)</f>
        <v>0</v>
      </c>
      <c r="E20" s="43">
        <f t="shared" si="5"/>
        <v>0</v>
      </c>
      <c r="F20" s="45" t="str">
        <f t="shared" si="6"/>
        <v/>
      </c>
    </row>
    <row r="21">
      <c r="A21" s="9" t="s">
        <v>31</v>
      </c>
      <c r="B21" s="12"/>
      <c r="C21" s="12"/>
      <c r="D21" s="12"/>
      <c r="E21" s="12"/>
      <c r="F21" s="12"/>
    </row>
    <row r="22" ht="15.75" customHeight="1">
      <c r="A22" s="15"/>
      <c r="B22" s="16" t="s">
        <v>32</v>
      </c>
      <c r="C22" s="55">
        <f>SUMIFS(Raw_Data_Period_new_users!M:M, Raw_Data_Period_new_users!$A:$A, "Control", Raw_Data_Period_new_users!$C:$C, TRUE)</f>
        <v>0</v>
      </c>
      <c r="D22" s="55">
        <f>SUMIFS(Raw_Data_Period_new_users!M:M, Raw_Data_Period_new_users!$A:$A, "Variant", Raw_Data_Period_new_users!$C:$C, TRUE)</f>
        <v>0</v>
      </c>
      <c r="E22" s="56">
        <f t="shared" ref="E22:E25" si="7">IFERROR(D22-C22,"")</f>
        <v>0</v>
      </c>
      <c r="F22" s="34" t="str">
        <f t="shared" ref="F22:F25" si="8">IFERROR((D22-C22)/ABS(C22),"")</f>
        <v/>
      </c>
    </row>
    <row r="23" ht="15.75" customHeight="1">
      <c r="A23" s="15"/>
      <c r="B23" s="16" t="s">
        <v>33</v>
      </c>
      <c r="C23" s="55">
        <f>SUMIFS(Raw_Data_Period_new_users!N:N, Raw_Data_Period_new_users!$A:$A, "Control", Raw_Data_Period_new_users!$C:$C, TRUE)</f>
        <v>0</v>
      </c>
      <c r="D23" s="55">
        <f>SUMIFS(Raw_Data_Period_new_users!N:N, Raw_Data_Period_new_users!$A:$A, "Variant", Raw_Data_Period_new_users!$C:$C, TRUE)</f>
        <v>0</v>
      </c>
      <c r="E23" s="56">
        <f t="shared" si="7"/>
        <v>0</v>
      </c>
      <c r="F23" s="34" t="str">
        <f t="shared" si="8"/>
        <v/>
      </c>
    </row>
    <row r="24" ht="15.75" customHeight="1">
      <c r="A24" s="15"/>
      <c r="B24" s="16" t="s">
        <v>34</v>
      </c>
      <c r="C24" s="55">
        <f>SUMIFS(Raw_Data_Period_new_users!O:O, Raw_Data_Period_new_users!$A:$A, "Control", Raw_Data_Period_new_users!$C:$C, TRUE)</f>
        <v>0</v>
      </c>
      <c r="D24" s="55">
        <f>SUMIFS(Raw_Data_Period_new_users!O:O, Raw_Data_Period_new_users!$A:$A, "Variant", Raw_Data_Period_new_users!$C:$C, TRUE)</f>
        <v>0</v>
      </c>
      <c r="E24" s="56">
        <f t="shared" si="7"/>
        <v>0</v>
      </c>
      <c r="F24" s="34" t="str">
        <f t="shared" si="8"/>
        <v/>
      </c>
    </row>
    <row r="25" ht="15.75" customHeight="1">
      <c r="A25" s="15"/>
      <c r="B25" s="16" t="s">
        <v>35</v>
      </c>
      <c r="C25" s="42">
        <f>SUMIFS(Raw_Data_Period_new_users!P:P, Raw_Data_Period_new_users!$A:$A, "Control", Raw_Data_Period_new_users!$C:$C, TRUE)</f>
        <v>0</v>
      </c>
      <c r="D25" s="42">
        <f>SUMIFS(Raw_Data_Period_new_users!P:P, Raw_Data_Period_new_users!$A:$A, "Variant", Raw_Data_Period_new_users!$C:$C, TRUE)</f>
        <v>0</v>
      </c>
      <c r="E25" s="57">
        <f t="shared" si="7"/>
        <v>0</v>
      </c>
      <c r="F25" s="34" t="str">
        <f t="shared" si="8"/>
        <v/>
      </c>
    </row>
    <row r="26" ht="15.75" customHeight="1">
      <c r="A26" s="9" t="s">
        <v>36</v>
      </c>
      <c r="B26" s="12"/>
      <c r="C26" s="12"/>
      <c r="D26" s="12"/>
      <c r="E26" s="12"/>
      <c r="F26" s="12"/>
    </row>
    <row r="27" ht="15.75" customHeight="1">
      <c r="A27" s="15"/>
      <c r="B27" s="58" t="s">
        <v>37</v>
      </c>
      <c r="C27" s="42">
        <f>SUMIFS(Raw_Data_Period_new_users!Q:Q, Raw_Data_Period_new_users!$A:$A, "Control", Raw_Data_Period_new_users!$C:$C, TRUE)</f>
        <v>0</v>
      </c>
      <c r="D27" s="42">
        <f>SUMIFS(Raw_Data_Period_new_users!Q:Q, Raw_Data_Period_new_users!$A:$A, "Variant", Raw_Data_Period_new_users!$C:$C, TRUE)</f>
        <v>0</v>
      </c>
      <c r="E27" s="59">
        <f t="shared" ref="E27:E35" si="9">IFERROR(D27-C27,"")</f>
        <v>0</v>
      </c>
      <c r="F27" s="40" t="str">
        <f t="shared" ref="F27:F35" si="10">IFERROR((D27-C27)/ABS(C27),"")</f>
        <v/>
      </c>
    </row>
    <row r="28" ht="15.75" customHeight="1">
      <c r="A28" s="15"/>
      <c r="B28" s="16" t="s">
        <v>39</v>
      </c>
      <c r="C28" s="42">
        <f>SUMIFS(Raw_Data_Period_new_users!R:R, Raw_Data_Period_new_users!$A:$A, "Control", Raw_Data_Period_new_users!$C:$C, TRUE)</f>
        <v>0</v>
      </c>
      <c r="D28" s="42">
        <f>SUMIFS(Raw_Data_Period_new_users!R:R, Raw_Data_Period_new_users!$A:$A, "Variant", Raw_Data_Period_new_users!$C:$C, TRUE)</f>
        <v>0</v>
      </c>
      <c r="E28" s="57">
        <f t="shared" si="9"/>
        <v>0</v>
      </c>
      <c r="F28" s="34" t="str">
        <f t="shared" si="10"/>
        <v/>
      </c>
    </row>
    <row r="29" ht="15.75" customHeight="1">
      <c r="A29" s="15"/>
      <c r="B29" s="16" t="s">
        <v>40</v>
      </c>
      <c r="C29" s="42">
        <f>SUMIFS(Raw_Data_Period_new_users!S:S, Raw_Data_Period_new_users!$A:$A, "Control", Raw_Data_Period_new_users!$C:$C, TRUE)</f>
        <v>0</v>
      </c>
      <c r="D29" s="42">
        <f>SUMIFS(Raw_Data_Period_new_users!S:S, Raw_Data_Period_new_users!$A:$A, "Variant", Raw_Data_Period_new_users!$C:$C, TRUE)</f>
        <v>0</v>
      </c>
      <c r="E29" s="57">
        <f t="shared" si="9"/>
        <v>0</v>
      </c>
      <c r="F29" s="34" t="str">
        <f t="shared" si="10"/>
        <v/>
      </c>
    </row>
    <row r="30" ht="15.75" customHeight="1">
      <c r="A30" s="15"/>
      <c r="B30" s="58" t="s">
        <v>41</v>
      </c>
      <c r="C30" s="42">
        <f>SUMIFS(Raw_Data_Period_new_users!T:T, Raw_Data_Period_new_users!$A:$A, "Control", Raw_Data_Period_new_users!$C:$C, TRUE)</f>
        <v>0</v>
      </c>
      <c r="D30" s="42">
        <f>SUMIFS(Raw_Data_Period_new_users!T:T, Raw_Data_Period_new_users!$A:$A, "Variant", Raw_Data_Period_new_users!$C:$C, TRUE)</f>
        <v>0</v>
      </c>
      <c r="E30" s="43">
        <f t="shared" si="9"/>
        <v>0</v>
      </c>
      <c r="F30" s="40" t="str">
        <f t="shared" si="10"/>
        <v/>
      </c>
    </row>
    <row r="31" ht="15.75" customHeight="1">
      <c r="A31" s="15"/>
      <c r="B31" s="58" t="s">
        <v>42</v>
      </c>
      <c r="C31" s="42">
        <f>SUMIFS(Raw_Data_Period_new_users!U:U, Raw_Data_Period_new_users!$A:$A, "Control", Raw_Data_Period_new_users!$C:$C, TRUE)</f>
        <v>0</v>
      </c>
      <c r="D31" s="42">
        <f>SUMIFS(Raw_Data_Period_new_users!U:U, Raw_Data_Period_new_users!$A:$A, "Variant", Raw_Data_Period_new_users!$C:$C, TRUE)</f>
        <v>0</v>
      </c>
      <c r="E31" s="43">
        <f t="shared" si="9"/>
        <v>0</v>
      </c>
      <c r="F31" s="40" t="str">
        <f t="shared" si="10"/>
        <v/>
      </c>
    </row>
    <row r="32" ht="15.75" customHeight="1">
      <c r="A32" s="15"/>
      <c r="B32" s="58" t="s">
        <v>43</v>
      </c>
      <c r="C32" s="42">
        <f>SUMIFS(Raw_Data_Period_new_users!V:V, Raw_Data_Period_new_users!$A:$A, "Control", Raw_Data_Period_new_users!$C:$C, TRUE)</f>
        <v>0</v>
      </c>
      <c r="D32" s="42">
        <f>SUMIFS(Raw_Data_Period_new_users!V:V, Raw_Data_Period_new_users!$A:$A, "Variant", Raw_Data_Period_new_users!$C:$C, TRUE)</f>
        <v>0</v>
      </c>
      <c r="E32" s="63">
        <f t="shared" si="9"/>
        <v>0</v>
      </c>
      <c r="F32" s="45" t="str">
        <f t="shared" si="10"/>
        <v/>
      </c>
    </row>
    <row r="33" ht="15.75" customHeight="1">
      <c r="A33" s="15"/>
      <c r="B33" s="58" t="s">
        <v>44</v>
      </c>
      <c r="C33" s="42">
        <f>SUMIFS(Raw_Data_Period_new_users!Q:Q, Raw_Data_Period_new_users!$A:$A, "Control", Raw_Data_Period_new_users!$C:$C, TRUE) - SUMIFS(Raw_Data_Period_new_users!V:V, Raw_Data_Period_new_users!$A:$A, "Control", Raw_Data_Period_new_users!$C:$C, TRUE)</f>
        <v>0</v>
      </c>
      <c r="D33" s="42">
        <f>SUMIFS(Raw_Data_Period_new_users!Q:Q, Raw_Data_Period_new_users!$A:$A, "Variant", Raw_Data_Period_new_users!$C:$C, TRUE) - SUMIFS(Raw_Data_Period_new_users!V:V, Raw_Data_Period_new_users!$A:$A, "Variant", Raw_Data_Period_new_users!$C:$C, TRUE)</f>
        <v>0</v>
      </c>
      <c r="E33" s="43">
        <f t="shared" si="9"/>
        <v>0</v>
      </c>
      <c r="F33" s="40" t="str">
        <f t="shared" si="10"/>
        <v/>
      </c>
    </row>
    <row r="34" ht="15.75" customHeight="1">
      <c r="A34" s="15"/>
      <c r="B34" s="16" t="s">
        <v>45</v>
      </c>
      <c r="C34" s="42">
        <f>SUMIFS(Raw_Data_Period_new_users!W:W, Raw_Data_Period_new_users!$A:$A, "Control", Raw_Data_Period_new_users!$C:$C, TRUE)</f>
        <v>0</v>
      </c>
      <c r="D34" s="42">
        <f>SUMIFS(Raw_Data_Period_new_users!W:W, Raw_Data_Period_new_users!$A:$A, "Variant", Raw_Data_Period_new_users!$C:$C, TRUE)</f>
        <v>0</v>
      </c>
      <c r="E34" s="63">
        <f t="shared" si="9"/>
        <v>0</v>
      </c>
      <c r="F34" s="45" t="str">
        <f t="shared" si="10"/>
        <v/>
      </c>
    </row>
    <row r="35" ht="15.75" customHeight="1">
      <c r="A35" s="15"/>
      <c r="B35" s="16" t="s">
        <v>46</v>
      </c>
      <c r="C35" s="55">
        <f>SUMIFS(Raw_Data_Period_new_users!X:X, Raw_Data_Period_new_users!$A:$A, "Control", Raw_Data_Period_new_users!$C:$C, TRUE)</f>
        <v>0</v>
      </c>
      <c r="D35" s="55">
        <f>SUMIFS(Raw_Data_Period_new_users!X:X, Raw_Data_Period_new_users!$A:$A, "Variant", Raw_Data_Period_new_users!$C:$C, TRUE)</f>
        <v>0</v>
      </c>
      <c r="E35" s="43">
        <f t="shared" si="9"/>
        <v>0</v>
      </c>
      <c r="F35" s="40" t="str">
        <f t="shared" si="10"/>
        <v/>
      </c>
    </row>
    <row r="36" ht="15.75" customHeight="1">
      <c r="A36" s="9" t="s">
        <v>47</v>
      </c>
      <c r="B36" s="12"/>
      <c r="C36" s="12"/>
      <c r="D36" s="12"/>
      <c r="E36" s="12"/>
      <c r="F36" s="12"/>
    </row>
    <row r="37" ht="15.75" customHeight="1">
      <c r="A37" s="15"/>
      <c r="B37" s="64" t="s">
        <v>48</v>
      </c>
      <c r="C37" s="42">
        <f>SUMIFS(Raw_Data_Period_new_users!AX:AX, Raw_Data_Period_new_users!$A:$A, "Control", Raw_Data_Period_new_users!$C:$C, TRUE)</f>
        <v>0</v>
      </c>
      <c r="D37" s="42">
        <f>SUMIFS(Raw_Data_Period_new_users!AX:AX, Raw_Data_Period_new_users!$A:$A, "Variant", Raw_Data_Period_new_users!$C:$C, TRUE)</f>
        <v>0</v>
      </c>
      <c r="E37" s="56">
        <f t="shared" ref="E37:E41" si="11">IFERROR(D37-C37,"")</f>
        <v>0</v>
      </c>
      <c r="F37" s="34" t="str">
        <f t="shared" ref="F37:F41" si="12">IFERROR((D37-C37)/ABS(C37),"")</f>
        <v/>
      </c>
    </row>
    <row r="38" ht="15.75" customHeight="1">
      <c r="A38" s="15"/>
      <c r="B38" s="64" t="s">
        <v>49</v>
      </c>
      <c r="C38" s="42">
        <f>SUMIFS(Raw_Data_Period_new_users!AY:AY, Raw_Data_Period_new_users!$A:$A, "Control", Raw_Data_Period_new_users!$C:$C, TRUE)</f>
        <v>0</v>
      </c>
      <c r="D38" s="42">
        <f>SUMIFS(Raw_Data_Period_new_users!AY:AY, Raw_Data_Period_new_users!$A:$A, "Variant", Raw_Data_Period_new_users!$C:$C, TRUE)</f>
        <v>0</v>
      </c>
      <c r="E38" s="56">
        <f t="shared" si="11"/>
        <v>0</v>
      </c>
      <c r="F38" s="34" t="str">
        <f t="shared" si="12"/>
        <v/>
      </c>
    </row>
    <row r="39" ht="15.75" customHeight="1">
      <c r="A39" s="15"/>
      <c r="B39" s="64" t="s">
        <v>50</v>
      </c>
      <c r="C39" s="42">
        <f>SUMIFS(Raw_Data_Period_new_users!AZ:AZ, Raw_Data_Period_new_users!$A:$A, "Control", Raw_Data_Period_new_users!$C:$C, TRUE)</f>
        <v>0</v>
      </c>
      <c r="D39" s="42">
        <f>SUMIFS(Raw_Data_Period_new_users!AZ:AZ, Raw_Data_Period_new_users!$A:$A, "Variant", Raw_Data_Period_new_users!$C:$C, TRUE)</f>
        <v>0</v>
      </c>
      <c r="E39" s="63">
        <f t="shared" si="11"/>
        <v>0</v>
      </c>
      <c r="F39" s="45" t="str">
        <f t="shared" si="12"/>
        <v/>
      </c>
    </row>
    <row r="40" ht="15.75" customHeight="1">
      <c r="A40" s="15"/>
      <c r="B40" s="64" t="s">
        <v>51</v>
      </c>
      <c r="C40" s="42">
        <f>SUMIFS(Raw_Data_Period_new_users!BA:BA, Raw_Data_Period_new_users!$A:$A, "Control", Raw_Data_Period_new_users!$C:$C, TRUE)</f>
        <v>0</v>
      </c>
      <c r="D40" s="42">
        <f>SUMIFS(Raw_Data_Period_new_users!BA:BA, Raw_Data_Period_new_users!$A:$A, "Variant", Raw_Data_Period_new_users!$C:$C, TRUE)</f>
        <v>0</v>
      </c>
      <c r="E40" s="63">
        <f t="shared" si="11"/>
        <v>0</v>
      </c>
      <c r="F40" s="45" t="str">
        <f t="shared" si="12"/>
        <v/>
      </c>
    </row>
    <row r="41" ht="15.75" customHeight="1">
      <c r="A41" s="15"/>
      <c r="B41" s="64" t="s">
        <v>52</v>
      </c>
      <c r="C41" s="42">
        <f>SUMIFS(Raw_Data_Period_new_users!BB:BB, Raw_Data_Period_new_users!$A:$A, "Control", Raw_Data_Period_new_users!$C:$C, TRUE)</f>
        <v>0</v>
      </c>
      <c r="D41" s="42">
        <f>SUMIFS(Raw_Data_Period_new_users!BB:BB, Raw_Data_Period_new_users!$A:$A, "Variant", Raw_Data_Period_new_users!$C:$C, TRUE)</f>
        <v>0</v>
      </c>
      <c r="E41" s="56">
        <f t="shared" si="11"/>
        <v>0</v>
      </c>
      <c r="F41" s="34" t="str">
        <f t="shared" si="12"/>
        <v/>
      </c>
    </row>
    <row r="42" ht="15.75" customHeight="1">
      <c r="A42" s="9" t="s">
        <v>53</v>
      </c>
      <c r="B42" s="12"/>
      <c r="C42" s="12"/>
      <c r="D42" s="12"/>
      <c r="E42" s="12"/>
      <c r="F42" s="12"/>
    </row>
    <row r="43" ht="15.75" customHeight="1">
      <c r="A43" s="15"/>
      <c r="B43" s="16" t="s">
        <v>54</v>
      </c>
      <c r="C43" s="26">
        <f>SUMIFS(Raw_Data_Period_new_users!Y:Y, Raw_Data_Period_new_users!$A:$A, "Control", Raw_Data_Period_new_users!$C:$C, TRUE)</f>
        <v>0</v>
      </c>
      <c r="D43" s="26">
        <f>SUMIFS(Raw_Data_Period_new_users!Y:Y, Raw_Data_Period_new_users!$A:$A, "Variant", Raw_Data_Period_new_users!$C:$C, TRUE)</f>
        <v>0</v>
      </c>
      <c r="E43" s="32">
        <f t="shared" ref="E43:E46" si="13">IFERROR(D43-C43,"")</f>
        <v>0</v>
      </c>
      <c r="F43" s="34" t="str">
        <f t="shared" ref="F43:F46" si="14">IFERROR((D43-C43)/ABS(C43),"")</f>
        <v/>
      </c>
    </row>
    <row r="44" ht="15.75" customHeight="1">
      <c r="A44" s="15"/>
      <c r="B44" s="16" t="s">
        <v>55</v>
      </c>
      <c r="C44" s="26">
        <f>SUMIFS(Raw_Data_Period_new_users!Z:Z, Raw_Data_Period_new_users!$A:$A, "Control", Raw_Data_Period_new_users!$C:$C, TRUE)</f>
        <v>0</v>
      </c>
      <c r="D44" s="26">
        <f>SUMIFS(Raw_Data_Period_new_users!Z:Z, Raw_Data_Period_new_users!$A:$A, "Variant", Raw_Data_Period_new_users!$C:$C, TRUE)</f>
        <v>0</v>
      </c>
      <c r="E44" s="32">
        <f t="shared" si="13"/>
        <v>0</v>
      </c>
      <c r="F44" s="34" t="str">
        <f t="shared" si="14"/>
        <v/>
      </c>
    </row>
    <row r="45" ht="15.75" customHeight="1">
      <c r="A45" s="15"/>
      <c r="B45" s="16" t="s">
        <v>56</v>
      </c>
      <c r="C45" s="26">
        <f>SUMIFS(Raw_Data_Period_new_users!AA:AA, Raw_Data_Period_new_users!$A:$A, "Control", Raw_Data_Period_new_users!$C:$C, TRUE)</f>
        <v>0</v>
      </c>
      <c r="D45" s="26">
        <f>SUMIFS(Raw_Data_Period_new_users!AA:AA, Raw_Data_Period_new_users!$A:$A, "Variant", Raw_Data_Period_new_users!$C:$C, TRUE)</f>
        <v>0</v>
      </c>
      <c r="E45" s="32">
        <f t="shared" si="13"/>
        <v>0</v>
      </c>
      <c r="F45" s="34" t="str">
        <f t="shared" si="14"/>
        <v/>
      </c>
    </row>
    <row r="46" ht="15.75" customHeight="1">
      <c r="A46" s="15"/>
      <c r="B46" s="54" t="s">
        <v>57</v>
      </c>
      <c r="C46" s="26">
        <f>SUMIFS(Raw_Data_Period_new_users!BD:BD, Raw_Data_Period_new_users!$A:$A, "Control", Raw_Data_Period_new_users!$C:$C, TRUE)</f>
        <v>0</v>
      </c>
      <c r="D46" s="26">
        <f>SUMIFS(Raw_Data_Period_new_users!BD:BD, Raw_Data_Period_new_users!$A:$A, "Variant", Raw_Data_Period_new_users!$C:$C, TRUE)</f>
        <v>0</v>
      </c>
      <c r="E46" s="32">
        <f t="shared" si="13"/>
        <v>0</v>
      </c>
      <c r="F46" s="34" t="str">
        <f t="shared" si="14"/>
        <v/>
      </c>
    </row>
    <row r="47" ht="15.75" customHeight="1">
      <c r="A47" s="9" t="s">
        <v>58</v>
      </c>
      <c r="B47" s="12"/>
      <c r="C47" s="12"/>
      <c r="D47" s="12"/>
      <c r="E47" s="12"/>
      <c r="F47" s="12"/>
    </row>
    <row r="48" ht="15.75" customHeight="1">
      <c r="A48" s="15"/>
      <c r="B48" s="16" t="s">
        <v>59</v>
      </c>
      <c r="C48" s="42">
        <f>SUMIFS(Raw_Data_Period_new_users!AB:AB, Raw_Data_Period_new_users!$A:$A, "Control", Raw_Data_Period_new_users!$C:$C, TRUE)</f>
        <v>0</v>
      </c>
      <c r="D48" s="42">
        <f>SUMIFS(Raw_Data_Period_new_users!AB:AB, Raw_Data_Period_new_users!$A:$A, "Variant", Raw_Data_Period_new_users!$C:$C, TRUE)</f>
        <v>0</v>
      </c>
      <c r="E48" s="43">
        <f t="shared" ref="E48:E49" si="15">IFERROR(D48-C48,"")</f>
        <v>0</v>
      </c>
      <c r="F48" s="45" t="str">
        <f t="shared" ref="F48:F49" si="16">IFERROR((D48-C48)/ABS(C48),"")</f>
        <v/>
      </c>
    </row>
    <row r="49" ht="15.75" customHeight="1">
      <c r="A49" s="15"/>
      <c r="B49" s="16" t="s">
        <v>60</v>
      </c>
      <c r="C49" s="42">
        <f>SUMIFS(Raw_Data_Period_new_users!AC:AC, Raw_Data_Period_new_users!$A:$A, "Control", Raw_Data_Period_new_users!$C:$C, TRUE)</f>
        <v>0</v>
      </c>
      <c r="D49" s="42">
        <f>SUMIFS(Raw_Data_Period_new_users!AC:AC, Raw_Data_Period_new_users!$A:$A, "Variant", Raw_Data_Period_new_users!$C:$C, TRUE)</f>
        <v>0</v>
      </c>
      <c r="E49" s="43">
        <f t="shared" si="15"/>
        <v>0</v>
      </c>
      <c r="F49" s="40" t="str">
        <f t="shared" si="16"/>
        <v/>
      </c>
    </row>
    <row r="50" ht="15.75" customHeight="1">
      <c r="A50" s="9" t="s">
        <v>61</v>
      </c>
      <c r="B50" s="12"/>
      <c r="C50" s="12"/>
      <c r="D50" s="12"/>
      <c r="E50" s="12"/>
      <c r="F50" s="12"/>
    </row>
    <row r="51" ht="15.75" customHeight="1">
      <c r="A51" s="15"/>
      <c r="B51" s="16" t="s">
        <v>62</v>
      </c>
      <c r="C51" s="61">
        <f>SUMIFS(Raw_Data_Period_new_users!AI:AI, Raw_Data_Period_new_users!$A:$A, "Control", Raw_Data_Period_new_users!$C:$C, TRUE)</f>
        <v>0</v>
      </c>
      <c r="D51" s="61">
        <f>SUMIFS(Raw_Data_Period_new_users!AI:AI, Raw_Data_Period_new_users!$A:$A, "Variant", Raw_Data_Period_new_users!$C:$C, TRUE)</f>
        <v>0</v>
      </c>
      <c r="E51" s="66">
        <f t="shared" ref="E51:E53" si="17">IFERROR(D51-C51,"")</f>
        <v>0</v>
      </c>
      <c r="F51" s="40" t="str">
        <f t="shared" ref="F51:F53" si="18">IFERROR((D51-C51)/ABS(C51),"")</f>
        <v/>
      </c>
    </row>
    <row r="52" ht="15.75" customHeight="1">
      <c r="A52" s="15"/>
      <c r="B52" s="16" t="s">
        <v>63</v>
      </c>
      <c r="C52" s="61">
        <f>SUMIFS(Raw_Data_Period_new_users!AJ:AJ, Raw_Data_Period_new_users!$A:$A, "Control", Raw_Data_Period_new_users!$C:$C, TRUE)</f>
        <v>0</v>
      </c>
      <c r="D52" s="61">
        <f>SUMIFS(Raw_Data_Period_new_users!AJ:AJ, Raw_Data_Period_new_users!$A:$A, "Variant", Raw_Data_Period_new_users!$C:$C, TRUE)</f>
        <v>0</v>
      </c>
      <c r="E52" s="68">
        <f t="shared" si="17"/>
        <v>0</v>
      </c>
      <c r="F52" s="45" t="str">
        <f t="shared" si="18"/>
        <v/>
      </c>
    </row>
    <row r="53" ht="15.75" customHeight="1">
      <c r="A53" s="15"/>
      <c r="B53" s="16" t="s">
        <v>64</v>
      </c>
      <c r="C53" s="61">
        <f>SUMIFS(Raw_Data_Period_new_users!AK:AK, Raw_Data_Period_new_users!$A:$A, "Control", Raw_Data_Period_new_users!$C:$C, TRUE)</f>
        <v>0</v>
      </c>
      <c r="D53" s="61">
        <f>SUMIFS(Raw_Data_Period_new_users!AK:AK, Raw_Data_Period_new_users!$A:$A, "Variant", Raw_Data_Period_new_users!$C:$C, TRUE)</f>
        <v>0</v>
      </c>
      <c r="E53" s="68">
        <f t="shared" si="17"/>
        <v>0</v>
      </c>
      <c r="F53" s="45" t="str">
        <f t="shared" si="18"/>
        <v/>
      </c>
    </row>
    <row r="54" ht="15.75" customHeight="1">
      <c r="A54" s="9" t="s">
        <v>65</v>
      </c>
      <c r="B54" s="12"/>
      <c r="C54" s="12"/>
      <c r="D54" s="12"/>
      <c r="E54" s="12"/>
      <c r="F54" s="12"/>
    </row>
    <row r="55" ht="15.75" customHeight="1">
      <c r="A55" s="15"/>
      <c r="B55" s="16" t="s">
        <v>66</v>
      </c>
      <c r="C55" s="55">
        <f>SUMIFS(Raw_Data_Period_new_users!AL:AL, Raw_Data_Period_new_users!$A:$A, "Control", Raw_Data_Period_new_users!$C:$C, TRUE)</f>
        <v>0</v>
      </c>
      <c r="D55" s="55">
        <f>SUMIFS(Raw_Data_Period_new_users!AL:AL, Raw_Data_Period_new_users!$A:$A, "Variant", Raw_Data_Period_new_users!$C:$C, TRUE)</f>
        <v>0</v>
      </c>
      <c r="E55" s="69">
        <f>IFERROR(D55-C55,"")</f>
        <v>0</v>
      </c>
      <c r="F55" s="45" t="str">
        <f>IFERROR((D55-C55)/ABS(C55),"")</f>
        <v/>
      </c>
    </row>
    <row r="56" ht="15.75" customHeight="1">
      <c r="A56" s="9" t="s">
        <v>67</v>
      </c>
      <c r="B56" s="12"/>
      <c r="C56" s="12"/>
      <c r="D56" s="12"/>
      <c r="E56" s="12"/>
      <c r="F56" s="12"/>
    </row>
    <row r="57" ht="15.75" customHeight="1">
      <c r="A57" s="15"/>
      <c r="B57" s="16" t="s">
        <v>68</v>
      </c>
      <c r="C57" s="61"/>
      <c r="D57" s="61">
        <f>SUMIFS(Raw_Data_Period_new_users!AI:AI, Raw_Data_Period_new_users!$A:$A, "Variant", Raw_Data_Period_new_users!$C:$C, TRUE)</f>
        <v>0</v>
      </c>
      <c r="E57" s="66"/>
      <c r="F57" s="40"/>
    </row>
    <row r="58" ht="15.75" customHeight="1">
      <c r="A58" s="15"/>
      <c r="B58" s="70" t="s">
        <v>69</v>
      </c>
      <c r="C58" s="61"/>
      <c r="D58" s="61">
        <f>SUMIFS(Raw_Data_Period_new_users!AI:AI, Raw_Data_Period_new_users!$A:$A, "Variant", Raw_Data_Period_new_users!$C:$C, TRUE)</f>
        <v>0</v>
      </c>
      <c r="E58" s="66"/>
      <c r="F58" s="40"/>
    </row>
    <row r="59" ht="15.75" customHeight="1">
      <c r="A59" s="15"/>
      <c r="B59" s="70" t="s">
        <v>70</v>
      </c>
      <c r="C59" s="61"/>
      <c r="D59" s="61">
        <f>SUMIFS(Raw_Data_Period_new_users!AJ:AJ, Raw_Data_Period_new_users!$A:$A, "Variant", Raw_Data_Period_new_users!$C:$C, TRUE)</f>
        <v>0</v>
      </c>
      <c r="E59" s="66"/>
      <c r="F59" s="40"/>
    </row>
    <row r="60" ht="15.75" customHeight="1">
      <c r="A60" s="15"/>
      <c r="B60" s="70" t="s">
        <v>71</v>
      </c>
      <c r="C60" s="61"/>
      <c r="D60" s="61">
        <f>SUMIFS(Raw_Data_Period_new_users!AK:AK, Raw_Data_Period_new_users!$A:$A, "Variant", Raw_Data_Period_new_users!$C:$C, TRUE)</f>
        <v>0</v>
      </c>
      <c r="E60" s="66"/>
      <c r="F60" s="40"/>
    </row>
    <row r="61" ht="15.75" customHeight="1">
      <c r="A61" s="9" t="s">
        <v>72</v>
      </c>
      <c r="B61" s="12"/>
      <c r="C61" s="12"/>
      <c r="D61" s="12"/>
      <c r="E61" s="12"/>
      <c r="F61" s="12"/>
    </row>
    <row r="62" ht="15.75" customHeight="1">
      <c r="A62" s="15"/>
      <c r="B62" s="58" t="s">
        <v>73</v>
      </c>
      <c r="C62" s="55">
        <f>SUMIFS(Raw_Data_Period_new_users!AQ:AQ, Raw_Data_Period_new_users!$A:$A, "Control", Raw_Data_Period_new_users!$C:$C, TRUE)</f>
        <v>0</v>
      </c>
      <c r="D62" s="55">
        <f>SUMIFS(Raw_Data_Period_new_users!AQ:AQ, Raw_Data_Period_new_users!$A:$A, "Variant", Raw_Data_Period_new_users!$C:$C, TRUE)</f>
        <v>0</v>
      </c>
      <c r="E62" s="63">
        <f t="shared" ref="E62:E67" si="19">IFERROR(D62-C62,"")</f>
        <v>0</v>
      </c>
      <c r="F62" s="40" t="str">
        <f t="shared" ref="F62:F67" si="20">IFERROR((D62-C62)/ABS(C62),"")</f>
        <v/>
      </c>
    </row>
    <row r="63" ht="15.75" customHeight="1">
      <c r="A63" s="15"/>
      <c r="B63" s="58" t="s">
        <v>74</v>
      </c>
      <c r="C63" s="55">
        <f>SUMIFS(Raw_Data_Period_new_users!AR:AR, Raw_Data_Period_new_users!$A:$A, "Control", Raw_Data_Period_new_users!$C:$C, TRUE)</f>
        <v>0</v>
      </c>
      <c r="D63" s="55">
        <f>SUMIFS(Raw_Data_Period_new_users!AR:AR, Raw_Data_Period_new_users!$A:$A, "Variant", Raw_Data_Period_new_users!$C:$C, TRUE)</f>
        <v>0</v>
      </c>
      <c r="E63" s="43">
        <f t="shared" si="19"/>
        <v>0</v>
      </c>
      <c r="F63" s="40" t="str">
        <f t="shared" si="20"/>
        <v/>
      </c>
    </row>
    <row r="64" ht="15.75" customHeight="1">
      <c r="A64" s="15"/>
      <c r="B64" s="58" t="s">
        <v>75</v>
      </c>
      <c r="C64" s="55">
        <f>SUMIFS(Raw_Data_Period_new_users!AS:AS, Raw_Data_Period_new_users!$A:$A, "Control", Raw_Data_Period_new_users!$C:$C, TRUE)</f>
        <v>0</v>
      </c>
      <c r="D64" s="55">
        <f>SUMIFS(Raw_Data_Period_new_users!AS:AS, Raw_Data_Period_new_users!$A:$A, "Variant", Raw_Data_Period_new_users!$C:$C, TRUE)</f>
        <v>0</v>
      </c>
      <c r="E64" s="63">
        <f t="shared" si="19"/>
        <v>0</v>
      </c>
      <c r="F64" s="40" t="str">
        <f t="shared" si="20"/>
        <v/>
      </c>
    </row>
    <row r="65" ht="15.75" customHeight="1">
      <c r="A65" s="15"/>
      <c r="B65" s="58" t="s">
        <v>76</v>
      </c>
      <c r="C65" s="55">
        <f>SUMIFS(Raw_Data_Period_new_users!AT:AT, Raw_Data_Period_new_users!$A:$A, "Control", Raw_Data_Period_new_users!$C:$C, TRUE)</f>
        <v>0</v>
      </c>
      <c r="D65" s="55">
        <f>SUMIFS(Raw_Data_Period_new_users!AT:AT, Raw_Data_Period_new_users!$A:$A, "Variant", Raw_Data_Period_new_users!$C:$C, TRUE)</f>
        <v>0</v>
      </c>
      <c r="E65" s="43">
        <f t="shared" si="19"/>
        <v>0</v>
      </c>
      <c r="F65" s="40" t="str">
        <f t="shared" si="20"/>
        <v/>
      </c>
    </row>
    <row r="66" ht="15.75" customHeight="1">
      <c r="A66" s="15"/>
      <c r="B66" s="58" t="s">
        <v>77</v>
      </c>
      <c r="C66" s="55">
        <f>SUMIFS(Raw_Data_Period_new_users!AQ:AQ, Raw_Data_Period_new_users!$A:$A, "Control", Raw_Data_Period_new_users!$C:$C, TRUE) - SUMIFS(Raw_Data_Period_new_users!AT:AT, Raw_Data_Period_new_users!$A:$A, "Control", Raw_Data_Period_new_users!$C:$C, TRUE)</f>
        <v>0</v>
      </c>
      <c r="D66" s="55">
        <f>SUMIFS(Raw_Data_Period_new_users!AQ:AQ, Raw_Data_Period_new_users!$A:$A, "Variant", Raw_Data_Period_new_users!$C:$C, TRUE) - SUMIFS(Raw_Data_Period_new_users!AT:AT, Raw_Data_Period_new_users!$A:$A, "Variant", Raw_Data_Period_new_users!$C:$C, TRUE)</f>
        <v>0</v>
      </c>
      <c r="E66" s="63">
        <f t="shared" si="19"/>
        <v>0</v>
      </c>
      <c r="F66" s="40" t="str">
        <f t="shared" si="20"/>
        <v/>
      </c>
    </row>
    <row r="67" ht="15.75" customHeight="1">
      <c r="A67" s="15"/>
      <c r="B67" s="16" t="s">
        <v>78</v>
      </c>
      <c r="C67" s="55">
        <f>SUMIFS(Raw_Data_Period_new_users!AU:AU, Raw_Data_Period_new_users!$A:$A, "Control", Raw_Data_Period_new_users!$C:$C, TRUE)</f>
        <v>0</v>
      </c>
      <c r="D67" s="55">
        <f>SUMIFS(Raw_Data_Period_new_users!AU:AU, Raw_Data_Period_new_users!$A:$A, "Variant", Raw_Data_Period_new_users!$C:$C, TRUE)</f>
        <v>0</v>
      </c>
      <c r="E67" s="71">
        <f t="shared" si="19"/>
        <v>0</v>
      </c>
      <c r="F67" s="45" t="str">
        <f t="shared" si="20"/>
        <v/>
      </c>
    </row>
    <row r="68" ht="15.75" customHeight="1"/>
    <row r="69" ht="15.75" customHeight="1">
      <c r="A69" s="73" t="s">
        <v>79</v>
      </c>
      <c r="B69" s="12"/>
      <c r="C69" s="12"/>
      <c r="D69" s="12"/>
      <c r="E69" s="12"/>
      <c r="F69" s="12"/>
    </row>
    <row r="70" ht="15.75" customHeight="1">
      <c r="A70" s="15"/>
      <c r="B70" s="74" t="s">
        <v>80</v>
      </c>
      <c r="C70" s="55">
        <f>SUMIFS(Raw_Data_Period_new_users!BO:BO, Raw_Data_Period_new_users!$A:$A, "Control", Raw_Data_Period_new_users!$C:$C, TRUE)</f>
        <v>0</v>
      </c>
      <c r="D70" s="55">
        <f>SUMIFS(Raw_Data_Period_new_users!BO:BO, Raw_Data_Period_new_users!$A:$A, "Variant", Raw_Data_Period_new_users!$C:$C, TRUE)</f>
        <v>0</v>
      </c>
      <c r="E70" s="63">
        <f t="shared" ref="E70:E74" si="21">IFERROR(D70-C70,"")</f>
        <v>0</v>
      </c>
      <c r="F70" s="40" t="str">
        <f t="shared" ref="F70:F74" si="22">IFERROR((D70-C70)/ABS(C70),"")</f>
        <v/>
      </c>
    </row>
    <row r="71" ht="15.75" customHeight="1">
      <c r="A71" s="15"/>
      <c r="B71" s="74" t="s">
        <v>81</v>
      </c>
      <c r="C71" s="55">
        <f>SUMIFS(Raw_Data_Period_new_users!BP:BP, Raw_Data_Period_new_users!$A:$A, "Control", Raw_Data_Period_new_users!$C:$C, TRUE)</f>
        <v>0</v>
      </c>
      <c r="D71" s="55">
        <f>SUMIFS(Raw_Data_Period_new_users!BP:BP, Raw_Data_Period_new_users!$A:$A, "Variant", Raw_Data_Period_new_users!$C:$C, TRUE)</f>
        <v>0</v>
      </c>
      <c r="E71" s="43">
        <f t="shared" si="21"/>
        <v>0</v>
      </c>
      <c r="F71" s="40" t="str">
        <f t="shared" si="22"/>
        <v/>
      </c>
    </row>
    <row r="72" ht="15.75" customHeight="1">
      <c r="A72" s="15"/>
      <c r="B72" s="74" t="s">
        <v>82</v>
      </c>
      <c r="C72" s="55">
        <f>SUMIFS(Raw_Data_Period_new_users!BQ:BQ, Raw_Data_Period_new_users!$A:$A, "Control", Raw_Data_Period_new_users!$C:$C, TRUE)</f>
        <v>0</v>
      </c>
      <c r="D72" s="55">
        <f>SUMIFS(Raw_Data_Period_new_users!BQ:BQ, Raw_Data_Period_new_users!$A:$A, "Variant", Raw_Data_Period_new_users!$C:$C, TRUE)</f>
        <v>0</v>
      </c>
      <c r="E72" s="63">
        <f t="shared" si="21"/>
        <v>0</v>
      </c>
      <c r="F72" s="40" t="str">
        <f t="shared" si="22"/>
        <v/>
      </c>
    </row>
    <row r="73" ht="15.75" customHeight="1">
      <c r="A73" s="15"/>
      <c r="B73" s="74" t="s">
        <v>83</v>
      </c>
      <c r="C73" s="55">
        <f>SUMIFS(Raw_Data_Period_new_users!BR:BR, Raw_Data_Period_new_users!$A:$A, "Control", Raw_Data_Period_new_users!$C:$C, TRUE)</f>
        <v>0</v>
      </c>
      <c r="D73" s="55">
        <f>SUMIFS(Raw_Data_Period_new_users!BR:BR, Raw_Data_Period_new_users!$A:$A, "Variant", Raw_Data_Period_new_users!$C:$C, TRUE)</f>
        <v>0</v>
      </c>
      <c r="E73" s="43">
        <f t="shared" si="21"/>
        <v>0</v>
      </c>
      <c r="F73" s="40" t="str">
        <f t="shared" si="22"/>
        <v/>
      </c>
    </row>
    <row r="74" ht="15.75" customHeight="1">
      <c r="A74" s="15"/>
      <c r="B74" s="74" t="s">
        <v>84</v>
      </c>
      <c r="C74" s="55">
        <f>SUMIFS(Raw_Data_Period_new_users!BO:BO, Raw_Data_Period_new_users!$A:$A, "Control", Raw_Data_Period_new_users!$C:$C, TRUE) - SUMIFS(Raw_Data_Period_new_users!BR:BR, Raw_Data_Period_new_users!$A:$A, "Control", Raw_Data_Period_new_users!$C:$C, TRUE)</f>
        <v>0</v>
      </c>
      <c r="D74" s="55">
        <f>SUMIFS(Raw_Data_Period_new_users!BO:BO, Raw_Data_Period_new_users!$A:$A, "Variant", Raw_Data_Period_new_users!$C:$C, TRUE) - SUMIFS(Raw_Data_Period_new_users!BR:BR, Raw_Data_Period_new_users!$A:$A, "Variant", Raw_Data_Period_new_users!$C:$C, TRUE)</f>
        <v>0</v>
      </c>
      <c r="E74" s="63">
        <f t="shared" si="21"/>
        <v>0</v>
      </c>
      <c r="F74" s="40" t="str">
        <f t="shared" si="22"/>
        <v/>
      </c>
    </row>
    <row r="75" ht="15.75" customHeight="1">
      <c r="A75" s="73" t="s">
        <v>85</v>
      </c>
      <c r="B75" s="12"/>
      <c r="C75" s="12"/>
      <c r="D75" s="12"/>
      <c r="E75" s="12"/>
      <c r="F75" s="12"/>
    </row>
    <row r="76" ht="15.75" customHeight="1">
      <c r="A76" s="15"/>
      <c r="B76" s="74" t="s">
        <v>86</v>
      </c>
      <c r="C76" s="55">
        <f>SUMIFS(Raw_Data_Period_new_users!BS:BS, Raw_Data_Period_new_users!$A:$A, "Control", Raw_Data_Period_new_users!$C:$C, TRUE)</f>
        <v>0</v>
      </c>
      <c r="D76" s="55">
        <f>SUMIFS(Raw_Data_Period_new_users!BS:BS, Raw_Data_Period_new_users!$A:$A, "Variant", Raw_Data_Period_new_users!$C:$C, TRUE)</f>
        <v>0</v>
      </c>
      <c r="E76" s="63">
        <f t="shared" ref="E76:E80" si="23">IFERROR(D76-C76,"")</f>
        <v>0</v>
      </c>
      <c r="F76" s="40" t="str">
        <f t="shared" ref="F76:F80" si="24">IFERROR((D76-C76)/ABS(C76),"")</f>
        <v/>
      </c>
    </row>
    <row r="77" ht="15.75" customHeight="1">
      <c r="A77" s="15"/>
      <c r="B77" s="74" t="s">
        <v>87</v>
      </c>
      <c r="C77" s="55">
        <f>SUMIFS(Raw_Data_Period_new_users!BT:BT, Raw_Data_Period_new_users!$A:$A, "Control", Raw_Data_Period_new_users!$C:$C, TRUE)</f>
        <v>0</v>
      </c>
      <c r="D77" s="55">
        <f>SUMIFS(Raw_Data_Period_new_users!BT:BT, Raw_Data_Period_new_users!$A:$A, "Variant", Raw_Data_Period_new_users!$C:$C, TRUE)</f>
        <v>0</v>
      </c>
      <c r="E77" s="43">
        <f t="shared" si="23"/>
        <v>0</v>
      </c>
      <c r="F77" s="40" t="str">
        <f t="shared" si="24"/>
        <v/>
      </c>
    </row>
    <row r="78" ht="15.75" customHeight="1">
      <c r="A78" s="15"/>
      <c r="B78" s="74" t="s">
        <v>88</v>
      </c>
      <c r="C78" s="55">
        <f>SUMIFS(Raw_Data_Period_new_users!BU:BU, Raw_Data_Period_new_users!$A:$A, "Control", Raw_Data_Period_new_users!$C:$C, TRUE)</f>
        <v>0</v>
      </c>
      <c r="D78" s="55">
        <f>SUMIFS(Raw_Data_Period_new_users!BU:BU, Raw_Data_Period_new_users!$A:$A, "Variant", Raw_Data_Period_new_users!$C:$C, TRUE)</f>
        <v>0</v>
      </c>
      <c r="E78" s="63">
        <f t="shared" si="23"/>
        <v>0</v>
      </c>
      <c r="F78" s="40" t="str">
        <f t="shared" si="24"/>
        <v/>
      </c>
    </row>
    <row r="79" ht="15.75" customHeight="1">
      <c r="A79" s="15"/>
      <c r="B79" s="74" t="s">
        <v>89</v>
      </c>
      <c r="C79" s="55">
        <f>SUMIFS(Raw_Data_Period_new_users!BV:BV, Raw_Data_Period_new_users!$A:$A, "Control", Raw_Data_Period_new_users!$C:$C, TRUE)</f>
        <v>0</v>
      </c>
      <c r="D79" s="55">
        <f>SUMIFS(Raw_Data_Period_new_users!BV:BV, Raw_Data_Period_new_users!$A:$A, "Variant", Raw_Data_Period_new_users!$C:$C, TRUE)</f>
        <v>0</v>
      </c>
      <c r="E79" s="43">
        <f t="shared" si="23"/>
        <v>0</v>
      </c>
      <c r="F79" s="40" t="str">
        <f t="shared" si="24"/>
        <v/>
      </c>
    </row>
    <row r="80" ht="15.75" customHeight="1">
      <c r="A80" s="15"/>
      <c r="B80" s="74" t="s">
        <v>90</v>
      </c>
      <c r="C80" s="55">
        <f>SUMIFS(Raw_Data_Period_new_users!BS:BS, Raw_Data_Period_new_users!$A:$A, "Control", Raw_Data_Period_new_users!$C:$C, TRUE) - SUMIFS(Raw_Data_Period_new_users!BV:BV, Raw_Data_Period_new_users!$A:$A, "Control", Raw_Data_Period_new_users!$C:$C, TRUE)</f>
        <v>0</v>
      </c>
      <c r="D80" s="55">
        <f>SUMIFS(Raw_Data_Period_new_users!BS:BS, Raw_Data_Period_new_users!$A:$A, "Variant", Raw_Data_Period_new_users!$C:$C, TRUE) - SUMIFS(Raw_Data_Period_new_users!BV:BV, Raw_Data_Period_new_users!$A:$A, "Variant", Raw_Data_Period_new_users!$C:$C, TRUE)</f>
        <v>0</v>
      </c>
      <c r="E80" s="63">
        <f t="shared" si="23"/>
        <v>0</v>
      </c>
      <c r="F80" s="40" t="str">
        <f t="shared" si="24"/>
        <v/>
      </c>
    </row>
    <row r="81" ht="15.75" customHeight="1">
      <c r="A81" s="73" t="s">
        <v>91</v>
      </c>
      <c r="B81" s="12"/>
      <c r="C81" s="12"/>
      <c r="D81" s="12"/>
      <c r="E81" s="12"/>
      <c r="F81" s="12"/>
    </row>
    <row r="82" ht="15.75" customHeight="1">
      <c r="A82" s="15"/>
      <c r="B82" s="74" t="s">
        <v>92</v>
      </c>
      <c r="C82" s="55">
        <f>SUMIFS(Raw_Data_Period_new_users!BW:BW, Raw_Data_Period_new_users!$A:$A, "Control", Raw_Data_Period_new_users!$C:$C, TRUE)</f>
        <v>0</v>
      </c>
      <c r="D82" s="55">
        <f>SUMIFS(Raw_Data_Period_new_users!BW:BW, Raw_Data_Period_new_users!$A:$A, "Variant", Raw_Data_Period_new_users!$C:$C, TRUE)</f>
        <v>0</v>
      </c>
      <c r="E82" s="63">
        <f t="shared" ref="E82:E86" si="25">IFERROR(D82-C82,"")</f>
        <v>0</v>
      </c>
      <c r="F82" s="40" t="str">
        <f t="shared" ref="F82:F86" si="26">IFERROR((D82-C82)/ABS(C82),"")</f>
        <v/>
      </c>
    </row>
    <row r="83" ht="15.75" customHeight="1">
      <c r="A83" s="15"/>
      <c r="B83" s="74" t="s">
        <v>93</v>
      </c>
      <c r="C83" s="55">
        <f>SUMIFS(Raw_Data_Period_new_users!BX:BX, Raw_Data_Period_new_users!$A:$A, "Control", Raw_Data_Period_new_users!$C:$C, TRUE)</f>
        <v>0</v>
      </c>
      <c r="D83" s="55">
        <f>SUMIFS(Raw_Data_Period_new_users!BX:BX, Raw_Data_Period_new_users!$A:$A, "Variant", Raw_Data_Period_new_users!$C:$C, TRUE)</f>
        <v>0</v>
      </c>
      <c r="E83" s="43">
        <f t="shared" si="25"/>
        <v>0</v>
      </c>
      <c r="F83" s="40" t="str">
        <f t="shared" si="26"/>
        <v/>
      </c>
    </row>
    <row r="84" ht="15.75" customHeight="1">
      <c r="A84" s="15"/>
      <c r="B84" s="74" t="s">
        <v>94</v>
      </c>
      <c r="C84" s="55">
        <f>SUMIFS(Raw_Data_Period_new_users!BY:BY, Raw_Data_Period_new_users!$A:$A, "Control", Raw_Data_Period_new_users!$C:$C, TRUE)</f>
        <v>0</v>
      </c>
      <c r="D84" s="55">
        <f>SUMIFS(Raw_Data_Period_new_users!BY:BY, Raw_Data_Period_new_users!$A:$A, "Variant", Raw_Data_Period_new_users!$C:$C, TRUE)</f>
        <v>0</v>
      </c>
      <c r="E84" s="63">
        <f t="shared" si="25"/>
        <v>0</v>
      </c>
      <c r="F84" s="40" t="str">
        <f t="shared" si="26"/>
        <v/>
      </c>
    </row>
    <row r="85" ht="15.75" customHeight="1">
      <c r="A85" s="15"/>
      <c r="B85" s="74" t="s">
        <v>95</v>
      </c>
      <c r="C85" s="55">
        <f>SUMIFS(Raw_Data_Period_new_users!BZ:BZ, Raw_Data_Period_new_users!$A:$A, "Control", Raw_Data_Period_new_users!$C:$C, TRUE)</f>
        <v>0</v>
      </c>
      <c r="D85" s="55">
        <f>SUMIFS(Raw_Data_Period_new_users!BZ:BZ, Raw_Data_Period_new_users!$A:$A, "Variant", Raw_Data_Period_new_users!$C:$C, TRUE)</f>
        <v>0</v>
      </c>
      <c r="E85" s="43">
        <f t="shared" si="25"/>
        <v>0</v>
      </c>
      <c r="F85" s="40" t="str">
        <f t="shared" si="26"/>
        <v/>
      </c>
    </row>
    <row r="86" ht="15.75" customHeight="1">
      <c r="A86" s="15"/>
      <c r="B86" s="74" t="s">
        <v>96</v>
      </c>
      <c r="C86" s="55">
        <f>SUMIFS(Raw_Data_Period_new_users!BW:BW, Raw_Data_Period_new_users!$A:$A, "Control", Raw_Data_Period_new_users!$C:$C, TRUE) - SUMIFS(Raw_Data_Period_new_users!BZ:BZ, Raw_Data_Period_new_users!$A:$A, "Control", Raw_Data_Period_new_users!$C:$C, TRUE)</f>
        <v>0</v>
      </c>
      <c r="D86" s="55">
        <f>SUMIFS(Raw_Data_Period_new_users!BW:BW, Raw_Data_Period_new_users!$A:$A, "Variant", Raw_Data_Period_new_users!$C:$C, TRUE) - SUMIFS(Raw_Data_Period_new_users!BZ:BZ, Raw_Data_Period_new_users!$A:$A, "Variant", Raw_Data_Period_new_users!$C:$C, TRUE)</f>
        <v>0</v>
      </c>
      <c r="E86" s="63">
        <f t="shared" si="25"/>
        <v>0</v>
      </c>
      <c r="F86" s="40" t="str">
        <f t="shared" si="26"/>
        <v/>
      </c>
    </row>
    <row r="87" ht="15.75" customHeight="1">
      <c r="A87" s="73" t="s">
        <v>97</v>
      </c>
      <c r="B87" s="12"/>
      <c r="C87" s="12"/>
      <c r="D87" s="12"/>
      <c r="E87" s="12"/>
      <c r="F87" s="12"/>
    </row>
    <row r="88" ht="15.75" customHeight="1">
      <c r="A88" s="15"/>
      <c r="B88" s="74" t="s">
        <v>98</v>
      </c>
      <c r="C88" s="55">
        <f>SUMIFS(Raw_Data_Period_new_users!CE:CE, Raw_Data_Period_new_users!$A:$A, "Control", Raw_Data_Period_new_users!$C:$C, TRUE)</f>
        <v>0</v>
      </c>
      <c r="D88" s="55">
        <f>SUMIFS(Raw_Data_Period_new_users!CE:CE, Raw_Data_Period_new_users!$A:$A, "Variant", Raw_Data_Period_new_users!$C:$C, TRUE)</f>
        <v>0</v>
      </c>
      <c r="E88" s="63">
        <f t="shared" ref="E88:E92" si="27">IFERROR(D88-C88,"")</f>
        <v>0</v>
      </c>
      <c r="F88" s="40" t="str">
        <f t="shared" ref="F88:F92" si="28">IFERROR((D88-C88)/ABS(C88),"")</f>
        <v/>
      </c>
    </row>
    <row r="89" ht="15.75" customHeight="1">
      <c r="A89" s="15"/>
      <c r="B89" s="74" t="s">
        <v>99</v>
      </c>
      <c r="C89" s="55">
        <f>SUMIFS(Raw_Data_Period_new_users!CF:CF, Raw_Data_Period_new_users!$A:$A, "Control", Raw_Data_Period_new_users!$C:$C, TRUE)</f>
        <v>0</v>
      </c>
      <c r="D89" s="55">
        <f>SUMIFS(Raw_Data_Period_new_users!CF:CF, Raw_Data_Period_new_users!$A:$A, "Variant", Raw_Data_Period_new_users!$C:$C, TRUE)</f>
        <v>0</v>
      </c>
      <c r="E89" s="43">
        <f t="shared" si="27"/>
        <v>0</v>
      </c>
      <c r="F89" s="40" t="str">
        <f t="shared" si="28"/>
        <v/>
      </c>
    </row>
    <row r="90" ht="15.75" customHeight="1">
      <c r="A90" s="15"/>
      <c r="B90" s="74" t="s">
        <v>100</v>
      </c>
      <c r="C90" s="55">
        <f>SUMIFS(Raw_Data_Period_new_users!CG:CG, Raw_Data_Period_new_users!$A:$A, "Control", Raw_Data_Period_new_users!$C:$C, TRUE)</f>
        <v>0</v>
      </c>
      <c r="D90" s="55">
        <f>SUMIFS(Raw_Data_Period_new_users!CG:CG, Raw_Data_Period_new_users!$A:$A, "Variant", Raw_Data_Period_new_users!$C:$C, TRUE)</f>
        <v>0</v>
      </c>
      <c r="E90" s="63">
        <f t="shared" si="27"/>
        <v>0</v>
      </c>
      <c r="F90" s="40" t="str">
        <f t="shared" si="28"/>
        <v/>
      </c>
    </row>
    <row r="91" ht="15.75" customHeight="1">
      <c r="A91" s="15"/>
      <c r="B91" s="74" t="s">
        <v>101</v>
      </c>
      <c r="C91" s="55">
        <f>SUMIFS(Raw_Data_Period_new_users!CH:CH, Raw_Data_Period_new_users!$A:$A, "Control", Raw_Data_Period_new_users!$C:$C, TRUE)</f>
        <v>0</v>
      </c>
      <c r="D91" s="55">
        <f>SUMIFS(Raw_Data_Period_new_users!CH:CH, Raw_Data_Period_new_users!$A:$A, "Variant", Raw_Data_Period_new_users!$C:$C, TRUE)</f>
        <v>0</v>
      </c>
      <c r="E91" s="43">
        <f t="shared" si="27"/>
        <v>0</v>
      </c>
      <c r="F91" s="40" t="str">
        <f t="shared" si="28"/>
        <v/>
      </c>
    </row>
    <row r="92" ht="15.75" customHeight="1">
      <c r="A92" s="15"/>
      <c r="B92" s="74" t="s">
        <v>102</v>
      </c>
      <c r="C92" s="55">
        <f>SUMIFS(Raw_Data_Period_new_users!CE:CE, Raw_Data_Period_new_users!$A:$A, "Control", Raw_Data_Period_new_users!$C:$C, TRUE) - SUMIFS(Raw_Data_Period_new_users!CH:CH, Raw_Data_Period_new_users!$A:$A, "Control", Raw_Data_Period_new_users!$C:$C, TRUE)</f>
        <v>0</v>
      </c>
      <c r="D92" s="55">
        <f>SUMIFS(Raw_Data_Period_new_users!CE:CE, Raw_Data_Period_new_users!$A:$A, "Variant", Raw_Data_Period_new_users!$C:$C, TRUE) - SUMIFS(Raw_Data_Period_new_users!CH:CH, Raw_Data_Period_new_users!$A:$A, "Variant", Raw_Data_Period_new_users!$C:$C, TRUE)</f>
        <v>0</v>
      </c>
      <c r="E92" s="63">
        <f t="shared" si="27"/>
        <v>0</v>
      </c>
      <c r="F92" s="40" t="str">
        <f t="shared" si="28"/>
        <v/>
      </c>
    </row>
    <row r="93" ht="15.75" customHeight="1">
      <c r="A93" s="73" t="s">
        <v>103</v>
      </c>
      <c r="B93" s="12"/>
      <c r="C93" s="12"/>
      <c r="D93" s="12"/>
      <c r="E93" s="12"/>
      <c r="F93" s="12"/>
    </row>
    <row r="94" ht="15.75" customHeight="1">
      <c r="A94" s="15"/>
      <c r="B94" s="74" t="s">
        <v>104</v>
      </c>
      <c r="C94" s="55">
        <f>SUMIFS(Raw_Data_Period_new_users!CI:CI, Raw_Data_Period_new_users!$A:$A, "Control", Raw_Data_Period_new_users!$C:$C, TRUE)</f>
        <v>0</v>
      </c>
      <c r="D94" s="55">
        <f>SUMIFS(Raw_Data_Period_new_users!CI:CI, Raw_Data_Period_new_users!$A:$A, "Variant", Raw_Data_Period_new_users!$C:$C, TRUE)</f>
        <v>0</v>
      </c>
      <c r="E94" s="63">
        <f t="shared" ref="E94:E98" si="29">IFERROR(D94-C94,"")</f>
        <v>0</v>
      </c>
      <c r="F94" s="40" t="str">
        <f t="shared" ref="F94:F98" si="30">IFERROR((D94-C94)/ABS(C94),"")</f>
        <v/>
      </c>
    </row>
    <row r="95" ht="15.75" customHeight="1">
      <c r="A95" s="15"/>
      <c r="B95" s="74" t="s">
        <v>105</v>
      </c>
      <c r="C95" s="55">
        <f>SUMIFS(Raw_Data_Period_new_users!CJ:CJ, Raw_Data_Period_new_users!$A:$A, "Control", Raw_Data_Period_new_users!$C:$C, TRUE)</f>
        <v>0</v>
      </c>
      <c r="D95" s="55">
        <f>SUMIFS(Raw_Data_Period_new_users!CJ:CJ, Raw_Data_Period_new_users!$A:$A, "Variant", Raw_Data_Period_new_users!$C:$C, TRUE)</f>
        <v>0</v>
      </c>
      <c r="E95" s="43">
        <f t="shared" si="29"/>
        <v>0</v>
      </c>
      <c r="F95" s="40" t="str">
        <f t="shared" si="30"/>
        <v/>
      </c>
    </row>
    <row r="96" ht="15.75" customHeight="1">
      <c r="A96" s="15"/>
      <c r="B96" s="74" t="s">
        <v>106</v>
      </c>
      <c r="C96" s="55">
        <f>SUMIFS(Raw_Data_Period_new_users!CK:CK, Raw_Data_Period_new_users!$A:$A, "Control", Raw_Data_Period_new_users!$C:$C, TRUE)</f>
        <v>0</v>
      </c>
      <c r="D96" s="55">
        <f>SUMIFS(Raw_Data_Period_new_users!CK:CK, Raw_Data_Period_new_users!$A:$A, "Variant", Raw_Data_Period_new_users!$C:$C, TRUE)</f>
        <v>0</v>
      </c>
      <c r="E96" s="63">
        <f t="shared" si="29"/>
        <v>0</v>
      </c>
      <c r="F96" s="40" t="str">
        <f t="shared" si="30"/>
        <v/>
      </c>
    </row>
    <row r="97" ht="15.75" customHeight="1">
      <c r="A97" s="15"/>
      <c r="B97" s="74" t="s">
        <v>107</v>
      </c>
      <c r="C97" s="55">
        <f>SUMIFS(Raw_Data_Period_new_users!CL:CL, Raw_Data_Period_new_users!$A:$A, "Control", Raw_Data_Period_new_users!$C:$C, TRUE)</f>
        <v>0</v>
      </c>
      <c r="D97" s="55">
        <f>SUMIFS(Raw_Data_Period_new_users!CL:CL, Raw_Data_Period_new_users!$A:$A, "Variant", Raw_Data_Period_new_users!$C:$C, TRUE)</f>
        <v>0</v>
      </c>
      <c r="E97" s="43">
        <f t="shared" si="29"/>
        <v>0</v>
      </c>
      <c r="F97" s="40" t="str">
        <f t="shared" si="30"/>
        <v/>
      </c>
    </row>
    <row r="98" ht="15.75" customHeight="1">
      <c r="A98" s="15"/>
      <c r="B98" s="74" t="s">
        <v>108</v>
      </c>
      <c r="C98" s="55">
        <f>SUMIFS(Raw_Data_Period_new_users!CI:CI, Raw_Data_Period_new_users!$A:$A, "Control", Raw_Data_Period_new_users!$C:$C, TRUE) - SUMIFS(Raw_Data_Period_new_users!CL:CL, Raw_Data_Period_new_users!$A:$A, "Control", Raw_Data_Period_new_users!$C:$C, TRUE)</f>
        <v>0</v>
      </c>
      <c r="D98" s="55">
        <f>SUMIFS(Raw_Data_Period_new_users!CI:CI, Raw_Data_Period_new_users!$A:$A, "Variant", Raw_Data_Period_new_users!$C:$C, TRUE) - SUMIFS(Raw_Data_Period_new_users!CL:CL, Raw_Data_Period_new_users!$A:$A, "Variant", Raw_Data_Period_new_users!$C:$C, TRUE)</f>
        <v>0</v>
      </c>
      <c r="E98" s="63">
        <f t="shared" si="29"/>
        <v>0</v>
      </c>
      <c r="F98" s="40" t="str">
        <f t="shared" si="30"/>
        <v/>
      </c>
    </row>
    <row r="99" ht="15.75" customHeight="1">
      <c r="A99" s="73" t="s">
        <v>109</v>
      </c>
      <c r="B99" s="12"/>
      <c r="C99" s="12"/>
      <c r="D99" s="12"/>
      <c r="E99" s="12"/>
      <c r="F99" s="12"/>
    </row>
    <row r="100" ht="15.75" customHeight="1">
      <c r="A100" s="15"/>
      <c r="B100" s="74" t="s">
        <v>110</v>
      </c>
      <c r="C100" s="55">
        <f>SUMIFS(Raw_Data_Period_new_users!CA:CA, Raw_Data_Period_new_users!$A:$A, "Control", Raw_Data_Period_new_users!$C:$C, TRUE)</f>
        <v>0</v>
      </c>
      <c r="D100" s="55">
        <f>SUMIFS(Raw_Data_Period_new_users!CA:CA, Raw_Data_Period_new_users!$A:$A, "Variant", Raw_Data_Period_new_users!$C:$C, TRUE)</f>
        <v>0</v>
      </c>
      <c r="E100" s="63">
        <f t="shared" ref="E100:E104" si="31">IFERROR(D100-C100,"")</f>
        <v>0</v>
      </c>
      <c r="F100" s="40" t="str">
        <f t="shared" ref="F100:F104" si="32">IFERROR((D100-C100)/ABS(C100),"")</f>
        <v/>
      </c>
    </row>
    <row r="101" ht="15.75" customHeight="1">
      <c r="A101" s="15"/>
      <c r="B101" s="74" t="s">
        <v>111</v>
      </c>
      <c r="C101" s="55">
        <f>SUMIFS(Raw_Data_Period_new_users!CB:CB, Raw_Data_Period_new_users!$A:$A, "Control", Raw_Data_Period_new_users!$C:$C, TRUE)</f>
        <v>0</v>
      </c>
      <c r="D101" s="55">
        <f>SUMIFS(Raw_Data_Period_new_users!CB:CB, Raw_Data_Period_new_users!$A:$A, "Variant", Raw_Data_Period_new_users!$C:$C, TRUE)</f>
        <v>0</v>
      </c>
      <c r="E101" s="43">
        <f t="shared" si="31"/>
        <v>0</v>
      </c>
      <c r="F101" s="40" t="str">
        <f t="shared" si="32"/>
        <v/>
      </c>
    </row>
    <row r="102" ht="15.75" customHeight="1">
      <c r="A102" s="15"/>
      <c r="B102" s="74" t="s">
        <v>112</v>
      </c>
      <c r="C102" s="55">
        <f>SUMIFS(Raw_Data_Period_new_users!CC:CC, Raw_Data_Period_new_users!$A:$A, "Control", Raw_Data_Period_new_users!$C:$C, TRUE)</f>
        <v>0</v>
      </c>
      <c r="D102" s="55">
        <f>SUMIFS(Raw_Data_Period_new_users!CC:CC, Raw_Data_Period_new_users!$A:$A, "Variant", Raw_Data_Period_new_users!$C:$C, TRUE)</f>
        <v>0</v>
      </c>
      <c r="E102" s="63">
        <f t="shared" si="31"/>
        <v>0</v>
      </c>
      <c r="F102" s="40" t="str">
        <f t="shared" si="32"/>
        <v/>
      </c>
    </row>
    <row r="103" ht="15.75" customHeight="1">
      <c r="A103" s="15"/>
      <c r="B103" s="74" t="s">
        <v>113</v>
      </c>
      <c r="C103" s="55">
        <f>SUMIFS(Raw_Data_Period_new_users!CD:CD, Raw_Data_Period_new_users!$A:$A, "Control", Raw_Data_Period_new_users!$C:$C, TRUE)</f>
        <v>0</v>
      </c>
      <c r="D103" s="55">
        <f>SUMIFS(Raw_Data_Period_new_users!CD:CD, Raw_Data_Period_new_users!$A:$A, "Variant", Raw_Data_Period_new_users!$C:$C, TRUE)</f>
        <v>0</v>
      </c>
      <c r="E103" s="43">
        <f t="shared" si="31"/>
        <v>0</v>
      </c>
      <c r="F103" s="40" t="str">
        <f t="shared" si="32"/>
        <v/>
      </c>
    </row>
    <row r="104" ht="15.75" customHeight="1">
      <c r="A104" s="15"/>
      <c r="B104" s="74" t="s">
        <v>114</v>
      </c>
      <c r="C104" s="55">
        <f>SUMIFS(Raw_Data_Period_new_users!CA:CA, Raw_Data_Period_new_users!$A:$A, "Control", Raw_Data_Period_new_users!$C:$C, TRUE) - SUMIFS(Raw_Data_Period_new_users!CD:CD, Raw_Data_Period_new_users!$A:$A, "Control", Raw_Data_Period_new_users!$C:$C, TRUE)</f>
        <v>0</v>
      </c>
      <c r="D104" s="55">
        <f>SUMIFS(Raw_Data_Period_new_users!CA:CA, Raw_Data_Period_new_users!$A:$A, "Variant", Raw_Data_Period_new_users!$C:$C, TRUE) - SUMIFS(Raw_Data_Period_new_users!CD:CD, Raw_Data_Period_new_users!$A:$A, "Variant", Raw_Data_Period_new_users!$C:$C, TRUE)</f>
        <v>0</v>
      </c>
      <c r="E104" s="63">
        <f t="shared" si="31"/>
        <v>0</v>
      </c>
      <c r="F104" s="40" t="str">
        <f t="shared" si="32"/>
        <v/>
      </c>
    </row>
    <row r="105" ht="15.75" customHeight="1">
      <c r="A105" s="73" t="s">
        <v>115</v>
      </c>
      <c r="B105" s="75" t="s">
        <v>116</v>
      </c>
      <c r="C105" s="12"/>
      <c r="D105" s="12"/>
      <c r="E105" s="12"/>
      <c r="F105" s="12"/>
    </row>
    <row r="106" ht="15.75" customHeight="1">
      <c r="A106" s="76" t="s">
        <v>116</v>
      </c>
      <c r="B106" s="74" t="s">
        <v>117</v>
      </c>
      <c r="C106" s="55">
        <f>SUMIFS(Raw_Data_Period_new_users!CM:CM, Raw_Data_Period_new_users!$A:$A, "Control", Raw_Data_Period_new_users!$C:$C, TRUE)</f>
        <v>0</v>
      </c>
      <c r="D106" s="55">
        <f>SUMIFS(Raw_Data_Period_new_users!CM:CM, Raw_Data_Period_new_users!$A:$A, "Variant", Raw_Data_Period_new_users!$C:$C, TRUE)</f>
        <v>0</v>
      </c>
      <c r="E106" s="63">
        <f t="shared" ref="E106:E113" si="33">IFERROR(D106-C106,"")</f>
        <v>0</v>
      </c>
      <c r="F106" s="40" t="str">
        <f t="shared" ref="F106:F113" si="34">IFERROR((D106-C106)/ABS(C106),"")</f>
        <v/>
      </c>
    </row>
    <row r="107" ht="15.75" customHeight="1">
      <c r="A107" s="76" t="s">
        <v>116</v>
      </c>
      <c r="B107" s="74" t="s">
        <v>118</v>
      </c>
      <c r="C107" s="55">
        <f>SUMIFS(Raw_Data_Period_new_users!CN:CN, Raw_Data_Period_new_users!$A:$A, "Control", Raw_Data_Period_new_users!$C:$C, TRUE)</f>
        <v>0</v>
      </c>
      <c r="D107" s="55">
        <f>SUMIFS(Raw_Data_Period_new_users!CN:CN, Raw_Data_Period_new_users!$A:$A, "Variant", Raw_Data_Period_new_users!$C:$C, TRUE)</f>
        <v>0</v>
      </c>
      <c r="E107" s="63">
        <f t="shared" si="33"/>
        <v>0</v>
      </c>
      <c r="F107" s="40" t="str">
        <f t="shared" si="34"/>
        <v/>
      </c>
    </row>
    <row r="108" ht="15.75" customHeight="1">
      <c r="A108" s="76" t="s">
        <v>116</v>
      </c>
      <c r="B108" s="74" t="s">
        <v>119</v>
      </c>
      <c r="C108" s="55">
        <f>SUMIFS(Raw_Data_Period_new_users!CO:CO, Raw_Data_Period_new_users!$A:$A, "Control", Raw_Data_Period_new_users!$C:$C, TRUE)</f>
        <v>0</v>
      </c>
      <c r="D108" s="55">
        <f>SUMIFS(Raw_Data_Period_new_users!CO:CO, Raw_Data_Period_new_users!$A:$A, "Variant", Raw_Data_Period_new_users!$C:$C, TRUE)</f>
        <v>0</v>
      </c>
      <c r="E108" s="63">
        <f t="shared" si="33"/>
        <v>0</v>
      </c>
      <c r="F108" s="40" t="str">
        <f t="shared" si="34"/>
        <v/>
      </c>
    </row>
    <row r="109" ht="15.75" customHeight="1">
      <c r="A109" s="76" t="s">
        <v>116</v>
      </c>
      <c r="B109" s="74" t="s">
        <v>120</v>
      </c>
      <c r="C109" s="55">
        <f>SUMIFS(Raw_Data_Period_new_users!CP:CP, Raw_Data_Period_new_users!$A:$A, "Control", Raw_Data_Period_new_users!$C:$C, TRUE)</f>
        <v>0</v>
      </c>
      <c r="D109" s="55">
        <f>SUMIFS(Raw_Data_Period_new_users!CP:CP, Raw_Data_Period_new_users!$A:$A, "Variant", Raw_Data_Period_new_users!$C:$C, TRUE)</f>
        <v>0</v>
      </c>
      <c r="E109" s="63">
        <f t="shared" si="33"/>
        <v>0</v>
      </c>
      <c r="F109" s="40" t="str">
        <f t="shared" si="34"/>
        <v/>
      </c>
    </row>
    <row r="110" ht="15.75" customHeight="1">
      <c r="A110" s="76" t="s">
        <v>116</v>
      </c>
      <c r="B110" s="74" t="s">
        <v>121</v>
      </c>
      <c r="C110" s="55">
        <f>SUMIFS(Raw_Data_Period_new_users!CQ:CQ, Raw_Data_Period_new_users!$A:$A, "Control", Raw_Data_Period_new_users!$C:$C, TRUE)</f>
        <v>0</v>
      </c>
      <c r="D110" s="55">
        <f>SUMIFS(Raw_Data_Period_new_users!CQ:CQ, Raw_Data_Period_new_users!$A:$A, "Variant", Raw_Data_Period_new_users!$C:$C, TRUE)</f>
        <v>0</v>
      </c>
      <c r="E110" s="63">
        <f t="shared" si="33"/>
        <v>0</v>
      </c>
      <c r="F110" s="40" t="str">
        <f t="shared" si="34"/>
        <v/>
      </c>
    </row>
    <row r="111" ht="15.75" customHeight="1">
      <c r="A111" s="76" t="s">
        <v>116</v>
      </c>
      <c r="B111" s="74" t="s">
        <v>122</v>
      </c>
      <c r="C111" s="55">
        <f>SUMIFS(Raw_Data_Period_new_users!CR:CR, Raw_Data_Period_new_users!$A:$A, "Control", Raw_Data_Period_new_users!$C:$C, TRUE)</f>
        <v>0</v>
      </c>
      <c r="D111" s="55">
        <f>SUMIFS(Raw_Data_Period_new_users!CR:CR, Raw_Data_Period_new_users!$A:$A, "Variant", Raw_Data_Period_new_users!$C:$C, TRUE)</f>
        <v>0</v>
      </c>
      <c r="E111" s="63">
        <f t="shared" si="33"/>
        <v>0</v>
      </c>
      <c r="F111" s="40" t="str">
        <f t="shared" si="34"/>
        <v/>
      </c>
    </row>
    <row r="112" ht="15.75" customHeight="1">
      <c r="A112" s="76" t="s">
        <v>116</v>
      </c>
      <c r="B112" s="74" t="s">
        <v>123</v>
      </c>
      <c r="C112" s="55">
        <f>SUMIFS(Raw_Data_Period_new_users!CS:CS, Raw_Data_Period_new_users!$A:$A, "Control", Raw_Data_Period_new_users!$C:$C, TRUE)</f>
        <v>0</v>
      </c>
      <c r="D112" s="55">
        <f>SUMIFS(Raw_Data_Period_new_users!CS:CS, Raw_Data_Period_new_users!$A:$A, "Variant", Raw_Data_Period_new_users!$C:$C, TRUE)</f>
        <v>0</v>
      </c>
      <c r="E112" s="63">
        <f t="shared" si="33"/>
        <v>0</v>
      </c>
      <c r="F112" s="40" t="str">
        <f t="shared" si="34"/>
        <v/>
      </c>
    </row>
    <row r="113" ht="15.75" customHeight="1">
      <c r="A113" s="76" t="s">
        <v>116</v>
      </c>
      <c r="B113" s="74" t="s">
        <v>124</v>
      </c>
      <c r="C113" s="55">
        <f>SUMIFS(Raw_Data_Period_new_users!CT:CT, Raw_Data_Period_new_users!$A:$A, "Control", Raw_Data_Period_new_users!$C:$C, TRUE)</f>
        <v>0</v>
      </c>
      <c r="D113" s="55">
        <f>SUMIFS(Raw_Data_Period_new_users!CT:CT, Raw_Data_Period_new_users!$A:$A, "Variant", Raw_Data_Period_new_users!$C:$C, TRUE)</f>
        <v>0</v>
      </c>
      <c r="E113" s="63">
        <f t="shared" si="33"/>
        <v>0</v>
      </c>
      <c r="F113" s="40" t="str">
        <f t="shared" si="34"/>
        <v/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</sheetData>
  <mergeCells count="1">
    <mergeCell ref="A1:F1"/>
  </mergeCells>
  <conditionalFormatting sqref="E23:F25 E27:F29 E31:F31 E33:F33 E37:F38 E41:F41 E43:F46 E55:F55 E62:F62 E64:F64 E66:F66 E70:F70 E72:F72 E74:F74 E76:F76 E78:F78 E80:F80 E82:F82 E84:F84 E86:F86 E88:F88 E90:F90 E92:F92 E94:F94 E96:F96 E98:F98 E100:F100 E102:F102 E104:F104 E106:F113">
    <cfRule type="cellIs" dxfId="0" priority="1" stopIfTrue="1" operator="lessThan">
      <formula>0</formula>
    </cfRule>
  </conditionalFormatting>
  <conditionalFormatting sqref="E23:F25 E27:F29 E31:F31 E33:F33 E37:F38 E41:F41 E43:F46 E55:F55 E62:F62 E64:F64 E66:F66 E70:F70 E72:F72 E74:F74 E76:F76 E78:F78 E80:F80 E82:F82 E84:F84 E86:F86 E88:F88 E90:F90 E92:F92 E94:F94 E96:F96 E98:F98 E100:F100 E102:F102 E104:F104 E106:F113">
    <cfRule type="cellIs" dxfId="1" priority="2" stopIfTrue="1" operator="greaterThan">
      <formula>0</formula>
    </cfRule>
  </conditionalFormatting>
  <conditionalFormatting sqref="E5:F5 E7:F9 E11:F13 E15:F20 E22:F22 E30:F30 E32:F32 E34:F35 E39:F40 E48:F49 E51:F53 E63:F63 E65:F65 E67:F67 E71:F71 E73:F73 E77:F77 E79:F79 E83:F83 E85:F85 E89:F89 E91:F91 E95:F95 E97:F97 E101:F101 E103:F103">
    <cfRule type="cellIs" dxfId="1" priority="3" stopIfTrue="1" operator="lessThan">
      <formula>0</formula>
    </cfRule>
  </conditionalFormatting>
  <conditionalFormatting sqref="E5:F5 E7:F9 E11:F13 E15:F20 E22:F22 E30:F30 E32:F32 E34:F35 E39:F40 E48:F49 E51:F53 E63:F63 E65:F65 E67:F67 E71:F71 E73:F73 E77:F77 E79:F79 E83:F83 E85:F85 E89:F89 E91:F91 E95:F95 E97:F97 E101:F101 E103:F103">
    <cfRule type="cellIs" dxfId="0" priority="4" stopIfTrue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32.0"/>
    <col customWidth="1" min="3" max="4" width="16.0"/>
    <col customWidth="1" min="5" max="5" width="14.0"/>
    <col customWidth="1" min="6" max="6" width="12.0"/>
  </cols>
  <sheetData>
    <row r="1">
      <c r="A1" s="1" t="s">
        <v>1</v>
      </c>
    </row>
    <row r="3" ht="21.7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>
      <c r="A4" s="9" t="s">
        <v>8</v>
      </c>
      <c r="B4" s="12"/>
      <c r="C4" s="12"/>
      <c r="D4" s="12"/>
      <c r="E4" s="12"/>
      <c r="F4" s="12"/>
    </row>
    <row r="5">
      <c r="A5" s="15"/>
      <c r="B5" s="16" t="s">
        <v>12</v>
      </c>
      <c r="C5" s="26">
        <f>SUMIFS(Raw_Data_Period_old_users!D:D, Raw_Data_Period_old_users!$A:$A, "Control", Raw_Data_Period_old_users!$C:$C, TRUE)</f>
        <v>0</v>
      </c>
      <c r="D5" s="26">
        <f>SUMIFS(Raw_Data_Period_old_users!D:D, Raw_Data_Period_old_users!$A:$A, "Variant", Raw_Data_Period_old_users!$C:$C, TRUE)</f>
        <v>0</v>
      </c>
      <c r="E5" s="32">
        <f>IFERROR(D5-C5,"")</f>
        <v>0</v>
      </c>
      <c r="F5" s="34" t="str">
        <f>IFERROR((D5-C5)/ABS(C5),"")</f>
        <v/>
      </c>
    </row>
    <row r="6">
      <c r="A6" s="9" t="s">
        <v>16</v>
      </c>
      <c r="B6" s="12"/>
      <c r="C6" s="12"/>
      <c r="D6" s="12"/>
      <c r="E6" s="12"/>
      <c r="F6" s="12"/>
    </row>
    <row r="7">
      <c r="A7" s="15"/>
      <c r="B7" s="16" t="s">
        <v>17</v>
      </c>
      <c r="C7" s="36">
        <f>SUMIFS(Raw_Data_Period_old_users!F:F, Raw_Data_Period_old_users!$A:$A, "Control", Raw_Data_Period_old_users!$C:$C, TRUE)</f>
        <v>0</v>
      </c>
      <c r="D7" s="36">
        <f>SUMIFS(Raw_Data_Period_old_users!F:F, Raw_Data_Period_old_users!$A:$A, "Variant", Raw_Data_Period_old_users!$C:$C, TRUE)</f>
        <v>0</v>
      </c>
      <c r="E7" s="38">
        <f t="shared" ref="E7:E9" si="1">IFERROR(D7-C7,"")</f>
        <v>0</v>
      </c>
      <c r="F7" s="40" t="str">
        <f t="shared" ref="F7:F9" si="2">IFERROR((D7-C7)/ABS(C7),"")</f>
        <v/>
      </c>
    </row>
    <row r="8">
      <c r="A8" s="15"/>
      <c r="B8" s="16" t="s">
        <v>18</v>
      </c>
      <c r="C8" s="41">
        <f>SUMIFS(Raw_Data_Period_old_users!G:G, Raw_Data_Period_old_users!$A:$A, "Control", Raw_Data_Period_old_users!$C:$C, TRUE)</f>
        <v>0</v>
      </c>
      <c r="D8" s="41">
        <f>SUMIFS(Raw_Data_Period_old_users!G:G, Raw_Data_Period_old_users!$A:$A, "Variant", Raw_Data_Period_old_users!$C:$C, TRUE)</f>
        <v>0</v>
      </c>
      <c r="E8" s="38">
        <f t="shared" si="1"/>
        <v>0</v>
      </c>
      <c r="F8" s="40" t="str">
        <f t="shared" si="2"/>
        <v/>
      </c>
    </row>
    <row r="9">
      <c r="A9" s="15"/>
      <c r="B9" s="16" t="s">
        <v>19</v>
      </c>
      <c r="C9" s="41">
        <f>SUMIFS(Raw_Data_Period_old_users!I:I, Raw_Data_Period_old_users!$A:$A, "Control", Raw_Data_Period_old_users!$C:$C, TRUE)</f>
        <v>0</v>
      </c>
      <c r="D9" s="41">
        <f>SUMIFS(Raw_Data_Period_old_users!I:I, Raw_Data_Period_old_users!$A:$A, "Variant", Raw_Data_Period_old_users!$C:$C, TRUE)</f>
        <v>0</v>
      </c>
      <c r="E9" s="38">
        <f t="shared" si="1"/>
        <v>0</v>
      </c>
      <c r="F9" s="40" t="str">
        <f t="shared" si="2"/>
        <v/>
      </c>
    </row>
    <row r="10">
      <c r="A10" s="9" t="s">
        <v>20</v>
      </c>
      <c r="B10" s="12"/>
      <c r="C10" s="12"/>
      <c r="D10" s="12"/>
      <c r="E10" s="12"/>
      <c r="F10" s="12"/>
    </row>
    <row r="11">
      <c r="A11" s="15"/>
      <c r="B11" s="16" t="s">
        <v>21</v>
      </c>
      <c r="C11" s="42">
        <f>SUMIFS(Raw_Data_Period_old_users!J:J, Raw_Data_Period_old_users!$A:$A, "Control", Raw_Data_Period_old_users!$C:$C, TRUE)</f>
        <v>0</v>
      </c>
      <c r="D11" s="42">
        <f>SUMIFS(Raw_Data_Period_old_users!J:J, Raw_Data_Period_old_users!$A:$A, "Variant", Raw_Data_Period_old_users!$C:$C, TRUE)</f>
        <v>0</v>
      </c>
      <c r="E11" s="43">
        <f t="shared" ref="E11:E13" si="3">IFERROR(D11-C11,"")</f>
        <v>0</v>
      </c>
      <c r="F11" s="45" t="str">
        <f t="shared" ref="F11:F13" si="4">IFERROR((D11-C11)/ABS(C11),"")</f>
        <v/>
      </c>
    </row>
    <row r="12">
      <c r="A12" s="15"/>
      <c r="B12" s="16" t="s">
        <v>22</v>
      </c>
      <c r="C12" s="42">
        <f>SUMIFS(Raw_Data_Period_old_users!K:K, Raw_Data_Period_old_users!$A:$A, "Control", Raw_Data_Period_old_users!$C:$C, TRUE)</f>
        <v>0</v>
      </c>
      <c r="D12" s="42">
        <f>SUMIFS(Raw_Data_Period_old_users!K:K, Raw_Data_Period_old_users!$A:$A, "Variant", Raw_Data_Period_old_users!$C:$C, TRUE)</f>
        <v>0</v>
      </c>
      <c r="E12" s="43">
        <f t="shared" si="3"/>
        <v>0</v>
      </c>
      <c r="F12" s="45" t="str">
        <f t="shared" si="4"/>
        <v/>
      </c>
    </row>
    <row r="13">
      <c r="A13" s="15"/>
      <c r="B13" s="16" t="s">
        <v>23</v>
      </c>
      <c r="C13" s="42">
        <f>SUMIFS(Raw_Data_Period_old_users!L:L, Raw_Data_Period_old_users!$A:$A, "Control", Raw_Data_Period_old_users!$C:$C, TRUE)</f>
        <v>0</v>
      </c>
      <c r="D13" s="42">
        <f>SUMIFS(Raw_Data_Period_old_users!L:L, Raw_Data_Period_old_users!$A:$A, "Variant", Raw_Data_Period_old_users!$C:$C, TRUE)</f>
        <v>0</v>
      </c>
      <c r="E13" s="43">
        <f t="shared" si="3"/>
        <v>0</v>
      </c>
      <c r="F13" s="45" t="str">
        <f t="shared" si="4"/>
        <v/>
      </c>
    </row>
    <row r="14" ht="15.75" customHeight="1">
      <c r="A14" s="9" t="s">
        <v>24</v>
      </c>
      <c r="B14" s="12"/>
      <c r="C14" s="12"/>
      <c r="D14" s="12"/>
      <c r="E14" s="12"/>
      <c r="F14" s="12"/>
    </row>
    <row r="15" ht="15.75" customHeight="1">
      <c r="A15" s="15"/>
      <c r="B15" s="16" t="s">
        <v>25</v>
      </c>
      <c r="C15" s="42">
        <f>SUMIFS(Raw_Data_Period_old_users!AD:AD, Raw_Data_Period_old_users!$A:$A, "Control", Raw_Data_Period_old_users!$C:$C, TRUE)</f>
        <v>0</v>
      </c>
      <c r="D15" s="42">
        <f>SUMIFS(Raw_Data_Period_old_users!AD:AD, Raw_Data_Period_old_users!$A:$A, "Variant", Raw_Data_Period_old_users!$C:$C, TRUE)</f>
        <v>0</v>
      </c>
      <c r="E15" s="43">
        <f t="shared" ref="E15:E20" si="5">IFERROR(D15-C15,"")</f>
        <v>0</v>
      </c>
      <c r="F15" s="45" t="str">
        <f t="shared" ref="F15:F20" si="6">IFERROR((D15-C15)/ABS(C15),"")</f>
        <v/>
      </c>
    </row>
    <row r="16" ht="15.75" customHeight="1">
      <c r="A16" s="15"/>
      <c r="B16" s="16" t="s">
        <v>26</v>
      </c>
      <c r="C16" s="42">
        <f>SUMIFS(Raw_Data_Period_old_users!AE:AE, Raw_Data_Period_old_users!$A:$A, "Control", Raw_Data_Period_old_users!$C:$C, TRUE)</f>
        <v>0</v>
      </c>
      <c r="D16" s="42">
        <f>SUMIFS(Raw_Data_Period_old_users!AE:AE, Raw_Data_Period_old_users!$A:$A, "Variant", Raw_Data_Period_old_users!$C:$C, TRUE)</f>
        <v>0</v>
      </c>
      <c r="E16" s="43">
        <f t="shared" si="5"/>
        <v>0</v>
      </c>
      <c r="F16" s="45" t="str">
        <f t="shared" si="6"/>
        <v/>
      </c>
    </row>
    <row r="17" ht="15.75" customHeight="1">
      <c r="A17" s="15"/>
      <c r="B17" s="16" t="s">
        <v>27</v>
      </c>
      <c r="C17" s="42">
        <f>SUMIFS(Raw_Data_Period_old_users!AF:AF, Raw_Data_Period_old_users!$A:$A, "Control", Raw_Data_Period_old_users!$C:$C, TRUE)</f>
        <v>0</v>
      </c>
      <c r="D17" s="42">
        <f>SUMIFS(Raw_Data_Period_old_users!AF:AF, Raw_Data_Period_old_users!$A:$A, "Variant", Raw_Data_Period_old_users!$C:$C, TRUE)</f>
        <v>0</v>
      </c>
      <c r="E17" s="43">
        <f t="shared" si="5"/>
        <v>0</v>
      </c>
      <c r="F17" s="45" t="str">
        <f t="shared" si="6"/>
        <v/>
      </c>
    </row>
    <row r="18" ht="15.75" customHeight="1">
      <c r="A18" s="15"/>
      <c r="B18" s="16" t="s">
        <v>28</v>
      </c>
      <c r="C18" s="42">
        <f>SUMIFS(Raw_Data_Period_old_users!AG:AG, Raw_Data_Period_old_users!$A:$A, "Control", Raw_Data_Period_old_users!$C:$C, TRUE)</f>
        <v>0</v>
      </c>
      <c r="D18" s="42">
        <f>SUMIFS(Raw_Data_Period_old_users!AG:AG, Raw_Data_Period_old_users!$A:$A, "Variant", Raw_Data_Period_old_users!$C:$C, TRUE)</f>
        <v>0</v>
      </c>
      <c r="E18" s="43">
        <f t="shared" si="5"/>
        <v>0</v>
      </c>
      <c r="F18" s="45" t="str">
        <f t="shared" si="6"/>
        <v/>
      </c>
    </row>
    <row r="19" ht="15.75" customHeight="1">
      <c r="A19" s="15"/>
      <c r="B19" s="16" t="s">
        <v>29</v>
      </c>
      <c r="C19" s="42">
        <f>SUMIFS(Raw_Data_Period_old_users!AH:AH, Raw_Data_Period_old_users!$A:$A, "Control", Raw_Data_Period_old_users!$C:$C, TRUE)</f>
        <v>0</v>
      </c>
      <c r="D19" s="42">
        <f>SUMIFS(Raw_Data_Period_old_users!AH:AH, Raw_Data_Period_old_users!$A:$A, "Variant", Raw_Data_Period_old_users!$C:$C, TRUE)</f>
        <v>0</v>
      </c>
      <c r="E19" s="43">
        <f t="shared" si="5"/>
        <v>0</v>
      </c>
      <c r="F19" s="45" t="str">
        <f t="shared" si="6"/>
        <v/>
      </c>
    </row>
    <row r="20" ht="15.75" customHeight="1">
      <c r="A20" s="15"/>
      <c r="B20" s="54" t="s">
        <v>30</v>
      </c>
      <c r="C20" s="42">
        <f>SUMIFS(Raw_Data_Period_old_users!BC:BC, Raw_Data_Period_old_users!$A:$A, "Control", Raw_Data_Period_old_users!$C:$C, TRUE)</f>
        <v>0</v>
      </c>
      <c r="D20" s="42">
        <f>SUMIFS(Raw_Data_Period_old_users!BC:BC, Raw_Data_Period_old_users!$A:$A, "Variant", Raw_Data_Period_old_users!$C:$C, TRUE)</f>
        <v>0</v>
      </c>
      <c r="E20" s="43">
        <f t="shared" si="5"/>
        <v>0</v>
      </c>
      <c r="F20" s="45" t="str">
        <f t="shared" si="6"/>
        <v/>
      </c>
    </row>
    <row r="21">
      <c r="A21" s="9" t="s">
        <v>31</v>
      </c>
      <c r="B21" s="12"/>
      <c r="C21" s="12"/>
      <c r="D21" s="12"/>
      <c r="E21" s="12"/>
      <c r="F21" s="12"/>
    </row>
    <row r="22" ht="15.75" customHeight="1">
      <c r="A22" s="15"/>
      <c r="B22" s="16" t="s">
        <v>32</v>
      </c>
      <c r="C22" s="55">
        <f>SUMIFS(Raw_Data_Period_old_users!M:M, Raw_Data_Period_old_users!$A:$A, "Control", Raw_Data_Period_old_users!$C:$C, TRUE)</f>
        <v>0</v>
      </c>
      <c r="D22" s="55">
        <f>SUMIFS(Raw_Data_Period_old_users!M:M, Raw_Data_Period_old_users!$A:$A, "Variant", Raw_Data_Period_old_users!$C:$C, TRUE)</f>
        <v>0</v>
      </c>
      <c r="E22" s="56">
        <f t="shared" ref="E22:E25" si="7">IFERROR(D22-C22,"")</f>
        <v>0</v>
      </c>
      <c r="F22" s="34" t="str">
        <f t="shared" ref="F22:F25" si="8">IFERROR((D22-C22)/ABS(C22),"")</f>
        <v/>
      </c>
    </row>
    <row r="23" ht="15.75" customHeight="1">
      <c r="A23" s="15"/>
      <c r="B23" s="16" t="s">
        <v>33</v>
      </c>
      <c r="C23" s="55">
        <f>SUMIFS(Raw_Data_Period_old_users!N:N, Raw_Data_Period_old_users!$A:$A, "Control", Raw_Data_Period_old_users!$C:$C, TRUE)</f>
        <v>0</v>
      </c>
      <c r="D23" s="55">
        <f>SUMIFS(Raw_Data_Period_old_users!N:N, Raw_Data_Period_old_users!$A:$A, "Variant", Raw_Data_Period_old_users!$C:$C, TRUE)</f>
        <v>0</v>
      </c>
      <c r="E23" s="56">
        <f t="shared" si="7"/>
        <v>0</v>
      </c>
      <c r="F23" s="34" t="str">
        <f t="shared" si="8"/>
        <v/>
      </c>
    </row>
    <row r="24" ht="15.75" customHeight="1">
      <c r="A24" s="15"/>
      <c r="B24" s="16" t="s">
        <v>34</v>
      </c>
      <c r="C24" s="55">
        <f>SUMIFS(Raw_Data_Period_old_users!O:O, Raw_Data_Period_old_users!$A:$A, "Control", Raw_Data_Period_old_users!$C:$C, TRUE)</f>
        <v>0</v>
      </c>
      <c r="D24" s="55">
        <f>SUMIFS(Raw_Data_Period_old_users!O:O, Raw_Data_Period_old_users!$A:$A, "Variant", Raw_Data_Period_old_users!$C:$C, TRUE)</f>
        <v>0</v>
      </c>
      <c r="E24" s="56">
        <f t="shared" si="7"/>
        <v>0</v>
      </c>
      <c r="F24" s="34" t="str">
        <f t="shared" si="8"/>
        <v/>
      </c>
    </row>
    <row r="25" ht="15.75" customHeight="1">
      <c r="A25" s="15"/>
      <c r="B25" s="16" t="s">
        <v>35</v>
      </c>
      <c r="C25" s="42">
        <f>SUMIFS(Raw_Data_Period_old_users!P:P, Raw_Data_Period_old_users!$A:$A, "Control", Raw_Data_Period_old_users!$C:$C, TRUE)</f>
        <v>0</v>
      </c>
      <c r="D25" s="42">
        <f>SUMIFS(Raw_Data_Period_old_users!P:P, Raw_Data_Period_old_users!$A:$A, "Variant", Raw_Data_Period_old_users!$C:$C, TRUE)</f>
        <v>0</v>
      </c>
      <c r="E25" s="57">
        <f t="shared" si="7"/>
        <v>0</v>
      </c>
      <c r="F25" s="34" t="str">
        <f t="shared" si="8"/>
        <v/>
      </c>
    </row>
    <row r="26" ht="15.75" customHeight="1">
      <c r="A26" s="9" t="s">
        <v>36</v>
      </c>
      <c r="B26" s="12"/>
      <c r="C26" s="12"/>
      <c r="D26" s="12"/>
      <c r="E26" s="12"/>
      <c r="F26" s="12"/>
    </row>
    <row r="27" ht="15.75" customHeight="1">
      <c r="A27" s="15"/>
      <c r="B27" s="58" t="s">
        <v>37</v>
      </c>
      <c r="C27" s="42">
        <f>SUMIFS(Raw_Data_Period_old_users!Q:Q, Raw_Data_Period_old_users!$A:$A, "Control", Raw_Data_Period_old_users!$C:$C, TRUE)</f>
        <v>0</v>
      </c>
      <c r="D27" s="42">
        <f>SUMIFS(Raw_Data_Period_old_users!Q:Q, Raw_Data_Period_old_users!$A:$A, "Variant", Raw_Data_Period_old_users!$C:$C, TRUE)</f>
        <v>0</v>
      </c>
      <c r="E27" s="59">
        <f t="shared" ref="E27:E35" si="9">IFERROR(D27-C27,"")</f>
        <v>0</v>
      </c>
      <c r="F27" s="40" t="str">
        <f t="shared" ref="F27:F35" si="10">IFERROR((D27-C27)/ABS(C27),"")</f>
        <v/>
      </c>
    </row>
    <row r="28" ht="15.75" customHeight="1">
      <c r="A28" s="15"/>
      <c r="B28" s="16" t="s">
        <v>39</v>
      </c>
      <c r="C28" s="42">
        <f>SUMIFS(Raw_Data_Period_old_users!R:R, Raw_Data_Period_old_users!$A:$A, "Control", Raw_Data_Period_old_users!$C:$C, TRUE)</f>
        <v>0</v>
      </c>
      <c r="D28" s="42">
        <f>SUMIFS(Raw_Data_Period_old_users!R:R, Raw_Data_Period_old_users!$A:$A, "Variant", Raw_Data_Period_old_users!$C:$C, TRUE)</f>
        <v>0</v>
      </c>
      <c r="E28" s="57">
        <f t="shared" si="9"/>
        <v>0</v>
      </c>
      <c r="F28" s="34" t="str">
        <f t="shared" si="10"/>
        <v/>
      </c>
    </row>
    <row r="29" ht="15.75" customHeight="1">
      <c r="A29" s="15"/>
      <c r="B29" s="16" t="s">
        <v>40</v>
      </c>
      <c r="C29" s="42">
        <f>SUMIFS(Raw_Data_Period_old_users!S:S, Raw_Data_Period_old_users!$A:$A, "Control", Raw_Data_Period_old_users!$C:$C, TRUE)</f>
        <v>0</v>
      </c>
      <c r="D29" s="42">
        <f>SUMIFS(Raw_Data_Period_old_users!S:S, Raw_Data_Period_old_users!$A:$A, "Variant", Raw_Data_Period_old_users!$C:$C, TRUE)</f>
        <v>0</v>
      </c>
      <c r="E29" s="57">
        <f t="shared" si="9"/>
        <v>0</v>
      </c>
      <c r="F29" s="34" t="str">
        <f t="shared" si="10"/>
        <v/>
      </c>
    </row>
    <row r="30" ht="15.75" customHeight="1">
      <c r="A30" s="15"/>
      <c r="B30" s="58" t="s">
        <v>41</v>
      </c>
      <c r="C30" s="42">
        <f>SUMIFS(Raw_Data_Period_old_users!T:T, Raw_Data_Period_old_users!$A:$A, "Control", Raw_Data_Period_old_users!$C:$C, TRUE)</f>
        <v>0</v>
      </c>
      <c r="D30" s="42">
        <f>SUMIFS(Raw_Data_Period_old_users!T:T, Raw_Data_Period_old_users!$A:$A, "Variant", Raw_Data_Period_old_users!$C:$C, TRUE)</f>
        <v>0</v>
      </c>
      <c r="E30" s="43">
        <f t="shared" si="9"/>
        <v>0</v>
      </c>
      <c r="F30" s="40" t="str">
        <f t="shared" si="10"/>
        <v/>
      </c>
    </row>
    <row r="31" ht="15.75" customHeight="1">
      <c r="A31" s="15"/>
      <c r="B31" s="58" t="s">
        <v>42</v>
      </c>
      <c r="C31" s="42">
        <f>SUMIFS(Raw_Data_Period_old_users!U:U, Raw_Data_Period_old_users!$A:$A, "Control", Raw_Data_Period_old_users!$C:$C, TRUE)</f>
        <v>0</v>
      </c>
      <c r="D31" s="42">
        <f>SUMIFS(Raw_Data_Period_old_users!U:U, Raw_Data_Period_old_users!$A:$A, "Variant", Raw_Data_Period_old_users!$C:$C, TRUE)</f>
        <v>0</v>
      </c>
      <c r="E31" s="43">
        <f t="shared" si="9"/>
        <v>0</v>
      </c>
      <c r="F31" s="40" t="str">
        <f t="shared" si="10"/>
        <v/>
      </c>
    </row>
    <row r="32" ht="15.75" customHeight="1">
      <c r="A32" s="15"/>
      <c r="B32" s="58" t="s">
        <v>43</v>
      </c>
      <c r="C32" s="42">
        <f>SUMIFS(Raw_Data_Period_old_users!V:V, Raw_Data_Period_old_users!$A:$A, "Control", Raw_Data_Period_old_users!$C:$C, TRUE)</f>
        <v>0</v>
      </c>
      <c r="D32" s="42">
        <f>SUMIFS(Raw_Data_Period_old_users!V:V, Raw_Data_Period_old_users!$A:$A, "Variant", Raw_Data_Period_old_users!$C:$C, TRUE)</f>
        <v>0</v>
      </c>
      <c r="E32" s="63">
        <f t="shared" si="9"/>
        <v>0</v>
      </c>
      <c r="F32" s="45" t="str">
        <f t="shared" si="10"/>
        <v/>
      </c>
    </row>
    <row r="33" ht="15.75" customHeight="1">
      <c r="A33" s="15"/>
      <c r="B33" s="58" t="s">
        <v>44</v>
      </c>
      <c r="C33" s="42">
        <f>SUMIFS(Raw_Data_Period_old_users!Q:Q, Raw_Data_Period_old_users!$A:$A, "Control", Raw_Data_Period_old_users!$C:$C, TRUE) - SUMIFS(Raw_Data_Period_old_users!V:V, Raw_Data_Period_old_users!$A:$A, "Control", Raw_Data_Period_old_users!$C:$C, TRUE)</f>
        <v>0</v>
      </c>
      <c r="D33" s="42">
        <f>SUMIFS(Raw_Data_Period_old_users!Q:Q, Raw_Data_Period_old_users!$A:$A, "Variant", Raw_Data_Period_old_users!$C:$C, TRUE) - SUMIFS(Raw_Data_Period_old_users!V:V, Raw_Data_Period_old_users!$A:$A, "Variant", Raw_Data_Period_old_users!$C:$C, TRUE)</f>
        <v>0</v>
      </c>
      <c r="E33" s="43">
        <f t="shared" si="9"/>
        <v>0</v>
      </c>
      <c r="F33" s="40" t="str">
        <f t="shared" si="10"/>
        <v/>
      </c>
    </row>
    <row r="34" ht="15.75" customHeight="1">
      <c r="A34" s="15"/>
      <c r="B34" s="16" t="s">
        <v>45</v>
      </c>
      <c r="C34" s="42">
        <f>SUMIFS(Raw_Data_Period_old_users!W:W, Raw_Data_Period_old_users!$A:$A, "Control", Raw_Data_Period_old_users!$C:$C, TRUE)</f>
        <v>0</v>
      </c>
      <c r="D34" s="42">
        <f>SUMIFS(Raw_Data_Period_old_users!W:W, Raw_Data_Period_old_users!$A:$A, "Variant", Raw_Data_Period_old_users!$C:$C, TRUE)</f>
        <v>0</v>
      </c>
      <c r="E34" s="63">
        <f t="shared" si="9"/>
        <v>0</v>
      </c>
      <c r="F34" s="45" t="str">
        <f t="shared" si="10"/>
        <v/>
      </c>
    </row>
    <row r="35" ht="15.75" customHeight="1">
      <c r="A35" s="15"/>
      <c r="B35" s="16" t="s">
        <v>46</v>
      </c>
      <c r="C35" s="55">
        <f>SUMIFS(Raw_Data_Period_old_users!X:X, Raw_Data_Period_old_users!$A:$A, "Control", Raw_Data_Period_old_users!$C:$C, TRUE)</f>
        <v>0</v>
      </c>
      <c r="D35" s="55">
        <f>SUMIFS(Raw_Data_Period_old_users!X:X, Raw_Data_Period_old_users!$A:$A, "Variant", Raw_Data_Period_old_users!$C:$C, TRUE)</f>
        <v>0</v>
      </c>
      <c r="E35" s="43">
        <f t="shared" si="9"/>
        <v>0</v>
      </c>
      <c r="F35" s="40" t="str">
        <f t="shared" si="10"/>
        <v/>
      </c>
    </row>
    <row r="36" ht="15.75" customHeight="1">
      <c r="A36" s="9" t="s">
        <v>47</v>
      </c>
      <c r="B36" s="12"/>
      <c r="C36" s="12"/>
      <c r="D36" s="12"/>
      <c r="E36" s="12"/>
      <c r="F36" s="12"/>
    </row>
    <row r="37" ht="15.75" customHeight="1">
      <c r="A37" s="15"/>
      <c r="B37" s="64" t="s">
        <v>48</v>
      </c>
      <c r="C37" s="42">
        <f>SUMIFS(Raw_Data_Period_old_users!AX:AX, Raw_Data_Period_old_users!$A:$A, "Control", Raw_Data_Period_old_users!$C:$C, TRUE)</f>
        <v>0</v>
      </c>
      <c r="D37" s="42">
        <f>SUMIFS(Raw_Data_Period_old_users!AX:AX, Raw_Data_Period_old_users!$A:$A, "Variant", Raw_Data_Period_old_users!$C:$C, TRUE)</f>
        <v>0</v>
      </c>
      <c r="E37" s="56">
        <f t="shared" ref="E37:E41" si="11">IFERROR(D37-C37,"")</f>
        <v>0</v>
      </c>
      <c r="F37" s="34" t="str">
        <f t="shared" ref="F37:F41" si="12">IFERROR((D37-C37)/ABS(C37),"")</f>
        <v/>
      </c>
    </row>
    <row r="38" ht="15.75" customHeight="1">
      <c r="A38" s="15"/>
      <c r="B38" s="64" t="s">
        <v>49</v>
      </c>
      <c r="C38" s="42">
        <f>SUMIFS(Raw_Data_Period_old_users!AY:AY, Raw_Data_Period_old_users!$A:$A, "Control", Raw_Data_Period_old_users!$C:$C, TRUE)</f>
        <v>0</v>
      </c>
      <c r="D38" s="42">
        <f>SUMIFS(Raw_Data_Period_old_users!AY:AY, Raw_Data_Period_old_users!$A:$A, "Variant", Raw_Data_Period_old_users!$C:$C, TRUE)</f>
        <v>0</v>
      </c>
      <c r="E38" s="56">
        <f t="shared" si="11"/>
        <v>0</v>
      </c>
      <c r="F38" s="34" t="str">
        <f t="shared" si="12"/>
        <v/>
      </c>
    </row>
    <row r="39" ht="15.75" customHeight="1">
      <c r="A39" s="15"/>
      <c r="B39" s="64" t="s">
        <v>50</v>
      </c>
      <c r="C39" s="42">
        <f>SUMIFS(Raw_Data_Period_old_users!AZ:AZ, Raw_Data_Period_old_users!$A:$A, "Control", Raw_Data_Period_old_users!$C:$C, TRUE)</f>
        <v>0</v>
      </c>
      <c r="D39" s="42">
        <f>SUMIFS(Raw_Data_Period_old_users!AZ:AZ, Raw_Data_Period_old_users!$A:$A, "Variant", Raw_Data_Period_old_users!$C:$C, TRUE)</f>
        <v>0</v>
      </c>
      <c r="E39" s="63">
        <f t="shared" si="11"/>
        <v>0</v>
      </c>
      <c r="F39" s="45" t="str">
        <f t="shared" si="12"/>
        <v/>
      </c>
    </row>
    <row r="40" ht="15.75" customHeight="1">
      <c r="A40" s="15"/>
      <c r="B40" s="64" t="s">
        <v>51</v>
      </c>
      <c r="C40" s="42">
        <f>SUMIFS(Raw_Data_Period_old_users!BA:BA, Raw_Data_Period_old_users!$A:$A, "Control", Raw_Data_Period_old_users!$C:$C, TRUE)</f>
        <v>0</v>
      </c>
      <c r="D40" s="42">
        <f>SUMIFS(Raw_Data_Period_old_users!BA:BA, Raw_Data_Period_old_users!$A:$A, "Variant", Raw_Data_Period_old_users!$C:$C, TRUE)</f>
        <v>0</v>
      </c>
      <c r="E40" s="63">
        <f t="shared" si="11"/>
        <v>0</v>
      </c>
      <c r="F40" s="45" t="str">
        <f t="shared" si="12"/>
        <v/>
      </c>
    </row>
    <row r="41" ht="15.75" customHeight="1">
      <c r="A41" s="15"/>
      <c r="B41" s="64" t="s">
        <v>52</v>
      </c>
      <c r="C41" s="42">
        <f>SUMIFS(Raw_Data_Period_old_users!BB:BB, Raw_Data_Period_old_users!$A:$A, "Control", Raw_Data_Period_old_users!$C:$C, TRUE)</f>
        <v>0</v>
      </c>
      <c r="D41" s="42">
        <f>SUMIFS(Raw_Data_Period_old_users!BB:BB, Raw_Data_Period_old_users!$A:$A, "Variant", Raw_Data_Period_old_users!$C:$C, TRUE)</f>
        <v>0</v>
      </c>
      <c r="E41" s="56">
        <f t="shared" si="11"/>
        <v>0</v>
      </c>
      <c r="F41" s="34" t="str">
        <f t="shared" si="12"/>
        <v/>
      </c>
    </row>
    <row r="42" ht="15.75" customHeight="1">
      <c r="A42" s="9" t="s">
        <v>53</v>
      </c>
      <c r="B42" s="12"/>
      <c r="C42" s="12"/>
      <c r="D42" s="12"/>
      <c r="E42" s="12"/>
      <c r="F42" s="12"/>
    </row>
    <row r="43" ht="15.75" customHeight="1">
      <c r="A43" s="15"/>
      <c r="B43" s="16" t="s">
        <v>54</v>
      </c>
      <c r="C43" s="26">
        <f>SUMIFS(Raw_Data_Period_old_users!Y:Y, Raw_Data_Period_old_users!$A:$A, "Control", Raw_Data_Period_old_users!$C:$C, TRUE)</f>
        <v>0</v>
      </c>
      <c r="D43" s="26">
        <f>SUMIFS(Raw_Data_Period_old_users!Y:Y, Raw_Data_Period_old_users!$A:$A, "Variant", Raw_Data_Period_old_users!$C:$C, TRUE)</f>
        <v>0</v>
      </c>
      <c r="E43" s="32">
        <f t="shared" ref="E43:E46" si="13">IFERROR(D43-C43,"")</f>
        <v>0</v>
      </c>
      <c r="F43" s="34" t="str">
        <f t="shared" ref="F43:F46" si="14">IFERROR((D43-C43)/ABS(C43),"")</f>
        <v/>
      </c>
    </row>
    <row r="44" ht="15.75" customHeight="1">
      <c r="A44" s="15"/>
      <c r="B44" s="16" t="s">
        <v>55</v>
      </c>
      <c r="C44" s="26">
        <f>SUMIFS(Raw_Data_Period_old_users!Z:Z, Raw_Data_Period_old_users!$A:$A, "Control", Raw_Data_Period_old_users!$C:$C, TRUE)</f>
        <v>0</v>
      </c>
      <c r="D44" s="26">
        <f>SUMIFS(Raw_Data_Period_old_users!Z:Z, Raw_Data_Period_old_users!$A:$A, "Variant", Raw_Data_Period_old_users!$C:$C, TRUE)</f>
        <v>0</v>
      </c>
      <c r="E44" s="32">
        <f t="shared" si="13"/>
        <v>0</v>
      </c>
      <c r="F44" s="34" t="str">
        <f t="shared" si="14"/>
        <v/>
      </c>
    </row>
    <row r="45" ht="15.75" customHeight="1">
      <c r="A45" s="15"/>
      <c r="B45" s="16" t="s">
        <v>56</v>
      </c>
      <c r="C45" s="26">
        <f>SUMIFS(Raw_Data_Period_old_users!AA:AA, Raw_Data_Period_old_users!$A:$A, "Control", Raw_Data_Period_old_users!$C:$C, TRUE)</f>
        <v>0</v>
      </c>
      <c r="D45" s="26">
        <f>SUMIFS(Raw_Data_Period_old_users!AA:AA, Raw_Data_Period_old_users!$A:$A, "Variant", Raw_Data_Period_old_users!$C:$C, TRUE)</f>
        <v>0</v>
      </c>
      <c r="E45" s="32">
        <f t="shared" si="13"/>
        <v>0</v>
      </c>
      <c r="F45" s="34" t="str">
        <f t="shared" si="14"/>
        <v/>
      </c>
    </row>
    <row r="46" ht="15.75" customHeight="1">
      <c r="A46" s="15"/>
      <c r="B46" s="54" t="s">
        <v>57</v>
      </c>
      <c r="C46" s="26">
        <f>SUMIFS(Raw_Data_Period_old_users!BD:BD, Raw_Data_Period_old_users!$A:$A, "Control", Raw_Data_Period_old_users!$C:$C, TRUE)</f>
        <v>0</v>
      </c>
      <c r="D46" s="26">
        <f>SUMIFS(Raw_Data_Period_old_users!BD:BD, Raw_Data_Period_old_users!$A:$A, "Variant", Raw_Data_Period_old_users!$C:$C, TRUE)</f>
        <v>0</v>
      </c>
      <c r="E46" s="32">
        <f t="shared" si="13"/>
        <v>0</v>
      </c>
      <c r="F46" s="34" t="str">
        <f t="shared" si="14"/>
        <v/>
      </c>
    </row>
    <row r="47" ht="15.75" customHeight="1">
      <c r="A47" s="9" t="s">
        <v>58</v>
      </c>
      <c r="B47" s="12"/>
      <c r="C47" s="12"/>
      <c r="D47" s="12"/>
      <c r="E47" s="12"/>
      <c r="F47" s="12"/>
    </row>
    <row r="48" ht="15.75" customHeight="1">
      <c r="A48" s="15"/>
      <c r="B48" s="16" t="s">
        <v>59</v>
      </c>
      <c r="C48" s="42">
        <f>SUMIFS(Raw_Data_Period_old_users!AB:AB, Raw_Data_Period_old_users!$A:$A, "Control", Raw_Data_Period_old_users!$C:$C, TRUE)</f>
        <v>0</v>
      </c>
      <c r="D48" s="42">
        <f>SUMIFS(Raw_Data_Period_old_users!AB:AB, Raw_Data_Period_old_users!$A:$A, "Variant", Raw_Data_Period_old_users!$C:$C, TRUE)</f>
        <v>0</v>
      </c>
      <c r="E48" s="43">
        <f t="shared" ref="E48:E49" si="15">IFERROR(D48-C48,"")</f>
        <v>0</v>
      </c>
      <c r="F48" s="45" t="str">
        <f t="shared" ref="F48:F49" si="16">IFERROR((D48-C48)/ABS(C48),"")</f>
        <v/>
      </c>
    </row>
    <row r="49" ht="15.75" customHeight="1">
      <c r="A49" s="15"/>
      <c r="B49" s="16" t="s">
        <v>60</v>
      </c>
      <c r="C49" s="42">
        <f>SUMIFS(Raw_Data_Period_old_users!AC:AC, Raw_Data_Period_old_users!$A:$A, "Control", Raw_Data_Period_old_users!$C:$C, TRUE)</f>
        <v>0</v>
      </c>
      <c r="D49" s="42">
        <f>SUMIFS(Raw_Data_Period_old_users!AC:AC, Raw_Data_Period_old_users!$A:$A, "Variant", Raw_Data_Period_old_users!$C:$C, TRUE)</f>
        <v>0</v>
      </c>
      <c r="E49" s="43">
        <f t="shared" si="15"/>
        <v>0</v>
      </c>
      <c r="F49" s="40" t="str">
        <f t="shared" si="16"/>
        <v/>
      </c>
    </row>
    <row r="50" ht="15.75" customHeight="1">
      <c r="A50" s="9" t="s">
        <v>61</v>
      </c>
      <c r="B50" s="12"/>
      <c r="C50" s="12"/>
      <c r="D50" s="12"/>
      <c r="E50" s="12"/>
      <c r="F50" s="12"/>
    </row>
    <row r="51" ht="15.75" customHeight="1">
      <c r="A51" s="15"/>
      <c r="B51" s="16" t="s">
        <v>62</v>
      </c>
      <c r="C51" s="61">
        <f>SUMIFS(Raw_Data_Period_old_users!AI:AI, Raw_Data_Period_old_users!$A:$A, "Control", Raw_Data_Period_old_users!$C:$C, TRUE)</f>
        <v>0</v>
      </c>
      <c r="D51" s="61">
        <f>SUMIFS(Raw_Data_Period_old_users!AI:AI, Raw_Data_Period_old_users!$A:$A, "Variant", Raw_Data_Period_old_users!$C:$C, TRUE)</f>
        <v>0</v>
      </c>
      <c r="E51" s="66">
        <f t="shared" ref="E51:E53" si="17">IFERROR(D51-C51,"")</f>
        <v>0</v>
      </c>
      <c r="F51" s="40" t="str">
        <f t="shared" ref="F51:F53" si="18">IFERROR((D51-C51)/ABS(C51),"")</f>
        <v/>
      </c>
    </row>
    <row r="52" ht="15.75" customHeight="1">
      <c r="A52" s="15"/>
      <c r="B52" s="16" t="s">
        <v>63</v>
      </c>
      <c r="C52" s="61">
        <f>SUMIFS(Raw_Data_Period_old_users!AJ:AJ, Raw_Data_Period_old_users!$A:$A, "Control", Raw_Data_Period_old_users!$C:$C, TRUE)</f>
        <v>0</v>
      </c>
      <c r="D52" s="61">
        <f>SUMIFS(Raw_Data_Period_old_users!AJ:AJ, Raw_Data_Period_old_users!$A:$A, "Variant", Raw_Data_Period_old_users!$C:$C, TRUE)</f>
        <v>0</v>
      </c>
      <c r="E52" s="68">
        <f t="shared" si="17"/>
        <v>0</v>
      </c>
      <c r="F52" s="45" t="str">
        <f t="shared" si="18"/>
        <v/>
      </c>
    </row>
    <row r="53" ht="15.75" customHeight="1">
      <c r="A53" s="15"/>
      <c r="B53" s="16" t="s">
        <v>64</v>
      </c>
      <c r="C53" s="61">
        <f>SUMIFS(Raw_Data_Period_old_users!AK:AK, Raw_Data_Period_old_users!$A:$A, "Control", Raw_Data_Period_old_users!$C:$C, TRUE)</f>
        <v>0</v>
      </c>
      <c r="D53" s="61">
        <f>SUMIFS(Raw_Data_Period_old_users!AK:AK, Raw_Data_Period_old_users!$A:$A, "Variant", Raw_Data_Period_old_users!$C:$C, TRUE)</f>
        <v>0</v>
      </c>
      <c r="E53" s="68">
        <f t="shared" si="17"/>
        <v>0</v>
      </c>
      <c r="F53" s="45" t="str">
        <f t="shared" si="18"/>
        <v/>
      </c>
    </row>
    <row r="54" ht="15.75" customHeight="1">
      <c r="A54" s="9" t="s">
        <v>65</v>
      </c>
      <c r="B54" s="12"/>
      <c r="C54" s="12"/>
      <c r="D54" s="12"/>
      <c r="E54" s="12"/>
      <c r="F54" s="12"/>
    </row>
    <row r="55" ht="15.75" customHeight="1">
      <c r="A55" s="15"/>
      <c r="B55" s="16" t="s">
        <v>66</v>
      </c>
      <c r="C55" s="55">
        <f>SUMIFS(Raw_Data_Period_old_users!AL:AL, Raw_Data_Period_old_users!$A:$A, "Control", Raw_Data_Period_old_users!$C:$C, TRUE)</f>
        <v>0</v>
      </c>
      <c r="D55" s="55">
        <f>SUMIFS(Raw_Data_Period_old_users!AL:AL, Raw_Data_Period_old_users!$A:$A, "Variant", Raw_Data_Period_old_users!$C:$C, TRUE)</f>
        <v>0</v>
      </c>
      <c r="E55" s="69">
        <f>IFERROR(D55-C55,"")</f>
        <v>0</v>
      </c>
      <c r="F55" s="45" t="str">
        <f>IFERROR((D55-C55)/ABS(C55),"")</f>
        <v/>
      </c>
    </row>
    <row r="56" ht="15.75" customHeight="1">
      <c r="A56" s="9" t="s">
        <v>67</v>
      </c>
      <c r="B56" s="12"/>
      <c r="C56" s="12"/>
      <c r="D56" s="12"/>
      <c r="E56" s="12"/>
      <c r="F56" s="12"/>
    </row>
    <row r="57" ht="15.75" customHeight="1">
      <c r="A57" s="15"/>
      <c r="B57" s="16" t="s">
        <v>68</v>
      </c>
      <c r="C57" s="61"/>
      <c r="D57" s="61">
        <f>SUMIFS(Raw_Data_Period_old_users!AI:AI, Raw_Data_Period_old_users!$A:$A, "Variant", Raw_Data_Period_old_users!$C:$C, TRUE)</f>
        <v>0</v>
      </c>
      <c r="E57" s="66"/>
      <c r="F57" s="40"/>
    </row>
    <row r="58" ht="15.75" customHeight="1">
      <c r="A58" s="15"/>
      <c r="B58" s="70" t="s">
        <v>69</v>
      </c>
      <c r="C58" s="61"/>
      <c r="D58" s="61">
        <f>SUMIFS(Raw_Data_Period_old_users!AI:AI, Raw_Data_Period_old_users!$A:$A, "Variant", Raw_Data_Period_old_users!$C:$C, TRUE)</f>
        <v>0</v>
      </c>
      <c r="E58" s="66"/>
      <c r="F58" s="40"/>
    </row>
    <row r="59" ht="15.75" customHeight="1">
      <c r="A59" s="15"/>
      <c r="B59" s="70" t="s">
        <v>70</v>
      </c>
      <c r="C59" s="61"/>
      <c r="D59" s="61">
        <f>SUMIFS(Raw_Data_Period_old_users!AJ:AJ, Raw_Data_Period_old_users!$A:$A, "Variant", Raw_Data_Period_old_users!$C:$C, TRUE)</f>
        <v>0</v>
      </c>
      <c r="E59" s="66"/>
      <c r="F59" s="40"/>
    </row>
    <row r="60" ht="15.75" customHeight="1">
      <c r="A60" s="15"/>
      <c r="B60" s="70" t="s">
        <v>71</v>
      </c>
      <c r="C60" s="61"/>
      <c r="D60" s="61">
        <f>SUMIFS(Raw_Data_Period_old_users!AK:AK, Raw_Data_Period_old_users!$A:$A, "Variant", Raw_Data_Period_old_users!$C:$C, TRUE)</f>
        <v>0</v>
      </c>
      <c r="E60" s="66"/>
      <c r="F60" s="40"/>
    </row>
    <row r="61" ht="15.75" customHeight="1">
      <c r="A61" s="9" t="s">
        <v>72</v>
      </c>
      <c r="B61" s="12"/>
      <c r="C61" s="12"/>
      <c r="D61" s="12"/>
      <c r="E61" s="12"/>
      <c r="F61" s="12"/>
    </row>
    <row r="62" ht="15.75" customHeight="1">
      <c r="A62" s="15"/>
      <c r="B62" s="58" t="s">
        <v>73</v>
      </c>
      <c r="C62" s="55">
        <f>SUMIFS(Raw_Data_Period_old_users!AQ:AQ, Raw_Data_Period_old_users!$A:$A, "Control", Raw_Data_Period_old_users!$C:$C, TRUE)</f>
        <v>0</v>
      </c>
      <c r="D62" s="55">
        <f>SUMIFS(Raw_Data_Period_old_users!AQ:AQ, Raw_Data_Period_old_users!$A:$A, "Variant", Raw_Data_Period_old_users!$C:$C, TRUE)</f>
        <v>0</v>
      </c>
      <c r="E62" s="63">
        <f t="shared" ref="E62:E67" si="19">IFERROR(D62-C62,"")</f>
        <v>0</v>
      </c>
      <c r="F62" s="40" t="str">
        <f t="shared" ref="F62:F67" si="20">IFERROR((D62-C62)/ABS(C62),"")</f>
        <v/>
      </c>
    </row>
    <row r="63" ht="15.75" customHeight="1">
      <c r="A63" s="15"/>
      <c r="B63" s="58" t="s">
        <v>74</v>
      </c>
      <c r="C63" s="55">
        <f>SUMIFS(Raw_Data_Period_old_users!AR:AR, Raw_Data_Period_old_users!$A:$A, "Control", Raw_Data_Period_old_users!$C:$C, TRUE)</f>
        <v>0</v>
      </c>
      <c r="D63" s="55">
        <f>SUMIFS(Raw_Data_Period_old_users!AR:AR, Raw_Data_Period_old_users!$A:$A, "Variant", Raw_Data_Period_old_users!$C:$C, TRUE)</f>
        <v>0</v>
      </c>
      <c r="E63" s="43">
        <f t="shared" si="19"/>
        <v>0</v>
      </c>
      <c r="F63" s="40" t="str">
        <f t="shared" si="20"/>
        <v/>
      </c>
    </row>
    <row r="64" ht="15.75" customHeight="1">
      <c r="A64" s="15"/>
      <c r="B64" s="58" t="s">
        <v>75</v>
      </c>
      <c r="C64" s="55">
        <f>SUMIFS(Raw_Data_Period_old_users!AS:AS, Raw_Data_Period_old_users!$A:$A, "Control", Raw_Data_Period_old_users!$C:$C, TRUE)</f>
        <v>0</v>
      </c>
      <c r="D64" s="55">
        <f>SUMIFS(Raw_Data_Period_old_users!AS:AS, Raw_Data_Period_old_users!$A:$A, "Variant", Raw_Data_Period_old_users!$C:$C, TRUE)</f>
        <v>0</v>
      </c>
      <c r="E64" s="63">
        <f t="shared" si="19"/>
        <v>0</v>
      </c>
      <c r="F64" s="40" t="str">
        <f t="shared" si="20"/>
        <v/>
      </c>
    </row>
    <row r="65" ht="15.75" customHeight="1">
      <c r="A65" s="15"/>
      <c r="B65" s="58" t="s">
        <v>76</v>
      </c>
      <c r="C65" s="55">
        <f>SUMIFS(Raw_Data_Period_old_users!AT:AT, Raw_Data_Period_old_users!$A:$A, "Control", Raw_Data_Period_old_users!$C:$C, TRUE)</f>
        <v>0</v>
      </c>
      <c r="D65" s="55">
        <f>SUMIFS(Raw_Data_Period_old_users!AT:AT, Raw_Data_Period_old_users!$A:$A, "Variant", Raw_Data_Period_old_users!$C:$C, TRUE)</f>
        <v>0</v>
      </c>
      <c r="E65" s="43">
        <f t="shared" si="19"/>
        <v>0</v>
      </c>
      <c r="F65" s="40" t="str">
        <f t="shared" si="20"/>
        <v/>
      </c>
    </row>
    <row r="66" ht="15.75" customHeight="1">
      <c r="A66" s="15"/>
      <c r="B66" s="58" t="s">
        <v>77</v>
      </c>
      <c r="C66" s="55">
        <f>SUMIFS(Raw_Data_Period_old_users!AQ:AQ, Raw_Data_Period_old_users!$A:$A, "Control", Raw_Data_Period_old_users!$C:$C, TRUE) - SUMIFS(Raw_Data_Period_old_users!AT:AT, Raw_Data_Period_old_users!$A:$A, "Control", Raw_Data_Period_old_users!$C:$C, TRUE)</f>
        <v>0</v>
      </c>
      <c r="D66" s="55">
        <f>SUMIFS(Raw_Data_Period_old_users!AQ:AQ, Raw_Data_Period_old_users!$A:$A, "Variant", Raw_Data_Period_old_users!$C:$C, TRUE) - SUMIFS(Raw_Data_Period_old_users!AT:AT, Raw_Data_Period_old_users!$A:$A, "Variant", Raw_Data_Period_old_users!$C:$C, TRUE)</f>
        <v>0</v>
      </c>
      <c r="E66" s="63">
        <f t="shared" si="19"/>
        <v>0</v>
      </c>
      <c r="F66" s="40" t="str">
        <f t="shared" si="20"/>
        <v/>
      </c>
    </row>
    <row r="67" ht="15.75" customHeight="1">
      <c r="A67" s="15"/>
      <c r="B67" s="16" t="s">
        <v>78</v>
      </c>
      <c r="C67" s="55">
        <f>SUMIFS(Raw_Data_Period_old_users!AU:AU, Raw_Data_Period_old_users!$A:$A, "Control", Raw_Data_Period_old_users!$C:$C, TRUE)</f>
        <v>0</v>
      </c>
      <c r="D67" s="55">
        <f>SUMIFS(Raw_Data_Period_old_users!AU:AU, Raw_Data_Period_old_users!$A:$A, "Variant", Raw_Data_Period_old_users!$C:$C, TRUE)</f>
        <v>0</v>
      </c>
      <c r="E67" s="71">
        <f t="shared" si="19"/>
        <v>0</v>
      </c>
      <c r="F67" s="45" t="str">
        <f t="shared" si="20"/>
        <v/>
      </c>
    </row>
    <row r="68" ht="15.75" customHeight="1"/>
    <row r="69" ht="15.75" customHeight="1">
      <c r="A69" s="73" t="s">
        <v>79</v>
      </c>
      <c r="B69" s="12"/>
      <c r="C69" s="12"/>
      <c r="D69" s="12"/>
      <c r="E69" s="12"/>
      <c r="F69" s="12"/>
    </row>
    <row r="70" ht="15.75" customHeight="1">
      <c r="A70" s="15"/>
      <c r="B70" s="74" t="s">
        <v>80</v>
      </c>
      <c r="C70" s="55">
        <f>SUMIFS(Raw_Data_Period_old_users!BO:BO, Raw_Data_Period_old_users!$A:$A, "Control", Raw_Data_Period_old_users!$C:$C, TRUE)</f>
        <v>0</v>
      </c>
      <c r="D70" s="55">
        <f>SUMIFS(Raw_Data_Period_old_users!BO:BO, Raw_Data_Period_old_users!$A:$A, "Variant", Raw_Data_Period_old_users!$C:$C, TRUE)</f>
        <v>0</v>
      </c>
      <c r="E70" s="63">
        <f t="shared" ref="E70:E74" si="21">IFERROR(D70-C70,"")</f>
        <v>0</v>
      </c>
      <c r="F70" s="40" t="str">
        <f t="shared" ref="F70:F74" si="22">IFERROR((D70-C70)/ABS(C70),"")</f>
        <v/>
      </c>
    </row>
    <row r="71" ht="15.75" customHeight="1">
      <c r="A71" s="15"/>
      <c r="B71" s="74" t="s">
        <v>81</v>
      </c>
      <c r="C71" s="55">
        <f>SUMIFS(Raw_Data_Period_old_users!BP:BP, Raw_Data_Period_old_users!$A:$A, "Control", Raw_Data_Period_old_users!$C:$C, TRUE)</f>
        <v>0</v>
      </c>
      <c r="D71" s="55">
        <f>SUMIFS(Raw_Data_Period_old_users!BP:BP, Raw_Data_Period_old_users!$A:$A, "Variant", Raw_Data_Period_old_users!$C:$C, TRUE)</f>
        <v>0</v>
      </c>
      <c r="E71" s="43">
        <f t="shared" si="21"/>
        <v>0</v>
      </c>
      <c r="F71" s="40" t="str">
        <f t="shared" si="22"/>
        <v/>
      </c>
    </row>
    <row r="72" ht="15.75" customHeight="1">
      <c r="A72" s="15"/>
      <c r="B72" s="74" t="s">
        <v>82</v>
      </c>
      <c r="C72" s="55">
        <f>SUMIFS(Raw_Data_Period_old_users!BQ:BQ, Raw_Data_Period_old_users!$A:$A, "Control", Raw_Data_Period_old_users!$C:$C, TRUE)</f>
        <v>0</v>
      </c>
      <c r="D72" s="55">
        <f>SUMIFS(Raw_Data_Period_old_users!BQ:BQ, Raw_Data_Period_old_users!$A:$A, "Variant", Raw_Data_Period_old_users!$C:$C, TRUE)</f>
        <v>0</v>
      </c>
      <c r="E72" s="63">
        <f t="shared" si="21"/>
        <v>0</v>
      </c>
      <c r="F72" s="40" t="str">
        <f t="shared" si="22"/>
        <v/>
      </c>
    </row>
    <row r="73" ht="15.75" customHeight="1">
      <c r="A73" s="15"/>
      <c r="B73" s="74" t="s">
        <v>83</v>
      </c>
      <c r="C73" s="55">
        <f>SUMIFS(Raw_Data_Period_old_users!BR:BR, Raw_Data_Period_old_users!$A:$A, "Control", Raw_Data_Period_old_users!$C:$C, TRUE)</f>
        <v>0</v>
      </c>
      <c r="D73" s="55">
        <f>SUMIFS(Raw_Data_Period_old_users!BR:BR, Raw_Data_Period_old_users!$A:$A, "Variant", Raw_Data_Period_old_users!$C:$C, TRUE)</f>
        <v>0</v>
      </c>
      <c r="E73" s="43">
        <f t="shared" si="21"/>
        <v>0</v>
      </c>
      <c r="F73" s="40" t="str">
        <f t="shared" si="22"/>
        <v/>
      </c>
    </row>
    <row r="74" ht="15.75" customHeight="1">
      <c r="A74" s="15"/>
      <c r="B74" s="74" t="s">
        <v>84</v>
      </c>
      <c r="C74" s="55">
        <f>SUMIFS(Raw_Data_Period_old_users!BO:BO, Raw_Data_Period_old_users!$A:$A, "Control", Raw_Data_Period_old_users!$C:$C, TRUE) - SUMIFS(Raw_Data_Period_old_users!BR:BR, Raw_Data_Period_old_users!$A:$A, "Control", Raw_Data_Period_old_users!$C:$C, TRUE)</f>
        <v>0</v>
      </c>
      <c r="D74" s="55">
        <f>SUMIFS(Raw_Data_Period_old_users!BO:BO, Raw_Data_Period_old_users!$A:$A, "Variant", Raw_Data_Period_old_users!$C:$C, TRUE) - SUMIFS(Raw_Data_Period_old_users!BR:BR, Raw_Data_Period_old_users!$A:$A, "Variant", Raw_Data_Period_old_users!$C:$C, TRUE)</f>
        <v>0</v>
      </c>
      <c r="E74" s="63">
        <f t="shared" si="21"/>
        <v>0</v>
      </c>
      <c r="F74" s="40" t="str">
        <f t="shared" si="22"/>
        <v/>
      </c>
    </row>
    <row r="75" ht="15.75" customHeight="1">
      <c r="A75" s="73" t="s">
        <v>85</v>
      </c>
      <c r="B75" s="12"/>
      <c r="C75" s="12"/>
      <c r="D75" s="12"/>
      <c r="E75" s="12"/>
      <c r="F75" s="12"/>
    </row>
    <row r="76" ht="15.75" customHeight="1">
      <c r="A76" s="15"/>
      <c r="B76" s="74" t="s">
        <v>86</v>
      </c>
      <c r="C76" s="55">
        <f>SUMIFS(Raw_Data_Period_old_users!BS:BS, Raw_Data_Period_old_users!$A:$A, "Control", Raw_Data_Period_old_users!$C:$C, TRUE)</f>
        <v>0</v>
      </c>
      <c r="D76" s="55">
        <f>SUMIFS(Raw_Data_Period_old_users!BS:BS, Raw_Data_Period_old_users!$A:$A, "Variant", Raw_Data_Period_old_users!$C:$C, TRUE)</f>
        <v>0</v>
      </c>
      <c r="E76" s="63">
        <f t="shared" ref="E76:E80" si="23">IFERROR(D76-C76,"")</f>
        <v>0</v>
      </c>
      <c r="F76" s="40" t="str">
        <f t="shared" ref="F76:F80" si="24">IFERROR((D76-C76)/ABS(C76),"")</f>
        <v/>
      </c>
    </row>
    <row r="77" ht="15.75" customHeight="1">
      <c r="A77" s="15"/>
      <c r="B77" s="74" t="s">
        <v>87</v>
      </c>
      <c r="C77" s="55">
        <f>SUMIFS(Raw_Data_Period_old_users!BT:BT, Raw_Data_Period_old_users!$A:$A, "Control", Raw_Data_Period_old_users!$C:$C, TRUE)</f>
        <v>0</v>
      </c>
      <c r="D77" s="55">
        <f>SUMIFS(Raw_Data_Period_old_users!BT:BT, Raw_Data_Period_old_users!$A:$A, "Variant", Raw_Data_Period_old_users!$C:$C, TRUE)</f>
        <v>0</v>
      </c>
      <c r="E77" s="43">
        <f t="shared" si="23"/>
        <v>0</v>
      </c>
      <c r="F77" s="40" t="str">
        <f t="shared" si="24"/>
        <v/>
      </c>
    </row>
    <row r="78" ht="15.75" customHeight="1">
      <c r="A78" s="15"/>
      <c r="B78" s="74" t="s">
        <v>88</v>
      </c>
      <c r="C78" s="55">
        <f>SUMIFS(Raw_Data_Period_old_users!BU:BU, Raw_Data_Period_old_users!$A:$A, "Control", Raw_Data_Period_old_users!$C:$C, TRUE)</f>
        <v>0</v>
      </c>
      <c r="D78" s="55">
        <f>SUMIFS(Raw_Data_Period_old_users!BU:BU, Raw_Data_Period_old_users!$A:$A, "Variant", Raw_Data_Period_old_users!$C:$C, TRUE)</f>
        <v>0</v>
      </c>
      <c r="E78" s="63">
        <f t="shared" si="23"/>
        <v>0</v>
      </c>
      <c r="F78" s="40" t="str">
        <f t="shared" si="24"/>
        <v/>
      </c>
    </row>
    <row r="79" ht="15.75" customHeight="1">
      <c r="A79" s="15"/>
      <c r="B79" s="74" t="s">
        <v>89</v>
      </c>
      <c r="C79" s="55">
        <f>SUMIFS(Raw_Data_Period_old_users!BV:BV, Raw_Data_Period_old_users!$A:$A, "Control", Raw_Data_Period_old_users!$C:$C, TRUE)</f>
        <v>0</v>
      </c>
      <c r="D79" s="55">
        <f>SUMIFS(Raw_Data_Period_old_users!BV:BV, Raw_Data_Period_old_users!$A:$A, "Variant", Raw_Data_Period_old_users!$C:$C, TRUE)</f>
        <v>0</v>
      </c>
      <c r="E79" s="43">
        <f t="shared" si="23"/>
        <v>0</v>
      </c>
      <c r="F79" s="40" t="str">
        <f t="shared" si="24"/>
        <v/>
      </c>
    </row>
    <row r="80" ht="15.75" customHeight="1">
      <c r="A80" s="15"/>
      <c r="B80" s="74" t="s">
        <v>90</v>
      </c>
      <c r="C80" s="55">
        <f>SUMIFS(Raw_Data_Period_old_users!BS:BS, Raw_Data_Period_old_users!$A:$A, "Control", Raw_Data_Period_old_users!$C:$C, TRUE) - SUMIFS(Raw_Data_Period_old_users!BV:BV, Raw_Data_Period_old_users!$A:$A, "Control", Raw_Data_Period_old_users!$C:$C, TRUE)</f>
        <v>0</v>
      </c>
      <c r="D80" s="55">
        <f>SUMIFS(Raw_Data_Period_old_users!BS:BS, Raw_Data_Period_old_users!$A:$A, "Variant", Raw_Data_Period_old_users!$C:$C, TRUE) - SUMIFS(Raw_Data_Period_old_users!BV:BV, Raw_Data_Period_old_users!$A:$A, "Variant", Raw_Data_Period_old_users!$C:$C, TRUE)</f>
        <v>0</v>
      </c>
      <c r="E80" s="63">
        <f t="shared" si="23"/>
        <v>0</v>
      </c>
      <c r="F80" s="40" t="str">
        <f t="shared" si="24"/>
        <v/>
      </c>
    </row>
    <row r="81" ht="15.75" customHeight="1">
      <c r="A81" s="73" t="s">
        <v>91</v>
      </c>
      <c r="B81" s="12"/>
      <c r="C81" s="12"/>
      <c r="D81" s="12"/>
      <c r="E81" s="12"/>
      <c r="F81" s="12"/>
    </row>
    <row r="82" ht="15.75" customHeight="1">
      <c r="A82" s="15"/>
      <c r="B82" s="74" t="s">
        <v>92</v>
      </c>
      <c r="C82" s="55">
        <f>SUMIFS(Raw_Data_Period_old_users!BW:BW, Raw_Data_Period_old_users!$A:$A, "Control", Raw_Data_Period_old_users!$C:$C, TRUE)</f>
        <v>0</v>
      </c>
      <c r="D82" s="55">
        <f>SUMIFS(Raw_Data_Period_old_users!BW:BW, Raw_Data_Period_old_users!$A:$A, "Variant", Raw_Data_Period_old_users!$C:$C, TRUE)</f>
        <v>0</v>
      </c>
      <c r="E82" s="63">
        <f t="shared" ref="E82:E86" si="25">IFERROR(D82-C82,"")</f>
        <v>0</v>
      </c>
      <c r="F82" s="40" t="str">
        <f t="shared" ref="F82:F86" si="26">IFERROR((D82-C82)/ABS(C82),"")</f>
        <v/>
      </c>
    </row>
    <row r="83" ht="15.75" customHeight="1">
      <c r="A83" s="15"/>
      <c r="B83" s="74" t="s">
        <v>93</v>
      </c>
      <c r="C83" s="55">
        <f>SUMIFS(Raw_Data_Period_old_users!BX:BX, Raw_Data_Period_old_users!$A:$A, "Control", Raw_Data_Period_old_users!$C:$C, TRUE)</f>
        <v>0</v>
      </c>
      <c r="D83" s="55">
        <f>SUMIFS(Raw_Data_Period_old_users!BX:BX, Raw_Data_Period_old_users!$A:$A, "Variant", Raw_Data_Period_old_users!$C:$C, TRUE)</f>
        <v>0</v>
      </c>
      <c r="E83" s="43">
        <f t="shared" si="25"/>
        <v>0</v>
      </c>
      <c r="F83" s="40" t="str">
        <f t="shared" si="26"/>
        <v/>
      </c>
    </row>
    <row r="84" ht="15.75" customHeight="1">
      <c r="A84" s="15"/>
      <c r="B84" s="74" t="s">
        <v>94</v>
      </c>
      <c r="C84" s="55">
        <f>SUMIFS(Raw_Data_Period_old_users!BY:BY, Raw_Data_Period_old_users!$A:$A, "Control", Raw_Data_Period_old_users!$C:$C, TRUE)</f>
        <v>0</v>
      </c>
      <c r="D84" s="55">
        <f>SUMIFS(Raw_Data_Period_old_users!BY:BY, Raw_Data_Period_old_users!$A:$A, "Variant", Raw_Data_Period_old_users!$C:$C, TRUE)</f>
        <v>0</v>
      </c>
      <c r="E84" s="63">
        <f t="shared" si="25"/>
        <v>0</v>
      </c>
      <c r="F84" s="40" t="str">
        <f t="shared" si="26"/>
        <v/>
      </c>
    </row>
    <row r="85" ht="15.75" customHeight="1">
      <c r="A85" s="15"/>
      <c r="B85" s="74" t="s">
        <v>95</v>
      </c>
      <c r="C85" s="55">
        <f>SUMIFS(Raw_Data_Period_old_users!BZ:BZ, Raw_Data_Period_old_users!$A:$A, "Control", Raw_Data_Period_old_users!$C:$C, TRUE)</f>
        <v>0</v>
      </c>
      <c r="D85" s="55">
        <f>SUMIFS(Raw_Data_Period_old_users!BZ:BZ, Raw_Data_Period_old_users!$A:$A, "Variant", Raw_Data_Period_old_users!$C:$C, TRUE)</f>
        <v>0</v>
      </c>
      <c r="E85" s="43">
        <f t="shared" si="25"/>
        <v>0</v>
      </c>
      <c r="F85" s="40" t="str">
        <f t="shared" si="26"/>
        <v/>
      </c>
    </row>
    <row r="86" ht="15.75" customHeight="1">
      <c r="A86" s="15"/>
      <c r="B86" s="74" t="s">
        <v>96</v>
      </c>
      <c r="C86" s="55">
        <f>SUMIFS(Raw_Data_Period_old_users!BW:BW, Raw_Data_Period_old_users!$A:$A, "Control", Raw_Data_Period_old_users!$C:$C, TRUE) - SUMIFS(Raw_Data_Period_old_users!BZ:BZ, Raw_Data_Period_old_users!$A:$A, "Control", Raw_Data_Period_old_users!$C:$C, TRUE)</f>
        <v>0</v>
      </c>
      <c r="D86" s="55">
        <f>SUMIFS(Raw_Data_Period_old_users!BW:BW, Raw_Data_Period_old_users!$A:$A, "Variant", Raw_Data_Period_old_users!$C:$C, TRUE) - SUMIFS(Raw_Data_Period_old_users!BZ:BZ, Raw_Data_Period_old_users!$A:$A, "Variant", Raw_Data_Period_old_users!$C:$C, TRUE)</f>
        <v>0</v>
      </c>
      <c r="E86" s="63">
        <f t="shared" si="25"/>
        <v>0</v>
      </c>
      <c r="F86" s="40" t="str">
        <f t="shared" si="26"/>
        <v/>
      </c>
    </row>
    <row r="87" ht="15.75" customHeight="1">
      <c r="A87" s="73" t="s">
        <v>97</v>
      </c>
      <c r="B87" s="12"/>
      <c r="C87" s="12"/>
      <c r="D87" s="12"/>
      <c r="E87" s="12"/>
      <c r="F87" s="12"/>
    </row>
    <row r="88" ht="15.75" customHeight="1">
      <c r="A88" s="15"/>
      <c r="B88" s="74" t="s">
        <v>98</v>
      </c>
      <c r="C88" s="55">
        <f>SUMIFS(Raw_Data_Period_old_users!CE:CE, Raw_Data_Period_old_users!$A:$A, "Control", Raw_Data_Period_old_users!$C:$C, TRUE)</f>
        <v>0</v>
      </c>
      <c r="D88" s="55">
        <f>SUMIFS(Raw_Data_Period_old_users!CE:CE, Raw_Data_Period_old_users!$A:$A, "Variant", Raw_Data_Period_old_users!$C:$C, TRUE)</f>
        <v>0</v>
      </c>
      <c r="E88" s="63">
        <f t="shared" ref="E88:E92" si="27">IFERROR(D88-C88,"")</f>
        <v>0</v>
      </c>
      <c r="F88" s="40" t="str">
        <f t="shared" ref="F88:F92" si="28">IFERROR((D88-C88)/ABS(C88),"")</f>
        <v/>
      </c>
    </row>
    <row r="89" ht="15.75" customHeight="1">
      <c r="A89" s="15"/>
      <c r="B89" s="74" t="s">
        <v>99</v>
      </c>
      <c r="C89" s="55">
        <f>SUMIFS(Raw_Data_Period_old_users!CF:CF, Raw_Data_Period_old_users!$A:$A, "Control", Raw_Data_Period_old_users!$C:$C, TRUE)</f>
        <v>0</v>
      </c>
      <c r="D89" s="55">
        <f>SUMIFS(Raw_Data_Period_old_users!CF:CF, Raw_Data_Period_old_users!$A:$A, "Variant", Raw_Data_Period_old_users!$C:$C, TRUE)</f>
        <v>0</v>
      </c>
      <c r="E89" s="43">
        <f t="shared" si="27"/>
        <v>0</v>
      </c>
      <c r="F89" s="40" t="str">
        <f t="shared" si="28"/>
        <v/>
      </c>
    </row>
    <row r="90" ht="15.75" customHeight="1">
      <c r="A90" s="15"/>
      <c r="B90" s="74" t="s">
        <v>100</v>
      </c>
      <c r="C90" s="55">
        <f>SUMIFS(Raw_Data_Period_old_users!CG:CG, Raw_Data_Period_old_users!$A:$A, "Control", Raw_Data_Period_old_users!$C:$C, TRUE)</f>
        <v>0</v>
      </c>
      <c r="D90" s="55">
        <f>SUMIFS(Raw_Data_Period_old_users!CG:CG, Raw_Data_Period_old_users!$A:$A, "Variant", Raw_Data_Period_old_users!$C:$C, TRUE)</f>
        <v>0</v>
      </c>
      <c r="E90" s="63">
        <f t="shared" si="27"/>
        <v>0</v>
      </c>
      <c r="F90" s="40" t="str">
        <f t="shared" si="28"/>
        <v/>
      </c>
    </row>
    <row r="91" ht="15.75" customHeight="1">
      <c r="A91" s="15"/>
      <c r="B91" s="74" t="s">
        <v>101</v>
      </c>
      <c r="C91" s="55">
        <f>SUMIFS(Raw_Data_Period_old_users!CH:CH, Raw_Data_Period_old_users!$A:$A, "Control", Raw_Data_Period_old_users!$C:$C, TRUE)</f>
        <v>0</v>
      </c>
      <c r="D91" s="55">
        <f>SUMIFS(Raw_Data_Period_old_users!CH:CH, Raw_Data_Period_old_users!$A:$A, "Variant", Raw_Data_Period_old_users!$C:$C, TRUE)</f>
        <v>0</v>
      </c>
      <c r="E91" s="43">
        <f t="shared" si="27"/>
        <v>0</v>
      </c>
      <c r="F91" s="40" t="str">
        <f t="shared" si="28"/>
        <v/>
      </c>
    </row>
    <row r="92" ht="15.75" customHeight="1">
      <c r="A92" s="15"/>
      <c r="B92" s="74" t="s">
        <v>102</v>
      </c>
      <c r="C92" s="55">
        <f>SUMIFS(Raw_Data_Period_old_users!CE:CE, Raw_Data_Period_old_users!$A:$A, "Control", Raw_Data_Period_old_users!$C:$C, TRUE) - SUMIFS(Raw_Data_Period_old_users!CH:CH, Raw_Data_Period_old_users!$A:$A, "Control", Raw_Data_Period_old_users!$C:$C, TRUE)</f>
        <v>0</v>
      </c>
      <c r="D92" s="55">
        <f>SUMIFS(Raw_Data_Period_old_users!CE:CE, Raw_Data_Period_old_users!$A:$A, "Variant", Raw_Data_Period_old_users!$C:$C, TRUE) - SUMIFS(Raw_Data_Period_old_users!CH:CH, Raw_Data_Period_old_users!$A:$A, "Variant", Raw_Data_Period_old_users!$C:$C, TRUE)</f>
        <v>0</v>
      </c>
      <c r="E92" s="63">
        <f t="shared" si="27"/>
        <v>0</v>
      </c>
      <c r="F92" s="40" t="str">
        <f t="shared" si="28"/>
        <v/>
      </c>
    </row>
    <row r="93" ht="15.75" customHeight="1">
      <c r="A93" s="73" t="s">
        <v>103</v>
      </c>
      <c r="B93" s="12"/>
      <c r="C93" s="12"/>
      <c r="D93" s="12"/>
      <c r="E93" s="12"/>
      <c r="F93" s="12"/>
    </row>
    <row r="94" ht="15.75" customHeight="1">
      <c r="A94" s="15"/>
      <c r="B94" s="74" t="s">
        <v>104</v>
      </c>
      <c r="C94" s="55">
        <f>SUMIFS(Raw_Data_Period_old_users!CI:CI, Raw_Data_Period_old_users!$A:$A, "Control", Raw_Data_Period_old_users!$C:$C, TRUE)</f>
        <v>0</v>
      </c>
      <c r="D94" s="55">
        <f>SUMIFS(Raw_Data_Period_old_users!CI:CI, Raw_Data_Period_old_users!$A:$A, "Variant", Raw_Data_Period_old_users!$C:$C, TRUE)</f>
        <v>0</v>
      </c>
      <c r="E94" s="63">
        <f t="shared" ref="E94:E98" si="29">IFERROR(D94-C94,"")</f>
        <v>0</v>
      </c>
      <c r="F94" s="40" t="str">
        <f t="shared" ref="F94:F98" si="30">IFERROR((D94-C94)/ABS(C94),"")</f>
        <v/>
      </c>
    </row>
    <row r="95" ht="15.75" customHeight="1">
      <c r="A95" s="15"/>
      <c r="B95" s="74" t="s">
        <v>105</v>
      </c>
      <c r="C95" s="55">
        <f>SUMIFS(Raw_Data_Period_old_users!CJ:CJ, Raw_Data_Period_old_users!$A:$A, "Control", Raw_Data_Period_old_users!$C:$C, TRUE)</f>
        <v>0</v>
      </c>
      <c r="D95" s="55">
        <f>SUMIFS(Raw_Data_Period_old_users!CJ:CJ, Raw_Data_Period_old_users!$A:$A, "Variant", Raw_Data_Period_old_users!$C:$C, TRUE)</f>
        <v>0</v>
      </c>
      <c r="E95" s="43">
        <f t="shared" si="29"/>
        <v>0</v>
      </c>
      <c r="F95" s="40" t="str">
        <f t="shared" si="30"/>
        <v/>
      </c>
    </row>
    <row r="96" ht="15.75" customHeight="1">
      <c r="A96" s="15"/>
      <c r="B96" s="74" t="s">
        <v>106</v>
      </c>
      <c r="C96" s="55">
        <f>SUMIFS(Raw_Data_Period_old_users!CK:CK, Raw_Data_Period_old_users!$A:$A, "Control", Raw_Data_Period_old_users!$C:$C, TRUE)</f>
        <v>0</v>
      </c>
      <c r="D96" s="55">
        <f>SUMIFS(Raw_Data_Period_old_users!CK:CK, Raw_Data_Period_old_users!$A:$A, "Variant", Raw_Data_Period_old_users!$C:$C, TRUE)</f>
        <v>0</v>
      </c>
      <c r="E96" s="63">
        <f t="shared" si="29"/>
        <v>0</v>
      </c>
      <c r="F96" s="40" t="str">
        <f t="shared" si="30"/>
        <v/>
      </c>
    </row>
    <row r="97" ht="15.75" customHeight="1">
      <c r="A97" s="15"/>
      <c r="B97" s="74" t="s">
        <v>107</v>
      </c>
      <c r="C97" s="55">
        <f>SUMIFS(Raw_Data_Period_old_users!CL:CL, Raw_Data_Period_old_users!$A:$A, "Control", Raw_Data_Period_old_users!$C:$C, TRUE)</f>
        <v>0</v>
      </c>
      <c r="D97" s="55">
        <f>SUMIFS(Raw_Data_Period_old_users!CL:CL, Raw_Data_Period_old_users!$A:$A, "Variant", Raw_Data_Period_old_users!$C:$C, TRUE)</f>
        <v>0</v>
      </c>
      <c r="E97" s="43">
        <f t="shared" si="29"/>
        <v>0</v>
      </c>
      <c r="F97" s="40" t="str">
        <f t="shared" si="30"/>
        <v/>
      </c>
    </row>
    <row r="98" ht="15.75" customHeight="1">
      <c r="A98" s="15"/>
      <c r="B98" s="74" t="s">
        <v>108</v>
      </c>
      <c r="C98" s="55">
        <f>SUMIFS(Raw_Data_Period_old_users!CI:CI, Raw_Data_Period_old_users!$A:$A, "Control", Raw_Data_Period_old_users!$C:$C, TRUE) - SUMIFS(Raw_Data_Period_old_users!CL:CL, Raw_Data_Period_old_users!$A:$A, "Control", Raw_Data_Period_old_users!$C:$C, TRUE)</f>
        <v>0</v>
      </c>
      <c r="D98" s="55">
        <f>SUMIFS(Raw_Data_Period_old_users!CI:CI, Raw_Data_Period_old_users!$A:$A, "Variant", Raw_Data_Period_old_users!$C:$C, TRUE) - SUMIFS(Raw_Data_Period_old_users!CL:CL, Raw_Data_Period_old_users!$A:$A, "Variant", Raw_Data_Period_old_users!$C:$C, TRUE)</f>
        <v>0</v>
      </c>
      <c r="E98" s="63">
        <f t="shared" si="29"/>
        <v>0</v>
      </c>
      <c r="F98" s="40" t="str">
        <f t="shared" si="30"/>
        <v/>
      </c>
    </row>
    <row r="99" ht="15.75" customHeight="1">
      <c r="A99" s="73" t="s">
        <v>109</v>
      </c>
      <c r="B99" s="12"/>
      <c r="C99" s="12"/>
      <c r="D99" s="12"/>
      <c r="E99" s="12"/>
      <c r="F99" s="12"/>
    </row>
    <row r="100" ht="15.75" customHeight="1">
      <c r="A100" s="15"/>
      <c r="B100" s="74" t="s">
        <v>110</v>
      </c>
      <c r="C100" s="55">
        <f>SUMIFS(Raw_Data_Period_old_users!CA:CA, Raw_Data_Period_old_users!$A:$A, "Control", Raw_Data_Period_old_users!$C:$C, TRUE)</f>
        <v>0</v>
      </c>
      <c r="D100" s="55">
        <f>SUMIFS(Raw_Data_Period_old_users!CA:CA, Raw_Data_Period_old_users!$A:$A, "Variant", Raw_Data_Period_old_users!$C:$C, TRUE)</f>
        <v>0</v>
      </c>
      <c r="E100" s="63">
        <f t="shared" ref="E100:E104" si="31">IFERROR(D100-C100,"")</f>
        <v>0</v>
      </c>
      <c r="F100" s="40" t="str">
        <f t="shared" ref="F100:F104" si="32">IFERROR((D100-C100)/ABS(C100),"")</f>
        <v/>
      </c>
    </row>
    <row r="101" ht="15.75" customHeight="1">
      <c r="A101" s="15"/>
      <c r="B101" s="74" t="s">
        <v>111</v>
      </c>
      <c r="C101" s="55">
        <f>SUMIFS(Raw_Data_Period_old_users!CB:CB, Raw_Data_Period_old_users!$A:$A, "Control", Raw_Data_Period_old_users!$C:$C, TRUE)</f>
        <v>0</v>
      </c>
      <c r="D101" s="55">
        <f>SUMIFS(Raw_Data_Period_old_users!CB:CB, Raw_Data_Period_old_users!$A:$A, "Variant", Raw_Data_Period_old_users!$C:$C, TRUE)</f>
        <v>0</v>
      </c>
      <c r="E101" s="43">
        <f t="shared" si="31"/>
        <v>0</v>
      </c>
      <c r="F101" s="40" t="str">
        <f t="shared" si="32"/>
        <v/>
      </c>
    </row>
    <row r="102" ht="15.75" customHeight="1">
      <c r="A102" s="15"/>
      <c r="B102" s="74" t="s">
        <v>112</v>
      </c>
      <c r="C102" s="55">
        <f>SUMIFS(Raw_Data_Period_old_users!CC:CC, Raw_Data_Period_old_users!$A:$A, "Control", Raw_Data_Period_old_users!$C:$C, TRUE)</f>
        <v>0</v>
      </c>
      <c r="D102" s="55">
        <f>SUMIFS(Raw_Data_Period_old_users!CC:CC, Raw_Data_Period_old_users!$A:$A, "Variant", Raw_Data_Period_old_users!$C:$C, TRUE)</f>
        <v>0</v>
      </c>
      <c r="E102" s="63">
        <f t="shared" si="31"/>
        <v>0</v>
      </c>
      <c r="F102" s="40" t="str">
        <f t="shared" si="32"/>
        <v/>
      </c>
    </row>
    <row r="103" ht="15.75" customHeight="1">
      <c r="A103" s="15"/>
      <c r="B103" s="74" t="s">
        <v>113</v>
      </c>
      <c r="C103" s="55">
        <f>SUMIFS(Raw_Data_Period_old_users!CD:CD, Raw_Data_Period_old_users!$A:$A, "Control", Raw_Data_Period_old_users!$C:$C, TRUE)</f>
        <v>0</v>
      </c>
      <c r="D103" s="55">
        <f>SUMIFS(Raw_Data_Period_old_users!CD:CD, Raw_Data_Period_old_users!$A:$A, "Variant", Raw_Data_Period_old_users!$C:$C, TRUE)</f>
        <v>0</v>
      </c>
      <c r="E103" s="43">
        <f t="shared" si="31"/>
        <v>0</v>
      </c>
      <c r="F103" s="40" t="str">
        <f t="shared" si="32"/>
        <v/>
      </c>
    </row>
    <row r="104" ht="15.75" customHeight="1">
      <c r="A104" s="15"/>
      <c r="B104" s="74" t="s">
        <v>114</v>
      </c>
      <c r="C104" s="55">
        <f>SUMIFS(Raw_Data_Period_old_users!CA:CA, Raw_Data_Period_old_users!$A:$A, "Control", Raw_Data_Period_old_users!$C:$C, TRUE) - SUMIFS(Raw_Data_Period_old_users!CD:CD, Raw_Data_Period_old_users!$A:$A, "Control", Raw_Data_Period_old_users!$C:$C, TRUE)</f>
        <v>0</v>
      </c>
      <c r="D104" s="55">
        <f>SUMIFS(Raw_Data_Period_old_users!CA:CA, Raw_Data_Period_old_users!$A:$A, "Variant", Raw_Data_Period_old_users!$C:$C, TRUE) - SUMIFS(Raw_Data_Period_old_users!CD:CD, Raw_Data_Period_old_users!$A:$A, "Variant", Raw_Data_Period_old_users!$C:$C, TRUE)</f>
        <v>0</v>
      </c>
      <c r="E104" s="63">
        <f t="shared" si="31"/>
        <v>0</v>
      </c>
      <c r="F104" s="40" t="str">
        <f t="shared" si="32"/>
        <v/>
      </c>
    </row>
    <row r="105" ht="15.75" customHeight="1">
      <c r="A105" s="73" t="s">
        <v>115</v>
      </c>
      <c r="B105" s="75" t="s">
        <v>116</v>
      </c>
      <c r="C105" s="12"/>
      <c r="D105" s="12"/>
      <c r="E105" s="12"/>
      <c r="F105" s="12"/>
    </row>
    <row r="106" ht="15.75" customHeight="1">
      <c r="A106" s="76" t="s">
        <v>116</v>
      </c>
      <c r="B106" s="74" t="s">
        <v>117</v>
      </c>
      <c r="C106" s="55">
        <f>SUMIFS(Raw_Data_Period_old_users!CM:CM, Raw_Data_Period_old_users!$A:$A, "Control", Raw_Data_Period_old_users!$C:$C, TRUE)</f>
        <v>0</v>
      </c>
      <c r="D106" s="55">
        <f>SUMIFS(Raw_Data_Period_old_users!CM:CM, Raw_Data_Period_old_users!$A:$A, "Variant", Raw_Data_Period_old_users!$C:$C, TRUE)</f>
        <v>0</v>
      </c>
      <c r="E106" s="63">
        <f t="shared" ref="E106:E113" si="33">IFERROR(D106-C106,"")</f>
        <v>0</v>
      </c>
      <c r="F106" s="40" t="str">
        <f t="shared" ref="F106:F113" si="34">IFERROR((D106-C106)/ABS(C106),"")</f>
        <v/>
      </c>
    </row>
    <row r="107" ht="15.75" customHeight="1">
      <c r="A107" s="76" t="s">
        <v>116</v>
      </c>
      <c r="B107" s="74" t="s">
        <v>118</v>
      </c>
      <c r="C107" s="55">
        <f>SUMIFS(Raw_Data_Period_old_users!CN:CN, Raw_Data_Period_old_users!$A:$A, "Control", Raw_Data_Period_old_users!$C:$C, TRUE)</f>
        <v>0</v>
      </c>
      <c r="D107" s="55">
        <f>SUMIFS(Raw_Data_Period_old_users!CN:CN, Raw_Data_Period_old_users!$A:$A, "Variant", Raw_Data_Period_old_users!$C:$C, TRUE)</f>
        <v>0</v>
      </c>
      <c r="E107" s="63">
        <f t="shared" si="33"/>
        <v>0</v>
      </c>
      <c r="F107" s="40" t="str">
        <f t="shared" si="34"/>
        <v/>
      </c>
    </row>
    <row r="108" ht="15.75" customHeight="1">
      <c r="A108" s="76" t="s">
        <v>116</v>
      </c>
      <c r="B108" s="74" t="s">
        <v>119</v>
      </c>
      <c r="C108" s="55">
        <f>SUMIFS(Raw_Data_Period_old_users!CO:CO, Raw_Data_Period_old_users!$A:$A, "Control", Raw_Data_Period_old_users!$C:$C, TRUE)</f>
        <v>0</v>
      </c>
      <c r="D108" s="55">
        <f>SUMIFS(Raw_Data_Period_old_users!CO:CO, Raw_Data_Period_old_users!$A:$A, "Variant", Raw_Data_Period_old_users!$C:$C, TRUE)</f>
        <v>0</v>
      </c>
      <c r="E108" s="63">
        <f t="shared" si="33"/>
        <v>0</v>
      </c>
      <c r="F108" s="40" t="str">
        <f t="shared" si="34"/>
        <v/>
      </c>
    </row>
    <row r="109" ht="15.75" customHeight="1">
      <c r="A109" s="76" t="s">
        <v>116</v>
      </c>
      <c r="B109" s="74" t="s">
        <v>120</v>
      </c>
      <c r="C109" s="55">
        <f>SUMIFS(Raw_Data_Period_old_users!CP:CP, Raw_Data_Period_old_users!$A:$A, "Control", Raw_Data_Period_old_users!$C:$C, TRUE)</f>
        <v>0</v>
      </c>
      <c r="D109" s="55">
        <f>SUMIFS(Raw_Data_Period_old_users!CP:CP, Raw_Data_Period_old_users!$A:$A, "Variant", Raw_Data_Period_old_users!$C:$C, TRUE)</f>
        <v>0</v>
      </c>
      <c r="E109" s="63">
        <f t="shared" si="33"/>
        <v>0</v>
      </c>
      <c r="F109" s="40" t="str">
        <f t="shared" si="34"/>
        <v/>
      </c>
    </row>
    <row r="110" ht="15.75" customHeight="1">
      <c r="A110" s="76" t="s">
        <v>116</v>
      </c>
      <c r="B110" s="74" t="s">
        <v>121</v>
      </c>
      <c r="C110" s="55">
        <f>SUMIFS(Raw_Data_Period_old_users!CQ:CQ, Raw_Data_Period_old_users!$A:$A, "Control", Raw_Data_Period_old_users!$C:$C, TRUE)</f>
        <v>0</v>
      </c>
      <c r="D110" s="55">
        <f>SUMIFS(Raw_Data_Period_old_users!CQ:CQ, Raw_Data_Period_old_users!$A:$A, "Variant", Raw_Data_Period_old_users!$C:$C, TRUE)</f>
        <v>0</v>
      </c>
      <c r="E110" s="63">
        <f t="shared" si="33"/>
        <v>0</v>
      </c>
      <c r="F110" s="40" t="str">
        <f t="shared" si="34"/>
        <v/>
      </c>
    </row>
    <row r="111" ht="15.75" customHeight="1">
      <c r="A111" s="76" t="s">
        <v>116</v>
      </c>
      <c r="B111" s="74" t="s">
        <v>122</v>
      </c>
      <c r="C111" s="55">
        <f>SUMIFS(Raw_Data_Period_old_users!CR:CR, Raw_Data_Period_old_users!$A:$A, "Control", Raw_Data_Period_old_users!$C:$C, TRUE)</f>
        <v>0</v>
      </c>
      <c r="D111" s="55">
        <f>SUMIFS(Raw_Data_Period_old_users!CR:CR, Raw_Data_Period_old_users!$A:$A, "Variant", Raw_Data_Period_old_users!$C:$C, TRUE)</f>
        <v>0</v>
      </c>
      <c r="E111" s="63">
        <f t="shared" si="33"/>
        <v>0</v>
      </c>
      <c r="F111" s="40" t="str">
        <f t="shared" si="34"/>
        <v/>
      </c>
    </row>
    <row r="112" ht="15.75" customHeight="1">
      <c r="A112" s="76" t="s">
        <v>116</v>
      </c>
      <c r="B112" s="74" t="s">
        <v>123</v>
      </c>
      <c r="C112" s="55">
        <f>SUMIFS(Raw_Data_Period_old_users!CS:CS, Raw_Data_Period_old_users!$A:$A, "Control", Raw_Data_Period_old_users!$C:$C, TRUE)</f>
        <v>0</v>
      </c>
      <c r="D112" s="55">
        <f>SUMIFS(Raw_Data_Period_old_users!CS:CS, Raw_Data_Period_old_users!$A:$A, "Variant", Raw_Data_Period_old_users!$C:$C, TRUE)</f>
        <v>0</v>
      </c>
      <c r="E112" s="63">
        <f t="shared" si="33"/>
        <v>0</v>
      </c>
      <c r="F112" s="40" t="str">
        <f t="shared" si="34"/>
        <v/>
      </c>
    </row>
    <row r="113" ht="15.75" customHeight="1">
      <c r="A113" s="76" t="s">
        <v>116</v>
      </c>
      <c r="B113" s="74" t="s">
        <v>124</v>
      </c>
      <c r="C113" s="55">
        <f>SUMIFS(Raw_Data_Period_old_users!CT:CT, Raw_Data_Period_old_users!$A:$A, "Control", Raw_Data_Period_old_users!$C:$C, TRUE)</f>
        <v>0</v>
      </c>
      <c r="D113" s="55">
        <f>SUMIFS(Raw_Data_Period_old_users!CT:CT, Raw_Data_Period_old_users!$A:$A, "Variant", Raw_Data_Period_old_users!$C:$C, TRUE)</f>
        <v>0</v>
      </c>
      <c r="E113" s="63">
        <f t="shared" si="33"/>
        <v>0</v>
      </c>
      <c r="F113" s="40" t="str">
        <f t="shared" si="34"/>
        <v/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</sheetData>
  <mergeCells count="1">
    <mergeCell ref="A1:F1"/>
  </mergeCells>
  <conditionalFormatting sqref="E23:F25 E27:F29 E31:F31 E33:F33 E37:F38 E41:F41 E43:F46 E55:F55 E62:F62 E64:F64 E66:F66 E70:F70 E72:F72 E74:F74 E76:F76 E78:F78 E80:F80 E82:F82 E84:F84 E86:F86 E88:F88 E90:F90 E92:F92 E94:F94 E96:F96 E98:F98 E100:F100 E102:F102 E104:F104 E106:F113">
    <cfRule type="cellIs" dxfId="0" priority="1" stopIfTrue="1" operator="lessThan">
      <formula>0</formula>
    </cfRule>
  </conditionalFormatting>
  <conditionalFormatting sqref="E23:F25 E27:F29 E31:F31 E33:F33 E37:F38 E41:F41 E43:F46 E55:F55 E62:F62 E64:F64 E66:F66 E70:F70 E72:F72 E74:F74 E76:F76 E78:F78 E80:F80 E82:F82 E84:F84 E86:F86 E88:F88 E90:F90 E92:F92 E94:F94 E96:F96 E98:F98 E100:F100 E102:F102 E104:F104 E106:F113">
    <cfRule type="cellIs" dxfId="1" priority="2" stopIfTrue="1" operator="greaterThan">
      <formula>0</formula>
    </cfRule>
  </conditionalFormatting>
  <conditionalFormatting sqref="E5:F5 E7:F9 E11:F13 E15:F20 E22:F22 E30:F30 E32:F32 E34:F35 E39:F40 E48:F49 E51:F53 E63:F63 E65:F65 E67:F67 E71:F71 E73:F73 E77:F77 E79:F79 E83:F83 E85:F85 E89:F89 E91:F91 E95:F95 E97:F97 E101:F101 E103:F103">
    <cfRule type="cellIs" dxfId="1" priority="3" stopIfTrue="1" operator="lessThan">
      <formula>0</formula>
    </cfRule>
  </conditionalFormatting>
  <conditionalFormatting sqref="E5:F5 E7:F9 E11:F13 E15:F20 E22:F22 E30:F30 E32:F32 E34:F35 E39:F40 E48:F49 E51:F53 E63:F63 E65:F65 E67:F67 E71:F71 E73:F73 E77:F77 E79:F79 E83:F83 E85:F85 E89:F89 E91:F91 E95:F95 E97:F97 E101:F101 E103:F103">
    <cfRule type="cellIs" dxfId="0" priority="4" stopIfTrue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3.0"/>
    <col customWidth="1" min="2" max="3" width="10.0"/>
    <col customWidth="1" min="4" max="4" width="9.0"/>
    <col customWidth="1" min="5" max="6" width="10.0"/>
    <col customWidth="1" min="7" max="7" width="9.0"/>
    <col customWidth="1" min="8" max="9" width="10.0"/>
    <col customWidth="1" min="10" max="10" width="9.0"/>
    <col customWidth="1" min="11" max="12" width="10.0"/>
    <col customWidth="1" min="13" max="13" width="9.0"/>
    <col customWidth="1" min="14" max="15" width="10.0"/>
    <col customWidth="1" min="16" max="16" width="9.0"/>
    <col customWidth="1" min="17" max="18" width="10.0"/>
    <col customWidth="1" min="19" max="19" width="9.0"/>
    <col customWidth="1" min="20" max="21" width="10.0"/>
    <col customWidth="1" min="22" max="22" width="9.0"/>
    <col customWidth="1" min="23" max="24" width="10.0"/>
    <col customWidth="1" min="25" max="25" width="9.0"/>
    <col customWidth="1" min="26" max="27" width="10.0"/>
    <col customWidth="1" min="28" max="28" width="9.0"/>
    <col customWidth="1" min="29" max="30" width="10.0"/>
    <col customWidth="1" min="31" max="31" width="9.0"/>
    <col customWidth="1" min="32" max="33" width="10.0"/>
    <col customWidth="1" min="34" max="34" width="9.0"/>
    <col customWidth="1" min="35" max="36" width="10.0"/>
    <col customWidth="1" min="37" max="37" width="9.0"/>
    <col customWidth="1" min="38" max="39" width="10.0"/>
    <col customWidth="1" min="40" max="40" width="9.0"/>
    <col customWidth="1" min="41" max="42" width="10.0"/>
    <col customWidth="1" min="43" max="43" width="9.0"/>
    <col customWidth="1" min="44" max="45" width="10.0"/>
    <col customWidth="1" min="46" max="46" width="9.0"/>
    <col customWidth="1" min="47" max="48" width="10.0"/>
    <col customWidth="1" min="49" max="49" width="9.0"/>
    <col customWidth="1" min="50" max="51" width="10.0"/>
    <col customWidth="1" min="52" max="52" width="9.0"/>
    <col customWidth="1" min="53" max="54" width="10.0"/>
    <col customWidth="1" min="55" max="55" width="9.0"/>
    <col customWidth="1" min="56" max="57" width="10.0"/>
    <col customWidth="1" min="58" max="58" width="9.0"/>
    <col customWidth="1" min="59" max="60" width="10.0"/>
    <col customWidth="1" min="61" max="61" width="9.0"/>
    <col customWidth="1" min="62" max="63" width="10.0"/>
    <col customWidth="1" min="64" max="64" width="9.0"/>
    <col customWidth="1" min="65" max="66" width="10.0"/>
    <col customWidth="1" min="67" max="67" width="9.0"/>
    <col customWidth="1" min="68" max="69" width="10.0"/>
    <col customWidth="1" min="70" max="70" width="9.0"/>
    <col customWidth="1" min="71" max="72" width="10.0"/>
    <col customWidth="1" min="73" max="73" width="9.0"/>
    <col customWidth="1" min="74" max="75" width="10.0"/>
    <col customWidth="1" min="76" max="76" width="9.0"/>
    <col customWidth="1" min="77" max="78" width="10.0"/>
    <col customWidth="1" min="79" max="79" width="9.0"/>
    <col customWidth="1" min="80" max="81" width="10.0"/>
    <col customWidth="1" min="82" max="82" width="9.0"/>
    <col customWidth="1" min="83" max="84" width="10.0"/>
    <col customWidth="1" min="85" max="85" width="9.0"/>
    <col customWidth="1" min="86" max="87" width="10.0"/>
    <col customWidth="1" min="88" max="88" width="9.0"/>
    <col customWidth="1" min="89" max="90" width="10.0"/>
    <col customWidth="1" min="91" max="91" width="9.0"/>
    <col customWidth="1" min="92" max="93" width="10.0"/>
    <col customWidth="1" min="94" max="94" width="9.0"/>
    <col customWidth="1" min="95" max="96" width="10.0"/>
    <col customWidth="1" min="97" max="97" width="9.0"/>
    <col customWidth="1" min="98" max="99" width="10.0"/>
    <col customWidth="1" min="100" max="100" width="9.0"/>
    <col customWidth="1" min="101" max="102" width="10.0"/>
    <col customWidth="1" min="103" max="103" width="9.0"/>
    <col customWidth="1" min="104" max="105" width="10.0"/>
    <col customWidth="1" min="106" max="106" width="9.0"/>
    <col customWidth="1" min="107" max="108" width="10.0"/>
    <col customWidth="1" min="109" max="109" width="9.0"/>
    <col customWidth="1" min="110" max="110" width="10.0"/>
    <col customWidth="1" min="111" max="111" width="13.0"/>
    <col customWidth="1" min="112" max="112" width="9.0"/>
    <col customWidth="1" hidden="1" min="113" max="113" width="10.0"/>
    <col customWidth="1" hidden="1" min="114" max="114" width="13.0"/>
    <col customWidth="1" hidden="1" min="115" max="115" width="9.0"/>
    <col customWidth="1" hidden="1" min="116" max="116" width="10.0"/>
    <col customWidth="1" hidden="1" min="117" max="117" width="13.0"/>
    <col customWidth="1" hidden="1" min="118" max="118" width="9.0"/>
    <col customWidth="1" hidden="1" min="119" max="119" width="10.0"/>
    <col customWidth="1" hidden="1" min="120" max="120" width="13.0"/>
    <col customWidth="1" hidden="1" min="121" max="121" width="9.0"/>
    <col customWidth="1" min="122" max="122" width="10.0"/>
    <col customWidth="1" min="123" max="123" width="13.0"/>
    <col customWidth="1" min="124" max="124" width="9.0"/>
    <col customWidth="1" min="125" max="125" width="10.0"/>
    <col customWidth="1" min="126" max="126" width="13.0"/>
    <col customWidth="1" min="127" max="127" width="9.0"/>
    <col customWidth="1" min="128" max="128" width="10.0"/>
    <col customWidth="1" min="129" max="129" width="13.0"/>
    <col customWidth="1" min="130" max="130" width="9.0"/>
    <col customWidth="1" min="131" max="131" width="10.0"/>
    <col customWidth="1" min="132" max="132" width="13.0"/>
    <col customWidth="1" min="133" max="133" width="9.0"/>
    <col customWidth="1" min="134" max="134" width="10.0"/>
    <col customWidth="1" min="135" max="135" width="13.0"/>
    <col customWidth="1" min="136" max="136" width="9.0"/>
    <col customWidth="1" min="137" max="137" width="10.0"/>
    <col customWidth="1" min="138" max="138" width="13.0"/>
    <col customWidth="1" min="139" max="139" width="9.0"/>
  </cols>
  <sheetData>
    <row r="1">
      <c r="A1" s="77" t="s">
        <v>125</v>
      </c>
      <c r="B1" s="79"/>
      <c r="C1" s="79"/>
      <c r="D1" s="79"/>
      <c r="E1" s="79"/>
      <c r="F1" s="79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  <c r="CE1" s="81"/>
      <c r="CF1" s="81"/>
      <c r="CG1" s="81"/>
      <c r="CH1" s="81"/>
      <c r="CI1" s="81"/>
      <c r="CJ1" s="81"/>
      <c r="CK1" s="81"/>
      <c r="CL1" s="81"/>
      <c r="CM1" s="81"/>
      <c r="CN1" s="81"/>
      <c r="CO1" s="81"/>
      <c r="CP1" s="81"/>
      <c r="CQ1" s="81"/>
      <c r="CR1" s="81"/>
      <c r="CS1" s="81"/>
      <c r="CT1" s="81"/>
      <c r="CU1" s="81"/>
      <c r="CV1" s="81"/>
      <c r="CW1" s="81"/>
      <c r="CX1" s="81"/>
      <c r="CY1" s="81"/>
      <c r="CZ1" s="81"/>
      <c r="DA1" s="81"/>
      <c r="DB1" s="81"/>
      <c r="DC1" s="81"/>
      <c r="DD1" s="81"/>
      <c r="DE1" s="81"/>
      <c r="DF1" s="81"/>
      <c r="DG1" s="81"/>
      <c r="DH1" s="81"/>
      <c r="DI1" s="81"/>
      <c r="DJ1" s="81"/>
      <c r="DK1" s="81"/>
      <c r="DL1" s="81"/>
      <c r="DM1" s="81"/>
      <c r="DN1" s="81"/>
      <c r="DO1" s="81"/>
      <c r="DP1" s="81"/>
      <c r="DQ1" s="81"/>
      <c r="DR1" s="81"/>
      <c r="DS1" s="81"/>
      <c r="DT1" s="81"/>
      <c r="DU1" s="81"/>
      <c r="DV1" s="81"/>
      <c r="DW1" s="81"/>
      <c r="DX1" s="81"/>
      <c r="DY1" s="81"/>
      <c r="DZ1" s="81"/>
      <c r="EA1" s="81"/>
      <c r="EB1" s="81"/>
      <c r="EC1" s="81"/>
      <c r="ED1" s="81"/>
      <c r="EE1" s="81"/>
      <c r="EF1" s="81"/>
      <c r="EG1" s="81"/>
      <c r="EH1" s="81"/>
      <c r="EI1" s="81"/>
    </row>
    <row r="2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81"/>
      <c r="CY2" s="81"/>
      <c r="CZ2" s="81"/>
      <c r="DA2" s="81"/>
      <c r="DB2" s="81"/>
      <c r="DC2" s="81"/>
      <c r="DD2" s="81"/>
      <c r="DE2" s="81"/>
      <c r="DF2" s="81"/>
      <c r="DG2" s="81"/>
      <c r="DH2" s="81"/>
      <c r="DI2" s="81"/>
      <c r="DJ2" s="81"/>
      <c r="DK2" s="81"/>
      <c r="DL2" s="81"/>
      <c r="DM2" s="81"/>
      <c r="DN2" s="81"/>
      <c r="DO2" s="81"/>
      <c r="DP2" s="81"/>
      <c r="DQ2" s="81"/>
      <c r="DR2" s="81"/>
      <c r="DS2" s="81"/>
      <c r="DT2" s="81"/>
      <c r="DU2" s="81"/>
      <c r="DV2" s="81"/>
      <c r="DW2" s="81"/>
      <c r="DX2" s="81"/>
      <c r="DY2" s="81"/>
      <c r="DZ2" s="81"/>
      <c r="EA2" s="81"/>
      <c r="EB2" s="81"/>
      <c r="EC2" s="81"/>
      <c r="ED2" s="81"/>
      <c r="EE2" s="81"/>
      <c r="EF2" s="81"/>
      <c r="EG2" s="81"/>
      <c r="EH2" s="81"/>
      <c r="EI2" s="81"/>
    </row>
    <row r="3">
      <c r="A3" s="82" t="s">
        <v>126</v>
      </c>
      <c r="B3" s="83" t="s">
        <v>127</v>
      </c>
      <c r="C3" s="84" t="str">
        <f>IF($B$3="1-9","B. 1-9",IF($B$3="10-19","C. 10-19",IF($B$3="20-39","D. 20-39",IF($B$3="40-99","E. 40-99",IF($B$3="100+","F. 100+","")))))</f>
        <v>C. 10-19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1"/>
      <c r="DC3" s="81"/>
      <c r="DD3" s="81"/>
      <c r="DE3" s="81"/>
      <c r="DF3" s="81"/>
      <c r="DG3" s="81"/>
      <c r="DH3" s="81"/>
      <c r="DI3" s="81"/>
      <c r="DJ3" s="81"/>
      <c r="DK3" s="81"/>
      <c r="DL3" s="81"/>
      <c r="DM3" s="81"/>
      <c r="DN3" s="81"/>
      <c r="DO3" s="81"/>
      <c r="DP3" s="81"/>
      <c r="DQ3" s="81"/>
      <c r="DR3" s="81"/>
      <c r="DS3" s="81"/>
      <c r="DT3" s="81"/>
      <c r="DU3" s="81"/>
      <c r="DV3" s="81"/>
      <c r="DW3" s="81"/>
      <c r="DX3" s="81"/>
      <c r="DY3" s="81"/>
      <c r="DZ3" s="81"/>
      <c r="EA3" s="81"/>
      <c r="EB3" s="81"/>
      <c r="EC3" s="81"/>
      <c r="ED3" s="81"/>
      <c r="EE3" s="81"/>
      <c r="EF3" s="81"/>
      <c r="EG3" s="81"/>
      <c r="EH3" s="81"/>
      <c r="EI3" s="81"/>
    </row>
    <row r="4" ht="15.75" customHeight="1">
      <c r="A4" s="81"/>
      <c r="B4" s="81"/>
      <c r="C4" s="81"/>
      <c r="D4" s="81"/>
      <c r="E4" s="81"/>
      <c r="F4" s="81"/>
      <c r="G4" s="85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  <c r="DH4" s="81"/>
      <c r="DI4" s="81"/>
      <c r="DJ4" s="81"/>
      <c r="DK4" s="81"/>
      <c r="DL4" s="81"/>
      <c r="DM4" s="81"/>
      <c r="DN4" s="81"/>
      <c r="DO4" s="81"/>
      <c r="DP4" s="81"/>
      <c r="DQ4" s="81"/>
      <c r="DR4" s="81"/>
      <c r="DS4" s="81"/>
      <c r="DT4" s="81"/>
      <c r="DU4" s="81"/>
      <c r="DV4" s="81"/>
      <c r="DW4" s="81"/>
      <c r="DX4" s="81"/>
      <c r="DY4" s="81"/>
      <c r="DZ4" s="81"/>
      <c r="EA4" s="81"/>
      <c r="EB4" s="81"/>
      <c r="EC4" s="81"/>
      <c r="ED4" s="81"/>
      <c r="EE4" s="81"/>
      <c r="EF4" s="81"/>
      <c r="EG4" s="81"/>
      <c r="EH4" s="81"/>
      <c r="EI4" s="81"/>
    </row>
    <row r="5" ht="30.0" customHeight="1">
      <c r="A5" s="86" t="s">
        <v>128</v>
      </c>
      <c r="B5" s="87" t="s">
        <v>12</v>
      </c>
      <c r="C5" s="88"/>
      <c r="D5" s="89"/>
      <c r="E5" s="87" t="s">
        <v>129</v>
      </c>
      <c r="F5" s="88"/>
      <c r="G5" s="89"/>
      <c r="H5" s="87" t="s">
        <v>17</v>
      </c>
      <c r="I5" s="88"/>
      <c r="J5" s="89"/>
      <c r="K5" s="87" t="s">
        <v>18</v>
      </c>
      <c r="L5" s="88"/>
      <c r="M5" s="89"/>
      <c r="N5" s="87" t="s">
        <v>130</v>
      </c>
      <c r="O5" s="88"/>
      <c r="P5" s="89"/>
      <c r="Q5" s="87" t="s">
        <v>19</v>
      </c>
      <c r="R5" s="88"/>
      <c r="S5" s="89"/>
      <c r="T5" s="87" t="s">
        <v>21</v>
      </c>
      <c r="U5" s="88"/>
      <c r="V5" s="89"/>
      <c r="W5" s="87" t="s">
        <v>22</v>
      </c>
      <c r="X5" s="88"/>
      <c r="Y5" s="89"/>
      <c r="Z5" s="87" t="s">
        <v>23</v>
      </c>
      <c r="AA5" s="88"/>
      <c r="AB5" s="89"/>
      <c r="AC5" s="87" t="s">
        <v>32</v>
      </c>
      <c r="AD5" s="88"/>
      <c r="AE5" s="89"/>
      <c r="AF5" s="87" t="s">
        <v>33</v>
      </c>
      <c r="AG5" s="88"/>
      <c r="AH5" s="89"/>
      <c r="AI5" s="87" t="s">
        <v>34</v>
      </c>
      <c r="AJ5" s="88"/>
      <c r="AK5" s="89"/>
      <c r="AL5" s="87" t="s">
        <v>35</v>
      </c>
      <c r="AM5" s="88"/>
      <c r="AN5" s="89"/>
      <c r="AO5" s="87" t="s">
        <v>37</v>
      </c>
      <c r="AP5" s="88"/>
      <c r="AQ5" s="89"/>
      <c r="AR5" s="87" t="s">
        <v>39</v>
      </c>
      <c r="AS5" s="88"/>
      <c r="AT5" s="89"/>
      <c r="AU5" s="87" t="s">
        <v>40</v>
      </c>
      <c r="AV5" s="88"/>
      <c r="AW5" s="89"/>
      <c r="AX5" s="87" t="s">
        <v>41</v>
      </c>
      <c r="AY5" s="88"/>
      <c r="AZ5" s="89"/>
      <c r="BA5" s="87" t="s">
        <v>42</v>
      </c>
      <c r="BB5" s="88"/>
      <c r="BC5" s="89"/>
      <c r="BD5" s="87" t="s">
        <v>43</v>
      </c>
      <c r="BE5" s="88"/>
      <c r="BF5" s="89"/>
      <c r="BG5" s="87" t="s">
        <v>131</v>
      </c>
      <c r="BH5" s="88"/>
      <c r="BI5" s="89"/>
      <c r="BJ5" s="87" t="s">
        <v>45</v>
      </c>
      <c r="BK5" s="88"/>
      <c r="BL5" s="89"/>
      <c r="BM5" s="87" t="s">
        <v>46</v>
      </c>
      <c r="BN5" s="88"/>
      <c r="BO5" s="89"/>
      <c r="BP5" s="87" t="s">
        <v>54</v>
      </c>
      <c r="BQ5" s="88"/>
      <c r="BR5" s="89"/>
      <c r="BS5" s="87" t="s">
        <v>55</v>
      </c>
      <c r="BT5" s="88"/>
      <c r="BU5" s="89"/>
      <c r="BV5" s="87" t="s">
        <v>56</v>
      </c>
      <c r="BW5" s="88"/>
      <c r="BX5" s="89"/>
      <c r="BY5" s="87" t="s">
        <v>59</v>
      </c>
      <c r="BZ5" s="88"/>
      <c r="CA5" s="89"/>
      <c r="CB5" s="87" t="s">
        <v>60</v>
      </c>
      <c r="CC5" s="88"/>
      <c r="CD5" s="89"/>
      <c r="CE5" s="87" t="s">
        <v>25</v>
      </c>
      <c r="CF5" s="88"/>
      <c r="CG5" s="89"/>
      <c r="CH5" s="87" t="s">
        <v>26</v>
      </c>
      <c r="CI5" s="88"/>
      <c r="CJ5" s="89"/>
      <c r="CK5" s="87" t="s">
        <v>27</v>
      </c>
      <c r="CL5" s="88"/>
      <c r="CM5" s="89"/>
      <c r="CN5" s="87" t="s">
        <v>28</v>
      </c>
      <c r="CO5" s="88"/>
      <c r="CP5" s="89"/>
      <c r="CQ5" s="87" t="s">
        <v>29</v>
      </c>
      <c r="CR5" s="88"/>
      <c r="CS5" s="89"/>
      <c r="CT5" s="87" t="s">
        <v>62</v>
      </c>
      <c r="CU5" s="88"/>
      <c r="CV5" s="89"/>
      <c r="CW5" s="87" t="s">
        <v>63</v>
      </c>
      <c r="CX5" s="88"/>
      <c r="CY5" s="89"/>
      <c r="CZ5" s="87" t="s">
        <v>64</v>
      </c>
      <c r="DA5" s="88"/>
      <c r="DB5" s="89"/>
      <c r="DC5" s="87" t="s">
        <v>66</v>
      </c>
      <c r="DD5" s="88"/>
      <c r="DE5" s="89"/>
      <c r="DF5" s="87" t="s">
        <v>68</v>
      </c>
      <c r="DG5" s="88"/>
      <c r="DH5" s="89"/>
      <c r="DI5" s="87" t="s">
        <v>132</v>
      </c>
      <c r="DJ5" s="88"/>
      <c r="DK5" s="89"/>
      <c r="DL5" s="87" t="s">
        <v>133</v>
      </c>
      <c r="DM5" s="88"/>
      <c r="DN5" s="89"/>
      <c r="DO5" s="87" t="s">
        <v>134</v>
      </c>
      <c r="DP5" s="88"/>
      <c r="DQ5" s="89"/>
      <c r="DR5" s="87" t="s">
        <v>73</v>
      </c>
      <c r="DS5" s="88"/>
      <c r="DT5" s="89"/>
      <c r="DU5" s="87" t="s">
        <v>74</v>
      </c>
      <c r="DV5" s="88"/>
      <c r="DW5" s="89"/>
      <c r="DX5" s="87" t="s">
        <v>75</v>
      </c>
      <c r="DY5" s="88"/>
      <c r="DZ5" s="89"/>
      <c r="EA5" s="87" t="s">
        <v>76</v>
      </c>
      <c r="EB5" s="88"/>
      <c r="EC5" s="89"/>
      <c r="ED5" s="87" t="s">
        <v>77</v>
      </c>
      <c r="EE5" s="88"/>
      <c r="EF5" s="89"/>
      <c r="EG5" s="87" t="s">
        <v>78</v>
      </c>
      <c r="EH5" s="88"/>
      <c r="EI5" s="89"/>
    </row>
    <row r="6" ht="18.0" customHeight="1">
      <c r="A6" s="18"/>
      <c r="B6" s="90" t="s">
        <v>4</v>
      </c>
      <c r="C6" s="90" t="s">
        <v>5</v>
      </c>
      <c r="D6" s="90" t="s">
        <v>135</v>
      </c>
      <c r="E6" s="90" t="s">
        <v>4</v>
      </c>
      <c r="F6" s="90" t="s">
        <v>5</v>
      </c>
      <c r="G6" s="90" t="s">
        <v>135</v>
      </c>
      <c r="H6" s="90" t="s">
        <v>4</v>
      </c>
      <c r="I6" s="90" t="s">
        <v>5</v>
      </c>
      <c r="J6" s="90" t="s">
        <v>135</v>
      </c>
      <c r="K6" s="90" t="s">
        <v>4</v>
      </c>
      <c r="L6" s="90" t="s">
        <v>5</v>
      </c>
      <c r="M6" s="90" t="s">
        <v>135</v>
      </c>
      <c r="N6" s="90" t="s">
        <v>4</v>
      </c>
      <c r="O6" s="90" t="s">
        <v>5</v>
      </c>
      <c r="P6" s="90" t="s">
        <v>135</v>
      </c>
      <c r="Q6" s="90" t="s">
        <v>4</v>
      </c>
      <c r="R6" s="90" t="s">
        <v>5</v>
      </c>
      <c r="S6" s="90" t="s">
        <v>135</v>
      </c>
      <c r="T6" s="90" t="s">
        <v>4</v>
      </c>
      <c r="U6" s="90" t="s">
        <v>5</v>
      </c>
      <c r="V6" s="90" t="s">
        <v>135</v>
      </c>
      <c r="W6" s="90" t="s">
        <v>4</v>
      </c>
      <c r="X6" s="90" t="s">
        <v>5</v>
      </c>
      <c r="Y6" s="90" t="s">
        <v>135</v>
      </c>
      <c r="Z6" s="90" t="s">
        <v>4</v>
      </c>
      <c r="AA6" s="90" t="s">
        <v>5</v>
      </c>
      <c r="AB6" s="90" t="s">
        <v>135</v>
      </c>
      <c r="AC6" s="90" t="s">
        <v>4</v>
      </c>
      <c r="AD6" s="90" t="s">
        <v>5</v>
      </c>
      <c r="AE6" s="90" t="s">
        <v>135</v>
      </c>
      <c r="AF6" s="90" t="s">
        <v>4</v>
      </c>
      <c r="AG6" s="90" t="s">
        <v>5</v>
      </c>
      <c r="AH6" s="90" t="s">
        <v>135</v>
      </c>
      <c r="AI6" s="90" t="s">
        <v>4</v>
      </c>
      <c r="AJ6" s="90" t="s">
        <v>5</v>
      </c>
      <c r="AK6" s="90" t="s">
        <v>135</v>
      </c>
      <c r="AL6" s="90" t="s">
        <v>4</v>
      </c>
      <c r="AM6" s="90" t="s">
        <v>5</v>
      </c>
      <c r="AN6" s="90" t="s">
        <v>135</v>
      </c>
      <c r="AO6" s="90" t="s">
        <v>4</v>
      </c>
      <c r="AP6" s="90" t="s">
        <v>5</v>
      </c>
      <c r="AQ6" s="90" t="s">
        <v>135</v>
      </c>
      <c r="AR6" s="90" t="s">
        <v>4</v>
      </c>
      <c r="AS6" s="90" t="s">
        <v>5</v>
      </c>
      <c r="AT6" s="90" t="s">
        <v>135</v>
      </c>
      <c r="AU6" s="90" t="s">
        <v>4</v>
      </c>
      <c r="AV6" s="90" t="s">
        <v>5</v>
      </c>
      <c r="AW6" s="90" t="s">
        <v>135</v>
      </c>
      <c r="AX6" s="90" t="s">
        <v>4</v>
      </c>
      <c r="AY6" s="90" t="s">
        <v>5</v>
      </c>
      <c r="AZ6" s="90" t="s">
        <v>135</v>
      </c>
      <c r="BA6" s="90" t="s">
        <v>4</v>
      </c>
      <c r="BB6" s="90" t="s">
        <v>5</v>
      </c>
      <c r="BC6" s="90" t="s">
        <v>135</v>
      </c>
      <c r="BD6" s="90" t="s">
        <v>4</v>
      </c>
      <c r="BE6" s="90" t="s">
        <v>5</v>
      </c>
      <c r="BF6" s="90" t="s">
        <v>135</v>
      </c>
      <c r="BG6" s="90" t="s">
        <v>4</v>
      </c>
      <c r="BH6" s="90" t="s">
        <v>5</v>
      </c>
      <c r="BI6" s="90" t="s">
        <v>135</v>
      </c>
      <c r="BJ6" s="90" t="s">
        <v>4</v>
      </c>
      <c r="BK6" s="90" t="s">
        <v>5</v>
      </c>
      <c r="BL6" s="90" t="s">
        <v>135</v>
      </c>
      <c r="BM6" s="90" t="s">
        <v>4</v>
      </c>
      <c r="BN6" s="90" t="s">
        <v>5</v>
      </c>
      <c r="BO6" s="90" t="s">
        <v>135</v>
      </c>
      <c r="BP6" s="90" t="s">
        <v>4</v>
      </c>
      <c r="BQ6" s="90" t="s">
        <v>5</v>
      </c>
      <c r="BR6" s="90" t="s">
        <v>135</v>
      </c>
      <c r="BS6" s="90" t="s">
        <v>4</v>
      </c>
      <c r="BT6" s="90" t="s">
        <v>5</v>
      </c>
      <c r="BU6" s="90" t="s">
        <v>135</v>
      </c>
      <c r="BV6" s="90" t="s">
        <v>4</v>
      </c>
      <c r="BW6" s="90" t="s">
        <v>5</v>
      </c>
      <c r="BX6" s="90" t="s">
        <v>135</v>
      </c>
      <c r="BY6" s="90" t="s">
        <v>4</v>
      </c>
      <c r="BZ6" s="90" t="s">
        <v>5</v>
      </c>
      <c r="CA6" s="90" t="s">
        <v>135</v>
      </c>
      <c r="CB6" s="90" t="s">
        <v>4</v>
      </c>
      <c r="CC6" s="90" t="s">
        <v>5</v>
      </c>
      <c r="CD6" s="90" t="s">
        <v>135</v>
      </c>
      <c r="CE6" s="90" t="s">
        <v>4</v>
      </c>
      <c r="CF6" s="90" t="s">
        <v>5</v>
      </c>
      <c r="CG6" s="90" t="s">
        <v>135</v>
      </c>
      <c r="CH6" s="90" t="s">
        <v>4</v>
      </c>
      <c r="CI6" s="90" t="s">
        <v>5</v>
      </c>
      <c r="CJ6" s="90" t="s">
        <v>135</v>
      </c>
      <c r="CK6" s="90" t="s">
        <v>4</v>
      </c>
      <c r="CL6" s="90" t="s">
        <v>5</v>
      </c>
      <c r="CM6" s="90" t="s">
        <v>135</v>
      </c>
      <c r="CN6" s="90" t="s">
        <v>4</v>
      </c>
      <c r="CO6" s="90" t="s">
        <v>5</v>
      </c>
      <c r="CP6" s="90" t="s">
        <v>135</v>
      </c>
      <c r="CQ6" s="90" t="s">
        <v>4</v>
      </c>
      <c r="CR6" s="90" t="s">
        <v>5</v>
      </c>
      <c r="CS6" s="90" t="s">
        <v>135</v>
      </c>
      <c r="CT6" s="90" t="s">
        <v>4</v>
      </c>
      <c r="CU6" s="90" t="s">
        <v>5</v>
      </c>
      <c r="CV6" s="90" t="s">
        <v>135</v>
      </c>
      <c r="CW6" s="90" t="s">
        <v>4</v>
      </c>
      <c r="CX6" s="90" t="s">
        <v>5</v>
      </c>
      <c r="CY6" s="90" t="s">
        <v>135</v>
      </c>
      <c r="CZ6" s="90" t="s">
        <v>4</v>
      </c>
      <c r="DA6" s="90" t="s">
        <v>5</v>
      </c>
      <c r="DB6" s="90" t="s">
        <v>135</v>
      </c>
      <c r="DC6" s="90" t="s">
        <v>4</v>
      </c>
      <c r="DD6" s="90" t="s">
        <v>5</v>
      </c>
      <c r="DE6" s="90" t="s">
        <v>135</v>
      </c>
      <c r="DF6" s="90" t="s">
        <v>4</v>
      </c>
      <c r="DG6" s="90" t="s">
        <v>5</v>
      </c>
      <c r="DH6" s="90" t="s">
        <v>135</v>
      </c>
      <c r="DI6" s="90" t="s">
        <v>4</v>
      </c>
      <c r="DJ6" s="90" t="s">
        <v>5</v>
      </c>
      <c r="DK6" s="90" t="s">
        <v>135</v>
      </c>
      <c r="DL6" s="90" t="s">
        <v>4</v>
      </c>
      <c r="DM6" s="90" t="s">
        <v>5</v>
      </c>
      <c r="DN6" s="90" t="s">
        <v>135</v>
      </c>
      <c r="DO6" s="90" t="s">
        <v>4</v>
      </c>
      <c r="DP6" s="90" t="s">
        <v>5</v>
      </c>
      <c r="DQ6" s="90" t="s">
        <v>135</v>
      </c>
      <c r="DR6" s="90" t="s">
        <v>4</v>
      </c>
      <c r="DS6" s="90" t="s">
        <v>5</v>
      </c>
      <c r="DT6" s="90" t="s">
        <v>135</v>
      </c>
      <c r="DU6" s="90" t="s">
        <v>4</v>
      </c>
      <c r="DV6" s="90" t="s">
        <v>5</v>
      </c>
      <c r="DW6" s="90" t="s">
        <v>135</v>
      </c>
      <c r="DX6" s="90" t="s">
        <v>4</v>
      </c>
      <c r="DY6" s="90" t="s">
        <v>5</v>
      </c>
      <c r="DZ6" s="90" t="s">
        <v>135</v>
      </c>
      <c r="EA6" s="90" t="s">
        <v>4</v>
      </c>
      <c r="EB6" s="90" t="s">
        <v>5</v>
      </c>
      <c r="EC6" s="90" t="s">
        <v>135</v>
      </c>
      <c r="ED6" s="90" t="s">
        <v>4</v>
      </c>
      <c r="EE6" s="90" t="s">
        <v>5</v>
      </c>
      <c r="EF6" s="90" t="s">
        <v>135</v>
      </c>
      <c r="EG6" s="90" t="s">
        <v>4</v>
      </c>
      <c r="EH6" s="90" t="s">
        <v>5</v>
      </c>
      <c r="EI6" s="90" t="s">
        <v>135</v>
      </c>
    </row>
    <row r="7" ht="15.75" customHeight="1">
      <c r="A7" s="91">
        <v>46230.0</v>
      </c>
      <c r="B7" s="92">
        <f>IF($A7="","",SUMIFS(Raw_Data_Daily!$D:$D, Raw_Data_Daily!$B:$B, "Control", Raw_Data_Daily!$A:$A, $A7, Raw_Data_Daily!$C:$C, $C$3))</f>
        <v>0</v>
      </c>
      <c r="C7" s="92">
        <f>IF($A7="","",SUMIFS(Raw_Data_Daily!$D:$D, Raw_Data_Daily!$B:$B, "Variant", Raw_Data_Daily!$A:$A, $A7, Raw_Data_Daily!$C:$C, $C$3))</f>
        <v>0</v>
      </c>
      <c r="D7" s="93" t="str">
        <f t="shared" ref="D7:D41" si="1">IF($A7="","",IFERROR((C7-B7)/ABS(B7),""))</f>
        <v/>
      </c>
      <c r="E7" s="94" t="str">
        <f>IF($A7="","",IFERROR(SUMPRODUCT((Raw_Data_Daily!$B$2:$B$9999="Control")*(Raw_Data_Daily!$A$2:$A$9999=$A7)*(Raw_Data_Daily!$C$2:$C$9999=$C$3)*Raw_Data_Daily!$D$2:$D$9999*Raw_Data_Daily!$E$2:$E$9999)/SUMIFS(Raw_Data_Daily!$D:$D, Raw_Data_Daily!$B:$B, "Control", Raw_Data_Daily!$A:$A, $A7, Raw_Data_Daily!$C:$C, $C$3),""))</f>
        <v/>
      </c>
      <c r="F7" s="94" t="str">
        <f>IF($A7="","",IFERROR(SUMPRODUCT((Raw_Data_Daily!$B$2:$B$9999="Variant")*(Raw_Data_Daily!$A$2:$A$9999=$A7)*(Raw_Data_Daily!$C$2:$C$9999=$C$3)*Raw_Data_Daily!$D$2:$D$9999*Raw_Data_Daily!$E$2:$E$9999)/SUMIFS(Raw_Data_Daily!$D:$D, Raw_Data_Daily!$B:$B, "Variant", Raw_Data_Daily!$A:$A, $A7, Raw_Data_Daily!$C:$C, $C$3),""))</f>
        <v/>
      </c>
      <c r="G7" s="93" t="str">
        <f t="shared" ref="G7:G41" si="2">IF($A7="","",IFERROR((F7-E7)/ABS(E7),""))</f>
        <v/>
      </c>
      <c r="H7" s="95">
        <f>IF($A7="","",SUMIFS(Raw_Data_Daily!$F:$F, Raw_Data_Daily!$B:$B, "Control", Raw_Data_Daily!$A:$A, $A7, Raw_Data_Daily!$C:$C, $C$3))</f>
        <v>0</v>
      </c>
      <c r="I7" s="95">
        <f>IF($A7="","",SUMIFS(Raw_Data_Daily!$F:$F, Raw_Data_Daily!$B:$B, "Variant", Raw_Data_Daily!$A:$A, $A7, Raw_Data_Daily!$C:$C, $C$3))</f>
        <v>0</v>
      </c>
      <c r="J7" s="96" t="str">
        <f t="shared" ref="J7:J41" si="3">IF($A7="","",IFERROR((I7-H7)/ABS(H7),""))</f>
        <v/>
      </c>
      <c r="K7" s="97" t="str">
        <f>IF($A7="","",IFERROR(SUMIFS(Raw_Data_Daily!$F:$F, Raw_Data_Daily!$B:$B, "Control", Raw_Data_Daily!$A:$A, $A7, Raw_Data_Daily!$C:$C, $C$3)/SUMIFS(Raw_Data_Daily!$D:$D, Raw_Data_Daily!$B:$B, "Control", Raw_Data_Daily!$A:$A, $A7, Raw_Data_Daily!$C:$C, $C$3),""))</f>
        <v/>
      </c>
      <c r="L7" s="97" t="str">
        <f>IF($A7="","",IFERROR(SUMIFS(Raw_Data_Daily!$F:$F, Raw_Data_Daily!$B:$B, "Variant", Raw_Data_Daily!$A:$A, $A7, Raw_Data_Daily!$C:$C, $C$3)/SUMIFS(Raw_Data_Daily!$D:$D, Raw_Data_Daily!$B:$B, "Variant", Raw_Data_Daily!$A:$A, $A7, Raw_Data_Daily!$C:$C, $C$3),""))</f>
        <v/>
      </c>
      <c r="M7" s="96" t="str">
        <f t="shared" ref="M7:M41" si="4">IF($A7="","",IFERROR((L7-K7)/ABS(K7),""))</f>
        <v/>
      </c>
      <c r="N7" s="94" t="str">
        <f>IF($A7="","",IFERROR(SUMPRODUCT((Raw_Data_Daily!$B$2:$B$9999="Control")*(Raw_Data_Daily!$A$2:$A$9999=$A7)*(Raw_Data_Daily!$C$2:$C$9999=$C$3)*Raw_Data_Daily!$D$2:$D$9999*Raw_Data_Daily!$H$2:$H$9999/100)/SUMIFS(Raw_Data_Daily!$D:$D, Raw_Data_Daily!$B:$B, "Control", Raw_Data_Daily!$A:$A, $A7, Raw_Data_Daily!$C:$C, $C$3)*100,""))</f>
        <v/>
      </c>
      <c r="O7" s="94" t="str">
        <f>IF($A7="","",IFERROR(SUMPRODUCT((Raw_Data_Daily!$B$2:$B$9999="Variant")*(Raw_Data_Daily!$A$2:$A$9999=$A7)*(Raw_Data_Daily!$C$2:$C$9999=$C$3)*Raw_Data_Daily!$D$2:$D$9999*Raw_Data_Daily!$H$2:$H$9999/100)/SUMIFS(Raw_Data_Daily!$D:$D, Raw_Data_Daily!$B:$B, "Variant", Raw_Data_Daily!$A:$A, $A7, Raw_Data_Daily!$C:$C, $C$3)*100,""))</f>
        <v/>
      </c>
      <c r="P7" s="96" t="str">
        <f t="shared" ref="P7:P41" si="5">IF($A7="","",IFERROR((O7-N7)/ABS(N7),""))</f>
        <v/>
      </c>
      <c r="Q7" s="97" t="str">
        <f>IF($A7="","",IFERROR(SUMIFS(Raw_Data_Daily!$F:$F, Raw_Data_Daily!$B:$B, "Control", Raw_Data_Daily!$A:$A, $A7, Raw_Data_Daily!$C:$C, $C$3)/SUMPRODUCT((Raw_Data_Daily!$B$2:$B$9999="Control")*(Raw_Data_Daily!$A$2:$A$9999=$A7)*(Raw_Data_Daily!$C$2:$C$9999=$C$3)*Raw_Data_Daily!$D$2:$D$9999*Raw_Data_Daily!$H$2:$H$9999/100),""))</f>
        <v/>
      </c>
      <c r="R7" s="97" t="str">
        <f>IF($A7="","",IFERROR(SUMIFS(Raw_Data_Daily!$F:$F, Raw_Data_Daily!$B:$B, "Variant", Raw_Data_Daily!$A:$A, $A7, Raw_Data_Daily!$C:$C, $C$3)/SUMPRODUCT((Raw_Data_Daily!$B$2:$B$9999="Variant")*(Raw_Data_Daily!$A$2:$A$9999=$A7)*(Raw_Data_Daily!$C$2:$C$9999=$C$3)*Raw_Data_Daily!$D$2:$D$9999*Raw_Data_Daily!$H$2:$H$9999/100),""))</f>
        <v/>
      </c>
      <c r="S7" s="96" t="str">
        <f t="shared" ref="S7:S41" si="6">IF($A7="","",IFERROR((R7-Q7)/ABS(Q7),""))</f>
        <v/>
      </c>
      <c r="T7" s="121" t="str">
        <f>IF($A7="","",IFERROR(SUMPRODUCT((Raw_Data_Daily!$B$2:$B$9999="Control")*(Raw_Data_Daily!$A$2:$A$9999=$A7)*(Raw_Data_Daily!$C$2:$C$9999=$C$3)*Raw_Data_Daily!$D$2:$D$9999*Raw_Data_Daily!$J$2:$J$9999)/SUMIFS(Raw_Data_Daily!$D:$D, Raw_Data_Daily!$B:$B, "Control", Raw_Data_Daily!$A:$A, $A7, Raw_Data_Daily!$C:$C, $C$3),""))</f>
        <v/>
      </c>
      <c r="U7" s="121" t="str">
        <f>IF($A7="","",IFERROR(SUMPRODUCT((Raw_Data_Daily!$B$2:$B$9999="Variant")*(Raw_Data_Daily!$A$2:$A$9999=$A7)*(Raw_Data_Daily!$C$2:$C$9999=$C$3)*Raw_Data_Daily!$D$2:$D$9999*Raw_Data_Daily!$J$2:$J$9999)/SUMIFS(Raw_Data_Daily!$D:$D, Raw_Data_Daily!$B:$B, "Variant", Raw_Data_Daily!$A:$A, $A7, Raw_Data_Daily!$C:$C, $C$3),""))</f>
        <v/>
      </c>
      <c r="V7" s="96" t="str">
        <f t="shared" ref="V7:V41" si="7">IF($A7="","",IFERROR((U7-T7)/ABS(T7),""))</f>
        <v/>
      </c>
      <c r="W7" s="121" t="str">
        <f>IF($A7="","",IFERROR(SUMPRODUCT((Raw_Data_Daily!$B$2:$B$9999="Control")*(Raw_Data_Daily!$A$2:$A$9999=$A7)*(Raw_Data_Daily!$C$2:$C$9999=$C$3)*Raw_Data_Daily!$D$2:$D$9999*Raw_Data_Daily!$K$2:$K$9999)/SUMIFS(Raw_Data_Daily!$D:$D, Raw_Data_Daily!$B:$B, "Control", Raw_Data_Daily!$A:$A, $A7, Raw_Data_Daily!$C:$C, $C$3),""))</f>
        <v/>
      </c>
      <c r="X7" s="121" t="str">
        <f>IF($A7="","",IFERROR(SUMPRODUCT((Raw_Data_Daily!$B$2:$B$9999="Variant")*(Raw_Data_Daily!$A$2:$A$9999=$A7)*(Raw_Data_Daily!$C$2:$C$9999=$C$3)*Raw_Data_Daily!$D$2:$D$9999*Raw_Data_Daily!$K$2:$K$9999)/SUMIFS(Raw_Data_Daily!$D:$D, Raw_Data_Daily!$B:$B, "Variant", Raw_Data_Daily!$A:$A, $A7, Raw_Data_Daily!$C:$C, $C$3),""))</f>
        <v/>
      </c>
      <c r="Y7" s="96" t="str">
        <f t="shared" ref="Y7:Y41" si="8">IF($A7="","",IFERROR((X7-W7)/ABS(W7),""))</f>
        <v/>
      </c>
      <c r="Z7" s="121" t="str">
        <f>IF($A7="","",IFERROR(SUMPRODUCT((Raw_Data_Daily!$B$2:$B$9999="Control")*(Raw_Data_Daily!$A$2:$A$9999=$A7)*(Raw_Data_Daily!$C$2:$C$9999=$C$3)*Raw_Data_Daily!$D$2:$D$9999*Raw_Data_Daily!$L$2:$L$9999)/SUMIFS(Raw_Data_Daily!$D:$D, Raw_Data_Daily!$B:$B, "Control", Raw_Data_Daily!$A:$A, $A7, Raw_Data_Daily!$C:$C, $C$3),""))</f>
        <v/>
      </c>
      <c r="AA7" s="121" t="str">
        <f>IF($A7="","",IFERROR(SUMPRODUCT((Raw_Data_Daily!$B$2:$B$9999="Variant")*(Raw_Data_Daily!$A$2:$A$9999=$A7)*(Raw_Data_Daily!$C$2:$C$9999=$C$3)*Raw_Data_Daily!$D$2:$D$9999*Raw_Data_Daily!$L$2:$L$9999)/SUMIFS(Raw_Data_Daily!$D:$D, Raw_Data_Daily!$B:$B, "Variant", Raw_Data_Daily!$A:$A, $A7, Raw_Data_Daily!$C:$C, $C$3),""))</f>
        <v/>
      </c>
      <c r="AB7" s="96" t="str">
        <f t="shared" ref="AB7:AB41" si="9">IF($A7="","",IFERROR((AA7-Z7)/ABS(Z7),""))</f>
        <v/>
      </c>
      <c r="AC7" s="139" t="str">
        <f>IF($A7="","",IFERROR(SUMPRODUCT((Raw_Data_Daily!$B$2:$B$9999="Control")*(Raw_Data_Daily!$A$2:$A$9999=$A7)*(Raw_Data_Daily!$C$2:$C$9999=$C$3)*Raw_Data_Daily!$D$2:$D$9999*Raw_Data_Daily!$M$2:$M$9999)/SUMIFS(Raw_Data_Daily!$D:$D, Raw_Data_Daily!$B:$B, "Control", Raw_Data_Daily!$A:$A, $A7, Raw_Data_Daily!$C:$C, $C$3),""))</f>
        <v/>
      </c>
      <c r="AD7" s="139" t="str">
        <f>IF($A7="","",IFERROR(SUMPRODUCT((Raw_Data_Daily!$B$2:$B$9999="Variant")*(Raw_Data_Daily!$A$2:$A$9999=$A7)*(Raw_Data_Daily!$C$2:$C$9999=$C$3)*Raw_Data_Daily!$D$2:$D$9999*Raw_Data_Daily!$M$2:$M$9999)/SUMIFS(Raw_Data_Daily!$D:$D, Raw_Data_Daily!$B:$B, "Variant", Raw_Data_Daily!$A:$A, $A7, Raw_Data_Daily!$C:$C, $C$3),""))</f>
        <v/>
      </c>
      <c r="AE7" s="142" t="str">
        <f t="shared" ref="AE7:AE41" si="10">IF($A7="","",IFERROR((AD7-AC7)/ABS(AC7),""))</f>
        <v/>
      </c>
      <c r="AF7" s="139" t="str">
        <f>IF($A7="","",IFERROR(SUMPRODUCT((Raw_Data_Daily!$B$2:$B$9999="Control")*(Raw_Data_Daily!$A$2:$A$9999=$A7)*(Raw_Data_Daily!$C$2:$C$9999=$C$3)*Raw_Data_Daily!$D$2:$D$9999*Raw_Data_Daily!$N$2:$N$9999)/SUMIFS(Raw_Data_Daily!$D:$D, Raw_Data_Daily!$B:$B, "Control", Raw_Data_Daily!$A:$A, $A7, Raw_Data_Daily!$C:$C, $C$3),""))</f>
        <v/>
      </c>
      <c r="AG7" s="139" t="str">
        <f>IF($A7="","",IFERROR(SUMPRODUCT((Raw_Data_Daily!$B$2:$B$9999="Variant")*(Raw_Data_Daily!$A$2:$A$9999=$A7)*(Raw_Data_Daily!$C$2:$C$9999=$C$3)*Raw_Data_Daily!$D$2:$D$9999*Raw_Data_Daily!$N$2:$N$9999)/SUMIFS(Raw_Data_Daily!$D:$D, Raw_Data_Daily!$B:$B, "Variant", Raw_Data_Daily!$A:$A, $A7, Raw_Data_Daily!$C:$C, $C$3),""))</f>
        <v/>
      </c>
      <c r="AH7" s="142" t="str">
        <f t="shared" ref="AH7:AH41" si="11">IF($A7="","",IFERROR((AG7-AF7)/ABS(AF7),""))</f>
        <v/>
      </c>
      <c r="AI7" s="139" t="str">
        <f>IF($A7="","",IFERROR(SUMPRODUCT((Raw_Data_Daily!$B$2:$B$9999="Control")*(Raw_Data_Daily!$A$2:$A$9999=$A7)*(Raw_Data_Daily!$C$2:$C$9999=$C$3)*Raw_Data_Daily!$D$2:$D$9999*Raw_Data_Daily!$O$2:$O$9999)/SUMIFS(Raw_Data_Daily!$D:$D, Raw_Data_Daily!$B:$B, "Control", Raw_Data_Daily!$A:$A, $A7, Raw_Data_Daily!$C:$C, $C$3),""))</f>
        <v/>
      </c>
      <c r="AJ7" s="139" t="str">
        <f>IF($A7="","",IFERROR(SUMPRODUCT((Raw_Data_Daily!$B$2:$B$9999="Variant")*(Raw_Data_Daily!$A$2:$A$9999=$A7)*(Raw_Data_Daily!$C$2:$C$9999=$C$3)*Raw_Data_Daily!$D$2:$D$9999*Raw_Data_Daily!$O$2:$O$9999)/SUMIFS(Raw_Data_Daily!$D:$D, Raw_Data_Daily!$B:$B, "Variant", Raw_Data_Daily!$A:$A, $A7, Raw_Data_Daily!$C:$C, $C$3),""))</f>
        <v/>
      </c>
      <c r="AK7" s="96" t="str">
        <f t="shared" ref="AK7:AK41" si="12">IF($A7="","",IFERROR((AJ7-AI7)/ABS(AI7),""))</f>
        <v/>
      </c>
      <c r="AL7" s="121" t="str">
        <f>IF($A7="","",IFERROR(SUMPRODUCT((Raw_Data_Daily!$B$2:$B$9999="Control")*(Raw_Data_Daily!$A$2:$A$9999=$A7)*(Raw_Data_Daily!$C$2:$C$9999=$C$3)*Raw_Data_Daily!$D$2:$D$9999*Raw_Data_Daily!$P$2:$P$9999)/SUMIFS(Raw_Data_Daily!$D:$D, Raw_Data_Daily!$B:$B, "Control", Raw_Data_Daily!$A:$A, $A7, Raw_Data_Daily!$C:$C, $C$3),""))</f>
        <v/>
      </c>
      <c r="AM7" s="121" t="str">
        <f>IF($A7="","",IFERROR(SUMPRODUCT((Raw_Data_Daily!$B$2:$B$9999="Variant")*(Raw_Data_Daily!$A$2:$A$9999=$A7)*(Raw_Data_Daily!$C$2:$C$9999=$C$3)*Raw_Data_Daily!$D$2:$D$9999*Raw_Data_Daily!$P$2:$P$9999)/SUMIFS(Raw_Data_Daily!$D:$D, Raw_Data_Daily!$B:$B, "Variant", Raw_Data_Daily!$A:$A, $A7, Raw_Data_Daily!$C:$C, $C$3),""))</f>
        <v/>
      </c>
      <c r="AN7" s="96" t="str">
        <f t="shared" ref="AN7:AN41" si="13">IF($A7="","",IFERROR((AM7-AL7)/ABS(AL7),""))</f>
        <v/>
      </c>
      <c r="AO7" s="121" t="str">
        <f>IF($A7="","",IFERROR(SUMPRODUCT((Raw_Data_Daily!$B$2:$B$9999="Control")*(Raw_Data_Daily!$A$2:$A$9999=$A7)*(Raw_Data_Daily!$C$2:$C$9999=$C$3)*Raw_Data_Daily!$D$2:$D$9999*Raw_Data_Daily!$Q$2:$Q$9999)/SUMIFS(Raw_Data_Daily!$D:$D, Raw_Data_Daily!$B:$B, "Control", Raw_Data_Daily!$A:$A, $A7, Raw_Data_Daily!$C:$C, $C$3),""))</f>
        <v/>
      </c>
      <c r="AP7" s="121" t="str">
        <f>IF($A7="","",IFERROR(SUMPRODUCT((Raw_Data_Daily!$B$2:$B$9999="Variant")*(Raw_Data_Daily!$A$2:$A$9999=$A7)*(Raw_Data_Daily!$C$2:$C$9999=$C$3)*Raw_Data_Daily!$D$2:$D$9999*Raw_Data_Daily!$Q$2:$Q$9999)/SUMIFS(Raw_Data_Daily!$D:$D, Raw_Data_Daily!$B:$B, "Variant", Raw_Data_Daily!$A:$A, $A7, Raw_Data_Daily!$C:$C, $C$3),""))</f>
        <v/>
      </c>
      <c r="AQ7" s="93" t="str">
        <f t="shared" ref="AQ7:AQ41" si="14">IF($A7="","",IFERROR((AP7-AO7)/ABS(AO7),""))</f>
        <v/>
      </c>
      <c r="AR7" s="121" t="str">
        <f>IF($A7="","",IFERROR(SUMPRODUCT((Raw_Data_Daily!$B$2:$B$9999="Control")*(Raw_Data_Daily!$A$2:$A$9999=$A7)*(Raw_Data_Daily!$C$2:$C$9999=$C$3)*Raw_Data_Daily!$D$2:$D$9999*Raw_Data_Daily!$R$2:$R$9999)/SUMIFS(Raw_Data_Daily!$D:$D, Raw_Data_Daily!$B:$B, "Control", Raw_Data_Daily!$A:$A, $A7, Raw_Data_Daily!$C:$C, $C$3),""))</f>
        <v/>
      </c>
      <c r="AS7" s="121" t="str">
        <f>IF($A7="","",IFERROR(SUMPRODUCT((Raw_Data_Daily!$B$2:$B$9999="Variant")*(Raw_Data_Daily!$A$2:$A$9999=$A7)*(Raw_Data_Daily!$C$2:$C$9999=$C$3)*Raw_Data_Daily!$D$2:$D$9999*Raw_Data_Daily!$R$2:$R$9999)/SUMIFS(Raw_Data_Daily!$D:$D, Raw_Data_Daily!$B:$B, "Variant", Raw_Data_Daily!$A:$A, $A7, Raw_Data_Daily!$C:$C, $C$3),""))</f>
        <v/>
      </c>
      <c r="AT7" s="93" t="str">
        <f t="shared" ref="AT7:AT41" si="15">IF($A7="","",IFERROR((AS7-AR7)/ABS(AR7),""))</f>
        <v/>
      </c>
      <c r="AU7" s="121" t="str">
        <f>IF($A7="","",IFERROR(SUMPRODUCT((Raw_Data_Daily!$B$2:$B$9999="Control")*(Raw_Data_Daily!$A$2:$A$9999=$A7)*(Raw_Data_Daily!$C$2:$C$9999=$C$3)*Raw_Data_Daily!$D$2:$D$9999*Raw_Data_Daily!$S$2:$S$9999)/SUMIFS(Raw_Data_Daily!$D:$D, Raw_Data_Daily!$B:$B, "Control", Raw_Data_Daily!$A:$A, $A7, Raw_Data_Daily!$C:$C, $C$3),""))</f>
        <v/>
      </c>
      <c r="AV7" s="121" t="str">
        <f>IF($A7="","",IFERROR(SUMPRODUCT((Raw_Data_Daily!$B$2:$B$9999="Variant")*(Raw_Data_Daily!$A$2:$A$9999=$A7)*(Raw_Data_Daily!$C$2:$C$9999=$C$3)*Raw_Data_Daily!$D$2:$D$9999*Raw_Data_Daily!$S$2:$S$9999)/SUMIFS(Raw_Data_Daily!$D:$D, Raw_Data_Daily!$B:$B, "Variant", Raw_Data_Daily!$A:$A, $A7, Raw_Data_Daily!$C:$C, $C$3),""))</f>
        <v/>
      </c>
      <c r="AW7" s="93" t="str">
        <f t="shared" ref="AW7:AW41" si="16">IF($A7="","",IFERROR((AV7-AU7)/ABS(AU7),""))</f>
        <v/>
      </c>
      <c r="AX7" s="121" t="str">
        <f>IF($A7="","",IFERROR(SUMPRODUCT((Raw_Data_Daily!$B$2:$B$9999="Control")*(Raw_Data_Daily!$A$2:$A$9999=$A7)*(Raw_Data_Daily!$C$2:$C$9999=$C$3)*Raw_Data_Daily!$D$2:$D$9999*Raw_Data_Daily!$T$2:$T$9999)/SUMIFS(Raw_Data_Daily!$D:$D, Raw_Data_Daily!$B:$B, "Control", Raw_Data_Daily!$A:$A, $A7, Raw_Data_Daily!$C:$C, $C$3),""))</f>
        <v/>
      </c>
      <c r="AY7" s="121" t="str">
        <f>IF($A7="","",IFERROR(SUMPRODUCT((Raw_Data_Daily!$B$2:$B$9999="Variant")*(Raw_Data_Daily!$A$2:$A$9999=$A7)*(Raw_Data_Daily!$C$2:$C$9999=$C$3)*Raw_Data_Daily!$D$2:$D$9999*Raw_Data_Daily!$T$2:$T$9999)/SUMIFS(Raw_Data_Daily!$D:$D, Raw_Data_Daily!$B:$B, "Variant", Raw_Data_Daily!$A:$A, $A7, Raw_Data_Daily!$C:$C, $C$3),""))</f>
        <v/>
      </c>
      <c r="AZ7" s="96" t="str">
        <f t="shared" ref="AZ7:AZ41" si="17">IF($A7="","",IFERROR((AY7-AX7)/ABS(AX7),""))</f>
        <v/>
      </c>
      <c r="BA7" s="121" t="str">
        <f>IF($A7="","",IFERROR(SUMPRODUCT((Raw_Data_Daily!$B$2:$B$9999="Control")*(Raw_Data_Daily!$A$2:$A$9999=$A7)*(Raw_Data_Daily!$C$2:$C$9999=$C$3)*Raw_Data_Daily!$D$2:$D$9999*Raw_Data_Daily!$U$2:$U$9999)/SUMIFS(Raw_Data_Daily!$D:$D, Raw_Data_Daily!$B:$B, "Control", Raw_Data_Daily!$A:$A, $A7, Raw_Data_Daily!$C:$C, $C$3),""))</f>
        <v/>
      </c>
      <c r="BB7" s="121" t="str">
        <f>IF($A7="","",IFERROR(SUMPRODUCT((Raw_Data_Daily!$B$2:$B$9999="Variant")*(Raw_Data_Daily!$A$2:$A$9999=$A7)*(Raw_Data_Daily!$C$2:$C$9999=$C$3)*Raw_Data_Daily!$D$2:$D$9999*Raw_Data_Daily!$U$2:$U$9999)/SUMIFS(Raw_Data_Daily!$D:$D, Raw_Data_Daily!$B:$B, "Variant", Raw_Data_Daily!$A:$A, $A7, Raw_Data_Daily!$C:$C, $C$3),""))</f>
        <v/>
      </c>
      <c r="BC7" s="93" t="str">
        <f t="shared" ref="BC7:BC41" si="18">IF($A7="","",IFERROR((BB7-BA7)/ABS(BA7),""))</f>
        <v/>
      </c>
      <c r="BD7" s="121" t="str">
        <f>IF($A7="","",IFERROR(SUMPRODUCT((Raw_Data_Daily!$B$2:$B$9999="Control")*(Raw_Data_Daily!$A$2:$A$9999=$A7)*(Raw_Data_Daily!$C$2:$C$9999=$C$3)*Raw_Data_Daily!$D$2:$D$9999*Raw_Data_Daily!$V$2:$V$9999)/SUMIFS(Raw_Data_Daily!$D:$D, Raw_Data_Daily!$B:$B, "Control", Raw_Data_Daily!$A:$A, $A7, Raw_Data_Daily!$C:$C, $C$3),""))</f>
        <v/>
      </c>
      <c r="BE7" s="121" t="str">
        <f>IF($A7="","",IFERROR(SUMPRODUCT((Raw_Data_Daily!$B$2:$B$9999="Variant")*(Raw_Data_Daily!$A$2:$A$9999=$A7)*(Raw_Data_Daily!$C$2:$C$9999=$C$3)*Raw_Data_Daily!$D$2:$D$9999*Raw_Data_Daily!$V$2:$V$9999)/SUMIFS(Raw_Data_Daily!$D:$D, Raw_Data_Daily!$B:$B, "Variant", Raw_Data_Daily!$A:$A, $A7, Raw_Data_Daily!$C:$C, $C$3),""))</f>
        <v/>
      </c>
      <c r="BF7" s="93" t="str">
        <f t="shared" ref="BF7:BF41" si="19">IF($A7="","",IFERROR((BE7-BD7)/ABS(BD7),""))</f>
        <v/>
      </c>
      <c r="BG7" s="121" t="str">
        <f>IF($A7="","",IFERROR(SUMPRODUCT((Raw_Data_Daily!$B$2:$B$9999="Control")*(Raw_Data_Daily!$A$2:$A$9999=$A7)*(Raw_Data_Daily!$C$2:$C$9999=$C$3)*Raw_Data_Daily!$D$2:$D$9999*(Raw_Data_Daily!$Q$2:$Q$9999-Raw_Data_Daily!$V$2:$V$9999))/SUMIFS(Raw_Data_Daily!$D:$D, Raw_Data_Daily!$B:$B, "Control", Raw_Data_Daily!$A:$A, $A7, Raw_Data_Daily!$C:$C, $C$3),""))</f>
        <v/>
      </c>
      <c r="BH7" s="121" t="str">
        <f>IF($A7="","",IFERROR(SUMPRODUCT((Raw_Data_Daily!$B$2:$B$9999="Variant")*(Raw_Data_Daily!$A$2:$A$9999=$A7)*(Raw_Data_Daily!$C$2:$C$9999=$C$3)*Raw_Data_Daily!$D$2:$D$9999*(Raw_Data_Daily!$Q$2:$Q$9999-Raw_Data_Daily!$V$2:$V$9999))/SUMIFS(Raw_Data_Daily!$D:$D, Raw_Data_Daily!$B:$B, "Variant", Raw_Data_Daily!$A:$A, $A7, Raw_Data_Daily!$C:$C, $C$3),""))</f>
        <v/>
      </c>
      <c r="BI7" s="93" t="str">
        <f t="shared" ref="BI7:BI41" si="20">IF($A7="","",IFERROR((BH7-BG7)/ABS(BG7),""))</f>
        <v/>
      </c>
      <c r="BJ7" s="121" t="str">
        <f>IF($A7="","",IFERROR(SUMPRODUCT((Raw_Data_Daily!$B$2:$B$9999="Control")*(Raw_Data_Daily!$A$2:$A$9999=$A7)*(Raw_Data_Daily!$C$2:$C$9999=$C$3)*Raw_Data_Daily!$D$2:$D$9999*Raw_Data_Daily!$W$2:$W$9999)/SUMIFS(Raw_Data_Daily!$D:$D, Raw_Data_Daily!$B:$B, "Control", Raw_Data_Daily!$A:$A, $A7, Raw_Data_Daily!$C:$C, $C$3),""))</f>
        <v/>
      </c>
      <c r="BK7" s="121" t="str">
        <f>IF($A7="","",IFERROR(SUMPRODUCT((Raw_Data_Daily!$B$2:$B$9999="Variant")*(Raw_Data_Daily!$A$2:$A$9999=$A7)*(Raw_Data_Daily!$C$2:$C$9999=$C$3)*Raw_Data_Daily!$D$2:$D$9999*Raw_Data_Daily!$W$2:$W$9999)/SUMIFS(Raw_Data_Daily!$D:$D, Raw_Data_Daily!$B:$B, "Variant", Raw_Data_Daily!$A:$A, $A7, Raw_Data_Daily!$C:$C, $C$3),""))</f>
        <v/>
      </c>
      <c r="BL7" s="93" t="str">
        <f t="shared" ref="BL7:BL41" si="21">IF($A7="","",IFERROR((BK7-BJ7)/ABS(BJ7),""))</f>
        <v/>
      </c>
      <c r="BM7" s="139" t="str">
        <f>IF($A7="","",IFERROR(SUMPRODUCT((Raw_Data_Daily!$B$2:$B$9999="Control")*(Raw_Data_Daily!$A$2:$A$9999=$A7)*(Raw_Data_Daily!$C$2:$C$9999=$C$3)*Raw_Data_Daily!$D$2:$D$9999*Raw_Data_Daily!$X$2:$X$9999)/SUMIFS(Raw_Data_Daily!$D:$D, Raw_Data_Daily!$B:$B, "Control", Raw_Data_Daily!$A:$A, $A7, Raw_Data_Daily!$C:$C, $C$3),""))</f>
        <v/>
      </c>
      <c r="BN7" s="139" t="str">
        <f>IF($A7="","",IFERROR(SUMPRODUCT((Raw_Data_Daily!$B$2:$B$9999="Variant")*(Raw_Data_Daily!$A$2:$A$9999=$A7)*(Raw_Data_Daily!$C$2:$C$9999=$C$3)*Raw_Data_Daily!$D$2:$D$9999*Raw_Data_Daily!$X$2:$X$9999)/SUMIFS(Raw_Data_Daily!$D:$D, Raw_Data_Daily!$B:$B, "Variant", Raw_Data_Daily!$A:$A, $A7, Raw_Data_Daily!$C:$C, $C$3),""))</f>
        <v/>
      </c>
      <c r="BO7" s="96" t="str">
        <f t="shared" ref="BO7:BO41" si="22">IF($A7="","",IFERROR((BN7-BM7)/ABS(BM7),""))</f>
        <v/>
      </c>
      <c r="BP7" s="92" t="str">
        <f>IF($A7="","",IFERROR(SUMPRODUCT((Raw_Data_Daily!$B$2:$B$9999="Control")*(Raw_Data_Daily!$A$2:$A$9999=$A7)*(Raw_Data_Daily!$C$2:$C$9999=$C$3)*Raw_Data_Daily!$D$2:$D$9999*Raw_Data_Daily!$Y$2:$Y$9999)/SUMIFS(Raw_Data_Daily!$D:$D, Raw_Data_Daily!$B:$B, "Control", Raw_Data_Daily!$A:$A, $A7, Raw_Data_Daily!$C:$C, $C$3),""))</f>
        <v/>
      </c>
      <c r="BQ7" s="92" t="str">
        <f>IF($A7="","",IFERROR(SUMPRODUCT((Raw_Data_Daily!$B$2:$B$9999="Variant")*(Raw_Data_Daily!$A$2:$A$9999=$A7)*(Raw_Data_Daily!$C$2:$C$9999=$C$3)*Raw_Data_Daily!$D$2:$D$9999*Raw_Data_Daily!$Y$2:$Y$9999)/SUMIFS(Raw_Data_Daily!$D:$D, Raw_Data_Daily!$B:$B, "Variant", Raw_Data_Daily!$A:$A, $A7, Raw_Data_Daily!$C:$C, $C$3),""))</f>
        <v/>
      </c>
      <c r="BR7" s="93" t="str">
        <f t="shared" ref="BR7:BR41" si="23">IF($A7="","",IFERROR((BQ7-BP7)/ABS(BP7),""))</f>
        <v/>
      </c>
      <c r="BS7" s="92" t="str">
        <f>IF($A7="","",IFERROR(SUMPRODUCT((Raw_Data_Daily!$B$2:$B$9999="Control")*(Raw_Data_Daily!$A$2:$A$9999=$A7)*(Raw_Data_Daily!$C$2:$C$9999=$C$3)*Raw_Data_Daily!$D$2:$D$9999*Raw_Data_Daily!$Z$2:$Z$9999)/SUMIFS(Raw_Data_Daily!$D:$D, Raw_Data_Daily!$B:$B, "Control", Raw_Data_Daily!$A:$A, $A7, Raw_Data_Daily!$C:$C, $C$3),""))</f>
        <v/>
      </c>
      <c r="BT7" s="92" t="str">
        <f>IF($A7="","",IFERROR(SUMPRODUCT((Raw_Data_Daily!$B$2:$B$9999="Variant")*(Raw_Data_Daily!$A$2:$A$9999=$A7)*(Raw_Data_Daily!$C$2:$C$9999=$C$3)*Raw_Data_Daily!$D$2:$D$9999*Raw_Data_Daily!$Z$2:$Z$9999)/SUMIFS(Raw_Data_Daily!$D:$D, Raw_Data_Daily!$B:$B, "Variant", Raw_Data_Daily!$A:$A, $A7, Raw_Data_Daily!$C:$C, $C$3),""))</f>
        <v/>
      </c>
      <c r="BU7" s="93" t="str">
        <f t="shared" ref="BU7:BU41" si="24">IF($A7="","",IFERROR((BT7-BS7)/ABS(BS7),""))</f>
        <v/>
      </c>
      <c r="BV7" s="92" t="str">
        <f>IF($A7="","",IFERROR(SUMPRODUCT((Raw_Data_Daily!$B$2:$B$9999="Control")*(Raw_Data_Daily!$A$2:$A$9999=$A7)*(Raw_Data_Daily!$C$2:$C$9999=$C$3)*Raw_Data_Daily!$D$2:$D$9999*Raw_Data_Daily!$AA$2:$AA$9999)/SUMIFS(Raw_Data_Daily!$D:$D, Raw_Data_Daily!$B:$B, "Control", Raw_Data_Daily!$A:$A, $A7, Raw_Data_Daily!$C:$C, $C$3),""))</f>
        <v/>
      </c>
      <c r="BW7" s="92" t="str">
        <f>IF($A7="","",IFERROR(SUMPRODUCT((Raw_Data_Daily!$B$2:$B$9999="Variant")*(Raw_Data_Daily!$A$2:$A$9999=$A7)*(Raw_Data_Daily!$C$2:$C$9999=$C$3)*Raw_Data_Daily!$D$2:$D$9999*Raw_Data_Daily!$AA$2:$AA$9999)/SUMIFS(Raw_Data_Daily!$D:$D, Raw_Data_Daily!$B:$B, "Variant", Raw_Data_Daily!$A:$A, $A7, Raw_Data_Daily!$C:$C, $C$3),""))</f>
        <v/>
      </c>
      <c r="BX7" s="93" t="str">
        <f t="shared" ref="BX7:BX41" si="25">IF($A7="","",IFERROR((BW7-BV7)/ABS(BV7),""))</f>
        <v/>
      </c>
      <c r="BY7" s="121" t="str">
        <f>IF($A7="","",IFERROR(SUMPRODUCT((Raw_Data_Daily!$B$2:$B$9999="Control")*(Raw_Data_Daily!$A$2:$A$9999=$A7)*(Raw_Data_Daily!$C$2:$C$9999=$C$3)*Raw_Data_Daily!$D$2:$D$9999*Raw_Data_Daily!$AB$2:$AB$9999)/SUMIFS(Raw_Data_Daily!$D:$D, Raw_Data_Daily!$B:$B, "Control", Raw_Data_Daily!$A:$A, $A7, Raw_Data_Daily!$C:$C, $C$3),""))</f>
        <v/>
      </c>
      <c r="BZ7" s="121" t="str">
        <f>IF($A7="","",IFERROR(SUMPRODUCT((Raw_Data_Daily!$B$2:$B$9999="Variant")*(Raw_Data_Daily!$A$2:$A$9999=$A7)*(Raw_Data_Daily!$C$2:$C$9999=$C$3)*Raw_Data_Daily!$D$2:$D$9999*Raw_Data_Daily!$AB$2:$AB$9999)/SUMIFS(Raw_Data_Daily!$D:$D, Raw_Data_Daily!$B:$B, "Variant", Raw_Data_Daily!$A:$A, $A7, Raw_Data_Daily!$C:$C, $C$3),""))</f>
        <v/>
      </c>
      <c r="CA7" s="96" t="str">
        <f t="shared" ref="CA7:CA41" si="26">IF($A7="","",IFERROR((BZ7-BY7)/ABS(BY7),""))</f>
        <v/>
      </c>
      <c r="CB7" s="121" t="str">
        <f>IF($A7="","",IFERROR(SUMPRODUCT((Raw_Data_Daily!$B$2:$B$9999="Control")*(Raw_Data_Daily!$A$2:$A$9999=$A7)*(Raw_Data_Daily!$C$2:$C$9999=$C$3)*Raw_Data_Daily!$D$2:$D$9999*Raw_Data_Daily!$AC$2:$AC$9999)/SUMIFS(Raw_Data_Daily!$D:$D, Raw_Data_Daily!$B:$B, "Control", Raw_Data_Daily!$A:$A, $A7, Raw_Data_Daily!$C:$C, $C$3),""))</f>
        <v/>
      </c>
      <c r="CC7" s="121" t="str">
        <f>IF($A7="","",IFERROR(SUMPRODUCT((Raw_Data_Daily!$B$2:$B$9999="Variant")*(Raw_Data_Daily!$A$2:$A$9999=$A7)*(Raw_Data_Daily!$C$2:$C$9999=$C$3)*Raw_Data_Daily!$D$2:$D$9999*Raw_Data_Daily!$AC$2:$AC$9999)/SUMIFS(Raw_Data_Daily!$D:$D, Raw_Data_Daily!$B:$B, "Variant", Raw_Data_Daily!$A:$A, $A7, Raw_Data_Daily!$C:$C, $C$3),""))</f>
        <v/>
      </c>
      <c r="CD7" s="96" t="str">
        <f t="shared" ref="CD7:CD41" si="27">IF($A7="","",IFERROR((CC7-CB7)/ABS(CB7),""))</f>
        <v/>
      </c>
      <c r="CE7" s="121" t="str">
        <f>IF($A7="","",IFERROR(SUMPRODUCT((Raw_Data_Daily!$B$2:$B$9999="Control")*(Raw_Data_Daily!$A$2:$A$9999=$A7)*(Raw_Data_Daily!$C$2:$C$9999=$C$3)*Raw_Data_Daily!$D$2:$D$9999*Raw_Data_Daily!$AD$2:$AD$9999)/SUMIFS(Raw_Data_Daily!$D:$D, Raw_Data_Daily!$B:$B, "Control", Raw_Data_Daily!$A:$A, $A7, Raw_Data_Daily!$C:$C, $C$3),""))</f>
        <v/>
      </c>
      <c r="CF7" s="121" t="str">
        <f>IF($A7="","",IFERROR(SUMPRODUCT((Raw_Data_Daily!$B$2:$B$9999="Variant")*(Raw_Data_Daily!$A$2:$A$9999=$A7)*(Raw_Data_Daily!$C$2:$C$9999=$C$3)*Raw_Data_Daily!$D$2:$D$9999*Raw_Data_Daily!$AD$2:$AD$9999)/SUMIFS(Raw_Data_Daily!$D:$D, Raw_Data_Daily!$B:$B, "Variant", Raw_Data_Daily!$A:$A, $A7, Raw_Data_Daily!$C:$C, $C$3),""))</f>
        <v/>
      </c>
      <c r="CG7" s="96" t="str">
        <f t="shared" ref="CG7:CG41" si="28">IF($A7="","",IFERROR((CF7-CE7)/ABS(CE7),""))</f>
        <v/>
      </c>
      <c r="CH7" s="121" t="str">
        <f>IF($A7="","",IFERROR(SUMPRODUCT((Raw_Data_Daily!$B$2:$B$9999="Control")*(Raw_Data_Daily!$A$2:$A$9999=$A7)*(Raw_Data_Daily!$C$2:$C$9999=$C$3)*Raw_Data_Daily!$D$2:$D$9999*Raw_Data_Daily!$AE$2:$AE$9999)/SUMIFS(Raw_Data_Daily!$D:$D, Raw_Data_Daily!$B:$B, "Control", Raw_Data_Daily!$A:$A, $A7, Raw_Data_Daily!$C:$C, $C$3),""))</f>
        <v/>
      </c>
      <c r="CI7" s="121" t="str">
        <f>IF($A7="","",IFERROR(SUMPRODUCT((Raw_Data_Daily!$B$2:$B$9999="Variant")*(Raw_Data_Daily!$A$2:$A$9999=$A7)*(Raw_Data_Daily!$C$2:$C$9999=$C$3)*Raw_Data_Daily!$D$2:$D$9999*Raw_Data_Daily!$AE$2:$AE$9999)/SUMIFS(Raw_Data_Daily!$D:$D, Raw_Data_Daily!$B:$B, "Variant", Raw_Data_Daily!$A:$A, $A7, Raw_Data_Daily!$C:$C, $C$3),""))</f>
        <v/>
      </c>
      <c r="CJ7" s="96" t="str">
        <f t="shared" ref="CJ7:CJ41" si="29">IF($A7="","",IFERROR((CI7-CH7)/ABS(CH7),""))</f>
        <v/>
      </c>
      <c r="CK7" s="121" t="str">
        <f>IF($A7="","",IFERROR(SUMPRODUCT((Raw_Data_Daily!$B$2:$B$9999="Control")*(Raw_Data_Daily!$A$2:$A$9999=$A7)*(Raw_Data_Daily!$C$2:$C$9999=$C$3)*Raw_Data_Daily!$D$2:$D$9999*Raw_Data_Daily!$AF$2:$AF$9999)/SUMIFS(Raw_Data_Daily!$D:$D, Raw_Data_Daily!$B:$B, "Control", Raw_Data_Daily!$A:$A, $A7, Raw_Data_Daily!$C:$C, $C$3),""))</f>
        <v/>
      </c>
      <c r="CL7" s="121" t="str">
        <f>IF($A7="","",IFERROR(SUMPRODUCT((Raw_Data_Daily!$B$2:$B$9999="Variant")*(Raw_Data_Daily!$A$2:$A$9999=$A7)*(Raw_Data_Daily!$C$2:$C$9999=$C$3)*Raw_Data_Daily!$D$2:$D$9999*Raw_Data_Daily!$AF$2:$AF$9999)/SUMIFS(Raw_Data_Daily!$D:$D, Raw_Data_Daily!$B:$B, "Variant", Raw_Data_Daily!$A:$A, $A7, Raw_Data_Daily!$C:$C, $C$3),""))</f>
        <v/>
      </c>
      <c r="CM7" s="96" t="str">
        <f t="shared" ref="CM7:CM41" si="30">IF($A7="","",IFERROR((CL7-CK7)/ABS(CK7),""))</f>
        <v/>
      </c>
      <c r="CN7" s="121" t="str">
        <f>IF($A7="","",IFERROR(SUMPRODUCT((Raw_Data_Daily!$B$2:$B$9999="Control")*(Raw_Data_Daily!$A$2:$A$9999=$A7)*(Raw_Data_Daily!$C$2:$C$9999=$C$3)*Raw_Data_Daily!$D$2:$D$9999*Raw_Data_Daily!$AG$2:$AG$9999)/SUMIFS(Raw_Data_Daily!$D:$D, Raw_Data_Daily!$B:$B, "Control", Raw_Data_Daily!$A:$A, $A7, Raw_Data_Daily!$C:$C, $C$3),""))</f>
        <v/>
      </c>
      <c r="CO7" s="121" t="str">
        <f>IF($A7="","",IFERROR(SUMPRODUCT((Raw_Data_Daily!$B$2:$B$9999="Variant")*(Raw_Data_Daily!$A$2:$A$9999=$A7)*(Raw_Data_Daily!$C$2:$C$9999=$C$3)*Raw_Data_Daily!$D$2:$D$9999*Raw_Data_Daily!$AG$2:$AG$9999)/SUMIFS(Raw_Data_Daily!$D:$D, Raw_Data_Daily!$B:$B, "Variant", Raw_Data_Daily!$A:$A, $A7, Raw_Data_Daily!$C:$C, $C$3),""))</f>
        <v/>
      </c>
      <c r="CP7" s="96" t="str">
        <f t="shared" ref="CP7:CP41" si="31">IF($A7="","",IFERROR((CO7-CN7)/ABS(CN7),""))</f>
        <v/>
      </c>
      <c r="CQ7" s="121" t="str">
        <f>IF($A7="","",IFERROR(SUMPRODUCT((Raw_Data_Daily!$B$2:$B$9999="Control")*(Raw_Data_Daily!$A$2:$A$9999=$A7)*(Raw_Data_Daily!$C$2:$C$9999=$C$3)*Raw_Data_Daily!$D$2:$D$9999*Raw_Data_Daily!$AH$2:$AH$9999)/SUMIFS(Raw_Data_Daily!$D:$D, Raw_Data_Daily!$B:$B, "Control", Raw_Data_Daily!$A:$A, $A7, Raw_Data_Daily!$C:$C, $C$3),""))</f>
        <v/>
      </c>
      <c r="CR7" s="121" t="str">
        <f>IF($A7="","",IFERROR(SUMPRODUCT((Raw_Data_Daily!$B$2:$B$9999="Variant")*(Raw_Data_Daily!$A$2:$A$9999=$A7)*(Raw_Data_Daily!$C$2:$C$9999=$C$3)*Raw_Data_Daily!$D$2:$D$9999*Raw_Data_Daily!$AH$2:$AH$9999)/SUMIFS(Raw_Data_Daily!$D:$D, Raw_Data_Daily!$B:$B, "Variant", Raw_Data_Daily!$A:$A, $A7, Raw_Data_Daily!$C:$C, $C$3),""))</f>
        <v/>
      </c>
      <c r="CS7" s="96" t="str">
        <f t="shared" ref="CS7:CS41" si="32">IF($A7="","",IFERROR((CR7-CQ7)/ABS(CQ7),""))</f>
        <v/>
      </c>
      <c r="CT7" s="94" t="str">
        <f>IF($A7="","",IFERROR(SUMPRODUCT((Raw_Data_Daily!$B$2:$B$9999="Control")*(Raw_Data_Daily!$A$2:$A$9999=$A7)*(Raw_Data_Daily!$C$2:$C$9999=$C$3)*Raw_Data_Daily!$D$2:$D$9999*Raw_Data_Daily!$AI$2:$AI$9999)/SUMIFS(Raw_Data_Daily!$D:$D, Raw_Data_Daily!$B:$B, "Control", Raw_Data_Daily!$A:$A, $A7, Raw_Data_Daily!$C:$C, $C$3),""))</f>
        <v/>
      </c>
      <c r="CU7" s="94" t="str">
        <f>IF($A7="","",IFERROR(SUMPRODUCT((Raw_Data_Daily!$B$2:$B$9999="Variant")*(Raw_Data_Daily!$A$2:$A$9999=$A7)*(Raw_Data_Daily!$C$2:$C$9999=$C$3)*Raw_Data_Daily!$D$2:$D$9999*Raw_Data_Daily!$AI$2:$AI$9999)/SUMIFS(Raw_Data_Daily!$D:$D, Raw_Data_Daily!$B:$B, "Variant", Raw_Data_Daily!$A:$A, $A7, Raw_Data_Daily!$C:$C, $C$3),""))</f>
        <v/>
      </c>
      <c r="CV7" s="142" t="str">
        <f t="shared" ref="CV7:CV41" si="33">IF($A7="","",IFERROR((CU7-CT7)/ABS(CT7),""))</f>
        <v/>
      </c>
      <c r="CW7" s="94" t="str">
        <f>IF($A7="","",IFERROR(SUMPRODUCT((Raw_Data_Daily!$B$2:$B$9999="Control")*(Raw_Data_Daily!$A$2:$A$9999=$A7)*(Raw_Data_Daily!$C$2:$C$9999=$C$3)*Raw_Data_Daily!$D$2:$D$9999*Raw_Data_Daily!$AJ$2:$AJ$9999)/SUMIFS(Raw_Data_Daily!$D:$D, Raw_Data_Daily!$B:$B, "Control", Raw_Data_Daily!$A:$A, $A7, Raw_Data_Daily!$C:$C, $C$3),""))</f>
        <v/>
      </c>
      <c r="CX7" s="94" t="str">
        <f>IF($A7="","",IFERROR(SUMPRODUCT((Raw_Data_Daily!$B$2:$B$9999="Variant")*(Raw_Data_Daily!$A$2:$A$9999=$A7)*(Raw_Data_Daily!$C$2:$C$9999=$C$3)*Raw_Data_Daily!$D$2:$D$9999*Raw_Data_Daily!$AJ$2:$AJ$9999)/SUMIFS(Raw_Data_Daily!$D:$D, Raw_Data_Daily!$B:$B, "Variant", Raw_Data_Daily!$A:$A, $A7, Raw_Data_Daily!$C:$C, $C$3),""))</f>
        <v/>
      </c>
      <c r="CY7" s="142" t="str">
        <f t="shared" ref="CY7:CY41" si="34">IF($A7="","",IFERROR((CX7-CW7)/ABS(CW7),""))</f>
        <v/>
      </c>
      <c r="CZ7" s="94" t="str">
        <f>IF($A7="","",IFERROR(SUMPRODUCT((Raw_Data_Daily!$B$2:$B$9999="Control")*(Raw_Data_Daily!$A$2:$A$9999=$A7)*(Raw_Data_Daily!$C$2:$C$9999=$C$3)*Raw_Data_Daily!$D$2:$D$9999*Raw_Data_Daily!$AK$2:$AK$9999)/SUMIFS(Raw_Data_Daily!$D:$D, Raw_Data_Daily!$B:$B, "Control", Raw_Data_Daily!$A:$A, $A7, Raw_Data_Daily!$C:$C, $C$3),""))</f>
        <v/>
      </c>
      <c r="DA7" s="94" t="str">
        <f>IF($A7="","",IFERROR(SUMPRODUCT((Raw_Data_Daily!$B$2:$B$9999="Variant")*(Raw_Data_Daily!$A$2:$A$9999=$A7)*(Raw_Data_Daily!$C$2:$C$9999=$C$3)*Raw_Data_Daily!$D$2:$D$9999*Raw_Data_Daily!$AK$2:$AK$9999)/SUMIFS(Raw_Data_Daily!$D:$D, Raw_Data_Daily!$B:$B, "Variant", Raw_Data_Daily!$A:$A, $A7, Raw_Data_Daily!$C:$C, $C$3),""))</f>
        <v/>
      </c>
      <c r="DB7" s="96" t="str">
        <f t="shared" ref="DB7:DB41" si="35">IF($A7="","",IFERROR((DA7-CZ7)/ABS(CZ7),""))</f>
        <v/>
      </c>
      <c r="DC7" s="139" t="str">
        <f>IF($A7="","",IFERROR(SUMPRODUCT((Raw_Data_Daily!$B$2:$B$9999="Control")*(Raw_Data_Daily!$A$2:$A$9999=$A7)*(Raw_Data_Daily!$C$2:$C$9999=$C$3)*Raw_Data_Daily!$D$2:$D$9999*Raw_Data_Daily!$AL$2:$AL$9999)/SUMIFS(Raw_Data_Daily!$D:$D, Raw_Data_Daily!$B:$B, "Control", Raw_Data_Daily!$A:$A, $A7, Raw_Data_Daily!$C:$C, $C$3),""))</f>
        <v/>
      </c>
      <c r="DD7" s="139" t="str">
        <f>IF($A7="","",IFERROR(SUMPRODUCT((Raw_Data_Daily!$B$2:$B$9999="Variant")*(Raw_Data_Daily!$A$2:$A$9999=$A7)*(Raw_Data_Daily!$C$2:$C$9999=$C$3)*Raw_Data_Daily!$D$2:$D$9999*Raw_Data_Daily!$AL$2:$AL$9999)/SUMIFS(Raw_Data_Daily!$D:$D, Raw_Data_Daily!$B:$B, "Variant", Raw_Data_Daily!$A:$A, $A7, Raw_Data_Daily!$C:$C, $C$3),""))</f>
        <v/>
      </c>
      <c r="DE7" s="142" t="str">
        <f t="shared" ref="DE7:DE41" si="36">IF($A7="","",IFERROR((DD7-DC7)/ABS(DC7),""))</f>
        <v/>
      </c>
      <c r="DF7" s="168"/>
      <c r="DG7" s="94" t="str">
        <f>IF($A7="","",IFERROR(SUMPRODUCT((Raw_Data_Daily!$B$2:$B$9999="Variant")*(Raw_Data_Daily!$A$2:$A$9999=$A7)*(Raw_Data_Daily!$C$2:$C$9999=$C$3)*Raw_Data_Daily!$D$2:$D$9999*Raw_Data_Daily!$AM$2:$AM$9999)/SUMIFS(Raw_Data_Daily!$D:$D, Raw_Data_Daily!$B:$B, "Variant", Raw_Data_Daily!$A:$A, $A7, Raw_Data_Daily!$C:$C, $C$3),""))</f>
        <v/>
      </c>
      <c r="DH7" s="169"/>
      <c r="DI7" s="168"/>
      <c r="DJ7" s="94" t="str">
        <f>IF($A7="","",IFERROR(SUMPRODUCT((Raw_Data_Daily!$B$2:$B$9999="Variant")*(Raw_Data_Daily!$A$2:$A$9999=$A7)*(Raw_Data_Daily!$C$2:$C$9999=$C$3)*Raw_Data_Daily!$D$2:$D$9999*Raw_Data_Daily!$AN$2:$AN$9999)/SUMIFS(Raw_Data_Daily!$D:$D, Raw_Data_Daily!$B:$B, "Variant", Raw_Data_Daily!$A:$A, $A7, Raw_Data_Daily!$C:$C, $C$3),""))</f>
        <v/>
      </c>
      <c r="DK7" s="169"/>
      <c r="DL7" s="168"/>
      <c r="DM7" s="94" t="str">
        <f>IF($A7="","",IFERROR(SUMPRODUCT((Raw_Data_Daily!$B$2:$B$9999="Variant")*(Raw_Data_Daily!$A$2:$A$9999=$A7)*(Raw_Data_Daily!$C$2:$C$9999=$C$3)*Raw_Data_Daily!$D$2:$D$9999*Raw_Data_Daily!$AO$2:$AO$9999)/SUMIFS(Raw_Data_Daily!$D:$D, Raw_Data_Daily!$B:$B, "Variant", Raw_Data_Daily!$A:$A, $A7, Raw_Data_Daily!$C:$C, $C$3),""))</f>
        <v/>
      </c>
      <c r="DN7" s="169"/>
      <c r="DO7" s="168"/>
      <c r="DP7" s="94" t="str">
        <f>IF($A7="","",IFERROR(SUMPRODUCT((Raw_Data_Daily!$B$2:$B$9999="Variant")*(Raw_Data_Daily!$A$2:$A$9999=$A7)*(Raw_Data_Daily!$C$2:$C$9999=$C$3)*Raw_Data_Daily!$D$2:$D$9999*Raw_Data_Daily!$AP$2:$AP$9999)/SUMIFS(Raw_Data_Daily!$D:$D, Raw_Data_Daily!$B:$B, "Variant", Raw_Data_Daily!$A:$A, $A7, Raw_Data_Daily!$C:$C, $C$3),""))</f>
        <v/>
      </c>
      <c r="DQ7" s="169"/>
      <c r="DR7" s="139" t="str">
        <f>IF($A7="","",IFERROR(SUMPRODUCT((Raw_Data_Daily!$B$2:$B$9999="Control")*(Raw_Data_Daily!$A$2:$A$9999=$A7)*(Raw_Data_Daily!$C$2:$C$9999=$C$3)*Raw_Data_Daily!$D$2:$D$9999*Raw_Data_Daily!$AQ$2:$AQ$9999)/SUMIFS(Raw_Data_Daily!$D:$D, Raw_Data_Daily!$B:$B, "Control", Raw_Data_Daily!$A:$A, $A7, Raw_Data_Daily!$C:$C, $C$3),""))</f>
        <v/>
      </c>
      <c r="DS7" s="139" t="str">
        <f>IF($A7="","",IFERROR(SUMPRODUCT((Raw_Data_Daily!$B$2:$B$9999="Variant")*(Raw_Data_Daily!$A$2:$A$9999=$A7)*(Raw_Data_Daily!$C$2:$C$9999=$C$3)*Raw_Data_Daily!$D$2:$D$9999*Raw_Data_Daily!$AQ$2:$AQ$9999)/SUMIFS(Raw_Data_Daily!$D:$D, Raw_Data_Daily!$B:$B, "Variant", Raw_Data_Daily!$A:$A, $A7, Raw_Data_Daily!$C:$C, $C$3),""))</f>
        <v/>
      </c>
      <c r="DT7" s="173" t="str">
        <f t="shared" ref="DT7:DT41" si="37">IF($A7="","",IFERROR((DS7-DR7)/ABS(DR7),""))</f>
        <v/>
      </c>
      <c r="DU7" s="139" t="str">
        <f>IF($A7="","",IFERROR(SUMPRODUCT((Raw_Data_Daily!$B$2:$B$9999="Control")*(Raw_Data_Daily!$A$2:$A$9999=$A7)*(Raw_Data_Daily!$C$2:$C$9999=$C$3)*Raw_Data_Daily!$D$2:$D$9999*Raw_Data_Daily!$AR$2:$AR$9999)/SUMIFS(Raw_Data_Daily!$D:$D, Raw_Data_Daily!$B:$B, "Control", Raw_Data_Daily!$A:$A, $A7, Raw_Data_Daily!$C:$C, $C$3),""))</f>
        <v/>
      </c>
      <c r="DV7" s="139" t="str">
        <f>IF($A7="","",IFERROR(SUMPRODUCT((Raw_Data_Daily!$B$2:$B$9999="Variant")*(Raw_Data_Daily!$A$2:$A$9999=$A7)*(Raw_Data_Daily!$C$2:$C$9999=$C$3)*Raw_Data_Daily!$D$2:$D$9999*Raw_Data_Daily!$AR$2:$AR$9999)/SUMIFS(Raw_Data_Daily!$D:$D, Raw_Data_Daily!$B:$B, "Variant", Raw_Data_Daily!$A:$A, $A7, Raw_Data_Daily!$C:$C, $C$3),""))</f>
        <v/>
      </c>
      <c r="DW7" s="173" t="str">
        <f t="shared" ref="DW7:DW41" si="38">IF($A7="","",IFERROR((DV7-DU7)/ABS(DU7),""))</f>
        <v/>
      </c>
      <c r="DX7" s="139" t="str">
        <f>IF($A7="","",IFERROR(SUMPRODUCT((Raw_Data_Daily!$B$2:$B$9999="Control")*(Raw_Data_Daily!$A$2:$A$9999=$A7)*(Raw_Data_Daily!$C$2:$C$9999=$C$3)*Raw_Data_Daily!$D$2:$D$9999*Raw_Data_Daily!$AS$2:$AS$9999)/SUMIFS(Raw_Data_Daily!$D:$D, Raw_Data_Daily!$B:$B, "Control", Raw_Data_Daily!$A:$A, $A7, Raw_Data_Daily!$C:$C, $C$3),""))</f>
        <v/>
      </c>
      <c r="DY7" s="139" t="str">
        <f>IF($A7="","",IFERROR(SUMPRODUCT((Raw_Data_Daily!$B$2:$B$9999="Variant")*(Raw_Data_Daily!$A$2:$A$9999=$A7)*(Raw_Data_Daily!$C$2:$C$9999=$C$3)*Raw_Data_Daily!$D$2:$D$9999*Raw_Data_Daily!$AS$2:$AS$9999)/SUMIFS(Raw_Data_Daily!$D:$D, Raw_Data_Daily!$B:$B, "Variant", Raw_Data_Daily!$A:$A, $A7, Raw_Data_Daily!$C:$C, $C$3),""))</f>
        <v/>
      </c>
      <c r="DZ7" s="174" t="str">
        <f t="shared" ref="DZ7:DZ41" si="39">IF($A7="","",IFERROR((DY7-DX7)/ABS(DX7),""))</f>
        <v/>
      </c>
      <c r="EA7" s="139" t="str">
        <f>IF($A7="","",IFERROR(SUMPRODUCT((Raw_Data_Daily!$B$2:$B$9999="Control")*(Raw_Data_Daily!$A$2:$A$9999=$A7)*(Raw_Data_Daily!$C$2:$C$9999=$C$3)*Raw_Data_Daily!$D$2:$D$9999*Raw_Data_Daily!$AT$2:$AT$9999)/SUMIFS(Raw_Data_Daily!$D:$D, Raw_Data_Daily!$B:$B, "Control", Raw_Data_Daily!$A:$A, $A7, Raw_Data_Daily!$C:$C, $C$3),""))</f>
        <v/>
      </c>
      <c r="EB7" s="139" t="str">
        <f>IF($A7="","",IFERROR(SUMPRODUCT((Raw_Data_Daily!$B$2:$B$9999="Variant")*(Raw_Data_Daily!$A$2:$A$9999=$A7)*(Raw_Data_Daily!$C$2:$C$9999=$C$3)*Raw_Data_Daily!$D$2:$D$9999*Raw_Data_Daily!$AT$2:$AT$9999)/SUMIFS(Raw_Data_Daily!$D:$D, Raw_Data_Daily!$B:$B, "Variant", Raw_Data_Daily!$A:$A, $A7, Raw_Data_Daily!$C:$C, $C$3),""))</f>
        <v/>
      </c>
      <c r="EC7" s="173" t="str">
        <f t="shared" ref="EC7:EC41" si="40">IF($A7="","",IFERROR((EB7-EA7)/ABS(EA7),""))</f>
        <v/>
      </c>
      <c r="ED7" s="139" t="str">
        <f>IF($A7="","",IFERROR(SUMPRODUCT((Raw_Data_Daily!$B$2:$B$9999="Control")*(Raw_Data_Daily!$A$2:$A$9999=$A7)*(Raw_Data_Daily!$C$2:$C$9999=$C$3)*Raw_Data_Daily!$D$2:$D$9999*(Raw_Data_Daily!$AQ$2:$AQ$9999-Raw_Data_Daily!$AT$2:$AT$9999))/SUMIFS(Raw_Data_Daily!$D:$D, Raw_Data_Daily!$B:$B, "Control", Raw_Data_Daily!$A:$A, $A7, Raw_Data_Daily!$C:$C, $C$3),""))</f>
        <v/>
      </c>
      <c r="EE7" s="139" t="str">
        <f>IF($A7="","",IFERROR(SUMPRODUCT((Raw_Data_Daily!$B$2:$B$9999="Variant")*(Raw_Data_Daily!$A$2:$A$9999=$A7)*(Raw_Data_Daily!$C$2:$C$9999=$C$3)*Raw_Data_Daily!$D$2:$D$9999*(Raw_Data_Daily!$AQ$2:$AQ$9999-Raw_Data_Daily!$AT$2:$AT$9999))/SUMIFS(Raw_Data_Daily!$D:$D, Raw_Data_Daily!$B:$B, "Variant", Raw_Data_Daily!$A:$A, $A7, Raw_Data_Daily!$C:$C, $C$3),""))</f>
        <v/>
      </c>
      <c r="EF7" s="174" t="str">
        <f t="shared" ref="EF7:EF41" si="41">IF($A7="","",IFERROR((EE7-ED7)/ABS(ED7),""))</f>
        <v/>
      </c>
      <c r="EG7" s="139" t="str">
        <f>IF($A7="","",IFERROR(SUMPRODUCT((Raw_Data_Daily!$B$2:$B$9999="Control")*(Raw_Data_Daily!$A$2:$A$9999=$A7)*(Raw_Data_Daily!$C$2:$C$9999=$C$3)*Raw_Data_Daily!$D$2:$D$9999*Raw_Data_Daily!$AU$2:$AU$9999)/SUMIFS(Raw_Data_Daily!$D:$D, Raw_Data_Daily!$B:$B, "Control", Raw_Data_Daily!$A:$A, $A7, Raw_Data_Daily!$C:$C, $C$3),""))</f>
        <v/>
      </c>
      <c r="EH7" s="139" t="str">
        <f>IF($A7="","",IFERROR(SUMPRODUCT((Raw_Data_Daily!$B$2:$B$9999="Variant")*(Raw_Data_Daily!$A$2:$A$9999=$A7)*(Raw_Data_Daily!$C$2:$C$9999=$C$3)*Raw_Data_Daily!$D$2:$D$9999*Raw_Data_Daily!$AU$2:$AU$9999)/SUMIFS(Raw_Data_Daily!$D:$D, Raw_Data_Daily!$B:$B, "Variant", Raw_Data_Daily!$A:$A, $A7, Raw_Data_Daily!$C:$C, $C$3),""))</f>
        <v/>
      </c>
      <c r="EI7" s="173" t="str">
        <f t="shared" ref="EI7:EI41" si="42">IF($A7="","",IFERROR((EH7-EG7)/ABS(EG7),""))</f>
        <v/>
      </c>
    </row>
    <row r="8" ht="15.75" customHeight="1">
      <c r="A8" s="91">
        <v>46231.0</v>
      </c>
      <c r="B8" s="92">
        <f>IF($A8="","",SUMIFS(Raw_Data_Daily!$D:$D, Raw_Data_Daily!$B:$B, "Control", Raw_Data_Daily!$A:$A, $A8, Raw_Data_Daily!$C:$C, $C$3))</f>
        <v>0</v>
      </c>
      <c r="C8" s="92">
        <f>IF($A8="","",SUMIFS(Raw_Data_Daily!$D:$D, Raw_Data_Daily!$B:$B, "Variant", Raw_Data_Daily!$A:$A, $A8, Raw_Data_Daily!$C:$C, $C$3))</f>
        <v>0</v>
      </c>
      <c r="D8" s="93" t="str">
        <f t="shared" si="1"/>
        <v/>
      </c>
      <c r="E8" s="94" t="str">
        <f>IF($A8="","",IFERROR(SUMPRODUCT((Raw_Data_Daily!$B$2:$B$9999="Control")*(Raw_Data_Daily!$A$2:$A$9999=$A8)*(Raw_Data_Daily!$C$2:$C$9999=$C$3)*Raw_Data_Daily!$D$2:$D$9999*Raw_Data_Daily!$E$2:$E$9999)/SUMIFS(Raw_Data_Daily!$D:$D, Raw_Data_Daily!$B:$B, "Control", Raw_Data_Daily!$A:$A, $A8, Raw_Data_Daily!$C:$C, $C$3),""))</f>
        <v/>
      </c>
      <c r="F8" s="94" t="str">
        <f>IF($A8="","",IFERROR(SUMPRODUCT((Raw_Data_Daily!$B$2:$B$9999="Variant")*(Raw_Data_Daily!$A$2:$A$9999=$A8)*(Raw_Data_Daily!$C$2:$C$9999=$C$3)*Raw_Data_Daily!$D$2:$D$9999*Raw_Data_Daily!$E$2:$E$9999)/SUMIFS(Raw_Data_Daily!$D:$D, Raw_Data_Daily!$B:$B, "Variant", Raw_Data_Daily!$A:$A, $A8, Raw_Data_Daily!$C:$C, $C$3),""))</f>
        <v/>
      </c>
      <c r="G8" s="93" t="str">
        <f t="shared" si="2"/>
        <v/>
      </c>
      <c r="H8" s="95">
        <f>IF($A8="","",SUMIFS(Raw_Data_Daily!$F:$F, Raw_Data_Daily!$B:$B, "Control", Raw_Data_Daily!$A:$A, $A8, Raw_Data_Daily!$C:$C, $C$3))</f>
        <v>0</v>
      </c>
      <c r="I8" s="95">
        <f>IF($A8="","",SUMIFS(Raw_Data_Daily!$F:$F, Raw_Data_Daily!$B:$B, "Variant", Raw_Data_Daily!$A:$A, $A8, Raw_Data_Daily!$C:$C, $C$3))</f>
        <v>0</v>
      </c>
      <c r="J8" s="96" t="str">
        <f t="shared" si="3"/>
        <v/>
      </c>
      <c r="K8" s="97" t="str">
        <f>IF($A8="","",IFERROR(SUMIFS(Raw_Data_Daily!$F:$F, Raw_Data_Daily!$B:$B, "Control", Raw_Data_Daily!$A:$A, $A8, Raw_Data_Daily!$C:$C, $C$3)/SUMIFS(Raw_Data_Daily!$D:$D, Raw_Data_Daily!$B:$B, "Control", Raw_Data_Daily!$A:$A, $A8, Raw_Data_Daily!$C:$C, $C$3),""))</f>
        <v/>
      </c>
      <c r="L8" s="97" t="str">
        <f>IF($A8="","",IFERROR(SUMIFS(Raw_Data_Daily!$F:$F, Raw_Data_Daily!$B:$B, "Variant", Raw_Data_Daily!$A:$A, $A8, Raw_Data_Daily!$C:$C, $C$3)/SUMIFS(Raw_Data_Daily!$D:$D, Raw_Data_Daily!$B:$B, "Variant", Raw_Data_Daily!$A:$A, $A8, Raw_Data_Daily!$C:$C, $C$3),""))</f>
        <v/>
      </c>
      <c r="M8" s="96" t="str">
        <f t="shared" si="4"/>
        <v/>
      </c>
      <c r="N8" s="94" t="str">
        <f>IF($A8="","",IFERROR(SUMPRODUCT((Raw_Data_Daily!$B$2:$B$9999="Control")*(Raw_Data_Daily!$A$2:$A$9999=$A8)*(Raw_Data_Daily!$C$2:$C$9999=$C$3)*Raw_Data_Daily!$D$2:$D$9999*Raw_Data_Daily!$H$2:$H$9999/100)/SUMIFS(Raw_Data_Daily!$D:$D, Raw_Data_Daily!$B:$B, "Control", Raw_Data_Daily!$A:$A, $A8, Raw_Data_Daily!$C:$C, $C$3)*100,""))</f>
        <v/>
      </c>
      <c r="O8" s="94" t="str">
        <f>IF($A8="","",IFERROR(SUMPRODUCT((Raw_Data_Daily!$B$2:$B$9999="Variant")*(Raw_Data_Daily!$A$2:$A$9999=$A8)*(Raw_Data_Daily!$C$2:$C$9999=$C$3)*Raw_Data_Daily!$D$2:$D$9999*Raw_Data_Daily!$H$2:$H$9999/100)/SUMIFS(Raw_Data_Daily!$D:$D, Raw_Data_Daily!$B:$B, "Variant", Raw_Data_Daily!$A:$A, $A8, Raw_Data_Daily!$C:$C, $C$3)*100,""))</f>
        <v/>
      </c>
      <c r="P8" s="96" t="str">
        <f t="shared" si="5"/>
        <v/>
      </c>
      <c r="Q8" s="97" t="str">
        <f>IF($A8="","",IFERROR(SUMIFS(Raw_Data_Daily!$F:$F, Raw_Data_Daily!$B:$B, "Control", Raw_Data_Daily!$A:$A, $A8, Raw_Data_Daily!$C:$C, $C$3)/SUMPRODUCT((Raw_Data_Daily!$B$2:$B$9999="Control")*(Raw_Data_Daily!$A$2:$A$9999=$A8)*(Raw_Data_Daily!$C$2:$C$9999=$C$3)*Raw_Data_Daily!$D$2:$D$9999*Raw_Data_Daily!$H$2:$H$9999/100),""))</f>
        <v/>
      </c>
      <c r="R8" s="97" t="str">
        <f>IF($A8="","",IFERROR(SUMIFS(Raw_Data_Daily!$F:$F, Raw_Data_Daily!$B:$B, "Variant", Raw_Data_Daily!$A:$A, $A8, Raw_Data_Daily!$C:$C, $C$3)/SUMPRODUCT((Raw_Data_Daily!$B$2:$B$9999="Variant")*(Raw_Data_Daily!$A$2:$A$9999=$A8)*(Raw_Data_Daily!$C$2:$C$9999=$C$3)*Raw_Data_Daily!$D$2:$D$9999*Raw_Data_Daily!$H$2:$H$9999/100),""))</f>
        <v/>
      </c>
      <c r="S8" s="96" t="str">
        <f t="shared" si="6"/>
        <v/>
      </c>
      <c r="T8" s="121" t="str">
        <f>IF($A8="","",IFERROR(SUMPRODUCT((Raw_Data_Daily!$B$2:$B$9999="Control")*(Raw_Data_Daily!$A$2:$A$9999=$A8)*(Raw_Data_Daily!$C$2:$C$9999=$C$3)*Raw_Data_Daily!$D$2:$D$9999*Raw_Data_Daily!$J$2:$J$9999)/SUMIFS(Raw_Data_Daily!$D:$D, Raw_Data_Daily!$B:$B, "Control", Raw_Data_Daily!$A:$A, $A8, Raw_Data_Daily!$C:$C, $C$3),""))</f>
        <v/>
      </c>
      <c r="U8" s="121" t="str">
        <f>IF($A8="","",IFERROR(SUMPRODUCT((Raw_Data_Daily!$B$2:$B$9999="Variant")*(Raw_Data_Daily!$A$2:$A$9999=$A8)*(Raw_Data_Daily!$C$2:$C$9999=$C$3)*Raw_Data_Daily!$D$2:$D$9999*Raw_Data_Daily!$J$2:$J$9999)/SUMIFS(Raw_Data_Daily!$D:$D, Raw_Data_Daily!$B:$B, "Variant", Raw_Data_Daily!$A:$A, $A8, Raw_Data_Daily!$C:$C, $C$3),""))</f>
        <v/>
      </c>
      <c r="V8" s="96" t="str">
        <f t="shared" si="7"/>
        <v/>
      </c>
      <c r="W8" s="121" t="str">
        <f>IF($A8="","",IFERROR(SUMPRODUCT((Raw_Data_Daily!$B$2:$B$9999="Control")*(Raw_Data_Daily!$A$2:$A$9999=$A8)*(Raw_Data_Daily!$C$2:$C$9999=$C$3)*Raw_Data_Daily!$D$2:$D$9999*Raw_Data_Daily!$K$2:$K$9999)/SUMIFS(Raw_Data_Daily!$D:$D, Raw_Data_Daily!$B:$B, "Control", Raw_Data_Daily!$A:$A, $A8, Raw_Data_Daily!$C:$C, $C$3),""))</f>
        <v/>
      </c>
      <c r="X8" s="121" t="str">
        <f>IF($A8="","",IFERROR(SUMPRODUCT((Raw_Data_Daily!$B$2:$B$9999="Variant")*(Raw_Data_Daily!$A$2:$A$9999=$A8)*(Raw_Data_Daily!$C$2:$C$9999=$C$3)*Raw_Data_Daily!$D$2:$D$9999*Raw_Data_Daily!$K$2:$K$9999)/SUMIFS(Raw_Data_Daily!$D:$D, Raw_Data_Daily!$B:$B, "Variant", Raw_Data_Daily!$A:$A, $A8, Raw_Data_Daily!$C:$C, $C$3),""))</f>
        <v/>
      </c>
      <c r="Y8" s="96" t="str">
        <f t="shared" si="8"/>
        <v/>
      </c>
      <c r="Z8" s="121" t="str">
        <f>IF($A8="","",IFERROR(SUMPRODUCT((Raw_Data_Daily!$B$2:$B$9999="Control")*(Raw_Data_Daily!$A$2:$A$9999=$A8)*(Raw_Data_Daily!$C$2:$C$9999=$C$3)*Raw_Data_Daily!$D$2:$D$9999*Raw_Data_Daily!$L$2:$L$9999)/SUMIFS(Raw_Data_Daily!$D:$D, Raw_Data_Daily!$B:$B, "Control", Raw_Data_Daily!$A:$A, $A8, Raw_Data_Daily!$C:$C, $C$3),""))</f>
        <v/>
      </c>
      <c r="AA8" s="121" t="str">
        <f>IF($A8="","",IFERROR(SUMPRODUCT((Raw_Data_Daily!$B$2:$B$9999="Variant")*(Raw_Data_Daily!$A$2:$A$9999=$A8)*(Raw_Data_Daily!$C$2:$C$9999=$C$3)*Raw_Data_Daily!$D$2:$D$9999*Raw_Data_Daily!$L$2:$L$9999)/SUMIFS(Raw_Data_Daily!$D:$D, Raw_Data_Daily!$B:$B, "Variant", Raw_Data_Daily!$A:$A, $A8, Raw_Data_Daily!$C:$C, $C$3),""))</f>
        <v/>
      </c>
      <c r="AB8" s="96" t="str">
        <f t="shared" si="9"/>
        <v/>
      </c>
      <c r="AC8" s="139" t="str">
        <f>IF($A8="","",IFERROR(SUMPRODUCT((Raw_Data_Daily!$B$2:$B$9999="Control")*(Raw_Data_Daily!$A$2:$A$9999=$A8)*(Raw_Data_Daily!$C$2:$C$9999=$C$3)*Raw_Data_Daily!$D$2:$D$9999*Raw_Data_Daily!$M$2:$M$9999)/SUMIFS(Raw_Data_Daily!$D:$D, Raw_Data_Daily!$B:$B, "Control", Raw_Data_Daily!$A:$A, $A8, Raw_Data_Daily!$C:$C, $C$3),""))</f>
        <v/>
      </c>
      <c r="AD8" s="139" t="str">
        <f>IF($A8="","",IFERROR(SUMPRODUCT((Raw_Data_Daily!$B$2:$B$9999="Variant")*(Raw_Data_Daily!$A$2:$A$9999=$A8)*(Raw_Data_Daily!$C$2:$C$9999=$C$3)*Raw_Data_Daily!$D$2:$D$9999*Raw_Data_Daily!$M$2:$M$9999)/SUMIFS(Raw_Data_Daily!$D:$D, Raw_Data_Daily!$B:$B, "Variant", Raw_Data_Daily!$A:$A, $A8, Raw_Data_Daily!$C:$C, $C$3),""))</f>
        <v/>
      </c>
      <c r="AE8" s="142" t="str">
        <f t="shared" si="10"/>
        <v/>
      </c>
      <c r="AF8" s="139" t="str">
        <f>IF($A8="","",IFERROR(SUMPRODUCT((Raw_Data_Daily!$B$2:$B$9999="Control")*(Raw_Data_Daily!$A$2:$A$9999=$A8)*(Raw_Data_Daily!$C$2:$C$9999=$C$3)*Raw_Data_Daily!$D$2:$D$9999*Raw_Data_Daily!$N$2:$N$9999)/SUMIFS(Raw_Data_Daily!$D:$D, Raw_Data_Daily!$B:$B, "Control", Raw_Data_Daily!$A:$A, $A8, Raw_Data_Daily!$C:$C, $C$3),""))</f>
        <v/>
      </c>
      <c r="AG8" s="139" t="str">
        <f>IF($A8="","",IFERROR(SUMPRODUCT((Raw_Data_Daily!$B$2:$B$9999="Variant")*(Raw_Data_Daily!$A$2:$A$9999=$A8)*(Raw_Data_Daily!$C$2:$C$9999=$C$3)*Raw_Data_Daily!$D$2:$D$9999*Raw_Data_Daily!$N$2:$N$9999)/SUMIFS(Raw_Data_Daily!$D:$D, Raw_Data_Daily!$B:$B, "Variant", Raw_Data_Daily!$A:$A, $A8, Raw_Data_Daily!$C:$C, $C$3),""))</f>
        <v/>
      </c>
      <c r="AH8" s="142" t="str">
        <f t="shared" si="11"/>
        <v/>
      </c>
      <c r="AI8" s="139" t="str">
        <f>IF($A8="","",IFERROR(SUMPRODUCT((Raw_Data_Daily!$B$2:$B$9999="Control")*(Raw_Data_Daily!$A$2:$A$9999=$A8)*(Raw_Data_Daily!$C$2:$C$9999=$C$3)*Raw_Data_Daily!$D$2:$D$9999*Raw_Data_Daily!$O$2:$O$9999)/SUMIFS(Raw_Data_Daily!$D:$D, Raw_Data_Daily!$B:$B, "Control", Raw_Data_Daily!$A:$A, $A8, Raw_Data_Daily!$C:$C, $C$3),""))</f>
        <v/>
      </c>
      <c r="AJ8" s="139" t="str">
        <f>IF($A8="","",IFERROR(SUMPRODUCT((Raw_Data_Daily!$B$2:$B$9999="Variant")*(Raw_Data_Daily!$A$2:$A$9999=$A8)*(Raw_Data_Daily!$C$2:$C$9999=$C$3)*Raw_Data_Daily!$D$2:$D$9999*Raw_Data_Daily!$O$2:$O$9999)/SUMIFS(Raw_Data_Daily!$D:$D, Raw_Data_Daily!$B:$B, "Variant", Raw_Data_Daily!$A:$A, $A8, Raw_Data_Daily!$C:$C, $C$3),""))</f>
        <v/>
      </c>
      <c r="AK8" s="96" t="str">
        <f t="shared" si="12"/>
        <v/>
      </c>
      <c r="AL8" s="121" t="str">
        <f>IF($A8="","",IFERROR(SUMPRODUCT((Raw_Data_Daily!$B$2:$B$9999="Control")*(Raw_Data_Daily!$A$2:$A$9999=$A8)*(Raw_Data_Daily!$C$2:$C$9999=$C$3)*Raw_Data_Daily!$D$2:$D$9999*Raw_Data_Daily!$P$2:$P$9999)/SUMIFS(Raw_Data_Daily!$D:$D, Raw_Data_Daily!$B:$B, "Control", Raw_Data_Daily!$A:$A, $A8, Raw_Data_Daily!$C:$C, $C$3),""))</f>
        <v/>
      </c>
      <c r="AM8" s="121" t="str">
        <f>IF($A8="","",IFERROR(SUMPRODUCT((Raw_Data_Daily!$B$2:$B$9999="Variant")*(Raw_Data_Daily!$A$2:$A$9999=$A8)*(Raw_Data_Daily!$C$2:$C$9999=$C$3)*Raw_Data_Daily!$D$2:$D$9999*Raw_Data_Daily!$P$2:$P$9999)/SUMIFS(Raw_Data_Daily!$D:$D, Raw_Data_Daily!$B:$B, "Variant", Raw_Data_Daily!$A:$A, $A8, Raw_Data_Daily!$C:$C, $C$3),""))</f>
        <v/>
      </c>
      <c r="AN8" s="96" t="str">
        <f t="shared" si="13"/>
        <v/>
      </c>
      <c r="AO8" s="121" t="str">
        <f>IF($A8="","",IFERROR(SUMPRODUCT((Raw_Data_Daily!$B$2:$B$9999="Control")*(Raw_Data_Daily!$A$2:$A$9999=$A8)*(Raw_Data_Daily!$C$2:$C$9999=$C$3)*Raw_Data_Daily!$D$2:$D$9999*Raw_Data_Daily!$Q$2:$Q$9999)/SUMIFS(Raw_Data_Daily!$D:$D, Raw_Data_Daily!$B:$B, "Control", Raw_Data_Daily!$A:$A, $A8, Raw_Data_Daily!$C:$C, $C$3),""))</f>
        <v/>
      </c>
      <c r="AP8" s="121" t="str">
        <f>IF($A8="","",IFERROR(SUMPRODUCT((Raw_Data_Daily!$B$2:$B$9999="Variant")*(Raw_Data_Daily!$A$2:$A$9999=$A8)*(Raw_Data_Daily!$C$2:$C$9999=$C$3)*Raw_Data_Daily!$D$2:$D$9999*Raw_Data_Daily!$Q$2:$Q$9999)/SUMIFS(Raw_Data_Daily!$D:$D, Raw_Data_Daily!$B:$B, "Variant", Raw_Data_Daily!$A:$A, $A8, Raw_Data_Daily!$C:$C, $C$3),""))</f>
        <v/>
      </c>
      <c r="AQ8" s="93" t="str">
        <f t="shared" si="14"/>
        <v/>
      </c>
      <c r="AR8" s="121" t="str">
        <f>IF($A8="","",IFERROR(SUMPRODUCT((Raw_Data_Daily!$B$2:$B$9999="Control")*(Raw_Data_Daily!$A$2:$A$9999=$A8)*(Raw_Data_Daily!$C$2:$C$9999=$C$3)*Raw_Data_Daily!$D$2:$D$9999*Raw_Data_Daily!$R$2:$R$9999)/SUMIFS(Raw_Data_Daily!$D:$D, Raw_Data_Daily!$B:$B, "Control", Raw_Data_Daily!$A:$A, $A8, Raw_Data_Daily!$C:$C, $C$3),""))</f>
        <v/>
      </c>
      <c r="AS8" s="121" t="str">
        <f>IF($A8="","",IFERROR(SUMPRODUCT((Raw_Data_Daily!$B$2:$B$9999="Variant")*(Raw_Data_Daily!$A$2:$A$9999=$A8)*(Raw_Data_Daily!$C$2:$C$9999=$C$3)*Raw_Data_Daily!$D$2:$D$9999*Raw_Data_Daily!$R$2:$R$9999)/SUMIFS(Raw_Data_Daily!$D:$D, Raw_Data_Daily!$B:$B, "Variant", Raw_Data_Daily!$A:$A, $A8, Raw_Data_Daily!$C:$C, $C$3),""))</f>
        <v/>
      </c>
      <c r="AT8" s="93" t="str">
        <f t="shared" si="15"/>
        <v/>
      </c>
      <c r="AU8" s="121" t="str">
        <f>IF($A8="","",IFERROR(SUMPRODUCT((Raw_Data_Daily!$B$2:$B$9999="Control")*(Raw_Data_Daily!$A$2:$A$9999=$A8)*(Raw_Data_Daily!$C$2:$C$9999=$C$3)*Raw_Data_Daily!$D$2:$D$9999*Raw_Data_Daily!$S$2:$S$9999)/SUMIFS(Raw_Data_Daily!$D:$D, Raw_Data_Daily!$B:$B, "Control", Raw_Data_Daily!$A:$A, $A8, Raw_Data_Daily!$C:$C, $C$3),""))</f>
        <v/>
      </c>
      <c r="AV8" s="121" t="str">
        <f>IF($A8="","",IFERROR(SUMPRODUCT((Raw_Data_Daily!$B$2:$B$9999="Variant")*(Raw_Data_Daily!$A$2:$A$9999=$A8)*(Raw_Data_Daily!$C$2:$C$9999=$C$3)*Raw_Data_Daily!$D$2:$D$9999*Raw_Data_Daily!$S$2:$S$9999)/SUMIFS(Raw_Data_Daily!$D:$D, Raw_Data_Daily!$B:$B, "Variant", Raw_Data_Daily!$A:$A, $A8, Raw_Data_Daily!$C:$C, $C$3),""))</f>
        <v/>
      </c>
      <c r="AW8" s="93" t="str">
        <f t="shared" si="16"/>
        <v/>
      </c>
      <c r="AX8" s="121" t="str">
        <f>IF($A8="","",IFERROR(SUMPRODUCT((Raw_Data_Daily!$B$2:$B$9999="Control")*(Raw_Data_Daily!$A$2:$A$9999=$A8)*(Raw_Data_Daily!$C$2:$C$9999=$C$3)*Raw_Data_Daily!$D$2:$D$9999*Raw_Data_Daily!$T$2:$T$9999)/SUMIFS(Raw_Data_Daily!$D:$D, Raw_Data_Daily!$B:$B, "Control", Raw_Data_Daily!$A:$A, $A8, Raw_Data_Daily!$C:$C, $C$3),""))</f>
        <v/>
      </c>
      <c r="AY8" s="121" t="str">
        <f>IF($A8="","",IFERROR(SUMPRODUCT((Raw_Data_Daily!$B$2:$B$9999="Variant")*(Raw_Data_Daily!$A$2:$A$9999=$A8)*(Raw_Data_Daily!$C$2:$C$9999=$C$3)*Raw_Data_Daily!$D$2:$D$9999*Raw_Data_Daily!$T$2:$T$9999)/SUMIFS(Raw_Data_Daily!$D:$D, Raw_Data_Daily!$B:$B, "Variant", Raw_Data_Daily!$A:$A, $A8, Raw_Data_Daily!$C:$C, $C$3),""))</f>
        <v/>
      </c>
      <c r="AZ8" s="96" t="str">
        <f t="shared" si="17"/>
        <v/>
      </c>
      <c r="BA8" s="121" t="str">
        <f>IF($A8="","",IFERROR(SUMPRODUCT((Raw_Data_Daily!$B$2:$B$9999="Control")*(Raw_Data_Daily!$A$2:$A$9999=$A8)*(Raw_Data_Daily!$C$2:$C$9999=$C$3)*Raw_Data_Daily!$D$2:$D$9999*Raw_Data_Daily!$U$2:$U$9999)/SUMIFS(Raw_Data_Daily!$D:$D, Raw_Data_Daily!$B:$B, "Control", Raw_Data_Daily!$A:$A, $A8, Raw_Data_Daily!$C:$C, $C$3),""))</f>
        <v/>
      </c>
      <c r="BB8" s="121" t="str">
        <f>IF($A8="","",IFERROR(SUMPRODUCT((Raw_Data_Daily!$B$2:$B$9999="Variant")*(Raw_Data_Daily!$A$2:$A$9999=$A8)*(Raw_Data_Daily!$C$2:$C$9999=$C$3)*Raw_Data_Daily!$D$2:$D$9999*Raw_Data_Daily!$U$2:$U$9999)/SUMIFS(Raw_Data_Daily!$D:$D, Raw_Data_Daily!$B:$B, "Variant", Raw_Data_Daily!$A:$A, $A8, Raw_Data_Daily!$C:$C, $C$3),""))</f>
        <v/>
      </c>
      <c r="BC8" s="93" t="str">
        <f t="shared" si="18"/>
        <v/>
      </c>
      <c r="BD8" s="121" t="str">
        <f>IF($A8="","",IFERROR(SUMPRODUCT((Raw_Data_Daily!$B$2:$B$9999="Control")*(Raw_Data_Daily!$A$2:$A$9999=$A8)*(Raw_Data_Daily!$C$2:$C$9999=$C$3)*Raw_Data_Daily!$D$2:$D$9999*Raw_Data_Daily!$V$2:$V$9999)/SUMIFS(Raw_Data_Daily!$D:$D, Raw_Data_Daily!$B:$B, "Control", Raw_Data_Daily!$A:$A, $A8, Raw_Data_Daily!$C:$C, $C$3),""))</f>
        <v/>
      </c>
      <c r="BE8" s="121" t="str">
        <f>IF($A8="","",IFERROR(SUMPRODUCT((Raw_Data_Daily!$B$2:$B$9999="Variant")*(Raw_Data_Daily!$A$2:$A$9999=$A8)*(Raw_Data_Daily!$C$2:$C$9999=$C$3)*Raw_Data_Daily!$D$2:$D$9999*Raw_Data_Daily!$V$2:$V$9999)/SUMIFS(Raw_Data_Daily!$D:$D, Raw_Data_Daily!$B:$B, "Variant", Raw_Data_Daily!$A:$A, $A8, Raw_Data_Daily!$C:$C, $C$3),""))</f>
        <v/>
      </c>
      <c r="BF8" s="93" t="str">
        <f t="shared" si="19"/>
        <v/>
      </c>
      <c r="BG8" s="121" t="str">
        <f>IF($A8="","",IFERROR(SUMPRODUCT((Raw_Data_Daily!$B$2:$B$9999="Control")*(Raw_Data_Daily!$A$2:$A$9999=$A8)*(Raw_Data_Daily!$C$2:$C$9999=$C$3)*Raw_Data_Daily!$D$2:$D$9999*(Raw_Data_Daily!$Q$2:$Q$9999-Raw_Data_Daily!$V$2:$V$9999))/SUMIFS(Raw_Data_Daily!$D:$D, Raw_Data_Daily!$B:$B, "Control", Raw_Data_Daily!$A:$A, $A8, Raw_Data_Daily!$C:$C, $C$3),""))</f>
        <v/>
      </c>
      <c r="BH8" s="121" t="str">
        <f>IF($A8="","",IFERROR(SUMPRODUCT((Raw_Data_Daily!$B$2:$B$9999="Variant")*(Raw_Data_Daily!$A$2:$A$9999=$A8)*(Raw_Data_Daily!$C$2:$C$9999=$C$3)*Raw_Data_Daily!$D$2:$D$9999*(Raw_Data_Daily!$Q$2:$Q$9999-Raw_Data_Daily!$V$2:$V$9999))/SUMIFS(Raw_Data_Daily!$D:$D, Raw_Data_Daily!$B:$B, "Variant", Raw_Data_Daily!$A:$A, $A8, Raw_Data_Daily!$C:$C, $C$3),""))</f>
        <v/>
      </c>
      <c r="BI8" s="93" t="str">
        <f t="shared" si="20"/>
        <v/>
      </c>
      <c r="BJ8" s="121" t="str">
        <f>IF($A8="","",IFERROR(SUMPRODUCT((Raw_Data_Daily!$B$2:$B$9999="Control")*(Raw_Data_Daily!$A$2:$A$9999=$A8)*(Raw_Data_Daily!$C$2:$C$9999=$C$3)*Raw_Data_Daily!$D$2:$D$9999*Raw_Data_Daily!$W$2:$W$9999)/SUMIFS(Raw_Data_Daily!$D:$D, Raw_Data_Daily!$B:$B, "Control", Raw_Data_Daily!$A:$A, $A8, Raw_Data_Daily!$C:$C, $C$3),""))</f>
        <v/>
      </c>
      <c r="BK8" s="121" t="str">
        <f>IF($A8="","",IFERROR(SUMPRODUCT((Raw_Data_Daily!$B$2:$B$9999="Variant")*(Raw_Data_Daily!$A$2:$A$9999=$A8)*(Raw_Data_Daily!$C$2:$C$9999=$C$3)*Raw_Data_Daily!$D$2:$D$9999*Raw_Data_Daily!$W$2:$W$9999)/SUMIFS(Raw_Data_Daily!$D:$D, Raw_Data_Daily!$B:$B, "Variant", Raw_Data_Daily!$A:$A, $A8, Raw_Data_Daily!$C:$C, $C$3),""))</f>
        <v/>
      </c>
      <c r="BL8" s="93" t="str">
        <f t="shared" si="21"/>
        <v/>
      </c>
      <c r="BM8" s="139" t="str">
        <f>IF($A8="","",IFERROR(SUMPRODUCT((Raw_Data_Daily!$B$2:$B$9999="Control")*(Raw_Data_Daily!$A$2:$A$9999=$A8)*(Raw_Data_Daily!$C$2:$C$9999=$C$3)*Raw_Data_Daily!$D$2:$D$9999*Raw_Data_Daily!$X$2:$X$9999)/SUMIFS(Raw_Data_Daily!$D:$D, Raw_Data_Daily!$B:$B, "Control", Raw_Data_Daily!$A:$A, $A8, Raw_Data_Daily!$C:$C, $C$3),""))</f>
        <v/>
      </c>
      <c r="BN8" s="139" t="str">
        <f>IF($A8="","",IFERROR(SUMPRODUCT((Raw_Data_Daily!$B$2:$B$9999="Variant")*(Raw_Data_Daily!$A$2:$A$9999=$A8)*(Raw_Data_Daily!$C$2:$C$9999=$C$3)*Raw_Data_Daily!$D$2:$D$9999*Raw_Data_Daily!$X$2:$X$9999)/SUMIFS(Raw_Data_Daily!$D:$D, Raw_Data_Daily!$B:$B, "Variant", Raw_Data_Daily!$A:$A, $A8, Raw_Data_Daily!$C:$C, $C$3),""))</f>
        <v/>
      </c>
      <c r="BO8" s="96" t="str">
        <f t="shared" si="22"/>
        <v/>
      </c>
      <c r="BP8" s="92" t="str">
        <f>IF($A8="","",IFERROR(SUMPRODUCT((Raw_Data_Daily!$B$2:$B$9999="Control")*(Raw_Data_Daily!$A$2:$A$9999=$A8)*(Raw_Data_Daily!$C$2:$C$9999=$C$3)*Raw_Data_Daily!$D$2:$D$9999*Raw_Data_Daily!$Y$2:$Y$9999)/SUMIFS(Raw_Data_Daily!$D:$D, Raw_Data_Daily!$B:$B, "Control", Raw_Data_Daily!$A:$A, $A8, Raw_Data_Daily!$C:$C, $C$3),""))</f>
        <v/>
      </c>
      <c r="BQ8" s="92" t="str">
        <f>IF($A8="","",IFERROR(SUMPRODUCT((Raw_Data_Daily!$B$2:$B$9999="Variant")*(Raw_Data_Daily!$A$2:$A$9999=$A8)*(Raw_Data_Daily!$C$2:$C$9999=$C$3)*Raw_Data_Daily!$D$2:$D$9999*Raw_Data_Daily!$Y$2:$Y$9999)/SUMIFS(Raw_Data_Daily!$D:$D, Raw_Data_Daily!$B:$B, "Variant", Raw_Data_Daily!$A:$A, $A8, Raw_Data_Daily!$C:$C, $C$3),""))</f>
        <v/>
      </c>
      <c r="BR8" s="93" t="str">
        <f t="shared" si="23"/>
        <v/>
      </c>
      <c r="BS8" s="92" t="str">
        <f>IF($A8="","",IFERROR(SUMPRODUCT((Raw_Data_Daily!$B$2:$B$9999="Control")*(Raw_Data_Daily!$A$2:$A$9999=$A8)*(Raw_Data_Daily!$C$2:$C$9999=$C$3)*Raw_Data_Daily!$D$2:$D$9999*Raw_Data_Daily!$Z$2:$Z$9999)/SUMIFS(Raw_Data_Daily!$D:$D, Raw_Data_Daily!$B:$B, "Control", Raw_Data_Daily!$A:$A, $A8, Raw_Data_Daily!$C:$C, $C$3),""))</f>
        <v/>
      </c>
      <c r="BT8" s="92" t="str">
        <f>IF($A8="","",IFERROR(SUMPRODUCT((Raw_Data_Daily!$B$2:$B$9999="Variant")*(Raw_Data_Daily!$A$2:$A$9999=$A8)*(Raw_Data_Daily!$C$2:$C$9999=$C$3)*Raw_Data_Daily!$D$2:$D$9999*Raw_Data_Daily!$Z$2:$Z$9999)/SUMIFS(Raw_Data_Daily!$D:$D, Raw_Data_Daily!$B:$B, "Variant", Raw_Data_Daily!$A:$A, $A8, Raw_Data_Daily!$C:$C, $C$3),""))</f>
        <v/>
      </c>
      <c r="BU8" s="93" t="str">
        <f t="shared" si="24"/>
        <v/>
      </c>
      <c r="BV8" s="92" t="str">
        <f>IF($A8="","",IFERROR(SUMPRODUCT((Raw_Data_Daily!$B$2:$B$9999="Control")*(Raw_Data_Daily!$A$2:$A$9999=$A8)*(Raw_Data_Daily!$C$2:$C$9999=$C$3)*Raw_Data_Daily!$D$2:$D$9999*Raw_Data_Daily!$AA$2:$AA$9999)/SUMIFS(Raw_Data_Daily!$D:$D, Raw_Data_Daily!$B:$B, "Control", Raw_Data_Daily!$A:$A, $A8, Raw_Data_Daily!$C:$C, $C$3),""))</f>
        <v/>
      </c>
      <c r="BW8" s="92" t="str">
        <f>IF($A8="","",IFERROR(SUMPRODUCT((Raw_Data_Daily!$B$2:$B$9999="Variant")*(Raw_Data_Daily!$A$2:$A$9999=$A8)*(Raw_Data_Daily!$C$2:$C$9999=$C$3)*Raw_Data_Daily!$D$2:$D$9999*Raw_Data_Daily!$AA$2:$AA$9999)/SUMIFS(Raw_Data_Daily!$D:$D, Raw_Data_Daily!$B:$B, "Variant", Raw_Data_Daily!$A:$A, $A8, Raw_Data_Daily!$C:$C, $C$3),""))</f>
        <v/>
      </c>
      <c r="BX8" s="93" t="str">
        <f t="shared" si="25"/>
        <v/>
      </c>
      <c r="BY8" s="121" t="str">
        <f>IF($A8="","",IFERROR(SUMPRODUCT((Raw_Data_Daily!$B$2:$B$9999="Control")*(Raw_Data_Daily!$A$2:$A$9999=$A8)*(Raw_Data_Daily!$C$2:$C$9999=$C$3)*Raw_Data_Daily!$D$2:$D$9999*Raw_Data_Daily!$AB$2:$AB$9999)/SUMIFS(Raw_Data_Daily!$D:$D, Raw_Data_Daily!$B:$B, "Control", Raw_Data_Daily!$A:$A, $A8, Raw_Data_Daily!$C:$C, $C$3),""))</f>
        <v/>
      </c>
      <c r="BZ8" s="121" t="str">
        <f>IF($A8="","",IFERROR(SUMPRODUCT((Raw_Data_Daily!$B$2:$B$9999="Variant")*(Raw_Data_Daily!$A$2:$A$9999=$A8)*(Raw_Data_Daily!$C$2:$C$9999=$C$3)*Raw_Data_Daily!$D$2:$D$9999*Raw_Data_Daily!$AB$2:$AB$9999)/SUMIFS(Raw_Data_Daily!$D:$D, Raw_Data_Daily!$B:$B, "Variant", Raw_Data_Daily!$A:$A, $A8, Raw_Data_Daily!$C:$C, $C$3),""))</f>
        <v/>
      </c>
      <c r="CA8" s="96" t="str">
        <f t="shared" si="26"/>
        <v/>
      </c>
      <c r="CB8" s="121" t="str">
        <f>IF($A8="","",IFERROR(SUMPRODUCT((Raw_Data_Daily!$B$2:$B$9999="Control")*(Raw_Data_Daily!$A$2:$A$9999=$A8)*(Raw_Data_Daily!$C$2:$C$9999=$C$3)*Raw_Data_Daily!$D$2:$D$9999*Raw_Data_Daily!$AC$2:$AC$9999)/SUMIFS(Raw_Data_Daily!$D:$D, Raw_Data_Daily!$B:$B, "Control", Raw_Data_Daily!$A:$A, $A8, Raw_Data_Daily!$C:$C, $C$3),""))</f>
        <v/>
      </c>
      <c r="CC8" s="121" t="str">
        <f>IF($A8="","",IFERROR(SUMPRODUCT((Raw_Data_Daily!$B$2:$B$9999="Variant")*(Raw_Data_Daily!$A$2:$A$9999=$A8)*(Raw_Data_Daily!$C$2:$C$9999=$C$3)*Raw_Data_Daily!$D$2:$D$9999*Raw_Data_Daily!$AC$2:$AC$9999)/SUMIFS(Raw_Data_Daily!$D:$D, Raw_Data_Daily!$B:$B, "Variant", Raw_Data_Daily!$A:$A, $A8, Raw_Data_Daily!$C:$C, $C$3),""))</f>
        <v/>
      </c>
      <c r="CD8" s="96" t="str">
        <f t="shared" si="27"/>
        <v/>
      </c>
      <c r="CE8" s="121" t="str">
        <f>IF($A8="","",IFERROR(SUMPRODUCT((Raw_Data_Daily!$B$2:$B$9999="Control")*(Raw_Data_Daily!$A$2:$A$9999=$A8)*(Raw_Data_Daily!$C$2:$C$9999=$C$3)*Raw_Data_Daily!$D$2:$D$9999*Raw_Data_Daily!$AD$2:$AD$9999)/SUMIFS(Raw_Data_Daily!$D:$D, Raw_Data_Daily!$B:$B, "Control", Raw_Data_Daily!$A:$A, $A8, Raw_Data_Daily!$C:$C, $C$3),""))</f>
        <v/>
      </c>
      <c r="CF8" s="121" t="str">
        <f>IF($A8="","",IFERROR(SUMPRODUCT((Raw_Data_Daily!$B$2:$B$9999="Variant")*(Raw_Data_Daily!$A$2:$A$9999=$A8)*(Raw_Data_Daily!$C$2:$C$9999=$C$3)*Raw_Data_Daily!$D$2:$D$9999*Raw_Data_Daily!$AD$2:$AD$9999)/SUMIFS(Raw_Data_Daily!$D:$D, Raw_Data_Daily!$B:$B, "Variant", Raw_Data_Daily!$A:$A, $A8, Raw_Data_Daily!$C:$C, $C$3),""))</f>
        <v/>
      </c>
      <c r="CG8" s="96" t="str">
        <f t="shared" si="28"/>
        <v/>
      </c>
      <c r="CH8" s="121" t="str">
        <f>IF($A8="","",IFERROR(SUMPRODUCT((Raw_Data_Daily!$B$2:$B$9999="Control")*(Raw_Data_Daily!$A$2:$A$9999=$A8)*(Raw_Data_Daily!$C$2:$C$9999=$C$3)*Raw_Data_Daily!$D$2:$D$9999*Raw_Data_Daily!$AE$2:$AE$9999)/SUMIFS(Raw_Data_Daily!$D:$D, Raw_Data_Daily!$B:$B, "Control", Raw_Data_Daily!$A:$A, $A8, Raw_Data_Daily!$C:$C, $C$3),""))</f>
        <v/>
      </c>
      <c r="CI8" s="121" t="str">
        <f>IF($A8="","",IFERROR(SUMPRODUCT((Raw_Data_Daily!$B$2:$B$9999="Variant")*(Raw_Data_Daily!$A$2:$A$9999=$A8)*(Raw_Data_Daily!$C$2:$C$9999=$C$3)*Raw_Data_Daily!$D$2:$D$9999*Raw_Data_Daily!$AE$2:$AE$9999)/SUMIFS(Raw_Data_Daily!$D:$D, Raw_Data_Daily!$B:$B, "Variant", Raw_Data_Daily!$A:$A, $A8, Raw_Data_Daily!$C:$C, $C$3),""))</f>
        <v/>
      </c>
      <c r="CJ8" s="96" t="str">
        <f t="shared" si="29"/>
        <v/>
      </c>
      <c r="CK8" s="121" t="str">
        <f>IF($A8="","",IFERROR(SUMPRODUCT((Raw_Data_Daily!$B$2:$B$9999="Control")*(Raw_Data_Daily!$A$2:$A$9999=$A8)*(Raw_Data_Daily!$C$2:$C$9999=$C$3)*Raw_Data_Daily!$D$2:$D$9999*Raw_Data_Daily!$AF$2:$AF$9999)/SUMIFS(Raw_Data_Daily!$D:$D, Raw_Data_Daily!$B:$B, "Control", Raw_Data_Daily!$A:$A, $A8, Raw_Data_Daily!$C:$C, $C$3),""))</f>
        <v/>
      </c>
      <c r="CL8" s="121" t="str">
        <f>IF($A8="","",IFERROR(SUMPRODUCT((Raw_Data_Daily!$B$2:$B$9999="Variant")*(Raw_Data_Daily!$A$2:$A$9999=$A8)*(Raw_Data_Daily!$C$2:$C$9999=$C$3)*Raw_Data_Daily!$D$2:$D$9999*Raw_Data_Daily!$AF$2:$AF$9999)/SUMIFS(Raw_Data_Daily!$D:$D, Raw_Data_Daily!$B:$B, "Variant", Raw_Data_Daily!$A:$A, $A8, Raw_Data_Daily!$C:$C, $C$3),""))</f>
        <v/>
      </c>
      <c r="CM8" s="96" t="str">
        <f t="shared" si="30"/>
        <v/>
      </c>
      <c r="CN8" s="121" t="str">
        <f>IF($A8="","",IFERROR(SUMPRODUCT((Raw_Data_Daily!$B$2:$B$9999="Control")*(Raw_Data_Daily!$A$2:$A$9999=$A8)*(Raw_Data_Daily!$C$2:$C$9999=$C$3)*Raw_Data_Daily!$D$2:$D$9999*Raw_Data_Daily!$AG$2:$AG$9999)/SUMIFS(Raw_Data_Daily!$D:$D, Raw_Data_Daily!$B:$B, "Control", Raw_Data_Daily!$A:$A, $A8, Raw_Data_Daily!$C:$C, $C$3),""))</f>
        <v/>
      </c>
      <c r="CO8" s="121" t="str">
        <f>IF($A8="","",IFERROR(SUMPRODUCT((Raw_Data_Daily!$B$2:$B$9999="Variant")*(Raw_Data_Daily!$A$2:$A$9999=$A8)*(Raw_Data_Daily!$C$2:$C$9999=$C$3)*Raw_Data_Daily!$D$2:$D$9999*Raw_Data_Daily!$AG$2:$AG$9999)/SUMIFS(Raw_Data_Daily!$D:$D, Raw_Data_Daily!$B:$B, "Variant", Raw_Data_Daily!$A:$A, $A8, Raw_Data_Daily!$C:$C, $C$3),""))</f>
        <v/>
      </c>
      <c r="CP8" s="96" t="str">
        <f t="shared" si="31"/>
        <v/>
      </c>
      <c r="CQ8" s="121" t="str">
        <f>IF($A8="","",IFERROR(SUMPRODUCT((Raw_Data_Daily!$B$2:$B$9999="Control")*(Raw_Data_Daily!$A$2:$A$9999=$A8)*(Raw_Data_Daily!$C$2:$C$9999=$C$3)*Raw_Data_Daily!$D$2:$D$9999*Raw_Data_Daily!$AH$2:$AH$9999)/SUMIFS(Raw_Data_Daily!$D:$D, Raw_Data_Daily!$B:$B, "Control", Raw_Data_Daily!$A:$A, $A8, Raw_Data_Daily!$C:$C, $C$3),""))</f>
        <v/>
      </c>
      <c r="CR8" s="121" t="str">
        <f>IF($A8="","",IFERROR(SUMPRODUCT((Raw_Data_Daily!$B$2:$B$9999="Variant")*(Raw_Data_Daily!$A$2:$A$9999=$A8)*(Raw_Data_Daily!$C$2:$C$9999=$C$3)*Raw_Data_Daily!$D$2:$D$9999*Raw_Data_Daily!$AH$2:$AH$9999)/SUMIFS(Raw_Data_Daily!$D:$D, Raw_Data_Daily!$B:$B, "Variant", Raw_Data_Daily!$A:$A, $A8, Raw_Data_Daily!$C:$C, $C$3),""))</f>
        <v/>
      </c>
      <c r="CS8" s="96" t="str">
        <f t="shared" si="32"/>
        <v/>
      </c>
      <c r="CT8" s="94" t="str">
        <f>IF($A8="","",IFERROR(SUMPRODUCT((Raw_Data_Daily!$B$2:$B$9999="Control")*(Raw_Data_Daily!$A$2:$A$9999=$A8)*(Raw_Data_Daily!$C$2:$C$9999=$C$3)*Raw_Data_Daily!$D$2:$D$9999*Raw_Data_Daily!$AI$2:$AI$9999)/SUMIFS(Raw_Data_Daily!$D:$D, Raw_Data_Daily!$B:$B, "Control", Raw_Data_Daily!$A:$A, $A8, Raw_Data_Daily!$C:$C, $C$3),""))</f>
        <v/>
      </c>
      <c r="CU8" s="94" t="str">
        <f>IF($A8="","",IFERROR(SUMPRODUCT((Raw_Data_Daily!$B$2:$B$9999="Variant")*(Raw_Data_Daily!$A$2:$A$9999=$A8)*(Raw_Data_Daily!$C$2:$C$9999=$C$3)*Raw_Data_Daily!$D$2:$D$9999*Raw_Data_Daily!$AI$2:$AI$9999)/SUMIFS(Raw_Data_Daily!$D:$D, Raw_Data_Daily!$B:$B, "Variant", Raw_Data_Daily!$A:$A, $A8, Raw_Data_Daily!$C:$C, $C$3),""))</f>
        <v/>
      </c>
      <c r="CV8" s="142" t="str">
        <f t="shared" si="33"/>
        <v/>
      </c>
      <c r="CW8" s="94" t="str">
        <f>IF($A8="","",IFERROR(SUMPRODUCT((Raw_Data_Daily!$B$2:$B$9999="Control")*(Raw_Data_Daily!$A$2:$A$9999=$A8)*(Raw_Data_Daily!$C$2:$C$9999=$C$3)*Raw_Data_Daily!$D$2:$D$9999*Raw_Data_Daily!$AJ$2:$AJ$9999)/SUMIFS(Raw_Data_Daily!$D:$D, Raw_Data_Daily!$B:$B, "Control", Raw_Data_Daily!$A:$A, $A8, Raw_Data_Daily!$C:$C, $C$3),""))</f>
        <v/>
      </c>
      <c r="CX8" s="94" t="str">
        <f>IF($A8="","",IFERROR(SUMPRODUCT((Raw_Data_Daily!$B$2:$B$9999="Variant")*(Raw_Data_Daily!$A$2:$A$9999=$A8)*(Raw_Data_Daily!$C$2:$C$9999=$C$3)*Raw_Data_Daily!$D$2:$D$9999*Raw_Data_Daily!$AJ$2:$AJ$9999)/SUMIFS(Raw_Data_Daily!$D:$D, Raw_Data_Daily!$B:$B, "Variant", Raw_Data_Daily!$A:$A, $A8, Raw_Data_Daily!$C:$C, $C$3),""))</f>
        <v/>
      </c>
      <c r="CY8" s="142" t="str">
        <f t="shared" si="34"/>
        <v/>
      </c>
      <c r="CZ8" s="94" t="str">
        <f>IF($A8="","",IFERROR(SUMPRODUCT((Raw_Data_Daily!$B$2:$B$9999="Control")*(Raw_Data_Daily!$A$2:$A$9999=$A8)*(Raw_Data_Daily!$C$2:$C$9999=$C$3)*Raw_Data_Daily!$D$2:$D$9999*Raw_Data_Daily!$AK$2:$AK$9999)/SUMIFS(Raw_Data_Daily!$D:$D, Raw_Data_Daily!$B:$B, "Control", Raw_Data_Daily!$A:$A, $A8, Raw_Data_Daily!$C:$C, $C$3),""))</f>
        <v/>
      </c>
      <c r="DA8" s="94" t="str">
        <f>IF($A8="","",IFERROR(SUMPRODUCT((Raw_Data_Daily!$B$2:$B$9999="Variant")*(Raw_Data_Daily!$A$2:$A$9999=$A8)*(Raw_Data_Daily!$C$2:$C$9999=$C$3)*Raw_Data_Daily!$D$2:$D$9999*Raw_Data_Daily!$AK$2:$AK$9999)/SUMIFS(Raw_Data_Daily!$D:$D, Raw_Data_Daily!$B:$B, "Variant", Raw_Data_Daily!$A:$A, $A8, Raw_Data_Daily!$C:$C, $C$3),""))</f>
        <v/>
      </c>
      <c r="DB8" s="96" t="str">
        <f t="shared" si="35"/>
        <v/>
      </c>
      <c r="DC8" s="139" t="str">
        <f>IF($A8="","",IFERROR(SUMPRODUCT((Raw_Data_Daily!$B$2:$B$9999="Control")*(Raw_Data_Daily!$A$2:$A$9999=$A8)*(Raw_Data_Daily!$C$2:$C$9999=$C$3)*Raw_Data_Daily!$D$2:$D$9999*Raw_Data_Daily!$AL$2:$AL$9999)/SUMIFS(Raw_Data_Daily!$D:$D, Raw_Data_Daily!$B:$B, "Control", Raw_Data_Daily!$A:$A, $A8, Raw_Data_Daily!$C:$C, $C$3),""))</f>
        <v/>
      </c>
      <c r="DD8" s="139" t="str">
        <f>IF($A8="","",IFERROR(SUMPRODUCT((Raw_Data_Daily!$B$2:$B$9999="Variant")*(Raw_Data_Daily!$A$2:$A$9999=$A8)*(Raw_Data_Daily!$C$2:$C$9999=$C$3)*Raw_Data_Daily!$D$2:$D$9999*Raw_Data_Daily!$AL$2:$AL$9999)/SUMIFS(Raw_Data_Daily!$D:$D, Raw_Data_Daily!$B:$B, "Variant", Raw_Data_Daily!$A:$A, $A8, Raw_Data_Daily!$C:$C, $C$3),""))</f>
        <v/>
      </c>
      <c r="DE8" s="142" t="str">
        <f t="shared" si="36"/>
        <v/>
      </c>
      <c r="DF8" s="168"/>
      <c r="DG8" s="94" t="str">
        <f>IF($A8="","",IFERROR(SUMPRODUCT((Raw_Data_Daily!$B$2:$B$9999="Variant")*(Raw_Data_Daily!$A$2:$A$9999=$A8)*(Raw_Data_Daily!$C$2:$C$9999=$C$3)*Raw_Data_Daily!$D$2:$D$9999*Raw_Data_Daily!$AM$2:$AM$9999)/SUMIFS(Raw_Data_Daily!$D:$D, Raw_Data_Daily!$B:$B, "Variant", Raw_Data_Daily!$A:$A, $A8, Raw_Data_Daily!$C:$C, $C$3),""))</f>
        <v/>
      </c>
      <c r="DH8" s="169"/>
      <c r="DI8" s="168"/>
      <c r="DJ8" s="94" t="str">
        <f>IF($A8="","",IFERROR(SUMPRODUCT((Raw_Data_Daily!$B$2:$B$9999="Variant")*(Raw_Data_Daily!$A$2:$A$9999=$A8)*(Raw_Data_Daily!$C$2:$C$9999=$C$3)*Raw_Data_Daily!$D$2:$D$9999*Raw_Data_Daily!$AN$2:$AN$9999)/SUMIFS(Raw_Data_Daily!$D:$D, Raw_Data_Daily!$B:$B, "Variant", Raw_Data_Daily!$A:$A, $A8, Raw_Data_Daily!$C:$C, $C$3),""))</f>
        <v/>
      </c>
      <c r="DK8" s="169"/>
      <c r="DL8" s="168"/>
      <c r="DM8" s="94" t="str">
        <f>IF($A8="","",IFERROR(SUMPRODUCT((Raw_Data_Daily!$B$2:$B$9999="Variant")*(Raw_Data_Daily!$A$2:$A$9999=$A8)*(Raw_Data_Daily!$C$2:$C$9999=$C$3)*Raw_Data_Daily!$D$2:$D$9999*Raw_Data_Daily!$AO$2:$AO$9999)/SUMIFS(Raw_Data_Daily!$D:$D, Raw_Data_Daily!$B:$B, "Variant", Raw_Data_Daily!$A:$A, $A8, Raw_Data_Daily!$C:$C, $C$3),""))</f>
        <v/>
      </c>
      <c r="DN8" s="169"/>
      <c r="DO8" s="168"/>
      <c r="DP8" s="94" t="str">
        <f>IF($A8="","",IFERROR(SUMPRODUCT((Raw_Data_Daily!$B$2:$B$9999="Variant")*(Raw_Data_Daily!$A$2:$A$9999=$A8)*(Raw_Data_Daily!$C$2:$C$9999=$C$3)*Raw_Data_Daily!$D$2:$D$9999*Raw_Data_Daily!$AP$2:$AP$9999)/SUMIFS(Raw_Data_Daily!$D:$D, Raw_Data_Daily!$B:$B, "Variant", Raw_Data_Daily!$A:$A, $A8, Raw_Data_Daily!$C:$C, $C$3),""))</f>
        <v/>
      </c>
      <c r="DQ8" s="169"/>
      <c r="DR8" s="139" t="str">
        <f>IF($A8="","",IFERROR(SUMPRODUCT((Raw_Data_Daily!$B$2:$B$9999="Control")*(Raw_Data_Daily!$A$2:$A$9999=$A8)*(Raw_Data_Daily!$C$2:$C$9999=$C$3)*Raw_Data_Daily!$D$2:$D$9999*Raw_Data_Daily!$AQ$2:$AQ$9999)/SUMIFS(Raw_Data_Daily!$D:$D, Raw_Data_Daily!$B:$B, "Control", Raw_Data_Daily!$A:$A, $A8, Raw_Data_Daily!$C:$C, $C$3),""))</f>
        <v/>
      </c>
      <c r="DS8" s="139" t="str">
        <f>IF($A8="","",IFERROR(SUMPRODUCT((Raw_Data_Daily!$B$2:$B$9999="Variant")*(Raw_Data_Daily!$A$2:$A$9999=$A8)*(Raw_Data_Daily!$C$2:$C$9999=$C$3)*Raw_Data_Daily!$D$2:$D$9999*Raw_Data_Daily!$AQ$2:$AQ$9999)/SUMIFS(Raw_Data_Daily!$D:$D, Raw_Data_Daily!$B:$B, "Variant", Raw_Data_Daily!$A:$A, $A8, Raw_Data_Daily!$C:$C, $C$3),""))</f>
        <v/>
      </c>
      <c r="DT8" s="173" t="str">
        <f t="shared" si="37"/>
        <v/>
      </c>
      <c r="DU8" s="139" t="str">
        <f>IF($A8="","",IFERROR(SUMPRODUCT((Raw_Data_Daily!$B$2:$B$9999="Control")*(Raw_Data_Daily!$A$2:$A$9999=$A8)*(Raw_Data_Daily!$C$2:$C$9999=$C$3)*Raw_Data_Daily!$D$2:$D$9999*Raw_Data_Daily!$AR$2:$AR$9999)/SUMIFS(Raw_Data_Daily!$D:$D, Raw_Data_Daily!$B:$B, "Control", Raw_Data_Daily!$A:$A, $A8, Raw_Data_Daily!$C:$C, $C$3),""))</f>
        <v/>
      </c>
      <c r="DV8" s="139" t="str">
        <f>IF($A8="","",IFERROR(SUMPRODUCT((Raw_Data_Daily!$B$2:$B$9999="Variant")*(Raw_Data_Daily!$A$2:$A$9999=$A8)*(Raw_Data_Daily!$C$2:$C$9999=$C$3)*Raw_Data_Daily!$D$2:$D$9999*Raw_Data_Daily!$AR$2:$AR$9999)/SUMIFS(Raw_Data_Daily!$D:$D, Raw_Data_Daily!$B:$B, "Variant", Raw_Data_Daily!$A:$A, $A8, Raw_Data_Daily!$C:$C, $C$3),""))</f>
        <v/>
      </c>
      <c r="DW8" s="173" t="str">
        <f t="shared" si="38"/>
        <v/>
      </c>
      <c r="DX8" s="139" t="str">
        <f>IF($A8="","",IFERROR(SUMPRODUCT((Raw_Data_Daily!$B$2:$B$9999="Control")*(Raw_Data_Daily!$A$2:$A$9999=$A8)*(Raw_Data_Daily!$C$2:$C$9999=$C$3)*Raw_Data_Daily!$D$2:$D$9999*Raw_Data_Daily!$AS$2:$AS$9999)/SUMIFS(Raw_Data_Daily!$D:$D, Raw_Data_Daily!$B:$B, "Control", Raw_Data_Daily!$A:$A, $A8, Raw_Data_Daily!$C:$C, $C$3),""))</f>
        <v/>
      </c>
      <c r="DY8" s="139" t="str">
        <f>IF($A8="","",IFERROR(SUMPRODUCT((Raw_Data_Daily!$B$2:$B$9999="Variant")*(Raw_Data_Daily!$A$2:$A$9999=$A8)*(Raw_Data_Daily!$C$2:$C$9999=$C$3)*Raw_Data_Daily!$D$2:$D$9999*Raw_Data_Daily!$AS$2:$AS$9999)/SUMIFS(Raw_Data_Daily!$D:$D, Raw_Data_Daily!$B:$B, "Variant", Raw_Data_Daily!$A:$A, $A8, Raw_Data_Daily!$C:$C, $C$3),""))</f>
        <v/>
      </c>
      <c r="DZ8" s="174" t="str">
        <f t="shared" si="39"/>
        <v/>
      </c>
      <c r="EA8" s="139" t="str">
        <f>IF($A8="","",IFERROR(SUMPRODUCT((Raw_Data_Daily!$B$2:$B$9999="Control")*(Raw_Data_Daily!$A$2:$A$9999=$A8)*(Raw_Data_Daily!$C$2:$C$9999=$C$3)*Raw_Data_Daily!$D$2:$D$9999*Raw_Data_Daily!$AT$2:$AT$9999)/SUMIFS(Raw_Data_Daily!$D:$D, Raw_Data_Daily!$B:$B, "Control", Raw_Data_Daily!$A:$A, $A8, Raw_Data_Daily!$C:$C, $C$3),""))</f>
        <v/>
      </c>
      <c r="EB8" s="139" t="str">
        <f>IF($A8="","",IFERROR(SUMPRODUCT((Raw_Data_Daily!$B$2:$B$9999="Variant")*(Raw_Data_Daily!$A$2:$A$9999=$A8)*(Raw_Data_Daily!$C$2:$C$9999=$C$3)*Raw_Data_Daily!$D$2:$D$9999*Raw_Data_Daily!$AT$2:$AT$9999)/SUMIFS(Raw_Data_Daily!$D:$D, Raw_Data_Daily!$B:$B, "Variant", Raw_Data_Daily!$A:$A, $A8, Raw_Data_Daily!$C:$C, $C$3),""))</f>
        <v/>
      </c>
      <c r="EC8" s="173" t="str">
        <f t="shared" si="40"/>
        <v/>
      </c>
      <c r="ED8" s="139" t="str">
        <f>IF($A8="","",IFERROR(SUMPRODUCT((Raw_Data_Daily!$B$2:$B$9999="Control")*(Raw_Data_Daily!$A$2:$A$9999=$A8)*(Raw_Data_Daily!$C$2:$C$9999=$C$3)*Raw_Data_Daily!$D$2:$D$9999*(Raw_Data_Daily!$AQ$2:$AQ$9999-Raw_Data_Daily!$AT$2:$AT$9999))/SUMIFS(Raw_Data_Daily!$D:$D, Raw_Data_Daily!$B:$B, "Control", Raw_Data_Daily!$A:$A, $A8, Raw_Data_Daily!$C:$C, $C$3),""))</f>
        <v/>
      </c>
      <c r="EE8" s="139" t="str">
        <f>IF($A8="","",IFERROR(SUMPRODUCT((Raw_Data_Daily!$B$2:$B$9999="Variant")*(Raw_Data_Daily!$A$2:$A$9999=$A8)*(Raw_Data_Daily!$C$2:$C$9999=$C$3)*Raw_Data_Daily!$D$2:$D$9999*(Raw_Data_Daily!$AQ$2:$AQ$9999-Raw_Data_Daily!$AT$2:$AT$9999))/SUMIFS(Raw_Data_Daily!$D:$D, Raw_Data_Daily!$B:$B, "Variant", Raw_Data_Daily!$A:$A, $A8, Raw_Data_Daily!$C:$C, $C$3),""))</f>
        <v/>
      </c>
      <c r="EF8" s="174" t="str">
        <f t="shared" si="41"/>
        <v/>
      </c>
      <c r="EG8" s="139" t="str">
        <f>IF($A8="","",IFERROR(SUMPRODUCT((Raw_Data_Daily!$B$2:$B$9999="Control")*(Raw_Data_Daily!$A$2:$A$9999=$A8)*(Raw_Data_Daily!$C$2:$C$9999=$C$3)*Raw_Data_Daily!$D$2:$D$9999*Raw_Data_Daily!$AU$2:$AU$9999)/SUMIFS(Raw_Data_Daily!$D:$D, Raw_Data_Daily!$B:$B, "Control", Raw_Data_Daily!$A:$A, $A8, Raw_Data_Daily!$C:$C, $C$3),""))</f>
        <v/>
      </c>
      <c r="EH8" s="139" t="str">
        <f>IF($A8="","",IFERROR(SUMPRODUCT((Raw_Data_Daily!$B$2:$B$9999="Variant")*(Raw_Data_Daily!$A$2:$A$9999=$A8)*(Raw_Data_Daily!$C$2:$C$9999=$C$3)*Raw_Data_Daily!$D$2:$D$9999*Raw_Data_Daily!$AU$2:$AU$9999)/SUMIFS(Raw_Data_Daily!$D:$D, Raw_Data_Daily!$B:$B, "Variant", Raw_Data_Daily!$A:$A, $A8, Raw_Data_Daily!$C:$C, $C$3),""))</f>
        <v/>
      </c>
      <c r="EI8" s="173" t="str">
        <f t="shared" si="42"/>
        <v/>
      </c>
    </row>
    <row r="9" ht="15.75" customHeight="1">
      <c r="A9" s="91">
        <v>46232.0</v>
      </c>
      <c r="B9" s="92">
        <f>IF($A9="","",SUMIFS(Raw_Data_Daily!$D:$D, Raw_Data_Daily!$B:$B, "Control", Raw_Data_Daily!$A:$A, $A9, Raw_Data_Daily!$C:$C, $C$3))</f>
        <v>0</v>
      </c>
      <c r="C9" s="92">
        <f>IF($A9="","",SUMIFS(Raw_Data_Daily!$D:$D, Raw_Data_Daily!$B:$B, "Variant", Raw_Data_Daily!$A:$A, $A9, Raw_Data_Daily!$C:$C, $C$3))</f>
        <v>0</v>
      </c>
      <c r="D9" s="93" t="str">
        <f t="shared" si="1"/>
        <v/>
      </c>
      <c r="E9" s="94" t="str">
        <f>IF($A9="","",IFERROR(SUMPRODUCT((Raw_Data_Daily!$B$2:$B$9999="Control")*(Raw_Data_Daily!$A$2:$A$9999=$A9)*(Raw_Data_Daily!$C$2:$C$9999=$C$3)*Raw_Data_Daily!$D$2:$D$9999*Raw_Data_Daily!$E$2:$E$9999)/SUMIFS(Raw_Data_Daily!$D:$D, Raw_Data_Daily!$B:$B, "Control", Raw_Data_Daily!$A:$A, $A9, Raw_Data_Daily!$C:$C, $C$3),""))</f>
        <v/>
      </c>
      <c r="F9" s="94" t="str">
        <f>IF($A9="","",IFERROR(SUMPRODUCT((Raw_Data_Daily!$B$2:$B$9999="Variant")*(Raw_Data_Daily!$A$2:$A$9999=$A9)*(Raw_Data_Daily!$C$2:$C$9999=$C$3)*Raw_Data_Daily!$D$2:$D$9999*Raw_Data_Daily!$E$2:$E$9999)/SUMIFS(Raw_Data_Daily!$D:$D, Raw_Data_Daily!$B:$B, "Variant", Raw_Data_Daily!$A:$A, $A9, Raw_Data_Daily!$C:$C, $C$3),""))</f>
        <v/>
      </c>
      <c r="G9" s="93" t="str">
        <f t="shared" si="2"/>
        <v/>
      </c>
      <c r="H9" s="95">
        <f>IF($A9="","",SUMIFS(Raw_Data_Daily!$F:$F, Raw_Data_Daily!$B:$B, "Control", Raw_Data_Daily!$A:$A, $A9, Raw_Data_Daily!$C:$C, $C$3))</f>
        <v>0</v>
      </c>
      <c r="I9" s="95">
        <f>IF($A9="","",SUMIFS(Raw_Data_Daily!$F:$F, Raw_Data_Daily!$B:$B, "Variant", Raw_Data_Daily!$A:$A, $A9, Raw_Data_Daily!$C:$C, $C$3))</f>
        <v>0</v>
      </c>
      <c r="J9" s="96" t="str">
        <f t="shared" si="3"/>
        <v/>
      </c>
      <c r="K9" s="97" t="str">
        <f>IF($A9="","",IFERROR(SUMIFS(Raw_Data_Daily!$F:$F, Raw_Data_Daily!$B:$B, "Control", Raw_Data_Daily!$A:$A, $A9, Raw_Data_Daily!$C:$C, $C$3)/SUMIFS(Raw_Data_Daily!$D:$D, Raw_Data_Daily!$B:$B, "Control", Raw_Data_Daily!$A:$A, $A9, Raw_Data_Daily!$C:$C, $C$3),""))</f>
        <v/>
      </c>
      <c r="L9" s="97" t="str">
        <f>IF($A9="","",IFERROR(SUMIFS(Raw_Data_Daily!$F:$F, Raw_Data_Daily!$B:$B, "Variant", Raw_Data_Daily!$A:$A, $A9, Raw_Data_Daily!$C:$C, $C$3)/SUMIFS(Raw_Data_Daily!$D:$D, Raw_Data_Daily!$B:$B, "Variant", Raw_Data_Daily!$A:$A, $A9, Raw_Data_Daily!$C:$C, $C$3),""))</f>
        <v/>
      </c>
      <c r="M9" s="96" t="str">
        <f t="shared" si="4"/>
        <v/>
      </c>
      <c r="N9" s="94" t="str">
        <f>IF($A9="","",IFERROR(SUMPRODUCT((Raw_Data_Daily!$B$2:$B$9999="Control")*(Raw_Data_Daily!$A$2:$A$9999=$A9)*(Raw_Data_Daily!$C$2:$C$9999=$C$3)*Raw_Data_Daily!$D$2:$D$9999*Raw_Data_Daily!$H$2:$H$9999/100)/SUMIFS(Raw_Data_Daily!$D:$D, Raw_Data_Daily!$B:$B, "Control", Raw_Data_Daily!$A:$A, $A9, Raw_Data_Daily!$C:$C, $C$3)*100,""))</f>
        <v/>
      </c>
      <c r="O9" s="94" t="str">
        <f>IF($A9="","",IFERROR(SUMPRODUCT((Raw_Data_Daily!$B$2:$B$9999="Variant")*(Raw_Data_Daily!$A$2:$A$9999=$A9)*(Raw_Data_Daily!$C$2:$C$9999=$C$3)*Raw_Data_Daily!$D$2:$D$9999*Raw_Data_Daily!$H$2:$H$9999/100)/SUMIFS(Raw_Data_Daily!$D:$D, Raw_Data_Daily!$B:$B, "Variant", Raw_Data_Daily!$A:$A, $A9, Raw_Data_Daily!$C:$C, $C$3)*100,""))</f>
        <v/>
      </c>
      <c r="P9" s="96" t="str">
        <f t="shared" si="5"/>
        <v/>
      </c>
      <c r="Q9" s="97" t="str">
        <f>IF($A9="","",IFERROR(SUMIFS(Raw_Data_Daily!$F:$F, Raw_Data_Daily!$B:$B, "Control", Raw_Data_Daily!$A:$A, $A9, Raw_Data_Daily!$C:$C, $C$3)/SUMPRODUCT((Raw_Data_Daily!$B$2:$B$9999="Control")*(Raw_Data_Daily!$A$2:$A$9999=$A9)*(Raw_Data_Daily!$C$2:$C$9999=$C$3)*Raw_Data_Daily!$D$2:$D$9999*Raw_Data_Daily!$H$2:$H$9999/100),""))</f>
        <v/>
      </c>
      <c r="R9" s="97" t="str">
        <f>IF($A9="","",IFERROR(SUMIFS(Raw_Data_Daily!$F:$F, Raw_Data_Daily!$B:$B, "Variant", Raw_Data_Daily!$A:$A, $A9, Raw_Data_Daily!$C:$C, $C$3)/SUMPRODUCT((Raw_Data_Daily!$B$2:$B$9999="Variant")*(Raw_Data_Daily!$A$2:$A$9999=$A9)*(Raw_Data_Daily!$C$2:$C$9999=$C$3)*Raw_Data_Daily!$D$2:$D$9999*Raw_Data_Daily!$H$2:$H$9999/100),""))</f>
        <v/>
      </c>
      <c r="S9" s="96" t="str">
        <f t="shared" si="6"/>
        <v/>
      </c>
      <c r="T9" s="121" t="str">
        <f>IF($A9="","",IFERROR(SUMPRODUCT((Raw_Data_Daily!$B$2:$B$9999="Control")*(Raw_Data_Daily!$A$2:$A$9999=$A9)*(Raw_Data_Daily!$C$2:$C$9999=$C$3)*Raw_Data_Daily!$D$2:$D$9999*Raw_Data_Daily!$J$2:$J$9999)/SUMIFS(Raw_Data_Daily!$D:$D, Raw_Data_Daily!$B:$B, "Control", Raw_Data_Daily!$A:$A, $A9, Raw_Data_Daily!$C:$C, $C$3),""))</f>
        <v/>
      </c>
      <c r="U9" s="121" t="str">
        <f>IF($A9="","",IFERROR(SUMPRODUCT((Raw_Data_Daily!$B$2:$B$9999="Variant")*(Raw_Data_Daily!$A$2:$A$9999=$A9)*(Raw_Data_Daily!$C$2:$C$9999=$C$3)*Raw_Data_Daily!$D$2:$D$9999*Raw_Data_Daily!$J$2:$J$9999)/SUMIFS(Raw_Data_Daily!$D:$D, Raw_Data_Daily!$B:$B, "Variant", Raw_Data_Daily!$A:$A, $A9, Raw_Data_Daily!$C:$C, $C$3),""))</f>
        <v/>
      </c>
      <c r="V9" s="96" t="str">
        <f t="shared" si="7"/>
        <v/>
      </c>
      <c r="W9" s="121" t="str">
        <f>IF($A9="","",IFERROR(SUMPRODUCT((Raw_Data_Daily!$B$2:$B$9999="Control")*(Raw_Data_Daily!$A$2:$A$9999=$A9)*(Raw_Data_Daily!$C$2:$C$9999=$C$3)*Raw_Data_Daily!$D$2:$D$9999*Raw_Data_Daily!$K$2:$K$9999)/SUMIFS(Raw_Data_Daily!$D:$D, Raw_Data_Daily!$B:$B, "Control", Raw_Data_Daily!$A:$A, $A9, Raw_Data_Daily!$C:$C, $C$3),""))</f>
        <v/>
      </c>
      <c r="X9" s="121" t="str">
        <f>IF($A9="","",IFERROR(SUMPRODUCT((Raw_Data_Daily!$B$2:$B$9999="Variant")*(Raw_Data_Daily!$A$2:$A$9999=$A9)*(Raw_Data_Daily!$C$2:$C$9999=$C$3)*Raw_Data_Daily!$D$2:$D$9999*Raw_Data_Daily!$K$2:$K$9999)/SUMIFS(Raw_Data_Daily!$D:$D, Raw_Data_Daily!$B:$B, "Variant", Raw_Data_Daily!$A:$A, $A9, Raw_Data_Daily!$C:$C, $C$3),""))</f>
        <v/>
      </c>
      <c r="Y9" s="96" t="str">
        <f t="shared" si="8"/>
        <v/>
      </c>
      <c r="Z9" s="121" t="str">
        <f>IF($A9="","",IFERROR(SUMPRODUCT((Raw_Data_Daily!$B$2:$B$9999="Control")*(Raw_Data_Daily!$A$2:$A$9999=$A9)*(Raw_Data_Daily!$C$2:$C$9999=$C$3)*Raw_Data_Daily!$D$2:$D$9999*Raw_Data_Daily!$L$2:$L$9999)/SUMIFS(Raw_Data_Daily!$D:$D, Raw_Data_Daily!$B:$B, "Control", Raw_Data_Daily!$A:$A, $A9, Raw_Data_Daily!$C:$C, $C$3),""))</f>
        <v/>
      </c>
      <c r="AA9" s="121" t="str">
        <f>IF($A9="","",IFERROR(SUMPRODUCT((Raw_Data_Daily!$B$2:$B$9999="Variant")*(Raw_Data_Daily!$A$2:$A$9999=$A9)*(Raw_Data_Daily!$C$2:$C$9999=$C$3)*Raw_Data_Daily!$D$2:$D$9999*Raw_Data_Daily!$L$2:$L$9999)/SUMIFS(Raw_Data_Daily!$D:$D, Raw_Data_Daily!$B:$B, "Variant", Raw_Data_Daily!$A:$A, $A9, Raw_Data_Daily!$C:$C, $C$3),""))</f>
        <v/>
      </c>
      <c r="AB9" s="96" t="str">
        <f t="shared" si="9"/>
        <v/>
      </c>
      <c r="AC9" s="139" t="str">
        <f>IF($A9="","",IFERROR(SUMPRODUCT((Raw_Data_Daily!$B$2:$B$9999="Control")*(Raw_Data_Daily!$A$2:$A$9999=$A9)*(Raw_Data_Daily!$C$2:$C$9999=$C$3)*Raw_Data_Daily!$D$2:$D$9999*Raw_Data_Daily!$M$2:$M$9999)/SUMIFS(Raw_Data_Daily!$D:$D, Raw_Data_Daily!$B:$B, "Control", Raw_Data_Daily!$A:$A, $A9, Raw_Data_Daily!$C:$C, $C$3),""))</f>
        <v/>
      </c>
      <c r="AD9" s="139" t="str">
        <f>IF($A9="","",IFERROR(SUMPRODUCT((Raw_Data_Daily!$B$2:$B$9999="Variant")*(Raw_Data_Daily!$A$2:$A$9999=$A9)*(Raw_Data_Daily!$C$2:$C$9999=$C$3)*Raw_Data_Daily!$D$2:$D$9999*Raw_Data_Daily!$M$2:$M$9999)/SUMIFS(Raw_Data_Daily!$D:$D, Raw_Data_Daily!$B:$B, "Variant", Raw_Data_Daily!$A:$A, $A9, Raw_Data_Daily!$C:$C, $C$3),""))</f>
        <v/>
      </c>
      <c r="AE9" s="142" t="str">
        <f t="shared" si="10"/>
        <v/>
      </c>
      <c r="AF9" s="139" t="str">
        <f>IF($A9="","",IFERROR(SUMPRODUCT((Raw_Data_Daily!$B$2:$B$9999="Control")*(Raw_Data_Daily!$A$2:$A$9999=$A9)*(Raw_Data_Daily!$C$2:$C$9999=$C$3)*Raw_Data_Daily!$D$2:$D$9999*Raw_Data_Daily!$N$2:$N$9999)/SUMIFS(Raw_Data_Daily!$D:$D, Raw_Data_Daily!$B:$B, "Control", Raw_Data_Daily!$A:$A, $A9, Raw_Data_Daily!$C:$C, $C$3),""))</f>
        <v/>
      </c>
      <c r="AG9" s="139" t="str">
        <f>IF($A9="","",IFERROR(SUMPRODUCT((Raw_Data_Daily!$B$2:$B$9999="Variant")*(Raw_Data_Daily!$A$2:$A$9999=$A9)*(Raw_Data_Daily!$C$2:$C$9999=$C$3)*Raw_Data_Daily!$D$2:$D$9999*Raw_Data_Daily!$N$2:$N$9999)/SUMIFS(Raw_Data_Daily!$D:$D, Raw_Data_Daily!$B:$B, "Variant", Raw_Data_Daily!$A:$A, $A9, Raw_Data_Daily!$C:$C, $C$3),""))</f>
        <v/>
      </c>
      <c r="AH9" s="142" t="str">
        <f t="shared" si="11"/>
        <v/>
      </c>
      <c r="AI9" s="139" t="str">
        <f>IF($A9="","",IFERROR(SUMPRODUCT((Raw_Data_Daily!$B$2:$B$9999="Control")*(Raw_Data_Daily!$A$2:$A$9999=$A9)*(Raw_Data_Daily!$C$2:$C$9999=$C$3)*Raw_Data_Daily!$D$2:$D$9999*Raw_Data_Daily!$O$2:$O$9999)/SUMIFS(Raw_Data_Daily!$D:$D, Raw_Data_Daily!$B:$B, "Control", Raw_Data_Daily!$A:$A, $A9, Raw_Data_Daily!$C:$C, $C$3),""))</f>
        <v/>
      </c>
      <c r="AJ9" s="139" t="str">
        <f>IF($A9="","",IFERROR(SUMPRODUCT((Raw_Data_Daily!$B$2:$B$9999="Variant")*(Raw_Data_Daily!$A$2:$A$9999=$A9)*(Raw_Data_Daily!$C$2:$C$9999=$C$3)*Raw_Data_Daily!$D$2:$D$9999*Raw_Data_Daily!$O$2:$O$9999)/SUMIFS(Raw_Data_Daily!$D:$D, Raw_Data_Daily!$B:$B, "Variant", Raw_Data_Daily!$A:$A, $A9, Raw_Data_Daily!$C:$C, $C$3),""))</f>
        <v/>
      </c>
      <c r="AK9" s="96" t="str">
        <f t="shared" si="12"/>
        <v/>
      </c>
      <c r="AL9" s="121" t="str">
        <f>IF($A9="","",IFERROR(SUMPRODUCT((Raw_Data_Daily!$B$2:$B$9999="Control")*(Raw_Data_Daily!$A$2:$A$9999=$A9)*(Raw_Data_Daily!$C$2:$C$9999=$C$3)*Raw_Data_Daily!$D$2:$D$9999*Raw_Data_Daily!$P$2:$P$9999)/SUMIFS(Raw_Data_Daily!$D:$D, Raw_Data_Daily!$B:$B, "Control", Raw_Data_Daily!$A:$A, $A9, Raw_Data_Daily!$C:$C, $C$3),""))</f>
        <v/>
      </c>
      <c r="AM9" s="121" t="str">
        <f>IF($A9="","",IFERROR(SUMPRODUCT((Raw_Data_Daily!$B$2:$B$9999="Variant")*(Raw_Data_Daily!$A$2:$A$9999=$A9)*(Raw_Data_Daily!$C$2:$C$9999=$C$3)*Raw_Data_Daily!$D$2:$D$9999*Raw_Data_Daily!$P$2:$P$9999)/SUMIFS(Raw_Data_Daily!$D:$D, Raw_Data_Daily!$B:$B, "Variant", Raw_Data_Daily!$A:$A, $A9, Raw_Data_Daily!$C:$C, $C$3),""))</f>
        <v/>
      </c>
      <c r="AN9" s="96" t="str">
        <f t="shared" si="13"/>
        <v/>
      </c>
      <c r="AO9" s="121" t="str">
        <f>IF($A9="","",IFERROR(SUMPRODUCT((Raw_Data_Daily!$B$2:$B$9999="Control")*(Raw_Data_Daily!$A$2:$A$9999=$A9)*(Raw_Data_Daily!$C$2:$C$9999=$C$3)*Raw_Data_Daily!$D$2:$D$9999*Raw_Data_Daily!$Q$2:$Q$9999)/SUMIFS(Raw_Data_Daily!$D:$D, Raw_Data_Daily!$B:$B, "Control", Raw_Data_Daily!$A:$A, $A9, Raw_Data_Daily!$C:$C, $C$3),""))</f>
        <v/>
      </c>
      <c r="AP9" s="121" t="str">
        <f>IF($A9="","",IFERROR(SUMPRODUCT((Raw_Data_Daily!$B$2:$B$9999="Variant")*(Raw_Data_Daily!$A$2:$A$9999=$A9)*(Raw_Data_Daily!$C$2:$C$9999=$C$3)*Raw_Data_Daily!$D$2:$D$9999*Raw_Data_Daily!$Q$2:$Q$9999)/SUMIFS(Raw_Data_Daily!$D:$D, Raw_Data_Daily!$B:$B, "Variant", Raw_Data_Daily!$A:$A, $A9, Raw_Data_Daily!$C:$C, $C$3),""))</f>
        <v/>
      </c>
      <c r="AQ9" s="93" t="str">
        <f t="shared" si="14"/>
        <v/>
      </c>
      <c r="AR9" s="121" t="str">
        <f>IF($A9="","",IFERROR(SUMPRODUCT((Raw_Data_Daily!$B$2:$B$9999="Control")*(Raw_Data_Daily!$A$2:$A$9999=$A9)*(Raw_Data_Daily!$C$2:$C$9999=$C$3)*Raw_Data_Daily!$D$2:$D$9999*Raw_Data_Daily!$R$2:$R$9999)/SUMIFS(Raw_Data_Daily!$D:$D, Raw_Data_Daily!$B:$B, "Control", Raw_Data_Daily!$A:$A, $A9, Raw_Data_Daily!$C:$C, $C$3),""))</f>
        <v/>
      </c>
      <c r="AS9" s="121" t="str">
        <f>IF($A9="","",IFERROR(SUMPRODUCT((Raw_Data_Daily!$B$2:$B$9999="Variant")*(Raw_Data_Daily!$A$2:$A$9999=$A9)*(Raw_Data_Daily!$C$2:$C$9999=$C$3)*Raw_Data_Daily!$D$2:$D$9999*Raw_Data_Daily!$R$2:$R$9999)/SUMIFS(Raw_Data_Daily!$D:$D, Raw_Data_Daily!$B:$B, "Variant", Raw_Data_Daily!$A:$A, $A9, Raw_Data_Daily!$C:$C, $C$3),""))</f>
        <v/>
      </c>
      <c r="AT9" s="93" t="str">
        <f t="shared" si="15"/>
        <v/>
      </c>
      <c r="AU9" s="121" t="str">
        <f>IF($A9="","",IFERROR(SUMPRODUCT((Raw_Data_Daily!$B$2:$B$9999="Control")*(Raw_Data_Daily!$A$2:$A$9999=$A9)*(Raw_Data_Daily!$C$2:$C$9999=$C$3)*Raw_Data_Daily!$D$2:$D$9999*Raw_Data_Daily!$S$2:$S$9999)/SUMIFS(Raw_Data_Daily!$D:$D, Raw_Data_Daily!$B:$B, "Control", Raw_Data_Daily!$A:$A, $A9, Raw_Data_Daily!$C:$C, $C$3),""))</f>
        <v/>
      </c>
      <c r="AV9" s="121" t="str">
        <f>IF($A9="","",IFERROR(SUMPRODUCT((Raw_Data_Daily!$B$2:$B$9999="Variant")*(Raw_Data_Daily!$A$2:$A$9999=$A9)*(Raw_Data_Daily!$C$2:$C$9999=$C$3)*Raw_Data_Daily!$D$2:$D$9999*Raw_Data_Daily!$S$2:$S$9999)/SUMIFS(Raw_Data_Daily!$D:$D, Raw_Data_Daily!$B:$B, "Variant", Raw_Data_Daily!$A:$A, $A9, Raw_Data_Daily!$C:$C, $C$3),""))</f>
        <v/>
      </c>
      <c r="AW9" s="93" t="str">
        <f t="shared" si="16"/>
        <v/>
      </c>
      <c r="AX9" s="121" t="str">
        <f>IF($A9="","",IFERROR(SUMPRODUCT((Raw_Data_Daily!$B$2:$B$9999="Control")*(Raw_Data_Daily!$A$2:$A$9999=$A9)*(Raw_Data_Daily!$C$2:$C$9999=$C$3)*Raw_Data_Daily!$D$2:$D$9999*Raw_Data_Daily!$T$2:$T$9999)/SUMIFS(Raw_Data_Daily!$D:$D, Raw_Data_Daily!$B:$B, "Control", Raw_Data_Daily!$A:$A, $A9, Raw_Data_Daily!$C:$C, $C$3),""))</f>
        <v/>
      </c>
      <c r="AY9" s="121" t="str">
        <f>IF($A9="","",IFERROR(SUMPRODUCT((Raw_Data_Daily!$B$2:$B$9999="Variant")*(Raw_Data_Daily!$A$2:$A$9999=$A9)*(Raw_Data_Daily!$C$2:$C$9999=$C$3)*Raw_Data_Daily!$D$2:$D$9999*Raw_Data_Daily!$T$2:$T$9999)/SUMIFS(Raw_Data_Daily!$D:$D, Raw_Data_Daily!$B:$B, "Variant", Raw_Data_Daily!$A:$A, $A9, Raw_Data_Daily!$C:$C, $C$3),""))</f>
        <v/>
      </c>
      <c r="AZ9" s="96" t="str">
        <f t="shared" si="17"/>
        <v/>
      </c>
      <c r="BA9" s="121" t="str">
        <f>IF($A9="","",IFERROR(SUMPRODUCT((Raw_Data_Daily!$B$2:$B$9999="Control")*(Raw_Data_Daily!$A$2:$A$9999=$A9)*(Raw_Data_Daily!$C$2:$C$9999=$C$3)*Raw_Data_Daily!$D$2:$D$9999*Raw_Data_Daily!$U$2:$U$9999)/SUMIFS(Raw_Data_Daily!$D:$D, Raw_Data_Daily!$B:$B, "Control", Raw_Data_Daily!$A:$A, $A9, Raw_Data_Daily!$C:$C, $C$3),""))</f>
        <v/>
      </c>
      <c r="BB9" s="121" t="str">
        <f>IF($A9="","",IFERROR(SUMPRODUCT((Raw_Data_Daily!$B$2:$B$9999="Variant")*(Raw_Data_Daily!$A$2:$A$9999=$A9)*(Raw_Data_Daily!$C$2:$C$9999=$C$3)*Raw_Data_Daily!$D$2:$D$9999*Raw_Data_Daily!$U$2:$U$9999)/SUMIFS(Raw_Data_Daily!$D:$D, Raw_Data_Daily!$B:$B, "Variant", Raw_Data_Daily!$A:$A, $A9, Raw_Data_Daily!$C:$C, $C$3),""))</f>
        <v/>
      </c>
      <c r="BC9" s="93" t="str">
        <f t="shared" si="18"/>
        <v/>
      </c>
      <c r="BD9" s="121" t="str">
        <f>IF($A9="","",IFERROR(SUMPRODUCT((Raw_Data_Daily!$B$2:$B$9999="Control")*(Raw_Data_Daily!$A$2:$A$9999=$A9)*(Raw_Data_Daily!$C$2:$C$9999=$C$3)*Raw_Data_Daily!$D$2:$D$9999*Raw_Data_Daily!$V$2:$V$9999)/SUMIFS(Raw_Data_Daily!$D:$D, Raw_Data_Daily!$B:$B, "Control", Raw_Data_Daily!$A:$A, $A9, Raw_Data_Daily!$C:$C, $C$3),""))</f>
        <v/>
      </c>
      <c r="BE9" s="121" t="str">
        <f>IF($A9="","",IFERROR(SUMPRODUCT((Raw_Data_Daily!$B$2:$B$9999="Variant")*(Raw_Data_Daily!$A$2:$A$9999=$A9)*(Raw_Data_Daily!$C$2:$C$9999=$C$3)*Raw_Data_Daily!$D$2:$D$9999*Raw_Data_Daily!$V$2:$V$9999)/SUMIFS(Raw_Data_Daily!$D:$D, Raw_Data_Daily!$B:$B, "Variant", Raw_Data_Daily!$A:$A, $A9, Raw_Data_Daily!$C:$C, $C$3),""))</f>
        <v/>
      </c>
      <c r="BF9" s="93" t="str">
        <f t="shared" si="19"/>
        <v/>
      </c>
      <c r="BG9" s="121" t="str">
        <f>IF($A9="","",IFERROR(SUMPRODUCT((Raw_Data_Daily!$B$2:$B$9999="Control")*(Raw_Data_Daily!$A$2:$A$9999=$A9)*(Raw_Data_Daily!$C$2:$C$9999=$C$3)*Raw_Data_Daily!$D$2:$D$9999*(Raw_Data_Daily!$Q$2:$Q$9999-Raw_Data_Daily!$V$2:$V$9999))/SUMIFS(Raw_Data_Daily!$D:$D, Raw_Data_Daily!$B:$B, "Control", Raw_Data_Daily!$A:$A, $A9, Raw_Data_Daily!$C:$C, $C$3),""))</f>
        <v/>
      </c>
      <c r="BH9" s="121" t="str">
        <f>IF($A9="","",IFERROR(SUMPRODUCT((Raw_Data_Daily!$B$2:$B$9999="Variant")*(Raw_Data_Daily!$A$2:$A$9999=$A9)*(Raw_Data_Daily!$C$2:$C$9999=$C$3)*Raw_Data_Daily!$D$2:$D$9999*(Raw_Data_Daily!$Q$2:$Q$9999-Raw_Data_Daily!$V$2:$V$9999))/SUMIFS(Raw_Data_Daily!$D:$D, Raw_Data_Daily!$B:$B, "Variant", Raw_Data_Daily!$A:$A, $A9, Raw_Data_Daily!$C:$C, $C$3),""))</f>
        <v/>
      </c>
      <c r="BI9" s="93" t="str">
        <f t="shared" si="20"/>
        <v/>
      </c>
      <c r="BJ9" s="121" t="str">
        <f>IF($A9="","",IFERROR(SUMPRODUCT((Raw_Data_Daily!$B$2:$B$9999="Control")*(Raw_Data_Daily!$A$2:$A$9999=$A9)*(Raw_Data_Daily!$C$2:$C$9999=$C$3)*Raw_Data_Daily!$D$2:$D$9999*Raw_Data_Daily!$W$2:$W$9999)/SUMIFS(Raw_Data_Daily!$D:$D, Raw_Data_Daily!$B:$B, "Control", Raw_Data_Daily!$A:$A, $A9, Raw_Data_Daily!$C:$C, $C$3),""))</f>
        <v/>
      </c>
      <c r="BK9" s="121" t="str">
        <f>IF($A9="","",IFERROR(SUMPRODUCT((Raw_Data_Daily!$B$2:$B$9999="Variant")*(Raw_Data_Daily!$A$2:$A$9999=$A9)*(Raw_Data_Daily!$C$2:$C$9999=$C$3)*Raw_Data_Daily!$D$2:$D$9999*Raw_Data_Daily!$W$2:$W$9999)/SUMIFS(Raw_Data_Daily!$D:$D, Raw_Data_Daily!$B:$B, "Variant", Raw_Data_Daily!$A:$A, $A9, Raw_Data_Daily!$C:$C, $C$3),""))</f>
        <v/>
      </c>
      <c r="BL9" s="93" t="str">
        <f t="shared" si="21"/>
        <v/>
      </c>
      <c r="BM9" s="139" t="str">
        <f>IF($A9="","",IFERROR(SUMPRODUCT((Raw_Data_Daily!$B$2:$B$9999="Control")*(Raw_Data_Daily!$A$2:$A$9999=$A9)*(Raw_Data_Daily!$C$2:$C$9999=$C$3)*Raw_Data_Daily!$D$2:$D$9999*Raw_Data_Daily!$X$2:$X$9999)/SUMIFS(Raw_Data_Daily!$D:$D, Raw_Data_Daily!$B:$B, "Control", Raw_Data_Daily!$A:$A, $A9, Raw_Data_Daily!$C:$C, $C$3),""))</f>
        <v/>
      </c>
      <c r="BN9" s="139" t="str">
        <f>IF($A9="","",IFERROR(SUMPRODUCT((Raw_Data_Daily!$B$2:$B$9999="Variant")*(Raw_Data_Daily!$A$2:$A$9999=$A9)*(Raw_Data_Daily!$C$2:$C$9999=$C$3)*Raw_Data_Daily!$D$2:$D$9999*Raw_Data_Daily!$X$2:$X$9999)/SUMIFS(Raw_Data_Daily!$D:$D, Raw_Data_Daily!$B:$B, "Variant", Raw_Data_Daily!$A:$A, $A9, Raw_Data_Daily!$C:$C, $C$3),""))</f>
        <v/>
      </c>
      <c r="BO9" s="96" t="str">
        <f t="shared" si="22"/>
        <v/>
      </c>
      <c r="BP9" s="92" t="str">
        <f>IF($A9="","",IFERROR(SUMPRODUCT((Raw_Data_Daily!$B$2:$B$9999="Control")*(Raw_Data_Daily!$A$2:$A$9999=$A9)*(Raw_Data_Daily!$C$2:$C$9999=$C$3)*Raw_Data_Daily!$D$2:$D$9999*Raw_Data_Daily!$Y$2:$Y$9999)/SUMIFS(Raw_Data_Daily!$D:$D, Raw_Data_Daily!$B:$B, "Control", Raw_Data_Daily!$A:$A, $A9, Raw_Data_Daily!$C:$C, $C$3),""))</f>
        <v/>
      </c>
      <c r="BQ9" s="92" t="str">
        <f>IF($A9="","",IFERROR(SUMPRODUCT((Raw_Data_Daily!$B$2:$B$9999="Variant")*(Raw_Data_Daily!$A$2:$A$9999=$A9)*(Raw_Data_Daily!$C$2:$C$9999=$C$3)*Raw_Data_Daily!$D$2:$D$9999*Raw_Data_Daily!$Y$2:$Y$9999)/SUMIFS(Raw_Data_Daily!$D:$D, Raw_Data_Daily!$B:$B, "Variant", Raw_Data_Daily!$A:$A, $A9, Raw_Data_Daily!$C:$C, $C$3),""))</f>
        <v/>
      </c>
      <c r="BR9" s="93" t="str">
        <f t="shared" si="23"/>
        <v/>
      </c>
      <c r="BS9" s="92" t="str">
        <f>IF($A9="","",IFERROR(SUMPRODUCT((Raw_Data_Daily!$B$2:$B$9999="Control")*(Raw_Data_Daily!$A$2:$A$9999=$A9)*(Raw_Data_Daily!$C$2:$C$9999=$C$3)*Raw_Data_Daily!$D$2:$D$9999*Raw_Data_Daily!$Z$2:$Z$9999)/SUMIFS(Raw_Data_Daily!$D:$D, Raw_Data_Daily!$B:$B, "Control", Raw_Data_Daily!$A:$A, $A9, Raw_Data_Daily!$C:$C, $C$3),""))</f>
        <v/>
      </c>
      <c r="BT9" s="92" t="str">
        <f>IF($A9="","",IFERROR(SUMPRODUCT((Raw_Data_Daily!$B$2:$B$9999="Variant")*(Raw_Data_Daily!$A$2:$A$9999=$A9)*(Raw_Data_Daily!$C$2:$C$9999=$C$3)*Raw_Data_Daily!$D$2:$D$9999*Raw_Data_Daily!$Z$2:$Z$9999)/SUMIFS(Raw_Data_Daily!$D:$D, Raw_Data_Daily!$B:$B, "Variant", Raw_Data_Daily!$A:$A, $A9, Raw_Data_Daily!$C:$C, $C$3),""))</f>
        <v/>
      </c>
      <c r="BU9" s="93" t="str">
        <f t="shared" si="24"/>
        <v/>
      </c>
      <c r="BV9" s="92" t="str">
        <f>IF($A9="","",IFERROR(SUMPRODUCT((Raw_Data_Daily!$B$2:$B$9999="Control")*(Raw_Data_Daily!$A$2:$A$9999=$A9)*(Raw_Data_Daily!$C$2:$C$9999=$C$3)*Raw_Data_Daily!$D$2:$D$9999*Raw_Data_Daily!$AA$2:$AA$9999)/SUMIFS(Raw_Data_Daily!$D:$D, Raw_Data_Daily!$B:$B, "Control", Raw_Data_Daily!$A:$A, $A9, Raw_Data_Daily!$C:$C, $C$3),""))</f>
        <v/>
      </c>
      <c r="BW9" s="92" t="str">
        <f>IF($A9="","",IFERROR(SUMPRODUCT((Raw_Data_Daily!$B$2:$B$9999="Variant")*(Raw_Data_Daily!$A$2:$A$9999=$A9)*(Raw_Data_Daily!$C$2:$C$9999=$C$3)*Raw_Data_Daily!$D$2:$D$9999*Raw_Data_Daily!$AA$2:$AA$9999)/SUMIFS(Raw_Data_Daily!$D:$D, Raw_Data_Daily!$B:$B, "Variant", Raw_Data_Daily!$A:$A, $A9, Raw_Data_Daily!$C:$C, $C$3),""))</f>
        <v/>
      </c>
      <c r="BX9" s="93" t="str">
        <f t="shared" si="25"/>
        <v/>
      </c>
      <c r="BY9" s="121" t="str">
        <f>IF($A9="","",IFERROR(SUMPRODUCT((Raw_Data_Daily!$B$2:$B$9999="Control")*(Raw_Data_Daily!$A$2:$A$9999=$A9)*(Raw_Data_Daily!$C$2:$C$9999=$C$3)*Raw_Data_Daily!$D$2:$D$9999*Raw_Data_Daily!$AB$2:$AB$9999)/SUMIFS(Raw_Data_Daily!$D:$D, Raw_Data_Daily!$B:$B, "Control", Raw_Data_Daily!$A:$A, $A9, Raw_Data_Daily!$C:$C, $C$3),""))</f>
        <v/>
      </c>
      <c r="BZ9" s="121" t="str">
        <f>IF($A9="","",IFERROR(SUMPRODUCT((Raw_Data_Daily!$B$2:$B$9999="Variant")*(Raw_Data_Daily!$A$2:$A$9999=$A9)*(Raw_Data_Daily!$C$2:$C$9999=$C$3)*Raw_Data_Daily!$D$2:$D$9999*Raw_Data_Daily!$AB$2:$AB$9999)/SUMIFS(Raw_Data_Daily!$D:$D, Raw_Data_Daily!$B:$B, "Variant", Raw_Data_Daily!$A:$A, $A9, Raw_Data_Daily!$C:$C, $C$3),""))</f>
        <v/>
      </c>
      <c r="CA9" s="96" t="str">
        <f t="shared" si="26"/>
        <v/>
      </c>
      <c r="CB9" s="121" t="str">
        <f>IF($A9="","",IFERROR(SUMPRODUCT((Raw_Data_Daily!$B$2:$B$9999="Control")*(Raw_Data_Daily!$A$2:$A$9999=$A9)*(Raw_Data_Daily!$C$2:$C$9999=$C$3)*Raw_Data_Daily!$D$2:$D$9999*Raw_Data_Daily!$AC$2:$AC$9999)/SUMIFS(Raw_Data_Daily!$D:$D, Raw_Data_Daily!$B:$B, "Control", Raw_Data_Daily!$A:$A, $A9, Raw_Data_Daily!$C:$C, $C$3),""))</f>
        <v/>
      </c>
      <c r="CC9" s="121" t="str">
        <f>IF($A9="","",IFERROR(SUMPRODUCT((Raw_Data_Daily!$B$2:$B$9999="Variant")*(Raw_Data_Daily!$A$2:$A$9999=$A9)*(Raw_Data_Daily!$C$2:$C$9999=$C$3)*Raw_Data_Daily!$D$2:$D$9999*Raw_Data_Daily!$AC$2:$AC$9999)/SUMIFS(Raw_Data_Daily!$D:$D, Raw_Data_Daily!$B:$B, "Variant", Raw_Data_Daily!$A:$A, $A9, Raw_Data_Daily!$C:$C, $C$3),""))</f>
        <v/>
      </c>
      <c r="CD9" s="96" t="str">
        <f t="shared" si="27"/>
        <v/>
      </c>
      <c r="CE9" s="121" t="str">
        <f>IF($A9="","",IFERROR(SUMPRODUCT((Raw_Data_Daily!$B$2:$B$9999="Control")*(Raw_Data_Daily!$A$2:$A$9999=$A9)*(Raw_Data_Daily!$C$2:$C$9999=$C$3)*Raw_Data_Daily!$D$2:$D$9999*Raw_Data_Daily!$AD$2:$AD$9999)/SUMIFS(Raw_Data_Daily!$D:$D, Raw_Data_Daily!$B:$B, "Control", Raw_Data_Daily!$A:$A, $A9, Raw_Data_Daily!$C:$C, $C$3),""))</f>
        <v/>
      </c>
      <c r="CF9" s="121" t="str">
        <f>IF($A9="","",IFERROR(SUMPRODUCT((Raw_Data_Daily!$B$2:$B$9999="Variant")*(Raw_Data_Daily!$A$2:$A$9999=$A9)*(Raw_Data_Daily!$C$2:$C$9999=$C$3)*Raw_Data_Daily!$D$2:$D$9999*Raw_Data_Daily!$AD$2:$AD$9999)/SUMIFS(Raw_Data_Daily!$D:$D, Raw_Data_Daily!$B:$B, "Variant", Raw_Data_Daily!$A:$A, $A9, Raw_Data_Daily!$C:$C, $C$3),""))</f>
        <v/>
      </c>
      <c r="CG9" s="96" t="str">
        <f t="shared" si="28"/>
        <v/>
      </c>
      <c r="CH9" s="121" t="str">
        <f>IF($A9="","",IFERROR(SUMPRODUCT((Raw_Data_Daily!$B$2:$B$9999="Control")*(Raw_Data_Daily!$A$2:$A$9999=$A9)*(Raw_Data_Daily!$C$2:$C$9999=$C$3)*Raw_Data_Daily!$D$2:$D$9999*Raw_Data_Daily!$AE$2:$AE$9999)/SUMIFS(Raw_Data_Daily!$D:$D, Raw_Data_Daily!$B:$B, "Control", Raw_Data_Daily!$A:$A, $A9, Raw_Data_Daily!$C:$C, $C$3),""))</f>
        <v/>
      </c>
      <c r="CI9" s="121" t="str">
        <f>IF($A9="","",IFERROR(SUMPRODUCT((Raw_Data_Daily!$B$2:$B$9999="Variant")*(Raw_Data_Daily!$A$2:$A$9999=$A9)*(Raw_Data_Daily!$C$2:$C$9999=$C$3)*Raw_Data_Daily!$D$2:$D$9999*Raw_Data_Daily!$AE$2:$AE$9999)/SUMIFS(Raw_Data_Daily!$D:$D, Raw_Data_Daily!$B:$B, "Variant", Raw_Data_Daily!$A:$A, $A9, Raw_Data_Daily!$C:$C, $C$3),""))</f>
        <v/>
      </c>
      <c r="CJ9" s="96" t="str">
        <f t="shared" si="29"/>
        <v/>
      </c>
      <c r="CK9" s="121" t="str">
        <f>IF($A9="","",IFERROR(SUMPRODUCT((Raw_Data_Daily!$B$2:$B$9999="Control")*(Raw_Data_Daily!$A$2:$A$9999=$A9)*(Raw_Data_Daily!$C$2:$C$9999=$C$3)*Raw_Data_Daily!$D$2:$D$9999*Raw_Data_Daily!$AF$2:$AF$9999)/SUMIFS(Raw_Data_Daily!$D:$D, Raw_Data_Daily!$B:$B, "Control", Raw_Data_Daily!$A:$A, $A9, Raw_Data_Daily!$C:$C, $C$3),""))</f>
        <v/>
      </c>
      <c r="CL9" s="121" t="str">
        <f>IF($A9="","",IFERROR(SUMPRODUCT((Raw_Data_Daily!$B$2:$B$9999="Variant")*(Raw_Data_Daily!$A$2:$A$9999=$A9)*(Raw_Data_Daily!$C$2:$C$9999=$C$3)*Raw_Data_Daily!$D$2:$D$9999*Raw_Data_Daily!$AF$2:$AF$9999)/SUMIFS(Raw_Data_Daily!$D:$D, Raw_Data_Daily!$B:$B, "Variant", Raw_Data_Daily!$A:$A, $A9, Raw_Data_Daily!$C:$C, $C$3),""))</f>
        <v/>
      </c>
      <c r="CM9" s="96" t="str">
        <f t="shared" si="30"/>
        <v/>
      </c>
      <c r="CN9" s="121" t="str">
        <f>IF($A9="","",IFERROR(SUMPRODUCT((Raw_Data_Daily!$B$2:$B$9999="Control")*(Raw_Data_Daily!$A$2:$A$9999=$A9)*(Raw_Data_Daily!$C$2:$C$9999=$C$3)*Raw_Data_Daily!$D$2:$D$9999*Raw_Data_Daily!$AG$2:$AG$9999)/SUMIFS(Raw_Data_Daily!$D:$D, Raw_Data_Daily!$B:$B, "Control", Raw_Data_Daily!$A:$A, $A9, Raw_Data_Daily!$C:$C, $C$3),""))</f>
        <v/>
      </c>
      <c r="CO9" s="121" t="str">
        <f>IF($A9="","",IFERROR(SUMPRODUCT((Raw_Data_Daily!$B$2:$B$9999="Variant")*(Raw_Data_Daily!$A$2:$A$9999=$A9)*(Raw_Data_Daily!$C$2:$C$9999=$C$3)*Raw_Data_Daily!$D$2:$D$9999*Raw_Data_Daily!$AG$2:$AG$9999)/SUMIFS(Raw_Data_Daily!$D:$D, Raw_Data_Daily!$B:$B, "Variant", Raw_Data_Daily!$A:$A, $A9, Raw_Data_Daily!$C:$C, $C$3),""))</f>
        <v/>
      </c>
      <c r="CP9" s="96" t="str">
        <f t="shared" si="31"/>
        <v/>
      </c>
      <c r="CQ9" s="121" t="str">
        <f>IF($A9="","",IFERROR(SUMPRODUCT((Raw_Data_Daily!$B$2:$B$9999="Control")*(Raw_Data_Daily!$A$2:$A$9999=$A9)*(Raw_Data_Daily!$C$2:$C$9999=$C$3)*Raw_Data_Daily!$D$2:$D$9999*Raw_Data_Daily!$AH$2:$AH$9999)/SUMIFS(Raw_Data_Daily!$D:$D, Raw_Data_Daily!$B:$B, "Control", Raw_Data_Daily!$A:$A, $A9, Raw_Data_Daily!$C:$C, $C$3),""))</f>
        <v/>
      </c>
      <c r="CR9" s="121" t="str">
        <f>IF($A9="","",IFERROR(SUMPRODUCT((Raw_Data_Daily!$B$2:$B$9999="Variant")*(Raw_Data_Daily!$A$2:$A$9999=$A9)*(Raw_Data_Daily!$C$2:$C$9999=$C$3)*Raw_Data_Daily!$D$2:$D$9999*Raw_Data_Daily!$AH$2:$AH$9999)/SUMIFS(Raw_Data_Daily!$D:$D, Raw_Data_Daily!$B:$B, "Variant", Raw_Data_Daily!$A:$A, $A9, Raw_Data_Daily!$C:$C, $C$3),""))</f>
        <v/>
      </c>
      <c r="CS9" s="96" t="str">
        <f t="shared" si="32"/>
        <v/>
      </c>
      <c r="CT9" s="94" t="str">
        <f>IF($A9="","",IFERROR(SUMPRODUCT((Raw_Data_Daily!$B$2:$B$9999="Control")*(Raw_Data_Daily!$A$2:$A$9999=$A9)*(Raw_Data_Daily!$C$2:$C$9999=$C$3)*Raw_Data_Daily!$D$2:$D$9999*Raw_Data_Daily!$AI$2:$AI$9999)/SUMIFS(Raw_Data_Daily!$D:$D, Raw_Data_Daily!$B:$B, "Control", Raw_Data_Daily!$A:$A, $A9, Raw_Data_Daily!$C:$C, $C$3),""))</f>
        <v/>
      </c>
      <c r="CU9" s="94" t="str">
        <f>IF($A9="","",IFERROR(SUMPRODUCT((Raw_Data_Daily!$B$2:$B$9999="Variant")*(Raw_Data_Daily!$A$2:$A$9999=$A9)*(Raw_Data_Daily!$C$2:$C$9999=$C$3)*Raw_Data_Daily!$D$2:$D$9999*Raw_Data_Daily!$AI$2:$AI$9999)/SUMIFS(Raw_Data_Daily!$D:$D, Raw_Data_Daily!$B:$B, "Variant", Raw_Data_Daily!$A:$A, $A9, Raw_Data_Daily!$C:$C, $C$3),""))</f>
        <v/>
      </c>
      <c r="CV9" s="142" t="str">
        <f t="shared" si="33"/>
        <v/>
      </c>
      <c r="CW9" s="94" t="str">
        <f>IF($A9="","",IFERROR(SUMPRODUCT((Raw_Data_Daily!$B$2:$B$9999="Control")*(Raw_Data_Daily!$A$2:$A$9999=$A9)*(Raw_Data_Daily!$C$2:$C$9999=$C$3)*Raw_Data_Daily!$D$2:$D$9999*Raw_Data_Daily!$AJ$2:$AJ$9999)/SUMIFS(Raw_Data_Daily!$D:$D, Raw_Data_Daily!$B:$B, "Control", Raw_Data_Daily!$A:$A, $A9, Raw_Data_Daily!$C:$C, $C$3),""))</f>
        <v/>
      </c>
      <c r="CX9" s="94" t="str">
        <f>IF($A9="","",IFERROR(SUMPRODUCT((Raw_Data_Daily!$B$2:$B$9999="Variant")*(Raw_Data_Daily!$A$2:$A$9999=$A9)*(Raw_Data_Daily!$C$2:$C$9999=$C$3)*Raw_Data_Daily!$D$2:$D$9999*Raw_Data_Daily!$AJ$2:$AJ$9999)/SUMIFS(Raw_Data_Daily!$D:$D, Raw_Data_Daily!$B:$B, "Variant", Raw_Data_Daily!$A:$A, $A9, Raw_Data_Daily!$C:$C, $C$3),""))</f>
        <v/>
      </c>
      <c r="CY9" s="142" t="str">
        <f t="shared" si="34"/>
        <v/>
      </c>
      <c r="CZ9" s="94" t="str">
        <f>IF($A9="","",IFERROR(SUMPRODUCT((Raw_Data_Daily!$B$2:$B$9999="Control")*(Raw_Data_Daily!$A$2:$A$9999=$A9)*(Raw_Data_Daily!$C$2:$C$9999=$C$3)*Raw_Data_Daily!$D$2:$D$9999*Raw_Data_Daily!$AK$2:$AK$9999)/SUMIFS(Raw_Data_Daily!$D:$D, Raw_Data_Daily!$B:$B, "Control", Raw_Data_Daily!$A:$A, $A9, Raw_Data_Daily!$C:$C, $C$3),""))</f>
        <v/>
      </c>
      <c r="DA9" s="94" t="str">
        <f>IF($A9="","",IFERROR(SUMPRODUCT((Raw_Data_Daily!$B$2:$B$9999="Variant")*(Raw_Data_Daily!$A$2:$A$9999=$A9)*(Raw_Data_Daily!$C$2:$C$9999=$C$3)*Raw_Data_Daily!$D$2:$D$9999*Raw_Data_Daily!$AK$2:$AK$9999)/SUMIFS(Raw_Data_Daily!$D:$D, Raw_Data_Daily!$B:$B, "Variant", Raw_Data_Daily!$A:$A, $A9, Raw_Data_Daily!$C:$C, $C$3),""))</f>
        <v/>
      </c>
      <c r="DB9" s="96" t="str">
        <f t="shared" si="35"/>
        <v/>
      </c>
      <c r="DC9" s="139" t="str">
        <f>IF($A9="","",IFERROR(SUMPRODUCT((Raw_Data_Daily!$B$2:$B$9999="Control")*(Raw_Data_Daily!$A$2:$A$9999=$A9)*(Raw_Data_Daily!$C$2:$C$9999=$C$3)*Raw_Data_Daily!$D$2:$D$9999*Raw_Data_Daily!$AL$2:$AL$9999)/SUMIFS(Raw_Data_Daily!$D:$D, Raw_Data_Daily!$B:$B, "Control", Raw_Data_Daily!$A:$A, $A9, Raw_Data_Daily!$C:$C, $C$3),""))</f>
        <v/>
      </c>
      <c r="DD9" s="139" t="str">
        <f>IF($A9="","",IFERROR(SUMPRODUCT((Raw_Data_Daily!$B$2:$B$9999="Variant")*(Raw_Data_Daily!$A$2:$A$9999=$A9)*(Raw_Data_Daily!$C$2:$C$9999=$C$3)*Raw_Data_Daily!$D$2:$D$9999*Raw_Data_Daily!$AL$2:$AL$9999)/SUMIFS(Raw_Data_Daily!$D:$D, Raw_Data_Daily!$B:$B, "Variant", Raw_Data_Daily!$A:$A, $A9, Raw_Data_Daily!$C:$C, $C$3),""))</f>
        <v/>
      </c>
      <c r="DE9" s="142" t="str">
        <f t="shared" si="36"/>
        <v/>
      </c>
      <c r="DF9" s="168"/>
      <c r="DG9" s="94" t="str">
        <f>IF($A9="","",IFERROR(SUMPRODUCT((Raw_Data_Daily!$B$2:$B$9999="Variant")*(Raw_Data_Daily!$A$2:$A$9999=$A9)*(Raw_Data_Daily!$C$2:$C$9999=$C$3)*Raw_Data_Daily!$D$2:$D$9999*Raw_Data_Daily!$AM$2:$AM$9999)/SUMIFS(Raw_Data_Daily!$D:$D, Raw_Data_Daily!$B:$B, "Variant", Raw_Data_Daily!$A:$A, $A9, Raw_Data_Daily!$C:$C, $C$3),""))</f>
        <v/>
      </c>
      <c r="DH9" s="169"/>
      <c r="DI9" s="168"/>
      <c r="DJ9" s="94" t="str">
        <f>IF($A9="","",IFERROR(SUMPRODUCT((Raw_Data_Daily!$B$2:$B$9999="Variant")*(Raw_Data_Daily!$A$2:$A$9999=$A9)*(Raw_Data_Daily!$C$2:$C$9999=$C$3)*Raw_Data_Daily!$D$2:$D$9999*Raw_Data_Daily!$AN$2:$AN$9999)/SUMIFS(Raw_Data_Daily!$D:$D, Raw_Data_Daily!$B:$B, "Variant", Raw_Data_Daily!$A:$A, $A9, Raw_Data_Daily!$C:$C, $C$3),""))</f>
        <v/>
      </c>
      <c r="DK9" s="169"/>
      <c r="DL9" s="168"/>
      <c r="DM9" s="94" t="str">
        <f>IF($A9="","",IFERROR(SUMPRODUCT((Raw_Data_Daily!$B$2:$B$9999="Variant")*(Raw_Data_Daily!$A$2:$A$9999=$A9)*(Raw_Data_Daily!$C$2:$C$9999=$C$3)*Raw_Data_Daily!$D$2:$D$9999*Raw_Data_Daily!$AO$2:$AO$9999)/SUMIFS(Raw_Data_Daily!$D:$D, Raw_Data_Daily!$B:$B, "Variant", Raw_Data_Daily!$A:$A, $A9, Raw_Data_Daily!$C:$C, $C$3),""))</f>
        <v/>
      </c>
      <c r="DN9" s="169"/>
      <c r="DO9" s="168"/>
      <c r="DP9" s="94" t="str">
        <f>IF($A9="","",IFERROR(SUMPRODUCT((Raw_Data_Daily!$B$2:$B$9999="Variant")*(Raw_Data_Daily!$A$2:$A$9999=$A9)*(Raw_Data_Daily!$C$2:$C$9999=$C$3)*Raw_Data_Daily!$D$2:$D$9999*Raw_Data_Daily!$AP$2:$AP$9999)/SUMIFS(Raw_Data_Daily!$D:$D, Raw_Data_Daily!$B:$B, "Variant", Raw_Data_Daily!$A:$A, $A9, Raw_Data_Daily!$C:$C, $C$3),""))</f>
        <v/>
      </c>
      <c r="DQ9" s="169"/>
      <c r="DR9" s="139" t="str">
        <f>IF($A9="","",IFERROR(SUMPRODUCT((Raw_Data_Daily!$B$2:$B$9999="Control")*(Raw_Data_Daily!$A$2:$A$9999=$A9)*(Raw_Data_Daily!$C$2:$C$9999=$C$3)*Raw_Data_Daily!$D$2:$D$9999*Raw_Data_Daily!$AQ$2:$AQ$9999)/SUMIFS(Raw_Data_Daily!$D:$D, Raw_Data_Daily!$B:$B, "Control", Raw_Data_Daily!$A:$A, $A9, Raw_Data_Daily!$C:$C, $C$3),""))</f>
        <v/>
      </c>
      <c r="DS9" s="139" t="str">
        <f>IF($A9="","",IFERROR(SUMPRODUCT((Raw_Data_Daily!$B$2:$B$9999="Variant")*(Raw_Data_Daily!$A$2:$A$9999=$A9)*(Raw_Data_Daily!$C$2:$C$9999=$C$3)*Raw_Data_Daily!$D$2:$D$9999*Raw_Data_Daily!$AQ$2:$AQ$9999)/SUMIFS(Raw_Data_Daily!$D:$D, Raw_Data_Daily!$B:$B, "Variant", Raw_Data_Daily!$A:$A, $A9, Raw_Data_Daily!$C:$C, $C$3),""))</f>
        <v/>
      </c>
      <c r="DT9" s="173" t="str">
        <f t="shared" si="37"/>
        <v/>
      </c>
      <c r="DU9" s="139" t="str">
        <f>IF($A9="","",IFERROR(SUMPRODUCT((Raw_Data_Daily!$B$2:$B$9999="Control")*(Raw_Data_Daily!$A$2:$A$9999=$A9)*(Raw_Data_Daily!$C$2:$C$9999=$C$3)*Raw_Data_Daily!$D$2:$D$9999*Raw_Data_Daily!$AR$2:$AR$9999)/SUMIFS(Raw_Data_Daily!$D:$D, Raw_Data_Daily!$B:$B, "Control", Raw_Data_Daily!$A:$A, $A9, Raw_Data_Daily!$C:$C, $C$3),""))</f>
        <v/>
      </c>
      <c r="DV9" s="139" t="str">
        <f>IF($A9="","",IFERROR(SUMPRODUCT((Raw_Data_Daily!$B$2:$B$9999="Variant")*(Raw_Data_Daily!$A$2:$A$9999=$A9)*(Raw_Data_Daily!$C$2:$C$9999=$C$3)*Raw_Data_Daily!$D$2:$D$9999*Raw_Data_Daily!$AR$2:$AR$9999)/SUMIFS(Raw_Data_Daily!$D:$D, Raw_Data_Daily!$B:$B, "Variant", Raw_Data_Daily!$A:$A, $A9, Raw_Data_Daily!$C:$C, $C$3),""))</f>
        <v/>
      </c>
      <c r="DW9" s="173" t="str">
        <f t="shared" si="38"/>
        <v/>
      </c>
      <c r="DX9" s="139" t="str">
        <f>IF($A9="","",IFERROR(SUMPRODUCT((Raw_Data_Daily!$B$2:$B$9999="Control")*(Raw_Data_Daily!$A$2:$A$9999=$A9)*(Raw_Data_Daily!$C$2:$C$9999=$C$3)*Raw_Data_Daily!$D$2:$D$9999*Raw_Data_Daily!$AS$2:$AS$9999)/SUMIFS(Raw_Data_Daily!$D:$D, Raw_Data_Daily!$B:$B, "Control", Raw_Data_Daily!$A:$A, $A9, Raw_Data_Daily!$C:$C, $C$3),""))</f>
        <v/>
      </c>
      <c r="DY9" s="139" t="str">
        <f>IF($A9="","",IFERROR(SUMPRODUCT((Raw_Data_Daily!$B$2:$B$9999="Variant")*(Raw_Data_Daily!$A$2:$A$9999=$A9)*(Raw_Data_Daily!$C$2:$C$9999=$C$3)*Raw_Data_Daily!$D$2:$D$9999*Raw_Data_Daily!$AS$2:$AS$9999)/SUMIFS(Raw_Data_Daily!$D:$D, Raw_Data_Daily!$B:$B, "Variant", Raw_Data_Daily!$A:$A, $A9, Raw_Data_Daily!$C:$C, $C$3),""))</f>
        <v/>
      </c>
      <c r="DZ9" s="174" t="str">
        <f t="shared" si="39"/>
        <v/>
      </c>
      <c r="EA9" s="139" t="str">
        <f>IF($A9="","",IFERROR(SUMPRODUCT((Raw_Data_Daily!$B$2:$B$9999="Control")*(Raw_Data_Daily!$A$2:$A$9999=$A9)*(Raw_Data_Daily!$C$2:$C$9999=$C$3)*Raw_Data_Daily!$D$2:$D$9999*Raw_Data_Daily!$AT$2:$AT$9999)/SUMIFS(Raw_Data_Daily!$D:$D, Raw_Data_Daily!$B:$B, "Control", Raw_Data_Daily!$A:$A, $A9, Raw_Data_Daily!$C:$C, $C$3),""))</f>
        <v/>
      </c>
      <c r="EB9" s="139" t="str">
        <f>IF($A9="","",IFERROR(SUMPRODUCT((Raw_Data_Daily!$B$2:$B$9999="Variant")*(Raw_Data_Daily!$A$2:$A$9999=$A9)*(Raw_Data_Daily!$C$2:$C$9999=$C$3)*Raw_Data_Daily!$D$2:$D$9999*Raw_Data_Daily!$AT$2:$AT$9999)/SUMIFS(Raw_Data_Daily!$D:$D, Raw_Data_Daily!$B:$B, "Variant", Raw_Data_Daily!$A:$A, $A9, Raw_Data_Daily!$C:$C, $C$3),""))</f>
        <v/>
      </c>
      <c r="EC9" s="173" t="str">
        <f t="shared" si="40"/>
        <v/>
      </c>
      <c r="ED9" s="139" t="str">
        <f>IF($A9="","",IFERROR(SUMPRODUCT((Raw_Data_Daily!$B$2:$B$9999="Control")*(Raw_Data_Daily!$A$2:$A$9999=$A9)*(Raw_Data_Daily!$C$2:$C$9999=$C$3)*Raw_Data_Daily!$D$2:$D$9999*(Raw_Data_Daily!$AQ$2:$AQ$9999-Raw_Data_Daily!$AT$2:$AT$9999))/SUMIFS(Raw_Data_Daily!$D:$D, Raw_Data_Daily!$B:$B, "Control", Raw_Data_Daily!$A:$A, $A9, Raw_Data_Daily!$C:$C, $C$3),""))</f>
        <v/>
      </c>
      <c r="EE9" s="139" t="str">
        <f>IF($A9="","",IFERROR(SUMPRODUCT((Raw_Data_Daily!$B$2:$B$9999="Variant")*(Raw_Data_Daily!$A$2:$A$9999=$A9)*(Raw_Data_Daily!$C$2:$C$9999=$C$3)*Raw_Data_Daily!$D$2:$D$9999*(Raw_Data_Daily!$AQ$2:$AQ$9999-Raw_Data_Daily!$AT$2:$AT$9999))/SUMIFS(Raw_Data_Daily!$D:$D, Raw_Data_Daily!$B:$B, "Variant", Raw_Data_Daily!$A:$A, $A9, Raw_Data_Daily!$C:$C, $C$3),""))</f>
        <v/>
      </c>
      <c r="EF9" s="174" t="str">
        <f t="shared" si="41"/>
        <v/>
      </c>
      <c r="EG9" s="139" t="str">
        <f>IF($A9="","",IFERROR(SUMPRODUCT((Raw_Data_Daily!$B$2:$B$9999="Control")*(Raw_Data_Daily!$A$2:$A$9999=$A9)*(Raw_Data_Daily!$C$2:$C$9999=$C$3)*Raw_Data_Daily!$D$2:$D$9999*Raw_Data_Daily!$AU$2:$AU$9999)/SUMIFS(Raw_Data_Daily!$D:$D, Raw_Data_Daily!$B:$B, "Control", Raw_Data_Daily!$A:$A, $A9, Raw_Data_Daily!$C:$C, $C$3),""))</f>
        <v/>
      </c>
      <c r="EH9" s="139" t="str">
        <f>IF($A9="","",IFERROR(SUMPRODUCT((Raw_Data_Daily!$B$2:$B$9999="Variant")*(Raw_Data_Daily!$A$2:$A$9999=$A9)*(Raw_Data_Daily!$C$2:$C$9999=$C$3)*Raw_Data_Daily!$D$2:$D$9999*Raw_Data_Daily!$AU$2:$AU$9999)/SUMIFS(Raw_Data_Daily!$D:$D, Raw_Data_Daily!$B:$B, "Variant", Raw_Data_Daily!$A:$A, $A9, Raw_Data_Daily!$C:$C, $C$3),""))</f>
        <v/>
      </c>
      <c r="EI9" s="173" t="str">
        <f t="shared" si="42"/>
        <v/>
      </c>
    </row>
    <row r="10" ht="15.75" customHeight="1">
      <c r="A10" s="91">
        <v>46233.0</v>
      </c>
      <c r="B10" s="92">
        <f>IF($A10="","",SUMIFS(Raw_Data_Daily!$D:$D, Raw_Data_Daily!$B:$B, "Control", Raw_Data_Daily!$A:$A, $A10, Raw_Data_Daily!$C:$C, $C$3))</f>
        <v>0</v>
      </c>
      <c r="C10" s="92">
        <f>IF($A10="","",SUMIFS(Raw_Data_Daily!$D:$D, Raw_Data_Daily!$B:$B, "Variant", Raw_Data_Daily!$A:$A, $A10, Raw_Data_Daily!$C:$C, $C$3))</f>
        <v>0</v>
      </c>
      <c r="D10" s="93" t="str">
        <f t="shared" si="1"/>
        <v/>
      </c>
      <c r="E10" s="94" t="str">
        <f>IF($A10="","",IFERROR(SUMPRODUCT((Raw_Data_Daily!$B$2:$B$9999="Control")*(Raw_Data_Daily!$A$2:$A$9999=$A10)*(Raw_Data_Daily!$C$2:$C$9999=$C$3)*Raw_Data_Daily!$D$2:$D$9999*Raw_Data_Daily!$E$2:$E$9999)/SUMIFS(Raw_Data_Daily!$D:$D, Raw_Data_Daily!$B:$B, "Control", Raw_Data_Daily!$A:$A, $A10, Raw_Data_Daily!$C:$C, $C$3),""))</f>
        <v/>
      </c>
      <c r="F10" s="94" t="str">
        <f>IF($A10="","",IFERROR(SUMPRODUCT((Raw_Data_Daily!$B$2:$B$9999="Variant")*(Raw_Data_Daily!$A$2:$A$9999=$A10)*(Raw_Data_Daily!$C$2:$C$9999=$C$3)*Raw_Data_Daily!$D$2:$D$9999*Raw_Data_Daily!$E$2:$E$9999)/SUMIFS(Raw_Data_Daily!$D:$D, Raw_Data_Daily!$B:$B, "Variant", Raw_Data_Daily!$A:$A, $A10, Raw_Data_Daily!$C:$C, $C$3),""))</f>
        <v/>
      </c>
      <c r="G10" s="93" t="str">
        <f t="shared" si="2"/>
        <v/>
      </c>
      <c r="H10" s="95">
        <f>IF($A10="","",SUMIFS(Raw_Data_Daily!$F:$F, Raw_Data_Daily!$B:$B, "Control", Raw_Data_Daily!$A:$A, $A10, Raw_Data_Daily!$C:$C, $C$3))</f>
        <v>0</v>
      </c>
      <c r="I10" s="95">
        <f>IF($A10="","",SUMIFS(Raw_Data_Daily!$F:$F, Raw_Data_Daily!$B:$B, "Variant", Raw_Data_Daily!$A:$A, $A10, Raw_Data_Daily!$C:$C, $C$3))</f>
        <v>0</v>
      </c>
      <c r="J10" s="96" t="str">
        <f t="shared" si="3"/>
        <v/>
      </c>
      <c r="K10" s="97" t="str">
        <f>IF($A10="","",IFERROR(SUMIFS(Raw_Data_Daily!$F:$F, Raw_Data_Daily!$B:$B, "Control", Raw_Data_Daily!$A:$A, $A10, Raw_Data_Daily!$C:$C, $C$3)/SUMIFS(Raw_Data_Daily!$D:$D, Raw_Data_Daily!$B:$B, "Control", Raw_Data_Daily!$A:$A, $A10, Raw_Data_Daily!$C:$C, $C$3),""))</f>
        <v/>
      </c>
      <c r="L10" s="97" t="str">
        <f>IF($A10="","",IFERROR(SUMIFS(Raw_Data_Daily!$F:$F, Raw_Data_Daily!$B:$B, "Variant", Raw_Data_Daily!$A:$A, $A10, Raw_Data_Daily!$C:$C, $C$3)/SUMIFS(Raw_Data_Daily!$D:$D, Raw_Data_Daily!$B:$B, "Variant", Raw_Data_Daily!$A:$A, $A10, Raw_Data_Daily!$C:$C, $C$3),""))</f>
        <v/>
      </c>
      <c r="M10" s="96" t="str">
        <f t="shared" si="4"/>
        <v/>
      </c>
      <c r="N10" s="94" t="str">
        <f>IF($A10="","",IFERROR(SUMPRODUCT((Raw_Data_Daily!$B$2:$B$9999="Control")*(Raw_Data_Daily!$A$2:$A$9999=$A10)*(Raw_Data_Daily!$C$2:$C$9999=$C$3)*Raw_Data_Daily!$D$2:$D$9999*Raw_Data_Daily!$H$2:$H$9999/100)/SUMIFS(Raw_Data_Daily!$D:$D, Raw_Data_Daily!$B:$B, "Control", Raw_Data_Daily!$A:$A, $A10, Raw_Data_Daily!$C:$C, $C$3)*100,""))</f>
        <v/>
      </c>
      <c r="O10" s="94" t="str">
        <f>IF($A10="","",IFERROR(SUMPRODUCT((Raw_Data_Daily!$B$2:$B$9999="Variant")*(Raw_Data_Daily!$A$2:$A$9999=$A10)*(Raw_Data_Daily!$C$2:$C$9999=$C$3)*Raw_Data_Daily!$D$2:$D$9999*Raw_Data_Daily!$H$2:$H$9999/100)/SUMIFS(Raw_Data_Daily!$D:$D, Raw_Data_Daily!$B:$B, "Variant", Raw_Data_Daily!$A:$A, $A10, Raw_Data_Daily!$C:$C, $C$3)*100,""))</f>
        <v/>
      </c>
      <c r="P10" s="96" t="str">
        <f t="shared" si="5"/>
        <v/>
      </c>
      <c r="Q10" s="97" t="str">
        <f>IF($A10="","",IFERROR(SUMIFS(Raw_Data_Daily!$F:$F, Raw_Data_Daily!$B:$B, "Control", Raw_Data_Daily!$A:$A, $A10, Raw_Data_Daily!$C:$C, $C$3)/SUMPRODUCT((Raw_Data_Daily!$B$2:$B$9999="Control")*(Raw_Data_Daily!$A$2:$A$9999=$A10)*(Raw_Data_Daily!$C$2:$C$9999=$C$3)*Raw_Data_Daily!$D$2:$D$9999*Raw_Data_Daily!$H$2:$H$9999/100),""))</f>
        <v/>
      </c>
      <c r="R10" s="97" t="str">
        <f>IF($A10="","",IFERROR(SUMIFS(Raw_Data_Daily!$F:$F, Raw_Data_Daily!$B:$B, "Variant", Raw_Data_Daily!$A:$A, $A10, Raw_Data_Daily!$C:$C, $C$3)/SUMPRODUCT((Raw_Data_Daily!$B$2:$B$9999="Variant")*(Raw_Data_Daily!$A$2:$A$9999=$A10)*(Raw_Data_Daily!$C$2:$C$9999=$C$3)*Raw_Data_Daily!$D$2:$D$9999*Raw_Data_Daily!$H$2:$H$9999/100),""))</f>
        <v/>
      </c>
      <c r="S10" s="96" t="str">
        <f t="shared" si="6"/>
        <v/>
      </c>
      <c r="T10" s="121" t="str">
        <f>IF($A10="","",IFERROR(SUMPRODUCT((Raw_Data_Daily!$B$2:$B$9999="Control")*(Raw_Data_Daily!$A$2:$A$9999=$A10)*(Raw_Data_Daily!$C$2:$C$9999=$C$3)*Raw_Data_Daily!$D$2:$D$9999*Raw_Data_Daily!$J$2:$J$9999)/SUMIFS(Raw_Data_Daily!$D:$D, Raw_Data_Daily!$B:$B, "Control", Raw_Data_Daily!$A:$A, $A10, Raw_Data_Daily!$C:$C, $C$3),""))</f>
        <v/>
      </c>
      <c r="U10" s="121" t="str">
        <f>IF($A10="","",IFERROR(SUMPRODUCT((Raw_Data_Daily!$B$2:$B$9999="Variant")*(Raw_Data_Daily!$A$2:$A$9999=$A10)*(Raw_Data_Daily!$C$2:$C$9999=$C$3)*Raw_Data_Daily!$D$2:$D$9999*Raw_Data_Daily!$J$2:$J$9999)/SUMIFS(Raw_Data_Daily!$D:$D, Raw_Data_Daily!$B:$B, "Variant", Raw_Data_Daily!$A:$A, $A10, Raw_Data_Daily!$C:$C, $C$3),""))</f>
        <v/>
      </c>
      <c r="V10" s="96" t="str">
        <f t="shared" si="7"/>
        <v/>
      </c>
      <c r="W10" s="121" t="str">
        <f>IF($A10="","",IFERROR(SUMPRODUCT((Raw_Data_Daily!$B$2:$B$9999="Control")*(Raw_Data_Daily!$A$2:$A$9999=$A10)*(Raw_Data_Daily!$C$2:$C$9999=$C$3)*Raw_Data_Daily!$D$2:$D$9999*Raw_Data_Daily!$K$2:$K$9999)/SUMIFS(Raw_Data_Daily!$D:$D, Raw_Data_Daily!$B:$B, "Control", Raw_Data_Daily!$A:$A, $A10, Raw_Data_Daily!$C:$C, $C$3),""))</f>
        <v/>
      </c>
      <c r="X10" s="121" t="str">
        <f>IF($A10="","",IFERROR(SUMPRODUCT((Raw_Data_Daily!$B$2:$B$9999="Variant")*(Raw_Data_Daily!$A$2:$A$9999=$A10)*(Raw_Data_Daily!$C$2:$C$9999=$C$3)*Raw_Data_Daily!$D$2:$D$9999*Raw_Data_Daily!$K$2:$K$9999)/SUMIFS(Raw_Data_Daily!$D:$D, Raw_Data_Daily!$B:$B, "Variant", Raw_Data_Daily!$A:$A, $A10, Raw_Data_Daily!$C:$C, $C$3),""))</f>
        <v/>
      </c>
      <c r="Y10" s="96" t="str">
        <f t="shared" si="8"/>
        <v/>
      </c>
      <c r="Z10" s="121" t="str">
        <f>IF($A10="","",IFERROR(SUMPRODUCT((Raw_Data_Daily!$B$2:$B$9999="Control")*(Raw_Data_Daily!$A$2:$A$9999=$A10)*(Raw_Data_Daily!$C$2:$C$9999=$C$3)*Raw_Data_Daily!$D$2:$D$9999*Raw_Data_Daily!$L$2:$L$9999)/SUMIFS(Raw_Data_Daily!$D:$D, Raw_Data_Daily!$B:$B, "Control", Raw_Data_Daily!$A:$A, $A10, Raw_Data_Daily!$C:$C, $C$3),""))</f>
        <v/>
      </c>
      <c r="AA10" s="121" t="str">
        <f>IF($A10="","",IFERROR(SUMPRODUCT((Raw_Data_Daily!$B$2:$B$9999="Variant")*(Raw_Data_Daily!$A$2:$A$9999=$A10)*(Raw_Data_Daily!$C$2:$C$9999=$C$3)*Raw_Data_Daily!$D$2:$D$9999*Raw_Data_Daily!$L$2:$L$9999)/SUMIFS(Raw_Data_Daily!$D:$D, Raw_Data_Daily!$B:$B, "Variant", Raw_Data_Daily!$A:$A, $A10, Raw_Data_Daily!$C:$C, $C$3),""))</f>
        <v/>
      </c>
      <c r="AB10" s="96" t="str">
        <f t="shared" si="9"/>
        <v/>
      </c>
      <c r="AC10" s="139" t="str">
        <f>IF($A10="","",IFERROR(SUMPRODUCT((Raw_Data_Daily!$B$2:$B$9999="Control")*(Raw_Data_Daily!$A$2:$A$9999=$A10)*(Raw_Data_Daily!$C$2:$C$9999=$C$3)*Raw_Data_Daily!$D$2:$D$9999*Raw_Data_Daily!$M$2:$M$9999)/SUMIFS(Raw_Data_Daily!$D:$D, Raw_Data_Daily!$B:$B, "Control", Raw_Data_Daily!$A:$A, $A10, Raw_Data_Daily!$C:$C, $C$3),""))</f>
        <v/>
      </c>
      <c r="AD10" s="139" t="str">
        <f>IF($A10="","",IFERROR(SUMPRODUCT((Raw_Data_Daily!$B$2:$B$9999="Variant")*(Raw_Data_Daily!$A$2:$A$9999=$A10)*(Raw_Data_Daily!$C$2:$C$9999=$C$3)*Raw_Data_Daily!$D$2:$D$9999*Raw_Data_Daily!$M$2:$M$9999)/SUMIFS(Raw_Data_Daily!$D:$D, Raw_Data_Daily!$B:$B, "Variant", Raw_Data_Daily!$A:$A, $A10, Raw_Data_Daily!$C:$C, $C$3),""))</f>
        <v/>
      </c>
      <c r="AE10" s="142" t="str">
        <f t="shared" si="10"/>
        <v/>
      </c>
      <c r="AF10" s="139" t="str">
        <f>IF($A10="","",IFERROR(SUMPRODUCT((Raw_Data_Daily!$B$2:$B$9999="Control")*(Raw_Data_Daily!$A$2:$A$9999=$A10)*(Raw_Data_Daily!$C$2:$C$9999=$C$3)*Raw_Data_Daily!$D$2:$D$9999*Raw_Data_Daily!$N$2:$N$9999)/SUMIFS(Raw_Data_Daily!$D:$D, Raw_Data_Daily!$B:$B, "Control", Raw_Data_Daily!$A:$A, $A10, Raw_Data_Daily!$C:$C, $C$3),""))</f>
        <v/>
      </c>
      <c r="AG10" s="139" t="str">
        <f>IF($A10="","",IFERROR(SUMPRODUCT((Raw_Data_Daily!$B$2:$B$9999="Variant")*(Raw_Data_Daily!$A$2:$A$9999=$A10)*(Raw_Data_Daily!$C$2:$C$9999=$C$3)*Raw_Data_Daily!$D$2:$D$9999*Raw_Data_Daily!$N$2:$N$9999)/SUMIFS(Raw_Data_Daily!$D:$D, Raw_Data_Daily!$B:$B, "Variant", Raw_Data_Daily!$A:$A, $A10, Raw_Data_Daily!$C:$C, $C$3),""))</f>
        <v/>
      </c>
      <c r="AH10" s="142" t="str">
        <f t="shared" si="11"/>
        <v/>
      </c>
      <c r="AI10" s="139" t="str">
        <f>IF($A10="","",IFERROR(SUMPRODUCT((Raw_Data_Daily!$B$2:$B$9999="Control")*(Raw_Data_Daily!$A$2:$A$9999=$A10)*(Raw_Data_Daily!$C$2:$C$9999=$C$3)*Raw_Data_Daily!$D$2:$D$9999*Raw_Data_Daily!$O$2:$O$9999)/SUMIFS(Raw_Data_Daily!$D:$D, Raw_Data_Daily!$B:$B, "Control", Raw_Data_Daily!$A:$A, $A10, Raw_Data_Daily!$C:$C, $C$3),""))</f>
        <v/>
      </c>
      <c r="AJ10" s="139" t="str">
        <f>IF($A10="","",IFERROR(SUMPRODUCT((Raw_Data_Daily!$B$2:$B$9999="Variant")*(Raw_Data_Daily!$A$2:$A$9999=$A10)*(Raw_Data_Daily!$C$2:$C$9999=$C$3)*Raw_Data_Daily!$D$2:$D$9999*Raw_Data_Daily!$O$2:$O$9999)/SUMIFS(Raw_Data_Daily!$D:$D, Raw_Data_Daily!$B:$B, "Variant", Raw_Data_Daily!$A:$A, $A10, Raw_Data_Daily!$C:$C, $C$3),""))</f>
        <v/>
      </c>
      <c r="AK10" s="96" t="str">
        <f t="shared" si="12"/>
        <v/>
      </c>
      <c r="AL10" s="121" t="str">
        <f>IF($A10="","",IFERROR(SUMPRODUCT((Raw_Data_Daily!$B$2:$B$9999="Control")*(Raw_Data_Daily!$A$2:$A$9999=$A10)*(Raw_Data_Daily!$C$2:$C$9999=$C$3)*Raw_Data_Daily!$D$2:$D$9999*Raw_Data_Daily!$P$2:$P$9999)/SUMIFS(Raw_Data_Daily!$D:$D, Raw_Data_Daily!$B:$B, "Control", Raw_Data_Daily!$A:$A, $A10, Raw_Data_Daily!$C:$C, $C$3),""))</f>
        <v/>
      </c>
      <c r="AM10" s="121" t="str">
        <f>IF($A10="","",IFERROR(SUMPRODUCT((Raw_Data_Daily!$B$2:$B$9999="Variant")*(Raw_Data_Daily!$A$2:$A$9999=$A10)*(Raw_Data_Daily!$C$2:$C$9999=$C$3)*Raw_Data_Daily!$D$2:$D$9999*Raw_Data_Daily!$P$2:$P$9999)/SUMIFS(Raw_Data_Daily!$D:$D, Raw_Data_Daily!$B:$B, "Variant", Raw_Data_Daily!$A:$A, $A10, Raw_Data_Daily!$C:$C, $C$3),""))</f>
        <v/>
      </c>
      <c r="AN10" s="96" t="str">
        <f t="shared" si="13"/>
        <v/>
      </c>
      <c r="AO10" s="121" t="str">
        <f>IF($A10="","",IFERROR(SUMPRODUCT((Raw_Data_Daily!$B$2:$B$9999="Control")*(Raw_Data_Daily!$A$2:$A$9999=$A10)*(Raw_Data_Daily!$C$2:$C$9999=$C$3)*Raw_Data_Daily!$D$2:$D$9999*Raw_Data_Daily!$Q$2:$Q$9999)/SUMIFS(Raw_Data_Daily!$D:$D, Raw_Data_Daily!$B:$B, "Control", Raw_Data_Daily!$A:$A, $A10, Raw_Data_Daily!$C:$C, $C$3),""))</f>
        <v/>
      </c>
      <c r="AP10" s="121" t="str">
        <f>IF($A10="","",IFERROR(SUMPRODUCT((Raw_Data_Daily!$B$2:$B$9999="Variant")*(Raw_Data_Daily!$A$2:$A$9999=$A10)*(Raw_Data_Daily!$C$2:$C$9999=$C$3)*Raw_Data_Daily!$D$2:$D$9999*Raw_Data_Daily!$Q$2:$Q$9999)/SUMIFS(Raw_Data_Daily!$D:$D, Raw_Data_Daily!$B:$B, "Variant", Raw_Data_Daily!$A:$A, $A10, Raw_Data_Daily!$C:$C, $C$3),""))</f>
        <v/>
      </c>
      <c r="AQ10" s="93" t="str">
        <f t="shared" si="14"/>
        <v/>
      </c>
      <c r="AR10" s="121" t="str">
        <f>IF($A10="","",IFERROR(SUMPRODUCT((Raw_Data_Daily!$B$2:$B$9999="Control")*(Raw_Data_Daily!$A$2:$A$9999=$A10)*(Raw_Data_Daily!$C$2:$C$9999=$C$3)*Raw_Data_Daily!$D$2:$D$9999*Raw_Data_Daily!$R$2:$R$9999)/SUMIFS(Raw_Data_Daily!$D:$D, Raw_Data_Daily!$B:$B, "Control", Raw_Data_Daily!$A:$A, $A10, Raw_Data_Daily!$C:$C, $C$3),""))</f>
        <v/>
      </c>
      <c r="AS10" s="121" t="str">
        <f>IF($A10="","",IFERROR(SUMPRODUCT((Raw_Data_Daily!$B$2:$B$9999="Variant")*(Raw_Data_Daily!$A$2:$A$9999=$A10)*(Raw_Data_Daily!$C$2:$C$9999=$C$3)*Raw_Data_Daily!$D$2:$D$9999*Raw_Data_Daily!$R$2:$R$9999)/SUMIFS(Raw_Data_Daily!$D:$D, Raw_Data_Daily!$B:$B, "Variant", Raw_Data_Daily!$A:$A, $A10, Raw_Data_Daily!$C:$C, $C$3),""))</f>
        <v/>
      </c>
      <c r="AT10" s="93" t="str">
        <f t="shared" si="15"/>
        <v/>
      </c>
      <c r="AU10" s="121" t="str">
        <f>IF($A10="","",IFERROR(SUMPRODUCT((Raw_Data_Daily!$B$2:$B$9999="Control")*(Raw_Data_Daily!$A$2:$A$9999=$A10)*(Raw_Data_Daily!$C$2:$C$9999=$C$3)*Raw_Data_Daily!$D$2:$D$9999*Raw_Data_Daily!$S$2:$S$9999)/SUMIFS(Raw_Data_Daily!$D:$D, Raw_Data_Daily!$B:$B, "Control", Raw_Data_Daily!$A:$A, $A10, Raw_Data_Daily!$C:$C, $C$3),""))</f>
        <v/>
      </c>
      <c r="AV10" s="121" t="str">
        <f>IF($A10="","",IFERROR(SUMPRODUCT((Raw_Data_Daily!$B$2:$B$9999="Variant")*(Raw_Data_Daily!$A$2:$A$9999=$A10)*(Raw_Data_Daily!$C$2:$C$9999=$C$3)*Raw_Data_Daily!$D$2:$D$9999*Raw_Data_Daily!$S$2:$S$9999)/SUMIFS(Raw_Data_Daily!$D:$D, Raw_Data_Daily!$B:$B, "Variant", Raw_Data_Daily!$A:$A, $A10, Raw_Data_Daily!$C:$C, $C$3),""))</f>
        <v/>
      </c>
      <c r="AW10" s="93" t="str">
        <f t="shared" si="16"/>
        <v/>
      </c>
      <c r="AX10" s="121" t="str">
        <f>IF($A10="","",IFERROR(SUMPRODUCT((Raw_Data_Daily!$B$2:$B$9999="Control")*(Raw_Data_Daily!$A$2:$A$9999=$A10)*(Raw_Data_Daily!$C$2:$C$9999=$C$3)*Raw_Data_Daily!$D$2:$D$9999*Raw_Data_Daily!$T$2:$T$9999)/SUMIFS(Raw_Data_Daily!$D:$D, Raw_Data_Daily!$B:$B, "Control", Raw_Data_Daily!$A:$A, $A10, Raw_Data_Daily!$C:$C, $C$3),""))</f>
        <v/>
      </c>
      <c r="AY10" s="121" t="str">
        <f>IF($A10="","",IFERROR(SUMPRODUCT((Raw_Data_Daily!$B$2:$B$9999="Variant")*(Raw_Data_Daily!$A$2:$A$9999=$A10)*(Raw_Data_Daily!$C$2:$C$9999=$C$3)*Raw_Data_Daily!$D$2:$D$9999*Raw_Data_Daily!$T$2:$T$9999)/SUMIFS(Raw_Data_Daily!$D:$D, Raw_Data_Daily!$B:$B, "Variant", Raw_Data_Daily!$A:$A, $A10, Raw_Data_Daily!$C:$C, $C$3),""))</f>
        <v/>
      </c>
      <c r="AZ10" s="96" t="str">
        <f t="shared" si="17"/>
        <v/>
      </c>
      <c r="BA10" s="121" t="str">
        <f>IF($A10="","",IFERROR(SUMPRODUCT((Raw_Data_Daily!$B$2:$B$9999="Control")*(Raw_Data_Daily!$A$2:$A$9999=$A10)*(Raw_Data_Daily!$C$2:$C$9999=$C$3)*Raw_Data_Daily!$D$2:$D$9999*Raw_Data_Daily!$U$2:$U$9999)/SUMIFS(Raw_Data_Daily!$D:$D, Raw_Data_Daily!$B:$B, "Control", Raw_Data_Daily!$A:$A, $A10, Raw_Data_Daily!$C:$C, $C$3),""))</f>
        <v/>
      </c>
      <c r="BB10" s="121" t="str">
        <f>IF($A10="","",IFERROR(SUMPRODUCT((Raw_Data_Daily!$B$2:$B$9999="Variant")*(Raw_Data_Daily!$A$2:$A$9999=$A10)*(Raw_Data_Daily!$C$2:$C$9999=$C$3)*Raw_Data_Daily!$D$2:$D$9999*Raw_Data_Daily!$U$2:$U$9999)/SUMIFS(Raw_Data_Daily!$D:$D, Raw_Data_Daily!$B:$B, "Variant", Raw_Data_Daily!$A:$A, $A10, Raw_Data_Daily!$C:$C, $C$3),""))</f>
        <v/>
      </c>
      <c r="BC10" s="93" t="str">
        <f t="shared" si="18"/>
        <v/>
      </c>
      <c r="BD10" s="121" t="str">
        <f>IF($A10="","",IFERROR(SUMPRODUCT((Raw_Data_Daily!$B$2:$B$9999="Control")*(Raw_Data_Daily!$A$2:$A$9999=$A10)*(Raw_Data_Daily!$C$2:$C$9999=$C$3)*Raw_Data_Daily!$D$2:$D$9999*Raw_Data_Daily!$V$2:$V$9999)/SUMIFS(Raw_Data_Daily!$D:$D, Raw_Data_Daily!$B:$B, "Control", Raw_Data_Daily!$A:$A, $A10, Raw_Data_Daily!$C:$C, $C$3),""))</f>
        <v/>
      </c>
      <c r="BE10" s="121" t="str">
        <f>IF($A10="","",IFERROR(SUMPRODUCT((Raw_Data_Daily!$B$2:$B$9999="Variant")*(Raw_Data_Daily!$A$2:$A$9999=$A10)*(Raw_Data_Daily!$C$2:$C$9999=$C$3)*Raw_Data_Daily!$D$2:$D$9999*Raw_Data_Daily!$V$2:$V$9999)/SUMIFS(Raw_Data_Daily!$D:$D, Raw_Data_Daily!$B:$B, "Variant", Raw_Data_Daily!$A:$A, $A10, Raw_Data_Daily!$C:$C, $C$3),""))</f>
        <v/>
      </c>
      <c r="BF10" s="93" t="str">
        <f t="shared" si="19"/>
        <v/>
      </c>
      <c r="BG10" s="121" t="str">
        <f>IF($A10="","",IFERROR(SUMPRODUCT((Raw_Data_Daily!$B$2:$B$9999="Control")*(Raw_Data_Daily!$A$2:$A$9999=$A10)*(Raw_Data_Daily!$C$2:$C$9999=$C$3)*Raw_Data_Daily!$D$2:$D$9999*(Raw_Data_Daily!$Q$2:$Q$9999-Raw_Data_Daily!$V$2:$V$9999))/SUMIFS(Raw_Data_Daily!$D:$D, Raw_Data_Daily!$B:$B, "Control", Raw_Data_Daily!$A:$A, $A10, Raw_Data_Daily!$C:$C, $C$3),""))</f>
        <v/>
      </c>
      <c r="BH10" s="121" t="str">
        <f>IF($A10="","",IFERROR(SUMPRODUCT((Raw_Data_Daily!$B$2:$B$9999="Variant")*(Raw_Data_Daily!$A$2:$A$9999=$A10)*(Raw_Data_Daily!$C$2:$C$9999=$C$3)*Raw_Data_Daily!$D$2:$D$9999*(Raw_Data_Daily!$Q$2:$Q$9999-Raw_Data_Daily!$V$2:$V$9999))/SUMIFS(Raw_Data_Daily!$D:$D, Raw_Data_Daily!$B:$B, "Variant", Raw_Data_Daily!$A:$A, $A10, Raw_Data_Daily!$C:$C, $C$3),""))</f>
        <v/>
      </c>
      <c r="BI10" s="93" t="str">
        <f t="shared" si="20"/>
        <v/>
      </c>
      <c r="BJ10" s="121" t="str">
        <f>IF($A10="","",IFERROR(SUMPRODUCT((Raw_Data_Daily!$B$2:$B$9999="Control")*(Raw_Data_Daily!$A$2:$A$9999=$A10)*(Raw_Data_Daily!$C$2:$C$9999=$C$3)*Raw_Data_Daily!$D$2:$D$9999*Raw_Data_Daily!$W$2:$W$9999)/SUMIFS(Raw_Data_Daily!$D:$D, Raw_Data_Daily!$B:$B, "Control", Raw_Data_Daily!$A:$A, $A10, Raw_Data_Daily!$C:$C, $C$3),""))</f>
        <v/>
      </c>
      <c r="BK10" s="121" t="str">
        <f>IF($A10="","",IFERROR(SUMPRODUCT((Raw_Data_Daily!$B$2:$B$9999="Variant")*(Raw_Data_Daily!$A$2:$A$9999=$A10)*(Raw_Data_Daily!$C$2:$C$9999=$C$3)*Raw_Data_Daily!$D$2:$D$9999*Raw_Data_Daily!$W$2:$W$9999)/SUMIFS(Raw_Data_Daily!$D:$D, Raw_Data_Daily!$B:$B, "Variant", Raw_Data_Daily!$A:$A, $A10, Raw_Data_Daily!$C:$C, $C$3),""))</f>
        <v/>
      </c>
      <c r="BL10" s="93" t="str">
        <f t="shared" si="21"/>
        <v/>
      </c>
      <c r="BM10" s="139" t="str">
        <f>IF($A10="","",IFERROR(SUMPRODUCT((Raw_Data_Daily!$B$2:$B$9999="Control")*(Raw_Data_Daily!$A$2:$A$9999=$A10)*(Raw_Data_Daily!$C$2:$C$9999=$C$3)*Raw_Data_Daily!$D$2:$D$9999*Raw_Data_Daily!$X$2:$X$9999)/SUMIFS(Raw_Data_Daily!$D:$D, Raw_Data_Daily!$B:$B, "Control", Raw_Data_Daily!$A:$A, $A10, Raw_Data_Daily!$C:$C, $C$3),""))</f>
        <v/>
      </c>
      <c r="BN10" s="139" t="str">
        <f>IF($A10="","",IFERROR(SUMPRODUCT((Raw_Data_Daily!$B$2:$B$9999="Variant")*(Raw_Data_Daily!$A$2:$A$9999=$A10)*(Raw_Data_Daily!$C$2:$C$9999=$C$3)*Raw_Data_Daily!$D$2:$D$9999*Raw_Data_Daily!$X$2:$X$9999)/SUMIFS(Raw_Data_Daily!$D:$D, Raw_Data_Daily!$B:$B, "Variant", Raw_Data_Daily!$A:$A, $A10, Raw_Data_Daily!$C:$C, $C$3),""))</f>
        <v/>
      </c>
      <c r="BO10" s="96" t="str">
        <f t="shared" si="22"/>
        <v/>
      </c>
      <c r="BP10" s="92" t="str">
        <f>IF($A10="","",IFERROR(SUMPRODUCT((Raw_Data_Daily!$B$2:$B$9999="Control")*(Raw_Data_Daily!$A$2:$A$9999=$A10)*(Raw_Data_Daily!$C$2:$C$9999=$C$3)*Raw_Data_Daily!$D$2:$D$9999*Raw_Data_Daily!$Y$2:$Y$9999)/SUMIFS(Raw_Data_Daily!$D:$D, Raw_Data_Daily!$B:$B, "Control", Raw_Data_Daily!$A:$A, $A10, Raw_Data_Daily!$C:$C, $C$3),""))</f>
        <v/>
      </c>
      <c r="BQ10" s="92" t="str">
        <f>IF($A10="","",IFERROR(SUMPRODUCT((Raw_Data_Daily!$B$2:$B$9999="Variant")*(Raw_Data_Daily!$A$2:$A$9999=$A10)*(Raw_Data_Daily!$C$2:$C$9999=$C$3)*Raw_Data_Daily!$D$2:$D$9999*Raw_Data_Daily!$Y$2:$Y$9999)/SUMIFS(Raw_Data_Daily!$D:$D, Raw_Data_Daily!$B:$B, "Variant", Raw_Data_Daily!$A:$A, $A10, Raw_Data_Daily!$C:$C, $C$3),""))</f>
        <v/>
      </c>
      <c r="BR10" s="93" t="str">
        <f t="shared" si="23"/>
        <v/>
      </c>
      <c r="BS10" s="92" t="str">
        <f>IF($A10="","",IFERROR(SUMPRODUCT((Raw_Data_Daily!$B$2:$B$9999="Control")*(Raw_Data_Daily!$A$2:$A$9999=$A10)*(Raw_Data_Daily!$C$2:$C$9999=$C$3)*Raw_Data_Daily!$D$2:$D$9999*Raw_Data_Daily!$Z$2:$Z$9999)/SUMIFS(Raw_Data_Daily!$D:$D, Raw_Data_Daily!$B:$B, "Control", Raw_Data_Daily!$A:$A, $A10, Raw_Data_Daily!$C:$C, $C$3),""))</f>
        <v/>
      </c>
      <c r="BT10" s="92" t="str">
        <f>IF($A10="","",IFERROR(SUMPRODUCT((Raw_Data_Daily!$B$2:$B$9999="Variant")*(Raw_Data_Daily!$A$2:$A$9999=$A10)*(Raw_Data_Daily!$C$2:$C$9999=$C$3)*Raw_Data_Daily!$D$2:$D$9999*Raw_Data_Daily!$Z$2:$Z$9999)/SUMIFS(Raw_Data_Daily!$D:$D, Raw_Data_Daily!$B:$B, "Variant", Raw_Data_Daily!$A:$A, $A10, Raw_Data_Daily!$C:$C, $C$3),""))</f>
        <v/>
      </c>
      <c r="BU10" s="93" t="str">
        <f t="shared" si="24"/>
        <v/>
      </c>
      <c r="BV10" s="92" t="str">
        <f>IF($A10="","",IFERROR(SUMPRODUCT((Raw_Data_Daily!$B$2:$B$9999="Control")*(Raw_Data_Daily!$A$2:$A$9999=$A10)*(Raw_Data_Daily!$C$2:$C$9999=$C$3)*Raw_Data_Daily!$D$2:$D$9999*Raw_Data_Daily!$AA$2:$AA$9999)/SUMIFS(Raw_Data_Daily!$D:$D, Raw_Data_Daily!$B:$B, "Control", Raw_Data_Daily!$A:$A, $A10, Raw_Data_Daily!$C:$C, $C$3),""))</f>
        <v/>
      </c>
      <c r="BW10" s="92" t="str">
        <f>IF($A10="","",IFERROR(SUMPRODUCT((Raw_Data_Daily!$B$2:$B$9999="Variant")*(Raw_Data_Daily!$A$2:$A$9999=$A10)*(Raw_Data_Daily!$C$2:$C$9999=$C$3)*Raw_Data_Daily!$D$2:$D$9999*Raw_Data_Daily!$AA$2:$AA$9999)/SUMIFS(Raw_Data_Daily!$D:$D, Raw_Data_Daily!$B:$B, "Variant", Raw_Data_Daily!$A:$A, $A10, Raw_Data_Daily!$C:$C, $C$3),""))</f>
        <v/>
      </c>
      <c r="BX10" s="93" t="str">
        <f t="shared" si="25"/>
        <v/>
      </c>
      <c r="BY10" s="121" t="str">
        <f>IF($A10="","",IFERROR(SUMPRODUCT((Raw_Data_Daily!$B$2:$B$9999="Control")*(Raw_Data_Daily!$A$2:$A$9999=$A10)*(Raw_Data_Daily!$C$2:$C$9999=$C$3)*Raw_Data_Daily!$D$2:$D$9999*Raw_Data_Daily!$AB$2:$AB$9999)/SUMIFS(Raw_Data_Daily!$D:$D, Raw_Data_Daily!$B:$B, "Control", Raw_Data_Daily!$A:$A, $A10, Raw_Data_Daily!$C:$C, $C$3),""))</f>
        <v/>
      </c>
      <c r="BZ10" s="121" t="str">
        <f>IF($A10="","",IFERROR(SUMPRODUCT((Raw_Data_Daily!$B$2:$B$9999="Variant")*(Raw_Data_Daily!$A$2:$A$9999=$A10)*(Raw_Data_Daily!$C$2:$C$9999=$C$3)*Raw_Data_Daily!$D$2:$D$9999*Raw_Data_Daily!$AB$2:$AB$9999)/SUMIFS(Raw_Data_Daily!$D:$D, Raw_Data_Daily!$B:$B, "Variant", Raw_Data_Daily!$A:$A, $A10, Raw_Data_Daily!$C:$C, $C$3),""))</f>
        <v/>
      </c>
      <c r="CA10" s="96" t="str">
        <f t="shared" si="26"/>
        <v/>
      </c>
      <c r="CB10" s="121" t="str">
        <f>IF($A10="","",IFERROR(SUMPRODUCT((Raw_Data_Daily!$B$2:$B$9999="Control")*(Raw_Data_Daily!$A$2:$A$9999=$A10)*(Raw_Data_Daily!$C$2:$C$9999=$C$3)*Raw_Data_Daily!$D$2:$D$9999*Raw_Data_Daily!$AC$2:$AC$9999)/SUMIFS(Raw_Data_Daily!$D:$D, Raw_Data_Daily!$B:$B, "Control", Raw_Data_Daily!$A:$A, $A10, Raw_Data_Daily!$C:$C, $C$3),""))</f>
        <v/>
      </c>
      <c r="CC10" s="121" t="str">
        <f>IF($A10="","",IFERROR(SUMPRODUCT((Raw_Data_Daily!$B$2:$B$9999="Variant")*(Raw_Data_Daily!$A$2:$A$9999=$A10)*(Raw_Data_Daily!$C$2:$C$9999=$C$3)*Raw_Data_Daily!$D$2:$D$9999*Raw_Data_Daily!$AC$2:$AC$9999)/SUMIFS(Raw_Data_Daily!$D:$D, Raw_Data_Daily!$B:$B, "Variant", Raw_Data_Daily!$A:$A, $A10, Raw_Data_Daily!$C:$C, $C$3),""))</f>
        <v/>
      </c>
      <c r="CD10" s="96" t="str">
        <f t="shared" si="27"/>
        <v/>
      </c>
      <c r="CE10" s="121" t="str">
        <f>IF($A10="","",IFERROR(SUMPRODUCT((Raw_Data_Daily!$B$2:$B$9999="Control")*(Raw_Data_Daily!$A$2:$A$9999=$A10)*(Raw_Data_Daily!$C$2:$C$9999=$C$3)*Raw_Data_Daily!$D$2:$D$9999*Raw_Data_Daily!$AD$2:$AD$9999)/SUMIFS(Raw_Data_Daily!$D:$D, Raw_Data_Daily!$B:$B, "Control", Raw_Data_Daily!$A:$A, $A10, Raw_Data_Daily!$C:$C, $C$3),""))</f>
        <v/>
      </c>
      <c r="CF10" s="121" t="str">
        <f>IF($A10="","",IFERROR(SUMPRODUCT((Raw_Data_Daily!$B$2:$B$9999="Variant")*(Raw_Data_Daily!$A$2:$A$9999=$A10)*(Raw_Data_Daily!$C$2:$C$9999=$C$3)*Raw_Data_Daily!$D$2:$D$9999*Raw_Data_Daily!$AD$2:$AD$9999)/SUMIFS(Raw_Data_Daily!$D:$D, Raw_Data_Daily!$B:$B, "Variant", Raw_Data_Daily!$A:$A, $A10, Raw_Data_Daily!$C:$C, $C$3),""))</f>
        <v/>
      </c>
      <c r="CG10" s="96" t="str">
        <f t="shared" si="28"/>
        <v/>
      </c>
      <c r="CH10" s="121" t="str">
        <f>IF($A10="","",IFERROR(SUMPRODUCT((Raw_Data_Daily!$B$2:$B$9999="Control")*(Raw_Data_Daily!$A$2:$A$9999=$A10)*(Raw_Data_Daily!$C$2:$C$9999=$C$3)*Raw_Data_Daily!$D$2:$D$9999*Raw_Data_Daily!$AE$2:$AE$9999)/SUMIFS(Raw_Data_Daily!$D:$D, Raw_Data_Daily!$B:$B, "Control", Raw_Data_Daily!$A:$A, $A10, Raw_Data_Daily!$C:$C, $C$3),""))</f>
        <v/>
      </c>
      <c r="CI10" s="121" t="str">
        <f>IF($A10="","",IFERROR(SUMPRODUCT((Raw_Data_Daily!$B$2:$B$9999="Variant")*(Raw_Data_Daily!$A$2:$A$9999=$A10)*(Raw_Data_Daily!$C$2:$C$9999=$C$3)*Raw_Data_Daily!$D$2:$D$9999*Raw_Data_Daily!$AE$2:$AE$9999)/SUMIFS(Raw_Data_Daily!$D:$D, Raw_Data_Daily!$B:$B, "Variant", Raw_Data_Daily!$A:$A, $A10, Raw_Data_Daily!$C:$C, $C$3),""))</f>
        <v/>
      </c>
      <c r="CJ10" s="96" t="str">
        <f t="shared" si="29"/>
        <v/>
      </c>
      <c r="CK10" s="121" t="str">
        <f>IF($A10="","",IFERROR(SUMPRODUCT((Raw_Data_Daily!$B$2:$B$9999="Control")*(Raw_Data_Daily!$A$2:$A$9999=$A10)*(Raw_Data_Daily!$C$2:$C$9999=$C$3)*Raw_Data_Daily!$D$2:$D$9999*Raw_Data_Daily!$AF$2:$AF$9999)/SUMIFS(Raw_Data_Daily!$D:$D, Raw_Data_Daily!$B:$B, "Control", Raw_Data_Daily!$A:$A, $A10, Raw_Data_Daily!$C:$C, $C$3),""))</f>
        <v/>
      </c>
      <c r="CL10" s="121" t="str">
        <f>IF($A10="","",IFERROR(SUMPRODUCT((Raw_Data_Daily!$B$2:$B$9999="Variant")*(Raw_Data_Daily!$A$2:$A$9999=$A10)*(Raw_Data_Daily!$C$2:$C$9999=$C$3)*Raw_Data_Daily!$D$2:$D$9999*Raw_Data_Daily!$AF$2:$AF$9999)/SUMIFS(Raw_Data_Daily!$D:$D, Raw_Data_Daily!$B:$B, "Variant", Raw_Data_Daily!$A:$A, $A10, Raw_Data_Daily!$C:$C, $C$3),""))</f>
        <v/>
      </c>
      <c r="CM10" s="96" t="str">
        <f t="shared" si="30"/>
        <v/>
      </c>
      <c r="CN10" s="121" t="str">
        <f>IF($A10="","",IFERROR(SUMPRODUCT((Raw_Data_Daily!$B$2:$B$9999="Control")*(Raw_Data_Daily!$A$2:$A$9999=$A10)*(Raw_Data_Daily!$C$2:$C$9999=$C$3)*Raw_Data_Daily!$D$2:$D$9999*Raw_Data_Daily!$AG$2:$AG$9999)/SUMIFS(Raw_Data_Daily!$D:$D, Raw_Data_Daily!$B:$B, "Control", Raw_Data_Daily!$A:$A, $A10, Raw_Data_Daily!$C:$C, $C$3),""))</f>
        <v/>
      </c>
      <c r="CO10" s="121" t="str">
        <f>IF($A10="","",IFERROR(SUMPRODUCT((Raw_Data_Daily!$B$2:$B$9999="Variant")*(Raw_Data_Daily!$A$2:$A$9999=$A10)*(Raw_Data_Daily!$C$2:$C$9999=$C$3)*Raw_Data_Daily!$D$2:$D$9999*Raw_Data_Daily!$AG$2:$AG$9999)/SUMIFS(Raw_Data_Daily!$D:$D, Raw_Data_Daily!$B:$B, "Variant", Raw_Data_Daily!$A:$A, $A10, Raw_Data_Daily!$C:$C, $C$3),""))</f>
        <v/>
      </c>
      <c r="CP10" s="96" t="str">
        <f t="shared" si="31"/>
        <v/>
      </c>
      <c r="CQ10" s="121" t="str">
        <f>IF($A10="","",IFERROR(SUMPRODUCT((Raw_Data_Daily!$B$2:$B$9999="Control")*(Raw_Data_Daily!$A$2:$A$9999=$A10)*(Raw_Data_Daily!$C$2:$C$9999=$C$3)*Raw_Data_Daily!$D$2:$D$9999*Raw_Data_Daily!$AH$2:$AH$9999)/SUMIFS(Raw_Data_Daily!$D:$D, Raw_Data_Daily!$B:$B, "Control", Raw_Data_Daily!$A:$A, $A10, Raw_Data_Daily!$C:$C, $C$3),""))</f>
        <v/>
      </c>
      <c r="CR10" s="121" t="str">
        <f>IF($A10="","",IFERROR(SUMPRODUCT((Raw_Data_Daily!$B$2:$B$9999="Variant")*(Raw_Data_Daily!$A$2:$A$9999=$A10)*(Raw_Data_Daily!$C$2:$C$9999=$C$3)*Raw_Data_Daily!$D$2:$D$9999*Raw_Data_Daily!$AH$2:$AH$9999)/SUMIFS(Raw_Data_Daily!$D:$D, Raw_Data_Daily!$B:$B, "Variant", Raw_Data_Daily!$A:$A, $A10, Raw_Data_Daily!$C:$C, $C$3),""))</f>
        <v/>
      </c>
      <c r="CS10" s="96" t="str">
        <f t="shared" si="32"/>
        <v/>
      </c>
      <c r="CT10" s="94" t="str">
        <f>IF($A10="","",IFERROR(SUMPRODUCT((Raw_Data_Daily!$B$2:$B$9999="Control")*(Raw_Data_Daily!$A$2:$A$9999=$A10)*(Raw_Data_Daily!$C$2:$C$9999=$C$3)*Raw_Data_Daily!$D$2:$D$9999*Raw_Data_Daily!$AI$2:$AI$9999)/SUMIFS(Raw_Data_Daily!$D:$D, Raw_Data_Daily!$B:$B, "Control", Raw_Data_Daily!$A:$A, $A10, Raw_Data_Daily!$C:$C, $C$3),""))</f>
        <v/>
      </c>
      <c r="CU10" s="94" t="str">
        <f>IF($A10="","",IFERROR(SUMPRODUCT((Raw_Data_Daily!$B$2:$B$9999="Variant")*(Raw_Data_Daily!$A$2:$A$9999=$A10)*(Raw_Data_Daily!$C$2:$C$9999=$C$3)*Raw_Data_Daily!$D$2:$D$9999*Raw_Data_Daily!$AI$2:$AI$9999)/SUMIFS(Raw_Data_Daily!$D:$D, Raw_Data_Daily!$B:$B, "Variant", Raw_Data_Daily!$A:$A, $A10, Raw_Data_Daily!$C:$C, $C$3),""))</f>
        <v/>
      </c>
      <c r="CV10" s="142" t="str">
        <f t="shared" si="33"/>
        <v/>
      </c>
      <c r="CW10" s="94" t="str">
        <f>IF($A10="","",IFERROR(SUMPRODUCT((Raw_Data_Daily!$B$2:$B$9999="Control")*(Raw_Data_Daily!$A$2:$A$9999=$A10)*(Raw_Data_Daily!$C$2:$C$9999=$C$3)*Raw_Data_Daily!$D$2:$D$9999*Raw_Data_Daily!$AJ$2:$AJ$9999)/SUMIFS(Raw_Data_Daily!$D:$D, Raw_Data_Daily!$B:$B, "Control", Raw_Data_Daily!$A:$A, $A10, Raw_Data_Daily!$C:$C, $C$3),""))</f>
        <v/>
      </c>
      <c r="CX10" s="94" t="str">
        <f>IF($A10="","",IFERROR(SUMPRODUCT((Raw_Data_Daily!$B$2:$B$9999="Variant")*(Raw_Data_Daily!$A$2:$A$9999=$A10)*(Raw_Data_Daily!$C$2:$C$9999=$C$3)*Raw_Data_Daily!$D$2:$D$9999*Raw_Data_Daily!$AJ$2:$AJ$9999)/SUMIFS(Raw_Data_Daily!$D:$D, Raw_Data_Daily!$B:$B, "Variant", Raw_Data_Daily!$A:$A, $A10, Raw_Data_Daily!$C:$C, $C$3),""))</f>
        <v/>
      </c>
      <c r="CY10" s="142" t="str">
        <f t="shared" si="34"/>
        <v/>
      </c>
      <c r="CZ10" s="94" t="str">
        <f>IF($A10="","",IFERROR(SUMPRODUCT((Raw_Data_Daily!$B$2:$B$9999="Control")*(Raw_Data_Daily!$A$2:$A$9999=$A10)*(Raw_Data_Daily!$C$2:$C$9999=$C$3)*Raw_Data_Daily!$D$2:$D$9999*Raw_Data_Daily!$AK$2:$AK$9999)/SUMIFS(Raw_Data_Daily!$D:$D, Raw_Data_Daily!$B:$B, "Control", Raw_Data_Daily!$A:$A, $A10, Raw_Data_Daily!$C:$C, $C$3),""))</f>
        <v/>
      </c>
      <c r="DA10" s="94" t="str">
        <f>IF($A10="","",IFERROR(SUMPRODUCT((Raw_Data_Daily!$B$2:$B$9999="Variant")*(Raw_Data_Daily!$A$2:$A$9999=$A10)*(Raw_Data_Daily!$C$2:$C$9999=$C$3)*Raw_Data_Daily!$D$2:$D$9999*Raw_Data_Daily!$AK$2:$AK$9999)/SUMIFS(Raw_Data_Daily!$D:$D, Raw_Data_Daily!$B:$B, "Variant", Raw_Data_Daily!$A:$A, $A10, Raw_Data_Daily!$C:$C, $C$3),""))</f>
        <v/>
      </c>
      <c r="DB10" s="96" t="str">
        <f t="shared" si="35"/>
        <v/>
      </c>
      <c r="DC10" s="139" t="str">
        <f>IF($A10="","",IFERROR(SUMPRODUCT((Raw_Data_Daily!$B$2:$B$9999="Control")*(Raw_Data_Daily!$A$2:$A$9999=$A10)*(Raw_Data_Daily!$C$2:$C$9999=$C$3)*Raw_Data_Daily!$D$2:$D$9999*Raw_Data_Daily!$AL$2:$AL$9999)/SUMIFS(Raw_Data_Daily!$D:$D, Raw_Data_Daily!$B:$B, "Control", Raw_Data_Daily!$A:$A, $A10, Raw_Data_Daily!$C:$C, $C$3),""))</f>
        <v/>
      </c>
      <c r="DD10" s="139" t="str">
        <f>IF($A10="","",IFERROR(SUMPRODUCT((Raw_Data_Daily!$B$2:$B$9999="Variant")*(Raw_Data_Daily!$A$2:$A$9999=$A10)*(Raw_Data_Daily!$C$2:$C$9999=$C$3)*Raw_Data_Daily!$D$2:$D$9999*Raw_Data_Daily!$AL$2:$AL$9999)/SUMIFS(Raw_Data_Daily!$D:$D, Raw_Data_Daily!$B:$B, "Variant", Raw_Data_Daily!$A:$A, $A10, Raw_Data_Daily!$C:$C, $C$3),""))</f>
        <v/>
      </c>
      <c r="DE10" s="142" t="str">
        <f t="shared" si="36"/>
        <v/>
      </c>
      <c r="DF10" s="168"/>
      <c r="DG10" s="94" t="str">
        <f>IF($A10="","",IFERROR(SUMPRODUCT((Raw_Data_Daily!$B$2:$B$9999="Variant")*(Raw_Data_Daily!$A$2:$A$9999=$A10)*(Raw_Data_Daily!$C$2:$C$9999=$C$3)*Raw_Data_Daily!$D$2:$D$9999*Raw_Data_Daily!$AM$2:$AM$9999)/SUMIFS(Raw_Data_Daily!$D:$D, Raw_Data_Daily!$B:$B, "Variant", Raw_Data_Daily!$A:$A, $A10, Raw_Data_Daily!$C:$C, $C$3),""))</f>
        <v/>
      </c>
      <c r="DH10" s="169"/>
      <c r="DI10" s="168"/>
      <c r="DJ10" s="94" t="str">
        <f>IF($A10="","",IFERROR(SUMPRODUCT((Raw_Data_Daily!$B$2:$B$9999="Variant")*(Raw_Data_Daily!$A$2:$A$9999=$A10)*(Raw_Data_Daily!$C$2:$C$9999=$C$3)*Raw_Data_Daily!$D$2:$D$9999*Raw_Data_Daily!$AN$2:$AN$9999)/SUMIFS(Raw_Data_Daily!$D:$D, Raw_Data_Daily!$B:$B, "Variant", Raw_Data_Daily!$A:$A, $A10, Raw_Data_Daily!$C:$C, $C$3),""))</f>
        <v/>
      </c>
      <c r="DK10" s="169"/>
      <c r="DL10" s="168"/>
      <c r="DM10" s="94" t="str">
        <f>IF($A10="","",IFERROR(SUMPRODUCT((Raw_Data_Daily!$B$2:$B$9999="Variant")*(Raw_Data_Daily!$A$2:$A$9999=$A10)*(Raw_Data_Daily!$C$2:$C$9999=$C$3)*Raw_Data_Daily!$D$2:$D$9999*Raw_Data_Daily!$AO$2:$AO$9999)/SUMIFS(Raw_Data_Daily!$D:$D, Raw_Data_Daily!$B:$B, "Variant", Raw_Data_Daily!$A:$A, $A10, Raw_Data_Daily!$C:$C, $C$3),""))</f>
        <v/>
      </c>
      <c r="DN10" s="169"/>
      <c r="DO10" s="168"/>
      <c r="DP10" s="94" t="str">
        <f>IF($A10="","",IFERROR(SUMPRODUCT((Raw_Data_Daily!$B$2:$B$9999="Variant")*(Raw_Data_Daily!$A$2:$A$9999=$A10)*(Raw_Data_Daily!$C$2:$C$9999=$C$3)*Raw_Data_Daily!$D$2:$D$9999*Raw_Data_Daily!$AP$2:$AP$9999)/SUMIFS(Raw_Data_Daily!$D:$D, Raw_Data_Daily!$B:$B, "Variant", Raw_Data_Daily!$A:$A, $A10, Raw_Data_Daily!$C:$C, $C$3),""))</f>
        <v/>
      </c>
      <c r="DQ10" s="169"/>
      <c r="DR10" s="139" t="str">
        <f>IF($A10="","",IFERROR(SUMPRODUCT((Raw_Data_Daily!$B$2:$B$9999="Control")*(Raw_Data_Daily!$A$2:$A$9999=$A10)*(Raw_Data_Daily!$C$2:$C$9999=$C$3)*Raw_Data_Daily!$D$2:$D$9999*Raw_Data_Daily!$AQ$2:$AQ$9999)/SUMIFS(Raw_Data_Daily!$D:$D, Raw_Data_Daily!$B:$B, "Control", Raw_Data_Daily!$A:$A, $A10, Raw_Data_Daily!$C:$C, $C$3),""))</f>
        <v/>
      </c>
      <c r="DS10" s="139" t="str">
        <f>IF($A10="","",IFERROR(SUMPRODUCT((Raw_Data_Daily!$B$2:$B$9999="Variant")*(Raw_Data_Daily!$A$2:$A$9999=$A10)*(Raw_Data_Daily!$C$2:$C$9999=$C$3)*Raw_Data_Daily!$D$2:$D$9999*Raw_Data_Daily!$AQ$2:$AQ$9999)/SUMIFS(Raw_Data_Daily!$D:$D, Raw_Data_Daily!$B:$B, "Variant", Raw_Data_Daily!$A:$A, $A10, Raw_Data_Daily!$C:$C, $C$3),""))</f>
        <v/>
      </c>
      <c r="DT10" s="173" t="str">
        <f t="shared" si="37"/>
        <v/>
      </c>
      <c r="DU10" s="139" t="str">
        <f>IF($A10="","",IFERROR(SUMPRODUCT((Raw_Data_Daily!$B$2:$B$9999="Control")*(Raw_Data_Daily!$A$2:$A$9999=$A10)*(Raw_Data_Daily!$C$2:$C$9999=$C$3)*Raw_Data_Daily!$D$2:$D$9999*Raw_Data_Daily!$AR$2:$AR$9999)/SUMIFS(Raw_Data_Daily!$D:$D, Raw_Data_Daily!$B:$B, "Control", Raw_Data_Daily!$A:$A, $A10, Raw_Data_Daily!$C:$C, $C$3),""))</f>
        <v/>
      </c>
      <c r="DV10" s="139" t="str">
        <f>IF($A10="","",IFERROR(SUMPRODUCT((Raw_Data_Daily!$B$2:$B$9999="Variant")*(Raw_Data_Daily!$A$2:$A$9999=$A10)*(Raw_Data_Daily!$C$2:$C$9999=$C$3)*Raw_Data_Daily!$D$2:$D$9999*Raw_Data_Daily!$AR$2:$AR$9999)/SUMIFS(Raw_Data_Daily!$D:$D, Raw_Data_Daily!$B:$B, "Variant", Raw_Data_Daily!$A:$A, $A10, Raw_Data_Daily!$C:$C, $C$3),""))</f>
        <v/>
      </c>
      <c r="DW10" s="173" t="str">
        <f t="shared" si="38"/>
        <v/>
      </c>
      <c r="DX10" s="139" t="str">
        <f>IF($A10="","",IFERROR(SUMPRODUCT((Raw_Data_Daily!$B$2:$B$9999="Control")*(Raw_Data_Daily!$A$2:$A$9999=$A10)*(Raw_Data_Daily!$C$2:$C$9999=$C$3)*Raw_Data_Daily!$D$2:$D$9999*Raw_Data_Daily!$AS$2:$AS$9999)/SUMIFS(Raw_Data_Daily!$D:$D, Raw_Data_Daily!$B:$B, "Control", Raw_Data_Daily!$A:$A, $A10, Raw_Data_Daily!$C:$C, $C$3),""))</f>
        <v/>
      </c>
      <c r="DY10" s="139" t="str">
        <f>IF($A10="","",IFERROR(SUMPRODUCT((Raw_Data_Daily!$B$2:$B$9999="Variant")*(Raw_Data_Daily!$A$2:$A$9999=$A10)*(Raw_Data_Daily!$C$2:$C$9999=$C$3)*Raw_Data_Daily!$D$2:$D$9999*Raw_Data_Daily!$AS$2:$AS$9999)/SUMIFS(Raw_Data_Daily!$D:$D, Raw_Data_Daily!$B:$B, "Variant", Raw_Data_Daily!$A:$A, $A10, Raw_Data_Daily!$C:$C, $C$3),""))</f>
        <v/>
      </c>
      <c r="DZ10" s="174" t="str">
        <f t="shared" si="39"/>
        <v/>
      </c>
      <c r="EA10" s="139" t="str">
        <f>IF($A10="","",IFERROR(SUMPRODUCT((Raw_Data_Daily!$B$2:$B$9999="Control")*(Raw_Data_Daily!$A$2:$A$9999=$A10)*(Raw_Data_Daily!$C$2:$C$9999=$C$3)*Raw_Data_Daily!$D$2:$D$9999*Raw_Data_Daily!$AT$2:$AT$9999)/SUMIFS(Raw_Data_Daily!$D:$D, Raw_Data_Daily!$B:$B, "Control", Raw_Data_Daily!$A:$A, $A10, Raw_Data_Daily!$C:$C, $C$3),""))</f>
        <v/>
      </c>
      <c r="EB10" s="139" t="str">
        <f>IF($A10="","",IFERROR(SUMPRODUCT((Raw_Data_Daily!$B$2:$B$9999="Variant")*(Raw_Data_Daily!$A$2:$A$9999=$A10)*(Raw_Data_Daily!$C$2:$C$9999=$C$3)*Raw_Data_Daily!$D$2:$D$9999*Raw_Data_Daily!$AT$2:$AT$9999)/SUMIFS(Raw_Data_Daily!$D:$D, Raw_Data_Daily!$B:$B, "Variant", Raw_Data_Daily!$A:$A, $A10, Raw_Data_Daily!$C:$C, $C$3),""))</f>
        <v/>
      </c>
      <c r="EC10" s="173" t="str">
        <f t="shared" si="40"/>
        <v/>
      </c>
      <c r="ED10" s="139" t="str">
        <f>IF($A10="","",IFERROR(SUMPRODUCT((Raw_Data_Daily!$B$2:$B$9999="Control")*(Raw_Data_Daily!$A$2:$A$9999=$A10)*(Raw_Data_Daily!$C$2:$C$9999=$C$3)*Raw_Data_Daily!$D$2:$D$9999*(Raw_Data_Daily!$AQ$2:$AQ$9999-Raw_Data_Daily!$AT$2:$AT$9999))/SUMIFS(Raw_Data_Daily!$D:$D, Raw_Data_Daily!$B:$B, "Control", Raw_Data_Daily!$A:$A, $A10, Raw_Data_Daily!$C:$C, $C$3),""))</f>
        <v/>
      </c>
      <c r="EE10" s="139" t="str">
        <f>IF($A10="","",IFERROR(SUMPRODUCT((Raw_Data_Daily!$B$2:$B$9999="Variant")*(Raw_Data_Daily!$A$2:$A$9999=$A10)*(Raw_Data_Daily!$C$2:$C$9999=$C$3)*Raw_Data_Daily!$D$2:$D$9999*(Raw_Data_Daily!$AQ$2:$AQ$9999-Raw_Data_Daily!$AT$2:$AT$9999))/SUMIFS(Raw_Data_Daily!$D:$D, Raw_Data_Daily!$B:$B, "Variant", Raw_Data_Daily!$A:$A, $A10, Raw_Data_Daily!$C:$C, $C$3),""))</f>
        <v/>
      </c>
      <c r="EF10" s="174" t="str">
        <f t="shared" si="41"/>
        <v/>
      </c>
      <c r="EG10" s="139" t="str">
        <f>IF($A10="","",IFERROR(SUMPRODUCT((Raw_Data_Daily!$B$2:$B$9999="Control")*(Raw_Data_Daily!$A$2:$A$9999=$A10)*(Raw_Data_Daily!$C$2:$C$9999=$C$3)*Raw_Data_Daily!$D$2:$D$9999*Raw_Data_Daily!$AU$2:$AU$9999)/SUMIFS(Raw_Data_Daily!$D:$D, Raw_Data_Daily!$B:$B, "Control", Raw_Data_Daily!$A:$A, $A10, Raw_Data_Daily!$C:$C, $C$3),""))</f>
        <v/>
      </c>
      <c r="EH10" s="139" t="str">
        <f>IF($A10="","",IFERROR(SUMPRODUCT((Raw_Data_Daily!$B$2:$B$9999="Variant")*(Raw_Data_Daily!$A$2:$A$9999=$A10)*(Raw_Data_Daily!$C$2:$C$9999=$C$3)*Raw_Data_Daily!$D$2:$D$9999*Raw_Data_Daily!$AU$2:$AU$9999)/SUMIFS(Raw_Data_Daily!$D:$D, Raw_Data_Daily!$B:$B, "Variant", Raw_Data_Daily!$A:$A, $A10, Raw_Data_Daily!$C:$C, $C$3),""))</f>
        <v/>
      </c>
      <c r="EI10" s="173" t="str">
        <f t="shared" si="42"/>
        <v/>
      </c>
    </row>
    <row r="11" ht="15.75" customHeight="1">
      <c r="A11" s="224">
        <v>46234.0</v>
      </c>
      <c r="B11" s="225">
        <f>IF($A11="","",SUMIFS(Raw_Data_Daily!$D:$D, Raw_Data_Daily!$B:$B, "Control", Raw_Data_Daily!$A:$A, $A11, Raw_Data_Daily!$C:$C, $C$3))</f>
        <v>0</v>
      </c>
      <c r="C11" s="225">
        <f>IF($A11="","",SUMIFS(Raw_Data_Daily!$D:$D, Raw_Data_Daily!$B:$B, "Variant", Raw_Data_Daily!$A:$A, $A11, Raw_Data_Daily!$C:$C, $C$3))</f>
        <v>0</v>
      </c>
      <c r="D11" s="226" t="str">
        <f t="shared" si="1"/>
        <v/>
      </c>
      <c r="E11" s="227" t="str">
        <f>IF($A11="","",IFERROR(SUMPRODUCT((Raw_Data_Daily!$B$2:$B$9999="Control")*(Raw_Data_Daily!$A$2:$A$9999=$A11)*(Raw_Data_Daily!$C$2:$C$9999=$C$3)*Raw_Data_Daily!$D$2:$D$9999*Raw_Data_Daily!$E$2:$E$9999)/SUMIFS(Raw_Data_Daily!$D:$D, Raw_Data_Daily!$B:$B, "Control", Raw_Data_Daily!$A:$A, $A11, Raw_Data_Daily!$C:$C, $C$3),""))</f>
        <v/>
      </c>
      <c r="F11" s="227" t="str">
        <f>IF($A11="","",IFERROR(SUMPRODUCT((Raw_Data_Daily!$B$2:$B$9999="Variant")*(Raw_Data_Daily!$A$2:$A$9999=$A11)*(Raw_Data_Daily!$C$2:$C$9999=$C$3)*Raw_Data_Daily!$D$2:$D$9999*Raw_Data_Daily!$E$2:$E$9999)/SUMIFS(Raw_Data_Daily!$D:$D, Raw_Data_Daily!$B:$B, "Variant", Raw_Data_Daily!$A:$A, $A11, Raw_Data_Daily!$C:$C, $C$3),""))</f>
        <v/>
      </c>
      <c r="G11" s="226" t="str">
        <f t="shared" si="2"/>
        <v/>
      </c>
      <c r="H11" s="228">
        <f>IF($A11="","",SUMIFS(Raw_Data_Daily!$F:$F, Raw_Data_Daily!$B:$B, "Control", Raw_Data_Daily!$A:$A, $A11, Raw_Data_Daily!$C:$C, $C$3))</f>
        <v>0</v>
      </c>
      <c r="I11" s="228">
        <f>IF($A11="","",SUMIFS(Raw_Data_Daily!$F:$F, Raw_Data_Daily!$B:$B, "Variant", Raw_Data_Daily!$A:$A, $A11, Raw_Data_Daily!$C:$C, $C$3))</f>
        <v>0</v>
      </c>
      <c r="J11" s="229" t="str">
        <f t="shared" si="3"/>
        <v/>
      </c>
      <c r="K11" s="230" t="str">
        <f>IF($A11="","",IFERROR(SUMIFS(Raw_Data_Daily!$F:$F, Raw_Data_Daily!$B:$B, "Control", Raw_Data_Daily!$A:$A, $A11, Raw_Data_Daily!$C:$C, $C$3)/SUMIFS(Raw_Data_Daily!$D:$D, Raw_Data_Daily!$B:$B, "Control", Raw_Data_Daily!$A:$A, $A11, Raw_Data_Daily!$C:$C, $C$3),""))</f>
        <v/>
      </c>
      <c r="L11" s="230" t="str">
        <f>IF($A11="","",IFERROR(SUMIFS(Raw_Data_Daily!$F:$F, Raw_Data_Daily!$B:$B, "Variant", Raw_Data_Daily!$A:$A, $A11, Raw_Data_Daily!$C:$C, $C$3)/SUMIFS(Raw_Data_Daily!$D:$D, Raw_Data_Daily!$B:$B, "Variant", Raw_Data_Daily!$A:$A, $A11, Raw_Data_Daily!$C:$C, $C$3),""))</f>
        <v/>
      </c>
      <c r="M11" s="229" t="str">
        <f t="shared" si="4"/>
        <v/>
      </c>
      <c r="N11" s="227" t="str">
        <f>IF($A11="","",IFERROR(SUMPRODUCT((Raw_Data_Daily!$B$2:$B$9999="Control")*(Raw_Data_Daily!$A$2:$A$9999=$A11)*(Raw_Data_Daily!$C$2:$C$9999=$C$3)*Raw_Data_Daily!$D$2:$D$9999*Raw_Data_Daily!$H$2:$H$9999/100)/SUMIFS(Raw_Data_Daily!$D:$D, Raw_Data_Daily!$B:$B, "Control", Raw_Data_Daily!$A:$A, $A11, Raw_Data_Daily!$C:$C, $C$3)*100,""))</f>
        <v/>
      </c>
      <c r="O11" s="227" t="str">
        <f>IF($A11="","",IFERROR(SUMPRODUCT((Raw_Data_Daily!$B$2:$B$9999="Variant")*(Raw_Data_Daily!$A$2:$A$9999=$A11)*(Raw_Data_Daily!$C$2:$C$9999=$C$3)*Raw_Data_Daily!$D$2:$D$9999*Raw_Data_Daily!$H$2:$H$9999/100)/SUMIFS(Raw_Data_Daily!$D:$D, Raw_Data_Daily!$B:$B, "Variant", Raw_Data_Daily!$A:$A, $A11, Raw_Data_Daily!$C:$C, $C$3)*100,""))</f>
        <v/>
      </c>
      <c r="P11" s="229" t="str">
        <f t="shared" si="5"/>
        <v/>
      </c>
      <c r="Q11" s="230" t="str">
        <f>IF($A11="","",IFERROR(SUMIFS(Raw_Data_Daily!$F:$F, Raw_Data_Daily!$B:$B, "Control", Raw_Data_Daily!$A:$A, $A11, Raw_Data_Daily!$C:$C, $C$3)/SUMPRODUCT((Raw_Data_Daily!$B$2:$B$9999="Control")*(Raw_Data_Daily!$A$2:$A$9999=$A11)*(Raw_Data_Daily!$C$2:$C$9999=$C$3)*Raw_Data_Daily!$D$2:$D$9999*Raw_Data_Daily!$H$2:$H$9999/100),""))</f>
        <v/>
      </c>
      <c r="R11" s="230" t="str">
        <f>IF($A11="","",IFERROR(SUMIFS(Raw_Data_Daily!$F:$F, Raw_Data_Daily!$B:$B, "Variant", Raw_Data_Daily!$A:$A, $A11, Raw_Data_Daily!$C:$C, $C$3)/SUMPRODUCT((Raw_Data_Daily!$B$2:$B$9999="Variant")*(Raw_Data_Daily!$A$2:$A$9999=$A11)*(Raw_Data_Daily!$C$2:$C$9999=$C$3)*Raw_Data_Daily!$D$2:$D$9999*Raw_Data_Daily!$H$2:$H$9999/100),""))</f>
        <v/>
      </c>
      <c r="S11" s="229" t="str">
        <f t="shared" si="6"/>
        <v/>
      </c>
      <c r="T11" s="231" t="str">
        <f>IF($A11="","",IFERROR(SUMPRODUCT((Raw_Data_Daily!$B$2:$B$9999="Control")*(Raw_Data_Daily!$A$2:$A$9999=$A11)*(Raw_Data_Daily!$C$2:$C$9999=$C$3)*Raw_Data_Daily!$D$2:$D$9999*Raw_Data_Daily!$J$2:$J$9999)/SUMIFS(Raw_Data_Daily!$D:$D, Raw_Data_Daily!$B:$B, "Control", Raw_Data_Daily!$A:$A, $A11, Raw_Data_Daily!$C:$C, $C$3),""))</f>
        <v/>
      </c>
      <c r="U11" s="231" t="str">
        <f>IF($A11="","",IFERROR(SUMPRODUCT((Raw_Data_Daily!$B$2:$B$9999="Variant")*(Raw_Data_Daily!$A$2:$A$9999=$A11)*(Raw_Data_Daily!$C$2:$C$9999=$C$3)*Raw_Data_Daily!$D$2:$D$9999*Raw_Data_Daily!$J$2:$J$9999)/SUMIFS(Raw_Data_Daily!$D:$D, Raw_Data_Daily!$B:$B, "Variant", Raw_Data_Daily!$A:$A, $A11, Raw_Data_Daily!$C:$C, $C$3),""))</f>
        <v/>
      </c>
      <c r="V11" s="229" t="str">
        <f t="shared" si="7"/>
        <v/>
      </c>
      <c r="W11" s="231" t="str">
        <f>IF($A11="","",IFERROR(SUMPRODUCT((Raw_Data_Daily!$B$2:$B$9999="Control")*(Raw_Data_Daily!$A$2:$A$9999=$A11)*(Raw_Data_Daily!$C$2:$C$9999=$C$3)*Raw_Data_Daily!$D$2:$D$9999*Raw_Data_Daily!$K$2:$K$9999)/SUMIFS(Raw_Data_Daily!$D:$D, Raw_Data_Daily!$B:$B, "Control", Raw_Data_Daily!$A:$A, $A11, Raw_Data_Daily!$C:$C, $C$3),""))</f>
        <v/>
      </c>
      <c r="X11" s="231" t="str">
        <f>IF($A11="","",IFERROR(SUMPRODUCT((Raw_Data_Daily!$B$2:$B$9999="Variant")*(Raw_Data_Daily!$A$2:$A$9999=$A11)*(Raw_Data_Daily!$C$2:$C$9999=$C$3)*Raw_Data_Daily!$D$2:$D$9999*Raw_Data_Daily!$K$2:$K$9999)/SUMIFS(Raw_Data_Daily!$D:$D, Raw_Data_Daily!$B:$B, "Variant", Raw_Data_Daily!$A:$A, $A11, Raw_Data_Daily!$C:$C, $C$3),""))</f>
        <v/>
      </c>
      <c r="Y11" s="229" t="str">
        <f t="shared" si="8"/>
        <v/>
      </c>
      <c r="Z11" s="231" t="str">
        <f>IF($A11="","",IFERROR(SUMPRODUCT((Raw_Data_Daily!$B$2:$B$9999="Control")*(Raw_Data_Daily!$A$2:$A$9999=$A11)*(Raw_Data_Daily!$C$2:$C$9999=$C$3)*Raw_Data_Daily!$D$2:$D$9999*Raw_Data_Daily!$L$2:$L$9999)/SUMIFS(Raw_Data_Daily!$D:$D, Raw_Data_Daily!$B:$B, "Control", Raw_Data_Daily!$A:$A, $A11, Raw_Data_Daily!$C:$C, $C$3),""))</f>
        <v/>
      </c>
      <c r="AA11" s="231" t="str">
        <f>IF($A11="","",IFERROR(SUMPRODUCT((Raw_Data_Daily!$B$2:$B$9999="Variant")*(Raw_Data_Daily!$A$2:$A$9999=$A11)*(Raw_Data_Daily!$C$2:$C$9999=$C$3)*Raw_Data_Daily!$D$2:$D$9999*Raw_Data_Daily!$L$2:$L$9999)/SUMIFS(Raw_Data_Daily!$D:$D, Raw_Data_Daily!$B:$B, "Variant", Raw_Data_Daily!$A:$A, $A11, Raw_Data_Daily!$C:$C, $C$3),""))</f>
        <v/>
      </c>
      <c r="AB11" s="229" t="str">
        <f t="shared" si="9"/>
        <v/>
      </c>
      <c r="AC11" s="232" t="str">
        <f>IF($A11="","",IFERROR(SUMPRODUCT((Raw_Data_Daily!$B$2:$B$9999="Control")*(Raw_Data_Daily!$A$2:$A$9999=$A11)*(Raw_Data_Daily!$C$2:$C$9999=$C$3)*Raw_Data_Daily!$D$2:$D$9999*Raw_Data_Daily!$M$2:$M$9999)/SUMIFS(Raw_Data_Daily!$D:$D, Raw_Data_Daily!$B:$B, "Control", Raw_Data_Daily!$A:$A, $A11, Raw_Data_Daily!$C:$C, $C$3),""))</f>
        <v/>
      </c>
      <c r="AD11" s="232" t="str">
        <f>IF($A11="","",IFERROR(SUMPRODUCT((Raw_Data_Daily!$B$2:$B$9999="Variant")*(Raw_Data_Daily!$A$2:$A$9999=$A11)*(Raw_Data_Daily!$C$2:$C$9999=$C$3)*Raw_Data_Daily!$D$2:$D$9999*Raw_Data_Daily!$M$2:$M$9999)/SUMIFS(Raw_Data_Daily!$D:$D, Raw_Data_Daily!$B:$B, "Variant", Raw_Data_Daily!$A:$A, $A11, Raw_Data_Daily!$C:$C, $C$3),""))</f>
        <v/>
      </c>
      <c r="AE11" s="233" t="str">
        <f t="shared" si="10"/>
        <v/>
      </c>
      <c r="AF11" s="232" t="str">
        <f>IF($A11="","",IFERROR(SUMPRODUCT((Raw_Data_Daily!$B$2:$B$9999="Control")*(Raw_Data_Daily!$A$2:$A$9999=$A11)*(Raw_Data_Daily!$C$2:$C$9999=$C$3)*Raw_Data_Daily!$D$2:$D$9999*Raw_Data_Daily!$N$2:$N$9999)/SUMIFS(Raw_Data_Daily!$D:$D, Raw_Data_Daily!$B:$B, "Control", Raw_Data_Daily!$A:$A, $A11, Raw_Data_Daily!$C:$C, $C$3),""))</f>
        <v/>
      </c>
      <c r="AG11" s="232" t="str">
        <f>IF($A11="","",IFERROR(SUMPRODUCT((Raw_Data_Daily!$B$2:$B$9999="Variant")*(Raw_Data_Daily!$A$2:$A$9999=$A11)*(Raw_Data_Daily!$C$2:$C$9999=$C$3)*Raw_Data_Daily!$D$2:$D$9999*Raw_Data_Daily!$N$2:$N$9999)/SUMIFS(Raw_Data_Daily!$D:$D, Raw_Data_Daily!$B:$B, "Variant", Raw_Data_Daily!$A:$A, $A11, Raw_Data_Daily!$C:$C, $C$3),""))</f>
        <v/>
      </c>
      <c r="AH11" s="233" t="str">
        <f t="shared" si="11"/>
        <v/>
      </c>
      <c r="AI11" s="232" t="str">
        <f>IF($A11="","",IFERROR(SUMPRODUCT((Raw_Data_Daily!$B$2:$B$9999="Control")*(Raw_Data_Daily!$A$2:$A$9999=$A11)*(Raw_Data_Daily!$C$2:$C$9999=$C$3)*Raw_Data_Daily!$D$2:$D$9999*Raw_Data_Daily!$O$2:$O$9999)/SUMIFS(Raw_Data_Daily!$D:$D, Raw_Data_Daily!$B:$B, "Control", Raw_Data_Daily!$A:$A, $A11, Raw_Data_Daily!$C:$C, $C$3),""))</f>
        <v/>
      </c>
      <c r="AJ11" s="232" t="str">
        <f>IF($A11="","",IFERROR(SUMPRODUCT((Raw_Data_Daily!$B$2:$B$9999="Variant")*(Raw_Data_Daily!$A$2:$A$9999=$A11)*(Raw_Data_Daily!$C$2:$C$9999=$C$3)*Raw_Data_Daily!$D$2:$D$9999*Raw_Data_Daily!$O$2:$O$9999)/SUMIFS(Raw_Data_Daily!$D:$D, Raw_Data_Daily!$B:$B, "Variant", Raw_Data_Daily!$A:$A, $A11, Raw_Data_Daily!$C:$C, $C$3),""))</f>
        <v/>
      </c>
      <c r="AK11" s="229" t="str">
        <f t="shared" si="12"/>
        <v/>
      </c>
      <c r="AL11" s="231" t="str">
        <f>IF($A11="","",IFERROR(SUMPRODUCT((Raw_Data_Daily!$B$2:$B$9999="Control")*(Raw_Data_Daily!$A$2:$A$9999=$A11)*(Raw_Data_Daily!$C$2:$C$9999=$C$3)*Raw_Data_Daily!$D$2:$D$9999*Raw_Data_Daily!$P$2:$P$9999)/SUMIFS(Raw_Data_Daily!$D:$D, Raw_Data_Daily!$B:$B, "Control", Raw_Data_Daily!$A:$A, $A11, Raw_Data_Daily!$C:$C, $C$3),""))</f>
        <v/>
      </c>
      <c r="AM11" s="231" t="str">
        <f>IF($A11="","",IFERROR(SUMPRODUCT((Raw_Data_Daily!$B$2:$B$9999="Variant")*(Raw_Data_Daily!$A$2:$A$9999=$A11)*(Raw_Data_Daily!$C$2:$C$9999=$C$3)*Raw_Data_Daily!$D$2:$D$9999*Raw_Data_Daily!$P$2:$P$9999)/SUMIFS(Raw_Data_Daily!$D:$D, Raw_Data_Daily!$B:$B, "Variant", Raw_Data_Daily!$A:$A, $A11, Raw_Data_Daily!$C:$C, $C$3),""))</f>
        <v/>
      </c>
      <c r="AN11" s="229" t="str">
        <f t="shared" si="13"/>
        <v/>
      </c>
      <c r="AO11" s="231" t="str">
        <f>IF($A11="","",IFERROR(SUMPRODUCT((Raw_Data_Daily!$B$2:$B$9999="Control")*(Raw_Data_Daily!$A$2:$A$9999=$A11)*(Raw_Data_Daily!$C$2:$C$9999=$C$3)*Raw_Data_Daily!$D$2:$D$9999*Raw_Data_Daily!$Q$2:$Q$9999)/SUMIFS(Raw_Data_Daily!$D:$D, Raw_Data_Daily!$B:$B, "Control", Raw_Data_Daily!$A:$A, $A11, Raw_Data_Daily!$C:$C, $C$3),""))</f>
        <v/>
      </c>
      <c r="AP11" s="231" t="str">
        <f>IF($A11="","",IFERROR(SUMPRODUCT((Raw_Data_Daily!$B$2:$B$9999="Variant")*(Raw_Data_Daily!$A$2:$A$9999=$A11)*(Raw_Data_Daily!$C$2:$C$9999=$C$3)*Raw_Data_Daily!$D$2:$D$9999*Raw_Data_Daily!$Q$2:$Q$9999)/SUMIFS(Raw_Data_Daily!$D:$D, Raw_Data_Daily!$B:$B, "Variant", Raw_Data_Daily!$A:$A, $A11, Raw_Data_Daily!$C:$C, $C$3),""))</f>
        <v/>
      </c>
      <c r="AQ11" s="226" t="str">
        <f t="shared" si="14"/>
        <v/>
      </c>
      <c r="AR11" s="231" t="str">
        <f>IF($A11="","",IFERROR(SUMPRODUCT((Raw_Data_Daily!$B$2:$B$9999="Control")*(Raw_Data_Daily!$A$2:$A$9999=$A11)*(Raw_Data_Daily!$C$2:$C$9999=$C$3)*Raw_Data_Daily!$D$2:$D$9999*Raw_Data_Daily!$R$2:$R$9999)/SUMIFS(Raw_Data_Daily!$D:$D, Raw_Data_Daily!$B:$B, "Control", Raw_Data_Daily!$A:$A, $A11, Raw_Data_Daily!$C:$C, $C$3),""))</f>
        <v/>
      </c>
      <c r="AS11" s="231" t="str">
        <f>IF($A11="","",IFERROR(SUMPRODUCT((Raw_Data_Daily!$B$2:$B$9999="Variant")*(Raw_Data_Daily!$A$2:$A$9999=$A11)*(Raw_Data_Daily!$C$2:$C$9999=$C$3)*Raw_Data_Daily!$D$2:$D$9999*Raw_Data_Daily!$R$2:$R$9999)/SUMIFS(Raw_Data_Daily!$D:$D, Raw_Data_Daily!$B:$B, "Variant", Raw_Data_Daily!$A:$A, $A11, Raw_Data_Daily!$C:$C, $C$3),""))</f>
        <v/>
      </c>
      <c r="AT11" s="226" t="str">
        <f t="shared" si="15"/>
        <v/>
      </c>
      <c r="AU11" s="231" t="str">
        <f>IF($A11="","",IFERROR(SUMPRODUCT((Raw_Data_Daily!$B$2:$B$9999="Control")*(Raw_Data_Daily!$A$2:$A$9999=$A11)*(Raw_Data_Daily!$C$2:$C$9999=$C$3)*Raw_Data_Daily!$D$2:$D$9999*Raw_Data_Daily!$S$2:$S$9999)/SUMIFS(Raw_Data_Daily!$D:$D, Raw_Data_Daily!$B:$B, "Control", Raw_Data_Daily!$A:$A, $A11, Raw_Data_Daily!$C:$C, $C$3),""))</f>
        <v/>
      </c>
      <c r="AV11" s="231" t="str">
        <f>IF($A11="","",IFERROR(SUMPRODUCT((Raw_Data_Daily!$B$2:$B$9999="Variant")*(Raw_Data_Daily!$A$2:$A$9999=$A11)*(Raw_Data_Daily!$C$2:$C$9999=$C$3)*Raw_Data_Daily!$D$2:$D$9999*Raw_Data_Daily!$S$2:$S$9999)/SUMIFS(Raw_Data_Daily!$D:$D, Raw_Data_Daily!$B:$B, "Variant", Raw_Data_Daily!$A:$A, $A11, Raw_Data_Daily!$C:$C, $C$3),""))</f>
        <v/>
      </c>
      <c r="AW11" s="226" t="str">
        <f t="shared" si="16"/>
        <v/>
      </c>
      <c r="AX11" s="231" t="str">
        <f>IF($A11="","",IFERROR(SUMPRODUCT((Raw_Data_Daily!$B$2:$B$9999="Control")*(Raw_Data_Daily!$A$2:$A$9999=$A11)*(Raw_Data_Daily!$C$2:$C$9999=$C$3)*Raw_Data_Daily!$D$2:$D$9999*Raw_Data_Daily!$T$2:$T$9999)/SUMIFS(Raw_Data_Daily!$D:$D, Raw_Data_Daily!$B:$B, "Control", Raw_Data_Daily!$A:$A, $A11, Raw_Data_Daily!$C:$C, $C$3),""))</f>
        <v/>
      </c>
      <c r="AY11" s="231" t="str">
        <f>IF($A11="","",IFERROR(SUMPRODUCT((Raw_Data_Daily!$B$2:$B$9999="Variant")*(Raw_Data_Daily!$A$2:$A$9999=$A11)*(Raw_Data_Daily!$C$2:$C$9999=$C$3)*Raw_Data_Daily!$D$2:$D$9999*Raw_Data_Daily!$T$2:$T$9999)/SUMIFS(Raw_Data_Daily!$D:$D, Raw_Data_Daily!$B:$B, "Variant", Raw_Data_Daily!$A:$A, $A11, Raw_Data_Daily!$C:$C, $C$3),""))</f>
        <v/>
      </c>
      <c r="AZ11" s="229" t="str">
        <f t="shared" si="17"/>
        <v/>
      </c>
      <c r="BA11" s="231" t="str">
        <f>IF($A11="","",IFERROR(SUMPRODUCT((Raw_Data_Daily!$B$2:$B$9999="Control")*(Raw_Data_Daily!$A$2:$A$9999=$A11)*(Raw_Data_Daily!$C$2:$C$9999=$C$3)*Raw_Data_Daily!$D$2:$D$9999*Raw_Data_Daily!$U$2:$U$9999)/SUMIFS(Raw_Data_Daily!$D:$D, Raw_Data_Daily!$B:$B, "Control", Raw_Data_Daily!$A:$A, $A11, Raw_Data_Daily!$C:$C, $C$3),""))</f>
        <v/>
      </c>
      <c r="BB11" s="231" t="str">
        <f>IF($A11="","",IFERROR(SUMPRODUCT((Raw_Data_Daily!$B$2:$B$9999="Variant")*(Raw_Data_Daily!$A$2:$A$9999=$A11)*(Raw_Data_Daily!$C$2:$C$9999=$C$3)*Raw_Data_Daily!$D$2:$D$9999*Raw_Data_Daily!$U$2:$U$9999)/SUMIFS(Raw_Data_Daily!$D:$D, Raw_Data_Daily!$B:$B, "Variant", Raw_Data_Daily!$A:$A, $A11, Raw_Data_Daily!$C:$C, $C$3),""))</f>
        <v/>
      </c>
      <c r="BC11" s="226" t="str">
        <f t="shared" si="18"/>
        <v/>
      </c>
      <c r="BD11" s="231" t="str">
        <f>IF($A11="","",IFERROR(SUMPRODUCT((Raw_Data_Daily!$B$2:$B$9999="Control")*(Raw_Data_Daily!$A$2:$A$9999=$A11)*(Raw_Data_Daily!$C$2:$C$9999=$C$3)*Raw_Data_Daily!$D$2:$D$9999*Raw_Data_Daily!$V$2:$V$9999)/SUMIFS(Raw_Data_Daily!$D:$D, Raw_Data_Daily!$B:$B, "Control", Raw_Data_Daily!$A:$A, $A11, Raw_Data_Daily!$C:$C, $C$3),""))</f>
        <v/>
      </c>
      <c r="BE11" s="231" t="str">
        <f>IF($A11="","",IFERROR(SUMPRODUCT((Raw_Data_Daily!$B$2:$B$9999="Variant")*(Raw_Data_Daily!$A$2:$A$9999=$A11)*(Raw_Data_Daily!$C$2:$C$9999=$C$3)*Raw_Data_Daily!$D$2:$D$9999*Raw_Data_Daily!$V$2:$V$9999)/SUMIFS(Raw_Data_Daily!$D:$D, Raw_Data_Daily!$B:$B, "Variant", Raw_Data_Daily!$A:$A, $A11, Raw_Data_Daily!$C:$C, $C$3),""))</f>
        <v/>
      </c>
      <c r="BF11" s="226" t="str">
        <f t="shared" si="19"/>
        <v/>
      </c>
      <c r="BG11" s="231" t="str">
        <f>IF($A11="","",IFERROR(SUMPRODUCT((Raw_Data_Daily!$B$2:$B$9999="Control")*(Raw_Data_Daily!$A$2:$A$9999=$A11)*(Raw_Data_Daily!$C$2:$C$9999=$C$3)*Raw_Data_Daily!$D$2:$D$9999*(Raw_Data_Daily!$Q$2:$Q$9999-Raw_Data_Daily!$V$2:$V$9999))/SUMIFS(Raw_Data_Daily!$D:$D, Raw_Data_Daily!$B:$B, "Control", Raw_Data_Daily!$A:$A, $A11, Raw_Data_Daily!$C:$C, $C$3),""))</f>
        <v/>
      </c>
      <c r="BH11" s="231" t="str">
        <f>IF($A11="","",IFERROR(SUMPRODUCT((Raw_Data_Daily!$B$2:$B$9999="Variant")*(Raw_Data_Daily!$A$2:$A$9999=$A11)*(Raw_Data_Daily!$C$2:$C$9999=$C$3)*Raw_Data_Daily!$D$2:$D$9999*(Raw_Data_Daily!$Q$2:$Q$9999-Raw_Data_Daily!$V$2:$V$9999))/SUMIFS(Raw_Data_Daily!$D:$D, Raw_Data_Daily!$B:$B, "Variant", Raw_Data_Daily!$A:$A, $A11, Raw_Data_Daily!$C:$C, $C$3),""))</f>
        <v/>
      </c>
      <c r="BI11" s="226" t="str">
        <f t="shared" si="20"/>
        <v/>
      </c>
      <c r="BJ11" s="231" t="str">
        <f>IF($A11="","",IFERROR(SUMPRODUCT((Raw_Data_Daily!$B$2:$B$9999="Control")*(Raw_Data_Daily!$A$2:$A$9999=$A11)*(Raw_Data_Daily!$C$2:$C$9999=$C$3)*Raw_Data_Daily!$D$2:$D$9999*Raw_Data_Daily!$W$2:$W$9999)/SUMIFS(Raw_Data_Daily!$D:$D, Raw_Data_Daily!$B:$B, "Control", Raw_Data_Daily!$A:$A, $A11, Raw_Data_Daily!$C:$C, $C$3),""))</f>
        <v/>
      </c>
      <c r="BK11" s="231" t="str">
        <f>IF($A11="","",IFERROR(SUMPRODUCT((Raw_Data_Daily!$B$2:$B$9999="Variant")*(Raw_Data_Daily!$A$2:$A$9999=$A11)*(Raw_Data_Daily!$C$2:$C$9999=$C$3)*Raw_Data_Daily!$D$2:$D$9999*Raw_Data_Daily!$W$2:$W$9999)/SUMIFS(Raw_Data_Daily!$D:$D, Raw_Data_Daily!$B:$B, "Variant", Raw_Data_Daily!$A:$A, $A11, Raw_Data_Daily!$C:$C, $C$3),""))</f>
        <v/>
      </c>
      <c r="BL11" s="226" t="str">
        <f t="shared" si="21"/>
        <v/>
      </c>
      <c r="BM11" s="232" t="str">
        <f>IF($A11="","",IFERROR(SUMPRODUCT((Raw_Data_Daily!$B$2:$B$9999="Control")*(Raw_Data_Daily!$A$2:$A$9999=$A11)*(Raw_Data_Daily!$C$2:$C$9999=$C$3)*Raw_Data_Daily!$D$2:$D$9999*Raw_Data_Daily!$X$2:$X$9999)/SUMIFS(Raw_Data_Daily!$D:$D, Raw_Data_Daily!$B:$B, "Control", Raw_Data_Daily!$A:$A, $A11, Raw_Data_Daily!$C:$C, $C$3),""))</f>
        <v/>
      </c>
      <c r="BN11" s="232" t="str">
        <f>IF($A11="","",IFERROR(SUMPRODUCT((Raw_Data_Daily!$B$2:$B$9999="Variant")*(Raw_Data_Daily!$A$2:$A$9999=$A11)*(Raw_Data_Daily!$C$2:$C$9999=$C$3)*Raw_Data_Daily!$D$2:$D$9999*Raw_Data_Daily!$X$2:$X$9999)/SUMIFS(Raw_Data_Daily!$D:$D, Raw_Data_Daily!$B:$B, "Variant", Raw_Data_Daily!$A:$A, $A11, Raw_Data_Daily!$C:$C, $C$3),""))</f>
        <v/>
      </c>
      <c r="BO11" s="229" t="str">
        <f t="shared" si="22"/>
        <v/>
      </c>
      <c r="BP11" s="225" t="str">
        <f>IF($A11="","",IFERROR(SUMPRODUCT((Raw_Data_Daily!$B$2:$B$9999="Control")*(Raw_Data_Daily!$A$2:$A$9999=$A11)*(Raw_Data_Daily!$C$2:$C$9999=$C$3)*Raw_Data_Daily!$D$2:$D$9999*Raw_Data_Daily!$Y$2:$Y$9999)/SUMIFS(Raw_Data_Daily!$D:$D, Raw_Data_Daily!$B:$B, "Control", Raw_Data_Daily!$A:$A, $A11, Raw_Data_Daily!$C:$C, $C$3),""))</f>
        <v/>
      </c>
      <c r="BQ11" s="225" t="str">
        <f>IF($A11="","",IFERROR(SUMPRODUCT((Raw_Data_Daily!$B$2:$B$9999="Variant")*(Raw_Data_Daily!$A$2:$A$9999=$A11)*(Raw_Data_Daily!$C$2:$C$9999=$C$3)*Raw_Data_Daily!$D$2:$D$9999*Raw_Data_Daily!$Y$2:$Y$9999)/SUMIFS(Raw_Data_Daily!$D:$D, Raw_Data_Daily!$B:$B, "Variant", Raw_Data_Daily!$A:$A, $A11, Raw_Data_Daily!$C:$C, $C$3),""))</f>
        <v/>
      </c>
      <c r="BR11" s="226" t="str">
        <f t="shared" si="23"/>
        <v/>
      </c>
      <c r="BS11" s="225" t="str">
        <f>IF($A11="","",IFERROR(SUMPRODUCT((Raw_Data_Daily!$B$2:$B$9999="Control")*(Raw_Data_Daily!$A$2:$A$9999=$A11)*(Raw_Data_Daily!$C$2:$C$9999=$C$3)*Raw_Data_Daily!$D$2:$D$9999*Raw_Data_Daily!$Z$2:$Z$9999)/SUMIFS(Raw_Data_Daily!$D:$D, Raw_Data_Daily!$B:$B, "Control", Raw_Data_Daily!$A:$A, $A11, Raw_Data_Daily!$C:$C, $C$3),""))</f>
        <v/>
      </c>
      <c r="BT11" s="225" t="str">
        <f>IF($A11="","",IFERROR(SUMPRODUCT((Raw_Data_Daily!$B$2:$B$9999="Variant")*(Raw_Data_Daily!$A$2:$A$9999=$A11)*(Raw_Data_Daily!$C$2:$C$9999=$C$3)*Raw_Data_Daily!$D$2:$D$9999*Raw_Data_Daily!$Z$2:$Z$9999)/SUMIFS(Raw_Data_Daily!$D:$D, Raw_Data_Daily!$B:$B, "Variant", Raw_Data_Daily!$A:$A, $A11, Raw_Data_Daily!$C:$C, $C$3),""))</f>
        <v/>
      </c>
      <c r="BU11" s="226" t="str">
        <f t="shared" si="24"/>
        <v/>
      </c>
      <c r="BV11" s="225" t="str">
        <f>IF($A11="","",IFERROR(SUMPRODUCT((Raw_Data_Daily!$B$2:$B$9999="Control")*(Raw_Data_Daily!$A$2:$A$9999=$A11)*(Raw_Data_Daily!$C$2:$C$9999=$C$3)*Raw_Data_Daily!$D$2:$D$9999*Raw_Data_Daily!$AA$2:$AA$9999)/SUMIFS(Raw_Data_Daily!$D:$D, Raw_Data_Daily!$B:$B, "Control", Raw_Data_Daily!$A:$A, $A11, Raw_Data_Daily!$C:$C, $C$3),""))</f>
        <v/>
      </c>
      <c r="BW11" s="225" t="str">
        <f>IF($A11="","",IFERROR(SUMPRODUCT((Raw_Data_Daily!$B$2:$B$9999="Variant")*(Raw_Data_Daily!$A$2:$A$9999=$A11)*(Raw_Data_Daily!$C$2:$C$9999=$C$3)*Raw_Data_Daily!$D$2:$D$9999*Raw_Data_Daily!$AA$2:$AA$9999)/SUMIFS(Raw_Data_Daily!$D:$D, Raw_Data_Daily!$B:$B, "Variant", Raw_Data_Daily!$A:$A, $A11, Raw_Data_Daily!$C:$C, $C$3),""))</f>
        <v/>
      </c>
      <c r="BX11" s="226" t="str">
        <f t="shared" si="25"/>
        <v/>
      </c>
      <c r="BY11" s="231" t="str">
        <f>IF($A11="","",IFERROR(SUMPRODUCT((Raw_Data_Daily!$B$2:$B$9999="Control")*(Raw_Data_Daily!$A$2:$A$9999=$A11)*(Raw_Data_Daily!$C$2:$C$9999=$C$3)*Raw_Data_Daily!$D$2:$D$9999*Raw_Data_Daily!$AB$2:$AB$9999)/SUMIFS(Raw_Data_Daily!$D:$D, Raw_Data_Daily!$B:$B, "Control", Raw_Data_Daily!$A:$A, $A11, Raw_Data_Daily!$C:$C, $C$3),""))</f>
        <v/>
      </c>
      <c r="BZ11" s="231" t="str">
        <f>IF($A11="","",IFERROR(SUMPRODUCT((Raw_Data_Daily!$B$2:$B$9999="Variant")*(Raw_Data_Daily!$A$2:$A$9999=$A11)*(Raw_Data_Daily!$C$2:$C$9999=$C$3)*Raw_Data_Daily!$D$2:$D$9999*Raw_Data_Daily!$AB$2:$AB$9999)/SUMIFS(Raw_Data_Daily!$D:$D, Raw_Data_Daily!$B:$B, "Variant", Raw_Data_Daily!$A:$A, $A11, Raw_Data_Daily!$C:$C, $C$3),""))</f>
        <v/>
      </c>
      <c r="CA11" s="229" t="str">
        <f t="shared" si="26"/>
        <v/>
      </c>
      <c r="CB11" s="231" t="str">
        <f>IF($A11="","",IFERROR(SUMPRODUCT((Raw_Data_Daily!$B$2:$B$9999="Control")*(Raw_Data_Daily!$A$2:$A$9999=$A11)*(Raw_Data_Daily!$C$2:$C$9999=$C$3)*Raw_Data_Daily!$D$2:$D$9999*Raw_Data_Daily!$AC$2:$AC$9999)/SUMIFS(Raw_Data_Daily!$D:$D, Raw_Data_Daily!$B:$B, "Control", Raw_Data_Daily!$A:$A, $A11, Raw_Data_Daily!$C:$C, $C$3),""))</f>
        <v/>
      </c>
      <c r="CC11" s="231" t="str">
        <f>IF($A11="","",IFERROR(SUMPRODUCT((Raw_Data_Daily!$B$2:$B$9999="Variant")*(Raw_Data_Daily!$A$2:$A$9999=$A11)*(Raw_Data_Daily!$C$2:$C$9999=$C$3)*Raw_Data_Daily!$D$2:$D$9999*Raw_Data_Daily!$AC$2:$AC$9999)/SUMIFS(Raw_Data_Daily!$D:$D, Raw_Data_Daily!$B:$B, "Variant", Raw_Data_Daily!$A:$A, $A11, Raw_Data_Daily!$C:$C, $C$3),""))</f>
        <v/>
      </c>
      <c r="CD11" s="229" t="str">
        <f t="shared" si="27"/>
        <v/>
      </c>
      <c r="CE11" s="231" t="str">
        <f>IF($A11="","",IFERROR(SUMPRODUCT((Raw_Data_Daily!$B$2:$B$9999="Control")*(Raw_Data_Daily!$A$2:$A$9999=$A11)*(Raw_Data_Daily!$C$2:$C$9999=$C$3)*Raw_Data_Daily!$D$2:$D$9999*Raw_Data_Daily!$AD$2:$AD$9999)/SUMIFS(Raw_Data_Daily!$D:$D, Raw_Data_Daily!$B:$B, "Control", Raw_Data_Daily!$A:$A, $A11, Raw_Data_Daily!$C:$C, $C$3),""))</f>
        <v/>
      </c>
      <c r="CF11" s="231" t="str">
        <f>IF($A11="","",IFERROR(SUMPRODUCT((Raw_Data_Daily!$B$2:$B$9999="Variant")*(Raw_Data_Daily!$A$2:$A$9999=$A11)*(Raw_Data_Daily!$C$2:$C$9999=$C$3)*Raw_Data_Daily!$D$2:$D$9999*Raw_Data_Daily!$AD$2:$AD$9999)/SUMIFS(Raw_Data_Daily!$D:$D, Raw_Data_Daily!$B:$B, "Variant", Raw_Data_Daily!$A:$A, $A11, Raw_Data_Daily!$C:$C, $C$3),""))</f>
        <v/>
      </c>
      <c r="CG11" s="229" t="str">
        <f t="shared" si="28"/>
        <v/>
      </c>
      <c r="CH11" s="231" t="str">
        <f>IF($A11="","",IFERROR(SUMPRODUCT((Raw_Data_Daily!$B$2:$B$9999="Control")*(Raw_Data_Daily!$A$2:$A$9999=$A11)*(Raw_Data_Daily!$C$2:$C$9999=$C$3)*Raw_Data_Daily!$D$2:$D$9999*Raw_Data_Daily!$AE$2:$AE$9999)/SUMIFS(Raw_Data_Daily!$D:$D, Raw_Data_Daily!$B:$B, "Control", Raw_Data_Daily!$A:$A, $A11, Raw_Data_Daily!$C:$C, $C$3),""))</f>
        <v/>
      </c>
      <c r="CI11" s="231" t="str">
        <f>IF($A11="","",IFERROR(SUMPRODUCT((Raw_Data_Daily!$B$2:$B$9999="Variant")*(Raw_Data_Daily!$A$2:$A$9999=$A11)*(Raw_Data_Daily!$C$2:$C$9999=$C$3)*Raw_Data_Daily!$D$2:$D$9999*Raw_Data_Daily!$AE$2:$AE$9999)/SUMIFS(Raw_Data_Daily!$D:$D, Raw_Data_Daily!$B:$B, "Variant", Raw_Data_Daily!$A:$A, $A11, Raw_Data_Daily!$C:$C, $C$3),""))</f>
        <v/>
      </c>
      <c r="CJ11" s="229" t="str">
        <f t="shared" si="29"/>
        <v/>
      </c>
      <c r="CK11" s="231" t="str">
        <f>IF($A11="","",IFERROR(SUMPRODUCT((Raw_Data_Daily!$B$2:$B$9999="Control")*(Raw_Data_Daily!$A$2:$A$9999=$A11)*(Raw_Data_Daily!$C$2:$C$9999=$C$3)*Raw_Data_Daily!$D$2:$D$9999*Raw_Data_Daily!$AF$2:$AF$9999)/SUMIFS(Raw_Data_Daily!$D:$D, Raw_Data_Daily!$B:$B, "Control", Raw_Data_Daily!$A:$A, $A11, Raw_Data_Daily!$C:$C, $C$3),""))</f>
        <v/>
      </c>
      <c r="CL11" s="231" t="str">
        <f>IF($A11="","",IFERROR(SUMPRODUCT((Raw_Data_Daily!$B$2:$B$9999="Variant")*(Raw_Data_Daily!$A$2:$A$9999=$A11)*(Raw_Data_Daily!$C$2:$C$9999=$C$3)*Raw_Data_Daily!$D$2:$D$9999*Raw_Data_Daily!$AF$2:$AF$9999)/SUMIFS(Raw_Data_Daily!$D:$D, Raw_Data_Daily!$B:$B, "Variant", Raw_Data_Daily!$A:$A, $A11, Raw_Data_Daily!$C:$C, $C$3),""))</f>
        <v/>
      </c>
      <c r="CM11" s="229" t="str">
        <f t="shared" si="30"/>
        <v/>
      </c>
      <c r="CN11" s="231" t="str">
        <f>IF($A11="","",IFERROR(SUMPRODUCT((Raw_Data_Daily!$B$2:$B$9999="Control")*(Raw_Data_Daily!$A$2:$A$9999=$A11)*(Raw_Data_Daily!$C$2:$C$9999=$C$3)*Raw_Data_Daily!$D$2:$D$9999*Raw_Data_Daily!$AG$2:$AG$9999)/SUMIFS(Raw_Data_Daily!$D:$D, Raw_Data_Daily!$B:$B, "Control", Raw_Data_Daily!$A:$A, $A11, Raw_Data_Daily!$C:$C, $C$3),""))</f>
        <v/>
      </c>
      <c r="CO11" s="231" t="str">
        <f>IF($A11="","",IFERROR(SUMPRODUCT((Raw_Data_Daily!$B$2:$B$9999="Variant")*(Raw_Data_Daily!$A$2:$A$9999=$A11)*(Raw_Data_Daily!$C$2:$C$9999=$C$3)*Raw_Data_Daily!$D$2:$D$9999*Raw_Data_Daily!$AG$2:$AG$9999)/SUMIFS(Raw_Data_Daily!$D:$D, Raw_Data_Daily!$B:$B, "Variant", Raw_Data_Daily!$A:$A, $A11, Raw_Data_Daily!$C:$C, $C$3),""))</f>
        <v/>
      </c>
      <c r="CP11" s="229" t="str">
        <f t="shared" si="31"/>
        <v/>
      </c>
      <c r="CQ11" s="231" t="str">
        <f>IF($A11="","",IFERROR(SUMPRODUCT((Raw_Data_Daily!$B$2:$B$9999="Control")*(Raw_Data_Daily!$A$2:$A$9999=$A11)*(Raw_Data_Daily!$C$2:$C$9999=$C$3)*Raw_Data_Daily!$D$2:$D$9999*Raw_Data_Daily!$AH$2:$AH$9999)/SUMIFS(Raw_Data_Daily!$D:$D, Raw_Data_Daily!$B:$B, "Control", Raw_Data_Daily!$A:$A, $A11, Raw_Data_Daily!$C:$C, $C$3),""))</f>
        <v/>
      </c>
      <c r="CR11" s="231" t="str">
        <f>IF($A11="","",IFERROR(SUMPRODUCT((Raw_Data_Daily!$B$2:$B$9999="Variant")*(Raw_Data_Daily!$A$2:$A$9999=$A11)*(Raw_Data_Daily!$C$2:$C$9999=$C$3)*Raw_Data_Daily!$D$2:$D$9999*Raw_Data_Daily!$AH$2:$AH$9999)/SUMIFS(Raw_Data_Daily!$D:$D, Raw_Data_Daily!$B:$B, "Variant", Raw_Data_Daily!$A:$A, $A11, Raw_Data_Daily!$C:$C, $C$3),""))</f>
        <v/>
      </c>
      <c r="CS11" s="229" t="str">
        <f t="shared" si="32"/>
        <v/>
      </c>
      <c r="CT11" s="227" t="str">
        <f>IF($A11="","",IFERROR(SUMPRODUCT((Raw_Data_Daily!$B$2:$B$9999="Control")*(Raw_Data_Daily!$A$2:$A$9999=$A11)*(Raw_Data_Daily!$C$2:$C$9999=$C$3)*Raw_Data_Daily!$D$2:$D$9999*Raw_Data_Daily!$AI$2:$AI$9999)/SUMIFS(Raw_Data_Daily!$D:$D, Raw_Data_Daily!$B:$B, "Control", Raw_Data_Daily!$A:$A, $A11, Raw_Data_Daily!$C:$C, $C$3),""))</f>
        <v/>
      </c>
      <c r="CU11" s="227" t="str">
        <f>IF($A11="","",IFERROR(SUMPRODUCT((Raw_Data_Daily!$B$2:$B$9999="Variant")*(Raw_Data_Daily!$A$2:$A$9999=$A11)*(Raw_Data_Daily!$C$2:$C$9999=$C$3)*Raw_Data_Daily!$D$2:$D$9999*Raw_Data_Daily!$AI$2:$AI$9999)/SUMIFS(Raw_Data_Daily!$D:$D, Raw_Data_Daily!$B:$B, "Variant", Raw_Data_Daily!$A:$A, $A11, Raw_Data_Daily!$C:$C, $C$3),""))</f>
        <v/>
      </c>
      <c r="CV11" s="233" t="str">
        <f t="shared" si="33"/>
        <v/>
      </c>
      <c r="CW11" s="227" t="str">
        <f>IF($A11="","",IFERROR(SUMPRODUCT((Raw_Data_Daily!$B$2:$B$9999="Control")*(Raw_Data_Daily!$A$2:$A$9999=$A11)*(Raw_Data_Daily!$C$2:$C$9999=$C$3)*Raw_Data_Daily!$D$2:$D$9999*Raw_Data_Daily!$AJ$2:$AJ$9999)/SUMIFS(Raw_Data_Daily!$D:$D, Raw_Data_Daily!$B:$B, "Control", Raw_Data_Daily!$A:$A, $A11, Raw_Data_Daily!$C:$C, $C$3),""))</f>
        <v/>
      </c>
      <c r="CX11" s="227" t="str">
        <f>IF($A11="","",IFERROR(SUMPRODUCT((Raw_Data_Daily!$B$2:$B$9999="Variant")*(Raw_Data_Daily!$A$2:$A$9999=$A11)*(Raw_Data_Daily!$C$2:$C$9999=$C$3)*Raw_Data_Daily!$D$2:$D$9999*Raw_Data_Daily!$AJ$2:$AJ$9999)/SUMIFS(Raw_Data_Daily!$D:$D, Raw_Data_Daily!$B:$B, "Variant", Raw_Data_Daily!$A:$A, $A11, Raw_Data_Daily!$C:$C, $C$3),""))</f>
        <v/>
      </c>
      <c r="CY11" s="233" t="str">
        <f t="shared" si="34"/>
        <v/>
      </c>
      <c r="CZ11" s="227" t="str">
        <f>IF($A11="","",IFERROR(SUMPRODUCT((Raw_Data_Daily!$B$2:$B$9999="Control")*(Raw_Data_Daily!$A$2:$A$9999=$A11)*(Raw_Data_Daily!$C$2:$C$9999=$C$3)*Raw_Data_Daily!$D$2:$D$9999*Raw_Data_Daily!$AK$2:$AK$9999)/SUMIFS(Raw_Data_Daily!$D:$D, Raw_Data_Daily!$B:$B, "Control", Raw_Data_Daily!$A:$A, $A11, Raw_Data_Daily!$C:$C, $C$3),""))</f>
        <v/>
      </c>
      <c r="DA11" s="227" t="str">
        <f>IF($A11="","",IFERROR(SUMPRODUCT((Raw_Data_Daily!$B$2:$B$9999="Variant")*(Raw_Data_Daily!$A$2:$A$9999=$A11)*(Raw_Data_Daily!$C$2:$C$9999=$C$3)*Raw_Data_Daily!$D$2:$D$9999*Raw_Data_Daily!$AK$2:$AK$9999)/SUMIFS(Raw_Data_Daily!$D:$D, Raw_Data_Daily!$B:$B, "Variant", Raw_Data_Daily!$A:$A, $A11, Raw_Data_Daily!$C:$C, $C$3),""))</f>
        <v/>
      </c>
      <c r="DB11" s="229" t="str">
        <f t="shared" si="35"/>
        <v/>
      </c>
      <c r="DC11" s="232" t="str">
        <f>IF($A11="","",IFERROR(SUMPRODUCT((Raw_Data_Daily!$B$2:$B$9999="Control")*(Raw_Data_Daily!$A$2:$A$9999=$A11)*(Raw_Data_Daily!$C$2:$C$9999=$C$3)*Raw_Data_Daily!$D$2:$D$9999*Raw_Data_Daily!$AL$2:$AL$9999)/SUMIFS(Raw_Data_Daily!$D:$D, Raw_Data_Daily!$B:$B, "Control", Raw_Data_Daily!$A:$A, $A11, Raw_Data_Daily!$C:$C, $C$3),""))</f>
        <v/>
      </c>
      <c r="DD11" s="232" t="str">
        <f>IF($A11="","",IFERROR(SUMPRODUCT((Raw_Data_Daily!$B$2:$B$9999="Variant")*(Raw_Data_Daily!$A$2:$A$9999=$A11)*(Raw_Data_Daily!$C$2:$C$9999=$C$3)*Raw_Data_Daily!$D$2:$D$9999*Raw_Data_Daily!$AL$2:$AL$9999)/SUMIFS(Raw_Data_Daily!$D:$D, Raw_Data_Daily!$B:$B, "Variant", Raw_Data_Daily!$A:$A, $A11, Raw_Data_Daily!$C:$C, $C$3),""))</f>
        <v/>
      </c>
      <c r="DE11" s="233" t="str">
        <f t="shared" si="36"/>
        <v/>
      </c>
      <c r="DF11" s="234"/>
      <c r="DG11" s="227" t="str">
        <f>IF($A11="","",IFERROR(SUMPRODUCT((Raw_Data_Daily!$B$2:$B$9999="Variant")*(Raw_Data_Daily!$A$2:$A$9999=$A11)*(Raw_Data_Daily!$C$2:$C$9999=$C$3)*Raw_Data_Daily!$D$2:$D$9999*Raw_Data_Daily!$AM$2:$AM$9999)/SUMIFS(Raw_Data_Daily!$D:$D, Raw_Data_Daily!$B:$B, "Variant", Raw_Data_Daily!$A:$A, $A11, Raw_Data_Daily!$C:$C, $C$3),""))</f>
        <v/>
      </c>
      <c r="DH11" s="235"/>
      <c r="DI11" s="234"/>
      <c r="DJ11" s="227" t="str">
        <f>IF($A11="","",IFERROR(SUMPRODUCT((Raw_Data_Daily!$B$2:$B$9999="Variant")*(Raw_Data_Daily!$A$2:$A$9999=$A11)*(Raw_Data_Daily!$C$2:$C$9999=$C$3)*Raw_Data_Daily!$D$2:$D$9999*Raw_Data_Daily!$AN$2:$AN$9999)/SUMIFS(Raw_Data_Daily!$D:$D, Raw_Data_Daily!$B:$B, "Variant", Raw_Data_Daily!$A:$A, $A11, Raw_Data_Daily!$C:$C, $C$3),""))</f>
        <v/>
      </c>
      <c r="DK11" s="235"/>
      <c r="DL11" s="234"/>
      <c r="DM11" s="227" t="str">
        <f>IF($A11="","",IFERROR(SUMPRODUCT((Raw_Data_Daily!$B$2:$B$9999="Variant")*(Raw_Data_Daily!$A$2:$A$9999=$A11)*(Raw_Data_Daily!$C$2:$C$9999=$C$3)*Raw_Data_Daily!$D$2:$D$9999*Raw_Data_Daily!$AO$2:$AO$9999)/SUMIFS(Raw_Data_Daily!$D:$D, Raw_Data_Daily!$B:$B, "Variant", Raw_Data_Daily!$A:$A, $A11, Raw_Data_Daily!$C:$C, $C$3),""))</f>
        <v/>
      </c>
      <c r="DN11" s="235"/>
      <c r="DO11" s="234"/>
      <c r="DP11" s="227" t="str">
        <f>IF($A11="","",IFERROR(SUMPRODUCT((Raw_Data_Daily!$B$2:$B$9999="Variant")*(Raw_Data_Daily!$A$2:$A$9999=$A11)*(Raw_Data_Daily!$C$2:$C$9999=$C$3)*Raw_Data_Daily!$D$2:$D$9999*Raw_Data_Daily!$AP$2:$AP$9999)/SUMIFS(Raw_Data_Daily!$D:$D, Raw_Data_Daily!$B:$B, "Variant", Raw_Data_Daily!$A:$A, $A11, Raw_Data_Daily!$C:$C, $C$3),""))</f>
        <v/>
      </c>
      <c r="DQ11" s="235"/>
      <c r="DR11" s="232" t="str">
        <f>IF($A11="","",IFERROR(SUMPRODUCT((Raw_Data_Daily!$B$2:$B$9999="Control")*(Raw_Data_Daily!$A$2:$A$9999=$A11)*(Raw_Data_Daily!$C$2:$C$9999=$C$3)*Raw_Data_Daily!$D$2:$D$9999*Raw_Data_Daily!$AQ$2:$AQ$9999)/SUMIFS(Raw_Data_Daily!$D:$D, Raw_Data_Daily!$B:$B, "Control", Raw_Data_Daily!$A:$A, $A11, Raw_Data_Daily!$C:$C, $C$3),""))</f>
        <v/>
      </c>
      <c r="DS11" s="232" t="str">
        <f>IF($A11="","",IFERROR(SUMPRODUCT((Raw_Data_Daily!$B$2:$B$9999="Variant")*(Raw_Data_Daily!$A$2:$A$9999=$A11)*(Raw_Data_Daily!$C$2:$C$9999=$C$3)*Raw_Data_Daily!$D$2:$D$9999*Raw_Data_Daily!$AQ$2:$AQ$9999)/SUMIFS(Raw_Data_Daily!$D:$D, Raw_Data_Daily!$B:$B, "Variant", Raw_Data_Daily!$A:$A, $A11, Raw_Data_Daily!$C:$C, $C$3),""))</f>
        <v/>
      </c>
      <c r="DT11" s="236" t="str">
        <f t="shared" si="37"/>
        <v/>
      </c>
      <c r="DU11" s="232" t="str">
        <f>IF($A11="","",IFERROR(SUMPRODUCT((Raw_Data_Daily!$B$2:$B$9999="Control")*(Raw_Data_Daily!$A$2:$A$9999=$A11)*(Raw_Data_Daily!$C$2:$C$9999=$C$3)*Raw_Data_Daily!$D$2:$D$9999*Raw_Data_Daily!$AR$2:$AR$9999)/SUMIFS(Raw_Data_Daily!$D:$D, Raw_Data_Daily!$B:$B, "Control", Raw_Data_Daily!$A:$A, $A11, Raw_Data_Daily!$C:$C, $C$3),""))</f>
        <v/>
      </c>
      <c r="DV11" s="232" t="str">
        <f>IF($A11="","",IFERROR(SUMPRODUCT((Raw_Data_Daily!$B$2:$B$9999="Variant")*(Raw_Data_Daily!$A$2:$A$9999=$A11)*(Raw_Data_Daily!$C$2:$C$9999=$C$3)*Raw_Data_Daily!$D$2:$D$9999*Raw_Data_Daily!$AR$2:$AR$9999)/SUMIFS(Raw_Data_Daily!$D:$D, Raw_Data_Daily!$B:$B, "Variant", Raw_Data_Daily!$A:$A, $A11, Raw_Data_Daily!$C:$C, $C$3),""))</f>
        <v/>
      </c>
      <c r="DW11" s="236" t="str">
        <f t="shared" si="38"/>
        <v/>
      </c>
      <c r="DX11" s="232" t="str">
        <f>IF($A11="","",IFERROR(SUMPRODUCT((Raw_Data_Daily!$B$2:$B$9999="Control")*(Raw_Data_Daily!$A$2:$A$9999=$A11)*(Raw_Data_Daily!$C$2:$C$9999=$C$3)*Raw_Data_Daily!$D$2:$D$9999*Raw_Data_Daily!$AS$2:$AS$9999)/SUMIFS(Raw_Data_Daily!$D:$D, Raw_Data_Daily!$B:$B, "Control", Raw_Data_Daily!$A:$A, $A11, Raw_Data_Daily!$C:$C, $C$3),""))</f>
        <v/>
      </c>
      <c r="DY11" s="232" t="str">
        <f>IF($A11="","",IFERROR(SUMPRODUCT((Raw_Data_Daily!$B$2:$B$9999="Variant")*(Raw_Data_Daily!$A$2:$A$9999=$A11)*(Raw_Data_Daily!$C$2:$C$9999=$C$3)*Raw_Data_Daily!$D$2:$D$9999*Raw_Data_Daily!$AS$2:$AS$9999)/SUMIFS(Raw_Data_Daily!$D:$D, Raw_Data_Daily!$B:$B, "Variant", Raw_Data_Daily!$A:$A, $A11, Raw_Data_Daily!$C:$C, $C$3),""))</f>
        <v/>
      </c>
      <c r="DZ11" s="236" t="str">
        <f t="shared" si="39"/>
        <v/>
      </c>
      <c r="EA11" s="232" t="str">
        <f>IF($A11="","",IFERROR(SUMPRODUCT((Raw_Data_Daily!$B$2:$B$9999="Control")*(Raw_Data_Daily!$A$2:$A$9999=$A11)*(Raw_Data_Daily!$C$2:$C$9999=$C$3)*Raw_Data_Daily!$D$2:$D$9999*Raw_Data_Daily!$AT$2:$AT$9999)/SUMIFS(Raw_Data_Daily!$D:$D, Raw_Data_Daily!$B:$B, "Control", Raw_Data_Daily!$A:$A, $A11, Raw_Data_Daily!$C:$C, $C$3),""))</f>
        <v/>
      </c>
      <c r="EB11" s="232" t="str">
        <f>IF($A11="","",IFERROR(SUMPRODUCT((Raw_Data_Daily!$B$2:$B$9999="Variant")*(Raw_Data_Daily!$A$2:$A$9999=$A11)*(Raw_Data_Daily!$C$2:$C$9999=$C$3)*Raw_Data_Daily!$D$2:$D$9999*Raw_Data_Daily!$AT$2:$AT$9999)/SUMIFS(Raw_Data_Daily!$D:$D, Raw_Data_Daily!$B:$B, "Variant", Raw_Data_Daily!$A:$A, $A11, Raw_Data_Daily!$C:$C, $C$3),""))</f>
        <v/>
      </c>
      <c r="EC11" s="236" t="str">
        <f t="shared" si="40"/>
        <v/>
      </c>
      <c r="ED11" s="232" t="str">
        <f>IF($A11="","",IFERROR(SUMPRODUCT((Raw_Data_Daily!$B$2:$B$9999="Control")*(Raw_Data_Daily!$A$2:$A$9999=$A11)*(Raw_Data_Daily!$C$2:$C$9999=$C$3)*Raw_Data_Daily!$D$2:$D$9999*(Raw_Data_Daily!$AQ$2:$AQ$9999-Raw_Data_Daily!$AT$2:$AT$9999))/SUMIFS(Raw_Data_Daily!$D:$D, Raw_Data_Daily!$B:$B, "Control", Raw_Data_Daily!$A:$A, $A11, Raw_Data_Daily!$C:$C, $C$3),""))</f>
        <v/>
      </c>
      <c r="EE11" s="232" t="str">
        <f>IF($A11="","",IFERROR(SUMPRODUCT((Raw_Data_Daily!$B$2:$B$9999="Variant")*(Raw_Data_Daily!$A$2:$A$9999=$A11)*(Raw_Data_Daily!$C$2:$C$9999=$C$3)*Raw_Data_Daily!$D$2:$D$9999*(Raw_Data_Daily!$AQ$2:$AQ$9999-Raw_Data_Daily!$AT$2:$AT$9999))/SUMIFS(Raw_Data_Daily!$D:$D, Raw_Data_Daily!$B:$B, "Variant", Raw_Data_Daily!$A:$A, $A11, Raw_Data_Daily!$C:$C, $C$3),""))</f>
        <v/>
      </c>
      <c r="EF11" s="236" t="str">
        <f t="shared" si="41"/>
        <v/>
      </c>
      <c r="EG11" s="232" t="str">
        <f>IF($A11="","",IFERROR(SUMPRODUCT((Raw_Data_Daily!$B$2:$B$9999="Control")*(Raw_Data_Daily!$A$2:$A$9999=$A11)*(Raw_Data_Daily!$C$2:$C$9999=$C$3)*Raw_Data_Daily!$D$2:$D$9999*Raw_Data_Daily!$AU$2:$AU$9999)/SUMIFS(Raw_Data_Daily!$D:$D, Raw_Data_Daily!$B:$B, "Control", Raw_Data_Daily!$A:$A, $A11, Raw_Data_Daily!$C:$C, $C$3),""))</f>
        <v/>
      </c>
      <c r="EH11" s="232" t="str">
        <f>IF($A11="","",IFERROR(SUMPRODUCT((Raw_Data_Daily!$B$2:$B$9999="Variant")*(Raw_Data_Daily!$A$2:$A$9999=$A11)*(Raw_Data_Daily!$C$2:$C$9999=$C$3)*Raw_Data_Daily!$D$2:$D$9999*Raw_Data_Daily!$AU$2:$AU$9999)/SUMIFS(Raw_Data_Daily!$D:$D, Raw_Data_Daily!$B:$B, "Variant", Raw_Data_Daily!$A:$A, $A11, Raw_Data_Daily!$C:$C, $C$3),""))</f>
        <v/>
      </c>
      <c r="EI11" s="236" t="str">
        <f t="shared" si="42"/>
        <v/>
      </c>
    </row>
    <row r="12" ht="15.75" customHeight="1">
      <c r="A12" s="224">
        <v>46235.0</v>
      </c>
      <c r="B12" s="225">
        <f>IF($A12="","",SUMIFS(Raw_Data_Daily!$D:$D, Raw_Data_Daily!$B:$B, "Control", Raw_Data_Daily!$A:$A, $A12, Raw_Data_Daily!$C:$C, $C$3))</f>
        <v>0</v>
      </c>
      <c r="C12" s="225">
        <f>IF($A12="","",SUMIFS(Raw_Data_Daily!$D:$D, Raw_Data_Daily!$B:$B, "Variant", Raw_Data_Daily!$A:$A, $A12, Raw_Data_Daily!$C:$C, $C$3))</f>
        <v>0</v>
      </c>
      <c r="D12" s="226" t="str">
        <f t="shared" si="1"/>
        <v/>
      </c>
      <c r="E12" s="227" t="str">
        <f>IF($A12="","",IFERROR(SUMPRODUCT((Raw_Data_Daily!$B$2:$B$9999="Control")*(Raw_Data_Daily!$A$2:$A$9999=$A12)*(Raw_Data_Daily!$C$2:$C$9999=$C$3)*Raw_Data_Daily!$D$2:$D$9999*Raw_Data_Daily!$E$2:$E$9999)/SUMIFS(Raw_Data_Daily!$D:$D, Raw_Data_Daily!$B:$B, "Control", Raw_Data_Daily!$A:$A, $A12, Raw_Data_Daily!$C:$C, $C$3),""))</f>
        <v/>
      </c>
      <c r="F12" s="227" t="str">
        <f>IF($A12="","",IFERROR(SUMPRODUCT((Raw_Data_Daily!$B$2:$B$9999="Variant")*(Raw_Data_Daily!$A$2:$A$9999=$A12)*(Raw_Data_Daily!$C$2:$C$9999=$C$3)*Raw_Data_Daily!$D$2:$D$9999*Raw_Data_Daily!$E$2:$E$9999)/SUMIFS(Raw_Data_Daily!$D:$D, Raw_Data_Daily!$B:$B, "Variant", Raw_Data_Daily!$A:$A, $A12, Raw_Data_Daily!$C:$C, $C$3),""))</f>
        <v/>
      </c>
      <c r="G12" s="226" t="str">
        <f t="shared" si="2"/>
        <v/>
      </c>
      <c r="H12" s="228">
        <f>IF($A12="","",SUMIFS(Raw_Data_Daily!$F:$F, Raw_Data_Daily!$B:$B, "Control", Raw_Data_Daily!$A:$A, $A12, Raw_Data_Daily!$C:$C, $C$3))</f>
        <v>0</v>
      </c>
      <c r="I12" s="228">
        <f>IF($A12="","",SUMIFS(Raw_Data_Daily!$F:$F, Raw_Data_Daily!$B:$B, "Variant", Raw_Data_Daily!$A:$A, $A12, Raw_Data_Daily!$C:$C, $C$3))</f>
        <v>0</v>
      </c>
      <c r="J12" s="229" t="str">
        <f t="shared" si="3"/>
        <v/>
      </c>
      <c r="K12" s="230" t="str">
        <f>IF($A12="","",IFERROR(SUMIFS(Raw_Data_Daily!$F:$F, Raw_Data_Daily!$B:$B, "Control", Raw_Data_Daily!$A:$A, $A12, Raw_Data_Daily!$C:$C, $C$3)/SUMIFS(Raw_Data_Daily!$D:$D, Raw_Data_Daily!$B:$B, "Control", Raw_Data_Daily!$A:$A, $A12, Raw_Data_Daily!$C:$C, $C$3),""))</f>
        <v/>
      </c>
      <c r="L12" s="230" t="str">
        <f>IF($A12="","",IFERROR(SUMIFS(Raw_Data_Daily!$F:$F, Raw_Data_Daily!$B:$B, "Variant", Raw_Data_Daily!$A:$A, $A12, Raw_Data_Daily!$C:$C, $C$3)/SUMIFS(Raw_Data_Daily!$D:$D, Raw_Data_Daily!$B:$B, "Variant", Raw_Data_Daily!$A:$A, $A12, Raw_Data_Daily!$C:$C, $C$3),""))</f>
        <v/>
      </c>
      <c r="M12" s="229" t="str">
        <f t="shared" si="4"/>
        <v/>
      </c>
      <c r="N12" s="227" t="str">
        <f>IF($A12="","",IFERROR(SUMPRODUCT((Raw_Data_Daily!$B$2:$B$9999="Control")*(Raw_Data_Daily!$A$2:$A$9999=$A12)*(Raw_Data_Daily!$C$2:$C$9999=$C$3)*Raw_Data_Daily!$D$2:$D$9999*Raw_Data_Daily!$H$2:$H$9999/100)/SUMIFS(Raw_Data_Daily!$D:$D, Raw_Data_Daily!$B:$B, "Control", Raw_Data_Daily!$A:$A, $A12, Raw_Data_Daily!$C:$C, $C$3)*100,""))</f>
        <v/>
      </c>
      <c r="O12" s="227" t="str">
        <f>IF($A12="","",IFERROR(SUMPRODUCT((Raw_Data_Daily!$B$2:$B$9999="Variant")*(Raw_Data_Daily!$A$2:$A$9999=$A12)*(Raw_Data_Daily!$C$2:$C$9999=$C$3)*Raw_Data_Daily!$D$2:$D$9999*Raw_Data_Daily!$H$2:$H$9999/100)/SUMIFS(Raw_Data_Daily!$D:$D, Raw_Data_Daily!$B:$B, "Variant", Raw_Data_Daily!$A:$A, $A12, Raw_Data_Daily!$C:$C, $C$3)*100,""))</f>
        <v/>
      </c>
      <c r="P12" s="229" t="str">
        <f t="shared" si="5"/>
        <v/>
      </c>
      <c r="Q12" s="230" t="str">
        <f>IF($A12="","",IFERROR(SUMIFS(Raw_Data_Daily!$F:$F, Raw_Data_Daily!$B:$B, "Control", Raw_Data_Daily!$A:$A, $A12, Raw_Data_Daily!$C:$C, $C$3)/SUMPRODUCT((Raw_Data_Daily!$B$2:$B$9999="Control")*(Raw_Data_Daily!$A$2:$A$9999=$A12)*(Raw_Data_Daily!$C$2:$C$9999=$C$3)*Raw_Data_Daily!$D$2:$D$9999*Raw_Data_Daily!$H$2:$H$9999/100),""))</f>
        <v/>
      </c>
      <c r="R12" s="230" t="str">
        <f>IF($A12="","",IFERROR(SUMIFS(Raw_Data_Daily!$F:$F, Raw_Data_Daily!$B:$B, "Variant", Raw_Data_Daily!$A:$A, $A12, Raw_Data_Daily!$C:$C, $C$3)/SUMPRODUCT((Raw_Data_Daily!$B$2:$B$9999="Variant")*(Raw_Data_Daily!$A$2:$A$9999=$A12)*(Raw_Data_Daily!$C$2:$C$9999=$C$3)*Raw_Data_Daily!$D$2:$D$9999*Raw_Data_Daily!$H$2:$H$9999/100),""))</f>
        <v/>
      </c>
      <c r="S12" s="229" t="str">
        <f t="shared" si="6"/>
        <v/>
      </c>
      <c r="T12" s="231" t="str">
        <f>IF($A12="","",IFERROR(SUMPRODUCT((Raw_Data_Daily!$B$2:$B$9999="Control")*(Raw_Data_Daily!$A$2:$A$9999=$A12)*(Raw_Data_Daily!$C$2:$C$9999=$C$3)*Raw_Data_Daily!$D$2:$D$9999*Raw_Data_Daily!$J$2:$J$9999)/SUMIFS(Raw_Data_Daily!$D:$D, Raw_Data_Daily!$B:$B, "Control", Raw_Data_Daily!$A:$A, $A12, Raw_Data_Daily!$C:$C, $C$3),""))</f>
        <v/>
      </c>
      <c r="U12" s="231" t="str">
        <f>IF($A12="","",IFERROR(SUMPRODUCT((Raw_Data_Daily!$B$2:$B$9999="Variant")*(Raw_Data_Daily!$A$2:$A$9999=$A12)*(Raw_Data_Daily!$C$2:$C$9999=$C$3)*Raw_Data_Daily!$D$2:$D$9999*Raw_Data_Daily!$J$2:$J$9999)/SUMIFS(Raw_Data_Daily!$D:$D, Raw_Data_Daily!$B:$B, "Variant", Raw_Data_Daily!$A:$A, $A12, Raw_Data_Daily!$C:$C, $C$3),""))</f>
        <v/>
      </c>
      <c r="V12" s="229" t="str">
        <f t="shared" si="7"/>
        <v/>
      </c>
      <c r="W12" s="231" t="str">
        <f>IF($A12="","",IFERROR(SUMPRODUCT((Raw_Data_Daily!$B$2:$B$9999="Control")*(Raw_Data_Daily!$A$2:$A$9999=$A12)*(Raw_Data_Daily!$C$2:$C$9999=$C$3)*Raw_Data_Daily!$D$2:$D$9999*Raw_Data_Daily!$K$2:$K$9999)/SUMIFS(Raw_Data_Daily!$D:$D, Raw_Data_Daily!$B:$B, "Control", Raw_Data_Daily!$A:$A, $A12, Raw_Data_Daily!$C:$C, $C$3),""))</f>
        <v/>
      </c>
      <c r="X12" s="231" t="str">
        <f>IF($A12="","",IFERROR(SUMPRODUCT((Raw_Data_Daily!$B$2:$B$9999="Variant")*(Raw_Data_Daily!$A$2:$A$9999=$A12)*(Raw_Data_Daily!$C$2:$C$9999=$C$3)*Raw_Data_Daily!$D$2:$D$9999*Raw_Data_Daily!$K$2:$K$9999)/SUMIFS(Raw_Data_Daily!$D:$D, Raw_Data_Daily!$B:$B, "Variant", Raw_Data_Daily!$A:$A, $A12, Raw_Data_Daily!$C:$C, $C$3),""))</f>
        <v/>
      </c>
      <c r="Y12" s="229" t="str">
        <f t="shared" si="8"/>
        <v/>
      </c>
      <c r="Z12" s="231" t="str">
        <f>IF($A12="","",IFERROR(SUMPRODUCT((Raw_Data_Daily!$B$2:$B$9999="Control")*(Raw_Data_Daily!$A$2:$A$9999=$A12)*(Raw_Data_Daily!$C$2:$C$9999=$C$3)*Raw_Data_Daily!$D$2:$D$9999*Raw_Data_Daily!$L$2:$L$9999)/SUMIFS(Raw_Data_Daily!$D:$D, Raw_Data_Daily!$B:$B, "Control", Raw_Data_Daily!$A:$A, $A12, Raw_Data_Daily!$C:$C, $C$3),""))</f>
        <v/>
      </c>
      <c r="AA12" s="231" t="str">
        <f>IF($A12="","",IFERROR(SUMPRODUCT((Raw_Data_Daily!$B$2:$B$9999="Variant")*(Raw_Data_Daily!$A$2:$A$9999=$A12)*(Raw_Data_Daily!$C$2:$C$9999=$C$3)*Raw_Data_Daily!$D$2:$D$9999*Raw_Data_Daily!$L$2:$L$9999)/SUMIFS(Raw_Data_Daily!$D:$D, Raw_Data_Daily!$B:$B, "Variant", Raw_Data_Daily!$A:$A, $A12, Raw_Data_Daily!$C:$C, $C$3),""))</f>
        <v/>
      </c>
      <c r="AB12" s="229" t="str">
        <f t="shared" si="9"/>
        <v/>
      </c>
      <c r="AC12" s="232" t="str">
        <f>IF($A12="","",IFERROR(SUMPRODUCT((Raw_Data_Daily!$B$2:$B$9999="Control")*(Raw_Data_Daily!$A$2:$A$9999=$A12)*(Raw_Data_Daily!$C$2:$C$9999=$C$3)*Raw_Data_Daily!$D$2:$D$9999*Raw_Data_Daily!$M$2:$M$9999)/SUMIFS(Raw_Data_Daily!$D:$D, Raw_Data_Daily!$B:$B, "Control", Raw_Data_Daily!$A:$A, $A12, Raw_Data_Daily!$C:$C, $C$3),""))</f>
        <v/>
      </c>
      <c r="AD12" s="232" t="str">
        <f>IF($A12="","",IFERROR(SUMPRODUCT((Raw_Data_Daily!$B$2:$B$9999="Variant")*(Raw_Data_Daily!$A$2:$A$9999=$A12)*(Raw_Data_Daily!$C$2:$C$9999=$C$3)*Raw_Data_Daily!$D$2:$D$9999*Raw_Data_Daily!$M$2:$M$9999)/SUMIFS(Raw_Data_Daily!$D:$D, Raw_Data_Daily!$B:$B, "Variant", Raw_Data_Daily!$A:$A, $A12, Raw_Data_Daily!$C:$C, $C$3),""))</f>
        <v/>
      </c>
      <c r="AE12" s="233" t="str">
        <f t="shared" si="10"/>
        <v/>
      </c>
      <c r="AF12" s="232" t="str">
        <f>IF($A12="","",IFERROR(SUMPRODUCT((Raw_Data_Daily!$B$2:$B$9999="Control")*(Raw_Data_Daily!$A$2:$A$9999=$A12)*(Raw_Data_Daily!$C$2:$C$9999=$C$3)*Raw_Data_Daily!$D$2:$D$9999*Raw_Data_Daily!$N$2:$N$9999)/SUMIFS(Raw_Data_Daily!$D:$D, Raw_Data_Daily!$B:$B, "Control", Raw_Data_Daily!$A:$A, $A12, Raw_Data_Daily!$C:$C, $C$3),""))</f>
        <v/>
      </c>
      <c r="AG12" s="232" t="str">
        <f>IF($A12="","",IFERROR(SUMPRODUCT((Raw_Data_Daily!$B$2:$B$9999="Variant")*(Raw_Data_Daily!$A$2:$A$9999=$A12)*(Raw_Data_Daily!$C$2:$C$9999=$C$3)*Raw_Data_Daily!$D$2:$D$9999*Raw_Data_Daily!$N$2:$N$9999)/SUMIFS(Raw_Data_Daily!$D:$D, Raw_Data_Daily!$B:$B, "Variant", Raw_Data_Daily!$A:$A, $A12, Raw_Data_Daily!$C:$C, $C$3),""))</f>
        <v/>
      </c>
      <c r="AH12" s="233" t="str">
        <f t="shared" si="11"/>
        <v/>
      </c>
      <c r="AI12" s="232" t="str">
        <f>IF($A12="","",IFERROR(SUMPRODUCT((Raw_Data_Daily!$B$2:$B$9999="Control")*(Raw_Data_Daily!$A$2:$A$9999=$A12)*(Raw_Data_Daily!$C$2:$C$9999=$C$3)*Raw_Data_Daily!$D$2:$D$9999*Raw_Data_Daily!$O$2:$O$9999)/SUMIFS(Raw_Data_Daily!$D:$D, Raw_Data_Daily!$B:$B, "Control", Raw_Data_Daily!$A:$A, $A12, Raw_Data_Daily!$C:$C, $C$3),""))</f>
        <v/>
      </c>
      <c r="AJ12" s="232" t="str">
        <f>IF($A12="","",IFERROR(SUMPRODUCT((Raw_Data_Daily!$B$2:$B$9999="Variant")*(Raw_Data_Daily!$A$2:$A$9999=$A12)*(Raw_Data_Daily!$C$2:$C$9999=$C$3)*Raw_Data_Daily!$D$2:$D$9999*Raw_Data_Daily!$O$2:$O$9999)/SUMIFS(Raw_Data_Daily!$D:$D, Raw_Data_Daily!$B:$B, "Variant", Raw_Data_Daily!$A:$A, $A12, Raw_Data_Daily!$C:$C, $C$3),""))</f>
        <v/>
      </c>
      <c r="AK12" s="229" t="str">
        <f t="shared" si="12"/>
        <v/>
      </c>
      <c r="AL12" s="231" t="str">
        <f>IF($A12="","",IFERROR(SUMPRODUCT((Raw_Data_Daily!$B$2:$B$9999="Control")*(Raw_Data_Daily!$A$2:$A$9999=$A12)*(Raw_Data_Daily!$C$2:$C$9999=$C$3)*Raw_Data_Daily!$D$2:$D$9999*Raw_Data_Daily!$P$2:$P$9999)/SUMIFS(Raw_Data_Daily!$D:$D, Raw_Data_Daily!$B:$B, "Control", Raw_Data_Daily!$A:$A, $A12, Raw_Data_Daily!$C:$C, $C$3),""))</f>
        <v/>
      </c>
      <c r="AM12" s="231" t="str">
        <f>IF($A12="","",IFERROR(SUMPRODUCT((Raw_Data_Daily!$B$2:$B$9999="Variant")*(Raw_Data_Daily!$A$2:$A$9999=$A12)*(Raw_Data_Daily!$C$2:$C$9999=$C$3)*Raw_Data_Daily!$D$2:$D$9999*Raw_Data_Daily!$P$2:$P$9999)/SUMIFS(Raw_Data_Daily!$D:$D, Raw_Data_Daily!$B:$B, "Variant", Raw_Data_Daily!$A:$A, $A12, Raw_Data_Daily!$C:$C, $C$3),""))</f>
        <v/>
      </c>
      <c r="AN12" s="229" t="str">
        <f t="shared" si="13"/>
        <v/>
      </c>
      <c r="AO12" s="231" t="str">
        <f>IF($A12="","",IFERROR(SUMPRODUCT((Raw_Data_Daily!$B$2:$B$9999="Control")*(Raw_Data_Daily!$A$2:$A$9999=$A12)*(Raw_Data_Daily!$C$2:$C$9999=$C$3)*Raw_Data_Daily!$D$2:$D$9999*Raw_Data_Daily!$Q$2:$Q$9999)/SUMIFS(Raw_Data_Daily!$D:$D, Raw_Data_Daily!$B:$B, "Control", Raw_Data_Daily!$A:$A, $A12, Raw_Data_Daily!$C:$C, $C$3),""))</f>
        <v/>
      </c>
      <c r="AP12" s="231" t="str">
        <f>IF($A12="","",IFERROR(SUMPRODUCT((Raw_Data_Daily!$B$2:$B$9999="Variant")*(Raw_Data_Daily!$A$2:$A$9999=$A12)*(Raw_Data_Daily!$C$2:$C$9999=$C$3)*Raw_Data_Daily!$D$2:$D$9999*Raw_Data_Daily!$Q$2:$Q$9999)/SUMIFS(Raw_Data_Daily!$D:$D, Raw_Data_Daily!$B:$B, "Variant", Raw_Data_Daily!$A:$A, $A12, Raw_Data_Daily!$C:$C, $C$3),""))</f>
        <v/>
      </c>
      <c r="AQ12" s="226" t="str">
        <f t="shared" si="14"/>
        <v/>
      </c>
      <c r="AR12" s="231" t="str">
        <f>IF($A12="","",IFERROR(SUMPRODUCT((Raw_Data_Daily!$B$2:$B$9999="Control")*(Raw_Data_Daily!$A$2:$A$9999=$A12)*(Raw_Data_Daily!$C$2:$C$9999=$C$3)*Raw_Data_Daily!$D$2:$D$9999*Raw_Data_Daily!$R$2:$R$9999)/SUMIFS(Raw_Data_Daily!$D:$D, Raw_Data_Daily!$B:$B, "Control", Raw_Data_Daily!$A:$A, $A12, Raw_Data_Daily!$C:$C, $C$3),""))</f>
        <v/>
      </c>
      <c r="AS12" s="231" t="str">
        <f>IF($A12="","",IFERROR(SUMPRODUCT((Raw_Data_Daily!$B$2:$B$9999="Variant")*(Raw_Data_Daily!$A$2:$A$9999=$A12)*(Raw_Data_Daily!$C$2:$C$9999=$C$3)*Raw_Data_Daily!$D$2:$D$9999*Raw_Data_Daily!$R$2:$R$9999)/SUMIFS(Raw_Data_Daily!$D:$D, Raw_Data_Daily!$B:$B, "Variant", Raw_Data_Daily!$A:$A, $A12, Raw_Data_Daily!$C:$C, $C$3),""))</f>
        <v/>
      </c>
      <c r="AT12" s="226" t="str">
        <f t="shared" si="15"/>
        <v/>
      </c>
      <c r="AU12" s="231" t="str">
        <f>IF($A12="","",IFERROR(SUMPRODUCT((Raw_Data_Daily!$B$2:$B$9999="Control")*(Raw_Data_Daily!$A$2:$A$9999=$A12)*(Raw_Data_Daily!$C$2:$C$9999=$C$3)*Raw_Data_Daily!$D$2:$D$9999*Raw_Data_Daily!$S$2:$S$9999)/SUMIFS(Raw_Data_Daily!$D:$D, Raw_Data_Daily!$B:$B, "Control", Raw_Data_Daily!$A:$A, $A12, Raw_Data_Daily!$C:$C, $C$3),""))</f>
        <v/>
      </c>
      <c r="AV12" s="231" t="str">
        <f>IF($A12="","",IFERROR(SUMPRODUCT((Raw_Data_Daily!$B$2:$B$9999="Variant")*(Raw_Data_Daily!$A$2:$A$9999=$A12)*(Raw_Data_Daily!$C$2:$C$9999=$C$3)*Raw_Data_Daily!$D$2:$D$9999*Raw_Data_Daily!$S$2:$S$9999)/SUMIFS(Raw_Data_Daily!$D:$D, Raw_Data_Daily!$B:$B, "Variant", Raw_Data_Daily!$A:$A, $A12, Raw_Data_Daily!$C:$C, $C$3),""))</f>
        <v/>
      </c>
      <c r="AW12" s="226" t="str">
        <f t="shared" si="16"/>
        <v/>
      </c>
      <c r="AX12" s="231" t="str">
        <f>IF($A12="","",IFERROR(SUMPRODUCT((Raw_Data_Daily!$B$2:$B$9999="Control")*(Raw_Data_Daily!$A$2:$A$9999=$A12)*(Raw_Data_Daily!$C$2:$C$9999=$C$3)*Raw_Data_Daily!$D$2:$D$9999*Raw_Data_Daily!$T$2:$T$9999)/SUMIFS(Raw_Data_Daily!$D:$D, Raw_Data_Daily!$B:$B, "Control", Raw_Data_Daily!$A:$A, $A12, Raw_Data_Daily!$C:$C, $C$3),""))</f>
        <v/>
      </c>
      <c r="AY12" s="231" t="str">
        <f>IF($A12="","",IFERROR(SUMPRODUCT((Raw_Data_Daily!$B$2:$B$9999="Variant")*(Raw_Data_Daily!$A$2:$A$9999=$A12)*(Raw_Data_Daily!$C$2:$C$9999=$C$3)*Raw_Data_Daily!$D$2:$D$9999*Raw_Data_Daily!$T$2:$T$9999)/SUMIFS(Raw_Data_Daily!$D:$D, Raw_Data_Daily!$B:$B, "Variant", Raw_Data_Daily!$A:$A, $A12, Raw_Data_Daily!$C:$C, $C$3),""))</f>
        <v/>
      </c>
      <c r="AZ12" s="229" t="str">
        <f t="shared" si="17"/>
        <v/>
      </c>
      <c r="BA12" s="231" t="str">
        <f>IF($A12="","",IFERROR(SUMPRODUCT((Raw_Data_Daily!$B$2:$B$9999="Control")*(Raw_Data_Daily!$A$2:$A$9999=$A12)*(Raw_Data_Daily!$C$2:$C$9999=$C$3)*Raw_Data_Daily!$D$2:$D$9999*Raw_Data_Daily!$U$2:$U$9999)/SUMIFS(Raw_Data_Daily!$D:$D, Raw_Data_Daily!$B:$B, "Control", Raw_Data_Daily!$A:$A, $A12, Raw_Data_Daily!$C:$C, $C$3),""))</f>
        <v/>
      </c>
      <c r="BB12" s="231" t="str">
        <f>IF($A12="","",IFERROR(SUMPRODUCT((Raw_Data_Daily!$B$2:$B$9999="Variant")*(Raw_Data_Daily!$A$2:$A$9999=$A12)*(Raw_Data_Daily!$C$2:$C$9999=$C$3)*Raw_Data_Daily!$D$2:$D$9999*Raw_Data_Daily!$U$2:$U$9999)/SUMIFS(Raw_Data_Daily!$D:$D, Raw_Data_Daily!$B:$B, "Variant", Raw_Data_Daily!$A:$A, $A12, Raw_Data_Daily!$C:$C, $C$3),""))</f>
        <v/>
      </c>
      <c r="BC12" s="226" t="str">
        <f t="shared" si="18"/>
        <v/>
      </c>
      <c r="BD12" s="231" t="str">
        <f>IF($A12="","",IFERROR(SUMPRODUCT((Raw_Data_Daily!$B$2:$B$9999="Control")*(Raw_Data_Daily!$A$2:$A$9999=$A12)*(Raw_Data_Daily!$C$2:$C$9999=$C$3)*Raw_Data_Daily!$D$2:$D$9999*Raw_Data_Daily!$V$2:$V$9999)/SUMIFS(Raw_Data_Daily!$D:$D, Raw_Data_Daily!$B:$B, "Control", Raw_Data_Daily!$A:$A, $A12, Raw_Data_Daily!$C:$C, $C$3),""))</f>
        <v/>
      </c>
      <c r="BE12" s="231" t="str">
        <f>IF($A12="","",IFERROR(SUMPRODUCT((Raw_Data_Daily!$B$2:$B$9999="Variant")*(Raw_Data_Daily!$A$2:$A$9999=$A12)*(Raw_Data_Daily!$C$2:$C$9999=$C$3)*Raw_Data_Daily!$D$2:$D$9999*Raw_Data_Daily!$V$2:$V$9999)/SUMIFS(Raw_Data_Daily!$D:$D, Raw_Data_Daily!$B:$B, "Variant", Raw_Data_Daily!$A:$A, $A12, Raw_Data_Daily!$C:$C, $C$3),""))</f>
        <v/>
      </c>
      <c r="BF12" s="226" t="str">
        <f t="shared" si="19"/>
        <v/>
      </c>
      <c r="BG12" s="231" t="str">
        <f>IF($A12="","",IFERROR(SUMPRODUCT((Raw_Data_Daily!$B$2:$B$9999="Control")*(Raw_Data_Daily!$A$2:$A$9999=$A12)*(Raw_Data_Daily!$C$2:$C$9999=$C$3)*Raw_Data_Daily!$D$2:$D$9999*(Raw_Data_Daily!$Q$2:$Q$9999-Raw_Data_Daily!$V$2:$V$9999))/SUMIFS(Raw_Data_Daily!$D:$D, Raw_Data_Daily!$B:$B, "Control", Raw_Data_Daily!$A:$A, $A12, Raw_Data_Daily!$C:$C, $C$3),""))</f>
        <v/>
      </c>
      <c r="BH12" s="231" t="str">
        <f>IF($A12="","",IFERROR(SUMPRODUCT((Raw_Data_Daily!$B$2:$B$9999="Variant")*(Raw_Data_Daily!$A$2:$A$9999=$A12)*(Raw_Data_Daily!$C$2:$C$9999=$C$3)*Raw_Data_Daily!$D$2:$D$9999*(Raw_Data_Daily!$Q$2:$Q$9999-Raw_Data_Daily!$V$2:$V$9999))/SUMIFS(Raw_Data_Daily!$D:$D, Raw_Data_Daily!$B:$B, "Variant", Raw_Data_Daily!$A:$A, $A12, Raw_Data_Daily!$C:$C, $C$3),""))</f>
        <v/>
      </c>
      <c r="BI12" s="226" t="str">
        <f t="shared" si="20"/>
        <v/>
      </c>
      <c r="BJ12" s="231" t="str">
        <f>IF($A12="","",IFERROR(SUMPRODUCT((Raw_Data_Daily!$B$2:$B$9999="Control")*(Raw_Data_Daily!$A$2:$A$9999=$A12)*(Raw_Data_Daily!$C$2:$C$9999=$C$3)*Raw_Data_Daily!$D$2:$D$9999*Raw_Data_Daily!$W$2:$W$9999)/SUMIFS(Raw_Data_Daily!$D:$D, Raw_Data_Daily!$B:$B, "Control", Raw_Data_Daily!$A:$A, $A12, Raw_Data_Daily!$C:$C, $C$3),""))</f>
        <v/>
      </c>
      <c r="BK12" s="231" t="str">
        <f>IF($A12="","",IFERROR(SUMPRODUCT((Raw_Data_Daily!$B$2:$B$9999="Variant")*(Raw_Data_Daily!$A$2:$A$9999=$A12)*(Raw_Data_Daily!$C$2:$C$9999=$C$3)*Raw_Data_Daily!$D$2:$D$9999*Raw_Data_Daily!$W$2:$W$9999)/SUMIFS(Raw_Data_Daily!$D:$D, Raw_Data_Daily!$B:$B, "Variant", Raw_Data_Daily!$A:$A, $A12, Raw_Data_Daily!$C:$C, $C$3),""))</f>
        <v/>
      </c>
      <c r="BL12" s="226" t="str">
        <f t="shared" si="21"/>
        <v/>
      </c>
      <c r="BM12" s="232" t="str">
        <f>IF($A12="","",IFERROR(SUMPRODUCT((Raw_Data_Daily!$B$2:$B$9999="Control")*(Raw_Data_Daily!$A$2:$A$9999=$A12)*(Raw_Data_Daily!$C$2:$C$9999=$C$3)*Raw_Data_Daily!$D$2:$D$9999*Raw_Data_Daily!$X$2:$X$9999)/SUMIFS(Raw_Data_Daily!$D:$D, Raw_Data_Daily!$B:$B, "Control", Raw_Data_Daily!$A:$A, $A12, Raw_Data_Daily!$C:$C, $C$3),""))</f>
        <v/>
      </c>
      <c r="BN12" s="232" t="str">
        <f>IF($A12="","",IFERROR(SUMPRODUCT((Raw_Data_Daily!$B$2:$B$9999="Variant")*(Raw_Data_Daily!$A$2:$A$9999=$A12)*(Raw_Data_Daily!$C$2:$C$9999=$C$3)*Raw_Data_Daily!$D$2:$D$9999*Raw_Data_Daily!$X$2:$X$9999)/SUMIFS(Raw_Data_Daily!$D:$D, Raw_Data_Daily!$B:$B, "Variant", Raw_Data_Daily!$A:$A, $A12, Raw_Data_Daily!$C:$C, $C$3),""))</f>
        <v/>
      </c>
      <c r="BO12" s="229" t="str">
        <f t="shared" si="22"/>
        <v/>
      </c>
      <c r="BP12" s="225" t="str">
        <f>IF($A12="","",IFERROR(SUMPRODUCT((Raw_Data_Daily!$B$2:$B$9999="Control")*(Raw_Data_Daily!$A$2:$A$9999=$A12)*(Raw_Data_Daily!$C$2:$C$9999=$C$3)*Raw_Data_Daily!$D$2:$D$9999*Raw_Data_Daily!$Y$2:$Y$9999)/SUMIFS(Raw_Data_Daily!$D:$D, Raw_Data_Daily!$B:$B, "Control", Raw_Data_Daily!$A:$A, $A12, Raw_Data_Daily!$C:$C, $C$3),""))</f>
        <v/>
      </c>
      <c r="BQ12" s="225" t="str">
        <f>IF($A12="","",IFERROR(SUMPRODUCT((Raw_Data_Daily!$B$2:$B$9999="Variant")*(Raw_Data_Daily!$A$2:$A$9999=$A12)*(Raw_Data_Daily!$C$2:$C$9999=$C$3)*Raw_Data_Daily!$D$2:$D$9999*Raw_Data_Daily!$Y$2:$Y$9999)/SUMIFS(Raw_Data_Daily!$D:$D, Raw_Data_Daily!$B:$B, "Variant", Raw_Data_Daily!$A:$A, $A12, Raw_Data_Daily!$C:$C, $C$3),""))</f>
        <v/>
      </c>
      <c r="BR12" s="226" t="str">
        <f t="shared" si="23"/>
        <v/>
      </c>
      <c r="BS12" s="225" t="str">
        <f>IF($A12="","",IFERROR(SUMPRODUCT((Raw_Data_Daily!$B$2:$B$9999="Control")*(Raw_Data_Daily!$A$2:$A$9999=$A12)*(Raw_Data_Daily!$C$2:$C$9999=$C$3)*Raw_Data_Daily!$D$2:$D$9999*Raw_Data_Daily!$Z$2:$Z$9999)/SUMIFS(Raw_Data_Daily!$D:$D, Raw_Data_Daily!$B:$B, "Control", Raw_Data_Daily!$A:$A, $A12, Raw_Data_Daily!$C:$C, $C$3),""))</f>
        <v/>
      </c>
      <c r="BT12" s="225" t="str">
        <f>IF($A12="","",IFERROR(SUMPRODUCT((Raw_Data_Daily!$B$2:$B$9999="Variant")*(Raw_Data_Daily!$A$2:$A$9999=$A12)*(Raw_Data_Daily!$C$2:$C$9999=$C$3)*Raw_Data_Daily!$D$2:$D$9999*Raw_Data_Daily!$Z$2:$Z$9999)/SUMIFS(Raw_Data_Daily!$D:$D, Raw_Data_Daily!$B:$B, "Variant", Raw_Data_Daily!$A:$A, $A12, Raw_Data_Daily!$C:$C, $C$3),""))</f>
        <v/>
      </c>
      <c r="BU12" s="226" t="str">
        <f t="shared" si="24"/>
        <v/>
      </c>
      <c r="BV12" s="225" t="str">
        <f>IF($A12="","",IFERROR(SUMPRODUCT((Raw_Data_Daily!$B$2:$B$9999="Control")*(Raw_Data_Daily!$A$2:$A$9999=$A12)*(Raw_Data_Daily!$C$2:$C$9999=$C$3)*Raw_Data_Daily!$D$2:$D$9999*Raw_Data_Daily!$AA$2:$AA$9999)/SUMIFS(Raw_Data_Daily!$D:$D, Raw_Data_Daily!$B:$B, "Control", Raw_Data_Daily!$A:$A, $A12, Raw_Data_Daily!$C:$C, $C$3),""))</f>
        <v/>
      </c>
      <c r="BW12" s="225" t="str">
        <f>IF($A12="","",IFERROR(SUMPRODUCT((Raw_Data_Daily!$B$2:$B$9999="Variant")*(Raw_Data_Daily!$A$2:$A$9999=$A12)*(Raw_Data_Daily!$C$2:$C$9999=$C$3)*Raw_Data_Daily!$D$2:$D$9999*Raw_Data_Daily!$AA$2:$AA$9999)/SUMIFS(Raw_Data_Daily!$D:$D, Raw_Data_Daily!$B:$B, "Variant", Raw_Data_Daily!$A:$A, $A12, Raw_Data_Daily!$C:$C, $C$3),""))</f>
        <v/>
      </c>
      <c r="BX12" s="226" t="str">
        <f t="shared" si="25"/>
        <v/>
      </c>
      <c r="BY12" s="231" t="str">
        <f>IF($A12="","",IFERROR(SUMPRODUCT((Raw_Data_Daily!$B$2:$B$9999="Control")*(Raw_Data_Daily!$A$2:$A$9999=$A12)*(Raw_Data_Daily!$C$2:$C$9999=$C$3)*Raw_Data_Daily!$D$2:$D$9999*Raw_Data_Daily!$AB$2:$AB$9999)/SUMIFS(Raw_Data_Daily!$D:$D, Raw_Data_Daily!$B:$B, "Control", Raw_Data_Daily!$A:$A, $A12, Raw_Data_Daily!$C:$C, $C$3),""))</f>
        <v/>
      </c>
      <c r="BZ12" s="231" t="str">
        <f>IF($A12="","",IFERROR(SUMPRODUCT((Raw_Data_Daily!$B$2:$B$9999="Variant")*(Raw_Data_Daily!$A$2:$A$9999=$A12)*(Raw_Data_Daily!$C$2:$C$9999=$C$3)*Raw_Data_Daily!$D$2:$D$9999*Raw_Data_Daily!$AB$2:$AB$9999)/SUMIFS(Raw_Data_Daily!$D:$D, Raw_Data_Daily!$B:$B, "Variant", Raw_Data_Daily!$A:$A, $A12, Raw_Data_Daily!$C:$C, $C$3),""))</f>
        <v/>
      </c>
      <c r="CA12" s="229" t="str">
        <f t="shared" si="26"/>
        <v/>
      </c>
      <c r="CB12" s="231" t="str">
        <f>IF($A12="","",IFERROR(SUMPRODUCT((Raw_Data_Daily!$B$2:$B$9999="Control")*(Raw_Data_Daily!$A$2:$A$9999=$A12)*(Raw_Data_Daily!$C$2:$C$9999=$C$3)*Raw_Data_Daily!$D$2:$D$9999*Raw_Data_Daily!$AC$2:$AC$9999)/SUMIFS(Raw_Data_Daily!$D:$D, Raw_Data_Daily!$B:$B, "Control", Raw_Data_Daily!$A:$A, $A12, Raw_Data_Daily!$C:$C, $C$3),""))</f>
        <v/>
      </c>
      <c r="CC12" s="231" t="str">
        <f>IF($A12="","",IFERROR(SUMPRODUCT((Raw_Data_Daily!$B$2:$B$9999="Variant")*(Raw_Data_Daily!$A$2:$A$9999=$A12)*(Raw_Data_Daily!$C$2:$C$9999=$C$3)*Raw_Data_Daily!$D$2:$D$9999*Raw_Data_Daily!$AC$2:$AC$9999)/SUMIFS(Raw_Data_Daily!$D:$D, Raw_Data_Daily!$B:$B, "Variant", Raw_Data_Daily!$A:$A, $A12, Raw_Data_Daily!$C:$C, $C$3),""))</f>
        <v/>
      </c>
      <c r="CD12" s="229" t="str">
        <f t="shared" si="27"/>
        <v/>
      </c>
      <c r="CE12" s="231" t="str">
        <f>IF($A12="","",IFERROR(SUMPRODUCT((Raw_Data_Daily!$B$2:$B$9999="Control")*(Raw_Data_Daily!$A$2:$A$9999=$A12)*(Raw_Data_Daily!$C$2:$C$9999=$C$3)*Raw_Data_Daily!$D$2:$D$9999*Raw_Data_Daily!$AD$2:$AD$9999)/SUMIFS(Raw_Data_Daily!$D:$D, Raw_Data_Daily!$B:$B, "Control", Raw_Data_Daily!$A:$A, $A12, Raw_Data_Daily!$C:$C, $C$3),""))</f>
        <v/>
      </c>
      <c r="CF12" s="231" t="str">
        <f>IF($A12="","",IFERROR(SUMPRODUCT((Raw_Data_Daily!$B$2:$B$9999="Variant")*(Raw_Data_Daily!$A$2:$A$9999=$A12)*(Raw_Data_Daily!$C$2:$C$9999=$C$3)*Raw_Data_Daily!$D$2:$D$9999*Raw_Data_Daily!$AD$2:$AD$9999)/SUMIFS(Raw_Data_Daily!$D:$D, Raw_Data_Daily!$B:$B, "Variant", Raw_Data_Daily!$A:$A, $A12, Raw_Data_Daily!$C:$C, $C$3),""))</f>
        <v/>
      </c>
      <c r="CG12" s="229" t="str">
        <f t="shared" si="28"/>
        <v/>
      </c>
      <c r="CH12" s="231" t="str">
        <f>IF($A12="","",IFERROR(SUMPRODUCT((Raw_Data_Daily!$B$2:$B$9999="Control")*(Raw_Data_Daily!$A$2:$A$9999=$A12)*(Raw_Data_Daily!$C$2:$C$9999=$C$3)*Raw_Data_Daily!$D$2:$D$9999*Raw_Data_Daily!$AE$2:$AE$9999)/SUMIFS(Raw_Data_Daily!$D:$D, Raw_Data_Daily!$B:$B, "Control", Raw_Data_Daily!$A:$A, $A12, Raw_Data_Daily!$C:$C, $C$3),""))</f>
        <v/>
      </c>
      <c r="CI12" s="231" t="str">
        <f>IF($A12="","",IFERROR(SUMPRODUCT((Raw_Data_Daily!$B$2:$B$9999="Variant")*(Raw_Data_Daily!$A$2:$A$9999=$A12)*(Raw_Data_Daily!$C$2:$C$9999=$C$3)*Raw_Data_Daily!$D$2:$D$9999*Raw_Data_Daily!$AE$2:$AE$9999)/SUMIFS(Raw_Data_Daily!$D:$D, Raw_Data_Daily!$B:$B, "Variant", Raw_Data_Daily!$A:$A, $A12, Raw_Data_Daily!$C:$C, $C$3),""))</f>
        <v/>
      </c>
      <c r="CJ12" s="229" t="str">
        <f t="shared" si="29"/>
        <v/>
      </c>
      <c r="CK12" s="231" t="str">
        <f>IF($A12="","",IFERROR(SUMPRODUCT((Raw_Data_Daily!$B$2:$B$9999="Control")*(Raw_Data_Daily!$A$2:$A$9999=$A12)*(Raw_Data_Daily!$C$2:$C$9999=$C$3)*Raw_Data_Daily!$D$2:$D$9999*Raw_Data_Daily!$AF$2:$AF$9999)/SUMIFS(Raw_Data_Daily!$D:$D, Raw_Data_Daily!$B:$B, "Control", Raw_Data_Daily!$A:$A, $A12, Raw_Data_Daily!$C:$C, $C$3),""))</f>
        <v/>
      </c>
      <c r="CL12" s="231" t="str">
        <f>IF($A12="","",IFERROR(SUMPRODUCT((Raw_Data_Daily!$B$2:$B$9999="Variant")*(Raw_Data_Daily!$A$2:$A$9999=$A12)*(Raw_Data_Daily!$C$2:$C$9999=$C$3)*Raw_Data_Daily!$D$2:$D$9999*Raw_Data_Daily!$AF$2:$AF$9999)/SUMIFS(Raw_Data_Daily!$D:$D, Raw_Data_Daily!$B:$B, "Variant", Raw_Data_Daily!$A:$A, $A12, Raw_Data_Daily!$C:$C, $C$3),""))</f>
        <v/>
      </c>
      <c r="CM12" s="229" t="str">
        <f t="shared" si="30"/>
        <v/>
      </c>
      <c r="CN12" s="231" t="str">
        <f>IF($A12="","",IFERROR(SUMPRODUCT((Raw_Data_Daily!$B$2:$B$9999="Control")*(Raw_Data_Daily!$A$2:$A$9999=$A12)*(Raw_Data_Daily!$C$2:$C$9999=$C$3)*Raw_Data_Daily!$D$2:$D$9999*Raw_Data_Daily!$AG$2:$AG$9999)/SUMIFS(Raw_Data_Daily!$D:$D, Raw_Data_Daily!$B:$B, "Control", Raw_Data_Daily!$A:$A, $A12, Raw_Data_Daily!$C:$C, $C$3),""))</f>
        <v/>
      </c>
      <c r="CO12" s="231" t="str">
        <f>IF($A12="","",IFERROR(SUMPRODUCT((Raw_Data_Daily!$B$2:$B$9999="Variant")*(Raw_Data_Daily!$A$2:$A$9999=$A12)*(Raw_Data_Daily!$C$2:$C$9999=$C$3)*Raw_Data_Daily!$D$2:$D$9999*Raw_Data_Daily!$AG$2:$AG$9999)/SUMIFS(Raw_Data_Daily!$D:$D, Raw_Data_Daily!$B:$B, "Variant", Raw_Data_Daily!$A:$A, $A12, Raw_Data_Daily!$C:$C, $C$3),""))</f>
        <v/>
      </c>
      <c r="CP12" s="229" t="str">
        <f t="shared" si="31"/>
        <v/>
      </c>
      <c r="CQ12" s="231" t="str">
        <f>IF($A12="","",IFERROR(SUMPRODUCT((Raw_Data_Daily!$B$2:$B$9999="Control")*(Raw_Data_Daily!$A$2:$A$9999=$A12)*(Raw_Data_Daily!$C$2:$C$9999=$C$3)*Raw_Data_Daily!$D$2:$D$9999*Raw_Data_Daily!$AH$2:$AH$9999)/SUMIFS(Raw_Data_Daily!$D:$D, Raw_Data_Daily!$B:$B, "Control", Raw_Data_Daily!$A:$A, $A12, Raw_Data_Daily!$C:$C, $C$3),""))</f>
        <v/>
      </c>
      <c r="CR12" s="231" t="str">
        <f>IF($A12="","",IFERROR(SUMPRODUCT((Raw_Data_Daily!$B$2:$B$9999="Variant")*(Raw_Data_Daily!$A$2:$A$9999=$A12)*(Raw_Data_Daily!$C$2:$C$9999=$C$3)*Raw_Data_Daily!$D$2:$D$9999*Raw_Data_Daily!$AH$2:$AH$9999)/SUMIFS(Raw_Data_Daily!$D:$D, Raw_Data_Daily!$B:$B, "Variant", Raw_Data_Daily!$A:$A, $A12, Raw_Data_Daily!$C:$C, $C$3),""))</f>
        <v/>
      </c>
      <c r="CS12" s="229" t="str">
        <f t="shared" si="32"/>
        <v/>
      </c>
      <c r="CT12" s="227" t="str">
        <f>IF($A12="","",IFERROR(SUMPRODUCT((Raw_Data_Daily!$B$2:$B$9999="Control")*(Raw_Data_Daily!$A$2:$A$9999=$A12)*(Raw_Data_Daily!$C$2:$C$9999=$C$3)*Raw_Data_Daily!$D$2:$D$9999*Raw_Data_Daily!$AI$2:$AI$9999)/SUMIFS(Raw_Data_Daily!$D:$D, Raw_Data_Daily!$B:$B, "Control", Raw_Data_Daily!$A:$A, $A12, Raw_Data_Daily!$C:$C, $C$3),""))</f>
        <v/>
      </c>
      <c r="CU12" s="227" t="str">
        <f>IF($A12="","",IFERROR(SUMPRODUCT((Raw_Data_Daily!$B$2:$B$9999="Variant")*(Raw_Data_Daily!$A$2:$A$9999=$A12)*(Raw_Data_Daily!$C$2:$C$9999=$C$3)*Raw_Data_Daily!$D$2:$D$9999*Raw_Data_Daily!$AI$2:$AI$9999)/SUMIFS(Raw_Data_Daily!$D:$D, Raw_Data_Daily!$B:$B, "Variant", Raw_Data_Daily!$A:$A, $A12, Raw_Data_Daily!$C:$C, $C$3),""))</f>
        <v/>
      </c>
      <c r="CV12" s="233" t="str">
        <f t="shared" si="33"/>
        <v/>
      </c>
      <c r="CW12" s="227" t="str">
        <f>IF($A12="","",IFERROR(SUMPRODUCT((Raw_Data_Daily!$B$2:$B$9999="Control")*(Raw_Data_Daily!$A$2:$A$9999=$A12)*(Raw_Data_Daily!$C$2:$C$9999=$C$3)*Raw_Data_Daily!$D$2:$D$9999*Raw_Data_Daily!$AJ$2:$AJ$9999)/SUMIFS(Raw_Data_Daily!$D:$D, Raw_Data_Daily!$B:$B, "Control", Raw_Data_Daily!$A:$A, $A12, Raw_Data_Daily!$C:$C, $C$3),""))</f>
        <v/>
      </c>
      <c r="CX12" s="227" t="str">
        <f>IF($A12="","",IFERROR(SUMPRODUCT((Raw_Data_Daily!$B$2:$B$9999="Variant")*(Raw_Data_Daily!$A$2:$A$9999=$A12)*(Raw_Data_Daily!$C$2:$C$9999=$C$3)*Raw_Data_Daily!$D$2:$D$9999*Raw_Data_Daily!$AJ$2:$AJ$9999)/SUMIFS(Raw_Data_Daily!$D:$D, Raw_Data_Daily!$B:$B, "Variant", Raw_Data_Daily!$A:$A, $A12, Raw_Data_Daily!$C:$C, $C$3),""))</f>
        <v/>
      </c>
      <c r="CY12" s="233" t="str">
        <f t="shared" si="34"/>
        <v/>
      </c>
      <c r="CZ12" s="227" t="str">
        <f>IF($A12="","",IFERROR(SUMPRODUCT((Raw_Data_Daily!$B$2:$B$9999="Control")*(Raw_Data_Daily!$A$2:$A$9999=$A12)*(Raw_Data_Daily!$C$2:$C$9999=$C$3)*Raw_Data_Daily!$D$2:$D$9999*Raw_Data_Daily!$AK$2:$AK$9999)/SUMIFS(Raw_Data_Daily!$D:$D, Raw_Data_Daily!$B:$B, "Control", Raw_Data_Daily!$A:$A, $A12, Raw_Data_Daily!$C:$C, $C$3),""))</f>
        <v/>
      </c>
      <c r="DA12" s="227" t="str">
        <f>IF($A12="","",IFERROR(SUMPRODUCT((Raw_Data_Daily!$B$2:$B$9999="Variant")*(Raw_Data_Daily!$A$2:$A$9999=$A12)*(Raw_Data_Daily!$C$2:$C$9999=$C$3)*Raw_Data_Daily!$D$2:$D$9999*Raw_Data_Daily!$AK$2:$AK$9999)/SUMIFS(Raw_Data_Daily!$D:$D, Raw_Data_Daily!$B:$B, "Variant", Raw_Data_Daily!$A:$A, $A12, Raw_Data_Daily!$C:$C, $C$3),""))</f>
        <v/>
      </c>
      <c r="DB12" s="229" t="str">
        <f t="shared" si="35"/>
        <v/>
      </c>
      <c r="DC12" s="232" t="str">
        <f>IF($A12="","",IFERROR(SUMPRODUCT((Raw_Data_Daily!$B$2:$B$9999="Control")*(Raw_Data_Daily!$A$2:$A$9999=$A12)*(Raw_Data_Daily!$C$2:$C$9999=$C$3)*Raw_Data_Daily!$D$2:$D$9999*Raw_Data_Daily!$AL$2:$AL$9999)/SUMIFS(Raw_Data_Daily!$D:$D, Raw_Data_Daily!$B:$B, "Control", Raw_Data_Daily!$A:$A, $A12, Raw_Data_Daily!$C:$C, $C$3),""))</f>
        <v/>
      </c>
      <c r="DD12" s="232" t="str">
        <f>IF($A12="","",IFERROR(SUMPRODUCT((Raw_Data_Daily!$B$2:$B$9999="Variant")*(Raw_Data_Daily!$A$2:$A$9999=$A12)*(Raw_Data_Daily!$C$2:$C$9999=$C$3)*Raw_Data_Daily!$D$2:$D$9999*Raw_Data_Daily!$AL$2:$AL$9999)/SUMIFS(Raw_Data_Daily!$D:$D, Raw_Data_Daily!$B:$B, "Variant", Raw_Data_Daily!$A:$A, $A12, Raw_Data_Daily!$C:$C, $C$3),""))</f>
        <v/>
      </c>
      <c r="DE12" s="233" t="str">
        <f t="shared" si="36"/>
        <v/>
      </c>
      <c r="DF12" s="234"/>
      <c r="DG12" s="227" t="str">
        <f>IF($A12="","",IFERROR(SUMPRODUCT((Raw_Data_Daily!$B$2:$B$9999="Variant")*(Raw_Data_Daily!$A$2:$A$9999=$A12)*(Raw_Data_Daily!$C$2:$C$9999=$C$3)*Raw_Data_Daily!$D$2:$D$9999*Raw_Data_Daily!$AM$2:$AM$9999)/SUMIFS(Raw_Data_Daily!$D:$D, Raw_Data_Daily!$B:$B, "Variant", Raw_Data_Daily!$A:$A, $A12, Raw_Data_Daily!$C:$C, $C$3),""))</f>
        <v/>
      </c>
      <c r="DH12" s="235"/>
      <c r="DI12" s="234"/>
      <c r="DJ12" s="227" t="str">
        <f>IF($A12="","",IFERROR(SUMPRODUCT((Raw_Data_Daily!$B$2:$B$9999="Variant")*(Raw_Data_Daily!$A$2:$A$9999=$A12)*(Raw_Data_Daily!$C$2:$C$9999=$C$3)*Raw_Data_Daily!$D$2:$D$9999*Raw_Data_Daily!$AN$2:$AN$9999)/SUMIFS(Raw_Data_Daily!$D:$D, Raw_Data_Daily!$B:$B, "Variant", Raw_Data_Daily!$A:$A, $A12, Raw_Data_Daily!$C:$C, $C$3),""))</f>
        <v/>
      </c>
      <c r="DK12" s="235"/>
      <c r="DL12" s="234"/>
      <c r="DM12" s="227" t="str">
        <f>IF($A12="","",IFERROR(SUMPRODUCT((Raw_Data_Daily!$B$2:$B$9999="Variant")*(Raw_Data_Daily!$A$2:$A$9999=$A12)*(Raw_Data_Daily!$C$2:$C$9999=$C$3)*Raw_Data_Daily!$D$2:$D$9999*Raw_Data_Daily!$AO$2:$AO$9999)/SUMIFS(Raw_Data_Daily!$D:$D, Raw_Data_Daily!$B:$B, "Variant", Raw_Data_Daily!$A:$A, $A12, Raw_Data_Daily!$C:$C, $C$3),""))</f>
        <v/>
      </c>
      <c r="DN12" s="235"/>
      <c r="DO12" s="234"/>
      <c r="DP12" s="227" t="str">
        <f>IF($A12="","",IFERROR(SUMPRODUCT((Raw_Data_Daily!$B$2:$B$9999="Variant")*(Raw_Data_Daily!$A$2:$A$9999=$A12)*(Raw_Data_Daily!$C$2:$C$9999=$C$3)*Raw_Data_Daily!$D$2:$D$9999*Raw_Data_Daily!$AP$2:$AP$9999)/SUMIFS(Raw_Data_Daily!$D:$D, Raw_Data_Daily!$B:$B, "Variant", Raw_Data_Daily!$A:$A, $A12, Raw_Data_Daily!$C:$C, $C$3),""))</f>
        <v/>
      </c>
      <c r="DQ12" s="235"/>
      <c r="DR12" s="232" t="str">
        <f>IF($A12="","",IFERROR(SUMPRODUCT((Raw_Data_Daily!$B$2:$B$9999="Control")*(Raw_Data_Daily!$A$2:$A$9999=$A12)*(Raw_Data_Daily!$C$2:$C$9999=$C$3)*Raw_Data_Daily!$D$2:$D$9999*Raw_Data_Daily!$AQ$2:$AQ$9999)/SUMIFS(Raw_Data_Daily!$D:$D, Raw_Data_Daily!$B:$B, "Control", Raw_Data_Daily!$A:$A, $A12, Raw_Data_Daily!$C:$C, $C$3),""))</f>
        <v/>
      </c>
      <c r="DS12" s="232" t="str">
        <f>IF($A12="","",IFERROR(SUMPRODUCT((Raw_Data_Daily!$B$2:$B$9999="Variant")*(Raw_Data_Daily!$A$2:$A$9999=$A12)*(Raw_Data_Daily!$C$2:$C$9999=$C$3)*Raw_Data_Daily!$D$2:$D$9999*Raw_Data_Daily!$AQ$2:$AQ$9999)/SUMIFS(Raw_Data_Daily!$D:$D, Raw_Data_Daily!$B:$B, "Variant", Raw_Data_Daily!$A:$A, $A12, Raw_Data_Daily!$C:$C, $C$3),""))</f>
        <v/>
      </c>
      <c r="DT12" s="236" t="str">
        <f t="shared" si="37"/>
        <v/>
      </c>
      <c r="DU12" s="232" t="str">
        <f>IF($A12="","",IFERROR(SUMPRODUCT((Raw_Data_Daily!$B$2:$B$9999="Control")*(Raw_Data_Daily!$A$2:$A$9999=$A12)*(Raw_Data_Daily!$C$2:$C$9999=$C$3)*Raw_Data_Daily!$D$2:$D$9999*Raw_Data_Daily!$AR$2:$AR$9999)/SUMIFS(Raw_Data_Daily!$D:$D, Raw_Data_Daily!$B:$B, "Control", Raw_Data_Daily!$A:$A, $A12, Raw_Data_Daily!$C:$C, $C$3),""))</f>
        <v/>
      </c>
      <c r="DV12" s="232" t="str">
        <f>IF($A12="","",IFERROR(SUMPRODUCT((Raw_Data_Daily!$B$2:$B$9999="Variant")*(Raw_Data_Daily!$A$2:$A$9999=$A12)*(Raw_Data_Daily!$C$2:$C$9999=$C$3)*Raw_Data_Daily!$D$2:$D$9999*Raw_Data_Daily!$AR$2:$AR$9999)/SUMIFS(Raw_Data_Daily!$D:$D, Raw_Data_Daily!$B:$B, "Variant", Raw_Data_Daily!$A:$A, $A12, Raw_Data_Daily!$C:$C, $C$3),""))</f>
        <v/>
      </c>
      <c r="DW12" s="236" t="str">
        <f t="shared" si="38"/>
        <v/>
      </c>
      <c r="DX12" s="232" t="str">
        <f>IF($A12="","",IFERROR(SUMPRODUCT((Raw_Data_Daily!$B$2:$B$9999="Control")*(Raw_Data_Daily!$A$2:$A$9999=$A12)*(Raw_Data_Daily!$C$2:$C$9999=$C$3)*Raw_Data_Daily!$D$2:$D$9999*Raw_Data_Daily!$AS$2:$AS$9999)/SUMIFS(Raw_Data_Daily!$D:$D, Raw_Data_Daily!$B:$B, "Control", Raw_Data_Daily!$A:$A, $A12, Raw_Data_Daily!$C:$C, $C$3),""))</f>
        <v/>
      </c>
      <c r="DY12" s="232" t="str">
        <f>IF($A12="","",IFERROR(SUMPRODUCT((Raw_Data_Daily!$B$2:$B$9999="Variant")*(Raw_Data_Daily!$A$2:$A$9999=$A12)*(Raw_Data_Daily!$C$2:$C$9999=$C$3)*Raw_Data_Daily!$D$2:$D$9999*Raw_Data_Daily!$AS$2:$AS$9999)/SUMIFS(Raw_Data_Daily!$D:$D, Raw_Data_Daily!$B:$B, "Variant", Raw_Data_Daily!$A:$A, $A12, Raw_Data_Daily!$C:$C, $C$3),""))</f>
        <v/>
      </c>
      <c r="DZ12" s="236" t="str">
        <f t="shared" si="39"/>
        <v/>
      </c>
      <c r="EA12" s="232" t="str">
        <f>IF($A12="","",IFERROR(SUMPRODUCT((Raw_Data_Daily!$B$2:$B$9999="Control")*(Raw_Data_Daily!$A$2:$A$9999=$A12)*(Raw_Data_Daily!$C$2:$C$9999=$C$3)*Raw_Data_Daily!$D$2:$D$9999*Raw_Data_Daily!$AT$2:$AT$9999)/SUMIFS(Raw_Data_Daily!$D:$D, Raw_Data_Daily!$B:$B, "Control", Raw_Data_Daily!$A:$A, $A12, Raw_Data_Daily!$C:$C, $C$3),""))</f>
        <v/>
      </c>
      <c r="EB12" s="232" t="str">
        <f>IF($A12="","",IFERROR(SUMPRODUCT((Raw_Data_Daily!$B$2:$B$9999="Variant")*(Raw_Data_Daily!$A$2:$A$9999=$A12)*(Raw_Data_Daily!$C$2:$C$9999=$C$3)*Raw_Data_Daily!$D$2:$D$9999*Raw_Data_Daily!$AT$2:$AT$9999)/SUMIFS(Raw_Data_Daily!$D:$D, Raw_Data_Daily!$B:$B, "Variant", Raw_Data_Daily!$A:$A, $A12, Raw_Data_Daily!$C:$C, $C$3),""))</f>
        <v/>
      </c>
      <c r="EC12" s="236" t="str">
        <f t="shared" si="40"/>
        <v/>
      </c>
      <c r="ED12" s="232" t="str">
        <f>IF($A12="","",IFERROR(SUMPRODUCT((Raw_Data_Daily!$B$2:$B$9999="Control")*(Raw_Data_Daily!$A$2:$A$9999=$A12)*(Raw_Data_Daily!$C$2:$C$9999=$C$3)*Raw_Data_Daily!$D$2:$D$9999*(Raw_Data_Daily!$AQ$2:$AQ$9999-Raw_Data_Daily!$AT$2:$AT$9999))/SUMIFS(Raw_Data_Daily!$D:$D, Raw_Data_Daily!$B:$B, "Control", Raw_Data_Daily!$A:$A, $A12, Raw_Data_Daily!$C:$C, $C$3),""))</f>
        <v/>
      </c>
      <c r="EE12" s="232" t="str">
        <f>IF($A12="","",IFERROR(SUMPRODUCT((Raw_Data_Daily!$B$2:$B$9999="Variant")*(Raw_Data_Daily!$A$2:$A$9999=$A12)*(Raw_Data_Daily!$C$2:$C$9999=$C$3)*Raw_Data_Daily!$D$2:$D$9999*(Raw_Data_Daily!$AQ$2:$AQ$9999-Raw_Data_Daily!$AT$2:$AT$9999))/SUMIFS(Raw_Data_Daily!$D:$D, Raw_Data_Daily!$B:$B, "Variant", Raw_Data_Daily!$A:$A, $A12, Raw_Data_Daily!$C:$C, $C$3),""))</f>
        <v/>
      </c>
      <c r="EF12" s="236" t="str">
        <f t="shared" si="41"/>
        <v/>
      </c>
      <c r="EG12" s="232" t="str">
        <f>IF($A12="","",IFERROR(SUMPRODUCT((Raw_Data_Daily!$B$2:$B$9999="Control")*(Raw_Data_Daily!$A$2:$A$9999=$A12)*(Raw_Data_Daily!$C$2:$C$9999=$C$3)*Raw_Data_Daily!$D$2:$D$9999*Raw_Data_Daily!$AU$2:$AU$9999)/SUMIFS(Raw_Data_Daily!$D:$D, Raw_Data_Daily!$B:$B, "Control", Raw_Data_Daily!$A:$A, $A12, Raw_Data_Daily!$C:$C, $C$3),""))</f>
        <v/>
      </c>
      <c r="EH12" s="232" t="str">
        <f>IF($A12="","",IFERROR(SUMPRODUCT((Raw_Data_Daily!$B$2:$B$9999="Variant")*(Raw_Data_Daily!$A$2:$A$9999=$A12)*(Raw_Data_Daily!$C$2:$C$9999=$C$3)*Raw_Data_Daily!$D$2:$D$9999*Raw_Data_Daily!$AU$2:$AU$9999)/SUMIFS(Raw_Data_Daily!$D:$D, Raw_Data_Daily!$B:$B, "Variant", Raw_Data_Daily!$A:$A, $A12, Raw_Data_Daily!$C:$C, $C$3),""))</f>
        <v/>
      </c>
      <c r="EI12" s="236" t="str">
        <f t="shared" si="42"/>
        <v/>
      </c>
    </row>
    <row r="13" ht="15.75" customHeight="1">
      <c r="A13" s="224">
        <v>46236.0</v>
      </c>
      <c r="B13" s="225">
        <f>IF($A13="","",SUMIFS(Raw_Data_Daily!$D:$D, Raw_Data_Daily!$B:$B, "Control", Raw_Data_Daily!$A:$A, $A13, Raw_Data_Daily!$C:$C, $C$3))</f>
        <v>0</v>
      </c>
      <c r="C13" s="225">
        <f>IF($A13="","",SUMIFS(Raw_Data_Daily!$D:$D, Raw_Data_Daily!$B:$B, "Variant", Raw_Data_Daily!$A:$A, $A13, Raw_Data_Daily!$C:$C, $C$3))</f>
        <v>0</v>
      </c>
      <c r="D13" s="226" t="str">
        <f t="shared" si="1"/>
        <v/>
      </c>
      <c r="E13" s="227" t="str">
        <f>IF($A13="","",IFERROR(SUMPRODUCT((Raw_Data_Daily!$B$2:$B$9999="Control")*(Raw_Data_Daily!$A$2:$A$9999=$A13)*(Raw_Data_Daily!$C$2:$C$9999=$C$3)*Raw_Data_Daily!$D$2:$D$9999*Raw_Data_Daily!$E$2:$E$9999)/SUMIFS(Raw_Data_Daily!$D:$D, Raw_Data_Daily!$B:$B, "Control", Raw_Data_Daily!$A:$A, $A13, Raw_Data_Daily!$C:$C, $C$3),""))</f>
        <v/>
      </c>
      <c r="F13" s="227" t="str">
        <f>IF($A13="","",IFERROR(SUMPRODUCT((Raw_Data_Daily!$B$2:$B$9999="Variant")*(Raw_Data_Daily!$A$2:$A$9999=$A13)*(Raw_Data_Daily!$C$2:$C$9999=$C$3)*Raw_Data_Daily!$D$2:$D$9999*Raw_Data_Daily!$E$2:$E$9999)/SUMIFS(Raw_Data_Daily!$D:$D, Raw_Data_Daily!$B:$B, "Variant", Raw_Data_Daily!$A:$A, $A13, Raw_Data_Daily!$C:$C, $C$3),""))</f>
        <v/>
      </c>
      <c r="G13" s="226" t="str">
        <f t="shared" si="2"/>
        <v/>
      </c>
      <c r="H13" s="228">
        <f>IF($A13="","",SUMIFS(Raw_Data_Daily!$F:$F, Raw_Data_Daily!$B:$B, "Control", Raw_Data_Daily!$A:$A, $A13, Raw_Data_Daily!$C:$C, $C$3))</f>
        <v>0</v>
      </c>
      <c r="I13" s="228">
        <f>IF($A13="","",SUMIFS(Raw_Data_Daily!$F:$F, Raw_Data_Daily!$B:$B, "Variant", Raw_Data_Daily!$A:$A, $A13, Raw_Data_Daily!$C:$C, $C$3))</f>
        <v>0</v>
      </c>
      <c r="J13" s="229" t="str">
        <f t="shared" si="3"/>
        <v/>
      </c>
      <c r="K13" s="230" t="str">
        <f>IF($A13="","",IFERROR(SUMIFS(Raw_Data_Daily!$F:$F, Raw_Data_Daily!$B:$B, "Control", Raw_Data_Daily!$A:$A, $A13, Raw_Data_Daily!$C:$C, $C$3)/SUMIFS(Raw_Data_Daily!$D:$D, Raw_Data_Daily!$B:$B, "Control", Raw_Data_Daily!$A:$A, $A13, Raw_Data_Daily!$C:$C, $C$3),""))</f>
        <v/>
      </c>
      <c r="L13" s="230" t="str">
        <f>IF($A13="","",IFERROR(SUMIFS(Raw_Data_Daily!$F:$F, Raw_Data_Daily!$B:$B, "Variant", Raw_Data_Daily!$A:$A, $A13, Raw_Data_Daily!$C:$C, $C$3)/SUMIFS(Raw_Data_Daily!$D:$D, Raw_Data_Daily!$B:$B, "Variant", Raw_Data_Daily!$A:$A, $A13, Raw_Data_Daily!$C:$C, $C$3),""))</f>
        <v/>
      </c>
      <c r="M13" s="229" t="str">
        <f t="shared" si="4"/>
        <v/>
      </c>
      <c r="N13" s="227" t="str">
        <f>IF($A13="","",IFERROR(SUMPRODUCT((Raw_Data_Daily!$B$2:$B$9999="Control")*(Raw_Data_Daily!$A$2:$A$9999=$A13)*(Raw_Data_Daily!$C$2:$C$9999=$C$3)*Raw_Data_Daily!$D$2:$D$9999*Raw_Data_Daily!$H$2:$H$9999/100)/SUMIFS(Raw_Data_Daily!$D:$D, Raw_Data_Daily!$B:$B, "Control", Raw_Data_Daily!$A:$A, $A13, Raw_Data_Daily!$C:$C, $C$3)*100,""))</f>
        <v/>
      </c>
      <c r="O13" s="227" t="str">
        <f>IF($A13="","",IFERROR(SUMPRODUCT((Raw_Data_Daily!$B$2:$B$9999="Variant")*(Raw_Data_Daily!$A$2:$A$9999=$A13)*(Raw_Data_Daily!$C$2:$C$9999=$C$3)*Raw_Data_Daily!$D$2:$D$9999*Raw_Data_Daily!$H$2:$H$9999/100)/SUMIFS(Raw_Data_Daily!$D:$D, Raw_Data_Daily!$B:$B, "Variant", Raw_Data_Daily!$A:$A, $A13, Raw_Data_Daily!$C:$C, $C$3)*100,""))</f>
        <v/>
      </c>
      <c r="P13" s="229" t="str">
        <f t="shared" si="5"/>
        <v/>
      </c>
      <c r="Q13" s="230" t="str">
        <f>IF($A13="","",IFERROR(SUMIFS(Raw_Data_Daily!$F:$F, Raw_Data_Daily!$B:$B, "Control", Raw_Data_Daily!$A:$A, $A13, Raw_Data_Daily!$C:$C, $C$3)/SUMPRODUCT((Raw_Data_Daily!$B$2:$B$9999="Control")*(Raw_Data_Daily!$A$2:$A$9999=$A13)*(Raw_Data_Daily!$C$2:$C$9999=$C$3)*Raw_Data_Daily!$D$2:$D$9999*Raw_Data_Daily!$H$2:$H$9999/100),""))</f>
        <v/>
      </c>
      <c r="R13" s="230" t="str">
        <f>IF($A13="","",IFERROR(SUMIFS(Raw_Data_Daily!$F:$F, Raw_Data_Daily!$B:$B, "Variant", Raw_Data_Daily!$A:$A, $A13, Raw_Data_Daily!$C:$C, $C$3)/SUMPRODUCT((Raw_Data_Daily!$B$2:$B$9999="Variant")*(Raw_Data_Daily!$A$2:$A$9999=$A13)*(Raw_Data_Daily!$C$2:$C$9999=$C$3)*Raw_Data_Daily!$D$2:$D$9999*Raw_Data_Daily!$H$2:$H$9999/100),""))</f>
        <v/>
      </c>
      <c r="S13" s="229" t="str">
        <f t="shared" si="6"/>
        <v/>
      </c>
      <c r="T13" s="231" t="str">
        <f>IF($A13="","",IFERROR(SUMPRODUCT((Raw_Data_Daily!$B$2:$B$9999="Control")*(Raw_Data_Daily!$A$2:$A$9999=$A13)*(Raw_Data_Daily!$C$2:$C$9999=$C$3)*Raw_Data_Daily!$D$2:$D$9999*Raw_Data_Daily!$J$2:$J$9999)/SUMIFS(Raw_Data_Daily!$D:$D, Raw_Data_Daily!$B:$B, "Control", Raw_Data_Daily!$A:$A, $A13, Raw_Data_Daily!$C:$C, $C$3),""))</f>
        <v/>
      </c>
      <c r="U13" s="231" t="str">
        <f>IF($A13="","",IFERROR(SUMPRODUCT((Raw_Data_Daily!$B$2:$B$9999="Variant")*(Raw_Data_Daily!$A$2:$A$9999=$A13)*(Raw_Data_Daily!$C$2:$C$9999=$C$3)*Raw_Data_Daily!$D$2:$D$9999*Raw_Data_Daily!$J$2:$J$9999)/SUMIFS(Raw_Data_Daily!$D:$D, Raw_Data_Daily!$B:$B, "Variant", Raw_Data_Daily!$A:$A, $A13, Raw_Data_Daily!$C:$C, $C$3),""))</f>
        <v/>
      </c>
      <c r="V13" s="229" t="str">
        <f t="shared" si="7"/>
        <v/>
      </c>
      <c r="W13" s="231" t="str">
        <f>IF($A13="","",IFERROR(SUMPRODUCT((Raw_Data_Daily!$B$2:$B$9999="Control")*(Raw_Data_Daily!$A$2:$A$9999=$A13)*(Raw_Data_Daily!$C$2:$C$9999=$C$3)*Raw_Data_Daily!$D$2:$D$9999*Raw_Data_Daily!$K$2:$K$9999)/SUMIFS(Raw_Data_Daily!$D:$D, Raw_Data_Daily!$B:$B, "Control", Raw_Data_Daily!$A:$A, $A13, Raw_Data_Daily!$C:$C, $C$3),""))</f>
        <v/>
      </c>
      <c r="X13" s="231" t="str">
        <f>IF($A13="","",IFERROR(SUMPRODUCT((Raw_Data_Daily!$B$2:$B$9999="Variant")*(Raw_Data_Daily!$A$2:$A$9999=$A13)*(Raw_Data_Daily!$C$2:$C$9999=$C$3)*Raw_Data_Daily!$D$2:$D$9999*Raw_Data_Daily!$K$2:$K$9999)/SUMIFS(Raw_Data_Daily!$D:$D, Raw_Data_Daily!$B:$B, "Variant", Raw_Data_Daily!$A:$A, $A13, Raw_Data_Daily!$C:$C, $C$3),""))</f>
        <v/>
      </c>
      <c r="Y13" s="229" t="str">
        <f t="shared" si="8"/>
        <v/>
      </c>
      <c r="Z13" s="231" t="str">
        <f>IF($A13="","",IFERROR(SUMPRODUCT((Raw_Data_Daily!$B$2:$B$9999="Control")*(Raw_Data_Daily!$A$2:$A$9999=$A13)*(Raw_Data_Daily!$C$2:$C$9999=$C$3)*Raw_Data_Daily!$D$2:$D$9999*Raw_Data_Daily!$L$2:$L$9999)/SUMIFS(Raw_Data_Daily!$D:$D, Raw_Data_Daily!$B:$B, "Control", Raw_Data_Daily!$A:$A, $A13, Raw_Data_Daily!$C:$C, $C$3),""))</f>
        <v/>
      </c>
      <c r="AA13" s="231" t="str">
        <f>IF($A13="","",IFERROR(SUMPRODUCT((Raw_Data_Daily!$B$2:$B$9999="Variant")*(Raw_Data_Daily!$A$2:$A$9999=$A13)*(Raw_Data_Daily!$C$2:$C$9999=$C$3)*Raw_Data_Daily!$D$2:$D$9999*Raw_Data_Daily!$L$2:$L$9999)/SUMIFS(Raw_Data_Daily!$D:$D, Raw_Data_Daily!$B:$B, "Variant", Raw_Data_Daily!$A:$A, $A13, Raw_Data_Daily!$C:$C, $C$3),""))</f>
        <v/>
      </c>
      <c r="AB13" s="229" t="str">
        <f t="shared" si="9"/>
        <v/>
      </c>
      <c r="AC13" s="232" t="str">
        <f>IF($A13="","",IFERROR(SUMPRODUCT((Raw_Data_Daily!$B$2:$B$9999="Control")*(Raw_Data_Daily!$A$2:$A$9999=$A13)*(Raw_Data_Daily!$C$2:$C$9999=$C$3)*Raw_Data_Daily!$D$2:$D$9999*Raw_Data_Daily!$M$2:$M$9999)/SUMIFS(Raw_Data_Daily!$D:$D, Raw_Data_Daily!$B:$B, "Control", Raw_Data_Daily!$A:$A, $A13, Raw_Data_Daily!$C:$C, $C$3),""))</f>
        <v/>
      </c>
      <c r="AD13" s="232" t="str">
        <f>IF($A13="","",IFERROR(SUMPRODUCT((Raw_Data_Daily!$B$2:$B$9999="Variant")*(Raw_Data_Daily!$A$2:$A$9999=$A13)*(Raw_Data_Daily!$C$2:$C$9999=$C$3)*Raw_Data_Daily!$D$2:$D$9999*Raw_Data_Daily!$M$2:$M$9999)/SUMIFS(Raw_Data_Daily!$D:$D, Raw_Data_Daily!$B:$B, "Variant", Raw_Data_Daily!$A:$A, $A13, Raw_Data_Daily!$C:$C, $C$3),""))</f>
        <v/>
      </c>
      <c r="AE13" s="233" t="str">
        <f t="shared" si="10"/>
        <v/>
      </c>
      <c r="AF13" s="232" t="str">
        <f>IF($A13="","",IFERROR(SUMPRODUCT((Raw_Data_Daily!$B$2:$B$9999="Control")*(Raw_Data_Daily!$A$2:$A$9999=$A13)*(Raw_Data_Daily!$C$2:$C$9999=$C$3)*Raw_Data_Daily!$D$2:$D$9999*Raw_Data_Daily!$N$2:$N$9999)/SUMIFS(Raw_Data_Daily!$D:$D, Raw_Data_Daily!$B:$B, "Control", Raw_Data_Daily!$A:$A, $A13, Raw_Data_Daily!$C:$C, $C$3),""))</f>
        <v/>
      </c>
      <c r="AG13" s="232" t="str">
        <f>IF($A13="","",IFERROR(SUMPRODUCT((Raw_Data_Daily!$B$2:$B$9999="Variant")*(Raw_Data_Daily!$A$2:$A$9999=$A13)*(Raw_Data_Daily!$C$2:$C$9999=$C$3)*Raw_Data_Daily!$D$2:$D$9999*Raw_Data_Daily!$N$2:$N$9999)/SUMIFS(Raw_Data_Daily!$D:$D, Raw_Data_Daily!$B:$B, "Variant", Raw_Data_Daily!$A:$A, $A13, Raw_Data_Daily!$C:$C, $C$3),""))</f>
        <v/>
      </c>
      <c r="AH13" s="233" t="str">
        <f t="shared" si="11"/>
        <v/>
      </c>
      <c r="AI13" s="232" t="str">
        <f>IF($A13="","",IFERROR(SUMPRODUCT((Raw_Data_Daily!$B$2:$B$9999="Control")*(Raw_Data_Daily!$A$2:$A$9999=$A13)*(Raw_Data_Daily!$C$2:$C$9999=$C$3)*Raw_Data_Daily!$D$2:$D$9999*Raw_Data_Daily!$O$2:$O$9999)/SUMIFS(Raw_Data_Daily!$D:$D, Raw_Data_Daily!$B:$B, "Control", Raw_Data_Daily!$A:$A, $A13, Raw_Data_Daily!$C:$C, $C$3),""))</f>
        <v/>
      </c>
      <c r="AJ13" s="232" t="str">
        <f>IF($A13="","",IFERROR(SUMPRODUCT((Raw_Data_Daily!$B$2:$B$9999="Variant")*(Raw_Data_Daily!$A$2:$A$9999=$A13)*(Raw_Data_Daily!$C$2:$C$9999=$C$3)*Raw_Data_Daily!$D$2:$D$9999*Raw_Data_Daily!$O$2:$O$9999)/SUMIFS(Raw_Data_Daily!$D:$D, Raw_Data_Daily!$B:$B, "Variant", Raw_Data_Daily!$A:$A, $A13, Raw_Data_Daily!$C:$C, $C$3),""))</f>
        <v/>
      </c>
      <c r="AK13" s="229" t="str">
        <f t="shared" si="12"/>
        <v/>
      </c>
      <c r="AL13" s="231" t="str">
        <f>IF($A13="","",IFERROR(SUMPRODUCT((Raw_Data_Daily!$B$2:$B$9999="Control")*(Raw_Data_Daily!$A$2:$A$9999=$A13)*(Raw_Data_Daily!$C$2:$C$9999=$C$3)*Raw_Data_Daily!$D$2:$D$9999*Raw_Data_Daily!$P$2:$P$9999)/SUMIFS(Raw_Data_Daily!$D:$D, Raw_Data_Daily!$B:$B, "Control", Raw_Data_Daily!$A:$A, $A13, Raw_Data_Daily!$C:$C, $C$3),""))</f>
        <v/>
      </c>
      <c r="AM13" s="231" t="str">
        <f>IF($A13="","",IFERROR(SUMPRODUCT((Raw_Data_Daily!$B$2:$B$9999="Variant")*(Raw_Data_Daily!$A$2:$A$9999=$A13)*(Raw_Data_Daily!$C$2:$C$9999=$C$3)*Raw_Data_Daily!$D$2:$D$9999*Raw_Data_Daily!$P$2:$P$9999)/SUMIFS(Raw_Data_Daily!$D:$D, Raw_Data_Daily!$B:$B, "Variant", Raw_Data_Daily!$A:$A, $A13, Raw_Data_Daily!$C:$C, $C$3),""))</f>
        <v/>
      </c>
      <c r="AN13" s="229" t="str">
        <f t="shared" si="13"/>
        <v/>
      </c>
      <c r="AO13" s="231" t="str">
        <f>IF($A13="","",IFERROR(SUMPRODUCT((Raw_Data_Daily!$B$2:$B$9999="Control")*(Raw_Data_Daily!$A$2:$A$9999=$A13)*(Raw_Data_Daily!$C$2:$C$9999=$C$3)*Raw_Data_Daily!$D$2:$D$9999*Raw_Data_Daily!$Q$2:$Q$9999)/SUMIFS(Raw_Data_Daily!$D:$D, Raw_Data_Daily!$B:$B, "Control", Raw_Data_Daily!$A:$A, $A13, Raw_Data_Daily!$C:$C, $C$3),""))</f>
        <v/>
      </c>
      <c r="AP13" s="231" t="str">
        <f>IF($A13="","",IFERROR(SUMPRODUCT((Raw_Data_Daily!$B$2:$B$9999="Variant")*(Raw_Data_Daily!$A$2:$A$9999=$A13)*(Raw_Data_Daily!$C$2:$C$9999=$C$3)*Raw_Data_Daily!$D$2:$D$9999*Raw_Data_Daily!$Q$2:$Q$9999)/SUMIFS(Raw_Data_Daily!$D:$D, Raw_Data_Daily!$B:$B, "Variant", Raw_Data_Daily!$A:$A, $A13, Raw_Data_Daily!$C:$C, $C$3),""))</f>
        <v/>
      </c>
      <c r="AQ13" s="226" t="str">
        <f t="shared" si="14"/>
        <v/>
      </c>
      <c r="AR13" s="231" t="str">
        <f>IF($A13="","",IFERROR(SUMPRODUCT((Raw_Data_Daily!$B$2:$B$9999="Control")*(Raw_Data_Daily!$A$2:$A$9999=$A13)*(Raw_Data_Daily!$C$2:$C$9999=$C$3)*Raw_Data_Daily!$D$2:$D$9999*Raw_Data_Daily!$R$2:$R$9999)/SUMIFS(Raw_Data_Daily!$D:$D, Raw_Data_Daily!$B:$B, "Control", Raw_Data_Daily!$A:$A, $A13, Raw_Data_Daily!$C:$C, $C$3),""))</f>
        <v/>
      </c>
      <c r="AS13" s="231" t="str">
        <f>IF($A13="","",IFERROR(SUMPRODUCT((Raw_Data_Daily!$B$2:$B$9999="Variant")*(Raw_Data_Daily!$A$2:$A$9999=$A13)*(Raw_Data_Daily!$C$2:$C$9999=$C$3)*Raw_Data_Daily!$D$2:$D$9999*Raw_Data_Daily!$R$2:$R$9999)/SUMIFS(Raw_Data_Daily!$D:$D, Raw_Data_Daily!$B:$B, "Variant", Raw_Data_Daily!$A:$A, $A13, Raw_Data_Daily!$C:$C, $C$3),""))</f>
        <v/>
      </c>
      <c r="AT13" s="226" t="str">
        <f t="shared" si="15"/>
        <v/>
      </c>
      <c r="AU13" s="231" t="str">
        <f>IF($A13="","",IFERROR(SUMPRODUCT((Raw_Data_Daily!$B$2:$B$9999="Control")*(Raw_Data_Daily!$A$2:$A$9999=$A13)*(Raw_Data_Daily!$C$2:$C$9999=$C$3)*Raw_Data_Daily!$D$2:$D$9999*Raw_Data_Daily!$S$2:$S$9999)/SUMIFS(Raw_Data_Daily!$D:$D, Raw_Data_Daily!$B:$B, "Control", Raw_Data_Daily!$A:$A, $A13, Raw_Data_Daily!$C:$C, $C$3),""))</f>
        <v/>
      </c>
      <c r="AV13" s="231" t="str">
        <f>IF($A13="","",IFERROR(SUMPRODUCT((Raw_Data_Daily!$B$2:$B$9999="Variant")*(Raw_Data_Daily!$A$2:$A$9999=$A13)*(Raw_Data_Daily!$C$2:$C$9999=$C$3)*Raw_Data_Daily!$D$2:$D$9999*Raw_Data_Daily!$S$2:$S$9999)/SUMIFS(Raw_Data_Daily!$D:$D, Raw_Data_Daily!$B:$B, "Variant", Raw_Data_Daily!$A:$A, $A13, Raw_Data_Daily!$C:$C, $C$3),""))</f>
        <v/>
      </c>
      <c r="AW13" s="226" t="str">
        <f t="shared" si="16"/>
        <v/>
      </c>
      <c r="AX13" s="231" t="str">
        <f>IF($A13="","",IFERROR(SUMPRODUCT((Raw_Data_Daily!$B$2:$B$9999="Control")*(Raw_Data_Daily!$A$2:$A$9999=$A13)*(Raw_Data_Daily!$C$2:$C$9999=$C$3)*Raw_Data_Daily!$D$2:$D$9999*Raw_Data_Daily!$T$2:$T$9999)/SUMIFS(Raw_Data_Daily!$D:$D, Raw_Data_Daily!$B:$B, "Control", Raw_Data_Daily!$A:$A, $A13, Raw_Data_Daily!$C:$C, $C$3),""))</f>
        <v/>
      </c>
      <c r="AY13" s="231" t="str">
        <f>IF($A13="","",IFERROR(SUMPRODUCT((Raw_Data_Daily!$B$2:$B$9999="Variant")*(Raw_Data_Daily!$A$2:$A$9999=$A13)*(Raw_Data_Daily!$C$2:$C$9999=$C$3)*Raw_Data_Daily!$D$2:$D$9999*Raw_Data_Daily!$T$2:$T$9999)/SUMIFS(Raw_Data_Daily!$D:$D, Raw_Data_Daily!$B:$B, "Variant", Raw_Data_Daily!$A:$A, $A13, Raw_Data_Daily!$C:$C, $C$3),""))</f>
        <v/>
      </c>
      <c r="AZ13" s="229" t="str">
        <f t="shared" si="17"/>
        <v/>
      </c>
      <c r="BA13" s="231" t="str">
        <f>IF($A13="","",IFERROR(SUMPRODUCT((Raw_Data_Daily!$B$2:$B$9999="Control")*(Raw_Data_Daily!$A$2:$A$9999=$A13)*(Raw_Data_Daily!$C$2:$C$9999=$C$3)*Raw_Data_Daily!$D$2:$D$9999*Raw_Data_Daily!$U$2:$U$9999)/SUMIFS(Raw_Data_Daily!$D:$D, Raw_Data_Daily!$B:$B, "Control", Raw_Data_Daily!$A:$A, $A13, Raw_Data_Daily!$C:$C, $C$3),""))</f>
        <v/>
      </c>
      <c r="BB13" s="231" t="str">
        <f>IF($A13="","",IFERROR(SUMPRODUCT((Raw_Data_Daily!$B$2:$B$9999="Variant")*(Raw_Data_Daily!$A$2:$A$9999=$A13)*(Raw_Data_Daily!$C$2:$C$9999=$C$3)*Raw_Data_Daily!$D$2:$D$9999*Raw_Data_Daily!$U$2:$U$9999)/SUMIFS(Raw_Data_Daily!$D:$D, Raw_Data_Daily!$B:$B, "Variant", Raw_Data_Daily!$A:$A, $A13, Raw_Data_Daily!$C:$C, $C$3),""))</f>
        <v/>
      </c>
      <c r="BC13" s="226" t="str">
        <f t="shared" si="18"/>
        <v/>
      </c>
      <c r="BD13" s="231" t="str">
        <f>IF($A13="","",IFERROR(SUMPRODUCT((Raw_Data_Daily!$B$2:$B$9999="Control")*(Raw_Data_Daily!$A$2:$A$9999=$A13)*(Raw_Data_Daily!$C$2:$C$9999=$C$3)*Raw_Data_Daily!$D$2:$D$9999*Raw_Data_Daily!$V$2:$V$9999)/SUMIFS(Raw_Data_Daily!$D:$D, Raw_Data_Daily!$B:$B, "Control", Raw_Data_Daily!$A:$A, $A13, Raw_Data_Daily!$C:$C, $C$3),""))</f>
        <v/>
      </c>
      <c r="BE13" s="231" t="str">
        <f>IF($A13="","",IFERROR(SUMPRODUCT((Raw_Data_Daily!$B$2:$B$9999="Variant")*(Raw_Data_Daily!$A$2:$A$9999=$A13)*(Raw_Data_Daily!$C$2:$C$9999=$C$3)*Raw_Data_Daily!$D$2:$D$9999*Raw_Data_Daily!$V$2:$V$9999)/SUMIFS(Raw_Data_Daily!$D:$D, Raw_Data_Daily!$B:$B, "Variant", Raw_Data_Daily!$A:$A, $A13, Raw_Data_Daily!$C:$C, $C$3),""))</f>
        <v/>
      </c>
      <c r="BF13" s="226" t="str">
        <f t="shared" si="19"/>
        <v/>
      </c>
      <c r="BG13" s="231" t="str">
        <f>IF($A13="","",IFERROR(SUMPRODUCT((Raw_Data_Daily!$B$2:$B$9999="Control")*(Raw_Data_Daily!$A$2:$A$9999=$A13)*(Raw_Data_Daily!$C$2:$C$9999=$C$3)*Raw_Data_Daily!$D$2:$D$9999*(Raw_Data_Daily!$Q$2:$Q$9999-Raw_Data_Daily!$V$2:$V$9999))/SUMIFS(Raw_Data_Daily!$D:$D, Raw_Data_Daily!$B:$B, "Control", Raw_Data_Daily!$A:$A, $A13, Raw_Data_Daily!$C:$C, $C$3),""))</f>
        <v/>
      </c>
      <c r="BH13" s="231" t="str">
        <f>IF($A13="","",IFERROR(SUMPRODUCT((Raw_Data_Daily!$B$2:$B$9999="Variant")*(Raw_Data_Daily!$A$2:$A$9999=$A13)*(Raw_Data_Daily!$C$2:$C$9999=$C$3)*Raw_Data_Daily!$D$2:$D$9999*(Raw_Data_Daily!$Q$2:$Q$9999-Raw_Data_Daily!$V$2:$V$9999))/SUMIFS(Raw_Data_Daily!$D:$D, Raw_Data_Daily!$B:$B, "Variant", Raw_Data_Daily!$A:$A, $A13, Raw_Data_Daily!$C:$C, $C$3),""))</f>
        <v/>
      </c>
      <c r="BI13" s="226" t="str">
        <f t="shared" si="20"/>
        <v/>
      </c>
      <c r="BJ13" s="231" t="str">
        <f>IF($A13="","",IFERROR(SUMPRODUCT((Raw_Data_Daily!$B$2:$B$9999="Control")*(Raw_Data_Daily!$A$2:$A$9999=$A13)*(Raw_Data_Daily!$C$2:$C$9999=$C$3)*Raw_Data_Daily!$D$2:$D$9999*Raw_Data_Daily!$W$2:$W$9999)/SUMIFS(Raw_Data_Daily!$D:$D, Raw_Data_Daily!$B:$B, "Control", Raw_Data_Daily!$A:$A, $A13, Raw_Data_Daily!$C:$C, $C$3),""))</f>
        <v/>
      </c>
      <c r="BK13" s="231" t="str">
        <f>IF($A13="","",IFERROR(SUMPRODUCT((Raw_Data_Daily!$B$2:$B$9999="Variant")*(Raw_Data_Daily!$A$2:$A$9999=$A13)*(Raw_Data_Daily!$C$2:$C$9999=$C$3)*Raw_Data_Daily!$D$2:$D$9999*Raw_Data_Daily!$W$2:$W$9999)/SUMIFS(Raw_Data_Daily!$D:$D, Raw_Data_Daily!$B:$B, "Variant", Raw_Data_Daily!$A:$A, $A13, Raw_Data_Daily!$C:$C, $C$3),""))</f>
        <v/>
      </c>
      <c r="BL13" s="226" t="str">
        <f t="shared" si="21"/>
        <v/>
      </c>
      <c r="BM13" s="232" t="str">
        <f>IF($A13="","",IFERROR(SUMPRODUCT((Raw_Data_Daily!$B$2:$B$9999="Control")*(Raw_Data_Daily!$A$2:$A$9999=$A13)*(Raw_Data_Daily!$C$2:$C$9999=$C$3)*Raw_Data_Daily!$D$2:$D$9999*Raw_Data_Daily!$X$2:$X$9999)/SUMIFS(Raw_Data_Daily!$D:$D, Raw_Data_Daily!$B:$B, "Control", Raw_Data_Daily!$A:$A, $A13, Raw_Data_Daily!$C:$C, $C$3),""))</f>
        <v/>
      </c>
      <c r="BN13" s="232" t="str">
        <f>IF($A13="","",IFERROR(SUMPRODUCT((Raw_Data_Daily!$B$2:$B$9999="Variant")*(Raw_Data_Daily!$A$2:$A$9999=$A13)*(Raw_Data_Daily!$C$2:$C$9999=$C$3)*Raw_Data_Daily!$D$2:$D$9999*Raw_Data_Daily!$X$2:$X$9999)/SUMIFS(Raw_Data_Daily!$D:$D, Raw_Data_Daily!$B:$B, "Variant", Raw_Data_Daily!$A:$A, $A13, Raw_Data_Daily!$C:$C, $C$3),""))</f>
        <v/>
      </c>
      <c r="BO13" s="229" t="str">
        <f t="shared" si="22"/>
        <v/>
      </c>
      <c r="BP13" s="225" t="str">
        <f>IF($A13="","",IFERROR(SUMPRODUCT((Raw_Data_Daily!$B$2:$B$9999="Control")*(Raw_Data_Daily!$A$2:$A$9999=$A13)*(Raw_Data_Daily!$C$2:$C$9999=$C$3)*Raw_Data_Daily!$D$2:$D$9999*Raw_Data_Daily!$Y$2:$Y$9999)/SUMIFS(Raw_Data_Daily!$D:$D, Raw_Data_Daily!$B:$B, "Control", Raw_Data_Daily!$A:$A, $A13, Raw_Data_Daily!$C:$C, $C$3),""))</f>
        <v/>
      </c>
      <c r="BQ13" s="225" t="str">
        <f>IF($A13="","",IFERROR(SUMPRODUCT((Raw_Data_Daily!$B$2:$B$9999="Variant")*(Raw_Data_Daily!$A$2:$A$9999=$A13)*(Raw_Data_Daily!$C$2:$C$9999=$C$3)*Raw_Data_Daily!$D$2:$D$9999*Raw_Data_Daily!$Y$2:$Y$9999)/SUMIFS(Raw_Data_Daily!$D:$D, Raw_Data_Daily!$B:$B, "Variant", Raw_Data_Daily!$A:$A, $A13, Raw_Data_Daily!$C:$C, $C$3),""))</f>
        <v/>
      </c>
      <c r="BR13" s="226" t="str">
        <f t="shared" si="23"/>
        <v/>
      </c>
      <c r="BS13" s="225" t="str">
        <f>IF($A13="","",IFERROR(SUMPRODUCT((Raw_Data_Daily!$B$2:$B$9999="Control")*(Raw_Data_Daily!$A$2:$A$9999=$A13)*(Raw_Data_Daily!$C$2:$C$9999=$C$3)*Raw_Data_Daily!$D$2:$D$9999*Raw_Data_Daily!$Z$2:$Z$9999)/SUMIFS(Raw_Data_Daily!$D:$D, Raw_Data_Daily!$B:$B, "Control", Raw_Data_Daily!$A:$A, $A13, Raw_Data_Daily!$C:$C, $C$3),""))</f>
        <v/>
      </c>
      <c r="BT13" s="225" t="str">
        <f>IF($A13="","",IFERROR(SUMPRODUCT((Raw_Data_Daily!$B$2:$B$9999="Variant")*(Raw_Data_Daily!$A$2:$A$9999=$A13)*(Raw_Data_Daily!$C$2:$C$9999=$C$3)*Raw_Data_Daily!$D$2:$D$9999*Raw_Data_Daily!$Z$2:$Z$9999)/SUMIFS(Raw_Data_Daily!$D:$D, Raw_Data_Daily!$B:$B, "Variant", Raw_Data_Daily!$A:$A, $A13, Raw_Data_Daily!$C:$C, $C$3),""))</f>
        <v/>
      </c>
      <c r="BU13" s="226" t="str">
        <f t="shared" si="24"/>
        <v/>
      </c>
      <c r="BV13" s="225" t="str">
        <f>IF($A13="","",IFERROR(SUMPRODUCT((Raw_Data_Daily!$B$2:$B$9999="Control")*(Raw_Data_Daily!$A$2:$A$9999=$A13)*(Raw_Data_Daily!$C$2:$C$9999=$C$3)*Raw_Data_Daily!$D$2:$D$9999*Raw_Data_Daily!$AA$2:$AA$9999)/SUMIFS(Raw_Data_Daily!$D:$D, Raw_Data_Daily!$B:$B, "Control", Raw_Data_Daily!$A:$A, $A13, Raw_Data_Daily!$C:$C, $C$3),""))</f>
        <v/>
      </c>
      <c r="BW13" s="225" t="str">
        <f>IF($A13="","",IFERROR(SUMPRODUCT((Raw_Data_Daily!$B$2:$B$9999="Variant")*(Raw_Data_Daily!$A$2:$A$9999=$A13)*(Raw_Data_Daily!$C$2:$C$9999=$C$3)*Raw_Data_Daily!$D$2:$D$9999*Raw_Data_Daily!$AA$2:$AA$9999)/SUMIFS(Raw_Data_Daily!$D:$D, Raw_Data_Daily!$B:$B, "Variant", Raw_Data_Daily!$A:$A, $A13, Raw_Data_Daily!$C:$C, $C$3),""))</f>
        <v/>
      </c>
      <c r="BX13" s="226" t="str">
        <f t="shared" si="25"/>
        <v/>
      </c>
      <c r="BY13" s="231" t="str">
        <f>IF($A13="","",IFERROR(SUMPRODUCT((Raw_Data_Daily!$B$2:$B$9999="Control")*(Raw_Data_Daily!$A$2:$A$9999=$A13)*(Raw_Data_Daily!$C$2:$C$9999=$C$3)*Raw_Data_Daily!$D$2:$D$9999*Raw_Data_Daily!$AB$2:$AB$9999)/SUMIFS(Raw_Data_Daily!$D:$D, Raw_Data_Daily!$B:$B, "Control", Raw_Data_Daily!$A:$A, $A13, Raw_Data_Daily!$C:$C, $C$3),""))</f>
        <v/>
      </c>
      <c r="BZ13" s="231" t="str">
        <f>IF($A13="","",IFERROR(SUMPRODUCT((Raw_Data_Daily!$B$2:$B$9999="Variant")*(Raw_Data_Daily!$A$2:$A$9999=$A13)*(Raw_Data_Daily!$C$2:$C$9999=$C$3)*Raw_Data_Daily!$D$2:$D$9999*Raw_Data_Daily!$AB$2:$AB$9999)/SUMIFS(Raw_Data_Daily!$D:$D, Raw_Data_Daily!$B:$B, "Variant", Raw_Data_Daily!$A:$A, $A13, Raw_Data_Daily!$C:$C, $C$3),""))</f>
        <v/>
      </c>
      <c r="CA13" s="229" t="str">
        <f t="shared" si="26"/>
        <v/>
      </c>
      <c r="CB13" s="231" t="str">
        <f>IF($A13="","",IFERROR(SUMPRODUCT((Raw_Data_Daily!$B$2:$B$9999="Control")*(Raw_Data_Daily!$A$2:$A$9999=$A13)*(Raw_Data_Daily!$C$2:$C$9999=$C$3)*Raw_Data_Daily!$D$2:$D$9999*Raw_Data_Daily!$AC$2:$AC$9999)/SUMIFS(Raw_Data_Daily!$D:$D, Raw_Data_Daily!$B:$B, "Control", Raw_Data_Daily!$A:$A, $A13, Raw_Data_Daily!$C:$C, $C$3),""))</f>
        <v/>
      </c>
      <c r="CC13" s="231" t="str">
        <f>IF($A13="","",IFERROR(SUMPRODUCT((Raw_Data_Daily!$B$2:$B$9999="Variant")*(Raw_Data_Daily!$A$2:$A$9999=$A13)*(Raw_Data_Daily!$C$2:$C$9999=$C$3)*Raw_Data_Daily!$D$2:$D$9999*Raw_Data_Daily!$AC$2:$AC$9999)/SUMIFS(Raw_Data_Daily!$D:$D, Raw_Data_Daily!$B:$B, "Variant", Raw_Data_Daily!$A:$A, $A13, Raw_Data_Daily!$C:$C, $C$3),""))</f>
        <v/>
      </c>
      <c r="CD13" s="229" t="str">
        <f t="shared" si="27"/>
        <v/>
      </c>
      <c r="CE13" s="231" t="str">
        <f>IF($A13="","",IFERROR(SUMPRODUCT((Raw_Data_Daily!$B$2:$B$9999="Control")*(Raw_Data_Daily!$A$2:$A$9999=$A13)*(Raw_Data_Daily!$C$2:$C$9999=$C$3)*Raw_Data_Daily!$D$2:$D$9999*Raw_Data_Daily!$AD$2:$AD$9999)/SUMIFS(Raw_Data_Daily!$D:$D, Raw_Data_Daily!$B:$B, "Control", Raw_Data_Daily!$A:$A, $A13, Raw_Data_Daily!$C:$C, $C$3),""))</f>
        <v/>
      </c>
      <c r="CF13" s="231" t="str">
        <f>IF($A13="","",IFERROR(SUMPRODUCT((Raw_Data_Daily!$B$2:$B$9999="Variant")*(Raw_Data_Daily!$A$2:$A$9999=$A13)*(Raw_Data_Daily!$C$2:$C$9999=$C$3)*Raw_Data_Daily!$D$2:$D$9999*Raw_Data_Daily!$AD$2:$AD$9999)/SUMIFS(Raw_Data_Daily!$D:$D, Raw_Data_Daily!$B:$B, "Variant", Raw_Data_Daily!$A:$A, $A13, Raw_Data_Daily!$C:$C, $C$3),""))</f>
        <v/>
      </c>
      <c r="CG13" s="229" t="str">
        <f t="shared" si="28"/>
        <v/>
      </c>
      <c r="CH13" s="231" t="str">
        <f>IF($A13="","",IFERROR(SUMPRODUCT((Raw_Data_Daily!$B$2:$B$9999="Control")*(Raw_Data_Daily!$A$2:$A$9999=$A13)*(Raw_Data_Daily!$C$2:$C$9999=$C$3)*Raw_Data_Daily!$D$2:$D$9999*Raw_Data_Daily!$AE$2:$AE$9999)/SUMIFS(Raw_Data_Daily!$D:$D, Raw_Data_Daily!$B:$B, "Control", Raw_Data_Daily!$A:$A, $A13, Raw_Data_Daily!$C:$C, $C$3),""))</f>
        <v/>
      </c>
      <c r="CI13" s="231" t="str">
        <f>IF($A13="","",IFERROR(SUMPRODUCT((Raw_Data_Daily!$B$2:$B$9999="Variant")*(Raw_Data_Daily!$A$2:$A$9999=$A13)*(Raw_Data_Daily!$C$2:$C$9999=$C$3)*Raw_Data_Daily!$D$2:$D$9999*Raw_Data_Daily!$AE$2:$AE$9999)/SUMIFS(Raw_Data_Daily!$D:$D, Raw_Data_Daily!$B:$B, "Variant", Raw_Data_Daily!$A:$A, $A13, Raw_Data_Daily!$C:$C, $C$3),""))</f>
        <v/>
      </c>
      <c r="CJ13" s="229" t="str">
        <f t="shared" si="29"/>
        <v/>
      </c>
      <c r="CK13" s="231" t="str">
        <f>IF($A13="","",IFERROR(SUMPRODUCT((Raw_Data_Daily!$B$2:$B$9999="Control")*(Raw_Data_Daily!$A$2:$A$9999=$A13)*(Raw_Data_Daily!$C$2:$C$9999=$C$3)*Raw_Data_Daily!$D$2:$D$9999*Raw_Data_Daily!$AF$2:$AF$9999)/SUMIFS(Raw_Data_Daily!$D:$D, Raw_Data_Daily!$B:$B, "Control", Raw_Data_Daily!$A:$A, $A13, Raw_Data_Daily!$C:$C, $C$3),""))</f>
        <v/>
      </c>
      <c r="CL13" s="231" t="str">
        <f>IF($A13="","",IFERROR(SUMPRODUCT((Raw_Data_Daily!$B$2:$B$9999="Variant")*(Raw_Data_Daily!$A$2:$A$9999=$A13)*(Raw_Data_Daily!$C$2:$C$9999=$C$3)*Raw_Data_Daily!$D$2:$D$9999*Raw_Data_Daily!$AF$2:$AF$9999)/SUMIFS(Raw_Data_Daily!$D:$D, Raw_Data_Daily!$B:$B, "Variant", Raw_Data_Daily!$A:$A, $A13, Raw_Data_Daily!$C:$C, $C$3),""))</f>
        <v/>
      </c>
      <c r="CM13" s="229" t="str">
        <f t="shared" si="30"/>
        <v/>
      </c>
      <c r="CN13" s="231" t="str">
        <f>IF($A13="","",IFERROR(SUMPRODUCT((Raw_Data_Daily!$B$2:$B$9999="Control")*(Raw_Data_Daily!$A$2:$A$9999=$A13)*(Raw_Data_Daily!$C$2:$C$9999=$C$3)*Raw_Data_Daily!$D$2:$D$9999*Raw_Data_Daily!$AG$2:$AG$9999)/SUMIFS(Raw_Data_Daily!$D:$D, Raw_Data_Daily!$B:$B, "Control", Raw_Data_Daily!$A:$A, $A13, Raw_Data_Daily!$C:$C, $C$3),""))</f>
        <v/>
      </c>
      <c r="CO13" s="231" t="str">
        <f>IF($A13="","",IFERROR(SUMPRODUCT((Raw_Data_Daily!$B$2:$B$9999="Variant")*(Raw_Data_Daily!$A$2:$A$9999=$A13)*(Raw_Data_Daily!$C$2:$C$9999=$C$3)*Raw_Data_Daily!$D$2:$D$9999*Raw_Data_Daily!$AG$2:$AG$9999)/SUMIFS(Raw_Data_Daily!$D:$D, Raw_Data_Daily!$B:$B, "Variant", Raw_Data_Daily!$A:$A, $A13, Raw_Data_Daily!$C:$C, $C$3),""))</f>
        <v/>
      </c>
      <c r="CP13" s="229" t="str">
        <f t="shared" si="31"/>
        <v/>
      </c>
      <c r="CQ13" s="231" t="str">
        <f>IF($A13="","",IFERROR(SUMPRODUCT((Raw_Data_Daily!$B$2:$B$9999="Control")*(Raw_Data_Daily!$A$2:$A$9999=$A13)*(Raw_Data_Daily!$C$2:$C$9999=$C$3)*Raw_Data_Daily!$D$2:$D$9999*Raw_Data_Daily!$AH$2:$AH$9999)/SUMIFS(Raw_Data_Daily!$D:$D, Raw_Data_Daily!$B:$B, "Control", Raw_Data_Daily!$A:$A, $A13, Raw_Data_Daily!$C:$C, $C$3),""))</f>
        <v/>
      </c>
      <c r="CR13" s="231" t="str">
        <f>IF($A13="","",IFERROR(SUMPRODUCT((Raw_Data_Daily!$B$2:$B$9999="Variant")*(Raw_Data_Daily!$A$2:$A$9999=$A13)*(Raw_Data_Daily!$C$2:$C$9999=$C$3)*Raw_Data_Daily!$D$2:$D$9999*Raw_Data_Daily!$AH$2:$AH$9999)/SUMIFS(Raw_Data_Daily!$D:$D, Raw_Data_Daily!$B:$B, "Variant", Raw_Data_Daily!$A:$A, $A13, Raw_Data_Daily!$C:$C, $C$3),""))</f>
        <v/>
      </c>
      <c r="CS13" s="229" t="str">
        <f t="shared" si="32"/>
        <v/>
      </c>
      <c r="CT13" s="227" t="str">
        <f>IF($A13="","",IFERROR(SUMPRODUCT((Raw_Data_Daily!$B$2:$B$9999="Control")*(Raw_Data_Daily!$A$2:$A$9999=$A13)*(Raw_Data_Daily!$C$2:$C$9999=$C$3)*Raw_Data_Daily!$D$2:$D$9999*Raw_Data_Daily!$AI$2:$AI$9999)/SUMIFS(Raw_Data_Daily!$D:$D, Raw_Data_Daily!$B:$B, "Control", Raw_Data_Daily!$A:$A, $A13, Raw_Data_Daily!$C:$C, $C$3),""))</f>
        <v/>
      </c>
      <c r="CU13" s="227" t="str">
        <f>IF($A13="","",IFERROR(SUMPRODUCT((Raw_Data_Daily!$B$2:$B$9999="Variant")*(Raw_Data_Daily!$A$2:$A$9999=$A13)*(Raw_Data_Daily!$C$2:$C$9999=$C$3)*Raw_Data_Daily!$D$2:$D$9999*Raw_Data_Daily!$AI$2:$AI$9999)/SUMIFS(Raw_Data_Daily!$D:$D, Raw_Data_Daily!$B:$B, "Variant", Raw_Data_Daily!$A:$A, $A13, Raw_Data_Daily!$C:$C, $C$3),""))</f>
        <v/>
      </c>
      <c r="CV13" s="233" t="str">
        <f t="shared" si="33"/>
        <v/>
      </c>
      <c r="CW13" s="227" t="str">
        <f>IF($A13="","",IFERROR(SUMPRODUCT((Raw_Data_Daily!$B$2:$B$9999="Control")*(Raw_Data_Daily!$A$2:$A$9999=$A13)*(Raw_Data_Daily!$C$2:$C$9999=$C$3)*Raw_Data_Daily!$D$2:$D$9999*Raw_Data_Daily!$AJ$2:$AJ$9999)/SUMIFS(Raw_Data_Daily!$D:$D, Raw_Data_Daily!$B:$B, "Control", Raw_Data_Daily!$A:$A, $A13, Raw_Data_Daily!$C:$C, $C$3),""))</f>
        <v/>
      </c>
      <c r="CX13" s="227" t="str">
        <f>IF($A13="","",IFERROR(SUMPRODUCT((Raw_Data_Daily!$B$2:$B$9999="Variant")*(Raw_Data_Daily!$A$2:$A$9999=$A13)*(Raw_Data_Daily!$C$2:$C$9999=$C$3)*Raw_Data_Daily!$D$2:$D$9999*Raw_Data_Daily!$AJ$2:$AJ$9999)/SUMIFS(Raw_Data_Daily!$D:$D, Raw_Data_Daily!$B:$B, "Variant", Raw_Data_Daily!$A:$A, $A13, Raw_Data_Daily!$C:$C, $C$3),""))</f>
        <v/>
      </c>
      <c r="CY13" s="233" t="str">
        <f t="shared" si="34"/>
        <v/>
      </c>
      <c r="CZ13" s="227" t="str">
        <f>IF($A13="","",IFERROR(SUMPRODUCT((Raw_Data_Daily!$B$2:$B$9999="Control")*(Raw_Data_Daily!$A$2:$A$9999=$A13)*(Raw_Data_Daily!$C$2:$C$9999=$C$3)*Raw_Data_Daily!$D$2:$D$9999*Raw_Data_Daily!$AK$2:$AK$9999)/SUMIFS(Raw_Data_Daily!$D:$D, Raw_Data_Daily!$B:$B, "Control", Raw_Data_Daily!$A:$A, $A13, Raw_Data_Daily!$C:$C, $C$3),""))</f>
        <v/>
      </c>
      <c r="DA13" s="227" t="str">
        <f>IF($A13="","",IFERROR(SUMPRODUCT((Raw_Data_Daily!$B$2:$B$9999="Variant")*(Raw_Data_Daily!$A$2:$A$9999=$A13)*(Raw_Data_Daily!$C$2:$C$9999=$C$3)*Raw_Data_Daily!$D$2:$D$9999*Raw_Data_Daily!$AK$2:$AK$9999)/SUMIFS(Raw_Data_Daily!$D:$D, Raw_Data_Daily!$B:$B, "Variant", Raw_Data_Daily!$A:$A, $A13, Raw_Data_Daily!$C:$C, $C$3),""))</f>
        <v/>
      </c>
      <c r="DB13" s="229" t="str">
        <f t="shared" si="35"/>
        <v/>
      </c>
      <c r="DC13" s="232" t="str">
        <f>IF($A13="","",IFERROR(SUMPRODUCT((Raw_Data_Daily!$B$2:$B$9999="Control")*(Raw_Data_Daily!$A$2:$A$9999=$A13)*(Raw_Data_Daily!$C$2:$C$9999=$C$3)*Raw_Data_Daily!$D$2:$D$9999*Raw_Data_Daily!$AL$2:$AL$9999)/SUMIFS(Raw_Data_Daily!$D:$D, Raw_Data_Daily!$B:$B, "Control", Raw_Data_Daily!$A:$A, $A13, Raw_Data_Daily!$C:$C, $C$3),""))</f>
        <v/>
      </c>
      <c r="DD13" s="232" t="str">
        <f>IF($A13="","",IFERROR(SUMPRODUCT((Raw_Data_Daily!$B$2:$B$9999="Variant")*(Raw_Data_Daily!$A$2:$A$9999=$A13)*(Raw_Data_Daily!$C$2:$C$9999=$C$3)*Raw_Data_Daily!$D$2:$D$9999*Raw_Data_Daily!$AL$2:$AL$9999)/SUMIFS(Raw_Data_Daily!$D:$D, Raw_Data_Daily!$B:$B, "Variant", Raw_Data_Daily!$A:$A, $A13, Raw_Data_Daily!$C:$C, $C$3),""))</f>
        <v/>
      </c>
      <c r="DE13" s="233" t="str">
        <f t="shared" si="36"/>
        <v/>
      </c>
      <c r="DF13" s="234"/>
      <c r="DG13" s="227" t="str">
        <f>IF($A13="","",IFERROR(SUMPRODUCT((Raw_Data_Daily!$B$2:$B$9999="Variant")*(Raw_Data_Daily!$A$2:$A$9999=$A13)*(Raw_Data_Daily!$C$2:$C$9999=$C$3)*Raw_Data_Daily!$D$2:$D$9999*Raw_Data_Daily!$AM$2:$AM$9999)/SUMIFS(Raw_Data_Daily!$D:$D, Raw_Data_Daily!$B:$B, "Variant", Raw_Data_Daily!$A:$A, $A13, Raw_Data_Daily!$C:$C, $C$3),""))</f>
        <v/>
      </c>
      <c r="DH13" s="235"/>
      <c r="DI13" s="234"/>
      <c r="DJ13" s="227" t="str">
        <f>IF($A13="","",IFERROR(SUMPRODUCT((Raw_Data_Daily!$B$2:$B$9999="Variant")*(Raw_Data_Daily!$A$2:$A$9999=$A13)*(Raw_Data_Daily!$C$2:$C$9999=$C$3)*Raw_Data_Daily!$D$2:$D$9999*Raw_Data_Daily!$AN$2:$AN$9999)/SUMIFS(Raw_Data_Daily!$D:$D, Raw_Data_Daily!$B:$B, "Variant", Raw_Data_Daily!$A:$A, $A13, Raw_Data_Daily!$C:$C, $C$3),""))</f>
        <v/>
      </c>
      <c r="DK13" s="235"/>
      <c r="DL13" s="234"/>
      <c r="DM13" s="227" t="str">
        <f>IF($A13="","",IFERROR(SUMPRODUCT((Raw_Data_Daily!$B$2:$B$9999="Variant")*(Raw_Data_Daily!$A$2:$A$9999=$A13)*(Raw_Data_Daily!$C$2:$C$9999=$C$3)*Raw_Data_Daily!$D$2:$D$9999*Raw_Data_Daily!$AO$2:$AO$9999)/SUMIFS(Raw_Data_Daily!$D:$D, Raw_Data_Daily!$B:$B, "Variant", Raw_Data_Daily!$A:$A, $A13, Raw_Data_Daily!$C:$C, $C$3),""))</f>
        <v/>
      </c>
      <c r="DN13" s="235"/>
      <c r="DO13" s="234"/>
      <c r="DP13" s="227" t="str">
        <f>IF($A13="","",IFERROR(SUMPRODUCT((Raw_Data_Daily!$B$2:$B$9999="Variant")*(Raw_Data_Daily!$A$2:$A$9999=$A13)*(Raw_Data_Daily!$C$2:$C$9999=$C$3)*Raw_Data_Daily!$D$2:$D$9999*Raw_Data_Daily!$AP$2:$AP$9999)/SUMIFS(Raw_Data_Daily!$D:$D, Raw_Data_Daily!$B:$B, "Variant", Raw_Data_Daily!$A:$A, $A13, Raw_Data_Daily!$C:$C, $C$3),""))</f>
        <v/>
      </c>
      <c r="DQ13" s="235"/>
      <c r="DR13" s="232" t="str">
        <f>IF($A13="","",IFERROR(SUMPRODUCT((Raw_Data_Daily!$B$2:$B$9999="Control")*(Raw_Data_Daily!$A$2:$A$9999=$A13)*(Raw_Data_Daily!$C$2:$C$9999=$C$3)*Raw_Data_Daily!$D$2:$D$9999*Raw_Data_Daily!$AQ$2:$AQ$9999)/SUMIFS(Raw_Data_Daily!$D:$D, Raw_Data_Daily!$B:$B, "Control", Raw_Data_Daily!$A:$A, $A13, Raw_Data_Daily!$C:$C, $C$3),""))</f>
        <v/>
      </c>
      <c r="DS13" s="232" t="str">
        <f>IF($A13="","",IFERROR(SUMPRODUCT((Raw_Data_Daily!$B$2:$B$9999="Variant")*(Raw_Data_Daily!$A$2:$A$9999=$A13)*(Raw_Data_Daily!$C$2:$C$9999=$C$3)*Raw_Data_Daily!$D$2:$D$9999*Raw_Data_Daily!$AQ$2:$AQ$9999)/SUMIFS(Raw_Data_Daily!$D:$D, Raw_Data_Daily!$B:$B, "Variant", Raw_Data_Daily!$A:$A, $A13, Raw_Data_Daily!$C:$C, $C$3),""))</f>
        <v/>
      </c>
      <c r="DT13" s="236" t="str">
        <f t="shared" si="37"/>
        <v/>
      </c>
      <c r="DU13" s="232" t="str">
        <f>IF($A13="","",IFERROR(SUMPRODUCT((Raw_Data_Daily!$B$2:$B$9999="Control")*(Raw_Data_Daily!$A$2:$A$9999=$A13)*(Raw_Data_Daily!$C$2:$C$9999=$C$3)*Raw_Data_Daily!$D$2:$D$9999*Raw_Data_Daily!$AR$2:$AR$9999)/SUMIFS(Raw_Data_Daily!$D:$D, Raw_Data_Daily!$B:$B, "Control", Raw_Data_Daily!$A:$A, $A13, Raw_Data_Daily!$C:$C, $C$3),""))</f>
        <v/>
      </c>
      <c r="DV13" s="232" t="str">
        <f>IF($A13="","",IFERROR(SUMPRODUCT((Raw_Data_Daily!$B$2:$B$9999="Variant")*(Raw_Data_Daily!$A$2:$A$9999=$A13)*(Raw_Data_Daily!$C$2:$C$9999=$C$3)*Raw_Data_Daily!$D$2:$D$9999*Raw_Data_Daily!$AR$2:$AR$9999)/SUMIFS(Raw_Data_Daily!$D:$D, Raw_Data_Daily!$B:$B, "Variant", Raw_Data_Daily!$A:$A, $A13, Raw_Data_Daily!$C:$C, $C$3),""))</f>
        <v/>
      </c>
      <c r="DW13" s="236" t="str">
        <f t="shared" si="38"/>
        <v/>
      </c>
      <c r="DX13" s="232" t="str">
        <f>IF($A13="","",IFERROR(SUMPRODUCT((Raw_Data_Daily!$B$2:$B$9999="Control")*(Raw_Data_Daily!$A$2:$A$9999=$A13)*(Raw_Data_Daily!$C$2:$C$9999=$C$3)*Raw_Data_Daily!$D$2:$D$9999*Raw_Data_Daily!$AS$2:$AS$9999)/SUMIFS(Raw_Data_Daily!$D:$D, Raw_Data_Daily!$B:$B, "Control", Raw_Data_Daily!$A:$A, $A13, Raw_Data_Daily!$C:$C, $C$3),""))</f>
        <v/>
      </c>
      <c r="DY13" s="232" t="str">
        <f>IF($A13="","",IFERROR(SUMPRODUCT((Raw_Data_Daily!$B$2:$B$9999="Variant")*(Raw_Data_Daily!$A$2:$A$9999=$A13)*(Raw_Data_Daily!$C$2:$C$9999=$C$3)*Raw_Data_Daily!$D$2:$D$9999*Raw_Data_Daily!$AS$2:$AS$9999)/SUMIFS(Raw_Data_Daily!$D:$D, Raw_Data_Daily!$B:$B, "Variant", Raw_Data_Daily!$A:$A, $A13, Raw_Data_Daily!$C:$C, $C$3),""))</f>
        <v/>
      </c>
      <c r="DZ13" s="236" t="str">
        <f t="shared" si="39"/>
        <v/>
      </c>
      <c r="EA13" s="232" t="str">
        <f>IF($A13="","",IFERROR(SUMPRODUCT((Raw_Data_Daily!$B$2:$B$9999="Control")*(Raw_Data_Daily!$A$2:$A$9999=$A13)*(Raw_Data_Daily!$C$2:$C$9999=$C$3)*Raw_Data_Daily!$D$2:$D$9999*Raw_Data_Daily!$AT$2:$AT$9999)/SUMIFS(Raw_Data_Daily!$D:$D, Raw_Data_Daily!$B:$B, "Control", Raw_Data_Daily!$A:$A, $A13, Raw_Data_Daily!$C:$C, $C$3),""))</f>
        <v/>
      </c>
      <c r="EB13" s="232" t="str">
        <f>IF($A13="","",IFERROR(SUMPRODUCT((Raw_Data_Daily!$B$2:$B$9999="Variant")*(Raw_Data_Daily!$A$2:$A$9999=$A13)*(Raw_Data_Daily!$C$2:$C$9999=$C$3)*Raw_Data_Daily!$D$2:$D$9999*Raw_Data_Daily!$AT$2:$AT$9999)/SUMIFS(Raw_Data_Daily!$D:$D, Raw_Data_Daily!$B:$B, "Variant", Raw_Data_Daily!$A:$A, $A13, Raw_Data_Daily!$C:$C, $C$3),""))</f>
        <v/>
      </c>
      <c r="EC13" s="236" t="str">
        <f t="shared" si="40"/>
        <v/>
      </c>
      <c r="ED13" s="232" t="str">
        <f>IF($A13="","",IFERROR(SUMPRODUCT((Raw_Data_Daily!$B$2:$B$9999="Control")*(Raw_Data_Daily!$A$2:$A$9999=$A13)*(Raw_Data_Daily!$C$2:$C$9999=$C$3)*Raw_Data_Daily!$D$2:$D$9999*(Raw_Data_Daily!$AQ$2:$AQ$9999-Raw_Data_Daily!$AT$2:$AT$9999))/SUMIFS(Raw_Data_Daily!$D:$D, Raw_Data_Daily!$B:$B, "Control", Raw_Data_Daily!$A:$A, $A13, Raw_Data_Daily!$C:$C, $C$3),""))</f>
        <v/>
      </c>
      <c r="EE13" s="232" t="str">
        <f>IF($A13="","",IFERROR(SUMPRODUCT((Raw_Data_Daily!$B$2:$B$9999="Variant")*(Raw_Data_Daily!$A$2:$A$9999=$A13)*(Raw_Data_Daily!$C$2:$C$9999=$C$3)*Raw_Data_Daily!$D$2:$D$9999*(Raw_Data_Daily!$AQ$2:$AQ$9999-Raw_Data_Daily!$AT$2:$AT$9999))/SUMIFS(Raw_Data_Daily!$D:$D, Raw_Data_Daily!$B:$B, "Variant", Raw_Data_Daily!$A:$A, $A13, Raw_Data_Daily!$C:$C, $C$3),""))</f>
        <v/>
      </c>
      <c r="EF13" s="236" t="str">
        <f t="shared" si="41"/>
        <v/>
      </c>
      <c r="EG13" s="232" t="str">
        <f>IF($A13="","",IFERROR(SUMPRODUCT((Raw_Data_Daily!$B$2:$B$9999="Control")*(Raw_Data_Daily!$A$2:$A$9999=$A13)*(Raw_Data_Daily!$C$2:$C$9999=$C$3)*Raw_Data_Daily!$D$2:$D$9999*Raw_Data_Daily!$AU$2:$AU$9999)/SUMIFS(Raw_Data_Daily!$D:$D, Raw_Data_Daily!$B:$B, "Control", Raw_Data_Daily!$A:$A, $A13, Raw_Data_Daily!$C:$C, $C$3),""))</f>
        <v/>
      </c>
      <c r="EH13" s="232" t="str">
        <f>IF($A13="","",IFERROR(SUMPRODUCT((Raw_Data_Daily!$B$2:$B$9999="Variant")*(Raw_Data_Daily!$A$2:$A$9999=$A13)*(Raw_Data_Daily!$C$2:$C$9999=$C$3)*Raw_Data_Daily!$D$2:$D$9999*Raw_Data_Daily!$AU$2:$AU$9999)/SUMIFS(Raw_Data_Daily!$D:$D, Raw_Data_Daily!$B:$B, "Variant", Raw_Data_Daily!$A:$A, $A13, Raw_Data_Daily!$C:$C, $C$3),""))</f>
        <v/>
      </c>
      <c r="EI13" s="236" t="str">
        <f t="shared" si="42"/>
        <v/>
      </c>
    </row>
    <row r="14" ht="15.75" customHeight="1">
      <c r="A14" s="91">
        <v>46237.0</v>
      </c>
      <c r="B14" s="92">
        <f>IF($A14="","",SUMIFS(Raw_Data_Daily!$D:$D, Raw_Data_Daily!$B:$B, "Control", Raw_Data_Daily!$A:$A, $A14, Raw_Data_Daily!$C:$C, $C$3))</f>
        <v>0</v>
      </c>
      <c r="C14" s="92">
        <f>IF($A14="","",SUMIFS(Raw_Data_Daily!$D:$D, Raw_Data_Daily!$B:$B, "Variant", Raw_Data_Daily!$A:$A, $A14, Raw_Data_Daily!$C:$C, $C$3))</f>
        <v>0</v>
      </c>
      <c r="D14" s="93" t="str">
        <f t="shared" si="1"/>
        <v/>
      </c>
      <c r="E14" s="94" t="str">
        <f>IF($A14="","",IFERROR(SUMPRODUCT((Raw_Data_Daily!$B$2:$B$9999="Control")*(Raw_Data_Daily!$A$2:$A$9999=$A14)*(Raw_Data_Daily!$C$2:$C$9999=$C$3)*Raw_Data_Daily!$D$2:$D$9999*Raw_Data_Daily!$E$2:$E$9999)/SUMIFS(Raw_Data_Daily!$D:$D, Raw_Data_Daily!$B:$B, "Control", Raw_Data_Daily!$A:$A, $A14, Raw_Data_Daily!$C:$C, $C$3),""))</f>
        <v/>
      </c>
      <c r="F14" s="94" t="str">
        <f>IF($A14="","",IFERROR(SUMPRODUCT((Raw_Data_Daily!$B$2:$B$9999="Variant")*(Raw_Data_Daily!$A$2:$A$9999=$A14)*(Raw_Data_Daily!$C$2:$C$9999=$C$3)*Raw_Data_Daily!$D$2:$D$9999*Raw_Data_Daily!$E$2:$E$9999)/SUMIFS(Raw_Data_Daily!$D:$D, Raw_Data_Daily!$B:$B, "Variant", Raw_Data_Daily!$A:$A, $A14, Raw_Data_Daily!$C:$C, $C$3),""))</f>
        <v/>
      </c>
      <c r="G14" s="93" t="str">
        <f t="shared" si="2"/>
        <v/>
      </c>
      <c r="H14" s="95">
        <f>IF($A14="","",SUMIFS(Raw_Data_Daily!$F:$F, Raw_Data_Daily!$B:$B, "Control", Raw_Data_Daily!$A:$A, $A14, Raw_Data_Daily!$C:$C, $C$3))</f>
        <v>0</v>
      </c>
      <c r="I14" s="95">
        <f>IF($A14="","",SUMIFS(Raw_Data_Daily!$F:$F, Raw_Data_Daily!$B:$B, "Variant", Raw_Data_Daily!$A:$A, $A14, Raw_Data_Daily!$C:$C, $C$3))</f>
        <v>0</v>
      </c>
      <c r="J14" s="96" t="str">
        <f t="shared" si="3"/>
        <v/>
      </c>
      <c r="K14" s="97" t="str">
        <f>IF($A14="","",IFERROR(SUMIFS(Raw_Data_Daily!$F:$F, Raw_Data_Daily!$B:$B, "Control", Raw_Data_Daily!$A:$A, $A14, Raw_Data_Daily!$C:$C, $C$3)/SUMIFS(Raw_Data_Daily!$D:$D, Raw_Data_Daily!$B:$B, "Control", Raw_Data_Daily!$A:$A, $A14, Raw_Data_Daily!$C:$C, $C$3),""))</f>
        <v/>
      </c>
      <c r="L14" s="97" t="str">
        <f>IF($A14="","",IFERROR(SUMIFS(Raw_Data_Daily!$F:$F, Raw_Data_Daily!$B:$B, "Variant", Raw_Data_Daily!$A:$A, $A14, Raw_Data_Daily!$C:$C, $C$3)/SUMIFS(Raw_Data_Daily!$D:$D, Raw_Data_Daily!$B:$B, "Variant", Raw_Data_Daily!$A:$A, $A14, Raw_Data_Daily!$C:$C, $C$3),""))</f>
        <v/>
      </c>
      <c r="M14" s="96" t="str">
        <f t="shared" si="4"/>
        <v/>
      </c>
      <c r="N14" s="94" t="str">
        <f>IF($A14="","",IFERROR(SUMPRODUCT((Raw_Data_Daily!$B$2:$B$9999="Control")*(Raw_Data_Daily!$A$2:$A$9999=$A14)*(Raw_Data_Daily!$C$2:$C$9999=$C$3)*Raw_Data_Daily!$D$2:$D$9999*Raw_Data_Daily!$H$2:$H$9999/100)/SUMIFS(Raw_Data_Daily!$D:$D, Raw_Data_Daily!$B:$B, "Control", Raw_Data_Daily!$A:$A, $A14, Raw_Data_Daily!$C:$C, $C$3)*100,""))</f>
        <v/>
      </c>
      <c r="O14" s="94" t="str">
        <f>IF($A14="","",IFERROR(SUMPRODUCT((Raw_Data_Daily!$B$2:$B$9999="Variant")*(Raw_Data_Daily!$A$2:$A$9999=$A14)*(Raw_Data_Daily!$C$2:$C$9999=$C$3)*Raw_Data_Daily!$D$2:$D$9999*Raw_Data_Daily!$H$2:$H$9999/100)/SUMIFS(Raw_Data_Daily!$D:$D, Raw_Data_Daily!$B:$B, "Variant", Raw_Data_Daily!$A:$A, $A14, Raw_Data_Daily!$C:$C, $C$3)*100,""))</f>
        <v/>
      </c>
      <c r="P14" s="96" t="str">
        <f t="shared" si="5"/>
        <v/>
      </c>
      <c r="Q14" s="97" t="str">
        <f>IF($A14="","",IFERROR(SUMIFS(Raw_Data_Daily!$F:$F, Raw_Data_Daily!$B:$B, "Control", Raw_Data_Daily!$A:$A, $A14, Raw_Data_Daily!$C:$C, $C$3)/SUMPRODUCT((Raw_Data_Daily!$B$2:$B$9999="Control")*(Raw_Data_Daily!$A$2:$A$9999=$A14)*(Raw_Data_Daily!$C$2:$C$9999=$C$3)*Raw_Data_Daily!$D$2:$D$9999*Raw_Data_Daily!$H$2:$H$9999/100),""))</f>
        <v/>
      </c>
      <c r="R14" s="97" t="str">
        <f>IF($A14="","",IFERROR(SUMIFS(Raw_Data_Daily!$F:$F, Raw_Data_Daily!$B:$B, "Variant", Raw_Data_Daily!$A:$A, $A14, Raw_Data_Daily!$C:$C, $C$3)/SUMPRODUCT((Raw_Data_Daily!$B$2:$B$9999="Variant")*(Raw_Data_Daily!$A$2:$A$9999=$A14)*(Raw_Data_Daily!$C$2:$C$9999=$C$3)*Raw_Data_Daily!$D$2:$D$9999*Raw_Data_Daily!$H$2:$H$9999/100),""))</f>
        <v/>
      </c>
      <c r="S14" s="96" t="str">
        <f t="shared" si="6"/>
        <v/>
      </c>
      <c r="T14" s="121" t="str">
        <f>IF($A14="","",IFERROR(SUMPRODUCT((Raw_Data_Daily!$B$2:$B$9999="Control")*(Raw_Data_Daily!$A$2:$A$9999=$A14)*(Raw_Data_Daily!$C$2:$C$9999=$C$3)*Raw_Data_Daily!$D$2:$D$9999*Raw_Data_Daily!$J$2:$J$9999)/SUMIFS(Raw_Data_Daily!$D:$D, Raw_Data_Daily!$B:$B, "Control", Raw_Data_Daily!$A:$A, $A14, Raw_Data_Daily!$C:$C, $C$3),""))</f>
        <v/>
      </c>
      <c r="U14" s="121" t="str">
        <f>IF($A14="","",IFERROR(SUMPRODUCT((Raw_Data_Daily!$B$2:$B$9999="Variant")*(Raw_Data_Daily!$A$2:$A$9999=$A14)*(Raw_Data_Daily!$C$2:$C$9999=$C$3)*Raw_Data_Daily!$D$2:$D$9999*Raw_Data_Daily!$J$2:$J$9999)/SUMIFS(Raw_Data_Daily!$D:$D, Raw_Data_Daily!$B:$B, "Variant", Raw_Data_Daily!$A:$A, $A14, Raw_Data_Daily!$C:$C, $C$3),""))</f>
        <v/>
      </c>
      <c r="V14" s="96" t="str">
        <f t="shared" si="7"/>
        <v/>
      </c>
      <c r="W14" s="121" t="str">
        <f>IF($A14="","",IFERROR(SUMPRODUCT((Raw_Data_Daily!$B$2:$B$9999="Control")*(Raw_Data_Daily!$A$2:$A$9999=$A14)*(Raw_Data_Daily!$C$2:$C$9999=$C$3)*Raw_Data_Daily!$D$2:$D$9999*Raw_Data_Daily!$K$2:$K$9999)/SUMIFS(Raw_Data_Daily!$D:$D, Raw_Data_Daily!$B:$B, "Control", Raw_Data_Daily!$A:$A, $A14, Raw_Data_Daily!$C:$C, $C$3),""))</f>
        <v/>
      </c>
      <c r="X14" s="121" t="str">
        <f>IF($A14="","",IFERROR(SUMPRODUCT((Raw_Data_Daily!$B$2:$B$9999="Variant")*(Raw_Data_Daily!$A$2:$A$9999=$A14)*(Raw_Data_Daily!$C$2:$C$9999=$C$3)*Raw_Data_Daily!$D$2:$D$9999*Raw_Data_Daily!$K$2:$K$9999)/SUMIFS(Raw_Data_Daily!$D:$D, Raw_Data_Daily!$B:$B, "Variant", Raw_Data_Daily!$A:$A, $A14, Raw_Data_Daily!$C:$C, $C$3),""))</f>
        <v/>
      </c>
      <c r="Y14" s="96" t="str">
        <f t="shared" si="8"/>
        <v/>
      </c>
      <c r="Z14" s="121" t="str">
        <f>IF($A14="","",IFERROR(SUMPRODUCT((Raw_Data_Daily!$B$2:$B$9999="Control")*(Raw_Data_Daily!$A$2:$A$9999=$A14)*(Raw_Data_Daily!$C$2:$C$9999=$C$3)*Raw_Data_Daily!$D$2:$D$9999*Raw_Data_Daily!$L$2:$L$9999)/SUMIFS(Raw_Data_Daily!$D:$D, Raw_Data_Daily!$B:$B, "Control", Raw_Data_Daily!$A:$A, $A14, Raw_Data_Daily!$C:$C, $C$3),""))</f>
        <v/>
      </c>
      <c r="AA14" s="121" t="str">
        <f>IF($A14="","",IFERROR(SUMPRODUCT((Raw_Data_Daily!$B$2:$B$9999="Variant")*(Raw_Data_Daily!$A$2:$A$9999=$A14)*(Raw_Data_Daily!$C$2:$C$9999=$C$3)*Raw_Data_Daily!$D$2:$D$9999*Raw_Data_Daily!$L$2:$L$9999)/SUMIFS(Raw_Data_Daily!$D:$D, Raw_Data_Daily!$B:$B, "Variant", Raw_Data_Daily!$A:$A, $A14, Raw_Data_Daily!$C:$C, $C$3),""))</f>
        <v/>
      </c>
      <c r="AB14" s="96" t="str">
        <f t="shared" si="9"/>
        <v/>
      </c>
      <c r="AC14" s="139" t="str">
        <f>IF($A14="","",IFERROR(SUMPRODUCT((Raw_Data_Daily!$B$2:$B$9999="Control")*(Raw_Data_Daily!$A$2:$A$9999=$A14)*(Raw_Data_Daily!$C$2:$C$9999=$C$3)*Raw_Data_Daily!$D$2:$D$9999*Raw_Data_Daily!$M$2:$M$9999)/SUMIFS(Raw_Data_Daily!$D:$D, Raw_Data_Daily!$B:$B, "Control", Raw_Data_Daily!$A:$A, $A14, Raw_Data_Daily!$C:$C, $C$3),""))</f>
        <v/>
      </c>
      <c r="AD14" s="139" t="str">
        <f>IF($A14="","",IFERROR(SUMPRODUCT((Raw_Data_Daily!$B$2:$B$9999="Variant")*(Raw_Data_Daily!$A$2:$A$9999=$A14)*(Raw_Data_Daily!$C$2:$C$9999=$C$3)*Raw_Data_Daily!$D$2:$D$9999*Raw_Data_Daily!$M$2:$M$9999)/SUMIFS(Raw_Data_Daily!$D:$D, Raw_Data_Daily!$B:$B, "Variant", Raw_Data_Daily!$A:$A, $A14, Raw_Data_Daily!$C:$C, $C$3),""))</f>
        <v/>
      </c>
      <c r="AE14" s="142" t="str">
        <f t="shared" si="10"/>
        <v/>
      </c>
      <c r="AF14" s="139" t="str">
        <f>IF($A14="","",IFERROR(SUMPRODUCT((Raw_Data_Daily!$B$2:$B$9999="Control")*(Raw_Data_Daily!$A$2:$A$9999=$A14)*(Raw_Data_Daily!$C$2:$C$9999=$C$3)*Raw_Data_Daily!$D$2:$D$9999*Raw_Data_Daily!$N$2:$N$9999)/SUMIFS(Raw_Data_Daily!$D:$D, Raw_Data_Daily!$B:$B, "Control", Raw_Data_Daily!$A:$A, $A14, Raw_Data_Daily!$C:$C, $C$3),""))</f>
        <v/>
      </c>
      <c r="AG14" s="139" t="str">
        <f>IF($A14="","",IFERROR(SUMPRODUCT((Raw_Data_Daily!$B$2:$B$9999="Variant")*(Raw_Data_Daily!$A$2:$A$9999=$A14)*(Raw_Data_Daily!$C$2:$C$9999=$C$3)*Raw_Data_Daily!$D$2:$D$9999*Raw_Data_Daily!$N$2:$N$9999)/SUMIFS(Raw_Data_Daily!$D:$D, Raw_Data_Daily!$B:$B, "Variant", Raw_Data_Daily!$A:$A, $A14, Raw_Data_Daily!$C:$C, $C$3),""))</f>
        <v/>
      </c>
      <c r="AH14" s="142" t="str">
        <f t="shared" si="11"/>
        <v/>
      </c>
      <c r="AI14" s="139" t="str">
        <f>IF($A14="","",IFERROR(SUMPRODUCT((Raw_Data_Daily!$B$2:$B$9999="Control")*(Raw_Data_Daily!$A$2:$A$9999=$A14)*(Raw_Data_Daily!$C$2:$C$9999=$C$3)*Raw_Data_Daily!$D$2:$D$9999*Raw_Data_Daily!$O$2:$O$9999)/SUMIFS(Raw_Data_Daily!$D:$D, Raw_Data_Daily!$B:$B, "Control", Raw_Data_Daily!$A:$A, $A14, Raw_Data_Daily!$C:$C, $C$3),""))</f>
        <v/>
      </c>
      <c r="AJ14" s="139" t="str">
        <f>IF($A14="","",IFERROR(SUMPRODUCT((Raw_Data_Daily!$B$2:$B$9999="Variant")*(Raw_Data_Daily!$A$2:$A$9999=$A14)*(Raw_Data_Daily!$C$2:$C$9999=$C$3)*Raw_Data_Daily!$D$2:$D$9999*Raw_Data_Daily!$O$2:$O$9999)/SUMIFS(Raw_Data_Daily!$D:$D, Raw_Data_Daily!$B:$B, "Variant", Raw_Data_Daily!$A:$A, $A14, Raw_Data_Daily!$C:$C, $C$3),""))</f>
        <v/>
      </c>
      <c r="AK14" s="96" t="str">
        <f t="shared" si="12"/>
        <v/>
      </c>
      <c r="AL14" s="121" t="str">
        <f>IF($A14="","",IFERROR(SUMPRODUCT((Raw_Data_Daily!$B$2:$B$9999="Control")*(Raw_Data_Daily!$A$2:$A$9999=$A14)*(Raw_Data_Daily!$C$2:$C$9999=$C$3)*Raw_Data_Daily!$D$2:$D$9999*Raw_Data_Daily!$P$2:$P$9999)/SUMIFS(Raw_Data_Daily!$D:$D, Raw_Data_Daily!$B:$B, "Control", Raw_Data_Daily!$A:$A, $A14, Raw_Data_Daily!$C:$C, $C$3),""))</f>
        <v/>
      </c>
      <c r="AM14" s="121" t="str">
        <f>IF($A14="","",IFERROR(SUMPRODUCT((Raw_Data_Daily!$B$2:$B$9999="Variant")*(Raw_Data_Daily!$A$2:$A$9999=$A14)*(Raw_Data_Daily!$C$2:$C$9999=$C$3)*Raw_Data_Daily!$D$2:$D$9999*Raw_Data_Daily!$P$2:$P$9999)/SUMIFS(Raw_Data_Daily!$D:$D, Raw_Data_Daily!$B:$B, "Variant", Raw_Data_Daily!$A:$A, $A14, Raw_Data_Daily!$C:$C, $C$3),""))</f>
        <v/>
      </c>
      <c r="AN14" s="96" t="str">
        <f t="shared" si="13"/>
        <v/>
      </c>
      <c r="AO14" s="121" t="str">
        <f>IF($A14="","",IFERROR(SUMPRODUCT((Raw_Data_Daily!$B$2:$B$9999="Control")*(Raw_Data_Daily!$A$2:$A$9999=$A14)*(Raw_Data_Daily!$C$2:$C$9999=$C$3)*Raw_Data_Daily!$D$2:$D$9999*Raw_Data_Daily!$Q$2:$Q$9999)/SUMIFS(Raw_Data_Daily!$D:$D, Raw_Data_Daily!$B:$B, "Control", Raw_Data_Daily!$A:$A, $A14, Raw_Data_Daily!$C:$C, $C$3),""))</f>
        <v/>
      </c>
      <c r="AP14" s="121" t="str">
        <f>IF($A14="","",IFERROR(SUMPRODUCT((Raw_Data_Daily!$B$2:$B$9999="Variant")*(Raw_Data_Daily!$A$2:$A$9999=$A14)*(Raw_Data_Daily!$C$2:$C$9999=$C$3)*Raw_Data_Daily!$D$2:$D$9999*Raw_Data_Daily!$Q$2:$Q$9999)/SUMIFS(Raw_Data_Daily!$D:$D, Raw_Data_Daily!$B:$B, "Variant", Raw_Data_Daily!$A:$A, $A14, Raw_Data_Daily!$C:$C, $C$3),""))</f>
        <v/>
      </c>
      <c r="AQ14" s="93" t="str">
        <f t="shared" si="14"/>
        <v/>
      </c>
      <c r="AR14" s="121" t="str">
        <f>IF($A14="","",IFERROR(SUMPRODUCT((Raw_Data_Daily!$B$2:$B$9999="Control")*(Raw_Data_Daily!$A$2:$A$9999=$A14)*(Raw_Data_Daily!$C$2:$C$9999=$C$3)*Raw_Data_Daily!$D$2:$D$9999*Raw_Data_Daily!$R$2:$R$9999)/SUMIFS(Raw_Data_Daily!$D:$D, Raw_Data_Daily!$B:$B, "Control", Raw_Data_Daily!$A:$A, $A14, Raw_Data_Daily!$C:$C, $C$3),""))</f>
        <v/>
      </c>
      <c r="AS14" s="121" t="str">
        <f>IF($A14="","",IFERROR(SUMPRODUCT((Raw_Data_Daily!$B$2:$B$9999="Variant")*(Raw_Data_Daily!$A$2:$A$9999=$A14)*(Raw_Data_Daily!$C$2:$C$9999=$C$3)*Raw_Data_Daily!$D$2:$D$9999*Raw_Data_Daily!$R$2:$R$9999)/SUMIFS(Raw_Data_Daily!$D:$D, Raw_Data_Daily!$B:$B, "Variant", Raw_Data_Daily!$A:$A, $A14, Raw_Data_Daily!$C:$C, $C$3),""))</f>
        <v/>
      </c>
      <c r="AT14" s="93" t="str">
        <f t="shared" si="15"/>
        <v/>
      </c>
      <c r="AU14" s="121" t="str">
        <f>IF($A14="","",IFERROR(SUMPRODUCT((Raw_Data_Daily!$B$2:$B$9999="Control")*(Raw_Data_Daily!$A$2:$A$9999=$A14)*(Raw_Data_Daily!$C$2:$C$9999=$C$3)*Raw_Data_Daily!$D$2:$D$9999*Raw_Data_Daily!$S$2:$S$9999)/SUMIFS(Raw_Data_Daily!$D:$D, Raw_Data_Daily!$B:$B, "Control", Raw_Data_Daily!$A:$A, $A14, Raw_Data_Daily!$C:$C, $C$3),""))</f>
        <v/>
      </c>
      <c r="AV14" s="121" t="str">
        <f>IF($A14="","",IFERROR(SUMPRODUCT((Raw_Data_Daily!$B$2:$B$9999="Variant")*(Raw_Data_Daily!$A$2:$A$9999=$A14)*(Raw_Data_Daily!$C$2:$C$9999=$C$3)*Raw_Data_Daily!$D$2:$D$9999*Raw_Data_Daily!$S$2:$S$9999)/SUMIFS(Raw_Data_Daily!$D:$D, Raw_Data_Daily!$B:$B, "Variant", Raw_Data_Daily!$A:$A, $A14, Raw_Data_Daily!$C:$C, $C$3),""))</f>
        <v/>
      </c>
      <c r="AW14" s="93" t="str">
        <f t="shared" si="16"/>
        <v/>
      </c>
      <c r="AX14" s="121" t="str">
        <f>IF($A14="","",IFERROR(SUMPRODUCT((Raw_Data_Daily!$B$2:$B$9999="Control")*(Raw_Data_Daily!$A$2:$A$9999=$A14)*(Raw_Data_Daily!$C$2:$C$9999=$C$3)*Raw_Data_Daily!$D$2:$D$9999*Raw_Data_Daily!$T$2:$T$9999)/SUMIFS(Raw_Data_Daily!$D:$D, Raw_Data_Daily!$B:$B, "Control", Raw_Data_Daily!$A:$A, $A14, Raw_Data_Daily!$C:$C, $C$3),""))</f>
        <v/>
      </c>
      <c r="AY14" s="121" t="str">
        <f>IF($A14="","",IFERROR(SUMPRODUCT((Raw_Data_Daily!$B$2:$B$9999="Variant")*(Raw_Data_Daily!$A$2:$A$9999=$A14)*(Raw_Data_Daily!$C$2:$C$9999=$C$3)*Raw_Data_Daily!$D$2:$D$9999*Raw_Data_Daily!$T$2:$T$9999)/SUMIFS(Raw_Data_Daily!$D:$D, Raw_Data_Daily!$B:$B, "Variant", Raw_Data_Daily!$A:$A, $A14, Raw_Data_Daily!$C:$C, $C$3),""))</f>
        <v/>
      </c>
      <c r="AZ14" s="96" t="str">
        <f t="shared" si="17"/>
        <v/>
      </c>
      <c r="BA14" s="121" t="str">
        <f>IF($A14="","",IFERROR(SUMPRODUCT((Raw_Data_Daily!$B$2:$B$9999="Control")*(Raw_Data_Daily!$A$2:$A$9999=$A14)*(Raw_Data_Daily!$C$2:$C$9999=$C$3)*Raw_Data_Daily!$D$2:$D$9999*Raw_Data_Daily!$U$2:$U$9999)/SUMIFS(Raw_Data_Daily!$D:$D, Raw_Data_Daily!$B:$B, "Control", Raw_Data_Daily!$A:$A, $A14, Raw_Data_Daily!$C:$C, $C$3),""))</f>
        <v/>
      </c>
      <c r="BB14" s="121" t="str">
        <f>IF($A14="","",IFERROR(SUMPRODUCT((Raw_Data_Daily!$B$2:$B$9999="Variant")*(Raw_Data_Daily!$A$2:$A$9999=$A14)*(Raw_Data_Daily!$C$2:$C$9999=$C$3)*Raw_Data_Daily!$D$2:$D$9999*Raw_Data_Daily!$U$2:$U$9999)/SUMIFS(Raw_Data_Daily!$D:$D, Raw_Data_Daily!$B:$B, "Variant", Raw_Data_Daily!$A:$A, $A14, Raw_Data_Daily!$C:$C, $C$3),""))</f>
        <v/>
      </c>
      <c r="BC14" s="93" t="str">
        <f t="shared" si="18"/>
        <v/>
      </c>
      <c r="BD14" s="121" t="str">
        <f>IF($A14="","",IFERROR(SUMPRODUCT((Raw_Data_Daily!$B$2:$B$9999="Control")*(Raw_Data_Daily!$A$2:$A$9999=$A14)*(Raw_Data_Daily!$C$2:$C$9999=$C$3)*Raw_Data_Daily!$D$2:$D$9999*Raw_Data_Daily!$V$2:$V$9999)/SUMIFS(Raw_Data_Daily!$D:$D, Raw_Data_Daily!$B:$B, "Control", Raw_Data_Daily!$A:$A, $A14, Raw_Data_Daily!$C:$C, $C$3),""))</f>
        <v/>
      </c>
      <c r="BE14" s="121" t="str">
        <f>IF($A14="","",IFERROR(SUMPRODUCT((Raw_Data_Daily!$B$2:$B$9999="Variant")*(Raw_Data_Daily!$A$2:$A$9999=$A14)*(Raw_Data_Daily!$C$2:$C$9999=$C$3)*Raw_Data_Daily!$D$2:$D$9999*Raw_Data_Daily!$V$2:$V$9999)/SUMIFS(Raw_Data_Daily!$D:$D, Raw_Data_Daily!$B:$B, "Variant", Raw_Data_Daily!$A:$A, $A14, Raw_Data_Daily!$C:$C, $C$3),""))</f>
        <v/>
      </c>
      <c r="BF14" s="93" t="str">
        <f t="shared" si="19"/>
        <v/>
      </c>
      <c r="BG14" s="121" t="str">
        <f>IF($A14="","",IFERROR(SUMPRODUCT((Raw_Data_Daily!$B$2:$B$9999="Control")*(Raw_Data_Daily!$A$2:$A$9999=$A14)*(Raw_Data_Daily!$C$2:$C$9999=$C$3)*Raw_Data_Daily!$D$2:$D$9999*(Raw_Data_Daily!$Q$2:$Q$9999-Raw_Data_Daily!$V$2:$V$9999))/SUMIFS(Raw_Data_Daily!$D:$D, Raw_Data_Daily!$B:$B, "Control", Raw_Data_Daily!$A:$A, $A14, Raw_Data_Daily!$C:$C, $C$3),""))</f>
        <v/>
      </c>
      <c r="BH14" s="121" t="str">
        <f>IF($A14="","",IFERROR(SUMPRODUCT((Raw_Data_Daily!$B$2:$B$9999="Variant")*(Raw_Data_Daily!$A$2:$A$9999=$A14)*(Raw_Data_Daily!$C$2:$C$9999=$C$3)*Raw_Data_Daily!$D$2:$D$9999*(Raw_Data_Daily!$Q$2:$Q$9999-Raw_Data_Daily!$V$2:$V$9999))/SUMIFS(Raw_Data_Daily!$D:$D, Raw_Data_Daily!$B:$B, "Variant", Raw_Data_Daily!$A:$A, $A14, Raw_Data_Daily!$C:$C, $C$3),""))</f>
        <v/>
      </c>
      <c r="BI14" s="93" t="str">
        <f t="shared" si="20"/>
        <v/>
      </c>
      <c r="BJ14" s="121" t="str">
        <f>IF($A14="","",IFERROR(SUMPRODUCT((Raw_Data_Daily!$B$2:$B$9999="Control")*(Raw_Data_Daily!$A$2:$A$9999=$A14)*(Raw_Data_Daily!$C$2:$C$9999=$C$3)*Raw_Data_Daily!$D$2:$D$9999*Raw_Data_Daily!$W$2:$W$9999)/SUMIFS(Raw_Data_Daily!$D:$D, Raw_Data_Daily!$B:$B, "Control", Raw_Data_Daily!$A:$A, $A14, Raw_Data_Daily!$C:$C, $C$3),""))</f>
        <v/>
      </c>
      <c r="BK14" s="121" t="str">
        <f>IF($A14="","",IFERROR(SUMPRODUCT((Raw_Data_Daily!$B$2:$B$9999="Variant")*(Raw_Data_Daily!$A$2:$A$9999=$A14)*(Raw_Data_Daily!$C$2:$C$9999=$C$3)*Raw_Data_Daily!$D$2:$D$9999*Raw_Data_Daily!$W$2:$W$9999)/SUMIFS(Raw_Data_Daily!$D:$D, Raw_Data_Daily!$B:$B, "Variant", Raw_Data_Daily!$A:$A, $A14, Raw_Data_Daily!$C:$C, $C$3),""))</f>
        <v/>
      </c>
      <c r="BL14" s="93" t="str">
        <f t="shared" si="21"/>
        <v/>
      </c>
      <c r="BM14" s="139" t="str">
        <f>IF($A14="","",IFERROR(SUMPRODUCT((Raw_Data_Daily!$B$2:$B$9999="Control")*(Raw_Data_Daily!$A$2:$A$9999=$A14)*(Raw_Data_Daily!$C$2:$C$9999=$C$3)*Raw_Data_Daily!$D$2:$D$9999*Raw_Data_Daily!$X$2:$X$9999)/SUMIFS(Raw_Data_Daily!$D:$D, Raw_Data_Daily!$B:$B, "Control", Raw_Data_Daily!$A:$A, $A14, Raw_Data_Daily!$C:$C, $C$3),""))</f>
        <v/>
      </c>
      <c r="BN14" s="139" t="str">
        <f>IF($A14="","",IFERROR(SUMPRODUCT((Raw_Data_Daily!$B$2:$B$9999="Variant")*(Raw_Data_Daily!$A$2:$A$9999=$A14)*(Raw_Data_Daily!$C$2:$C$9999=$C$3)*Raw_Data_Daily!$D$2:$D$9999*Raw_Data_Daily!$X$2:$X$9999)/SUMIFS(Raw_Data_Daily!$D:$D, Raw_Data_Daily!$B:$B, "Variant", Raw_Data_Daily!$A:$A, $A14, Raw_Data_Daily!$C:$C, $C$3),""))</f>
        <v/>
      </c>
      <c r="BO14" s="96" t="str">
        <f t="shared" si="22"/>
        <v/>
      </c>
      <c r="BP14" s="92" t="str">
        <f>IF($A14="","",IFERROR(SUMPRODUCT((Raw_Data_Daily!$B$2:$B$9999="Control")*(Raw_Data_Daily!$A$2:$A$9999=$A14)*(Raw_Data_Daily!$C$2:$C$9999=$C$3)*Raw_Data_Daily!$D$2:$D$9999*Raw_Data_Daily!$Y$2:$Y$9999)/SUMIFS(Raw_Data_Daily!$D:$D, Raw_Data_Daily!$B:$B, "Control", Raw_Data_Daily!$A:$A, $A14, Raw_Data_Daily!$C:$C, $C$3),""))</f>
        <v/>
      </c>
      <c r="BQ14" s="92" t="str">
        <f>IF($A14="","",IFERROR(SUMPRODUCT((Raw_Data_Daily!$B$2:$B$9999="Variant")*(Raw_Data_Daily!$A$2:$A$9999=$A14)*(Raw_Data_Daily!$C$2:$C$9999=$C$3)*Raw_Data_Daily!$D$2:$D$9999*Raw_Data_Daily!$Y$2:$Y$9999)/SUMIFS(Raw_Data_Daily!$D:$D, Raw_Data_Daily!$B:$B, "Variant", Raw_Data_Daily!$A:$A, $A14, Raw_Data_Daily!$C:$C, $C$3),""))</f>
        <v/>
      </c>
      <c r="BR14" s="93" t="str">
        <f t="shared" si="23"/>
        <v/>
      </c>
      <c r="BS14" s="92" t="str">
        <f>IF($A14="","",IFERROR(SUMPRODUCT((Raw_Data_Daily!$B$2:$B$9999="Control")*(Raw_Data_Daily!$A$2:$A$9999=$A14)*(Raw_Data_Daily!$C$2:$C$9999=$C$3)*Raw_Data_Daily!$D$2:$D$9999*Raw_Data_Daily!$Z$2:$Z$9999)/SUMIFS(Raw_Data_Daily!$D:$D, Raw_Data_Daily!$B:$B, "Control", Raw_Data_Daily!$A:$A, $A14, Raw_Data_Daily!$C:$C, $C$3),""))</f>
        <v/>
      </c>
      <c r="BT14" s="92" t="str">
        <f>IF($A14="","",IFERROR(SUMPRODUCT((Raw_Data_Daily!$B$2:$B$9999="Variant")*(Raw_Data_Daily!$A$2:$A$9999=$A14)*(Raw_Data_Daily!$C$2:$C$9999=$C$3)*Raw_Data_Daily!$D$2:$D$9999*Raw_Data_Daily!$Z$2:$Z$9999)/SUMIFS(Raw_Data_Daily!$D:$D, Raw_Data_Daily!$B:$B, "Variant", Raw_Data_Daily!$A:$A, $A14, Raw_Data_Daily!$C:$C, $C$3),""))</f>
        <v/>
      </c>
      <c r="BU14" s="93" t="str">
        <f t="shared" si="24"/>
        <v/>
      </c>
      <c r="BV14" s="92" t="str">
        <f>IF($A14="","",IFERROR(SUMPRODUCT((Raw_Data_Daily!$B$2:$B$9999="Control")*(Raw_Data_Daily!$A$2:$A$9999=$A14)*(Raw_Data_Daily!$C$2:$C$9999=$C$3)*Raw_Data_Daily!$D$2:$D$9999*Raw_Data_Daily!$AA$2:$AA$9999)/SUMIFS(Raw_Data_Daily!$D:$D, Raw_Data_Daily!$B:$B, "Control", Raw_Data_Daily!$A:$A, $A14, Raw_Data_Daily!$C:$C, $C$3),""))</f>
        <v/>
      </c>
      <c r="BW14" s="92" t="str">
        <f>IF($A14="","",IFERROR(SUMPRODUCT((Raw_Data_Daily!$B$2:$B$9999="Variant")*(Raw_Data_Daily!$A$2:$A$9999=$A14)*(Raw_Data_Daily!$C$2:$C$9999=$C$3)*Raw_Data_Daily!$D$2:$D$9999*Raw_Data_Daily!$AA$2:$AA$9999)/SUMIFS(Raw_Data_Daily!$D:$D, Raw_Data_Daily!$B:$B, "Variant", Raw_Data_Daily!$A:$A, $A14, Raw_Data_Daily!$C:$C, $C$3),""))</f>
        <v/>
      </c>
      <c r="BX14" s="93" t="str">
        <f t="shared" si="25"/>
        <v/>
      </c>
      <c r="BY14" s="121" t="str">
        <f>IF($A14="","",IFERROR(SUMPRODUCT((Raw_Data_Daily!$B$2:$B$9999="Control")*(Raw_Data_Daily!$A$2:$A$9999=$A14)*(Raw_Data_Daily!$C$2:$C$9999=$C$3)*Raw_Data_Daily!$D$2:$D$9999*Raw_Data_Daily!$AB$2:$AB$9999)/SUMIFS(Raw_Data_Daily!$D:$D, Raw_Data_Daily!$B:$B, "Control", Raw_Data_Daily!$A:$A, $A14, Raw_Data_Daily!$C:$C, $C$3),""))</f>
        <v/>
      </c>
      <c r="BZ14" s="121" t="str">
        <f>IF($A14="","",IFERROR(SUMPRODUCT((Raw_Data_Daily!$B$2:$B$9999="Variant")*(Raw_Data_Daily!$A$2:$A$9999=$A14)*(Raw_Data_Daily!$C$2:$C$9999=$C$3)*Raw_Data_Daily!$D$2:$D$9999*Raw_Data_Daily!$AB$2:$AB$9999)/SUMIFS(Raw_Data_Daily!$D:$D, Raw_Data_Daily!$B:$B, "Variant", Raw_Data_Daily!$A:$A, $A14, Raw_Data_Daily!$C:$C, $C$3),""))</f>
        <v/>
      </c>
      <c r="CA14" s="96" t="str">
        <f t="shared" si="26"/>
        <v/>
      </c>
      <c r="CB14" s="121" t="str">
        <f>IF($A14="","",IFERROR(SUMPRODUCT((Raw_Data_Daily!$B$2:$B$9999="Control")*(Raw_Data_Daily!$A$2:$A$9999=$A14)*(Raw_Data_Daily!$C$2:$C$9999=$C$3)*Raw_Data_Daily!$D$2:$D$9999*Raw_Data_Daily!$AC$2:$AC$9999)/SUMIFS(Raw_Data_Daily!$D:$D, Raw_Data_Daily!$B:$B, "Control", Raw_Data_Daily!$A:$A, $A14, Raw_Data_Daily!$C:$C, $C$3),""))</f>
        <v/>
      </c>
      <c r="CC14" s="121" t="str">
        <f>IF($A14="","",IFERROR(SUMPRODUCT((Raw_Data_Daily!$B$2:$B$9999="Variant")*(Raw_Data_Daily!$A$2:$A$9999=$A14)*(Raw_Data_Daily!$C$2:$C$9999=$C$3)*Raw_Data_Daily!$D$2:$D$9999*Raw_Data_Daily!$AC$2:$AC$9999)/SUMIFS(Raw_Data_Daily!$D:$D, Raw_Data_Daily!$B:$B, "Variant", Raw_Data_Daily!$A:$A, $A14, Raw_Data_Daily!$C:$C, $C$3),""))</f>
        <v/>
      </c>
      <c r="CD14" s="96" t="str">
        <f t="shared" si="27"/>
        <v/>
      </c>
      <c r="CE14" s="121" t="str">
        <f>IF($A14="","",IFERROR(SUMPRODUCT((Raw_Data_Daily!$B$2:$B$9999="Control")*(Raw_Data_Daily!$A$2:$A$9999=$A14)*(Raw_Data_Daily!$C$2:$C$9999=$C$3)*Raw_Data_Daily!$D$2:$D$9999*Raw_Data_Daily!$AD$2:$AD$9999)/SUMIFS(Raw_Data_Daily!$D:$D, Raw_Data_Daily!$B:$B, "Control", Raw_Data_Daily!$A:$A, $A14, Raw_Data_Daily!$C:$C, $C$3),""))</f>
        <v/>
      </c>
      <c r="CF14" s="121" t="str">
        <f>IF($A14="","",IFERROR(SUMPRODUCT((Raw_Data_Daily!$B$2:$B$9999="Variant")*(Raw_Data_Daily!$A$2:$A$9999=$A14)*(Raw_Data_Daily!$C$2:$C$9999=$C$3)*Raw_Data_Daily!$D$2:$D$9999*Raw_Data_Daily!$AD$2:$AD$9999)/SUMIFS(Raw_Data_Daily!$D:$D, Raw_Data_Daily!$B:$B, "Variant", Raw_Data_Daily!$A:$A, $A14, Raw_Data_Daily!$C:$C, $C$3),""))</f>
        <v/>
      </c>
      <c r="CG14" s="96" t="str">
        <f t="shared" si="28"/>
        <v/>
      </c>
      <c r="CH14" s="121" t="str">
        <f>IF($A14="","",IFERROR(SUMPRODUCT((Raw_Data_Daily!$B$2:$B$9999="Control")*(Raw_Data_Daily!$A$2:$A$9999=$A14)*(Raw_Data_Daily!$C$2:$C$9999=$C$3)*Raw_Data_Daily!$D$2:$D$9999*Raw_Data_Daily!$AE$2:$AE$9999)/SUMIFS(Raw_Data_Daily!$D:$D, Raw_Data_Daily!$B:$B, "Control", Raw_Data_Daily!$A:$A, $A14, Raw_Data_Daily!$C:$C, $C$3),""))</f>
        <v/>
      </c>
      <c r="CI14" s="121" t="str">
        <f>IF($A14="","",IFERROR(SUMPRODUCT((Raw_Data_Daily!$B$2:$B$9999="Variant")*(Raw_Data_Daily!$A$2:$A$9999=$A14)*(Raw_Data_Daily!$C$2:$C$9999=$C$3)*Raw_Data_Daily!$D$2:$D$9999*Raw_Data_Daily!$AE$2:$AE$9999)/SUMIFS(Raw_Data_Daily!$D:$D, Raw_Data_Daily!$B:$B, "Variant", Raw_Data_Daily!$A:$A, $A14, Raw_Data_Daily!$C:$C, $C$3),""))</f>
        <v/>
      </c>
      <c r="CJ14" s="96" t="str">
        <f t="shared" si="29"/>
        <v/>
      </c>
      <c r="CK14" s="121" t="str">
        <f>IF($A14="","",IFERROR(SUMPRODUCT((Raw_Data_Daily!$B$2:$B$9999="Control")*(Raw_Data_Daily!$A$2:$A$9999=$A14)*(Raw_Data_Daily!$C$2:$C$9999=$C$3)*Raw_Data_Daily!$D$2:$D$9999*Raw_Data_Daily!$AF$2:$AF$9999)/SUMIFS(Raw_Data_Daily!$D:$D, Raw_Data_Daily!$B:$B, "Control", Raw_Data_Daily!$A:$A, $A14, Raw_Data_Daily!$C:$C, $C$3),""))</f>
        <v/>
      </c>
      <c r="CL14" s="121" t="str">
        <f>IF($A14="","",IFERROR(SUMPRODUCT((Raw_Data_Daily!$B$2:$B$9999="Variant")*(Raw_Data_Daily!$A$2:$A$9999=$A14)*(Raw_Data_Daily!$C$2:$C$9999=$C$3)*Raw_Data_Daily!$D$2:$D$9999*Raw_Data_Daily!$AF$2:$AF$9999)/SUMIFS(Raw_Data_Daily!$D:$D, Raw_Data_Daily!$B:$B, "Variant", Raw_Data_Daily!$A:$A, $A14, Raw_Data_Daily!$C:$C, $C$3),""))</f>
        <v/>
      </c>
      <c r="CM14" s="96" t="str">
        <f t="shared" si="30"/>
        <v/>
      </c>
      <c r="CN14" s="121" t="str">
        <f>IF($A14="","",IFERROR(SUMPRODUCT((Raw_Data_Daily!$B$2:$B$9999="Control")*(Raw_Data_Daily!$A$2:$A$9999=$A14)*(Raw_Data_Daily!$C$2:$C$9999=$C$3)*Raw_Data_Daily!$D$2:$D$9999*Raw_Data_Daily!$AG$2:$AG$9999)/SUMIFS(Raw_Data_Daily!$D:$D, Raw_Data_Daily!$B:$B, "Control", Raw_Data_Daily!$A:$A, $A14, Raw_Data_Daily!$C:$C, $C$3),""))</f>
        <v/>
      </c>
      <c r="CO14" s="121" t="str">
        <f>IF($A14="","",IFERROR(SUMPRODUCT((Raw_Data_Daily!$B$2:$B$9999="Variant")*(Raw_Data_Daily!$A$2:$A$9999=$A14)*(Raw_Data_Daily!$C$2:$C$9999=$C$3)*Raw_Data_Daily!$D$2:$D$9999*Raw_Data_Daily!$AG$2:$AG$9999)/SUMIFS(Raw_Data_Daily!$D:$D, Raw_Data_Daily!$B:$B, "Variant", Raw_Data_Daily!$A:$A, $A14, Raw_Data_Daily!$C:$C, $C$3),""))</f>
        <v/>
      </c>
      <c r="CP14" s="96" t="str">
        <f t="shared" si="31"/>
        <v/>
      </c>
      <c r="CQ14" s="121" t="str">
        <f>IF($A14="","",IFERROR(SUMPRODUCT((Raw_Data_Daily!$B$2:$B$9999="Control")*(Raw_Data_Daily!$A$2:$A$9999=$A14)*(Raw_Data_Daily!$C$2:$C$9999=$C$3)*Raw_Data_Daily!$D$2:$D$9999*Raw_Data_Daily!$AH$2:$AH$9999)/SUMIFS(Raw_Data_Daily!$D:$D, Raw_Data_Daily!$B:$B, "Control", Raw_Data_Daily!$A:$A, $A14, Raw_Data_Daily!$C:$C, $C$3),""))</f>
        <v/>
      </c>
      <c r="CR14" s="121" t="str">
        <f>IF($A14="","",IFERROR(SUMPRODUCT((Raw_Data_Daily!$B$2:$B$9999="Variant")*(Raw_Data_Daily!$A$2:$A$9999=$A14)*(Raw_Data_Daily!$C$2:$C$9999=$C$3)*Raw_Data_Daily!$D$2:$D$9999*Raw_Data_Daily!$AH$2:$AH$9999)/SUMIFS(Raw_Data_Daily!$D:$D, Raw_Data_Daily!$B:$B, "Variant", Raw_Data_Daily!$A:$A, $A14, Raw_Data_Daily!$C:$C, $C$3),""))</f>
        <v/>
      </c>
      <c r="CS14" s="96" t="str">
        <f t="shared" si="32"/>
        <v/>
      </c>
      <c r="CT14" s="94" t="str">
        <f>IF($A14="","",IFERROR(SUMPRODUCT((Raw_Data_Daily!$B$2:$B$9999="Control")*(Raw_Data_Daily!$A$2:$A$9999=$A14)*(Raw_Data_Daily!$C$2:$C$9999=$C$3)*Raw_Data_Daily!$D$2:$D$9999*Raw_Data_Daily!$AI$2:$AI$9999)/SUMIFS(Raw_Data_Daily!$D:$D, Raw_Data_Daily!$B:$B, "Control", Raw_Data_Daily!$A:$A, $A14, Raw_Data_Daily!$C:$C, $C$3),""))</f>
        <v/>
      </c>
      <c r="CU14" s="94" t="str">
        <f>IF($A14="","",IFERROR(SUMPRODUCT((Raw_Data_Daily!$B$2:$B$9999="Variant")*(Raw_Data_Daily!$A$2:$A$9999=$A14)*(Raw_Data_Daily!$C$2:$C$9999=$C$3)*Raw_Data_Daily!$D$2:$D$9999*Raw_Data_Daily!$AI$2:$AI$9999)/SUMIFS(Raw_Data_Daily!$D:$D, Raw_Data_Daily!$B:$B, "Variant", Raw_Data_Daily!$A:$A, $A14, Raw_Data_Daily!$C:$C, $C$3),""))</f>
        <v/>
      </c>
      <c r="CV14" s="142" t="str">
        <f t="shared" si="33"/>
        <v/>
      </c>
      <c r="CW14" s="94" t="str">
        <f>IF($A14="","",IFERROR(SUMPRODUCT((Raw_Data_Daily!$B$2:$B$9999="Control")*(Raw_Data_Daily!$A$2:$A$9999=$A14)*(Raw_Data_Daily!$C$2:$C$9999=$C$3)*Raw_Data_Daily!$D$2:$D$9999*Raw_Data_Daily!$AJ$2:$AJ$9999)/SUMIFS(Raw_Data_Daily!$D:$D, Raw_Data_Daily!$B:$B, "Control", Raw_Data_Daily!$A:$A, $A14, Raw_Data_Daily!$C:$C, $C$3),""))</f>
        <v/>
      </c>
      <c r="CX14" s="94" t="str">
        <f>IF($A14="","",IFERROR(SUMPRODUCT((Raw_Data_Daily!$B$2:$B$9999="Variant")*(Raw_Data_Daily!$A$2:$A$9999=$A14)*(Raw_Data_Daily!$C$2:$C$9999=$C$3)*Raw_Data_Daily!$D$2:$D$9999*Raw_Data_Daily!$AJ$2:$AJ$9999)/SUMIFS(Raw_Data_Daily!$D:$D, Raw_Data_Daily!$B:$B, "Variant", Raw_Data_Daily!$A:$A, $A14, Raw_Data_Daily!$C:$C, $C$3),""))</f>
        <v/>
      </c>
      <c r="CY14" s="142" t="str">
        <f t="shared" si="34"/>
        <v/>
      </c>
      <c r="CZ14" s="94" t="str">
        <f>IF($A14="","",IFERROR(SUMPRODUCT((Raw_Data_Daily!$B$2:$B$9999="Control")*(Raw_Data_Daily!$A$2:$A$9999=$A14)*(Raw_Data_Daily!$C$2:$C$9999=$C$3)*Raw_Data_Daily!$D$2:$D$9999*Raw_Data_Daily!$AK$2:$AK$9999)/SUMIFS(Raw_Data_Daily!$D:$D, Raw_Data_Daily!$B:$B, "Control", Raw_Data_Daily!$A:$A, $A14, Raw_Data_Daily!$C:$C, $C$3),""))</f>
        <v/>
      </c>
      <c r="DA14" s="94" t="str">
        <f>IF($A14="","",IFERROR(SUMPRODUCT((Raw_Data_Daily!$B$2:$B$9999="Variant")*(Raw_Data_Daily!$A$2:$A$9999=$A14)*(Raw_Data_Daily!$C$2:$C$9999=$C$3)*Raw_Data_Daily!$D$2:$D$9999*Raw_Data_Daily!$AK$2:$AK$9999)/SUMIFS(Raw_Data_Daily!$D:$D, Raw_Data_Daily!$B:$B, "Variant", Raw_Data_Daily!$A:$A, $A14, Raw_Data_Daily!$C:$C, $C$3),""))</f>
        <v/>
      </c>
      <c r="DB14" s="96" t="str">
        <f t="shared" si="35"/>
        <v/>
      </c>
      <c r="DC14" s="139" t="str">
        <f>IF($A14="","",IFERROR(SUMPRODUCT((Raw_Data_Daily!$B$2:$B$9999="Control")*(Raw_Data_Daily!$A$2:$A$9999=$A14)*(Raw_Data_Daily!$C$2:$C$9999=$C$3)*Raw_Data_Daily!$D$2:$D$9999*Raw_Data_Daily!$AL$2:$AL$9999)/SUMIFS(Raw_Data_Daily!$D:$D, Raw_Data_Daily!$B:$B, "Control", Raw_Data_Daily!$A:$A, $A14, Raw_Data_Daily!$C:$C, $C$3),""))</f>
        <v/>
      </c>
      <c r="DD14" s="139" t="str">
        <f>IF($A14="","",IFERROR(SUMPRODUCT((Raw_Data_Daily!$B$2:$B$9999="Variant")*(Raw_Data_Daily!$A$2:$A$9999=$A14)*(Raw_Data_Daily!$C$2:$C$9999=$C$3)*Raw_Data_Daily!$D$2:$D$9999*Raw_Data_Daily!$AL$2:$AL$9999)/SUMIFS(Raw_Data_Daily!$D:$D, Raw_Data_Daily!$B:$B, "Variant", Raw_Data_Daily!$A:$A, $A14, Raw_Data_Daily!$C:$C, $C$3),""))</f>
        <v/>
      </c>
      <c r="DE14" s="142" t="str">
        <f t="shared" si="36"/>
        <v/>
      </c>
      <c r="DF14" s="168"/>
      <c r="DG14" s="94" t="str">
        <f>IF($A14="","",IFERROR(SUMPRODUCT((Raw_Data_Daily!$B$2:$B$9999="Variant")*(Raw_Data_Daily!$A$2:$A$9999=$A14)*(Raw_Data_Daily!$C$2:$C$9999=$C$3)*Raw_Data_Daily!$D$2:$D$9999*Raw_Data_Daily!$AM$2:$AM$9999)/SUMIFS(Raw_Data_Daily!$D:$D, Raw_Data_Daily!$B:$B, "Variant", Raw_Data_Daily!$A:$A, $A14, Raw_Data_Daily!$C:$C, $C$3),""))</f>
        <v/>
      </c>
      <c r="DH14" s="169"/>
      <c r="DI14" s="168"/>
      <c r="DJ14" s="94" t="str">
        <f>IF($A14="","",IFERROR(SUMPRODUCT((Raw_Data_Daily!$B$2:$B$9999="Variant")*(Raw_Data_Daily!$A$2:$A$9999=$A14)*(Raw_Data_Daily!$C$2:$C$9999=$C$3)*Raw_Data_Daily!$D$2:$D$9999*Raw_Data_Daily!$AN$2:$AN$9999)/SUMIFS(Raw_Data_Daily!$D:$D, Raw_Data_Daily!$B:$B, "Variant", Raw_Data_Daily!$A:$A, $A14, Raw_Data_Daily!$C:$C, $C$3),""))</f>
        <v/>
      </c>
      <c r="DK14" s="169"/>
      <c r="DL14" s="168"/>
      <c r="DM14" s="94" t="str">
        <f>IF($A14="","",IFERROR(SUMPRODUCT((Raw_Data_Daily!$B$2:$B$9999="Variant")*(Raw_Data_Daily!$A$2:$A$9999=$A14)*(Raw_Data_Daily!$C$2:$C$9999=$C$3)*Raw_Data_Daily!$D$2:$D$9999*Raw_Data_Daily!$AO$2:$AO$9999)/SUMIFS(Raw_Data_Daily!$D:$D, Raw_Data_Daily!$B:$B, "Variant", Raw_Data_Daily!$A:$A, $A14, Raw_Data_Daily!$C:$C, $C$3),""))</f>
        <v/>
      </c>
      <c r="DN14" s="169"/>
      <c r="DO14" s="168"/>
      <c r="DP14" s="94" t="str">
        <f>IF($A14="","",IFERROR(SUMPRODUCT((Raw_Data_Daily!$B$2:$B$9999="Variant")*(Raw_Data_Daily!$A$2:$A$9999=$A14)*(Raw_Data_Daily!$C$2:$C$9999=$C$3)*Raw_Data_Daily!$D$2:$D$9999*Raw_Data_Daily!$AP$2:$AP$9999)/SUMIFS(Raw_Data_Daily!$D:$D, Raw_Data_Daily!$B:$B, "Variant", Raw_Data_Daily!$A:$A, $A14, Raw_Data_Daily!$C:$C, $C$3),""))</f>
        <v/>
      </c>
      <c r="DQ14" s="169"/>
      <c r="DR14" s="139" t="str">
        <f>IF($A14="","",IFERROR(SUMPRODUCT((Raw_Data_Daily!$B$2:$B$9999="Control")*(Raw_Data_Daily!$A$2:$A$9999=$A14)*(Raw_Data_Daily!$C$2:$C$9999=$C$3)*Raw_Data_Daily!$D$2:$D$9999*Raw_Data_Daily!$AQ$2:$AQ$9999)/SUMIFS(Raw_Data_Daily!$D:$D, Raw_Data_Daily!$B:$B, "Control", Raw_Data_Daily!$A:$A, $A14, Raw_Data_Daily!$C:$C, $C$3),""))</f>
        <v/>
      </c>
      <c r="DS14" s="139" t="str">
        <f>IF($A14="","",IFERROR(SUMPRODUCT((Raw_Data_Daily!$B$2:$B$9999="Variant")*(Raw_Data_Daily!$A$2:$A$9999=$A14)*(Raw_Data_Daily!$C$2:$C$9999=$C$3)*Raw_Data_Daily!$D$2:$D$9999*Raw_Data_Daily!$AQ$2:$AQ$9999)/SUMIFS(Raw_Data_Daily!$D:$D, Raw_Data_Daily!$B:$B, "Variant", Raw_Data_Daily!$A:$A, $A14, Raw_Data_Daily!$C:$C, $C$3),""))</f>
        <v/>
      </c>
      <c r="DT14" s="173" t="str">
        <f t="shared" si="37"/>
        <v/>
      </c>
      <c r="DU14" s="139" t="str">
        <f>IF($A14="","",IFERROR(SUMPRODUCT((Raw_Data_Daily!$B$2:$B$9999="Control")*(Raw_Data_Daily!$A$2:$A$9999=$A14)*(Raw_Data_Daily!$C$2:$C$9999=$C$3)*Raw_Data_Daily!$D$2:$D$9999*Raw_Data_Daily!$AR$2:$AR$9999)/SUMIFS(Raw_Data_Daily!$D:$D, Raw_Data_Daily!$B:$B, "Control", Raw_Data_Daily!$A:$A, $A14, Raw_Data_Daily!$C:$C, $C$3),""))</f>
        <v/>
      </c>
      <c r="DV14" s="139" t="str">
        <f>IF($A14="","",IFERROR(SUMPRODUCT((Raw_Data_Daily!$B$2:$B$9999="Variant")*(Raw_Data_Daily!$A$2:$A$9999=$A14)*(Raw_Data_Daily!$C$2:$C$9999=$C$3)*Raw_Data_Daily!$D$2:$D$9999*Raw_Data_Daily!$AR$2:$AR$9999)/SUMIFS(Raw_Data_Daily!$D:$D, Raw_Data_Daily!$B:$B, "Variant", Raw_Data_Daily!$A:$A, $A14, Raw_Data_Daily!$C:$C, $C$3),""))</f>
        <v/>
      </c>
      <c r="DW14" s="173" t="str">
        <f t="shared" si="38"/>
        <v/>
      </c>
      <c r="DX14" s="139" t="str">
        <f>IF($A14="","",IFERROR(SUMPRODUCT((Raw_Data_Daily!$B$2:$B$9999="Control")*(Raw_Data_Daily!$A$2:$A$9999=$A14)*(Raw_Data_Daily!$C$2:$C$9999=$C$3)*Raw_Data_Daily!$D$2:$D$9999*Raw_Data_Daily!$AS$2:$AS$9999)/SUMIFS(Raw_Data_Daily!$D:$D, Raw_Data_Daily!$B:$B, "Control", Raw_Data_Daily!$A:$A, $A14, Raw_Data_Daily!$C:$C, $C$3),""))</f>
        <v/>
      </c>
      <c r="DY14" s="139" t="str">
        <f>IF($A14="","",IFERROR(SUMPRODUCT((Raw_Data_Daily!$B$2:$B$9999="Variant")*(Raw_Data_Daily!$A$2:$A$9999=$A14)*(Raw_Data_Daily!$C$2:$C$9999=$C$3)*Raw_Data_Daily!$D$2:$D$9999*Raw_Data_Daily!$AS$2:$AS$9999)/SUMIFS(Raw_Data_Daily!$D:$D, Raw_Data_Daily!$B:$B, "Variant", Raw_Data_Daily!$A:$A, $A14, Raw_Data_Daily!$C:$C, $C$3),""))</f>
        <v/>
      </c>
      <c r="DZ14" s="174" t="str">
        <f t="shared" si="39"/>
        <v/>
      </c>
      <c r="EA14" s="139" t="str">
        <f>IF($A14="","",IFERROR(SUMPRODUCT((Raw_Data_Daily!$B$2:$B$9999="Control")*(Raw_Data_Daily!$A$2:$A$9999=$A14)*(Raw_Data_Daily!$C$2:$C$9999=$C$3)*Raw_Data_Daily!$D$2:$D$9999*Raw_Data_Daily!$AT$2:$AT$9999)/SUMIFS(Raw_Data_Daily!$D:$D, Raw_Data_Daily!$B:$B, "Control", Raw_Data_Daily!$A:$A, $A14, Raw_Data_Daily!$C:$C, $C$3),""))</f>
        <v/>
      </c>
      <c r="EB14" s="139" t="str">
        <f>IF($A14="","",IFERROR(SUMPRODUCT((Raw_Data_Daily!$B$2:$B$9999="Variant")*(Raw_Data_Daily!$A$2:$A$9999=$A14)*(Raw_Data_Daily!$C$2:$C$9999=$C$3)*Raw_Data_Daily!$D$2:$D$9999*Raw_Data_Daily!$AT$2:$AT$9999)/SUMIFS(Raw_Data_Daily!$D:$D, Raw_Data_Daily!$B:$B, "Variant", Raw_Data_Daily!$A:$A, $A14, Raw_Data_Daily!$C:$C, $C$3),""))</f>
        <v/>
      </c>
      <c r="EC14" s="173" t="str">
        <f t="shared" si="40"/>
        <v/>
      </c>
      <c r="ED14" s="139" t="str">
        <f>IF($A14="","",IFERROR(SUMPRODUCT((Raw_Data_Daily!$B$2:$B$9999="Control")*(Raw_Data_Daily!$A$2:$A$9999=$A14)*(Raw_Data_Daily!$C$2:$C$9999=$C$3)*Raw_Data_Daily!$D$2:$D$9999*(Raw_Data_Daily!$AQ$2:$AQ$9999-Raw_Data_Daily!$AT$2:$AT$9999))/SUMIFS(Raw_Data_Daily!$D:$D, Raw_Data_Daily!$B:$B, "Control", Raw_Data_Daily!$A:$A, $A14, Raw_Data_Daily!$C:$C, $C$3),""))</f>
        <v/>
      </c>
      <c r="EE14" s="139" t="str">
        <f>IF($A14="","",IFERROR(SUMPRODUCT((Raw_Data_Daily!$B$2:$B$9999="Variant")*(Raw_Data_Daily!$A$2:$A$9999=$A14)*(Raw_Data_Daily!$C$2:$C$9999=$C$3)*Raw_Data_Daily!$D$2:$D$9999*(Raw_Data_Daily!$AQ$2:$AQ$9999-Raw_Data_Daily!$AT$2:$AT$9999))/SUMIFS(Raw_Data_Daily!$D:$D, Raw_Data_Daily!$B:$B, "Variant", Raw_Data_Daily!$A:$A, $A14, Raw_Data_Daily!$C:$C, $C$3),""))</f>
        <v/>
      </c>
      <c r="EF14" s="174" t="str">
        <f t="shared" si="41"/>
        <v/>
      </c>
      <c r="EG14" s="139" t="str">
        <f>IF($A14="","",IFERROR(SUMPRODUCT((Raw_Data_Daily!$B$2:$B$9999="Control")*(Raw_Data_Daily!$A$2:$A$9999=$A14)*(Raw_Data_Daily!$C$2:$C$9999=$C$3)*Raw_Data_Daily!$D$2:$D$9999*Raw_Data_Daily!$AU$2:$AU$9999)/SUMIFS(Raw_Data_Daily!$D:$D, Raw_Data_Daily!$B:$B, "Control", Raw_Data_Daily!$A:$A, $A14, Raw_Data_Daily!$C:$C, $C$3),""))</f>
        <v/>
      </c>
      <c r="EH14" s="139" t="str">
        <f>IF($A14="","",IFERROR(SUMPRODUCT((Raw_Data_Daily!$B$2:$B$9999="Variant")*(Raw_Data_Daily!$A$2:$A$9999=$A14)*(Raw_Data_Daily!$C$2:$C$9999=$C$3)*Raw_Data_Daily!$D$2:$D$9999*Raw_Data_Daily!$AU$2:$AU$9999)/SUMIFS(Raw_Data_Daily!$D:$D, Raw_Data_Daily!$B:$B, "Variant", Raw_Data_Daily!$A:$A, $A14, Raw_Data_Daily!$C:$C, $C$3),""))</f>
        <v/>
      </c>
      <c r="EI14" s="173" t="str">
        <f t="shared" si="42"/>
        <v/>
      </c>
    </row>
    <row r="15" ht="15.75" customHeight="1">
      <c r="A15" s="91">
        <v>46238.0</v>
      </c>
      <c r="B15" s="92">
        <f>IF($A15="","",SUMIFS(Raw_Data_Daily!$D:$D, Raw_Data_Daily!$B:$B, "Control", Raw_Data_Daily!$A:$A, $A15, Raw_Data_Daily!$C:$C, $C$3))</f>
        <v>0</v>
      </c>
      <c r="C15" s="92">
        <f>IF($A15="","",SUMIFS(Raw_Data_Daily!$D:$D, Raw_Data_Daily!$B:$B, "Variant", Raw_Data_Daily!$A:$A, $A15, Raw_Data_Daily!$C:$C, $C$3))</f>
        <v>0</v>
      </c>
      <c r="D15" s="93" t="str">
        <f t="shared" si="1"/>
        <v/>
      </c>
      <c r="E15" s="94" t="str">
        <f>IF($A15="","",IFERROR(SUMPRODUCT((Raw_Data_Daily!$B$2:$B$9999="Control")*(Raw_Data_Daily!$A$2:$A$9999=$A15)*(Raw_Data_Daily!$C$2:$C$9999=$C$3)*Raw_Data_Daily!$D$2:$D$9999*Raw_Data_Daily!$E$2:$E$9999)/SUMIFS(Raw_Data_Daily!$D:$D, Raw_Data_Daily!$B:$B, "Control", Raw_Data_Daily!$A:$A, $A15, Raw_Data_Daily!$C:$C, $C$3),""))</f>
        <v/>
      </c>
      <c r="F15" s="94" t="str">
        <f>IF($A15="","",IFERROR(SUMPRODUCT((Raw_Data_Daily!$B$2:$B$9999="Variant")*(Raw_Data_Daily!$A$2:$A$9999=$A15)*(Raw_Data_Daily!$C$2:$C$9999=$C$3)*Raw_Data_Daily!$D$2:$D$9999*Raw_Data_Daily!$E$2:$E$9999)/SUMIFS(Raw_Data_Daily!$D:$D, Raw_Data_Daily!$B:$B, "Variant", Raw_Data_Daily!$A:$A, $A15, Raw_Data_Daily!$C:$C, $C$3),""))</f>
        <v/>
      </c>
      <c r="G15" s="93" t="str">
        <f t="shared" si="2"/>
        <v/>
      </c>
      <c r="H15" s="95">
        <f>IF($A15="","",SUMIFS(Raw_Data_Daily!$F:$F, Raw_Data_Daily!$B:$B, "Control", Raw_Data_Daily!$A:$A, $A15, Raw_Data_Daily!$C:$C, $C$3))</f>
        <v>0</v>
      </c>
      <c r="I15" s="95">
        <f>IF($A15="","",SUMIFS(Raw_Data_Daily!$F:$F, Raw_Data_Daily!$B:$B, "Variant", Raw_Data_Daily!$A:$A, $A15, Raw_Data_Daily!$C:$C, $C$3))</f>
        <v>0</v>
      </c>
      <c r="J15" s="96" t="str">
        <f t="shared" si="3"/>
        <v/>
      </c>
      <c r="K15" s="97" t="str">
        <f>IF($A15="","",IFERROR(SUMIFS(Raw_Data_Daily!$F:$F, Raw_Data_Daily!$B:$B, "Control", Raw_Data_Daily!$A:$A, $A15, Raw_Data_Daily!$C:$C, $C$3)/SUMIFS(Raw_Data_Daily!$D:$D, Raw_Data_Daily!$B:$B, "Control", Raw_Data_Daily!$A:$A, $A15, Raw_Data_Daily!$C:$C, $C$3),""))</f>
        <v/>
      </c>
      <c r="L15" s="97" t="str">
        <f>IF($A15="","",IFERROR(SUMIFS(Raw_Data_Daily!$F:$F, Raw_Data_Daily!$B:$B, "Variant", Raw_Data_Daily!$A:$A, $A15, Raw_Data_Daily!$C:$C, $C$3)/SUMIFS(Raw_Data_Daily!$D:$D, Raw_Data_Daily!$B:$B, "Variant", Raw_Data_Daily!$A:$A, $A15, Raw_Data_Daily!$C:$C, $C$3),""))</f>
        <v/>
      </c>
      <c r="M15" s="96" t="str">
        <f t="shared" si="4"/>
        <v/>
      </c>
      <c r="N15" s="94" t="str">
        <f>IF($A15="","",IFERROR(SUMPRODUCT((Raw_Data_Daily!$B$2:$B$9999="Control")*(Raw_Data_Daily!$A$2:$A$9999=$A15)*(Raw_Data_Daily!$C$2:$C$9999=$C$3)*Raw_Data_Daily!$D$2:$D$9999*Raw_Data_Daily!$H$2:$H$9999/100)/SUMIFS(Raw_Data_Daily!$D:$D, Raw_Data_Daily!$B:$B, "Control", Raw_Data_Daily!$A:$A, $A15, Raw_Data_Daily!$C:$C, $C$3)*100,""))</f>
        <v/>
      </c>
      <c r="O15" s="94" t="str">
        <f>IF($A15="","",IFERROR(SUMPRODUCT((Raw_Data_Daily!$B$2:$B$9999="Variant")*(Raw_Data_Daily!$A$2:$A$9999=$A15)*(Raw_Data_Daily!$C$2:$C$9999=$C$3)*Raw_Data_Daily!$D$2:$D$9999*Raw_Data_Daily!$H$2:$H$9999/100)/SUMIFS(Raw_Data_Daily!$D:$D, Raw_Data_Daily!$B:$B, "Variant", Raw_Data_Daily!$A:$A, $A15, Raw_Data_Daily!$C:$C, $C$3)*100,""))</f>
        <v/>
      </c>
      <c r="P15" s="96" t="str">
        <f t="shared" si="5"/>
        <v/>
      </c>
      <c r="Q15" s="97" t="str">
        <f>IF($A15="","",IFERROR(SUMIFS(Raw_Data_Daily!$F:$F, Raw_Data_Daily!$B:$B, "Control", Raw_Data_Daily!$A:$A, $A15, Raw_Data_Daily!$C:$C, $C$3)/SUMPRODUCT((Raw_Data_Daily!$B$2:$B$9999="Control")*(Raw_Data_Daily!$A$2:$A$9999=$A15)*(Raw_Data_Daily!$C$2:$C$9999=$C$3)*Raw_Data_Daily!$D$2:$D$9999*Raw_Data_Daily!$H$2:$H$9999/100),""))</f>
        <v/>
      </c>
      <c r="R15" s="97" t="str">
        <f>IF($A15="","",IFERROR(SUMIFS(Raw_Data_Daily!$F:$F, Raw_Data_Daily!$B:$B, "Variant", Raw_Data_Daily!$A:$A, $A15, Raw_Data_Daily!$C:$C, $C$3)/SUMPRODUCT((Raw_Data_Daily!$B$2:$B$9999="Variant")*(Raw_Data_Daily!$A$2:$A$9999=$A15)*(Raw_Data_Daily!$C$2:$C$9999=$C$3)*Raw_Data_Daily!$D$2:$D$9999*Raw_Data_Daily!$H$2:$H$9999/100),""))</f>
        <v/>
      </c>
      <c r="S15" s="96" t="str">
        <f t="shared" si="6"/>
        <v/>
      </c>
      <c r="T15" s="121" t="str">
        <f>IF($A15="","",IFERROR(SUMPRODUCT((Raw_Data_Daily!$B$2:$B$9999="Control")*(Raw_Data_Daily!$A$2:$A$9999=$A15)*(Raw_Data_Daily!$C$2:$C$9999=$C$3)*Raw_Data_Daily!$D$2:$D$9999*Raw_Data_Daily!$J$2:$J$9999)/SUMIFS(Raw_Data_Daily!$D:$D, Raw_Data_Daily!$B:$B, "Control", Raw_Data_Daily!$A:$A, $A15, Raw_Data_Daily!$C:$C, $C$3),""))</f>
        <v/>
      </c>
      <c r="U15" s="121" t="str">
        <f>IF($A15="","",IFERROR(SUMPRODUCT((Raw_Data_Daily!$B$2:$B$9999="Variant")*(Raw_Data_Daily!$A$2:$A$9999=$A15)*(Raw_Data_Daily!$C$2:$C$9999=$C$3)*Raw_Data_Daily!$D$2:$D$9999*Raw_Data_Daily!$J$2:$J$9999)/SUMIFS(Raw_Data_Daily!$D:$D, Raw_Data_Daily!$B:$B, "Variant", Raw_Data_Daily!$A:$A, $A15, Raw_Data_Daily!$C:$C, $C$3),""))</f>
        <v/>
      </c>
      <c r="V15" s="96" t="str">
        <f t="shared" si="7"/>
        <v/>
      </c>
      <c r="W15" s="121" t="str">
        <f>IF($A15="","",IFERROR(SUMPRODUCT((Raw_Data_Daily!$B$2:$B$9999="Control")*(Raw_Data_Daily!$A$2:$A$9999=$A15)*(Raw_Data_Daily!$C$2:$C$9999=$C$3)*Raw_Data_Daily!$D$2:$D$9999*Raw_Data_Daily!$K$2:$K$9999)/SUMIFS(Raw_Data_Daily!$D:$D, Raw_Data_Daily!$B:$B, "Control", Raw_Data_Daily!$A:$A, $A15, Raw_Data_Daily!$C:$C, $C$3),""))</f>
        <v/>
      </c>
      <c r="X15" s="121" t="str">
        <f>IF($A15="","",IFERROR(SUMPRODUCT((Raw_Data_Daily!$B$2:$B$9999="Variant")*(Raw_Data_Daily!$A$2:$A$9999=$A15)*(Raw_Data_Daily!$C$2:$C$9999=$C$3)*Raw_Data_Daily!$D$2:$D$9999*Raw_Data_Daily!$K$2:$K$9999)/SUMIFS(Raw_Data_Daily!$D:$D, Raw_Data_Daily!$B:$B, "Variant", Raw_Data_Daily!$A:$A, $A15, Raw_Data_Daily!$C:$C, $C$3),""))</f>
        <v/>
      </c>
      <c r="Y15" s="96" t="str">
        <f t="shared" si="8"/>
        <v/>
      </c>
      <c r="Z15" s="121" t="str">
        <f>IF($A15="","",IFERROR(SUMPRODUCT((Raw_Data_Daily!$B$2:$B$9999="Control")*(Raw_Data_Daily!$A$2:$A$9999=$A15)*(Raw_Data_Daily!$C$2:$C$9999=$C$3)*Raw_Data_Daily!$D$2:$D$9999*Raw_Data_Daily!$L$2:$L$9999)/SUMIFS(Raw_Data_Daily!$D:$D, Raw_Data_Daily!$B:$B, "Control", Raw_Data_Daily!$A:$A, $A15, Raw_Data_Daily!$C:$C, $C$3),""))</f>
        <v/>
      </c>
      <c r="AA15" s="121" t="str">
        <f>IF($A15="","",IFERROR(SUMPRODUCT((Raw_Data_Daily!$B$2:$B$9999="Variant")*(Raw_Data_Daily!$A$2:$A$9999=$A15)*(Raw_Data_Daily!$C$2:$C$9999=$C$3)*Raw_Data_Daily!$D$2:$D$9999*Raw_Data_Daily!$L$2:$L$9999)/SUMIFS(Raw_Data_Daily!$D:$D, Raw_Data_Daily!$B:$B, "Variant", Raw_Data_Daily!$A:$A, $A15, Raw_Data_Daily!$C:$C, $C$3),""))</f>
        <v/>
      </c>
      <c r="AB15" s="96" t="str">
        <f t="shared" si="9"/>
        <v/>
      </c>
      <c r="AC15" s="139" t="str">
        <f>IF($A15="","",IFERROR(SUMPRODUCT((Raw_Data_Daily!$B$2:$B$9999="Control")*(Raw_Data_Daily!$A$2:$A$9999=$A15)*(Raw_Data_Daily!$C$2:$C$9999=$C$3)*Raw_Data_Daily!$D$2:$D$9999*Raw_Data_Daily!$M$2:$M$9999)/SUMIFS(Raw_Data_Daily!$D:$D, Raw_Data_Daily!$B:$B, "Control", Raw_Data_Daily!$A:$A, $A15, Raw_Data_Daily!$C:$C, $C$3),""))</f>
        <v/>
      </c>
      <c r="AD15" s="139" t="str">
        <f>IF($A15="","",IFERROR(SUMPRODUCT((Raw_Data_Daily!$B$2:$B$9999="Variant")*(Raw_Data_Daily!$A$2:$A$9999=$A15)*(Raw_Data_Daily!$C$2:$C$9999=$C$3)*Raw_Data_Daily!$D$2:$D$9999*Raw_Data_Daily!$M$2:$M$9999)/SUMIFS(Raw_Data_Daily!$D:$D, Raw_Data_Daily!$B:$B, "Variant", Raw_Data_Daily!$A:$A, $A15, Raw_Data_Daily!$C:$C, $C$3),""))</f>
        <v/>
      </c>
      <c r="AE15" s="142" t="str">
        <f t="shared" si="10"/>
        <v/>
      </c>
      <c r="AF15" s="139" t="str">
        <f>IF($A15="","",IFERROR(SUMPRODUCT((Raw_Data_Daily!$B$2:$B$9999="Control")*(Raw_Data_Daily!$A$2:$A$9999=$A15)*(Raw_Data_Daily!$C$2:$C$9999=$C$3)*Raw_Data_Daily!$D$2:$D$9999*Raw_Data_Daily!$N$2:$N$9999)/SUMIFS(Raw_Data_Daily!$D:$D, Raw_Data_Daily!$B:$B, "Control", Raw_Data_Daily!$A:$A, $A15, Raw_Data_Daily!$C:$C, $C$3),""))</f>
        <v/>
      </c>
      <c r="AG15" s="139" t="str">
        <f>IF($A15="","",IFERROR(SUMPRODUCT((Raw_Data_Daily!$B$2:$B$9999="Variant")*(Raw_Data_Daily!$A$2:$A$9999=$A15)*(Raw_Data_Daily!$C$2:$C$9999=$C$3)*Raw_Data_Daily!$D$2:$D$9999*Raw_Data_Daily!$N$2:$N$9999)/SUMIFS(Raw_Data_Daily!$D:$D, Raw_Data_Daily!$B:$B, "Variant", Raw_Data_Daily!$A:$A, $A15, Raw_Data_Daily!$C:$C, $C$3),""))</f>
        <v/>
      </c>
      <c r="AH15" s="142" t="str">
        <f t="shared" si="11"/>
        <v/>
      </c>
      <c r="AI15" s="139" t="str">
        <f>IF($A15="","",IFERROR(SUMPRODUCT((Raw_Data_Daily!$B$2:$B$9999="Control")*(Raw_Data_Daily!$A$2:$A$9999=$A15)*(Raw_Data_Daily!$C$2:$C$9999=$C$3)*Raw_Data_Daily!$D$2:$D$9999*Raw_Data_Daily!$O$2:$O$9999)/SUMIFS(Raw_Data_Daily!$D:$D, Raw_Data_Daily!$B:$B, "Control", Raw_Data_Daily!$A:$A, $A15, Raw_Data_Daily!$C:$C, $C$3),""))</f>
        <v/>
      </c>
      <c r="AJ15" s="139" t="str">
        <f>IF($A15="","",IFERROR(SUMPRODUCT((Raw_Data_Daily!$B$2:$B$9999="Variant")*(Raw_Data_Daily!$A$2:$A$9999=$A15)*(Raw_Data_Daily!$C$2:$C$9999=$C$3)*Raw_Data_Daily!$D$2:$D$9999*Raw_Data_Daily!$O$2:$O$9999)/SUMIFS(Raw_Data_Daily!$D:$D, Raw_Data_Daily!$B:$B, "Variant", Raw_Data_Daily!$A:$A, $A15, Raw_Data_Daily!$C:$C, $C$3),""))</f>
        <v/>
      </c>
      <c r="AK15" s="96" t="str">
        <f t="shared" si="12"/>
        <v/>
      </c>
      <c r="AL15" s="121" t="str">
        <f>IF($A15="","",IFERROR(SUMPRODUCT((Raw_Data_Daily!$B$2:$B$9999="Control")*(Raw_Data_Daily!$A$2:$A$9999=$A15)*(Raw_Data_Daily!$C$2:$C$9999=$C$3)*Raw_Data_Daily!$D$2:$D$9999*Raw_Data_Daily!$P$2:$P$9999)/SUMIFS(Raw_Data_Daily!$D:$D, Raw_Data_Daily!$B:$B, "Control", Raw_Data_Daily!$A:$A, $A15, Raw_Data_Daily!$C:$C, $C$3),""))</f>
        <v/>
      </c>
      <c r="AM15" s="121" t="str">
        <f>IF($A15="","",IFERROR(SUMPRODUCT((Raw_Data_Daily!$B$2:$B$9999="Variant")*(Raw_Data_Daily!$A$2:$A$9999=$A15)*(Raw_Data_Daily!$C$2:$C$9999=$C$3)*Raw_Data_Daily!$D$2:$D$9999*Raw_Data_Daily!$P$2:$P$9999)/SUMIFS(Raw_Data_Daily!$D:$D, Raw_Data_Daily!$B:$B, "Variant", Raw_Data_Daily!$A:$A, $A15, Raw_Data_Daily!$C:$C, $C$3),""))</f>
        <v/>
      </c>
      <c r="AN15" s="96" t="str">
        <f t="shared" si="13"/>
        <v/>
      </c>
      <c r="AO15" s="121" t="str">
        <f>IF($A15="","",IFERROR(SUMPRODUCT((Raw_Data_Daily!$B$2:$B$9999="Control")*(Raw_Data_Daily!$A$2:$A$9999=$A15)*(Raw_Data_Daily!$C$2:$C$9999=$C$3)*Raw_Data_Daily!$D$2:$D$9999*Raw_Data_Daily!$Q$2:$Q$9999)/SUMIFS(Raw_Data_Daily!$D:$D, Raw_Data_Daily!$B:$B, "Control", Raw_Data_Daily!$A:$A, $A15, Raw_Data_Daily!$C:$C, $C$3),""))</f>
        <v/>
      </c>
      <c r="AP15" s="121" t="str">
        <f>IF($A15="","",IFERROR(SUMPRODUCT((Raw_Data_Daily!$B$2:$B$9999="Variant")*(Raw_Data_Daily!$A$2:$A$9999=$A15)*(Raw_Data_Daily!$C$2:$C$9999=$C$3)*Raw_Data_Daily!$D$2:$D$9999*Raw_Data_Daily!$Q$2:$Q$9999)/SUMIFS(Raw_Data_Daily!$D:$D, Raw_Data_Daily!$B:$B, "Variant", Raw_Data_Daily!$A:$A, $A15, Raw_Data_Daily!$C:$C, $C$3),""))</f>
        <v/>
      </c>
      <c r="AQ15" s="93" t="str">
        <f t="shared" si="14"/>
        <v/>
      </c>
      <c r="AR15" s="121" t="str">
        <f>IF($A15="","",IFERROR(SUMPRODUCT((Raw_Data_Daily!$B$2:$B$9999="Control")*(Raw_Data_Daily!$A$2:$A$9999=$A15)*(Raw_Data_Daily!$C$2:$C$9999=$C$3)*Raw_Data_Daily!$D$2:$D$9999*Raw_Data_Daily!$R$2:$R$9999)/SUMIFS(Raw_Data_Daily!$D:$D, Raw_Data_Daily!$B:$B, "Control", Raw_Data_Daily!$A:$A, $A15, Raw_Data_Daily!$C:$C, $C$3),""))</f>
        <v/>
      </c>
      <c r="AS15" s="121" t="str">
        <f>IF($A15="","",IFERROR(SUMPRODUCT((Raw_Data_Daily!$B$2:$B$9999="Variant")*(Raw_Data_Daily!$A$2:$A$9999=$A15)*(Raw_Data_Daily!$C$2:$C$9999=$C$3)*Raw_Data_Daily!$D$2:$D$9999*Raw_Data_Daily!$R$2:$R$9999)/SUMIFS(Raw_Data_Daily!$D:$D, Raw_Data_Daily!$B:$B, "Variant", Raw_Data_Daily!$A:$A, $A15, Raw_Data_Daily!$C:$C, $C$3),""))</f>
        <v/>
      </c>
      <c r="AT15" s="93" t="str">
        <f t="shared" si="15"/>
        <v/>
      </c>
      <c r="AU15" s="121" t="str">
        <f>IF($A15="","",IFERROR(SUMPRODUCT((Raw_Data_Daily!$B$2:$B$9999="Control")*(Raw_Data_Daily!$A$2:$A$9999=$A15)*(Raw_Data_Daily!$C$2:$C$9999=$C$3)*Raw_Data_Daily!$D$2:$D$9999*Raw_Data_Daily!$S$2:$S$9999)/SUMIFS(Raw_Data_Daily!$D:$D, Raw_Data_Daily!$B:$B, "Control", Raw_Data_Daily!$A:$A, $A15, Raw_Data_Daily!$C:$C, $C$3),""))</f>
        <v/>
      </c>
      <c r="AV15" s="121" t="str">
        <f>IF($A15="","",IFERROR(SUMPRODUCT((Raw_Data_Daily!$B$2:$B$9999="Variant")*(Raw_Data_Daily!$A$2:$A$9999=$A15)*(Raw_Data_Daily!$C$2:$C$9999=$C$3)*Raw_Data_Daily!$D$2:$D$9999*Raw_Data_Daily!$S$2:$S$9999)/SUMIFS(Raw_Data_Daily!$D:$D, Raw_Data_Daily!$B:$B, "Variant", Raw_Data_Daily!$A:$A, $A15, Raw_Data_Daily!$C:$C, $C$3),""))</f>
        <v/>
      </c>
      <c r="AW15" s="93" t="str">
        <f t="shared" si="16"/>
        <v/>
      </c>
      <c r="AX15" s="121" t="str">
        <f>IF($A15="","",IFERROR(SUMPRODUCT((Raw_Data_Daily!$B$2:$B$9999="Control")*(Raw_Data_Daily!$A$2:$A$9999=$A15)*(Raw_Data_Daily!$C$2:$C$9999=$C$3)*Raw_Data_Daily!$D$2:$D$9999*Raw_Data_Daily!$T$2:$T$9999)/SUMIFS(Raw_Data_Daily!$D:$D, Raw_Data_Daily!$B:$B, "Control", Raw_Data_Daily!$A:$A, $A15, Raw_Data_Daily!$C:$C, $C$3),""))</f>
        <v/>
      </c>
      <c r="AY15" s="121" t="str">
        <f>IF($A15="","",IFERROR(SUMPRODUCT((Raw_Data_Daily!$B$2:$B$9999="Variant")*(Raw_Data_Daily!$A$2:$A$9999=$A15)*(Raw_Data_Daily!$C$2:$C$9999=$C$3)*Raw_Data_Daily!$D$2:$D$9999*Raw_Data_Daily!$T$2:$T$9999)/SUMIFS(Raw_Data_Daily!$D:$D, Raw_Data_Daily!$B:$B, "Variant", Raw_Data_Daily!$A:$A, $A15, Raw_Data_Daily!$C:$C, $C$3),""))</f>
        <v/>
      </c>
      <c r="AZ15" s="96" t="str">
        <f t="shared" si="17"/>
        <v/>
      </c>
      <c r="BA15" s="121" t="str">
        <f>IF($A15="","",IFERROR(SUMPRODUCT((Raw_Data_Daily!$B$2:$B$9999="Control")*(Raw_Data_Daily!$A$2:$A$9999=$A15)*(Raw_Data_Daily!$C$2:$C$9999=$C$3)*Raw_Data_Daily!$D$2:$D$9999*Raw_Data_Daily!$U$2:$U$9999)/SUMIFS(Raw_Data_Daily!$D:$D, Raw_Data_Daily!$B:$B, "Control", Raw_Data_Daily!$A:$A, $A15, Raw_Data_Daily!$C:$C, $C$3),""))</f>
        <v/>
      </c>
      <c r="BB15" s="121" t="str">
        <f>IF($A15="","",IFERROR(SUMPRODUCT((Raw_Data_Daily!$B$2:$B$9999="Variant")*(Raw_Data_Daily!$A$2:$A$9999=$A15)*(Raw_Data_Daily!$C$2:$C$9999=$C$3)*Raw_Data_Daily!$D$2:$D$9999*Raw_Data_Daily!$U$2:$U$9999)/SUMIFS(Raw_Data_Daily!$D:$D, Raw_Data_Daily!$B:$B, "Variant", Raw_Data_Daily!$A:$A, $A15, Raw_Data_Daily!$C:$C, $C$3),""))</f>
        <v/>
      </c>
      <c r="BC15" s="93" t="str">
        <f t="shared" si="18"/>
        <v/>
      </c>
      <c r="BD15" s="121" t="str">
        <f>IF($A15="","",IFERROR(SUMPRODUCT((Raw_Data_Daily!$B$2:$B$9999="Control")*(Raw_Data_Daily!$A$2:$A$9999=$A15)*(Raw_Data_Daily!$C$2:$C$9999=$C$3)*Raw_Data_Daily!$D$2:$D$9999*Raw_Data_Daily!$V$2:$V$9999)/SUMIFS(Raw_Data_Daily!$D:$D, Raw_Data_Daily!$B:$B, "Control", Raw_Data_Daily!$A:$A, $A15, Raw_Data_Daily!$C:$C, $C$3),""))</f>
        <v/>
      </c>
      <c r="BE15" s="121" t="str">
        <f>IF($A15="","",IFERROR(SUMPRODUCT((Raw_Data_Daily!$B$2:$B$9999="Variant")*(Raw_Data_Daily!$A$2:$A$9999=$A15)*(Raw_Data_Daily!$C$2:$C$9999=$C$3)*Raw_Data_Daily!$D$2:$D$9999*Raw_Data_Daily!$V$2:$V$9999)/SUMIFS(Raw_Data_Daily!$D:$D, Raw_Data_Daily!$B:$B, "Variant", Raw_Data_Daily!$A:$A, $A15, Raw_Data_Daily!$C:$C, $C$3),""))</f>
        <v/>
      </c>
      <c r="BF15" s="93" t="str">
        <f t="shared" si="19"/>
        <v/>
      </c>
      <c r="BG15" s="121" t="str">
        <f>IF($A15="","",IFERROR(SUMPRODUCT((Raw_Data_Daily!$B$2:$B$9999="Control")*(Raw_Data_Daily!$A$2:$A$9999=$A15)*(Raw_Data_Daily!$C$2:$C$9999=$C$3)*Raw_Data_Daily!$D$2:$D$9999*(Raw_Data_Daily!$Q$2:$Q$9999-Raw_Data_Daily!$V$2:$V$9999))/SUMIFS(Raw_Data_Daily!$D:$D, Raw_Data_Daily!$B:$B, "Control", Raw_Data_Daily!$A:$A, $A15, Raw_Data_Daily!$C:$C, $C$3),""))</f>
        <v/>
      </c>
      <c r="BH15" s="121" t="str">
        <f>IF($A15="","",IFERROR(SUMPRODUCT((Raw_Data_Daily!$B$2:$B$9999="Variant")*(Raw_Data_Daily!$A$2:$A$9999=$A15)*(Raw_Data_Daily!$C$2:$C$9999=$C$3)*Raw_Data_Daily!$D$2:$D$9999*(Raw_Data_Daily!$Q$2:$Q$9999-Raw_Data_Daily!$V$2:$V$9999))/SUMIFS(Raw_Data_Daily!$D:$D, Raw_Data_Daily!$B:$B, "Variant", Raw_Data_Daily!$A:$A, $A15, Raw_Data_Daily!$C:$C, $C$3),""))</f>
        <v/>
      </c>
      <c r="BI15" s="93" t="str">
        <f t="shared" si="20"/>
        <v/>
      </c>
      <c r="BJ15" s="121" t="str">
        <f>IF($A15="","",IFERROR(SUMPRODUCT((Raw_Data_Daily!$B$2:$B$9999="Control")*(Raw_Data_Daily!$A$2:$A$9999=$A15)*(Raw_Data_Daily!$C$2:$C$9999=$C$3)*Raw_Data_Daily!$D$2:$D$9999*Raw_Data_Daily!$W$2:$W$9999)/SUMIFS(Raw_Data_Daily!$D:$D, Raw_Data_Daily!$B:$B, "Control", Raw_Data_Daily!$A:$A, $A15, Raw_Data_Daily!$C:$C, $C$3),""))</f>
        <v/>
      </c>
      <c r="BK15" s="121" t="str">
        <f>IF($A15="","",IFERROR(SUMPRODUCT((Raw_Data_Daily!$B$2:$B$9999="Variant")*(Raw_Data_Daily!$A$2:$A$9999=$A15)*(Raw_Data_Daily!$C$2:$C$9999=$C$3)*Raw_Data_Daily!$D$2:$D$9999*Raw_Data_Daily!$W$2:$W$9999)/SUMIFS(Raw_Data_Daily!$D:$D, Raw_Data_Daily!$B:$B, "Variant", Raw_Data_Daily!$A:$A, $A15, Raw_Data_Daily!$C:$C, $C$3),""))</f>
        <v/>
      </c>
      <c r="BL15" s="93" t="str">
        <f t="shared" si="21"/>
        <v/>
      </c>
      <c r="BM15" s="139" t="str">
        <f>IF($A15="","",IFERROR(SUMPRODUCT((Raw_Data_Daily!$B$2:$B$9999="Control")*(Raw_Data_Daily!$A$2:$A$9999=$A15)*(Raw_Data_Daily!$C$2:$C$9999=$C$3)*Raw_Data_Daily!$D$2:$D$9999*Raw_Data_Daily!$X$2:$X$9999)/SUMIFS(Raw_Data_Daily!$D:$D, Raw_Data_Daily!$B:$B, "Control", Raw_Data_Daily!$A:$A, $A15, Raw_Data_Daily!$C:$C, $C$3),""))</f>
        <v/>
      </c>
      <c r="BN15" s="139" t="str">
        <f>IF($A15="","",IFERROR(SUMPRODUCT((Raw_Data_Daily!$B$2:$B$9999="Variant")*(Raw_Data_Daily!$A$2:$A$9999=$A15)*(Raw_Data_Daily!$C$2:$C$9999=$C$3)*Raw_Data_Daily!$D$2:$D$9999*Raw_Data_Daily!$X$2:$X$9999)/SUMIFS(Raw_Data_Daily!$D:$D, Raw_Data_Daily!$B:$B, "Variant", Raw_Data_Daily!$A:$A, $A15, Raw_Data_Daily!$C:$C, $C$3),""))</f>
        <v/>
      </c>
      <c r="BO15" s="96" t="str">
        <f t="shared" si="22"/>
        <v/>
      </c>
      <c r="BP15" s="92" t="str">
        <f>IF($A15="","",IFERROR(SUMPRODUCT((Raw_Data_Daily!$B$2:$B$9999="Control")*(Raw_Data_Daily!$A$2:$A$9999=$A15)*(Raw_Data_Daily!$C$2:$C$9999=$C$3)*Raw_Data_Daily!$D$2:$D$9999*Raw_Data_Daily!$Y$2:$Y$9999)/SUMIFS(Raw_Data_Daily!$D:$D, Raw_Data_Daily!$B:$B, "Control", Raw_Data_Daily!$A:$A, $A15, Raw_Data_Daily!$C:$C, $C$3),""))</f>
        <v/>
      </c>
      <c r="BQ15" s="92" t="str">
        <f>IF($A15="","",IFERROR(SUMPRODUCT((Raw_Data_Daily!$B$2:$B$9999="Variant")*(Raw_Data_Daily!$A$2:$A$9999=$A15)*(Raw_Data_Daily!$C$2:$C$9999=$C$3)*Raw_Data_Daily!$D$2:$D$9999*Raw_Data_Daily!$Y$2:$Y$9999)/SUMIFS(Raw_Data_Daily!$D:$D, Raw_Data_Daily!$B:$B, "Variant", Raw_Data_Daily!$A:$A, $A15, Raw_Data_Daily!$C:$C, $C$3),""))</f>
        <v/>
      </c>
      <c r="BR15" s="93" t="str">
        <f t="shared" si="23"/>
        <v/>
      </c>
      <c r="BS15" s="92" t="str">
        <f>IF($A15="","",IFERROR(SUMPRODUCT((Raw_Data_Daily!$B$2:$B$9999="Control")*(Raw_Data_Daily!$A$2:$A$9999=$A15)*(Raw_Data_Daily!$C$2:$C$9999=$C$3)*Raw_Data_Daily!$D$2:$D$9999*Raw_Data_Daily!$Z$2:$Z$9999)/SUMIFS(Raw_Data_Daily!$D:$D, Raw_Data_Daily!$B:$B, "Control", Raw_Data_Daily!$A:$A, $A15, Raw_Data_Daily!$C:$C, $C$3),""))</f>
        <v/>
      </c>
      <c r="BT15" s="92" t="str">
        <f>IF($A15="","",IFERROR(SUMPRODUCT((Raw_Data_Daily!$B$2:$B$9999="Variant")*(Raw_Data_Daily!$A$2:$A$9999=$A15)*(Raw_Data_Daily!$C$2:$C$9999=$C$3)*Raw_Data_Daily!$D$2:$D$9999*Raw_Data_Daily!$Z$2:$Z$9999)/SUMIFS(Raw_Data_Daily!$D:$D, Raw_Data_Daily!$B:$B, "Variant", Raw_Data_Daily!$A:$A, $A15, Raw_Data_Daily!$C:$C, $C$3),""))</f>
        <v/>
      </c>
      <c r="BU15" s="93" t="str">
        <f t="shared" si="24"/>
        <v/>
      </c>
      <c r="BV15" s="92" t="str">
        <f>IF($A15="","",IFERROR(SUMPRODUCT((Raw_Data_Daily!$B$2:$B$9999="Control")*(Raw_Data_Daily!$A$2:$A$9999=$A15)*(Raw_Data_Daily!$C$2:$C$9999=$C$3)*Raw_Data_Daily!$D$2:$D$9999*Raw_Data_Daily!$AA$2:$AA$9999)/SUMIFS(Raw_Data_Daily!$D:$D, Raw_Data_Daily!$B:$B, "Control", Raw_Data_Daily!$A:$A, $A15, Raw_Data_Daily!$C:$C, $C$3),""))</f>
        <v/>
      </c>
      <c r="BW15" s="92" t="str">
        <f>IF($A15="","",IFERROR(SUMPRODUCT((Raw_Data_Daily!$B$2:$B$9999="Variant")*(Raw_Data_Daily!$A$2:$A$9999=$A15)*(Raw_Data_Daily!$C$2:$C$9999=$C$3)*Raw_Data_Daily!$D$2:$D$9999*Raw_Data_Daily!$AA$2:$AA$9999)/SUMIFS(Raw_Data_Daily!$D:$D, Raw_Data_Daily!$B:$B, "Variant", Raw_Data_Daily!$A:$A, $A15, Raw_Data_Daily!$C:$C, $C$3),""))</f>
        <v/>
      </c>
      <c r="BX15" s="93" t="str">
        <f t="shared" si="25"/>
        <v/>
      </c>
      <c r="BY15" s="121" t="str">
        <f>IF($A15="","",IFERROR(SUMPRODUCT((Raw_Data_Daily!$B$2:$B$9999="Control")*(Raw_Data_Daily!$A$2:$A$9999=$A15)*(Raw_Data_Daily!$C$2:$C$9999=$C$3)*Raw_Data_Daily!$D$2:$D$9999*Raw_Data_Daily!$AB$2:$AB$9999)/SUMIFS(Raw_Data_Daily!$D:$D, Raw_Data_Daily!$B:$B, "Control", Raw_Data_Daily!$A:$A, $A15, Raw_Data_Daily!$C:$C, $C$3),""))</f>
        <v/>
      </c>
      <c r="BZ15" s="121" t="str">
        <f>IF($A15="","",IFERROR(SUMPRODUCT((Raw_Data_Daily!$B$2:$B$9999="Variant")*(Raw_Data_Daily!$A$2:$A$9999=$A15)*(Raw_Data_Daily!$C$2:$C$9999=$C$3)*Raw_Data_Daily!$D$2:$D$9999*Raw_Data_Daily!$AB$2:$AB$9999)/SUMIFS(Raw_Data_Daily!$D:$D, Raw_Data_Daily!$B:$B, "Variant", Raw_Data_Daily!$A:$A, $A15, Raw_Data_Daily!$C:$C, $C$3),""))</f>
        <v/>
      </c>
      <c r="CA15" s="96" t="str">
        <f t="shared" si="26"/>
        <v/>
      </c>
      <c r="CB15" s="121" t="str">
        <f>IF($A15="","",IFERROR(SUMPRODUCT((Raw_Data_Daily!$B$2:$B$9999="Control")*(Raw_Data_Daily!$A$2:$A$9999=$A15)*(Raw_Data_Daily!$C$2:$C$9999=$C$3)*Raw_Data_Daily!$D$2:$D$9999*Raw_Data_Daily!$AC$2:$AC$9999)/SUMIFS(Raw_Data_Daily!$D:$D, Raw_Data_Daily!$B:$B, "Control", Raw_Data_Daily!$A:$A, $A15, Raw_Data_Daily!$C:$C, $C$3),""))</f>
        <v/>
      </c>
      <c r="CC15" s="121" t="str">
        <f>IF($A15="","",IFERROR(SUMPRODUCT((Raw_Data_Daily!$B$2:$B$9999="Variant")*(Raw_Data_Daily!$A$2:$A$9999=$A15)*(Raw_Data_Daily!$C$2:$C$9999=$C$3)*Raw_Data_Daily!$D$2:$D$9999*Raw_Data_Daily!$AC$2:$AC$9999)/SUMIFS(Raw_Data_Daily!$D:$D, Raw_Data_Daily!$B:$B, "Variant", Raw_Data_Daily!$A:$A, $A15, Raw_Data_Daily!$C:$C, $C$3),""))</f>
        <v/>
      </c>
      <c r="CD15" s="96" t="str">
        <f t="shared" si="27"/>
        <v/>
      </c>
      <c r="CE15" s="121" t="str">
        <f>IF($A15="","",IFERROR(SUMPRODUCT((Raw_Data_Daily!$B$2:$B$9999="Control")*(Raw_Data_Daily!$A$2:$A$9999=$A15)*(Raw_Data_Daily!$C$2:$C$9999=$C$3)*Raw_Data_Daily!$D$2:$D$9999*Raw_Data_Daily!$AD$2:$AD$9999)/SUMIFS(Raw_Data_Daily!$D:$D, Raw_Data_Daily!$B:$B, "Control", Raw_Data_Daily!$A:$A, $A15, Raw_Data_Daily!$C:$C, $C$3),""))</f>
        <v/>
      </c>
      <c r="CF15" s="121" t="str">
        <f>IF($A15="","",IFERROR(SUMPRODUCT((Raw_Data_Daily!$B$2:$B$9999="Variant")*(Raw_Data_Daily!$A$2:$A$9999=$A15)*(Raw_Data_Daily!$C$2:$C$9999=$C$3)*Raw_Data_Daily!$D$2:$D$9999*Raw_Data_Daily!$AD$2:$AD$9999)/SUMIFS(Raw_Data_Daily!$D:$D, Raw_Data_Daily!$B:$B, "Variant", Raw_Data_Daily!$A:$A, $A15, Raw_Data_Daily!$C:$C, $C$3),""))</f>
        <v/>
      </c>
      <c r="CG15" s="96" t="str">
        <f t="shared" si="28"/>
        <v/>
      </c>
      <c r="CH15" s="121" t="str">
        <f>IF($A15="","",IFERROR(SUMPRODUCT((Raw_Data_Daily!$B$2:$B$9999="Control")*(Raw_Data_Daily!$A$2:$A$9999=$A15)*(Raw_Data_Daily!$C$2:$C$9999=$C$3)*Raw_Data_Daily!$D$2:$D$9999*Raw_Data_Daily!$AE$2:$AE$9999)/SUMIFS(Raw_Data_Daily!$D:$D, Raw_Data_Daily!$B:$B, "Control", Raw_Data_Daily!$A:$A, $A15, Raw_Data_Daily!$C:$C, $C$3),""))</f>
        <v/>
      </c>
      <c r="CI15" s="121" t="str">
        <f>IF($A15="","",IFERROR(SUMPRODUCT((Raw_Data_Daily!$B$2:$B$9999="Variant")*(Raw_Data_Daily!$A$2:$A$9999=$A15)*(Raw_Data_Daily!$C$2:$C$9999=$C$3)*Raw_Data_Daily!$D$2:$D$9999*Raw_Data_Daily!$AE$2:$AE$9999)/SUMIFS(Raw_Data_Daily!$D:$D, Raw_Data_Daily!$B:$B, "Variant", Raw_Data_Daily!$A:$A, $A15, Raw_Data_Daily!$C:$C, $C$3),""))</f>
        <v/>
      </c>
      <c r="CJ15" s="96" t="str">
        <f t="shared" si="29"/>
        <v/>
      </c>
      <c r="CK15" s="121" t="str">
        <f>IF($A15="","",IFERROR(SUMPRODUCT((Raw_Data_Daily!$B$2:$B$9999="Control")*(Raw_Data_Daily!$A$2:$A$9999=$A15)*(Raw_Data_Daily!$C$2:$C$9999=$C$3)*Raw_Data_Daily!$D$2:$D$9999*Raw_Data_Daily!$AF$2:$AF$9999)/SUMIFS(Raw_Data_Daily!$D:$D, Raw_Data_Daily!$B:$B, "Control", Raw_Data_Daily!$A:$A, $A15, Raw_Data_Daily!$C:$C, $C$3),""))</f>
        <v/>
      </c>
      <c r="CL15" s="121" t="str">
        <f>IF($A15="","",IFERROR(SUMPRODUCT((Raw_Data_Daily!$B$2:$B$9999="Variant")*(Raw_Data_Daily!$A$2:$A$9999=$A15)*(Raw_Data_Daily!$C$2:$C$9999=$C$3)*Raw_Data_Daily!$D$2:$D$9999*Raw_Data_Daily!$AF$2:$AF$9999)/SUMIFS(Raw_Data_Daily!$D:$D, Raw_Data_Daily!$B:$B, "Variant", Raw_Data_Daily!$A:$A, $A15, Raw_Data_Daily!$C:$C, $C$3),""))</f>
        <v/>
      </c>
      <c r="CM15" s="96" t="str">
        <f t="shared" si="30"/>
        <v/>
      </c>
      <c r="CN15" s="121" t="str">
        <f>IF($A15="","",IFERROR(SUMPRODUCT((Raw_Data_Daily!$B$2:$B$9999="Control")*(Raw_Data_Daily!$A$2:$A$9999=$A15)*(Raw_Data_Daily!$C$2:$C$9999=$C$3)*Raw_Data_Daily!$D$2:$D$9999*Raw_Data_Daily!$AG$2:$AG$9999)/SUMIFS(Raw_Data_Daily!$D:$D, Raw_Data_Daily!$B:$B, "Control", Raw_Data_Daily!$A:$A, $A15, Raw_Data_Daily!$C:$C, $C$3),""))</f>
        <v/>
      </c>
      <c r="CO15" s="121" t="str">
        <f>IF($A15="","",IFERROR(SUMPRODUCT((Raw_Data_Daily!$B$2:$B$9999="Variant")*(Raw_Data_Daily!$A$2:$A$9999=$A15)*(Raw_Data_Daily!$C$2:$C$9999=$C$3)*Raw_Data_Daily!$D$2:$D$9999*Raw_Data_Daily!$AG$2:$AG$9999)/SUMIFS(Raw_Data_Daily!$D:$D, Raw_Data_Daily!$B:$B, "Variant", Raw_Data_Daily!$A:$A, $A15, Raw_Data_Daily!$C:$C, $C$3),""))</f>
        <v/>
      </c>
      <c r="CP15" s="96" t="str">
        <f t="shared" si="31"/>
        <v/>
      </c>
      <c r="CQ15" s="121" t="str">
        <f>IF($A15="","",IFERROR(SUMPRODUCT((Raw_Data_Daily!$B$2:$B$9999="Control")*(Raw_Data_Daily!$A$2:$A$9999=$A15)*(Raw_Data_Daily!$C$2:$C$9999=$C$3)*Raw_Data_Daily!$D$2:$D$9999*Raw_Data_Daily!$AH$2:$AH$9999)/SUMIFS(Raw_Data_Daily!$D:$D, Raw_Data_Daily!$B:$B, "Control", Raw_Data_Daily!$A:$A, $A15, Raw_Data_Daily!$C:$C, $C$3),""))</f>
        <v/>
      </c>
      <c r="CR15" s="121" t="str">
        <f>IF($A15="","",IFERROR(SUMPRODUCT((Raw_Data_Daily!$B$2:$B$9999="Variant")*(Raw_Data_Daily!$A$2:$A$9999=$A15)*(Raw_Data_Daily!$C$2:$C$9999=$C$3)*Raw_Data_Daily!$D$2:$D$9999*Raw_Data_Daily!$AH$2:$AH$9999)/SUMIFS(Raw_Data_Daily!$D:$D, Raw_Data_Daily!$B:$B, "Variant", Raw_Data_Daily!$A:$A, $A15, Raw_Data_Daily!$C:$C, $C$3),""))</f>
        <v/>
      </c>
      <c r="CS15" s="96" t="str">
        <f t="shared" si="32"/>
        <v/>
      </c>
      <c r="CT15" s="94" t="str">
        <f>IF($A15="","",IFERROR(SUMPRODUCT((Raw_Data_Daily!$B$2:$B$9999="Control")*(Raw_Data_Daily!$A$2:$A$9999=$A15)*(Raw_Data_Daily!$C$2:$C$9999=$C$3)*Raw_Data_Daily!$D$2:$D$9999*Raw_Data_Daily!$AI$2:$AI$9999)/SUMIFS(Raw_Data_Daily!$D:$D, Raw_Data_Daily!$B:$B, "Control", Raw_Data_Daily!$A:$A, $A15, Raw_Data_Daily!$C:$C, $C$3),""))</f>
        <v/>
      </c>
      <c r="CU15" s="94" t="str">
        <f>IF($A15="","",IFERROR(SUMPRODUCT((Raw_Data_Daily!$B$2:$B$9999="Variant")*(Raw_Data_Daily!$A$2:$A$9999=$A15)*(Raw_Data_Daily!$C$2:$C$9999=$C$3)*Raw_Data_Daily!$D$2:$D$9999*Raw_Data_Daily!$AI$2:$AI$9999)/SUMIFS(Raw_Data_Daily!$D:$D, Raw_Data_Daily!$B:$B, "Variant", Raw_Data_Daily!$A:$A, $A15, Raw_Data_Daily!$C:$C, $C$3),""))</f>
        <v/>
      </c>
      <c r="CV15" s="142" t="str">
        <f t="shared" si="33"/>
        <v/>
      </c>
      <c r="CW15" s="94" t="str">
        <f>IF($A15="","",IFERROR(SUMPRODUCT((Raw_Data_Daily!$B$2:$B$9999="Control")*(Raw_Data_Daily!$A$2:$A$9999=$A15)*(Raw_Data_Daily!$C$2:$C$9999=$C$3)*Raw_Data_Daily!$D$2:$D$9999*Raw_Data_Daily!$AJ$2:$AJ$9999)/SUMIFS(Raw_Data_Daily!$D:$D, Raw_Data_Daily!$B:$B, "Control", Raw_Data_Daily!$A:$A, $A15, Raw_Data_Daily!$C:$C, $C$3),""))</f>
        <v/>
      </c>
      <c r="CX15" s="94" t="str">
        <f>IF($A15="","",IFERROR(SUMPRODUCT((Raw_Data_Daily!$B$2:$B$9999="Variant")*(Raw_Data_Daily!$A$2:$A$9999=$A15)*(Raw_Data_Daily!$C$2:$C$9999=$C$3)*Raw_Data_Daily!$D$2:$D$9999*Raw_Data_Daily!$AJ$2:$AJ$9999)/SUMIFS(Raw_Data_Daily!$D:$D, Raw_Data_Daily!$B:$B, "Variant", Raw_Data_Daily!$A:$A, $A15, Raw_Data_Daily!$C:$C, $C$3),""))</f>
        <v/>
      </c>
      <c r="CY15" s="142" t="str">
        <f t="shared" si="34"/>
        <v/>
      </c>
      <c r="CZ15" s="94" t="str">
        <f>IF($A15="","",IFERROR(SUMPRODUCT((Raw_Data_Daily!$B$2:$B$9999="Control")*(Raw_Data_Daily!$A$2:$A$9999=$A15)*(Raw_Data_Daily!$C$2:$C$9999=$C$3)*Raw_Data_Daily!$D$2:$D$9999*Raw_Data_Daily!$AK$2:$AK$9999)/SUMIFS(Raw_Data_Daily!$D:$D, Raw_Data_Daily!$B:$B, "Control", Raw_Data_Daily!$A:$A, $A15, Raw_Data_Daily!$C:$C, $C$3),""))</f>
        <v/>
      </c>
      <c r="DA15" s="94" t="str">
        <f>IF($A15="","",IFERROR(SUMPRODUCT((Raw_Data_Daily!$B$2:$B$9999="Variant")*(Raw_Data_Daily!$A$2:$A$9999=$A15)*(Raw_Data_Daily!$C$2:$C$9999=$C$3)*Raw_Data_Daily!$D$2:$D$9999*Raw_Data_Daily!$AK$2:$AK$9999)/SUMIFS(Raw_Data_Daily!$D:$D, Raw_Data_Daily!$B:$B, "Variant", Raw_Data_Daily!$A:$A, $A15, Raw_Data_Daily!$C:$C, $C$3),""))</f>
        <v/>
      </c>
      <c r="DB15" s="96" t="str">
        <f t="shared" si="35"/>
        <v/>
      </c>
      <c r="DC15" s="139" t="str">
        <f>IF($A15="","",IFERROR(SUMPRODUCT((Raw_Data_Daily!$B$2:$B$9999="Control")*(Raw_Data_Daily!$A$2:$A$9999=$A15)*(Raw_Data_Daily!$C$2:$C$9999=$C$3)*Raw_Data_Daily!$D$2:$D$9999*Raw_Data_Daily!$AL$2:$AL$9999)/SUMIFS(Raw_Data_Daily!$D:$D, Raw_Data_Daily!$B:$B, "Control", Raw_Data_Daily!$A:$A, $A15, Raw_Data_Daily!$C:$C, $C$3),""))</f>
        <v/>
      </c>
      <c r="DD15" s="139" t="str">
        <f>IF($A15="","",IFERROR(SUMPRODUCT((Raw_Data_Daily!$B$2:$B$9999="Variant")*(Raw_Data_Daily!$A$2:$A$9999=$A15)*(Raw_Data_Daily!$C$2:$C$9999=$C$3)*Raw_Data_Daily!$D$2:$D$9999*Raw_Data_Daily!$AL$2:$AL$9999)/SUMIFS(Raw_Data_Daily!$D:$D, Raw_Data_Daily!$B:$B, "Variant", Raw_Data_Daily!$A:$A, $A15, Raw_Data_Daily!$C:$C, $C$3),""))</f>
        <v/>
      </c>
      <c r="DE15" s="142" t="str">
        <f t="shared" si="36"/>
        <v/>
      </c>
      <c r="DF15" s="168"/>
      <c r="DG15" s="94" t="str">
        <f>IF($A15="","",IFERROR(SUMPRODUCT((Raw_Data_Daily!$B$2:$B$9999="Variant")*(Raw_Data_Daily!$A$2:$A$9999=$A15)*(Raw_Data_Daily!$C$2:$C$9999=$C$3)*Raw_Data_Daily!$D$2:$D$9999*Raw_Data_Daily!$AM$2:$AM$9999)/SUMIFS(Raw_Data_Daily!$D:$D, Raw_Data_Daily!$B:$B, "Variant", Raw_Data_Daily!$A:$A, $A15, Raw_Data_Daily!$C:$C, $C$3),""))</f>
        <v/>
      </c>
      <c r="DH15" s="169"/>
      <c r="DI15" s="168"/>
      <c r="DJ15" s="94" t="str">
        <f>IF($A15="","",IFERROR(SUMPRODUCT((Raw_Data_Daily!$B$2:$B$9999="Variant")*(Raw_Data_Daily!$A$2:$A$9999=$A15)*(Raw_Data_Daily!$C$2:$C$9999=$C$3)*Raw_Data_Daily!$D$2:$D$9999*Raw_Data_Daily!$AN$2:$AN$9999)/SUMIFS(Raw_Data_Daily!$D:$D, Raw_Data_Daily!$B:$B, "Variant", Raw_Data_Daily!$A:$A, $A15, Raw_Data_Daily!$C:$C, $C$3),""))</f>
        <v/>
      </c>
      <c r="DK15" s="169"/>
      <c r="DL15" s="168"/>
      <c r="DM15" s="94" t="str">
        <f>IF($A15="","",IFERROR(SUMPRODUCT((Raw_Data_Daily!$B$2:$B$9999="Variant")*(Raw_Data_Daily!$A$2:$A$9999=$A15)*(Raw_Data_Daily!$C$2:$C$9999=$C$3)*Raw_Data_Daily!$D$2:$D$9999*Raw_Data_Daily!$AO$2:$AO$9999)/SUMIFS(Raw_Data_Daily!$D:$D, Raw_Data_Daily!$B:$B, "Variant", Raw_Data_Daily!$A:$A, $A15, Raw_Data_Daily!$C:$C, $C$3),""))</f>
        <v/>
      </c>
      <c r="DN15" s="169"/>
      <c r="DO15" s="168"/>
      <c r="DP15" s="94" t="str">
        <f>IF($A15="","",IFERROR(SUMPRODUCT((Raw_Data_Daily!$B$2:$B$9999="Variant")*(Raw_Data_Daily!$A$2:$A$9999=$A15)*(Raw_Data_Daily!$C$2:$C$9999=$C$3)*Raw_Data_Daily!$D$2:$D$9999*Raw_Data_Daily!$AP$2:$AP$9999)/SUMIFS(Raw_Data_Daily!$D:$D, Raw_Data_Daily!$B:$B, "Variant", Raw_Data_Daily!$A:$A, $A15, Raw_Data_Daily!$C:$C, $C$3),""))</f>
        <v/>
      </c>
      <c r="DQ15" s="169"/>
      <c r="DR15" s="139" t="str">
        <f>IF($A15="","",IFERROR(SUMPRODUCT((Raw_Data_Daily!$B$2:$B$9999="Control")*(Raw_Data_Daily!$A$2:$A$9999=$A15)*(Raw_Data_Daily!$C$2:$C$9999=$C$3)*Raw_Data_Daily!$D$2:$D$9999*Raw_Data_Daily!$AQ$2:$AQ$9999)/SUMIFS(Raw_Data_Daily!$D:$D, Raw_Data_Daily!$B:$B, "Control", Raw_Data_Daily!$A:$A, $A15, Raw_Data_Daily!$C:$C, $C$3),""))</f>
        <v/>
      </c>
      <c r="DS15" s="139" t="str">
        <f>IF($A15="","",IFERROR(SUMPRODUCT((Raw_Data_Daily!$B$2:$B$9999="Variant")*(Raw_Data_Daily!$A$2:$A$9999=$A15)*(Raw_Data_Daily!$C$2:$C$9999=$C$3)*Raw_Data_Daily!$D$2:$D$9999*Raw_Data_Daily!$AQ$2:$AQ$9999)/SUMIFS(Raw_Data_Daily!$D:$D, Raw_Data_Daily!$B:$B, "Variant", Raw_Data_Daily!$A:$A, $A15, Raw_Data_Daily!$C:$C, $C$3),""))</f>
        <v/>
      </c>
      <c r="DT15" s="173" t="str">
        <f t="shared" si="37"/>
        <v/>
      </c>
      <c r="DU15" s="139" t="str">
        <f>IF($A15="","",IFERROR(SUMPRODUCT((Raw_Data_Daily!$B$2:$B$9999="Control")*(Raw_Data_Daily!$A$2:$A$9999=$A15)*(Raw_Data_Daily!$C$2:$C$9999=$C$3)*Raw_Data_Daily!$D$2:$D$9999*Raw_Data_Daily!$AR$2:$AR$9999)/SUMIFS(Raw_Data_Daily!$D:$D, Raw_Data_Daily!$B:$B, "Control", Raw_Data_Daily!$A:$A, $A15, Raw_Data_Daily!$C:$C, $C$3),""))</f>
        <v/>
      </c>
      <c r="DV15" s="139" t="str">
        <f>IF($A15="","",IFERROR(SUMPRODUCT((Raw_Data_Daily!$B$2:$B$9999="Variant")*(Raw_Data_Daily!$A$2:$A$9999=$A15)*(Raw_Data_Daily!$C$2:$C$9999=$C$3)*Raw_Data_Daily!$D$2:$D$9999*Raw_Data_Daily!$AR$2:$AR$9999)/SUMIFS(Raw_Data_Daily!$D:$D, Raw_Data_Daily!$B:$B, "Variant", Raw_Data_Daily!$A:$A, $A15, Raw_Data_Daily!$C:$C, $C$3),""))</f>
        <v/>
      </c>
      <c r="DW15" s="173" t="str">
        <f t="shared" si="38"/>
        <v/>
      </c>
      <c r="DX15" s="139" t="str">
        <f>IF($A15="","",IFERROR(SUMPRODUCT((Raw_Data_Daily!$B$2:$B$9999="Control")*(Raw_Data_Daily!$A$2:$A$9999=$A15)*(Raw_Data_Daily!$C$2:$C$9999=$C$3)*Raw_Data_Daily!$D$2:$D$9999*Raw_Data_Daily!$AS$2:$AS$9999)/SUMIFS(Raw_Data_Daily!$D:$D, Raw_Data_Daily!$B:$B, "Control", Raw_Data_Daily!$A:$A, $A15, Raw_Data_Daily!$C:$C, $C$3),""))</f>
        <v/>
      </c>
      <c r="DY15" s="139" t="str">
        <f>IF($A15="","",IFERROR(SUMPRODUCT((Raw_Data_Daily!$B$2:$B$9999="Variant")*(Raw_Data_Daily!$A$2:$A$9999=$A15)*(Raw_Data_Daily!$C$2:$C$9999=$C$3)*Raw_Data_Daily!$D$2:$D$9999*Raw_Data_Daily!$AS$2:$AS$9999)/SUMIFS(Raw_Data_Daily!$D:$D, Raw_Data_Daily!$B:$B, "Variant", Raw_Data_Daily!$A:$A, $A15, Raw_Data_Daily!$C:$C, $C$3),""))</f>
        <v/>
      </c>
      <c r="DZ15" s="174" t="str">
        <f t="shared" si="39"/>
        <v/>
      </c>
      <c r="EA15" s="139" t="str">
        <f>IF($A15="","",IFERROR(SUMPRODUCT((Raw_Data_Daily!$B$2:$B$9999="Control")*(Raw_Data_Daily!$A$2:$A$9999=$A15)*(Raw_Data_Daily!$C$2:$C$9999=$C$3)*Raw_Data_Daily!$D$2:$D$9999*Raw_Data_Daily!$AT$2:$AT$9999)/SUMIFS(Raw_Data_Daily!$D:$D, Raw_Data_Daily!$B:$B, "Control", Raw_Data_Daily!$A:$A, $A15, Raw_Data_Daily!$C:$C, $C$3),""))</f>
        <v/>
      </c>
      <c r="EB15" s="139" t="str">
        <f>IF($A15="","",IFERROR(SUMPRODUCT((Raw_Data_Daily!$B$2:$B$9999="Variant")*(Raw_Data_Daily!$A$2:$A$9999=$A15)*(Raw_Data_Daily!$C$2:$C$9999=$C$3)*Raw_Data_Daily!$D$2:$D$9999*Raw_Data_Daily!$AT$2:$AT$9999)/SUMIFS(Raw_Data_Daily!$D:$D, Raw_Data_Daily!$B:$B, "Variant", Raw_Data_Daily!$A:$A, $A15, Raw_Data_Daily!$C:$C, $C$3),""))</f>
        <v/>
      </c>
      <c r="EC15" s="173" t="str">
        <f t="shared" si="40"/>
        <v/>
      </c>
      <c r="ED15" s="139" t="str">
        <f>IF($A15="","",IFERROR(SUMPRODUCT((Raw_Data_Daily!$B$2:$B$9999="Control")*(Raw_Data_Daily!$A$2:$A$9999=$A15)*(Raw_Data_Daily!$C$2:$C$9999=$C$3)*Raw_Data_Daily!$D$2:$D$9999*(Raw_Data_Daily!$AQ$2:$AQ$9999-Raw_Data_Daily!$AT$2:$AT$9999))/SUMIFS(Raw_Data_Daily!$D:$D, Raw_Data_Daily!$B:$B, "Control", Raw_Data_Daily!$A:$A, $A15, Raw_Data_Daily!$C:$C, $C$3),""))</f>
        <v/>
      </c>
      <c r="EE15" s="139" t="str">
        <f>IF($A15="","",IFERROR(SUMPRODUCT((Raw_Data_Daily!$B$2:$B$9999="Variant")*(Raw_Data_Daily!$A$2:$A$9999=$A15)*(Raw_Data_Daily!$C$2:$C$9999=$C$3)*Raw_Data_Daily!$D$2:$D$9999*(Raw_Data_Daily!$AQ$2:$AQ$9999-Raw_Data_Daily!$AT$2:$AT$9999))/SUMIFS(Raw_Data_Daily!$D:$D, Raw_Data_Daily!$B:$B, "Variant", Raw_Data_Daily!$A:$A, $A15, Raw_Data_Daily!$C:$C, $C$3),""))</f>
        <v/>
      </c>
      <c r="EF15" s="174" t="str">
        <f t="shared" si="41"/>
        <v/>
      </c>
      <c r="EG15" s="139" t="str">
        <f>IF($A15="","",IFERROR(SUMPRODUCT((Raw_Data_Daily!$B$2:$B$9999="Control")*(Raw_Data_Daily!$A$2:$A$9999=$A15)*(Raw_Data_Daily!$C$2:$C$9999=$C$3)*Raw_Data_Daily!$D$2:$D$9999*Raw_Data_Daily!$AU$2:$AU$9999)/SUMIFS(Raw_Data_Daily!$D:$D, Raw_Data_Daily!$B:$B, "Control", Raw_Data_Daily!$A:$A, $A15, Raw_Data_Daily!$C:$C, $C$3),""))</f>
        <v/>
      </c>
      <c r="EH15" s="139" t="str">
        <f>IF($A15="","",IFERROR(SUMPRODUCT((Raw_Data_Daily!$B$2:$B$9999="Variant")*(Raw_Data_Daily!$A$2:$A$9999=$A15)*(Raw_Data_Daily!$C$2:$C$9999=$C$3)*Raw_Data_Daily!$D$2:$D$9999*Raw_Data_Daily!$AU$2:$AU$9999)/SUMIFS(Raw_Data_Daily!$D:$D, Raw_Data_Daily!$B:$B, "Variant", Raw_Data_Daily!$A:$A, $A15, Raw_Data_Daily!$C:$C, $C$3),""))</f>
        <v/>
      </c>
      <c r="EI15" s="173" t="str">
        <f t="shared" si="42"/>
        <v/>
      </c>
    </row>
    <row r="16" ht="15.75" customHeight="1">
      <c r="A16" s="91">
        <v>46239.0</v>
      </c>
      <c r="B16" s="92">
        <f>IF($A16="","",SUMIFS(Raw_Data_Daily!$D:$D, Raw_Data_Daily!$B:$B, "Control", Raw_Data_Daily!$A:$A, $A16, Raw_Data_Daily!$C:$C, $C$3))</f>
        <v>0</v>
      </c>
      <c r="C16" s="92">
        <f>IF($A16="","",SUMIFS(Raw_Data_Daily!$D:$D, Raw_Data_Daily!$B:$B, "Variant", Raw_Data_Daily!$A:$A, $A16, Raw_Data_Daily!$C:$C, $C$3))</f>
        <v>0</v>
      </c>
      <c r="D16" s="93" t="str">
        <f t="shared" si="1"/>
        <v/>
      </c>
      <c r="E16" s="94" t="str">
        <f>IF($A16="","",IFERROR(SUMPRODUCT((Raw_Data_Daily!$B$2:$B$9999="Control")*(Raw_Data_Daily!$A$2:$A$9999=$A16)*(Raw_Data_Daily!$C$2:$C$9999=$C$3)*Raw_Data_Daily!$D$2:$D$9999*Raw_Data_Daily!$E$2:$E$9999)/SUMIFS(Raw_Data_Daily!$D:$D, Raw_Data_Daily!$B:$B, "Control", Raw_Data_Daily!$A:$A, $A16, Raw_Data_Daily!$C:$C, $C$3),""))</f>
        <v/>
      </c>
      <c r="F16" s="94" t="str">
        <f>IF($A16="","",IFERROR(SUMPRODUCT((Raw_Data_Daily!$B$2:$B$9999="Variant")*(Raw_Data_Daily!$A$2:$A$9999=$A16)*(Raw_Data_Daily!$C$2:$C$9999=$C$3)*Raw_Data_Daily!$D$2:$D$9999*Raw_Data_Daily!$E$2:$E$9999)/SUMIFS(Raw_Data_Daily!$D:$D, Raw_Data_Daily!$B:$B, "Variant", Raw_Data_Daily!$A:$A, $A16, Raw_Data_Daily!$C:$C, $C$3),""))</f>
        <v/>
      </c>
      <c r="G16" s="93" t="str">
        <f t="shared" si="2"/>
        <v/>
      </c>
      <c r="H16" s="95">
        <f>IF($A16="","",SUMIFS(Raw_Data_Daily!$F:$F, Raw_Data_Daily!$B:$B, "Control", Raw_Data_Daily!$A:$A, $A16, Raw_Data_Daily!$C:$C, $C$3))</f>
        <v>0</v>
      </c>
      <c r="I16" s="95">
        <f>IF($A16="","",SUMIFS(Raw_Data_Daily!$F:$F, Raw_Data_Daily!$B:$B, "Variant", Raw_Data_Daily!$A:$A, $A16, Raw_Data_Daily!$C:$C, $C$3))</f>
        <v>0</v>
      </c>
      <c r="J16" s="96" t="str">
        <f t="shared" si="3"/>
        <v/>
      </c>
      <c r="K16" s="97" t="str">
        <f>IF($A16="","",IFERROR(SUMIFS(Raw_Data_Daily!$F:$F, Raw_Data_Daily!$B:$B, "Control", Raw_Data_Daily!$A:$A, $A16, Raw_Data_Daily!$C:$C, $C$3)/SUMIFS(Raw_Data_Daily!$D:$D, Raw_Data_Daily!$B:$B, "Control", Raw_Data_Daily!$A:$A, $A16, Raw_Data_Daily!$C:$C, $C$3),""))</f>
        <v/>
      </c>
      <c r="L16" s="97" t="str">
        <f>IF($A16="","",IFERROR(SUMIFS(Raw_Data_Daily!$F:$F, Raw_Data_Daily!$B:$B, "Variant", Raw_Data_Daily!$A:$A, $A16, Raw_Data_Daily!$C:$C, $C$3)/SUMIFS(Raw_Data_Daily!$D:$D, Raw_Data_Daily!$B:$B, "Variant", Raw_Data_Daily!$A:$A, $A16, Raw_Data_Daily!$C:$C, $C$3),""))</f>
        <v/>
      </c>
      <c r="M16" s="96" t="str">
        <f t="shared" si="4"/>
        <v/>
      </c>
      <c r="N16" s="94" t="str">
        <f>IF($A16="","",IFERROR(SUMPRODUCT((Raw_Data_Daily!$B$2:$B$9999="Control")*(Raw_Data_Daily!$A$2:$A$9999=$A16)*(Raw_Data_Daily!$C$2:$C$9999=$C$3)*Raw_Data_Daily!$D$2:$D$9999*Raw_Data_Daily!$H$2:$H$9999/100)/SUMIFS(Raw_Data_Daily!$D:$D, Raw_Data_Daily!$B:$B, "Control", Raw_Data_Daily!$A:$A, $A16, Raw_Data_Daily!$C:$C, $C$3)*100,""))</f>
        <v/>
      </c>
      <c r="O16" s="94" t="str">
        <f>IF($A16="","",IFERROR(SUMPRODUCT((Raw_Data_Daily!$B$2:$B$9999="Variant")*(Raw_Data_Daily!$A$2:$A$9999=$A16)*(Raw_Data_Daily!$C$2:$C$9999=$C$3)*Raw_Data_Daily!$D$2:$D$9999*Raw_Data_Daily!$H$2:$H$9999/100)/SUMIFS(Raw_Data_Daily!$D:$D, Raw_Data_Daily!$B:$B, "Variant", Raw_Data_Daily!$A:$A, $A16, Raw_Data_Daily!$C:$C, $C$3)*100,""))</f>
        <v/>
      </c>
      <c r="P16" s="96" t="str">
        <f t="shared" si="5"/>
        <v/>
      </c>
      <c r="Q16" s="97" t="str">
        <f>IF($A16="","",IFERROR(SUMIFS(Raw_Data_Daily!$F:$F, Raw_Data_Daily!$B:$B, "Control", Raw_Data_Daily!$A:$A, $A16, Raw_Data_Daily!$C:$C, $C$3)/SUMPRODUCT((Raw_Data_Daily!$B$2:$B$9999="Control")*(Raw_Data_Daily!$A$2:$A$9999=$A16)*(Raw_Data_Daily!$C$2:$C$9999=$C$3)*Raw_Data_Daily!$D$2:$D$9999*Raw_Data_Daily!$H$2:$H$9999/100),""))</f>
        <v/>
      </c>
      <c r="R16" s="97" t="str">
        <f>IF($A16="","",IFERROR(SUMIFS(Raw_Data_Daily!$F:$F, Raw_Data_Daily!$B:$B, "Variant", Raw_Data_Daily!$A:$A, $A16, Raw_Data_Daily!$C:$C, $C$3)/SUMPRODUCT((Raw_Data_Daily!$B$2:$B$9999="Variant")*(Raw_Data_Daily!$A$2:$A$9999=$A16)*(Raw_Data_Daily!$C$2:$C$9999=$C$3)*Raw_Data_Daily!$D$2:$D$9999*Raw_Data_Daily!$H$2:$H$9999/100),""))</f>
        <v/>
      </c>
      <c r="S16" s="96" t="str">
        <f t="shared" si="6"/>
        <v/>
      </c>
      <c r="T16" s="121" t="str">
        <f>IF($A16="","",IFERROR(SUMPRODUCT((Raw_Data_Daily!$B$2:$B$9999="Control")*(Raw_Data_Daily!$A$2:$A$9999=$A16)*(Raw_Data_Daily!$C$2:$C$9999=$C$3)*Raw_Data_Daily!$D$2:$D$9999*Raw_Data_Daily!$J$2:$J$9999)/SUMIFS(Raw_Data_Daily!$D:$D, Raw_Data_Daily!$B:$B, "Control", Raw_Data_Daily!$A:$A, $A16, Raw_Data_Daily!$C:$C, $C$3),""))</f>
        <v/>
      </c>
      <c r="U16" s="121" t="str">
        <f>IF($A16="","",IFERROR(SUMPRODUCT((Raw_Data_Daily!$B$2:$B$9999="Variant")*(Raw_Data_Daily!$A$2:$A$9999=$A16)*(Raw_Data_Daily!$C$2:$C$9999=$C$3)*Raw_Data_Daily!$D$2:$D$9999*Raw_Data_Daily!$J$2:$J$9999)/SUMIFS(Raw_Data_Daily!$D:$D, Raw_Data_Daily!$B:$B, "Variant", Raw_Data_Daily!$A:$A, $A16, Raw_Data_Daily!$C:$C, $C$3),""))</f>
        <v/>
      </c>
      <c r="V16" s="96" t="str">
        <f t="shared" si="7"/>
        <v/>
      </c>
      <c r="W16" s="121" t="str">
        <f>IF($A16="","",IFERROR(SUMPRODUCT((Raw_Data_Daily!$B$2:$B$9999="Control")*(Raw_Data_Daily!$A$2:$A$9999=$A16)*(Raw_Data_Daily!$C$2:$C$9999=$C$3)*Raw_Data_Daily!$D$2:$D$9999*Raw_Data_Daily!$K$2:$K$9999)/SUMIFS(Raw_Data_Daily!$D:$D, Raw_Data_Daily!$B:$B, "Control", Raw_Data_Daily!$A:$A, $A16, Raw_Data_Daily!$C:$C, $C$3),""))</f>
        <v/>
      </c>
      <c r="X16" s="121" t="str">
        <f>IF($A16="","",IFERROR(SUMPRODUCT((Raw_Data_Daily!$B$2:$B$9999="Variant")*(Raw_Data_Daily!$A$2:$A$9999=$A16)*(Raw_Data_Daily!$C$2:$C$9999=$C$3)*Raw_Data_Daily!$D$2:$D$9999*Raw_Data_Daily!$K$2:$K$9999)/SUMIFS(Raw_Data_Daily!$D:$D, Raw_Data_Daily!$B:$B, "Variant", Raw_Data_Daily!$A:$A, $A16, Raw_Data_Daily!$C:$C, $C$3),""))</f>
        <v/>
      </c>
      <c r="Y16" s="96" t="str">
        <f t="shared" si="8"/>
        <v/>
      </c>
      <c r="Z16" s="121" t="str">
        <f>IF($A16="","",IFERROR(SUMPRODUCT((Raw_Data_Daily!$B$2:$B$9999="Control")*(Raw_Data_Daily!$A$2:$A$9999=$A16)*(Raw_Data_Daily!$C$2:$C$9999=$C$3)*Raw_Data_Daily!$D$2:$D$9999*Raw_Data_Daily!$L$2:$L$9999)/SUMIFS(Raw_Data_Daily!$D:$D, Raw_Data_Daily!$B:$B, "Control", Raw_Data_Daily!$A:$A, $A16, Raw_Data_Daily!$C:$C, $C$3),""))</f>
        <v/>
      </c>
      <c r="AA16" s="121" t="str">
        <f>IF($A16="","",IFERROR(SUMPRODUCT((Raw_Data_Daily!$B$2:$B$9999="Variant")*(Raw_Data_Daily!$A$2:$A$9999=$A16)*(Raw_Data_Daily!$C$2:$C$9999=$C$3)*Raw_Data_Daily!$D$2:$D$9999*Raw_Data_Daily!$L$2:$L$9999)/SUMIFS(Raw_Data_Daily!$D:$D, Raw_Data_Daily!$B:$B, "Variant", Raw_Data_Daily!$A:$A, $A16, Raw_Data_Daily!$C:$C, $C$3),""))</f>
        <v/>
      </c>
      <c r="AB16" s="96" t="str">
        <f t="shared" si="9"/>
        <v/>
      </c>
      <c r="AC16" s="139" t="str">
        <f>IF($A16="","",IFERROR(SUMPRODUCT((Raw_Data_Daily!$B$2:$B$9999="Control")*(Raw_Data_Daily!$A$2:$A$9999=$A16)*(Raw_Data_Daily!$C$2:$C$9999=$C$3)*Raw_Data_Daily!$D$2:$D$9999*Raw_Data_Daily!$M$2:$M$9999)/SUMIFS(Raw_Data_Daily!$D:$D, Raw_Data_Daily!$B:$B, "Control", Raw_Data_Daily!$A:$A, $A16, Raw_Data_Daily!$C:$C, $C$3),""))</f>
        <v/>
      </c>
      <c r="AD16" s="139" t="str">
        <f>IF($A16="","",IFERROR(SUMPRODUCT((Raw_Data_Daily!$B$2:$B$9999="Variant")*(Raw_Data_Daily!$A$2:$A$9999=$A16)*(Raw_Data_Daily!$C$2:$C$9999=$C$3)*Raw_Data_Daily!$D$2:$D$9999*Raw_Data_Daily!$M$2:$M$9999)/SUMIFS(Raw_Data_Daily!$D:$D, Raw_Data_Daily!$B:$B, "Variant", Raw_Data_Daily!$A:$A, $A16, Raw_Data_Daily!$C:$C, $C$3),""))</f>
        <v/>
      </c>
      <c r="AE16" s="142" t="str">
        <f t="shared" si="10"/>
        <v/>
      </c>
      <c r="AF16" s="139" t="str">
        <f>IF($A16="","",IFERROR(SUMPRODUCT((Raw_Data_Daily!$B$2:$B$9999="Control")*(Raw_Data_Daily!$A$2:$A$9999=$A16)*(Raw_Data_Daily!$C$2:$C$9999=$C$3)*Raw_Data_Daily!$D$2:$D$9999*Raw_Data_Daily!$N$2:$N$9999)/SUMIFS(Raw_Data_Daily!$D:$D, Raw_Data_Daily!$B:$B, "Control", Raw_Data_Daily!$A:$A, $A16, Raw_Data_Daily!$C:$C, $C$3),""))</f>
        <v/>
      </c>
      <c r="AG16" s="139" t="str">
        <f>IF($A16="","",IFERROR(SUMPRODUCT((Raw_Data_Daily!$B$2:$B$9999="Variant")*(Raw_Data_Daily!$A$2:$A$9999=$A16)*(Raw_Data_Daily!$C$2:$C$9999=$C$3)*Raw_Data_Daily!$D$2:$D$9999*Raw_Data_Daily!$N$2:$N$9999)/SUMIFS(Raw_Data_Daily!$D:$D, Raw_Data_Daily!$B:$B, "Variant", Raw_Data_Daily!$A:$A, $A16, Raw_Data_Daily!$C:$C, $C$3),""))</f>
        <v/>
      </c>
      <c r="AH16" s="142" t="str">
        <f t="shared" si="11"/>
        <v/>
      </c>
      <c r="AI16" s="139" t="str">
        <f>IF($A16="","",IFERROR(SUMPRODUCT((Raw_Data_Daily!$B$2:$B$9999="Control")*(Raw_Data_Daily!$A$2:$A$9999=$A16)*(Raw_Data_Daily!$C$2:$C$9999=$C$3)*Raw_Data_Daily!$D$2:$D$9999*Raw_Data_Daily!$O$2:$O$9999)/SUMIFS(Raw_Data_Daily!$D:$D, Raw_Data_Daily!$B:$B, "Control", Raw_Data_Daily!$A:$A, $A16, Raw_Data_Daily!$C:$C, $C$3),""))</f>
        <v/>
      </c>
      <c r="AJ16" s="139" t="str">
        <f>IF($A16="","",IFERROR(SUMPRODUCT((Raw_Data_Daily!$B$2:$B$9999="Variant")*(Raw_Data_Daily!$A$2:$A$9999=$A16)*(Raw_Data_Daily!$C$2:$C$9999=$C$3)*Raw_Data_Daily!$D$2:$D$9999*Raw_Data_Daily!$O$2:$O$9999)/SUMIFS(Raw_Data_Daily!$D:$D, Raw_Data_Daily!$B:$B, "Variant", Raw_Data_Daily!$A:$A, $A16, Raw_Data_Daily!$C:$C, $C$3),""))</f>
        <v/>
      </c>
      <c r="AK16" s="96" t="str">
        <f t="shared" si="12"/>
        <v/>
      </c>
      <c r="AL16" s="121" t="str">
        <f>IF($A16="","",IFERROR(SUMPRODUCT((Raw_Data_Daily!$B$2:$B$9999="Control")*(Raw_Data_Daily!$A$2:$A$9999=$A16)*(Raw_Data_Daily!$C$2:$C$9999=$C$3)*Raw_Data_Daily!$D$2:$D$9999*Raw_Data_Daily!$P$2:$P$9999)/SUMIFS(Raw_Data_Daily!$D:$D, Raw_Data_Daily!$B:$B, "Control", Raw_Data_Daily!$A:$A, $A16, Raw_Data_Daily!$C:$C, $C$3),""))</f>
        <v/>
      </c>
      <c r="AM16" s="121" t="str">
        <f>IF($A16="","",IFERROR(SUMPRODUCT((Raw_Data_Daily!$B$2:$B$9999="Variant")*(Raw_Data_Daily!$A$2:$A$9999=$A16)*(Raw_Data_Daily!$C$2:$C$9999=$C$3)*Raw_Data_Daily!$D$2:$D$9999*Raw_Data_Daily!$P$2:$P$9999)/SUMIFS(Raw_Data_Daily!$D:$D, Raw_Data_Daily!$B:$B, "Variant", Raw_Data_Daily!$A:$A, $A16, Raw_Data_Daily!$C:$C, $C$3),""))</f>
        <v/>
      </c>
      <c r="AN16" s="96" t="str">
        <f t="shared" si="13"/>
        <v/>
      </c>
      <c r="AO16" s="121" t="str">
        <f>IF($A16="","",IFERROR(SUMPRODUCT((Raw_Data_Daily!$B$2:$B$9999="Control")*(Raw_Data_Daily!$A$2:$A$9999=$A16)*(Raw_Data_Daily!$C$2:$C$9999=$C$3)*Raw_Data_Daily!$D$2:$D$9999*Raw_Data_Daily!$Q$2:$Q$9999)/SUMIFS(Raw_Data_Daily!$D:$D, Raw_Data_Daily!$B:$B, "Control", Raw_Data_Daily!$A:$A, $A16, Raw_Data_Daily!$C:$C, $C$3),""))</f>
        <v/>
      </c>
      <c r="AP16" s="121" t="str">
        <f>IF($A16="","",IFERROR(SUMPRODUCT((Raw_Data_Daily!$B$2:$B$9999="Variant")*(Raw_Data_Daily!$A$2:$A$9999=$A16)*(Raw_Data_Daily!$C$2:$C$9999=$C$3)*Raw_Data_Daily!$D$2:$D$9999*Raw_Data_Daily!$Q$2:$Q$9999)/SUMIFS(Raw_Data_Daily!$D:$D, Raw_Data_Daily!$B:$B, "Variant", Raw_Data_Daily!$A:$A, $A16, Raw_Data_Daily!$C:$C, $C$3),""))</f>
        <v/>
      </c>
      <c r="AQ16" s="93" t="str">
        <f t="shared" si="14"/>
        <v/>
      </c>
      <c r="AR16" s="121" t="str">
        <f>IF($A16="","",IFERROR(SUMPRODUCT((Raw_Data_Daily!$B$2:$B$9999="Control")*(Raw_Data_Daily!$A$2:$A$9999=$A16)*(Raw_Data_Daily!$C$2:$C$9999=$C$3)*Raw_Data_Daily!$D$2:$D$9999*Raw_Data_Daily!$R$2:$R$9999)/SUMIFS(Raw_Data_Daily!$D:$D, Raw_Data_Daily!$B:$B, "Control", Raw_Data_Daily!$A:$A, $A16, Raw_Data_Daily!$C:$C, $C$3),""))</f>
        <v/>
      </c>
      <c r="AS16" s="121" t="str">
        <f>IF($A16="","",IFERROR(SUMPRODUCT((Raw_Data_Daily!$B$2:$B$9999="Variant")*(Raw_Data_Daily!$A$2:$A$9999=$A16)*(Raw_Data_Daily!$C$2:$C$9999=$C$3)*Raw_Data_Daily!$D$2:$D$9999*Raw_Data_Daily!$R$2:$R$9999)/SUMIFS(Raw_Data_Daily!$D:$D, Raw_Data_Daily!$B:$B, "Variant", Raw_Data_Daily!$A:$A, $A16, Raw_Data_Daily!$C:$C, $C$3),""))</f>
        <v/>
      </c>
      <c r="AT16" s="93" t="str">
        <f t="shared" si="15"/>
        <v/>
      </c>
      <c r="AU16" s="121" t="str">
        <f>IF($A16="","",IFERROR(SUMPRODUCT((Raw_Data_Daily!$B$2:$B$9999="Control")*(Raw_Data_Daily!$A$2:$A$9999=$A16)*(Raw_Data_Daily!$C$2:$C$9999=$C$3)*Raw_Data_Daily!$D$2:$D$9999*Raw_Data_Daily!$S$2:$S$9999)/SUMIFS(Raw_Data_Daily!$D:$D, Raw_Data_Daily!$B:$B, "Control", Raw_Data_Daily!$A:$A, $A16, Raw_Data_Daily!$C:$C, $C$3),""))</f>
        <v/>
      </c>
      <c r="AV16" s="121" t="str">
        <f>IF($A16="","",IFERROR(SUMPRODUCT((Raw_Data_Daily!$B$2:$B$9999="Variant")*(Raw_Data_Daily!$A$2:$A$9999=$A16)*(Raw_Data_Daily!$C$2:$C$9999=$C$3)*Raw_Data_Daily!$D$2:$D$9999*Raw_Data_Daily!$S$2:$S$9999)/SUMIFS(Raw_Data_Daily!$D:$D, Raw_Data_Daily!$B:$B, "Variant", Raw_Data_Daily!$A:$A, $A16, Raw_Data_Daily!$C:$C, $C$3),""))</f>
        <v/>
      </c>
      <c r="AW16" s="93" t="str">
        <f t="shared" si="16"/>
        <v/>
      </c>
      <c r="AX16" s="121" t="str">
        <f>IF($A16="","",IFERROR(SUMPRODUCT((Raw_Data_Daily!$B$2:$B$9999="Control")*(Raw_Data_Daily!$A$2:$A$9999=$A16)*(Raw_Data_Daily!$C$2:$C$9999=$C$3)*Raw_Data_Daily!$D$2:$D$9999*Raw_Data_Daily!$T$2:$T$9999)/SUMIFS(Raw_Data_Daily!$D:$D, Raw_Data_Daily!$B:$B, "Control", Raw_Data_Daily!$A:$A, $A16, Raw_Data_Daily!$C:$C, $C$3),""))</f>
        <v/>
      </c>
      <c r="AY16" s="121" t="str">
        <f>IF($A16="","",IFERROR(SUMPRODUCT((Raw_Data_Daily!$B$2:$B$9999="Variant")*(Raw_Data_Daily!$A$2:$A$9999=$A16)*(Raw_Data_Daily!$C$2:$C$9999=$C$3)*Raw_Data_Daily!$D$2:$D$9999*Raw_Data_Daily!$T$2:$T$9999)/SUMIFS(Raw_Data_Daily!$D:$D, Raw_Data_Daily!$B:$B, "Variant", Raw_Data_Daily!$A:$A, $A16, Raw_Data_Daily!$C:$C, $C$3),""))</f>
        <v/>
      </c>
      <c r="AZ16" s="96" t="str">
        <f t="shared" si="17"/>
        <v/>
      </c>
      <c r="BA16" s="121" t="str">
        <f>IF($A16="","",IFERROR(SUMPRODUCT((Raw_Data_Daily!$B$2:$B$9999="Control")*(Raw_Data_Daily!$A$2:$A$9999=$A16)*(Raw_Data_Daily!$C$2:$C$9999=$C$3)*Raw_Data_Daily!$D$2:$D$9999*Raw_Data_Daily!$U$2:$U$9999)/SUMIFS(Raw_Data_Daily!$D:$D, Raw_Data_Daily!$B:$B, "Control", Raw_Data_Daily!$A:$A, $A16, Raw_Data_Daily!$C:$C, $C$3),""))</f>
        <v/>
      </c>
      <c r="BB16" s="121" t="str">
        <f>IF($A16="","",IFERROR(SUMPRODUCT((Raw_Data_Daily!$B$2:$B$9999="Variant")*(Raw_Data_Daily!$A$2:$A$9999=$A16)*(Raw_Data_Daily!$C$2:$C$9999=$C$3)*Raw_Data_Daily!$D$2:$D$9999*Raw_Data_Daily!$U$2:$U$9999)/SUMIFS(Raw_Data_Daily!$D:$D, Raw_Data_Daily!$B:$B, "Variant", Raw_Data_Daily!$A:$A, $A16, Raw_Data_Daily!$C:$C, $C$3),""))</f>
        <v/>
      </c>
      <c r="BC16" s="93" t="str">
        <f t="shared" si="18"/>
        <v/>
      </c>
      <c r="BD16" s="121" t="str">
        <f>IF($A16="","",IFERROR(SUMPRODUCT((Raw_Data_Daily!$B$2:$B$9999="Control")*(Raw_Data_Daily!$A$2:$A$9999=$A16)*(Raw_Data_Daily!$C$2:$C$9999=$C$3)*Raw_Data_Daily!$D$2:$D$9999*Raw_Data_Daily!$V$2:$V$9999)/SUMIFS(Raw_Data_Daily!$D:$D, Raw_Data_Daily!$B:$B, "Control", Raw_Data_Daily!$A:$A, $A16, Raw_Data_Daily!$C:$C, $C$3),""))</f>
        <v/>
      </c>
      <c r="BE16" s="121" t="str">
        <f>IF($A16="","",IFERROR(SUMPRODUCT((Raw_Data_Daily!$B$2:$B$9999="Variant")*(Raw_Data_Daily!$A$2:$A$9999=$A16)*(Raw_Data_Daily!$C$2:$C$9999=$C$3)*Raw_Data_Daily!$D$2:$D$9999*Raw_Data_Daily!$V$2:$V$9999)/SUMIFS(Raw_Data_Daily!$D:$D, Raw_Data_Daily!$B:$B, "Variant", Raw_Data_Daily!$A:$A, $A16, Raw_Data_Daily!$C:$C, $C$3),""))</f>
        <v/>
      </c>
      <c r="BF16" s="93" t="str">
        <f t="shared" si="19"/>
        <v/>
      </c>
      <c r="BG16" s="121" t="str">
        <f>IF($A16="","",IFERROR(SUMPRODUCT((Raw_Data_Daily!$B$2:$B$9999="Control")*(Raw_Data_Daily!$A$2:$A$9999=$A16)*(Raw_Data_Daily!$C$2:$C$9999=$C$3)*Raw_Data_Daily!$D$2:$D$9999*(Raw_Data_Daily!$Q$2:$Q$9999-Raw_Data_Daily!$V$2:$V$9999))/SUMIFS(Raw_Data_Daily!$D:$D, Raw_Data_Daily!$B:$B, "Control", Raw_Data_Daily!$A:$A, $A16, Raw_Data_Daily!$C:$C, $C$3),""))</f>
        <v/>
      </c>
      <c r="BH16" s="121" t="str">
        <f>IF($A16="","",IFERROR(SUMPRODUCT((Raw_Data_Daily!$B$2:$B$9999="Variant")*(Raw_Data_Daily!$A$2:$A$9999=$A16)*(Raw_Data_Daily!$C$2:$C$9999=$C$3)*Raw_Data_Daily!$D$2:$D$9999*(Raw_Data_Daily!$Q$2:$Q$9999-Raw_Data_Daily!$V$2:$V$9999))/SUMIFS(Raw_Data_Daily!$D:$D, Raw_Data_Daily!$B:$B, "Variant", Raw_Data_Daily!$A:$A, $A16, Raw_Data_Daily!$C:$C, $C$3),""))</f>
        <v/>
      </c>
      <c r="BI16" s="93" t="str">
        <f t="shared" si="20"/>
        <v/>
      </c>
      <c r="BJ16" s="121" t="str">
        <f>IF($A16="","",IFERROR(SUMPRODUCT((Raw_Data_Daily!$B$2:$B$9999="Control")*(Raw_Data_Daily!$A$2:$A$9999=$A16)*(Raw_Data_Daily!$C$2:$C$9999=$C$3)*Raw_Data_Daily!$D$2:$D$9999*Raw_Data_Daily!$W$2:$W$9999)/SUMIFS(Raw_Data_Daily!$D:$D, Raw_Data_Daily!$B:$B, "Control", Raw_Data_Daily!$A:$A, $A16, Raw_Data_Daily!$C:$C, $C$3),""))</f>
        <v/>
      </c>
      <c r="BK16" s="121" t="str">
        <f>IF($A16="","",IFERROR(SUMPRODUCT((Raw_Data_Daily!$B$2:$B$9999="Variant")*(Raw_Data_Daily!$A$2:$A$9999=$A16)*(Raw_Data_Daily!$C$2:$C$9999=$C$3)*Raw_Data_Daily!$D$2:$D$9999*Raw_Data_Daily!$W$2:$W$9999)/SUMIFS(Raw_Data_Daily!$D:$D, Raw_Data_Daily!$B:$B, "Variant", Raw_Data_Daily!$A:$A, $A16, Raw_Data_Daily!$C:$C, $C$3),""))</f>
        <v/>
      </c>
      <c r="BL16" s="93" t="str">
        <f t="shared" si="21"/>
        <v/>
      </c>
      <c r="BM16" s="139" t="str">
        <f>IF($A16="","",IFERROR(SUMPRODUCT((Raw_Data_Daily!$B$2:$B$9999="Control")*(Raw_Data_Daily!$A$2:$A$9999=$A16)*(Raw_Data_Daily!$C$2:$C$9999=$C$3)*Raw_Data_Daily!$D$2:$D$9999*Raw_Data_Daily!$X$2:$X$9999)/SUMIFS(Raw_Data_Daily!$D:$D, Raw_Data_Daily!$B:$B, "Control", Raw_Data_Daily!$A:$A, $A16, Raw_Data_Daily!$C:$C, $C$3),""))</f>
        <v/>
      </c>
      <c r="BN16" s="139" t="str">
        <f>IF($A16="","",IFERROR(SUMPRODUCT((Raw_Data_Daily!$B$2:$B$9999="Variant")*(Raw_Data_Daily!$A$2:$A$9999=$A16)*(Raw_Data_Daily!$C$2:$C$9999=$C$3)*Raw_Data_Daily!$D$2:$D$9999*Raw_Data_Daily!$X$2:$X$9999)/SUMIFS(Raw_Data_Daily!$D:$D, Raw_Data_Daily!$B:$B, "Variant", Raw_Data_Daily!$A:$A, $A16, Raw_Data_Daily!$C:$C, $C$3),""))</f>
        <v/>
      </c>
      <c r="BO16" s="96" t="str">
        <f t="shared" si="22"/>
        <v/>
      </c>
      <c r="BP16" s="92" t="str">
        <f>IF($A16="","",IFERROR(SUMPRODUCT((Raw_Data_Daily!$B$2:$B$9999="Control")*(Raw_Data_Daily!$A$2:$A$9999=$A16)*(Raw_Data_Daily!$C$2:$C$9999=$C$3)*Raw_Data_Daily!$D$2:$D$9999*Raw_Data_Daily!$Y$2:$Y$9999)/SUMIFS(Raw_Data_Daily!$D:$D, Raw_Data_Daily!$B:$B, "Control", Raw_Data_Daily!$A:$A, $A16, Raw_Data_Daily!$C:$C, $C$3),""))</f>
        <v/>
      </c>
      <c r="BQ16" s="92" t="str">
        <f>IF($A16="","",IFERROR(SUMPRODUCT((Raw_Data_Daily!$B$2:$B$9999="Variant")*(Raw_Data_Daily!$A$2:$A$9999=$A16)*(Raw_Data_Daily!$C$2:$C$9999=$C$3)*Raw_Data_Daily!$D$2:$D$9999*Raw_Data_Daily!$Y$2:$Y$9999)/SUMIFS(Raw_Data_Daily!$D:$D, Raw_Data_Daily!$B:$B, "Variant", Raw_Data_Daily!$A:$A, $A16, Raw_Data_Daily!$C:$C, $C$3),""))</f>
        <v/>
      </c>
      <c r="BR16" s="93" t="str">
        <f t="shared" si="23"/>
        <v/>
      </c>
      <c r="BS16" s="92" t="str">
        <f>IF($A16="","",IFERROR(SUMPRODUCT((Raw_Data_Daily!$B$2:$B$9999="Control")*(Raw_Data_Daily!$A$2:$A$9999=$A16)*(Raw_Data_Daily!$C$2:$C$9999=$C$3)*Raw_Data_Daily!$D$2:$D$9999*Raw_Data_Daily!$Z$2:$Z$9999)/SUMIFS(Raw_Data_Daily!$D:$D, Raw_Data_Daily!$B:$B, "Control", Raw_Data_Daily!$A:$A, $A16, Raw_Data_Daily!$C:$C, $C$3),""))</f>
        <v/>
      </c>
      <c r="BT16" s="92" t="str">
        <f>IF($A16="","",IFERROR(SUMPRODUCT((Raw_Data_Daily!$B$2:$B$9999="Variant")*(Raw_Data_Daily!$A$2:$A$9999=$A16)*(Raw_Data_Daily!$C$2:$C$9999=$C$3)*Raw_Data_Daily!$D$2:$D$9999*Raw_Data_Daily!$Z$2:$Z$9999)/SUMIFS(Raw_Data_Daily!$D:$D, Raw_Data_Daily!$B:$B, "Variant", Raw_Data_Daily!$A:$A, $A16, Raw_Data_Daily!$C:$C, $C$3),""))</f>
        <v/>
      </c>
      <c r="BU16" s="93" t="str">
        <f t="shared" si="24"/>
        <v/>
      </c>
      <c r="BV16" s="92" t="str">
        <f>IF($A16="","",IFERROR(SUMPRODUCT((Raw_Data_Daily!$B$2:$B$9999="Control")*(Raw_Data_Daily!$A$2:$A$9999=$A16)*(Raw_Data_Daily!$C$2:$C$9999=$C$3)*Raw_Data_Daily!$D$2:$D$9999*Raw_Data_Daily!$AA$2:$AA$9999)/SUMIFS(Raw_Data_Daily!$D:$D, Raw_Data_Daily!$B:$B, "Control", Raw_Data_Daily!$A:$A, $A16, Raw_Data_Daily!$C:$C, $C$3),""))</f>
        <v/>
      </c>
      <c r="BW16" s="92" t="str">
        <f>IF($A16="","",IFERROR(SUMPRODUCT((Raw_Data_Daily!$B$2:$B$9999="Variant")*(Raw_Data_Daily!$A$2:$A$9999=$A16)*(Raw_Data_Daily!$C$2:$C$9999=$C$3)*Raw_Data_Daily!$D$2:$D$9999*Raw_Data_Daily!$AA$2:$AA$9999)/SUMIFS(Raw_Data_Daily!$D:$D, Raw_Data_Daily!$B:$B, "Variant", Raw_Data_Daily!$A:$A, $A16, Raw_Data_Daily!$C:$C, $C$3),""))</f>
        <v/>
      </c>
      <c r="BX16" s="93" t="str">
        <f t="shared" si="25"/>
        <v/>
      </c>
      <c r="BY16" s="121" t="str">
        <f>IF($A16="","",IFERROR(SUMPRODUCT((Raw_Data_Daily!$B$2:$B$9999="Control")*(Raw_Data_Daily!$A$2:$A$9999=$A16)*(Raw_Data_Daily!$C$2:$C$9999=$C$3)*Raw_Data_Daily!$D$2:$D$9999*Raw_Data_Daily!$AB$2:$AB$9999)/SUMIFS(Raw_Data_Daily!$D:$D, Raw_Data_Daily!$B:$B, "Control", Raw_Data_Daily!$A:$A, $A16, Raw_Data_Daily!$C:$C, $C$3),""))</f>
        <v/>
      </c>
      <c r="BZ16" s="121" t="str">
        <f>IF($A16="","",IFERROR(SUMPRODUCT((Raw_Data_Daily!$B$2:$B$9999="Variant")*(Raw_Data_Daily!$A$2:$A$9999=$A16)*(Raw_Data_Daily!$C$2:$C$9999=$C$3)*Raw_Data_Daily!$D$2:$D$9999*Raw_Data_Daily!$AB$2:$AB$9999)/SUMIFS(Raw_Data_Daily!$D:$D, Raw_Data_Daily!$B:$B, "Variant", Raw_Data_Daily!$A:$A, $A16, Raw_Data_Daily!$C:$C, $C$3),""))</f>
        <v/>
      </c>
      <c r="CA16" s="96" t="str">
        <f t="shared" si="26"/>
        <v/>
      </c>
      <c r="CB16" s="121" t="str">
        <f>IF($A16="","",IFERROR(SUMPRODUCT((Raw_Data_Daily!$B$2:$B$9999="Control")*(Raw_Data_Daily!$A$2:$A$9999=$A16)*(Raw_Data_Daily!$C$2:$C$9999=$C$3)*Raw_Data_Daily!$D$2:$D$9999*Raw_Data_Daily!$AC$2:$AC$9999)/SUMIFS(Raw_Data_Daily!$D:$D, Raw_Data_Daily!$B:$B, "Control", Raw_Data_Daily!$A:$A, $A16, Raw_Data_Daily!$C:$C, $C$3),""))</f>
        <v/>
      </c>
      <c r="CC16" s="121" t="str">
        <f>IF($A16="","",IFERROR(SUMPRODUCT((Raw_Data_Daily!$B$2:$B$9999="Variant")*(Raw_Data_Daily!$A$2:$A$9999=$A16)*(Raw_Data_Daily!$C$2:$C$9999=$C$3)*Raw_Data_Daily!$D$2:$D$9999*Raw_Data_Daily!$AC$2:$AC$9999)/SUMIFS(Raw_Data_Daily!$D:$D, Raw_Data_Daily!$B:$B, "Variant", Raw_Data_Daily!$A:$A, $A16, Raw_Data_Daily!$C:$C, $C$3),""))</f>
        <v/>
      </c>
      <c r="CD16" s="96" t="str">
        <f t="shared" si="27"/>
        <v/>
      </c>
      <c r="CE16" s="121" t="str">
        <f>IF($A16="","",IFERROR(SUMPRODUCT((Raw_Data_Daily!$B$2:$B$9999="Control")*(Raw_Data_Daily!$A$2:$A$9999=$A16)*(Raw_Data_Daily!$C$2:$C$9999=$C$3)*Raw_Data_Daily!$D$2:$D$9999*Raw_Data_Daily!$AD$2:$AD$9999)/SUMIFS(Raw_Data_Daily!$D:$D, Raw_Data_Daily!$B:$B, "Control", Raw_Data_Daily!$A:$A, $A16, Raw_Data_Daily!$C:$C, $C$3),""))</f>
        <v/>
      </c>
      <c r="CF16" s="121" t="str">
        <f>IF($A16="","",IFERROR(SUMPRODUCT((Raw_Data_Daily!$B$2:$B$9999="Variant")*(Raw_Data_Daily!$A$2:$A$9999=$A16)*(Raw_Data_Daily!$C$2:$C$9999=$C$3)*Raw_Data_Daily!$D$2:$D$9999*Raw_Data_Daily!$AD$2:$AD$9999)/SUMIFS(Raw_Data_Daily!$D:$D, Raw_Data_Daily!$B:$B, "Variant", Raw_Data_Daily!$A:$A, $A16, Raw_Data_Daily!$C:$C, $C$3),""))</f>
        <v/>
      </c>
      <c r="CG16" s="96" t="str">
        <f t="shared" si="28"/>
        <v/>
      </c>
      <c r="CH16" s="121" t="str">
        <f>IF($A16="","",IFERROR(SUMPRODUCT((Raw_Data_Daily!$B$2:$B$9999="Control")*(Raw_Data_Daily!$A$2:$A$9999=$A16)*(Raw_Data_Daily!$C$2:$C$9999=$C$3)*Raw_Data_Daily!$D$2:$D$9999*Raw_Data_Daily!$AE$2:$AE$9999)/SUMIFS(Raw_Data_Daily!$D:$D, Raw_Data_Daily!$B:$B, "Control", Raw_Data_Daily!$A:$A, $A16, Raw_Data_Daily!$C:$C, $C$3),""))</f>
        <v/>
      </c>
      <c r="CI16" s="121" t="str">
        <f>IF($A16="","",IFERROR(SUMPRODUCT((Raw_Data_Daily!$B$2:$B$9999="Variant")*(Raw_Data_Daily!$A$2:$A$9999=$A16)*(Raw_Data_Daily!$C$2:$C$9999=$C$3)*Raw_Data_Daily!$D$2:$D$9999*Raw_Data_Daily!$AE$2:$AE$9999)/SUMIFS(Raw_Data_Daily!$D:$D, Raw_Data_Daily!$B:$B, "Variant", Raw_Data_Daily!$A:$A, $A16, Raw_Data_Daily!$C:$C, $C$3),""))</f>
        <v/>
      </c>
      <c r="CJ16" s="96" t="str">
        <f t="shared" si="29"/>
        <v/>
      </c>
      <c r="CK16" s="121" t="str">
        <f>IF($A16="","",IFERROR(SUMPRODUCT((Raw_Data_Daily!$B$2:$B$9999="Control")*(Raw_Data_Daily!$A$2:$A$9999=$A16)*(Raw_Data_Daily!$C$2:$C$9999=$C$3)*Raw_Data_Daily!$D$2:$D$9999*Raw_Data_Daily!$AF$2:$AF$9999)/SUMIFS(Raw_Data_Daily!$D:$D, Raw_Data_Daily!$B:$B, "Control", Raw_Data_Daily!$A:$A, $A16, Raw_Data_Daily!$C:$C, $C$3),""))</f>
        <v/>
      </c>
      <c r="CL16" s="121" t="str">
        <f>IF($A16="","",IFERROR(SUMPRODUCT((Raw_Data_Daily!$B$2:$B$9999="Variant")*(Raw_Data_Daily!$A$2:$A$9999=$A16)*(Raw_Data_Daily!$C$2:$C$9999=$C$3)*Raw_Data_Daily!$D$2:$D$9999*Raw_Data_Daily!$AF$2:$AF$9999)/SUMIFS(Raw_Data_Daily!$D:$D, Raw_Data_Daily!$B:$B, "Variant", Raw_Data_Daily!$A:$A, $A16, Raw_Data_Daily!$C:$C, $C$3),""))</f>
        <v/>
      </c>
      <c r="CM16" s="96" t="str">
        <f t="shared" si="30"/>
        <v/>
      </c>
      <c r="CN16" s="121" t="str">
        <f>IF($A16="","",IFERROR(SUMPRODUCT((Raw_Data_Daily!$B$2:$B$9999="Control")*(Raw_Data_Daily!$A$2:$A$9999=$A16)*(Raw_Data_Daily!$C$2:$C$9999=$C$3)*Raw_Data_Daily!$D$2:$D$9999*Raw_Data_Daily!$AG$2:$AG$9999)/SUMIFS(Raw_Data_Daily!$D:$D, Raw_Data_Daily!$B:$B, "Control", Raw_Data_Daily!$A:$A, $A16, Raw_Data_Daily!$C:$C, $C$3),""))</f>
        <v/>
      </c>
      <c r="CO16" s="121" t="str">
        <f>IF($A16="","",IFERROR(SUMPRODUCT((Raw_Data_Daily!$B$2:$B$9999="Variant")*(Raw_Data_Daily!$A$2:$A$9999=$A16)*(Raw_Data_Daily!$C$2:$C$9999=$C$3)*Raw_Data_Daily!$D$2:$D$9999*Raw_Data_Daily!$AG$2:$AG$9999)/SUMIFS(Raw_Data_Daily!$D:$D, Raw_Data_Daily!$B:$B, "Variant", Raw_Data_Daily!$A:$A, $A16, Raw_Data_Daily!$C:$C, $C$3),""))</f>
        <v/>
      </c>
      <c r="CP16" s="96" t="str">
        <f t="shared" si="31"/>
        <v/>
      </c>
      <c r="CQ16" s="121" t="str">
        <f>IF($A16="","",IFERROR(SUMPRODUCT((Raw_Data_Daily!$B$2:$B$9999="Control")*(Raw_Data_Daily!$A$2:$A$9999=$A16)*(Raw_Data_Daily!$C$2:$C$9999=$C$3)*Raw_Data_Daily!$D$2:$D$9999*Raw_Data_Daily!$AH$2:$AH$9999)/SUMIFS(Raw_Data_Daily!$D:$D, Raw_Data_Daily!$B:$B, "Control", Raw_Data_Daily!$A:$A, $A16, Raw_Data_Daily!$C:$C, $C$3),""))</f>
        <v/>
      </c>
      <c r="CR16" s="121" t="str">
        <f>IF($A16="","",IFERROR(SUMPRODUCT((Raw_Data_Daily!$B$2:$B$9999="Variant")*(Raw_Data_Daily!$A$2:$A$9999=$A16)*(Raw_Data_Daily!$C$2:$C$9999=$C$3)*Raw_Data_Daily!$D$2:$D$9999*Raw_Data_Daily!$AH$2:$AH$9999)/SUMIFS(Raw_Data_Daily!$D:$D, Raw_Data_Daily!$B:$B, "Variant", Raw_Data_Daily!$A:$A, $A16, Raw_Data_Daily!$C:$C, $C$3),""))</f>
        <v/>
      </c>
      <c r="CS16" s="96" t="str">
        <f t="shared" si="32"/>
        <v/>
      </c>
      <c r="CT16" s="94" t="str">
        <f>IF($A16="","",IFERROR(SUMPRODUCT((Raw_Data_Daily!$B$2:$B$9999="Control")*(Raw_Data_Daily!$A$2:$A$9999=$A16)*(Raw_Data_Daily!$C$2:$C$9999=$C$3)*Raw_Data_Daily!$D$2:$D$9999*Raw_Data_Daily!$AI$2:$AI$9999)/SUMIFS(Raw_Data_Daily!$D:$D, Raw_Data_Daily!$B:$B, "Control", Raw_Data_Daily!$A:$A, $A16, Raw_Data_Daily!$C:$C, $C$3),""))</f>
        <v/>
      </c>
      <c r="CU16" s="94" t="str">
        <f>IF($A16="","",IFERROR(SUMPRODUCT((Raw_Data_Daily!$B$2:$B$9999="Variant")*(Raw_Data_Daily!$A$2:$A$9999=$A16)*(Raw_Data_Daily!$C$2:$C$9999=$C$3)*Raw_Data_Daily!$D$2:$D$9999*Raw_Data_Daily!$AI$2:$AI$9999)/SUMIFS(Raw_Data_Daily!$D:$D, Raw_Data_Daily!$B:$B, "Variant", Raw_Data_Daily!$A:$A, $A16, Raw_Data_Daily!$C:$C, $C$3),""))</f>
        <v/>
      </c>
      <c r="CV16" s="142" t="str">
        <f t="shared" si="33"/>
        <v/>
      </c>
      <c r="CW16" s="94" t="str">
        <f>IF($A16="","",IFERROR(SUMPRODUCT((Raw_Data_Daily!$B$2:$B$9999="Control")*(Raw_Data_Daily!$A$2:$A$9999=$A16)*(Raw_Data_Daily!$C$2:$C$9999=$C$3)*Raw_Data_Daily!$D$2:$D$9999*Raw_Data_Daily!$AJ$2:$AJ$9999)/SUMIFS(Raw_Data_Daily!$D:$D, Raw_Data_Daily!$B:$B, "Control", Raw_Data_Daily!$A:$A, $A16, Raw_Data_Daily!$C:$C, $C$3),""))</f>
        <v/>
      </c>
      <c r="CX16" s="94" t="str">
        <f>IF($A16="","",IFERROR(SUMPRODUCT((Raw_Data_Daily!$B$2:$B$9999="Variant")*(Raw_Data_Daily!$A$2:$A$9999=$A16)*(Raw_Data_Daily!$C$2:$C$9999=$C$3)*Raw_Data_Daily!$D$2:$D$9999*Raw_Data_Daily!$AJ$2:$AJ$9999)/SUMIFS(Raw_Data_Daily!$D:$D, Raw_Data_Daily!$B:$B, "Variant", Raw_Data_Daily!$A:$A, $A16, Raw_Data_Daily!$C:$C, $C$3),""))</f>
        <v/>
      </c>
      <c r="CY16" s="142" t="str">
        <f t="shared" si="34"/>
        <v/>
      </c>
      <c r="CZ16" s="94" t="str">
        <f>IF($A16="","",IFERROR(SUMPRODUCT((Raw_Data_Daily!$B$2:$B$9999="Control")*(Raw_Data_Daily!$A$2:$A$9999=$A16)*(Raw_Data_Daily!$C$2:$C$9999=$C$3)*Raw_Data_Daily!$D$2:$D$9999*Raw_Data_Daily!$AK$2:$AK$9999)/SUMIFS(Raw_Data_Daily!$D:$D, Raw_Data_Daily!$B:$B, "Control", Raw_Data_Daily!$A:$A, $A16, Raw_Data_Daily!$C:$C, $C$3),""))</f>
        <v/>
      </c>
      <c r="DA16" s="94" t="str">
        <f>IF($A16="","",IFERROR(SUMPRODUCT((Raw_Data_Daily!$B$2:$B$9999="Variant")*(Raw_Data_Daily!$A$2:$A$9999=$A16)*(Raw_Data_Daily!$C$2:$C$9999=$C$3)*Raw_Data_Daily!$D$2:$D$9999*Raw_Data_Daily!$AK$2:$AK$9999)/SUMIFS(Raw_Data_Daily!$D:$D, Raw_Data_Daily!$B:$B, "Variant", Raw_Data_Daily!$A:$A, $A16, Raw_Data_Daily!$C:$C, $C$3),""))</f>
        <v/>
      </c>
      <c r="DB16" s="96" t="str">
        <f t="shared" si="35"/>
        <v/>
      </c>
      <c r="DC16" s="139" t="str">
        <f>IF($A16="","",IFERROR(SUMPRODUCT((Raw_Data_Daily!$B$2:$B$9999="Control")*(Raw_Data_Daily!$A$2:$A$9999=$A16)*(Raw_Data_Daily!$C$2:$C$9999=$C$3)*Raw_Data_Daily!$D$2:$D$9999*Raw_Data_Daily!$AL$2:$AL$9999)/SUMIFS(Raw_Data_Daily!$D:$D, Raw_Data_Daily!$B:$B, "Control", Raw_Data_Daily!$A:$A, $A16, Raw_Data_Daily!$C:$C, $C$3),""))</f>
        <v/>
      </c>
      <c r="DD16" s="139" t="str">
        <f>IF($A16="","",IFERROR(SUMPRODUCT((Raw_Data_Daily!$B$2:$B$9999="Variant")*(Raw_Data_Daily!$A$2:$A$9999=$A16)*(Raw_Data_Daily!$C$2:$C$9999=$C$3)*Raw_Data_Daily!$D$2:$D$9999*Raw_Data_Daily!$AL$2:$AL$9999)/SUMIFS(Raw_Data_Daily!$D:$D, Raw_Data_Daily!$B:$B, "Variant", Raw_Data_Daily!$A:$A, $A16, Raw_Data_Daily!$C:$C, $C$3),""))</f>
        <v/>
      </c>
      <c r="DE16" s="142" t="str">
        <f t="shared" si="36"/>
        <v/>
      </c>
      <c r="DF16" s="168"/>
      <c r="DG16" s="94" t="str">
        <f>IF($A16="","",IFERROR(SUMPRODUCT((Raw_Data_Daily!$B$2:$B$9999="Variant")*(Raw_Data_Daily!$A$2:$A$9999=$A16)*(Raw_Data_Daily!$C$2:$C$9999=$C$3)*Raw_Data_Daily!$D$2:$D$9999*Raw_Data_Daily!$AM$2:$AM$9999)/SUMIFS(Raw_Data_Daily!$D:$D, Raw_Data_Daily!$B:$B, "Variant", Raw_Data_Daily!$A:$A, $A16, Raw_Data_Daily!$C:$C, $C$3),""))</f>
        <v/>
      </c>
      <c r="DH16" s="169"/>
      <c r="DI16" s="168"/>
      <c r="DJ16" s="94" t="str">
        <f>IF($A16="","",IFERROR(SUMPRODUCT((Raw_Data_Daily!$B$2:$B$9999="Variant")*(Raw_Data_Daily!$A$2:$A$9999=$A16)*(Raw_Data_Daily!$C$2:$C$9999=$C$3)*Raw_Data_Daily!$D$2:$D$9999*Raw_Data_Daily!$AN$2:$AN$9999)/SUMIFS(Raw_Data_Daily!$D:$D, Raw_Data_Daily!$B:$B, "Variant", Raw_Data_Daily!$A:$A, $A16, Raw_Data_Daily!$C:$C, $C$3),""))</f>
        <v/>
      </c>
      <c r="DK16" s="169"/>
      <c r="DL16" s="168"/>
      <c r="DM16" s="94" t="str">
        <f>IF($A16="","",IFERROR(SUMPRODUCT((Raw_Data_Daily!$B$2:$B$9999="Variant")*(Raw_Data_Daily!$A$2:$A$9999=$A16)*(Raw_Data_Daily!$C$2:$C$9999=$C$3)*Raw_Data_Daily!$D$2:$D$9999*Raw_Data_Daily!$AO$2:$AO$9999)/SUMIFS(Raw_Data_Daily!$D:$D, Raw_Data_Daily!$B:$B, "Variant", Raw_Data_Daily!$A:$A, $A16, Raw_Data_Daily!$C:$C, $C$3),""))</f>
        <v/>
      </c>
      <c r="DN16" s="169"/>
      <c r="DO16" s="168"/>
      <c r="DP16" s="94" t="str">
        <f>IF($A16="","",IFERROR(SUMPRODUCT((Raw_Data_Daily!$B$2:$B$9999="Variant")*(Raw_Data_Daily!$A$2:$A$9999=$A16)*(Raw_Data_Daily!$C$2:$C$9999=$C$3)*Raw_Data_Daily!$D$2:$D$9999*Raw_Data_Daily!$AP$2:$AP$9999)/SUMIFS(Raw_Data_Daily!$D:$D, Raw_Data_Daily!$B:$B, "Variant", Raw_Data_Daily!$A:$A, $A16, Raw_Data_Daily!$C:$C, $C$3),""))</f>
        <v/>
      </c>
      <c r="DQ16" s="169"/>
      <c r="DR16" s="139" t="str">
        <f>IF($A16="","",IFERROR(SUMPRODUCT((Raw_Data_Daily!$B$2:$B$9999="Control")*(Raw_Data_Daily!$A$2:$A$9999=$A16)*(Raw_Data_Daily!$C$2:$C$9999=$C$3)*Raw_Data_Daily!$D$2:$D$9999*Raw_Data_Daily!$AQ$2:$AQ$9999)/SUMIFS(Raw_Data_Daily!$D:$D, Raw_Data_Daily!$B:$B, "Control", Raw_Data_Daily!$A:$A, $A16, Raw_Data_Daily!$C:$C, $C$3),""))</f>
        <v/>
      </c>
      <c r="DS16" s="139" t="str">
        <f>IF($A16="","",IFERROR(SUMPRODUCT((Raw_Data_Daily!$B$2:$B$9999="Variant")*(Raw_Data_Daily!$A$2:$A$9999=$A16)*(Raw_Data_Daily!$C$2:$C$9999=$C$3)*Raw_Data_Daily!$D$2:$D$9999*Raw_Data_Daily!$AQ$2:$AQ$9999)/SUMIFS(Raw_Data_Daily!$D:$D, Raw_Data_Daily!$B:$B, "Variant", Raw_Data_Daily!$A:$A, $A16, Raw_Data_Daily!$C:$C, $C$3),""))</f>
        <v/>
      </c>
      <c r="DT16" s="173" t="str">
        <f t="shared" si="37"/>
        <v/>
      </c>
      <c r="DU16" s="139" t="str">
        <f>IF($A16="","",IFERROR(SUMPRODUCT((Raw_Data_Daily!$B$2:$B$9999="Control")*(Raw_Data_Daily!$A$2:$A$9999=$A16)*(Raw_Data_Daily!$C$2:$C$9999=$C$3)*Raw_Data_Daily!$D$2:$D$9999*Raw_Data_Daily!$AR$2:$AR$9999)/SUMIFS(Raw_Data_Daily!$D:$D, Raw_Data_Daily!$B:$B, "Control", Raw_Data_Daily!$A:$A, $A16, Raw_Data_Daily!$C:$C, $C$3),""))</f>
        <v/>
      </c>
      <c r="DV16" s="139" t="str">
        <f>IF($A16="","",IFERROR(SUMPRODUCT((Raw_Data_Daily!$B$2:$B$9999="Variant")*(Raw_Data_Daily!$A$2:$A$9999=$A16)*(Raw_Data_Daily!$C$2:$C$9999=$C$3)*Raw_Data_Daily!$D$2:$D$9999*Raw_Data_Daily!$AR$2:$AR$9999)/SUMIFS(Raw_Data_Daily!$D:$D, Raw_Data_Daily!$B:$B, "Variant", Raw_Data_Daily!$A:$A, $A16, Raw_Data_Daily!$C:$C, $C$3),""))</f>
        <v/>
      </c>
      <c r="DW16" s="173" t="str">
        <f t="shared" si="38"/>
        <v/>
      </c>
      <c r="DX16" s="139" t="str">
        <f>IF($A16="","",IFERROR(SUMPRODUCT((Raw_Data_Daily!$B$2:$B$9999="Control")*(Raw_Data_Daily!$A$2:$A$9999=$A16)*(Raw_Data_Daily!$C$2:$C$9999=$C$3)*Raw_Data_Daily!$D$2:$D$9999*Raw_Data_Daily!$AS$2:$AS$9999)/SUMIFS(Raw_Data_Daily!$D:$D, Raw_Data_Daily!$B:$B, "Control", Raw_Data_Daily!$A:$A, $A16, Raw_Data_Daily!$C:$C, $C$3),""))</f>
        <v/>
      </c>
      <c r="DY16" s="139" t="str">
        <f>IF($A16="","",IFERROR(SUMPRODUCT((Raw_Data_Daily!$B$2:$B$9999="Variant")*(Raw_Data_Daily!$A$2:$A$9999=$A16)*(Raw_Data_Daily!$C$2:$C$9999=$C$3)*Raw_Data_Daily!$D$2:$D$9999*Raw_Data_Daily!$AS$2:$AS$9999)/SUMIFS(Raw_Data_Daily!$D:$D, Raw_Data_Daily!$B:$B, "Variant", Raw_Data_Daily!$A:$A, $A16, Raw_Data_Daily!$C:$C, $C$3),""))</f>
        <v/>
      </c>
      <c r="DZ16" s="174" t="str">
        <f t="shared" si="39"/>
        <v/>
      </c>
      <c r="EA16" s="139" t="str">
        <f>IF($A16="","",IFERROR(SUMPRODUCT((Raw_Data_Daily!$B$2:$B$9999="Control")*(Raw_Data_Daily!$A$2:$A$9999=$A16)*(Raw_Data_Daily!$C$2:$C$9999=$C$3)*Raw_Data_Daily!$D$2:$D$9999*Raw_Data_Daily!$AT$2:$AT$9999)/SUMIFS(Raw_Data_Daily!$D:$D, Raw_Data_Daily!$B:$B, "Control", Raw_Data_Daily!$A:$A, $A16, Raw_Data_Daily!$C:$C, $C$3),""))</f>
        <v/>
      </c>
      <c r="EB16" s="139" t="str">
        <f>IF($A16="","",IFERROR(SUMPRODUCT((Raw_Data_Daily!$B$2:$B$9999="Variant")*(Raw_Data_Daily!$A$2:$A$9999=$A16)*(Raw_Data_Daily!$C$2:$C$9999=$C$3)*Raw_Data_Daily!$D$2:$D$9999*Raw_Data_Daily!$AT$2:$AT$9999)/SUMIFS(Raw_Data_Daily!$D:$D, Raw_Data_Daily!$B:$B, "Variant", Raw_Data_Daily!$A:$A, $A16, Raw_Data_Daily!$C:$C, $C$3),""))</f>
        <v/>
      </c>
      <c r="EC16" s="173" t="str">
        <f t="shared" si="40"/>
        <v/>
      </c>
      <c r="ED16" s="139" t="str">
        <f>IF($A16="","",IFERROR(SUMPRODUCT((Raw_Data_Daily!$B$2:$B$9999="Control")*(Raw_Data_Daily!$A$2:$A$9999=$A16)*(Raw_Data_Daily!$C$2:$C$9999=$C$3)*Raw_Data_Daily!$D$2:$D$9999*(Raw_Data_Daily!$AQ$2:$AQ$9999-Raw_Data_Daily!$AT$2:$AT$9999))/SUMIFS(Raw_Data_Daily!$D:$D, Raw_Data_Daily!$B:$B, "Control", Raw_Data_Daily!$A:$A, $A16, Raw_Data_Daily!$C:$C, $C$3),""))</f>
        <v/>
      </c>
      <c r="EE16" s="139" t="str">
        <f>IF($A16="","",IFERROR(SUMPRODUCT((Raw_Data_Daily!$B$2:$B$9999="Variant")*(Raw_Data_Daily!$A$2:$A$9999=$A16)*(Raw_Data_Daily!$C$2:$C$9999=$C$3)*Raw_Data_Daily!$D$2:$D$9999*(Raw_Data_Daily!$AQ$2:$AQ$9999-Raw_Data_Daily!$AT$2:$AT$9999))/SUMIFS(Raw_Data_Daily!$D:$D, Raw_Data_Daily!$B:$B, "Variant", Raw_Data_Daily!$A:$A, $A16, Raw_Data_Daily!$C:$C, $C$3),""))</f>
        <v/>
      </c>
      <c r="EF16" s="174" t="str">
        <f t="shared" si="41"/>
        <v/>
      </c>
      <c r="EG16" s="139" t="str">
        <f>IF($A16="","",IFERROR(SUMPRODUCT((Raw_Data_Daily!$B$2:$B$9999="Control")*(Raw_Data_Daily!$A$2:$A$9999=$A16)*(Raw_Data_Daily!$C$2:$C$9999=$C$3)*Raw_Data_Daily!$D$2:$D$9999*Raw_Data_Daily!$AU$2:$AU$9999)/SUMIFS(Raw_Data_Daily!$D:$D, Raw_Data_Daily!$B:$B, "Control", Raw_Data_Daily!$A:$A, $A16, Raw_Data_Daily!$C:$C, $C$3),""))</f>
        <v/>
      </c>
      <c r="EH16" s="139" t="str">
        <f>IF($A16="","",IFERROR(SUMPRODUCT((Raw_Data_Daily!$B$2:$B$9999="Variant")*(Raw_Data_Daily!$A$2:$A$9999=$A16)*(Raw_Data_Daily!$C$2:$C$9999=$C$3)*Raw_Data_Daily!$D$2:$D$9999*Raw_Data_Daily!$AU$2:$AU$9999)/SUMIFS(Raw_Data_Daily!$D:$D, Raw_Data_Daily!$B:$B, "Variant", Raw_Data_Daily!$A:$A, $A16, Raw_Data_Daily!$C:$C, $C$3),""))</f>
        <v/>
      </c>
      <c r="EI16" s="173" t="str">
        <f t="shared" si="42"/>
        <v/>
      </c>
    </row>
    <row r="17" ht="15.75" customHeight="1">
      <c r="A17" s="91">
        <v>46240.0</v>
      </c>
      <c r="B17" s="92">
        <f>IF($A17="","",SUMIFS(Raw_Data_Daily!$D:$D, Raw_Data_Daily!$B:$B, "Control", Raw_Data_Daily!$A:$A, $A17, Raw_Data_Daily!$C:$C, $C$3))</f>
        <v>0</v>
      </c>
      <c r="C17" s="92">
        <f>IF($A17="","",SUMIFS(Raw_Data_Daily!$D:$D, Raw_Data_Daily!$B:$B, "Variant", Raw_Data_Daily!$A:$A, $A17, Raw_Data_Daily!$C:$C, $C$3))</f>
        <v>0</v>
      </c>
      <c r="D17" s="93" t="str">
        <f t="shared" si="1"/>
        <v/>
      </c>
      <c r="E17" s="94" t="str">
        <f>IF($A17="","",IFERROR(SUMPRODUCT((Raw_Data_Daily!$B$2:$B$9999="Control")*(Raw_Data_Daily!$A$2:$A$9999=$A17)*(Raw_Data_Daily!$C$2:$C$9999=$C$3)*Raw_Data_Daily!$D$2:$D$9999*Raw_Data_Daily!$E$2:$E$9999)/SUMIFS(Raw_Data_Daily!$D:$D, Raw_Data_Daily!$B:$B, "Control", Raw_Data_Daily!$A:$A, $A17, Raw_Data_Daily!$C:$C, $C$3),""))</f>
        <v/>
      </c>
      <c r="F17" s="94" t="str">
        <f>IF($A17="","",IFERROR(SUMPRODUCT((Raw_Data_Daily!$B$2:$B$9999="Variant")*(Raw_Data_Daily!$A$2:$A$9999=$A17)*(Raw_Data_Daily!$C$2:$C$9999=$C$3)*Raw_Data_Daily!$D$2:$D$9999*Raw_Data_Daily!$E$2:$E$9999)/SUMIFS(Raw_Data_Daily!$D:$D, Raw_Data_Daily!$B:$B, "Variant", Raw_Data_Daily!$A:$A, $A17, Raw_Data_Daily!$C:$C, $C$3),""))</f>
        <v/>
      </c>
      <c r="G17" s="93" t="str">
        <f t="shared" si="2"/>
        <v/>
      </c>
      <c r="H17" s="95">
        <f>IF($A17="","",SUMIFS(Raw_Data_Daily!$F:$F, Raw_Data_Daily!$B:$B, "Control", Raw_Data_Daily!$A:$A, $A17, Raw_Data_Daily!$C:$C, $C$3))</f>
        <v>0</v>
      </c>
      <c r="I17" s="95">
        <f>IF($A17="","",SUMIFS(Raw_Data_Daily!$F:$F, Raw_Data_Daily!$B:$B, "Variant", Raw_Data_Daily!$A:$A, $A17, Raw_Data_Daily!$C:$C, $C$3))</f>
        <v>0</v>
      </c>
      <c r="J17" s="96" t="str">
        <f t="shared" si="3"/>
        <v/>
      </c>
      <c r="K17" s="97" t="str">
        <f>IF($A17="","",IFERROR(SUMIFS(Raw_Data_Daily!$F:$F, Raw_Data_Daily!$B:$B, "Control", Raw_Data_Daily!$A:$A, $A17, Raw_Data_Daily!$C:$C, $C$3)/SUMIFS(Raw_Data_Daily!$D:$D, Raw_Data_Daily!$B:$B, "Control", Raw_Data_Daily!$A:$A, $A17, Raw_Data_Daily!$C:$C, $C$3),""))</f>
        <v/>
      </c>
      <c r="L17" s="97" t="str">
        <f>IF($A17="","",IFERROR(SUMIFS(Raw_Data_Daily!$F:$F, Raw_Data_Daily!$B:$B, "Variant", Raw_Data_Daily!$A:$A, $A17, Raw_Data_Daily!$C:$C, $C$3)/SUMIFS(Raw_Data_Daily!$D:$D, Raw_Data_Daily!$B:$B, "Variant", Raw_Data_Daily!$A:$A, $A17, Raw_Data_Daily!$C:$C, $C$3),""))</f>
        <v/>
      </c>
      <c r="M17" s="96" t="str">
        <f t="shared" si="4"/>
        <v/>
      </c>
      <c r="N17" s="94" t="str">
        <f>IF($A17="","",IFERROR(SUMPRODUCT((Raw_Data_Daily!$B$2:$B$9999="Control")*(Raw_Data_Daily!$A$2:$A$9999=$A17)*(Raw_Data_Daily!$C$2:$C$9999=$C$3)*Raw_Data_Daily!$D$2:$D$9999*Raw_Data_Daily!$H$2:$H$9999/100)/SUMIFS(Raw_Data_Daily!$D:$D, Raw_Data_Daily!$B:$B, "Control", Raw_Data_Daily!$A:$A, $A17, Raw_Data_Daily!$C:$C, $C$3)*100,""))</f>
        <v/>
      </c>
      <c r="O17" s="94" t="str">
        <f>IF($A17="","",IFERROR(SUMPRODUCT((Raw_Data_Daily!$B$2:$B$9999="Variant")*(Raw_Data_Daily!$A$2:$A$9999=$A17)*(Raw_Data_Daily!$C$2:$C$9999=$C$3)*Raw_Data_Daily!$D$2:$D$9999*Raw_Data_Daily!$H$2:$H$9999/100)/SUMIFS(Raw_Data_Daily!$D:$D, Raw_Data_Daily!$B:$B, "Variant", Raw_Data_Daily!$A:$A, $A17, Raw_Data_Daily!$C:$C, $C$3)*100,""))</f>
        <v/>
      </c>
      <c r="P17" s="96" t="str">
        <f t="shared" si="5"/>
        <v/>
      </c>
      <c r="Q17" s="97" t="str">
        <f>IF($A17="","",IFERROR(SUMIFS(Raw_Data_Daily!$F:$F, Raw_Data_Daily!$B:$B, "Control", Raw_Data_Daily!$A:$A, $A17, Raw_Data_Daily!$C:$C, $C$3)/SUMPRODUCT((Raw_Data_Daily!$B$2:$B$9999="Control")*(Raw_Data_Daily!$A$2:$A$9999=$A17)*(Raw_Data_Daily!$C$2:$C$9999=$C$3)*Raw_Data_Daily!$D$2:$D$9999*Raw_Data_Daily!$H$2:$H$9999/100),""))</f>
        <v/>
      </c>
      <c r="R17" s="97" t="str">
        <f>IF($A17="","",IFERROR(SUMIFS(Raw_Data_Daily!$F:$F, Raw_Data_Daily!$B:$B, "Variant", Raw_Data_Daily!$A:$A, $A17, Raw_Data_Daily!$C:$C, $C$3)/SUMPRODUCT((Raw_Data_Daily!$B$2:$B$9999="Variant")*(Raw_Data_Daily!$A$2:$A$9999=$A17)*(Raw_Data_Daily!$C$2:$C$9999=$C$3)*Raw_Data_Daily!$D$2:$D$9999*Raw_Data_Daily!$H$2:$H$9999/100),""))</f>
        <v/>
      </c>
      <c r="S17" s="96" t="str">
        <f t="shared" si="6"/>
        <v/>
      </c>
      <c r="T17" s="121" t="str">
        <f>IF($A17="","",IFERROR(SUMPRODUCT((Raw_Data_Daily!$B$2:$B$9999="Control")*(Raw_Data_Daily!$A$2:$A$9999=$A17)*(Raw_Data_Daily!$C$2:$C$9999=$C$3)*Raw_Data_Daily!$D$2:$D$9999*Raw_Data_Daily!$J$2:$J$9999)/SUMIFS(Raw_Data_Daily!$D:$D, Raw_Data_Daily!$B:$B, "Control", Raw_Data_Daily!$A:$A, $A17, Raw_Data_Daily!$C:$C, $C$3),""))</f>
        <v/>
      </c>
      <c r="U17" s="121" t="str">
        <f>IF($A17="","",IFERROR(SUMPRODUCT((Raw_Data_Daily!$B$2:$B$9999="Variant")*(Raw_Data_Daily!$A$2:$A$9999=$A17)*(Raw_Data_Daily!$C$2:$C$9999=$C$3)*Raw_Data_Daily!$D$2:$D$9999*Raw_Data_Daily!$J$2:$J$9999)/SUMIFS(Raw_Data_Daily!$D:$D, Raw_Data_Daily!$B:$B, "Variant", Raw_Data_Daily!$A:$A, $A17, Raw_Data_Daily!$C:$C, $C$3),""))</f>
        <v/>
      </c>
      <c r="V17" s="96" t="str">
        <f t="shared" si="7"/>
        <v/>
      </c>
      <c r="W17" s="121" t="str">
        <f>IF($A17="","",IFERROR(SUMPRODUCT((Raw_Data_Daily!$B$2:$B$9999="Control")*(Raw_Data_Daily!$A$2:$A$9999=$A17)*(Raw_Data_Daily!$C$2:$C$9999=$C$3)*Raw_Data_Daily!$D$2:$D$9999*Raw_Data_Daily!$K$2:$K$9999)/SUMIFS(Raw_Data_Daily!$D:$D, Raw_Data_Daily!$B:$B, "Control", Raw_Data_Daily!$A:$A, $A17, Raw_Data_Daily!$C:$C, $C$3),""))</f>
        <v/>
      </c>
      <c r="X17" s="121" t="str">
        <f>IF($A17="","",IFERROR(SUMPRODUCT((Raw_Data_Daily!$B$2:$B$9999="Variant")*(Raw_Data_Daily!$A$2:$A$9999=$A17)*(Raw_Data_Daily!$C$2:$C$9999=$C$3)*Raw_Data_Daily!$D$2:$D$9999*Raw_Data_Daily!$K$2:$K$9999)/SUMIFS(Raw_Data_Daily!$D:$D, Raw_Data_Daily!$B:$B, "Variant", Raw_Data_Daily!$A:$A, $A17, Raw_Data_Daily!$C:$C, $C$3),""))</f>
        <v/>
      </c>
      <c r="Y17" s="96" t="str">
        <f t="shared" si="8"/>
        <v/>
      </c>
      <c r="Z17" s="121" t="str">
        <f>IF($A17="","",IFERROR(SUMPRODUCT((Raw_Data_Daily!$B$2:$B$9999="Control")*(Raw_Data_Daily!$A$2:$A$9999=$A17)*(Raw_Data_Daily!$C$2:$C$9999=$C$3)*Raw_Data_Daily!$D$2:$D$9999*Raw_Data_Daily!$L$2:$L$9999)/SUMIFS(Raw_Data_Daily!$D:$D, Raw_Data_Daily!$B:$B, "Control", Raw_Data_Daily!$A:$A, $A17, Raw_Data_Daily!$C:$C, $C$3),""))</f>
        <v/>
      </c>
      <c r="AA17" s="121" t="str">
        <f>IF($A17="","",IFERROR(SUMPRODUCT((Raw_Data_Daily!$B$2:$B$9999="Variant")*(Raw_Data_Daily!$A$2:$A$9999=$A17)*(Raw_Data_Daily!$C$2:$C$9999=$C$3)*Raw_Data_Daily!$D$2:$D$9999*Raw_Data_Daily!$L$2:$L$9999)/SUMIFS(Raw_Data_Daily!$D:$D, Raw_Data_Daily!$B:$B, "Variant", Raw_Data_Daily!$A:$A, $A17, Raw_Data_Daily!$C:$C, $C$3),""))</f>
        <v/>
      </c>
      <c r="AB17" s="96" t="str">
        <f t="shared" si="9"/>
        <v/>
      </c>
      <c r="AC17" s="139" t="str">
        <f>IF($A17="","",IFERROR(SUMPRODUCT((Raw_Data_Daily!$B$2:$B$9999="Control")*(Raw_Data_Daily!$A$2:$A$9999=$A17)*(Raw_Data_Daily!$C$2:$C$9999=$C$3)*Raw_Data_Daily!$D$2:$D$9999*Raw_Data_Daily!$M$2:$M$9999)/SUMIFS(Raw_Data_Daily!$D:$D, Raw_Data_Daily!$B:$B, "Control", Raw_Data_Daily!$A:$A, $A17, Raw_Data_Daily!$C:$C, $C$3),""))</f>
        <v/>
      </c>
      <c r="AD17" s="139" t="str">
        <f>IF($A17="","",IFERROR(SUMPRODUCT((Raw_Data_Daily!$B$2:$B$9999="Variant")*(Raw_Data_Daily!$A$2:$A$9999=$A17)*(Raw_Data_Daily!$C$2:$C$9999=$C$3)*Raw_Data_Daily!$D$2:$D$9999*Raw_Data_Daily!$M$2:$M$9999)/SUMIFS(Raw_Data_Daily!$D:$D, Raw_Data_Daily!$B:$B, "Variant", Raw_Data_Daily!$A:$A, $A17, Raw_Data_Daily!$C:$C, $C$3),""))</f>
        <v/>
      </c>
      <c r="AE17" s="142" t="str">
        <f t="shared" si="10"/>
        <v/>
      </c>
      <c r="AF17" s="139" t="str">
        <f>IF($A17="","",IFERROR(SUMPRODUCT((Raw_Data_Daily!$B$2:$B$9999="Control")*(Raw_Data_Daily!$A$2:$A$9999=$A17)*(Raw_Data_Daily!$C$2:$C$9999=$C$3)*Raw_Data_Daily!$D$2:$D$9999*Raw_Data_Daily!$N$2:$N$9999)/SUMIFS(Raw_Data_Daily!$D:$D, Raw_Data_Daily!$B:$B, "Control", Raw_Data_Daily!$A:$A, $A17, Raw_Data_Daily!$C:$C, $C$3),""))</f>
        <v/>
      </c>
      <c r="AG17" s="139" t="str">
        <f>IF($A17="","",IFERROR(SUMPRODUCT((Raw_Data_Daily!$B$2:$B$9999="Variant")*(Raw_Data_Daily!$A$2:$A$9999=$A17)*(Raw_Data_Daily!$C$2:$C$9999=$C$3)*Raw_Data_Daily!$D$2:$D$9999*Raw_Data_Daily!$N$2:$N$9999)/SUMIFS(Raw_Data_Daily!$D:$D, Raw_Data_Daily!$B:$B, "Variant", Raw_Data_Daily!$A:$A, $A17, Raw_Data_Daily!$C:$C, $C$3),""))</f>
        <v/>
      </c>
      <c r="AH17" s="142" t="str">
        <f t="shared" si="11"/>
        <v/>
      </c>
      <c r="AI17" s="139" t="str">
        <f>IF($A17="","",IFERROR(SUMPRODUCT((Raw_Data_Daily!$B$2:$B$9999="Control")*(Raw_Data_Daily!$A$2:$A$9999=$A17)*(Raw_Data_Daily!$C$2:$C$9999=$C$3)*Raw_Data_Daily!$D$2:$D$9999*Raw_Data_Daily!$O$2:$O$9999)/SUMIFS(Raw_Data_Daily!$D:$D, Raw_Data_Daily!$B:$B, "Control", Raw_Data_Daily!$A:$A, $A17, Raw_Data_Daily!$C:$C, $C$3),""))</f>
        <v/>
      </c>
      <c r="AJ17" s="139" t="str">
        <f>IF($A17="","",IFERROR(SUMPRODUCT((Raw_Data_Daily!$B$2:$B$9999="Variant")*(Raw_Data_Daily!$A$2:$A$9999=$A17)*(Raw_Data_Daily!$C$2:$C$9999=$C$3)*Raw_Data_Daily!$D$2:$D$9999*Raw_Data_Daily!$O$2:$O$9999)/SUMIFS(Raw_Data_Daily!$D:$D, Raw_Data_Daily!$B:$B, "Variant", Raw_Data_Daily!$A:$A, $A17, Raw_Data_Daily!$C:$C, $C$3),""))</f>
        <v/>
      </c>
      <c r="AK17" s="96" t="str">
        <f t="shared" si="12"/>
        <v/>
      </c>
      <c r="AL17" s="121" t="str">
        <f>IF($A17="","",IFERROR(SUMPRODUCT((Raw_Data_Daily!$B$2:$B$9999="Control")*(Raw_Data_Daily!$A$2:$A$9999=$A17)*(Raw_Data_Daily!$C$2:$C$9999=$C$3)*Raw_Data_Daily!$D$2:$D$9999*Raw_Data_Daily!$P$2:$P$9999)/SUMIFS(Raw_Data_Daily!$D:$D, Raw_Data_Daily!$B:$B, "Control", Raw_Data_Daily!$A:$A, $A17, Raw_Data_Daily!$C:$C, $C$3),""))</f>
        <v/>
      </c>
      <c r="AM17" s="121" t="str">
        <f>IF($A17="","",IFERROR(SUMPRODUCT((Raw_Data_Daily!$B$2:$B$9999="Variant")*(Raw_Data_Daily!$A$2:$A$9999=$A17)*(Raw_Data_Daily!$C$2:$C$9999=$C$3)*Raw_Data_Daily!$D$2:$D$9999*Raw_Data_Daily!$P$2:$P$9999)/SUMIFS(Raw_Data_Daily!$D:$D, Raw_Data_Daily!$B:$B, "Variant", Raw_Data_Daily!$A:$A, $A17, Raw_Data_Daily!$C:$C, $C$3),""))</f>
        <v/>
      </c>
      <c r="AN17" s="96" t="str">
        <f t="shared" si="13"/>
        <v/>
      </c>
      <c r="AO17" s="121" t="str">
        <f>IF($A17="","",IFERROR(SUMPRODUCT((Raw_Data_Daily!$B$2:$B$9999="Control")*(Raw_Data_Daily!$A$2:$A$9999=$A17)*(Raw_Data_Daily!$C$2:$C$9999=$C$3)*Raw_Data_Daily!$D$2:$D$9999*Raw_Data_Daily!$Q$2:$Q$9999)/SUMIFS(Raw_Data_Daily!$D:$D, Raw_Data_Daily!$B:$B, "Control", Raw_Data_Daily!$A:$A, $A17, Raw_Data_Daily!$C:$C, $C$3),""))</f>
        <v/>
      </c>
      <c r="AP17" s="121" t="str">
        <f>IF($A17="","",IFERROR(SUMPRODUCT((Raw_Data_Daily!$B$2:$B$9999="Variant")*(Raw_Data_Daily!$A$2:$A$9999=$A17)*(Raw_Data_Daily!$C$2:$C$9999=$C$3)*Raw_Data_Daily!$D$2:$D$9999*Raw_Data_Daily!$Q$2:$Q$9999)/SUMIFS(Raw_Data_Daily!$D:$D, Raw_Data_Daily!$B:$B, "Variant", Raw_Data_Daily!$A:$A, $A17, Raw_Data_Daily!$C:$C, $C$3),""))</f>
        <v/>
      </c>
      <c r="AQ17" s="93" t="str">
        <f t="shared" si="14"/>
        <v/>
      </c>
      <c r="AR17" s="121" t="str">
        <f>IF($A17="","",IFERROR(SUMPRODUCT((Raw_Data_Daily!$B$2:$B$9999="Control")*(Raw_Data_Daily!$A$2:$A$9999=$A17)*(Raw_Data_Daily!$C$2:$C$9999=$C$3)*Raw_Data_Daily!$D$2:$D$9999*Raw_Data_Daily!$R$2:$R$9999)/SUMIFS(Raw_Data_Daily!$D:$D, Raw_Data_Daily!$B:$B, "Control", Raw_Data_Daily!$A:$A, $A17, Raw_Data_Daily!$C:$C, $C$3),""))</f>
        <v/>
      </c>
      <c r="AS17" s="121" t="str">
        <f>IF($A17="","",IFERROR(SUMPRODUCT((Raw_Data_Daily!$B$2:$B$9999="Variant")*(Raw_Data_Daily!$A$2:$A$9999=$A17)*(Raw_Data_Daily!$C$2:$C$9999=$C$3)*Raw_Data_Daily!$D$2:$D$9999*Raw_Data_Daily!$R$2:$R$9999)/SUMIFS(Raw_Data_Daily!$D:$D, Raw_Data_Daily!$B:$B, "Variant", Raw_Data_Daily!$A:$A, $A17, Raw_Data_Daily!$C:$C, $C$3),""))</f>
        <v/>
      </c>
      <c r="AT17" s="93" t="str">
        <f t="shared" si="15"/>
        <v/>
      </c>
      <c r="AU17" s="121" t="str">
        <f>IF($A17="","",IFERROR(SUMPRODUCT((Raw_Data_Daily!$B$2:$B$9999="Control")*(Raw_Data_Daily!$A$2:$A$9999=$A17)*(Raw_Data_Daily!$C$2:$C$9999=$C$3)*Raw_Data_Daily!$D$2:$D$9999*Raw_Data_Daily!$S$2:$S$9999)/SUMIFS(Raw_Data_Daily!$D:$D, Raw_Data_Daily!$B:$B, "Control", Raw_Data_Daily!$A:$A, $A17, Raw_Data_Daily!$C:$C, $C$3),""))</f>
        <v/>
      </c>
      <c r="AV17" s="121" t="str">
        <f>IF($A17="","",IFERROR(SUMPRODUCT((Raw_Data_Daily!$B$2:$B$9999="Variant")*(Raw_Data_Daily!$A$2:$A$9999=$A17)*(Raw_Data_Daily!$C$2:$C$9999=$C$3)*Raw_Data_Daily!$D$2:$D$9999*Raw_Data_Daily!$S$2:$S$9999)/SUMIFS(Raw_Data_Daily!$D:$D, Raw_Data_Daily!$B:$B, "Variant", Raw_Data_Daily!$A:$A, $A17, Raw_Data_Daily!$C:$C, $C$3),""))</f>
        <v/>
      </c>
      <c r="AW17" s="93" t="str">
        <f t="shared" si="16"/>
        <v/>
      </c>
      <c r="AX17" s="121" t="str">
        <f>IF($A17="","",IFERROR(SUMPRODUCT((Raw_Data_Daily!$B$2:$B$9999="Control")*(Raw_Data_Daily!$A$2:$A$9999=$A17)*(Raw_Data_Daily!$C$2:$C$9999=$C$3)*Raw_Data_Daily!$D$2:$D$9999*Raw_Data_Daily!$T$2:$T$9999)/SUMIFS(Raw_Data_Daily!$D:$D, Raw_Data_Daily!$B:$B, "Control", Raw_Data_Daily!$A:$A, $A17, Raw_Data_Daily!$C:$C, $C$3),""))</f>
        <v/>
      </c>
      <c r="AY17" s="121" t="str">
        <f>IF($A17="","",IFERROR(SUMPRODUCT((Raw_Data_Daily!$B$2:$B$9999="Variant")*(Raw_Data_Daily!$A$2:$A$9999=$A17)*(Raw_Data_Daily!$C$2:$C$9999=$C$3)*Raw_Data_Daily!$D$2:$D$9999*Raw_Data_Daily!$T$2:$T$9999)/SUMIFS(Raw_Data_Daily!$D:$D, Raw_Data_Daily!$B:$B, "Variant", Raw_Data_Daily!$A:$A, $A17, Raw_Data_Daily!$C:$C, $C$3),""))</f>
        <v/>
      </c>
      <c r="AZ17" s="96" t="str">
        <f t="shared" si="17"/>
        <v/>
      </c>
      <c r="BA17" s="121" t="str">
        <f>IF($A17="","",IFERROR(SUMPRODUCT((Raw_Data_Daily!$B$2:$B$9999="Control")*(Raw_Data_Daily!$A$2:$A$9999=$A17)*(Raw_Data_Daily!$C$2:$C$9999=$C$3)*Raw_Data_Daily!$D$2:$D$9999*Raw_Data_Daily!$U$2:$U$9999)/SUMIFS(Raw_Data_Daily!$D:$D, Raw_Data_Daily!$B:$B, "Control", Raw_Data_Daily!$A:$A, $A17, Raw_Data_Daily!$C:$C, $C$3),""))</f>
        <v/>
      </c>
      <c r="BB17" s="121" t="str">
        <f>IF($A17="","",IFERROR(SUMPRODUCT((Raw_Data_Daily!$B$2:$B$9999="Variant")*(Raw_Data_Daily!$A$2:$A$9999=$A17)*(Raw_Data_Daily!$C$2:$C$9999=$C$3)*Raw_Data_Daily!$D$2:$D$9999*Raw_Data_Daily!$U$2:$U$9999)/SUMIFS(Raw_Data_Daily!$D:$D, Raw_Data_Daily!$B:$B, "Variant", Raw_Data_Daily!$A:$A, $A17, Raw_Data_Daily!$C:$C, $C$3),""))</f>
        <v/>
      </c>
      <c r="BC17" s="93" t="str">
        <f t="shared" si="18"/>
        <v/>
      </c>
      <c r="BD17" s="121" t="str">
        <f>IF($A17="","",IFERROR(SUMPRODUCT((Raw_Data_Daily!$B$2:$B$9999="Control")*(Raw_Data_Daily!$A$2:$A$9999=$A17)*(Raw_Data_Daily!$C$2:$C$9999=$C$3)*Raw_Data_Daily!$D$2:$D$9999*Raw_Data_Daily!$V$2:$V$9999)/SUMIFS(Raw_Data_Daily!$D:$D, Raw_Data_Daily!$B:$B, "Control", Raw_Data_Daily!$A:$A, $A17, Raw_Data_Daily!$C:$C, $C$3),""))</f>
        <v/>
      </c>
      <c r="BE17" s="121" t="str">
        <f>IF($A17="","",IFERROR(SUMPRODUCT((Raw_Data_Daily!$B$2:$B$9999="Variant")*(Raw_Data_Daily!$A$2:$A$9999=$A17)*(Raw_Data_Daily!$C$2:$C$9999=$C$3)*Raw_Data_Daily!$D$2:$D$9999*Raw_Data_Daily!$V$2:$V$9999)/SUMIFS(Raw_Data_Daily!$D:$D, Raw_Data_Daily!$B:$B, "Variant", Raw_Data_Daily!$A:$A, $A17, Raw_Data_Daily!$C:$C, $C$3),""))</f>
        <v/>
      </c>
      <c r="BF17" s="93" t="str">
        <f t="shared" si="19"/>
        <v/>
      </c>
      <c r="BG17" s="121" t="str">
        <f>IF($A17="","",IFERROR(SUMPRODUCT((Raw_Data_Daily!$B$2:$B$9999="Control")*(Raw_Data_Daily!$A$2:$A$9999=$A17)*(Raw_Data_Daily!$C$2:$C$9999=$C$3)*Raw_Data_Daily!$D$2:$D$9999*(Raw_Data_Daily!$Q$2:$Q$9999-Raw_Data_Daily!$V$2:$V$9999))/SUMIFS(Raw_Data_Daily!$D:$D, Raw_Data_Daily!$B:$B, "Control", Raw_Data_Daily!$A:$A, $A17, Raw_Data_Daily!$C:$C, $C$3),""))</f>
        <v/>
      </c>
      <c r="BH17" s="121" t="str">
        <f>IF($A17="","",IFERROR(SUMPRODUCT((Raw_Data_Daily!$B$2:$B$9999="Variant")*(Raw_Data_Daily!$A$2:$A$9999=$A17)*(Raw_Data_Daily!$C$2:$C$9999=$C$3)*Raw_Data_Daily!$D$2:$D$9999*(Raw_Data_Daily!$Q$2:$Q$9999-Raw_Data_Daily!$V$2:$V$9999))/SUMIFS(Raw_Data_Daily!$D:$D, Raw_Data_Daily!$B:$B, "Variant", Raw_Data_Daily!$A:$A, $A17, Raw_Data_Daily!$C:$C, $C$3),""))</f>
        <v/>
      </c>
      <c r="BI17" s="93" t="str">
        <f t="shared" si="20"/>
        <v/>
      </c>
      <c r="BJ17" s="121" t="str">
        <f>IF($A17="","",IFERROR(SUMPRODUCT((Raw_Data_Daily!$B$2:$B$9999="Control")*(Raw_Data_Daily!$A$2:$A$9999=$A17)*(Raw_Data_Daily!$C$2:$C$9999=$C$3)*Raw_Data_Daily!$D$2:$D$9999*Raw_Data_Daily!$W$2:$W$9999)/SUMIFS(Raw_Data_Daily!$D:$D, Raw_Data_Daily!$B:$B, "Control", Raw_Data_Daily!$A:$A, $A17, Raw_Data_Daily!$C:$C, $C$3),""))</f>
        <v/>
      </c>
      <c r="BK17" s="121" t="str">
        <f>IF($A17="","",IFERROR(SUMPRODUCT((Raw_Data_Daily!$B$2:$B$9999="Variant")*(Raw_Data_Daily!$A$2:$A$9999=$A17)*(Raw_Data_Daily!$C$2:$C$9999=$C$3)*Raw_Data_Daily!$D$2:$D$9999*Raw_Data_Daily!$W$2:$W$9999)/SUMIFS(Raw_Data_Daily!$D:$D, Raw_Data_Daily!$B:$B, "Variant", Raw_Data_Daily!$A:$A, $A17, Raw_Data_Daily!$C:$C, $C$3),""))</f>
        <v/>
      </c>
      <c r="BL17" s="93" t="str">
        <f t="shared" si="21"/>
        <v/>
      </c>
      <c r="BM17" s="139" t="str">
        <f>IF($A17="","",IFERROR(SUMPRODUCT((Raw_Data_Daily!$B$2:$B$9999="Control")*(Raw_Data_Daily!$A$2:$A$9999=$A17)*(Raw_Data_Daily!$C$2:$C$9999=$C$3)*Raw_Data_Daily!$D$2:$D$9999*Raw_Data_Daily!$X$2:$X$9999)/SUMIFS(Raw_Data_Daily!$D:$D, Raw_Data_Daily!$B:$B, "Control", Raw_Data_Daily!$A:$A, $A17, Raw_Data_Daily!$C:$C, $C$3),""))</f>
        <v/>
      </c>
      <c r="BN17" s="139" t="str">
        <f>IF($A17="","",IFERROR(SUMPRODUCT((Raw_Data_Daily!$B$2:$B$9999="Variant")*(Raw_Data_Daily!$A$2:$A$9999=$A17)*(Raw_Data_Daily!$C$2:$C$9999=$C$3)*Raw_Data_Daily!$D$2:$D$9999*Raw_Data_Daily!$X$2:$X$9999)/SUMIFS(Raw_Data_Daily!$D:$D, Raw_Data_Daily!$B:$B, "Variant", Raw_Data_Daily!$A:$A, $A17, Raw_Data_Daily!$C:$C, $C$3),""))</f>
        <v/>
      </c>
      <c r="BO17" s="96" t="str">
        <f t="shared" si="22"/>
        <v/>
      </c>
      <c r="BP17" s="92" t="str">
        <f>IF($A17="","",IFERROR(SUMPRODUCT((Raw_Data_Daily!$B$2:$B$9999="Control")*(Raw_Data_Daily!$A$2:$A$9999=$A17)*(Raw_Data_Daily!$C$2:$C$9999=$C$3)*Raw_Data_Daily!$D$2:$D$9999*Raw_Data_Daily!$Y$2:$Y$9999)/SUMIFS(Raw_Data_Daily!$D:$D, Raw_Data_Daily!$B:$B, "Control", Raw_Data_Daily!$A:$A, $A17, Raw_Data_Daily!$C:$C, $C$3),""))</f>
        <v/>
      </c>
      <c r="BQ17" s="92" t="str">
        <f>IF($A17="","",IFERROR(SUMPRODUCT((Raw_Data_Daily!$B$2:$B$9999="Variant")*(Raw_Data_Daily!$A$2:$A$9999=$A17)*(Raw_Data_Daily!$C$2:$C$9999=$C$3)*Raw_Data_Daily!$D$2:$D$9999*Raw_Data_Daily!$Y$2:$Y$9999)/SUMIFS(Raw_Data_Daily!$D:$D, Raw_Data_Daily!$B:$B, "Variant", Raw_Data_Daily!$A:$A, $A17, Raw_Data_Daily!$C:$C, $C$3),""))</f>
        <v/>
      </c>
      <c r="BR17" s="93" t="str">
        <f t="shared" si="23"/>
        <v/>
      </c>
      <c r="BS17" s="92" t="str">
        <f>IF($A17="","",IFERROR(SUMPRODUCT((Raw_Data_Daily!$B$2:$B$9999="Control")*(Raw_Data_Daily!$A$2:$A$9999=$A17)*(Raw_Data_Daily!$C$2:$C$9999=$C$3)*Raw_Data_Daily!$D$2:$D$9999*Raw_Data_Daily!$Z$2:$Z$9999)/SUMIFS(Raw_Data_Daily!$D:$D, Raw_Data_Daily!$B:$B, "Control", Raw_Data_Daily!$A:$A, $A17, Raw_Data_Daily!$C:$C, $C$3),""))</f>
        <v/>
      </c>
      <c r="BT17" s="92" t="str">
        <f>IF($A17="","",IFERROR(SUMPRODUCT((Raw_Data_Daily!$B$2:$B$9999="Variant")*(Raw_Data_Daily!$A$2:$A$9999=$A17)*(Raw_Data_Daily!$C$2:$C$9999=$C$3)*Raw_Data_Daily!$D$2:$D$9999*Raw_Data_Daily!$Z$2:$Z$9999)/SUMIFS(Raw_Data_Daily!$D:$D, Raw_Data_Daily!$B:$B, "Variant", Raw_Data_Daily!$A:$A, $A17, Raw_Data_Daily!$C:$C, $C$3),""))</f>
        <v/>
      </c>
      <c r="BU17" s="93" t="str">
        <f t="shared" si="24"/>
        <v/>
      </c>
      <c r="BV17" s="92" t="str">
        <f>IF($A17="","",IFERROR(SUMPRODUCT((Raw_Data_Daily!$B$2:$B$9999="Control")*(Raw_Data_Daily!$A$2:$A$9999=$A17)*(Raw_Data_Daily!$C$2:$C$9999=$C$3)*Raw_Data_Daily!$D$2:$D$9999*Raw_Data_Daily!$AA$2:$AA$9999)/SUMIFS(Raw_Data_Daily!$D:$D, Raw_Data_Daily!$B:$B, "Control", Raw_Data_Daily!$A:$A, $A17, Raw_Data_Daily!$C:$C, $C$3),""))</f>
        <v/>
      </c>
      <c r="BW17" s="92" t="str">
        <f>IF($A17="","",IFERROR(SUMPRODUCT((Raw_Data_Daily!$B$2:$B$9999="Variant")*(Raw_Data_Daily!$A$2:$A$9999=$A17)*(Raw_Data_Daily!$C$2:$C$9999=$C$3)*Raw_Data_Daily!$D$2:$D$9999*Raw_Data_Daily!$AA$2:$AA$9999)/SUMIFS(Raw_Data_Daily!$D:$D, Raw_Data_Daily!$B:$B, "Variant", Raw_Data_Daily!$A:$A, $A17, Raw_Data_Daily!$C:$C, $C$3),""))</f>
        <v/>
      </c>
      <c r="BX17" s="93" t="str">
        <f t="shared" si="25"/>
        <v/>
      </c>
      <c r="BY17" s="121" t="str">
        <f>IF($A17="","",IFERROR(SUMPRODUCT((Raw_Data_Daily!$B$2:$B$9999="Control")*(Raw_Data_Daily!$A$2:$A$9999=$A17)*(Raw_Data_Daily!$C$2:$C$9999=$C$3)*Raw_Data_Daily!$D$2:$D$9999*Raw_Data_Daily!$AB$2:$AB$9999)/SUMIFS(Raw_Data_Daily!$D:$D, Raw_Data_Daily!$B:$B, "Control", Raw_Data_Daily!$A:$A, $A17, Raw_Data_Daily!$C:$C, $C$3),""))</f>
        <v/>
      </c>
      <c r="BZ17" s="121" t="str">
        <f>IF($A17="","",IFERROR(SUMPRODUCT((Raw_Data_Daily!$B$2:$B$9999="Variant")*(Raw_Data_Daily!$A$2:$A$9999=$A17)*(Raw_Data_Daily!$C$2:$C$9999=$C$3)*Raw_Data_Daily!$D$2:$D$9999*Raw_Data_Daily!$AB$2:$AB$9999)/SUMIFS(Raw_Data_Daily!$D:$D, Raw_Data_Daily!$B:$B, "Variant", Raw_Data_Daily!$A:$A, $A17, Raw_Data_Daily!$C:$C, $C$3),""))</f>
        <v/>
      </c>
      <c r="CA17" s="96" t="str">
        <f t="shared" si="26"/>
        <v/>
      </c>
      <c r="CB17" s="121" t="str">
        <f>IF($A17="","",IFERROR(SUMPRODUCT((Raw_Data_Daily!$B$2:$B$9999="Control")*(Raw_Data_Daily!$A$2:$A$9999=$A17)*(Raw_Data_Daily!$C$2:$C$9999=$C$3)*Raw_Data_Daily!$D$2:$D$9999*Raw_Data_Daily!$AC$2:$AC$9999)/SUMIFS(Raw_Data_Daily!$D:$D, Raw_Data_Daily!$B:$B, "Control", Raw_Data_Daily!$A:$A, $A17, Raw_Data_Daily!$C:$C, $C$3),""))</f>
        <v/>
      </c>
      <c r="CC17" s="121" t="str">
        <f>IF($A17="","",IFERROR(SUMPRODUCT((Raw_Data_Daily!$B$2:$B$9999="Variant")*(Raw_Data_Daily!$A$2:$A$9999=$A17)*(Raw_Data_Daily!$C$2:$C$9999=$C$3)*Raw_Data_Daily!$D$2:$D$9999*Raw_Data_Daily!$AC$2:$AC$9999)/SUMIFS(Raw_Data_Daily!$D:$D, Raw_Data_Daily!$B:$B, "Variant", Raw_Data_Daily!$A:$A, $A17, Raw_Data_Daily!$C:$C, $C$3),""))</f>
        <v/>
      </c>
      <c r="CD17" s="96" t="str">
        <f t="shared" si="27"/>
        <v/>
      </c>
      <c r="CE17" s="121" t="str">
        <f>IF($A17="","",IFERROR(SUMPRODUCT((Raw_Data_Daily!$B$2:$B$9999="Control")*(Raw_Data_Daily!$A$2:$A$9999=$A17)*(Raw_Data_Daily!$C$2:$C$9999=$C$3)*Raw_Data_Daily!$D$2:$D$9999*Raw_Data_Daily!$AD$2:$AD$9999)/SUMIFS(Raw_Data_Daily!$D:$D, Raw_Data_Daily!$B:$B, "Control", Raw_Data_Daily!$A:$A, $A17, Raw_Data_Daily!$C:$C, $C$3),""))</f>
        <v/>
      </c>
      <c r="CF17" s="121" t="str">
        <f>IF($A17="","",IFERROR(SUMPRODUCT((Raw_Data_Daily!$B$2:$B$9999="Variant")*(Raw_Data_Daily!$A$2:$A$9999=$A17)*(Raw_Data_Daily!$C$2:$C$9999=$C$3)*Raw_Data_Daily!$D$2:$D$9999*Raw_Data_Daily!$AD$2:$AD$9999)/SUMIFS(Raw_Data_Daily!$D:$D, Raw_Data_Daily!$B:$B, "Variant", Raw_Data_Daily!$A:$A, $A17, Raw_Data_Daily!$C:$C, $C$3),""))</f>
        <v/>
      </c>
      <c r="CG17" s="96" t="str">
        <f t="shared" si="28"/>
        <v/>
      </c>
      <c r="CH17" s="121" t="str">
        <f>IF($A17="","",IFERROR(SUMPRODUCT((Raw_Data_Daily!$B$2:$B$9999="Control")*(Raw_Data_Daily!$A$2:$A$9999=$A17)*(Raw_Data_Daily!$C$2:$C$9999=$C$3)*Raw_Data_Daily!$D$2:$D$9999*Raw_Data_Daily!$AE$2:$AE$9999)/SUMIFS(Raw_Data_Daily!$D:$D, Raw_Data_Daily!$B:$B, "Control", Raw_Data_Daily!$A:$A, $A17, Raw_Data_Daily!$C:$C, $C$3),""))</f>
        <v/>
      </c>
      <c r="CI17" s="121" t="str">
        <f>IF($A17="","",IFERROR(SUMPRODUCT((Raw_Data_Daily!$B$2:$B$9999="Variant")*(Raw_Data_Daily!$A$2:$A$9999=$A17)*(Raw_Data_Daily!$C$2:$C$9999=$C$3)*Raw_Data_Daily!$D$2:$D$9999*Raw_Data_Daily!$AE$2:$AE$9999)/SUMIFS(Raw_Data_Daily!$D:$D, Raw_Data_Daily!$B:$B, "Variant", Raw_Data_Daily!$A:$A, $A17, Raw_Data_Daily!$C:$C, $C$3),""))</f>
        <v/>
      </c>
      <c r="CJ17" s="96" t="str">
        <f t="shared" si="29"/>
        <v/>
      </c>
      <c r="CK17" s="121" t="str">
        <f>IF($A17="","",IFERROR(SUMPRODUCT((Raw_Data_Daily!$B$2:$B$9999="Control")*(Raw_Data_Daily!$A$2:$A$9999=$A17)*(Raw_Data_Daily!$C$2:$C$9999=$C$3)*Raw_Data_Daily!$D$2:$D$9999*Raw_Data_Daily!$AF$2:$AF$9999)/SUMIFS(Raw_Data_Daily!$D:$D, Raw_Data_Daily!$B:$B, "Control", Raw_Data_Daily!$A:$A, $A17, Raw_Data_Daily!$C:$C, $C$3),""))</f>
        <v/>
      </c>
      <c r="CL17" s="121" t="str">
        <f>IF($A17="","",IFERROR(SUMPRODUCT((Raw_Data_Daily!$B$2:$B$9999="Variant")*(Raw_Data_Daily!$A$2:$A$9999=$A17)*(Raw_Data_Daily!$C$2:$C$9999=$C$3)*Raw_Data_Daily!$D$2:$D$9999*Raw_Data_Daily!$AF$2:$AF$9999)/SUMIFS(Raw_Data_Daily!$D:$D, Raw_Data_Daily!$B:$B, "Variant", Raw_Data_Daily!$A:$A, $A17, Raw_Data_Daily!$C:$C, $C$3),""))</f>
        <v/>
      </c>
      <c r="CM17" s="96" t="str">
        <f t="shared" si="30"/>
        <v/>
      </c>
      <c r="CN17" s="121" t="str">
        <f>IF($A17="","",IFERROR(SUMPRODUCT((Raw_Data_Daily!$B$2:$B$9999="Control")*(Raw_Data_Daily!$A$2:$A$9999=$A17)*(Raw_Data_Daily!$C$2:$C$9999=$C$3)*Raw_Data_Daily!$D$2:$D$9999*Raw_Data_Daily!$AG$2:$AG$9999)/SUMIFS(Raw_Data_Daily!$D:$D, Raw_Data_Daily!$B:$B, "Control", Raw_Data_Daily!$A:$A, $A17, Raw_Data_Daily!$C:$C, $C$3),""))</f>
        <v/>
      </c>
      <c r="CO17" s="121" t="str">
        <f>IF($A17="","",IFERROR(SUMPRODUCT((Raw_Data_Daily!$B$2:$B$9999="Variant")*(Raw_Data_Daily!$A$2:$A$9999=$A17)*(Raw_Data_Daily!$C$2:$C$9999=$C$3)*Raw_Data_Daily!$D$2:$D$9999*Raw_Data_Daily!$AG$2:$AG$9999)/SUMIFS(Raw_Data_Daily!$D:$D, Raw_Data_Daily!$B:$B, "Variant", Raw_Data_Daily!$A:$A, $A17, Raw_Data_Daily!$C:$C, $C$3),""))</f>
        <v/>
      </c>
      <c r="CP17" s="96" t="str">
        <f t="shared" si="31"/>
        <v/>
      </c>
      <c r="CQ17" s="121" t="str">
        <f>IF($A17="","",IFERROR(SUMPRODUCT((Raw_Data_Daily!$B$2:$B$9999="Control")*(Raw_Data_Daily!$A$2:$A$9999=$A17)*(Raw_Data_Daily!$C$2:$C$9999=$C$3)*Raw_Data_Daily!$D$2:$D$9999*Raw_Data_Daily!$AH$2:$AH$9999)/SUMIFS(Raw_Data_Daily!$D:$D, Raw_Data_Daily!$B:$B, "Control", Raw_Data_Daily!$A:$A, $A17, Raw_Data_Daily!$C:$C, $C$3),""))</f>
        <v/>
      </c>
      <c r="CR17" s="121" t="str">
        <f>IF($A17="","",IFERROR(SUMPRODUCT((Raw_Data_Daily!$B$2:$B$9999="Variant")*(Raw_Data_Daily!$A$2:$A$9999=$A17)*(Raw_Data_Daily!$C$2:$C$9999=$C$3)*Raw_Data_Daily!$D$2:$D$9999*Raw_Data_Daily!$AH$2:$AH$9999)/SUMIFS(Raw_Data_Daily!$D:$D, Raw_Data_Daily!$B:$B, "Variant", Raw_Data_Daily!$A:$A, $A17, Raw_Data_Daily!$C:$C, $C$3),""))</f>
        <v/>
      </c>
      <c r="CS17" s="96" t="str">
        <f t="shared" si="32"/>
        <v/>
      </c>
      <c r="CT17" s="94" t="str">
        <f>IF($A17="","",IFERROR(SUMPRODUCT((Raw_Data_Daily!$B$2:$B$9999="Control")*(Raw_Data_Daily!$A$2:$A$9999=$A17)*(Raw_Data_Daily!$C$2:$C$9999=$C$3)*Raw_Data_Daily!$D$2:$D$9999*Raw_Data_Daily!$AI$2:$AI$9999)/SUMIFS(Raw_Data_Daily!$D:$D, Raw_Data_Daily!$B:$B, "Control", Raw_Data_Daily!$A:$A, $A17, Raw_Data_Daily!$C:$C, $C$3),""))</f>
        <v/>
      </c>
      <c r="CU17" s="94" t="str">
        <f>IF($A17="","",IFERROR(SUMPRODUCT((Raw_Data_Daily!$B$2:$B$9999="Variant")*(Raw_Data_Daily!$A$2:$A$9999=$A17)*(Raw_Data_Daily!$C$2:$C$9999=$C$3)*Raw_Data_Daily!$D$2:$D$9999*Raw_Data_Daily!$AI$2:$AI$9999)/SUMIFS(Raw_Data_Daily!$D:$D, Raw_Data_Daily!$B:$B, "Variant", Raw_Data_Daily!$A:$A, $A17, Raw_Data_Daily!$C:$C, $C$3),""))</f>
        <v/>
      </c>
      <c r="CV17" s="142" t="str">
        <f t="shared" si="33"/>
        <v/>
      </c>
      <c r="CW17" s="94" t="str">
        <f>IF($A17="","",IFERROR(SUMPRODUCT((Raw_Data_Daily!$B$2:$B$9999="Control")*(Raw_Data_Daily!$A$2:$A$9999=$A17)*(Raw_Data_Daily!$C$2:$C$9999=$C$3)*Raw_Data_Daily!$D$2:$D$9999*Raw_Data_Daily!$AJ$2:$AJ$9999)/SUMIFS(Raw_Data_Daily!$D:$D, Raw_Data_Daily!$B:$B, "Control", Raw_Data_Daily!$A:$A, $A17, Raw_Data_Daily!$C:$C, $C$3),""))</f>
        <v/>
      </c>
      <c r="CX17" s="94" t="str">
        <f>IF($A17="","",IFERROR(SUMPRODUCT((Raw_Data_Daily!$B$2:$B$9999="Variant")*(Raw_Data_Daily!$A$2:$A$9999=$A17)*(Raw_Data_Daily!$C$2:$C$9999=$C$3)*Raw_Data_Daily!$D$2:$D$9999*Raw_Data_Daily!$AJ$2:$AJ$9999)/SUMIFS(Raw_Data_Daily!$D:$D, Raw_Data_Daily!$B:$B, "Variant", Raw_Data_Daily!$A:$A, $A17, Raw_Data_Daily!$C:$C, $C$3),""))</f>
        <v/>
      </c>
      <c r="CY17" s="142" t="str">
        <f t="shared" si="34"/>
        <v/>
      </c>
      <c r="CZ17" s="94" t="str">
        <f>IF($A17="","",IFERROR(SUMPRODUCT((Raw_Data_Daily!$B$2:$B$9999="Control")*(Raw_Data_Daily!$A$2:$A$9999=$A17)*(Raw_Data_Daily!$C$2:$C$9999=$C$3)*Raw_Data_Daily!$D$2:$D$9999*Raw_Data_Daily!$AK$2:$AK$9999)/SUMIFS(Raw_Data_Daily!$D:$D, Raw_Data_Daily!$B:$B, "Control", Raw_Data_Daily!$A:$A, $A17, Raw_Data_Daily!$C:$C, $C$3),""))</f>
        <v/>
      </c>
      <c r="DA17" s="94" t="str">
        <f>IF($A17="","",IFERROR(SUMPRODUCT((Raw_Data_Daily!$B$2:$B$9999="Variant")*(Raw_Data_Daily!$A$2:$A$9999=$A17)*(Raw_Data_Daily!$C$2:$C$9999=$C$3)*Raw_Data_Daily!$D$2:$D$9999*Raw_Data_Daily!$AK$2:$AK$9999)/SUMIFS(Raw_Data_Daily!$D:$D, Raw_Data_Daily!$B:$B, "Variant", Raw_Data_Daily!$A:$A, $A17, Raw_Data_Daily!$C:$C, $C$3),""))</f>
        <v/>
      </c>
      <c r="DB17" s="96" t="str">
        <f t="shared" si="35"/>
        <v/>
      </c>
      <c r="DC17" s="139" t="str">
        <f>IF($A17="","",IFERROR(SUMPRODUCT((Raw_Data_Daily!$B$2:$B$9999="Control")*(Raw_Data_Daily!$A$2:$A$9999=$A17)*(Raw_Data_Daily!$C$2:$C$9999=$C$3)*Raw_Data_Daily!$D$2:$D$9999*Raw_Data_Daily!$AL$2:$AL$9999)/SUMIFS(Raw_Data_Daily!$D:$D, Raw_Data_Daily!$B:$B, "Control", Raw_Data_Daily!$A:$A, $A17, Raw_Data_Daily!$C:$C, $C$3),""))</f>
        <v/>
      </c>
      <c r="DD17" s="139" t="str">
        <f>IF($A17="","",IFERROR(SUMPRODUCT((Raw_Data_Daily!$B$2:$B$9999="Variant")*(Raw_Data_Daily!$A$2:$A$9999=$A17)*(Raw_Data_Daily!$C$2:$C$9999=$C$3)*Raw_Data_Daily!$D$2:$D$9999*Raw_Data_Daily!$AL$2:$AL$9999)/SUMIFS(Raw_Data_Daily!$D:$D, Raw_Data_Daily!$B:$B, "Variant", Raw_Data_Daily!$A:$A, $A17, Raw_Data_Daily!$C:$C, $C$3),""))</f>
        <v/>
      </c>
      <c r="DE17" s="142" t="str">
        <f t="shared" si="36"/>
        <v/>
      </c>
      <c r="DF17" s="168"/>
      <c r="DG17" s="94" t="str">
        <f>IF($A17="","",IFERROR(SUMPRODUCT((Raw_Data_Daily!$B$2:$B$9999="Variant")*(Raw_Data_Daily!$A$2:$A$9999=$A17)*(Raw_Data_Daily!$C$2:$C$9999=$C$3)*Raw_Data_Daily!$D$2:$D$9999*Raw_Data_Daily!$AM$2:$AM$9999)/SUMIFS(Raw_Data_Daily!$D:$D, Raw_Data_Daily!$B:$B, "Variant", Raw_Data_Daily!$A:$A, $A17, Raw_Data_Daily!$C:$C, $C$3),""))</f>
        <v/>
      </c>
      <c r="DH17" s="169"/>
      <c r="DI17" s="168"/>
      <c r="DJ17" s="94" t="str">
        <f>IF($A17="","",IFERROR(SUMPRODUCT((Raw_Data_Daily!$B$2:$B$9999="Variant")*(Raw_Data_Daily!$A$2:$A$9999=$A17)*(Raw_Data_Daily!$C$2:$C$9999=$C$3)*Raw_Data_Daily!$D$2:$D$9999*Raw_Data_Daily!$AN$2:$AN$9999)/SUMIFS(Raw_Data_Daily!$D:$D, Raw_Data_Daily!$B:$B, "Variant", Raw_Data_Daily!$A:$A, $A17, Raw_Data_Daily!$C:$C, $C$3),""))</f>
        <v/>
      </c>
      <c r="DK17" s="169"/>
      <c r="DL17" s="168"/>
      <c r="DM17" s="94" t="str">
        <f>IF($A17="","",IFERROR(SUMPRODUCT((Raw_Data_Daily!$B$2:$B$9999="Variant")*(Raw_Data_Daily!$A$2:$A$9999=$A17)*(Raw_Data_Daily!$C$2:$C$9999=$C$3)*Raw_Data_Daily!$D$2:$D$9999*Raw_Data_Daily!$AO$2:$AO$9999)/SUMIFS(Raw_Data_Daily!$D:$D, Raw_Data_Daily!$B:$B, "Variant", Raw_Data_Daily!$A:$A, $A17, Raw_Data_Daily!$C:$C, $C$3),""))</f>
        <v/>
      </c>
      <c r="DN17" s="169"/>
      <c r="DO17" s="168"/>
      <c r="DP17" s="94" t="str">
        <f>IF($A17="","",IFERROR(SUMPRODUCT((Raw_Data_Daily!$B$2:$B$9999="Variant")*(Raw_Data_Daily!$A$2:$A$9999=$A17)*(Raw_Data_Daily!$C$2:$C$9999=$C$3)*Raw_Data_Daily!$D$2:$D$9999*Raw_Data_Daily!$AP$2:$AP$9999)/SUMIFS(Raw_Data_Daily!$D:$D, Raw_Data_Daily!$B:$B, "Variant", Raw_Data_Daily!$A:$A, $A17, Raw_Data_Daily!$C:$C, $C$3),""))</f>
        <v/>
      </c>
      <c r="DQ17" s="169"/>
      <c r="DR17" s="139" t="str">
        <f>IF($A17="","",IFERROR(SUMPRODUCT((Raw_Data_Daily!$B$2:$B$9999="Control")*(Raw_Data_Daily!$A$2:$A$9999=$A17)*(Raw_Data_Daily!$C$2:$C$9999=$C$3)*Raw_Data_Daily!$D$2:$D$9999*Raw_Data_Daily!$AQ$2:$AQ$9999)/SUMIFS(Raw_Data_Daily!$D:$D, Raw_Data_Daily!$B:$B, "Control", Raw_Data_Daily!$A:$A, $A17, Raw_Data_Daily!$C:$C, $C$3),""))</f>
        <v/>
      </c>
      <c r="DS17" s="139" t="str">
        <f>IF($A17="","",IFERROR(SUMPRODUCT((Raw_Data_Daily!$B$2:$B$9999="Variant")*(Raw_Data_Daily!$A$2:$A$9999=$A17)*(Raw_Data_Daily!$C$2:$C$9999=$C$3)*Raw_Data_Daily!$D$2:$D$9999*Raw_Data_Daily!$AQ$2:$AQ$9999)/SUMIFS(Raw_Data_Daily!$D:$D, Raw_Data_Daily!$B:$B, "Variant", Raw_Data_Daily!$A:$A, $A17, Raw_Data_Daily!$C:$C, $C$3),""))</f>
        <v/>
      </c>
      <c r="DT17" s="173" t="str">
        <f t="shared" si="37"/>
        <v/>
      </c>
      <c r="DU17" s="139" t="str">
        <f>IF($A17="","",IFERROR(SUMPRODUCT((Raw_Data_Daily!$B$2:$B$9999="Control")*(Raw_Data_Daily!$A$2:$A$9999=$A17)*(Raw_Data_Daily!$C$2:$C$9999=$C$3)*Raw_Data_Daily!$D$2:$D$9999*Raw_Data_Daily!$AR$2:$AR$9999)/SUMIFS(Raw_Data_Daily!$D:$D, Raw_Data_Daily!$B:$B, "Control", Raw_Data_Daily!$A:$A, $A17, Raw_Data_Daily!$C:$C, $C$3),""))</f>
        <v/>
      </c>
      <c r="DV17" s="139" t="str">
        <f>IF($A17="","",IFERROR(SUMPRODUCT((Raw_Data_Daily!$B$2:$B$9999="Variant")*(Raw_Data_Daily!$A$2:$A$9999=$A17)*(Raw_Data_Daily!$C$2:$C$9999=$C$3)*Raw_Data_Daily!$D$2:$D$9999*Raw_Data_Daily!$AR$2:$AR$9999)/SUMIFS(Raw_Data_Daily!$D:$D, Raw_Data_Daily!$B:$B, "Variant", Raw_Data_Daily!$A:$A, $A17, Raw_Data_Daily!$C:$C, $C$3),""))</f>
        <v/>
      </c>
      <c r="DW17" s="173" t="str">
        <f t="shared" si="38"/>
        <v/>
      </c>
      <c r="DX17" s="139" t="str">
        <f>IF($A17="","",IFERROR(SUMPRODUCT((Raw_Data_Daily!$B$2:$B$9999="Control")*(Raw_Data_Daily!$A$2:$A$9999=$A17)*(Raw_Data_Daily!$C$2:$C$9999=$C$3)*Raw_Data_Daily!$D$2:$D$9999*Raw_Data_Daily!$AS$2:$AS$9999)/SUMIFS(Raw_Data_Daily!$D:$D, Raw_Data_Daily!$B:$B, "Control", Raw_Data_Daily!$A:$A, $A17, Raw_Data_Daily!$C:$C, $C$3),""))</f>
        <v/>
      </c>
      <c r="DY17" s="139" t="str">
        <f>IF($A17="","",IFERROR(SUMPRODUCT((Raw_Data_Daily!$B$2:$B$9999="Variant")*(Raw_Data_Daily!$A$2:$A$9999=$A17)*(Raw_Data_Daily!$C$2:$C$9999=$C$3)*Raw_Data_Daily!$D$2:$D$9999*Raw_Data_Daily!$AS$2:$AS$9999)/SUMIFS(Raw_Data_Daily!$D:$D, Raw_Data_Daily!$B:$B, "Variant", Raw_Data_Daily!$A:$A, $A17, Raw_Data_Daily!$C:$C, $C$3),""))</f>
        <v/>
      </c>
      <c r="DZ17" s="174" t="str">
        <f t="shared" si="39"/>
        <v/>
      </c>
      <c r="EA17" s="139" t="str">
        <f>IF($A17="","",IFERROR(SUMPRODUCT((Raw_Data_Daily!$B$2:$B$9999="Control")*(Raw_Data_Daily!$A$2:$A$9999=$A17)*(Raw_Data_Daily!$C$2:$C$9999=$C$3)*Raw_Data_Daily!$D$2:$D$9999*Raw_Data_Daily!$AT$2:$AT$9999)/SUMIFS(Raw_Data_Daily!$D:$D, Raw_Data_Daily!$B:$B, "Control", Raw_Data_Daily!$A:$A, $A17, Raw_Data_Daily!$C:$C, $C$3),""))</f>
        <v/>
      </c>
      <c r="EB17" s="139" t="str">
        <f>IF($A17="","",IFERROR(SUMPRODUCT((Raw_Data_Daily!$B$2:$B$9999="Variant")*(Raw_Data_Daily!$A$2:$A$9999=$A17)*(Raw_Data_Daily!$C$2:$C$9999=$C$3)*Raw_Data_Daily!$D$2:$D$9999*Raw_Data_Daily!$AT$2:$AT$9999)/SUMIFS(Raw_Data_Daily!$D:$D, Raw_Data_Daily!$B:$B, "Variant", Raw_Data_Daily!$A:$A, $A17, Raw_Data_Daily!$C:$C, $C$3),""))</f>
        <v/>
      </c>
      <c r="EC17" s="173" t="str">
        <f t="shared" si="40"/>
        <v/>
      </c>
      <c r="ED17" s="139" t="str">
        <f>IF($A17="","",IFERROR(SUMPRODUCT((Raw_Data_Daily!$B$2:$B$9999="Control")*(Raw_Data_Daily!$A$2:$A$9999=$A17)*(Raw_Data_Daily!$C$2:$C$9999=$C$3)*Raw_Data_Daily!$D$2:$D$9999*(Raw_Data_Daily!$AQ$2:$AQ$9999-Raw_Data_Daily!$AT$2:$AT$9999))/SUMIFS(Raw_Data_Daily!$D:$D, Raw_Data_Daily!$B:$B, "Control", Raw_Data_Daily!$A:$A, $A17, Raw_Data_Daily!$C:$C, $C$3),""))</f>
        <v/>
      </c>
      <c r="EE17" s="139" t="str">
        <f>IF($A17="","",IFERROR(SUMPRODUCT((Raw_Data_Daily!$B$2:$B$9999="Variant")*(Raw_Data_Daily!$A$2:$A$9999=$A17)*(Raw_Data_Daily!$C$2:$C$9999=$C$3)*Raw_Data_Daily!$D$2:$D$9999*(Raw_Data_Daily!$AQ$2:$AQ$9999-Raw_Data_Daily!$AT$2:$AT$9999))/SUMIFS(Raw_Data_Daily!$D:$D, Raw_Data_Daily!$B:$B, "Variant", Raw_Data_Daily!$A:$A, $A17, Raw_Data_Daily!$C:$C, $C$3),""))</f>
        <v/>
      </c>
      <c r="EF17" s="174" t="str">
        <f t="shared" si="41"/>
        <v/>
      </c>
      <c r="EG17" s="139" t="str">
        <f>IF($A17="","",IFERROR(SUMPRODUCT((Raw_Data_Daily!$B$2:$B$9999="Control")*(Raw_Data_Daily!$A$2:$A$9999=$A17)*(Raw_Data_Daily!$C$2:$C$9999=$C$3)*Raw_Data_Daily!$D$2:$D$9999*Raw_Data_Daily!$AU$2:$AU$9999)/SUMIFS(Raw_Data_Daily!$D:$D, Raw_Data_Daily!$B:$B, "Control", Raw_Data_Daily!$A:$A, $A17, Raw_Data_Daily!$C:$C, $C$3),""))</f>
        <v/>
      </c>
      <c r="EH17" s="139" t="str">
        <f>IF($A17="","",IFERROR(SUMPRODUCT((Raw_Data_Daily!$B$2:$B$9999="Variant")*(Raw_Data_Daily!$A$2:$A$9999=$A17)*(Raw_Data_Daily!$C$2:$C$9999=$C$3)*Raw_Data_Daily!$D$2:$D$9999*Raw_Data_Daily!$AU$2:$AU$9999)/SUMIFS(Raw_Data_Daily!$D:$D, Raw_Data_Daily!$B:$B, "Variant", Raw_Data_Daily!$A:$A, $A17, Raw_Data_Daily!$C:$C, $C$3),""))</f>
        <v/>
      </c>
      <c r="EI17" s="173" t="str">
        <f t="shared" si="42"/>
        <v/>
      </c>
    </row>
    <row r="18" ht="15.75" customHeight="1">
      <c r="A18" s="224">
        <v>46241.0</v>
      </c>
      <c r="B18" s="225">
        <f>IF($A18="","",SUMIFS(Raw_Data_Daily!$D:$D, Raw_Data_Daily!$B:$B, "Control", Raw_Data_Daily!$A:$A, $A18, Raw_Data_Daily!$C:$C, $C$3))</f>
        <v>0</v>
      </c>
      <c r="C18" s="225">
        <f>IF($A18="","",SUMIFS(Raw_Data_Daily!$D:$D, Raw_Data_Daily!$B:$B, "Variant", Raw_Data_Daily!$A:$A, $A18, Raw_Data_Daily!$C:$C, $C$3))</f>
        <v>0</v>
      </c>
      <c r="D18" s="226" t="str">
        <f t="shared" si="1"/>
        <v/>
      </c>
      <c r="E18" s="227" t="str">
        <f>IF($A18="","",IFERROR(SUMPRODUCT((Raw_Data_Daily!$B$2:$B$9999="Control")*(Raw_Data_Daily!$A$2:$A$9999=$A18)*(Raw_Data_Daily!$C$2:$C$9999=$C$3)*Raw_Data_Daily!$D$2:$D$9999*Raw_Data_Daily!$E$2:$E$9999)/SUMIFS(Raw_Data_Daily!$D:$D, Raw_Data_Daily!$B:$B, "Control", Raw_Data_Daily!$A:$A, $A18, Raw_Data_Daily!$C:$C, $C$3),""))</f>
        <v/>
      </c>
      <c r="F18" s="227" t="str">
        <f>IF($A18="","",IFERROR(SUMPRODUCT((Raw_Data_Daily!$B$2:$B$9999="Variant")*(Raw_Data_Daily!$A$2:$A$9999=$A18)*(Raw_Data_Daily!$C$2:$C$9999=$C$3)*Raw_Data_Daily!$D$2:$D$9999*Raw_Data_Daily!$E$2:$E$9999)/SUMIFS(Raw_Data_Daily!$D:$D, Raw_Data_Daily!$B:$B, "Variant", Raw_Data_Daily!$A:$A, $A18, Raw_Data_Daily!$C:$C, $C$3),""))</f>
        <v/>
      </c>
      <c r="G18" s="226" t="str">
        <f t="shared" si="2"/>
        <v/>
      </c>
      <c r="H18" s="228">
        <f>IF($A18="","",SUMIFS(Raw_Data_Daily!$F:$F, Raw_Data_Daily!$B:$B, "Control", Raw_Data_Daily!$A:$A, $A18, Raw_Data_Daily!$C:$C, $C$3))</f>
        <v>0</v>
      </c>
      <c r="I18" s="228">
        <f>IF($A18="","",SUMIFS(Raw_Data_Daily!$F:$F, Raw_Data_Daily!$B:$B, "Variant", Raw_Data_Daily!$A:$A, $A18, Raw_Data_Daily!$C:$C, $C$3))</f>
        <v>0</v>
      </c>
      <c r="J18" s="229" t="str">
        <f t="shared" si="3"/>
        <v/>
      </c>
      <c r="K18" s="230" t="str">
        <f>IF($A18="","",IFERROR(SUMIFS(Raw_Data_Daily!$F:$F, Raw_Data_Daily!$B:$B, "Control", Raw_Data_Daily!$A:$A, $A18, Raw_Data_Daily!$C:$C, $C$3)/SUMIFS(Raw_Data_Daily!$D:$D, Raw_Data_Daily!$B:$B, "Control", Raw_Data_Daily!$A:$A, $A18, Raw_Data_Daily!$C:$C, $C$3),""))</f>
        <v/>
      </c>
      <c r="L18" s="230" t="str">
        <f>IF($A18="","",IFERROR(SUMIFS(Raw_Data_Daily!$F:$F, Raw_Data_Daily!$B:$B, "Variant", Raw_Data_Daily!$A:$A, $A18, Raw_Data_Daily!$C:$C, $C$3)/SUMIFS(Raw_Data_Daily!$D:$D, Raw_Data_Daily!$B:$B, "Variant", Raw_Data_Daily!$A:$A, $A18, Raw_Data_Daily!$C:$C, $C$3),""))</f>
        <v/>
      </c>
      <c r="M18" s="229" t="str">
        <f t="shared" si="4"/>
        <v/>
      </c>
      <c r="N18" s="227" t="str">
        <f>IF($A18="","",IFERROR(SUMPRODUCT((Raw_Data_Daily!$B$2:$B$9999="Control")*(Raw_Data_Daily!$A$2:$A$9999=$A18)*(Raw_Data_Daily!$C$2:$C$9999=$C$3)*Raw_Data_Daily!$D$2:$D$9999*Raw_Data_Daily!$H$2:$H$9999/100)/SUMIFS(Raw_Data_Daily!$D:$D, Raw_Data_Daily!$B:$B, "Control", Raw_Data_Daily!$A:$A, $A18, Raw_Data_Daily!$C:$C, $C$3)*100,""))</f>
        <v/>
      </c>
      <c r="O18" s="227" t="str">
        <f>IF($A18="","",IFERROR(SUMPRODUCT((Raw_Data_Daily!$B$2:$B$9999="Variant")*(Raw_Data_Daily!$A$2:$A$9999=$A18)*(Raw_Data_Daily!$C$2:$C$9999=$C$3)*Raw_Data_Daily!$D$2:$D$9999*Raw_Data_Daily!$H$2:$H$9999/100)/SUMIFS(Raw_Data_Daily!$D:$D, Raw_Data_Daily!$B:$B, "Variant", Raw_Data_Daily!$A:$A, $A18, Raw_Data_Daily!$C:$C, $C$3)*100,""))</f>
        <v/>
      </c>
      <c r="P18" s="229" t="str">
        <f t="shared" si="5"/>
        <v/>
      </c>
      <c r="Q18" s="230" t="str">
        <f>IF($A18="","",IFERROR(SUMIFS(Raw_Data_Daily!$F:$F, Raw_Data_Daily!$B:$B, "Control", Raw_Data_Daily!$A:$A, $A18, Raw_Data_Daily!$C:$C, $C$3)/SUMPRODUCT((Raw_Data_Daily!$B$2:$B$9999="Control")*(Raw_Data_Daily!$A$2:$A$9999=$A18)*(Raw_Data_Daily!$C$2:$C$9999=$C$3)*Raw_Data_Daily!$D$2:$D$9999*Raw_Data_Daily!$H$2:$H$9999/100),""))</f>
        <v/>
      </c>
      <c r="R18" s="230" t="str">
        <f>IF($A18="","",IFERROR(SUMIFS(Raw_Data_Daily!$F:$F, Raw_Data_Daily!$B:$B, "Variant", Raw_Data_Daily!$A:$A, $A18, Raw_Data_Daily!$C:$C, $C$3)/SUMPRODUCT((Raw_Data_Daily!$B$2:$B$9999="Variant")*(Raw_Data_Daily!$A$2:$A$9999=$A18)*(Raw_Data_Daily!$C$2:$C$9999=$C$3)*Raw_Data_Daily!$D$2:$D$9999*Raw_Data_Daily!$H$2:$H$9999/100),""))</f>
        <v/>
      </c>
      <c r="S18" s="229" t="str">
        <f t="shared" si="6"/>
        <v/>
      </c>
      <c r="T18" s="231" t="str">
        <f>IF($A18="","",IFERROR(SUMPRODUCT((Raw_Data_Daily!$B$2:$B$9999="Control")*(Raw_Data_Daily!$A$2:$A$9999=$A18)*(Raw_Data_Daily!$C$2:$C$9999=$C$3)*Raw_Data_Daily!$D$2:$D$9999*Raw_Data_Daily!$J$2:$J$9999)/SUMIFS(Raw_Data_Daily!$D:$D, Raw_Data_Daily!$B:$B, "Control", Raw_Data_Daily!$A:$A, $A18, Raw_Data_Daily!$C:$C, $C$3),""))</f>
        <v/>
      </c>
      <c r="U18" s="231" t="str">
        <f>IF($A18="","",IFERROR(SUMPRODUCT((Raw_Data_Daily!$B$2:$B$9999="Variant")*(Raw_Data_Daily!$A$2:$A$9999=$A18)*(Raw_Data_Daily!$C$2:$C$9999=$C$3)*Raw_Data_Daily!$D$2:$D$9999*Raw_Data_Daily!$J$2:$J$9999)/SUMIFS(Raw_Data_Daily!$D:$D, Raw_Data_Daily!$B:$B, "Variant", Raw_Data_Daily!$A:$A, $A18, Raw_Data_Daily!$C:$C, $C$3),""))</f>
        <v/>
      </c>
      <c r="V18" s="229" t="str">
        <f t="shared" si="7"/>
        <v/>
      </c>
      <c r="W18" s="231" t="str">
        <f>IF($A18="","",IFERROR(SUMPRODUCT((Raw_Data_Daily!$B$2:$B$9999="Control")*(Raw_Data_Daily!$A$2:$A$9999=$A18)*(Raw_Data_Daily!$C$2:$C$9999=$C$3)*Raw_Data_Daily!$D$2:$D$9999*Raw_Data_Daily!$K$2:$K$9999)/SUMIFS(Raw_Data_Daily!$D:$D, Raw_Data_Daily!$B:$B, "Control", Raw_Data_Daily!$A:$A, $A18, Raw_Data_Daily!$C:$C, $C$3),""))</f>
        <v/>
      </c>
      <c r="X18" s="231" t="str">
        <f>IF($A18="","",IFERROR(SUMPRODUCT((Raw_Data_Daily!$B$2:$B$9999="Variant")*(Raw_Data_Daily!$A$2:$A$9999=$A18)*(Raw_Data_Daily!$C$2:$C$9999=$C$3)*Raw_Data_Daily!$D$2:$D$9999*Raw_Data_Daily!$K$2:$K$9999)/SUMIFS(Raw_Data_Daily!$D:$D, Raw_Data_Daily!$B:$B, "Variant", Raw_Data_Daily!$A:$A, $A18, Raw_Data_Daily!$C:$C, $C$3),""))</f>
        <v/>
      </c>
      <c r="Y18" s="229" t="str">
        <f t="shared" si="8"/>
        <v/>
      </c>
      <c r="Z18" s="231" t="str">
        <f>IF($A18="","",IFERROR(SUMPRODUCT((Raw_Data_Daily!$B$2:$B$9999="Control")*(Raw_Data_Daily!$A$2:$A$9999=$A18)*(Raw_Data_Daily!$C$2:$C$9999=$C$3)*Raw_Data_Daily!$D$2:$D$9999*Raw_Data_Daily!$L$2:$L$9999)/SUMIFS(Raw_Data_Daily!$D:$D, Raw_Data_Daily!$B:$B, "Control", Raw_Data_Daily!$A:$A, $A18, Raw_Data_Daily!$C:$C, $C$3),""))</f>
        <v/>
      </c>
      <c r="AA18" s="231" t="str">
        <f>IF($A18="","",IFERROR(SUMPRODUCT((Raw_Data_Daily!$B$2:$B$9999="Variant")*(Raw_Data_Daily!$A$2:$A$9999=$A18)*(Raw_Data_Daily!$C$2:$C$9999=$C$3)*Raw_Data_Daily!$D$2:$D$9999*Raw_Data_Daily!$L$2:$L$9999)/SUMIFS(Raw_Data_Daily!$D:$D, Raw_Data_Daily!$B:$B, "Variant", Raw_Data_Daily!$A:$A, $A18, Raw_Data_Daily!$C:$C, $C$3),""))</f>
        <v/>
      </c>
      <c r="AB18" s="229" t="str">
        <f t="shared" si="9"/>
        <v/>
      </c>
      <c r="AC18" s="232" t="str">
        <f>IF($A18="","",IFERROR(SUMPRODUCT((Raw_Data_Daily!$B$2:$B$9999="Control")*(Raw_Data_Daily!$A$2:$A$9999=$A18)*(Raw_Data_Daily!$C$2:$C$9999=$C$3)*Raw_Data_Daily!$D$2:$D$9999*Raw_Data_Daily!$M$2:$M$9999)/SUMIFS(Raw_Data_Daily!$D:$D, Raw_Data_Daily!$B:$B, "Control", Raw_Data_Daily!$A:$A, $A18, Raw_Data_Daily!$C:$C, $C$3),""))</f>
        <v/>
      </c>
      <c r="AD18" s="232" t="str">
        <f>IF($A18="","",IFERROR(SUMPRODUCT((Raw_Data_Daily!$B$2:$B$9999="Variant")*(Raw_Data_Daily!$A$2:$A$9999=$A18)*(Raw_Data_Daily!$C$2:$C$9999=$C$3)*Raw_Data_Daily!$D$2:$D$9999*Raw_Data_Daily!$M$2:$M$9999)/SUMIFS(Raw_Data_Daily!$D:$D, Raw_Data_Daily!$B:$B, "Variant", Raw_Data_Daily!$A:$A, $A18, Raw_Data_Daily!$C:$C, $C$3),""))</f>
        <v/>
      </c>
      <c r="AE18" s="233" t="str">
        <f t="shared" si="10"/>
        <v/>
      </c>
      <c r="AF18" s="232" t="str">
        <f>IF($A18="","",IFERROR(SUMPRODUCT((Raw_Data_Daily!$B$2:$B$9999="Control")*(Raw_Data_Daily!$A$2:$A$9999=$A18)*(Raw_Data_Daily!$C$2:$C$9999=$C$3)*Raw_Data_Daily!$D$2:$D$9999*Raw_Data_Daily!$N$2:$N$9999)/SUMIFS(Raw_Data_Daily!$D:$D, Raw_Data_Daily!$B:$B, "Control", Raw_Data_Daily!$A:$A, $A18, Raw_Data_Daily!$C:$C, $C$3),""))</f>
        <v/>
      </c>
      <c r="AG18" s="232" t="str">
        <f>IF($A18="","",IFERROR(SUMPRODUCT((Raw_Data_Daily!$B$2:$B$9999="Variant")*(Raw_Data_Daily!$A$2:$A$9999=$A18)*(Raw_Data_Daily!$C$2:$C$9999=$C$3)*Raw_Data_Daily!$D$2:$D$9999*Raw_Data_Daily!$N$2:$N$9999)/SUMIFS(Raw_Data_Daily!$D:$D, Raw_Data_Daily!$B:$B, "Variant", Raw_Data_Daily!$A:$A, $A18, Raw_Data_Daily!$C:$C, $C$3),""))</f>
        <v/>
      </c>
      <c r="AH18" s="233" t="str">
        <f t="shared" si="11"/>
        <v/>
      </c>
      <c r="AI18" s="232" t="str">
        <f>IF($A18="","",IFERROR(SUMPRODUCT((Raw_Data_Daily!$B$2:$B$9999="Control")*(Raw_Data_Daily!$A$2:$A$9999=$A18)*(Raw_Data_Daily!$C$2:$C$9999=$C$3)*Raw_Data_Daily!$D$2:$D$9999*Raw_Data_Daily!$O$2:$O$9999)/SUMIFS(Raw_Data_Daily!$D:$D, Raw_Data_Daily!$B:$B, "Control", Raw_Data_Daily!$A:$A, $A18, Raw_Data_Daily!$C:$C, $C$3),""))</f>
        <v/>
      </c>
      <c r="AJ18" s="232" t="str">
        <f>IF($A18="","",IFERROR(SUMPRODUCT((Raw_Data_Daily!$B$2:$B$9999="Variant")*(Raw_Data_Daily!$A$2:$A$9999=$A18)*(Raw_Data_Daily!$C$2:$C$9999=$C$3)*Raw_Data_Daily!$D$2:$D$9999*Raw_Data_Daily!$O$2:$O$9999)/SUMIFS(Raw_Data_Daily!$D:$D, Raw_Data_Daily!$B:$B, "Variant", Raw_Data_Daily!$A:$A, $A18, Raw_Data_Daily!$C:$C, $C$3),""))</f>
        <v/>
      </c>
      <c r="AK18" s="229" t="str">
        <f t="shared" si="12"/>
        <v/>
      </c>
      <c r="AL18" s="231" t="str">
        <f>IF($A18="","",IFERROR(SUMPRODUCT((Raw_Data_Daily!$B$2:$B$9999="Control")*(Raw_Data_Daily!$A$2:$A$9999=$A18)*(Raw_Data_Daily!$C$2:$C$9999=$C$3)*Raw_Data_Daily!$D$2:$D$9999*Raw_Data_Daily!$P$2:$P$9999)/SUMIFS(Raw_Data_Daily!$D:$D, Raw_Data_Daily!$B:$B, "Control", Raw_Data_Daily!$A:$A, $A18, Raw_Data_Daily!$C:$C, $C$3),""))</f>
        <v/>
      </c>
      <c r="AM18" s="231" t="str">
        <f>IF($A18="","",IFERROR(SUMPRODUCT((Raw_Data_Daily!$B$2:$B$9999="Variant")*(Raw_Data_Daily!$A$2:$A$9999=$A18)*(Raw_Data_Daily!$C$2:$C$9999=$C$3)*Raw_Data_Daily!$D$2:$D$9999*Raw_Data_Daily!$P$2:$P$9999)/SUMIFS(Raw_Data_Daily!$D:$D, Raw_Data_Daily!$B:$B, "Variant", Raw_Data_Daily!$A:$A, $A18, Raw_Data_Daily!$C:$C, $C$3),""))</f>
        <v/>
      </c>
      <c r="AN18" s="229" t="str">
        <f t="shared" si="13"/>
        <v/>
      </c>
      <c r="AO18" s="231" t="str">
        <f>IF($A18="","",IFERROR(SUMPRODUCT((Raw_Data_Daily!$B$2:$B$9999="Control")*(Raw_Data_Daily!$A$2:$A$9999=$A18)*(Raw_Data_Daily!$C$2:$C$9999=$C$3)*Raw_Data_Daily!$D$2:$D$9999*Raw_Data_Daily!$Q$2:$Q$9999)/SUMIFS(Raw_Data_Daily!$D:$D, Raw_Data_Daily!$B:$B, "Control", Raw_Data_Daily!$A:$A, $A18, Raw_Data_Daily!$C:$C, $C$3),""))</f>
        <v/>
      </c>
      <c r="AP18" s="231" t="str">
        <f>IF($A18="","",IFERROR(SUMPRODUCT((Raw_Data_Daily!$B$2:$B$9999="Variant")*(Raw_Data_Daily!$A$2:$A$9999=$A18)*(Raw_Data_Daily!$C$2:$C$9999=$C$3)*Raw_Data_Daily!$D$2:$D$9999*Raw_Data_Daily!$Q$2:$Q$9999)/SUMIFS(Raw_Data_Daily!$D:$D, Raw_Data_Daily!$B:$B, "Variant", Raw_Data_Daily!$A:$A, $A18, Raw_Data_Daily!$C:$C, $C$3),""))</f>
        <v/>
      </c>
      <c r="AQ18" s="226" t="str">
        <f t="shared" si="14"/>
        <v/>
      </c>
      <c r="AR18" s="231" t="str">
        <f>IF($A18="","",IFERROR(SUMPRODUCT((Raw_Data_Daily!$B$2:$B$9999="Control")*(Raw_Data_Daily!$A$2:$A$9999=$A18)*(Raw_Data_Daily!$C$2:$C$9999=$C$3)*Raw_Data_Daily!$D$2:$D$9999*Raw_Data_Daily!$R$2:$R$9999)/SUMIFS(Raw_Data_Daily!$D:$D, Raw_Data_Daily!$B:$B, "Control", Raw_Data_Daily!$A:$A, $A18, Raw_Data_Daily!$C:$C, $C$3),""))</f>
        <v/>
      </c>
      <c r="AS18" s="231" t="str">
        <f>IF($A18="","",IFERROR(SUMPRODUCT((Raw_Data_Daily!$B$2:$B$9999="Variant")*(Raw_Data_Daily!$A$2:$A$9999=$A18)*(Raw_Data_Daily!$C$2:$C$9999=$C$3)*Raw_Data_Daily!$D$2:$D$9999*Raw_Data_Daily!$R$2:$R$9999)/SUMIFS(Raw_Data_Daily!$D:$D, Raw_Data_Daily!$B:$B, "Variant", Raw_Data_Daily!$A:$A, $A18, Raw_Data_Daily!$C:$C, $C$3),""))</f>
        <v/>
      </c>
      <c r="AT18" s="226" t="str">
        <f t="shared" si="15"/>
        <v/>
      </c>
      <c r="AU18" s="231" t="str">
        <f>IF($A18="","",IFERROR(SUMPRODUCT((Raw_Data_Daily!$B$2:$B$9999="Control")*(Raw_Data_Daily!$A$2:$A$9999=$A18)*(Raw_Data_Daily!$C$2:$C$9999=$C$3)*Raw_Data_Daily!$D$2:$D$9999*Raw_Data_Daily!$S$2:$S$9999)/SUMIFS(Raw_Data_Daily!$D:$D, Raw_Data_Daily!$B:$B, "Control", Raw_Data_Daily!$A:$A, $A18, Raw_Data_Daily!$C:$C, $C$3),""))</f>
        <v/>
      </c>
      <c r="AV18" s="231" t="str">
        <f>IF($A18="","",IFERROR(SUMPRODUCT((Raw_Data_Daily!$B$2:$B$9999="Variant")*(Raw_Data_Daily!$A$2:$A$9999=$A18)*(Raw_Data_Daily!$C$2:$C$9999=$C$3)*Raw_Data_Daily!$D$2:$D$9999*Raw_Data_Daily!$S$2:$S$9999)/SUMIFS(Raw_Data_Daily!$D:$D, Raw_Data_Daily!$B:$B, "Variant", Raw_Data_Daily!$A:$A, $A18, Raw_Data_Daily!$C:$C, $C$3),""))</f>
        <v/>
      </c>
      <c r="AW18" s="226" t="str">
        <f t="shared" si="16"/>
        <v/>
      </c>
      <c r="AX18" s="231" t="str">
        <f>IF($A18="","",IFERROR(SUMPRODUCT((Raw_Data_Daily!$B$2:$B$9999="Control")*(Raw_Data_Daily!$A$2:$A$9999=$A18)*(Raw_Data_Daily!$C$2:$C$9999=$C$3)*Raw_Data_Daily!$D$2:$D$9999*Raw_Data_Daily!$T$2:$T$9999)/SUMIFS(Raw_Data_Daily!$D:$D, Raw_Data_Daily!$B:$B, "Control", Raw_Data_Daily!$A:$A, $A18, Raw_Data_Daily!$C:$C, $C$3),""))</f>
        <v/>
      </c>
      <c r="AY18" s="231" t="str">
        <f>IF($A18="","",IFERROR(SUMPRODUCT((Raw_Data_Daily!$B$2:$B$9999="Variant")*(Raw_Data_Daily!$A$2:$A$9999=$A18)*(Raw_Data_Daily!$C$2:$C$9999=$C$3)*Raw_Data_Daily!$D$2:$D$9999*Raw_Data_Daily!$T$2:$T$9999)/SUMIFS(Raw_Data_Daily!$D:$D, Raw_Data_Daily!$B:$B, "Variant", Raw_Data_Daily!$A:$A, $A18, Raw_Data_Daily!$C:$C, $C$3),""))</f>
        <v/>
      </c>
      <c r="AZ18" s="229" t="str">
        <f t="shared" si="17"/>
        <v/>
      </c>
      <c r="BA18" s="231" t="str">
        <f>IF($A18="","",IFERROR(SUMPRODUCT((Raw_Data_Daily!$B$2:$B$9999="Control")*(Raw_Data_Daily!$A$2:$A$9999=$A18)*(Raw_Data_Daily!$C$2:$C$9999=$C$3)*Raw_Data_Daily!$D$2:$D$9999*Raw_Data_Daily!$U$2:$U$9999)/SUMIFS(Raw_Data_Daily!$D:$D, Raw_Data_Daily!$B:$B, "Control", Raw_Data_Daily!$A:$A, $A18, Raw_Data_Daily!$C:$C, $C$3),""))</f>
        <v/>
      </c>
      <c r="BB18" s="231" t="str">
        <f>IF($A18="","",IFERROR(SUMPRODUCT((Raw_Data_Daily!$B$2:$B$9999="Variant")*(Raw_Data_Daily!$A$2:$A$9999=$A18)*(Raw_Data_Daily!$C$2:$C$9999=$C$3)*Raw_Data_Daily!$D$2:$D$9999*Raw_Data_Daily!$U$2:$U$9999)/SUMIFS(Raw_Data_Daily!$D:$D, Raw_Data_Daily!$B:$B, "Variant", Raw_Data_Daily!$A:$A, $A18, Raw_Data_Daily!$C:$C, $C$3),""))</f>
        <v/>
      </c>
      <c r="BC18" s="226" t="str">
        <f t="shared" si="18"/>
        <v/>
      </c>
      <c r="BD18" s="231" t="str">
        <f>IF($A18="","",IFERROR(SUMPRODUCT((Raw_Data_Daily!$B$2:$B$9999="Control")*(Raw_Data_Daily!$A$2:$A$9999=$A18)*(Raw_Data_Daily!$C$2:$C$9999=$C$3)*Raw_Data_Daily!$D$2:$D$9999*Raw_Data_Daily!$V$2:$V$9999)/SUMIFS(Raw_Data_Daily!$D:$D, Raw_Data_Daily!$B:$B, "Control", Raw_Data_Daily!$A:$A, $A18, Raw_Data_Daily!$C:$C, $C$3),""))</f>
        <v/>
      </c>
      <c r="BE18" s="231" t="str">
        <f>IF($A18="","",IFERROR(SUMPRODUCT((Raw_Data_Daily!$B$2:$B$9999="Variant")*(Raw_Data_Daily!$A$2:$A$9999=$A18)*(Raw_Data_Daily!$C$2:$C$9999=$C$3)*Raw_Data_Daily!$D$2:$D$9999*Raw_Data_Daily!$V$2:$V$9999)/SUMIFS(Raw_Data_Daily!$D:$D, Raw_Data_Daily!$B:$B, "Variant", Raw_Data_Daily!$A:$A, $A18, Raw_Data_Daily!$C:$C, $C$3),""))</f>
        <v/>
      </c>
      <c r="BF18" s="226" t="str">
        <f t="shared" si="19"/>
        <v/>
      </c>
      <c r="BG18" s="231" t="str">
        <f>IF($A18="","",IFERROR(SUMPRODUCT((Raw_Data_Daily!$B$2:$B$9999="Control")*(Raw_Data_Daily!$A$2:$A$9999=$A18)*(Raw_Data_Daily!$C$2:$C$9999=$C$3)*Raw_Data_Daily!$D$2:$D$9999*(Raw_Data_Daily!$Q$2:$Q$9999-Raw_Data_Daily!$V$2:$V$9999))/SUMIFS(Raw_Data_Daily!$D:$D, Raw_Data_Daily!$B:$B, "Control", Raw_Data_Daily!$A:$A, $A18, Raw_Data_Daily!$C:$C, $C$3),""))</f>
        <v/>
      </c>
      <c r="BH18" s="231" t="str">
        <f>IF($A18="","",IFERROR(SUMPRODUCT((Raw_Data_Daily!$B$2:$B$9999="Variant")*(Raw_Data_Daily!$A$2:$A$9999=$A18)*(Raw_Data_Daily!$C$2:$C$9999=$C$3)*Raw_Data_Daily!$D$2:$D$9999*(Raw_Data_Daily!$Q$2:$Q$9999-Raw_Data_Daily!$V$2:$V$9999))/SUMIFS(Raw_Data_Daily!$D:$D, Raw_Data_Daily!$B:$B, "Variant", Raw_Data_Daily!$A:$A, $A18, Raw_Data_Daily!$C:$C, $C$3),""))</f>
        <v/>
      </c>
      <c r="BI18" s="226" t="str">
        <f t="shared" si="20"/>
        <v/>
      </c>
      <c r="BJ18" s="231" t="str">
        <f>IF($A18="","",IFERROR(SUMPRODUCT((Raw_Data_Daily!$B$2:$B$9999="Control")*(Raw_Data_Daily!$A$2:$A$9999=$A18)*(Raw_Data_Daily!$C$2:$C$9999=$C$3)*Raw_Data_Daily!$D$2:$D$9999*Raw_Data_Daily!$W$2:$W$9999)/SUMIFS(Raw_Data_Daily!$D:$D, Raw_Data_Daily!$B:$B, "Control", Raw_Data_Daily!$A:$A, $A18, Raw_Data_Daily!$C:$C, $C$3),""))</f>
        <v/>
      </c>
      <c r="BK18" s="231" t="str">
        <f>IF($A18="","",IFERROR(SUMPRODUCT((Raw_Data_Daily!$B$2:$B$9999="Variant")*(Raw_Data_Daily!$A$2:$A$9999=$A18)*(Raw_Data_Daily!$C$2:$C$9999=$C$3)*Raw_Data_Daily!$D$2:$D$9999*Raw_Data_Daily!$W$2:$W$9999)/SUMIFS(Raw_Data_Daily!$D:$D, Raw_Data_Daily!$B:$B, "Variant", Raw_Data_Daily!$A:$A, $A18, Raw_Data_Daily!$C:$C, $C$3),""))</f>
        <v/>
      </c>
      <c r="BL18" s="226" t="str">
        <f t="shared" si="21"/>
        <v/>
      </c>
      <c r="BM18" s="232" t="str">
        <f>IF($A18="","",IFERROR(SUMPRODUCT((Raw_Data_Daily!$B$2:$B$9999="Control")*(Raw_Data_Daily!$A$2:$A$9999=$A18)*(Raw_Data_Daily!$C$2:$C$9999=$C$3)*Raw_Data_Daily!$D$2:$D$9999*Raw_Data_Daily!$X$2:$X$9999)/SUMIFS(Raw_Data_Daily!$D:$D, Raw_Data_Daily!$B:$B, "Control", Raw_Data_Daily!$A:$A, $A18, Raw_Data_Daily!$C:$C, $C$3),""))</f>
        <v/>
      </c>
      <c r="BN18" s="232" t="str">
        <f>IF($A18="","",IFERROR(SUMPRODUCT((Raw_Data_Daily!$B$2:$B$9999="Variant")*(Raw_Data_Daily!$A$2:$A$9999=$A18)*(Raw_Data_Daily!$C$2:$C$9999=$C$3)*Raw_Data_Daily!$D$2:$D$9999*Raw_Data_Daily!$X$2:$X$9999)/SUMIFS(Raw_Data_Daily!$D:$D, Raw_Data_Daily!$B:$B, "Variant", Raw_Data_Daily!$A:$A, $A18, Raw_Data_Daily!$C:$C, $C$3),""))</f>
        <v/>
      </c>
      <c r="BO18" s="229" t="str">
        <f t="shared" si="22"/>
        <v/>
      </c>
      <c r="BP18" s="225" t="str">
        <f>IF($A18="","",IFERROR(SUMPRODUCT((Raw_Data_Daily!$B$2:$B$9999="Control")*(Raw_Data_Daily!$A$2:$A$9999=$A18)*(Raw_Data_Daily!$C$2:$C$9999=$C$3)*Raw_Data_Daily!$D$2:$D$9999*Raw_Data_Daily!$Y$2:$Y$9999)/SUMIFS(Raw_Data_Daily!$D:$D, Raw_Data_Daily!$B:$B, "Control", Raw_Data_Daily!$A:$A, $A18, Raw_Data_Daily!$C:$C, $C$3),""))</f>
        <v/>
      </c>
      <c r="BQ18" s="225" t="str">
        <f>IF($A18="","",IFERROR(SUMPRODUCT((Raw_Data_Daily!$B$2:$B$9999="Variant")*(Raw_Data_Daily!$A$2:$A$9999=$A18)*(Raw_Data_Daily!$C$2:$C$9999=$C$3)*Raw_Data_Daily!$D$2:$D$9999*Raw_Data_Daily!$Y$2:$Y$9999)/SUMIFS(Raw_Data_Daily!$D:$D, Raw_Data_Daily!$B:$B, "Variant", Raw_Data_Daily!$A:$A, $A18, Raw_Data_Daily!$C:$C, $C$3),""))</f>
        <v/>
      </c>
      <c r="BR18" s="226" t="str">
        <f t="shared" si="23"/>
        <v/>
      </c>
      <c r="BS18" s="225" t="str">
        <f>IF($A18="","",IFERROR(SUMPRODUCT((Raw_Data_Daily!$B$2:$B$9999="Control")*(Raw_Data_Daily!$A$2:$A$9999=$A18)*(Raw_Data_Daily!$C$2:$C$9999=$C$3)*Raw_Data_Daily!$D$2:$D$9999*Raw_Data_Daily!$Z$2:$Z$9999)/SUMIFS(Raw_Data_Daily!$D:$D, Raw_Data_Daily!$B:$B, "Control", Raw_Data_Daily!$A:$A, $A18, Raw_Data_Daily!$C:$C, $C$3),""))</f>
        <v/>
      </c>
      <c r="BT18" s="225" t="str">
        <f>IF($A18="","",IFERROR(SUMPRODUCT((Raw_Data_Daily!$B$2:$B$9999="Variant")*(Raw_Data_Daily!$A$2:$A$9999=$A18)*(Raw_Data_Daily!$C$2:$C$9999=$C$3)*Raw_Data_Daily!$D$2:$D$9999*Raw_Data_Daily!$Z$2:$Z$9999)/SUMIFS(Raw_Data_Daily!$D:$D, Raw_Data_Daily!$B:$B, "Variant", Raw_Data_Daily!$A:$A, $A18, Raw_Data_Daily!$C:$C, $C$3),""))</f>
        <v/>
      </c>
      <c r="BU18" s="226" t="str">
        <f t="shared" si="24"/>
        <v/>
      </c>
      <c r="BV18" s="225" t="str">
        <f>IF($A18="","",IFERROR(SUMPRODUCT((Raw_Data_Daily!$B$2:$B$9999="Control")*(Raw_Data_Daily!$A$2:$A$9999=$A18)*(Raw_Data_Daily!$C$2:$C$9999=$C$3)*Raw_Data_Daily!$D$2:$D$9999*Raw_Data_Daily!$AA$2:$AA$9999)/SUMIFS(Raw_Data_Daily!$D:$D, Raw_Data_Daily!$B:$B, "Control", Raw_Data_Daily!$A:$A, $A18, Raw_Data_Daily!$C:$C, $C$3),""))</f>
        <v/>
      </c>
      <c r="BW18" s="225" t="str">
        <f>IF($A18="","",IFERROR(SUMPRODUCT((Raw_Data_Daily!$B$2:$B$9999="Variant")*(Raw_Data_Daily!$A$2:$A$9999=$A18)*(Raw_Data_Daily!$C$2:$C$9999=$C$3)*Raw_Data_Daily!$D$2:$D$9999*Raw_Data_Daily!$AA$2:$AA$9999)/SUMIFS(Raw_Data_Daily!$D:$D, Raw_Data_Daily!$B:$B, "Variant", Raw_Data_Daily!$A:$A, $A18, Raw_Data_Daily!$C:$C, $C$3),""))</f>
        <v/>
      </c>
      <c r="BX18" s="226" t="str">
        <f t="shared" si="25"/>
        <v/>
      </c>
      <c r="BY18" s="231" t="str">
        <f>IF($A18="","",IFERROR(SUMPRODUCT((Raw_Data_Daily!$B$2:$B$9999="Control")*(Raw_Data_Daily!$A$2:$A$9999=$A18)*(Raw_Data_Daily!$C$2:$C$9999=$C$3)*Raw_Data_Daily!$D$2:$D$9999*Raw_Data_Daily!$AB$2:$AB$9999)/SUMIFS(Raw_Data_Daily!$D:$D, Raw_Data_Daily!$B:$B, "Control", Raw_Data_Daily!$A:$A, $A18, Raw_Data_Daily!$C:$C, $C$3),""))</f>
        <v/>
      </c>
      <c r="BZ18" s="231" t="str">
        <f>IF($A18="","",IFERROR(SUMPRODUCT((Raw_Data_Daily!$B$2:$B$9999="Variant")*(Raw_Data_Daily!$A$2:$A$9999=$A18)*(Raw_Data_Daily!$C$2:$C$9999=$C$3)*Raw_Data_Daily!$D$2:$D$9999*Raw_Data_Daily!$AB$2:$AB$9999)/SUMIFS(Raw_Data_Daily!$D:$D, Raw_Data_Daily!$B:$B, "Variant", Raw_Data_Daily!$A:$A, $A18, Raw_Data_Daily!$C:$C, $C$3),""))</f>
        <v/>
      </c>
      <c r="CA18" s="229" t="str">
        <f t="shared" si="26"/>
        <v/>
      </c>
      <c r="CB18" s="231" t="str">
        <f>IF($A18="","",IFERROR(SUMPRODUCT((Raw_Data_Daily!$B$2:$B$9999="Control")*(Raw_Data_Daily!$A$2:$A$9999=$A18)*(Raw_Data_Daily!$C$2:$C$9999=$C$3)*Raw_Data_Daily!$D$2:$D$9999*Raw_Data_Daily!$AC$2:$AC$9999)/SUMIFS(Raw_Data_Daily!$D:$D, Raw_Data_Daily!$B:$B, "Control", Raw_Data_Daily!$A:$A, $A18, Raw_Data_Daily!$C:$C, $C$3),""))</f>
        <v/>
      </c>
      <c r="CC18" s="231" t="str">
        <f>IF($A18="","",IFERROR(SUMPRODUCT((Raw_Data_Daily!$B$2:$B$9999="Variant")*(Raw_Data_Daily!$A$2:$A$9999=$A18)*(Raw_Data_Daily!$C$2:$C$9999=$C$3)*Raw_Data_Daily!$D$2:$D$9999*Raw_Data_Daily!$AC$2:$AC$9999)/SUMIFS(Raw_Data_Daily!$D:$D, Raw_Data_Daily!$B:$B, "Variant", Raw_Data_Daily!$A:$A, $A18, Raw_Data_Daily!$C:$C, $C$3),""))</f>
        <v/>
      </c>
      <c r="CD18" s="229" t="str">
        <f t="shared" si="27"/>
        <v/>
      </c>
      <c r="CE18" s="231" t="str">
        <f>IF($A18="","",IFERROR(SUMPRODUCT((Raw_Data_Daily!$B$2:$B$9999="Control")*(Raw_Data_Daily!$A$2:$A$9999=$A18)*(Raw_Data_Daily!$C$2:$C$9999=$C$3)*Raw_Data_Daily!$D$2:$D$9999*Raw_Data_Daily!$AD$2:$AD$9999)/SUMIFS(Raw_Data_Daily!$D:$D, Raw_Data_Daily!$B:$B, "Control", Raw_Data_Daily!$A:$A, $A18, Raw_Data_Daily!$C:$C, $C$3),""))</f>
        <v/>
      </c>
      <c r="CF18" s="231" t="str">
        <f>IF($A18="","",IFERROR(SUMPRODUCT((Raw_Data_Daily!$B$2:$B$9999="Variant")*(Raw_Data_Daily!$A$2:$A$9999=$A18)*(Raw_Data_Daily!$C$2:$C$9999=$C$3)*Raw_Data_Daily!$D$2:$D$9999*Raw_Data_Daily!$AD$2:$AD$9999)/SUMIFS(Raw_Data_Daily!$D:$D, Raw_Data_Daily!$B:$B, "Variant", Raw_Data_Daily!$A:$A, $A18, Raw_Data_Daily!$C:$C, $C$3),""))</f>
        <v/>
      </c>
      <c r="CG18" s="229" t="str">
        <f t="shared" si="28"/>
        <v/>
      </c>
      <c r="CH18" s="231" t="str">
        <f>IF($A18="","",IFERROR(SUMPRODUCT((Raw_Data_Daily!$B$2:$B$9999="Control")*(Raw_Data_Daily!$A$2:$A$9999=$A18)*(Raw_Data_Daily!$C$2:$C$9999=$C$3)*Raw_Data_Daily!$D$2:$D$9999*Raw_Data_Daily!$AE$2:$AE$9999)/SUMIFS(Raw_Data_Daily!$D:$D, Raw_Data_Daily!$B:$B, "Control", Raw_Data_Daily!$A:$A, $A18, Raw_Data_Daily!$C:$C, $C$3),""))</f>
        <v/>
      </c>
      <c r="CI18" s="231" t="str">
        <f>IF($A18="","",IFERROR(SUMPRODUCT((Raw_Data_Daily!$B$2:$B$9999="Variant")*(Raw_Data_Daily!$A$2:$A$9999=$A18)*(Raw_Data_Daily!$C$2:$C$9999=$C$3)*Raw_Data_Daily!$D$2:$D$9999*Raw_Data_Daily!$AE$2:$AE$9999)/SUMIFS(Raw_Data_Daily!$D:$D, Raw_Data_Daily!$B:$B, "Variant", Raw_Data_Daily!$A:$A, $A18, Raw_Data_Daily!$C:$C, $C$3),""))</f>
        <v/>
      </c>
      <c r="CJ18" s="229" t="str">
        <f t="shared" si="29"/>
        <v/>
      </c>
      <c r="CK18" s="231" t="str">
        <f>IF($A18="","",IFERROR(SUMPRODUCT((Raw_Data_Daily!$B$2:$B$9999="Control")*(Raw_Data_Daily!$A$2:$A$9999=$A18)*(Raw_Data_Daily!$C$2:$C$9999=$C$3)*Raw_Data_Daily!$D$2:$D$9999*Raw_Data_Daily!$AF$2:$AF$9999)/SUMIFS(Raw_Data_Daily!$D:$D, Raw_Data_Daily!$B:$B, "Control", Raw_Data_Daily!$A:$A, $A18, Raw_Data_Daily!$C:$C, $C$3),""))</f>
        <v/>
      </c>
      <c r="CL18" s="231" t="str">
        <f>IF($A18="","",IFERROR(SUMPRODUCT((Raw_Data_Daily!$B$2:$B$9999="Variant")*(Raw_Data_Daily!$A$2:$A$9999=$A18)*(Raw_Data_Daily!$C$2:$C$9999=$C$3)*Raw_Data_Daily!$D$2:$D$9999*Raw_Data_Daily!$AF$2:$AF$9999)/SUMIFS(Raw_Data_Daily!$D:$D, Raw_Data_Daily!$B:$B, "Variant", Raw_Data_Daily!$A:$A, $A18, Raw_Data_Daily!$C:$C, $C$3),""))</f>
        <v/>
      </c>
      <c r="CM18" s="229" t="str">
        <f t="shared" si="30"/>
        <v/>
      </c>
      <c r="CN18" s="231" t="str">
        <f>IF($A18="","",IFERROR(SUMPRODUCT((Raw_Data_Daily!$B$2:$B$9999="Control")*(Raw_Data_Daily!$A$2:$A$9999=$A18)*(Raw_Data_Daily!$C$2:$C$9999=$C$3)*Raw_Data_Daily!$D$2:$D$9999*Raw_Data_Daily!$AG$2:$AG$9999)/SUMIFS(Raw_Data_Daily!$D:$D, Raw_Data_Daily!$B:$B, "Control", Raw_Data_Daily!$A:$A, $A18, Raw_Data_Daily!$C:$C, $C$3),""))</f>
        <v/>
      </c>
      <c r="CO18" s="231" t="str">
        <f>IF($A18="","",IFERROR(SUMPRODUCT((Raw_Data_Daily!$B$2:$B$9999="Variant")*(Raw_Data_Daily!$A$2:$A$9999=$A18)*(Raw_Data_Daily!$C$2:$C$9999=$C$3)*Raw_Data_Daily!$D$2:$D$9999*Raw_Data_Daily!$AG$2:$AG$9999)/SUMIFS(Raw_Data_Daily!$D:$D, Raw_Data_Daily!$B:$B, "Variant", Raw_Data_Daily!$A:$A, $A18, Raw_Data_Daily!$C:$C, $C$3),""))</f>
        <v/>
      </c>
      <c r="CP18" s="229" t="str">
        <f t="shared" si="31"/>
        <v/>
      </c>
      <c r="CQ18" s="231" t="str">
        <f>IF($A18="","",IFERROR(SUMPRODUCT((Raw_Data_Daily!$B$2:$B$9999="Control")*(Raw_Data_Daily!$A$2:$A$9999=$A18)*(Raw_Data_Daily!$C$2:$C$9999=$C$3)*Raw_Data_Daily!$D$2:$D$9999*Raw_Data_Daily!$AH$2:$AH$9999)/SUMIFS(Raw_Data_Daily!$D:$D, Raw_Data_Daily!$B:$B, "Control", Raw_Data_Daily!$A:$A, $A18, Raw_Data_Daily!$C:$C, $C$3),""))</f>
        <v/>
      </c>
      <c r="CR18" s="231" t="str">
        <f>IF($A18="","",IFERROR(SUMPRODUCT((Raw_Data_Daily!$B$2:$B$9999="Variant")*(Raw_Data_Daily!$A$2:$A$9999=$A18)*(Raw_Data_Daily!$C$2:$C$9999=$C$3)*Raw_Data_Daily!$D$2:$D$9999*Raw_Data_Daily!$AH$2:$AH$9999)/SUMIFS(Raw_Data_Daily!$D:$D, Raw_Data_Daily!$B:$B, "Variant", Raw_Data_Daily!$A:$A, $A18, Raw_Data_Daily!$C:$C, $C$3),""))</f>
        <v/>
      </c>
      <c r="CS18" s="229" t="str">
        <f t="shared" si="32"/>
        <v/>
      </c>
      <c r="CT18" s="227" t="str">
        <f>IF($A18="","",IFERROR(SUMPRODUCT((Raw_Data_Daily!$B$2:$B$9999="Control")*(Raw_Data_Daily!$A$2:$A$9999=$A18)*(Raw_Data_Daily!$C$2:$C$9999=$C$3)*Raw_Data_Daily!$D$2:$D$9999*Raw_Data_Daily!$AI$2:$AI$9999)/SUMIFS(Raw_Data_Daily!$D:$D, Raw_Data_Daily!$B:$B, "Control", Raw_Data_Daily!$A:$A, $A18, Raw_Data_Daily!$C:$C, $C$3),""))</f>
        <v/>
      </c>
      <c r="CU18" s="227" t="str">
        <f>IF($A18="","",IFERROR(SUMPRODUCT((Raw_Data_Daily!$B$2:$B$9999="Variant")*(Raw_Data_Daily!$A$2:$A$9999=$A18)*(Raw_Data_Daily!$C$2:$C$9999=$C$3)*Raw_Data_Daily!$D$2:$D$9999*Raw_Data_Daily!$AI$2:$AI$9999)/SUMIFS(Raw_Data_Daily!$D:$D, Raw_Data_Daily!$B:$B, "Variant", Raw_Data_Daily!$A:$A, $A18, Raw_Data_Daily!$C:$C, $C$3),""))</f>
        <v/>
      </c>
      <c r="CV18" s="233" t="str">
        <f t="shared" si="33"/>
        <v/>
      </c>
      <c r="CW18" s="227" t="str">
        <f>IF($A18="","",IFERROR(SUMPRODUCT((Raw_Data_Daily!$B$2:$B$9999="Control")*(Raw_Data_Daily!$A$2:$A$9999=$A18)*(Raw_Data_Daily!$C$2:$C$9999=$C$3)*Raw_Data_Daily!$D$2:$D$9999*Raw_Data_Daily!$AJ$2:$AJ$9999)/SUMIFS(Raw_Data_Daily!$D:$D, Raw_Data_Daily!$B:$B, "Control", Raw_Data_Daily!$A:$A, $A18, Raw_Data_Daily!$C:$C, $C$3),""))</f>
        <v/>
      </c>
      <c r="CX18" s="227" t="str">
        <f>IF($A18="","",IFERROR(SUMPRODUCT((Raw_Data_Daily!$B$2:$B$9999="Variant")*(Raw_Data_Daily!$A$2:$A$9999=$A18)*(Raw_Data_Daily!$C$2:$C$9999=$C$3)*Raw_Data_Daily!$D$2:$D$9999*Raw_Data_Daily!$AJ$2:$AJ$9999)/SUMIFS(Raw_Data_Daily!$D:$D, Raw_Data_Daily!$B:$B, "Variant", Raw_Data_Daily!$A:$A, $A18, Raw_Data_Daily!$C:$C, $C$3),""))</f>
        <v/>
      </c>
      <c r="CY18" s="233" t="str">
        <f t="shared" si="34"/>
        <v/>
      </c>
      <c r="CZ18" s="227" t="str">
        <f>IF($A18="","",IFERROR(SUMPRODUCT((Raw_Data_Daily!$B$2:$B$9999="Control")*(Raw_Data_Daily!$A$2:$A$9999=$A18)*(Raw_Data_Daily!$C$2:$C$9999=$C$3)*Raw_Data_Daily!$D$2:$D$9999*Raw_Data_Daily!$AK$2:$AK$9999)/SUMIFS(Raw_Data_Daily!$D:$D, Raw_Data_Daily!$B:$B, "Control", Raw_Data_Daily!$A:$A, $A18, Raw_Data_Daily!$C:$C, $C$3),""))</f>
        <v/>
      </c>
      <c r="DA18" s="227" t="str">
        <f>IF($A18="","",IFERROR(SUMPRODUCT((Raw_Data_Daily!$B$2:$B$9999="Variant")*(Raw_Data_Daily!$A$2:$A$9999=$A18)*(Raw_Data_Daily!$C$2:$C$9999=$C$3)*Raw_Data_Daily!$D$2:$D$9999*Raw_Data_Daily!$AK$2:$AK$9999)/SUMIFS(Raw_Data_Daily!$D:$D, Raw_Data_Daily!$B:$B, "Variant", Raw_Data_Daily!$A:$A, $A18, Raw_Data_Daily!$C:$C, $C$3),""))</f>
        <v/>
      </c>
      <c r="DB18" s="229" t="str">
        <f t="shared" si="35"/>
        <v/>
      </c>
      <c r="DC18" s="232" t="str">
        <f>IF($A18="","",IFERROR(SUMPRODUCT((Raw_Data_Daily!$B$2:$B$9999="Control")*(Raw_Data_Daily!$A$2:$A$9999=$A18)*(Raw_Data_Daily!$C$2:$C$9999=$C$3)*Raw_Data_Daily!$D$2:$D$9999*Raw_Data_Daily!$AL$2:$AL$9999)/SUMIFS(Raw_Data_Daily!$D:$D, Raw_Data_Daily!$B:$B, "Control", Raw_Data_Daily!$A:$A, $A18, Raw_Data_Daily!$C:$C, $C$3),""))</f>
        <v/>
      </c>
      <c r="DD18" s="232" t="str">
        <f>IF($A18="","",IFERROR(SUMPRODUCT((Raw_Data_Daily!$B$2:$B$9999="Variant")*(Raw_Data_Daily!$A$2:$A$9999=$A18)*(Raw_Data_Daily!$C$2:$C$9999=$C$3)*Raw_Data_Daily!$D$2:$D$9999*Raw_Data_Daily!$AL$2:$AL$9999)/SUMIFS(Raw_Data_Daily!$D:$D, Raw_Data_Daily!$B:$B, "Variant", Raw_Data_Daily!$A:$A, $A18, Raw_Data_Daily!$C:$C, $C$3),""))</f>
        <v/>
      </c>
      <c r="DE18" s="233" t="str">
        <f t="shared" si="36"/>
        <v/>
      </c>
      <c r="DF18" s="234"/>
      <c r="DG18" s="227" t="str">
        <f>IF($A18="","",IFERROR(SUMPRODUCT((Raw_Data_Daily!$B$2:$B$9999="Variant")*(Raw_Data_Daily!$A$2:$A$9999=$A18)*(Raw_Data_Daily!$C$2:$C$9999=$C$3)*Raw_Data_Daily!$D$2:$D$9999*Raw_Data_Daily!$AM$2:$AM$9999)/SUMIFS(Raw_Data_Daily!$D:$D, Raw_Data_Daily!$B:$B, "Variant", Raw_Data_Daily!$A:$A, $A18, Raw_Data_Daily!$C:$C, $C$3),""))</f>
        <v/>
      </c>
      <c r="DH18" s="235"/>
      <c r="DI18" s="234"/>
      <c r="DJ18" s="227" t="str">
        <f>IF($A18="","",IFERROR(SUMPRODUCT((Raw_Data_Daily!$B$2:$B$9999="Variant")*(Raw_Data_Daily!$A$2:$A$9999=$A18)*(Raw_Data_Daily!$C$2:$C$9999=$C$3)*Raw_Data_Daily!$D$2:$D$9999*Raw_Data_Daily!$AN$2:$AN$9999)/SUMIFS(Raw_Data_Daily!$D:$D, Raw_Data_Daily!$B:$B, "Variant", Raw_Data_Daily!$A:$A, $A18, Raw_Data_Daily!$C:$C, $C$3),""))</f>
        <v/>
      </c>
      <c r="DK18" s="235"/>
      <c r="DL18" s="234"/>
      <c r="DM18" s="227" t="str">
        <f>IF($A18="","",IFERROR(SUMPRODUCT((Raw_Data_Daily!$B$2:$B$9999="Variant")*(Raw_Data_Daily!$A$2:$A$9999=$A18)*(Raw_Data_Daily!$C$2:$C$9999=$C$3)*Raw_Data_Daily!$D$2:$D$9999*Raw_Data_Daily!$AO$2:$AO$9999)/SUMIFS(Raw_Data_Daily!$D:$D, Raw_Data_Daily!$B:$B, "Variant", Raw_Data_Daily!$A:$A, $A18, Raw_Data_Daily!$C:$C, $C$3),""))</f>
        <v/>
      </c>
      <c r="DN18" s="235"/>
      <c r="DO18" s="234"/>
      <c r="DP18" s="227" t="str">
        <f>IF($A18="","",IFERROR(SUMPRODUCT((Raw_Data_Daily!$B$2:$B$9999="Variant")*(Raw_Data_Daily!$A$2:$A$9999=$A18)*(Raw_Data_Daily!$C$2:$C$9999=$C$3)*Raw_Data_Daily!$D$2:$D$9999*Raw_Data_Daily!$AP$2:$AP$9999)/SUMIFS(Raw_Data_Daily!$D:$D, Raw_Data_Daily!$B:$B, "Variant", Raw_Data_Daily!$A:$A, $A18, Raw_Data_Daily!$C:$C, $C$3),""))</f>
        <v/>
      </c>
      <c r="DQ18" s="235"/>
      <c r="DR18" s="232" t="str">
        <f>IF($A18="","",IFERROR(SUMPRODUCT((Raw_Data_Daily!$B$2:$B$9999="Control")*(Raw_Data_Daily!$A$2:$A$9999=$A18)*(Raw_Data_Daily!$C$2:$C$9999=$C$3)*Raw_Data_Daily!$D$2:$D$9999*Raw_Data_Daily!$AQ$2:$AQ$9999)/SUMIFS(Raw_Data_Daily!$D:$D, Raw_Data_Daily!$B:$B, "Control", Raw_Data_Daily!$A:$A, $A18, Raw_Data_Daily!$C:$C, $C$3),""))</f>
        <v/>
      </c>
      <c r="DS18" s="232" t="str">
        <f>IF($A18="","",IFERROR(SUMPRODUCT((Raw_Data_Daily!$B$2:$B$9999="Variant")*(Raw_Data_Daily!$A$2:$A$9999=$A18)*(Raw_Data_Daily!$C$2:$C$9999=$C$3)*Raw_Data_Daily!$D$2:$D$9999*Raw_Data_Daily!$AQ$2:$AQ$9999)/SUMIFS(Raw_Data_Daily!$D:$D, Raw_Data_Daily!$B:$B, "Variant", Raw_Data_Daily!$A:$A, $A18, Raw_Data_Daily!$C:$C, $C$3),""))</f>
        <v/>
      </c>
      <c r="DT18" s="236" t="str">
        <f t="shared" si="37"/>
        <v/>
      </c>
      <c r="DU18" s="232" t="str">
        <f>IF($A18="","",IFERROR(SUMPRODUCT((Raw_Data_Daily!$B$2:$B$9999="Control")*(Raw_Data_Daily!$A$2:$A$9999=$A18)*(Raw_Data_Daily!$C$2:$C$9999=$C$3)*Raw_Data_Daily!$D$2:$D$9999*Raw_Data_Daily!$AR$2:$AR$9999)/SUMIFS(Raw_Data_Daily!$D:$D, Raw_Data_Daily!$B:$B, "Control", Raw_Data_Daily!$A:$A, $A18, Raw_Data_Daily!$C:$C, $C$3),""))</f>
        <v/>
      </c>
      <c r="DV18" s="232" t="str">
        <f>IF($A18="","",IFERROR(SUMPRODUCT((Raw_Data_Daily!$B$2:$B$9999="Variant")*(Raw_Data_Daily!$A$2:$A$9999=$A18)*(Raw_Data_Daily!$C$2:$C$9999=$C$3)*Raw_Data_Daily!$D$2:$D$9999*Raw_Data_Daily!$AR$2:$AR$9999)/SUMIFS(Raw_Data_Daily!$D:$D, Raw_Data_Daily!$B:$B, "Variant", Raw_Data_Daily!$A:$A, $A18, Raw_Data_Daily!$C:$C, $C$3),""))</f>
        <v/>
      </c>
      <c r="DW18" s="236" t="str">
        <f t="shared" si="38"/>
        <v/>
      </c>
      <c r="DX18" s="232" t="str">
        <f>IF($A18="","",IFERROR(SUMPRODUCT((Raw_Data_Daily!$B$2:$B$9999="Control")*(Raw_Data_Daily!$A$2:$A$9999=$A18)*(Raw_Data_Daily!$C$2:$C$9999=$C$3)*Raw_Data_Daily!$D$2:$D$9999*Raw_Data_Daily!$AS$2:$AS$9999)/SUMIFS(Raw_Data_Daily!$D:$D, Raw_Data_Daily!$B:$B, "Control", Raw_Data_Daily!$A:$A, $A18, Raw_Data_Daily!$C:$C, $C$3),""))</f>
        <v/>
      </c>
      <c r="DY18" s="232" t="str">
        <f>IF($A18="","",IFERROR(SUMPRODUCT((Raw_Data_Daily!$B$2:$B$9999="Variant")*(Raw_Data_Daily!$A$2:$A$9999=$A18)*(Raw_Data_Daily!$C$2:$C$9999=$C$3)*Raw_Data_Daily!$D$2:$D$9999*Raw_Data_Daily!$AS$2:$AS$9999)/SUMIFS(Raw_Data_Daily!$D:$D, Raw_Data_Daily!$B:$B, "Variant", Raw_Data_Daily!$A:$A, $A18, Raw_Data_Daily!$C:$C, $C$3),""))</f>
        <v/>
      </c>
      <c r="DZ18" s="236" t="str">
        <f t="shared" si="39"/>
        <v/>
      </c>
      <c r="EA18" s="232" t="str">
        <f>IF($A18="","",IFERROR(SUMPRODUCT((Raw_Data_Daily!$B$2:$B$9999="Control")*(Raw_Data_Daily!$A$2:$A$9999=$A18)*(Raw_Data_Daily!$C$2:$C$9999=$C$3)*Raw_Data_Daily!$D$2:$D$9999*Raw_Data_Daily!$AT$2:$AT$9999)/SUMIFS(Raw_Data_Daily!$D:$D, Raw_Data_Daily!$B:$B, "Control", Raw_Data_Daily!$A:$A, $A18, Raw_Data_Daily!$C:$C, $C$3),""))</f>
        <v/>
      </c>
      <c r="EB18" s="232" t="str">
        <f>IF($A18="","",IFERROR(SUMPRODUCT((Raw_Data_Daily!$B$2:$B$9999="Variant")*(Raw_Data_Daily!$A$2:$A$9999=$A18)*(Raw_Data_Daily!$C$2:$C$9999=$C$3)*Raw_Data_Daily!$D$2:$D$9999*Raw_Data_Daily!$AT$2:$AT$9999)/SUMIFS(Raw_Data_Daily!$D:$D, Raw_Data_Daily!$B:$B, "Variant", Raw_Data_Daily!$A:$A, $A18, Raw_Data_Daily!$C:$C, $C$3),""))</f>
        <v/>
      </c>
      <c r="EC18" s="236" t="str">
        <f t="shared" si="40"/>
        <v/>
      </c>
      <c r="ED18" s="232" t="str">
        <f>IF($A18="","",IFERROR(SUMPRODUCT((Raw_Data_Daily!$B$2:$B$9999="Control")*(Raw_Data_Daily!$A$2:$A$9999=$A18)*(Raw_Data_Daily!$C$2:$C$9999=$C$3)*Raw_Data_Daily!$D$2:$D$9999*(Raw_Data_Daily!$AQ$2:$AQ$9999-Raw_Data_Daily!$AT$2:$AT$9999))/SUMIFS(Raw_Data_Daily!$D:$D, Raw_Data_Daily!$B:$B, "Control", Raw_Data_Daily!$A:$A, $A18, Raw_Data_Daily!$C:$C, $C$3),""))</f>
        <v/>
      </c>
      <c r="EE18" s="232" t="str">
        <f>IF($A18="","",IFERROR(SUMPRODUCT((Raw_Data_Daily!$B$2:$B$9999="Variant")*(Raw_Data_Daily!$A$2:$A$9999=$A18)*(Raw_Data_Daily!$C$2:$C$9999=$C$3)*Raw_Data_Daily!$D$2:$D$9999*(Raw_Data_Daily!$AQ$2:$AQ$9999-Raw_Data_Daily!$AT$2:$AT$9999))/SUMIFS(Raw_Data_Daily!$D:$D, Raw_Data_Daily!$B:$B, "Variant", Raw_Data_Daily!$A:$A, $A18, Raw_Data_Daily!$C:$C, $C$3),""))</f>
        <v/>
      </c>
      <c r="EF18" s="236" t="str">
        <f t="shared" si="41"/>
        <v/>
      </c>
      <c r="EG18" s="232" t="str">
        <f>IF($A18="","",IFERROR(SUMPRODUCT((Raw_Data_Daily!$B$2:$B$9999="Control")*(Raw_Data_Daily!$A$2:$A$9999=$A18)*(Raw_Data_Daily!$C$2:$C$9999=$C$3)*Raw_Data_Daily!$D$2:$D$9999*Raw_Data_Daily!$AU$2:$AU$9999)/SUMIFS(Raw_Data_Daily!$D:$D, Raw_Data_Daily!$B:$B, "Control", Raw_Data_Daily!$A:$A, $A18, Raw_Data_Daily!$C:$C, $C$3),""))</f>
        <v/>
      </c>
      <c r="EH18" s="232" t="str">
        <f>IF($A18="","",IFERROR(SUMPRODUCT((Raw_Data_Daily!$B$2:$B$9999="Variant")*(Raw_Data_Daily!$A$2:$A$9999=$A18)*(Raw_Data_Daily!$C$2:$C$9999=$C$3)*Raw_Data_Daily!$D$2:$D$9999*Raw_Data_Daily!$AU$2:$AU$9999)/SUMIFS(Raw_Data_Daily!$D:$D, Raw_Data_Daily!$B:$B, "Variant", Raw_Data_Daily!$A:$A, $A18, Raw_Data_Daily!$C:$C, $C$3),""))</f>
        <v/>
      </c>
      <c r="EI18" s="236" t="str">
        <f t="shared" si="42"/>
        <v/>
      </c>
    </row>
    <row r="19" ht="15.75" customHeight="1">
      <c r="A19" s="224">
        <v>46242.0</v>
      </c>
      <c r="B19" s="225">
        <f>IF($A19="","",SUMIFS(Raw_Data_Daily!$D:$D, Raw_Data_Daily!$B:$B, "Control", Raw_Data_Daily!$A:$A, $A19, Raw_Data_Daily!$C:$C, $C$3))</f>
        <v>0</v>
      </c>
      <c r="C19" s="225">
        <f>IF($A19="","",SUMIFS(Raw_Data_Daily!$D:$D, Raw_Data_Daily!$B:$B, "Variant", Raw_Data_Daily!$A:$A, $A19, Raw_Data_Daily!$C:$C, $C$3))</f>
        <v>0</v>
      </c>
      <c r="D19" s="226" t="str">
        <f t="shared" si="1"/>
        <v/>
      </c>
      <c r="E19" s="227" t="str">
        <f>IF($A19="","",IFERROR(SUMPRODUCT((Raw_Data_Daily!$B$2:$B$9999="Control")*(Raw_Data_Daily!$A$2:$A$9999=$A19)*(Raw_Data_Daily!$C$2:$C$9999=$C$3)*Raw_Data_Daily!$D$2:$D$9999*Raw_Data_Daily!$E$2:$E$9999)/SUMIFS(Raw_Data_Daily!$D:$D, Raw_Data_Daily!$B:$B, "Control", Raw_Data_Daily!$A:$A, $A19, Raw_Data_Daily!$C:$C, $C$3),""))</f>
        <v/>
      </c>
      <c r="F19" s="227" t="str">
        <f>IF($A19="","",IFERROR(SUMPRODUCT((Raw_Data_Daily!$B$2:$B$9999="Variant")*(Raw_Data_Daily!$A$2:$A$9999=$A19)*(Raw_Data_Daily!$C$2:$C$9999=$C$3)*Raw_Data_Daily!$D$2:$D$9999*Raw_Data_Daily!$E$2:$E$9999)/SUMIFS(Raw_Data_Daily!$D:$D, Raw_Data_Daily!$B:$B, "Variant", Raw_Data_Daily!$A:$A, $A19, Raw_Data_Daily!$C:$C, $C$3),""))</f>
        <v/>
      </c>
      <c r="G19" s="226" t="str">
        <f t="shared" si="2"/>
        <v/>
      </c>
      <c r="H19" s="228">
        <f>IF($A19="","",SUMIFS(Raw_Data_Daily!$F:$F, Raw_Data_Daily!$B:$B, "Control", Raw_Data_Daily!$A:$A, $A19, Raw_Data_Daily!$C:$C, $C$3))</f>
        <v>0</v>
      </c>
      <c r="I19" s="228">
        <f>IF($A19="","",SUMIFS(Raw_Data_Daily!$F:$F, Raw_Data_Daily!$B:$B, "Variant", Raw_Data_Daily!$A:$A, $A19, Raw_Data_Daily!$C:$C, $C$3))</f>
        <v>0</v>
      </c>
      <c r="J19" s="229" t="str">
        <f t="shared" si="3"/>
        <v/>
      </c>
      <c r="K19" s="230" t="str">
        <f>IF($A19="","",IFERROR(SUMIFS(Raw_Data_Daily!$F:$F, Raw_Data_Daily!$B:$B, "Control", Raw_Data_Daily!$A:$A, $A19, Raw_Data_Daily!$C:$C, $C$3)/SUMIFS(Raw_Data_Daily!$D:$D, Raw_Data_Daily!$B:$B, "Control", Raw_Data_Daily!$A:$A, $A19, Raw_Data_Daily!$C:$C, $C$3),""))</f>
        <v/>
      </c>
      <c r="L19" s="230" t="str">
        <f>IF($A19="","",IFERROR(SUMIFS(Raw_Data_Daily!$F:$F, Raw_Data_Daily!$B:$B, "Variant", Raw_Data_Daily!$A:$A, $A19, Raw_Data_Daily!$C:$C, $C$3)/SUMIFS(Raw_Data_Daily!$D:$D, Raw_Data_Daily!$B:$B, "Variant", Raw_Data_Daily!$A:$A, $A19, Raw_Data_Daily!$C:$C, $C$3),""))</f>
        <v/>
      </c>
      <c r="M19" s="229" t="str">
        <f t="shared" si="4"/>
        <v/>
      </c>
      <c r="N19" s="227" t="str">
        <f>IF($A19="","",IFERROR(SUMPRODUCT((Raw_Data_Daily!$B$2:$B$9999="Control")*(Raw_Data_Daily!$A$2:$A$9999=$A19)*(Raw_Data_Daily!$C$2:$C$9999=$C$3)*Raw_Data_Daily!$D$2:$D$9999*Raw_Data_Daily!$H$2:$H$9999/100)/SUMIFS(Raw_Data_Daily!$D:$D, Raw_Data_Daily!$B:$B, "Control", Raw_Data_Daily!$A:$A, $A19, Raw_Data_Daily!$C:$C, $C$3)*100,""))</f>
        <v/>
      </c>
      <c r="O19" s="227" t="str">
        <f>IF($A19="","",IFERROR(SUMPRODUCT((Raw_Data_Daily!$B$2:$B$9999="Variant")*(Raw_Data_Daily!$A$2:$A$9999=$A19)*(Raw_Data_Daily!$C$2:$C$9999=$C$3)*Raw_Data_Daily!$D$2:$D$9999*Raw_Data_Daily!$H$2:$H$9999/100)/SUMIFS(Raw_Data_Daily!$D:$D, Raw_Data_Daily!$B:$B, "Variant", Raw_Data_Daily!$A:$A, $A19, Raw_Data_Daily!$C:$C, $C$3)*100,""))</f>
        <v/>
      </c>
      <c r="P19" s="229" t="str">
        <f t="shared" si="5"/>
        <v/>
      </c>
      <c r="Q19" s="230" t="str">
        <f>IF($A19="","",IFERROR(SUMIFS(Raw_Data_Daily!$F:$F, Raw_Data_Daily!$B:$B, "Control", Raw_Data_Daily!$A:$A, $A19, Raw_Data_Daily!$C:$C, $C$3)/SUMPRODUCT((Raw_Data_Daily!$B$2:$B$9999="Control")*(Raw_Data_Daily!$A$2:$A$9999=$A19)*(Raw_Data_Daily!$C$2:$C$9999=$C$3)*Raw_Data_Daily!$D$2:$D$9999*Raw_Data_Daily!$H$2:$H$9999/100),""))</f>
        <v/>
      </c>
      <c r="R19" s="230" t="str">
        <f>IF($A19="","",IFERROR(SUMIFS(Raw_Data_Daily!$F:$F, Raw_Data_Daily!$B:$B, "Variant", Raw_Data_Daily!$A:$A, $A19, Raw_Data_Daily!$C:$C, $C$3)/SUMPRODUCT((Raw_Data_Daily!$B$2:$B$9999="Variant")*(Raw_Data_Daily!$A$2:$A$9999=$A19)*(Raw_Data_Daily!$C$2:$C$9999=$C$3)*Raw_Data_Daily!$D$2:$D$9999*Raw_Data_Daily!$H$2:$H$9999/100),""))</f>
        <v/>
      </c>
      <c r="S19" s="229" t="str">
        <f t="shared" si="6"/>
        <v/>
      </c>
      <c r="T19" s="231" t="str">
        <f>IF($A19="","",IFERROR(SUMPRODUCT((Raw_Data_Daily!$B$2:$B$9999="Control")*(Raw_Data_Daily!$A$2:$A$9999=$A19)*(Raw_Data_Daily!$C$2:$C$9999=$C$3)*Raw_Data_Daily!$D$2:$D$9999*Raw_Data_Daily!$J$2:$J$9999)/SUMIFS(Raw_Data_Daily!$D:$D, Raw_Data_Daily!$B:$B, "Control", Raw_Data_Daily!$A:$A, $A19, Raw_Data_Daily!$C:$C, $C$3),""))</f>
        <v/>
      </c>
      <c r="U19" s="231" t="str">
        <f>IF($A19="","",IFERROR(SUMPRODUCT((Raw_Data_Daily!$B$2:$B$9999="Variant")*(Raw_Data_Daily!$A$2:$A$9999=$A19)*(Raw_Data_Daily!$C$2:$C$9999=$C$3)*Raw_Data_Daily!$D$2:$D$9999*Raw_Data_Daily!$J$2:$J$9999)/SUMIFS(Raw_Data_Daily!$D:$D, Raw_Data_Daily!$B:$B, "Variant", Raw_Data_Daily!$A:$A, $A19, Raw_Data_Daily!$C:$C, $C$3),""))</f>
        <v/>
      </c>
      <c r="V19" s="229" t="str">
        <f t="shared" si="7"/>
        <v/>
      </c>
      <c r="W19" s="231" t="str">
        <f>IF($A19="","",IFERROR(SUMPRODUCT((Raw_Data_Daily!$B$2:$B$9999="Control")*(Raw_Data_Daily!$A$2:$A$9999=$A19)*(Raw_Data_Daily!$C$2:$C$9999=$C$3)*Raw_Data_Daily!$D$2:$D$9999*Raw_Data_Daily!$K$2:$K$9999)/SUMIFS(Raw_Data_Daily!$D:$D, Raw_Data_Daily!$B:$B, "Control", Raw_Data_Daily!$A:$A, $A19, Raw_Data_Daily!$C:$C, $C$3),""))</f>
        <v/>
      </c>
      <c r="X19" s="231" t="str">
        <f>IF($A19="","",IFERROR(SUMPRODUCT((Raw_Data_Daily!$B$2:$B$9999="Variant")*(Raw_Data_Daily!$A$2:$A$9999=$A19)*(Raw_Data_Daily!$C$2:$C$9999=$C$3)*Raw_Data_Daily!$D$2:$D$9999*Raw_Data_Daily!$K$2:$K$9999)/SUMIFS(Raw_Data_Daily!$D:$D, Raw_Data_Daily!$B:$B, "Variant", Raw_Data_Daily!$A:$A, $A19, Raw_Data_Daily!$C:$C, $C$3),""))</f>
        <v/>
      </c>
      <c r="Y19" s="229" t="str">
        <f t="shared" si="8"/>
        <v/>
      </c>
      <c r="Z19" s="231" t="str">
        <f>IF($A19="","",IFERROR(SUMPRODUCT((Raw_Data_Daily!$B$2:$B$9999="Control")*(Raw_Data_Daily!$A$2:$A$9999=$A19)*(Raw_Data_Daily!$C$2:$C$9999=$C$3)*Raw_Data_Daily!$D$2:$D$9999*Raw_Data_Daily!$L$2:$L$9999)/SUMIFS(Raw_Data_Daily!$D:$D, Raw_Data_Daily!$B:$B, "Control", Raw_Data_Daily!$A:$A, $A19, Raw_Data_Daily!$C:$C, $C$3),""))</f>
        <v/>
      </c>
      <c r="AA19" s="231" t="str">
        <f>IF($A19="","",IFERROR(SUMPRODUCT((Raw_Data_Daily!$B$2:$B$9999="Variant")*(Raw_Data_Daily!$A$2:$A$9999=$A19)*(Raw_Data_Daily!$C$2:$C$9999=$C$3)*Raw_Data_Daily!$D$2:$D$9999*Raw_Data_Daily!$L$2:$L$9999)/SUMIFS(Raw_Data_Daily!$D:$D, Raw_Data_Daily!$B:$B, "Variant", Raw_Data_Daily!$A:$A, $A19, Raw_Data_Daily!$C:$C, $C$3),""))</f>
        <v/>
      </c>
      <c r="AB19" s="229" t="str">
        <f t="shared" si="9"/>
        <v/>
      </c>
      <c r="AC19" s="232" t="str">
        <f>IF($A19="","",IFERROR(SUMPRODUCT((Raw_Data_Daily!$B$2:$B$9999="Control")*(Raw_Data_Daily!$A$2:$A$9999=$A19)*(Raw_Data_Daily!$C$2:$C$9999=$C$3)*Raw_Data_Daily!$D$2:$D$9999*Raw_Data_Daily!$M$2:$M$9999)/SUMIFS(Raw_Data_Daily!$D:$D, Raw_Data_Daily!$B:$B, "Control", Raw_Data_Daily!$A:$A, $A19, Raw_Data_Daily!$C:$C, $C$3),""))</f>
        <v/>
      </c>
      <c r="AD19" s="232" t="str">
        <f>IF($A19="","",IFERROR(SUMPRODUCT((Raw_Data_Daily!$B$2:$B$9999="Variant")*(Raw_Data_Daily!$A$2:$A$9999=$A19)*(Raw_Data_Daily!$C$2:$C$9999=$C$3)*Raw_Data_Daily!$D$2:$D$9999*Raw_Data_Daily!$M$2:$M$9999)/SUMIFS(Raw_Data_Daily!$D:$D, Raw_Data_Daily!$B:$B, "Variant", Raw_Data_Daily!$A:$A, $A19, Raw_Data_Daily!$C:$C, $C$3),""))</f>
        <v/>
      </c>
      <c r="AE19" s="233" t="str">
        <f t="shared" si="10"/>
        <v/>
      </c>
      <c r="AF19" s="232" t="str">
        <f>IF($A19="","",IFERROR(SUMPRODUCT((Raw_Data_Daily!$B$2:$B$9999="Control")*(Raw_Data_Daily!$A$2:$A$9999=$A19)*(Raw_Data_Daily!$C$2:$C$9999=$C$3)*Raw_Data_Daily!$D$2:$D$9999*Raw_Data_Daily!$N$2:$N$9999)/SUMIFS(Raw_Data_Daily!$D:$D, Raw_Data_Daily!$B:$B, "Control", Raw_Data_Daily!$A:$A, $A19, Raw_Data_Daily!$C:$C, $C$3),""))</f>
        <v/>
      </c>
      <c r="AG19" s="232" t="str">
        <f>IF($A19="","",IFERROR(SUMPRODUCT((Raw_Data_Daily!$B$2:$B$9999="Variant")*(Raw_Data_Daily!$A$2:$A$9999=$A19)*(Raw_Data_Daily!$C$2:$C$9999=$C$3)*Raw_Data_Daily!$D$2:$D$9999*Raw_Data_Daily!$N$2:$N$9999)/SUMIFS(Raw_Data_Daily!$D:$D, Raw_Data_Daily!$B:$B, "Variant", Raw_Data_Daily!$A:$A, $A19, Raw_Data_Daily!$C:$C, $C$3),""))</f>
        <v/>
      </c>
      <c r="AH19" s="233" t="str">
        <f t="shared" si="11"/>
        <v/>
      </c>
      <c r="AI19" s="232" t="str">
        <f>IF($A19="","",IFERROR(SUMPRODUCT((Raw_Data_Daily!$B$2:$B$9999="Control")*(Raw_Data_Daily!$A$2:$A$9999=$A19)*(Raw_Data_Daily!$C$2:$C$9999=$C$3)*Raw_Data_Daily!$D$2:$D$9999*Raw_Data_Daily!$O$2:$O$9999)/SUMIFS(Raw_Data_Daily!$D:$D, Raw_Data_Daily!$B:$B, "Control", Raw_Data_Daily!$A:$A, $A19, Raw_Data_Daily!$C:$C, $C$3),""))</f>
        <v/>
      </c>
      <c r="AJ19" s="232" t="str">
        <f>IF($A19="","",IFERROR(SUMPRODUCT((Raw_Data_Daily!$B$2:$B$9999="Variant")*(Raw_Data_Daily!$A$2:$A$9999=$A19)*(Raw_Data_Daily!$C$2:$C$9999=$C$3)*Raw_Data_Daily!$D$2:$D$9999*Raw_Data_Daily!$O$2:$O$9999)/SUMIFS(Raw_Data_Daily!$D:$D, Raw_Data_Daily!$B:$B, "Variant", Raw_Data_Daily!$A:$A, $A19, Raw_Data_Daily!$C:$C, $C$3),""))</f>
        <v/>
      </c>
      <c r="AK19" s="229" t="str">
        <f t="shared" si="12"/>
        <v/>
      </c>
      <c r="AL19" s="231" t="str">
        <f>IF($A19="","",IFERROR(SUMPRODUCT((Raw_Data_Daily!$B$2:$B$9999="Control")*(Raw_Data_Daily!$A$2:$A$9999=$A19)*(Raw_Data_Daily!$C$2:$C$9999=$C$3)*Raw_Data_Daily!$D$2:$D$9999*Raw_Data_Daily!$P$2:$P$9999)/SUMIFS(Raw_Data_Daily!$D:$D, Raw_Data_Daily!$B:$B, "Control", Raw_Data_Daily!$A:$A, $A19, Raw_Data_Daily!$C:$C, $C$3),""))</f>
        <v/>
      </c>
      <c r="AM19" s="231" t="str">
        <f>IF($A19="","",IFERROR(SUMPRODUCT((Raw_Data_Daily!$B$2:$B$9999="Variant")*(Raw_Data_Daily!$A$2:$A$9999=$A19)*(Raw_Data_Daily!$C$2:$C$9999=$C$3)*Raw_Data_Daily!$D$2:$D$9999*Raw_Data_Daily!$P$2:$P$9999)/SUMIFS(Raw_Data_Daily!$D:$D, Raw_Data_Daily!$B:$B, "Variant", Raw_Data_Daily!$A:$A, $A19, Raw_Data_Daily!$C:$C, $C$3),""))</f>
        <v/>
      </c>
      <c r="AN19" s="229" t="str">
        <f t="shared" si="13"/>
        <v/>
      </c>
      <c r="AO19" s="231" t="str">
        <f>IF($A19="","",IFERROR(SUMPRODUCT((Raw_Data_Daily!$B$2:$B$9999="Control")*(Raw_Data_Daily!$A$2:$A$9999=$A19)*(Raw_Data_Daily!$C$2:$C$9999=$C$3)*Raw_Data_Daily!$D$2:$D$9999*Raw_Data_Daily!$Q$2:$Q$9999)/SUMIFS(Raw_Data_Daily!$D:$D, Raw_Data_Daily!$B:$B, "Control", Raw_Data_Daily!$A:$A, $A19, Raw_Data_Daily!$C:$C, $C$3),""))</f>
        <v/>
      </c>
      <c r="AP19" s="231" t="str">
        <f>IF($A19="","",IFERROR(SUMPRODUCT((Raw_Data_Daily!$B$2:$B$9999="Variant")*(Raw_Data_Daily!$A$2:$A$9999=$A19)*(Raw_Data_Daily!$C$2:$C$9999=$C$3)*Raw_Data_Daily!$D$2:$D$9999*Raw_Data_Daily!$Q$2:$Q$9999)/SUMIFS(Raw_Data_Daily!$D:$D, Raw_Data_Daily!$B:$B, "Variant", Raw_Data_Daily!$A:$A, $A19, Raw_Data_Daily!$C:$C, $C$3),""))</f>
        <v/>
      </c>
      <c r="AQ19" s="226" t="str">
        <f t="shared" si="14"/>
        <v/>
      </c>
      <c r="AR19" s="231" t="str">
        <f>IF($A19="","",IFERROR(SUMPRODUCT((Raw_Data_Daily!$B$2:$B$9999="Control")*(Raw_Data_Daily!$A$2:$A$9999=$A19)*(Raw_Data_Daily!$C$2:$C$9999=$C$3)*Raw_Data_Daily!$D$2:$D$9999*Raw_Data_Daily!$R$2:$R$9999)/SUMIFS(Raw_Data_Daily!$D:$D, Raw_Data_Daily!$B:$B, "Control", Raw_Data_Daily!$A:$A, $A19, Raw_Data_Daily!$C:$C, $C$3),""))</f>
        <v/>
      </c>
      <c r="AS19" s="231" t="str">
        <f>IF($A19="","",IFERROR(SUMPRODUCT((Raw_Data_Daily!$B$2:$B$9999="Variant")*(Raw_Data_Daily!$A$2:$A$9999=$A19)*(Raw_Data_Daily!$C$2:$C$9999=$C$3)*Raw_Data_Daily!$D$2:$D$9999*Raw_Data_Daily!$R$2:$R$9999)/SUMIFS(Raw_Data_Daily!$D:$D, Raw_Data_Daily!$B:$B, "Variant", Raw_Data_Daily!$A:$A, $A19, Raw_Data_Daily!$C:$C, $C$3),""))</f>
        <v/>
      </c>
      <c r="AT19" s="226" t="str">
        <f t="shared" si="15"/>
        <v/>
      </c>
      <c r="AU19" s="231" t="str">
        <f>IF($A19="","",IFERROR(SUMPRODUCT((Raw_Data_Daily!$B$2:$B$9999="Control")*(Raw_Data_Daily!$A$2:$A$9999=$A19)*(Raw_Data_Daily!$C$2:$C$9999=$C$3)*Raw_Data_Daily!$D$2:$D$9999*Raw_Data_Daily!$S$2:$S$9999)/SUMIFS(Raw_Data_Daily!$D:$D, Raw_Data_Daily!$B:$B, "Control", Raw_Data_Daily!$A:$A, $A19, Raw_Data_Daily!$C:$C, $C$3),""))</f>
        <v/>
      </c>
      <c r="AV19" s="231" t="str">
        <f>IF($A19="","",IFERROR(SUMPRODUCT((Raw_Data_Daily!$B$2:$B$9999="Variant")*(Raw_Data_Daily!$A$2:$A$9999=$A19)*(Raw_Data_Daily!$C$2:$C$9999=$C$3)*Raw_Data_Daily!$D$2:$D$9999*Raw_Data_Daily!$S$2:$S$9999)/SUMIFS(Raw_Data_Daily!$D:$D, Raw_Data_Daily!$B:$B, "Variant", Raw_Data_Daily!$A:$A, $A19, Raw_Data_Daily!$C:$C, $C$3),""))</f>
        <v/>
      </c>
      <c r="AW19" s="226" t="str">
        <f t="shared" si="16"/>
        <v/>
      </c>
      <c r="AX19" s="231" t="str">
        <f>IF($A19="","",IFERROR(SUMPRODUCT((Raw_Data_Daily!$B$2:$B$9999="Control")*(Raw_Data_Daily!$A$2:$A$9999=$A19)*(Raw_Data_Daily!$C$2:$C$9999=$C$3)*Raw_Data_Daily!$D$2:$D$9999*Raw_Data_Daily!$T$2:$T$9999)/SUMIFS(Raw_Data_Daily!$D:$D, Raw_Data_Daily!$B:$B, "Control", Raw_Data_Daily!$A:$A, $A19, Raw_Data_Daily!$C:$C, $C$3),""))</f>
        <v/>
      </c>
      <c r="AY19" s="231" t="str">
        <f>IF($A19="","",IFERROR(SUMPRODUCT((Raw_Data_Daily!$B$2:$B$9999="Variant")*(Raw_Data_Daily!$A$2:$A$9999=$A19)*(Raw_Data_Daily!$C$2:$C$9999=$C$3)*Raw_Data_Daily!$D$2:$D$9999*Raw_Data_Daily!$T$2:$T$9999)/SUMIFS(Raw_Data_Daily!$D:$D, Raw_Data_Daily!$B:$B, "Variant", Raw_Data_Daily!$A:$A, $A19, Raw_Data_Daily!$C:$C, $C$3),""))</f>
        <v/>
      </c>
      <c r="AZ19" s="229" t="str">
        <f t="shared" si="17"/>
        <v/>
      </c>
      <c r="BA19" s="231" t="str">
        <f>IF($A19="","",IFERROR(SUMPRODUCT((Raw_Data_Daily!$B$2:$B$9999="Control")*(Raw_Data_Daily!$A$2:$A$9999=$A19)*(Raw_Data_Daily!$C$2:$C$9999=$C$3)*Raw_Data_Daily!$D$2:$D$9999*Raw_Data_Daily!$U$2:$U$9999)/SUMIFS(Raw_Data_Daily!$D:$D, Raw_Data_Daily!$B:$B, "Control", Raw_Data_Daily!$A:$A, $A19, Raw_Data_Daily!$C:$C, $C$3),""))</f>
        <v/>
      </c>
      <c r="BB19" s="231" t="str">
        <f>IF($A19="","",IFERROR(SUMPRODUCT((Raw_Data_Daily!$B$2:$B$9999="Variant")*(Raw_Data_Daily!$A$2:$A$9999=$A19)*(Raw_Data_Daily!$C$2:$C$9999=$C$3)*Raw_Data_Daily!$D$2:$D$9999*Raw_Data_Daily!$U$2:$U$9999)/SUMIFS(Raw_Data_Daily!$D:$D, Raw_Data_Daily!$B:$B, "Variant", Raw_Data_Daily!$A:$A, $A19, Raw_Data_Daily!$C:$C, $C$3),""))</f>
        <v/>
      </c>
      <c r="BC19" s="226" t="str">
        <f t="shared" si="18"/>
        <v/>
      </c>
      <c r="BD19" s="231" t="str">
        <f>IF($A19="","",IFERROR(SUMPRODUCT((Raw_Data_Daily!$B$2:$B$9999="Control")*(Raw_Data_Daily!$A$2:$A$9999=$A19)*(Raw_Data_Daily!$C$2:$C$9999=$C$3)*Raw_Data_Daily!$D$2:$D$9999*Raw_Data_Daily!$V$2:$V$9999)/SUMIFS(Raw_Data_Daily!$D:$D, Raw_Data_Daily!$B:$B, "Control", Raw_Data_Daily!$A:$A, $A19, Raw_Data_Daily!$C:$C, $C$3),""))</f>
        <v/>
      </c>
      <c r="BE19" s="231" t="str">
        <f>IF($A19="","",IFERROR(SUMPRODUCT((Raw_Data_Daily!$B$2:$B$9999="Variant")*(Raw_Data_Daily!$A$2:$A$9999=$A19)*(Raw_Data_Daily!$C$2:$C$9999=$C$3)*Raw_Data_Daily!$D$2:$D$9999*Raw_Data_Daily!$V$2:$V$9999)/SUMIFS(Raw_Data_Daily!$D:$D, Raw_Data_Daily!$B:$B, "Variant", Raw_Data_Daily!$A:$A, $A19, Raw_Data_Daily!$C:$C, $C$3),""))</f>
        <v/>
      </c>
      <c r="BF19" s="226" t="str">
        <f t="shared" si="19"/>
        <v/>
      </c>
      <c r="BG19" s="231" t="str">
        <f>IF($A19="","",IFERROR(SUMPRODUCT((Raw_Data_Daily!$B$2:$B$9999="Control")*(Raw_Data_Daily!$A$2:$A$9999=$A19)*(Raw_Data_Daily!$C$2:$C$9999=$C$3)*Raw_Data_Daily!$D$2:$D$9999*(Raw_Data_Daily!$Q$2:$Q$9999-Raw_Data_Daily!$V$2:$V$9999))/SUMIFS(Raw_Data_Daily!$D:$D, Raw_Data_Daily!$B:$B, "Control", Raw_Data_Daily!$A:$A, $A19, Raw_Data_Daily!$C:$C, $C$3),""))</f>
        <v/>
      </c>
      <c r="BH19" s="231" t="str">
        <f>IF($A19="","",IFERROR(SUMPRODUCT((Raw_Data_Daily!$B$2:$B$9999="Variant")*(Raw_Data_Daily!$A$2:$A$9999=$A19)*(Raw_Data_Daily!$C$2:$C$9999=$C$3)*Raw_Data_Daily!$D$2:$D$9999*(Raw_Data_Daily!$Q$2:$Q$9999-Raw_Data_Daily!$V$2:$V$9999))/SUMIFS(Raw_Data_Daily!$D:$D, Raw_Data_Daily!$B:$B, "Variant", Raw_Data_Daily!$A:$A, $A19, Raw_Data_Daily!$C:$C, $C$3),""))</f>
        <v/>
      </c>
      <c r="BI19" s="226" t="str">
        <f t="shared" si="20"/>
        <v/>
      </c>
      <c r="BJ19" s="231" t="str">
        <f>IF($A19="","",IFERROR(SUMPRODUCT((Raw_Data_Daily!$B$2:$B$9999="Control")*(Raw_Data_Daily!$A$2:$A$9999=$A19)*(Raw_Data_Daily!$C$2:$C$9999=$C$3)*Raw_Data_Daily!$D$2:$D$9999*Raw_Data_Daily!$W$2:$W$9999)/SUMIFS(Raw_Data_Daily!$D:$D, Raw_Data_Daily!$B:$B, "Control", Raw_Data_Daily!$A:$A, $A19, Raw_Data_Daily!$C:$C, $C$3),""))</f>
        <v/>
      </c>
      <c r="BK19" s="231" t="str">
        <f>IF($A19="","",IFERROR(SUMPRODUCT((Raw_Data_Daily!$B$2:$B$9999="Variant")*(Raw_Data_Daily!$A$2:$A$9999=$A19)*(Raw_Data_Daily!$C$2:$C$9999=$C$3)*Raw_Data_Daily!$D$2:$D$9999*Raw_Data_Daily!$W$2:$W$9999)/SUMIFS(Raw_Data_Daily!$D:$D, Raw_Data_Daily!$B:$B, "Variant", Raw_Data_Daily!$A:$A, $A19, Raw_Data_Daily!$C:$C, $C$3),""))</f>
        <v/>
      </c>
      <c r="BL19" s="226" t="str">
        <f t="shared" si="21"/>
        <v/>
      </c>
      <c r="BM19" s="232" t="str">
        <f>IF($A19="","",IFERROR(SUMPRODUCT((Raw_Data_Daily!$B$2:$B$9999="Control")*(Raw_Data_Daily!$A$2:$A$9999=$A19)*(Raw_Data_Daily!$C$2:$C$9999=$C$3)*Raw_Data_Daily!$D$2:$D$9999*Raw_Data_Daily!$X$2:$X$9999)/SUMIFS(Raw_Data_Daily!$D:$D, Raw_Data_Daily!$B:$B, "Control", Raw_Data_Daily!$A:$A, $A19, Raw_Data_Daily!$C:$C, $C$3),""))</f>
        <v/>
      </c>
      <c r="BN19" s="232" t="str">
        <f>IF($A19="","",IFERROR(SUMPRODUCT((Raw_Data_Daily!$B$2:$B$9999="Variant")*(Raw_Data_Daily!$A$2:$A$9999=$A19)*(Raw_Data_Daily!$C$2:$C$9999=$C$3)*Raw_Data_Daily!$D$2:$D$9999*Raw_Data_Daily!$X$2:$X$9999)/SUMIFS(Raw_Data_Daily!$D:$D, Raw_Data_Daily!$B:$B, "Variant", Raw_Data_Daily!$A:$A, $A19, Raw_Data_Daily!$C:$C, $C$3),""))</f>
        <v/>
      </c>
      <c r="BO19" s="229" t="str">
        <f t="shared" si="22"/>
        <v/>
      </c>
      <c r="BP19" s="225" t="str">
        <f>IF($A19="","",IFERROR(SUMPRODUCT((Raw_Data_Daily!$B$2:$B$9999="Control")*(Raw_Data_Daily!$A$2:$A$9999=$A19)*(Raw_Data_Daily!$C$2:$C$9999=$C$3)*Raw_Data_Daily!$D$2:$D$9999*Raw_Data_Daily!$Y$2:$Y$9999)/SUMIFS(Raw_Data_Daily!$D:$D, Raw_Data_Daily!$B:$B, "Control", Raw_Data_Daily!$A:$A, $A19, Raw_Data_Daily!$C:$C, $C$3),""))</f>
        <v/>
      </c>
      <c r="BQ19" s="225" t="str">
        <f>IF($A19="","",IFERROR(SUMPRODUCT((Raw_Data_Daily!$B$2:$B$9999="Variant")*(Raw_Data_Daily!$A$2:$A$9999=$A19)*(Raw_Data_Daily!$C$2:$C$9999=$C$3)*Raw_Data_Daily!$D$2:$D$9999*Raw_Data_Daily!$Y$2:$Y$9999)/SUMIFS(Raw_Data_Daily!$D:$D, Raw_Data_Daily!$B:$B, "Variant", Raw_Data_Daily!$A:$A, $A19, Raw_Data_Daily!$C:$C, $C$3),""))</f>
        <v/>
      </c>
      <c r="BR19" s="226" t="str">
        <f t="shared" si="23"/>
        <v/>
      </c>
      <c r="BS19" s="225" t="str">
        <f>IF($A19="","",IFERROR(SUMPRODUCT((Raw_Data_Daily!$B$2:$B$9999="Control")*(Raw_Data_Daily!$A$2:$A$9999=$A19)*(Raw_Data_Daily!$C$2:$C$9999=$C$3)*Raw_Data_Daily!$D$2:$D$9999*Raw_Data_Daily!$Z$2:$Z$9999)/SUMIFS(Raw_Data_Daily!$D:$D, Raw_Data_Daily!$B:$B, "Control", Raw_Data_Daily!$A:$A, $A19, Raw_Data_Daily!$C:$C, $C$3),""))</f>
        <v/>
      </c>
      <c r="BT19" s="225" t="str">
        <f>IF($A19="","",IFERROR(SUMPRODUCT((Raw_Data_Daily!$B$2:$B$9999="Variant")*(Raw_Data_Daily!$A$2:$A$9999=$A19)*(Raw_Data_Daily!$C$2:$C$9999=$C$3)*Raw_Data_Daily!$D$2:$D$9999*Raw_Data_Daily!$Z$2:$Z$9999)/SUMIFS(Raw_Data_Daily!$D:$D, Raw_Data_Daily!$B:$B, "Variant", Raw_Data_Daily!$A:$A, $A19, Raw_Data_Daily!$C:$C, $C$3),""))</f>
        <v/>
      </c>
      <c r="BU19" s="226" t="str">
        <f t="shared" si="24"/>
        <v/>
      </c>
      <c r="BV19" s="225" t="str">
        <f>IF($A19="","",IFERROR(SUMPRODUCT((Raw_Data_Daily!$B$2:$B$9999="Control")*(Raw_Data_Daily!$A$2:$A$9999=$A19)*(Raw_Data_Daily!$C$2:$C$9999=$C$3)*Raw_Data_Daily!$D$2:$D$9999*Raw_Data_Daily!$AA$2:$AA$9999)/SUMIFS(Raw_Data_Daily!$D:$D, Raw_Data_Daily!$B:$B, "Control", Raw_Data_Daily!$A:$A, $A19, Raw_Data_Daily!$C:$C, $C$3),""))</f>
        <v/>
      </c>
      <c r="BW19" s="225" t="str">
        <f>IF($A19="","",IFERROR(SUMPRODUCT((Raw_Data_Daily!$B$2:$B$9999="Variant")*(Raw_Data_Daily!$A$2:$A$9999=$A19)*(Raw_Data_Daily!$C$2:$C$9999=$C$3)*Raw_Data_Daily!$D$2:$D$9999*Raw_Data_Daily!$AA$2:$AA$9999)/SUMIFS(Raw_Data_Daily!$D:$D, Raw_Data_Daily!$B:$B, "Variant", Raw_Data_Daily!$A:$A, $A19, Raw_Data_Daily!$C:$C, $C$3),""))</f>
        <v/>
      </c>
      <c r="BX19" s="226" t="str">
        <f t="shared" si="25"/>
        <v/>
      </c>
      <c r="BY19" s="231" t="str">
        <f>IF($A19="","",IFERROR(SUMPRODUCT((Raw_Data_Daily!$B$2:$B$9999="Control")*(Raw_Data_Daily!$A$2:$A$9999=$A19)*(Raw_Data_Daily!$C$2:$C$9999=$C$3)*Raw_Data_Daily!$D$2:$D$9999*Raw_Data_Daily!$AB$2:$AB$9999)/SUMIFS(Raw_Data_Daily!$D:$D, Raw_Data_Daily!$B:$B, "Control", Raw_Data_Daily!$A:$A, $A19, Raw_Data_Daily!$C:$C, $C$3),""))</f>
        <v/>
      </c>
      <c r="BZ19" s="231" t="str">
        <f>IF($A19="","",IFERROR(SUMPRODUCT((Raw_Data_Daily!$B$2:$B$9999="Variant")*(Raw_Data_Daily!$A$2:$A$9999=$A19)*(Raw_Data_Daily!$C$2:$C$9999=$C$3)*Raw_Data_Daily!$D$2:$D$9999*Raw_Data_Daily!$AB$2:$AB$9999)/SUMIFS(Raw_Data_Daily!$D:$D, Raw_Data_Daily!$B:$B, "Variant", Raw_Data_Daily!$A:$A, $A19, Raw_Data_Daily!$C:$C, $C$3),""))</f>
        <v/>
      </c>
      <c r="CA19" s="229" t="str">
        <f t="shared" si="26"/>
        <v/>
      </c>
      <c r="CB19" s="231" t="str">
        <f>IF($A19="","",IFERROR(SUMPRODUCT((Raw_Data_Daily!$B$2:$B$9999="Control")*(Raw_Data_Daily!$A$2:$A$9999=$A19)*(Raw_Data_Daily!$C$2:$C$9999=$C$3)*Raw_Data_Daily!$D$2:$D$9999*Raw_Data_Daily!$AC$2:$AC$9999)/SUMIFS(Raw_Data_Daily!$D:$D, Raw_Data_Daily!$B:$B, "Control", Raw_Data_Daily!$A:$A, $A19, Raw_Data_Daily!$C:$C, $C$3),""))</f>
        <v/>
      </c>
      <c r="CC19" s="231" t="str">
        <f>IF($A19="","",IFERROR(SUMPRODUCT((Raw_Data_Daily!$B$2:$B$9999="Variant")*(Raw_Data_Daily!$A$2:$A$9999=$A19)*(Raw_Data_Daily!$C$2:$C$9999=$C$3)*Raw_Data_Daily!$D$2:$D$9999*Raw_Data_Daily!$AC$2:$AC$9999)/SUMIFS(Raw_Data_Daily!$D:$D, Raw_Data_Daily!$B:$B, "Variant", Raw_Data_Daily!$A:$A, $A19, Raw_Data_Daily!$C:$C, $C$3),""))</f>
        <v/>
      </c>
      <c r="CD19" s="229" t="str">
        <f t="shared" si="27"/>
        <v/>
      </c>
      <c r="CE19" s="231" t="str">
        <f>IF($A19="","",IFERROR(SUMPRODUCT((Raw_Data_Daily!$B$2:$B$9999="Control")*(Raw_Data_Daily!$A$2:$A$9999=$A19)*(Raw_Data_Daily!$C$2:$C$9999=$C$3)*Raw_Data_Daily!$D$2:$D$9999*Raw_Data_Daily!$AD$2:$AD$9999)/SUMIFS(Raw_Data_Daily!$D:$D, Raw_Data_Daily!$B:$B, "Control", Raw_Data_Daily!$A:$A, $A19, Raw_Data_Daily!$C:$C, $C$3),""))</f>
        <v/>
      </c>
      <c r="CF19" s="231" t="str">
        <f>IF($A19="","",IFERROR(SUMPRODUCT((Raw_Data_Daily!$B$2:$B$9999="Variant")*(Raw_Data_Daily!$A$2:$A$9999=$A19)*(Raw_Data_Daily!$C$2:$C$9999=$C$3)*Raw_Data_Daily!$D$2:$D$9999*Raw_Data_Daily!$AD$2:$AD$9999)/SUMIFS(Raw_Data_Daily!$D:$D, Raw_Data_Daily!$B:$B, "Variant", Raw_Data_Daily!$A:$A, $A19, Raw_Data_Daily!$C:$C, $C$3),""))</f>
        <v/>
      </c>
      <c r="CG19" s="229" t="str">
        <f t="shared" si="28"/>
        <v/>
      </c>
      <c r="CH19" s="231" t="str">
        <f>IF($A19="","",IFERROR(SUMPRODUCT((Raw_Data_Daily!$B$2:$B$9999="Control")*(Raw_Data_Daily!$A$2:$A$9999=$A19)*(Raw_Data_Daily!$C$2:$C$9999=$C$3)*Raw_Data_Daily!$D$2:$D$9999*Raw_Data_Daily!$AE$2:$AE$9999)/SUMIFS(Raw_Data_Daily!$D:$D, Raw_Data_Daily!$B:$B, "Control", Raw_Data_Daily!$A:$A, $A19, Raw_Data_Daily!$C:$C, $C$3),""))</f>
        <v/>
      </c>
      <c r="CI19" s="231" t="str">
        <f>IF($A19="","",IFERROR(SUMPRODUCT((Raw_Data_Daily!$B$2:$B$9999="Variant")*(Raw_Data_Daily!$A$2:$A$9999=$A19)*(Raw_Data_Daily!$C$2:$C$9999=$C$3)*Raw_Data_Daily!$D$2:$D$9999*Raw_Data_Daily!$AE$2:$AE$9999)/SUMIFS(Raw_Data_Daily!$D:$D, Raw_Data_Daily!$B:$B, "Variant", Raw_Data_Daily!$A:$A, $A19, Raw_Data_Daily!$C:$C, $C$3),""))</f>
        <v/>
      </c>
      <c r="CJ19" s="229" t="str">
        <f t="shared" si="29"/>
        <v/>
      </c>
      <c r="CK19" s="231" t="str">
        <f>IF($A19="","",IFERROR(SUMPRODUCT((Raw_Data_Daily!$B$2:$B$9999="Control")*(Raw_Data_Daily!$A$2:$A$9999=$A19)*(Raw_Data_Daily!$C$2:$C$9999=$C$3)*Raw_Data_Daily!$D$2:$D$9999*Raw_Data_Daily!$AF$2:$AF$9999)/SUMIFS(Raw_Data_Daily!$D:$D, Raw_Data_Daily!$B:$B, "Control", Raw_Data_Daily!$A:$A, $A19, Raw_Data_Daily!$C:$C, $C$3),""))</f>
        <v/>
      </c>
      <c r="CL19" s="231" t="str">
        <f>IF($A19="","",IFERROR(SUMPRODUCT((Raw_Data_Daily!$B$2:$B$9999="Variant")*(Raw_Data_Daily!$A$2:$A$9999=$A19)*(Raw_Data_Daily!$C$2:$C$9999=$C$3)*Raw_Data_Daily!$D$2:$D$9999*Raw_Data_Daily!$AF$2:$AF$9999)/SUMIFS(Raw_Data_Daily!$D:$D, Raw_Data_Daily!$B:$B, "Variant", Raw_Data_Daily!$A:$A, $A19, Raw_Data_Daily!$C:$C, $C$3),""))</f>
        <v/>
      </c>
      <c r="CM19" s="229" t="str">
        <f t="shared" si="30"/>
        <v/>
      </c>
      <c r="CN19" s="231" t="str">
        <f>IF($A19="","",IFERROR(SUMPRODUCT((Raw_Data_Daily!$B$2:$B$9999="Control")*(Raw_Data_Daily!$A$2:$A$9999=$A19)*(Raw_Data_Daily!$C$2:$C$9999=$C$3)*Raw_Data_Daily!$D$2:$D$9999*Raw_Data_Daily!$AG$2:$AG$9999)/SUMIFS(Raw_Data_Daily!$D:$D, Raw_Data_Daily!$B:$B, "Control", Raw_Data_Daily!$A:$A, $A19, Raw_Data_Daily!$C:$C, $C$3),""))</f>
        <v/>
      </c>
      <c r="CO19" s="231" t="str">
        <f>IF($A19="","",IFERROR(SUMPRODUCT((Raw_Data_Daily!$B$2:$B$9999="Variant")*(Raw_Data_Daily!$A$2:$A$9999=$A19)*(Raw_Data_Daily!$C$2:$C$9999=$C$3)*Raw_Data_Daily!$D$2:$D$9999*Raw_Data_Daily!$AG$2:$AG$9999)/SUMIFS(Raw_Data_Daily!$D:$D, Raw_Data_Daily!$B:$B, "Variant", Raw_Data_Daily!$A:$A, $A19, Raw_Data_Daily!$C:$C, $C$3),""))</f>
        <v/>
      </c>
      <c r="CP19" s="229" t="str">
        <f t="shared" si="31"/>
        <v/>
      </c>
      <c r="CQ19" s="231" t="str">
        <f>IF($A19="","",IFERROR(SUMPRODUCT((Raw_Data_Daily!$B$2:$B$9999="Control")*(Raw_Data_Daily!$A$2:$A$9999=$A19)*(Raw_Data_Daily!$C$2:$C$9999=$C$3)*Raw_Data_Daily!$D$2:$D$9999*Raw_Data_Daily!$AH$2:$AH$9999)/SUMIFS(Raw_Data_Daily!$D:$D, Raw_Data_Daily!$B:$B, "Control", Raw_Data_Daily!$A:$A, $A19, Raw_Data_Daily!$C:$C, $C$3),""))</f>
        <v/>
      </c>
      <c r="CR19" s="231" t="str">
        <f>IF($A19="","",IFERROR(SUMPRODUCT((Raw_Data_Daily!$B$2:$B$9999="Variant")*(Raw_Data_Daily!$A$2:$A$9999=$A19)*(Raw_Data_Daily!$C$2:$C$9999=$C$3)*Raw_Data_Daily!$D$2:$D$9999*Raw_Data_Daily!$AH$2:$AH$9999)/SUMIFS(Raw_Data_Daily!$D:$D, Raw_Data_Daily!$B:$B, "Variant", Raw_Data_Daily!$A:$A, $A19, Raw_Data_Daily!$C:$C, $C$3),""))</f>
        <v/>
      </c>
      <c r="CS19" s="229" t="str">
        <f t="shared" si="32"/>
        <v/>
      </c>
      <c r="CT19" s="227" t="str">
        <f>IF($A19="","",IFERROR(SUMPRODUCT((Raw_Data_Daily!$B$2:$B$9999="Control")*(Raw_Data_Daily!$A$2:$A$9999=$A19)*(Raw_Data_Daily!$C$2:$C$9999=$C$3)*Raw_Data_Daily!$D$2:$D$9999*Raw_Data_Daily!$AI$2:$AI$9999)/SUMIFS(Raw_Data_Daily!$D:$D, Raw_Data_Daily!$B:$B, "Control", Raw_Data_Daily!$A:$A, $A19, Raw_Data_Daily!$C:$C, $C$3),""))</f>
        <v/>
      </c>
      <c r="CU19" s="227" t="str">
        <f>IF($A19="","",IFERROR(SUMPRODUCT((Raw_Data_Daily!$B$2:$B$9999="Variant")*(Raw_Data_Daily!$A$2:$A$9999=$A19)*(Raw_Data_Daily!$C$2:$C$9999=$C$3)*Raw_Data_Daily!$D$2:$D$9999*Raw_Data_Daily!$AI$2:$AI$9999)/SUMIFS(Raw_Data_Daily!$D:$D, Raw_Data_Daily!$B:$B, "Variant", Raw_Data_Daily!$A:$A, $A19, Raw_Data_Daily!$C:$C, $C$3),""))</f>
        <v/>
      </c>
      <c r="CV19" s="233" t="str">
        <f t="shared" si="33"/>
        <v/>
      </c>
      <c r="CW19" s="227" t="str">
        <f>IF($A19="","",IFERROR(SUMPRODUCT((Raw_Data_Daily!$B$2:$B$9999="Control")*(Raw_Data_Daily!$A$2:$A$9999=$A19)*(Raw_Data_Daily!$C$2:$C$9999=$C$3)*Raw_Data_Daily!$D$2:$D$9999*Raw_Data_Daily!$AJ$2:$AJ$9999)/SUMIFS(Raw_Data_Daily!$D:$D, Raw_Data_Daily!$B:$B, "Control", Raw_Data_Daily!$A:$A, $A19, Raw_Data_Daily!$C:$C, $C$3),""))</f>
        <v/>
      </c>
      <c r="CX19" s="227" t="str">
        <f>IF($A19="","",IFERROR(SUMPRODUCT((Raw_Data_Daily!$B$2:$B$9999="Variant")*(Raw_Data_Daily!$A$2:$A$9999=$A19)*(Raw_Data_Daily!$C$2:$C$9999=$C$3)*Raw_Data_Daily!$D$2:$D$9999*Raw_Data_Daily!$AJ$2:$AJ$9999)/SUMIFS(Raw_Data_Daily!$D:$D, Raw_Data_Daily!$B:$B, "Variant", Raw_Data_Daily!$A:$A, $A19, Raw_Data_Daily!$C:$C, $C$3),""))</f>
        <v/>
      </c>
      <c r="CY19" s="233" t="str">
        <f t="shared" si="34"/>
        <v/>
      </c>
      <c r="CZ19" s="227" t="str">
        <f>IF($A19="","",IFERROR(SUMPRODUCT((Raw_Data_Daily!$B$2:$B$9999="Control")*(Raw_Data_Daily!$A$2:$A$9999=$A19)*(Raw_Data_Daily!$C$2:$C$9999=$C$3)*Raw_Data_Daily!$D$2:$D$9999*Raw_Data_Daily!$AK$2:$AK$9999)/SUMIFS(Raw_Data_Daily!$D:$D, Raw_Data_Daily!$B:$B, "Control", Raw_Data_Daily!$A:$A, $A19, Raw_Data_Daily!$C:$C, $C$3),""))</f>
        <v/>
      </c>
      <c r="DA19" s="227" t="str">
        <f>IF($A19="","",IFERROR(SUMPRODUCT((Raw_Data_Daily!$B$2:$B$9999="Variant")*(Raw_Data_Daily!$A$2:$A$9999=$A19)*(Raw_Data_Daily!$C$2:$C$9999=$C$3)*Raw_Data_Daily!$D$2:$D$9999*Raw_Data_Daily!$AK$2:$AK$9999)/SUMIFS(Raw_Data_Daily!$D:$D, Raw_Data_Daily!$B:$B, "Variant", Raw_Data_Daily!$A:$A, $A19, Raw_Data_Daily!$C:$C, $C$3),""))</f>
        <v/>
      </c>
      <c r="DB19" s="229" t="str">
        <f t="shared" si="35"/>
        <v/>
      </c>
      <c r="DC19" s="232" t="str">
        <f>IF($A19="","",IFERROR(SUMPRODUCT((Raw_Data_Daily!$B$2:$B$9999="Control")*(Raw_Data_Daily!$A$2:$A$9999=$A19)*(Raw_Data_Daily!$C$2:$C$9999=$C$3)*Raw_Data_Daily!$D$2:$D$9999*Raw_Data_Daily!$AL$2:$AL$9999)/SUMIFS(Raw_Data_Daily!$D:$D, Raw_Data_Daily!$B:$B, "Control", Raw_Data_Daily!$A:$A, $A19, Raw_Data_Daily!$C:$C, $C$3),""))</f>
        <v/>
      </c>
      <c r="DD19" s="232" t="str">
        <f>IF($A19="","",IFERROR(SUMPRODUCT((Raw_Data_Daily!$B$2:$B$9999="Variant")*(Raw_Data_Daily!$A$2:$A$9999=$A19)*(Raw_Data_Daily!$C$2:$C$9999=$C$3)*Raw_Data_Daily!$D$2:$D$9999*Raw_Data_Daily!$AL$2:$AL$9999)/SUMIFS(Raw_Data_Daily!$D:$D, Raw_Data_Daily!$B:$B, "Variant", Raw_Data_Daily!$A:$A, $A19, Raw_Data_Daily!$C:$C, $C$3),""))</f>
        <v/>
      </c>
      <c r="DE19" s="233" t="str">
        <f t="shared" si="36"/>
        <v/>
      </c>
      <c r="DF19" s="234"/>
      <c r="DG19" s="227" t="str">
        <f>IF($A19="","",IFERROR(SUMPRODUCT((Raw_Data_Daily!$B$2:$B$9999="Variant")*(Raw_Data_Daily!$A$2:$A$9999=$A19)*(Raw_Data_Daily!$C$2:$C$9999=$C$3)*Raw_Data_Daily!$D$2:$D$9999*Raw_Data_Daily!$AM$2:$AM$9999)/SUMIFS(Raw_Data_Daily!$D:$D, Raw_Data_Daily!$B:$B, "Variant", Raw_Data_Daily!$A:$A, $A19, Raw_Data_Daily!$C:$C, $C$3),""))</f>
        <v/>
      </c>
      <c r="DH19" s="235"/>
      <c r="DI19" s="234"/>
      <c r="DJ19" s="227" t="str">
        <f>IF($A19="","",IFERROR(SUMPRODUCT((Raw_Data_Daily!$B$2:$B$9999="Variant")*(Raw_Data_Daily!$A$2:$A$9999=$A19)*(Raw_Data_Daily!$C$2:$C$9999=$C$3)*Raw_Data_Daily!$D$2:$D$9999*Raw_Data_Daily!$AN$2:$AN$9999)/SUMIFS(Raw_Data_Daily!$D:$D, Raw_Data_Daily!$B:$B, "Variant", Raw_Data_Daily!$A:$A, $A19, Raw_Data_Daily!$C:$C, $C$3),""))</f>
        <v/>
      </c>
      <c r="DK19" s="235"/>
      <c r="DL19" s="234"/>
      <c r="DM19" s="227" t="str">
        <f>IF($A19="","",IFERROR(SUMPRODUCT((Raw_Data_Daily!$B$2:$B$9999="Variant")*(Raw_Data_Daily!$A$2:$A$9999=$A19)*(Raw_Data_Daily!$C$2:$C$9999=$C$3)*Raw_Data_Daily!$D$2:$D$9999*Raw_Data_Daily!$AO$2:$AO$9999)/SUMIFS(Raw_Data_Daily!$D:$D, Raw_Data_Daily!$B:$B, "Variant", Raw_Data_Daily!$A:$A, $A19, Raw_Data_Daily!$C:$C, $C$3),""))</f>
        <v/>
      </c>
      <c r="DN19" s="235"/>
      <c r="DO19" s="234"/>
      <c r="DP19" s="227" t="str">
        <f>IF($A19="","",IFERROR(SUMPRODUCT((Raw_Data_Daily!$B$2:$B$9999="Variant")*(Raw_Data_Daily!$A$2:$A$9999=$A19)*(Raw_Data_Daily!$C$2:$C$9999=$C$3)*Raw_Data_Daily!$D$2:$D$9999*Raw_Data_Daily!$AP$2:$AP$9999)/SUMIFS(Raw_Data_Daily!$D:$D, Raw_Data_Daily!$B:$B, "Variant", Raw_Data_Daily!$A:$A, $A19, Raw_Data_Daily!$C:$C, $C$3),""))</f>
        <v/>
      </c>
      <c r="DQ19" s="235"/>
      <c r="DR19" s="232" t="str">
        <f>IF($A19="","",IFERROR(SUMPRODUCT((Raw_Data_Daily!$B$2:$B$9999="Control")*(Raw_Data_Daily!$A$2:$A$9999=$A19)*(Raw_Data_Daily!$C$2:$C$9999=$C$3)*Raw_Data_Daily!$D$2:$D$9999*Raw_Data_Daily!$AQ$2:$AQ$9999)/SUMIFS(Raw_Data_Daily!$D:$D, Raw_Data_Daily!$B:$B, "Control", Raw_Data_Daily!$A:$A, $A19, Raw_Data_Daily!$C:$C, $C$3),""))</f>
        <v/>
      </c>
      <c r="DS19" s="232" t="str">
        <f>IF($A19="","",IFERROR(SUMPRODUCT((Raw_Data_Daily!$B$2:$B$9999="Variant")*(Raw_Data_Daily!$A$2:$A$9999=$A19)*(Raw_Data_Daily!$C$2:$C$9999=$C$3)*Raw_Data_Daily!$D$2:$D$9999*Raw_Data_Daily!$AQ$2:$AQ$9999)/SUMIFS(Raw_Data_Daily!$D:$D, Raw_Data_Daily!$B:$B, "Variant", Raw_Data_Daily!$A:$A, $A19, Raw_Data_Daily!$C:$C, $C$3),""))</f>
        <v/>
      </c>
      <c r="DT19" s="236" t="str">
        <f t="shared" si="37"/>
        <v/>
      </c>
      <c r="DU19" s="232" t="str">
        <f>IF($A19="","",IFERROR(SUMPRODUCT((Raw_Data_Daily!$B$2:$B$9999="Control")*(Raw_Data_Daily!$A$2:$A$9999=$A19)*(Raw_Data_Daily!$C$2:$C$9999=$C$3)*Raw_Data_Daily!$D$2:$D$9999*Raw_Data_Daily!$AR$2:$AR$9999)/SUMIFS(Raw_Data_Daily!$D:$D, Raw_Data_Daily!$B:$B, "Control", Raw_Data_Daily!$A:$A, $A19, Raw_Data_Daily!$C:$C, $C$3),""))</f>
        <v/>
      </c>
      <c r="DV19" s="232" t="str">
        <f>IF($A19="","",IFERROR(SUMPRODUCT((Raw_Data_Daily!$B$2:$B$9999="Variant")*(Raw_Data_Daily!$A$2:$A$9999=$A19)*(Raw_Data_Daily!$C$2:$C$9999=$C$3)*Raw_Data_Daily!$D$2:$D$9999*Raw_Data_Daily!$AR$2:$AR$9999)/SUMIFS(Raw_Data_Daily!$D:$D, Raw_Data_Daily!$B:$B, "Variant", Raw_Data_Daily!$A:$A, $A19, Raw_Data_Daily!$C:$C, $C$3),""))</f>
        <v/>
      </c>
      <c r="DW19" s="236" t="str">
        <f t="shared" si="38"/>
        <v/>
      </c>
      <c r="DX19" s="232" t="str">
        <f>IF($A19="","",IFERROR(SUMPRODUCT((Raw_Data_Daily!$B$2:$B$9999="Control")*(Raw_Data_Daily!$A$2:$A$9999=$A19)*(Raw_Data_Daily!$C$2:$C$9999=$C$3)*Raw_Data_Daily!$D$2:$D$9999*Raw_Data_Daily!$AS$2:$AS$9999)/SUMIFS(Raw_Data_Daily!$D:$D, Raw_Data_Daily!$B:$B, "Control", Raw_Data_Daily!$A:$A, $A19, Raw_Data_Daily!$C:$C, $C$3),""))</f>
        <v/>
      </c>
      <c r="DY19" s="232" t="str">
        <f>IF($A19="","",IFERROR(SUMPRODUCT((Raw_Data_Daily!$B$2:$B$9999="Variant")*(Raw_Data_Daily!$A$2:$A$9999=$A19)*(Raw_Data_Daily!$C$2:$C$9999=$C$3)*Raw_Data_Daily!$D$2:$D$9999*Raw_Data_Daily!$AS$2:$AS$9999)/SUMIFS(Raw_Data_Daily!$D:$D, Raw_Data_Daily!$B:$B, "Variant", Raw_Data_Daily!$A:$A, $A19, Raw_Data_Daily!$C:$C, $C$3),""))</f>
        <v/>
      </c>
      <c r="DZ19" s="236" t="str">
        <f t="shared" si="39"/>
        <v/>
      </c>
      <c r="EA19" s="232" t="str">
        <f>IF($A19="","",IFERROR(SUMPRODUCT((Raw_Data_Daily!$B$2:$B$9999="Control")*(Raw_Data_Daily!$A$2:$A$9999=$A19)*(Raw_Data_Daily!$C$2:$C$9999=$C$3)*Raw_Data_Daily!$D$2:$D$9999*Raw_Data_Daily!$AT$2:$AT$9999)/SUMIFS(Raw_Data_Daily!$D:$D, Raw_Data_Daily!$B:$B, "Control", Raw_Data_Daily!$A:$A, $A19, Raw_Data_Daily!$C:$C, $C$3),""))</f>
        <v/>
      </c>
      <c r="EB19" s="232" t="str">
        <f>IF($A19="","",IFERROR(SUMPRODUCT((Raw_Data_Daily!$B$2:$B$9999="Variant")*(Raw_Data_Daily!$A$2:$A$9999=$A19)*(Raw_Data_Daily!$C$2:$C$9999=$C$3)*Raw_Data_Daily!$D$2:$D$9999*Raw_Data_Daily!$AT$2:$AT$9999)/SUMIFS(Raw_Data_Daily!$D:$D, Raw_Data_Daily!$B:$B, "Variant", Raw_Data_Daily!$A:$A, $A19, Raw_Data_Daily!$C:$C, $C$3),""))</f>
        <v/>
      </c>
      <c r="EC19" s="236" t="str">
        <f t="shared" si="40"/>
        <v/>
      </c>
      <c r="ED19" s="232" t="str">
        <f>IF($A19="","",IFERROR(SUMPRODUCT((Raw_Data_Daily!$B$2:$B$9999="Control")*(Raw_Data_Daily!$A$2:$A$9999=$A19)*(Raw_Data_Daily!$C$2:$C$9999=$C$3)*Raw_Data_Daily!$D$2:$D$9999*(Raw_Data_Daily!$AQ$2:$AQ$9999-Raw_Data_Daily!$AT$2:$AT$9999))/SUMIFS(Raw_Data_Daily!$D:$D, Raw_Data_Daily!$B:$B, "Control", Raw_Data_Daily!$A:$A, $A19, Raw_Data_Daily!$C:$C, $C$3),""))</f>
        <v/>
      </c>
      <c r="EE19" s="232" t="str">
        <f>IF($A19="","",IFERROR(SUMPRODUCT((Raw_Data_Daily!$B$2:$B$9999="Variant")*(Raw_Data_Daily!$A$2:$A$9999=$A19)*(Raw_Data_Daily!$C$2:$C$9999=$C$3)*Raw_Data_Daily!$D$2:$D$9999*(Raw_Data_Daily!$AQ$2:$AQ$9999-Raw_Data_Daily!$AT$2:$AT$9999))/SUMIFS(Raw_Data_Daily!$D:$D, Raw_Data_Daily!$B:$B, "Variant", Raw_Data_Daily!$A:$A, $A19, Raw_Data_Daily!$C:$C, $C$3),""))</f>
        <v/>
      </c>
      <c r="EF19" s="236" t="str">
        <f t="shared" si="41"/>
        <v/>
      </c>
      <c r="EG19" s="232" t="str">
        <f>IF($A19="","",IFERROR(SUMPRODUCT((Raw_Data_Daily!$B$2:$B$9999="Control")*(Raw_Data_Daily!$A$2:$A$9999=$A19)*(Raw_Data_Daily!$C$2:$C$9999=$C$3)*Raw_Data_Daily!$D$2:$D$9999*Raw_Data_Daily!$AU$2:$AU$9999)/SUMIFS(Raw_Data_Daily!$D:$D, Raw_Data_Daily!$B:$B, "Control", Raw_Data_Daily!$A:$A, $A19, Raw_Data_Daily!$C:$C, $C$3),""))</f>
        <v/>
      </c>
      <c r="EH19" s="232" t="str">
        <f>IF($A19="","",IFERROR(SUMPRODUCT((Raw_Data_Daily!$B$2:$B$9999="Variant")*(Raw_Data_Daily!$A$2:$A$9999=$A19)*(Raw_Data_Daily!$C$2:$C$9999=$C$3)*Raw_Data_Daily!$D$2:$D$9999*Raw_Data_Daily!$AU$2:$AU$9999)/SUMIFS(Raw_Data_Daily!$D:$D, Raw_Data_Daily!$B:$B, "Variant", Raw_Data_Daily!$A:$A, $A19, Raw_Data_Daily!$C:$C, $C$3),""))</f>
        <v/>
      </c>
      <c r="EI19" s="236" t="str">
        <f t="shared" si="42"/>
        <v/>
      </c>
    </row>
    <row r="20" ht="15.75" customHeight="1">
      <c r="A20" s="224">
        <v>46243.0</v>
      </c>
      <c r="B20" s="225">
        <f>IF($A20="","",SUMIFS(Raw_Data_Daily!$D:$D, Raw_Data_Daily!$B:$B, "Control", Raw_Data_Daily!$A:$A, $A20, Raw_Data_Daily!$C:$C, $C$3))</f>
        <v>0</v>
      </c>
      <c r="C20" s="225">
        <f>IF($A20="","",SUMIFS(Raw_Data_Daily!$D:$D, Raw_Data_Daily!$B:$B, "Variant", Raw_Data_Daily!$A:$A, $A20, Raw_Data_Daily!$C:$C, $C$3))</f>
        <v>0</v>
      </c>
      <c r="D20" s="226" t="str">
        <f t="shared" si="1"/>
        <v/>
      </c>
      <c r="E20" s="227" t="str">
        <f>IF($A20="","",IFERROR(SUMPRODUCT((Raw_Data_Daily!$B$2:$B$9999="Control")*(Raw_Data_Daily!$A$2:$A$9999=$A20)*(Raw_Data_Daily!$C$2:$C$9999=$C$3)*Raw_Data_Daily!$D$2:$D$9999*Raw_Data_Daily!$E$2:$E$9999)/SUMIFS(Raw_Data_Daily!$D:$D, Raw_Data_Daily!$B:$B, "Control", Raw_Data_Daily!$A:$A, $A20, Raw_Data_Daily!$C:$C, $C$3),""))</f>
        <v/>
      </c>
      <c r="F20" s="227" t="str">
        <f>IF($A20="","",IFERROR(SUMPRODUCT((Raw_Data_Daily!$B$2:$B$9999="Variant")*(Raw_Data_Daily!$A$2:$A$9999=$A20)*(Raw_Data_Daily!$C$2:$C$9999=$C$3)*Raw_Data_Daily!$D$2:$D$9999*Raw_Data_Daily!$E$2:$E$9999)/SUMIFS(Raw_Data_Daily!$D:$D, Raw_Data_Daily!$B:$B, "Variant", Raw_Data_Daily!$A:$A, $A20, Raw_Data_Daily!$C:$C, $C$3),""))</f>
        <v/>
      </c>
      <c r="G20" s="226" t="str">
        <f t="shared" si="2"/>
        <v/>
      </c>
      <c r="H20" s="228">
        <f>IF($A20="","",SUMIFS(Raw_Data_Daily!$F:$F, Raw_Data_Daily!$B:$B, "Control", Raw_Data_Daily!$A:$A, $A20, Raw_Data_Daily!$C:$C, $C$3))</f>
        <v>0</v>
      </c>
      <c r="I20" s="228">
        <f>IF($A20="","",SUMIFS(Raw_Data_Daily!$F:$F, Raw_Data_Daily!$B:$B, "Variant", Raw_Data_Daily!$A:$A, $A20, Raw_Data_Daily!$C:$C, $C$3))</f>
        <v>0</v>
      </c>
      <c r="J20" s="229" t="str">
        <f t="shared" si="3"/>
        <v/>
      </c>
      <c r="K20" s="230" t="str">
        <f>IF($A20="","",IFERROR(SUMIFS(Raw_Data_Daily!$F:$F, Raw_Data_Daily!$B:$B, "Control", Raw_Data_Daily!$A:$A, $A20, Raw_Data_Daily!$C:$C, $C$3)/SUMIFS(Raw_Data_Daily!$D:$D, Raw_Data_Daily!$B:$B, "Control", Raw_Data_Daily!$A:$A, $A20, Raw_Data_Daily!$C:$C, $C$3),""))</f>
        <v/>
      </c>
      <c r="L20" s="230" t="str">
        <f>IF($A20="","",IFERROR(SUMIFS(Raw_Data_Daily!$F:$F, Raw_Data_Daily!$B:$B, "Variant", Raw_Data_Daily!$A:$A, $A20, Raw_Data_Daily!$C:$C, $C$3)/SUMIFS(Raw_Data_Daily!$D:$D, Raw_Data_Daily!$B:$B, "Variant", Raw_Data_Daily!$A:$A, $A20, Raw_Data_Daily!$C:$C, $C$3),""))</f>
        <v/>
      </c>
      <c r="M20" s="229" t="str">
        <f t="shared" si="4"/>
        <v/>
      </c>
      <c r="N20" s="227" t="str">
        <f>IF($A20="","",IFERROR(SUMPRODUCT((Raw_Data_Daily!$B$2:$B$9999="Control")*(Raw_Data_Daily!$A$2:$A$9999=$A20)*(Raw_Data_Daily!$C$2:$C$9999=$C$3)*Raw_Data_Daily!$D$2:$D$9999*Raw_Data_Daily!$H$2:$H$9999/100)/SUMIFS(Raw_Data_Daily!$D:$D, Raw_Data_Daily!$B:$B, "Control", Raw_Data_Daily!$A:$A, $A20, Raw_Data_Daily!$C:$C, $C$3)*100,""))</f>
        <v/>
      </c>
      <c r="O20" s="227" t="str">
        <f>IF($A20="","",IFERROR(SUMPRODUCT((Raw_Data_Daily!$B$2:$B$9999="Variant")*(Raw_Data_Daily!$A$2:$A$9999=$A20)*(Raw_Data_Daily!$C$2:$C$9999=$C$3)*Raw_Data_Daily!$D$2:$D$9999*Raw_Data_Daily!$H$2:$H$9999/100)/SUMIFS(Raw_Data_Daily!$D:$D, Raw_Data_Daily!$B:$B, "Variant", Raw_Data_Daily!$A:$A, $A20, Raw_Data_Daily!$C:$C, $C$3)*100,""))</f>
        <v/>
      </c>
      <c r="P20" s="229" t="str">
        <f t="shared" si="5"/>
        <v/>
      </c>
      <c r="Q20" s="230" t="str">
        <f>IF($A20="","",IFERROR(SUMIFS(Raw_Data_Daily!$F:$F, Raw_Data_Daily!$B:$B, "Control", Raw_Data_Daily!$A:$A, $A20, Raw_Data_Daily!$C:$C, $C$3)/SUMPRODUCT((Raw_Data_Daily!$B$2:$B$9999="Control")*(Raw_Data_Daily!$A$2:$A$9999=$A20)*(Raw_Data_Daily!$C$2:$C$9999=$C$3)*Raw_Data_Daily!$D$2:$D$9999*Raw_Data_Daily!$H$2:$H$9999/100),""))</f>
        <v/>
      </c>
      <c r="R20" s="230" t="str">
        <f>IF($A20="","",IFERROR(SUMIFS(Raw_Data_Daily!$F:$F, Raw_Data_Daily!$B:$B, "Variant", Raw_Data_Daily!$A:$A, $A20, Raw_Data_Daily!$C:$C, $C$3)/SUMPRODUCT((Raw_Data_Daily!$B$2:$B$9999="Variant")*(Raw_Data_Daily!$A$2:$A$9999=$A20)*(Raw_Data_Daily!$C$2:$C$9999=$C$3)*Raw_Data_Daily!$D$2:$D$9999*Raw_Data_Daily!$H$2:$H$9999/100),""))</f>
        <v/>
      </c>
      <c r="S20" s="229" t="str">
        <f t="shared" si="6"/>
        <v/>
      </c>
      <c r="T20" s="231" t="str">
        <f>IF($A20="","",IFERROR(SUMPRODUCT((Raw_Data_Daily!$B$2:$B$9999="Control")*(Raw_Data_Daily!$A$2:$A$9999=$A20)*(Raw_Data_Daily!$C$2:$C$9999=$C$3)*Raw_Data_Daily!$D$2:$D$9999*Raw_Data_Daily!$J$2:$J$9999)/SUMIFS(Raw_Data_Daily!$D:$D, Raw_Data_Daily!$B:$B, "Control", Raw_Data_Daily!$A:$A, $A20, Raw_Data_Daily!$C:$C, $C$3),""))</f>
        <v/>
      </c>
      <c r="U20" s="231" t="str">
        <f>IF($A20="","",IFERROR(SUMPRODUCT((Raw_Data_Daily!$B$2:$B$9999="Variant")*(Raw_Data_Daily!$A$2:$A$9999=$A20)*(Raw_Data_Daily!$C$2:$C$9999=$C$3)*Raw_Data_Daily!$D$2:$D$9999*Raw_Data_Daily!$J$2:$J$9999)/SUMIFS(Raw_Data_Daily!$D:$D, Raw_Data_Daily!$B:$B, "Variant", Raw_Data_Daily!$A:$A, $A20, Raw_Data_Daily!$C:$C, $C$3),""))</f>
        <v/>
      </c>
      <c r="V20" s="229" t="str">
        <f t="shared" si="7"/>
        <v/>
      </c>
      <c r="W20" s="231" t="str">
        <f>IF($A20="","",IFERROR(SUMPRODUCT((Raw_Data_Daily!$B$2:$B$9999="Control")*(Raw_Data_Daily!$A$2:$A$9999=$A20)*(Raw_Data_Daily!$C$2:$C$9999=$C$3)*Raw_Data_Daily!$D$2:$D$9999*Raw_Data_Daily!$K$2:$K$9999)/SUMIFS(Raw_Data_Daily!$D:$D, Raw_Data_Daily!$B:$B, "Control", Raw_Data_Daily!$A:$A, $A20, Raw_Data_Daily!$C:$C, $C$3),""))</f>
        <v/>
      </c>
      <c r="X20" s="231" t="str">
        <f>IF($A20="","",IFERROR(SUMPRODUCT((Raw_Data_Daily!$B$2:$B$9999="Variant")*(Raw_Data_Daily!$A$2:$A$9999=$A20)*(Raw_Data_Daily!$C$2:$C$9999=$C$3)*Raw_Data_Daily!$D$2:$D$9999*Raw_Data_Daily!$K$2:$K$9999)/SUMIFS(Raw_Data_Daily!$D:$D, Raw_Data_Daily!$B:$B, "Variant", Raw_Data_Daily!$A:$A, $A20, Raw_Data_Daily!$C:$C, $C$3),""))</f>
        <v/>
      </c>
      <c r="Y20" s="229" t="str">
        <f t="shared" si="8"/>
        <v/>
      </c>
      <c r="Z20" s="231" t="str">
        <f>IF($A20="","",IFERROR(SUMPRODUCT((Raw_Data_Daily!$B$2:$B$9999="Control")*(Raw_Data_Daily!$A$2:$A$9999=$A20)*(Raw_Data_Daily!$C$2:$C$9999=$C$3)*Raw_Data_Daily!$D$2:$D$9999*Raw_Data_Daily!$L$2:$L$9999)/SUMIFS(Raw_Data_Daily!$D:$D, Raw_Data_Daily!$B:$B, "Control", Raw_Data_Daily!$A:$A, $A20, Raw_Data_Daily!$C:$C, $C$3),""))</f>
        <v/>
      </c>
      <c r="AA20" s="231" t="str">
        <f>IF($A20="","",IFERROR(SUMPRODUCT((Raw_Data_Daily!$B$2:$B$9999="Variant")*(Raw_Data_Daily!$A$2:$A$9999=$A20)*(Raw_Data_Daily!$C$2:$C$9999=$C$3)*Raw_Data_Daily!$D$2:$D$9999*Raw_Data_Daily!$L$2:$L$9999)/SUMIFS(Raw_Data_Daily!$D:$D, Raw_Data_Daily!$B:$B, "Variant", Raw_Data_Daily!$A:$A, $A20, Raw_Data_Daily!$C:$C, $C$3),""))</f>
        <v/>
      </c>
      <c r="AB20" s="229" t="str">
        <f t="shared" si="9"/>
        <v/>
      </c>
      <c r="AC20" s="232" t="str">
        <f>IF($A20="","",IFERROR(SUMPRODUCT((Raw_Data_Daily!$B$2:$B$9999="Control")*(Raw_Data_Daily!$A$2:$A$9999=$A20)*(Raw_Data_Daily!$C$2:$C$9999=$C$3)*Raw_Data_Daily!$D$2:$D$9999*Raw_Data_Daily!$M$2:$M$9999)/SUMIFS(Raw_Data_Daily!$D:$D, Raw_Data_Daily!$B:$B, "Control", Raw_Data_Daily!$A:$A, $A20, Raw_Data_Daily!$C:$C, $C$3),""))</f>
        <v/>
      </c>
      <c r="AD20" s="232" t="str">
        <f>IF($A20="","",IFERROR(SUMPRODUCT((Raw_Data_Daily!$B$2:$B$9999="Variant")*(Raw_Data_Daily!$A$2:$A$9999=$A20)*(Raw_Data_Daily!$C$2:$C$9999=$C$3)*Raw_Data_Daily!$D$2:$D$9999*Raw_Data_Daily!$M$2:$M$9999)/SUMIFS(Raw_Data_Daily!$D:$D, Raw_Data_Daily!$B:$B, "Variant", Raw_Data_Daily!$A:$A, $A20, Raw_Data_Daily!$C:$C, $C$3),""))</f>
        <v/>
      </c>
      <c r="AE20" s="233" t="str">
        <f t="shared" si="10"/>
        <v/>
      </c>
      <c r="AF20" s="232" t="str">
        <f>IF($A20="","",IFERROR(SUMPRODUCT((Raw_Data_Daily!$B$2:$B$9999="Control")*(Raw_Data_Daily!$A$2:$A$9999=$A20)*(Raw_Data_Daily!$C$2:$C$9999=$C$3)*Raw_Data_Daily!$D$2:$D$9999*Raw_Data_Daily!$N$2:$N$9999)/SUMIFS(Raw_Data_Daily!$D:$D, Raw_Data_Daily!$B:$B, "Control", Raw_Data_Daily!$A:$A, $A20, Raw_Data_Daily!$C:$C, $C$3),""))</f>
        <v/>
      </c>
      <c r="AG20" s="232" t="str">
        <f>IF($A20="","",IFERROR(SUMPRODUCT((Raw_Data_Daily!$B$2:$B$9999="Variant")*(Raw_Data_Daily!$A$2:$A$9999=$A20)*(Raw_Data_Daily!$C$2:$C$9999=$C$3)*Raw_Data_Daily!$D$2:$D$9999*Raw_Data_Daily!$N$2:$N$9999)/SUMIFS(Raw_Data_Daily!$D:$D, Raw_Data_Daily!$B:$B, "Variant", Raw_Data_Daily!$A:$A, $A20, Raw_Data_Daily!$C:$C, $C$3),""))</f>
        <v/>
      </c>
      <c r="AH20" s="233" t="str">
        <f t="shared" si="11"/>
        <v/>
      </c>
      <c r="AI20" s="232" t="str">
        <f>IF($A20="","",IFERROR(SUMPRODUCT((Raw_Data_Daily!$B$2:$B$9999="Control")*(Raw_Data_Daily!$A$2:$A$9999=$A20)*(Raw_Data_Daily!$C$2:$C$9999=$C$3)*Raw_Data_Daily!$D$2:$D$9999*Raw_Data_Daily!$O$2:$O$9999)/SUMIFS(Raw_Data_Daily!$D:$D, Raw_Data_Daily!$B:$B, "Control", Raw_Data_Daily!$A:$A, $A20, Raw_Data_Daily!$C:$C, $C$3),""))</f>
        <v/>
      </c>
      <c r="AJ20" s="232" t="str">
        <f>IF($A20="","",IFERROR(SUMPRODUCT((Raw_Data_Daily!$B$2:$B$9999="Variant")*(Raw_Data_Daily!$A$2:$A$9999=$A20)*(Raw_Data_Daily!$C$2:$C$9999=$C$3)*Raw_Data_Daily!$D$2:$D$9999*Raw_Data_Daily!$O$2:$O$9999)/SUMIFS(Raw_Data_Daily!$D:$D, Raw_Data_Daily!$B:$B, "Variant", Raw_Data_Daily!$A:$A, $A20, Raw_Data_Daily!$C:$C, $C$3),""))</f>
        <v/>
      </c>
      <c r="AK20" s="229" t="str">
        <f t="shared" si="12"/>
        <v/>
      </c>
      <c r="AL20" s="231" t="str">
        <f>IF($A20="","",IFERROR(SUMPRODUCT((Raw_Data_Daily!$B$2:$B$9999="Control")*(Raw_Data_Daily!$A$2:$A$9999=$A20)*(Raw_Data_Daily!$C$2:$C$9999=$C$3)*Raw_Data_Daily!$D$2:$D$9999*Raw_Data_Daily!$P$2:$P$9999)/SUMIFS(Raw_Data_Daily!$D:$D, Raw_Data_Daily!$B:$B, "Control", Raw_Data_Daily!$A:$A, $A20, Raw_Data_Daily!$C:$C, $C$3),""))</f>
        <v/>
      </c>
      <c r="AM20" s="231" t="str">
        <f>IF($A20="","",IFERROR(SUMPRODUCT((Raw_Data_Daily!$B$2:$B$9999="Variant")*(Raw_Data_Daily!$A$2:$A$9999=$A20)*(Raw_Data_Daily!$C$2:$C$9999=$C$3)*Raw_Data_Daily!$D$2:$D$9999*Raw_Data_Daily!$P$2:$P$9999)/SUMIFS(Raw_Data_Daily!$D:$D, Raw_Data_Daily!$B:$B, "Variant", Raw_Data_Daily!$A:$A, $A20, Raw_Data_Daily!$C:$C, $C$3),""))</f>
        <v/>
      </c>
      <c r="AN20" s="229" t="str">
        <f t="shared" si="13"/>
        <v/>
      </c>
      <c r="AO20" s="231" t="str">
        <f>IF($A20="","",IFERROR(SUMPRODUCT((Raw_Data_Daily!$B$2:$B$9999="Control")*(Raw_Data_Daily!$A$2:$A$9999=$A20)*(Raw_Data_Daily!$C$2:$C$9999=$C$3)*Raw_Data_Daily!$D$2:$D$9999*Raw_Data_Daily!$Q$2:$Q$9999)/SUMIFS(Raw_Data_Daily!$D:$D, Raw_Data_Daily!$B:$B, "Control", Raw_Data_Daily!$A:$A, $A20, Raw_Data_Daily!$C:$C, $C$3),""))</f>
        <v/>
      </c>
      <c r="AP20" s="231" t="str">
        <f>IF($A20="","",IFERROR(SUMPRODUCT((Raw_Data_Daily!$B$2:$B$9999="Variant")*(Raw_Data_Daily!$A$2:$A$9999=$A20)*(Raw_Data_Daily!$C$2:$C$9999=$C$3)*Raw_Data_Daily!$D$2:$D$9999*Raw_Data_Daily!$Q$2:$Q$9999)/SUMIFS(Raw_Data_Daily!$D:$D, Raw_Data_Daily!$B:$B, "Variant", Raw_Data_Daily!$A:$A, $A20, Raw_Data_Daily!$C:$C, $C$3),""))</f>
        <v/>
      </c>
      <c r="AQ20" s="226" t="str">
        <f t="shared" si="14"/>
        <v/>
      </c>
      <c r="AR20" s="231" t="str">
        <f>IF($A20="","",IFERROR(SUMPRODUCT((Raw_Data_Daily!$B$2:$B$9999="Control")*(Raw_Data_Daily!$A$2:$A$9999=$A20)*(Raw_Data_Daily!$C$2:$C$9999=$C$3)*Raw_Data_Daily!$D$2:$D$9999*Raw_Data_Daily!$R$2:$R$9999)/SUMIFS(Raw_Data_Daily!$D:$D, Raw_Data_Daily!$B:$B, "Control", Raw_Data_Daily!$A:$A, $A20, Raw_Data_Daily!$C:$C, $C$3),""))</f>
        <v/>
      </c>
      <c r="AS20" s="231" t="str">
        <f>IF($A20="","",IFERROR(SUMPRODUCT((Raw_Data_Daily!$B$2:$B$9999="Variant")*(Raw_Data_Daily!$A$2:$A$9999=$A20)*(Raw_Data_Daily!$C$2:$C$9999=$C$3)*Raw_Data_Daily!$D$2:$D$9999*Raw_Data_Daily!$R$2:$R$9999)/SUMIFS(Raw_Data_Daily!$D:$D, Raw_Data_Daily!$B:$B, "Variant", Raw_Data_Daily!$A:$A, $A20, Raw_Data_Daily!$C:$C, $C$3),""))</f>
        <v/>
      </c>
      <c r="AT20" s="226" t="str">
        <f t="shared" si="15"/>
        <v/>
      </c>
      <c r="AU20" s="231" t="str">
        <f>IF($A20="","",IFERROR(SUMPRODUCT((Raw_Data_Daily!$B$2:$B$9999="Control")*(Raw_Data_Daily!$A$2:$A$9999=$A20)*(Raw_Data_Daily!$C$2:$C$9999=$C$3)*Raw_Data_Daily!$D$2:$D$9999*Raw_Data_Daily!$S$2:$S$9999)/SUMIFS(Raw_Data_Daily!$D:$D, Raw_Data_Daily!$B:$B, "Control", Raw_Data_Daily!$A:$A, $A20, Raw_Data_Daily!$C:$C, $C$3),""))</f>
        <v/>
      </c>
      <c r="AV20" s="231" t="str">
        <f>IF($A20="","",IFERROR(SUMPRODUCT((Raw_Data_Daily!$B$2:$B$9999="Variant")*(Raw_Data_Daily!$A$2:$A$9999=$A20)*(Raw_Data_Daily!$C$2:$C$9999=$C$3)*Raw_Data_Daily!$D$2:$D$9999*Raw_Data_Daily!$S$2:$S$9999)/SUMIFS(Raw_Data_Daily!$D:$D, Raw_Data_Daily!$B:$B, "Variant", Raw_Data_Daily!$A:$A, $A20, Raw_Data_Daily!$C:$C, $C$3),""))</f>
        <v/>
      </c>
      <c r="AW20" s="226" t="str">
        <f t="shared" si="16"/>
        <v/>
      </c>
      <c r="AX20" s="231" t="str">
        <f>IF($A20="","",IFERROR(SUMPRODUCT((Raw_Data_Daily!$B$2:$B$9999="Control")*(Raw_Data_Daily!$A$2:$A$9999=$A20)*(Raw_Data_Daily!$C$2:$C$9999=$C$3)*Raw_Data_Daily!$D$2:$D$9999*Raw_Data_Daily!$T$2:$T$9999)/SUMIFS(Raw_Data_Daily!$D:$D, Raw_Data_Daily!$B:$B, "Control", Raw_Data_Daily!$A:$A, $A20, Raw_Data_Daily!$C:$C, $C$3),""))</f>
        <v/>
      </c>
      <c r="AY20" s="231" t="str">
        <f>IF($A20="","",IFERROR(SUMPRODUCT((Raw_Data_Daily!$B$2:$B$9999="Variant")*(Raw_Data_Daily!$A$2:$A$9999=$A20)*(Raw_Data_Daily!$C$2:$C$9999=$C$3)*Raw_Data_Daily!$D$2:$D$9999*Raw_Data_Daily!$T$2:$T$9999)/SUMIFS(Raw_Data_Daily!$D:$D, Raw_Data_Daily!$B:$B, "Variant", Raw_Data_Daily!$A:$A, $A20, Raw_Data_Daily!$C:$C, $C$3),""))</f>
        <v/>
      </c>
      <c r="AZ20" s="229" t="str">
        <f t="shared" si="17"/>
        <v/>
      </c>
      <c r="BA20" s="231" t="str">
        <f>IF($A20="","",IFERROR(SUMPRODUCT((Raw_Data_Daily!$B$2:$B$9999="Control")*(Raw_Data_Daily!$A$2:$A$9999=$A20)*(Raw_Data_Daily!$C$2:$C$9999=$C$3)*Raw_Data_Daily!$D$2:$D$9999*Raw_Data_Daily!$U$2:$U$9999)/SUMIFS(Raw_Data_Daily!$D:$D, Raw_Data_Daily!$B:$B, "Control", Raw_Data_Daily!$A:$A, $A20, Raw_Data_Daily!$C:$C, $C$3),""))</f>
        <v/>
      </c>
      <c r="BB20" s="231" t="str">
        <f>IF($A20="","",IFERROR(SUMPRODUCT((Raw_Data_Daily!$B$2:$B$9999="Variant")*(Raw_Data_Daily!$A$2:$A$9999=$A20)*(Raw_Data_Daily!$C$2:$C$9999=$C$3)*Raw_Data_Daily!$D$2:$D$9999*Raw_Data_Daily!$U$2:$U$9999)/SUMIFS(Raw_Data_Daily!$D:$D, Raw_Data_Daily!$B:$B, "Variant", Raw_Data_Daily!$A:$A, $A20, Raw_Data_Daily!$C:$C, $C$3),""))</f>
        <v/>
      </c>
      <c r="BC20" s="226" t="str">
        <f t="shared" si="18"/>
        <v/>
      </c>
      <c r="BD20" s="231" t="str">
        <f>IF($A20="","",IFERROR(SUMPRODUCT((Raw_Data_Daily!$B$2:$B$9999="Control")*(Raw_Data_Daily!$A$2:$A$9999=$A20)*(Raw_Data_Daily!$C$2:$C$9999=$C$3)*Raw_Data_Daily!$D$2:$D$9999*Raw_Data_Daily!$V$2:$V$9999)/SUMIFS(Raw_Data_Daily!$D:$D, Raw_Data_Daily!$B:$B, "Control", Raw_Data_Daily!$A:$A, $A20, Raw_Data_Daily!$C:$C, $C$3),""))</f>
        <v/>
      </c>
      <c r="BE20" s="231" t="str">
        <f>IF($A20="","",IFERROR(SUMPRODUCT((Raw_Data_Daily!$B$2:$B$9999="Variant")*(Raw_Data_Daily!$A$2:$A$9999=$A20)*(Raw_Data_Daily!$C$2:$C$9999=$C$3)*Raw_Data_Daily!$D$2:$D$9999*Raw_Data_Daily!$V$2:$V$9999)/SUMIFS(Raw_Data_Daily!$D:$D, Raw_Data_Daily!$B:$B, "Variant", Raw_Data_Daily!$A:$A, $A20, Raw_Data_Daily!$C:$C, $C$3),""))</f>
        <v/>
      </c>
      <c r="BF20" s="226" t="str">
        <f t="shared" si="19"/>
        <v/>
      </c>
      <c r="BG20" s="231" t="str">
        <f>IF($A20="","",IFERROR(SUMPRODUCT((Raw_Data_Daily!$B$2:$B$9999="Control")*(Raw_Data_Daily!$A$2:$A$9999=$A20)*(Raw_Data_Daily!$C$2:$C$9999=$C$3)*Raw_Data_Daily!$D$2:$D$9999*(Raw_Data_Daily!$Q$2:$Q$9999-Raw_Data_Daily!$V$2:$V$9999))/SUMIFS(Raw_Data_Daily!$D:$D, Raw_Data_Daily!$B:$B, "Control", Raw_Data_Daily!$A:$A, $A20, Raw_Data_Daily!$C:$C, $C$3),""))</f>
        <v/>
      </c>
      <c r="BH20" s="231" t="str">
        <f>IF($A20="","",IFERROR(SUMPRODUCT((Raw_Data_Daily!$B$2:$B$9999="Variant")*(Raw_Data_Daily!$A$2:$A$9999=$A20)*(Raw_Data_Daily!$C$2:$C$9999=$C$3)*Raw_Data_Daily!$D$2:$D$9999*(Raw_Data_Daily!$Q$2:$Q$9999-Raw_Data_Daily!$V$2:$V$9999))/SUMIFS(Raw_Data_Daily!$D:$D, Raw_Data_Daily!$B:$B, "Variant", Raw_Data_Daily!$A:$A, $A20, Raw_Data_Daily!$C:$C, $C$3),""))</f>
        <v/>
      </c>
      <c r="BI20" s="226" t="str">
        <f t="shared" si="20"/>
        <v/>
      </c>
      <c r="BJ20" s="231" t="str">
        <f>IF($A20="","",IFERROR(SUMPRODUCT((Raw_Data_Daily!$B$2:$B$9999="Control")*(Raw_Data_Daily!$A$2:$A$9999=$A20)*(Raw_Data_Daily!$C$2:$C$9999=$C$3)*Raw_Data_Daily!$D$2:$D$9999*Raw_Data_Daily!$W$2:$W$9999)/SUMIFS(Raw_Data_Daily!$D:$D, Raw_Data_Daily!$B:$B, "Control", Raw_Data_Daily!$A:$A, $A20, Raw_Data_Daily!$C:$C, $C$3),""))</f>
        <v/>
      </c>
      <c r="BK20" s="231" t="str">
        <f>IF($A20="","",IFERROR(SUMPRODUCT((Raw_Data_Daily!$B$2:$B$9999="Variant")*(Raw_Data_Daily!$A$2:$A$9999=$A20)*(Raw_Data_Daily!$C$2:$C$9999=$C$3)*Raw_Data_Daily!$D$2:$D$9999*Raw_Data_Daily!$W$2:$W$9999)/SUMIFS(Raw_Data_Daily!$D:$D, Raw_Data_Daily!$B:$B, "Variant", Raw_Data_Daily!$A:$A, $A20, Raw_Data_Daily!$C:$C, $C$3),""))</f>
        <v/>
      </c>
      <c r="BL20" s="226" t="str">
        <f t="shared" si="21"/>
        <v/>
      </c>
      <c r="BM20" s="232" t="str">
        <f>IF($A20="","",IFERROR(SUMPRODUCT((Raw_Data_Daily!$B$2:$B$9999="Control")*(Raw_Data_Daily!$A$2:$A$9999=$A20)*(Raw_Data_Daily!$C$2:$C$9999=$C$3)*Raw_Data_Daily!$D$2:$D$9999*Raw_Data_Daily!$X$2:$X$9999)/SUMIFS(Raw_Data_Daily!$D:$D, Raw_Data_Daily!$B:$B, "Control", Raw_Data_Daily!$A:$A, $A20, Raw_Data_Daily!$C:$C, $C$3),""))</f>
        <v/>
      </c>
      <c r="BN20" s="232" t="str">
        <f>IF($A20="","",IFERROR(SUMPRODUCT((Raw_Data_Daily!$B$2:$B$9999="Variant")*(Raw_Data_Daily!$A$2:$A$9999=$A20)*(Raw_Data_Daily!$C$2:$C$9999=$C$3)*Raw_Data_Daily!$D$2:$D$9999*Raw_Data_Daily!$X$2:$X$9999)/SUMIFS(Raw_Data_Daily!$D:$D, Raw_Data_Daily!$B:$B, "Variant", Raw_Data_Daily!$A:$A, $A20, Raw_Data_Daily!$C:$C, $C$3),""))</f>
        <v/>
      </c>
      <c r="BO20" s="229" t="str">
        <f t="shared" si="22"/>
        <v/>
      </c>
      <c r="BP20" s="225" t="str">
        <f>IF($A20="","",IFERROR(SUMPRODUCT((Raw_Data_Daily!$B$2:$B$9999="Control")*(Raw_Data_Daily!$A$2:$A$9999=$A20)*(Raw_Data_Daily!$C$2:$C$9999=$C$3)*Raw_Data_Daily!$D$2:$D$9999*Raw_Data_Daily!$Y$2:$Y$9999)/SUMIFS(Raw_Data_Daily!$D:$D, Raw_Data_Daily!$B:$B, "Control", Raw_Data_Daily!$A:$A, $A20, Raw_Data_Daily!$C:$C, $C$3),""))</f>
        <v/>
      </c>
      <c r="BQ20" s="225" t="str">
        <f>IF($A20="","",IFERROR(SUMPRODUCT((Raw_Data_Daily!$B$2:$B$9999="Variant")*(Raw_Data_Daily!$A$2:$A$9999=$A20)*(Raw_Data_Daily!$C$2:$C$9999=$C$3)*Raw_Data_Daily!$D$2:$D$9999*Raw_Data_Daily!$Y$2:$Y$9999)/SUMIFS(Raw_Data_Daily!$D:$D, Raw_Data_Daily!$B:$B, "Variant", Raw_Data_Daily!$A:$A, $A20, Raw_Data_Daily!$C:$C, $C$3),""))</f>
        <v/>
      </c>
      <c r="BR20" s="226" t="str">
        <f t="shared" si="23"/>
        <v/>
      </c>
      <c r="BS20" s="225" t="str">
        <f>IF($A20="","",IFERROR(SUMPRODUCT((Raw_Data_Daily!$B$2:$B$9999="Control")*(Raw_Data_Daily!$A$2:$A$9999=$A20)*(Raw_Data_Daily!$C$2:$C$9999=$C$3)*Raw_Data_Daily!$D$2:$D$9999*Raw_Data_Daily!$Z$2:$Z$9999)/SUMIFS(Raw_Data_Daily!$D:$D, Raw_Data_Daily!$B:$B, "Control", Raw_Data_Daily!$A:$A, $A20, Raw_Data_Daily!$C:$C, $C$3),""))</f>
        <v/>
      </c>
      <c r="BT20" s="225" t="str">
        <f>IF($A20="","",IFERROR(SUMPRODUCT((Raw_Data_Daily!$B$2:$B$9999="Variant")*(Raw_Data_Daily!$A$2:$A$9999=$A20)*(Raw_Data_Daily!$C$2:$C$9999=$C$3)*Raw_Data_Daily!$D$2:$D$9999*Raw_Data_Daily!$Z$2:$Z$9999)/SUMIFS(Raw_Data_Daily!$D:$D, Raw_Data_Daily!$B:$B, "Variant", Raw_Data_Daily!$A:$A, $A20, Raw_Data_Daily!$C:$C, $C$3),""))</f>
        <v/>
      </c>
      <c r="BU20" s="226" t="str">
        <f t="shared" si="24"/>
        <v/>
      </c>
      <c r="BV20" s="225" t="str">
        <f>IF($A20="","",IFERROR(SUMPRODUCT((Raw_Data_Daily!$B$2:$B$9999="Control")*(Raw_Data_Daily!$A$2:$A$9999=$A20)*(Raw_Data_Daily!$C$2:$C$9999=$C$3)*Raw_Data_Daily!$D$2:$D$9999*Raw_Data_Daily!$AA$2:$AA$9999)/SUMIFS(Raw_Data_Daily!$D:$D, Raw_Data_Daily!$B:$B, "Control", Raw_Data_Daily!$A:$A, $A20, Raw_Data_Daily!$C:$C, $C$3),""))</f>
        <v/>
      </c>
      <c r="BW20" s="225" t="str">
        <f>IF($A20="","",IFERROR(SUMPRODUCT((Raw_Data_Daily!$B$2:$B$9999="Variant")*(Raw_Data_Daily!$A$2:$A$9999=$A20)*(Raw_Data_Daily!$C$2:$C$9999=$C$3)*Raw_Data_Daily!$D$2:$D$9999*Raw_Data_Daily!$AA$2:$AA$9999)/SUMIFS(Raw_Data_Daily!$D:$D, Raw_Data_Daily!$B:$B, "Variant", Raw_Data_Daily!$A:$A, $A20, Raw_Data_Daily!$C:$C, $C$3),""))</f>
        <v/>
      </c>
      <c r="BX20" s="226" t="str">
        <f t="shared" si="25"/>
        <v/>
      </c>
      <c r="BY20" s="231" t="str">
        <f>IF($A20="","",IFERROR(SUMPRODUCT((Raw_Data_Daily!$B$2:$B$9999="Control")*(Raw_Data_Daily!$A$2:$A$9999=$A20)*(Raw_Data_Daily!$C$2:$C$9999=$C$3)*Raw_Data_Daily!$D$2:$D$9999*Raw_Data_Daily!$AB$2:$AB$9999)/SUMIFS(Raw_Data_Daily!$D:$D, Raw_Data_Daily!$B:$B, "Control", Raw_Data_Daily!$A:$A, $A20, Raw_Data_Daily!$C:$C, $C$3),""))</f>
        <v/>
      </c>
      <c r="BZ20" s="231" t="str">
        <f>IF($A20="","",IFERROR(SUMPRODUCT((Raw_Data_Daily!$B$2:$B$9999="Variant")*(Raw_Data_Daily!$A$2:$A$9999=$A20)*(Raw_Data_Daily!$C$2:$C$9999=$C$3)*Raw_Data_Daily!$D$2:$D$9999*Raw_Data_Daily!$AB$2:$AB$9999)/SUMIFS(Raw_Data_Daily!$D:$D, Raw_Data_Daily!$B:$B, "Variant", Raw_Data_Daily!$A:$A, $A20, Raw_Data_Daily!$C:$C, $C$3),""))</f>
        <v/>
      </c>
      <c r="CA20" s="229" t="str">
        <f t="shared" si="26"/>
        <v/>
      </c>
      <c r="CB20" s="231" t="str">
        <f>IF($A20="","",IFERROR(SUMPRODUCT((Raw_Data_Daily!$B$2:$B$9999="Control")*(Raw_Data_Daily!$A$2:$A$9999=$A20)*(Raw_Data_Daily!$C$2:$C$9999=$C$3)*Raw_Data_Daily!$D$2:$D$9999*Raw_Data_Daily!$AC$2:$AC$9999)/SUMIFS(Raw_Data_Daily!$D:$D, Raw_Data_Daily!$B:$B, "Control", Raw_Data_Daily!$A:$A, $A20, Raw_Data_Daily!$C:$C, $C$3),""))</f>
        <v/>
      </c>
      <c r="CC20" s="231" t="str">
        <f>IF($A20="","",IFERROR(SUMPRODUCT((Raw_Data_Daily!$B$2:$B$9999="Variant")*(Raw_Data_Daily!$A$2:$A$9999=$A20)*(Raw_Data_Daily!$C$2:$C$9999=$C$3)*Raw_Data_Daily!$D$2:$D$9999*Raw_Data_Daily!$AC$2:$AC$9999)/SUMIFS(Raw_Data_Daily!$D:$D, Raw_Data_Daily!$B:$B, "Variant", Raw_Data_Daily!$A:$A, $A20, Raw_Data_Daily!$C:$C, $C$3),""))</f>
        <v/>
      </c>
      <c r="CD20" s="229" t="str">
        <f t="shared" si="27"/>
        <v/>
      </c>
      <c r="CE20" s="231" t="str">
        <f>IF($A20="","",IFERROR(SUMPRODUCT((Raw_Data_Daily!$B$2:$B$9999="Control")*(Raw_Data_Daily!$A$2:$A$9999=$A20)*(Raw_Data_Daily!$C$2:$C$9999=$C$3)*Raw_Data_Daily!$D$2:$D$9999*Raw_Data_Daily!$AD$2:$AD$9999)/SUMIFS(Raw_Data_Daily!$D:$D, Raw_Data_Daily!$B:$B, "Control", Raw_Data_Daily!$A:$A, $A20, Raw_Data_Daily!$C:$C, $C$3),""))</f>
        <v/>
      </c>
      <c r="CF20" s="231" t="str">
        <f>IF($A20="","",IFERROR(SUMPRODUCT((Raw_Data_Daily!$B$2:$B$9999="Variant")*(Raw_Data_Daily!$A$2:$A$9999=$A20)*(Raw_Data_Daily!$C$2:$C$9999=$C$3)*Raw_Data_Daily!$D$2:$D$9999*Raw_Data_Daily!$AD$2:$AD$9999)/SUMIFS(Raw_Data_Daily!$D:$D, Raw_Data_Daily!$B:$B, "Variant", Raw_Data_Daily!$A:$A, $A20, Raw_Data_Daily!$C:$C, $C$3),""))</f>
        <v/>
      </c>
      <c r="CG20" s="229" t="str">
        <f t="shared" si="28"/>
        <v/>
      </c>
      <c r="CH20" s="231" t="str">
        <f>IF($A20="","",IFERROR(SUMPRODUCT((Raw_Data_Daily!$B$2:$B$9999="Control")*(Raw_Data_Daily!$A$2:$A$9999=$A20)*(Raw_Data_Daily!$C$2:$C$9999=$C$3)*Raw_Data_Daily!$D$2:$D$9999*Raw_Data_Daily!$AE$2:$AE$9999)/SUMIFS(Raw_Data_Daily!$D:$D, Raw_Data_Daily!$B:$B, "Control", Raw_Data_Daily!$A:$A, $A20, Raw_Data_Daily!$C:$C, $C$3),""))</f>
        <v/>
      </c>
      <c r="CI20" s="231" t="str">
        <f>IF($A20="","",IFERROR(SUMPRODUCT((Raw_Data_Daily!$B$2:$B$9999="Variant")*(Raw_Data_Daily!$A$2:$A$9999=$A20)*(Raw_Data_Daily!$C$2:$C$9999=$C$3)*Raw_Data_Daily!$D$2:$D$9999*Raw_Data_Daily!$AE$2:$AE$9999)/SUMIFS(Raw_Data_Daily!$D:$D, Raw_Data_Daily!$B:$B, "Variant", Raw_Data_Daily!$A:$A, $A20, Raw_Data_Daily!$C:$C, $C$3),""))</f>
        <v/>
      </c>
      <c r="CJ20" s="229" t="str">
        <f t="shared" si="29"/>
        <v/>
      </c>
      <c r="CK20" s="231" t="str">
        <f>IF($A20="","",IFERROR(SUMPRODUCT((Raw_Data_Daily!$B$2:$B$9999="Control")*(Raw_Data_Daily!$A$2:$A$9999=$A20)*(Raw_Data_Daily!$C$2:$C$9999=$C$3)*Raw_Data_Daily!$D$2:$D$9999*Raw_Data_Daily!$AF$2:$AF$9999)/SUMIFS(Raw_Data_Daily!$D:$D, Raw_Data_Daily!$B:$B, "Control", Raw_Data_Daily!$A:$A, $A20, Raw_Data_Daily!$C:$C, $C$3),""))</f>
        <v/>
      </c>
      <c r="CL20" s="231" t="str">
        <f>IF($A20="","",IFERROR(SUMPRODUCT((Raw_Data_Daily!$B$2:$B$9999="Variant")*(Raw_Data_Daily!$A$2:$A$9999=$A20)*(Raw_Data_Daily!$C$2:$C$9999=$C$3)*Raw_Data_Daily!$D$2:$D$9999*Raw_Data_Daily!$AF$2:$AF$9999)/SUMIFS(Raw_Data_Daily!$D:$D, Raw_Data_Daily!$B:$B, "Variant", Raw_Data_Daily!$A:$A, $A20, Raw_Data_Daily!$C:$C, $C$3),""))</f>
        <v/>
      </c>
      <c r="CM20" s="229" t="str">
        <f t="shared" si="30"/>
        <v/>
      </c>
      <c r="CN20" s="231" t="str">
        <f>IF($A20="","",IFERROR(SUMPRODUCT((Raw_Data_Daily!$B$2:$B$9999="Control")*(Raw_Data_Daily!$A$2:$A$9999=$A20)*(Raw_Data_Daily!$C$2:$C$9999=$C$3)*Raw_Data_Daily!$D$2:$D$9999*Raw_Data_Daily!$AG$2:$AG$9999)/SUMIFS(Raw_Data_Daily!$D:$D, Raw_Data_Daily!$B:$B, "Control", Raw_Data_Daily!$A:$A, $A20, Raw_Data_Daily!$C:$C, $C$3),""))</f>
        <v/>
      </c>
      <c r="CO20" s="231" t="str">
        <f>IF($A20="","",IFERROR(SUMPRODUCT((Raw_Data_Daily!$B$2:$B$9999="Variant")*(Raw_Data_Daily!$A$2:$A$9999=$A20)*(Raw_Data_Daily!$C$2:$C$9999=$C$3)*Raw_Data_Daily!$D$2:$D$9999*Raw_Data_Daily!$AG$2:$AG$9999)/SUMIFS(Raw_Data_Daily!$D:$D, Raw_Data_Daily!$B:$B, "Variant", Raw_Data_Daily!$A:$A, $A20, Raw_Data_Daily!$C:$C, $C$3),""))</f>
        <v/>
      </c>
      <c r="CP20" s="229" t="str">
        <f t="shared" si="31"/>
        <v/>
      </c>
      <c r="CQ20" s="231" t="str">
        <f>IF($A20="","",IFERROR(SUMPRODUCT((Raw_Data_Daily!$B$2:$B$9999="Control")*(Raw_Data_Daily!$A$2:$A$9999=$A20)*(Raw_Data_Daily!$C$2:$C$9999=$C$3)*Raw_Data_Daily!$D$2:$D$9999*Raw_Data_Daily!$AH$2:$AH$9999)/SUMIFS(Raw_Data_Daily!$D:$D, Raw_Data_Daily!$B:$B, "Control", Raw_Data_Daily!$A:$A, $A20, Raw_Data_Daily!$C:$C, $C$3),""))</f>
        <v/>
      </c>
      <c r="CR20" s="231" t="str">
        <f>IF($A20="","",IFERROR(SUMPRODUCT((Raw_Data_Daily!$B$2:$B$9999="Variant")*(Raw_Data_Daily!$A$2:$A$9999=$A20)*(Raw_Data_Daily!$C$2:$C$9999=$C$3)*Raw_Data_Daily!$D$2:$D$9999*Raw_Data_Daily!$AH$2:$AH$9999)/SUMIFS(Raw_Data_Daily!$D:$D, Raw_Data_Daily!$B:$B, "Variant", Raw_Data_Daily!$A:$A, $A20, Raw_Data_Daily!$C:$C, $C$3),""))</f>
        <v/>
      </c>
      <c r="CS20" s="229" t="str">
        <f t="shared" si="32"/>
        <v/>
      </c>
      <c r="CT20" s="227" t="str">
        <f>IF($A20="","",IFERROR(SUMPRODUCT((Raw_Data_Daily!$B$2:$B$9999="Control")*(Raw_Data_Daily!$A$2:$A$9999=$A20)*(Raw_Data_Daily!$C$2:$C$9999=$C$3)*Raw_Data_Daily!$D$2:$D$9999*Raw_Data_Daily!$AI$2:$AI$9999)/SUMIFS(Raw_Data_Daily!$D:$D, Raw_Data_Daily!$B:$B, "Control", Raw_Data_Daily!$A:$A, $A20, Raw_Data_Daily!$C:$C, $C$3),""))</f>
        <v/>
      </c>
      <c r="CU20" s="227" t="str">
        <f>IF($A20="","",IFERROR(SUMPRODUCT((Raw_Data_Daily!$B$2:$B$9999="Variant")*(Raw_Data_Daily!$A$2:$A$9999=$A20)*(Raw_Data_Daily!$C$2:$C$9999=$C$3)*Raw_Data_Daily!$D$2:$D$9999*Raw_Data_Daily!$AI$2:$AI$9999)/SUMIFS(Raw_Data_Daily!$D:$D, Raw_Data_Daily!$B:$B, "Variant", Raw_Data_Daily!$A:$A, $A20, Raw_Data_Daily!$C:$C, $C$3),""))</f>
        <v/>
      </c>
      <c r="CV20" s="233" t="str">
        <f t="shared" si="33"/>
        <v/>
      </c>
      <c r="CW20" s="227" t="str">
        <f>IF($A20="","",IFERROR(SUMPRODUCT((Raw_Data_Daily!$B$2:$B$9999="Control")*(Raw_Data_Daily!$A$2:$A$9999=$A20)*(Raw_Data_Daily!$C$2:$C$9999=$C$3)*Raw_Data_Daily!$D$2:$D$9999*Raw_Data_Daily!$AJ$2:$AJ$9999)/SUMIFS(Raw_Data_Daily!$D:$D, Raw_Data_Daily!$B:$B, "Control", Raw_Data_Daily!$A:$A, $A20, Raw_Data_Daily!$C:$C, $C$3),""))</f>
        <v/>
      </c>
      <c r="CX20" s="227" t="str">
        <f>IF($A20="","",IFERROR(SUMPRODUCT((Raw_Data_Daily!$B$2:$B$9999="Variant")*(Raw_Data_Daily!$A$2:$A$9999=$A20)*(Raw_Data_Daily!$C$2:$C$9999=$C$3)*Raw_Data_Daily!$D$2:$D$9999*Raw_Data_Daily!$AJ$2:$AJ$9999)/SUMIFS(Raw_Data_Daily!$D:$D, Raw_Data_Daily!$B:$B, "Variant", Raw_Data_Daily!$A:$A, $A20, Raw_Data_Daily!$C:$C, $C$3),""))</f>
        <v/>
      </c>
      <c r="CY20" s="233" t="str">
        <f t="shared" si="34"/>
        <v/>
      </c>
      <c r="CZ20" s="227" t="str">
        <f>IF($A20="","",IFERROR(SUMPRODUCT((Raw_Data_Daily!$B$2:$B$9999="Control")*(Raw_Data_Daily!$A$2:$A$9999=$A20)*(Raw_Data_Daily!$C$2:$C$9999=$C$3)*Raw_Data_Daily!$D$2:$D$9999*Raw_Data_Daily!$AK$2:$AK$9999)/SUMIFS(Raw_Data_Daily!$D:$D, Raw_Data_Daily!$B:$B, "Control", Raw_Data_Daily!$A:$A, $A20, Raw_Data_Daily!$C:$C, $C$3),""))</f>
        <v/>
      </c>
      <c r="DA20" s="227" t="str">
        <f>IF($A20="","",IFERROR(SUMPRODUCT((Raw_Data_Daily!$B$2:$B$9999="Variant")*(Raw_Data_Daily!$A$2:$A$9999=$A20)*(Raw_Data_Daily!$C$2:$C$9999=$C$3)*Raw_Data_Daily!$D$2:$D$9999*Raw_Data_Daily!$AK$2:$AK$9999)/SUMIFS(Raw_Data_Daily!$D:$D, Raw_Data_Daily!$B:$B, "Variant", Raw_Data_Daily!$A:$A, $A20, Raw_Data_Daily!$C:$C, $C$3),""))</f>
        <v/>
      </c>
      <c r="DB20" s="229" t="str">
        <f t="shared" si="35"/>
        <v/>
      </c>
      <c r="DC20" s="232" t="str">
        <f>IF($A20="","",IFERROR(SUMPRODUCT((Raw_Data_Daily!$B$2:$B$9999="Control")*(Raw_Data_Daily!$A$2:$A$9999=$A20)*(Raw_Data_Daily!$C$2:$C$9999=$C$3)*Raw_Data_Daily!$D$2:$D$9999*Raw_Data_Daily!$AL$2:$AL$9999)/SUMIFS(Raw_Data_Daily!$D:$D, Raw_Data_Daily!$B:$B, "Control", Raw_Data_Daily!$A:$A, $A20, Raw_Data_Daily!$C:$C, $C$3),""))</f>
        <v/>
      </c>
      <c r="DD20" s="232" t="str">
        <f>IF($A20="","",IFERROR(SUMPRODUCT((Raw_Data_Daily!$B$2:$B$9999="Variant")*(Raw_Data_Daily!$A$2:$A$9999=$A20)*(Raw_Data_Daily!$C$2:$C$9999=$C$3)*Raw_Data_Daily!$D$2:$D$9999*Raw_Data_Daily!$AL$2:$AL$9999)/SUMIFS(Raw_Data_Daily!$D:$D, Raw_Data_Daily!$B:$B, "Variant", Raw_Data_Daily!$A:$A, $A20, Raw_Data_Daily!$C:$C, $C$3),""))</f>
        <v/>
      </c>
      <c r="DE20" s="233" t="str">
        <f t="shared" si="36"/>
        <v/>
      </c>
      <c r="DF20" s="234"/>
      <c r="DG20" s="227" t="str">
        <f>IF($A20="","",IFERROR(SUMPRODUCT((Raw_Data_Daily!$B$2:$B$9999="Variant")*(Raw_Data_Daily!$A$2:$A$9999=$A20)*(Raw_Data_Daily!$C$2:$C$9999=$C$3)*Raw_Data_Daily!$D$2:$D$9999*Raw_Data_Daily!$AM$2:$AM$9999)/SUMIFS(Raw_Data_Daily!$D:$D, Raw_Data_Daily!$B:$B, "Variant", Raw_Data_Daily!$A:$A, $A20, Raw_Data_Daily!$C:$C, $C$3),""))</f>
        <v/>
      </c>
      <c r="DH20" s="235"/>
      <c r="DI20" s="234"/>
      <c r="DJ20" s="227" t="str">
        <f>IF($A20="","",IFERROR(SUMPRODUCT((Raw_Data_Daily!$B$2:$B$9999="Variant")*(Raw_Data_Daily!$A$2:$A$9999=$A20)*(Raw_Data_Daily!$C$2:$C$9999=$C$3)*Raw_Data_Daily!$D$2:$D$9999*Raw_Data_Daily!$AN$2:$AN$9999)/SUMIFS(Raw_Data_Daily!$D:$D, Raw_Data_Daily!$B:$B, "Variant", Raw_Data_Daily!$A:$A, $A20, Raw_Data_Daily!$C:$C, $C$3),""))</f>
        <v/>
      </c>
      <c r="DK20" s="235"/>
      <c r="DL20" s="234"/>
      <c r="DM20" s="227" t="str">
        <f>IF($A20="","",IFERROR(SUMPRODUCT((Raw_Data_Daily!$B$2:$B$9999="Variant")*(Raw_Data_Daily!$A$2:$A$9999=$A20)*(Raw_Data_Daily!$C$2:$C$9999=$C$3)*Raw_Data_Daily!$D$2:$D$9999*Raw_Data_Daily!$AO$2:$AO$9999)/SUMIFS(Raw_Data_Daily!$D:$D, Raw_Data_Daily!$B:$B, "Variant", Raw_Data_Daily!$A:$A, $A20, Raw_Data_Daily!$C:$C, $C$3),""))</f>
        <v/>
      </c>
      <c r="DN20" s="235"/>
      <c r="DO20" s="234"/>
      <c r="DP20" s="227" t="str">
        <f>IF($A20="","",IFERROR(SUMPRODUCT((Raw_Data_Daily!$B$2:$B$9999="Variant")*(Raw_Data_Daily!$A$2:$A$9999=$A20)*(Raw_Data_Daily!$C$2:$C$9999=$C$3)*Raw_Data_Daily!$D$2:$D$9999*Raw_Data_Daily!$AP$2:$AP$9999)/SUMIFS(Raw_Data_Daily!$D:$D, Raw_Data_Daily!$B:$B, "Variant", Raw_Data_Daily!$A:$A, $A20, Raw_Data_Daily!$C:$C, $C$3),""))</f>
        <v/>
      </c>
      <c r="DQ20" s="235"/>
      <c r="DR20" s="232" t="str">
        <f>IF($A20="","",IFERROR(SUMPRODUCT((Raw_Data_Daily!$B$2:$B$9999="Control")*(Raw_Data_Daily!$A$2:$A$9999=$A20)*(Raw_Data_Daily!$C$2:$C$9999=$C$3)*Raw_Data_Daily!$D$2:$D$9999*Raw_Data_Daily!$AQ$2:$AQ$9999)/SUMIFS(Raw_Data_Daily!$D:$D, Raw_Data_Daily!$B:$B, "Control", Raw_Data_Daily!$A:$A, $A20, Raw_Data_Daily!$C:$C, $C$3),""))</f>
        <v/>
      </c>
      <c r="DS20" s="232" t="str">
        <f>IF($A20="","",IFERROR(SUMPRODUCT((Raw_Data_Daily!$B$2:$B$9999="Variant")*(Raw_Data_Daily!$A$2:$A$9999=$A20)*(Raw_Data_Daily!$C$2:$C$9999=$C$3)*Raw_Data_Daily!$D$2:$D$9999*Raw_Data_Daily!$AQ$2:$AQ$9999)/SUMIFS(Raw_Data_Daily!$D:$D, Raw_Data_Daily!$B:$B, "Variant", Raw_Data_Daily!$A:$A, $A20, Raw_Data_Daily!$C:$C, $C$3),""))</f>
        <v/>
      </c>
      <c r="DT20" s="236" t="str">
        <f t="shared" si="37"/>
        <v/>
      </c>
      <c r="DU20" s="232" t="str">
        <f>IF($A20="","",IFERROR(SUMPRODUCT((Raw_Data_Daily!$B$2:$B$9999="Control")*(Raw_Data_Daily!$A$2:$A$9999=$A20)*(Raw_Data_Daily!$C$2:$C$9999=$C$3)*Raw_Data_Daily!$D$2:$D$9999*Raw_Data_Daily!$AR$2:$AR$9999)/SUMIFS(Raw_Data_Daily!$D:$D, Raw_Data_Daily!$B:$B, "Control", Raw_Data_Daily!$A:$A, $A20, Raw_Data_Daily!$C:$C, $C$3),""))</f>
        <v/>
      </c>
      <c r="DV20" s="232" t="str">
        <f>IF($A20="","",IFERROR(SUMPRODUCT((Raw_Data_Daily!$B$2:$B$9999="Variant")*(Raw_Data_Daily!$A$2:$A$9999=$A20)*(Raw_Data_Daily!$C$2:$C$9999=$C$3)*Raw_Data_Daily!$D$2:$D$9999*Raw_Data_Daily!$AR$2:$AR$9999)/SUMIFS(Raw_Data_Daily!$D:$D, Raw_Data_Daily!$B:$B, "Variant", Raw_Data_Daily!$A:$A, $A20, Raw_Data_Daily!$C:$C, $C$3),""))</f>
        <v/>
      </c>
      <c r="DW20" s="236" t="str">
        <f t="shared" si="38"/>
        <v/>
      </c>
      <c r="DX20" s="232" t="str">
        <f>IF($A20="","",IFERROR(SUMPRODUCT((Raw_Data_Daily!$B$2:$B$9999="Control")*(Raw_Data_Daily!$A$2:$A$9999=$A20)*(Raw_Data_Daily!$C$2:$C$9999=$C$3)*Raw_Data_Daily!$D$2:$D$9999*Raw_Data_Daily!$AS$2:$AS$9999)/SUMIFS(Raw_Data_Daily!$D:$D, Raw_Data_Daily!$B:$B, "Control", Raw_Data_Daily!$A:$A, $A20, Raw_Data_Daily!$C:$C, $C$3),""))</f>
        <v/>
      </c>
      <c r="DY20" s="232" t="str">
        <f>IF($A20="","",IFERROR(SUMPRODUCT((Raw_Data_Daily!$B$2:$B$9999="Variant")*(Raw_Data_Daily!$A$2:$A$9999=$A20)*(Raw_Data_Daily!$C$2:$C$9999=$C$3)*Raw_Data_Daily!$D$2:$D$9999*Raw_Data_Daily!$AS$2:$AS$9999)/SUMIFS(Raw_Data_Daily!$D:$D, Raw_Data_Daily!$B:$B, "Variant", Raw_Data_Daily!$A:$A, $A20, Raw_Data_Daily!$C:$C, $C$3),""))</f>
        <v/>
      </c>
      <c r="DZ20" s="236" t="str">
        <f t="shared" si="39"/>
        <v/>
      </c>
      <c r="EA20" s="232" t="str">
        <f>IF($A20="","",IFERROR(SUMPRODUCT((Raw_Data_Daily!$B$2:$B$9999="Control")*(Raw_Data_Daily!$A$2:$A$9999=$A20)*(Raw_Data_Daily!$C$2:$C$9999=$C$3)*Raw_Data_Daily!$D$2:$D$9999*Raw_Data_Daily!$AT$2:$AT$9999)/SUMIFS(Raw_Data_Daily!$D:$D, Raw_Data_Daily!$B:$B, "Control", Raw_Data_Daily!$A:$A, $A20, Raw_Data_Daily!$C:$C, $C$3),""))</f>
        <v/>
      </c>
      <c r="EB20" s="232" t="str">
        <f>IF($A20="","",IFERROR(SUMPRODUCT((Raw_Data_Daily!$B$2:$B$9999="Variant")*(Raw_Data_Daily!$A$2:$A$9999=$A20)*(Raw_Data_Daily!$C$2:$C$9999=$C$3)*Raw_Data_Daily!$D$2:$D$9999*Raw_Data_Daily!$AT$2:$AT$9999)/SUMIFS(Raw_Data_Daily!$D:$D, Raw_Data_Daily!$B:$B, "Variant", Raw_Data_Daily!$A:$A, $A20, Raw_Data_Daily!$C:$C, $C$3),""))</f>
        <v/>
      </c>
      <c r="EC20" s="236" t="str">
        <f t="shared" si="40"/>
        <v/>
      </c>
      <c r="ED20" s="232" t="str">
        <f>IF($A20="","",IFERROR(SUMPRODUCT((Raw_Data_Daily!$B$2:$B$9999="Control")*(Raw_Data_Daily!$A$2:$A$9999=$A20)*(Raw_Data_Daily!$C$2:$C$9999=$C$3)*Raw_Data_Daily!$D$2:$D$9999*(Raw_Data_Daily!$AQ$2:$AQ$9999-Raw_Data_Daily!$AT$2:$AT$9999))/SUMIFS(Raw_Data_Daily!$D:$D, Raw_Data_Daily!$B:$B, "Control", Raw_Data_Daily!$A:$A, $A20, Raw_Data_Daily!$C:$C, $C$3),""))</f>
        <v/>
      </c>
      <c r="EE20" s="232" t="str">
        <f>IF($A20="","",IFERROR(SUMPRODUCT((Raw_Data_Daily!$B$2:$B$9999="Variant")*(Raw_Data_Daily!$A$2:$A$9999=$A20)*(Raw_Data_Daily!$C$2:$C$9999=$C$3)*Raw_Data_Daily!$D$2:$D$9999*(Raw_Data_Daily!$AQ$2:$AQ$9999-Raw_Data_Daily!$AT$2:$AT$9999))/SUMIFS(Raw_Data_Daily!$D:$D, Raw_Data_Daily!$B:$B, "Variant", Raw_Data_Daily!$A:$A, $A20, Raw_Data_Daily!$C:$C, $C$3),""))</f>
        <v/>
      </c>
      <c r="EF20" s="236" t="str">
        <f t="shared" si="41"/>
        <v/>
      </c>
      <c r="EG20" s="232" t="str">
        <f>IF($A20="","",IFERROR(SUMPRODUCT((Raw_Data_Daily!$B$2:$B$9999="Control")*(Raw_Data_Daily!$A$2:$A$9999=$A20)*(Raw_Data_Daily!$C$2:$C$9999=$C$3)*Raw_Data_Daily!$D$2:$D$9999*Raw_Data_Daily!$AU$2:$AU$9999)/SUMIFS(Raw_Data_Daily!$D:$D, Raw_Data_Daily!$B:$B, "Control", Raw_Data_Daily!$A:$A, $A20, Raw_Data_Daily!$C:$C, $C$3),""))</f>
        <v/>
      </c>
      <c r="EH20" s="232" t="str">
        <f>IF($A20="","",IFERROR(SUMPRODUCT((Raw_Data_Daily!$B$2:$B$9999="Variant")*(Raw_Data_Daily!$A$2:$A$9999=$A20)*(Raw_Data_Daily!$C$2:$C$9999=$C$3)*Raw_Data_Daily!$D$2:$D$9999*Raw_Data_Daily!$AU$2:$AU$9999)/SUMIFS(Raw_Data_Daily!$D:$D, Raw_Data_Daily!$B:$B, "Variant", Raw_Data_Daily!$A:$A, $A20, Raw_Data_Daily!$C:$C, $C$3),""))</f>
        <v/>
      </c>
      <c r="EI20" s="236" t="str">
        <f t="shared" si="42"/>
        <v/>
      </c>
    </row>
    <row r="21" ht="15.75" customHeight="1">
      <c r="A21" s="91">
        <v>46244.0</v>
      </c>
      <c r="B21" s="92">
        <f>IF($A21="","",SUMIFS(Raw_Data_Daily!$D:$D, Raw_Data_Daily!$B:$B, "Control", Raw_Data_Daily!$A:$A, $A21, Raw_Data_Daily!$C:$C, $C$3))</f>
        <v>0</v>
      </c>
      <c r="C21" s="92">
        <f>IF($A21="","",SUMIFS(Raw_Data_Daily!$D:$D, Raw_Data_Daily!$B:$B, "Variant", Raw_Data_Daily!$A:$A, $A21, Raw_Data_Daily!$C:$C, $C$3))</f>
        <v>0</v>
      </c>
      <c r="D21" s="93" t="str">
        <f t="shared" si="1"/>
        <v/>
      </c>
      <c r="E21" s="94" t="str">
        <f>IF($A21="","",IFERROR(SUMPRODUCT((Raw_Data_Daily!$B$2:$B$9999="Control")*(Raw_Data_Daily!$A$2:$A$9999=$A21)*(Raw_Data_Daily!$C$2:$C$9999=$C$3)*Raw_Data_Daily!$D$2:$D$9999*Raw_Data_Daily!$E$2:$E$9999)/SUMIFS(Raw_Data_Daily!$D:$D, Raw_Data_Daily!$B:$B, "Control", Raw_Data_Daily!$A:$A, $A21, Raw_Data_Daily!$C:$C, $C$3),""))</f>
        <v/>
      </c>
      <c r="F21" s="94" t="str">
        <f>IF($A21="","",IFERROR(SUMPRODUCT((Raw_Data_Daily!$B$2:$B$9999="Variant")*(Raw_Data_Daily!$A$2:$A$9999=$A21)*(Raw_Data_Daily!$C$2:$C$9999=$C$3)*Raw_Data_Daily!$D$2:$D$9999*Raw_Data_Daily!$E$2:$E$9999)/SUMIFS(Raw_Data_Daily!$D:$D, Raw_Data_Daily!$B:$B, "Variant", Raw_Data_Daily!$A:$A, $A21, Raw_Data_Daily!$C:$C, $C$3),""))</f>
        <v/>
      </c>
      <c r="G21" s="93" t="str">
        <f t="shared" si="2"/>
        <v/>
      </c>
      <c r="H21" s="95">
        <f>IF($A21="","",SUMIFS(Raw_Data_Daily!$F:$F, Raw_Data_Daily!$B:$B, "Control", Raw_Data_Daily!$A:$A, $A21, Raw_Data_Daily!$C:$C, $C$3))</f>
        <v>0</v>
      </c>
      <c r="I21" s="95">
        <f>IF($A21="","",SUMIFS(Raw_Data_Daily!$F:$F, Raw_Data_Daily!$B:$B, "Variant", Raw_Data_Daily!$A:$A, $A21, Raw_Data_Daily!$C:$C, $C$3))</f>
        <v>0</v>
      </c>
      <c r="J21" s="96" t="str">
        <f t="shared" si="3"/>
        <v/>
      </c>
      <c r="K21" s="97" t="str">
        <f>IF($A21="","",IFERROR(SUMIFS(Raw_Data_Daily!$F:$F, Raw_Data_Daily!$B:$B, "Control", Raw_Data_Daily!$A:$A, $A21, Raw_Data_Daily!$C:$C, $C$3)/SUMIFS(Raw_Data_Daily!$D:$D, Raw_Data_Daily!$B:$B, "Control", Raw_Data_Daily!$A:$A, $A21, Raw_Data_Daily!$C:$C, $C$3),""))</f>
        <v/>
      </c>
      <c r="L21" s="97" t="str">
        <f>IF($A21="","",IFERROR(SUMIFS(Raw_Data_Daily!$F:$F, Raw_Data_Daily!$B:$B, "Variant", Raw_Data_Daily!$A:$A, $A21, Raw_Data_Daily!$C:$C, $C$3)/SUMIFS(Raw_Data_Daily!$D:$D, Raw_Data_Daily!$B:$B, "Variant", Raw_Data_Daily!$A:$A, $A21, Raw_Data_Daily!$C:$C, $C$3),""))</f>
        <v/>
      </c>
      <c r="M21" s="96" t="str">
        <f t="shared" si="4"/>
        <v/>
      </c>
      <c r="N21" s="94" t="str">
        <f>IF($A21="","",IFERROR(SUMPRODUCT((Raw_Data_Daily!$B$2:$B$9999="Control")*(Raw_Data_Daily!$A$2:$A$9999=$A21)*(Raw_Data_Daily!$C$2:$C$9999=$C$3)*Raw_Data_Daily!$D$2:$D$9999*Raw_Data_Daily!$H$2:$H$9999/100)/SUMIFS(Raw_Data_Daily!$D:$D, Raw_Data_Daily!$B:$B, "Control", Raw_Data_Daily!$A:$A, $A21, Raw_Data_Daily!$C:$C, $C$3)*100,""))</f>
        <v/>
      </c>
      <c r="O21" s="94" t="str">
        <f>IF($A21="","",IFERROR(SUMPRODUCT((Raw_Data_Daily!$B$2:$B$9999="Variant")*(Raw_Data_Daily!$A$2:$A$9999=$A21)*(Raw_Data_Daily!$C$2:$C$9999=$C$3)*Raw_Data_Daily!$D$2:$D$9999*Raw_Data_Daily!$H$2:$H$9999/100)/SUMIFS(Raw_Data_Daily!$D:$D, Raw_Data_Daily!$B:$B, "Variant", Raw_Data_Daily!$A:$A, $A21, Raw_Data_Daily!$C:$C, $C$3)*100,""))</f>
        <v/>
      </c>
      <c r="P21" s="96" t="str">
        <f t="shared" si="5"/>
        <v/>
      </c>
      <c r="Q21" s="97" t="str">
        <f>IF($A21="","",IFERROR(SUMIFS(Raw_Data_Daily!$F:$F, Raw_Data_Daily!$B:$B, "Control", Raw_Data_Daily!$A:$A, $A21, Raw_Data_Daily!$C:$C, $C$3)/SUMPRODUCT((Raw_Data_Daily!$B$2:$B$9999="Control")*(Raw_Data_Daily!$A$2:$A$9999=$A21)*(Raw_Data_Daily!$C$2:$C$9999=$C$3)*Raw_Data_Daily!$D$2:$D$9999*Raw_Data_Daily!$H$2:$H$9999/100),""))</f>
        <v/>
      </c>
      <c r="R21" s="97" t="str">
        <f>IF($A21="","",IFERROR(SUMIFS(Raw_Data_Daily!$F:$F, Raw_Data_Daily!$B:$B, "Variant", Raw_Data_Daily!$A:$A, $A21, Raw_Data_Daily!$C:$C, $C$3)/SUMPRODUCT((Raw_Data_Daily!$B$2:$B$9999="Variant")*(Raw_Data_Daily!$A$2:$A$9999=$A21)*(Raw_Data_Daily!$C$2:$C$9999=$C$3)*Raw_Data_Daily!$D$2:$D$9999*Raw_Data_Daily!$H$2:$H$9999/100),""))</f>
        <v/>
      </c>
      <c r="S21" s="96" t="str">
        <f t="shared" si="6"/>
        <v/>
      </c>
      <c r="T21" s="121" t="str">
        <f>IF($A21="","",IFERROR(SUMPRODUCT((Raw_Data_Daily!$B$2:$B$9999="Control")*(Raw_Data_Daily!$A$2:$A$9999=$A21)*(Raw_Data_Daily!$C$2:$C$9999=$C$3)*Raw_Data_Daily!$D$2:$D$9999*Raw_Data_Daily!$J$2:$J$9999)/SUMIFS(Raw_Data_Daily!$D:$D, Raw_Data_Daily!$B:$B, "Control", Raw_Data_Daily!$A:$A, $A21, Raw_Data_Daily!$C:$C, $C$3),""))</f>
        <v/>
      </c>
      <c r="U21" s="121" t="str">
        <f>IF($A21="","",IFERROR(SUMPRODUCT((Raw_Data_Daily!$B$2:$B$9999="Variant")*(Raw_Data_Daily!$A$2:$A$9999=$A21)*(Raw_Data_Daily!$C$2:$C$9999=$C$3)*Raw_Data_Daily!$D$2:$D$9999*Raw_Data_Daily!$J$2:$J$9999)/SUMIFS(Raw_Data_Daily!$D:$D, Raw_Data_Daily!$B:$B, "Variant", Raw_Data_Daily!$A:$A, $A21, Raw_Data_Daily!$C:$C, $C$3),""))</f>
        <v/>
      </c>
      <c r="V21" s="96" t="str">
        <f t="shared" si="7"/>
        <v/>
      </c>
      <c r="W21" s="121" t="str">
        <f>IF($A21="","",IFERROR(SUMPRODUCT((Raw_Data_Daily!$B$2:$B$9999="Control")*(Raw_Data_Daily!$A$2:$A$9999=$A21)*(Raw_Data_Daily!$C$2:$C$9999=$C$3)*Raw_Data_Daily!$D$2:$D$9999*Raw_Data_Daily!$K$2:$K$9999)/SUMIFS(Raw_Data_Daily!$D:$D, Raw_Data_Daily!$B:$B, "Control", Raw_Data_Daily!$A:$A, $A21, Raw_Data_Daily!$C:$C, $C$3),""))</f>
        <v/>
      </c>
      <c r="X21" s="121" t="str">
        <f>IF($A21="","",IFERROR(SUMPRODUCT((Raw_Data_Daily!$B$2:$B$9999="Variant")*(Raw_Data_Daily!$A$2:$A$9999=$A21)*(Raw_Data_Daily!$C$2:$C$9999=$C$3)*Raw_Data_Daily!$D$2:$D$9999*Raw_Data_Daily!$K$2:$K$9999)/SUMIFS(Raw_Data_Daily!$D:$D, Raw_Data_Daily!$B:$B, "Variant", Raw_Data_Daily!$A:$A, $A21, Raw_Data_Daily!$C:$C, $C$3),""))</f>
        <v/>
      </c>
      <c r="Y21" s="96" t="str">
        <f t="shared" si="8"/>
        <v/>
      </c>
      <c r="Z21" s="121" t="str">
        <f>IF($A21="","",IFERROR(SUMPRODUCT((Raw_Data_Daily!$B$2:$B$9999="Control")*(Raw_Data_Daily!$A$2:$A$9999=$A21)*(Raw_Data_Daily!$C$2:$C$9999=$C$3)*Raw_Data_Daily!$D$2:$D$9999*Raw_Data_Daily!$L$2:$L$9999)/SUMIFS(Raw_Data_Daily!$D:$D, Raw_Data_Daily!$B:$B, "Control", Raw_Data_Daily!$A:$A, $A21, Raw_Data_Daily!$C:$C, $C$3),""))</f>
        <v/>
      </c>
      <c r="AA21" s="121" t="str">
        <f>IF($A21="","",IFERROR(SUMPRODUCT((Raw_Data_Daily!$B$2:$B$9999="Variant")*(Raw_Data_Daily!$A$2:$A$9999=$A21)*(Raw_Data_Daily!$C$2:$C$9999=$C$3)*Raw_Data_Daily!$D$2:$D$9999*Raw_Data_Daily!$L$2:$L$9999)/SUMIFS(Raw_Data_Daily!$D:$D, Raw_Data_Daily!$B:$B, "Variant", Raw_Data_Daily!$A:$A, $A21, Raw_Data_Daily!$C:$C, $C$3),""))</f>
        <v/>
      </c>
      <c r="AB21" s="96" t="str">
        <f t="shared" si="9"/>
        <v/>
      </c>
      <c r="AC21" s="139" t="str">
        <f>IF($A21="","",IFERROR(SUMPRODUCT((Raw_Data_Daily!$B$2:$B$9999="Control")*(Raw_Data_Daily!$A$2:$A$9999=$A21)*(Raw_Data_Daily!$C$2:$C$9999=$C$3)*Raw_Data_Daily!$D$2:$D$9999*Raw_Data_Daily!$M$2:$M$9999)/SUMIFS(Raw_Data_Daily!$D:$D, Raw_Data_Daily!$B:$B, "Control", Raw_Data_Daily!$A:$A, $A21, Raw_Data_Daily!$C:$C, $C$3),""))</f>
        <v/>
      </c>
      <c r="AD21" s="139" t="str">
        <f>IF($A21="","",IFERROR(SUMPRODUCT((Raw_Data_Daily!$B$2:$B$9999="Variant")*(Raw_Data_Daily!$A$2:$A$9999=$A21)*(Raw_Data_Daily!$C$2:$C$9999=$C$3)*Raw_Data_Daily!$D$2:$D$9999*Raw_Data_Daily!$M$2:$M$9999)/SUMIFS(Raw_Data_Daily!$D:$D, Raw_Data_Daily!$B:$B, "Variant", Raw_Data_Daily!$A:$A, $A21, Raw_Data_Daily!$C:$C, $C$3),""))</f>
        <v/>
      </c>
      <c r="AE21" s="142" t="str">
        <f t="shared" si="10"/>
        <v/>
      </c>
      <c r="AF21" s="139" t="str">
        <f>IF($A21="","",IFERROR(SUMPRODUCT((Raw_Data_Daily!$B$2:$B$9999="Control")*(Raw_Data_Daily!$A$2:$A$9999=$A21)*(Raw_Data_Daily!$C$2:$C$9999=$C$3)*Raw_Data_Daily!$D$2:$D$9999*Raw_Data_Daily!$N$2:$N$9999)/SUMIFS(Raw_Data_Daily!$D:$D, Raw_Data_Daily!$B:$B, "Control", Raw_Data_Daily!$A:$A, $A21, Raw_Data_Daily!$C:$C, $C$3),""))</f>
        <v/>
      </c>
      <c r="AG21" s="139" t="str">
        <f>IF($A21="","",IFERROR(SUMPRODUCT((Raw_Data_Daily!$B$2:$B$9999="Variant")*(Raw_Data_Daily!$A$2:$A$9999=$A21)*(Raw_Data_Daily!$C$2:$C$9999=$C$3)*Raw_Data_Daily!$D$2:$D$9999*Raw_Data_Daily!$N$2:$N$9999)/SUMIFS(Raw_Data_Daily!$D:$D, Raw_Data_Daily!$B:$B, "Variant", Raw_Data_Daily!$A:$A, $A21, Raw_Data_Daily!$C:$C, $C$3),""))</f>
        <v/>
      </c>
      <c r="AH21" s="142" t="str">
        <f t="shared" si="11"/>
        <v/>
      </c>
      <c r="AI21" s="139" t="str">
        <f>IF($A21="","",IFERROR(SUMPRODUCT((Raw_Data_Daily!$B$2:$B$9999="Control")*(Raw_Data_Daily!$A$2:$A$9999=$A21)*(Raw_Data_Daily!$C$2:$C$9999=$C$3)*Raw_Data_Daily!$D$2:$D$9999*Raw_Data_Daily!$O$2:$O$9999)/SUMIFS(Raw_Data_Daily!$D:$D, Raw_Data_Daily!$B:$B, "Control", Raw_Data_Daily!$A:$A, $A21, Raw_Data_Daily!$C:$C, $C$3),""))</f>
        <v/>
      </c>
      <c r="AJ21" s="139" t="str">
        <f>IF($A21="","",IFERROR(SUMPRODUCT((Raw_Data_Daily!$B$2:$B$9999="Variant")*(Raw_Data_Daily!$A$2:$A$9999=$A21)*(Raw_Data_Daily!$C$2:$C$9999=$C$3)*Raw_Data_Daily!$D$2:$D$9999*Raw_Data_Daily!$O$2:$O$9999)/SUMIFS(Raw_Data_Daily!$D:$D, Raw_Data_Daily!$B:$B, "Variant", Raw_Data_Daily!$A:$A, $A21, Raw_Data_Daily!$C:$C, $C$3),""))</f>
        <v/>
      </c>
      <c r="AK21" s="96" t="str">
        <f t="shared" si="12"/>
        <v/>
      </c>
      <c r="AL21" s="121" t="str">
        <f>IF($A21="","",IFERROR(SUMPRODUCT((Raw_Data_Daily!$B$2:$B$9999="Control")*(Raw_Data_Daily!$A$2:$A$9999=$A21)*(Raw_Data_Daily!$C$2:$C$9999=$C$3)*Raw_Data_Daily!$D$2:$D$9999*Raw_Data_Daily!$P$2:$P$9999)/SUMIFS(Raw_Data_Daily!$D:$D, Raw_Data_Daily!$B:$B, "Control", Raw_Data_Daily!$A:$A, $A21, Raw_Data_Daily!$C:$C, $C$3),""))</f>
        <v/>
      </c>
      <c r="AM21" s="121" t="str">
        <f>IF($A21="","",IFERROR(SUMPRODUCT((Raw_Data_Daily!$B$2:$B$9999="Variant")*(Raw_Data_Daily!$A$2:$A$9999=$A21)*(Raw_Data_Daily!$C$2:$C$9999=$C$3)*Raw_Data_Daily!$D$2:$D$9999*Raw_Data_Daily!$P$2:$P$9999)/SUMIFS(Raw_Data_Daily!$D:$D, Raw_Data_Daily!$B:$B, "Variant", Raw_Data_Daily!$A:$A, $A21, Raw_Data_Daily!$C:$C, $C$3),""))</f>
        <v/>
      </c>
      <c r="AN21" s="96" t="str">
        <f t="shared" si="13"/>
        <v/>
      </c>
      <c r="AO21" s="121" t="str">
        <f>IF($A21="","",IFERROR(SUMPRODUCT((Raw_Data_Daily!$B$2:$B$9999="Control")*(Raw_Data_Daily!$A$2:$A$9999=$A21)*(Raw_Data_Daily!$C$2:$C$9999=$C$3)*Raw_Data_Daily!$D$2:$D$9999*Raw_Data_Daily!$Q$2:$Q$9999)/SUMIFS(Raw_Data_Daily!$D:$D, Raw_Data_Daily!$B:$B, "Control", Raw_Data_Daily!$A:$A, $A21, Raw_Data_Daily!$C:$C, $C$3),""))</f>
        <v/>
      </c>
      <c r="AP21" s="121" t="str">
        <f>IF($A21="","",IFERROR(SUMPRODUCT((Raw_Data_Daily!$B$2:$B$9999="Variant")*(Raw_Data_Daily!$A$2:$A$9999=$A21)*(Raw_Data_Daily!$C$2:$C$9999=$C$3)*Raw_Data_Daily!$D$2:$D$9999*Raw_Data_Daily!$Q$2:$Q$9999)/SUMIFS(Raw_Data_Daily!$D:$D, Raw_Data_Daily!$B:$B, "Variant", Raw_Data_Daily!$A:$A, $A21, Raw_Data_Daily!$C:$C, $C$3),""))</f>
        <v/>
      </c>
      <c r="AQ21" s="93" t="str">
        <f t="shared" si="14"/>
        <v/>
      </c>
      <c r="AR21" s="121" t="str">
        <f>IF($A21="","",IFERROR(SUMPRODUCT((Raw_Data_Daily!$B$2:$B$9999="Control")*(Raw_Data_Daily!$A$2:$A$9999=$A21)*(Raw_Data_Daily!$C$2:$C$9999=$C$3)*Raw_Data_Daily!$D$2:$D$9999*Raw_Data_Daily!$R$2:$R$9999)/SUMIFS(Raw_Data_Daily!$D:$D, Raw_Data_Daily!$B:$B, "Control", Raw_Data_Daily!$A:$A, $A21, Raw_Data_Daily!$C:$C, $C$3),""))</f>
        <v/>
      </c>
      <c r="AS21" s="121" t="str">
        <f>IF($A21="","",IFERROR(SUMPRODUCT((Raw_Data_Daily!$B$2:$B$9999="Variant")*(Raw_Data_Daily!$A$2:$A$9999=$A21)*(Raw_Data_Daily!$C$2:$C$9999=$C$3)*Raw_Data_Daily!$D$2:$D$9999*Raw_Data_Daily!$R$2:$R$9999)/SUMIFS(Raw_Data_Daily!$D:$D, Raw_Data_Daily!$B:$B, "Variant", Raw_Data_Daily!$A:$A, $A21, Raw_Data_Daily!$C:$C, $C$3),""))</f>
        <v/>
      </c>
      <c r="AT21" s="93" t="str">
        <f t="shared" si="15"/>
        <v/>
      </c>
      <c r="AU21" s="121" t="str">
        <f>IF($A21="","",IFERROR(SUMPRODUCT((Raw_Data_Daily!$B$2:$B$9999="Control")*(Raw_Data_Daily!$A$2:$A$9999=$A21)*(Raw_Data_Daily!$C$2:$C$9999=$C$3)*Raw_Data_Daily!$D$2:$D$9999*Raw_Data_Daily!$S$2:$S$9999)/SUMIFS(Raw_Data_Daily!$D:$D, Raw_Data_Daily!$B:$B, "Control", Raw_Data_Daily!$A:$A, $A21, Raw_Data_Daily!$C:$C, $C$3),""))</f>
        <v/>
      </c>
      <c r="AV21" s="121" t="str">
        <f>IF($A21="","",IFERROR(SUMPRODUCT((Raw_Data_Daily!$B$2:$B$9999="Variant")*(Raw_Data_Daily!$A$2:$A$9999=$A21)*(Raw_Data_Daily!$C$2:$C$9999=$C$3)*Raw_Data_Daily!$D$2:$D$9999*Raw_Data_Daily!$S$2:$S$9999)/SUMIFS(Raw_Data_Daily!$D:$D, Raw_Data_Daily!$B:$B, "Variant", Raw_Data_Daily!$A:$A, $A21, Raw_Data_Daily!$C:$C, $C$3),""))</f>
        <v/>
      </c>
      <c r="AW21" s="93" t="str">
        <f t="shared" si="16"/>
        <v/>
      </c>
      <c r="AX21" s="121" t="str">
        <f>IF($A21="","",IFERROR(SUMPRODUCT((Raw_Data_Daily!$B$2:$B$9999="Control")*(Raw_Data_Daily!$A$2:$A$9999=$A21)*(Raw_Data_Daily!$C$2:$C$9999=$C$3)*Raw_Data_Daily!$D$2:$D$9999*Raw_Data_Daily!$T$2:$T$9999)/SUMIFS(Raw_Data_Daily!$D:$D, Raw_Data_Daily!$B:$B, "Control", Raw_Data_Daily!$A:$A, $A21, Raw_Data_Daily!$C:$C, $C$3),""))</f>
        <v/>
      </c>
      <c r="AY21" s="121" t="str">
        <f>IF($A21="","",IFERROR(SUMPRODUCT((Raw_Data_Daily!$B$2:$B$9999="Variant")*(Raw_Data_Daily!$A$2:$A$9999=$A21)*(Raw_Data_Daily!$C$2:$C$9999=$C$3)*Raw_Data_Daily!$D$2:$D$9999*Raw_Data_Daily!$T$2:$T$9999)/SUMIFS(Raw_Data_Daily!$D:$D, Raw_Data_Daily!$B:$B, "Variant", Raw_Data_Daily!$A:$A, $A21, Raw_Data_Daily!$C:$C, $C$3),""))</f>
        <v/>
      </c>
      <c r="AZ21" s="96" t="str">
        <f t="shared" si="17"/>
        <v/>
      </c>
      <c r="BA21" s="121" t="str">
        <f>IF($A21="","",IFERROR(SUMPRODUCT((Raw_Data_Daily!$B$2:$B$9999="Control")*(Raw_Data_Daily!$A$2:$A$9999=$A21)*(Raw_Data_Daily!$C$2:$C$9999=$C$3)*Raw_Data_Daily!$D$2:$D$9999*Raw_Data_Daily!$U$2:$U$9999)/SUMIFS(Raw_Data_Daily!$D:$D, Raw_Data_Daily!$B:$B, "Control", Raw_Data_Daily!$A:$A, $A21, Raw_Data_Daily!$C:$C, $C$3),""))</f>
        <v/>
      </c>
      <c r="BB21" s="121" t="str">
        <f>IF($A21="","",IFERROR(SUMPRODUCT((Raw_Data_Daily!$B$2:$B$9999="Variant")*(Raw_Data_Daily!$A$2:$A$9999=$A21)*(Raw_Data_Daily!$C$2:$C$9999=$C$3)*Raw_Data_Daily!$D$2:$D$9999*Raw_Data_Daily!$U$2:$U$9999)/SUMIFS(Raw_Data_Daily!$D:$D, Raw_Data_Daily!$B:$B, "Variant", Raw_Data_Daily!$A:$A, $A21, Raw_Data_Daily!$C:$C, $C$3),""))</f>
        <v/>
      </c>
      <c r="BC21" s="93" t="str">
        <f t="shared" si="18"/>
        <v/>
      </c>
      <c r="BD21" s="121" t="str">
        <f>IF($A21="","",IFERROR(SUMPRODUCT((Raw_Data_Daily!$B$2:$B$9999="Control")*(Raw_Data_Daily!$A$2:$A$9999=$A21)*(Raw_Data_Daily!$C$2:$C$9999=$C$3)*Raw_Data_Daily!$D$2:$D$9999*Raw_Data_Daily!$V$2:$V$9999)/SUMIFS(Raw_Data_Daily!$D:$D, Raw_Data_Daily!$B:$B, "Control", Raw_Data_Daily!$A:$A, $A21, Raw_Data_Daily!$C:$C, $C$3),""))</f>
        <v/>
      </c>
      <c r="BE21" s="121" t="str">
        <f>IF($A21="","",IFERROR(SUMPRODUCT((Raw_Data_Daily!$B$2:$B$9999="Variant")*(Raw_Data_Daily!$A$2:$A$9999=$A21)*(Raw_Data_Daily!$C$2:$C$9999=$C$3)*Raw_Data_Daily!$D$2:$D$9999*Raw_Data_Daily!$V$2:$V$9999)/SUMIFS(Raw_Data_Daily!$D:$D, Raw_Data_Daily!$B:$B, "Variant", Raw_Data_Daily!$A:$A, $A21, Raw_Data_Daily!$C:$C, $C$3),""))</f>
        <v/>
      </c>
      <c r="BF21" s="93" t="str">
        <f t="shared" si="19"/>
        <v/>
      </c>
      <c r="BG21" s="121" t="str">
        <f>IF($A21="","",IFERROR(SUMPRODUCT((Raw_Data_Daily!$B$2:$B$9999="Control")*(Raw_Data_Daily!$A$2:$A$9999=$A21)*(Raw_Data_Daily!$C$2:$C$9999=$C$3)*Raw_Data_Daily!$D$2:$D$9999*(Raw_Data_Daily!$Q$2:$Q$9999-Raw_Data_Daily!$V$2:$V$9999))/SUMIFS(Raw_Data_Daily!$D:$D, Raw_Data_Daily!$B:$B, "Control", Raw_Data_Daily!$A:$A, $A21, Raw_Data_Daily!$C:$C, $C$3),""))</f>
        <v/>
      </c>
      <c r="BH21" s="121" t="str">
        <f>IF($A21="","",IFERROR(SUMPRODUCT((Raw_Data_Daily!$B$2:$B$9999="Variant")*(Raw_Data_Daily!$A$2:$A$9999=$A21)*(Raw_Data_Daily!$C$2:$C$9999=$C$3)*Raw_Data_Daily!$D$2:$D$9999*(Raw_Data_Daily!$Q$2:$Q$9999-Raw_Data_Daily!$V$2:$V$9999))/SUMIFS(Raw_Data_Daily!$D:$D, Raw_Data_Daily!$B:$B, "Variant", Raw_Data_Daily!$A:$A, $A21, Raw_Data_Daily!$C:$C, $C$3),""))</f>
        <v/>
      </c>
      <c r="BI21" s="93" t="str">
        <f t="shared" si="20"/>
        <v/>
      </c>
      <c r="BJ21" s="121" t="str">
        <f>IF($A21="","",IFERROR(SUMPRODUCT((Raw_Data_Daily!$B$2:$B$9999="Control")*(Raw_Data_Daily!$A$2:$A$9999=$A21)*(Raw_Data_Daily!$C$2:$C$9999=$C$3)*Raw_Data_Daily!$D$2:$D$9999*Raw_Data_Daily!$W$2:$W$9999)/SUMIFS(Raw_Data_Daily!$D:$D, Raw_Data_Daily!$B:$B, "Control", Raw_Data_Daily!$A:$A, $A21, Raw_Data_Daily!$C:$C, $C$3),""))</f>
        <v/>
      </c>
      <c r="BK21" s="121" t="str">
        <f>IF($A21="","",IFERROR(SUMPRODUCT((Raw_Data_Daily!$B$2:$B$9999="Variant")*(Raw_Data_Daily!$A$2:$A$9999=$A21)*(Raw_Data_Daily!$C$2:$C$9999=$C$3)*Raw_Data_Daily!$D$2:$D$9999*Raw_Data_Daily!$W$2:$W$9999)/SUMIFS(Raw_Data_Daily!$D:$D, Raw_Data_Daily!$B:$B, "Variant", Raw_Data_Daily!$A:$A, $A21, Raw_Data_Daily!$C:$C, $C$3),""))</f>
        <v/>
      </c>
      <c r="BL21" s="93" t="str">
        <f t="shared" si="21"/>
        <v/>
      </c>
      <c r="BM21" s="139" t="str">
        <f>IF($A21="","",IFERROR(SUMPRODUCT((Raw_Data_Daily!$B$2:$B$9999="Control")*(Raw_Data_Daily!$A$2:$A$9999=$A21)*(Raw_Data_Daily!$C$2:$C$9999=$C$3)*Raw_Data_Daily!$D$2:$D$9999*Raw_Data_Daily!$X$2:$X$9999)/SUMIFS(Raw_Data_Daily!$D:$D, Raw_Data_Daily!$B:$B, "Control", Raw_Data_Daily!$A:$A, $A21, Raw_Data_Daily!$C:$C, $C$3),""))</f>
        <v/>
      </c>
      <c r="BN21" s="139" t="str">
        <f>IF($A21="","",IFERROR(SUMPRODUCT((Raw_Data_Daily!$B$2:$B$9999="Variant")*(Raw_Data_Daily!$A$2:$A$9999=$A21)*(Raw_Data_Daily!$C$2:$C$9999=$C$3)*Raw_Data_Daily!$D$2:$D$9999*Raw_Data_Daily!$X$2:$X$9999)/SUMIFS(Raw_Data_Daily!$D:$D, Raw_Data_Daily!$B:$B, "Variant", Raw_Data_Daily!$A:$A, $A21, Raw_Data_Daily!$C:$C, $C$3),""))</f>
        <v/>
      </c>
      <c r="BO21" s="96" t="str">
        <f t="shared" si="22"/>
        <v/>
      </c>
      <c r="BP21" s="92" t="str">
        <f>IF($A21="","",IFERROR(SUMPRODUCT((Raw_Data_Daily!$B$2:$B$9999="Control")*(Raw_Data_Daily!$A$2:$A$9999=$A21)*(Raw_Data_Daily!$C$2:$C$9999=$C$3)*Raw_Data_Daily!$D$2:$D$9999*Raw_Data_Daily!$Y$2:$Y$9999)/SUMIFS(Raw_Data_Daily!$D:$D, Raw_Data_Daily!$B:$B, "Control", Raw_Data_Daily!$A:$A, $A21, Raw_Data_Daily!$C:$C, $C$3),""))</f>
        <v/>
      </c>
      <c r="BQ21" s="92" t="str">
        <f>IF($A21="","",IFERROR(SUMPRODUCT((Raw_Data_Daily!$B$2:$B$9999="Variant")*(Raw_Data_Daily!$A$2:$A$9999=$A21)*(Raw_Data_Daily!$C$2:$C$9999=$C$3)*Raw_Data_Daily!$D$2:$D$9999*Raw_Data_Daily!$Y$2:$Y$9999)/SUMIFS(Raw_Data_Daily!$D:$D, Raw_Data_Daily!$B:$B, "Variant", Raw_Data_Daily!$A:$A, $A21, Raw_Data_Daily!$C:$C, $C$3),""))</f>
        <v/>
      </c>
      <c r="BR21" s="93" t="str">
        <f t="shared" si="23"/>
        <v/>
      </c>
      <c r="BS21" s="92" t="str">
        <f>IF($A21="","",IFERROR(SUMPRODUCT((Raw_Data_Daily!$B$2:$B$9999="Control")*(Raw_Data_Daily!$A$2:$A$9999=$A21)*(Raw_Data_Daily!$C$2:$C$9999=$C$3)*Raw_Data_Daily!$D$2:$D$9999*Raw_Data_Daily!$Z$2:$Z$9999)/SUMIFS(Raw_Data_Daily!$D:$D, Raw_Data_Daily!$B:$B, "Control", Raw_Data_Daily!$A:$A, $A21, Raw_Data_Daily!$C:$C, $C$3),""))</f>
        <v/>
      </c>
      <c r="BT21" s="92" t="str">
        <f>IF($A21="","",IFERROR(SUMPRODUCT((Raw_Data_Daily!$B$2:$B$9999="Variant")*(Raw_Data_Daily!$A$2:$A$9999=$A21)*(Raw_Data_Daily!$C$2:$C$9999=$C$3)*Raw_Data_Daily!$D$2:$D$9999*Raw_Data_Daily!$Z$2:$Z$9999)/SUMIFS(Raw_Data_Daily!$D:$D, Raw_Data_Daily!$B:$B, "Variant", Raw_Data_Daily!$A:$A, $A21, Raw_Data_Daily!$C:$C, $C$3),""))</f>
        <v/>
      </c>
      <c r="BU21" s="93" t="str">
        <f t="shared" si="24"/>
        <v/>
      </c>
      <c r="BV21" s="92" t="str">
        <f>IF($A21="","",IFERROR(SUMPRODUCT((Raw_Data_Daily!$B$2:$B$9999="Control")*(Raw_Data_Daily!$A$2:$A$9999=$A21)*(Raw_Data_Daily!$C$2:$C$9999=$C$3)*Raw_Data_Daily!$D$2:$D$9999*Raw_Data_Daily!$AA$2:$AA$9999)/SUMIFS(Raw_Data_Daily!$D:$D, Raw_Data_Daily!$B:$B, "Control", Raw_Data_Daily!$A:$A, $A21, Raw_Data_Daily!$C:$C, $C$3),""))</f>
        <v/>
      </c>
      <c r="BW21" s="92" t="str">
        <f>IF($A21="","",IFERROR(SUMPRODUCT((Raw_Data_Daily!$B$2:$B$9999="Variant")*(Raw_Data_Daily!$A$2:$A$9999=$A21)*(Raw_Data_Daily!$C$2:$C$9999=$C$3)*Raw_Data_Daily!$D$2:$D$9999*Raw_Data_Daily!$AA$2:$AA$9999)/SUMIFS(Raw_Data_Daily!$D:$D, Raw_Data_Daily!$B:$B, "Variant", Raw_Data_Daily!$A:$A, $A21, Raw_Data_Daily!$C:$C, $C$3),""))</f>
        <v/>
      </c>
      <c r="BX21" s="93" t="str">
        <f t="shared" si="25"/>
        <v/>
      </c>
      <c r="BY21" s="121" t="str">
        <f>IF($A21="","",IFERROR(SUMPRODUCT((Raw_Data_Daily!$B$2:$B$9999="Control")*(Raw_Data_Daily!$A$2:$A$9999=$A21)*(Raw_Data_Daily!$C$2:$C$9999=$C$3)*Raw_Data_Daily!$D$2:$D$9999*Raw_Data_Daily!$AB$2:$AB$9999)/SUMIFS(Raw_Data_Daily!$D:$D, Raw_Data_Daily!$B:$B, "Control", Raw_Data_Daily!$A:$A, $A21, Raw_Data_Daily!$C:$C, $C$3),""))</f>
        <v/>
      </c>
      <c r="BZ21" s="121" t="str">
        <f>IF($A21="","",IFERROR(SUMPRODUCT((Raw_Data_Daily!$B$2:$B$9999="Variant")*(Raw_Data_Daily!$A$2:$A$9999=$A21)*(Raw_Data_Daily!$C$2:$C$9999=$C$3)*Raw_Data_Daily!$D$2:$D$9999*Raw_Data_Daily!$AB$2:$AB$9999)/SUMIFS(Raw_Data_Daily!$D:$D, Raw_Data_Daily!$B:$B, "Variant", Raw_Data_Daily!$A:$A, $A21, Raw_Data_Daily!$C:$C, $C$3),""))</f>
        <v/>
      </c>
      <c r="CA21" s="96" t="str">
        <f t="shared" si="26"/>
        <v/>
      </c>
      <c r="CB21" s="121" t="str">
        <f>IF($A21="","",IFERROR(SUMPRODUCT((Raw_Data_Daily!$B$2:$B$9999="Control")*(Raw_Data_Daily!$A$2:$A$9999=$A21)*(Raw_Data_Daily!$C$2:$C$9999=$C$3)*Raw_Data_Daily!$D$2:$D$9999*Raw_Data_Daily!$AC$2:$AC$9999)/SUMIFS(Raw_Data_Daily!$D:$D, Raw_Data_Daily!$B:$B, "Control", Raw_Data_Daily!$A:$A, $A21, Raw_Data_Daily!$C:$C, $C$3),""))</f>
        <v/>
      </c>
      <c r="CC21" s="121" t="str">
        <f>IF($A21="","",IFERROR(SUMPRODUCT((Raw_Data_Daily!$B$2:$B$9999="Variant")*(Raw_Data_Daily!$A$2:$A$9999=$A21)*(Raw_Data_Daily!$C$2:$C$9999=$C$3)*Raw_Data_Daily!$D$2:$D$9999*Raw_Data_Daily!$AC$2:$AC$9999)/SUMIFS(Raw_Data_Daily!$D:$D, Raw_Data_Daily!$B:$B, "Variant", Raw_Data_Daily!$A:$A, $A21, Raw_Data_Daily!$C:$C, $C$3),""))</f>
        <v/>
      </c>
      <c r="CD21" s="96" t="str">
        <f t="shared" si="27"/>
        <v/>
      </c>
      <c r="CE21" s="121" t="str">
        <f>IF($A21="","",IFERROR(SUMPRODUCT((Raw_Data_Daily!$B$2:$B$9999="Control")*(Raw_Data_Daily!$A$2:$A$9999=$A21)*(Raw_Data_Daily!$C$2:$C$9999=$C$3)*Raw_Data_Daily!$D$2:$D$9999*Raw_Data_Daily!$AD$2:$AD$9999)/SUMIFS(Raw_Data_Daily!$D:$D, Raw_Data_Daily!$B:$B, "Control", Raw_Data_Daily!$A:$A, $A21, Raw_Data_Daily!$C:$C, $C$3),""))</f>
        <v/>
      </c>
      <c r="CF21" s="121" t="str">
        <f>IF($A21="","",IFERROR(SUMPRODUCT((Raw_Data_Daily!$B$2:$B$9999="Variant")*(Raw_Data_Daily!$A$2:$A$9999=$A21)*(Raw_Data_Daily!$C$2:$C$9999=$C$3)*Raw_Data_Daily!$D$2:$D$9999*Raw_Data_Daily!$AD$2:$AD$9999)/SUMIFS(Raw_Data_Daily!$D:$D, Raw_Data_Daily!$B:$B, "Variant", Raw_Data_Daily!$A:$A, $A21, Raw_Data_Daily!$C:$C, $C$3),""))</f>
        <v/>
      </c>
      <c r="CG21" s="96" t="str">
        <f t="shared" si="28"/>
        <v/>
      </c>
      <c r="CH21" s="121" t="str">
        <f>IF($A21="","",IFERROR(SUMPRODUCT((Raw_Data_Daily!$B$2:$B$9999="Control")*(Raw_Data_Daily!$A$2:$A$9999=$A21)*(Raw_Data_Daily!$C$2:$C$9999=$C$3)*Raw_Data_Daily!$D$2:$D$9999*Raw_Data_Daily!$AE$2:$AE$9999)/SUMIFS(Raw_Data_Daily!$D:$D, Raw_Data_Daily!$B:$B, "Control", Raw_Data_Daily!$A:$A, $A21, Raw_Data_Daily!$C:$C, $C$3),""))</f>
        <v/>
      </c>
      <c r="CI21" s="121" t="str">
        <f>IF($A21="","",IFERROR(SUMPRODUCT((Raw_Data_Daily!$B$2:$B$9999="Variant")*(Raw_Data_Daily!$A$2:$A$9999=$A21)*(Raw_Data_Daily!$C$2:$C$9999=$C$3)*Raw_Data_Daily!$D$2:$D$9999*Raw_Data_Daily!$AE$2:$AE$9999)/SUMIFS(Raw_Data_Daily!$D:$D, Raw_Data_Daily!$B:$B, "Variant", Raw_Data_Daily!$A:$A, $A21, Raw_Data_Daily!$C:$C, $C$3),""))</f>
        <v/>
      </c>
      <c r="CJ21" s="96" t="str">
        <f t="shared" si="29"/>
        <v/>
      </c>
      <c r="CK21" s="121" t="str">
        <f>IF($A21="","",IFERROR(SUMPRODUCT((Raw_Data_Daily!$B$2:$B$9999="Control")*(Raw_Data_Daily!$A$2:$A$9999=$A21)*(Raw_Data_Daily!$C$2:$C$9999=$C$3)*Raw_Data_Daily!$D$2:$D$9999*Raw_Data_Daily!$AF$2:$AF$9999)/SUMIFS(Raw_Data_Daily!$D:$D, Raw_Data_Daily!$B:$B, "Control", Raw_Data_Daily!$A:$A, $A21, Raw_Data_Daily!$C:$C, $C$3),""))</f>
        <v/>
      </c>
      <c r="CL21" s="121" t="str">
        <f>IF($A21="","",IFERROR(SUMPRODUCT((Raw_Data_Daily!$B$2:$B$9999="Variant")*(Raw_Data_Daily!$A$2:$A$9999=$A21)*(Raw_Data_Daily!$C$2:$C$9999=$C$3)*Raw_Data_Daily!$D$2:$D$9999*Raw_Data_Daily!$AF$2:$AF$9999)/SUMIFS(Raw_Data_Daily!$D:$D, Raw_Data_Daily!$B:$B, "Variant", Raw_Data_Daily!$A:$A, $A21, Raw_Data_Daily!$C:$C, $C$3),""))</f>
        <v/>
      </c>
      <c r="CM21" s="96" t="str">
        <f t="shared" si="30"/>
        <v/>
      </c>
      <c r="CN21" s="121" t="str">
        <f>IF($A21="","",IFERROR(SUMPRODUCT((Raw_Data_Daily!$B$2:$B$9999="Control")*(Raw_Data_Daily!$A$2:$A$9999=$A21)*(Raw_Data_Daily!$C$2:$C$9999=$C$3)*Raw_Data_Daily!$D$2:$D$9999*Raw_Data_Daily!$AG$2:$AG$9999)/SUMIFS(Raw_Data_Daily!$D:$D, Raw_Data_Daily!$B:$B, "Control", Raw_Data_Daily!$A:$A, $A21, Raw_Data_Daily!$C:$C, $C$3),""))</f>
        <v/>
      </c>
      <c r="CO21" s="121" t="str">
        <f>IF($A21="","",IFERROR(SUMPRODUCT((Raw_Data_Daily!$B$2:$B$9999="Variant")*(Raw_Data_Daily!$A$2:$A$9999=$A21)*(Raw_Data_Daily!$C$2:$C$9999=$C$3)*Raw_Data_Daily!$D$2:$D$9999*Raw_Data_Daily!$AG$2:$AG$9999)/SUMIFS(Raw_Data_Daily!$D:$D, Raw_Data_Daily!$B:$B, "Variant", Raw_Data_Daily!$A:$A, $A21, Raw_Data_Daily!$C:$C, $C$3),""))</f>
        <v/>
      </c>
      <c r="CP21" s="96" t="str">
        <f t="shared" si="31"/>
        <v/>
      </c>
      <c r="CQ21" s="121" t="str">
        <f>IF($A21="","",IFERROR(SUMPRODUCT((Raw_Data_Daily!$B$2:$B$9999="Control")*(Raw_Data_Daily!$A$2:$A$9999=$A21)*(Raw_Data_Daily!$C$2:$C$9999=$C$3)*Raw_Data_Daily!$D$2:$D$9999*Raw_Data_Daily!$AH$2:$AH$9999)/SUMIFS(Raw_Data_Daily!$D:$D, Raw_Data_Daily!$B:$B, "Control", Raw_Data_Daily!$A:$A, $A21, Raw_Data_Daily!$C:$C, $C$3),""))</f>
        <v/>
      </c>
      <c r="CR21" s="121" t="str">
        <f>IF($A21="","",IFERROR(SUMPRODUCT((Raw_Data_Daily!$B$2:$B$9999="Variant")*(Raw_Data_Daily!$A$2:$A$9999=$A21)*(Raw_Data_Daily!$C$2:$C$9999=$C$3)*Raw_Data_Daily!$D$2:$D$9999*Raw_Data_Daily!$AH$2:$AH$9999)/SUMIFS(Raw_Data_Daily!$D:$D, Raw_Data_Daily!$B:$B, "Variant", Raw_Data_Daily!$A:$A, $A21, Raw_Data_Daily!$C:$C, $C$3),""))</f>
        <v/>
      </c>
      <c r="CS21" s="96" t="str">
        <f t="shared" si="32"/>
        <v/>
      </c>
      <c r="CT21" s="94" t="str">
        <f>IF($A21="","",IFERROR(SUMPRODUCT((Raw_Data_Daily!$B$2:$B$9999="Control")*(Raw_Data_Daily!$A$2:$A$9999=$A21)*(Raw_Data_Daily!$C$2:$C$9999=$C$3)*Raw_Data_Daily!$D$2:$D$9999*Raw_Data_Daily!$AI$2:$AI$9999)/SUMIFS(Raw_Data_Daily!$D:$D, Raw_Data_Daily!$B:$B, "Control", Raw_Data_Daily!$A:$A, $A21, Raw_Data_Daily!$C:$C, $C$3),""))</f>
        <v/>
      </c>
      <c r="CU21" s="94" t="str">
        <f>IF($A21="","",IFERROR(SUMPRODUCT((Raw_Data_Daily!$B$2:$B$9999="Variant")*(Raw_Data_Daily!$A$2:$A$9999=$A21)*(Raw_Data_Daily!$C$2:$C$9999=$C$3)*Raw_Data_Daily!$D$2:$D$9999*Raw_Data_Daily!$AI$2:$AI$9999)/SUMIFS(Raw_Data_Daily!$D:$D, Raw_Data_Daily!$B:$B, "Variant", Raw_Data_Daily!$A:$A, $A21, Raw_Data_Daily!$C:$C, $C$3),""))</f>
        <v/>
      </c>
      <c r="CV21" s="142" t="str">
        <f t="shared" si="33"/>
        <v/>
      </c>
      <c r="CW21" s="94" t="str">
        <f>IF($A21="","",IFERROR(SUMPRODUCT((Raw_Data_Daily!$B$2:$B$9999="Control")*(Raw_Data_Daily!$A$2:$A$9999=$A21)*(Raw_Data_Daily!$C$2:$C$9999=$C$3)*Raw_Data_Daily!$D$2:$D$9999*Raw_Data_Daily!$AJ$2:$AJ$9999)/SUMIFS(Raw_Data_Daily!$D:$D, Raw_Data_Daily!$B:$B, "Control", Raw_Data_Daily!$A:$A, $A21, Raw_Data_Daily!$C:$C, $C$3),""))</f>
        <v/>
      </c>
      <c r="CX21" s="94" t="str">
        <f>IF($A21="","",IFERROR(SUMPRODUCT((Raw_Data_Daily!$B$2:$B$9999="Variant")*(Raw_Data_Daily!$A$2:$A$9999=$A21)*(Raw_Data_Daily!$C$2:$C$9999=$C$3)*Raw_Data_Daily!$D$2:$D$9999*Raw_Data_Daily!$AJ$2:$AJ$9999)/SUMIFS(Raw_Data_Daily!$D:$D, Raw_Data_Daily!$B:$B, "Variant", Raw_Data_Daily!$A:$A, $A21, Raw_Data_Daily!$C:$C, $C$3),""))</f>
        <v/>
      </c>
      <c r="CY21" s="142" t="str">
        <f t="shared" si="34"/>
        <v/>
      </c>
      <c r="CZ21" s="94" t="str">
        <f>IF($A21="","",IFERROR(SUMPRODUCT((Raw_Data_Daily!$B$2:$B$9999="Control")*(Raw_Data_Daily!$A$2:$A$9999=$A21)*(Raw_Data_Daily!$C$2:$C$9999=$C$3)*Raw_Data_Daily!$D$2:$D$9999*Raw_Data_Daily!$AK$2:$AK$9999)/SUMIFS(Raw_Data_Daily!$D:$D, Raw_Data_Daily!$B:$B, "Control", Raw_Data_Daily!$A:$A, $A21, Raw_Data_Daily!$C:$C, $C$3),""))</f>
        <v/>
      </c>
      <c r="DA21" s="94" t="str">
        <f>IF($A21="","",IFERROR(SUMPRODUCT((Raw_Data_Daily!$B$2:$B$9999="Variant")*(Raw_Data_Daily!$A$2:$A$9999=$A21)*(Raw_Data_Daily!$C$2:$C$9999=$C$3)*Raw_Data_Daily!$D$2:$D$9999*Raw_Data_Daily!$AK$2:$AK$9999)/SUMIFS(Raw_Data_Daily!$D:$D, Raw_Data_Daily!$B:$B, "Variant", Raw_Data_Daily!$A:$A, $A21, Raw_Data_Daily!$C:$C, $C$3),""))</f>
        <v/>
      </c>
      <c r="DB21" s="96" t="str">
        <f t="shared" si="35"/>
        <v/>
      </c>
      <c r="DC21" s="139" t="str">
        <f>IF($A21="","",IFERROR(SUMPRODUCT((Raw_Data_Daily!$B$2:$B$9999="Control")*(Raw_Data_Daily!$A$2:$A$9999=$A21)*(Raw_Data_Daily!$C$2:$C$9999=$C$3)*Raw_Data_Daily!$D$2:$D$9999*Raw_Data_Daily!$AL$2:$AL$9999)/SUMIFS(Raw_Data_Daily!$D:$D, Raw_Data_Daily!$B:$B, "Control", Raw_Data_Daily!$A:$A, $A21, Raw_Data_Daily!$C:$C, $C$3),""))</f>
        <v/>
      </c>
      <c r="DD21" s="139" t="str">
        <f>IF($A21="","",IFERROR(SUMPRODUCT((Raw_Data_Daily!$B$2:$B$9999="Variant")*(Raw_Data_Daily!$A$2:$A$9999=$A21)*(Raw_Data_Daily!$C$2:$C$9999=$C$3)*Raw_Data_Daily!$D$2:$D$9999*Raw_Data_Daily!$AL$2:$AL$9999)/SUMIFS(Raw_Data_Daily!$D:$D, Raw_Data_Daily!$B:$B, "Variant", Raw_Data_Daily!$A:$A, $A21, Raw_Data_Daily!$C:$C, $C$3),""))</f>
        <v/>
      </c>
      <c r="DE21" s="142" t="str">
        <f t="shared" si="36"/>
        <v/>
      </c>
      <c r="DF21" s="168"/>
      <c r="DG21" s="94" t="str">
        <f>IF($A21="","",IFERROR(SUMPRODUCT((Raw_Data_Daily!$B$2:$B$9999="Variant")*(Raw_Data_Daily!$A$2:$A$9999=$A21)*(Raw_Data_Daily!$C$2:$C$9999=$C$3)*Raw_Data_Daily!$D$2:$D$9999*Raw_Data_Daily!$AM$2:$AM$9999)/SUMIFS(Raw_Data_Daily!$D:$D, Raw_Data_Daily!$B:$B, "Variant", Raw_Data_Daily!$A:$A, $A21, Raw_Data_Daily!$C:$C, $C$3),""))</f>
        <v/>
      </c>
      <c r="DH21" s="169"/>
      <c r="DI21" s="168"/>
      <c r="DJ21" s="94" t="str">
        <f>IF($A21="","",IFERROR(SUMPRODUCT((Raw_Data_Daily!$B$2:$B$9999="Variant")*(Raw_Data_Daily!$A$2:$A$9999=$A21)*(Raw_Data_Daily!$C$2:$C$9999=$C$3)*Raw_Data_Daily!$D$2:$D$9999*Raw_Data_Daily!$AN$2:$AN$9999)/SUMIFS(Raw_Data_Daily!$D:$D, Raw_Data_Daily!$B:$B, "Variant", Raw_Data_Daily!$A:$A, $A21, Raw_Data_Daily!$C:$C, $C$3),""))</f>
        <v/>
      </c>
      <c r="DK21" s="169"/>
      <c r="DL21" s="168"/>
      <c r="DM21" s="94" t="str">
        <f>IF($A21="","",IFERROR(SUMPRODUCT((Raw_Data_Daily!$B$2:$B$9999="Variant")*(Raw_Data_Daily!$A$2:$A$9999=$A21)*(Raw_Data_Daily!$C$2:$C$9999=$C$3)*Raw_Data_Daily!$D$2:$D$9999*Raw_Data_Daily!$AO$2:$AO$9999)/SUMIFS(Raw_Data_Daily!$D:$D, Raw_Data_Daily!$B:$B, "Variant", Raw_Data_Daily!$A:$A, $A21, Raw_Data_Daily!$C:$C, $C$3),""))</f>
        <v/>
      </c>
      <c r="DN21" s="169"/>
      <c r="DO21" s="168"/>
      <c r="DP21" s="94" t="str">
        <f>IF($A21="","",IFERROR(SUMPRODUCT((Raw_Data_Daily!$B$2:$B$9999="Variant")*(Raw_Data_Daily!$A$2:$A$9999=$A21)*(Raw_Data_Daily!$C$2:$C$9999=$C$3)*Raw_Data_Daily!$D$2:$D$9999*Raw_Data_Daily!$AP$2:$AP$9999)/SUMIFS(Raw_Data_Daily!$D:$D, Raw_Data_Daily!$B:$B, "Variant", Raw_Data_Daily!$A:$A, $A21, Raw_Data_Daily!$C:$C, $C$3),""))</f>
        <v/>
      </c>
      <c r="DQ21" s="169"/>
      <c r="DR21" s="139" t="str">
        <f>IF($A21="","",IFERROR(SUMPRODUCT((Raw_Data_Daily!$B$2:$B$9999="Control")*(Raw_Data_Daily!$A$2:$A$9999=$A21)*(Raw_Data_Daily!$C$2:$C$9999=$C$3)*Raw_Data_Daily!$D$2:$D$9999*Raw_Data_Daily!$AQ$2:$AQ$9999)/SUMIFS(Raw_Data_Daily!$D:$D, Raw_Data_Daily!$B:$B, "Control", Raw_Data_Daily!$A:$A, $A21, Raw_Data_Daily!$C:$C, $C$3),""))</f>
        <v/>
      </c>
      <c r="DS21" s="139" t="str">
        <f>IF($A21="","",IFERROR(SUMPRODUCT((Raw_Data_Daily!$B$2:$B$9999="Variant")*(Raw_Data_Daily!$A$2:$A$9999=$A21)*(Raw_Data_Daily!$C$2:$C$9999=$C$3)*Raw_Data_Daily!$D$2:$D$9999*Raw_Data_Daily!$AQ$2:$AQ$9999)/SUMIFS(Raw_Data_Daily!$D:$D, Raw_Data_Daily!$B:$B, "Variant", Raw_Data_Daily!$A:$A, $A21, Raw_Data_Daily!$C:$C, $C$3),""))</f>
        <v/>
      </c>
      <c r="DT21" s="173" t="str">
        <f t="shared" si="37"/>
        <v/>
      </c>
      <c r="DU21" s="139" t="str">
        <f>IF($A21="","",IFERROR(SUMPRODUCT((Raw_Data_Daily!$B$2:$B$9999="Control")*(Raw_Data_Daily!$A$2:$A$9999=$A21)*(Raw_Data_Daily!$C$2:$C$9999=$C$3)*Raw_Data_Daily!$D$2:$D$9999*Raw_Data_Daily!$AR$2:$AR$9999)/SUMIFS(Raw_Data_Daily!$D:$D, Raw_Data_Daily!$B:$B, "Control", Raw_Data_Daily!$A:$A, $A21, Raw_Data_Daily!$C:$C, $C$3),""))</f>
        <v/>
      </c>
      <c r="DV21" s="139" t="str">
        <f>IF($A21="","",IFERROR(SUMPRODUCT((Raw_Data_Daily!$B$2:$B$9999="Variant")*(Raw_Data_Daily!$A$2:$A$9999=$A21)*(Raw_Data_Daily!$C$2:$C$9999=$C$3)*Raw_Data_Daily!$D$2:$D$9999*Raw_Data_Daily!$AR$2:$AR$9999)/SUMIFS(Raw_Data_Daily!$D:$D, Raw_Data_Daily!$B:$B, "Variant", Raw_Data_Daily!$A:$A, $A21, Raw_Data_Daily!$C:$C, $C$3),""))</f>
        <v/>
      </c>
      <c r="DW21" s="173" t="str">
        <f t="shared" si="38"/>
        <v/>
      </c>
      <c r="DX21" s="139" t="str">
        <f>IF($A21="","",IFERROR(SUMPRODUCT((Raw_Data_Daily!$B$2:$B$9999="Control")*(Raw_Data_Daily!$A$2:$A$9999=$A21)*(Raw_Data_Daily!$C$2:$C$9999=$C$3)*Raw_Data_Daily!$D$2:$D$9999*Raw_Data_Daily!$AS$2:$AS$9999)/SUMIFS(Raw_Data_Daily!$D:$D, Raw_Data_Daily!$B:$B, "Control", Raw_Data_Daily!$A:$A, $A21, Raw_Data_Daily!$C:$C, $C$3),""))</f>
        <v/>
      </c>
      <c r="DY21" s="139" t="str">
        <f>IF($A21="","",IFERROR(SUMPRODUCT((Raw_Data_Daily!$B$2:$B$9999="Variant")*(Raw_Data_Daily!$A$2:$A$9999=$A21)*(Raw_Data_Daily!$C$2:$C$9999=$C$3)*Raw_Data_Daily!$D$2:$D$9999*Raw_Data_Daily!$AS$2:$AS$9999)/SUMIFS(Raw_Data_Daily!$D:$D, Raw_Data_Daily!$B:$B, "Variant", Raw_Data_Daily!$A:$A, $A21, Raw_Data_Daily!$C:$C, $C$3),""))</f>
        <v/>
      </c>
      <c r="DZ21" s="174" t="str">
        <f t="shared" si="39"/>
        <v/>
      </c>
      <c r="EA21" s="139" t="str">
        <f>IF($A21="","",IFERROR(SUMPRODUCT((Raw_Data_Daily!$B$2:$B$9999="Control")*(Raw_Data_Daily!$A$2:$A$9999=$A21)*(Raw_Data_Daily!$C$2:$C$9999=$C$3)*Raw_Data_Daily!$D$2:$D$9999*Raw_Data_Daily!$AT$2:$AT$9999)/SUMIFS(Raw_Data_Daily!$D:$D, Raw_Data_Daily!$B:$B, "Control", Raw_Data_Daily!$A:$A, $A21, Raw_Data_Daily!$C:$C, $C$3),""))</f>
        <v/>
      </c>
      <c r="EB21" s="139" t="str">
        <f>IF($A21="","",IFERROR(SUMPRODUCT((Raw_Data_Daily!$B$2:$B$9999="Variant")*(Raw_Data_Daily!$A$2:$A$9999=$A21)*(Raw_Data_Daily!$C$2:$C$9999=$C$3)*Raw_Data_Daily!$D$2:$D$9999*Raw_Data_Daily!$AT$2:$AT$9999)/SUMIFS(Raw_Data_Daily!$D:$D, Raw_Data_Daily!$B:$B, "Variant", Raw_Data_Daily!$A:$A, $A21, Raw_Data_Daily!$C:$C, $C$3),""))</f>
        <v/>
      </c>
      <c r="EC21" s="173" t="str">
        <f t="shared" si="40"/>
        <v/>
      </c>
      <c r="ED21" s="139" t="str">
        <f>IF($A21="","",IFERROR(SUMPRODUCT((Raw_Data_Daily!$B$2:$B$9999="Control")*(Raw_Data_Daily!$A$2:$A$9999=$A21)*(Raw_Data_Daily!$C$2:$C$9999=$C$3)*Raw_Data_Daily!$D$2:$D$9999*(Raw_Data_Daily!$AQ$2:$AQ$9999-Raw_Data_Daily!$AT$2:$AT$9999))/SUMIFS(Raw_Data_Daily!$D:$D, Raw_Data_Daily!$B:$B, "Control", Raw_Data_Daily!$A:$A, $A21, Raw_Data_Daily!$C:$C, $C$3),""))</f>
        <v/>
      </c>
      <c r="EE21" s="139" t="str">
        <f>IF($A21="","",IFERROR(SUMPRODUCT((Raw_Data_Daily!$B$2:$B$9999="Variant")*(Raw_Data_Daily!$A$2:$A$9999=$A21)*(Raw_Data_Daily!$C$2:$C$9999=$C$3)*Raw_Data_Daily!$D$2:$D$9999*(Raw_Data_Daily!$AQ$2:$AQ$9999-Raw_Data_Daily!$AT$2:$AT$9999))/SUMIFS(Raw_Data_Daily!$D:$D, Raw_Data_Daily!$B:$B, "Variant", Raw_Data_Daily!$A:$A, $A21, Raw_Data_Daily!$C:$C, $C$3),""))</f>
        <v/>
      </c>
      <c r="EF21" s="174" t="str">
        <f t="shared" si="41"/>
        <v/>
      </c>
      <c r="EG21" s="139" t="str">
        <f>IF($A21="","",IFERROR(SUMPRODUCT((Raw_Data_Daily!$B$2:$B$9999="Control")*(Raw_Data_Daily!$A$2:$A$9999=$A21)*(Raw_Data_Daily!$C$2:$C$9999=$C$3)*Raw_Data_Daily!$D$2:$D$9999*Raw_Data_Daily!$AU$2:$AU$9999)/SUMIFS(Raw_Data_Daily!$D:$D, Raw_Data_Daily!$B:$B, "Control", Raw_Data_Daily!$A:$A, $A21, Raw_Data_Daily!$C:$C, $C$3),""))</f>
        <v/>
      </c>
      <c r="EH21" s="139" t="str">
        <f>IF($A21="","",IFERROR(SUMPRODUCT((Raw_Data_Daily!$B$2:$B$9999="Variant")*(Raw_Data_Daily!$A$2:$A$9999=$A21)*(Raw_Data_Daily!$C$2:$C$9999=$C$3)*Raw_Data_Daily!$D$2:$D$9999*Raw_Data_Daily!$AU$2:$AU$9999)/SUMIFS(Raw_Data_Daily!$D:$D, Raw_Data_Daily!$B:$B, "Variant", Raw_Data_Daily!$A:$A, $A21, Raw_Data_Daily!$C:$C, $C$3),""))</f>
        <v/>
      </c>
      <c r="EI21" s="173" t="str">
        <f t="shared" si="42"/>
        <v/>
      </c>
    </row>
    <row r="22" ht="15.75" customHeight="1">
      <c r="A22" s="91">
        <v>46245.0</v>
      </c>
      <c r="B22" s="92">
        <f>IF($A22="","",SUMIFS(Raw_Data_Daily!$D:$D, Raw_Data_Daily!$B:$B, "Control", Raw_Data_Daily!$A:$A, $A22, Raw_Data_Daily!$C:$C, $C$3))</f>
        <v>0</v>
      </c>
      <c r="C22" s="92">
        <f>IF($A22="","",SUMIFS(Raw_Data_Daily!$D:$D, Raw_Data_Daily!$B:$B, "Variant", Raw_Data_Daily!$A:$A, $A22, Raw_Data_Daily!$C:$C, $C$3))</f>
        <v>0</v>
      </c>
      <c r="D22" s="93" t="str">
        <f t="shared" si="1"/>
        <v/>
      </c>
      <c r="E22" s="94" t="str">
        <f>IF($A22="","",IFERROR(SUMPRODUCT((Raw_Data_Daily!$B$2:$B$9999="Control")*(Raw_Data_Daily!$A$2:$A$9999=$A22)*(Raw_Data_Daily!$C$2:$C$9999=$C$3)*Raw_Data_Daily!$D$2:$D$9999*Raw_Data_Daily!$E$2:$E$9999)/SUMIFS(Raw_Data_Daily!$D:$D, Raw_Data_Daily!$B:$B, "Control", Raw_Data_Daily!$A:$A, $A22, Raw_Data_Daily!$C:$C, $C$3),""))</f>
        <v/>
      </c>
      <c r="F22" s="94" t="str">
        <f>IF($A22="","",IFERROR(SUMPRODUCT((Raw_Data_Daily!$B$2:$B$9999="Variant")*(Raw_Data_Daily!$A$2:$A$9999=$A22)*(Raw_Data_Daily!$C$2:$C$9999=$C$3)*Raw_Data_Daily!$D$2:$D$9999*Raw_Data_Daily!$E$2:$E$9999)/SUMIFS(Raw_Data_Daily!$D:$D, Raw_Data_Daily!$B:$B, "Variant", Raw_Data_Daily!$A:$A, $A22, Raw_Data_Daily!$C:$C, $C$3),""))</f>
        <v/>
      </c>
      <c r="G22" s="93" t="str">
        <f t="shared" si="2"/>
        <v/>
      </c>
      <c r="H22" s="95">
        <f>IF($A22="","",SUMIFS(Raw_Data_Daily!$F:$F, Raw_Data_Daily!$B:$B, "Control", Raw_Data_Daily!$A:$A, $A22, Raw_Data_Daily!$C:$C, $C$3))</f>
        <v>0</v>
      </c>
      <c r="I22" s="95">
        <f>IF($A22="","",SUMIFS(Raw_Data_Daily!$F:$F, Raw_Data_Daily!$B:$B, "Variant", Raw_Data_Daily!$A:$A, $A22, Raw_Data_Daily!$C:$C, $C$3))</f>
        <v>0</v>
      </c>
      <c r="J22" s="96" t="str">
        <f t="shared" si="3"/>
        <v/>
      </c>
      <c r="K22" s="97" t="str">
        <f>IF($A22="","",IFERROR(SUMIFS(Raw_Data_Daily!$F:$F, Raw_Data_Daily!$B:$B, "Control", Raw_Data_Daily!$A:$A, $A22, Raw_Data_Daily!$C:$C, $C$3)/SUMIFS(Raw_Data_Daily!$D:$D, Raw_Data_Daily!$B:$B, "Control", Raw_Data_Daily!$A:$A, $A22, Raw_Data_Daily!$C:$C, $C$3),""))</f>
        <v/>
      </c>
      <c r="L22" s="97" t="str">
        <f>IF($A22="","",IFERROR(SUMIFS(Raw_Data_Daily!$F:$F, Raw_Data_Daily!$B:$B, "Variant", Raw_Data_Daily!$A:$A, $A22, Raw_Data_Daily!$C:$C, $C$3)/SUMIFS(Raw_Data_Daily!$D:$D, Raw_Data_Daily!$B:$B, "Variant", Raw_Data_Daily!$A:$A, $A22, Raw_Data_Daily!$C:$C, $C$3),""))</f>
        <v/>
      </c>
      <c r="M22" s="96" t="str">
        <f t="shared" si="4"/>
        <v/>
      </c>
      <c r="N22" s="94" t="str">
        <f>IF($A22="","",IFERROR(SUMPRODUCT((Raw_Data_Daily!$B$2:$B$9999="Control")*(Raw_Data_Daily!$A$2:$A$9999=$A22)*(Raw_Data_Daily!$C$2:$C$9999=$C$3)*Raw_Data_Daily!$D$2:$D$9999*Raw_Data_Daily!$H$2:$H$9999/100)/SUMIFS(Raw_Data_Daily!$D:$D, Raw_Data_Daily!$B:$B, "Control", Raw_Data_Daily!$A:$A, $A22, Raw_Data_Daily!$C:$C, $C$3)*100,""))</f>
        <v/>
      </c>
      <c r="O22" s="94" t="str">
        <f>IF($A22="","",IFERROR(SUMPRODUCT((Raw_Data_Daily!$B$2:$B$9999="Variant")*(Raw_Data_Daily!$A$2:$A$9999=$A22)*(Raw_Data_Daily!$C$2:$C$9999=$C$3)*Raw_Data_Daily!$D$2:$D$9999*Raw_Data_Daily!$H$2:$H$9999/100)/SUMIFS(Raw_Data_Daily!$D:$D, Raw_Data_Daily!$B:$B, "Variant", Raw_Data_Daily!$A:$A, $A22, Raw_Data_Daily!$C:$C, $C$3)*100,""))</f>
        <v/>
      </c>
      <c r="P22" s="96" t="str">
        <f t="shared" si="5"/>
        <v/>
      </c>
      <c r="Q22" s="97" t="str">
        <f>IF($A22="","",IFERROR(SUMIFS(Raw_Data_Daily!$F:$F, Raw_Data_Daily!$B:$B, "Control", Raw_Data_Daily!$A:$A, $A22, Raw_Data_Daily!$C:$C, $C$3)/SUMPRODUCT((Raw_Data_Daily!$B$2:$B$9999="Control")*(Raw_Data_Daily!$A$2:$A$9999=$A22)*(Raw_Data_Daily!$C$2:$C$9999=$C$3)*Raw_Data_Daily!$D$2:$D$9999*Raw_Data_Daily!$H$2:$H$9999/100),""))</f>
        <v/>
      </c>
      <c r="R22" s="97" t="str">
        <f>IF($A22="","",IFERROR(SUMIFS(Raw_Data_Daily!$F:$F, Raw_Data_Daily!$B:$B, "Variant", Raw_Data_Daily!$A:$A, $A22, Raw_Data_Daily!$C:$C, $C$3)/SUMPRODUCT((Raw_Data_Daily!$B$2:$B$9999="Variant")*(Raw_Data_Daily!$A$2:$A$9999=$A22)*(Raw_Data_Daily!$C$2:$C$9999=$C$3)*Raw_Data_Daily!$D$2:$D$9999*Raw_Data_Daily!$H$2:$H$9999/100),""))</f>
        <v/>
      </c>
      <c r="S22" s="96" t="str">
        <f t="shared" si="6"/>
        <v/>
      </c>
      <c r="T22" s="121" t="str">
        <f>IF($A22="","",IFERROR(SUMPRODUCT((Raw_Data_Daily!$B$2:$B$9999="Control")*(Raw_Data_Daily!$A$2:$A$9999=$A22)*(Raw_Data_Daily!$C$2:$C$9999=$C$3)*Raw_Data_Daily!$D$2:$D$9999*Raw_Data_Daily!$J$2:$J$9999)/SUMIFS(Raw_Data_Daily!$D:$D, Raw_Data_Daily!$B:$B, "Control", Raw_Data_Daily!$A:$A, $A22, Raw_Data_Daily!$C:$C, $C$3),""))</f>
        <v/>
      </c>
      <c r="U22" s="121" t="str">
        <f>IF($A22="","",IFERROR(SUMPRODUCT((Raw_Data_Daily!$B$2:$B$9999="Variant")*(Raw_Data_Daily!$A$2:$A$9999=$A22)*(Raw_Data_Daily!$C$2:$C$9999=$C$3)*Raw_Data_Daily!$D$2:$D$9999*Raw_Data_Daily!$J$2:$J$9999)/SUMIFS(Raw_Data_Daily!$D:$D, Raw_Data_Daily!$B:$B, "Variant", Raw_Data_Daily!$A:$A, $A22, Raw_Data_Daily!$C:$C, $C$3),""))</f>
        <v/>
      </c>
      <c r="V22" s="96" t="str">
        <f t="shared" si="7"/>
        <v/>
      </c>
      <c r="W22" s="121" t="str">
        <f>IF($A22="","",IFERROR(SUMPRODUCT((Raw_Data_Daily!$B$2:$B$9999="Control")*(Raw_Data_Daily!$A$2:$A$9999=$A22)*(Raw_Data_Daily!$C$2:$C$9999=$C$3)*Raw_Data_Daily!$D$2:$D$9999*Raw_Data_Daily!$K$2:$K$9999)/SUMIFS(Raw_Data_Daily!$D:$D, Raw_Data_Daily!$B:$B, "Control", Raw_Data_Daily!$A:$A, $A22, Raw_Data_Daily!$C:$C, $C$3),""))</f>
        <v/>
      </c>
      <c r="X22" s="121" t="str">
        <f>IF($A22="","",IFERROR(SUMPRODUCT((Raw_Data_Daily!$B$2:$B$9999="Variant")*(Raw_Data_Daily!$A$2:$A$9999=$A22)*(Raw_Data_Daily!$C$2:$C$9999=$C$3)*Raw_Data_Daily!$D$2:$D$9999*Raw_Data_Daily!$K$2:$K$9999)/SUMIFS(Raw_Data_Daily!$D:$D, Raw_Data_Daily!$B:$B, "Variant", Raw_Data_Daily!$A:$A, $A22, Raw_Data_Daily!$C:$C, $C$3),""))</f>
        <v/>
      </c>
      <c r="Y22" s="96" t="str">
        <f t="shared" si="8"/>
        <v/>
      </c>
      <c r="Z22" s="121" t="str">
        <f>IF($A22="","",IFERROR(SUMPRODUCT((Raw_Data_Daily!$B$2:$B$9999="Control")*(Raw_Data_Daily!$A$2:$A$9999=$A22)*(Raw_Data_Daily!$C$2:$C$9999=$C$3)*Raw_Data_Daily!$D$2:$D$9999*Raw_Data_Daily!$L$2:$L$9999)/SUMIFS(Raw_Data_Daily!$D:$D, Raw_Data_Daily!$B:$B, "Control", Raw_Data_Daily!$A:$A, $A22, Raw_Data_Daily!$C:$C, $C$3),""))</f>
        <v/>
      </c>
      <c r="AA22" s="121" t="str">
        <f>IF($A22="","",IFERROR(SUMPRODUCT((Raw_Data_Daily!$B$2:$B$9999="Variant")*(Raw_Data_Daily!$A$2:$A$9999=$A22)*(Raw_Data_Daily!$C$2:$C$9999=$C$3)*Raw_Data_Daily!$D$2:$D$9999*Raw_Data_Daily!$L$2:$L$9999)/SUMIFS(Raw_Data_Daily!$D:$D, Raw_Data_Daily!$B:$B, "Variant", Raw_Data_Daily!$A:$A, $A22, Raw_Data_Daily!$C:$C, $C$3),""))</f>
        <v/>
      </c>
      <c r="AB22" s="96" t="str">
        <f t="shared" si="9"/>
        <v/>
      </c>
      <c r="AC22" s="139" t="str">
        <f>IF($A22="","",IFERROR(SUMPRODUCT((Raw_Data_Daily!$B$2:$B$9999="Control")*(Raw_Data_Daily!$A$2:$A$9999=$A22)*(Raw_Data_Daily!$C$2:$C$9999=$C$3)*Raw_Data_Daily!$D$2:$D$9999*Raw_Data_Daily!$M$2:$M$9999)/SUMIFS(Raw_Data_Daily!$D:$D, Raw_Data_Daily!$B:$B, "Control", Raw_Data_Daily!$A:$A, $A22, Raw_Data_Daily!$C:$C, $C$3),""))</f>
        <v/>
      </c>
      <c r="AD22" s="139" t="str">
        <f>IF($A22="","",IFERROR(SUMPRODUCT((Raw_Data_Daily!$B$2:$B$9999="Variant")*(Raw_Data_Daily!$A$2:$A$9999=$A22)*(Raw_Data_Daily!$C$2:$C$9999=$C$3)*Raw_Data_Daily!$D$2:$D$9999*Raw_Data_Daily!$M$2:$M$9999)/SUMIFS(Raw_Data_Daily!$D:$D, Raw_Data_Daily!$B:$B, "Variant", Raw_Data_Daily!$A:$A, $A22, Raw_Data_Daily!$C:$C, $C$3),""))</f>
        <v/>
      </c>
      <c r="AE22" s="142" t="str">
        <f t="shared" si="10"/>
        <v/>
      </c>
      <c r="AF22" s="139" t="str">
        <f>IF($A22="","",IFERROR(SUMPRODUCT((Raw_Data_Daily!$B$2:$B$9999="Control")*(Raw_Data_Daily!$A$2:$A$9999=$A22)*(Raw_Data_Daily!$C$2:$C$9999=$C$3)*Raw_Data_Daily!$D$2:$D$9999*Raw_Data_Daily!$N$2:$N$9999)/SUMIFS(Raw_Data_Daily!$D:$D, Raw_Data_Daily!$B:$B, "Control", Raw_Data_Daily!$A:$A, $A22, Raw_Data_Daily!$C:$C, $C$3),""))</f>
        <v/>
      </c>
      <c r="AG22" s="139" t="str">
        <f>IF($A22="","",IFERROR(SUMPRODUCT((Raw_Data_Daily!$B$2:$B$9999="Variant")*(Raw_Data_Daily!$A$2:$A$9999=$A22)*(Raw_Data_Daily!$C$2:$C$9999=$C$3)*Raw_Data_Daily!$D$2:$D$9999*Raw_Data_Daily!$N$2:$N$9999)/SUMIFS(Raw_Data_Daily!$D:$D, Raw_Data_Daily!$B:$B, "Variant", Raw_Data_Daily!$A:$A, $A22, Raw_Data_Daily!$C:$C, $C$3),""))</f>
        <v/>
      </c>
      <c r="AH22" s="142" t="str">
        <f t="shared" si="11"/>
        <v/>
      </c>
      <c r="AI22" s="139" t="str">
        <f>IF($A22="","",IFERROR(SUMPRODUCT((Raw_Data_Daily!$B$2:$B$9999="Control")*(Raw_Data_Daily!$A$2:$A$9999=$A22)*(Raw_Data_Daily!$C$2:$C$9999=$C$3)*Raw_Data_Daily!$D$2:$D$9999*Raw_Data_Daily!$O$2:$O$9999)/SUMIFS(Raw_Data_Daily!$D:$D, Raw_Data_Daily!$B:$B, "Control", Raw_Data_Daily!$A:$A, $A22, Raw_Data_Daily!$C:$C, $C$3),""))</f>
        <v/>
      </c>
      <c r="AJ22" s="139" t="str">
        <f>IF($A22="","",IFERROR(SUMPRODUCT((Raw_Data_Daily!$B$2:$B$9999="Variant")*(Raw_Data_Daily!$A$2:$A$9999=$A22)*(Raw_Data_Daily!$C$2:$C$9999=$C$3)*Raw_Data_Daily!$D$2:$D$9999*Raw_Data_Daily!$O$2:$O$9999)/SUMIFS(Raw_Data_Daily!$D:$D, Raw_Data_Daily!$B:$B, "Variant", Raw_Data_Daily!$A:$A, $A22, Raw_Data_Daily!$C:$C, $C$3),""))</f>
        <v/>
      </c>
      <c r="AK22" s="96" t="str">
        <f t="shared" si="12"/>
        <v/>
      </c>
      <c r="AL22" s="121" t="str">
        <f>IF($A22="","",IFERROR(SUMPRODUCT((Raw_Data_Daily!$B$2:$B$9999="Control")*(Raw_Data_Daily!$A$2:$A$9999=$A22)*(Raw_Data_Daily!$C$2:$C$9999=$C$3)*Raw_Data_Daily!$D$2:$D$9999*Raw_Data_Daily!$P$2:$P$9999)/SUMIFS(Raw_Data_Daily!$D:$D, Raw_Data_Daily!$B:$B, "Control", Raw_Data_Daily!$A:$A, $A22, Raw_Data_Daily!$C:$C, $C$3),""))</f>
        <v/>
      </c>
      <c r="AM22" s="121" t="str">
        <f>IF($A22="","",IFERROR(SUMPRODUCT((Raw_Data_Daily!$B$2:$B$9999="Variant")*(Raw_Data_Daily!$A$2:$A$9999=$A22)*(Raw_Data_Daily!$C$2:$C$9999=$C$3)*Raw_Data_Daily!$D$2:$D$9999*Raw_Data_Daily!$P$2:$P$9999)/SUMIFS(Raw_Data_Daily!$D:$D, Raw_Data_Daily!$B:$B, "Variant", Raw_Data_Daily!$A:$A, $A22, Raw_Data_Daily!$C:$C, $C$3),""))</f>
        <v/>
      </c>
      <c r="AN22" s="96" t="str">
        <f t="shared" si="13"/>
        <v/>
      </c>
      <c r="AO22" s="121" t="str">
        <f>IF($A22="","",IFERROR(SUMPRODUCT((Raw_Data_Daily!$B$2:$B$9999="Control")*(Raw_Data_Daily!$A$2:$A$9999=$A22)*(Raw_Data_Daily!$C$2:$C$9999=$C$3)*Raw_Data_Daily!$D$2:$D$9999*Raw_Data_Daily!$Q$2:$Q$9999)/SUMIFS(Raw_Data_Daily!$D:$D, Raw_Data_Daily!$B:$B, "Control", Raw_Data_Daily!$A:$A, $A22, Raw_Data_Daily!$C:$C, $C$3),""))</f>
        <v/>
      </c>
      <c r="AP22" s="121" t="str">
        <f>IF($A22="","",IFERROR(SUMPRODUCT((Raw_Data_Daily!$B$2:$B$9999="Variant")*(Raw_Data_Daily!$A$2:$A$9999=$A22)*(Raw_Data_Daily!$C$2:$C$9999=$C$3)*Raw_Data_Daily!$D$2:$D$9999*Raw_Data_Daily!$Q$2:$Q$9999)/SUMIFS(Raw_Data_Daily!$D:$D, Raw_Data_Daily!$B:$B, "Variant", Raw_Data_Daily!$A:$A, $A22, Raw_Data_Daily!$C:$C, $C$3),""))</f>
        <v/>
      </c>
      <c r="AQ22" s="93" t="str">
        <f t="shared" si="14"/>
        <v/>
      </c>
      <c r="AR22" s="121" t="str">
        <f>IF($A22="","",IFERROR(SUMPRODUCT((Raw_Data_Daily!$B$2:$B$9999="Control")*(Raw_Data_Daily!$A$2:$A$9999=$A22)*(Raw_Data_Daily!$C$2:$C$9999=$C$3)*Raw_Data_Daily!$D$2:$D$9999*Raw_Data_Daily!$R$2:$R$9999)/SUMIFS(Raw_Data_Daily!$D:$D, Raw_Data_Daily!$B:$B, "Control", Raw_Data_Daily!$A:$A, $A22, Raw_Data_Daily!$C:$C, $C$3),""))</f>
        <v/>
      </c>
      <c r="AS22" s="121" t="str">
        <f>IF($A22="","",IFERROR(SUMPRODUCT((Raw_Data_Daily!$B$2:$B$9999="Variant")*(Raw_Data_Daily!$A$2:$A$9999=$A22)*(Raw_Data_Daily!$C$2:$C$9999=$C$3)*Raw_Data_Daily!$D$2:$D$9999*Raw_Data_Daily!$R$2:$R$9999)/SUMIFS(Raw_Data_Daily!$D:$D, Raw_Data_Daily!$B:$B, "Variant", Raw_Data_Daily!$A:$A, $A22, Raw_Data_Daily!$C:$C, $C$3),""))</f>
        <v/>
      </c>
      <c r="AT22" s="93" t="str">
        <f t="shared" si="15"/>
        <v/>
      </c>
      <c r="AU22" s="121" t="str">
        <f>IF($A22="","",IFERROR(SUMPRODUCT((Raw_Data_Daily!$B$2:$B$9999="Control")*(Raw_Data_Daily!$A$2:$A$9999=$A22)*(Raw_Data_Daily!$C$2:$C$9999=$C$3)*Raw_Data_Daily!$D$2:$D$9999*Raw_Data_Daily!$S$2:$S$9999)/SUMIFS(Raw_Data_Daily!$D:$D, Raw_Data_Daily!$B:$B, "Control", Raw_Data_Daily!$A:$A, $A22, Raw_Data_Daily!$C:$C, $C$3),""))</f>
        <v/>
      </c>
      <c r="AV22" s="121" t="str">
        <f>IF($A22="","",IFERROR(SUMPRODUCT((Raw_Data_Daily!$B$2:$B$9999="Variant")*(Raw_Data_Daily!$A$2:$A$9999=$A22)*(Raw_Data_Daily!$C$2:$C$9999=$C$3)*Raw_Data_Daily!$D$2:$D$9999*Raw_Data_Daily!$S$2:$S$9999)/SUMIFS(Raw_Data_Daily!$D:$D, Raw_Data_Daily!$B:$B, "Variant", Raw_Data_Daily!$A:$A, $A22, Raw_Data_Daily!$C:$C, $C$3),""))</f>
        <v/>
      </c>
      <c r="AW22" s="93" t="str">
        <f t="shared" si="16"/>
        <v/>
      </c>
      <c r="AX22" s="121" t="str">
        <f>IF($A22="","",IFERROR(SUMPRODUCT((Raw_Data_Daily!$B$2:$B$9999="Control")*(Raw_Data_Daily!$A$2:$A$9999=$A22)*(Raw_Data_Daily!$C$2:$C$9999=$C$3)*Raw_Data_Daily!$D$2:$D$9999*Raw_Data_Daily!$T$2:$T$9999)/SUMIFS(Raw_Data_Daily!$D:$D, Raw_Data_Daily!$B:$B, "Control", Raw_Data_Daily!$A:$A, $A22, Raw_Data_Daily!$C:$C, $C$3),""))</f>
        <v/>
      </c>
      <c r="AY22" s="121" t="str">
        <f>IF($A22="","",IFERROR(SUMPRODUCT((Raw_Data_Daily!$B$2:$B$9999="Variant")*(Raw_Data_Daily!$A$2:$A$9999=$A22)*(Raw_Data_Daily!$C$2:$C$9999=$C$3)*Raw_Data_Daily!$D$2:$D$9999*Raw_Data_Daily!$T$2:$T$9999)/SUMIFS(Raw_Data_Daily!$D:$D, Raw_Data_Daily!$B:$B, "Variant", Raw_Data_Daily!$A:$A, $A22, Raw_Data_Daily!$C:$C, $C$3),""))</f>
        <v/>
      </c>
      <c r="AZ22" s="96" t="str">
        <f t="shared" si="17"/>
        <v/>
      </c>
      <c r="BA22" s="121" t="str">
        <f>IF($A22="","",IFERROR(SUMPRODUCT((Raw_Data_Daily!$B$2:$B$9999="Control")*(Raw_Data_Daily!$A$2:$A$9999=$A22)*(Raw_Data_Daily!$C$2:$C$9999=$C$3)*Raw_Data_Daily!$D$2:$D$9999*Raw_Data_Daily!$U$2:$U$9999)/SUMIFS(Raw_Data_Daily!$D:$D, Raw_Data_Daily!$B:$B, "Control", Raw_Data_Daily!$A:$A, $A22, Raw_Data_Daily!$C:$C, $C$3),""))</f>
        <v/>
      </c>
      <c r="BB22" s="121" t="str">
        <f>IF($A22="","",IFERROR(SUMPRODUCT((Raw_Data_Daily!$B$2:$B$9999="Variant")*(Raw_Data_Daily!$A$2:$A$9999=$A22)*(Raw_Data_Daily!$C$2:$C$9999=$C$3)*Raw_Data_Daily!$D$2:$D$9999*Raw_Data_Daily!$U$2:$U$9999)/SUMIFS(Raw_Data_Daily!$D:$D, Raw_Data_Daily!$B:$B, "Variant", Raw_Data_Daily!$A:$A, $A22, Raw_Data_Daily!$C:$C, $C$3),""))</f>
        <v/>
      </c>
      <c r="BC22" s="93" t="str">
        <f t="shared" si="18"/>
        <v/>
      </c>
      <c r="BD22" s="121" t="str">
        <f>IF($A22="","",IFERROR(SUMPRODUCT((Raw_Data_Daily!$B$2:$B$9999="Control")*(Raw_Data_Daily!$A$2:$A$9999=$A22)*(Raw_Data_Daily!$C$2:$C$9999=$C$3)*Raw_Data_Daily!$D$2:$D$9999*Raw_Data_Daily!$V$2:$V$9999)/SUMIFS(Raw_Data_Daily!$D:$D, Raw_Data_Daily!$B:$B, "Control", Raw_Data_Daily!$A:$A, $A22, Raw_Data_Daily!$C:$C, $C$3),""))</f>
        <v/>
      </c>
      <c r="BE22" s="121" t="str">
        <f>IF($A22="","",IFERROR(SUMPRODUCT((Raw_Data_Daily!$B$2:$B$9999="Variant")*(Raw_Data_Daily!$A$2:$A$9999=$A22)*(Raw_Data_Daily!$C$2:$C$9999=$C$3)*Raw_Data_Daily!$D$2:$D$9999*Raw_Data_Daily!$V$2:$V$9999)/SUMIFS(Raw_Data_Daily!$D:$D, Raw_Data_Daily!$B:$B, "Variant", Raw_Data_Daily!$A:$A, $A22, Raw_Data_Daily!$C:$C, $C$3),""))</f>
        <v/>
      </c>
      <c r="BF22" s="93" t="str">
        <f t="shared" si="19"/>
        <v/>
      </c>
      <c r="BG22" s="121" t="str">
        <f>IF($A22="","",IFERROR(SUMPRODUCT((Raw_Data_Daily!$B$2:$B$9999="Control")*(Raw_Data_Daily!$A$2:$A$9999=$A22)*(Raw_Data_Daily!$C$2:$C$9999=$C$3)*Raw_Data_Daily!$D$2:$D$9999*(Raw_Data_Daily!$Q$2:$Q$9999-Raw_Data_Daily!$V$2:$V$9999))/SUMIFS(Raw_Data_Daily!$D:$D, Raw_Data_Daily!$B:$B, "Control", Raw_Data_Daily!$A:$A, $A22, Raw_Data_Daily!$C:$C, $C$3),""))</f>
        <v/>
      </c>
      <c r="BH22" s="121" t="str">
        <f>IF($A22="","",IFERROR(SUMPRODUCT((Raw_Data_Daily!$B$2:$B$9999="Variant")*(Raw_Data_Daily!$A$2:$A$9999=$A22)*(Raw_Data_Daily!$C$2:$C$9999=$C$3)*Raw_Data_Daily!$D$2:$D$9999*(Raw_Data_Daily!$Q$2:$Q$9999-Raw_Data_Daily!$V$2:$V$9999))/SUMIFS(Raw_Data_Daily!$D:$D, Raw_Data_Daily!$B:$B, "Variant", Raw_Data_Daily!$A:$A, $A22, Raw_Data_Daily!$C:$C, $C$3),""))</f>
        <v/>
      </c>
      <c r="BI22" s="93" t="str">
        <f t="shared" si="20"/>
        <v/>
      </c>
      <c r="BJ22" s="121" t="str">
        <f>IF($A22="","",IFERROR(SUMPRODUCT((Raw_Data_Daily!$B$2:$B$9999="Control")*(Raw_Data_Daily!$A$2:$A$9999=$A22)*(Raw_Data_Daily!$C$2:$C$9999=$C$3)*Raw_Data_Daily!$D$2:$D$9999*Raw_Data_Daily!$W$2:$W$9999)/SUMIFS(Raw_Data_Daily!$D:$D, Raw_Data_Daily!$B:$B, "Control", Raw_Data_Daily!$A:$A, $A22, Raw_Data_Daily!$C:$C, $C$3),""))</f>
        <v/>
      </c>
      <c r="BK22" s="121" t="str">
        <f>IF($A22="","",IFERROR(SUMPRODUCT((Raw_Data_Daily!$B$2:$B$9999="Variant")*(Raw_Data_Daily!$A$2:$A$9999=$A22)*(Raw_Data_Daily!$C$2:$C$9999=$C$3)*Raw_Data_Daily!$D$2:$D$9999*Raw_Data_Daily!$W$2:$W$9999)/SUMIFS(Raw_Data_Daily!$D:$D, Raw_Data_Daily!$B:$B, "Variant", Raw_Data_Daily!$A:$A, $A22, Raw_Data_Daily!$C:$C, $C$3),""))</f>
        <v/>
      </c>
      <c r="BL22" s="93" t="str">
        <f t="shared" si="21"/>
        <v/>
      </c>
      <c r="BM22" s="139" t="str">
        <f>IF($A22="","",IFERROR(SUMPRODUCT((Raw_Data_Daily!$B$2:$B$9999="Control")*(Raw_Data_Daily!$A$2:$A$9999=$A22)*(Raw_Data_Daily!$C$2:$C$9999=$C$3)*Raw_Data_Daily!$D$2:$D$9999*Raw_Data_Daily!$X$2:$X$9999)/SUMIFS(Raw_Data_Daily!$D:$D, Raw_Data_Daily!$B:$B, "Control", Raw_Data_Daily!$A:$A, $A22, Raw_Data_Daily!$C:$C, $C$3),""))</f>
        <v/>
      </c>
      <c r="BN22" s="139" t="str">
        <f>IF($A22="","",IFERROR(SUMPRODUCT((Raw_Data_Daily!$B$2:$B$9999="Variant")*(Raw_Data_Daily!$A$2:$A$9999=$A22)*(Raw_Data_Daily!$C$2:$C$9999=$C$3)*Raw_Data_Daily!$D$2:$D$9999*Raw_Data_Daily!$X$2:$X$9999)/SUMIFS(Raw_Data_Daily!$D:$D, Raw_Data_Daily!$B:$B, "Variant", Raw_Data_Daily!$A:$A, $A22, Raw_Data_Daily!$C:$C, $C$3),""))</f>
        <v/>
      </c>
      <c r="BO22" s="96" t="str">
        <f t="shared" si="22"/>
        <v/>
      </c>
      <c r="BP22" s="92" t="str">
        <f>IF($A22="","",IFERROR(SUMPRODUCT((Raw_Data_Daily!$B$2:$B$9999="Control")*(Raw_Data_Daily!$A$2:$A$9999=$A22)*(Raw_Data_Daily!$C$2:$C$9999=$C$3)*Raw_Data_Daily!$D$2:$D$9999*Raw_Data_Daily!$Y$2:$Y$9999)/SUMIFS(Raw_Data_Daily!$D:$D, Raw_Data_Daily!$B:$B, "Control", Raw_Data_Daily!$A:$A, $A22, Raw_Data_Daily!$C:$C, $C$3),""))</f>
        <v/>
      </c>
      <c r="BQ22" s="92" t="str">
        <f>IF($A22="","",IFERROR(SUMPRODUCT((Raw_Data_Daily!$B$2:$B$9999="Variant")*(Raw_Data_Daily!$A$2:$A$9999=$A22)*(Raw_Data_Daily!$C$2:$C$9999=$C$3)*Raw_Data_Daily!$D$2:$D$9999*Raw_Data_Daily!$Y$2:$Y$9999)/SUMIFS(Raw_Data_Daily!$D:$D, Raw_Data_Daily!$B:$B, "Variant", Raw_Data_Daily!$A:$A, $A22, Raw_Data_Daily!$C:$C, $C$3),""))</f>
        <v/>
      </c>
      <c r="BR22" s="93" t="str">
        <f t="shared" si="23"/>
        <v/>
      </c>
      <c r="BS22" s="92" t="str">
        <f>IF($A22="","",IFERROR(SUMPRODUCT((Raw_Data_Daily!$B$2:$B$9999="Control")*(Raw_Data_Daily!$A$2:$A$9999=$A22)*(Raw_Data_Daily!$C$2:$C$9999=$C$3)*Raw_Data_Daily!$D$2:$D$9999*Raw_Data_Daily!$Z$2:$Z$9999)/SUMIFS(Raw_Data_Daily!$D:$D, Raw_Data_Daily!$B:$B, "Control", Raw_Data_Daily!$A:$A, $A22, Raw_Data_Daily!$C:$C, $C$3),""))</f>
        <v/>
      </c>
      <c r="BT22" s="92" t="str">
        <f>IF($A22="","",IFERROR(SUMPRODUCT((Raw_Data_Daily!$B$2:$B$9999="Variant")*(Raw_Data_Daily!$A$2:$A$9999=$A22)*(Raw_Data_Daily!$C$2:$C$9999=$C$3)*Raw_Data_Daily!$D$2:$D$9999*Raw_Data_Daily!$Z$2:$Z$9999)/SUMIFS(Raw_Data_Daily!$D:$D, Raw_Data_Daily!$B:$B, "Variant", Raw_Data_Daily!$A:$A, $A22, Raw_Data_Daily!$C:$C, $C$3),""))</f>
        <v/>
      </c>
      <c r="BU22" s="93" t="str">
        <f t="shared" si="24"/>
        <v/>
      </c>
      <c r="BV22" s="92" t="str">
        <f>IF($A22="","",IFERROR(SUMPRODUCT((Raw_Data_Daily!$B$2:$B$9999="Control")*(Raw_Data_Daily!$A$2:$A$9999=$A22)*(Raw_Data_Daily!$C$2:$C$9999=$C$3)*Raw_Data_Daily!$D$2:$D$9999*Raw_Data_Daily!$AA$2:$AA$9999)/SUMIFS(Raw_Data_Daily!$D:$D, Raw_Data_Daily!$B:$B, "Control", Raw_Data_Daily!$A:$A, $A22, Raw_Data_Daily!$C:$C, $C$3),""))</f>
        <v/>
      </c>
      <c r="BW22" s="92" t="str">
        <f>IF($A22="","",IFERROR(SUMPRODUCT((Raw_Data_Daily!$B$2:$B$9999="Variant")*(Raw_Data_Daily!$A$2:$A$9999=$A22)*(Raw_Data_Daily!$C$2:$C$9999=$C$3)*Raw_Data_Daily!$D$2:$D$9999*Raw_Data_Daily!$AA$2:$AA$9999)/SUMIFS(Raw_Data_Daily!$D:$D, Raw_Data_Daily!$B:$B, "Variant", Raw_Data_Daily!$A:$A, $A22, Raw_Data_Daily!$C:$C, $C$3),""))</f>
        <v/>
      </c>
      <c r="BX22" s="93" t="str">
        <f t="shared" si="25"/>
        <v/>
      </c>
      <c r="BY22" s="121" t="str">
        <f>IF($A22="","",IFERROR(SUMPRODUCT((Raw_Data_Daily!$B$2:$B$9999="Control")*(Raw_Data_Daily!$A$2:$A$9999=$A22)*(Raw_Data_Daily!$C$2:$C$9999=$C$3)*Raw_Data_Daily!$D$2:$D$9999*Raw_Data_Daily!$AB$2:$AB$9999)/SUMIFS(Raw_Data_Daily!$D:$D, Raw_Data_Daily!$B:$B, "Control", Raw_Data_Daily!$A:$A, $A22, Raw_Data_Daily!$C:$C, $C$3),""))</f>
        <v/>
      </c>
      <c r="BZ22" s="121" t="str">
        <f>IF($A22="","",IFERROR(SUMPRODUCT((Raw_Data_Daily!$B$2:$B$9999="Variant")*(Raw_Data_Daily!$A$2:$A$9999=$A22)*(Raw_Data_Daily!$C$2:$C$9999=$C$3)*Raw_Data_Daily!$D$2:$D$9999*Raw_Data_Daily!$AB$2:$AB$9999)/SUMIFS(Raw_Data_Daily!$D:$D, Raw_Data_Daily!$B:$B, "Variant", Raw_Data_Daily!$A:$A, $A22, Raw_Data_Daily!$C:$C, $C$3),""))</f>
        <v/>
      </c>
      <c r="CA22" s="96" t="str">
        <f t="shared" si="26"/>
        <v/>
      </c>
      <c r="CB22" s="121" t="str">
        <f>IF($A22="","",IFERROR(SUMPRODUCT((Raw_Data_Daily!$B$2:$B$9999="Control")*(Raw_Data_Daily!$A$2:$A$9999=$A22)*(Raw_Data_Daily!$C$2:$C$9999=$C$3)*Raw_Data_Daily!$D$2:$D$9999*Raw_Data_Daily!$AC$2:$AC$9999)/SUMIFS(Raw_Data_Daily!$D:$D, Raw_Data_Daily!$B:$B, "Control", Raw_Data_Daily!$A:$A, $A22, Raw_Data_Daily!$C:$C, $C$3),""))</f>
        <v/>
      </c>
      <c r="CC22" s="121" t="str">
        <f>IF($A22="","",IFERROR(SUMPRODUCT((Raw_Data_Daily!$B$2:$B$9999="Variant")*(Raw_Data_Daily!$A$2:$A$9999=$A22)*(Raw_Data_Daily!$C$2:$C$9999=$C$3)*Raw_Data_Daily!$D$2:$D$9999*Raw_Data_Daily!$AC$2:$AC$9999)/SUMIFS(Raw_Data_Daily!$D:$D, Raw_Data_Daily!$B:$B, "Variant", Raw_Data_Daily!$A:$A, $A22, Raw_Data_Daily!$C:$C, $C$3),""))</f>
        <v/>
      </c>
      <c r="CD22" s="96" t="str">
        <f t="shared" si="27"/>
        <v/>
      </c>
      <c r="CE22" s="121" t="str">
        <f>IF($A22="","",IFERROR(SUMPRODUCT((Raw_Data_Daily!$B$2:$B$9999="Control")*(Raw_Data_Daily!$A$2:$A$9999=$A22)*(Raw_Data_Daily!$C$2:$C$9999=$C$3)*Raw_Data_Daily!$D$2:$D$9999*Raw_Data_Daily!$AD$2:$AD$9999)/SUMIFS(Raw_Data_Daily!$D:$D, Raw_Data_Daily!$B:$B, "Control", Raw_Data_Daily!$A:$A, $A22, Raw_Data_Daily!$C:$C, $C$3),""))</f>
        <v/>
      </c>
      <c r="CF22" s="121" t="str">
        <f>IF($A22="","",IFERROR(SUMPRODUCT((Raw_Data_Daily!$B$2:$B$9999="Variant")*(Raw_Data_Daily!$A$2:$A$9999=$A22)*(Raw_Data_Daily!$C$2:$C$9999=$C$3)*Raw_Data_Daily!$D$2:$D$9999*Raw_Data_Daily!$AD$2:$AD$9999)/SUMIFS(Raw_Data_Daily!$D:$D, Raw_Data_Daily!$B:$B, "Variant", Raw_Data_Daily!$A:$A, $A22, Raw_Data_Daily!$C:$C, $C$3),""))</f>
        <v/>
      </c>
      <c r="CG22" s="96" t="str">
        <f t="shared" si="28"/>
        <v/>
      </c>
      <c r="CH22" s="121" t="str">
        <f>IF($A22="","",IFERROR(SUMPRODUCT((Raw_Data_Daily!$B$2:$B$9999="Control")*(Raw_Data_Daily!$A$2:$A$9999=$A22)*(Raw_Data_Daily!$C$2:$C$9999=$C$3)*Raw_Data_Daily!$D$2:$D$9999*Raw_Data_Daily!$AE$2:$AE$9999)/SUMIFS(Raw_Data_Daily!$D:$D, Raw_Data_Daily!$B:$B, "Control", Raw_Data_Daily!$A:$A, $A22, Raw_Data_Daily!$C:$C, $C$3),""))</f>
        <v/>
      </c>
      <c r="CI22" s="121" t="str">
        <f>IF($A22="","",IFERROR(SUMPRODUCT((Raw_Data_Daily!$B$2:$B$9999="Variant")*(Raw_Data_Daily!$A$2:$A$9999=$A22)*(Raw_Data_Daily!$C$2:$C$9999=$C$3)*Raw_Data_Daily!$D$2:$D$9999*Raw_Data_Daily!$AE$2:$AE$9999)/SUMIFS(Raw_Data_Daily!$D:$D, Raw_Data_Daily!$B:$B, "Variant", Raw_Data_Daily!$A:$A, $A22, Raw_Data_Daily!$C:$C, $C$3),""))</f>
        <v/>
      </c>
      <c r="CJ22" s="96" t="str">
        <f t="shared" si="29"/>
        <v/>
      </c>
      <c r="CK22" s="121" t="str">
        <f>IF($A22="","",IFERROR(SUMPRODUCT((Raw_Data_Daily!$B$2:$B$9999="Control")*(Raw_Data_Daily!$A$2:$A$9999=$A22)*(Raw_Data_Daily!$C$2:$C$9999=$C$3)*Raw_Data_Daily!$D$2:$D$9999*Raw_Data_Daily!$AF$2:$AF$9999)/SUMIFS(Raw_Data_Daily!$D:$D, Raw_Data_Daily!$B:$B, "Control", Raw_Data_Daily!$A:$A, $A22, Raw_Data_Daily!$C:$C, $C$3),""))</f>
        <v/>
      </c>
      <c r="CL22" s="121" t="str">
        <f>IF($A22="","",IFERROR(SUMPRODUCT((Raw_Data_Daily!$B$2:$B$9999="Variant")*(Raw_Data_Daily!$A$2:$A$9999=$A22)*(Raw_Data_Daily!$C$2:$C$9999=$C$3)*Raw_Data_Daily!$D$2:$D$9999*Raw_Data_Daily!$AF$2:$AF$9999)/SUMIFS(Raw_Data_Daily!$D:$D, Raw_Data_Daily!$B:$B, "Variant", Raw_Data_Daily!$A:$A, $A22, Raw_Data_Daily!$C:$C, $C$3),""))</f>
        <v/>
      </c>
      <c r="CM22" s="96" t="str">
        <f t="shared" si="30"/>
        <v/>
      </c>
      <c r="CN22" s="121" t="str">
        <f>IF($A22="","",IFERROR(SUMPRODUCT((Raw_Data_Daily!$B$2:$B$9999="Control")*(Raw_Data_Daily!$A$2:$A$9999=$A22)*(Raw_Data_Daily!$C$2:$C$9999=$C$3)*Raw_Data_Daily!$D$2:$D$9999*Raw_Data_Daily!$AG$2:$AG$9999)/SUMIFS(Raw_Data_Daily!$D:$D, Raw_Data_Daily!$B:$B, "Control", Raw_Data_Daily!$A:$A, $A22, Raw_Data_Daily!$C:$C, $C$3),""))</f>
        <v/>
      </c>
      <c r="CO22" s="121" t="str">
        <f>IF($A22="","",IFERROR(SUMPRODUCT((Raw_Data_Daily!$B$2:$B$9999="Variant")*(Raw_Data_Daily!$A$2:$A$9999=$A22)*(Raw_Data_Daily!$C$2:$C$9999=$C$3)*Raw_Data_Daily!$D$2:$D$9999*Raw_Data_Daily!$AG$2:$AG$9999)/SUMIFS(Raw_Data_Daily!$D:$D, Raw_Data_Daily!$B:$B, "Variant", Raw_Data_Daily!$A:$A, $A22, Raw_Data_Daily!$C:$C, $C$3),""))</f>
        <v/>
      </c>
      <c r="CP22" s="96" t="str">
        <f t="shared" si="31"/>
        <v/>
      </c>
      <c r="CQ22" s="121" t="str">
        <f>IF($A22="","",IFERROR(SUMPRODUCT((Raw_Data_Daily!$B$2:$B$9999="Control")*(Raw_Data_Daily!$A$2:$A$9999=$A22)*(Raw_Data_Daily!$C$2:$C$9999=$C$3)*Raw_Data_Daily!$D$2:$D$9999*Raw_Data_Daily!$AH$2:$AH$9999)/SUMIFS(Raw_Data_Daily!$D:$D, Raw_Data_Daily!$B:$B, "Control", Raw_Data_Daily!$A:$A, $A22, Raw_Data_Daily!$C:$C, $C$3),""))</f>
        <v/>
      </c>
      <c r="CR22" s="121" t="str">
        <f>IF($A22="","",IFERROR(SUMPRODUCT((Raw_Data_Daily!$B$2:$B$9999="Variant")*(Raw_Data_Daily!$A$2:$A$9999=$A22)*(Raw_Data_Daily!$C$2:$C$9999=$C$3)*Raw_Data_Daily!$D$2:$D$9999*Raw_Data_Daily!$AH$2:$AH$9999)/SUMIFS(Raw_Data_Daily!$D:$D, Raw_Data_Daily!$B:$B, "Variant", Raw_Data_Daily!$A:$A, $A22, Raw_Data_Daily!$C:$C, $C$3),""))</f>
        <v/>
      </c>
      <c r="CS22" s="96" t="str">
        <f t="shared" si="32"/>
        <v/>
      </c>
      <c r="CT22" s="94" t="str">
        <f>IF($A22="","",IFERROR(SUMPRODUCT((Raw_Data_Daily!$B$2:$B$9999="Control")*(Raw_Data_Daily!$A$2:$A$9999=$A22)*(Raw_Data_Daily!$C$2:$C$9999=$C$3)*Raw_Data_Daily!$D$2:$D$9999*Raw_Data_Daily!$AI$2:$AI$9999)/SUMIFS(Raw_Data_Daily!$D:$D, Raw_Data_Daily!$B:$B, "Control", Raw_Data_Daily!$A:$A, $A22, Raw_Data_Daily!$C:$C, $C$3),""))</f>
        <v/>
      </c>
      <c r="CU22" s="94" t="str">
        <f>IF($A22="","",IFERROR(SUMPRODUCT((Raw_Data_Daily!$B$2:$B$9999="Variant")*(Raw_Data_Daily!$A$2:$A$9999=$A22)*(Raw_Data_Daily!$C$2:$C$9999=$C$3)*Raw_Data_Daily!$D$2:$D$9999*Raw_Data_Daily!$AI$2:$AI$9999)/SUMIFS(Raw_Data_Daily!$D:$D, Raw_Data_Daily!$B:$B, "Variant", Raw_Data_Daily!$A:$A, $A22, Raw_Data_Daily!$C:$C, $C$3),""))</f>
        <v/>
      </c>
      <c r="CV22" s="142" t="str">
        <f t="shared" si="33"/>
        <v/>
      </c>
      <c r="CW22" s="94" t="str">
        <f>IF($A22="","",IFERROR(SUMPRODUCT((Raw_Data_Daily!$B$2:$B$9999="Control")*(Raw_Data_Daily!$A$2:$A$9999=$A22)*(Raw_Data_Daily!$C$2:$C$9999=$C$3)*Raw_Data_Daily!$D$2:$D$9999*Raw_Data_Daily!$AJ$2:$AJ$9999)/SUMIFS(Raw_Data_Daily!$D:$D, Raw_Data_Daily!$B:$B, "Control", Raw_Data_Daily!$A:$A, $A22, Raw_Data_Daily!$C:$C, $C$3),""))</f>
        <v/>
      </c>
      <c r="CX22" s="94" t="str">
        <f>IF($A22="","",IFERROR(SUMPRODUCT((Raw_Data_Daily!$B$2:$B$9999="Variant")*(Raw_Data_Daily!$A$2:$A$9999=$A22)*(Raw_Data_Daily!$C$2:$C$9999=$C$3)*Raw_Data_Daily!$D$2:$D$9999*Raw_Data_Daily!$AJ$2:$AJ$9999)/SUMIFS(Raw_Data_Daily!$D:$D, Raw_Data_Daily!$B:$B, "Variant", Raw_Data_Daily!$A:$A, $A22, Raw_Data_Daily!$C:$C, $C$3),""))</f>
        <v/>
      </c>
      <c r="CY22" s="142" t="str">
        <f t="shared" si="34"/>
        <v/>
      </c>
      <c r="CZ22" s="94" t="str">
        <f>IF($A22="","",IFERROR(SUMPRODUCT((Raw_Data_Daily!$B$2:$B$9999="Control")*(Raw_Data_Daily!$A$2:$A$9999=$A22)*(Raw_Data_Daily!$C$2:$C$9999=$C$3)*Raw_Data_Daily!$D$2:$D$9999*Raw_Data_Daily!$AK$2:$AK$9999)/SUMIFS(Raw_Data_Daily!$D:$D, Raw_Data_Daily!$B:$B, "Control", Raw_Data_Daily!$A:$A, $A22, Raw_Data_Daily!$C:$C, $C$3),""))</f>
        <v/>
      </c>
      <c r="DA22" s="94" t="str">
        <f>IF($A22="","",IFERROR(SUMPRODUCT((Raw_Data_Daily!$B$2:$B$9999="Variant")*(Raw_Data_Daily!$A$2:$A$9999=$A22)*(Raw_Data_Daily!$C$2:$C$9999=$C$3)*Raw_Data_Daily!$D$2:$D$9999*Raw_Data_Daily!$AK$2:$AK$9999)/SUMIFS(Raw_Data_Daily!$D:$D, Raw_Data_Daily!$B:$B, "Variant", Raw_Data_Daily!$A:$A, $A22, Raw_Data_Daily!$C:$C, $C$3),""))</f>
        <v/>
      </c>
      <c r="DB22" s="96" t="str">
        <f t="shared" si="35"/>
        <v/>
      </c>
      <c r="DC22" s="139" t="str">
        <f>IF($A22="","",IFERROR(SUMPRODUCT((Raw_Data_Daily!$B$2:$B$9999="Control")*(Raw_Data_Daily!$A$2:$A$9999=$A22)*(Raw_Data_Daily!$C$2:$C$9999=$C$3)*Raw_Data_Daily!$D$2:$D$9999*Raw_Data_Daily!$AL$2:$AL$9999)/SUMIFS(Raw_Data_Daily!$D:$D, Raw_Data_Daily!$B:$B, "Control", Raw_Data_Daily!$A:$A, $A22, Raw_Data_Daily!$C:$C, $C$3),""))</f>
        <v/>
      </c>
      <c r="DD22" s="139" t="str">
        <f>IF($A22="","",IFERROR(SUMPRODUCT((Raw_Data_Daily!$B$2:$B$9999="Variant")*(Raw_Data_Daily!$A$2:$A$9999=$A22)*(Raw_Data_Daily!$C$2:$C$9999=$C$3)*Raw_Data_Daily!$D$2:$D$9999*Raw_Data_Daily!$AL$2:$AL$9999)/SUMIFS(Raw_Data_Daily!$D:$D, Raw_Data_Daily!$B:$B, "Variant", Raw_Data_Daily!$A:$A, $A22, Raw_Data_Daily!$C:$C, $C$3),""))</f>
        <v/>
      </c>
      <c r="DE22" s="142" t="str">
        <f t="shared" si="36"/>
        <v/>
      </c>
      <c r="DF22" s="168"/>
      <c r="DG22" s="94" t="str">
        <f>IF($A22="","",IFERROR(SUMPRODUCT((Raw_Data_Daily!$B$2:$B$9999="Variant")*(Raw_Data_Daily!$A$2:$A$9999=$A22)*(Raw_Data_Daily!$C$2:$C$9999=$C$3)*Raw_Data_Daily!$D$2:$D$9999*Raw_Data_Daily!$AM$2:$AM$9999)/SUMIFS(Raw_Data_Daily!$D:$D, Raw_Data_Daily!$B:$B, "Variant", Raw_Data_Daily!$A:$A, $A22, Raw_Data_Daily!$C:$C, $C$3),""))</f>
        <v/>
      </c>
      <c r="DH22" s="169"/>
      <c r="DI22" s="168"/>
      <c r="DJ22" s="94" t="str">
        <f>IF($A22="","",IFERROR(SUMPRODUCT((Raw_Data_Daily!$B$2:$B$9999="Variant")*(Raw_Data_Daily!$A$2:$A$9999=$A22)*(Raw_Data_Daily!$C$2:$C$9999=$C$3)*Raw_Data_Daily!$D$2:$D$9999*Raw_Data_Daily!$AN$2:$AN$9999)/SUMIFS(Raw_Data_Daily!$D:$D, Raw_Data_Daily!$B:$B, "Variant", Raw_Data_Daily!$A:$A, $A22, Raw_Data_Daily!$C:$C, $C$3),""))</f>
        <v/>
      </c>
      <c r="DK22" s="169"/>
      <c r="DL22" s="168"/>
      <c r="DM22" s="94" t="str">
        <f>IF($A22="","",IFERROR(SUMPRODUCT((Raw_Data_Daily!$B$2:$B$9999="Variant")*(Raw_Data_Daily!$A$2:$A$9999=$A22)*(Raw_Data_Daily!$C$2:$C$9999=$C$3)*Raw_Data_Daily!$D$2:$D$9999*Raw_Data_Daily!$AO$2:$AO$9999)/SUMIFS(Raw_Data_Daily!$D:$D, Raw_Data_Daily!$B:$B, "Variant", Raw_Data_Daily!$A:$A, $A22, Raw_Data_Daily!$C:$C, $C$3),""))</f>
        <v/>
      </c>
      <c r="DN22" s="169"/>
      <c r="DO22" s="168"/>
      <c r="DP22" s="94" t="str">
        <f>IF($A22="","",IFERROR(SUMPRODUCT((Raw_Data_Daily!$B$2:$B$9999="Variant")*(Raw_Data_Daily!$A$2:$A$9999=$A22)*(Raw_Data_Daily!$C$2:$C$9999=$C$3)*Raw_Data_Daily!$D$2:$D$9999*Raw_Data_Daily!$AP$2:$AP$9999)/SUMIFS(Raw_Data_Daily!$D:$D, Raw_Data_Daily!$B:$B, "Variant", Raw_Data_Daily!$A:$A, $A22, Raw_Data_Daily!$C:$C, $C$3),""))</f>
        <v/>
      </c>
      <c r="DQ22" s="169"/>
      <c r="DR22" s="139" t="str">
        <f>IF($A22="","",IFERROR(SUMPRODUCT((Raw_Data_Daily!$B$2:$B$9999="Control")*(Raw_Data_Daily!$A$2:$A$9999=$A22)*(Raw_Data_Daily!$C$2:$C$9999=$C$3)*Raw_Data_Daily!$D$2:$D$9999*Raw_Data_Daily!$AQ$2:$AQ$9999)/SUMIFS(Raw_Data_Daily!$D:$D, Raw_Data_Daily!$B:$B, "Control", Raw_Data_Daily!$A:$A, $A22, Raw_Data_Daily!$C:$C, $C$3),""))</f>
        <v/>
      </c>
      <c r="DS22" s="139" t="str">
        <f>IF($A22="","",IFERROR(SUMPRODUCT((Raw_Data_Daily!$B$2:$B$9999="Variant")*(Raw_Data_Daily!$A$2:$A$9999=$A22)*(Raw_Data_Daily!$C$2:$C$9999=$C$3)*Raw_Data_Daily!$D$2:$D$9999*Raw_Data_Daily!$AQ$2:$AQ$9999)/SUMIFS(Raw_Data_Daily!$D:$D, Raw_Data_Daily!$B:$B, "Variant", Raw_Data_Daily!$A:$A, $A22, Raw_Data_Daily!$C:$C, $C$3),""))</f>
        <v/>
      </c>
      <c r="DT22" s="173" t="str">
        <f t="shared" si="37"/>
        <v/>
      </c>
      <c r="DU22" s="139" t="str">
        <f>IF($A22="","",IFERROR(SUMPRODUCT((Raw_Data_Daily!$B$2:$B$9999="Control")*(Raw_Data_Daily!$A$2:$A$9999=$A22)*(Raw_Data_Daily!$C$2:$C$9999=$C$3)*Raw_Data_Daily!$D$2:$D$9999*Raw_Data_Daily!$AR$2:$AR$9999)/SUMIFS(Raw_Data_Daily!$D:$D, Raw_Data_Daily!$B:$B, "Control", Raw_Data_Daily!$A:$A, $A22, Raw_Data_Daily!$C:$C, $C$3),""))</f>
        <v/>
      </c>
      <c r="DV22" s="139" t="str">
        <f>IF($A22="","",IFERROR(SUMPRODUCT((Raw_Data_Daily!$B$2:$B$9999="Variant")*(Raw_Data_Daily!$A$2:$A$9999=$A22)*(Raw_Data_Daily!$C$2:$C$9999=$C$3)*Raw_Data_Daily!$D$2:$D$9999*Raw_Data_Daily!$AR$2:$AR$9999)/SUMIFS(Raw_Data_Daily!$D:$D, Raw_Data_Daily!$B:$B, "Variant", Raw_Data_Daily!$A:$A, $A22, Raw_Data_Daily!$C:$C, $C$3),""))</f>
        <v/>
      </c>
      <c r="DW22" s="173" t="str">
        <f t="shared" si="38"/>
        <v/>
      </c>
      <c r="DX22" s="139" t="str">
        <f>IF($A22="","",IFERROR(SUMPRODUCT((Raw_Data_Daily!$B$2:$B$9999="Control")*(Raw_Data_Daily!$A$2:$A$9999=$A22)*(Raw_Data_Daily!$C$2:$C$9999=$C$3)*Raw_Data_Daily!$D$2:$D$9999*Raw_Data_Daily!$AS$2:$AS$9999)/SUMIFS(Raw_Data_Daily!$D:$D, Raw_Data_Daily!$B:$B, "Control", Raw_Data_Daily!$A:$A, $A22, Raw_Data_Daily!$C:$C, $C$3),""))</f>
        <v/>
      </c>
      <c r="DY22" s="139" t="str">
        <f>IF($A22="","",IFERROR(SUMPRODUCT((Raw_Data_Daily!$B$2:$B$9999="Variant")*(Raw_Data_Daily!$A$2:$A$9999=$A22)*(Raw_Data_Daily!$C$2:$C$9999=$C$3)*Raw_Data_Daily!$D$2:$D$9999*Raw_Data_Daily!$AS$2:$AS$9999)/SUMIFS(Raw_Data_Daily!$D:$D, Raw_Data_Daily!$B:$B, "Variant", Raw_Data_Daily!$A:$A, $A22, Raw_Data_Daily!$C:$C, $C$3),""))</f>
        <v/>
      </c>
      <c r="DZ22" s="174" t="str">
        <f t="shared" si="39"/>
        <v/>
      </c>
      <c r="EA22" s="139" t="str">
        <f>IF($A22="","",IFERROR(SUMPRODUCT((Raw_Data_Daily!$B$2:$B$9999="Control")*(Raw_Data_Daily!$A$2:$A$9999=$A22)*(Raw_Data_Daily!$C$2:$C$9999=$C$3)*Raw_Data_Daily!$D$2:$D$9999*Raw_Data_Daily!$AT$2:$AT$9999)/SUMIFS(Raw_Data_Daily!$D:$D, Raw_Data_Daily!$B:$B, "Control", Raw_Data_Daily!$A:$A, $A22, Raw_Data_Daily!$C:$C, $C$3),""))</f>
        <v/>
      </c>
      <c r="EB22" s="139" t="str">
        <f>IF($A22="","",IFERROR(SUMPRODUCT((Raw_Data_Daily!$B$2:$B$9999="Variant")*(Raw_Data_Daily!$A$2:$A$9999=$A22)*(Raw_Data_Daily!$C$2:$C$9999=$C$3)*Raw_Data_Daily!$D$2:$D$9999*Raw_Data_Daily!$AT$2:$AT$9999)/SUMIFS(Raw_Data_Daily!$D:$D, Raw_Data_Daily!$B:$B, "Variant", Raw_Data_Daily!$A:$A, $A22, Raw_Data_Daily!$C:$C, $C$3),""))</f>
        <v/>
      </c>
      <c r="EC22" s="173" t="str">
        <f t="shared" si="40"/>
        <v/>
      </c>
      <c r="ED22" s="139" t="str">
        <f>IF($A22="","",IFERROR(SUMPRODUCT((Raw_Data_Daily!$B$2:$B$9999="Control")*(Raw_Data_Daily!$A$2:$A$9999=$A22)*(Raw_Data_Daily!$C$2:$C$9999=$C$3)*Raw_Data_Daily!$D$2:$D$9999*(Raw_Data_Daily!$AQ$2:$AQ$9999-Raw_Data_Daily!$AT$2:$AT$9999))/SUMIFS(Raw_Data_Daily!$D:$D, Raw_Data_Daily!$B:$B, "Control", Raw_Data_Daily!$A:$A, $A22, Raw_Data_Daily!$C:$C, $C$3),""))</f>
        <v/>
      </c>
      <c r="EE22" s="139" t="str">
        <f>IF($A22="","",IFERROR(SUMPRODUCT((Raw_Data_Daily!$B$2:$B$9999="Variant")*(Raw_Data_Daily!$A$2:$A$9999=$A22)*(Raw_Data_Daily!$C$2:$C$9999=$C$3)*Raw_Data_Daily!$D$2:$D$9999*(Raw_Data_Daily!$AQ$2:$AQ$9999-Raw_Data_Daily!$AT$2:$AT$9999))/SUMIFS(Raw_Data_Daily!$D:$D, Raw_Data_Daily!$B:$B, "Variant", Raw_Data_Daily!$A:$A, $A22, Raw_Data_Daily!$C:$C, $C$3),""))</f>
        <v/>
      </c>
      <c r="EF22" s="174" t="str">
        <f t="shared" si="41"/>
        <v/>
      </c>
      <c r="EG22" s="139" t="str">
        <f>IF($A22="","",IFERROR(SUMPRODUCT((Raw_Data_Daily!$B$2:$B$9999="Control")*(Raw_Data_Daily!$A$2:$A$9999=$A22)*(Raw_Data_Daily!$C$2:$C$9999=$C$3)*Raw_Data_Daily!$D$2:$D$9999*Raw_Data_Daily!$AU$2:$AU$9999)/SUMIFS(Raw_Data_Daily!$D:$D, Raw_Data_Daily!$B:$B, "Control", Raw_Data_Daily!$A:$A, $A22, Raw_Data_Daily!$C:$C, $C$3),""))</f>
        <v/>
      </c>
      <c r="EH22" s="139" t="str">
        <f>IF($A22="","",IFERROR(SUMPRODUCT((Raw_Data_Daily!$B$2:$B$9999="Variant")*(Raw_Data_Daily!$A$2:$A$9999=$A22)*(Raw_Data_Daily!$C$2:$C$9999=$C$3)*Raw_Data_Daily!$D$2:$D$9999*Raw_Data_Daily!$AU$2:$AU$9999)/SUMIFS(Raw_Data_Daily!$D:$D, Raw_Data_Daily!$B:$B, "Variant", Raw_Data_Daily!$A:$A, $A22, Raw_Data_Daily!$C:$C, $C$3),""))</f>
        <v/>
      </c>
      <c r="EI22" s="173" t="str">
        <f t="shared" si="42"/>
        <v/>
      </c>
    </row>
    <row r="23" ht="15.75" customHeight="1">
      <c r="A23" s="238">
        <v>46246.0</v>
      </c>
      <c r="B23" s="239">
        <f>IF($A23="","",SUMIFS(Raw_Data_Daily!$D:$D, Raw_Data_Daily!$B:$B, "Control", Raw_Data_Daily!$A:$A, $A23, Raw_Data_Daily!$C:$C, $C$3))</f>
        <v>0</v>
      </c>
      <c r="C23" s="239">
        <f>IF($A23="","",SUMIFS(Raw_Data_Daily!$D:$D, Raw_Data_Daily!$B:$B, "Variant", Raw_Data_Daily!$A:$A, $A23, Raw_Data_Daily!$C:$C, $C$3))</f>
        <v>0</v>
      </c>
      <c r="D23" s="240" t="str">
        <f t="shared" si="1"/>
        <v/>
      </c>
      <c r="E23" s="241" t="str">
        <f>IF($A23="","",IFERROR(SUMPRODUCT((Raw_Data_Daily!$B$2:$B$9999="Control")*(Raw_Data_Daily!$A$2:$A$9999=$A23)*(Raw_Data_Daily!$C$2:$C$9999=$C$3)*Raw_Data_Daily!$D$2:$D$9999*Raw_Data_Daily!$E$2:$E$9999)/SUMIFS(Raw_Data_Daily!$D:$D, Raw_Data_Daily!$B:$B, "Control", Raw_Data_Daily!$A:$A, $A23, Raw_Data_Daily!$C:$C, $C$3),""))</f>
        <v/>
      </c>
      <c r="F23" s="241" t="str">
        <f>IF($A23="","",IFERROR(SUMPRODUCT((Raw_Data_Daily!$B$2:$B$9999="Variant")*(Raw_Data_Daily!$A$2:$A$9999=$A23)*(Raw_Data_Daily!$C$2:$C$9999=$C$3)*Raw_Data_Daily!$D$2:$D$9999*Raw_Data_Daily!$E$2:$E$9999)/SUMIFS(Raw_Data_Daily!$D:$D, Raw_Data_Daily!$B:$B, "Variant", Raw_Data_Daily!$A:$A, $A23, Raw_Data_Daily!$C:$C, $C$3),""))</f>
        <v/>
      </c>
      <c r="G23" s="240" t="str">
        <f t="shared" si="2"/>
        <v/>
      </c>
      <c r="H23" s="242">
        <f>IF($A23="","",SUMIFS(Raw_Data_Daily!$F:$F, Raw_Data_Daily!$B:$B, "Control", Raw_Data_Daily!$A:$A, $A23, Raw_Data_Daily!$C:$C, $C$3))</f>
        <v>0</v>
      </c>
      <c r="I23" s="242">
        <f>IF($A23="","",SUMIFS(Raw_Data_Daily!$F:$F, Raw_Data_Daily!$B:$B, "Variant", Raw_Data_Daily!$A:$A, $A23, Raw_Data_Daily!$C:$C, $C$3))</f>
        <v>0</v>
      </c>
      <c r="J23" s="243" t="str">
        <f t="shared" si="3"/>
        <v/>
      </c>
      <c r="K23" s="244" t="str">
        <f>IF($A23="","",IFERROR(SUMIFS(Raw_Data_Daily!$F:$F, Raw_Data_Daily!$B:$B, "Control", Raw_Data_Daily!$A:$A, $A23, Raw_Data_Daily!$C:$C, $C$3)/SUMIFS(Raw_Data_Daily!$D:$D, Raw_Data_Daily!$B:$B, "Control", Raw_Data_Daily!$A:$A, $A23, Raw_Data_Daily!$C:$C, $C$3),""))</f>
        <v/>
      </c>
      <c r="L23" s="244" t="str">
        <f>IF($A23="","",IFERROR(SUMIFS(Raw_Data_Daily!$F:$F, Raw_Data_Daily!$B:$B, "Variant", Raw_Data_Daily!$A:$A, $A23, Raw_Data_Daily!$C:$C, $C$3)/SUMIFS(Raw_Data_Daily!$D:$D, Raw_Data_Daily!$B:$B, "Variant", Raw_Data_Daily!$A:$A, $A23, Raw_Data_Daily!$C:$C, $C$3),""))</f>
        <v/>
      </c>
      <c r="M23" s="243" t="str">
        <f t="shared" si="4"/>
        <v/>
      </c>
      <c r="N23" s="241" t="str">
        <f>IF($A23="","",IFERROR(SUMPRODUCT((Raw_Data_Daily!$B$2:$B$9999="Control")*(Raw_Data_Daily!$A$2:$A$9999=$A23)*(Raw_Data_Daily!$C$2:$C$9999=$C$3)*Raw_Data_Daily!$D$2:$D$9999*Raw_Data_Daily!$H$2:$H$9999/100)/SUMIFS(Raw_Data_Daily!$D:$D, Raw_Data_Daily!$B:$B, "Control", Raw_Data_Daily!$A:$A, $A23, Raw_Data_Daily!$C:$C, $C$3)*100,""))</f>
        <v/>
      </c>
      <c r="O23" s="241" t="str">
        <f>IF($A23="","",IFERROR(SUMPRODUCT((Raw_Data_Daily!$B$2:$B$9999="Variant")*(Raw_Data_Daily!$A$2:$A$9999=$A23)*(Raw_Data_Daily!$C$2:$C$9999=$C$3)*Raw_Data_Daily!$D$2:$D$9999*Raw_Data_Daily!$H$2:$H$9999/100)/SUMIFS(Raw_Data_Daily!$D:$D, Raw_Data_Daily!$B:$B, "Variant", Raw_Data_Daily!$A:$A, $A23, Raw_Data_Daily!$C:$C, $C$3)*100,""))</f>
        <v/>
      </c>
      <c r="P23" s="243" t="str">
        <f t="shared" si="5"/>
        <v/>
      </c>
      <c r="Q23" s="244" t="str">
        <f>IF($A23="","",IFERROR(SUMIFS(Raw_Data_Daily!$F:$F, Raw_Data_Daily!$B:$B, "Control", Raw_Data_Daily!$A:$A, $A23, Raw_Data_Daily!$C:$C, $C$3)/SUMPRODUCT((Raw_Data_Daily!$B$2:$B$9999="Control")*(Raw_Data_Daily!$A$2:$A$9999=$A23)*(Raw_Data_Daily!$C$2:$C$9999=$C$3)*Raw_Data_Daily!$D$2:$D$9999*Raw_Data_Daily!$H$2:$H$9999/100),""))</f>
        <v/>
      </c>
      <c r="R23" s="244" t="str">
        <f>IF($A23="","",IFERROR(SUMIFS(Raw_Data_Daily!$F:$F, Raw_Data_Daily!$B:$B, "Variant", Raw_Data_Daily!$A:$A, $A23, Raw_Data_Daily!$C:$C, $C$3)/SUMPRODUCT((Raw_Data_Daily!$B$2:$B$9999="Variant")*(Raw_Data_Daily!$A$2:$A$9999=$A23)*(Raw_Data_Daily!$C$2:$C$9999=$C$3)*Raw_Data_Daily!$D$2:$D$9999*Raw_Data_Daily!$H$2:$H$9999/100),""))</f>
        <v/>
      </c>
      <c r="S23" s="243" t="str">
        <f t="shared" si="6"/>
        <v/>
      </c>
      <c r="T23" s="245" t="str">
        <f>IF($A23="","",IFERROR(SUMPRODUCT((Raw_Data_Daily!$B$2:$B$9999="Control")*(Raw_Data_Daily!$A$2:$A$9999=$A23)*(Raw_Data_Daily!$C$2:$C$9999=$C$3)*Raw_Data_Daily!$D$2:$D$9999*Raw_Data_Daily!$J$2:$J$9999)/SUMIFS(Raw_Data_Daily!$D:$D, Raw_Data_Daily!$B:$B, "Control", Raw_Data_Daily!$A:$A, $A23, Raw_Data_Daily!$C:$C, $C$3),""))</f>
        <v/>
      </c>
      <c r="U23" s="245" t="str">
        <f>IF($A23="","",IFERROR(SUMPRODUCT((Raw_Data_Daily!$B$2:$B$9999="Variant")*(Raw_Data_Daily!$A$2:$A$9999=$A23)*(Raw_Data_Daily!$C$2:$C$9999=$C$3)*Raw_Data_Daily!$D$2:$D$9999*Raw_Data_Daily!$J$2:$J$9999)/SUMIFS(Raw_Data_Daily!$D:$D, Raw_Data_Daily!$B:$B, "Variant", Raw_Data_Daily!$A:$A, $A23, Raw_Data_Daily!$C:$C, $C$3),""))</f>
        <v/>
      </c>
      <c r="V23" s="243" t="str">
        <f t="shared" si="7"/>
        <v/>
      </c>
      <c r="W23" s="245" t="str">
        <f>IF($A23="","",IFERROR(SUMPRODUCT((Raw_Data_Daily!$B$2:$B$9999="Control")*(Raw_Data_Daily!$A$2:$A$9999=$A23)*(Raw_Data_Daily!$C$2:$C$9999=$C$3)*Raw_Data_Daily!$D$2:$D$9999*Raw_Data_Daily!$K$2:$K$9999)/SUMIFS(Raw_Data_Daily!$D:$D, Raw_Data_Daily!$B:$B, "Control", Raw_Data_Daily!$A:$A, $A23, Raw_Data_Daily!$C:$C, $C$3),""))</f>
        <v/>
      </c>
      <c r="X23" s="245" t="str">
        <f>IF($A23="","",IFERROR(SUMPRODUCT((Raw_Data_Daily!$B$2:$B$9999="Variant")*(Raw_Data_Daily!$A$2:$A$9999=$A23)*(Raw_Data_Daily!$C$2:$C$9999=$C$3)*Raw_Data_Daily!$D$2:$D$9999*Raw_Data_Daily!$K$2:$K$9999)/SUMIFS(Raw_Data_Daily!$D:$D, Raw_Data_Daily!$B:$B, "Variant", Raw_Data_Daily!$A:$A, $A23, Raw_Data_Daily!$C:$C, $C$3),""))</f>
        <v/>
      </c>
      <c r="Y23" s="243" t="str">
        <f t="shared" si="8"/>
        <v/>
      </c>
      <c r="Z23" s="245" t="str">
        <f>IF($A23="","",IFERROR(SUMPRODUCT((Raw_Data_Daily!$B$2:$B$9999="Control")*(Raw_Data_Daily!$A$2:$A$9999=$A23)*(Raw_Data_Daily!$C$2:$C$9999=$C$3)*Raw_Data_Daily!$D$2:$D$9999*Raw_Data_Daily!$L$2:$L$9999)/SUMIFS(Raw_Data_Daily!$D:$D, Raw_Data_Daily!$B:$B, "Control", Raw_Data_Daily!$A:$A, $A23, Raw_Data_Daily!$C:$C, $C$3),""))</f>
        <v/>
      </c>
      <c r="AA23" s="245" t="str">
        <f>IF($A23="","",IFERROR(SUMPRODUCT((Raw_Data_Daily!$B$2:$B$9999="Variant")*(Raw_Data_Daily!$A$2:$A$9999=$A23)*(Raw_Data_Daily!$C$2:$C$9999=$C$3)*Raw_Data_Daily!$D$2:$D$9999*Raw_Data_Daily!$L$2:$L$9999)/SUMIFS(Raw_Data_Daily!$D:$D, Raw_Data_Daily!$B:$B, "Variant", Raw_Data_Daily!$A:$A, $A23, Raw_Data_Daily!$C:$C, $C$3),""))</f>
        <v/>
      </c>
      <c r="AB23" s="243" t="str">
        <f t="shared" si="9"/>
        <v/>
      </c>
      <c r="AC23" s="246" t="str">
        <f>IF($A23="","",IFERROR(SUMPRODUCT((Raw_Data_Daily!$B$2:$B$9999="Control")*(Raw_Data_Daily!$A$2:$A$9999=$A23)*(Raw_Data_Daily!$C$2:$C$9999=$C$3)*Raw_Data_Daily!$D$2:$D$9999*Raw_Data_Daily!$M$2:$M$9999)/SUMIFS(Raw_Data_Daily!$D:$D, Raw_Data_Daily!$B:$B, "Control", Raw_Data_Daily!$A:$A, $A23, Raw_Data_Daily!$C:$C, $C$3),""))</f>
        <v/>
      </c>
      <c r="AD23" s="246" t="str">
        <f>IF($A23="","",IFERROR(SUMPRODUCT((Raw_Data_Daily!$B$2:$B$9999="Variant")*(Raw_Data_Daily!$A$2:$A$9999=$A23)*(Raw_Data_Daily!$C$2:$C$9999=$C$3)*Raw_Data_Daily!$D$2:$D$9999*Raw_Data_Daily!$M$2:$M$9999)/SUMIFS(Raw_Data_Daily!$D:$D, Raw_Data_Daily!$B:$B, "Variant", Raw_Data_Daily!$A:$A, $A23, Raw_Data_Daily!$C:$C, $C$3),""))</f>
        <v/>
      </c>
      <c r="AE23" s="247" t="str">
        <f t="shared" si="10"/>
        <v/>
      </c>
      <c r="AF23" s="246" t="str">
        <f>IF($A23="","",IFERROR(SUMPRODUCT((Raw_Data_Daily!$B$2:$B$9999="Control")*(Raw_Data_Daily!$A$2:$A$9999=$A23)*(Raw_Data_Daily!$C$2:$C$9999=$C$3)*Raw_Data_Daily!$D$2:$D$9999*Raw_Data_Daily!$N$2:$N$9999)/SUMIFS(Raw_Data_Daily!$D:$D, Raw_Data_Daily!$B:$B, "Control", Raw_Data_Daily!$A:$A, $A23, Raw_Data_Daily!$C:$C, $C$3),""))</f>
        <v/>
      </c>
      <c r="AG23" s="246" t="str">
        <f>IF($A23="","",IFERROR(SUMPRODUCT((Raw_Data_Daily!$B$2:$B$9999="Variant")*(Raw_Data_Daily!$A$2:$A$9999=$A23)*(Raw_Data_Daily!$C$2:$C$9999=$C$3)*Raw_Data_Daily!$D$2:$D$9999*Raw_Data_Daily!$N$2:$N$9999)/SUMIFS(Raw_Data_Daily!$D:$D, Raw_Data_Daily!$B:$B, "Variant", Raw_Data_Daily!$A:$A, $A23, Raw_Data_Daily!$C:$C, $C$3),""))</f>
        <v/>
      </c>
      <c r="AH23" s="247" t="str">
        <f t="shared" si="11"/>
        <v/>
      </c>
      <c r="AI23" s="246" t="str">
        <f>IF($A23="","",IFERROR(SUMPRODUCT((Raw_Data_Daily!$B$2:$B$9999="Control")*(Raw_Data_Daily!$A$2:$A$9999=$A23)*(Raw_Data_Daily!$C$2:$C$9999=$C$3)*Raw_Data_Daily!$D$2:$D$9999*Raw_Data_Daily!$O$2:$O$9999)/SUMIFS(Raw_Data_Daily!$D:$D, Raw_Data_Daily!$B:$B, "Control", Raw_Data_Daily!$A:$A, $A23, Raw_Data_Daily!$C:$C, $C$3),""))</f>
        <v/>
      </c>
      <c r="AJ23" s="246" t="str">
        <f>IF($A23="","",IFERROR(SUMPRODUCT((Raw_Data_Daily!$B$2:$B$9999="Variant")*(Raw_Data_Daily!$A$2:$A$9999=$A23)*(Raw_Data_Daily!$C$2:$C$9999=$C$3)*Raw_Data_Daily!$D$2:$D$9999*Raw_Data_Daily!$O$2:$O$9999)/SUMIFS(Raw_Data_Daily!$D:$D, Raw_Data_Daily!$B:$B, "Variant", Raw_Data_Daily!$A:$A, $A23, Raw_Data_Daily!$C:$C, $C$3),""))</f>
        <v/>
      </c>
      <c r="AK23" s="243" t="str">
        <f t="shared" si="12"/>
        <v/>
      </c>
      <c r="AL23" s="245" t="str">
        <f>IF($A23="","",IFERROR(SUMPRODUCT((Raw_Data_Daily!$B$2:$B$9999="Control")*(Raw_Data_Daily!$A$2:$A$9999=$A23)*(Raw_Data_Daily!$C$2:$C$9999=$C$3)*Raw_Data_Daily!$D$2:$D$9999*Raw_Data_Daily!$P$2:$P$9999)/SUMIFS(Raw_Data_Daily!$D:$D, Raw_Data_Daily!$B:$B, "Control", Raw_Data_Daily!$A:$A, $A23, Raw_Data_Daily!$C:$C, $C$3),""))</f>
        <v/>
      </c>
      <c r="AM23" s="245" t="str">
        <f>IF($A23="","",IFERROR(SUMPRODUCT((Raw_Data_Daily!$B$2:$B$9999="Variant")*(Raw_Data_Daily!$A$2:$A$9999=$A23)*(Raw_Data_Daily!$C$2:$C$9999=$C$3)*Raw_Data_Daily!$D$2:$D$9999*Raw_Data_Daily!$P$2:$P$9999)/SUMIFS(Raw_Data_Daily!$D:$D, Raw_Data_Daily!$B:$B, "Variant", Raw_Data_Daily!$A:$A, $A23, Raw_Data_Daily!$C:$C, $C$3),""))</f>
        <v/>
      </c>
      <c r="AN23" s="243" t="str">
        <f t="shared" si="13"/>
        <v/>
      </c>
      <c r="AO23" s="245" t="str">
        <f>IF($A23="","",IFERROR(SUMPRODUCT((Raw_Data_Daily!$B$2:$B$9999="Control")*(Raw_Data_Daily!$A$2:$A$9999=$A23)*(Raw_Data_Daily!$C$2:$C$9999=$C$3)*Raw_Data_Daily!$D$2:$D$9999*Raw_Data_Daily!$Q$2:$Q$9999)/SUMIFS(Raw_Data_Daily!$D:$D, Raw_Data_Daily!$B:$B, "Control", Raw_Data_Daily!$A:$A, $A23, Raw_Data_Daily!$C:$C, $C$3),""))</f>
        <v/>
      </c>
      <c r="AP23" s="245" t="str">
        <f>IF($A23="","",IFERROR(SUMPRODUCT((Raw_Data_Daily!$B$2:$B$9999="Variant")*(Raw_Data_Daily!$A$2:$A$9999=$A23)*(Raw_Data_Daily!$C$2:$C$9999=$C$3)*Raw_Data_Daily!$D$2:$D$9999*Raw_Data_Daily!$Q$2:$Q$9999)/SUMIFS(Raw_Data_Daily!$D:$D, Raw_Data_Daily!$B:$B, "Variant", Raw_Data_Daily!$A:$A, $A23, Raw_Data_Daily!$C:$C, $C$3),""))</f>
        <v/>
      </c>
      <c r="AQ23" s="240" t="str">
        <f t="shared" si="14"/>
        <v/>
      </c>
      <c r="AR23" s="245" t="str">
        <f>IF($A23="","",IFERROR(SUMPRODUCT((Raw_Data_Daily!$B$2:$B$9999="Control")*(Raw_Data_Daily!$A$2:$A$9999=$A23)*(Raw_Data_Daily!$C$2:$C$9999=$C$3)*Raw_Data_Daily!$D$2:$D$9999*Raw_Data_Daily!$R$2:$R$9999)/SUMIFS(Raw_Data_Daily!$D:$D, Raw_Data_Daily!$B:$B, "Control", Raw_Data_Daily!$A:$A, $A23, Raw_Data_Daily!$C:$C, $C$3),""))</f>
        <v/>
      </c>
      <c r="AS23" s="245" t="str">
        <f>IF($A23="","",IFERROR(SUMPRODUCT((Raw_Data_Daily!$B$2:$B$9999="Variant")*(Raw_Data_Daily!$A$2:$A$9999=$A23)*(Raw_Data_Daily!$C$2:$C$9999=$C$3)*Raw_Data_Daily!$D$2:$D$9999*Raw_Data_Daily!$R$2:$R$9999)/SUMIFS(Raw_Data_Daily!$D:$D, Raw_Data_Daily!$B:$B, "Variant", Raw_Data_Daily!$A:$A, $A23, Raw_Data_Daily!$C:$C, $C$3),""))</f>
        <v/>
      </c>
      <c r="AT23" s="240" t="str">
        <f t="shared" si="15"/>
        <v/>
      </c>
      <c r="AU23" s="245" t="str">
        <f>IF($A23="","",IFERROR(SUMPRODUCT((Raw_Data_Daily!$B$2:$B$9999="Control")*(Raw_Data_Daily!$A$2:$A$9999=$A23)*(Raw_Data_Daily!$C$2:$C$9999=$C$3)*Raw_Data_Daily!$D$2:$D$9999*Raw_Data_Daily!$S$2:$S$9999)/SUMIFS(Raw_Data_Daily!$D:$D, Raw_Data_Daily!$B:$B, "Control", Raw_Data_Daily!$A:$A, $A23, Raw_Data_Daily!$C:$C, $C$3),""))</f>
        <v/>
      </c>
      <c r="AV23" s="245" t="str">
        <f>IF($A23="","",IFERROR(SUMPRODUCT((Raw_Data_Daily!$B$2:$B$9999="Variant")*(Raw_Data_Daily!$A$2:$A$9999=$A23)*(Raw_Data_Daily!$C$2:$C$9999=$C$3)*Raw_Data_Daily!$D$2:$D$9999*Raw_Data_Daily!$S$2:$S$9999)/SUMIFS(Raw_Data_Daily!$D:$D, Raw_Data_Daily!$B:$B, "Variant", Raw_Data_Daily!$A:$A, $A23, Raw_Data_Daily!$C:$C, $C$3),""))</f>
        <v/>
      </c>
      <c r="AW23" s="240" t="str">
        <f t="shared" si="16"/>
        <v/>
      </c>
      <c r="AX23" s="245" t="str">
        <f>IF($A23="","",IFERROR(SUMPRODUCT((Raw_Data_Daily!$B$2:$B$9999="Control")*(Raw_Data_Daily!$A$2:$A$9999=$A23)*(Raw_Data_Daily!$C$2:$C$9999=$C$3)*Raw_Data_Daily!$D$2:$D$9999*Raw_Data_Daily!$T$2:$T$9999)/SUMIFS(Raw_Data_Daily!$D:$D, Raw_Data_Daily!$B:$B, "Control", Raw_Data_Daily!$A:$A, $A23, Raw_Data_Daily!$C:$C, $C$3),""))</f>
        <v/>
      </c>
      <c r="AY23" s="245" t="str">
        <f>IF($A23="","",IFERROR(SUMPRODUCT((Raw_Data_Daily!$B$2:$B$9999="Variant")*(Raw_Data_Daily!$A$2:$A$9999=$A23)*(Raw_Data_Daily!$C$2:$C$9999=$C$3)*Raw_Data_Daily!$D$2:$D$9999*Raw_Data_Daily!$T$2:$T$9999)/SUMIFS(Raw_Data_Daily!$D:$D, Raw_Data_Daily!$B:$B, "Variant", Raw_Data_Daily!$A:$A, $A23, Raw_Data_Daily!$C:$C, $C$3),""))</f>
        <v/>
      </c>
      <c r="AZ23" s="243" t="str">
        <f t="shared" si="17"/>
        <v/>
      </c>
      <c r="BA23" s="245" t="str">
        <f>IF($A23="","",IFERROR(SUMPRODUCT((Raw_Data_Daily!$B$2:$B$9999="Control")*(Raw_Data_Daily!$A$2:$A$9999=$A23)*(Raw_Data_Daily!$C$2:$C$9999=$C$3)*Raw_Data_Daily!$D$2:$D$9999*Raw_Data_Daily!$U$2:$U$9999)/SUMIFS(Raw_Data_Daily!$D:$D, Raw_Data_Daily!$B:$B, "Control", Raw_Data_Daily!$A:$A, $A23, Raw_Data_Daily!$C:$C, $C$3),""))</f>
        <v/>
      </c>
      <c r="BB23" s="245" t="str">
        <f>IF($A23="","",IFERROR(SUMPRODUCT((Raw_Data_Daily!$B$2:$B$9999="Variant")*(Raw_Data_Daily!$A$2:$A$9999=$A23)*(Raw_Data_Daily!$C$2:$C$9999=$C$3)*Raw_Data_Daily!$D$2:$D$9999*Raw_Data_Daily!$U$2:$U$9999)/SUMIFS(Raw_Data_Daily!$D:$D, Raw_Data_Daily!$B:$B, "Variant", Raw_Data_Daily!$A:$A, $A23, Raw_Data_Daily!$C:$C, $C$3),""))</f>
        <v/>
      </c>
      <c r="BC23" s="240" t="str">
        <f t="shared" si="18"/>
        <v/>
      </c>
      <c r="BD23" s="245" t="str">
        <f>IF($A23="","",IFERROR(SUMPRODUCT((Raw_Data_Daily!$B$2:$B$9999="Control")*(Raw_Data_Daily!$A$2:$A$9999=$A23)*(Raw_Data_Daily!$C$2:$C$9999=$C$3)*Raw_Data_Daily!$D$2:$D$9999*Raw_Data_Daily!$V$2:$V$9999)/SUMIFS(Raw_Data_Daily!$D:$D, Raw_Data_Daily!$B:$B, "Control", Raw_Data_Daily!$A:$A, $A23, Raw_Data_Daily!$C:$C, $C$3),""))</f>
        <v/>
      </c>
      <c r="BE23" s="245" t="str">
        <f>IF($A23="","",IFERROR(SUMPRODUCT((Raw_Data_Daily!$B$2:$B$9999="Variant")*(Raw_Data_Daily!$A$2:$A$9999=$A23)*(Raw_Data_Daily!$C$2:$C$9999=$C$3)*Raw_Data_Daily!$D$2:$D$9999*Raw_Data_Daily!$V$2:$V$9999)/SUMIFS(Raw_Data_Daily!$D:$D, Raw_Data_Daily!$B:$B, "Variant", Raw_Data_Daily!$A:$A, $A23, Raw_Data_Daily!$C:$C, $C$3),""))</f>
        <v/>
      </c>
      <c r="BF23" s="240" t="str">
        <f t="shared" si="19"/>
        <v/>
      </c>
      <c r="BG23" s="245" t="str">
        <f>IF($A23="","",IFERROR(SUMPRODUCT((Raw_Data_Daily!$B$2:$B$9999="Control")*(Raw_Data_Daily!$A$2:$A$9999=$A23)*(Raw_Data_Daily!$C$2:$C$9999=$C$3)*Raw_Data_Daily!$D$2:$D$9999*(Raw_Data_Daily!$Q$2:$Q$9999-Raw_Data_Daily!$V$2:$V$9999))/SUMIFS(Raw_Data_Daily!$D:$D, Raw_Data_Daily!$B:$B, "Control", Raw_Data_Daily!$A:$A, $A23, Raw_Data_Daily!$C:$C, $C$3),""))</f>
        <v/>
      </c>
      <c r="BH23" s="245" t="str">
        <f>IF($A23="","",IFERROR(SUMPRODUCT((Raw_Data_Daily!$B$2:$B$9999="Variant")*(Raw_Data_Daily!$A$2:$A$9999=$A23)*(Raw_Data_Daily!$C$2:$C$9999=$C$3)*Raw_Data_Daily!$D$2:$D$9999*(Raw_Data_Daily!$Q$2:$Q$9999-Raw_Data_Daily!$V$2:$V$9999))/SUMIFS(Raw_Data_Daily!$D:$D, Raw_Data_Daily!$B:$B, "Variant", Raw_Data_Daily!$A:$A, $A23, Raw_Data_Daily!$C:$C, $C$3),""))</f>
        <v/>
      </c>
      <c r="BI23" s="240" t="str">
        <f t="shared" si="20"/>
        <v/>
      </c>
      <c r="BJ23" s="245" t="str">
        <f>IF($A23="","",IFERROR(SUMPRODUCT((Raw_Data_Daily!$B$2:$B$9999="Control")*(Raw_Data_Daily!$A$2:$A$9999=$A23)*(Raw_Data_Daily!$C$2:$C$9999=$C$3)*Raw_Data_Daily!$D$2:$D$9999*Raw_Data_Daily!$W$2:$W$9999)/SUMIFS(Raw_Data_Daily!$D:$D, Raw_Data_Daily!$B:$B, "Control", Raw_Data_Daily!$A:$A, $A23, Raw_Data_Daily!$C:$C, $C$3),""))</f>
        <v/>
      </c>
      <c r="BK23" s="245" t="str">
        <f>IF($A23="","",IFERROR(SUMPRODUCT((Raw_Data_Daily!$B$2:$B$9999="Variant")*(Raw_Data_Daily!$A$2:$A$9999=$A23)*(Raw_Data_Daily!$C$2:$C$9999=$C$3)*Raw_Data_Daily!$D$2:$D$9999*Raw_Data_Daily!$W$2:$W$9999)/SUMIFS(Raw_Data_Daily!$D:$D, Raw_Data_Daily!$B:$B, "Variant", Raw_Data_Daily!$A:$A, $A23, Raw_Data_Daily!$C:$C, $C$3),""))</f>
        <v/>
      </c>
      <c r="BL23" s="240" t="str">
        <f t="shared" si="21"/>
        <v/>
      </c>
      <c r="BM23" s="246" t="str">
        <f>IF($A23="","",IFERROR(SUMPRODUCT((Raw_Data_Daily!$B$2:$B$9999="Control")*(Raw_Data_Daily!$A$2:$A$9999=$A23)*(Raw_Data_Daily!$C$2:$C$9999=$C$3)*Raw_Data_Daily!$D$2:$D$9999*Raw_Data_Daily!$X$2:$X$9999)/SUMIFS(Raw_Data_Daily!$D:$D, Raw_Data_Daily!$B:$B, "Control", Raw_Data_Daily!$A:$A, $A23, Raw_Data_Daily!$C:$C, $C$3),""))</f>
        <v/>
      </c>
      <c r="BN23" s="246" t="str">
        <f>IF($A23="","",IFERROR(SUMPRODUCT((Raw_Data_Daily!$B$2:$B$9999="Variant")*(Raw_Data_Daily!$A$2:$A$9999=$A23)*(Raw_Data_Daily!$C$2:$C$9999=$C$3)*Raw_Data_Daily!$D$2:$D$9999*Raw_Data_Daily!$X$2:$X$9999)/SUMIFS(Raw_Data_Daily!$D:$D, Raw_Data_Daily!$B:$B, "Variant", Raw_Data_Daily!$A:$A, $A23, Raw_Data_Daily!$C:$C, $C$3),""))</f>
        <v/>
      </c>
      <c r="BO23" s="243" t="str">
        <f t="shared" si="22"/>
        <v/>
      </c>
      <c r="BP23" s="239" t="str">
        <f>IF($A23="","",IFERROR(SUMPRODUCT((Raw_Data_Daily!$B$2:$B$9999="Control")*(Raw_Data_Daily!$A$2:$A$9999=$A23)*(Raw_Data_Daily!$C$2:$C$9999=$C$3)*Raw_Data_Daily!$D$2:$D$9999*Raw_Data_Daily!$Y$2:$Y$9999)/SUMIFS(Raw_Data_Daily!$D:$D, Raw_Data_Daily!$B:$B, "Control", Raw_Data_Daily!$A:$A, $A23, Raw_Data_Daily!$C:$C, $C$3),""))</f>
        <v/>
      </c>
      <c r="BQ23" s="239" t="str">
        <f>IF($A23="","",IFERROR(SUMPRODUCT((Raw_Data_Daily!$B$2:$B$9999="Variant")*(Raw_Data_Daily!$A$2:$A$9999=$A23)*(Raw_Data_Daily!$C$2:$C$9999=$C$3)*Raw_Data_Daily!$D$2:$D$9999*Raw_Data_Daily!$Y$2:$Y$9999)/SUMIFS(Raw_Data_Daily!$D:$D, Raw_Data_Daily!$B:$B, "Variant", Raw_Data_Daily!$A:$A, $A23, Raw_Data_Daily!$C:$C, $C$3),""))</f>
        <v/>
      </c>
      <c r="BR23" s="240" t="str">
        <f t="shared" si="23"/>
        <v/>
      </c>
      <c r="BS23" s="239" t="str">
        <f>IF($A23="","",IFERROR(SUMPRODUCT((Raw_Data_Daily!$B$2:$B$9999="Control")*(Raw_Data_Daily!$A$2:$A$9999=$A23)*(Raw_Data_Daily!$C$2:$C$9999=$C$3)*Raw_Data_Daily!$D$2:$D$9999*Raw_Data_Daily!$Z$2:$Z$9999)/SUMIFS(Raw_Data_Daily!$D:$D, Raw_Data_Daily!$B:$B, "Control", Raw_Data_Daily!$A:$A, $A23, Raw_Data_Daily!$C:$C, $C$3),""))</f>
        <v/>
      </c>
      <c r="BT23" s="239" t="str">
        <f>IF($A23="","",IFERROR(SUMPRODUCT((Raw_Data_Daily!$B$2:$B$9999="Variant")*(Raw_Data_Daily!$A$2:$A$9999=$A23)*(Raw_Data_Daily!$C$2:$C$9999=$C$3)*Raw_Data_Daily!$D$2:$D$9999*Raw_Data_Daily!$Z$2:$Z$9999)/SUMIFS(Raw_Data_Daily!$D:$D, Raw_Data_Daily!$B:$B, "Variant", Raw_Data_Daily!$A:$A, $A23, Raw_Data_Daily!$C:$C, $C$3),""))</f>
        <v/>
      </c>
      <c r="BU23" s="240" t="str">
        <f t="shared" si="24"/>
        <v/>
      </c>
      <c r="BV23" s="239" t="str">
        <f>IF($A23="","",IFERROR(SUMPRODUCT((Raw_Data_Daily!$B$2:$B$9999="Control")*(Raw_Data_Daily!$A$2:$A$9999=$A23)*(Raw_Data_Daily!$C$2:$C$9999=$C$3)*Raw_Data_Daily!$D$2:$D$9999*Raw_Data_Daily!$AA$2:$AA$9999)/SUMIFS(Raw_Data_Daily!$D:$D, Raw_Data_Daily!$B:$B, "Control", Raw_Data_Daily!$A:$A, $A23, Raw_Data_Daily!$C:$C, $C$3),""))</f>
        <v/>
      </c>
      <c r="BW23" s="239" t="str">
        <f>IF($A23="","",IFERROR(SUMPRODUCT((Raw_Data_Daily!$B$2:$B$9999="Variant")*(Raw_Data_Daily!$A$2:$A$9999=$A23)*(Raw_Data_Daily!$C$2:$C$9999=$C$3)*Raw_Data_Daily!$D$2:$D$9999*Raw_Data_Daily!$AA$2:$AA$9999)/SUMIFS(Raw_Data_Daily!$D:$D, Raw_Data_Daily!$B:$B, "Variant", Raw_Data_Daily!$A:$A, $A23, Raw_Data_Daily!$C:$C, $C$3),""))</f>
        <v/>
      </c>
      <c r="BX23" s="240" t="str">
        <f t="shared" si="25"/>
        <v/>
      </c>
      <c r="BY23" s="245" t="str">
        <f>IF($A23="","",IFERROR(SUMPRODUCT((Raw_Data_Daily!$B$2:$B$9999="Control")*(Raw_Data_Daily!$A$2:$A$9999=$A23)*(Raw_Data_Daily!$C$2:$C$9999=$C$3)*Raw_Data_Daily!$D$2:$D$9999*Raw_Data_Daily!$AB$2:$AB$9999)/SUMIFS(Raw_Data_Daily!$D:$D, Raw_Data_Daily!$B:$B, "Control", Raw_Data_Daily!$A:$A, $A23, Raw_Data_Daily!$C:$C, $C$3),""))</f>
        <v/>
      </c>
      <c r="BZ23" s="245" t="str">
        <f>IF($A23="","",IFERROR(SUMPRODUCT((Raw_Data_Daily!$B$2:$B$9999="Variant")*(Raw_Data_Daily!$A$2:$A$9999=$A23)*(Raw_Data_Daily!$C$2:$C$9999=$C$3)*Raw_Data_Daily!$D$2:$D$9999*Raw_Data_Daily!$AB$2:$AB$9999)/SUMIFS(Raw_Data_Daily!$D:$D, Raw_Data_Daily!$B:$B, "Variant", Raw_Data_Daily!$A:$A, $A23, Raw_Data_Daily!$C:$C, $C$3),""))</f>
        <v/>
      </c>
      <c r="CA23" s="243" t="str">
        <f t="shared" si="26"/>
        <v/>
      </c>
      <c r="CB23" s="245" t="str">
        <f>IF($A23="","",IFERROR(SUMPRODUCT((Raw_Data_Daily!$B$2:$B$9999="Control")*(Raw_Data_Daily!$A$2:$A$9999=$A23)*(Raw_Data_Daily!$C$2:$C$9999=$C$3)*Raw_Data_Daily!$D$2:$D$9999*Raw_Data_Daily!$AC$2:$AC$9999)/SUMIFS(Raw_Data_Daily!$D:$D, Raw_Data_Daily!$B:$B, "Control", Raw_Data_Daily!$A:$A, $A23, Raw_Data_Daily!$C:$C, $C$3),""))</f>
        <v/>
      </c>
      <c r="CC23" s="245" t="str">
        <f>IF($A23="","",IFERROR(SUMPRODUCT((Raw_Data_Daily!$B$2:$B$9999="Variant")*(Raw_Data_Daily!$A$2:$A$9999=$A23)*(Raw_Data_Daily!$C$2:$C$9999=$C$3)*Raw_Data_Daily!$D$2:$D$9999*Raw_Data_Daily!$AC$2:$AC$9999)/SUMIFS(Raw_Data_Daily!$D:$D, Raw_Data_Daily!$B:$B, "Variant", Raw_Data_Daily!$A:$A, $A23, Raw_Data_Daily!$C:$C, $C$3),""))</f>
        <v/>
      </c>
      <c r="CD23" s="243" t="str">
        <f t="shared" si="27"/>
        <v/>
      </c>
      <c r="CE23" s="245" t="str">
        <f>IF($A23="","",IFERROR(SUMPRODUCT((Raw_Data_Daily!$B$2:$B$9999="Control")*(Raw_Data_Daily!$A$2:$A$9999=$A23)*(Raw_Data_Daily!$C$2:$C$9999=$C$3)*Raw_Data_Daily!$D$2:$D$9999*Raw_Data_Daily!$AD$2:$AD$9999)/SUMIFS(Raw_Data_Daily!$D:$D, Raw_Data_Daily!$B:$B, "Control", Raw_Data_Daily!$A:$A, $A23, Raw_Data_Daily!$C:$C, $C$3),""))</f>
        <v/>
      </c>
      <c r="CF23" s="245" t="str">
        <f>IF($A23="","",IFERROR(SUMPRODUCT((Raw_Data_Daily!$B$2:$B$9999="Variant")*(Raw_Data_Daily!$A$2:$A$9999=$A23)*(Raw_Data_Daily!$C$2:$C$9999=$C$3)*Raw_Data_Daily!$D$2:$D$9999*Raw_Data_Daily!$AD$2:$AD$9999)/SUMIFS(Raw_Data_Daily!$D:$D, Raw_Data_Daily!$B:$B, "Variant", Raw_Data_Daily!$A:$A, $A23, Raw_Data_Daily!$C:$C, $C$3),""))</f>
        <v/>
      </c>
      <c r="CG23" s="243" t="str">
        <f t="shared" si="28"/>
        <v/>
      </c>
      <c r="CH23" s="245" t="str">
        <f>IF($A23="","",IFERROR(SUMPRODUCT((Raw_Data_Daily!$B$2:$B$9999="Control")*(Raw_Data_Daily!$A$2:$A$9999=$A23)*(Raw_Data_Daily!$C$2:$C$9999=$C$3)*Raw_Data_Daily!$D$2:$D$9999*Raw_Data_Daily!$AE$2:$AE$9999)/SUMIFS(Raw_Data_Daily!$D:$D, Raw_Data_Daily!$B:$B, "Control", Raw_Data_Daily!$A:$A, $A23, Raw_Data_Daily!$C:$C, $C$3),""))</f>
        <v/>
      </c>
      <c r="CI23" s="245" t="str">
        <f>IF($A23="","",IFERROR(SUMPRODUCT((Raw_Data_Daily!$B$2:$B$9999="Variant")*(Raw_Data_Daily!$A$2:$A$9999=$A23)*(Raw_Data_Daily!$C$2:$C$9999=$C$3)*Raw_Data_Daily!$D$2:$D$9999*Raw_Data_Daily!$AE$2:$AE$9999)/SUMIFS(Raw_Data_Daily!$D:$D, Raw_Data_Daily!$B:$B, "Variant", Raw_Data_Daily!$A:$A, $A23, Raw_Data_Daily!$C:$C, $C$3),""))</f>
        <v/>
      </c>
      <c r="CJ23" s="243" t="str">
        <f t="shared" si="29"/>
        <v/>
      </c>
      <c r="CK23" s="245" t="str">
        <f>IF($A23="","",IFERROR(SUMPRODUCT((Raw_Data_Daily!$B$2:$B$9999="Control")*(Raw_Data_Daily!$A$2:$A$9999=$A23)*(Raw_Data_Daily!$C$2:$C$9999=$C$3)*Raw_Data_Daily!$D$2:$D$9999*Raw_Data_Daily!$AF$2:$AF$9999)/SUMIFS(Raw_Data_Daily!$D:$D, Raw_Data_Daily!$B:$B, "Control", Raw_Data_Daily!$A:$A, $A23, Raw_Data_Daily!$C:$C, $C$3),""))</f>
        <v/>
      </c>
      <c r="CL23" s="245" t="str">
        <f>IF($A23="","",IFERROR(SUMPRODUCT((Raw_Data_Daily!$B$2:$B$9999="Variant")*(Raw_Data_Daily!$A$2:$A$9999=$A23)*(Raw_Data_Daily!$C$2:$C$9999=$C$3)*Raw_Data_Daily!$D$2:$D$9999*Raw_Data_Daily!$AF$2:$AF$9999)/SUMIFS(Raw_Data_Daily!$D:$D, Raw_Data_Daily!$B:$B, "Variant", Raw_Data_Daily!$A:$A, $A23, Raw_Data_Daily!$C:$C, $C$3),""))</f>
        <v/>
      </c>
      <c r="CM23" s="243" t="str">
        <f t="shared" si="30"/>
        <v/>
      </c>
      <c r="CN23" s="245" t="str">
        <f>IF($A23="","",IFERROR(SUMPRODUCT((Raw_Data_Daily!$B$2:$B$9999="Control")*(Raw_Data_Daily!$A$2:$A$9999=$A23)*(Raw_Data_Daily!$C$2:$C$9999=$C$3)*Raw_Data_Daily!$D$2:$D$9999*Raw_Data_Daily!$AG$2:$AG$9999)/SUMIFS(Raw_Data_Daily!$D:$D, Raw_Data_Daily!$B:$B, "Control", Raw_Data_Daily!$A:$A, $A23, Raw_Data_Daily!$C:$C, $C$3),""))</f>
        <v/>
      </c>
      <c r="CO23" s="245" t="str">
        <f>IF($A23="","",IFERROR(SUMPRODUCT((Raw_Data_Daily!$B$2:$B$9999="Variant")*(Raw_Data_Daily!$A$2:$A$9999=$A23)*(Raw_Data_Daily!$C$2:$C$9999=$C$3)*Raw_Data_Daily!$D$2:$D$9999*Raw_Data_Daily!$AG$2:$AG$9999)/SUMIFS(Raw_Data_Daily!$D:$D, Raw_Data_Daily!$B:$B, "Variant", Raw_Data_Daily!$A:$A, $A23, Raw_Data_Daily!$C:$C, $C$3),""))</f>
        <v/>
      </c>
      <c r="CP23" s="243" t="str">
        <f t="shared" si="31"/>
        <v/>
      </c>
      <c r="CQ23" s="245" t="str">
        <f>IF($A23="","",IFERROR(SUMPRODUCT((Raw_Data_Daily!$B$2:$B$9999="Control")*(Raw_Data_Daily!$A$2:$A$9999=$A23)*(Raw_Data_Daily!$C$2:$C$9999=$C$3)*Raw_Data_Daily!$D$2:$D$9999*Raw_Data_Daily!$AH$2:$AH$9999)/SUMIFS(Raw_Data_Daily!$D:$D, Raw_Data_Daily!$B:$B, "Control", Raw_Data_Daily!$A:$A, $A23, Raw_Data_Daily!$C:$C, $C$3),""))</f>
        <v/>
      </c>
      <c r="CR23" s="245" t="str">
        <f>IF($A23="","",IFERROR(SUMPRODUCT((Raw_Data_Daily!$B$2:$B$9999="Variant")*(Raw_Data_Daily!$A$2:$A$9999=$A23)*(Raw_Data_Daily!$C$2:$C$9999=$C$3)*Raw_Data_Daily!$D$2:$D$9999*Raw_Data_Daily!$AH$2:$AH$9999)/SUMIFS(Raw_Data_Daily!$D:$D, Raw_Data_Daily!$B:$B, "Variant", Raw_Data_Daily!$A:$A, $A23, Raw_Data_Daily!$C:$C, $C$3),""))</f>
        <v/>
      </c>
      <c r="CS23" s="243" t="str">
        <f t="shared" si="32"/>
        <v/>
      </c>
      <c r="CT23" s="241" t="str">
        <f>IF($A23="","",IFERROR(SUMPRODUCT((Raw_Data_Daily!$B$2:$B$9999="Control")*(Raw_Data_Daily!$A$2:$A$9999=$A23)*(Raw_Data_Daily!$C$2:$C$9999=$C$3)*Raw_Data_Daily!$D$2:$D$9999*Raw_Data_Daily!$AI$2:$AI$9999)/SUMIFS(Raw_Data_Daily!$D:$D, Raw_Data_Daily!$B:$B, "Control", Raw_Data_Daily!$A:$A, $A23, Raw_Data_Daily!$C:$C, $C$3),""))</f>
        <v/>
      </c>
      <c r="CU23" s="241" t="str">
        <f>IF($A23="","",IFERROR(SUMPRODUCT((Raw_Data_Daily!$B$2:$B$9999="Variant")*(Raw_Data_Daily!$A$2:$A$9999=$A23)*(Raw_Data_Daily!$C$2:$C$9999=$C$3)*Raw_Data_Daily!$D$2:$D$9999*Raw_Data_Daily!$AI$2:$AI$9999)/SUMIFS(Raw_Data_Daily!$D:$D, Raw_Data_Daily!$B:$B, "Variant", Raw_Data_Daily!$A:$A, $A23, Raw_Data_Daily!$C:$C, $C$3),""))</f>
        <v/>
      </c>
      <c r="CV23" s="247" t="str">
        <f t="shared" si="33"/>
        <v/>
      </c>
      <c r="CW23" s="241" t="str">
        <f>IF($A23="","",IFERROR(SUMPRODUCT((Raw_Data_Daily!$B$2:$B$9999="Control")*(Raw_Data_Daily!$A$2:$A$9999=$A23)*(Raw_Data_Daily!$C$2:$C$9999=$C$3)*Raw_Data_Daily!$D$2:$D$9999*Raw_Data_Daily!$AJ$2:$AJ$9999)/SUMIFS(Raw_Data_Daily!$D:$D, Raw_Data_Daily!$B:$B, "Control", Raw_Data_Daily!$A:$A, $A23, Raw_Data_Daily!$C:$C, $C$3),""))</f>
        <v/>
      </c>
      <c r="CX23" s="241" t="str">
        <f>IF($A23="","",IFERROR(SUMPRODUCT((Raw_Data_Daily!$B$2:$B$9999="Variant")*(Raw_Data_Daily!$A$2:$A$9999=$A23)*(Raw_Data_Daily!$C$2:$C$9999=$C$3)*Raw_Data_Daily!$D$2:$D$9999*Raw_Data_Daily!$AJ$2:$AJ$9999)/SUMIFS(Raw_Data_Daily!$D:$D, Raw_Data_Daily!$B:$B, "Variant", Raw_Data_Daily!$A:$A, $A23, Raw_Data_Daily!$C:$C, $C$3),""))</f>
        <v/>
      </c>
      <c r="CY23" s="247" t="str">
        <f t="shared" si="34"/>
        <v/>
      </c>
      <c r="CZ23" s="241" t="str">
        <f>IF($A23="","",IFERROR(SUMPRODUCT((Raw_Data_Daily!$B$2:$B$9999="Control")*(Raw_Data_Daily!$A$2:$A$9999=$A23)*(Raw_Data_Daily!$C$2:$C$9999=$C$3)*Raw_Data_Daily!$D$2:$D$9999*Raw_Data_Daily!$AK$2:$AK$9999)/SUMIFS(Raw_Data_Daily!$D:$D, Raw_Data_Daily!$B:$B, "Control", Raw_Data_Daily!$A:$A, $A23, Raw_Data_Daily!$C:$C, $C$3),""))</f>
        <v/>
      </c>
      <c r="DA23" s="241" t="str">
        <f>IF($A23="","",IFERROR(SUMPRODUCT((Raw_Data_Daily!$B$2:$B$9999="Variant")*(Raw_Data_Daily!$A$2:$A$9999=$A23)*(Raw_Data_Daily!$C$2:$C$9999=$C$3)*Raw_Data_Daily!$D$2:$D$9999*Raw_Data_Daily!$AK$2:$AK$9999)/SUMIFS(Raw_Data_Daily!$D:$D, Raw_Data_Daily!$B:$B, "Variant", Raw_Data_Daily!$A:$A, $A23, Raw_Data_Daily!$C:$C, $C$3),""))</f>
        <v/>
      </c>
      <c r="DB23" s="243" t="str">
        <f t="shared" si="35"/>
        <v/>
      </c>
      <c r="DC23" s="246" t="str">
        <f>IF($A23="","",IFERROR(SUMPRODUCT((Raw_Data_Daily!$B$2:$B$9999="Control")*(Raw_Data_Daily!$A$2:$A$9999=$A23)*(Raw_Data_Daily!$C$2:$C$9999=$C$3)*Raw_Data_Daily!$D$2:$D$9999*Raw_Data_Daily!$AL$2:$AL$9999)/SUMIFS(Raw_Data_Daily!$D:$D, Raw_Data_Daily!$B:$B, "Control", Raw_Data_Daily!$A:$A, $A23, Raw_Data_Daily!$C:$C, $C$3),""))</f>
        <v/>
      </c>
      <c r="DD23" s="246" t="str">
        <f>IF($A23="","",IFERROR(SUMPRODUCT((Raw_Data_Daily!$B$2:$B$9999="Variant")*(Raw_Data_Daily!$A$2:$A$9999=$A23)*(Raw_Data_Daily!$C$2:$C$9999=$C$3)*Raw_Data_Daily!$D$2:$D$9999*Raw_Data_Daily!$AL$2:$AL$9999)/SUMIFS(Raw_Data_Daily!$D:$D, Raw_Data_Daily!$B:$B, "Variant", Raw_Data_Daily!$A:$A, $A23, Raw_Data_Daily!$C:$C, $C$3),""))</f>
        <v/>
      </c>
      <c r="DE23" s="247" t="str">
        <f t="shared" si="36"/>
        <v/>
      </c>
      <c r="DF23" s="248"/>
      <c r="DG23" s="241" t="str">
        <f>IF($A23="","",IFERROR(SUMPRODUCT((Raw_Data_Daily!$B$2:$B$9999="Variant")*(Raw_Data_Daily!$A$2:$A$9999=$A23)*(Raw_Data_Daily!$C$2:$C$9999=$C$3)*Raw_Data_Daily!$D$2:$D$9999*Raw_Data_Daily!$AM$2:$AM$9999)/SUMIFS(Raw_Data_Daily!$D:$D, Raw_Data_Daily!$B:$B, "Variant", Raw_Data_Daily!$A:$A, $A23, Raw_Data_Daily!$C:$C, $C$3),""))</f>
        <v/>
      </c>
      <c r="DH23" s="249"/>
      <c r="DI23" s="248"/>
      <c r="DJ23" s="241" t="str">
        <f>IF($A23="","",IFERROR(SUMPRODUCT((Raw_Data_Daily!$B$2:$B$9999="Variant")*(Raw_Data_Daily!$A$2:$A$9999=$A23)*(Raw_Data_Daily!$C$2:$C$9999=$C$3)*Raw_Data_Daily!$D$2:$D$9999*Raw_Data_Daily!$AN$2:$AN$9999)/SUMIFS(Raw_Data_Daily!$D:$D, Raw_Data_Daily!$B:$B, "Variant", Raw_Data_Daily!$A:$A, $A23, Raw_Data_Daily!$C:$C, $C$3),""))</f>
        <v/>
      </c>
      <c r="DK23" s="249"/>
      <c r="DL23" s="248"/>
      <c r="DM23" s="241" t="str">
        <f>IF($A23="","",IFERROR(SUMPRODUCT((Raw_Data_Daily!$B$2:$B$9999="Variant")*(Raw_Data_Daily!$A$2:$A$9999=$A23)*(Raw_Data_Daily!$C$2:$C$9999=$C$3)*Raw_Data_Daily!$D$2:$D$9999*Raw_Data_Daily!$AO$2:$AO$9999)/SUMIFS(Raw_Data_Daily!$D:$D, Raw_Data_Daily!$B:$B, "Variant", Raw_Data_Daily!$A:$A, $A23, Raw_Data_Daily!$C:$C, $C$3),""))</f>
        <v/>
      </c>
      <c r="DN23" s="249"/>
      <c r="DO23" s="248"/>
      <c r="DP23" s="241" t="str">
        <f>IF($A23="","",IFERROR(SUMPRODUCT((Raw_Data_Daily!$B$2:$B$9999="Variant")*(Raw_Data_Daily!$A$2:$A$9999=$A23)*(Raw_Data_Daily!$C$2:$C$9999=$C$3)*Raw_Data_Daily!$D$2:$D$9999*Raw_Data_Daily!$AP$2:$AP$9999)/SUMIFS(Raw_Data_Daily!$D:$D, Raw_Data_Daily!$B:$B, "Variant", Raw_Data_Daily!$A:$A, $A23, Raw_Data_Daily!$C:$C, $C$3),""))</f>
        <v/>
      </c>
      <c r="DQ23" s="249"/>
      <c r="DR23" s="246" t="str">
        <f>IF($A23="","",IFERROR(SUMPRODUCT((Raw_Data_Daily!$B$2:$B$9999="Control")*(Raw_Data_Daily!$A$2:$A$9999=$A23)*(Raw_Data_Daily!$C$2:$C$9999=$C$3)*Raw_Data_Daily!$D$2:$D$9999*Raw_Data_Daily!$AQ$2:$AQ$9999)/SUMIFS(Raw_Data_Daily!$D:$D, Raw_Data_Daily!$B:$B, "Control", Raw_Data_Daily!$A:$A, $A23, Raw_Data_Daily!$C:$C, $C$3),""))</f>
        <v/>
      </c>
      <c r="DS23" s="246" t="str">
        <f>IF($A23="","",IFERROR(SUMPRODUCT((Raw_Data_Daily!$B$2:$B$9999="Variant")*(Raw_Data_Daily!$A$2:$A$9999=$A23)*(Raw_Data_Daily!$C$2:$C$9999=$C$3)*Raw_Data_Daily!$D$2:$D$9999*Raw_Data_Daily!$AQ$2:$AQ$9999)/SUMIFS(Raw_Data_Daily!$D:$D, Raw_Data_Daily!$B:$B, "Variant", Raw_Data_Daily!$A:$A, $A23, Raw_Data_Daily!$C:$C, $C$3),""))</f>
        <v/>
      </c>
      <c r="DT23" s="250" t="str">
        <f t="shared" si="37"/>
        <v/>
      </c>
      <c r="DU23" s="246" t="str">
        <f>IF($A23="","",IFERROR(SUMPRODUCT((Raw_Data_Daily!$B$2:$B$9999="Control")*(Raw_Data_Daily!$A$2:$A$9999=$A23)*(Raw_Data_Daily!$C$2:$C$9999=$C$3)*Raw_Data_Daily!$D$2:$D$9999*Raw_Data_Daily!$AR$2:$AR$9999)/SUMIFS(Raw_Data_Daily!$D:$D, Raw_Data_Daily!$B:$B, "Control", Raw_Data_Daily!$A:$A, $A23, Raw_Data_Daily!$C:$C, $C$3),""))</f>
        <v/>
      </c>
      <c r="DV23" s="246" t="str">
        <f>IF($A23="","",IFERROR(SUMPRODUCT((Raw_Data_Daily!$B$2:$B$9999="Variant")*(Raw_Data_Daily!$A$2:$A$9999=$A23)*(Raw_Data_Daily!$C$2:$C$9999=$C$3)*Raw_Data_Daily!$D$2:$D$9999*Raw_Data_Daily!$AR$2:$AR$9999)/SUMIFS(Raw_Data_Daily!$D:$D, Raw_Data_Daily!$B:$B, "Variant", Raw_Data_Daily!$A:$A, $A23, Raw_Data_Daily!$C:$C, $C$3),""))</f>
        <v/>
      </c>
      <c r="DW23" s="250" t="str">
        <f t="shared" si="38"/>
        <v/>
      </c>
      <c r="DX23" s="246" t="str">
        <f>IF($A23="","",IFERROR(SUMPRODUCT((Raw_Data_Daily!$B$2:$B$9999="Control")*(Raw_Data_Daily!$A$2:$A$9999=$A23)*(Raw_Data_Daily!$C$2:$C$9999=$C$3)*Raw_Data_Daily!$D$2:$D$9999*Raw_Data_Daily!$AS$2:$AS$9999)/SUMIFS(Raw_Data_Daily!$D:$D, Raw_Data_Daily!$B:$B, "Control", Raw_Data_Daily!$A:$A, $A23, Raw_Data_Daily!$C:$C, $C$3),""))</f>
        <v/>
      </c>
      <c r="DY23" s="246" t="str">
        <f>IF($A23="","",IFERROR(SUMPRODUCT((Raw_Data_Daily!$B$2:$B$9999="Variant")*(Raw_Data_Daily!$A$2:$A$9999=$A23)*(Raw_Data_Daily!$C$2:$C$9999=$C$3)*Raw_Data_Daily!$D$2:$D$9999*Raw_Data_Daily!$AS$2:$AS$9999)/SUMIFS(Raw_Data_Daily!$D:$D, Raw_Data_Daily!$B:$B, "Variant", Raw_Data_Daily!$A:$A, $A23, Raw_Data_Daily!$C:$C, $C$3),""))</f>
        <v/>
      </c>
      <c r="DZ23" s="251" t="str">
        <f t="shared" si="39"/>
        <v/>
      </c>
      <c r="EA23" s="246" t="str">
        <f>IF($A23="","",IFERROR(SUMPRODUCT((Raw_Data_Daily!$B$2:$B$9999="Control")*(Raw_Data_Daily!$A$2:$A$9999=$A23)*(Raw_Data_Daily!$C$2:$C$9999=$C$3)*Raw_Data_Daily!$D$2:$D$9999*Raw_Data_Daily!$AT$2:$AT$9999)/SUMIFS(Raw_Data_Daily!$D:$D, Raw_Data_Daily!$B:$B, "Control", Raw_Data_Daily!$A:$A, $A23, Raw_Data_Daily!$C:$C, $C$3),""))</f>
        <v/>
      </c>
      <c r="EB23" s="246" t="str">
        <f>IF($A23="","",IFERROR(SUMPRODUCT((Raw_Data_Daily!$B$2:$B$9999="Variant")*(Raw_Data_Daily!$A$2:$A$9999=$A23)*(Raw_Data_Daily!$C$2:$C$9999=$C$3)*Raw_Data_Daily!$D$2:$D$9999*Raw_Data_Daily!$AT$2:$AT$9999)/SUMIFS(Raw_Data_Daily!$D:$D, Raw_Data_Daily!$B:$B, "Variant", Raw_Data_Daily!$A:$A, $A23, Raw_Data_Daily!$C:$C, $C$3),""))</f>
        <v/>
      </c>
      <c r="EC23" s="250" t="str">
        <f t="shared" si="40"/>
        <v/>
      </c>
      <c r="ED23" s="246" t="str">
        <f>IF($A23="","",IFERROR(SUMPRODUCT((Raw_Data_Daily!$B$2:$B$9999="Control")*(Raw_Data_Daily!$A$2:$A$9999=$A23)*(Raw_Data_Daily!$C$2:$C$9999=$C$3)*Raw_Data_Daily!$D$2:$D$9999*(Raw_Data_Daily!$AQ$2:$AQ$9999-Raw_Data_Daily!$AT$2:$AT$9999))/SUMIFS(Raw_Data_Daily!$D:$D, Raw_Data_Daily!$B:$B, "Control", Raw_Data_Daily!$A:$A, $A23, Raw_Data_Daily!$C:$C, $C$3),""))</f>
        <v/>
      </c>
      <c r="EE23" s="246" t="str">
        <f>IF($A23="","",IFERROR(SUMPRODUCT((Raw_Data_Daily!$B$2:$B$9999="Variant")*(Raw_Data_Daily!$A$2:$A$9999=$A23)*(Raw_Data_Daily!$C$2:$C$9999=$C$3)*Raw_Data_Daily!$D$2:$D$9999*(Raw_Data_Daily!$AQ$2:$AQ$9999-Raw_Data_Daily!$AT$2:$AT$9999))/SUMIFS(Raw_Data_Daily!$D:$D, Raw_Data_Daily!$B:$B, "Variant", Raw_Data_Daily!$A:$A, $A23, Raw_Data_Daily!$C:$C, $C$3),""))</f>
        <v/>
      </c>
      <c r="EF23" s="251" t="str">
        <f t="shared" si="41"/>
        <v/>
      </c>
      <c r="EG23" s="246" t="str">
        <f>IF($A23="","",IFERROR(SUMPRODUCT((Raw_Data_Daily!$B$2:$B$9999="Control")*(Raw_Data_Daily!$A$2:$A$9999=$A23)*(Raw_Data_Daily!$C$2:$C$9999=$C$3)*Raw_Data_Daily!$D$2:$D$9999*Raw_Data_Daily!$AU$2:$AU$9999)/SUMIFS(Raw_Data_Daily!$D:$D, Raw_Data_Daily!$B:$B, "Control", Raw_Data_Daily!$A:$A, $A23, Raw_Data_Daily!$C:$C, $C$3),""))</f>
        <v/>
      </c>
      <c r="EH23" s="246" t="str">
        <f>IF($A23="","",IFERROR(SUMPRODUCT((Raw_Data_Daily!$B$2:$B$9999="Variant")*(Raw_Data_Daily!$A$2:$A$9999=$A23)*(Raw_Data_Daily!$C$2:$C$9999=$C$3)*Raw_Data_Daily!$D$2:$D$9999*Raw_Data_Daily!$AU$2:$AU$9999)/SUMIFS(Raw_Data_Daily!$D:$D, Raw_Data_Daily!$B:$B, "Variant", Raw_Data_Daily!$A:$A, $A23, Raw_Data_Daily!$C:$C, $C$3),""))</f>
        <v/>
      </c>
      <c r="EI23" s="250" t="str">
        <f t="shared" si="42"/>
        <v/>
      </c>
    </row>
    <row r="24" ht="15.75" customHeight="1">
      <c r="A24" s="252">
        <v>46247.0</v>
      </c>
      <c r="B24" s="253">
        <f>IF($A24="","",SUMIFS(Raw_Data_Daily!$D:$D, Raw_Data_Daily!$B:$B, "Control", Raw_Data_Daily!$A:$A, $A24, Raw_Data_Daily!$C:$C, $C$3))</f>
        <v>0</v>
      </c>
      <c r="C24" s="253">
        <f>IF($A24="","",SUMIFS(Raw_Data_Daily!$D:$D, Raw_Data_Daily!$B:$B, "Variant", Raw_Data_Daily!$A:$A, $A24, Raw_Data_Daily!$C:$C, $C$3))</f>
        <v>0</v>
      </c>
      <c r="D24" s="254" t="str">
        <f t="shared" si="1"/>
        <v/>
      </c>
      <c r="E24" s="255" t="str">
        <f>IF($A24="","",IFERROR(SUMPRODUCT((Raw_Data_Daily!$B$2:$B$9999="Control")*(Raw_Data_Daily!$A$2:$A$9999=$A24)*(Raw_Data_Daily!$C$2:$C$9999=$C$3)*Raw_Data_Daily!$D$2:$D$9999*Raw_Data_Daily!$E$2:$E$9999)/SUMIFS(Raw_Data_Daily!$D:$D, Raw_Data_Daily!$B:$B, "Control", Raw_Data_Daily!$A:$A, $A24, Raw_Data_Daily!$C:$C, $C$3),""))</f>
        <v/>
      </c>
      <c r="F24" s="255" t="str">
        <f>IF($A24="","",IFERROR(SUMPRODUCT((Raw_Data_Daily!$B$2:$B$9999="Variant")*(Raw_Data_Daily!$A$2:$A$9999=$A24)*(Raw_Data_Daily!$C$2:$C$9999=$C$3)*Raw_Data_Daily!$D$2:$D$9999*Raw_Data_Daily!$E$2:$E$9999)/SUMIFS(Raw_Data_Daily!$D:$D, Raw_Data_Daily!$B:$B, "Variant", Raw_Data_Daily!$A:$A, $A24, Raw_Data_Daily!$C:$C, $C$3),""))</f>
        <v/>
      </c>
      <c r="G24" s="254" t="str">
        <f t="shared" si="2"/>
        <v/>
      </c>
      <c r="H24" s="256">
        <f>IF($A24="","",SUMIFS(Raw_Data_Daily!$F:$F, Raw_Data_Daily!$B:$B, "Control", Raw_Data_Daily!$A:$A, $A24, Raw_Data_Daily!$C:$C, $C$3))</f>
        <v>0</v>
      </c>
      <c r="I24" s="256">
        <f>IF($A24="","",SUMIFS(Raw_Data_Daily!$F:$F, Raw_Data_Daily!$B:$B, "Variant", Raw_Data_Daily!$A:$A, $A24, Raw_Data_Daily!$C:$C, $C$3))</f>
        <v>0</v>
      </c>
      <c r="J24" s="257" t="str">
        <f t="shared" si="3"/>
        <v/>
      </c>
      <c r="K24" s="258" t="str">
        <f>IF($A24="","",IFERROR(SUMIFS(Raw_Data_Daily!$F:$F, Raw_Data_Daily!$B:$B, "Control", Raw_Data_Daily!$A:$A, $A24, Raw_Data_Daily!$C:$C, $C$3)/SUMIFS(Raw_Data_Daily!$D:$D, Raw_Data_Daily!$B:$B, "Control", Raw_Data_Daily!$A:$A, $A24, Raw_Data_Daily!$C:$C, $C$3),""))</f>
        <v/>
      </c>
      <c r="L24" s="258" t="str">
        <f>IF($A24="","",IFERROR(SUMIFS(Raw_Data_Daily!$F:$F, Raw_Data_Daily!$B:$B, "Variant", Raw_Data_Daily!$A:$A, $A24, Raw_Data_Daily!$C:$C, $C$3)/SUMIFS(Raw_Data_Daily!$D:$D, Raw_Data_Daily!$B:$B, "Variant", Raw_Data_Daily!$A:$A, $A24, Raw_Data_Daily!$C:$C, $C$3),""))</f>
        <v/>
      </c>
      <c r="M24" s="257" t="str">
        <f t="shared" si="4"/>
        <v/>
      </c>
      <c r="N24" s="255" t="str">
        <f>IF($A24="","",IFERROR(SUMPRODUCT((Raw_Data_Daily!$B$2:$B$9999="Control")*(Raw_Data_Daily!$A$2:$A$9999=$A24)*(Raw_Data_Daily!$C$2:$C$9999=$C$3)*Raw_Data_Daily!$D$2:$D$9999*Raw_Data_Daily!$H$2:$H$9999/100)/SUMIFS(Raw_Data_Daily!$D:$D, Raw_Data_Daily!$B:$B, "Control", Raw_Data_Daily!$A:$A, $A24, Raw_Data_Daily!$C:$C, $C$3)*100,""))</f>
        <v/>
      </c>
      <c r="O24" s="255" t="str">
        <f>IF($A24="","",IFERROR(SUMPRODUCT((Raw_Data_Daily!$B$2:$B$9999="Variant")*(Raw_Data_Daily!$A$2:$A$9999=$A24)*(Raw_Data_Daily!$C$2:$C$9999=$C$3)*Raw_Data_Daily!$D$2:$D$9999*Raw_Data_Daily!$H$2:$H$9999/100)/SUMIFS(Raw_Data_Daily!$D:$D, Raw_Data_Daily!$B:$B, "Variant", Raw_Data_Daily!$A:$A, $A24, Raw_Data_Daily!$C:$C, $C$3)*100,""))</f>
        <v/>
      </c>
      <c r="P24" s="257" t="str">
        <f t="shared" si="5"/>
        <v/>
      </c>
      <c r="Q24" s="258" t="str">
        <f>IF($A24="","",IFERROR(SUMIFS(Raw_Data_Daily!$F:$F, Raw_Data_Daily!$B:$B, "Control", Raw_Data_Daily!$A:$A, $A24, Raw_Data_Daily!$C:$C, $C$3)/SUMPRODUCT((Raw_Data_Daily!$B$2:$B$9999="Control")*(Raw_Data_Daily!$A$2:$A$9999=$A24)*(Raw_Data_Daily!$C$2:$C$9999=$C$3)*Raw_Data_Daily!$D$2:$D$9999*Raw_Data_Daily!$H$2:$H$9999/100),""))</f>
        <v/>
      </c>
      <c r="R24" s="258" t="str">
        <f>IF($A24="","",IFERROR(SUMIFS(Raw_Data_Daily!$F:$F, Raw_Data_Daily!$B:$B, "Variant", Raw_Data_Daily!$A:$A, $A24, Raw_Data_Daily!$C:$C, $C$3)/SUMPRODUCT((Raw_Data_Daily!$B$2:$B$9999="Variant")*(Raw_Data_Daily!$A$2:$A$9999=$A24)*(Raw_Data_Daily!$C$2:$C$9999=$C$3)*Raw_Data_Daily!$D$2:$D$9999*Raw_Data_Daily!$H$2:$H$9999/100),""))</f>
        <v/>
      </c>
      <c r="S24" s="257" t="str">
        <f t="shared" si="6"/>
        <v/>
      </c>
      <c r="T24" s="259" t="str">
        <f>IF($A24="","",IFERROR(SUMPRODUCT((Raw_Data_Daily!$B$2:$B$9999="Control")*(Raw_Data_Daily!$A$2:$A$9999=$A24)*(Raw_Data_Daily!$C$2:$C$9999=$C$3)*Raw_Data_Daily!$D$2:$D$9999*Raw_Data_Daily!$J$2:$J$9999)/SUMIFS(Raw_Data_Daily!$D:$D, Raw_Data_Daily!$B:$B, "Control", Raw_Data_Daily!$A:$A, $A24, Raw_Data_Daily!$C:$C, $C$3),""))</f>
        <v/>
      </c>
      <c r="U24" s="259" t="str">
        <f>IF($A24="","",IFERROR(SUMPRODUCT((Raw_Data_Daily!$B$2:$B$9999="Variant")*(Raw_Data_Daily!$A$2:$A$9999=$A24)*(Raw_Data_Daily!$C$2:$C$9999=$C$3)*Raw_Data_Daily!$D$2:$D$9999*Raw_Data_Daily!$J$2:$J$9999)/SUMIFS(Raw_Data_Daily!$D:$D, Raw_Data_Daily!$B:$B, "Variant", Raw_Data_Daily!$A:$A, $A24, Raw_Data_Daily!$C:$C, $C$3),""))</f>
        <v/>
      </c>
      <c r="V24" s="257" t="str">
        <f t="shared" si="7"/>
        <v/>
      </c>
      <c r="W24" s="259" t="str">
        <f>IF($A24="","",IFERROR(SUMPRODUCT((Raw_Data_Daily!$B$2:$B$9999="Control")*(Raw_Data_Daily!$A$2:$A$9999=$A24)*(Raw_Data_Daily!$C$2:$C$9999=$C$3)*Raw_Data_Daily!$D$2:$D$9999*Raw_Data_Daily!$K$2:$K$9999)/SUMIFS(Raw_Data_Daily!$D:$D, Raw_Data_Daily!$B:$B, "Control", Raw_Data_Daily!$A:$A, $A24, Raw_Data_Daily!$C:$C, $C$3),""))</f>
        <v/>
      </c>
      <c r="X24" s="259" t="str">
        <f>IF($A24="","",IFERROR(SUMPRODUCT((Raw_Data_Daily!$B$2:$B$9999="Variant")*(Raw_Data_Daily!$A$2:$A$9999=$A24)*(Raw_Data_Daily!$C$2:$C$9999=$C$3)*Raw_Data_Daily!$D$2:$D$9999*Raw_Data_Daily!$K$2:$K$9999)/SUMIFS(Raw_Data_Daily!$D:$D, Raw_Data_Daily!$B:$B, "Variant", Raw_Data_Daily!$A:$A, $A24, Raw_Data_Daily!$C:$C, $C$3),""))</f>
        <v/>
      </c>
      <c r="Y24" s="257" t="str">
        <f t="shared" si="8"/>
        <v/>
      </c>
      <c r="Z24" s="259" t="str">
        <f>IF($A24="","",IFERROR(SUMPRODUCT((Raw_Data_Daily!$B$2:$B$9999="Control")*(Raw_Data_Daily!$A$2:$A$9999=$A24)*(Raw_Data_Daily!$C$2:$C$9999=$C$3)*Raw_Data_Daily!$D$2:$D$9999*Raw_Data_Daily!$L$2:$L$9999)/SUMIFS(Raw_Data_Daily!$D:$D, Raw_Data_Daily!$B:$B, "Control", Raw_Data_Daily!$A:$A, $A24, Raw_Data_Daily!$C:$C, $C$3),""))</f>
        <v/>
      </c>
      <c r="AA24" s="259" t="str">
        <f>IF($A24="","",IFERROR(SUMPRODUCT((Raw_Data_Daily!$B$2:$B$9999="Variant")*(Raw_Data_Daily!$A$2:$A$9999=$A24)*(Raw_Data_Daily!$C$2:$C$9999=$C$3)*Raw_Data_Daily!$D$2:$D$9999*Raw_Data_Daily!$L$2:$L$9999)/SUMIFS(Raw_Data_Daily!$D:$D, Raw_Data_Daily!$B:$B, "Variant", Raw_Data_Daily!$A:$A, $A24, Raw_Data_Daily!$C:$C, $C$3),""))</f>
        <v/>
      </c>
      <c r="AB24" s="257" t="str">
        <f t="shared" si="9"/>
        <v/>
      </c>
      <c r="AC24" s="260" t="str">
        <f>IF($A24="","",IFERROR(SUMPRODUCT((Raw_Data_Daily!$B$2:$B$9999="Control")*(Raw_Data_Daily!$A$2:$A$9999=$A24)*(Raw_Data_Daily!$C$2:$C$9999=$C$3)*Raw_Data_Daily!$D$2:$D$9999*Raw_Data_Daily!$M$2:$M$9999)/SUMIFS(Raw_Data_Daily!$D:$D, Raw_Data_Daily!$B:$B, "Control", Raw_Data_Daily!$A:$A, $A24, Raw_Data_Daily!$C:$C, $C$3),""))</f>
        <v/>
      </c>
      <c r="AD24" s="260" t="str">
        <f>IF($A24="","",IFERROR(SUMPRODUCT((Raw_Data_Daily!$B$2:$B$9999="Variant")*(Raw_Data_Daily!$A$2:$A$9999=$A24)*(Raw_Data_Daily!$C$2:$C$9999=$C$3)*Raw_Data_Daily!$D$2:$D$9999*Raw_Data_Daily!$M$2:$M$9999)/SUMIFS(Raw_Data_Daily!$D:$D, Raw_Data_Daily!$B:$B, "Variant", Raw_Data_Daily!$A:$A, $A24, Raw_Data_Daily!$C:$C, $C$3),""))</f>
        <v/>
      </c>
      <c r="AE24" s="261" t="str">
        <f t="shared" si="10"/>
        <v/>
      </c>
      <c r="AF24" s="260" t="str">
        <f>IF($A24="","",IFERROR(SUMPRODUCT((Raw_Data_Daily!$B$2:$B$9999="Control")*(Raw_Data_Daily!$A$2:$A$9999=$A24)*(Raw_Data_Daily!$C$2:$C$9999=$C$3)*Raw_Data_Daily!$D$2:$D$9999*Raw_Data_Daily!$N$2:$N$9999)/SUMIFS(Raw_Data_Daily!$D:$D, Raw_Data_Daily!$B:$B, "Control", Raw_Data_Daily!$A:$A, $A24, Raw_Data_Daily!$C:$C, $C$3),""))</f>
        <v/>
      </c>
      <c r="AG24" s="260" t="str">
        <f>IF($A24="","",IFERROR(SUMPRODUCT((Raw_Data_Daily!$B$2:$B$9999="Variant")*(Raw_Data_Daily!$A$2:$A$9999=$A24)*(Raw_Data_Daily!$C$2:$C$9999=$C$3)*Raw_Data_Daily!$D$2:$D$9999*Raw_Data_Daily!$N$2:$N$9999)/SUMIFS(Raw_Data_Daily!$D:$D, Raw_Data_Daily!$B:$B, "Variant", Raw_Data_Daily!$A:$A, $A24, Raw_Data_Daily!$C:$C, $C$3),""))</f>
        <v/>
      </c>
      <c r="AH24" s="261" t="str">
        <f t="shared" si="11"/>
        <v/>
      </c>
      <c r="AI24" s="260" t="str">
        <f>IF($A24="","",IFERROR(SUMPRODUCT((Raw_Data_Daily!$B$2:$B$9999="Control")*(Raw_Data_Daily!$A$2:$A$9999=$A24)*(Raw_Data_Daily!$C$2:$C$9999=$C$3)*Raw_Data_Daily!$D$2:$D$9999*Raw_Data_Daily!$O$2:$O$9999)/SUMIFS(Raw_Data_Daily!$D:$D, Raw_Data_Daily!$B:$B, "Control", Raw_Data_Daily!$A:$A, $A24, Raw_Data_Daily!$C:$C, $C$3),""))</f>
        <v/>
      </c>
      <c r="AJ24" s="260" t="str">
        <f>IF($A24="","",IFERROR(SUMPRODUCT((Raw_Data_Daily!$B$2:$B$9999="Variant")*(Raw_Data_Daily!$A$2:$A$9999=$A24)*(Raw_Data_Daily!$C$2:$C$9999=$C$3)*Raw_Data_Daily!$D$2:$D$9999*Raw_Data_Daily!$O$2:$O$9999)/SUMIFS(Raw_Data_Daily!$D:$D, Raw_Data_Daily!$B:$B, "Variant", Raw_Data_Daily!$A:$A, $A24, Raw_Data_Daily!$C:$C, $C$3),""))</f>
        <v/>
      </c>
      <c r="AK24" s="257" t="str">
        <f t="shared" si="12"/>
        <v/>
      </c>
      <c r="AL24" s="259" t="str">
        <f>IF($A24="","",IFERROR(SUMPRODUCT((Raw_Data_Daily!$B$2:$B$9999="Control")*(Raw_Data_Daily!$A$2:$A$9999=$A24)*(Raw_Data_Daily!$C$2:$C$9999=$C$3)*Raw_Data_Daily!$D$2:$D$9999*Raw_Data_Daily!$P$2:$P$9999)/SUMIFS(Raw_Data_Daily!$D:$D, Raw_Data_Daily!$B:$B, "Control", Raw_Data_Daily!$A:$A, $A24, Raw_Data_Daily!$C:$C, $C$3),""))</f>
        <v/>
      </c>
      <c r="AM24" s="259" t="str">
        <f>IF($A24="","",IFERROR(SUMPRODUCT((Raw_Data_Daily!$B$2:$B$9999="Variant")*(Raw_Data_Daily!$A$2:$A$9999=$A24)*(Raw_Data_Daily!$C$2:$C$9999=$C$3)*Raw_Data_Daily!$D$2:$D$9999*Raw_Data_Daily!$P$2:$P$9999)/SUMIFS(Raw_Data_Daily!$D:$D, Raw_Data_Daily!$B:$B, "Variant", Raw_Data_Daily!$A:$A, $A24, Raw_Data_Daily!$C:$C, $C$3),""))</f>
        <v/>
      </c>
      <c r="AN24" s="257" t="str">
        <f t="shared" si="13"/>
        <v/>
      </c>
      <c r="AO24" s="259" t="str">
        <f>IF($A24="","",IFERROR(SUMPRODUCT((Raw_Data_Daily!$B$2:$B$9999="Control")*(Raw_Data_Daily!$A$2:$A$9999=$A24)*(Raw_Data_Daily!$C$2:$C$9999=$C$3)*Raw_Data_Daily!$D$2:$D$9999*Raw_Data_Daily!$Q$2:$Q$9999)/SUMIFS(Raw_Data_Daily!$D:$D, Raw_Data_Daily!$B:$B, "Control", Raw_Data_Daily!$A:$A, $A24, Raw_Data_Daily!$C:$C, $C$3),""))</f>
        <v/>
      </c>
      <c r="AP24" s="259" t="str">
        <f>IF($A24="","",IFERROR(SUMPRODUCT((Raw_Data_Daily!$B$2:$B$9999="Variant")*(Raw_Data_Daily!$A$2:$A$9999=$A24)*(Raw_Data_Daily!$C$2:$C$9999=$C$3)*Raw_Data_Daily!$D$2:$D$9999*Raw_Data_Daily!$Q$2:$Q$9999)/SUMIFS(Raw_Data_Daily!$D:$D, Raw_Data_Daily!$B:$B, "Variant", Raw_Data_Daily!$A:$A, $A24, Raw_Data_Daily!$C:$C, $C$3),""))</f>
        <v/>
      </c>
      <c r="AQ24" s="254" t="str">
        <f t="shared" si="14"/>
        <v/>
      </c>
      <c r="AR24" s="259" t="str">
        <f>IF($A24="","",IFERROR(SUMPRODUCT((Raw_Data_Daily!$B$2:$B$9999="Control")*(Raw_Data_Daily!$A$2:$A$9999=$A24)*(Raw_Data_Daily!$C$2:$C$9999=$C$3)*Raw_Data_Daily!$D$2:$D$9999*Raw_Data_Daily!$R$2:$R$9999)/SUMIFS(Raw_Data_Daily!$D:$D, Raw_Data_Daily!$B:$B, "Control", Raw_Data_Daily!$A:$A, $A24, Raw_Data_Daily!$C:$C, $C$3),""))</f>
        <v/>
      </c>
      <c r="AS24" s="259" t="str">
        <f>IF($A24="","",IFERROR(SUMPRODUCT((Raw_Data_Daily!$B$2:$B$9999="Variant")*(Raw_Data_Daily!$A$2:$A$9999=$A24)*(Raw_Data_Daily!$C$2:$C$9999=$C$3)*Raw_Data_Daily!$D$2:$D$9999*Raw_Data_Daily!$R$2:$R$9999)/SUMIFS(Raw_Data_Daily!$D:$D, Raw_Data_Daily!$B:$B, "Variant", Raw_Data_Daily!$A:$A, $A24, Raw_Data_Daily!$C:$C, $C$3),""))</f>
        <v/>
      </c>
      <c r="AT24" s="254" t="str">
        <f t="shared" si="15"/>
        <v/>
      </c>
      <c r="AU24" s="259" t="str">
        <f>IF($A24="","",IFERROR(SUMPRODUCT((Raw_Data_Daily!$B$2:$B$9999="Control")*(Raw_Data_Daily!$A$2:$A$9999=$A24)*(Raw_Data_Daily!$C$2:$C$9999=$C$3)*Raw_Data_Daily!$D$2:$D$9999*Raw_Data_Daily!$S$2:$S$9999)/SUMIFS(Raw_Data_Daily!$D:$D, Raw_Data_Daily!$B:$B, "Control", Raw_Data_Daily!$A:$A, $A24, Raw_Data_Daily!$C:$C, $C$3),""))</f>
        <v/>
      </c>
      <c r="AV24" s="259" t="str">
        <f>IF($A24="","",IFERROR(SUMPRODUCT((Raw_Data_Daily!$B$2:$B$9999="Variant")*(Raw_Data_Daily!$A$2:$A$9999=$A24)*(Raw_Data_Daily!$C$2:$C$9999=$C$3)*Raw_Data_Daily!$D$2:$D$9999*Raw_Data_Daily!$S$2:$S$9999)/SUMIFS(Raw_Data_Daily!$D:$D, Raw_Data_Daily!$B:$B, "Variant", Raw_Data_Daily!$A:$A, $A24, Raw_Data_Daily!$C:$C, $C$3),""))</f>
        <v/>
      </c>
      <c r="AW24" s="254" t="str">
        <f t="shared" si="16"/>
        <v/>
      </c>
      <c r="AX24" s="259" t="str">
        <f>IF($A24="","",IFERROR(SUMPRODUCT((Raw_Data_Daily!$B$2:$B$9999="Control")*(Raw_Data_Daily!$A$2:$A$9999=$A24)*(Raw_Data_Daily!$C$2:$C$9999=$C$3)*Raw_Data_Daily!$D$2:$D$9999*Raw_Data_Daily!$T$2:$T$9999)/SUMIFS(Raw_Data_Daily!$D:$D, Raw_Data_Daily!$B:$B, "Control", Raw_Data_Daily!$A:$A, $A24, Raw_Data_Daily!$C:$C, $C$3),""))</f>
        <v/>
      </c>
      <c r="AY24" s="259" t="str">
        <f>IF($A24="","",IFERROR(SUMPRODUCT((Raw_Data_Daily!$B$2:$B$9999="Variant")*(Raw_Data_Daily!$A$2:$A$9999=$A24)*(Raw_Data_Daily!$C$2:$C$9999=$C$3)*Raw_Data_Daily!$D$2:$D$9999*Raw_Data_Daily!$T$2:$T$9999)/SUMIFS(Raw_Data_Daily!$D:$D, Raw_Data_Daily!$B:$B, "Variant", Raw_Data_Daily!$A:$A, $A24, Raw_Data_Daily!$C:$C, $C$3),""))</f>
        <v/>
      </c>
      <c r="AZ24" s="257" t="str">
        <f t="shared" si="17"/>
        <v/>
      </c>
      <c r="BA24" s="259" t="str">
        <f>IF($A24="","",IFERROR(SUMPRODUCT((Raw_Data_Daily!$B$2:$B$9999="Control")*(Raw_Data_Daily!$A$2:$A$9999=$A24)*(Raw_Data_Daily!$C$2:$C$9999=$C$3)*Raw_Data_Daily!$D$2:$D$9999*Raw_Data_Daily!$U$2:$U$9999)/SUMIFS(Raw_Data_Daily!$D:$D, Raw_Data_Daily!$B:$B, "Control", Raw_Data_Daily!$A:$A, $A24, Raw_Data_Daily!$C:$C, $C$3),""))</f>
        <v/>
      </c>
      <c r="BB24" s="259" t="str">
        <f>IF($A24="","",IFERROR(SUMPRODUCT((Raw_Data_Daily!$B$2:$B$9999="Variant")*(Raw_Data_Daily!$A$2:$A$9999=$A24)*(Raw_Data_Daily!$C$2:$C$9999=$C$3)*Raw_Data_Daily!$D$2:$D$9999*Raw_Data_Daily!$U$2:$U$9999)/SUMIFS(Raw_Data_Daily!$D:$D, Raw_Data_Daily!$B:$B, "Variant", Raw_Data_Daily!$A:$A, $A24, Raw_Data_Daily!$C:$C, $C$3),""))</f>
        <v/>
      </c>
      <c r="BC24" s="254" t="str">
        <f t="shared" si="18"/>
        <v/>
      </c>
      <c r="BD24" s="259" t="str">
        <f>IF($A24="","",IFERROR(SUMPRODUCT((Raw_Data_Daily!$B$2:$B$9999="Control")*(Raw_Data_Daily!$A$2:$A$9999=$A24)*(Raw_Data_Daily!$C$2:$C$9999=$C$3)*Raw_Data_Daily!$D$2:$D$9999*Raw_Data_Daily!$V$2:$V$9999)/SUMIFS(Raw_Data_Daily!$D:$D, Raw_Data_Daily!$B:$B, "Control", Raw_Data_Daily!$A:$A, $A24, Raw_Data_Daily!$C:$C, $C$3),""))</f>
        <v/>
      </c>
      <c r="BE24" s="259" t="str">
        <f>IF($A24="","",IFERROR(SUMPRODUCT((Raw_Data_Daily!$B$2:$B$9999="Variant")*(Raw_Data_Daily!$A$2:$A$9999=$A24)*(Raw_Data_Daily!$C$2:$C$9999=$C$3)*Raw_Data_Daily!$D$2:$D$9999*Raw_Data_Daily!$V$2:$V$9999)/SUMIFS(Raw_Data_Daily!$D:$D, Raw_Data_Daily!$B:$B, "Variant", Raw_Data_Daily!$A:$A, $A24, Raw_Data_Daily!$C:$C, $C$3),""))</f>
        <v/>
      </c>
      <c r="BF24" s="254" t="str">
        <f t="shared" si="19"/>
        <v/>
      </c>
      <c r="BG24" s="259" t="str">
        <f>IF($A24="","",IFERROR(SUMPRODUCT((Raw_Data_Daily!$B$2:$B$9999="Control")*(Raw_Data_Daily!$A$2:$A$9999=$A24)*(Raw_Data_Daily!$C$2:$C$9999=$C$3)*Raw_Data_Daily!$D$2:$D$9999*(Raw_Data_Daily!$Q$2:$Q$9999-Raw_Data_Daily!$V$2:$V$9999))/SUMIFS(Raw_Data_Daily!$D:$D, Raw_Data_Daily!$B:$B, "Control", Raw_Data_Daily!$A:$A, $A24, Raw_Data_Daily!$C:$C, $C$3),""))</f>
        <v/>
      </c>
      <c r="BH24" s="259" t="str">
        <f>IF($A24="","",IFERROR(SUMPRODUCT((Raw_Data_Daily!$B$2:$B$9999="Variant")*(Raw_Data_Daily!$A$2:$A$9999=$A24)*(Raw_Data_Daily!$C$2:$C$9999=$C$3)*Raw_Data_Daily!$D$2:$D$9999*(Raw_Data_Daily!$Q$2:$Q$9999-Raw_Data_Daily!$V$2:$V$9999))/SUMIFS(Raw_Data_Daily!$D:$D, Raw_Data_Daily!$B:$B, "Variant", Raw_Data_Daily!$A:$A, $A24, Raw_Data_Daily!$C:$C, $C$3),""))</f>
        <v/>
      </c>
      <c r="BI24" s="254" t="str">
        <f t="shared" si="20"/>
        <v/>
      </c>
      <c r="BJ24" s="259" t="str">
        <f>IF($A24="","",IFERROR(SUMPRODUCT((Raw_Data_Daily!$B$2:$B$9999="Control")*(Raw_Data_Daily!$A$2:$A$9999=$A24)*(Raw_Data_Daily!$C$2:$C$9999=$C$3)*Raw_Data_Daily!$D$2:$D$9999*Raw_Data_Daily!$W$2:$W$9999)/SUMIFS(Raw_Data_Daily!$D:$D, Raw_Data_Daily!$B:$B, "Control", Raw_Data_Daily!$A:$A, $A24, Raw_Data_Daily!$C:$C, $C$3),""))</f>
        <v/>
      </c>
      <c r="BK24" s="259" t="str">
        <f>IF($A24="","",IFERROR(SUMPRODUCT((Raw_Data_Daily!$B$2:$B$9999="Variant")*(Raw_Data_Daily!$A$2:$A$9999=$A24)*(Raw_Data_Daily!$C$2:$C$9999=$C$3)*Raw_Data_Daily!$D$2:$D$9999*Raw_Data_Daily!$W$2:$W$9999)/SUMIFS(Raw_Data_Daily!$D:$D, Raw_Data_Daily!$B:$B, "Variant", Raw_Data_Daily!$A:$A, $A24, Raw_Data_Daily!$C:$C, $C$3),""))</f>
        <v/>
      </c>
      <c r="BL24" s="254" t="str">
        <f t="shared" si="21"/>
        <v/>
      </c>
      <c r="BM24" s="260" t="str">
        <f>IF($A24="","",IFERROR(SUMPRODUCT((Raw_Data_Daily!$B$2:$B$9999="Control")*(Raw_Data_Daily!$A$2:$A$9999=$A24)*(Raw_Data_Daily!$C$2:$C$9999=$C$3)*Raw_Data_Daily!$D$2:$D$9999*Raw_Data_Daily!$X$2:$X$9999)/SUMIFS(Raw_Data_Daily!$D:$D, Raw_Data_Daily!$B:$B, "Control", Raw_Data_Daily!$A:$A, $A24, Raw_Data_Daily!$C:$C, $C$3),""))</f>
        <v/>
      </c>
      <c r="BN24" s="260" t="str">
        <f>IF($A24="","",IFERROR(SUMPRODUCT((Raw_Data_Daily!$B$2:$B$9999="Variant")*(Raw_Data_Daily!$A$2:$A$9999=$A24)*(Raw_Data_Daily!$C$2:$C$9999=$C$3)*Raw_Data_Daily!$D$2:$D$9999*Raw_Data_Daily!$X$2:$X$9999)/SUMIFS(Raw_Data_Daily!$D:$D, Raw_Data_Daily!$B:$B, "Variant", Raw_Data_Daily!$A:$A, $A24, Raw_Data_Daily!$C:$C, $C$3),""))</f>
        <v/>
      </c>
      <c r="BO24" s="257" t="str">
        <f t="shared" si="22"/>
        <v/>
      </c>
      <c r="BP24" s="253" t="str">
        <f>IF($A24="","",IFERROR(SUMPRODUCT((Raw_Data_Daily!$B$2:$B$9999="Control")*(Raw_Data_Daily!$A$2:$A$9999=$A24)*(Raw_Data_Daily!$C$2:$C$9999=$C$3)*Raw_Data_Daily!$D$2:$D$9999*Raw_Data_Daily!$Y$2:$Y$9999)/SUMIFS(Raw_Data_Daily!$D:$D, Raw_Data_Daily!$B:$B, "Control", Raw_Data_Daily!$A:$A, $A24, Raw_Data_Daily!$C:$C, $C$3),""))</f>
        <v/>
      </c>
      <c r="BQ24" s="253" t="str">
        <f>IF($A24="","",IFERROR(SUMPRODUCT((Raw_Data_Daily!$B$2:$B$9999="Variant")*(Raw_Data_Daily!$A$2:$A$9999=$A24)*(Raw_Data_Daily!$C$2:$C$9999=$C$3)*Raw_Data_Daily!$D$2:$D$9999*Raw_Data_Daily!$Y$2:$Y$9999)/SUMIFS(Raw_Data_Daily!$D:$D, Raw_Data_Daily!$B:$B, "Variant", Raw_Data_Daily!$A:$A, $A24, Raw_Data_Daily!$C:$C, $C$3),""))</f>
        <v/>
      </c>
      <c r="BR24" s="254" t="str">
        <f t="shared" si="23"/>
        <v/>
      </c>
      <c r="BS24" s="253" t="str">
        <f>IF($A24="","",IFERROR(SUMPRODUCT((Raw_Data_Daily!$B$2:$B$9999="Control")*(Raw_Data_Daily!$A$2:$A$9999=$A24)*(Raw_Data_Daily!$C$2:$C$9999=$C$3)*Raw_Data_Daily!$D$2:$D$9999*Raw_Data_Daily!$Z$2:$Z$9999)/SUMIFS(Raw_Data_Daily!$D:$D, Raw_Data_Daily!$B:$B, "Control", Raw_Data_Daily!$A:$A, $A24, Raw_Data_Daily!$C:$C, $C$3),""))</f>
        <v/>
      </c>
      <c r="BT24" s="253" t="str">
        <f>IF($A24="","",IFERROR(SUMPRODUCT((Raw_Data_Daily!$B$2:$B$9999="Variant")*(Raw_Data_Daily!$A$2:$A$9999=$A24)*(Raw_Data_Daily!$C$2:$C$9999=$C$3)*Raw_Data_Daily!$D$2:$D$9999*Raw_Data_Daily!$Z$2:$Z$9999)/SUMIFS(Raw_Data_Daily!$D:$D, Raw_Data_Daily!$B:$B, "Variant", Raw_Data_Daily!$A:$A, $A24, Raw_Data_Daily!$C:$C, $C$3),""))</f>
        <v/>
      </c>
      <c r="BU24" s="254" t="str">
        <f t="shared" si="24"/>
        <v/>
      </c>
      <c r="BV24" s="253" t="str">
        <f>IF($A24="","",IFERROR(SUMPRODUCT((Raw_Data_Daily!$B$2:$B$9999="Control")*(Raw_Data_Daily!$A$2:$A$9999=$A24)*(Raw_Data_Daily!$C$2:$C$9999=$C$3)*Raw_Data_Daily!$D$2:$D$9999*Raw_Data_Daily!$AA$2:$AA$9999)/SUMIFS(Raw_Data_Daily!$D:$D, Raw_Data_Daily!$B:$B, "Control", Raw_Data_Daily!$A:$A, $A24, Raw_Data_Daily!$C:$C, $C$3),""))</f>
        <v/>
      </c>
      <c r="BW24" s="253" t="str">
        <f>IF($A24="","",IFERROR(SUMPRODUCT((Raw_Data_Daily!$B$2:$B$9999="Variant")*(Raw_Data_Daily!$A$2:$A$9999=$A24)*(Raw_Data_Daily!$C$2:$C$9999=$C$3)*Raw_Data_Daily!$D$2:$D$9999*Raw_Data_Daily!$AA$2:$AA$9999)/SUMIFS(Raw_Data_Daily!$D:$D, Raw_Data_Daily!$B:$B, "Variant", Raw_Data_Daily!$A:$A, $A24, Raw_Data_Daily!$C:$C, $C$3),""))</f>
        <v/>
      </c>
      <c r="BX24" s="254" t="str">
        <f t="shared" si="25"/>
        <v/>
      </c>
      <c r="BY24" s="259" t="str">
        <f>IF($A24="","",IFERROR(SUMPRODUCT((Raw_Data_Daily!$B$2:$B$9999="Control")*(Raw_Data_Daily!$A$2:$A$9999=$A24)*(Raw_Data_Daily!$C$2:$C$9999=$C$3)*Raw_Data_Daily!$D$2:$D$9999*Raw_Data_Daily!$AB$2:$AB$9999)/SUMIFS(Raw_Data_Daily!$D:$D, Raw_Data_Daily!$B:$B, "Control", Raw_Data_Daily!$A:$A, $A24, Raw_Data_Daily!$C:$C, $C$3),""))</f>
        <v/>
      </c>
      <c r="BZ24" s="259" t="str">
        <f>IF($A24="","",IFERROR(SUMPRODUCT((Raw_Data_Daily!$B$2:$B$9999="Variant")*(Raw_Data_Daily!$A$2:$A$9999=$A24)*(Raw_Data_Daily!$C$2:$C$9999=$C$3)*Raw_Data_Daily!$D$2:$D$9999*Raw_Data_Daily!$AB$2:$AB$9999)/SUMIFS(Raw_Data_Daily!$D:$D, Raw_Data_Daily!$B:$B, "Variant", Raw_Data_Daily!$A:$A, $A24, Raw_Data_Daily!$C:$C, $C$3),""))</f>
        <v/>
      </c>
      <c r="CA24" s="257" t="str">
        <f t="shared" si="26"/>
        <v/>
      </c>
      <c r="CB24" s="259" t="str">
        <f>IF($A24="","",IFERROR(SUMPRODUCT((Raw_Data_Daily!$B$2:$B$9999="Control")*(Raw_Data_Daily!$A$2:$A$9999=$A24)*(Raw_Data_Daily!$C$2:$C$9999=$C$3)*Raw_Data_Daily!$D$2:$D$9999*Raw_Data_Daily!$AC$2:$AC$9999)/SUMIFS(Raw_Data_Daily!$D:$D, Raw_Data_Daily!$B:$B, "Control", Raw_Data_Daily!$A:$A, $A24, Raw_Data_Daily!$C:$C, $C$3),""))</f>
        <v/>
      </c>
      <c r="CC24" s="259" t="str">
        <f>IF($A24="","",IFERROR(SUMPRODUCT((Raw_Data_Daily!$B$2:$B$9999="Variant")*(Raw_Data_Daily!$A$2:$A$9999=$A24)*(Raw_Data_Daily!$C$2:$C$9999=$C$3)*Raw_Data_Daily!$D$2:$D$9999*Raw_Data_Daily!$AC$2:$AC$9999)/SUMIFS(Raw_Data_Daily!$D:$D, Raw_Data_Daily!$B:$B, "Variant", Raw_Data_Daily!$A:$A, $A24, Raw_Data_Daily!$C:$C, $C$3),""))</f>
        <v/>
      </c>
      <c r="CD24" s="257" t="str">
        <f t="shared" si="27"/>
        <v/>
      </c>
      <c r="CE24" s="259" t="str">
        <f>IF($A24="","",IFERROR(SUMPRODUCT((Raw_Data_Daily!$B$2:$B$9999="Control")*(Raw_Data_Daily!$A$2:$A$9999=$A24)*(Raw_Data_Daily!$C$2:$C$9999=$C$3)*Raw_Data_Daily!$D$2:$D$9999*Raw_Data_Daily!$AD$2:$AD$9999)/SUMIFS(Raw_Data_Daily!$D:$D, Raw_Data_Daily!$B:$B, "Control", Raw_Data_Daily!$A:$A, $A24, Raw_Data_Daily!$C:$C, $C$3),""))</f>
        <v/>
      </c>
      <c r="CF24" s="259" t="str">
        <f>IF($A24="","",IFERROR(SUMPRODUCT((Raw_Data_Daily!$B$2:$B$9999="Variant")*(Raw_Data_Daily!$A$2:$A$9999=$A24)*(Raw_Data_Daily!$C$2:$C$9999=$C$3)*Raw_Data_Daily!$D$2:$D$9999*Raw_Data_Daily!$AD$2:$AD$9999)/SUMIFS(Raw_Data_Daily!$D:$D, Raw_Data_Daily!$B:$B, "Variant", Raw_Data_Daily!$A:$A, $A24, Raw_Data_Daily!$C:$C, $C$3),""))</f>
        <v/>
      </c>
      <c r="CG24" s="257" t="str">
        <f t="shared" si="28"/>
        <v/>
      </c>
      <c r="CH24" s="259" t="str">
        <f>IF($A24="","",IFERROR(SUMPRODUCT((Raw_Data_Daily!$B$2:$B$9999="Control")*(Raw_Data_Daily!$A$2:$A$9999=$A24)*(Raw_Data_Daily!$C$2:$C$9999=$C$3)*Raw_Data_Daily!$D$2:$D$9999*Raw_Data_Daily!$AE$2:$AE$9999)/SUMIFS(Raw_Data_Daily!$D:$D, Raw_Data_Daily!$B:$B, "Control", Raw_Data_Daily!$A:$A, $A24, Raw_Data_Daily!$C:$C, $C$3),""))</f>
        <v/>
      </c>
      <c r="CI24" s="259" t="str">
        <f>IF($A24="","",IFERROR(SUMPRODUCT((Raw_Data_Daily!$B$2:$B$9999="Variant")*(Raw_Data_Daily!$A$2:$A$9999=$A24)*(Raw_Data_Daily!$C$2:$C$9999=$C$3)*Raw_Data_Daily!$D$2:$D$9999*Raw_Data_Daily!$AE$2:$AE$9999)/SUMIFS(Raw_Data_Daily!$D:$D, Raw_Data_Daily!$B:$B, "Variant", Raw_Data_Daily!$A:$A, $A24, Raw_Data_Daily!$C:$C, $C$3),""))</f>
        <v/>
      </c>
      <c r="CJ24" s="257" t="str">
        <f t="shared" si="29"/>
        <v/>
      </c>
      <c r="CK24" s="259" t="str">
        <f>IF($A24="","",IFERROR(SUMPRODUCT((Raw_Data_Daily!$B$2:$B$9999="Control")*(Raw_Data_Daily!$A$2:$A$9999=$A24)*(Raw_Data_Daily!$C$2:$C$9999=$C$3)*Raw_Data_Daily!$D$2:$D$9999*Raw_Data_Daily!$AF$2:$AF$9999)/SUMIFS(Raw_Data_Daily!$D:$D, Raw_Data_Daily!$B:$B, "Control", Raw_Data_Daily!$A:$A, $A24, Raw_Data_Daily!$C:$C, $C$3),""))</f>
        <v/>
      </c>
      <c r="CL24" s="259" t="str">
        <f>IF($A24="","",IFERROR(SUMPRODUCT((Raw_Data_Daily!$B$2:$B$9999="Variant")*(Raw_Data_Daily!$A$2:$A$9999=$A24)*(Raw_Data_Daily!$C$2:$C$9999=$C$3)*Raw_Data_Daily!$D$2:$D$9999*Raw_Data_Daily!$AF$2:$AF$9999)/SUMIFS(Raw_Data_Daily!$D:$D, Raw_Data_Daily!$B:$B, "Variant", Raw_Data_Daily!$A:$A, $A24, Raw_Data_Daily!$C:$C, $C$3),""))</f>
        <v/>
      </c>
      <c r="CM24" s="257" t="str">
        <f t="shared" si="30"/>
        <v/>
      </c>
      <c r="CN24" s="259" t="str">
        <f>IF($A24="","",IFERROR(SUMPRODUCT((Raw_Data_Daily!$B$2:$B$9999="Control")*(Raw_Data_Daily!$A$2:$A$9999=$A24)*(Raw_Data_Daily!$C$2:$C$9999=$C$3)*Raw_Data_Daily!$D$2:$D$9999*Raw_Data_Daily!$AG$2:$AG$9999)/SUMIFS(Raw_Data_Daily!$D:$D, Raw_Data_Daily!$B:$B, "Control", Raw_Data_Daily!$A:$A, $A24, Raw_Data_Daily!$C:$C, $C$3),""))</f>
        <v/>
      </c>
      <c r="CO24" s="259" t="str">
        <f>IF($A24="","",IFERROR(SUMPRODUCT((Raw_Data_Daily!$B$2:$B$9999="Variant")*(Raw_Data_Daily!$A$2:$A$9999=$A24)*(Raw_Data_Daily!$C$2:$C$9999=$C$3)*Raw_Data_Daily!$D$2:$D$9999*Raw_Data_Daily!$AG$2:$AG$9999)/SUMIFS(Raw_Data_Daily!$D:$D, Raw_Data_Daily!$B:$B, "Variant", Raw_Data_Daily!$A:$A, $A24, Raw_Data_Daily!$C:$C, $C$3),""))</f>
        <v/>
      </c>
      <c r="CP24" s="257" t="str">
        <f t="shared" si="31"/>
        <v/>
      </c>
      <c r="CQ24" s="259" t="str">
        <f>IF($A24="","",IFERROR(SUMPRODUCT((Raw_Data_Daily!$B$2:$B$9999="Control")*(Raw_Data_Daily!$A$2:$A$9999=$A24)*(Raw_Data_Daily!$C$2:$C$9999=$C$3)*Raw_Data_Daily!$D$2:$D$9999*Raw_Data_Daily!$AH$2:$AH$9999)/SUMIFS(Raw_Data_Daily!$D:$D, Raw_Data_Daily!$B:$B, "Control", Raw_Data_Daily!$A:$A, $A24, Raw_Data_Daily!$C:$C, $C$3),""))</f>
        <v/>
      </c>
      <c r="CR24" s="259" t="str">
        <f>IF($A24="","",IFERROR(SUMPRODUCT((Raw_Data_Daily!$B$2:$B$9999="Variant")*(Raw_Data_Daily!$A$2:$A$9999=$A24)*(Raw_Data_Daily!$C$2:$C$9999=$C$3)*Raw_Data_Daily!$D$2:$D$9999*Raw_Data_Daily!$AH$2:$AH$9999)/SUMIFS(Raw_Data_Daily!$D:$D, Raw_Data_Daily!$B:$B, "Variant", Raw_Data_Daily!$A:$A, $A24, Raw_Data_Daily!$C:$C, $C$3),""))</f>
        <v/>
      </c>
      <c r="CS24" s="257" t="str">
        <f t="shared" si="32"/>
        <v/>
      </c>
      <c r="CT24" s="255" t="str">
        <f>IF($A24="","",IFERROR(SUMPRODUCT((Raw_Data_Daily!$B$2:$B$9999="Control")*(Raw_Data_Daily!$A$2:$A$9999=$A24)*(Raw_Data_Daily!$C$2:$C$9999=$C$3)*Raw_Data_Daily!$D$2:$D$9999*Raw_Data_Daily!$AI$2:$AI$9999)/SUMIFS(Raw_Data_Daily!$D:$D, Raw_Data_Daily!$B:$B, "Control", Raw_Data_Daily!$A:$A, $A24, Raw_Data_Daily!$C:$C, $C$3),""))</f>
        <v/>
      </c>
      <c r="CU24" s="255" t="str">
        <f>IF($A24="","",IFERROR(SUMPRODUCT((Raw_Data_Daily!$B$2:$B$9999="Variant")*(Raw_Data_Daily!$A$2:$A$9999=$A24)*(Raw_Data_Daily!$C$2:$C$9999=$C$3)*Raw_Data_Daily!$D$2:$D$9999*Raw_Data_Daily!$AI$2:$AI$9999)/SUMIFS(Raw_Data_Daily!$D:$D, Raw_Data_Daily!$B:$B, "Variant", Raw_Data_Daily!$A:$A, $A24, Raw_Data_Daily!$C:$C, $C$3),""))</f>
        <v/>
      </c>
      <c r="CV24" s="261" t="str">
        <f t="shared" si="33"/>
        <v/>
      </c>
      <c r="CW24" s="255" t="str">
        <f>IF($A24="","",IFERROR(SUMPRODUCT((Raw_Data_Daily!$B$2:$B$9999="Control")*(Raw_Data_Daily!$A$2:$A$9999=$A24)*(Raw_Data_Daily!$C$2:$C$9999=$C$3)*Raw_Data_Daily!$D$2:$D$9999*Raw_Data_Daily!$AJ$2:$AJ$9999)/SUMIFS(Raw_Data_Daily!$D:$D, Raw_Data_Daily!$B:$B, "Control", Raw_Data_Daily!$A:$A, $A24, Raw_Data_Daily!$C:$C, $C$3),""))</f>
        <v/>
      </c>
      <c r="CX24" s="255" t="str">
        <f>IF($A24="","",IFERROR(SUMPRODUCT((Raw_Data_Daily!$B$2:$B$9999="Variant")*(Raw_Data_Daily!$A$2:$A$9999=$A24)*(Raw_Data_Daily!$C$2:$C$9999=$C$3)*Raw_Data_Daily!$D$2:$D$9999*Raw_Data_Daily!$AJ$2:$AJ$9999)/SUMIFS(Raw_Data_Daily!$D:$D, Raw_Data_Daily!$B:$B, "Variant", Raw_Data_Daily!$A:$A, $A24, Raw_Data_Daily!$C:$C, $C$3),""))</f>
        <v/>
      </c>
      <c r="CY24" s="261" t="str">
        <f t="shared" si="34"/>
        <v/>
      </c>
      <c r="CZ24" s="255" t="str">
        <f>IF($A24="","",IFERROR(SUMPRODUCT((Raw_Data_Daily!$B$2:$B$9999="Control")*(Raw_Data_Daily!$A$2:$A$9999=$A24)*(Raw_Data_Daily!$C$2:$C$9999=$C$3)*Raw_Data_Daily!$D$2:$D$9999*Raw_Data_Daily!$AK$2:$AK$9999)/SUMIFS(Raw_Data_Daily!$D:$D, Raw_Data_Daily!$B:$B, "Control", Raw_Data_Daily!$A:$A, $A24, Raw_Data_Daily!$C:$C, $C$3),""))</f>
        <v/>
      </c>
      <c r="DA24" s="255" t="str">
        <f>IF($A24="","",IFERROR(SUMPRODUCT((Raw_Data_Daily!$B$2:$B$9999="Variant")*(Raw_Data_Daily!$A$2:$A$9999=$A24)*(Raw_Data_Daily!$C$2:$C$9999=$C$3)*Raw_Data_Daily!$D$2:$D$9999*Raw_Data_Daily!$AK$2:$AK$9999)/SUMIFS(Raw_Data_Daily!$D:$D, Raw_Data_Daily!$B:$B, "Variant", Raw_Data_Daily!$A:$A, $A24, Raw_Data_Daily!$C:$C, $C$3),""))</f>
        <v/>
      </c>
      <c r="DB24" s="257" t="str">
        <f t="shared" si="35"/>
        <v/>
      </c>
      <c r="DC24" s="260" t="str">
        <f>IF($A24="","",IFERROR(SUMPRODUCT((Raw_Data_Daily!$B$2:$B$9999="Control")*(Raw_Data_Daily!$A$2:$A$9999=$A24)*(Raw_Data_Daily!$C$2:$C$9999=$C$3)*Raw_Data_Daily!$D$2:$D$9999*Raw_Data_Daily!$AL$2:$AL$9999)/SUMIFS(Raw_Data_Daily!$D:$D, Raw_Data_Daily!$B:$B, "Control", Raw_Data_Daily!$A:$A, $A24, Raw_Data_Daily!$C:$C, $C$3),""))</f>
        <v/>
      </c>
      <c r="DD24" s="260" t="str">
        <f>IF($A24="","",IFERROR(SUMPRODUCT((Raw_Data_Daily!$B$2:$B$9999="Variant")*(Raw_Data_Daily!$A$2:$A$9999=$A24)*(Raw_Data_Daily!$C$2:$C$9999=$C$3)*Raw_Data_Daily!$D$2:$D$9999*Raw_Data_Daily!$AL$2:$AL$9999)/SUMIFS(Raw_Data_Daily!$D:$D, Raw_Data_Daily!$B:$B, "Variant", Raw_Data_Daily!$A:$A, $A24, Raw_Data_Daily!$C:$C, $C$3),""))</f>
        <v/>
      </c>
      <c r="DE24" s="261" t="str">
        <f t="shared" si="36"/>
        <v/>
      </c>
      <c r="DF24" s="262"/>
      <c r="DG24" s="255" t="str">
        <f>IF($A24="","",IFERROR(SUMPRODUCT((Raw_Data_Daily!$B$2:$B$9999="Variant")*(Raw_Data_Daily!$A$2:$A$9999=$A24)*(Raw_Data_Daily!$C$2:$C$9999=$C$3)*Raw_Data_Daily!$D$2:$D$9999*Raw_Data_Daily!$AM$2:$AM$9999)/SUMIFS(Raw_Data_Daily!$D:$D, Raw_Data_Daily!$B:$B, "Variant", Raw_Data_Daily!$A:$A, $A24, Raw_Data_Daily!$C:$C, $C$3),""))</f>
        <v/>
      </c>
      <c r="DH24" s="263"/>
      <c r="DI24" s="262"/>
      <c r="DJ24" s="255" t="str">
        <f>IF($A24="","",IFERROR(SUMPRODUCT((Raw_Data_Daily!$B$2:$B$9999="Variant")*(Raw_Data_Daily!$A$2:$A$9999=$A24)*(Raw_Data_Daily!$C$2:$C$9999=$C$3)*Raw_Data_Daily!$D$2:$D$9999*Raw_Data_Daily!$AN$2:$AN$9999)/SUMIFS(Raw_Data_Daily!$D:$D, Raw_Data_Daily!$B:$B, "Variant", Raw_Data_Daily!$A:$A, $A24, Raw_Data_Daily!$C:$C, $C$3),""))</f>
        <v/>
      </c>
      <c r="DK24" s="263"/>
      <c r="DL24" s="262"/>
      <c r="DM24" s="255" t="str">
        <f>IF($A24="","",IFERROR(SUMPRODUCT((Raw_Data_Daily!$B$2:$B$9999="Variant")*(Raw_Data_Daily!$A$2:$A$9999=$A24)*(Raw_Data_Daily!$C$2:$C$9999=$C$3)*Raw_Data_Daily!$D$2:$D$9999*Raw_Data_Daily!$AO$2:$AO$9999)/SUMIFS(Raw_Data_Daily!$D:$D, Raw_Data_Daily!$B:$B, "Variant", Raw_Data_Daily!$A:$A, $A24, Raw_Data_Daily!$C:$C, $C$3),""))</f>
        <v/>
      </c>
      <c r="DN24" s="263"/>
      <c r="DO24" s="262"/>
      <c r="DP24" s="255" t="str">
        <f>IF($A24="","",IFERROR(SUMPRODUCT((Raw_Data_Daily!$B$2:$B$9999="Variant")*(Raw_Data_Daily!$A$2:$A$9999=$A24)*(Raw_Data_Daily!$C$2:$C$9999=$C$3)*Raw_Data_Daily!$D$2:$D$9999*Raw_Data_Daily!$AP$2:$AP$9999)/SUMIFS(Raw_Data_Daily!$D:$D, Raw_Data_Daily!$B:$B, "Variant", Raw_Data_Daily!$A:$A, $A24, Raw_Data_Daily!$C:$C, $C$3),""))</f>
        <v/>
      </c>
      <c r="DQ24" s="263"/>
      <c r="DR24" s="260" t="str">
        <f>IF($A24="","",IFERROR(SUMPRODUCT((Raw_Data_Daily!$B$2:$B$9999="Control")*(Raw_Data_Daily!$A$2:$A$9999=$A24)*(Raw_Data_Daily!$C$2:$C$9999=$C$3)*Raw_Data_Daily!$D$2:$D$9999*Raw_Data_Daily!$AQ$2:$AQ$9999)/SUMIFS(Raw_Data_Daily!$D:$D, Raw_Data_Daily!$B:$B, "Control", Raw_Data_Daily!$A:$A, $A24, Raw_Data_Daily!$C:$C, $C$3),""))</f>
        <v/>
      </c>
      <c r="DS24" s="260" t="str">
        <f>IF($A24="","",IFERROR(SUMPRODUCT((Raw_Data_Daily!$B$2:$B$9999="Variant")*(Raw_Data_Daily!$A$2:$A$9999=$A24)*(Raw_Data_Daily!$C$2:$C$9999=$C$3)*Raw_Data_Daily!$D$2:$D$9999*Raw_Data_Daily!$AQ$2:$AQ$9999)/SUMIFS(Raw_Data_Daily!$D:$D, Raw_Data_Daily!$B:$B, "Variant", Raw_Data_Daily!$A:$A, $A24, Raw_Data_Daily!$C:$C, $C$3),""))</f>
        <v/>
      </c>
      <c r="DT24" s="264" t="str">
        <f t="shared" si="37"/>
        <v/>
      </c>
      <c r="DU24" s="260" t="str">
        <f>IF($A24="","",IFERROR(SUMPRODUCT((Raw_Data_Daily!$B$2:$B$9999="Control")*(Raw_Data_Daily!$A$2:$A$9999=$A24)*(Raw_Data_Daily!$C$2:$C$9999=$C$3)*Raw_Data_Daily!$D$2:$D$9999*Raw_Data_Daily!$AR$2:$AR$9999)/SUMIFS(Raw_Data_Daily!$D:$D, Raw_Data_Daily!$B:$B, "Control", Raw_Data_Daily!$A:$A, $A24, Raw_Data_Daily!$C:$C, $C$3),""))</f>
        <v/>
      </c>
      <c r="DV24" s="260" t="str">
        <f>IF($A24="","",IFERROR(SUMPRODUCT((Raw_Data_Daily!$B$2:$B$9999="Variant")*(Raw_Data_Daily!$A$2:$A$9999=$A24)*(Raw_Data_Daily!$C$2:$C$9999=$C$3)*Raw_Data_Daily!$D$2:$D$9999*Raw_Data_Daily!$AR$2:$AR$9999)/SUMIFS(Raw_Data_Daily!$D:$D, Raw_Data_Daily!$B:$B, "Variant", Raw_Data_Daily!$A:$A, $A24, Raw_Data_Daily!$C:$C, $C$3),""))</f>
        <v/>
      </c>
      <c r="DW24" s="264" t="str">
        <f t="shared" si="38"/>
        <v/>
      </c>
      <c r="DX24" s="260" t="str">
        <f>IF($A24="","",IFERROR(SUMPRODUCT((Raw_Data_Daily!$B$2:$B$9999="Control")*(Raw_Data_Daily!$A$2:$A$9999=$A24)*(Raw_Data_Daily!$C$2:$C$9999=$C$3)*Raw_Data_Daily!$D$2:$D$9999*Raw_Data_Daily!$AS$2:$AS$9999)/SUMIFS(Raw_Data_Daily!$D:$D, Raw_Data_Daily!$B:$B, "Control", Raw_Data_Daily!$A:$A, $A24, Raw_Data_Daily!$C:$C, $C$3),""))</f>
        <v/>
      </c>
      <c r="DY24" s="260" t="str">
        <f>IF($A24="","",IFERROR(SUMPRODUCT((Raw_Data_Daily!$B$2:$B$9999="Variant")*(Raw_Data_Daily!$A$2:$A$9999=$A24)*(Raw_Data_Daily!$C$2:$C$9999=$C$3)*Raw_Data_Daily!$D$2:$D$9999*Raw_Data_Daily!$AS$2:$AS$9999)/SUMIFS(Raw_Data_Daily!$D:$D, Raw_Data_Daily!$B:$B, "Variant", Raw_Data_Daily!$A:$A, $A24, Raw_Data_Daily!$C:$C, $C$3),""))</f>
        <v/>
      </c>
      <c r="DZ24" s="265" t="str">
        <f t="shared" si="39"/>
        <v/>
      </c>
      <c r="EA24" s="260" t="str">
        <f>IF($A24="","",IFERROR(SUMPRODUCT((Raw_Data_Daily!$B$2:$B$9999="Control")*(Raw_Data_Daily!$A$2:$A$9999=$A24)*(Raw_Data_Daily!$C$2:$C$9999=$C$3)*Raw_Data_Daily!$D$2:$D$9999*Raw_Data_Daily!$AT$2:$AT$9999)/SUMIFS(Raw_Data_Daily!$D:$D, Raw_Data_Daily!$B:$B, "Control", Raw_Data_Daily!$A:$A, $A24, Raw_Data_Daily!$C:$C, $C$3),""))</f>
        <v/>
      </c>
      <c r="EB24" s="260" t="str">
        <f>IF($A24="","",IFERROR(SUMPRODUCT((Raw_Data_Daily!$B$2:$B$9999="Variant")*(Raw_Data_Daily!$A$2:$A$9999=$A24)*(Raw_Data_Daily!$C$2:$C$9999=$C$3)*Raw_Data_Daily!$D$2:$D$9999*Raw_Data_Daily!$AT$2:$AT$9999)/SUMIFS(Raw_Data_Daily!$D:$D, Raw_Data_Daily!$B:$B, "Variant", Raw_Data_Daily!$A:$A, $A24, Raw_Data_Daily!$C:$C, $C$3),""))</f>
        <v/>
      </c>
      <c r="EC24" s="264" t="str">
        <f t="shared" si="40"/>
        <v/>
      </c>
      <c r="ED24" s="260" t="str">
        <f>IF($A24="","",IFERROR(SUMPRODUCT((Raw_Data_Daily!$B$2:$B$9999="Control")*(Raw_Data_Daily!$A$2:$A$9999=$A24)*(Raw_Data_Daily!$C$2:$C$9999=$C$3)*Raw_Data_Daily!$D$2:$D$9999*(Raw_Data_Daily!$AQ$2:$AQ$9999-Raw_Data_Daily!$AT$2:$AT$9999))/SUMIFS(Raw_Data_Daily!$D:$D, Raw_Data_Daily!$B:$B, "Control", Raw_Data_Daily!$A:$A, $A24, Raw_Data_Daily!$C:$C, $C$3),""))</f>
        <v/>
      </c>
      <c r="EE24" s="260" t="str">
        <f>IF($A24="","",IFERROR(SUMPRODUCT((Raw_Data_Daily!$B$2:$B$9999="Variant")*(Raw_Data_Daily!$A$2:$A$9999=$A24)*(Raw_Data_Daily!$C$2:$C$9999=$C$3)*Raw_Data_Daily!$D$2:$D$9999*(Raw_Data_Daily!$AQ$2:$AQ$9999-Raw_Data_Daily!$AT$2:$AT$9999))/SUMIFS(Raw_Data_Daily!$D:$D, Raw_Data_Daily!$B:$B, "Variant", Raw_Data_Daily!$A:$A, $A24, Raw_Data_Daily!$C:$C, $C$3),""))</f>
        <v/>
      </c>
      <c r="EF24" s="265" t="str">
        <f t="shared" si="41"/>
        <v/>
      </c>
      <c r="EG24" s="260" t="str">
        <f>IF($A24="","",IFERROR(SUMPRODUCT((Raw_Data_Daily!$B$2:$B$9999="Control")*(Raw_Data_Daily!$A$2:$A$9999=$A24)*(Raw_Data_Daily!$C$2:$C$9999=$C$3)*Raw_Data_Daily!$D$2:$D$9999*Raw_Data_Daily!$AU$2:$AU$9999)/SUMIFS(Raw_Data_Daily!$D:$D, Raw_Data_Daily!$B:$B, "Control", Raw_Data_Daily!$A:$A, $A24, Raw_Data_Daily!$C:$C, $C$3),""))</f>
        <v/>
      </c>
      <c r="EH24" s="260" t="str">
        <f>IF($A24="","",IFERROR(SUMPRODUCT((Raw_Data_Daily!$B$2:$B$9999="Variant")*(Raw_Data_Daily!$A$2:$A$9999=$A24)*(Raw_Data_Daily!$C$2:$C$9999=$C$3)*Raw_Data_Daily!$D$2:$D$9999*Raw_Data_Daily!$AU$2:$AU$9999)/SUMIFS(Raw_Data_Daily!$D:$D, Raw_Data_Daily!$B:$B, "Variant", Raw_Data_Daily!$A:$A, $A24, Raw_Data_Daily!$C:$C, $C$3),""))</f>
        <v/>
      </c>
      <c r="EI24" s="264" t="str">
        <f t="shared" si="42"/>
        <v/>
      </c>
    </row>
    <row r="25" ht="15.75" customHeight="1">
      <c r="A25" s="224">
        <v>46248.0</v>
      </c>
      <c r="B25" s="225">
        <f>IF($A25="","",SUMIFS(Raw_Data_Daily!$D:$D, Raw_Data_Daily!$B:$B, "Control", Raw_Data_Daily!$A:$A, $A25, Raw_Data_Daily!$C:$C, $C$3))</f>
        <v>0</v>
      </c>
      <c r="C25" s="225">
        <f>IF($A25="","",SUMIFS(Raw_Data_Daily!$D:$D, Raw_Data_Daily!$B:$B, "Variant", Raw_Data_Daily!$A:$A, $A25, Raw_Data_Daily!$C:$C, $C$3))</f>
        <v>0</v>
      </c>
      <c r="D25" s="226" t="str">
        <f t="shared" si="1"/>
        <v/>
      </c>
      <c r="E25" s="227" t="str">
        <f>IF($A25="","",IFERROR(SUMPRODUCT((Raw_Data_Daily!$B$2:$B$9999="Control")*(Raw_Data_Daily!$A$2:$A$9999=$A25)*(Raw_Data_Daily!$C$2:$C$9999=$C$3)*Raw_Data_Daily!$D$2:$D$9999*Raw_Data_Daily!$E$2:$E$9999)/SUMIFS(Raw_Data_Daily!$D:$D, Raw_Data_Daily!$B:$B, "Control", Raw_Data_Daily!$A:$A, $A25, Raw_Data_Daily!$C:$C, $C$3),""))</f>
        <v/>
      </c>
      <c r="F25" s="227" t="str">
        <f>IF($A25="","",IFERROR(SUMPRODUCT((Raw_Data_Daily!$B$2:$B$9999="Variant")*(Raw_Data_Daily!$A$2:$A$9999=$A25)*(Raw_Data_Daily!$C$2:$C$9999=$C$3)*Raw_Data_Daily!$D$2:$D$9999*Raw_Data_Daily!$E$2:$E$9999)/SUMIFS(Raw_Data_Daily!$D:$D, Raw_Data_Daily!$B:$B, "Variant", Raw_Data_Daily!$A:$A, $A25, Raw_Data_Daily!$C:$C, $C$3),""))</f>
        <v/>
      </c>
      <c r="G25" s="226" t="str">
        <f t="shared" si="2"/>
        <v/>
      </c>
      <c r="H25" s="228">
        <f>IF($A25="","",SUMIFS(Raw_Data_Daily!$F:$F, Raw_Data_Daily!$B:$B, "Control", Raw_Data_Daily!$A:$A, $A25, Raw_Data_Daily!$C:$C, $C$3))</f>
        <v>0</v>
      </c>
      <c r="I25" s="228">
        <f>IF($A25="","",SUMIFS(Raw_Data_Daily!$F:$F, Raw_Data_Daily!$B:$B, "Variant", Raw_Data_Daily!$A:$A, $A25, Raw_Data_Daily!$C:$C, $C$3))</f>
        <v>0</v>
      </c>
      <c r="J25" s="229" t="str">
        <f t="shared" si="3"/>
        <v/>
      </c>
      <c r="K25" s="230" t="str">
        <f>IF($A25="","",IFERROR(SUMIFS(Raw_Data_Daily!$F:$F, Raw_Data_Daily!$B:$B, "Control", Raw_Data_Daily!$A:$A, $A25, Raw_Data_Daily!$C:$C, $C$3)/SUMIFS(Raw_Data_Daily!$D:$D, Raw_Data_Daily!$B:$B, "Control", Raw_Data_Daily!$A:$A, $A25, Raw_Data_Daily!$C:$C, $C$3),""))</f>
        <v/>
      </c>
      <c r="L25" s="230" t="str">
        <f>IF($A25="","",IFERROR(SUMIFS(Raw_Data_Daily!$F:$F, Raw_Data_Daily!$B:$B, "Variant", Raw_Data_Daily!$A:$A, $A25, Raw_Data_Daily!$C:$C, $C$3)/SUMIFS(Raw_Data_Daily!$D:$D, Raw_Data_Daily!$B:$B, "Variant", Raw_Data_Daily!$A:$A, $A25, Raw_Data_Daily!$C:$C, $C$3),""))</f>
        <v/>
      </c>
      <c r="M25" s="229" t="str">
        <f t="shared" si="4"/>
        <v/>
      </c>
      <c r="N25" s="227" t="str">
        <f>IF($A25="","",IFERROR(SUMPRODUCT((Raw_Data_Daily!$B$2:$B$9999="Control")*(Raw_Data_Daily!$A$2:$A$9999=$A25)*(Raw_Data_Daily!$C$2:$C$9999=$C$3)*Raw_Data_Daily!$D$2:$D$9999*Raw_Data_Daily!$H$2:$H$9999/100)/SUMIFS(Raw_Data_Daily!$D:$D, Raw_Data_Daily!$B:$B, "Control", Raw_Data_Daily!$A:$A, $A25, Raw_Data_Daily!$C:$C, $C$3)*100,""))</f>
        <v/>
      </c>
      <c r="O25" s="227" t="str">
        <f>IF($A25="","",IFERROR(SUMPRODUCT((Raw_Data_Daily!$B$2:$B$9999="Variant")*(Raw_Data_Daily!$A$2:$A$9999=$A25)*(Raw_Data_Daily!$C$2:$C$9999=$C$3)*Raw_Data_Daily!$D$2:$D$9999*Raw_Data_Daily!$H$2:$H$9999/100)/SUMIFS(Raw_Data_Daily!$D:$D, Raw_Data_Daily!$B:$B, "Variant", Raw_Data_Daily!$A:$A, $A25, Raw_Data_Daily!$C:$C, $C$3)*100,""))</f>
        <v/>
      </c>
      <c r="P25" s="229" t="str">
        <f t="shared" si="5"/>
        <v/>
      </c>
      <c r="Q25" s="230" t="str">
        <f>IF($A25="","",IFERROR(SUMIFS(Raw_Data_Daily!$F:$F, Raw_Data_Daily!$B:$B, "Control", Raw_Data_Daily!$A:$A, $A25, Raw_Data_Daily!$C:$C, $C$3)/SUMPRODUCT((Raw_Data_Daily!$B$2:$B$9999="Control")*(Raw_Data_Daily!$A$2:$A$9999=$A25)*(Raw_Data_Daily!$C$2:$C$9999=$C$3)*Raw_Data_Daily!$D$2:$D$9999*Raw_Data_Daily!$H$2:$H$9999/100),""))</f>
        <v/>
      </c>
      <c r="R25" s="230" t="str">
        <f>IF($A25="","",IFERROR(SUMIFS(Raw_Data_Daily!$F:$F, Raw_Data_Daily!$B:$B, "Variant", Raw_Data_Daily!$A:$A, $A25, Raw_Data_Daily!$C:$C, $C$3)/SUMPRODUCT((Raw_Data_Daily!$B$2:$B$9999="Variant")*(Raw_Data_Daily!$A$2:$A$9999=$A25)*(Raw_Data_Daily!$C$2:$C$9999=$C$3)*Raw_Data_Daily!$D$2:$D$9999*Raw_Data_Daily!$H$2:$H$9999/100),""))</f>
        <v/>
      </c>
      <c r="S25" s="229" t="str">
        <f t="shared" si="6"/>
        <v/>
      </c>
      <c r="T25" s="231" t="str">
        <f>IF($A25="","",IFERROR(SUMPRODUCT((Raw_Data_Daily!$B$2:$B$9999="Control")*(Raw_Data_Daily!$A$2:$A$9999=$A25)*(Raw_Data_Daily!$C$2:$C$9999=$C$3)*Raw_Data_Daily!$D$2:$D$9999*Raw_Data_Daily!$J$2:$J$9999)/SUMIFS(Raw_Data_Daily!$D:$D, Raw_Data_Daily!$B:$B, "Control", Raw_Data_Daily!$A:$A, $A25, Raw_Data_Daily!$C:$C, $C$3),""))</f>
        <v/>
      </c>
      <c r="U25" s="231" t="str">
        <f>IF($A25="","",IFERROR(SUMPRODUCT((Raw_Data_Daily!$B$2:$B$9999="Variant")*(Raw_Data_Daily!$A$2:$A$9999=$A25)*(Raw_Data_Daily!$C$2:$C$9999=$C$3)*Raw_Data_Daily!$D$2:$D$9999*Raw_Data_Daily!$J$2:$J$9999)/SUMIFS(Raw_Data_Daily!$D:$D, Raw_Data_Daily!$B:$B, "Variant", Raw_Data_Daily!$A:$A, $A25, Raw_Data_Daily!$C:$C, $C$3),""))</f>
        <v/>
      </c>
      <c r="V25" s="229" t="str">
        <f t="shared" si="7"/>
        <v/>
      </c>
      <c r="W25" s="231" t="str">
        <f>IF($A25="","",IFERROR(SUMPRODUCT((Raw_Data_Daily!$B$2:$B$9999="Control")*(Raw_Data_Daily!$A$2:$A$9999=$A25)*(Raw_Data_Daily!$C$2:$C$9999=$C$3)*Raw_Data_Daily!$D$2:$D$9999*Raw_Data_Daily!$K$2:$K$9999)/SUMIFS(Raw_Data_Daily!$D:$D, Raw_Data_Daily!$B:$B, "Control", Raw_Data_Daily!$A:$A, $A25, Raw_Data_Daily!$C:$C, $C$3),""))</f>
        <v/>
      </c>
      <c r="X25" s="231" t="str">
        <f>IF($A25="","",IFERROR(SUMPRODUCT((Raw_Data_Daily!$B$2:$B$9999="Variant")*(Raw_Data_Daily!$A$2:$A$9999=$A25)*(Raw_Data_Daily!$C$2:$C$9999=$C$3)*Raw_Data_Daily!$D$2:$D$9999*Raw_Data_Daily!$K$2:$K$9999)/SUMIFS(Raw_Data_Daily!$D:$D, Raw_Data_Daily!$B:$B, "Variant", Raw_Data_Daily!$A:$A, $A25, Raw_Data_Daily!$C:$C, $C$3),""))</f>
        <v/>
      </c>
      <c r="Y25" s="229" t="str">
        <f t="shared" si="8"/>
        <v/>
      </c>
      <c r="Z25" s="231" t="str">
        <f>IF($A25="","",IFERROR(SUMPRODUCT((Raw_Data_Daily!$B$2:$B$9999="Control")*(Raw_Data_Daily!$A$2:$A$9999=$A25)*(Raw_Data_Daily!$C$2:$C$9999=$C$3)*Raw_Data_Daily!$D$2:$D$9999*Raw_Data_Daily!$L$2:$L$9999)/SUMIFS(Raw_Data_Daily!$D:$D, Raw_Data_Daily!$B:$B, "Control", Raw_Data_Daily!$A:$A, $A25, Raw_Data_Daily!$C:$C, $C$3),""))</f>
        <v/>
      </c>
      <c r="AA25" s="231" t="str">
        <f>IF($A25="","",IFERROR(SUMPRODUCT((Raw_Data_Daily!$B$2:$B$9999="Variant")*(Raw_Data_Daily!$A$2:$A$9999=$A25)*(Raw_Data_Daily!$C$2:$C$9999=$C$3)*Raw_Data_Daily!$D$2:$D$9999*Raw_Data_Daily!$L$2:$L$9999)/SUMIFS(Raw_Data_Daily!$D:$D, Raw_Data_Daily!$B:$B, "Variant", Raw_Data_Daily!$A:$A, $A25, Raw_Data_Daily!$C:$C, $C$3),""))</f>
        <v/>
      </c>
      <c r="AB25" s="229" t="str">
        <f t="shared" si="9"/>
        <v/>
      </c>
      <c r="AC25" s="232" t="str">
        <f>IF($A25="","",IFERROR(SUMPRODUCT((Raw_Data_Daily!$B$2:$B$9999="Control")*(Raw_Data_Daily!$A$2:$A$9999=$A25)*(Raw_Data_Daily!$C$2:$C$9999=$C$3)*Raw_Data_Daily!$D$2:$D$9999*Raw_Data_Daily!$M$2:$M$9999)/SUMIFS(Raw_Data_Daily!$D:$D, Raw_Data_Daily!$B:$B, "Control", Raw_Data_Daily!$A:$A, $A25, Raw_Data_Daily!$C:$C, $C$3),""))</f>
        <v/>
      </c>
      <c r="AD25" s="232" t="str">
        <f>IF($A25="","",IFERROR(SUMPRODUCT((Raw_Data_Daily!$B$2:$B$9999="Variant")*(Raw_Data_Daily!$A$2:$A$9999=$A25)*(Raw_Data_Daily!$C$2:$C$9999=$C$3)*Raw_Data_Daily!$D$2:$D$9999*Raw_Data_Daily!$M$2:$M$9999)/SUMIFS(Raw_Data_Daily!$D:$D, Raw_Data_Daily!$B:$B, "Variant", Raw_Data_Daily!$A:$A, $A25, Raw_Data_Daily!$C:$C, $C$3),""))</f>
        <v/>
      </c>
      <c r="AE25" s="233" t="str">
        <f t="shared" si="10"/>
        <v/>
      </c>
      <c r="AF25" s="232" t="str">
        <f>IF($A25="","",IFERROR(SUMPRODUCT((Raw_Data_Daily!$B$2:$B$9999="Control")*(Raw_Data_Daily!$A$2:$A$9999=$A25)*(Raw_Data_Daily!$C$2:$C$9999=$C$3)*Raw_Data_Daily!$D$2:$D$9999*Raw_Data_Daily!$N$2:$N$9999)/SUMIFS(Raw_Data_Daily!$D:$D, Raw_Data_Daily!$B:$B, "Control", Raw_Data_Daily!$A:$A, $A25, Raw_Data_Daily!$C:$C, $C$3),""))</f>
        <v/>
      </c>
      <c r="AG25" s="232" t="str">
        <f>IF($A25="","",IFERROR(SUMPRODUCT((Raw_Data_Daily!$B$2:$B$9999="Variant")*(Raw_Data_Daily!$A$2:$A$9999=$A25)*(Raw_Data_Daily!$C$2:$C$9999=$C$3)*Raw_Data_Daily!$D$2:$D$9999*Raw_Data_Daily!$N$2:$N$9999)/SUMIFS(Raw_Data_Daily!$D:$D, Raw_Data_Daily!$B:$B, "Variant", Raw_Data_Daily!$A:$A, $A25, Raw_Data_Daily!$C:$C, $C$3),""))</f>
        <v/>
      </c>
      <c r="AH25" s="233" t="str">
        <f t="shared" si="11"/>
        <v/>
      </c>
      <c r="AI25" s="232" t="str">
        <f>IF($A25="","",IFERROR(SUMPRODUCT((Raw_Data_Daily!$B$2:$B$9999="Control")*(Raw_Data_Daily!$A$2:$A$9999=$A25)*(Raw_Data_Daily!$C$2:$C$9999=$C$3)*Raw_Data_Daily!$D$2:$D$9999*Raw_Data_Daily!$O$2:$O$9999)/SUMIFS(Raw_Data_Daily!$D:$D, Raw_Data_Daily!$B:$B, "Control", Raw_Data_Daily!$A:$A, $A25, Raw_Data_Daily!$C:$C, $C$3),""))</f>
        <v/>
      </c>
      <c r="AJ25" s="232" t="str">
        <f>IF($A25="","",IFERROR(SUMPRODUCT((Raw_Data_Daily!$B$2:$B$9999="Variant")*(Raw_Data_Daily!$A$2:$A$9999=$A25)*(Raw_Data_Daily!$C$2:$C$9999=$C$3)*Raw_Data_Daily!$D$2:$D$9999*Raw_Data_Daily!$O$2:$O$9999)/SUMIFS(Raw_Data_Daily!$D:$D, Raw_Data_Daily!$B:$B, "Variant", Raw_Data_Daily!$A:$A, $A25, Raw_Data_Daily!$C:$C, $C$3),""))</f>
        <v/>
      </c>
      <c r="AK25" s="229" t="str">
        <f t="shared" si="12"/>
        <v/>
      </c>
      <c r="AL25" s="231" t="str">
        <f>IF($A25="","",IFERROR(SUMPRODUCT((Raw_Data_Daily!$B$2:$B$9999="Control")*(Raw_Data_Daily!$A$2:$A$9999=$A25)*(Raw_Data_Daily!$C$2:$C$9999=$C$3)*Raw_Data_Daily!$D$2:$D$9999*Raw_Data_Daily!$P$2:$P$9999)/SUMIFS(Raw_Data_Daily!$D:$D, Raw_Data_Daily!$B:$B, "Control", Raw_Data_Daily!$A:$A, $A25, Raw_Data_Daily!$C:$C, $C$3),""))</f>
        <v/>
      </c>
      <c r="AM25" s="231" t="str">
        <f>IF($A25="","",IFERROR(SUMPRODUCT((Raw_Data_Daily!$B$2:$B$9999="Variant")*(Raw_Data_Daily!$A$2:$A$9999=$A25)*(Raw_Data_Daily!$C$2:$C$9999=$C$3)*Raw_Data_Daily!$D$2:$D$9999*Raw_Data_Daily!$P$2:$P$9999)/SUMIFS(Raw_Data_Daily!$D:$D, Raw_Data_Daily!$B:$B, "Variant", Raw_Data_Daily!$A:$A, $A25, Raw_Data_Daily!$C:$C, $C$3),""))</f>
        <v/>
      </c>
      <c r="AN25" s="229" t="str">
        <f t="shared" si="13"/>
        <v/>
      </c>
      <c r="AO25" s="231" t="str">
        <f>IF($A25="","",IFERROR(SUMPRODUCT((Raw_Data_Daily!$B$2:$B$9999="Control")*(Raw_Data_Daily!$A$2:$A$9999=$A25)*(Raw_Data_Daily!$C$2:$C$9999=$C$3)*Raw_Data_Daily!$D$2:$D$9999*Raw_Data_Daily!$Q$2:$Q$9999)/SUMIFS(Raw_Data_Daily!$D:$D, Raw_Data_Daily!$B:$B, "Control", Raw_Data_Daily!$A:$A, $A25, Raw_Data_Daily!$C:$C, $C$3),""))</f>
        <v/>
      </c>
      <c r="AP25" s="231" t="str">
        <f>IF($A25="","",IFERROR(SUMPRODUCT((Raw_Data_Daily!$B$2:$B$9999="Variant")*(Raw_Data_Daily!$A$2:$A$9999=$A25)*(Raw_Data_Daily!$C$2:$C$9999=$C$3)*Raw_Data_Daily!$D$2:$D$9999*Raw_Data_Daily!$Q$2:$Q$9999)/SUMIFS(Raw_Data_Daily!$D:$D, Raw_Data_Daily!$B:$B, "Variant", Raw_Data_Daily!$A:$A, $A25, Raw_Data_Daily!$C:$C, $C$3),""))</f>
        <v/>
      </c>
      <c r="AQ25" s="226" t="str">
        <f t="shared" si="14"/>
        <v/>
      </c>
      <c r="AR25" s="231" t="str">
        <f>IF($A25="","",IFERROR(SUMPRODUCT((Raw_Data_Daily!$B$2:$B$9999="Control")*(Raw_Data_Daily!$A$2:$A$9999=$A25)*(Raw_Data_Daily!$C$2:$C$9999=$C$3)*Raw_Data_Daily!$D$2:$D$9999*Raw_Data_Daily!$R$2:$R$9999)/SUMIFS(Raw_Data_Daily!$D:$D, Raw_Data_Daily!$B:$B, "Control", Raw_Data_Daily!$A:$A, $A25, Raw_Data_Daily!$C:$C, $C$3),""))</f>
        <v/>
      </c>
      <c r="AS25" s="231" t="str">
        <f>IF($A25="","",IFERROR(SUMPRODUCT((Raw_Data_Daily!$B$2:$B$9999="Variant")*(Raw_Data_Daily!$A$2:$A$9999=$A25)*(Raw_Data_Daily!$C$2:$C$9999=$C$3)*Raw_Data_Daily!$D$2:$D$9999*Raw_Data_Daily!$R$2:$R$9999)/SUMIFS(Raw_Data_Daily!$D:$D, Raw_Data_Daily!$B:$B, "Variant", Raw_Data_Daily!$A:$A, $A25, Raw_Data_Daily!$C:$C, $C$3),""))</f>
        <v/>
      </c>
      <c r="AT25" s="226" t="str">
        <f t="shared" si="15"/>
        <v/>
      </c>
      <c r="AU25" s="231" t="str">
        <f>IF($A25="","",IFERROR(SUMPRODUCT((Raw_Data_Daily!$B$2:$B$9999="Control")*(Raw_Data_Daily!$A$2:$A$9999=$A25)*(Raw_Data_Daily!$C$2:$C$9999=$C$3)*Raw_Data_Daily!$D$2:$D$9999*Raw_Data_Daily!$S$2:$S$9999)/SUMIFS(Raw_Data_Daily!$D:$D, Raw_Data_Daily!$B:$B, "Control", Raw_Data_Daily!$A:$A, $A25, Raw_Data_Daily!$C:$C, $C$3),""))</f>
        <v/>
      </c>
      <c r="AV25" s="231" t="str">
        <f>IF($A25="","",IFERROR(SUMPRODUCT((Raw_Data_Daily!$B$2:$B$9999="Variant")*(Raw_Data_Daily!$A$2:$A$9999=$A25)*(Raw_Data_Daily!$C$2:$C$9999=$C$3)*Raw_Data_Daily!$D$2:$D$9999*Raw_Data_Daily!$S$2:$S$9999)/SUMIFS(Raw_Data_Daily!$D:$D, Raw_Data_Daily!$B:$B, "Variant", Raw_Data_Daily!$A:$A, $A25, Raw_Data_Daily!$C:$C, $C$3),""))</f>
        <v/>
      </c>
      <c r="AW25" s="226" t="str">
        <f t="shared" si="16"/>
        <v/>
      </c>
      <c r="AX25" s="231" t="str">
        <f>IF($A25="","",IFERROR(SUMPRODUCT((Raw_Data_Daily!$B$2:$B$9999="Control")*(Raw_Data_Daily!$A$2:$A$9999=$A25)*(Raw_Data_Daily!$C$2:$C$9999=$C$3)*Raw_Data_Daily!$D$2:$D$9999*Raw_Data_Daily!$T$2:$T$9999)/SUMIFS(Raw_Data_Daily!$D:$D, Raw_Data_Daily!$B:$B, "Control", Raw_Data_Daily!$A:$A, $A25, Raw_Data_Daily!$C:$C, $C$3),""))</f>
        <v/>
      </c>
      <c r="AY25" s="231" t="str">
        <f>IF($A25="","",IFERROR(SUMPRODUCT((Raw_Data_Daily!$B$2:$B$9999="Variant")*(Raw_Data_Daily!$A$2:$A$9999=$A25)*(Raw_Data_Daily!$C$2:$C$9999=$C$3)*Raw_Data_Daily!$D$2:$D$9999*Raw_Data_Daily!$T$2:$T$9999)/SUMIFS(Raw_Data_Daily!$D:$D, Raw_Data_Daily!$B:$B, "Variant", Raw_Data_Daily!$A:$A, $A25, Raw_Data_Daily!$C:$C, $C$3),""))</f>
        <v/>
      </c>
      <c r="AZ25" s="229" t="str">
        <f t="shared" si="17"/>
        <v/>
      </c>
      <c r="BA25" s="231" t="str">
        <f>IF($A25="","",IFERROR(SUMPRODUCT((Raw_Data_Daily!$B$2:$B$9999="Control")*(Raw_Data_Daily!$A$2:$A$9999=$A25)*(Raw_Data_Daily!$C$2:$C$9999=$C$3)*Raw_Data_Daily!$D$2:$D$9999*Raw_Data_Daily!$U$2:$U$9999)/SUMIFS(Raw_Data_Daily!$D:$D, Raw_Data_Daily!$B:$B, "Control", Raw_Data_Daily!$A:$A, $A25, Raw_Data_Daily!$C:$C, $C$3),""))</f>
        <v/>
      </c>
      <c r="BB25" s="231" t="str">
        <f>IF($A25="","",IFERROR(SUMPRODUCT((Raw_Data_Daily!$B$2:$B$9999="Variant")*(Raw_Data_Daily!$A$2:$A$9999=$A25)*(Raw_Data_Daily!$C$2:$C$9999=$C$3)*Raw_Data_Daily!$D$2:$D$9999*Raw_Data_Daily!$U$2:$U$9999)/SUMIFS(Raw_Data_Daily!$D:$D, Raw_Data_Daily!$B:$B, "Variant", Raw_Data_Daily!$A:$A, $A25, Raw_Data_Daily!$C:$C, $C$3),""))</f>
        <v/>
      </c>
      <c r="BC25" s="226" t="str">
        <f t="shared" si="18"/>
        <v/>
      </c>
      <c r="BD25" s="231" t="str">
        <f>IF($A25="","",IFERROR(SUMPRODUCT((Raw_Data_Daily!$B$2:$B$9999="Control")*(Raw_Data_Daily!$A$2:$A$9999=$A25)*(Raw_Data_Daily!$C$2:$C$9999=$C$3)*Raw_Data_Daily!$D$2:$D$9999*Raw_Data_Daily!$V$2:$V$9999)/SUMIFS(Raw_Data_Daily!$D:$D, Raw_Data_Daily!$B:$B, "Control", Raw_Data_Daily!$A:$A, $A25, Raw_Data_Daily!$C:$C, $C$3),""))</f>
        <v/>
      </c>
      <c r="BE25" s="231" t="str">
        <f>IF($A25="","",IFERROR(SUMPRODUCT((Raw_Data_Daily!$B$2:$B$9999="Variant")*(Raw_Data_Daily!$A$2:$A$9999=$A25)*(Raw_Data_Daily!$C$2:$C$9999=$C$3)*Raw_Data_Daily!$D$2:$D$9999*Raw_Data_Daily!$V$2:$V$9999)/SUMIFS(Raw_Data_Daily!$D:$D, Raw_Data_Daily!$B:$B, "Variant", Raw_Data_Daily!$A:$A, $A25, Raw_Data_Daily!$C:$C, $C$3),""))</f>
        <v/>
      </c>
      <c r="BF25" s="226" t="str">
        <f t="shared" si="19"/>
        <v/>
      </c>
      <c r="BG25" s="231" t="str">
        <f>IF($A25="","",IFERROR(SUMPRODUCT((Raw_Data_Daily!$B$2:$B$9999="Control")*(Raw_Data_Daily!$A$2:$A$9999=$A25)*(Raw_Data_Daily!$C$2:$C$9999=$C$3)*Raw_Data_Daily!$D$2:$D$9999*(Raw_Data_Daily!$Q$2:$Q$9999-Raw_Data_Daily!$V$2:$V$9999))/SUMIFS(Raw_Data_Daily!$D:$D, Raw_Data_Daily!$B:$B, "Control", Raw_Data_Daily!$A:$A, $A25, Raw_Data_Daily!$C:$C, $C$3),""))</f>
        <v/>
      </c>
      <c r="BH25" s="231" t="str">
        <f>IF($A25="","",IFERROR(SUMPRODUCT((Raw_Data_Daily!$B$2:$B$9999="Variant")*(Raw_Data_Daily!$A$2:$A$9999=$A25)*(Raw_Data_Daily!$C$2:$C$9999=$C$3)*Raw_Data_Daily!$D$2:$D$9999*(Raw_Data_Daily!$Q$2:$Q$9999-Raw_Data_Daily!$V$2:$V$9999))/SUMIFS(Raw_Data_Daily!$D:$D, Raw_Data_Daily!$B:$B, "Variant", Raw_Data_Daily!$A:$A, $A25, Raw_Data_Daily!$C:$C, $C$3),""))</f>
        <v/>
      </c>
      <c r="BI25" s="226" t="str">
        <f t="shared" si="20"/>
        <v/>
      </c>
      <c r="BJ25" s="231" t="str">
        <f>IF($A25="","",IFERROR(SUMPRODUCT((Raw_Data_Daily!$B$2:$B$9999="Control")*(Raw_Data_Daily!$A$2:$A$9999=$A25)*(Raw_Data_Daily!$C$2:$C$9999=$C$3)*Raw_Data_Daily!$D$2:$D$9999*Raw_Data_Daily!$W$2:$W$9999)/SUMIFS(Raw_Data_Daily!$D:$D, Raw_Data_Daily!$B:$B, "Control", Raw_Data_Daily!$A:$A, $A25, Raw_Data_Daily!$C:$C, $C$3),""))</f>
        <v/>
      </c>
      <c r="BK25" s="231" t="str">
        <f>IF($A25="","",IFERROR(SUMPRODUCT((Raw_Data_Daily!$B$2:$B$9999="Variant")*(Raw_Data_Daily!$A$2:$A$9999=$A25)*(Raw_Data_Daily!$C$2:$C$9999=$C$3)*Raw_Data_Daily!$D$2:$D$9999*Raw_Data_Daily!$W$2:$W$9999)/SUMIFS(Raw_Data_Daily!$D:$D, Raw_Data_Daily!$B:$B, "Variant", Raw_Data_Daily!$A:$A, $A25, Raw_Data_Daily!$C:$C, $C$3),""))</f>
        <v/>
      </c>
      <c r="BL25" s="226" t="str">
        <f t="shared" si="21"/>
        <v/>
      </c>
      <c r="BM25" s="232" t="str">
        <f>IF($A25="","",IFERROR(SUMPRODUCT((Raw_Data_Daily!$B$2:$B$9999="Control")*(Raw_Data_Daily!$A$2:$A$9999=$A25)*(Raw_Data_Daily!$C$2:$C$9999=$C$3)*Raw_Data_Daily!$D$2:$D$9999*Raw_Data_Daily!$X$2:$X$9999)/SUMIFS(Raw_Data_Daily!$D:$D, Raw_Data_Daily!$B:$B, "Control", Raw_Data_Daily!$A:$A, $A25, Raw_Data_Daily!$C:$C, $C$3),""))</f>
        <v/>
      </c>
      <c r="BN25" s="232" t="str">
        <f>IF($A25="","",IFERROR(SUMPRODUCT((Raw_Data_Daily!$B$2:$B$9999="Variant")*(Raw_Data_Daily!$A$2:$A$9999=$A25)*(Raw_Data_Daily!$C$2:$C$9999=$C$3)*Raw_Data_Daily!$D$2:$D$9999*Raw_Data_Daily!$X$2:$X$9999)/SUMIFS(Raw_Data_Daily!$D:$D, Raw_Data_Daily!$B:$B, "Variant", Raw_Data_Daily!$A:$A, $A25, Raw_Data_Daily!$C:$C, $C$3),""))</f>
        <v/>
      </c>
      <c r="BO25" s="229" t="str">
        <f t="shared" si="22"/>
        <v/>
      </c>
      <c r="BP25" s="225" t="str">
        <f>IF($A25="","",IFERROR(SUMPRODUCT((Raw_Data_Daily!$B$2:$B$9999="Control")*(Raw_Data_Daily!$A$2:$A$9999=$A25)*(Raw_Data_Daily!$C$2:$C$9999=$C$3)*Raw_Data_Daily!$D$2:$D$9999*Raw_Data_Daily!$Y$2:$Y$9999)/SUMIFS(Raw_Data_Daily!$D:$D, Raw_Data_Daily!$B:$B, "Control", Raw_Data_Daily!$A:$A, $A25, Raw_Data_Daily!$C:$C, $C$3),""))</f>
        <v/>
      </c>
      <c r="BQ25" s="225" t="str">
        <f>IF($A25="","",IFERROR(SUMPRODUCT((Raw_Data_Daily!$B$2:$B$9999="Variant")*(Raw_Data_Daily!$A$2:$A$9999=$A25)*(Raw_Data_Daily!$C$2:$C$9999=$C$3)*Raw_Data_Daily!$D$2:$D$9999*Raw_Data_Daily!$Y$2:$Y$9999)/SUMIFS(Raw_Data_Daily!$D:$D, Raw_Data_Daily!$B:$B, "Variant", Raw_Data_Daily!$A:$A, $A25, Raw_Data_Daily!$C:$C, $C$3),""))</f>
        <v/>
      </c>
      <c r="BR25" s="226" t="str">
        <f t="shared" si="23"/>
        <v/>
      </c>
      <c r="BS25" s="225" t="str">
        <f>IF($A25="","",IFERROR(SUMPRODUCT((Raw_Data_Daily!$B$2:$B$9999="Control")*(Raw_Data_Daily!$A$2:$A$9999=$A25)*(Raw_Data_Daily!$C$2:$C$9999=$C$3)*Raw_Data_Daily!$D$2:$D$9999*Raw_Data_Daily!$Z$2:$Z$9999)/SUMIFS(Raw_Data_Daily!$D:$D, Raw_Data_Daily!$B:$B, "Control", Raw_Data_Daily!$A:$A, $A25, Raw_Data_Daily!$C:$C, $C$3),""))</f>
        <v/>
      </c>
      <c r="BT25" s="225" t="str">
        <f>IF($A25="","",IFERROR(SUMPRODUCT((Raw_Data_Daily!$B$2:$B$9999="Variant")*(Raw_Data_Daily!$A$2:$A$9999=$A25)*(Raw_Data_Daily!$C$2:$C$9999=$C$3)*Raw_Data_Daily!$D$2:$D$9999*Raw_Data_Daily!$Z$2:$Z$9999)/SUMIFS(Raw_Data_Daily!$D:$D, Raw_Data_Daily!$B:$B, "Variant", Raw_Data_Daily!$A:$A, $A25, Raw_Data_Daily!$C:$C, $C$3),""))</f>
        <v/>
      </c>
      <c r="BU25" s="226" t="str">
        <f t="shared" si="24"/>
        <v/>
      </c>
      <c r="BV25" s="225" t="str">
        <f>IF($A25="","",IFERROR(SUMPRODUCT((Raw_Data_Daily!$B$2:$B$9999="Control")*(Raw_Data_Daily!$A$2:$A$9999=$A25)*(Raw_Data_Daily!$C$2:$C$9999=$C$3)*Raw_Data_Daily!$D$2:$D$9999*Raw_Data_Daily!$AA$2:$AA$9999)/SUMIFS(Raw_Data_Daily!$D:$D, Raw_Data_Daily!$B:$B, "Control", Raw_Data_Daily!$A:$A, $A25, Raw_Data_Daily!$C:$C, $C$3),""))</f>
        <v/>
      </c>
      <c r="BW25" s="225" t="str">
        <f>IF($A25="","",IFERROR(SUMPRODUCT((Raw_Data_Daily!$B$2:$B$9999="Variant")*(Raw_Data_Daily!$A$2:$A$9999=$A25)*(Raw_Data_Daily!$C$2:$C$9999=$C$3)*Raw_Data_Daily!$D$2:$D$9999*Raw_Data_Daily!$AA$2:$AA$9999)/SUMIFS(Raw_Data_Daily!$D:$D, Raw_Data_Daily!$B:$B, "Variant", Raw_Data_Daily!$A:$A, $A25, Raw_Data_Daily!$C:$C, $C$3),""))</f>
        <v/>
      </c>
      <c r="BX25" s="226" t="str">
        <f t="shared" si="25"/>
        <v/>
      </c>
      <c r="BY25" s="231" t="str">
        <f>IF($A25="","",IFERROR(SUMPRODUCT((Raw_Data_Daily!$B$2:$B$9999="Control")*(Raw_Data_Daily!$A$2:$A$9999=$A25)*(Raw_Data_Daily!$C$2:$C$9999=$C$3)*Raw_Data_Daily!$D$2:$D$9999*Raw_Data_Daily!$AB$2:$AB$9999)/SUMIFS(Raw_Data_Daily!$D:$D, Raw_Data_Daily!$B:$B, "Control", Raw_Data_Daily!$A:$A, $A25, Raw_Data_Daily!$C:$C, $C$3),""))</f>
        <v/>
      </c>
      <c r="BZ25" s="231" t="str">
        <f>IF($A25="","",IFERROR(SUMPRODUCT((Raw_Data_Daily!$B$2:$B$9999="Variant")*(Raw_Data_Daily!$A$2:$A$9999=$A25)*(Raw_Data_Daily!$C$2:$C$9999=$C$3)*Raw_Data_Daily!$D$2:$D$9999*Raw_Data_Daily!$AB$2:$AB$9999)/SUMIFS(Raw_Data_Daily!$D:$D, Raw_Data_Daily!$B:$B, "Variant", Raw_Data_Daily!$A:$A, $A25, Raw_Data_Daily!$C:$C, $C$3),""))</f>
        <v/>
      </c>
      <c r="CA25" s="229" t="str">
        <f t="shared" si="26"/>
        <v/>
      </c>
      <c r="CB25" s="231" t="str">
        <f>IF($A25="","",IFERROR(SUMPRODUCT((Raw_Data_Daily!$B$2:$B$9999="Control")*(Raw_Data_Daily!$A$2:$A$9999=$A25)*(Raw_Data_Daily!$C$2:$C$9999=$C$3)*Raw_Data_Daily!$D$2:$D$9999*Raw_Data_Daily!$AC$2:$AC$9999)/SUMIFS(Raw_Data_Daily!$D:$D, Raw_Data_Daily!$B:$B, "Control", Raw_Data_Daily!$A:$A, $A25, Raw_Data_Daily!$C:$C, $C$3),""))</f>
        <v/>
      </c>
      <c r="CC25" s="231" t="str">
        <f>IF($A25="","",IFERROR(SUMPRODUCT((Raw_Data_Daily!$B$2:$B$9999="Variant")*(Raw_Data_Daily!$A$2:$A$9999=$A25)*(Raw_Data_Daily!$C$2:$C$9999=$C$3)*Raw_Data_Daily!$D$2:$D$9999*Raw_Data_Daily!$AC$2:$AC$9999)/SUMIFS(Raw_Data_Daily!$D:$D, Raw_Data_Daily!$B:$B, "Variant", Raw_Data_Daily!$A:$A, $A25, Raw_Data_Daily!$C:$C, $C$3),""))</f>
        <v/>
      </c>
      <c r="CD25" s="229" t="str">
        <f t="shared" si="27"/>
        <v/>
      </c>
      <c r="CE25" s="231" t="str">
        <f>IF($A25="","",IFERROR(SUMPRODUCT((Raw_Data_Daily!$B$2:$B$9999="Control")*(Raw_Data_Daily!$A$2:$A$9999=$A25)*(Raw_Data_Daily!$C$2:$C$9999=$C$3)*Raw_Data_Daily!$D$2:$D$9999*Raw_Data_Daily!$AD$2:$AD$9999)/SUMIFS(Raw_Data_Daily!$D:$D, Raw_Data_Daily!$B:$B, "Control", Raw_Data_Daily!$A:$A, $A25, Raw_Data_Daily!$C:$C, $C$3),""))</f>
        <v/>
      </c>
      <c r="CF25" s="231" t="str">
        <f>IF($A25="","",IFERROR(SUMPRODUCT((Raw_Data_Daily!$B$2:$B$9999="Variant")*(Raw_Data_Daily!$A$2:$A$9999=$A25)*(Raw_Data_Daily!$C$2:$C$9999=$C$3)*Raw_Data_Daily!$D$2:$D$9999*Raw_Data_Daily!$AD$2:$AD$9999)/SUMIFS(Raw_Data_Daily!$D:$D, Raw_Data_Daily!$B:$B, "Variant", Raw_Data_Daily!$A:$A, $A25, Raw_Data_Daily!$C:$C, $C$3),""))</f>
        <v/>
      </c>
      <c r="CG25" s="229" t="str">
        <f t="shared" si="28"/>
        <v/>
      </c>
      <c r="CH25" s="231" t="str">
        <f>IF($A25="","",IFERROR(SUMPRODUCT((Raw_Data_Daily!$B$2:$B$9999="Control")*(Raw_Data_Daily!$A$2:$A$9999=$A25)*(Raw_Data_Daily!$C$2:$C$9999=$C$3)*Raw_Data_Daily!$D$2:$D$9999*Raw_Data_Daily!$AE$2:$AE$9999)/SUMIFS(Raw_Data_Daily!$D:$D, Raw_Data_Daily!$B:$B, "Control", Raw_Data_Daily!$A:$A, $A25, Raw_Data_Daily!$C:$C, $C$3),""))</f>
        <v/>
      </c>
      <c r="CI25" s="231" t="str">
        <f>IF($A25="","",IFERROR(SUMPRODUCT((Raw_Data_Daily!$B$2:$B$9999="Variant")*(Raw_Data_Daily!$A$2:$A$9999=$A25)*(Raw_Data_Daily!$C$2:$C$9999=$C$3)*Raw_Data_Daily!$D$2:$D$9999*Raw_Data_Daily!$AE$2:$AE$9999)/SUMIFS(Raw_Data_Daily!$D:$D, Raw_Data_Daily!$B:$B, "Variant", Raw_Data_Daily!$A:$A, $A25, Raw_Data_Daily!$C:$C, $C$3),""))</f>
        <v/>
      </c>
      <c r="CJ25" s="229" t="str">
        <f t="shared" si="29"/>
        <v/>
      </c>
      <c r="CK25" s="231" t="str">
        <f>IF($A25="","",IFERROR(SUMPRODUCT((Raw_Data_Daily!$B$2:$B$9999="Control")*(Raw_Data_Daily!$A$2:$A$9999=$A25)*(Raw_Data_Daily!$C$2:$C$9999=$C$3)*Raw_Data_Daily!$D$2:$D$9999*Raw_Data_Daily!$AF$2:$AF$9999)/SUMIFS(Raw_Data_Daily!$D:$D, Raw_Data_Daily!$B:$B, "Control", Raw_Data_Daily!$A:$A, $A25, Raw_Data_Daily!$C:$C, $C$3),""))</f>
        <v/>
      </c>
      <c r="CL25" s="231" t="str">
        <f>IF($A25="","",IFERROR(SUMPRODUCT((Raw_Data_Daily!$B$2:$B$9999="Variant")*(Raw_Data_Daily!$A$2:$A$9999=$A25)*(Raw_Data_Daily!$C$2:$C$9999=$C$3)*Raw_Data_Daily!$D$2:$D$9999*Raw_Data_Daily!$AF$2:$AF$9999)/SUMIFS(Raw_Data_Daily!$D:$D, Raw_Data_Daily!$B:$B, "Variant", Raw_Data_Daily!$A:$A, $A25, Raw_Data_Daily!$C:$C, $C$3),""))</f>
        <v/>
      </c>
      <c r="CM25" s="229" t="str">
        <f t="shared" si="30"/>
        <v/>
      </c>
      <c r="CN25" s="231" t="str">
        <f>IF($A25="","",IFERROR(SUMPRODUCT((Raw_Data_Daily!$B$2:$B$9999="Control")*(Raw_Data_Daily!$A$2:$A$9999=$A25)*(Raw_Data_Daily!$C$2:$C$9999=$C$3)*Raw_Data_Daily!$D$2:$D$9999*Raw_Data_Daily!$AG$2:$AG$9999)/SUMIFS(Raw_Data_Daily!$D:$D, Raw_Data_Daily!$B:$B, "Control", Raw_Data_Daily!$A:$A, $A25, Raw_Data_Daily!$C:$C, $C$3),""))</f>
        <v/>
      </c>
      <c r="CO25" s="231" t="str">
        <f>IF($A25="","",IFERROR(SUMPRODUCT((Raw_Data_Daily!$B$2:$B$9999="Variant")*(Raw_Data_Daily!$A$2:$A$9999=$A25)*(Raw_Data_Daily!$C$2:$C$9999=$C$3)*Raw_Data_Daily!$D$2:$D$9999*Raw_Data_Daily!$AG$2:$AG$9999)/SUMIFS(Raw_Data_Daily!$D:$D, Raw_Data_Daily!$B:$B, "Variant", Raw_Data_Daily!$A:$A, $A25, Raw_Data_Daily!$C:$C, $C$3),""))</f>
        <v/>
      </c>
      <c r="CP25" s="229" t="str">
        <f t="shared" si="31"/>
        <v/>
      </c>
      <c r="CQ25" s="231" t="str">
        <f>IF($A25="","",IFERROR(SUMPRODUCT((Raw_Data_Daily!$B$2:$B$9999="Control")*(Raw_Data_Daily!$A$2:$A$9999=$A25)*(Raw_Data_Daily!$C$2:$C$9999=$C$3)*Raw_Data_Daily!$D$2:$D$9999*Raw_Data_Daily!$AH$2:$AH$9999)/SUMIFS(Raw_Data_Daily!$D:$D, Raw_Data_Daily!$B:$B, "Control", Raw_Data_Daily!$A:$A, $A25, Raw_Data_Daily!$C:$C, $C$3),""))</f>
        <v/>
      </c>
      <c r="CR25" s="231" t="str">
        <f>IF($A25="","",IFERROR(SUMPRODUCT((Raw_Data_Daily!$B$2:$B$9999="Variant")*(Raw_Data_Daily!$A$2:$A$9999=$A25)*(Raw_Data_Daily!$C$2:$C$9999=$C$3)*Raw_Data_Daily!$D$2:$D$9999*Raw_Data_Daily!$AH$2:$AH$9999)/SUMIFS(Raw_Data_Daily!$D:$D, Raw_Data_Daily!$B:$B, "Variant", Raw_Data_Daily!$A:$A, $A25, Raw_Data_Daily!$C:$C, $C$3),""))</f>
        <v/>
      </c>
      <c r="CS25" s="229" t="str">
        <f t="shared" si="32"/>
        <v/>
      </c>
      <c r="CT25" s="227" t="str">
        <f>IF($A25="","",IFERROR(SUMPRODUCT((Raw_Data_Daily!$B$2:$B$9999="Control")*(Raw_Data_Daily!$A$2:$A$9999=$A25)*(Raw_Data_Daily!$C$2:$C$9999=$C$3)*Raw_Data_Daily!$D$2:$D$9999*Raw_Data_Daily!$AI$2:$AI$9999)/SUMIFS(Raw_Data_Daily!$D:$D, Raw_Data_Daily!$B:$B, "Control", Raw_Data_Daily!$A:$A, $A25, Raw_Data_Daily!$C:$C, $C$3),""))</f>
        <v/>
      </c>
      <c r="CU25" s="227" t="str">
        <f>IF($A25="","",IFERROR(SUMPRODUCT((Raw_Data_Daily!$B$2:$B$9999="Variant")*(Raw_Data_Daily!$A$2:$A$9999=$A25)*(Raw_Data_Daily!$C$2:$C$9999=$C$3)*Raw_Data_Daily!$D$2:$D$9999*Raw_Data_Daily!$AI$2:$AI$9999)/SUMIFS(Raw_Data_Daily!$D:$D, Raw_Data_Daily!$B:$B, "Variant", Raw_Data_Daily!$A:$A, $A25, Raw_Data_Daily!$C:$C, $C$3),""))</f>
        <v/>
      </c>
      <c r="CV25" s="233" t="str">
        <f t="shared" si="33"/>
        <v/>
      </c>
      <c r="CW25" s="227" t="str">
        <f>IF($A25="","",IFERROR(SUMPRODUCT((Raw_Data_Daily!$B$2:$B$9999="Control")*(Raw_Data_Daily!$A$2:$A$9999=$A25)*(Raw_Data_Daily!$C$2:$C$9999=$C$3)*Raw_Data_Daily!$D$2:$D$9999*Raw_Data_Daily!$AJ$2:$AJ$9999)/SUMIFS(Raw_Data_Daily!$D:$D, Raw_Data_Daily!$B:$B, "Control", Raw_Data_Daily!$A:$A, $A25, Raw_Data_Daily!$C:$C, $C$3),""))</f>
        <v/>
      </c>
      <c r="CX25" s="227" t="str">
        <f>IF($A25="","",IFERROR(SUMPRODUCT((Raw_Data_Daily!$B$2:$B$9999="Variant")*(Raw_Data_Daily!$A$2:$A$9999=$A25)*(Raw_Data_Daily!$C$2:$C$9999=$C$3)*Raw_Data_Daily!$D$2:$D$9999*Raw_Data_Daily!$AJ$2:$AJ$9999)/SUMIFS(Raw_Data_Daily!$D:$D, Raw_Data_Daily!$B:$B, "Variant", Raw_Data_Daily!$A:$A, $A25, Raw_Data_Daily!$C:$C, $C$3),""))</f>
        <v/>
      </c>
      <c r="CY25" s="233" t="str">
        <f t="shared" si="34"/>
        <v/>
      </c>
      <c r="CZ25" s="227" t="str">
        <f>IF($A25="","",IFERROR(SUMPRODUCT((Raw_Data_Daily!$B$2:$B$9999="Control")*(Raw_Data_Daily!$A$2:$A$9999=$A25)*(Raw_Data_Daily!$C$2:$C$9999=$C$3)*Raw_Data_Daily!$D$2:$D$9999*Raw_Data_Daily!$AK$2:$AK$9999)/SUMIFS(Raw_Data_Daily!$D:$D, Raw_Data_Daily!$B:$B, "Control", Raw_Data_Daily!$A:$A, $A25, Raw_Data_Daily!$C:$C, $C$3),""))</f>
        <v/>
      </c>
      <c r="DA25" s="227" t="str">
        <f>IF($A25="","",IFERROR(SUMPRODUCT((Raw_Data_Daily!$B$2:$B$9999="Variant")*(Raw_Data_Daily!$A$2:$A$9999=$A25)*(Raw_Data_Daily!$C$2:$C$9999=$C$3)*Raw_Data_Daily!$D$2:$D$9999*Raw_Data_Daily!$AK$2:$AK$9999)/SUMIFS(Raw_Data_Daily!$D:$D, Raw_Data_Daily!$B:$B, "Variant", Raw_Data_Daily!$A:$A, $A25, Raw_Data_Daily!$C:$C, $C$3),""))</f>
        <v/>
      </c>
      <c r="DB25" s="229" t="str">
        <f t="shared" si="35"/>
        <v/>
      </c>
      <c r="DC25" s="232" t="str">
        <f>IF($A25="","",IFERROR(SUMPRODUCT((Raw_Data_Daily!$B$2:$B$9999="Control")*(Raw_Data_Daily!$A$2:$A$9999=$A25)*(Raw_Data_Daily!$C$2:$C$9999=$C$3)*Raw_Data_Daily!$D$2:$D$9999*Raw_Data_Daily!$AL$2:$AL$9999)/SUMIFS(Raw_Data_Daily!$D:$D, Raw_Data_Daily!$B:$B, "Control", Raw_Data_Daily!$A:$A, $A25, Raw_Data_Daily!$C:$C, $C$3),""))</f>
        <v/>
      </c>
      <c r="DD25" s="232" t="str">
        <f>IF($A25="","",IFERROR(SUMPRODUCT((Raw_Data_Daily!$B$2:$B$9999="Variant")*(Raw_Data_Daily!$A$2:$A$9999=$A25)*(Raw_Data_Daily!$C$2:$C$9999=$C$3)*Raw_Data_Daily!$D$2:$D$9999*Raw_Data_Daily!$AL$2:$AL$9999)/SUMIFS(Raw_Data_Daily!$D:$D, Raw_Data_Daily!$B:$B, "Variant", Raw_Data_Daily!$A:$A, $A25, Raw_Data_Daily!$C:$C, $C$3),""))</f>
        <v/>
      </c>
      <c r="DE25" s="233" t="str">
        <f t="shared" si="36"/>
        <v/>
      </c>
      <c r="DF25" s="234"/>
      <c r="DG25" s="227" t="str">
        <f>IF($A25="","",IFERROR(SUMPRODUCT((Raw_Data_Daily!$B$2:$B$9999="Variant")*(Raw_Data_Daily!$A$2:$A$9999=$A25)*(Raw_Data_Daily!$C$2:$C$9999=$C$3)*Raw_Data_Daily!$D$2:$D$9999*Raw_Data_Daily!$AM$2:$AM$9999)/SUMIFS(Raw_Data_Daily!$D:$D, Raw_Data_Daily!$B:$B, "Variant", Raw_Data_Daily!$A:$A, $A25, Raw_Data_Daily!$C:$C, $C$3),""))</f>
        <v/>
      </c>
      <c r="DH25" s="235"/>
      <c r="DI25" s="234"/>
      <c r="DJ25" s="227" t="str">
        <f>IF($A25="","",IFERROR(SUMPRODUCT((Raw_Data_Daily!$B$2:$B$9999="Variant")*(Raw_Data_Daily!$A$2:$A$9999=$A25)*(Raw_Data_Daily!$C$2:$C$9999=$C$3)*Raw_Data_Daily!$D$2:$D$9999*Raw_Data_Daily!$AN$2:$AN$9999)/SUMIFS(Raw_Data_Daily!$D:$D, Raw_Data_Daily!$B:$B, "Variant", Raw_Data_Daily!$A:$A, $A25, Raw_Data_Daily!$C:$C, $C$3),""))</f>
        <v/>
      </c>
      <c r="DK25" s="235"/>
      <c r="DL25" s="234"/>
      <c r="DM25" s="227" t="str">
        <f>IF($A25="","",IFERROR(SUMPRODUCT((Raw_Data_Daily!$B$2:$B$9999="Variant")*(Raw_Data_Daily!$A$2:$A$9999=$A25)*(Raw_Data_Daily!$C$2:$C$9999=$C$3)*Raw_Data_Daily!$D$2:$D$9999*Raw_Data_Daily!$AO$2:$AO$9999)/SUMIFS(Raw_Data_Daily!$D:$D, Raw_Data_Daily!$B:$B, "Variant", Raw_Data_Daily!$A:$A, $A25, Raw_Data_Daily!$C:$C, $C$3),""))</f>
        <v/>
      </c>
      <c r="DN25" s="235"/>
      <c r="DO25" s="234"/>
      <c r="DP25" s="227" t="str">
        <f>IF($A25="","",IFERROR(SUMPRODUCT((Raw_Data_Daily!$B$2:$B$9999="Variant")*(Raw_Data_Daily!$A$2:$A$9999=$A25)*(Raw_Data_Daily!$C$2:$C$9999=$C$3)*Raw_Data_Daily!$D$2:$D$9999*Raw_Data_Daily!$AP$2:$AP$9999)/SUMIFS(Raw_Data_Daily!$D:$D, Raw_Data_Daily!$B:$B, "Variant", Raw_Data_Daily!$A:$A, $A25, Raw_Data_Daily!$C:$C, $C$3),""))</f>
        <v/>
      </c>
      <c r="DQ25" s="235"/>
      <c r="DR25" s="232" t="str">
        <f>IF($A25="","",IFERROR(SUMPRODUCT((Raw_Data_Daily!$B$2:$B$9999="Control")*(Raw_Data_Daily!$A$2:$A$9999=$A25)*(Raw_Data_Daily!$C$2:$C$9999=$C$3)*Raw_Data_Daily!$D$2:$D$9999*Raw_Data_Daily!$AQ$2:$AQ$9999)/SUMIFS(Raw_Data_Daily!$D:$D, Raw_Data_Daily!$B:$B, "Control", Raw_Data_Daily!$A:$A, $A25, Raw_Data_Daily!$C:$C, $C$3),""))</f>
        <v/>
      </c>
      <c r="DS25" s="232" t="str">
        <f>IF($A25="","",IFERROR(SUMPRODUCT((Raw_Data_Daily!$B$2:$B$9999="Variant")*(Raw_Data_Daily!$A$2:$A$9999=$A25)*(Raw_Data_Daily!$C$2:$C$9999=$C$3)*Raw_Data_Daily!$D$2:$D$9999*Raw_Data_Daily!$AQ$2:$AQ$9999)/SUMIFS(Raw_Data_Daily!$D:$D, Raw_Data_Daily!$B:$B, "Variant", Raw_Data_Daily!$A:$A, $A25, Raw_Data_Daily!$C:$C, $C$3),""))</f>
        <v/>
      </c>
      <c r="DT25" s="236" t="str">
        <f t="shared" si="37"/>
        <v/>
      </c>
      <c r="DU25" s="232" t="str">
        <f>IF($A25="","",IFERROR(SUMPRODUCT((Raw_Data_Daily!$B$2:$B$9999="Control")*(Raw_Data_Daily!$A$2:$A$9999=$A25)*(Raw_Data_Daily!$C$2:$C$9999=$C$3)*Raw_Data_Daily!$D$2:$D$9999*Raw_Data_Daily!$AR$2:$AR$9999)/SUMIFS(Raw_Data_Daily!$D:$D, Raw_Data_Daily!$B:$B, "Control", Raw_Data_Daily!$A:$A, $A25, Raw_Data_Daily!$C:$C, $C$3),""))</f>
        <v/>
      </c>
      <c r="DV25" s="232" t="str">
        <f>IF($A25="","",IFERROR(SUMPRODUCT((Raw_Data_Daily!$B$2:$B$9999="Variant")*(Raw_Data_Daily!$A$2:$A$9999=$A25)*(Raw_Data_Daily!$C$2:$C$9999=$C$3)*Raw_Data_Daily!$D$2:$D$9999*Raw_Data_Daily!$AR$2:$AR$9999)/SUMIFS(Raw_Data_Daily!$D:$D, Raw_Data_Daily!$B:$B, "Variant", Raw_Data_Daily!$A:$A, $A25, Raw_Data_Daily!$C:$C, $C$3),""))</f>
        <v/>
      </c>
      <c r="DW25" s="236" t="str">
        <f t="shared" si="38"/>
        <v/>
      </c>
      <c r="DX25" s="232" t="str">
        <f>IF($A25="","",IFERROR(SUMPRODUCT((Raw_Data_Daily!$B$2:$B$9999="Control")*(Raw_Data_Daily!$A$2:$A$9999=$A25)*(Raw_Data_Daily!$C$2:$C$9999=$C$3)*Raw_Data_Daily!$D$2:$D$9999*Raw_Data_Daily!$AS$2:$AS$9999)/SUMIFS(Raw_Data_Daily!$D:$D, Raw_Data_Daily!$B:$B, "Control", Raw_Data_Daily!$A:$A, $A25, Raw_Data_Daily!$C:$C, $C$3),""))</f>
        <v/>
      </c>
      <c r="DY25" s="232" t="str">
        <f>IF($A25="","",IFERROR(SUMPRODUCT((Raw_Data_Daily!$B$2:$B$9999="Variant")*(Raw_Data_Daily!$A$2:$A$9999=$A25)*(Raw_Data_Daily!$C$2:$C$9999=$C$3)*Raw_Data_Daily!$D$2:$D$9999*Raw_Data_Daily!$AS$2:$AS$9999)/SUMIFS(Raw_Data_Daily!$D:$D, Raw_Data_Daily!$B:$B, "Variant", Raw_Data_Daily!$A:$A, $A25, Raw_Data_Daily!$C:$C, $C$3),""))</f>
        <v/>
      </c>
      <c r="DZ25" s="236" t="str">
        <f t="shared" si="39"/>
        <v/>
      </c>
      <c r="EA25" s="232" t="str">
        <f>IF($A25="","",IFERROR(SUMPRODUCT((Raw_Data_Daily!$B$2:$B$9999="Control")*(Raw_Data_Daily!$A$2:$A$9999=$A25)*(Raw_Data_Daily!$C$2:$C$9999=$C$3)*Raw_Data_Daily!$D$2:$D$9999*Raw_Data_Daily!$AT$2:$AT$9999)/SUMIFS(Raw_Data_Daily!$D:$D, Raw_Data_Daily!$B:$B, "Control", Raw_Data_Daily!$A:$A, $A25, Raw_Data_Daily!$C:$C, $C$3),""))</f>
        <v/>
      </c>
      <c r="EB25" s="232" t="str">
        <f>IF($A25="","",IFERROR(SUMPRODUCT((Raw_Data_Daily!$B$2:$B$9999="Variant")*(Raw_Data_Daily!$A$2:$A$9999=$A25)*(Raw_Data_Daily!$C$2:$C$9999=$C$3)*Raw_Data_Daily!$D$2:$D$9999*Raw_Data_Daily!$AT$2:$AT$9999)/SUMIFS(Raw_Data_Daily!$D:$D, Raw_Data_Daily!$B:$B, "Variant", Raw_Data_Daily!$A:$A, $A25, Raw_Data_Daily!$C:$C, $C$3),""))</f>
        <v/>
      </c>
      <c r="EC25" s="236" t="str">
        <f t="shared" si="40"/>
        <v/>
      </c>
      <c r="ED25" s="232" t="str">
        <f>IF($A25="","",IFERROR(SUMPRODUCT((Raw_Data_Daily!$B$2:$B$9999="Control")*(Raw_Data_Daily!$A$2:$A$9999=$A25)*(Raw_Data_Daily!$C$2:$C$9999=$C$3)*Raw_Data_Daily!$D$2:$D$9999*(Raw_Data_Daily!$AQ$2:$AQ$9999-Raw_Data_Daily!$AT$2:$AT$9999))/SUMIFS(Raw_Data_Daily!$D:$D, Raw_Data_Daily!$B:$B, "Control", Raw_Data_Daily!$A:$A, $A25, Raw_Data_Daily!$C:$C, $C$3),""))</f>
        <v/>
      </c>
      <c r="EE25" s="232" t="str">
        <f>IF($A25="","",IFERROR(SUMPRODUCT((Raw_Data_Daily!$B$2:$B$9999="Variant")*(Raw_Data_Daily!$A$2:$A$9999=$A25)*(Raw_Data_Daily!$C$2:$C$9999=$C$3)*Raw_Data_Daily!$D$2:$D$9999*(Raw_Data_Daily!$AQ$2:$AQ$9999-Raw_Data_Daily!$AT$2:$AT$9999))/SUMIFS(Raw_Data_Daily!$D:$D, Raw_Data_Daily!$B:$B, "Variant", Raw_Data_Daily!$A:$A, $A25, Raw_Data_Daily!$C:$C, $C$3),""))</f>
        <v/>
      </c>
      <c r="EF25" s="236" t="str">
        <f t="shared" si="41"/>
        <v/>
      </c>
      <c r="EG25" s="232" t="str">
        <f>IF($A25="","",IFERROR(SUMPRODUCT((Raw_Data_Daily!$B$2:$B$9999="Control")*(Raw_Data_Daily!$A$2:$A$9999=$A25)*(Raw_Data_Daily!$C$2:$C$9999=$C$3)*Raw_Data_Daily!$D$2:$D$9999*Raw_Data_Daily!$AU$2:$AU$9999)/SUMIFS(Raw_Data_Daily!$D:$D, Raw_Data_Daily!$B:$B, "Control", Raw_Data_Daily!$A:$A, $A25, Raw_Data_Daily!$C:$C, $C$3),""))</f>
        <v/>
      </c>
      <c r="EH25" s="232" t="str">
        <f>IF($A25="","",IFERROR(SUMPRODUCT((Raw_Data_Daily!$B$2:$B$9999="Variant")*(Raw_Data_Daily!$A$2:$A$9999=$A25)*(Raw_Data_Daily!$C$2:$C$9999=$C$3)*Raw_Data_Daily!$D$2:$D$9999*Raw_Data_Daily!$AU$2:$AU$9999)/SUMIFS(Raw_Data_Daily!$D:$D, Raw_Data_Daily!$B:$B, "Variant", Raw_Data_Daily!$A:$A, $A25, Raw_Data_Daily!$C:$C, $C$3),""))</f>
        <v/>
      </c>
      <c r="EI25" s="236" t="str">
        <f t="shared" si="42"/>
        <v/>
      </c>
    </row>
    <row r="26" ht="15.75" customHeight="1">
      <c r="A26" s="224">
        <v>46249.0</v>
      </c>
      <c r="B26" s="225">
        <f>IF($A26="","",SUMIFS(Raw_Data_Daily!$D:$D, Raw_Data_Daily!$B:$B, "Control", Raw_Data_Daily!$A:$A, $A26, Raw_Data_Daily!$C:$C, $C$3))</f>
        <v>0</v>
      </c>
      <c r="C26" s="225">
        <f>IF($A26="","",SUMIFS(Raw_Data_Daily!$D:$D, Raw_Data_Daily!$B:$B, "Variant", Raw_Data_Daily!$A:$A, $A26, Raw_Data_Daily!$C:$C, $C$3))</f>
        <v>0</v>
      </c>
      <c r="D26" s="226" t="str">
        <f t="shared" si="1"/>
        <v/>
      </c>
      <c r="E26" s="227" t="str">
        <f>IF($A26="","",IFERROR(SUMPRODUCT((Raw_Data_Daily!$B$2:$B$9999="Control")*(Raw_Data_Daily!$A$2:$A$9999=$A26)*(Raw_Data_Daily!$C$2:$C$9999=$C$3)*Raw_Data_Daily!$D$2:$D$9999*Raw_Data_Daily!$E$2:$E$9999)/SUMIFS(Raw_Data_Daily!$D:$D, Raw_Data_Daily!$B:$B, "Control", Raw_Data_Daily!$A:$A, $A26, Raw_Data_Daily!$C:$C, $C$3),""))</f>
        <v/>
      </c>
      <c r="F26" s="227" t="str">
        <f>IF($A26="","",IFERROR(SUMPRODUCT((Raw_Data_Daily!$B$2:$B$9999="Variant")*(Raw_Data_Daily!$A$2:$A$9999=$A26)*(Raw_Data_Daily!$C$2:$C$9999=$C$3)*Raw_Data_Daily!$D$2:$D$9999*Raw_Data_Daily!$E$2:$E$9999)/SUMIFS(Raw_Data_Daily!$D:$D, Raw_Data_Daily!$B:$B, "Variant", Raw_Data_Daily!$A:$A, $A26, Raw_Data_Daily!$C:$C, $C$3),""))</f>
        <v/>
      </c>
      <c r="G26" s="226" t="str">
        <f t="shared" si="2"/>
        <v/>
      </c>
      <c r="H26" s="228">
        <f>IF($A26="","",SUMIFS(Raw_Data_Daily!$F:$F, Raw_Data_Daily!$B:$B, "Control", Raw_Data_Daily!$A:$A, $A26, Raw_Data_Daily!$C:$C, $C$3))</f>
        <v>0</v>
      </c>
      <c r="I26" s="228">
        <f>IF($A26="","",SUMIFS(Raw_Data_Daily!$F:$F, Raw_Data_Daily!$B:$B, "Variant", Raw_Data_Daily!$A:$A, $A26, Raw_Data_Daily!$C:$C, $C$3))</f>
        <v>0</v>
      </c>
      <c r="J26" s="229" t="str">
        <f t="shared" si="3"/>
        <v/>
      </c>
      <c r="K26" s="230" t="str">
        <f>IF($A26="","",IFERROR(SUMIFS(Raw_Data_Daily!$F:$F, Raw_Data_Daily!$B:$B, "Control", Raw_Data_Daily!$A:$A, $A26, Raw_Data_Daily!$C:$C, $C$3)/SUMIFS(Raw_Data_Daily!$D:$D, Raw_Data_Daily!$B:$B, "Control", Raw_Data_Daily!$A:$A, $A26, Raw_Data_Daily!$C:$C, $C$3),""))</f>
        <v/>
      </c>
      <c r="L26" s="230" t="str">
        <f>IF($A26="","",IFERROR(SUMIFS(Raw_Data_Daily!$F:$F, Raw_Data_Daily!$B:$B, "Variant", Raw_Data_Daily!$A:$A, $A26, Raw_Data_Daily!$C:$C, $C$3)/SUMIFS(Raw_Data_Daily!$D:$D, Raw_Data_Daily!$B:$B, "Variant", Raw_Data_Daily!$A:$A, $A26, Raw_Data_Daily!$C:$C, $C$3),""))</f>
        <v/>
      </c>
      <c r="M26" s="229" t="str">
        <f t="shared" si="4"/>
        <v/>
      </c>
      <c r="N26" s="227" t="str">
        <f>IF($A26="","",IFERROR(SUMPRODUCT((Raw_Data_Daily!$B$2:$B$9999="Control")*(Raw_Data_Daily!$A$2:$A$9999=$A26)*(Raw_Data_Daily!$C$2:$C$9999=$C$3)*Raw_Data_Daily!$D$2:$D$9999*Raw_Data_Daily!$H$2:$H$9999/100)/SUMIFS(Raw_Data_Daily!$D:$D, Raw_Data_Daily!$B:$B, "Control", Raw_Data_Daily!$A:$A, $A26, Raw_Data_Daily!$C:$C, $C$3)*100,""))</f>
        <v/>
      </c>
      <c r="O26" s="227" t="str">
        <f>IF($A26="","",IFERROR(SUMPRODUCT((Raw_Data_Daily!$B$2:$B$9999="Variant")*(Raw_Data_Daily!$A$2:$A$9999=$A26)*(Raw_Data_Daily!$C$2:$C$9999=$C$3)*Raw_Data_Daily!$D$2:$D$9999*Raw_Data_Daily!$H$2:$H$9999/100)/SUMIFS(Raw_Data_Daily!$D:$D, Raw_Data_Daily!$B:$B, "Variant", Raw_Data_Daily!$A:$A, $A26, Raw_Data_Daily!$C:$C, $C$3)*100,""))</f>
        <v/>
      </c>
      <c r="P26" s="229" t="str">
        <f t="shared" si="5"/>
        <v/>
      </c>
      <c r="Q26" s="230" t="str">
        <f>IF($A26="","",IFERROR(SUMIFS(Raw_Data_Daily!$F:$F, Raw_Data_Daily!$B:$B, "Control", Raw_Data_Daily!$A:$A, $A26, Raw_Data_Daily!$C:$C, $C$3)/SUMPRODUCT((Raw_Data_Daily!$B$2:$B$9999="Control")*(Raw_Data_Daily!$A$2:$A$9999=$A26)*(Raw_Data_Daily!$C$2:$C$9999=$C$3)*Raw_Data_Daily!$D$2:$D$9999*Raw_Data_Daily!$H$2:$H$9999/100),""))</f>
        <v/>
      </c>
      <c r="R26" s="230" t="str">
        <f>IF($A26="","",IFERROR(SUMIFS(Raw_Data_Daily!$F:$F, Raw_Data_Daily!$B:$B, "Variant", Raw_Data_Daily!$A:$A, $A26, Raw_Data_Daily!$C:$C, $C$3)/SUMPRODUCT((Raw_Data_Daily!$B$2:$B$9999="Variant")*(Raw_Data_Daily!$A$2:$A$9999=$A26)*(Raw_Data_Daily!$C$2:$C$9999=$C$3)*Raw_Data_Daily!$D$2:$D$9999*Raw_Data_Daily!$H$2:$H$9999/100),""))</f>
        <v/>
      </c>
      <c r="S26" s="229" t="str">
        <f t="shared" si="6"/>
        <v/>
      </c>
      <c r="T26" s="231" t="str">
        <f>IF($A26="","",IFERROR(SUMPRODUCT((Raw_Data_Daily!$B$2:$B$9999="Control")*(Raw_Data_Daily!$A$2:$A$9999=$A26)*(Raw_Data_Daily!$C$2:$C$9999=$C$3)*Raw_Data_Daily!$D$2:$D$9999*Raw_Data_Daily!$J$2:$J$9999)/SUMIFS(Raw_Data_Daily!$D:$D, Raw_Data_Daily!$B:$B, "Control", Raw_Data_Daily!$A:$A, $A26, Raw_Data_Daily!$C:$C, $C$3),""))</f>
        <v/>
      </c>
      <c r="U26" s="231" t="str">
        <f>IF($A26="","",IFERROR(SUMPRODUCT((Raw_Data_Daily!$B$2:$B$9999="Variant")*(Raw_Data_Daily!$A$2:$A$9999=$A26)*(Raw_Data_Daily!$C$2:$C$9999=$C$3)*Raw_Data_Daily!$D$2:$D$9999*Raw_Data_Daily!$J$2:$J$9999)/SUMIFS(Raw_Data_Daily!$D:$D, Raw_Data_Daily!$B:$B, "Variant", Raw_Data_Daily!$A:$A, $A26, Raw_Data_Daily!$C:$C, $C$3),""))</f>
        <v/>
      </c>
      <c r="V26" s="229" t="str">
        <f t="shared" si="7"/>
        <v/>
      </c>
      <c r="W26" s="231" t="str">
        <f>IF($A26="","",IFERROR(SUMPRODUCT((Raw_Data_Daily!$B$2:$B$9999="Control")*(Raw_Data_Daily!$A$2:$A$9999=$A26)*(Raw_Data_Daily!$C$2:$C$9999=$C$3)*Raw_Data_Daily!$D$2:$D$9999*Raw_Data_Daily!$K$2:$K$9999)/SUMIFS(Raw_Data_Daily!$D:$D, Raw_Data_Daily!$B:$B, "Control", Raw_Data_Daily!$A:$A, $A26, Raw_Data_Daily!$C:$C, $C$3),""))</f>
        <v/>
      </c>
      <c r="X26" s="231" t="str">
        <f>IF($A26="","",IFERROR(SUMPRODUCT((Raw_Data_Daily!$B$2:$B$9999="Variant")*(Raw_Data_Daily!$A$2:$A$9999=$A26)*(Raw_Data_Daily!$C$2:$C$9999=$C$3)*Raw_Data_Daily!$D$2:$D$9999*Raw_Data_Daily!$K$2:$K$9999)/SUMIFS(Raw_Data_Daily!$D:$D, Raw_Data_Daily!$B:$B, "Variant", Raw_Data_Daily!$A:$A, $A26, Raw_Data_Daily!$C:$C, $C$3),""))</f>
        <v/>
      </c>
      <c r="Y26" s="229" t="str">
        <f t="shared" si="8"/>
        <v/>
      </c>
      <c r="Z26" s="231" t="str">
        <f>IF($A26="","",IFERROR(SUMPRODUCT((Raw_Data_Daily!$B$2:$B$9999="Control")*(Raw_Data_Daily!$A$2:$A$9999=$A26)*(Raw_Data_Daily!$C$2:$C$9999=$C$3)*Raw_Data_Daily!$D$2:$D$9999*Raw_Data_Daily!$L$2:$L$9999)/SUMIFS(Raw_Data_Daily!$D:$D, Raw_Data_Daily!$B:$B, "Control", Raw_Data_Daily!$A:$A, $A26, Raw_Data_Daily!$C:$C, $C$3),""))</f>
        <v/>
      </c>
      <c r="AA26" s="231" t="str">
        <f>IF($A26="","",IFERROR(SUMPRODUCT((Raw_Data_Daily!$B$2:$B$9999="Variant")*(Raw_Data_Daily!$A$2:$A$9999=$A26)*(Raw_Data_Daily!$C$2:$C$9999=$C$3)*Raw_Data_Daily!$D$2:$D$9999*Raw_Data_Daily!$L$2:$L$9999)/SUMIFS(Raw_Data_Daily!$D:$D, Raw_Data_Daily!$B:$B, "Variant", Raw_Data_Daily!$A:$A, $A26, Raw_Data_Daily!$C:$C, $C$3),""))</f>
        <v/>
      </c>
      <c r="AB26" s="229" t="str">
        <f t="shared" si="9"/>
        <v/>
      </c>
      <c r="AC26" s="232" t="str">
        <f>IF($A26="","",IFERROR(SUMPRODUCT((Raw_Data_Daily!$B$2:$B$9999="Control")*(Raw_Data_Daily!$A$2:$A$9999=$A26)*(Raw_Data_Daily!$C$2:$C$9999=$C$3)*Raw_Data_Daily!$D$2:$D$9999*Raw_Data_Daily!$M$2:$M$9999)/SUMIFS(Raw_Data_Daily!$D:$D, Raw_Data_Daily!$B:$B, "Control", Raw_Data_Daily!$A:$A, $A26, Raw_Data_Daily!$C:$C, $C$3),""))</f>
        <v/>
      </c>
      <c r="AD26" s="232" t="str">
        <f>IF($A26="","",IFERROR(SUMPRODUCT((Raw_Data_Daily!$B$2:$B$9999="Variant")*(Raw_Data_Daily!$A$2:$A$9999=$A26)*(Raw_Data_Daily!$C$2:$C$9999=$C$3)*Raw_Data_Daily!$D$2:$D$9999*Raw_Data_Daily!$M$2:$M$9999)/SUMIFS(Raw_Data_Daily!$D:$D, Raw_Data_Daily!$B:$B, "Variant", Raw_Data_Daily!$A:$A, $A26, Raw_Data_Daily!$C:$C, $C$3),""))</f>
        <v/>
      </c>
      <c r="AE26" s="233" t="str">
        <f t="shared" si="10"/>
        <v/>
      </c>
      <c r="AF26" s="232" t="str">
        <f>IF($A26="","",IFERROR(SUMPRODUCT((Raw_Data_Daily!$B$2:$B$9999="Control")*(Raw_Data_Daily!$A$2:$A$9999=$A26)*(Raw_Data_Daily!$C$2:$C$9999=$C$3)*Raw_Data_Daily!$D$2:$D$9999*Raw_Data_Daily!$N$2:$N$9999)/SUMIFS(Raw_Data_Daily!$D:$D, Raw_Data_Daily!$B:$B, "Control", Raw_Data_Daily!$A:$A, $A26, Raw_Data_Daily!$C:$C, $C$3),""))</f>
        <v/>
      </c>
      <c r="AG26" s="232" t="str">
        <f>IF($A26="","",IFERROR(SUMPRODUCT((Raw_Data_Daily!$B$2:$B$9999="Variant")*(Raw_Data_Daily!$A$2:$A$9999=$A26)*(Raw_Data_Daily!$C$2:$C$9999=$C$3)*Raw_Data_Daily!$D$2:$D$9999*Raw_Data_Daily!$N$2:$N$9999)/SUMIFS(Raw_Data_Daily!$D:$D, Raw_Data_Daily!$B:$B, "Variant", Raw_Data_Daily!$A:$A, $A26, Raw_Data_Daily!$C:$C, $C$3),""))</f>
        <v/>
      </c>
      <c r="AH26" s="233" t="str">
        <f t="shared" si="11"/>
        <v/>
      </c>
      <c r="AI26" s="232" t="str">
        <f>IF($A26="","",IFERROR(SUMPRODUCT((Raw_Data_Daily!$B$2:$B$9999="Control")*(Raw_Data_Daily!$A$2:$A$9999=$A26)*(Raw_Data_Daily!$C$2:$C$9999=$C$3)*Raw_Data_Daily!$D$2:$D$9999*Raw_Data_Daily!$O$2:$O$9999)/SUMIFS(Raw_Data_Daily!$D:$D, Raw_Data_Daily!$B:$B, "Control", Raw_Data_Daily!$A:$A, $A26, Raw_Data_Daily!$C:$C, $C$3),""))</f>
        <v/>
      </c>
      <c r="AJ26" s="232" t="str">
        <f>IF($A26="","",IFERROR(SUMPRODUCT((Raw_Data_Daily!$B$2:$B$9999="Variant")*(Raw_Data_Daily!$A$2:$A$9999=$A26)*(Raw_Data_Daily!$C$2:$C$9999=$C$3)*Raw_Data_Daily!$D$2:$D$9999*Raw_Data_Daily!$O$2:$O$9999)/SUMIFS(Raw_Data_Daily!$D:$D, Raw_Data_Daily!$B:$B, "Variant", Raw_Data_Daily!$A:$A, $A26, Raw_Data_Daily!$C:$C, $C$3),""))</f>
        <v/>
      </c>
      <c r="AK26" s="229" t="str">
        <f t="shared" si="12"/>
        <v/>
      </c>
      <c r="AL26" s="231" t="str">
        <f>IF($A26="","",IFERROR(SUMPRODUCT((Raw_Data_Daily!$B$2:$B$9999="Control")*(Raw_Data_Daily!$A$2:$A$9999=$A26)*(Raw_Data_Daily!$C$2:$C$9999=$C$3)*Raw_Data_Daily!$D$2:$D$9999*Raw_Data_Daily!$P$2:$P$9999)/SUMIFS(Raw_Data_Daily!$D:$D, Raw_Data_Daily!$B:$B, "Control", Raw_Data_Daily!$A:$A, $A26, Raw_Data_Daily!$C:$C, $C$3),""))</f>
        <v/>
      </c>
      <c r="AM26" s="231" t="str">
        <f>IF($A26="","",IFERROR(SUMPRODUCT((Raw_Data_Daily!$B$2:$B$9999="Variant")*(Raw_Data_Daily!$A$2:$A$9999=$A26)*(Raw_Data_Daily!$C$2:$C$9999=$C$3)*Raw_Data_Daily!$D$2:$D$9999*Raw_Data_Daily!$P$2:$P$9999)/SUMIFS(Raw_Data_Daily!$D:$D, Raw_Data_Daily!$B:$B, "Variant", Raw_Data_Daily!$A:$A, $A26, Raw_Data_Daily!$C:$C, $C$3),""))</f>
        <v/>
      </c>
      <c r="AN26" s="229" t="str">
        <f t="shared" si="13"/>
        <v/>
      </c>
      <c r="AO26" s="231" t="str">
        <f>IF($A26="","",IFERROR(SUMPRODUCT((Raw_Data_Daily!$B$2:$B$9999="Control")*(Raw_Data_Daily!$A$2:$A$9999=$A26)*(Raw_Data_Daily!$C$2:$C$9999=$C$3)*Raw_Data_Daily!$D$2:$D$9999*Raw_Data_Daily!$Q$2:$Q$9999)/SUMIFS(Raw_Data_Daily!$D:$D, Raw_Data_Daily!$B:$B, "Control", Raw_Data_Daily!$A:$A, $A26, Raw_Data_Daily!$C:$C, $C$3),""))</f>
        <v/>
      </c>
      <c r="AP26" s="231" t="str">
        <f>IF($A26="","",IFERROR(SUMPRODUCT((Raw_Data_Daily!$B$2:$B$9999="Variant")*(Raw_Data_Daily!$A$2:$A$9999=$A26)*(Raw_Data_Daily!$C$2:$C$9999=$C$3)*Raw_Data_Daily!$D$2:$D$9999*Raw_Data_Daily!$Q$2:$Q$9999)/SUMIFS(Raw_Data_Daily!$D:$D, Raw_Data_Daily!$B:$B, "Variant", Raw_Data_Daily!$A:$A, $A26, Raw_Data_Daily!$C:$C, $C$3),""))</f>
        <v/>
      </c>
      <c r="AQ26" s="226" t="str">
        <f t="shared" si="14"/>
        <v/>
      </c>
      <c r="AR26" s="231" t="str">
        <f>IF($A26="","",IFERROR(SUMPRODUCT((Raw_Data_Daily!$B$2:$B$9999="Control")*(Raw_Data_Daily!$A$2:$A$9999=$A26)*(Raw_Data_Daily!$C$2:$C$9999=$C$3)*Raw_Data_Daily!$D$2:$D$9999*Raw_Data_Daily!$R$2:$R$9999)/SUMIFS(Raw_Data_Daily!$D:$D, Raw_Data_Daily!$B:$B, "Control", Raw_Data_Daily!$A:$A, $A26, Raw_Data_Daily!$C:$C, $C$3),""))</f>
        <v/>
      </c>
      <c r="AS26" s="231" t="str">
        <f>IF($A26="","",IFERROR(SUMPRODUCT((Raw_Data_Daily!$B$2:$B$9999="Variant")*(Raw_Data_Daily!$A$2:$A$9999=$A26)*(Raw_Data_Daily!$C$2:$C$9999=$C$3)*Raw_Data_Daily!$D$2:$D$9999*Raw_Data_Daily!$R$2:$R$9999)/SUMIFS(Raw_Data_Daily!$D:$D, Raw_Data_Daily!$B:$B, "Variant", Raw_Data_Daily!$A:$A, $A26, Raw_Data_Daily!$C:$C, $C$3),""))</f>
        <v/>
      </c>
      <c r="AT26" s="226" t="str">
        <f t="shared" si="15"/>
        <v/>
      </c>
      <c r="AU26" s="231" t="str">
        <f>IF($A26="","",IFERROR(SUMPRODUCT((Raw_Data_Daily!$B$2:$B$9999="Control")*(Raw_Data_Daily!$A$2:$A$9999=$A26)*(Raw_Data_Daily!$C$2:$C$9999=$C$3)*Raw_Data_Daily!$D$2:$D$9999*Raw_Data_Daily!$S$2:$S$9999)/SUMIFS(Raw_Data_Daily!$D:$D, Raw_Data_Daily!$B:$B, "Control", Raw_Data_Daily!$A:$A, $A26, Raw_Data_Daily!$C:$C, $C$3),""))</f>
        <v/>
      </c>
      <c r="AV26" s="231" t="str">
        <f>IF($A26="","",IFERROR(SUMPRODUCT((Raw_Data_Daily!$B$2:$B$9999="Variant")*(Raw_Data_Daily!$A$2:$A$9999=$A26)*(Raw_Data_Daily!$C$2:$C$9999=$C$3)*Raw_Data_Daily!$D$2:$D$9999*Raw_Data_Daily!$S$2:$S$9999)/SUMIFS(Raw_Data_Daily!$D:$D, Raw_Data_Daily!$B:$B, "Variant", Raw_Data_Daily!$A:$A, $A26, Raw_Data_Daily!$C:$C, $C$3),""))</f>
        <v/>
      </c>
      <c r="AW26" s="226" t="str">
        <f t="shared" si="16"/>
        <v/>
      </c>
      <c r="AX26" s="231" t="str">
        <f>IF($A26="","",IFERROR(SUMPRODUCT((Raw_Data_Daily!$B$2:$B$9999="Control")*(Raw_Data_Daily!$A$2:$A$9999=$A26)*(Raw_Data_Daily!$C$2:$C$9999=$C$3)*Raw_Data_Daily!$D$2:$D$9999*Raw_Data_Daily!$T$2:$T$9999)/SUMIFS(Raw_Data_Daily!$D:$D, Raw_Data_Daily!$B:$B, "Control", Raw_Data_Daily!$A:$A, $A26, Raw_Data_Daily!$C:$C, $C$3),""))</f>
        <v/>
      </c>
      <c r="AY26" s="231" t="str">
        <f>IF($A26="","",IFERROR(SUMPRODUCT((Raw_Data_Daily!$B$2:$B$9999="Variant")*(Raw_Data_Daily!$A$2:$A$9999=$A26)*(Raw_Data_Daily!$C$2:$C$9999=$C$3)*Raw_Data_Daily!$D$2:$D$9999*Raw_Data_Daily!$T$2:$T$9999)/SUMIFS(Raw_Data_Daily!$D:$D, Raw_Data_Daily!$B:$B, "Variant", Raw_Data_Daily!$A:$A, $A26, Raw_Data_Daily!$C:$C, $C$3),""))</f>
        <v/>
      </c>
      <c r="AZ26" s="229" t="str">
        <f t="shared" si="17"/>
        <v/>
      </c>
      <c r="BA26" s="231" t="str">
        <f>IF($A26="","",IFERROR(SUMPRODUCT((Raw_Data_Daily!$B$2:$B$9999="Control")*(Raw_Data_Daily!$A$2:$A$9999=$A26)*(Raw_Data_Daily!$C$2:$C$9999=$C$3)*Raw_Data_Daily!$D$2:$D$9999*Raw_Data_Daily!$U$2:$U$9999)/SUMIFS(Raw_Data_Daily!$D:$D, Raw_Data_Daily!$B:$B, "Control", Raw_Data_Daily!$A:$A, $A26, Raw_Data_Daily!$C:$C, $C$3),""))</f>
        <v/>
      </c>
      <c r="BB26" s="231" t="str">
        <f>IF($A26="","",IFERROR(SUMPRODUCT((Raw_Data_Daily!$B$2:$B$9999="Variant")*(Raw_Data_Daily!$A$2:$A$9999=$A26)*(Raw_Data_Daily!$C$2:$C$9999=$C$3)*Raw_Data_Daily!$D$2:$D$9999*Raw_Data_Daily!$U$2:$U$9999)/SUMIFS(Raw_Data_Daily!$D:$D, Raw_Data_Daily!$B:$B, "Variant", Raw_Data_Daily!$A:$A, $A26, Raw_Data_Daily!$C:$C, $C$3),""))</f>
        <v/>
      </c>
      <c r="BC26" s="226" t="str">
        <f t="shared" si="18"/>
        <v/>
      </c>
      <c r="BD26" s="231" t="str">
        <f>IF($A26="","",IFERROR(SUMPRODUCT((Raw_Data_Daily!$B$2:$B$9999="Control")*(Raw_Data_Daily!$A$2:$A$9999=$A26)*(Raw_Data_Daily!$C$2:$C$9999=$C$3)*Raw_Data_Daily!$D$2:$D$9999*Raw_Data_Daily!$V$2:$V$9999)/SUMIFS(Raw_Data_Daily!$D:$D, Raw_Data_Daily!$B:$B, "Control", Raw_Data_Daily!$A:$A, $A26, Raw_Data_Daily!$C:$C, $C$3),""))</f>
        <v/>
      </c>
      <c r="BE26" s="231" t="str">
        <f>IF($A26="","",IFERROR(SUMPRODUCT((Raw_Data_Daily!$B$2:$B$9999="Variant")*(Raw_Data_Daily!$A$2:$A$9999=$A26)*(Raw_Data_Daily!$C$2:$C$9999=$C$3)*Raw_Data_Daily!$D$2:$D$9999*Raw_Data_Daily!$V$2:$V$9999)/SUMIFS(Raw_Data_Daily!$D:$D, Raw_Data_Daily!$B:$B, "Variant", Raw_Data_Daily!$A:$A, $A26, Raw_Data_Daily!$C:$C, $C$3),""))</f>
        <v/>
      </c>
      <c r="BF26" s="226" t="str">
        <f t="shared" si="19"/>
        <v/>
      </c>
      <c r="BG26" s="231" t="str">
        <f>IF($A26="","",IFERROR(SUMPRODUCT((Raw_Data_Daily!$B$2:$B$9999="Control")*(Raw_Data_Daily!$A$2:$A$9999=$A26)*(Raw_Data_Daily!$C$2:$C$9999=$C$3)*Raw_Data_Daily!$D$2:$D$9999*(Raw_Data_Daily!$Q$2:$Q$9999-Raw_Data_Daily!$V$2:$V$9999))/SUMIFS(Raw_Data_Daily!$D:$D, Raw_Data_Daily!$B:$B, "Control", Raw_Data_Daily!$A:$A, $A26, Raw_Data_Daily!$C:$C, $C$3),""))</f>
        <v/>
      </c>
      <c r="BH26" s="231" t="str">
        <f>IF($A26="","",IFERROR(SUMPRODUCT((Raw_Data_Daily!$B$2:$B$9999="Variant")*(Raw_Data_Daily!$A$2:$A$9999=$A26)*(Raw_Data_Daily!$C$2:$C$9999=$C$3)*Raw_Data_Daily!$D$2:$D$9999*(Raw_Data_Daily!$Q$2:$Q$9999-Raw_Data_Daily!$V$2:$V$9999))/SUMIFS(Raw_Data_Daily!$D:$D, Raw_Data_Daily!$B:$B, "Variant", Raw_Data_Daily!$A:$A, $A26, Raw_Data_Daily!$C:$C, $C$3),""))</f>
        <v/>
      </c>
      <c r="BI26" s="226" t="str">
        <f t="shared" si="20"/>
        <v/>
      </c>
      <c r="BJ26" s="231" t="str">
        <f>IF($A26="","",IFERROR(SUMPRODUCT((Raw_Data_Daily!$B$2:$B$9999="Control")*(Raw_Data_Daily!$A$2:$A$9999=$A26)*(Raw_Data_Daily!$C$2:$C$9999=$C$3)*Raw_Data_Daily!$D$2:$D$9999*Raw_Data_Daily!$W$2:$W$9999)/SUMIFS(Raw_Data_Daily!$D:$D, Raw_Data_Daily!$B:$B, "Control", Raw_Data_Daily!$A:$A, $A26, Raw_Data_Daily!$C:$C, $C$3),""))</f>
        <v/>
      </c>
      <c r="BK26" s="231" t="str">
        <f>IF($A26="","",IFERROR(SUMPRODUCT((Raw_Data_Daily!$B$2:$B$9999="Variant")*(Raw_Data_Daily!$A$2:$A$9999=$A26)*(Raw_Data_Daily!$C$2:$C$9999=$C$3)*Raw_Data_Daily!$D$2:$D$9999*Raw_Data_Daily!$W$2:$W$9999)/SUMIFS(Raw_Data_Daily!$D:$D, Raw_Data_Daily!$B:$B, "Variant", Raw_Data_Daily!$A:$A, $A26, Raw_Data_Daily!$C:$C, $C$3),""))</f>
        <v/>
      </c>
      <c r="BL26" s="226" t="str">
        <f t="shared" si="21"/>
        <v/>
      </c>
      <c r="BM26" s="232" t="str">
        <f>IF($A26="","",IFERROR(SUMPRODUCT((Raw_Data_Daily!$B$2:$B$9999="Control")*(Raw_Data_Daily!$A$2:$A$9999=$A26)*(Raw_Data_Daily!$C$2:$C$9999=$C$3)*Raw_Data_Daily!$D$2:$D$9999*Raw_Data_Daily!$X$2:$X$9999)/SUMIFS(Raw_Data_Daily!$D:$D, Raw_Data_Daily!$B:$B, "Control", Raw_Data_Daily!$A:$A, $A26, Raw_Data_Daily!$C:$C, $C$3),""))</f>
        <v/>
      </c>
      <c r="BN26" s="232" t="str">
        <f>IF($A26="","",IFERROR(SUMPRODUCT((Raw_Data_Daily!$B$2:$B$9999="Variant")*(Raw_Data_Daily!$A$2:$A$9999=$A26)*(Raw_Data_Daily!$C$2:$C$9999=$C$3)*Raw_Data_Daily!$D$2:$D$9999*Raw_Data_Daily!$X$2:$X$9999)/SUMIFS(Raw_Data_Daily!$D:$D, Raw_Data_Daily!$B:$B, "Variant", Raw_Data_Daily!$A:$A, $A26, Raw_Data_Daily!$C:$C, $C$3),""))</f>
        <v/>
      </c>
      <c r="BO26" s="229" t="str">
        <f t="shared" si="22"/>
        <v/>
      </c>
      <c r="BP26" s="225" t="str">
        <f>IF($A26="","",IFERROR(SUMPRODUCT((Raw_Data_Daily!$B$2:$B$9999="Control")*(Raw_Data_Daily!$A$2:$A$9999=$A26)*(Raw_Data_Daily!$C$2:$C$9999=$C$3)*Raw_Data_Daily!$D$2:$D$9999*Raw_Data_Daily!$Y$2:$Y$9999)/SUMIFS(Raw_Data_Daily!$D:$D, Raw_Data_Daily!$B:$B, "Control", Raw_Data_Daily!$A:$A, $A26, Raw_Data_Daily!$C:$C, $C$3),""))</f>
        <v/>
      </c>
      <c r="BQ26" s="225" t="str">
        <f>IF($A26="","",IFERROR(SUMPRODUCT((Raw_Data_Daily!$B$2:$B$9999="Variant")*(Raw_Data_Daily!$A$2:$A$9999=$A26)*(Raw_Data_Daily!$C$2:$C$9999=$C$3)*Raw_Data_Daily!$D$2:$D$9999*Raw_Data_Daily!$Y$2:$Y$9999)/SUMIFS(Raw_Data_Daily!$D:$D, Raw_Data_Daily!$B:$B, "Variant", Raw_Data_Daily!$A:$A, $A26, Raw_Data_Daily!$C:$C, $C$3),""))</f>
        <v/>
      </c>
      <c r="BR26" s="226" t="str">
        <f t="shared" si="23"/>
        <v/>
      </c>
      <c r="BS26" s="225" t="str">
        <f>IF($A26="","",IFERROR(SUMPRODUCT((Raw_Data_Daily!$B$2:$B$9999="Control")*(Raw_Data_Daily!$A$2:$A$9999=$A26)*(Raw_Data_Daily!$C$2:$C$9999=$C$3)*Raw_Data_Daily!$D$2:$D$9999*Raw_Data_Daily!$Z$2:$Z$9999)/SUMIFS(Raw_Data_Daily!$D:$D, Raw_Data_Daily!$B:$B, "Control", Raw_Data_Daily!$A:$A, $A26, Raw_Data_Daily!$C:$C, $C$3),""))</f>
        <v/>
      </c>
      <c r="BT26" s="225" t="str">
        <f>IF($A26="","",IFERROR(SUMPRODUCT((Raw_Data_Daily!$B$2:$B$9999="Variant")*(Raw_Data_Daily!$A$2:$A$9999=$A26)*(Raw_Data_Daily!$C$2:$C$9999=$C$3)*Raw_Data_Daily!$D$2:$D$9999*Raw_Data_Daily!$Z$2:$Z$9999)/SUMIFS(Raw_Data_Daily!$D:$D, Raw_Data_Daily!$B:$B, "Variant", Raw_Data_Daily!$A:$A, $A26, Raw_Data_Daily!$C:$C, $C$3),""))</f>
        <v/>
      </c>
      <c r="BU26" s="226" t="str">
        <f t="shared" si="24"/>
        <v/>
      </c>
      <c r="BV26" s="225" t="str">
        <f>IF($A26="","",IFERROR(SUMPRODUCT((Raw_Data_Daily!$B$2:$B$9999="Control")*(Raw_Data_Daily!$A$2:$A$9999=$A26)*(Raw_Data_Daily!$C$2:$C$9999=$C$3)*Raw_Data_Daily!$D$2:$D$9999*Raw_Data_Daily!$AA$2:$AA$9999)/SUMIFS(Raw_Data_Daily!$D:$D, Raw_Data_Daily!$B:$B, "Control", Raw_Data_Daily!$A:$A, $A26, Raw_Data_Daily!$C:$C, $C$3),""))</f>
        <v/>
      </c>
      <c r="BW26" s="225" t="str">
        <f>IF($A26="","",IFERROR(SUMPRODUCT((Raw_Data_Daily!$B$2:$B$9999="Variant")*(Raw_Data_Daily!$A$2:$A$9999=$A26)*(Raw_Data_Daily!$C$2:$C$9999=$C$3)*Raw_Data_Daily!$D$2:$D$9999*Raw_Data_Daily!$AA$2:$AA$9999)/SUMIFS(Raw_Data_Daily!$D:$D, Raw_Data_Daily!$B:$B, "Variant", Raw_Data_Daily!$A:$A, $A26, Raw_Data_Daily!$C:$C, $C$3),""))</f>
        <v/>
      </c>
      <c r="BX26" s="226" t="str">
        <f t="shared" si="25"/>
        <v/>
      </c>
      <c r="BY26" s="231" t="str">
        <f>IF($A26="","",IFERROR(SUMPRODUCT((Raw_Data_Daily!$B$2:$B$9999="Control")*(Raw_Data_Daily!$A$2:$A$9999=$A26)*(Raw_Data_Daily!$C$2:$C$9999=$C$3)*Raw_Data_Daily!$D$2:$D$9999*Raw_Data_Daily!$AB$2:$AB$9999)/SUMIFS(Raw_Data_Daily!$D:$D, Raw_Data_Daily!$B:$B, "Control", Raw_Data_Daily!$A:$A, $A26, Raw_Data_Daily!$C:$C, $C$3),""))</f>
        <v/>
      </c>
      <c r="BZ26" s="231" t="str">
        <f>IF($A26="","",IFERROR(SUMPRODUCT((Raw_Data_Daily!$B$2:$B$9999="Variant")*(Raw_Data_Daily!$A$2:$A$9999=$A26)*(Raw_Data_Daily!$C$2:$C$9999=$C$3)*Raw_Data_Daily!$D$2:$D$9999*Raw_Data_Daily!$AB$2:$AB$9999)/SUMIFS(Raw_Data_Daily!$D:$D, Raw_Data_Daily!$B:$B, "Variant", Raw_Data_Daily!$A:$A, $A26, Raw_Data_Daily!$C:$C, $C$3),""))</f>
        <v/>
      </c>
      <c r="CA26" s="229" t="str">
        <f t="shared" si="26"/>
        <v/>
      </c>
      <c r="CB26" s="231" t="str">
        <f>IF($A26="","",IFERROR(SUMPRODUCT((Raw_Data_Daily!$B$2:$B$9999="Control")*(Raw_Data_Daily!$A$2:$A$9999=$A26)*(Raw_Data_Daily!$C$2:$C$9999=$C$3)*Raw_Data_Daily!$D$2:$D$9999*Raw_Data_Daily!$AC$2:$AC$9999)/SUMIFS(Raw_Data_Daily!$D:$D, Raw_Data_Daily!$B:$B, "Control", Raw_Data_Daily!$A:$A, $A26, Raw_Data_Daily!$C:$C, $C$3),""))</f>
        <v/>
      </c>
      <c r="CC26" s="231" t="str">
        <f>IF($A26="","",IFERROR(SUMPRODUCT((Raw_Data_Daily!$B$2:$B$9999="Variant")*(Raw_Data_Daily!$A$2:$A$9999=$A26)*(Raw_Data_Daily!$C$2:$C$9999=$C$3)*Raw_Data_Daily!$D$2:$D$9999*Raw_Data_Daily!$AC$2:$AC$9999)/SUMIFS(Raw_Data_Daily!$D:$D, Raw_Data_Daily!$B:$B, "Variant", Raw_Data_Daily!$A:$A, $A26, Raw_Data_Daily!$C:$C, $C$3),""))</f>
        <v/>
      </c>
      <c r="CD26" s="229" t="str">
        <f t="shared" si="27"/>
        <v/>
      </c>
      <c r="CE26" s="231" t="str">
        <f>IF($A26="","",IFERROR(SUMPRODUCT((Raw_Data_Daily!$B$2:$B$9999="Control")*(Raw_Data_Daily!$A$2:$A$9999=$A26)*(Raw_Data_Daily!$C$2:$C$9999=$C$3)*Raw_Data_Daily!$D$2:$D$9999*Raw_Data_Daily!$AD$2:$AD$9999)/SUMIFS(Raw_Data_Daily!$D:$D, Raw_Data_Daily!$B:$B, "Control", Raw_Data_Daily!$A:$A, $A26, Raw_Data_Daily!$C:$C, $C$3),""))</f>
        <v/>
      </c>
      <c r="CF26" s="231" t="str">
        <f>IF($A26="","",IFERROR(SUMPRODUCT((Raw_Data_Daily!$B$2:$B$9999="Variant")*(Raw_Data_Daily!$A$2:$A$9999=$A26)*(Raw_Data_Daily!$C$2:$C$9999=$C$3)*Raw_Data_Daily!$D$2:$D$9999*Raw_Data_Daily!$AD$2:$AD$9999)/SUMIFS(Raw_Data_Daily!$D:$D, Raw_Data_Daily!$B:$B, "Variant", Raw_Data_Daily!$A:$A, $A26, Raw_Data_Daily!$C:$C, $C$3),""))</f>
        <v/>
      </c>
      <c r="CG26" s="229" t="str">
        <f t="shared" si="28"/>
        <v/>
      </c>
      <c r="CH26" s="231" t="str">
        <f>IF($A26="","",IFERROR(SUMPRODUCT((Raw_Data_Daily!$B$2:$B$9999="Control")*(Raw_Data_Daily!$A$2:$A$9999=$A26)*(Raw_Data_Daily!$C$2:$C$9999=$C$3)*Raw_Data_Daily!$D$2:$D$9999*Raw_Data_Daily!$AE$2:$AE$9999)/SUMIFS(Raw_Data_Daily!$D:$D, Raw_Data_Daily!$B:$B, "Control", Raw_Data_Daily!$A:$A, $A26, Raw_Data_Daily!$C:$C, $C$3),""))</f>
        <v/>
      </c>
      <c r="CI26" s="231" t="str">
        <f>IF($A26="","",IFERROR(SUMPRODUCT((Raw_Data_Daily!$B$2:$B$9999="Variant")*(Raw_Data_Daily!$A$2:$A$9999=$A26)*(Raw_Data_Daily!$C$2:$C$9999=$C$3)*Raw_Data_Daily!$D$2:$D$9999*Raw_Data_Daily!$AE$2:$AE$9999)/SUMIFS(Raw_Data_Daily!$D:$D, Raw_Data_Daily!$B:$B, "Variant", Raw_Data_Daily!$A:$A, $A26, Raw_Data_Daily!$C:$C, $C$3),""))</f>
        <v/>
      </c>
      <c r="CJ26" s="229" t="str">
        <f t="shared" si="29"/>
        <v/>
      </c>
      <c r="CK26" s="231" t="str">
        <f>IF($A26="","",IFERROR(SUMPRODUCT((Raw_Data_Daily!$B$2:$B$9999="Control")*(Raw_Data_Daily!$A$2:$A$9999=$A26)*(Raw_Data_Daily!$C$2:$C$9999=$C$3)*Raw_Data_Daily!$D$2:$D$9999*Raw_Data_Daily!$AF$2:$AF$9999)/SUMIFS(Raw_Data_Daily!$D:$D, Raw_Data_Daily!$B:$B, "Control", Raw_Data_Daily!$A:$A, $A26, Raw_Data_Daily!$C:$C, $C$3),""))</f>
        <v/>
      </c>
      <c r="CL26" s="231" t="str">
        <f>IF($A26="","",IFERROR(SUMPRODUCT((Raw_Data_Daily!$B$2:$B$9999="Variant")*(Raw_Data_Daily!$A$2:$A$9999=$A26)*(Raw_Data_Daily!$C$2:$C$9999=$C$3)*Raw_Data_Daily!$D$2:$D$9999*Raw_Data_Daily!$AF$2:$AF$9999)/SUMIFS(Raw_Data_Daily!$D:$D, Raw_Data_Daily!$B:$B, "Variant", Raw_Data_Daily!$A:$A, $A26, Raw_Data_Daily!$C:$C, $C$3),""))</f>
        <v/>
      </c>
      <c r="CM26" s="229" t="str">
        <f t="shared" si="30"/>
        <v/>
      </c>
      <c r="CN26" s="231" t="str">
        <f>IF($A26="","",IFERROR(SUMPRODUCT((Raw_Data_Daily!$B$2:$B$9999="Control")*(Raw_Data_Daily!$A$2:$A$9999=$A26)*(Raw_Data_Daily!$C$2:$C$9999=$C$3)*Raw_Data_Daily!$D$2:$D$9999*Raw_Data_Daily!$AG$2:$AG$9999)/SUMIFS(Raw_Data_Daily!$D:$D, Raw_Data_Daily!$B:$B, "Control", Raw_Data_Daily!$A:$A, $A26, Raw_Data_Daily!$C:$C, $C$3),""))</f>
        <v/>
      </c>
      <c r="CO26" s="231" t="str">
        <f>IF($A26="","",IFERROR(SUMPRODUCT((Raw_Data_Daily!$B$2:$B$9999="Variant")*(Raw_Data_Daily!$A$2:$A$9999=$A26)*(Raw_Data_Daily!$C$2:$C$9999=$C$3)*Raw_Data_Daily!$D$2:$D$9999*Raw_Data_Daily!$AG$2:$AG$9999)/SUMIFS(Raw_Data_Daily!$D:$D, Raw_Data_Daily!$B:$B, "Variant", Raw_Data_Daily!$A:$A, $A26, Raw_Data_Daily!$C:$C, $C$3),""))</f>
        <v/>
      </c>
      <c r="CP26" s="229" t="str">
        <f t="shared" si="31"/>
        <v/>
      </c>
      <c r="CQ26" s="231" t="str">
        <f>IF($A26="","",IFERROR(SUMPRODUCT((Raw_Data_Daily!$B$2:$B$9999="Control")*(Raw_Data_Daily!$A$2:$A$9999=$A26)*(Raw_Data_Daily!$C$2:$C$9999=$C$3)*Raw_Data_Daily!$D$2:$D$9999*Raw_Data_Daily!$AH$2:$AH$9999)/SUMIFS(Raw_Data_Daily!$D:$D, Raw_Data_Daily!$B:$B, "Control", Raw_Data_Daily!$A:$A, $A26, Raw_Data_Daily!$C:$C, $C$3),""))</f>
        <v/>
      </c>
      <c r="CR26" s="231" t="str">
        <f>IF($A26="","",IFERROR(SUMPRODUCT((Raw_Data_Daily!$B$2:$B$9999="Variant")*(Raw_Data_Daily!$A$2:$A$9999=$A26)*(Raw_Data_Daily!$C$2:$C$9999=$C$3)*Raw_Data_Daily!$D$2:$D$9999*Raw_Data_Daily!$AH$2:$AH$9999)/SUMIFS(Raw_Data_Daily!$D:$D, Raw_Data_Daily!$B:$B, "Variant", Raw_Data_Daily!$A:$A, $A26, Raw_Data_Daily!$C:$C, $C$3),""))</f>
        <v/>
      </c>
      <c r="CS26" s="229" t="str">
        <f t="shared" si="32"/>
        <v/>
      </c>
      <c r="CT26" s="227" t="str">
        <f>IF($A26="","",IFERROR(SUMPRODUCT((Raw_Data_Daily!$B$2:$B$9999="Control")*(Raw_Data_Daily!$A$2:$A$9999=$A26)*(Raw_Data_Daily!$C$2:$C$9999=$C$3)*Raw_Data_Daily!$D$2:$D$9999*Raw_Data_Daily!$AI$2:$AI$9999)/SUMIFS(Raw_Data_Daily!$D:$D, Raw_Data_Daily!$B:$B, "Control", Raw_Data_Daily!$A:$A, $A26, Raw_Data_Daily!$C:$C, $C$3),""))</f>
        <v/>
      </c>
      <c r="CU26" s="227" t="str">
        <f>IF($A26="","",IFERROR(SUMPRODUCT((Raw_Data_Daily!$B$2:$B$9999="Variant")*(Raw_Data_Daily!$A$2:$A$9999=$A26)*(Raw_Data_Daily!$C$2:$C$9999=$C$3)*Raw_Data_Daily!$D$2:$D$9999*Raw_Data_Daily!$AI$2:$AI$9999)/SUMIFS(Raw_Data_Daily!$D:$D, Raw_Data_Daily!$B:$B, "Variant", Raw_Data_Daily!$A:$A, $A26, Raw_Data_Daily!$C:$C, $C$3),""))</f>
        <v/>
      </c>
      <c r="CV26" s="233" t="str">
        <f t="shared" si="33"/>
        <v/>
      </c>
      <c r="CW26" s="227" t="str">
        <f>IF($A26="","",IFERROR(SUMPRODUCT((Raw_Data_Daily!$B$2:$B$9999="Control")*(Raw_Data_Daily!$A$2:$A$9999=$A26)*(Raw_Data_Daily!$C$2:$C$9999=$C$3)*Raw_Data_Daily!$D$2:$D$9999*Raw_Data_Daily!$AJ$2:$AJ$9999)/SUMIFS(Raw_Data_Daily!$D:$D, Raw_Data_Daily!$B:$B, "Control", Raw_Data_Daily!$A:$A, $A26, Raw_Data_Daily!$C:$C, $C$3),""))</f>
        <v/>
      </c>
      <c r="CX26" s="227" t="str">
        <f>IF($A26="","",IFERROR(SUMPRODUCT((Raw_Data_Daily!$B$2:$B$9999="Variant")*(Raw_Data_Daily!$A$2:$A$9999=$A26)*(Raw_Data_Daily!$C$2:$C$9999=$C$3)*Raw_Data_Daily!$D$2:$D$9999*Raw_Data_Daily!$AJ$2:$AJ$9999)/SUMIFS(Raw_Data_Daily!$D:$D, Raw_Data_Daily!$B:$B, "Variant", Raw_Data_Daily!$A:$A, $A26, Raw_Data_Daily!$C:$C, $C$3),""))</f>
        <v/>
      </c>
      <c r="CY26" s="233" t="str">
        <f t="shared" si="34"/>
        <v/>
      </c>
      <c r="CZ26" s="227" t="str">
        <f>IF($A26="","",IFERROR(SUMPRODUCT((Raw_Data_Daily!$B$2:$B$9999="Control")*(Raw_Data_Daily!$A$2:$A$9999=$A26)*(Raw_Data_Daily!$C$2:$C$9999=$C$3)*Raw_Data_Daily!$D$2:$D$9999*Raw_Data_Daily!$AK$2:$AK$9999)/SUMIFS(Raw_Data_Daily!$D:$D, Raw_Data_Daily!$B:$B, "Control", Raw_Data_Daily!$A:$A, $A26, Raw_Data_Daily!$C:$C, $C$3),""))</f>
        <v/>
      </c>
      <c r="DA26" s="227" t="str">
        <f>IF($A26="","",IFERROR(SUMPRODUCT((Raw_Data_Daily!$B$2:$B$9999="Variant")*(Raw_Data_Daily!$A$2:$A$9999=$A26)*(Raw_Data_Daily!$C$2:$C$9999=$C$3)*Raw_Data_Daily!$D$2:$D$9999*Raw_Data_Daily!$AK$2:$AK$9999)/SUMIFS(Raw_Data_Daily!$D:$D, Raw_Data_Daily!$B:$B, "Variant", Raw_Data_Daily!$A:$A, $A26, Raw_Data_Daily!$C:$C, $C$3),""))</f>
        <v/>
      </c>
      <c r="DB26" s="229" t="str">
        <f t="shared" si="35"/>
        <v/>
      </c>
      <c r="DC26" s="232" t="str">
        <f>IF($A26="","",IFERROR(SUMPRODUCT((Raw_Data_Daily!$B$2:$B$9999="Control")*(Raw_Data_Daily!$A$2:$A$9999=$A26)*(Raw_Data_Daily!$C$2:$C$9999=$C$3)*Raw_Data_Daily!$D$2:$D$9999*Raw_Data_Daily!$AL$2:$AL$9999)/SUMIFS(Raw_Data_Daily!$D:$D, Raw_Data_Daily!$B:$B, "Control", Raw_Data_Daily!$A:$A, $A26, Raw_Data_Daily!$C:$C, $C$3),""))</f>
        <v/>
      </c>
      <c r="DD26" s="232" t="str">
        <f>IF($A26="","",IFERROR(SUMPRODUCT((Raw_Data_Daily!$B$2:$B$9999="Variant")*(Raw_Data_Daily!$A$2:$A$9999=$A26)*(Raw_Data_Daily!$C$2:$C$9999=$C$3)*Raw_Data_Daily!$D$2:$D$9999*Raw_Data_Daily!$AL$2:$AL$9999)/SUMIFS(Raw_Data_Daily!$D:$D, Raw_Data_Daily!$B:$B, "Variant", Raw_Data_Daily!$A:$A, $A26, Raw_Data_Daily!$C:$C, $C$3),""))</f>
        <v/>
      </c>
      <c r="DE26" s="233" t="str">
        <f t="shared" si="36"/>
        <v/>
      </c>
      <c r="DF26" s="234"/>
      <c r="DG26" s="227" t="str">
        <f>IF($A26="","",IFERROR(SUMPRODUCT((Raw_Data_Daily!$B$2:$B$9999="Variant")*(Raw_Data_Daily!$A$2:$A$9999=$A26)*(Raw_Data_Daily!$C$2:$C$9999=$C$3)*Raw_Data_Daily!$D$2:$D$9999*Raw_Data_Daily!$AM$2:$AM$9999)/SUMIFS(Raw_Data_Daily!$D:$D, Raw_Data_Daily!$B:$B, "Variant", Raw_Data_Daily!$A:$A, $A26, Raw_Data_Daily!$C:$C, $C$3),""))</f>
        <v/>
      </c>
      <c r="DH26" s="235"/>
      <c r="DI26" s="234"/>
      <c r="DJ26" s="227" t="str">
        <f>IF($A26="","",IFERROR(SUMPRODUCT((Raw_Data_Daily!$B$2:$B$9999="Variant")*(Raw_Data_Daily!$A$2:$A$9999=$A26)*(Raw_Data_Daily!$C$2:$C$9999=$C$3)*Raw_Data_Daily!$D$2:$D$9999*Raw_Data_Daily!$AN$2:$AN$9999)/SUMIFS(Raw_Data_Daily!$D:$D, Raw_Data_Daily!$B:$B, "Variant", Raw_Data_Daily!$A:$A, $A26, Raw_Data_Daily!$C:$C, $C$3),""))</f>
        <v/>
      </c>
      <c r="DK26" s="235"/>
      <c r="DL26" s="234"/>
      <c r="DM26" s="227" t="str">
        <f>IF($A26="","",IFERROR(SUMPRODUCT((Raw_Data_Daily!$B$2:$B$9999="Variant")*(Raw_Data_Daily!$A$2:$A$9999=$A26)*(Raw_Data_Daily!$C$2:$C$9999=$C$3)*Raw_Data_Daily!$D$2:$D$9999*Raw_Data_Daily!$AO$2:$AO$9999)/SUMIFS(Raw_Data_Daily!$D:$D, Raw_Data_Daily!$B:$B, "Variant", Raw_Data_Daily!$A:$A, $A26, Raw_Data_Daily!$C:$C, $C$3),""))</f>
        <v/>
      </c>
      <c r="DN26" s="235"/>
      <c r="DO26" s="234"/>
      <c r="DP26" s="227" t="str">
        <f>IF($A26="","",IFERROR(SUMPRODUCT((Raw_Data_Daily!$B$2:$B$9999="Variant")*(Raw_Data_Daily!$A$2:$A$9999=$A26)*(Raw_Data_Daily!$C$2:$C$9999=$C$3)*Raw_Data_Daily!$D$2:$D$9999*Raw_Data_Daily!$AP$2:$AP$9999)/SUMIFS(Raw_Data_Daily!$D:$D, Raw_Data_Daily!$B:$B, "Variant", Raw_Data_Daily!$A:$A, $A26, Raw_Data_Daily!$C:$C, $C$3),""))</f>
        <v/>
      </c>
      <c r="DQ26" s="235"/>
      <c r="DR26" s="232" t="str">
        <f>IF($A26="","",IFERROR(SUMPRODUCT((Raw_Data_Daily!$B$2:$B$9999="Control")*(Raw_Data_Daily!$A$2:$A$9999=$A26)*(Raw_Data_Daily!$C$2:$C$9999=$C$3)*Raw_Data_Daily!$D$2:$D$9999*Raw_Data_Daily!$AQ$2:$AQ$9999)/SUMIFS(Raw_Data_Daily!$D:$D, Raw_Data_Daily!$B:$B, "Control", Raw_Data_Daily!$A:$A, $A26, Raw_Data_Daily!$C:$C, $C$3),""))</f>
        <v/>
      </c>
      <c r="DS26" s="232" t="str">
        <f>IF($A26="","",IFERROR(SUMPRODUCT((Raw_Data_Daily!$B$2:$B$9999="Variant")*(Raw_Data_Daily!$A$2:$A$9999=$A26)*(Raw_Data_Daily!$C$2:$C$9999=$C$3)*Raw_Data_Daily!$D$2:$D$9999*Raw_Data_Daily!$AQ$2:$AQ$9999)/SUMIFS(Raw_Data_Daily!$D:$D, Raw_Data_Daily!$B:$B, "Variant", Raw_Data_Daily!$A:$A, $A26, Raw_Data_Daily!$C:$C, $C$3),""))</f>
        <v/>
      </c>
      <c r="DT26" s="236" t="str">
        <f t="shared" si="37"/>
        <v/>
      </c>
      <c r="DU26" s="232" t="str">
        <f>IF($A26="","",IFERROR(SUMPRODUCT((Raw_Data_Daily!$B$2:$B$9999="Control")*(Raw_Data_Daily!$A$2:$A$9999=$A26)*(Raw_Data_Daily!$C$2:$C$9999=$C$3)*Raw_Data_Daily!$D$2:$D$9999*Raw_Data_Daily!$AR$2:$AR$9999)/SUMIFS(Raw_Data_Daily!$D:$D, Raw_Data_Daily!$B:$B, "Control", Raw_Data_Daily!$A:$A, $A26, Raw_Data_Daily!$C:$C, $C$3),""))</f>
        <v/>
      </c>
      <c r="DV26" s="232" t="str">
        <f>IF($A26="","",IFERROR(SUMPRODUCT((Raw_Data_Daily!$B$2:$B$9999="Variant")*(Raw_Data_Daily!$A$2:$A$9999=$A26)*(Raw_Data_Daily!$C$2:$C$9999=$C$3)*Raw_Data_Daily!$D$2:$D$9999*Raw_Data_Daily!$AR$2:$AR$9999)/SUMIFS(Raw_Data_Daily!$D:$D, Raw_Data_Daily!$B:$B, "Variant", Raw_Data_Daily!$A:$A, $A26, Raw_Data_Daily!$C:$C, $C$3),""))</f>
        <v/>
      </c>
      <c r="DW26" s="236" t="str">
        <f t="shared" si="38"/>
        <v/>
      </c>
      <c r="DX26" s="232" t="str">
        <f>IF($A26="","",IFERROR(SUMPRODUCT((Raw_Data_Daily!$B$2:$B$9999="Control")*(Raw_Data_Daily!$A$2:$A$9999=$A26)*(Raw_Data_Daily!$C$2:$C$9999=$C$3)*Raw_Data_Daily!$D$2:$D$9999*Raw_Data_Daily!$AS$2:$AS$9999)/SUMIFS(Raw_Data_Daily!$D:$D, Raw_Data_Daily!$B:$B, "Control", Raw_Data_Daily!$A:$A, $A26, Raw_Data_Daily!$C:$C, $C$3),""))</f>
        <v/>
      </c>
      <c r="DY26" s="232" t="str">
        <f>IF($A26="","",IFERROR(SUMPRODUCT((Raw_Data_Daily!$B$2:$B$9999="Variant")*(Raw_Data_Daily!$A$2:$A$9999=$A26)*(Raw_Data_Daily!$C$2:$C$9999=$C$3)*Raw_Data_Daily!$D$2:$D$9999*Raw_Data_Daily!$AS$2:$AS$9999)/SUMIFS(Raw_Data_Daily!$D:$D, Raw_Data_Daily!$B:$B, "Variant", Raw_Data_Daily!$A:$A, $A26, Raw_Data_Daily!$C:$C, $C$3),""))</f>
        <v/>
      </c>
      <c r="DZ26" s="236" t="str">
        <f t="shared" si="39"/>
        <v/>
      </c>
      <c r="EA26" s="232" t="str">
        <f>IF($A26="","",IFERROR(SUMPRODUCT((Raw_Data_Daily!$B$2:$B$9999="Control")*(Raw_Data_Daily!$A$2:$A$9999=$A26)*(Raw_Data_Daily!$C$2:$C$9999=$C$3)*Raw_Data_Daily!$D$2:$D$9999*Raw_Data_Daily!$AT$2:$AT$9999)/SUMIFS(Raw_Data_Daily!$D:$D, Raw_Data_Daily!$B:$B, "Control", Raw_Data_Daily!$A:$A, $A26, Raw_Data_Daily!$C:$C, $C$3),""))</f>
        <v/>
      </c>
      <c r="EB26" s="232" t="str">
        <f>IF($A26="","",IFERROR(SUMPRODUCT((Raw_Data_Daily!$B$2:$B$9999="Variant")*(Raw_Data_Daily!$A$2:$A$9999=$A26)*(Raw_Data_Daily!$C$2:$C$9999=$C$3)*Raw_Data_Daily!$D$2:$D$9999*Raw_Data_Daily!$AT$2:$AT$9999)/SUMIFS(Raw_Data_Daily!$D:$D, Raw_Data_Daily!$B:$B, "Variant", Raw_Data_Daily!$A:$A, $A26, Raw_Data_Daily!$C:$C, $C$3),""))</f>
        <v/>
      </c>
      <c r="EC26" s="236" t="str">
        <f t="shared" si="40"/>
        <v/>
      </c>
      <c r="ED26" s="232" t="str">
        <f>IF($A26="","",IFERROR(SUMPRODUCT((Raw_Data_Daily!$B$2:$B$9999="Control")*(Raw_Data_Daily!$A$2:$A$9999=$A26)*(Raw_Data_Daily!$C$2:$C$9999=$C$3)*Raw_Data_Daily!$D$2:$D$9999*(Raw_Data_Daily!$AQ$2:$AQ$9999-Raw_Data_Daily!$AT$2:$AT$9999))/SUMIFS(Raw_Data_Daily!$D:$D, Raw_Data_Daily!$B:$B, "Control", Raw_Data_Daily!$A:$A, $A26, Raw_Data_Daily!$C:$C, $C$3),""))</f>
        <v/>
      </c>
      <c r="EE26" s="232" t="str">
        <f>IF($A26="","",IFERROR(SUMPRODUCT((Raw_Data_Daily!$B$2:$B$9999="Variant")*(Raw_Data_Daily!$A$2:$A$9999=$A26)*(Raw_Data_Daily!$C$2:$C$9999=$C$3)*Raw_Data_Daily!$D$2:$D$9999*(Raw_Data_Daily!$AQ$2:$AQ$9999-Raw_Data_Daily!$AT$2:$AT$9999))/SUMIFS(Raw_Data_Daily!$D:$D, Raw_Data_Daily!$B:$B, "Variant", Raw_Data_Daily!$A:$A, $A26, Raw_Data_Daily!$C:$C, $C$3),""))</f>
        <v/>
      </c>
      <c r="EF26" s="236" t="str">
        <f t="shared" si="41"/>
        <v/>
      </c>
      <c r="EG26" s="232" t="str">
        <f>IF($A26="","",IFERROR(SUMPRODUCT((Raw_Data_Daily!$B$2:$B$9999="Control")*(Raw_Data_Daily!$A$2:$A$9999=$A26)*(Raw_Data_Daily!$C$2:$C$9999=$C$3)*Raw_Data_Daily!$D$2:$D$9999*Raw_Data_Daily!$AU$2:$AU$9999)/SUMIFS(Raw_Data_Daily!$D:$D, Raw_Data_Daily!$B:$B, "Control", Raw_Data_Daily!$A:$A, $A26, Raw_Data_Daily!$C:$C, $C$3),""))</f>
        <v/>
      </c>
      <c r="EH26" s="232" t="str">
        <f>IF($A26="","",IFERROR(SUMPRODUCT((Raw_Data_Daily!$B$2:$B$9999="Variant")*(Raw_Data_Daily!$A$2:$A$9999=$A26)*(Raw_Data_Daily!$C$2:$C$9999=$C$3)*Raw_Data_Daily!$D$2:$D$9999*Raw_Data_Daily!$AU$2:$AU$9999)/SUMIFS(Raw_Data_Daily!$D:$D, Raw_Data_Daily!$B:$B, "Variant", Raw_Data_Daily!$A:$A, $A26, Raw_Data_Daily!$C:$C, $C$3),""))</f>
        <v/>
      </c>
      <c r="EI26" s="236" t="str">
        <f t="shared" si="42"/>
        <v/>
      </c>
    </row>
    <row r="27" ht="15.75" customHeight="1">
      <c r="A27" s="224">
        <v>46250.0</v>
      </c>
      <c r="B27" s="225">
        <f>IF($A27="","",SUMIFS(Raw_Data_Daily!$D:$D, Raw_Data_Daily!$B:$B, "Control", Raw_Data_Daily!$A:$A, $A27, Raw_Data_Daily!$C:$C, $C$3))</f>
        <v>0</v>
      </c>
      <c r="C27" s="225">
        <f>IF($A27="","",SUMIFS(Raw_Data_Daily!$D:$D, Raw_Data_Daily!$B:$B, "Variant", Raw_Data_Daily!$A:$A, $A27, Raw_Data_Daily!$C:$C, $C$3))</f>
        <v>0</v>
      </c>
      <c r="D27" s="226" t="str">
        <f t="shared" si="1"/>
        <v/>
      </c>
      <c r="E27" s="227" t="str">
        <f>IF($A27="","",IFERROR(SUMPRODUCT((Raw_Data_Daily!$B$2:$B$9999="Control")*(Raw_Data_Daily!$A$2:$A$9999=$A27)*(Raw_Data_Daily!$C$2:$C$9999=$C$3)*Raw_Data_Daily!$D$2:$D$9999*Raw_Data_Daily!$E$2:$E$9999)/SUMIFS(Raw_Data_Daily!$D:$D, Raw_Data_Daily!$B:$B, "Control", Raw_Data_Daily!$A:$A, $A27, Raw_Data_Daily!$C:$C, $C$3),""))</f>
        <v/>
      </c>
      <c r="F27" s="227" t="str">
        <f>IF($A27="","",IFERROR(SUMPRODUCT((Raw_Data_Daily!$B$2:$B$9999="Variant")*(Raw_Data_Daily!$A$2:$A$9999=$A27)*(Raw_Data_Daily!$C$2:$C$9999=$C$3)*Raw_Data_Daily!$D$2:$D$9999*Raw_Data_Daily!$E$2:$E$9999)/SUMIFS(Raw_Data_Daily!$D:$D, Raw_Data_Daily!$B:$B, "Variant", Raw_Data_Daily!$A:$A, $A27, Raw_Data_Daily!$C:$C, $C$3),""))</f>
        <v/>
      </c>
      <c r="G27" s="226" t="str">
        <f t="shared" si="2"/>
        <v/>
      </c>
      <c r="H27" s="228">
        <f>IF($A27="","",SUMIFS(Raw_Data_Daily!$F:$F, Raw_Data_Daily!$B:$B, "Control", Raw_Data_Daily!$A:$A, $A27, Raw_Data_Daily!$C:$C, $C$3))</f>
        <v>0</v>
      </c>
      <c r="I27" s="228">
        <f>IF($A27="","",SUMIFS(Raw_Data_Daily!$F:$F, Raw_Data_Daily!$B:$B, "Variant", Raw_Data_Daily!$A:$A, $A27, Raw_Data_Daily!$C:$C, $C$3))</f>
        <v>0</v>
      </c>
      <c r="J27" s="229" t="str">
        <f t="shared" si="3"/>
        <v/>
      </c>
      <c r="K27" s="230" t="str">
        <f>IF($A27="","",IFERROR(SUMIFS(Raw_Data_Daily!$F:$F, Raw_Data_Daily!$B:$B, "Control", Raw_Data_Daily!$A:$A, $A27, Raw_Data_Daily!$C:$C, $C$3)/SUMIFS(Raw_Data_Daily!$D:$D, Raw_Data_Daily!$B:$B, "Control", Raw_Data_Daily!$A:$A, $A27, Raw_Data_Daily!$C:$C, $C$3),""))</f>
        <v/>
      </c>
      <c r="L27" s="230" t="str">
        <f>IF($A27="","",IFERROR(SUMIFS(Raw_Data_Daily!$F:$F, Raw_Data_Daily!$B:$B, "Variant", Raw_Data_Daily!$A:$A, $A27, Raw_Data_Daily!$C:$C, $C$3)/SUMIFS(Raw_Data_Daily!$D:$D, Raw_Data_Daily!$B:$B, "Variant", Raw_Data_Daily!$A:$A, $A27, Raw_Data_Daily!$C:$C, $C$3),""))</f>
        <v/>
      </c>
      <c r="M27" s="229" t="str">
        <f t="shared" si="4"/>
        <v/>
      </c>
      <c r="N27" s="227" t="str">
        <f>IF($A27="","",IFERROR(SUMPRODUCT((Raw_Data_Daily!$B$2:$B$9999="Control")*(Raw_Data_Daily!$A$2:$A$9999=$A27)*(Raw_Data_Daily!$C$2:$C$9999=$C$3)*Raw_Data_Daily!$D$2:$D$9999*Raw_Data_Daily!$H$2:$H$9999/100)/SUMIFS(Raw_Data_Daily!$D:$D, Raw_Data_Daily!$B:$B, "Control", Raw_Data_Daily!$A:$A, $A27, Raw_Data_Daily!$C:$C, $C$3)*100,""))</f>
        <v/>
      </c>
      <c r="O27" s="227" t="str">
        <f>IF($A27="","",IFERROR(SUMPRODUCT((Raw_Data_Daily!$B$2:$B$9999="Variant")*(Raw_Data_Daily!$A$2:$A$9999=$A27)*(Raw_Data_Daily!$C$2:$C$9999=$C$3)*Raw_Data_Daily!$D$2:$D$9999*Raw_Data_Daily!$H$2:$H$9999/100)/SUMIFS(Raw_Data_Daily!$D:$D, Raw_Data_Daily!$B:$B, "Variant", Raw_Data_Daily!$A:$A, $A27, Raw_Data_Daily!$C:$C, $C$3)*100,""))</f>
        <v/>
      </c>
      <c r="P27" s="229" t="str">
        <f t="shared" si="5"/>
        <v/>
      </c>
      <c r="Q27" s="230" t="str">
        <f>IF($A27="","",IFERROR(SUMIFS(Raw_Data_Daily!$F:$F, Raw_Data_Daily!$B:$B, "Control", Raw_Data_Daily!$A:$A, $A27, Raw_Data_Daily!$C:$C, $C$3)/SUMPRODUCT((Raw_Data_Daily!$B$2:$B$9999="Control")*(Raw_Data_Daily!$A$2:$A$9999=$A27)*(Raw_Data_Daily!$C$2:$C$9999=$C$3)*Raw_Data_Daily!$D$2:$D$9999*Raw_Data_Daily!$H$2:$H$9999/100),""))</f>
        <v/>
      </c>
      <c r="R27" s="230" t="str">
        <f>IF($A27="","",IFERROR(SUMIFS(Raw_Data_Daily!$F:$F, Raw_Data_Daily!$B:$B, "Variant", Raw_Data_Daily!$A:$A, $A27, Raw_Data_Daily!$C:$C, $C$3)/SUMPRODUCT((Raw_Data_Daily!$B$2:$B$9999="Variant")*(Raw_Data_Daily!$A$2:$A$9999=$A27)*(Raw_Data_Daily!$C$2:$C$9999=$C$3)*Raw_Data_Daily!$D$2:$D$9999*Raw_Data_Daily!$H$2:$H$9999/100),""))</f>
        <v/>
      </c>
      <c r="S27" s="229" t="str">
        <f t="shared" si="6"/>
        <v/>
      </c>
      <c r="T27" s="231" t="str">
        <f>IF($A27="","",IFERROR(SUMPRODUCT((Raw_Data_Daily!$B$2:$B$9999="Control")*(Raw_Data_Daily!$A$2:$A$9999=$A27)*(Raw_Data_Daily!$C$2:$C$9999=$C$3)*Raw_Data_Daily!$D$2:$D$9999*Raw_Data_Daily!$J$2:$J$9999)/SUMIFS(Raw_Data_Daily!$D:$D, Raw_Data_Daily!$B:$B, "Control", Raw_Data_Daily!$A:$A, $A27, Raw_Data_Daily!$C:$C, $C$3),""))</f>
        <v/>
      </c>
      <c r="U27" s="231" t="str">
        <f>IF($A27="","",IFERROR(SUMPRODUCT((Raw_Data_Daily!$B$2:$B$9999="Variant")*(Raw_Data_Daily!$A$2:$A$9999=$A27)*(Raw_Data_Daily!$C$2:$C$9999=$C$3)*Raw_Data_Daily!$D$2:$D$9999*Raw_Data_Daily!$J$2:$J$9999)/SUMIFS(Raw_Data_Daily!$D:$D, Raw_Data_Daily!$B:$B, "Variant", Raw_Data_Daily!$A:$A, $A27, Raw_Data_Daily!$C:$C, $C$3),""))</f>
        <v/>
      </c>
      <c r="V27" s="229" t="str">
        <f t="shared" si="7"/>
        <v/>
      </c>
      <c r="W27" s="231" t="str">
        <f>IF($A27="","",IFERROR(SUMPRODUCT((Raw_Data_Daily!$B$2:$B$9999="Control")*(Raw_Data_Daily!$A$2:$A$9999=$A27)*(Raw_Data_Daily!$C$2:$C$9999=$C$3)*Raw_Data_Daily!$D$2:$D$9999*Raw_Data_Daily!$K$2:$K$9999)/SUMIFS(Raw_Data_Daily!$D:$D, Raw_Data_Daily!$B:$B, "Control", Raw_Data_Daily!$A:$A, $A27, Raw_Data_Daily!$C:$C, $C$3),""))</f>
        <v/>
      </c>
      <c r="X27" s="231" t="str">
        <f>IF($A27="","",IFERROR(SUMPRODUCT((Raw_Data_Daily!$B$2:$B$9999="Variant")*(Raw_Data_Daily!$A$2:$A$9999=$A27)*(Raw_Data_Daily!$C$2:$C$9999=$C$3)*Raw_Data_Daily!$D$2:$D$9999*Raw_Data_Daily!$K$2:$K$9999)/SUMIFS(Raw_Data_Daily!$D:$D, Raw_Data_Daily!$B:$B, "Variant", Raw_Data_Daily!$A:$A, $A27, Raw_Data_Daily!$C:$C, $C$3),""))</f>
        <v/>
      </c>
      <c r="Y27" s="229" t="str">
        <f t="shared" si="8"/>
        <v/>
      </c>
      <c r="Z27" s="231" t="str">
        <f>IF($A27="","",IFERROR(SUMPRODUCT((Raw_Data_Daily!$B$2:$B$9999="Control")*(Raw_Data_Daily!$A$2:$A$9999=$A27)*(Raw_Data_Daily!$C$2:$C$9999=$C$3)*Raw_Data_Daily!$D$2:$D$9999*Raw_Data_Daily!$L$2:$L$9999)/SUMIFS(Raw_Data_Daily!$D:$D, Raw_Data_Daily!$B:$B, "Control", Raw_Data_Daily!$A:$A, $A27, Raw_Data_Daily!$C:$C, $C$3),""))</f>
        <v/>
      </c>
      <c r="AA27" s="231" t="str">
        <f>IF($A27="","",IFERROR(SUMPRODUCT((Raw_Data_Daily!$B$2:$B$9999="Variant")*(Raw_Data_Daily!$A$2:$A$9999=$A27)*(Raw_Data_Daily!$C$2:$C$9999=$C$3)*Raw_Data_Daily!$D$2:$D$9999*Raw_Data_Daily!$L$2:$L$9999)/SUMIFS(Raw_Data_Daily!$D:$D, Raw_Data_Daily!$B:$B, "Variant", Raw_Data_Daily!$A:$A, $A27, Raw_Data_Daily!$C:$C, $C$3),""))</f>
        <v/>
      </c>
      <c r="AB27" s="229" t="str">
        <f t="shared" si="9"/>
        <v/>
      </c>
      <c r="AC27" s="232" t="str">
        <f>IF($A27="","",IFERROR(SUMPRODUCT((Raw_Data_Daily!$B$2:$B$9999="Control")*(Raw_Data_Daily!$A$2:$A$9999=$A27)*(Raw_Data_Daily!$C$2:$C$9999=$C$3)*Raw_Data_Daily!$D$2:$D$9999*Raw_Data_Daily!$M$2:$M$9999)/SUMIFS(Raw_Data_Daily!$D:$D, Raw_Data_Daily!$B:$B, "Control", Raw_Data_Daily!$A:$A, $A27, Raw_Data_Daily!$C:$C, $C$3),""))</f>
        <v/>
      </c>
      <c r="AD27" s="232" t="str">
        <f>IF($A27="","",IFERROR(SUMPRODUCT((Raw_Data_Daily!$B$2:$B$9999="Variant")*(Raw_Data_Daily!$A$2:$A$9999=$A27)*(Raw_Data_Daily!$C$2:$C$9999=$C$3)*Raw_Data_Daily!$D$2:$D$9999*Raw_Data_Daily!$M$2:$M$9999)/SUMIFS(Raw_Data_Daily!$D:$D, Raw_Data_Daily!$B:$B, "Variant", Raw_Data_Daily!$A:$A, $A27, Raw_Data_Daily!$C:$C, $C$3),""))</f>
        <v/>
      </c>
      <c r="AE27" s="233" t="str">
        <f t="shared" si="10"/>
        <v/>
      </c>
      <c r="AF27" s="232" t="str">
        <f>IF($A27="","",IFERROR(SUMPRODUCT((Raw_Data_Daily!$B$2:$B$9999="Control")*(Raw_Data_Daily!$A$2:$A$9999=$A27)*(Raw_Data_Daily!$C$2:$C$9999=$C$3)*Raw_Data_Daily!$D$2:$D$9999*Raw_Data_Daily!$N$2:$N$9999)/SUMIFS(Raw_Data_Daily!$D:$D, Raw_Data_Daily!$B:$B, "Control", Raw_Data_Daily!$A:$A, $A27, Raw_Data_Daily!$C:$C, $C$3),""))</f>
        <v/>
      </c>
      <c r="AG27" s="232" t="str">
        <f>IF($A27="","",IFERROR(SUMPRODUCT((Raw_Data_Daily!$B$2:$B$9999="Variant")*(Raw_Data_Daily!$A$2:$A$9999=$A27)*(Raw_Data_Daily!$C$2:$C$9999=$C$3)*Raw_Data_Daily!$D$2:$D$9999*Raw_Data_Daily!$N$2:$N$9999)/SUMIFS(Raw_Data_Daily!$D:$D, Raw_Data_Daily!$B:$B, "Variant", Raw_Data_Daily!$A:$A, $A27, Raw_Data_Daily!$C:$C, $C$3),""))</f>
        <v/>
      </c>
      <c r="AH27" s="233" t="str">
        <f t="shared" si="11"/>
        <v/>
      </c>
      <c r="AI27" s="232" t="str">
        <f>IF($A27="","",IFERROR(SUMPRODUCT((Raw_Data_Daily!$B$2:$B$9999="Control")*(Raw_Data_Daily!$A$2:$A$9999=$A27)*(Raw_Data_Daily!$C$2:$C$9999=$C$3)*Raw_Data_Daily!$D$2:$D$9999*Raw_Data_Daily!$O$2:$O$9999)/SUMIFS(Raw_Data_Daily!$D:$D, Raw_Data_Daily!$B:$B, "Control", Raw_Data_Daily!$A:$A, $A27, Raw_Data_Daily!$C:$C, $C$3),""))</f>
        <v/>
      </c>
      <c r="AJ27" s="232" t="str">
        <f>IF($A27="","",IFERROR(SUMPRODUCT((Raw_Data_Daily!$B$2:$B$9999="Variant")*(Raw_Data_Daily!$A$2:$A$9999=$A27)*(Raw_Data_Daily!$C$2:$C$9999=$C$3)*Raw_Data_Daily!$D$2:$D$9999*Raw_Data_Daily!$O$2:$O$9999)/SUMIFS(Raw_Data_Daily!$D:$D, Raw_Data_Daily!$B:$B, "Variant", Raw_Data_Daily!$A:$A, $A27, Raw_Data_Daily!$C:$C, $C$3),""))</f>
        <v/>
      </c>
      <c r="AK27" s="229" t="str">
        <f t="shared" si="12"/>
        <v/>
      </c>
      <c r="AL27" s="231" t="str">
        <f>IF($A27="","",IFERROR(SUMPRODUCT((Raw_Data_Daily!$B$2:$B$9999="Control")*(Raw_Data_Daily!$A$2:$A$9999=$A27)*(Raw_Data_Daily!$C$2:$C$9999=$C$3)*Raw_Data_Daily!$D$2:$D$9999*Raw_Data_Daily!$P$2:$P$9999)/SUMIFS(Raw_Data_Daily!$D:$D, Raw_Data_Daily!$B:$B, "Control", Raw_Data_Daily!$A:$A, $A27, Raw_Data_Daily!$C:$C, $C$3),""))</f>
        <v/>
      </c>
      <c r="AM27" s="231" t="str">
        <f>IF($A27="","",IFERROR(SUMPRODUCT((Raw_Data_Daily!$B$2:$B$9999="Variant")*(Raw_Data_Daily!$A$2:$A$9999=$A27)*(Raw_Data_Daily!$C$2:$C$9999=$C$3)*Raw_Data_Daily!$D$2:$D$9999*Raw_Data_Daily!$P$2:$P$9999)/SUMIFS(Raw_Data_Daily!$D:$D, Raw_Data_Daily!$B:$B, "Variant", Raw_Data_Daily!$A:$A, $A27, Raw_Data_Daily!$C:$C, $C$3),""))</f>
        <v/>
      </c>
      <c r="AN27" s="229" t="str">
        <f t="shared" si="13"/>
        <v/>
      </c>
      <c r="AO27" s="231" t="str">
        <f>IF($A27="","",IFERROR(SUMPRODUCT((Raw_Data_Daily!$B$2:$B$9999="Control")*(Raw_Data_Daily!$A$2:$A$9999=$A27)*(Raw_Data_Daily!$C$2:$C$9999=$C$3)*Raw_Data_Daily!$D$2:$D$9999*Raw_Data_Daily!$Q$2:$Q$9999)/SUMIFS(Raw_Data_Daily!$D:$D, Raw_Data_Daily!$B:$B, "Control", Raw_Data_Daily!$A:$A, $A27, Raw_Data_Daily!$C:$C, $C$3),""))</f>
        <v/>
      </c>
      <c r="AP27" s="231" t="str">
        <f>IF($A27="","",IFERROR(SUMPRODUCT((Raw_Data_Daily!$B$2:$B$9999="Variant")*(Raw_Data_Daily!$A$2:$A$9999=$A27)*(Raw_Data_Daily!$C$2:$C$9999=$C$3)*Raw_Data_Daily!$D$2:$D$9999*Raw_Data_Daily!$Q$2:$Q$9999)/SUMIFS(Raw_Data_Daily!$D:$D, Raw_Data_Daily!$B:$B, "Variant", Raw_Data_Daily!$A:$A, $A27, Raw_Data_Daily!$C:$C, $C$3),""))</f>
        <v/>
      </c>
      <c r="AQ27" s="226" t="str">
        <f t="shared" si="14"/>
        <v/>
      </c>
      <c r="AR27" s="231" t="str">
        <f>IF($A27="","",IFERROR(SUMPRODUCT((Raw_Data_Daily!$B$2:$B$9999="Control")*(Raw_Data_Daily!$A$2:$A$9999=$A27)*(Raw_Data_Daily!$C$2:$C$9999=$C$3)*Raw_Data_Daily!$D$2:$D$9999*Raw_Data_Daily!$R$2:$R$9999)/SUMIFS(Raw_Data_Daily!$D:$D, Raw_Data_Daily!$B:$B, "Control", Raw_Data_Daily!$A:$A, $A27, Raw_Data_Daily!$C:$C, $C$3),""))</f>
        <v/>
      </c>
      <c r="AS27" s="231" t="str">
        <f>IF($A27="","",IFERROR(SUMPRODUCT((Raw_Data_Daily!$B$2:$B$9999="Variant")*(Raw_Data_Daily!$A$2:$A$9999=$A27)*(Raw_Data_Daily!$C$2:$C$9999=$C$3)*Raw_Data_Daily!$D$2:$D$9999*Raw_Data_Daily!$R$2:$R$9999)/SUMIFS(Raw_Data_Daily!$D:$D, Raw_Data_Daily!$B:$B, "Variant", Raw_Data_Daily!$A:$A, $A27, Raw_Data_Daily!$C:$C, $C$3),""))</f>
        <v/>
      </c>
      <c r="AT27" s="226" t="str">
        <f t="shared" si="15"/>
        <v/>
      </c>
      <c r="AU27" s="231" t="str">
        <f>IF($A27="","",IFERROR(SUMPRODUCT((Raw_Data_Daily!$B$2:$B$9999="Control")*(Raw_Data_Daily!$A$2:$A$9999=$A27)*(Raw_Data_Daily!$C$2:$C$9999=$C$3)*Raw_Data_Daily!$D$2:$D$9999*Raw_Data_Daily!$S$2:$S$9999)/SUMIFS(Raw_Data_Daily!$D:$D, Raw_Data_Daily!$B:$B, "Control", Raw_Data_Daily!$A:$A, $A27, Raw_Data_Daily!$C:$C, $C$3),""))</f>
        <v/>
      </c>
      <c r="AV27" s="231" t="str">
        <f>IF($A27="","",IFERROR(SUMPRODUCT((Raw_Data_Daily!$B$2:$B$9999="Variant")*(Raw_Data_Daily!$A$2:$A$9999=$A27)*(Raw_Data_Daily!$C$2:$C$9999=$C$3)*Raw_Data_Daily!$D$2:$D$9999*Raw_Data_Daily!$S$2:$S$9999)/SUMIFS(Raw_Data_Daily!$D:$D, Raw_Data_Daily!$B:$B, "Variant", Raw_Data_Daily!$A:$A, $A27, Raw_Data_Daily!$C:$C, $C$3),""))</f>
        <v/>
      </c>
      <c r="AW27" s="226" t="str">
        <f t="shared" si="16"/>
        <v/>
      </c>
      <c r="AX27" s="231" t="str">
        <f>IF($A27="","",IFERROR(SUMPRODUCT((Raw_Data_Daily!$B$2:$B$9999="Control")*(Raw_Data_Daily!$A$2:$A$9999=$A27)*(Raw_Data_Daily!$C$2:$C$9999=$C$3)*Raw_Data_Daily!$D$2:$D$9999*Raw_Data_Daily!$T$2:$T$9999)/SUMIFS(Raw_Data_Daily!$D:$D, Raw_Data_Daily!$B:$B, "Control", Raw_Data_Daily!$A:$A, $A27, Raw_Data_Daily!$C:$C, $C$3),""))</f>
        <v/>
      </c>
      <c r="AY27" s="231" t="str">
        <f>IF($A27="","",IFERROR(SUMPRODUCT((Raw_Data_Daily!$B$2:$B$9999="Variant")*(Raw_Data_Daily!$A$2:$A$9999=$A27)*(Raw_Data_Daily!$C$2:$C$9999=$C$3)*Raw_Data_Daily!$D$2:$D$9999*Raw_Data_Daily!$T$2:$T$9999)/SUMIFS(Raw_Data_Daily!$D:$D, Raw_Data_Daily!$B:$B, "Variant", Raw_Data_Daily!$A:$A, $A27, Raw_Data_Daily!$C:$C, $C$3),""))</f>
        <v/>
      </c>
      <c r="AZ27" s="229" t="str">
        <f t="shared" si="17"/>
        <v/>
      </c>
      <c r="BA27" s="231" t="str">
        <f>IF($A27="","",IFERROR(SUMPRODUCT((Raw_Data_Daily!$B$2:$B$9999="Control")*(Raw_Data_Daily!$A$2:$A$9999=$A27)*(Raw_Data_Daily!$C$2:$C$9999=$C$3)*Raw_Data_Daily!$D$2:$D$9999*Raw_Data_Daily!$U$2:$U$9999)/SUMIFS(Raw_Data_Daily!$D:$D, Raw_Data_Daily!$B:$B, "Control", Raw_Data_Daily!$A:$A, $A27, Raw_Data_Daily!$C:$C, $C$3),""))</f>
        <v/>
      </c>
      <c r="BB27" s="231" t="str">
        <f>IF($A27="","",IFERROR(SUMPRODUCT((Raw_Data_Daily!$B$2:$B$9999="Variant")*(Raw_Data_Daily!$A$2:$A$9999=$A27)*(Raw_Data_Daily!$C$2:$C$9999=$C$3)*Raw_Data_Daily!$D$2:$D$9999*Raw_Data_Daily!$U$2:$U$9999)/SUMIFS(Raw_Data_Daily!$D:$D, Raw_Data_Daily!$B:$B, "Variant", Raw_Data_Daily!$A:$A, $A27, Raw_Data_Daily!$C:$C, $C$3),""))</f>
        <v/>
      </c>
      <c r="BC27" s="226" t="str">
        <f t="shared" si="18"/>
        <v/>
      </c>
      <c r="BD27" s="231" t="str">
        <f>IF($A27="","",IFERROR(SUMPRODUCT((Raw_Data_Daily!$B$2:$B$9999="Control")*(Raw_Data_Daily!$A$2:$A$9999=$A27)*(Raw_Data_Daily!$C$2:$C$9999=$C$3)*Raw_Data_Daily!$D$2:$D$9999*Raw_Data_Daily!$V$2:$V$9999)/SUMIFS(Raw_Data_Daily!$D:$D, Raw_Data_Daily!$B:$B, "Control", Raw_Data_Daily!$A:$A, $A27, Raw_Data_Daily!$C:$C, $C$3),""))</f>
        <v/>
      </c>
      <c r="BE27" s="231" t="str">
        <f>IF($A27="","",IFERROR(SUMPRODUCT((Raw_Data_Daily!$B$2:$B$9999="Variant")*(Raw_Data_Daily!$A$2:$A$9999=$A27)*(Raw_Data_Daily!$C$2:$C$9999=$C$3)*Raw_Data_Daily!$D$2:$D$9999*Raw_Data_Daily!$V$2:$V$9999)/SUMIFS(Raw_Data_Daily!$D:$D, Raw_Data_Daily!$B:$B, "Variant", Raw_Data_Daily!$A:$A, $A27, Raw_Data_Daily!$C:$C, $C$3),""))</f>
        <v/>
      </c>
      <c r="BF27" s="226" t="str">
        <f t="shared" si="19"/>
        <v/>
      </c>
      <c r="BG27" s="231" t="str">
        <f>IF($A27="","",IFERROR(SUMPRODUCT((Raw_Data_Daily!$B$2:$B$9999="Control")*(Raw_Data_Daily!$A$2:$A$9999=$A27)*(Raw_Data_Daily!$C$2:$C$9999=$C$3)*Raw_Data_Daily!$D$2:$D$9999*(Raw_Data_Daily!$Q$2:$Q$9999-Raw_Data_Daily!$V$2:$V$9999))/SUMIFS(Raw_Data_Daily!$D:$D, Raw_Data_Daily!$B:$B, "Control", Raw_Data_Daily!$A:$A, $A27, Raw_Data_Daily!$C:$C, $C$3),""))</f>
        <v/>
      </c>
      <c r="BH27" s="231" t="str">
        <f>IF($A27="","",IFERROR(SUMPRODUCT((Raw_Data_Daily!$B$2:$B$9999="Variant")*(Raw_Data_Daily!$A$2:$A$9999=$A27)*(Raw_Data_Daily!$C$2:$C$9999=$C$3)*Raw_Data_Daily!$D$2:$D$9999*(Raw_Data_Daily!$Q$2:$Q$9999-Raw_Data_Daily!$V$2:$V$9999))/SUMIFS(Raw_Data_Daily!$D:$D, Raw_Data_Daily!$B:$B, "Variant", Raw_Data_Daily!$A:$A, $A27, Raw_Data_Daily!$C:$C, $C$3),""))</f>
        <v/>
      </c>
      <c r="BI27" s="226" t="str">
        <f t="shared" si="20"/>
        <v/>
      </c>
      <c r="BJ27" s="231" t="str">
        <f>IF($A27="","",IFERROR(SUMPRODUCT((Raw_Data_Daily!$B$2:$B$9999="Control")*(Raw_Data_Daily!$A$2:$A$9999=$A27)*(Raw_Data_Daily!$C$2:$C$9999=$C$3)*Raw_Data_Daily!$D$2:$D$9999*Raw_Data_Daily!$W$2:$W$9999)/SUMIFS(Raw_Data_Daily!$D:$D, Raw_Data_Daily!$B:$B, "Control", Raw_Data_Daily!$A:$A, $A27, Raw_Data_Daily!$C:$C, $C$3),""))</f>
        <v/>
      </c>
      <c r="BK27" s="231" t="str">
        <f>IF($A27="","",IFERROR(SUMPRODUCT((Raw_Data_Daily!$B$2:$B$9999="Variant")*(Raw_Data_Daily!$A$2:$A$9999=$A27)*(Raw_Data_Daily!$C$2:$C$9999=$C$3)*Raw_Data_Daily!$D$2:$D$9999*Raw_Data_Daily!$W$2:$W$9999)/SUMIFS(Raw_Data_Daily!$D:$D, Raw_Data_Daily!$B:$B, "Variant", Raw_Data_Daily!$A:$A, $A27, Raw_Data_Daily!$C:$C, $C$3),""))</f>
        <v/>
      </c>
      <c r="BL27" s="226" t="str">
        <f t="shared" si="21"/>
        <v/>
      </c>
      <c r="BM27" s="232" t="str">
        <f>IF($A27="","",IFERROR(SUMPRODUCT((Raw_Data_Daily!$B$2:$B$9999="Control")*(Raw_Data_Daily!$A$2:$A$9999=$A27)*(Raw_Data_Daily!$C$2:$C$9999=$C$3)*Raw_Data_Daily!$D$2:$D$9999*Raw_Data_Daily!$X$2:$X$9999)/SUMIFS(Raw_Data_Daily!$D:$D, Raw_Data_Daily!$B:$B, "Control", Raw_Data_Daily!$A:$A, $A27, Raw_Data_Daily!$C:$C, $C$3),""))</f>
        <v/>
      </c>
      <c r="BN27" s="232" t="str">
        <f>IF($A27="","",IFERROR(SUMPRODUCT((Raw_Data_Daily!$B$2:$B$9999="Variant")*(Raw_Data_Daily!$A$2:$A$9999=$A27)*(Raw_Data_Daily!$C$2:$C$9999=$C$3)*Raw_Data_Daily!$D$2:$D$9999*Raw_Data_Daily!$X$2:$X$9999)/SUMIFS(Raw_Data_Daily!$D:$D, Raw_Data_Daily!$B:$B, "Variant", Raw_Data_Daily!$A:$A, $A27, Raw_Data_Daily!$C:$C, $C$3),""))</f>
        <v/>
      </c>
      <c r="BO27" s="229" t="str">
        <f t="shared" si="22"/>
        <v/>
      </c>
      <c r="BP27" s="225" t="str">
        <f>IF($A27="","",IFERROR(SUMPRODUCT((Raw_Data_Daily!$B$2:$B$9999="Control")*(Raw_Data_Daily!$A$2:$A$9999=$A27)*(Raw_Data_Daily!$C$2:$C$9999=$C$3)*Raw_Data_Daily!$D$2:$D$9999*Raw_Data_Daily!$Y$2:$Y$9999)/SUMIFS(Raw_Data_Daily!$D:$D, Raw_Data_Daily!$B:$B, "Control", Raw_Data_Daily!$A:$A, $A27, Raw_Data_Daily!$C:$C, $C$3),""))</f>
        <v/>
      </c>
      <c r="BQ27" s="225" t="str">
        <f>IF($A27="","",IFERROR(SUMPRODUCT((Raw_Data_Daily!$B$2:$B$9999="Variant")*(Raw_Data_Daily!$A$2:$A$9999=$A27)*(Raw_Data_Daily!$C$2:$C$9999=$C$3)*Raw_Data_Daily!$D$2:$D$9999*Raw_Data_Daily!$Y$2:$Y$9999)/SUMIFS(Raw_Data_Daily!$D:$D, Raw_Data_Daily!$B:$B, "Variant", Raw_Data_Daily!$A:$A, $A27, Raw_Data_Daily!$C:$C, $C$3),""))</f>
        <v/>
      </c>
      <c r="BR27" s="226" t="str">
        <f t="shared" si="23"/>
        <v/>
      </c>
      <c r="BS27" s="225" t="str">
        <f>IF($A27="","",IFERROR(SUMPRODUCT((Raw_Data_Daily!$B$2:$B$9999="Control")*(Raw_Data_Daily!$A$2:$A$9999=$A27)*(Raw_Data_Daily!$C$2:$C$9999=$C$3)*Raw_Data_Daily!$D$2:$D$9999*Raw_Data_Daily!$Z$2:$Z$9999)/SUMIFS(Raw_Data_Daily!$D:$D, Raw_Data_Daily!$B:$B, "Control", Raw_Data_Daily!$A:$A, $A27, Raw_Data_Daily!$C:$C, $C$3),""))</f>
        <v/>
      </c>
      <c r="BT27" s="225" t="str">
        <f>IF($A27="","",IFERROR(SUMPRODUCT((Raw_Data_Daily!$B$2:$B$9999="Variant")*(Raw_Data_Daily!$A$2:$A$9999=$A27)*(Raw_Data_Daily!$C$2:$C$9999=$C$3)*Raw_Data_Daily!$D$2:$D$9999*Raw_Data_Daily!$Z$2:$Z$9999)/SUMIFS(Raw_Data_Daily!$D:$D, Raw_Data_Daily!$B:$B, "Variant", Raw_Data_Daily!$A:$A, $A27, Raw_Data_Daily!$C:$C, $C$3),""))</f>
        <v/>
      </c>
      <c r="BU27" s="226" t="str">
        <f t="shared" si="24"/>
        <v/>
      </c>
      <c r="BV27" s="225" t="str">
        <f>IF($A27="","",IFERROR(SUMPRODUCT((Raw_Data_Daily!$B$2:$B$9999="Control")*(Raw_Data_Daily!$A$2:$A$9999=$A27)*(Raw_Data_Daily!$C$2:$C$9999=$C$3)*Raw_Data_Daily!$D$2:$D$9999*Raw_Data_Daily!$AA$2:$AA$9999)/SUMIFS(Raw_Data_Daily!$D:$D, Raw_Data_Daily!$B:$B, "Control", Raw_Data_Daily!$A:$A, $A27, Raw_Data_Daily!$C:$C, $C$3),""))</f>
        <v/>
      </c>
      <c r="BW27" s="225" t="str">
        <f>IF($A27="","",IFERROR(SUMPRODUCT((Raw_Data_Daily!$B$2:$B$9999="Variant")*(Raw_Data_Daily!$A$2:$A$9999=$A27)*(Raw_Data_Daily!$C$2:$C$9999=$C$3)*Raw_Data_Daily!$D$2:$D$9999*Raw_Data_Daily!$AA$2:$AA$9999)/SUMIFS(Raw_Data_Daily!$D:$D, Raw_Data_Daily!$B:$B, "Variant", Raw_Data_Daily!$A:$A, $A27, Raw_Data_Daily!$C:$C, $C$3),""))</f>
        <v/>
      </c>
      <c r="BX27" s="226" t="str">
        <f t="shared" si="25"/>
        <v/>
      </c>
      <c r="BY27" s="231" t="str">
        <f>IF($A27="","",IFERROR(SUMPRODUCT((Raw_Data_Daily!$B$2:$B$9999="Control")*(Raw_Data_Daily!$A$2:$A$9999=$A27)*(Raw_Data_Daily!$C$2:$C$9999=$C$3)*Raw_Data_Daily!$D$2:$D$9999*Raw_Data_Daily!$AB$2:$AB$9999)/SUMIFS(Raw_Data_Daily!$D:$D, Raw_Data_Daily!$B:$B, "Control", Raw_Data_Daily!$A:$A, $A27, Raw_Data_Daily!$C:$C, $C$3),""))</f>
        <v/>
      </c>
      <c r="BZ27" s="231" t="str">
        <f>IF($A27="","",IFERROR(SUMPRODUCT((Raw_Data_Daily!$B$2:$B$9999="Variant")*(Raw_Data_Daily!$A$2:$A$9999=$A27)*(Raw_Data_Daily!$C$2:$C$9999=$C$3)*Raw_Data_Daily!$D$2:$D$9999*Raw_Data_Daily!$AB$2:$AB$9999)/SUMIFS(Raw_Data_Daily!$D:$D, Raw_Data_Daily!$B:$B, "Variant", Raw_Data_Daily!$A:$A, $A27, Raw_Data_Daily!$C:$C, $C$3),""))</f>
        <v/>
      </c>
      <c r="CA27" s="229" t="str">
        <f t="shared" si="26"/>
        <v/>
      </c>
      <c r="CB27" s="231" t="str">
        <f>IF($A27="","",IFERROR(SUMPRODUCT((Raw_Data_Daily!$B$2:$B$9999="Control")*(Raw_Data_Daily!$A$2:$A$9999=$A27)*(Raw_Data_Daily!$C$2:$C$9999=$C$3)*Raw_Data_Daily!$D$2:$D$9999*Raw_Data_Daily!$AC$2:$AC$9999)/SUMIFS(Raw_Data_Daily!$D:$D, Raw_Data_Daily!$B:$B, "Control", Raw_Data_Daily!$A:$A, $A27, Raw_Data_Daily!$C:$C, $C$3),""))</f>
        <v/>
      </c>
      <c r="CC27" s="231" t="str">
        <f>IF($A27="","",IFERROR(SUMPRODUCT((Raw_Data_Daily!$B$2:$B$9999="Variant")*(Raw_Data_Daily!$A$2:$A$9999=$A27)*(Raw_Data_Daily!$C$2:$C$9999=$C$3)*Raw_Data_Daily!$D$2:$D$9999*Raw_Data_Daily!$AC$2:$AC$9999)/SUMIFS(Raw_Data_Daily!$D:$D, Raw_Data_Daily!$B:$B, "Variant", Raw_Data_Daily!$A:$A, $A27, Raw_Data_Daily!$C:$C, $C$3),""))</f>
        <v/>
      </c>
      <c r="CD27" s="229" t="str">
        <f t="shared" si="27"/>
        <v/>
      </c>
      <c r="CE27" s="231" t="str">
        <f>IF($A27="","",IFERROR(SUMPRODUCT((Raw_Data_Daily!$B$2:$B$9999="Control")*(Raw_Data_Daily!$A$2:$A$9999=$A27)*(Raw_Data_Daily!$C$2:$C$9999=$C$3)*Raw_Data_Daily!$D$2:$D$9999*Raw_Data_Daily!$AD$2:$AD$9999)/SUMIFS(Raw_Data_Daily!$D:$D, Raw_Data_Daily!$B:$B, "Control", Raw_Data_Daily!$A:$A, $A27, Raw_Data_Daily!$C:$C, $C$3),""))</f>
        <v/>
      </c>
      <c r="CF27" s="231" t="str">
        <f>IF($A27="","",IFERROR(SUMPRODUCT((Raw_Data_Daily!$B$2:$B$9999="Variant")*(Raw_Data_Daily!$A$2:$A$9999=$A27)*(Raw_Data_Daily!$C$2:$C$9999=$C$3)*Raw_Data_Daily!$D$2:$D$9999*Raw_Data_Daily!$AD$2:$AD$9999)/SUMIFS(Raw_Data_Daily!$D:$D, Raw_Data_Daily!$B:$B, "Variant", Raw_Data_Daily!$A:$A, $A27, Raw_Data_Daily!$C:$C, $C$3),""))</f>
        <v/>
      </c>
      <c r="CG27" s="229" t="str">
        <f t="shared" si="28"/>
        <v/>
      </c>
      <c r="CH27" s="231" t="str">
        <f>IF($A27="","",IFERROR(SUMPRODUCT((Raw_Data_Daily!$B$2:$B$9999="Control")*(Raw_Data_Daily!$A$2:$A$9999=$A27)*(Raw_Data_Daily!$C$2:$C$9999=$C$3)*Raw_Data_Daily!$D$2:$D$9999*Raw_Data_Daily!$AE$2:$AE$9999)/SUMIFS(Raw_Data_Daily!$D:$D, Raw_Data_Daily!$B:$B, "Control", Raw_Data_Daily!$A:$A, $A27, Raw_Data_Daily!$C:$C, $C$3),""))</f>
        <v/>
      </c>
      <c r="CI27" s="231" t="str">
        <f>IF($A27="","",IFERROR(SUMPRODUCT((Raw_Data_Daily!$B$2:$B$9999="Variant")*(Raw_Data_Daily!$A$2:$A$9999=$A27)*(Raw_Data_Daily!$C$2:$C$9999=$C$3)*Raw_Data_Daily!$D$2:$D$9999*Raw_Data_Daily!$AE$2:$AE$9999)/SUMIFS(Raw_Data_Daily!$D:$D, Raw_Data_Daily!$B:$B, "Variant", Raw_Data_Daily!$A:$A, $A27, Raw_Data_Daily!$C:$C, $C$3),""))</f>
        <v/>
      </c>
      <c r="CJ27" s="229" t="str">
        <f t="shared" si="29"/>
        <v/>
      </c>
      <c r="CK27" s="231" t="str">
        <f>IF($A27="","",IFERROR(SUMPRODUCT((Raw_Data_Daily!$B$2:$B$9999="Control")*(Raw_Data_Daily!$A$2:$A$9999=$A27)*(Raw_Data_Daily!$C$2:$C$9999=$C$3)*Raw_Data_Daily!$D$2:$D$9999*Raw_Data_Daily!$AF$2:$AF$9999)/SUMIFS(Raw_Data_Daily!$D:$D, Raw_Data_Daily!$B:$B, "Control", Raw_Data_Daily!$A:$A, $A27, Raw_Data_Daily!$C:$C, $C$3),""))</f>
        <v/>
      </c>
      <c r="CL27" s="231" t="str">
        <f>IF($A27="","",IFERROR(SUMPRODUCT((Raw_Data_Daily!$B$2:$B$9999="Variant")*(Raw_Data_Daily!$A$2:$A$9999=$A27)*(Raw_Data_Daily!$C$2:$C$9999=$C$3)*Raw_Data_Daily!$D$2:$D$9999*Raw_Data_Daily!$AF$2:$AF$9999)/SUMIFS(Raw_Data_Daily!$D:$D, Raw_Data_Daily!$B:$B, "Variant", Raw_Data_Daily!$A:$A, $A27, Raw_Data_Daily!$C:$C, $C$3),""))</f>
        <v/>
      </c>
      <c r="CM27" s="229" t="str">
        <f t="shared" si="30"/>
        <v/>
      </c>
      <c r="CN27" s="231" t="str">
        <f>IF($A27="","",IFERROR(SUMPRODUCT((Raw_Data_Daily!$B$2:$B$9999="Control")*(Raw_Data_Daily!$A$2:$A$9999=$A27)*(Raw_Data_Daily!$C$2:$C$9999=$C$3)*Raw_Data_Daily!$D$2:$D$9999*Raw_Data_Daily!$AG$2:$AG$9999)/SUMIFS(Raw_Data_Daily!$D:$D, Raw_Data_Daily!$B:$B, "Control", Raw_Data_Daily!$A:$A, $A27, Raw_Data_Daily!$C:$C, $C$3),""))</f>
        <v/>
      </c>
      <c r="CO27" s="231" t="str">
        <f>IF($A27="","",IFERROR(SUMPRODUCT((Raw_Data_Daily!$B$2:$B$9999="Variant")*(Raw_Data_Daily!$A$2:$A$9999=$A27)*(Raw_Data_Daily!$C$2:$C$9999=$C$3)*Raw_Data_Daily!$D$2:$D$9999*Raw_Data_Daily!$AG$2:$AG$9999)/SUMIFS(Raw_Data_Daily!$D:$D, Raw_Data_Daily!$B:$B, "Variant", Raw_Data_Daily!$A:$A, $A27, Raw_Data_Daily!$C:$C, $C$3),""))</f>
        <v/>
      </c>
      <c r="CP27" s="229" t="str">
        <f t="shared" si="31"/>
        <v/>
      </c>
      <c r="CQ27" s="231" t="str">
        <f>IF($A27="","",IFERROR(SUMPRODUCT((Raw_Data_Daily!$B$2:$B$9999="Control")*(Raw_Data_Daily!$A$2:$A$9999=$A27)*(Raw_Data_Daily!$C$2:$C$9999=$C$3)*Raw_Data_Daily!$D$2:$D$9999*Raw_Data_Daily!$AH$2:$AH$9999)/SUMIFS(Raw_Data_Daily!$D:$D, Raw_Data_Daily!$B:$B, "Control", Raw_Data_Daily!$A:$A, $A27, Raw_Data_Daily!$C:$C, $C$3),""))</f>
        <v/>
      </c>
      <c r="CR27" s="231" t="str">
        <f>IF($A27="","",IFERROR(SUMPRODUCT((Raw_Data_Daily!$B$2:$B$9999="Variant")*(Raw_Data_Daily!$A$2:$A$9999=$A27)*(Raw_Data_Daily!$C$2:$C$9999=$C$3)*Raw_Data_Daily!$D$2:$D$9999*Raw_Data_Daily!$AH$2:$AH$9999)/SUMIFS(Raw_Data_Daily!$D:$D, Raw_Data_Daily!$B:$B, "Variant", Raw_Data_Daily!$A:$A, $A27, Raw_Data_Daily!$C:$C, $C$3),""))</f>
        <v/>
      </c>
      <c r="CS27" s="229" t="str">
        <f t="shared" si="32"/>
        <v/>
      </c>
      <c r="CT27" s="227" t="str">
        <f>IF($A27="","",IFERROR(SUMPRODUCT((Raw_Data_Daily!$B$2:$B$9999="Control")*(Raw_Data_Daily!$A$2:$A$9999=$A27)*(Raw_Data_Daily!$C$2:$C$9999=$C$3)*Raw_Data_Daily!$D$2:$D$9999*Raw_Data_Daily!$AI$2:$AI$9999)/SUMIFS(Raw_Data_Daily!$D:$D, Raw_Data_Daily!$B:$B, "Control", Raw_Data_Daily!$A:$A, $A27, Raw_Data_Daily!$C:$C, $C$3),""))</f>
        <v/>
      </c>
      <c r="CU27" s="227" t="str">
        <f>IF($A27="","",IFERROR(SUMPRODUCT((Raw_Data_Daily!$B$2:$B$9999="Variant")*(Raw_Data_Daily!$A$2:$A$9999=$A27)*(Raw_Data_Daily!$C$2:$C$9999=$C$3)*Raw_Data_Daily!$D$2:$D$9999*Raw_Data_Daily!$AI$2:$AI$9999)/SUMIFS(Raw_Data_Daily!$D:$D, Raw_Data_Daily!$B:$B, "Variant", Raw_Data_Daily!$A:$A, $A27, Raw_Data_Daily!$C:$C, $C$3),""))</f>
        <v/>
      </c>
      <c r="CV27" s="233" t="str">
        <f t="shared" si="33"/>
        <v/>
      </c>
      <c r="CW27" s="227" t="str">
        <f>IF($A27="","",IFERROR(SUMPRODUCT((Raw_Data_Daily!$B$2:$B$9999="Control")*(Raw_Data_Daily!$A$2:$A$9999=$A27)*(Raw_Data_Daily!$C$2:$C$9999=$C$3)*Raw_Data_Daily!$D$2:$D$9999*Raw_Data_Daily!$AJ$2:$AJ$9999)/SUMIFS(Raw_Data_Daily!$D:$D, Raw_Data_Daily!$B:$B, "Control", Raw_Data_Daily!$A:$A, $A27, Raw_Data_Daily!$C:$C, $C$3),""))</f>
        <v/>
      </c>
      <c r="CX27" s="227" t="str">
        <f>IF($A27="","",IFERROR(SUMPRODUCT((Raw_Data_Daily!$B$2:$B$9999="Variant")*(Raw_Data_Daily!$A$2:$A$9999=$A27)*(Raw_Data_Daily!$C$2:$C$9999=$C$3)*Raw_Data_Daily!$D$2:$D$9999*Raw_Data_Daily!$AJ$2:$AJ$9999)/SUMIFS(Raw_Data_Daily!$D:$D, Raw_Data_Daily!$B:$B, "Variant", Raw_Data_Daily!$A:$A, $A27, Raw_Data_Daily!$C:$C, $C$3),""))</f>
        <v/>
      </c>
      <c r="CY27" s="233" t="str">
        <f t="shared" si="34"/>
        <v/>
      </c>
      <c r="CZ27" s="227" t="str">
        <f>IF($A27="","",IFERROR(SUMPRODUCT((Raw_Data_Daily!$B$2:$B$9999="Control")*(Raw_Data_Daily!$A$2:$A$9999=$A27)*(Raw_Data_Daily!$C$2:$C$9999=$C$3)*Raw_Data_Daily!$D$2:$D$9999*Raw_Data_Daily!$AK$2:$AK$9999)/SUMIFS(Raw_Data_Daily!$D:$D, Raw_Data_Daily!$B:$B, "Control", Raw_Data_Daily!$A:$A, $A27, Raw_Data_Daily!$C:$C, $C$3),""))</f>
        <v/>
      </c>
      <c r="DA27" s="227" t="str">
        <f>IF($A27="","",IFERROR(SUMPRODUCT((Raw_Data_Daily!$B$2:$B$9999="Variant")*(Raw_Data_Daily!$A$2:$A$9999=$A27)*(Raw_Data_Daily!$C$2:$C$9999=$C$3)*Raw_Data_Daily!$D$2:$D$9999*Raw_Data_Daily!$AK$2:$AK$9999)/SUMIFS(Raw_Data_Daily!$D:$D, Raw_Data_Daily!$B:$B, "Variant", Raw_Data_Daily!$A:$A, $A27, Raw_Data_Daily!$C:$C, $C$3),""))</f>
        <v/>
      </c>
      <c r="DB27" s="229" t="str">
        <f t="shared" si="35"/>
        <v/>
      </c>
      <c r="DC27" s="232" t="str">
        <f>IF($A27="","",IFERROR(SUMPRODUCT((Raw_Data_Daily!$B$2:$B$9999="Control")*(Raw_Data_Daily!$A$2:$A$9999=$A27)*(Raw_Data_Daily!$C$2:$C$9999=$C$3)*Raw_Data_Daily!$D$2:$D$9999*Raw_Data_Daily!$AL$2:$AL$9999)/SUMIFS(Raw_Data_Daily!$D:$D, Raw_Data_Daily!$B:$B, "Control", Raw_Data_Daily!$A:$A, $A27, Raw_Data_Daily!$C:$C, $C$3),""))</f>
        <v/>
      </c>
      <c r="DD27" s="232" t="str">
        <f>IF($A27="","",IFERROR(SUMPRODUCT((Raw_Data_Daily!$B$2:$B$9999="Variant")*(Raw_Data_Daily!$A$2:$A$9999=$A27)*(Raw_Data_Daily!$C$2:$C$9999=$C$3)*Raw_Data_Daily!$D$2:$D$9999*Raw_Data_Daily!$AL$2:$AL$9999)/SUMIFS(Raw_Data_Daily!$D:$D, Raw_Data_Daily!$B:$B, "Variant", Raw_Data_Daily!$A:$A, $A27, Raw_Data_Daily!$C:$C, $C$3),""))</f>
        <v/>
      </c>
      <c r="DE27" s="233" t="str">
        <f t="shared" si="36"/>
        <v/>
      </c>
      <c r="DF27" s="234"/>
      <c r="DG27" s="227" t="str">
        <f>IF($A27="","",IFERROR(SUMPRODUCT((Raw_Data_Daily!$B$2:$B$9999="Variant")*(Raw_Data_Daily!$A$2:$A$9999=$A27)*(Raw_Data_Daily!$C$2:$C$9999=$C$3)*Raw_Data_Daily!$D$2:$D$9999*Raw_Data_Daily!$AM$2:$AM$9999)/SUMIFS(Raw_Data_Daily!$D:$D, Raw_Data_Daily!$B:$B, "Variant", Raw_Data_Daily!$A:$A, $A27, Raw_Data_Daily!$C:$C, $C$3),""))</f>
        <v/>
      </c>
      <c r="DH27" s="235"/>
      <c r="DI27" s="234"/>
      <c r="DJ27" s="227" t="str">
        <f>IF($A27="","",IFERROR(SUMPRODUCT((Raw_Data_Daily!$B$2:$B$9999="Variant")*(Raw_Data_Daily!$A$2:$A$9999=$A27)*(Raw_Data_Daily!$C$2:$C$9999=$C$3)*Raw_Data_Daily!$D$2:$D$9999*Raw_Data_Daily!$AN$2:$AN$9999)/SUMIFS(Raw_Data_Daily!$D:$D, Raw_Data_Daily!$B:$B, "Variant", Raw_Data_Daily!$A:$A, $A27, Raw_Data_Daily!$C:$C, $C$3),""))</f>
        <v/>
      </c>
      <c r="DK27" s="235"/>
      <c r="DL27" s="234"/>
      <c r="DM27" s="227" t="str">
        <f>IF($A27="","",IFERROR(SUMPRODUCT((Raw_Data_Daily!$B$2:$B$9999="Variant")*(Raw_Data_Daily!$A$2:$A$9999=$A27)*(Raw_Data_Daily!$C$2:$C$9999=$C$3)*Raw_Data_Daily!$D$2:$D$9999*Raw_Data_Daily!$AO$2:$AO$9999)/SUMIFS(Raw_Data_Daily!$D:$D, Raw_Data_Daily!$B:$B, "Variant", Raw_Data_Daily!$A:$A, $A27, Raw_Data_Daily!$C:$C, $C$3),""))</f>
        <v/>
      </c>
      <c r="DN27" s="235"/>
      <c r="DO27" s="234"/>
      <c r="DP27" s="227" t="str">
        <f>IF($A27="","",IFERROR(SUMPRODUCT((Raw_Data_Daily!$B$2:$B$9999="Variant")*(Raw_Data_Daily!$A$2:$A$9999=$A27)*(Raw_Data_Daily!$C$2:$C$9999=$C$3)*Raw_Data_Daily!$D$2:$D$9999*Raw_Data_Daily!$AP$2:$AP$9999)/SUMIFS(Raw_Data_Daily!$D:$D, Raw_Data_Daily!$B:$B, "Variant", Raw_Data_Daily!$A:$A, $A27, Raw_Data_Daily!$C:$C, $C$3),""))</f>
        <v/>
      </c>
      <c r="DQ27" s="235"/>
      <c r="DR27" s="232" t="str">
        <f>IF($A27="","",IFERROR(SUMPRODUCT((Raw_Data_Daily!$B$2:$B$9999="Control")*(Raw_Data_Daily!$A$2:$A$9999=$A27)*(Raw_Data_Daily!$C$2:$C$9999=$C$3)*Raw_Data_Daily!$D$2:$D$9999*Raw_Data_Daily!$AQ$2:$AQ$9999)/SUMIFS(Raw_Data_Daily!$D:$D, Raw_Data_Daily!$B:$B, "Control", Raw_Data_Daily!$A:$A, $A27, Raw_Data_Daily!$C:$C, $C$3),""))</f>
        <v/>
      </c>
      <c r="DS27" s="232" t="str">
        <f>IF($A27="","",IFERROR(SUMPRODUCT((Raw_Data_Daily!$B$2:$B$9999="Variant")*(Raw_Data_Daily!$A$2:$A$9999=$A27)*(Raw_Data_Daily!$C$2:$C$9999=$C$3)*Raw_Data_Daily!$D$2:$D$9999*Raw_Data_Daily!$AQ$2:$AQ$9999)/SUMIFS(Raw_Data_Daily!$D:$D, Raw_Data_Daily!$B:$B, "Variant", Raw_Data_Daily!$A:$A, $A27, Raw_Data_Daily!$C:$C, $C$3),""))</f>
        <v/>
      </c>
      <c r="DT27" s="236" t="str">
        <f t="shared" si="37"/>
        <v/>
      </c>
      <c r="DU27" s="232" t="str">
        <f>IF($A27="","",IFERROR(SUMPRODUCT((Raw_Data_Daily!$B$2:$B$9999="Control")*(Raw_Data_Daily!$A$2:$A$9999=$A27)*(Raw_Data_Daily!$C$2:$C$9999=$C$3)*Raw_Data_Daily!$D$2:$D$9999*Raw_Data_Daily!$AR$2:$AR$9999)/SUMIFS(Raw_Data_Daily!$D:$D, Raw_Data_Daily!$B:$B, "Control", Raw_Data_Daily!$A:$A, $A27, Raw_Data_Daily!$C:$C, $C$3),""))</f>
        <v/>
      </c>
      <c r="DV27" s="232" t="str">
        <f>IF($A27="","",IFERROR(SUMPRODUCT((Raw_Data_Daily!$B$2:$B$9999="Variant")*(Raw_Data_Daily!$A$2:$A$9999=$A27)*(Raw_Data_Daily!$C$2:$C$9999=$C$3)*Raw_Data_Daily!$D$2:$D$9999*Raw_Data_Daily!$AR$2:$AR$9999)/SUMIFS(Raw_Data_Daily!$D:$D, Raw_Data_Daily!$B:$B, "Variant", Raw_Data_Daily!$A:$A, $A27, Raw_Data_Daily!$C:$C, $C$3),""))</f>
        <v/>
      </c>
      <c r="DW27" s="236" t="str">
        <f t="shared" si="38"/>
        <v/>
      </c>
      <c r="DX27" s="232" t="str">
        <f>IF($A27="","",IFERROR(SUMPRODUCT((Raw_Data_Daily!$B$2:$B$9999="Control")*(Raw_Data_Daily!$A$2:$A$9999=$A27)*(Raw_Data_Daily!$C$2:$C$9999=$C$3)*Raw_Data_Daily!$D$2:$D$9999*Raw_Data_Daily!$AS$2:$AS$9999)/SUMIFS(Raw_Data_Daily!$D:$D, Raw_Data_Daily!$B:$B, "Control", Raw_Data_Daily!$A:$A, $A27, Raw_Data_Daily!$C:$C, $C$3),""))</f>
        <v/>
      </c>
      <c r="DY27" s="232" t="str">
        <f>IF($A27="","",IFERROR(SUMPRODUCT((Raw_Data_Daily!$B$2:$B$9999="Variant")*(Raw_Data_Daily!$A$2:$A$9999=$A27)*(Raw_Data_Daily!$C$2:$C$9999=$C$3)*Raw_Data_Daily!$D$2:$D$9999*Raw_Data_Daily!$AS$2:$AS$9999)/SUMIFS(Raw_Data_Daily!$D:$D, Raw_Data_Daily!$B:$B, "Variant", Raw_Data_Daily!$A:$A, $A27, Raw_Data_Daily!$C:$C, $C$3),""))</f>
        <v/>
      </c>
      <c r="DZ27" s="236" t="str">
        <f t="shared" si="39"/>
        <v/>
      </c>
      <c r="EA27" s="232" t="str">
        <f>IF($A27="","",IFERROR(SUMPRODUCT((Raw_Data_Daily!$B$2:$B$9999="Control")*(Raw_Data_Daily!$A$2:$A$9999=$A27)*(Raw_Data_Daily!$C$2:$C$9999=$C$3)*Raw_Data_Daily!$D$2:$D$9999*Raw_Data_Daily!$AT$2:$AT$9999)/SUMIFS(Raw_Data_Daily!$D:$D, Raw_Data_Daily!$B:$B, "Control", Raw_Data_Daily!$A:$A, $A27, Raw_Data_Daily!$C:$C, $C$3),""))</f>
        <v/>
      </c>
      <c r="EB27" s="232" t="str">
        <f>IF($A27="","",IFERROR(SUMPRODUCT((Raw_Data_Daily!$B$2:$B$9999="Variant")*(Raw_Data_Daily!$A$2:$A$9999=$A27)*(Raw_Data_Daily!$C$2:$C$9999=$C$3)*Raw_Data_Daily!$D$2:$D$9999*Raw_Data_Daily!$AT$2:$AT$9999)/SUMIFS(Raw_Data_Daily!$D:$D, Raw_Data_Daily!$B:$B, "Variant", Raw_Data_Daily!$A:$A, $A27, Raw_Data_Daily!$C:$C, $C$3),""))</f>
        <v/>
      </c>
      <c r="EC27" s="236" t="str">
        <f t="shared" si="40"/>
        <v/>
      </c>
      <c r="ED27" s="232" t="str">
        <f>IF($A27="","",IFERROR(SUMPRODUCT((Raw_Data_Daily!$B$2:$B$9999="Control")*(Raw_Data_Daily!$A$2:$A$9999=$A27)*(Raw_Data_Daily!$C$2:$C$9999=$C$3)*Raw_Data_Daily!$D$2:$D$9999*(Raw_Data_Daily!$AQ$2:$AQ$9999-Raw_Data_Daily!$AT$2:$AT$9999))/SUMIFS(Raw_Data_Daily!$D:$D, Raw_Data_Daily!$B:$B, "Control", Raw_Data_Daily!$A:$A, $A27, Raw_Data_Daily!$C:$C, $C$3),""))</f>
        <v/>
      </c>
      <c r="EE27" s="232" t="str">
        <f>IF($A27="","",IFERROR(SUMPRODUCT((Raw_Data_Daily!$B$2:$B$9999="Variant")*(Raw_Data_Daily!$A$2:$A$9999=$A27)*(Raw_Data_Daily!$C$2:$C$9999=$C$3)*Raw_Data_Daily!$D$2:$D$9999*(Raw_Data_Daily!$AQ$2:$AQ$9999-Raw_Data_Daily!$AT$2:$AT$9999))/SUMIFS(Raw_Data_Daily!$D:$D, Raw_Data_Daily!$B:$B, "Variant", Raw_Data_Daily!$A:$A, $A27, Raw_Data_Daily!$C:$C, $C$3),""))</f>
        <v/>
      </c>
      <c r="EF27" s="236" t="str">
        <f t="shared" si="41"/>
        <v/>
      </c>
      <c r="EG27" s="232" t="str">
        <f>IF($A27="","",IFERROR(SUMPRODUCT((Raw_Data_Daily!$B$2:$B$9999="Control")*(Raw_Data_Daily!$A$2:$A$9999=$A27)*(Raw_Data_Daily!$C$2:$C$9999=$C$3)*Raw_Data_Daily!$D$2:$D$9999*Raw_Data_Daily!$AU$2:$AU$9999)/SUMIFS(Raw_Data_Daily!$D:$D, Raw_Data_Daily!$B:$B, "Control", Raw_Data_Daily!$A:$A, $A27, Raw_Data_Daily!$C:$C, $C$3),""))</f>
        <v/>
      </c>
      <c r="EH27" s="232" t="str">
        <f>IF($A27="","",IFERROR(SUMPRODUCT((Raw_Data_Daily!$B$2:$B$9999="Variant")*(Raw_Data_Daily!$A$2:$A$9999=$A27)*(Raw_Data_Daily!$C$2:$C$9999=$C$3)*Raw_Data_Daily!$D$2:$D$9999*Raw_Data_Daily!$AU$2:$AU$9999)/SUMIFS(Raw_Data_Daily!$D:$D, Raw_Data_Daily!$B:$B, "Variant", Raw_Data_Daily!$A:$A, $A27, Raw_Data_Daily!$C:$C, $C$3),""))</f>
        <v/>
      </c>
      <c r="EI27" s="236" t="str">
        <f t="shared" si="42"/>
        <v/>
      </c>
    </row>
    <row r="28" ht="15.75" customHeight="1">
      <c r="A28" s="91">
        <v>46251.0</v>
      </c>
      <c r="B28" s="92">
        <f>IF($A28="","",SUMIFS(Raw_Data_Daily!$D:$D, Raw_Data_Daily!$B:$B, "Control", Raw_Data_Daily!$A:$A, $A28, Raw_Data_Daily!$C:$C, $C$3))</f>
        <v>0</v>
      </c>
      <c r="C28" s="92">
        <f>IF($A28="","",SUMIFS(Raw_Data_Daily!$D:$D, Raw_Data_Daily!$B:$B, "Variant", Raw_Data_Daily!$A:$A, $A28, Raw_Data_Daily!$C:$C, $C$3))</f>
        <v>0</v>
      </c>
      <c r="D28" s="93" t="str">
        <f t="shared" si="1"/>
        <v/>
      </c>
      <c r="E28" s="94" t="str">
        <f>IF($A28="","",IFERROR(SUMPRODUCT((Raw_Data_Daily!$B$2:$B$9999="Control")*(Raw_Data_Daily!$A$2:$A$9999=$A28)*(Raw_Data_Daily!$C$2:$C$9999=$C$3)*Raw_Data_Daily!$D$2:$D$9999*Raw_Data_Daily!$E$2:$E$9999)/SUMIFS(Raw_Data_Daily!$D:$D, Raw_Data_Daily!$B:$B, "Control", Raw_Data_Daily!$A:$A, $A28, Raw_Data_Daily!$C:$C, $C$3),""))</f>
        <v/>
      </c>
      <c r="F28" s="94" t="str">
        <f>IF($A28="","",IFERROR(SUMPRODUCT((Raw_Data_Daily!$B$2:$B$9999="Variant")*(Raw_Data_Daily!$A$2:$A$9999=$A28)*(Raw_Data_Daily!$C$2:$C$9999=$C$3)*Raw_Data_Daily!$D$2:$D$9999*Raw_Data_Daily!$E$2:$E$9999)/SUMIFS(Raw_Data_Daily!$D:$D, Raw_Data_Daily!$B:$B, "Variant", Raw_Data_Daily!$A:$A, $A28, Raw_Data_Daily!$C:$C, $C$3),""))</f>
        <v/>
      </c>
      <c r="G28" s="93" t="str">
        <f t="shared" si="2"/>
        <v/>
      </c>
      <c r="H28" s="95">
        <f>IF($A28="","",SUMIFS(Raw_Data_Daily!$F:$F, Raw_Data_Daily!$B:$B, "Control", Raw_Data_Daily!$A:$A, $A28, Raw_Data_Daily!$C:$C, $C$3))</f>
        <v>0</v>
      </c>
      <c r="I28" s="95">
        <f>IF($A28="","",SUMIFS(Raw_Data_Daily!$F:$F, Raw_Data_Daily!$B:$B, "Variant", Raw_Data_Daily!$A:$A, $A28, Raw_Data_Daily!$C:$C, $C$3))</f>
        <v>0</v>
      </c>
      <c r="J28" s="96" t="str">
        <f t="shared" si="3"/>
        <v/>
      </c>
      <c r="K28" s="97" t="str">
        <f>IF($A28="","",IFERROR(SUMIFS(Raw_Data_Daily!$F:$F, Raw_Data_Daily!$B:$B, "Control", Raw_Data_Daily!$A:$A, $A28, Raw_Data_Daily!$C:$C, $C$3)/SUMIFS(Raw_Data_Daily!$D:$D, Raw_Data_Daily!$B:$B, "Control", Raw_Data_Daily!$A:$A, $A28, Raw_Data_Daily!$C:$C, $C$3),""))</f>
        <v/>
      </c>
      <c r="L28" s="97" t="str">
        <f>IF($A28="","",IFERROR(SUMIFS(Raw_Data_Daily!$F:$F, Raw_Data_Daily!$B:$B, "Variant", Raw_Data_Daily!$A:$A, $A28, Raw_Data_Daily!$C:$C, $C$3)/SUMIFS(Raw_Data_Daily!$D:$D, Raw_Data_Daily!$B:$B, "Variant", Raw_Data_Daily!$A:$A, $A28, Raw_Data_Daily!$C:$C, $C$3),""))</f>
        <v/>
      </c>
      <c r="M28" s="96" t="str">
        <f t="shared" si="4"/>
        <v/>
      </c>
      <c r="N28" s="94" t="str">
        <f>IF($A28="","",IFERROR(SUMPRODUCT((Raw_Data_Daily!$B$2:$B$9999="Control")*(Raw_Data_Daily!$A$2:$A$9999=$A28)*(Raw_Data_Daily!$C$2:$C$9999=$C$3)*Raw_Data_Daily!$D$2:$D$9999*Raw_Data_Daily!$H$2:$H$9999/100)/SUMIFS(Raw_Data_Daily!$D:$D, Raw_Data_Daily!$B:$B, "Control", Raw_Data_Daily!$A:$A, $A28, Raw_Data_Daily!$C:$C, $C$3)*100,""))</f>
        <v/>
      </c>
      <c r="O28" s="94" t="str">
        <f>IF($A28="","",IFERROR(SUMPRODUCT((Raw_Data_Daily!$B$2:$B$9999="Variant")*(Raw_Data_Daily!$A$2:$A$9999=$A28)*(Raw_Data_Daily!$C$2:$C$9999=$C$3)*Raw_Data_Daily!$D$2:$D$9999*Raw_Data_Daily!$H$2:$H$9999/100)/SUMIFS(Raw_Data_Daily!$D:$D, Raw_Data_Daily!$B:$B, "Variant", Raw_Data_Daily!$A:$A, $A28, Raw_Data_Daily!$C:$C, $C$3)*100,""))</f>
        <v/>
      </c>
      <c r="P28" s="96" t="str">
        <f t="shared" si="5"/>
        <v/>
      </c>
      <c r="Q28" s="97" t="str">
        <f>IF($A28="","",IFERROR(SUMIFS(Raw_Data_Daily!$F:$F, Raw_Data_Daily!$B:$B, "Control", Raw_Data_Daily!$A:$A, $A28, Raw_Data_Daily!$C:$C, $C$3)/SUMPRODUCT((Raw_Data_Daily!$B$2:$B$9999="Control")*(Raw_Data_Daily!$A$2:$A$9999=$A28)*(Raw_Data_Daily!$C$2:$C$9999=$C$3)*Raw_Data_Daily!$D$2:$D$9999*Raw_Data_Daily!$H$2:$H$9999/100),""))</f>
        <v/>
      </c>
      <c r="R28" s="97" t="str">
        <f>IF($A28="","",IFERROR(SUMIFS(Raw_Data_Daily!$F:$F, Raw_Data_Daily!$B:$B, "Variant", Raw_Data_Daily!$A:$A, $A28, Raw_Data_Daily!$C:$C, $C$3)/SUMPRODUCT((Raw_Data_Daily!$B$2:$B$9999="Variant")*(Raw_Data_Daily!$A$2:$A$9999=$A28)*(Raw_Data_Daily!$C$2:$C$9999=$C$3)*Raw_Data_Daily!$D$2:$D$9999*Raw_Data_Daily!$H$2:$H$9999/100),""))</f>
        <v/>
      </c>
      <c r="S28" s="96" t="str">
        <f t="shared" si="6"/>
        <v/>
      </c>
      <c r="T28" s="121" t="str">
        <f>IF($A28="","",IFERROR(SUMPRODUCT((Raw_Data_Daily!$B$2:$B$9999="Control")*(Raw_Data_Daily!$A$2:$A$9999=$A28)*(Raw_Data_Daily!$C$2:$C$9999=$C$3)*Raw_Data_Daily!$D$2:$D$9999*Raw_Data_Daily!$J$2:$J$9999)/SUMIFS(Raw_Data_Daily!$D:$D, Raw_Data_Daily!$B:$B, "Control", Raw_Data_Daily!$A:$A, $A28, Raw_Data_Daily!$C:$C, $C$3),""))</f>
        <v/>
      </c>
      <c r="U28" s="121" t="str">
        <f>IF($A28="","",IFERROR(SUMPRODUCT((Raw_Data_Daily!$B$2:$B$9999="Variant")*(Raw_Data_Daily!$A$2:$A$9999=$A28)*(Raw_Data_Daily!$C$2:$C$9999=$C$3)*Raw_Data_Daily!$D$2:$D$9999*Raw_Data_Daily!$J$2:$J$9999)/SUMIFS(Raw_Data_Daily!$D:$D, Raw_Data_Daily!$B:$B, "Variant", Raw_Data_Daily!$A:$A, $A28, Raw_Data_Daily!$C:$C, $C$3),""))</f>
        <v/>
      </c>
      <c r="V28" s="96" t="str">
        <f t="shared" si="7"/>
        <v/>
      </c>
      <c r="W28" s="121" t="str">
        <f>IF($A28="","",IFERROR(SUMPRODUCT((Raw_Data_Daily!$B$2:$B$9999="Control")*(Raw_Data_Daily!$A$2:$A$9999=$A28)*(Raw_Data_Daily!$C$2:$C$9999=$C$3)*Raw_Data_Daily!$D$2:$D$9999*Raw_Data_Daily!$K$2:$K$9999)/SUMIFS(Raw_Data_Daily!$D:$D, Raw_Data_Daily!$B:$B, "Control", Raw_Data_Daily!$A:$A, $A28, Raw_Data_Daily!$C:$C, $C$3),""))</f>
        <v/>
      </c>
      <c r="X28" s="121" t="str">
        <f>IF($A28="","",IFERROR(SUMPRODUCT((Raw_Data_Daily!$B$2:$B$9999="Variant")*(Raw_Data_Daily!$A$2:$A$9999=$A28)*(Raw_Data_Daily!$C$2:$C$9999=$C$3)*Raw_Data_Daily!$D$2:$D$9999*Raw_Data_Daily!$K$2:$K$9999)/SUMIFS(Raw_Data_Daily!$D:$D, Raw_Data_Daily!$B:$B, "Variant", Raw_Data_Daily!$A:$A, $A28, Raw_Data_Daily!$C:$C, $C$3),""))</f>
        <v/>
      </c>
      <c r="Y28" s="96" t="str">
        <f t="shared" si="8"/>
        <v/>
      </c>
      <c r="Z28" s="121" t="str">
        <f>IF($A28="","",IFERROR(SUMPRODUCT((Raw_Data_Daily!$B$2:$B$9999="Control")*(Raw_Data_Daily!$A$2:$A$9999=$A28)*(Raw_Data_Daily!$C$2:$C$9999=$C$3)*Raw_Data_Daily!$D$2:$D$9999*Raw_Data_Daily!$L$2:$L$9999)/SUMIFS(Raw_Data_Daily!$D:$D, Raw_Data_Daily!$B:$B, "Control", Raw_Data_Daily!$A:$A, $A28, Raw_Data_Daily!$C:$C, $C$3),""))</f>
        <v/>
      </c>
      <c r="AA28" s="121" t="str">
        <f>IF($A28="","",IFERROR(SUMPRODUCT((Raw_Data_Daily!$B$2:$B$9999="Variant")*(Raw_Data_Daily!$A$2:$A$9999=$A28)*(Raw_Data_Daily!$C$2:$C$9999=$C$3)*Raw_Data_Daily!$D$2:$D$9999*Raw_Data_Daily!$L$2:$L$9999)/SUMIFS(Raw_Data_Daily!$D:$D, Raw_Data_Daily!$B:$B, "Variant", Raw_Data_Daily!$A:$A, $A28, Raw_Data_Daily!$C:$C, $C$3),""))</f>
        <v/>
      </c>
      <c r="AB28" s="96" t="str">
        <f t="shared" si="9"/>
        <v/>
      </c>
      <c r="AC28" s="139" t="str">
        <f>IF($A28="","",IFERROR(SUMPRODUCT((Raw_Data_Daily!$B$2:$B$9999="Control")*(Raw_Data_Daily!$A$2:$A$9999=$A28)*(Raw_Data_Daily!$C$2:$C$9999=$C$3)*Raw_Data_Daily!$D$2:$D$9999*Raw_Data_Daily!$M$2:$M$9999)/SUMIFS(Raw_Data_Daily!$D:$D, Raw_Data_Daily!$B:$B, "Control", Raw_Data_Daily!$A:$A, $A28, Raw_Data_Daily!$C:$C, $C$3),""))</f>
        <v/>
      </c>
      <c r="AD28" s="139" t="str">
        <f>IF($A28="","",IFERROR(SUMPRODUCT((Raw_Data_Daily!$B$2:$B$9999="Variant")*(Raw_Data_Daily!$A$2:$A$9999=$A28)*(Raw_Data_Daily!$C$2:$C$9999=$C$3)*Raw_Data_Daily!$D$2:$D$9999*Raw_Data_Daily!$M$2:$M$9999)/SUMIFS(Raw_Data_Daily!$D:$D, Raw_Data_Daily!$B:$B, "Variant", Raw_Data_Daily!$A:$A, $A28, Raw_Data_Daily!$C:$C, $C$3),""))</f>
        <v/>
      </c>
      <c r="AE28" s="142" t="str">
        <f t="shared" si="10"/>
        <v/>
      </c>
      <c r="AF28" s="139" t="str">
        <f>IF($A28="","",IFERROR(SUMPRODUCT((Raw_Data_Daily!$B$2:$B$9999="Control")*(Raw_Data_Daily!$A$2:$A$9999=$A28)*(Raw_Data_Daily!$C$2:$C$9999=$C$3)*Raw_Data_Daily!$D$2:$D$9999*Raw_Data_Daily!$N$2:$N$9999)/SUMIFS(Raw_Data_Daily!$D:$D, Raw_Data_Daily!$B:$B, "Control", Raw_Data_Daily!$A:$A, $A28, Raw_Data_Daily!$C:$C, $C$3),""))</f>
        <v/>
      </c>
      <c r="AG28" s="139" t="str">
        <f>IF($A28="","",IFERROR(SUMPRODUCT((Raw_Data_Daily!$B$2:$B$9999="Variant")*(Raw_Data_Daily!$A$2:$A$9999=$A28)*(Raw_Data_Daily!$C$2:$C$9999=$C$3)*Raw_Data_Daily!$D$2:$D$9999*Raw_Data_Daily!$N$2:$N$9999)/SUMIFS(Raw_Data_Daily!$D:$D, Raw_Data_Daily!$B:$B, "Variant", Raw_Data_Daily!$A:$A, $A28, Raw_Data_Daily!$C:$C, $C$3),""))</f>
        <v/>
      </c>
      <c r="AH28" s="142" t="str">
        <f t="shared" si="11"/>
        <v/>
      </c>
      <c r="AI28" s="139" t="str">
        <f>IF($A28="","",IFERROR(SUMPRODUCT((Raw_Data_Daily!$B$2:$B$9999="Control")*(Raw_Data_Daily!$A$2:$A$9999=$A28)*(Raw_Data_Daily!$C$2:$C$9999=$C$3)*Raw_Data_Daily!$D$2:$D$9999*Raw_Data_Daily!$O$2:$O$9999)/SUMIFS(Raw_Data_Daily!$D:$D, Raw_Data_Daily!$B:$B, "Control", Raw_Data_Daily!$A:$A, $A28, Raw_Data_Daily!$C:$C, $C$3),""))</f>
        <v/>
      </c>
      <c r="AJ28" s="139" t="str">
        <f>IF($A28="","",IFERROR(SUMPRODUCT((Raw_Data_Daily!$B$2:$B$9999="Variant")*(Raw_Data_Daily!$A$2:$A$9999=$A28)*(Raw_Data_Daily!$C$2:$C$9999=$C$3)*Raw_Data_Daily!$D$2:$D$9999*Raw_Data_Daily!$O$2:$O$9999)/SUMIFS(Raw_Data_Daily!$D:$D, Raw_Data_Daily!$B:$B, "Variant", Raw_Data_Daily!$A:$A, $A28, Raw_Data_Daily!$C:$C, $C$3),""))</f>
        <v/>
      </c>
      <c r="AK28" s="96" t="str">
        <f t="shared" si="12"/>
        <v/>
      </c>
      <c r="AL28" s="121" t="str">
        <f>IF($A28="","",IFERROR(SUMPRODUCT((Raw_Data_Daily!$B$2:$B$9999="Control")*(Raw_Data_Daily!$A$2:$A$9999=$A28)*(Raw_Data_Daily!$C$2:$C$9999=$C$3)*Raw_Data_Daily!$D$2:$D$9999*Raw_Data_Daily!$P$2:$P$9999)/SUMIFS(Raw_Data_Daily!$D:$D, Raw_Data_Daily!$B:$B, "Control", Raw_Data_Daily!$A:$A, $A28, Raw_Data_Daily!$C:$C, $C$3),""))</f>
        <v/>
      </c>
      <c r="AM28" s="121" t="str">
        <f>IF($A28="","",IFERROR(SUMPRODUCT((Raw_Data_Daily!$B$2:$B$9999="Variant")*(Raw_Data_Daily!$A$2:$A$9999=$A28)*(Raw_Data_Daily!$C$2:$C$9999=$C$3)*Raw_Data_Daily!$D$2:$D$9999*Raw_Data_Daily!$P$2:$P$9999)/SUMIFS(Raw_Data_Daily!$D:$D, Raw_Data_Daily!$B:$B, "Variant", Raw_Data_Daily!$A:$A, $A28, Raw_Data_Daily!$C:$C, $C$3),""))</f>
        <v/>
      </c>
      <c r="AN28" s="96" t="str">
        <f t="shared" si="13"/>
        <v/>
      </c>
      <c r="AO28" s="121" t="str">
        <f>IF($A28="","",IFERROR(SUMPRODUCT((Raw_Data_Daily!$B$2:$B$9999="Control")*(Raw_Data_Daily!$A$2:$A$9999=$A28)*(Raw_Data_Daily!$C$2:$C$9999=$C$3)*Raw_Data_Daily!$D$2:$D$9999*Raw_Data_Daily!$Q$2:$Q$9999)/SUMIFS(Raw_Data_Daily!$D:$D, Raw_Data_Daily!$B:$B, "Control", Raw_Data_Daily!$A:$A, $A28, Raw_Data_Daily!$C:$C, $C$3),""))</f>
        <v/>
      </c>
      <c r="AP28" s="121" t="str">
        <f>IF($A28="","",IFERROR(SUMPRODUCT((Raw_Data_Daily!$B$2:$B$9999="Variant")*(Raw_Data_Daily!$A$2:$A$9999=$A28)*(Raw_Data_Daily!$C$2:$C$9999=$C$3)*Raw_Data_Daily!$D$2:$D$9999*Raw_Data_Daily!$Q$2:$Q$9999)/SUMIFS(Raw_Data_Daily!$D:$D, Raw_Data_Daily!$B:$B, "Variant", Raw_Data_Daily!$A:$A, $A28, Raw_Data_Daily!$C:$C, $C$3),""))</f>
        <v/>
      </c>
      <c r="AQ28" s="93" t="str">
        <f t="shared" si="14"/>
        <v/>
      </c>
      <c r="AR28" s="121" t="str">
        <f>IF($A28="","",IFERROR(SUMPRODUCT((Raw_Data_Daily!$B$2:$B$9999="Control")*(Raw_Data_Daily!$A$2:$A$9999=$A28)*(Raw_Data_Daily!$C$2:$C$9999=$C$3)*Raw_Data_Daily!$D$2:$D$9999*Raw_Data_Daily!$R$2:$R$9999)/SUMIFS(Raw_Data_Daily!$D:$D, Raw_Data_Daily!$B:$B, "Control", Raw_Data_Daily!$A:$A, $A28, Raw_Data_Daily!$C:$C, $C$3),""))</f>
        <v/>
      </c>
      <c r="AS28" s="121" t="str">
        <f>IF($A28="","",IFERROR(SUMPRODUCT((Raw_Data_Daily!$B$2:$B$9999="Variant")*(Raw_Data_Daily!$A$2:$A$9999=$A28)*(Raw_Data_Daily!$C$2:$C$9999=$C$3)*Raw_Data_Daily!$D$2:$D$9999*Raw_Data_Daily!$R$2:$R$9999)/SUMIFS(Raw_Data_Daily!$D:$D, Raw_Data_Daily!$B:$B, "Variant", Raw_Data_Daily!$A:$A, $A28, Raw_Data_Daily!$C:$C, $C$3),""))</f>
        <v/>
      </c>
      <c r="AT28" s="93" t="str">
        <f t="shared" si="15"/>
        <v/>
      </c>
      <c r="AU28" s="121" t="str">
        <f>IF($A28="","",IFERROR(SUMPRODUCT((Raw_Data_Daily!$B$2:$B$9999="Control")*(Raw_Data_Daily!$A$2:$A$9999=$A28)*(Raw_Data_Daily!$C$2:$C$9999=$C$3)*Raw_Data_Daily!$D$2:$D$9999*Raw_Data_Daily!$S$2:$S$9999)/SUMIFS(Raw_Data_Daily!$D:$D, Raw_Data_Daily!$B:$B, "Control", Raw_Data_Daily!$A:$A, $A28, Raw_Data_Daily!$C:$C, $C$3),""))</f>
        <v/>
      </c>
      <c r="AV28" s="121" t="str">
        <f>IF($A28="","",IFERROR(SUMPRODUCT((Raw_Data_Daily!$B$2:$B$9999="Variant")*(Raw_Data_Daily!$A$2:$A$9999=$A28)*(Raw_Data_Daily!$C$2:$C$9999=$C$3)*Raw_Data_Daily!$D$2:$D$9999*Raw_Data_Daily!$S$2:$S$9999)/SUMIFS(Raw_Data_Daily!$D:$D, Raw_Data_Daily!$B:$B, "Variant", Raw_Data_Daily!$A:$A, $A28, Raw_Data_Daily!$C:$C, $C$3),""))</f>
        <v/>
      </c>
      <c r="AW28" s="93" t="str">
        <f t="shared" si="16"/>
        <v/>
      </c>
      <c r="AX28" s="121" t="str">
        <f>IF($A28="","",IFERROR(SUMPRODUCT((Raw_Data_Daily!$B$2:$B$9999="Control")*(Raw_Data_Daily!$A$2:$A$9999=$A28)*(Raw_Data_Daily!$C$2:$C$9999=$C$3)*Raw_Data_Daily!$D$2:$D$9999*Raw_Data_Daily!$T$2:$T$9999)/SUMIFS(Raw_Data_Daily!$D:$D, Raw_Data_Daily!$B:$B, "Control", Raw_Data_Daily!$A:$A, $A28, Raw_Data_Daily!$C:$C, $C$3),""))</f>
        <v/>
      </c>
      <c r="AY28" s="121" t="str">
        <f>IF($A28="","",IFERROR(SUMPRODUCT((Raw_Data_Daily!$B$2:$B$9999="Variant")*(Raw_Data_Daily!$A$2:$A$9999=$A28)*(Raw_Data_Daily!$C$2:$C$9999=$C$3)*Raw_Data_Daily!$D$2:$D$9999*Raw_Data_Daily!$T$2:$T$9999)/SUMIFS(Raw_Data_Daily!$D:$D, Raw_Data_Daily!$B:$B, "Variant", Raw_Data_Daily!$A:$A, $A28, Raw_Data_Daily!$C:$C, $C$3),""))</f>
        <v/>
      </c>
      <c r="AZ28" s="96" t="str">
        <f t="shared" si="17"/>
        <v/>
      </c>
      <c r="BA28" s="121" t="str">
        <f>IF($A28="","",IFERROR(SUMPRODUCT((Raw_Data_Daily!$B$2:$B$9999="Control")*(Raw_Data_Daily!$A$2:$A$9999=$A28)*(Raw_Data_Daily!$C$2:$C$9999=$C$3)*Raw_Data_Daily!$D$2:$D$9999*Raw_Data_Daily!$U$2:$U$9999)/SUMIFS(Raw_Data_Daily!$D:$D, Raw_Data_Daily!$B:$B, "Control", Raw_Data_Daily!$A:$A, $A28, Raw_Data_Daily!$C:$C, $C$3),""))</f>
        <v/>
      </c>
      <c r="BB28" s="121" t="str">
        <f>IF($A28="","",IFERROR(SUMPRODUCT((Raw_Data_Daily!$B$2:$B$9999="Variant")*(Raw_Data_Daily!$A$2:$A$9999=$A28)*(Raw_Data_Daily!$C$2:$C$9999=$C$3)*Raw_Data_Daily!$D$2:$D$9999*Raw_Data_Daily!$U$2:$U$9999)/SUMIFS(Raw_Data_Daily!$D:$D, Raw_Data_Daily!$B:$B, "Variant", Raw_Data_Daily!$A:$A, $A28, Raw_Data_Daily!$C:$C, $C$3),""))</f>
        <v/>
      </c>
      <c r="BC28" s="93" t="str">
        <f t="shared" si="18"/>
        <v/>
      </c>
      <c r="BD28" s="121" t="str">
        <f>IF($A28="","",IFERROR(SUMPRODUCT((Raw_Data_Daily!$B$2:$B$9999="Control")*(Raw_Data_Daily!$A$2:$A$9999=$A28)*(Raw_Data_Daily!$C$2:$C$9999=$C$3)*Raw_Data_Daily!$D$2:$D$9999*Raw_Data_Daily!$V$2:$V$9999)/SUMIFS(Raw_Data_Daily!$D:$D, Raw_Data_Daily!$B:$B, "Control", Raw_Data_Daily!$A:$A, $A28, Raw_Data_Daily!$C:$C, $C$3),""))</f>
        <v/>
      </c>
      <c r="BE28" s="121" t="str">
        <f>IF($A28="","",IFERROR(SUMPRODUCT((Raw_Data_Daily!$B$2:$B$9999="Variant")*(Raw_Data_Daily!$A$2:$A$9999=$A28)*(Raw_Data_Daily!$C$2:$C$9999=$C$3)*Raw_Data_Daily!$D$2:$D$9999*Raw_Data_Daily!$V$2:$V$9999)/SUMIFS(Raw_Data_Daily!$D:$D, Raw_Data_Daily!$B:$B, "Variant", Raw_Data_Daily!$A:$A, $A28, Raw_Data_Daily!$C:$C, $C$3),""))</f>
        <v/>
      </c>
      <c r="BF28" s="93" t="str">
        <f t="shared" si="19"/>
        <v/>
      </c>
      <c r="BG28" s="121" t="str">
        <f>IF($A28="","",IFERROR(SUMPRODUCT((Raw_Data_Daily!$B$2:$B$9999="Control")*(Raw_Data_Daily!$A$2:$A$9999=$A28)*(Raw_Data_Daily!$C$2:$C$9999=$C$3)*Raw_Data_Daily!$D$2:$D$9999*(Raw_Data_Daily!$Q$2:$Q$9999-Raw_Data_Daily!$V$2:$V$9999))/SUMIFS(Raw_Data_Daily!$D:$D, Raw_Data_Daily!$B:$B, "Control", Raw_Data_Daily!$A:$A, $A28, Raw_Data_Daily!$C:$C, $C$3),""))</f>
        <v/>
      </c>
      <c r="BH28" s="121" t="str">
        <f>IF($A28="","",IFERROR(SUMPRODUCT((Raw_Data_Daily!$B$2:$B$9999="Variant")*(Raw_Data_Daily!$A$2:$A$9999=$A28)*(Raw_Data_Daily!$C$2:$C$9999=$C$3)*Raw_Data_Daily!$D$2:$D$9999*(Raw_Data_Daily!$Q$2:$Q$9999-Raw_Data_Daily!$V$2:$V$9999))/SUMIFS(Raw_Data_Daily!$D:$D, Raw_Data_Daily!$B:$B, "Variant", Raw_Data_Daily!$A:$A, $A28, Raw_Data_Daily!$C:$C, $C$3),""))</f>
        <v/>
      </c>
      <c r="BI28" s="93" t="str">
        <f t="shared" si="20"/>
        <v/>
      </c>
      <c r="BJ28" s="121" t="str">
        <f>IF($A28="","",IFERROR(SUMPRODUCT((Raw_Data_Daily!$B$2:$B$9999="Control")*(Raw_Data_Daily!$A$2:$A$9999=$A28)*(Raw_Data_Daily!$C$2:$C$9999=$C$3)*Raw_Data_Daily!$D$2:$D$9999*Raw_Data_Daily!$W$2:$W$9999)/SUMIFS(Raw_Data_Daily!$D:$D, Raw_Data_Daily!$B:$B, "Control", Raw_Data_Daily!$A:$A, $A28, Raw_Data_Daily!$C:$C, $C$3),""))</f>
        <v/>
      </c>
      <c r="BK28" s="121" t="str">
        <f>IF($A28="","",IFERROR(SUMPRODUCT((Raw_Data_Daily!$B$2:$B$9999="Variant")*(Raw_Data_Daily!$A$2:$A$9999=$A28)*(Raw_Data_Daily!$C$2:$C$9999=$C$3)*Raw_Data_Daily!$D$2:$D$9999*Raw_Data_Daily!$W$2:$W$9999)/SUMIFS(Raw_Data_Daily!$D:$D, Raw_Data_Daily!$B:$B, "Variant", Raw_Data_Daily!$A:$A, $A28, Raw_Data_Daily!$C:$C, $C$3),""))</f>
        <v/>
      </c>
      <c r="BL28" s="93" t="str">
        <f t="shared" si="21"/>
        <v/>
      </c>
      <c r="BM28" s="139" t="str">
        <f>IF($A28="","",IFERROR(SUMPRODUCT((Raw_Data_Daily!$B$2:$B$9999="Control")*(Raw_Data_Daily!$A$2:$A$9999=$A28)*(Raw_Data_Daily!$C$2:$C$9999=$C$3)*Raw_Data_Daily!$D$2:$D$9999*Raw_Data_Daily!$X$2:$X$9999)/SUMIFS(Raw_Data_Daily!$D:$D, Raw_Data_Daily!$B:$B, "Control", Raw_Data_Daily!$A:$A, $A28, Raw_Data_Daily!$C:$C, $C$3),""))</f>
        <v/>
      </c>
      <c r="BN28" s="139" t="str">
        <f>IF($A28="","",IFERROR(SUMPRODUCT((Raw_Data_Daily!$B$2:$B$9999="Variant")*(Raw_Data_Daily!$A$2:$A$9999=$A28)*(Raw_Data_Daily!$C$2:$C$9999=$C$3)*Raw_Data_Daily!$D$2:$D$9999*Raw_Data_Daily!$X$2:$X$9999)/SUMIFS(Raw_Data_Daily!$D:$D, Raw_Data_Daily!$B:$B, "Variant", Raw_Data_Daily!$A:$A, $A28, Raw_Data_Daily!$C:$C, $C$3),""))</f>
        <v/>
      </c>
      <c r="BO28" s="96" t="str">
        <f t="shared" si="22"/>
        <v/>
      </c>
      <c r="BP28" s="92" t="str">
        <f>IF($A28="","",IFERROR(SUMPRODUCT((Raw_Data_Daily!$B$2:$B$9999="Control")*(Raw_Data_Daily!$A$2:$A$9999=$A28)*(Raw_Data_Daily!$C$2:$C$9999=$C$3)*Raw_Data_Daily!$D$2:$D$9999*Raw_Data_Daily!$Y$2:$Y$9999)/SUMIFS(Raw_Data_Daily!$D:$D, Raw_Data_Daily!$B:$B, "Control", Raw_Data_Daily!$A:$A, $A28, Raw_Data_Daily!$C:$C, $C$3),""))</f>
        <v/>
      </c>
      <c r="BQ28" s="92" t="str">
        <f>IF($A28="","",IFERROR(SUMPRODUCT((Raw_Data_Daily!$B$2:$B$9999="Variant")*(Raw_Data_Daily!$A$2:$A$9999=$A28)*(Raw_Data_Daily!$C$2:$C$9999=$C$3)*Raw_Data_Daily!$D$2:$D$9999*Raw_Data_Daily!$Y$2:$Y$9999)/SUMIFS(Raw_Data_Daily!$D:$D, Raw_Data_Daily!$B:$B, "Variant", Raw_Data_Daily!$A:$A, $A28, Raw_Data_Daily!$C:$C, $C$3),""))</f>
        <v/>
      </c>
      <c r="BR28" s="93" t="str">
        <f t="shared" si="23"/>
        <v/>
      </c>
      <c r="BS28" s="92" t="str">
        <f>IF($A28="","",IFERROR(SUMPRODUCT((Raw_Data_Daily!$B$2:$B$9999="Control")*(Raw_Data_Daily!$A$2:$A$9999=$A28)*(Raw_Data_Daily!$C$2:$C$9999=$C$3)*Raw_Data_Daily!$D$2:$D$9999*Raw_Data_Daily!$Z$2:$Z$9999)/SUMIFS(Raw_Data_Daily!$D:$D, Raw_Data_Daily!$B:$B, "Control", Raw_Data_Daily!$A:$A, $A28, Raw_Data_Daily!$C:$C, $C$3),""))</f>
        <v/>
      </c>
      <c r="BT28" s="92" t="str">
        <f>IF($A28="","",IFERROR(SUMPRODUCT((Raw_Data_Daily!$B$2:$B$9999="Variant")*(Raw_Data_Daily!$A$2:$A$9999=$A28)*(Raw_Data_Daily!$C$2:$C$9999=$C$3)*Raw_Data_Daily!$D$2:$D$9999*Raw_Data_Daily!$Z$2:$Z$9999)/SUMIFS(Raw_Data_Daily!$D:$D, Raw_Data_Daily!$B:$B, "Variant", Raw_Data_Daily!$A:$A, $A28, Raw_Data_Daily!$C:$C, $C$3),""))</f>
        <v/>
      </c>
      <c r="BU28" s="93" t="str">
        <f t="shared" si="24"/>
        <v/>
      </c>
      <c r="BV28" s="92" t="str">
        <f>IF($A28="","",IFERROR(SUMPRODUCT((Raw_Data_Daily!$B$2:$B$9999="Control")*(Raw_Data_Daily!$A$2:$A$9999=$A28)*(Raw_Data_Daily!$C$2:$C$9999=$C$3)*Raw_Data_Daily!$D$2:$D$9999*Raw_Data_Daily!$AA$2:$AA$9999)/SUMIFS(Raw_Data_Daily!$D:$D, Raw_Data_Daily!$B:$B, "Control", Raw_Data_Daily!$A:$A, $A28, Raw_Data_Daily!$C:$C, $C$3),""))</f>
        <v/>
      </c>
      <c r="BW28" s="92" t="str">
        <f>IF($A28="","",IFERROR(SUMPRODUCT((Raw_Data_Daily!$B$2:$B$9999="Variant")*(Raw_Data_Daily!$A$2:$A$9999=$A28)*(Raw_Data_Daily!$C$2:$C$9999=$C$3)*Raw_Data_Daily!$D$2:$D$9999*Raw_Data_Daily!$AA$2:$AA$9999)/SUMIFS(Raw_Data_Daily!$D:$D, Raw_Data_Daily!$B:$B, "Variant", Raw_Data_Daily!$A:$A, $A28, Raw_Data_Daily!$C:$C, $C$3),""))</f>
        <v/>
      </c>
      <c r="BX28" s="93" t="str">
        <f t="shared" si="25"/>
        <v/>
      </c>
      <c r="BY28" s="121" t="str">
        <f>IF($A28="","",IFERROR(SUMPRODUCT((Raw_Data_Daily!$B$2:$B$9999="Control")*(Raw_Data_Daily!$A$2:$A$9999=$A28)*(Raw_Data_Daily!$C$2:$C$9999=$C$3)*Raw_Data_Daily!$D$2:$D$9999*Raw_Data_Daily!$AB$2:$AB$9999)/SUMIFS(Raw_Data_Daily!$D:$D, Raw_Data_Daily!$B:$B, "Control", Raw_Data_Daily!$A:$A, $A28, Raw_Data_Daily!$C:$C, $C$3),""))</f>
        <v/>
      </c>
      <c r="BZ28" s="121" t="str">
        <f>IF($A28="","",IFERROR(SUMPRODUCT((Raw_Data_Daily!$B$2:$B$9999="Variant")*(Raw_Data_Daily!$A$2:$A$9999=$A28)*(Raw_Data_Daily!$C$2:$C$9999=$C$3)*Raw_Data_Daily!$D$2:$D$9999*Raw_Data_Daily!$AB$2:$AB$9999)/SUMIFS(Raw_Data_Daily!$D:$D, Raw_Data_Daily!$B:$B, "Variant", Raw_Data_Daily!$A:$A, $A28, Raw_Data_Daily!$C:$C, $C$3),""))</f>
        <v/>
      </c>
      <c r="CA28" s="96" t="str">
        <f t="shared" si="26"/>
        <v/>
      </c>
      <c r="CB28" s="121" t="str">
        <f>IF($A28="","",IFERROR(SUMPRODUCT((Raw_Data_Daily!$B$2:$B$9999="Control")*(Raw_Data_Daily!$A$2:$A$9999=$A28)*(Raw_Data_Daily!$C$2:$C$9999=$C$3)*Raw_Data_Daily!$D$2:$D$9999*Raw_Data_Daily!$AC$2:$AC$9999)/SUMIFS(Raw_Data_Daily!$D:$D, Raw_Data_Daily!$B:$B, "Control", Raw_Data_Daily!$A:$A, $A28, Raw_Data_Daily!$C:$C, $C$3),""))</f>
        <v/>
      </c>
      <c r="CC28" s="121" t="str">
        <f>IF($A28="","",IFERROR(SUMPRODUCT((Raw_Data_Daily!$B$2:$B$9999="Variant")*(Raw_Data_Daily!$A$2:$A$9999=$A28)*(Raw_Data_Daily!$C$2:$C$9999=$C$3)*Raw_Data_Daily!$D$2:$D$9999*Raw_Data_Daily!$AC$2:$AC$9999)/SUMIFS(Raw_Data_Daily!$D:$D, Raw_Data_Daily!$B:$B, "Variant", Raw_Data_Daily!$A:$A, $A28, Raw_Data_Daily!$C:$C, $C$3),""))</f>
        <v/>
      </c>
      <c r="CD28" s="96" t="str">
        <f t="shared" si="27"/>
        <v/>
      </c>
      <c r="CE28" s="121" t="str">
        <f>IF($A28="","",IFERROR(SUMPRODUCT((Raw_Data_Daily!$B$2:$B$9999="Control")*(Raw_Data_Daily!$A$2:$A$9999=$A28)*(Raw_Data_Daily!$C$2:$C$9999=$C$3)*Raw_Data_Daily!$D$2:$D$9999*Raw_Data_Daily!$AD$2:$AD$9999)/SUMIFS(Raw_Data_Daily!$D:$D, Raw_Data_Daily!$B:$B, "Control", Raw_Data_Daily!$A:$A, $A28, Raw_Data_Daily!$C:$C, $C$3),""))</f>
        <v/>
      </c>
      <c r="CF28" s="121" t="str">
        <f>IF($A28="","",IFERROR(SUMPRODUCT((Raw_Data_Daily!$B$2:$B$9999="Variant")*(Raw_Data_Daily!$A$2:$A$9999=$A28)*(Raw_Data_Daily!$C$2:$C$9999=$C$3)*Raw_Data_Daily!$D$2:$D$9999*Raw_Data_Daily!$AD$2:$AD$9999)/SUMIFS(Raw_Data_Daily!$D:$D, Raw_Data_Daily!$B:$B, "Variant", Raw_Data_Daily!$A:$A, $A28, Raw_Data_Daily!$C:$C, $C$3),""))</f>
        <v/>
      </c>
      <c r="CG28" s="96" t="str">
        <f t="shared" si="28"/>
        <v/>
      </c>
      <c r="CH28" s="121" t="str">
        <f>IF($A28="","",IFERROR(SUMPRODUCT((Raw_Data_Daily!$B$2:$B$9999="Control")*(Raw_Data_Daily!$A$2:$A$9999=$A28)*(Raw_Data_Daily!$C$2:$C$9999=$C$3)*Raw_Data_Daily!$D$2:$D$9999*Raw_Data_Daily!$AE$2:$AE$9999)/SUMIFS(Raw_Data_Daily!$D:$D, Raw_Data_Daily!$B:$B, "Control", Raw_Data_Daily!$A:$A, $A28, Raw_Data_Daily!$C:$C, $C$3),""))</f>
        <v/>
      </c>
      <c r="CI28" s="121" t="str">
        <f>IF($A28="","",IFERROR(SUMPRODUCT((Raw_Data_Daily!$B$2:$B$9999="Variant")*(Raw_Data_Daily!$A$2:$A$9999=$A28)*(Raw_Data_Daily!$C$2:$C$9999=$C$3)*Raw_Data_Daily!$D$2:$D$9999*Raw_Data_Daily!$AE$2:$AE$9999)/SUMIFS(Raw_Data_Daily!$D:$D, Raw_Data_Daily!$B:$B, "Variant", Raw_Data_Daily!$A:$A, $A28, Raw_Data_Daily!$C:$C, $C$3),""))</f>
        <v/>
      </c>
      <c r="CJ28" s="96" t="str">
        <f t="shared" si="29"/>
        <v/>
      </c>
      <c r="CK28" s="121" t="str">
        <f>IF($A28="","",IFERROR(SUMPRODUCT((Raw_Data_Daily!$B$2:$B$9999="Control")*(Raw_Data_Daily!$A$2:$A$9999=$A28)*(Raw_Data_Daily!$C$2:$C$9999=$C$3)*Raw_Data_Daily!$D$2:$D$9999*Raw_Data_Daily!$AF$2:$AF$9999)/SUMIFS(Raw_Data_Daily!$D:$D, Raw_Data_Daily!$B:$B, "Control", Raw_Data_Daily!$A:$A, $A28, Raw_Data_Daily!$C:$C, $C$3),""))</f>
        <v/>
      </c>
      <c r="CL28" s="121" t="str">
        <f>IF($A28="","",IFERROR(SUMPRODUCT((Raw_Data_Daily!$B$2:$B$9999="Variant")*(Raw_Data_Daily!$A$2:$A$9999=$A28)*(Raw_Data_Daily!$C$2:$C$9999=$C$3)*Raw_Data_Daily!$D$2:$D$9999*Raw_Data_Daily!$AF$2:$AF$9999)/SUMIFS(Raw_Data_Daily!$D:$D, Raw_Data_Daily!$B:$B, "Variant", Raw_Data_Daily!$A:$A, $A28, Raw_Data_Daily!$C:$C, $C$3),""))</f>
        <v/>
      </c>
      <c r="CM28" s="96" t="str">
        <f t="shared" si="30"/>
        <v/>
      </c>
      <c r="CN28" s="121" t="str">
        <f>IF($A28="","",IFERROR(SUMPRODUCT((Raw_Data_Daily!$B$2:$B$9999="Control")*(Raw_Data_Daily!$A$2:$A$9999=$A28)*(Raw_Data_Daily!$C$2:$C$9999=$C$3)*Raw_Data_Daily!$D$2:$D$9999*Raw_Data_Daily!$AG$2:$AG$9999)/SUMIFS(Raw_Data_Daily!$D:$D, Raw_Data_Daily!$B:$B, "Control", Raw_Data_Daily!$A:$A, $A28, Raw_Data_Daily!$C:$C, $C$3),""))</f>
        <v/>
      </c>
      <c r="CO28" s="121" t="str">
        <f>IF($A28="","",IFERROR(SUMPRODUCT((Raw_Data_Daily!$B$2:$B$9999="Variant")*(Raw_Data_Daily!$A$2:$A$9999=$A28)*(Raw_Data_Daily!$C$2:$C$9999=$C$3)*Raw_Data_Daily!$D$2:$D$9999*Raw_Data_Daily!$AG$2:$AG$9999)/SUMIFS(Raw_Data_Daily!$D:$D, Raw_Data_Daily!$B:$B, "Variant", Raw_Data_Daily!$A:$A, $A28, Raw_Data_Daily!$C:$C, $C$3),""))</f>
        <v/>
      </c>
      <c r="CP28" s="96" t="str">
        <f t="shared" si="31"/>
        <v/>
      </c>
      <c r="CQ28" s="121" t="str">
        <f>IF($A28="","",IFERROR(SUMPRODUCT((Raw_Data_Daily!$B$2:$B$9999="Control")*(Raw_Data_Daily!$A$2:$A$9999=$A28)*(Raw_Data_Daily!$C$2:$C$9999=$C$3)*Raw_Data_Daily!$D$2:$D$9999*Raw_Data_Daily!$AH$2:$AH$9999)/SUMIFS(Raw_Data_Daily!$D:$D, Raw_Data_Daily!$B:$B, "Control", Raw_Data_Daily!$A:$A, $A28, Raw_Data_Daily!$C:$C, $C$3),""))</f>
        <v/>
      </c>
      <c r="CR28" s="121" t="str">
        <f>IF($A28="","",IFERROR(SUMPRODUCT((Raw_Data_Daily!$B$2:$B$9999="Variant")*(Raw_Data_Daily!$A$2:$A$9999=$A28)*(Raw_Data_Daily!$C$2:$C$9999=$C$3)*Raw_Data_Daily!$D$2:$D$9999*Raw_Data_Daily!$AH$2:$AH$9999)/SUMIFS(Raw_Data_Daily!$D:$D, Raw_Data_Daily!$B:$B, "Variant", Raw_Data_Daily!$A:$A, $A28, Raw_Data_Daily!$C:$C, $C$3),""))</f>
        <v/>
      </c>
      <c r="CS28" s="96" t="str">
        <f t="shared" si="32"/>
        <v/>
      </c>
      <c r="CT28" s="94" t="str">
        <f>IF($A28="","",IFERROR(SUMPRODUCT((Raw_Data_Daily!$B$2:$B$9999="Control")*(Raw_Data_Daily!$A$2:$A$9999=$A28)*(Raw_Data_Daily!$C$2:$C$9999=$C$3)*Raw_Data_Daily!$D$2:$D$9999*Raw_Data_Daily!$AI$2:$AI$9999)/SUMIFS(Raw_Data_Daily!$D:$D, Raw_Data_Daily!$B:$B, "Control", Raw_Data_Daily!$A:$A, $A28, Raw_Data_Daily!$C:$C, $C$3),""))</f>
        <v/>
      </c>
      <c r="CU28" s="94" t="str">
        <f>IF($A28="","",IFERROR(SUMPRODUCT((Raw_Data_Daily!$B$2:$B$9999="Variant")*(Raw_Data_Daily!$A$2:$A$9999=$A28)*(Raw_Data_Daily!$C$2:$C$9999=$C$3)*Raw_Data_Daily!$D$2:$D$9999*Raw_Data_Daily!$AI$2:$AI$9999)/SUMIFS(Raw_Data_Daily!$D:$D, Raw_Data_Daily!$B:$B, "Variant", Raw_Data_Daily!$A:$A, $A28, Raw_Data_Daily!$C:$C, $C$3),""))</f>
        <v/>
      </c>
      <c r="CV28" s="142" t="str">
        <f t="shared" si="33"/>
        <v/>
      </c>
      <c r="CW28" s="94" t="str">
        <f>IF($A28="","",IFERROR(SUMPRODUCT((Raw_Data_Daily!$B$2:$B$9999="Control")*(Raw_Data_Daily!$A$2:$A$9999=$A28)*(Raw_Data_Daily!$C$2:$C$9999=$C$3)*Raw_Data_Daily!$D$2:$D$9999*Raw_Data_Daily!$AJ$2:$AJ$9999)/SUMIFS(Raw_Data_Daily!$D:$D, Raw_Data_Daily!$B:$B, "Control", Raw_Data_Daily!$A:$A, $A28, Raw_Data_Daily!$C:$C, $C$3),""))</f>
        <v/>
      </c>
      <c r="CX28" s="94" t="str">
        <f>IF($A28="","",IFERROR(SUMPRODUCT((Raw_Data_Daily!$B$2:$B$9999="Variant")*(Raw_Data_Daily!$A$2:$A$9999=$A28)*(Raw_Data_Daily!$C$2:$C$9999=$C$3)*Raw_Data_Daily!$D$2:$D$9999*Raw_Data_Daily!$AJ$2:$AJ$9999)/SUMIFS(Raw_Data_Daily!$D:$D, Raw_Data_Daily!$B:$B, "Variant", Raw_Data_Daily!$A:$A, $A28, Raw_Data_Daily!$C:$C, $C$3),""))</f>
        <v/>
      </c>
      <c r="CY28" s="142" t="str">
        <f t="shared" si="34"/>
        <v/>
      </c>
      <c r="CZ28" s="94" t="str">
        <f>IF($A28="","",IFERROR(SUMPRODUCT((Raw_Data_Daily!$B$2:$B$9999="Control")*(Raw_Data_Daily!$A$2:$A$9999=$A28)*(Raw_Data_Daily!$C$2:$C$9999=$C$3)*Raw_Data_Daily!$D$2:$D$9999*Raw_Data_Daily!$AK$2:$AK$9999)/SUMIFS(Raw_Data_Daily!$D:$D, Raw_Data_Daily!$B:$B, "Control", Raw_Data_Daily!$A:$A, $A28, Raw_Data_Daily!$C:$C, $C$3),""))</f>
        <v/>
      </c>
      <c r="DA28" s="94" t="str">
        <f>IF($A28="","",IFERROR(SUMPRODUCT((Raw_Data_Daily!$B$2:$B$9999="Variant")*(Raw_Data_Daily!$A$2:$A$9999=$A28)*(Raw_Data_Daily!$C$2:$C$9999=$C$3)*Raw_Data_Daily!$D$2:$D$9999*Raw_Data_Daily!$AK$2:$AK$9999)/SUMIFS(Raw_Data_Daily!$D:$D, Raw_Data_Daily!$B:$B, "Variant", Raw_Data_Daily!$A:$A, $A28, Raw_Data_Daily!$C:$C, $C$3),""))</f>
        <v/>
      </c>
      <c r="DB28" s="96" t="str">
        <f t="shared" si="35"/>
        <v/>
      </c>
      <c r="DC28" s="139" t="str">
        <f>IF($A28="","",IFERROR(SUMPRODUCT((Raw_Data_Daily!$B$2:$B$9999="Control")*(Raw_Data_Daily!$A$2:$A$9999=$A28)*(Raw_Data_Daily!$C$2:$C$9999=$C$3)*Raw_Data_Daily!$D$2:$D$9999*Raw_Data_Daily!$AL$2:$AL$9999)/SUMIFS(Raw_Data_Daily!$D:$D, Raw_Data_Daily!$B:$B, "Control", Raw_Data_Daily!$A:$A, $A28, Raw_Data_Daily!$C:$C, $C$3),""))</f>
        <v/>
      </c>
      <c r="DD28" s="139" t="str">
        <f>IF($A28="","",IFERROR(SUMPRODUCT((Raw_Data_Daily!$B$2:$B$9999="Variant")*(Raw_Data_Daily!$A$2:$A$9999=$A28)*(Raw_Data_Daily!$C$2:$C$9999=$C$3)*Raw_Data_Daily!$D$2:$D$9999*Raw_Data_Daily!$AL$2:$AL$9999)/SUMIFS(Raw_Data_Daily!$D:$D, Raw_Data_Daily!$B:$B, "Variant", Raw_Data_Daily!$A:$A, $A28, Raw_Data_Daily!$C:$C, $C$3),""))</f>
        <v/>
      </c>
      <c r="DE28" s="142" t="str">
        <f t="shared" si="36"/>
        <v/>
      </c>
      <c r="DF28" s="168"/>
      <c r="DG28" s="94" t="str">
        <f>IF($A28="","",IFERROR(SUMPRODUCT((Raw_Data_Daily!$B$2:$B$9999="Variant")*(Raw_Data_Daily!$A$2:$A$9999=$A28)*(Raw_Data_Daily!$C$2:$C$9999=$C$3)*Raw_Data_Daily!$D$2:$D$9999*Raw_Data_Daily!$AM$2:$AM$9999)/SUMIFS(Raw_Data_Daily!$D:$D, Raw_Data_Daily!$B:$B, "Variant", Raw_Data_Daily!$A:$A, $A28, Raw_Data_Daily!$C:$C, $C$3),""))</f>
        <v/>
      </c>
      <c r="DH28" s="169"/>
      <c r="DI28" s="168"/>
      <c r="DJ28" s="94" t="str">
        <f>IF($A28="","",IFERROR(SUMPRODUCT((Raw_Data_Daily!$B$2:$B$9999="Variant")*(Raw_Data_Daily!$A$2:$A$9999=$A28)*(Raw_Data_Daily!$C$2:$C$9999=$C$3)*Raw_Data_Daily!$D$2:$D$9999*Raw_Data_Daily!$AN$2:$AN$9999)/SUMIFS(Raw_Data_Daily!$D:$D, Raw_Data_Daily!$B:$B, "Variant", Raw_Data_Daily!$A:$A, $A28, Raw_Data_Daily!$C:$C, $C$3),""))</f>
        <v/>
      </c>
      <c r="DK28" s="169"/>
      <c r="DL28" s="168"/>
      <c r="DM28" s="94" t="str">
        <f>IF($A28="","",IFERROR(SUMPRODUCT((Raw_Data_Daily!$B$2:$B$9999="Variant")*(Raw_Data_Daily!$A$2:$A$9999=$A28)*(Raw_Data_Daily!$C$2:$C$9999=$C$3)*Raw_Data_Daily!$D$2:$D$9999*Raw_Data_Daily!$AO$2:$AO$9999)/SUMIFS(Raw_Data_Daily!$D:$D, Raw_Data_Daily!$B:$B, "Variant", Raw_Data_Daily!$A:$A, $A28, Raw_Data_Daily!$C:$C, $C$3),""))</f>
        <v/>
      </c>
      <c r="DN28" s="169"/>
      <c r="DO28" s="168"/>
      <c r="DP28" s="94" t="str">
        <f>IF($A28="","",IFERROR(SUMPRODUCT((Raw_Data_Daily!$B$2:$B$9999="Variant")*(Raw_Data_Daily!$A$2:$A$9999=$A28)*(Raw_Data_Daily!$C$2:$C$9999=$C$3)*Raw_Data_Daily!$D$2:$D$9999*Raw_Data_Daily!$AP$2:$AP$9999)/SUMIFS(Raw_Data_Daily!$D:$D, Raw_Data_Daily!$B:$B, "Variant", Raw_Data_Daily!$A:$A, $A28, Raw_Data_Daily!$C:$C, $C$3),""))</f>
        <v/>
      </c>
      <c r="DQ28" s="169"/>
      <c r="DR28" s="139" t="str">
        <f>IF($A28="","",IFERROR(SUMPRODUCT((Raw_Data_Daily!$B$2:$B$9999="Control")*(Raw_Data_Daily!$A$2:$A$9999=$A28)*(Raw_Data_Daily!$C$2:$C$9999=$C$3)*Raw_Data_Daily!$D$2:$D$9999*Raw_Data_Daily!$AQ$2:$AQ$9999)/SUMIFS(Raw_Data_Daily!$D:$D, Raw_Data_Daily!$B:$B, "Control", Raw_Data_Daily!$A:$A, $A28, Raw_Data_Daily!$C:$C, $C$3),""))</f>
        <v/>
      </c>
      <c r="DS28" s="139" t="str">
        <f>IF($A28="","",IFERROR(SUMPRODUCT((Raw_Data_Daily!$B$2:$B$9999="Variant")*(Raw_Data_Daily!$A$2:$A$9999=$A28)*(Raw_Data_Daily!$C$2:$C$9999=$C$3)*Raw_Data_Daily!$D$2:$D$9999*Raw_Data_Daily!$AQ$2:$AQ$9999)/SUMIFS(Raw_Data_Daily!$D:$D, Raw_Data_Daily!$B:$B, "Variant", Raw_Data_Daily!$A:$A, $A28, Raw_Data_Daily!$C:$C, $C$3),""))</f>
        <v/>
      </c>
      <c r="DT28" s="173" t="str">
        <f t="shared" si="37"/>
        <v/>
      </c>
      <c r="DU28" s="139" t="str">
        <f>IF($A28="","",IFERROR(SUMPRODUCT((Raw_Data_Daily!$B$2:$B$9999="Control")*(Raw_Data_Daily!$A$2:$A$9999=$A28)*(Raw_Data_Daily!$C$2:$C$9999=$C$3)*Raw_Data_Daily!$D$2:$D$9999*Raw_Data_Daily!$AR$2:$AR$9999)/SUMIFS(Raw_Data_Daily!$D:$D, Raw_Data_Daily!$B:$B, "Control", Raw_Data_Daily!$A:$A, $A28, Raw_Data_Daily!$C:$C, $C$3),""))</f>
        <v/>
      </c>
      <c r="DV28" s="139" t="str">
        <f>IF($A28="","",IFERROR(SUMPRODUCT((Raw_Data_Daily!$B$2:$B$9999="Variant")*(Raw_Data_Daily!$A$2:$A$9999=$A28)*(Raw_Data_Daily!$C$2:$C$9999=$C$3)*Raw_Data_Daily!$D$2:$D$9999*Raw_Data_Daily!$AR$2:$AR$9999)/SUMIFS(Raw_Data_Daily!$D:$D, Raw_Data_Daily!$B:$B, "Variant", Raw_Data_Daily!$A:$A, $A28, Raw_Data_Daily!$C:$C, $C$3),""))</f>
        <v/>
      </c>
      <c r="DW28" s="173" t="str">
        <f t="shared" si="38"/>
        <v/>
      </c>
      <c r="DX28" s="139" t="str">
        <f>IF($A28="","",IFERROR(SUMPRODUCT((Raw_Data_Daily!$B$2:$B$9999="Control")*(Raw_Data_Daily!$A$2:$A$9999=$A28)*(Raw_Data_Daily!$C$2:$C$9999=$C$3)*Raw_Data_Daily!$D$2:$D$9999*Raw_Data_Daily!$AS$2:$AS$9999)/SUMIFS(Raw_Data_Daily!$D:$D, Raw_Data_Daily!$B:$B, "Control", Raw_Data_Daily!$A:$A, $A28, Raw_Data_Daily!$C:$C, $C$3),""))</f>
        <v/>
      </c>
      <c r="DY28" s="139" t="str">
        <f>IF($A28="","",IFERROR(SUMPRODUCT((Raw_Data_Daily!$B$2:$B$9999="Variant")*(Raw_Data_Daily!$A$2:$A$9999=$A28)*(Raw_Data_Daily!$C$2:$C$9999=$C$3)*Raw_Data_Daily!$D$2:$D$9999*Raw_Data_Daily!$AS$2:$AS$9999)/SUMIFS(Raw_Data_Daily!$D:$D, Raw_Data_Daily!$B:$B, "Variant", Raw_Data_Daily!$A:$A, $A28, Raw_Data_Daily!$C:$C, $C$3),""))</f>
        <v/>
      </c>
      <c r="DZ28" s="174" t="str">
        <f t="shared" si="39"/>
        <v/>
      </c>
      <c r="EA28" s="139" t="str">
        <f>IF($A28="","",IFERROR(SUMPRODUCT((Raw_Data_Daily!$B$2:$B$9999="Control")*(Raw_Data_Daily!$A$2:$A$9999=$A28)*(Raw_Data_Daily!$C$2:$C$9999=$C$3)*Raw_Data_Daily!$D$2:$D$9999*Raw_Data_Daily!$AT$2:$AT$9999)/SUMIFS(Raw_Data_Daily!$D:$D, Raw_Data_Daily!$B:$B, "Control", Raw_Data_Daily!$A:$A, $A28, Raw_Data_Daily!$C:$C, $C$3),""))</f>
        <v/>
      </c>
      <c r="EB28" s="139" t="str">
        <f>IF($A28="","",IFERROR(SUMPRODUCT((Raw_Data_Daily!$B$2:$B$9999="Variant")*(Raw_Data_Daily!$A$2:$A$9999=$A28)*(Raw_Data_Daily!$C$2:$C$9999=$C$3)*Raw_Data_Daily!$D$2:$D$9999*Raw_Data_Daily!$AT$2:$AT$9999)/SUMIFS(Raw_Data_Daily!$D:$D, Raw_Data_Daily!$B:$B, "Variant", Raw_Data_Daily!$A:$A, $A28, Raw_Data_Daily!$C:$C, $C$3),""))</f>
        <v/>
      </c>
      <c r="EC28" s="173" t="str">
        <f t="shared" si="40"/>
        <v/>
      </c>
      <c r="ED28" s="139" t="str">
        <f>IF($A28="","",IFERROR(SUMPRODUCT((Raw_Data_Daily!$B$2:$B$9999="Control")*(Raw_Data_Daily!$A$2:$A$9999=$A28)*(Raw_Data_Daily!$C$2:$C$9999=$C$3)*Raw_Data_Daily!$D$2:$D$9999*(Raw_Data_Daily!$AQ$2:$AQ$9999-Raw_Data_Daily!$AT$2:$AT$9999))/SUMIFS(Raw_Data_Daily!$D:$D, Raw_Data_Daily!$B:$B, "Control", Raw_Data_Daily!$A:$A, $A28, Raw_Data_Daily!$C:$C, $C$3),""))</f>
        <v/>
      </c>
      <c r="EE28" s="139" t="str">
        <f>IF($A28="","",IFERROR(SUMPRODUCT((Raw_Data_Daily!$B$2:$B$9999="Variant")*(Raw_Data_Daily!$A$2:$A$9999=$A28)*(Raw_Data_Daily!$C$2:$C$9999=$C$3)*Raw_Data_Daily!$D$2:$D$9999*(Raw_Data_Daily!$AQ$2:$AQ$9999-Raw_Data_Daily!$AT$2:$AT$9999))/SUMIFS(Raw_Data_Daily!$D:$D, Raw_Data_Daily!$B:$B, "Variant", Raw_Data_Daily!$A:$A, $A28, Raw_Data_Daily!$C:$C, $C$3),""))</f>
        <v/>
      </c>
      <c r="EF28" s="174" t="str">
        <f t="shared" si="41"/>
        <v/>
      </c>
      <c r="EG28" s="139" t="str">
        <f>IF($A28="","",IFERROR(SUMPRODUCT((Raw_Data_Daily!$B$2:$B$9999="Control")*(Raw_Data_Daily!$A$2:$A$9999=$A28)*(Raw_Data_Daily!$C$2:$C$9999=$C$3)*Raw_Data_Daily!$D$2:$D$9999*Raw_Data_Daily!$AU$2:$AU$9999)/SUMIFS(Raw_Data_Daily!$D:$D, Raw_Data_Daily!$B:$B, "Control", Raw_Data_Daily!$A:$A, $A28, Raw_Data_Daily!$C:$C, $C$3),""))</f>
        <v/>
      </c>
      <c r="EH28" s="139" t="str">
        <f>IF($A28="","",IFERROR(SUMPRODUCT((Raw_Data_Daily!$B$2:$B$9999="Variant")*(Raw_Data_Daily!$A$2:$A$9999=$A28)*(Raw_Data_Daily!$C$2:$C$9999=$C$3)*Raw_Data_Daily!$D$2:$D$9999*Raw_Data_Daily!$AU$2:$AU$9999)/SUMIFS(Raw_Data_Daily!$D:$D, Raw_Data_Daily!$B:$B, "Variant", Raw_Data_Daily!$A:$A, $A28, Raw_Data_Daily!$C:$C, $C$3),""))</f>
        <v/>
      </c>
      <c r="EI28" s="173" t="str">
        <f t="shared" si="42"/>
        <v/>
      </c>
    </row>
    <row r="29" ht="15.75" customHeight="1">
      <c r="A29" s="91">
        <v>46252.0</v>
      </c>
      <c r="B29" s="92">
        <f>IF($A29="","",SUMIFS(Raw_Data_Daily!$D:$D, Raw_Data_Daily!$B:$B, "Control", Raw_Data_Daily!$A:$A, $A29, Raw_Data_Daily!$C:$C, $C$3))</f>
        <v>0</v>
      </c>
      <c r="C29" s="92">
        <f>IF($A29="","",SUMIFS(Raw_Data_Daily!$D:$D, Raw_Data_Daily!$B:$B, "Variant", Raw_Data_Daily!$A:$A, $A29, Raw_Data_Daily!$C:$C, $C$3))</f>
        <v>0</v>
      </c>
      <c r="D29" s="93" t="str">
        <f t="shared" si="1"/>
        <v/>
      </c>
      <c r="E29" s="94" t="str">
        <f>IF($A29="","",IFERROR(SUMPRODUCT((Raw_Data_Daily!$B$2:$B$9999="Control")*(Raw_Data_Daily!$A$2:$A$9999=$A29)*(Raw_Data_Daily!$C$2:$C$9999=$C$3)*Raw_Data_Daily!$D$2:$D$9999*Raw_Data_Daily!$E$2:$E$9999)/SUMIFS(Raw_Data_Daily!$D:$D, Raw_Data_Daily!$B:$B, "Control", Raw_Data_Daily!$A:$A, $A29, Raw_Data_Daily!$C:$C, $C$3),""))</f>
        <v/>
      </c>
      <c r="F29" s="94" t="str">
        <f>IF($A29="","",IFERROR(SUMPRODUCT((Raw_Data_Daily!$B$2:$B$9999="Variant")*(Raw_Data_Daily!$A$2:$A$9999=$A29)*(Raw_Data_Daily!$C$2:$C$9999=$C$3)*Raw_Data_Daily!$D$2:$D$9999*Raw_Data_Daily!$E$2:$E$9999)/SUMIFS(Raw_Data_Daily!$D:$D, Raw_Data_Daily!$B:$B, "Variant", Raw_Data_Daily!$A:$A, $A29, Raw_Data_Daily!$C:$C, $C$3),""))</f>
        <v/>
      </c>
      <c r="G29" s="93" t="str">
        <f t="shared" si="2"/>
        <v/>
      </c>
      <c r="H29" s="95">
        <f>IF($A29="","",SUMIFS(Raw_Data_Daily!$F:$F, Raw_Data_Daily!$B:$B, "Control", Raw_Data_Daily!$A:$A, $A29, Raw_Data_Daily!$C:$C, $C$3))</f>
        <v>0</v>
      </c>
      <c r="I29" s="95">
        <f>IF($A29="","",SUMIFS(Raw_Data_Daily!$F:$F, Raw_Data_Daily!$B:$B, "Variant", Raw_Data_Daily!$A:$A, $A29, Raw_Data_Daily!$C:$C, $C$3))</f>
        <v>0</v>
      </c>
      <c r="J29" s="96" t="str">
        <f t="shared" si="3"/>
        <v/>
      </c>
      <c r="K29" s="97" t="str">
        <f>IF($A29="","",IFERROR(SUMIFS(Raw_Data_Daily!$F:$F, Raw_Data_Daily!$B:$B, "Control", Raw_Data_Daily!$A:$A, $A29, Raw_Data_Daily!$C:$C, $C$3)/SUMIFS(Raw_Data_Daily!$D:$D, Raw_Data_Daily!$B:$B, "Control", Raw_Data_Daily!$A:$A, $A29, Raw_Data_Daily!$C:$C, $C$3),""))</f>
        <v/>
      </c>
      <c r="L29" s="97" t="str">
        <f>IF($A29="","",IFERROR(SUMIFS(Raw_Data_Daily!$F:$F, Raw_Data_Daily!$B:$B, "Variant", Raw_Data_Daily!$A:$A, $A29, Raw_Data_Daily!$C:$C, $C$3)/SUMIFS(Raw_Data_Daily!$D:$D, Raw_Data_Daily!$B:$B, "Variant", Raw_Data_Daily!$A:$A, $A29, Raw_Data_Daily!$C:$C, $C$3),""))</f>
        <v/>
      </c>
      <c r="M29" s="96" t="str">
        <f t="shared" si="4"/>
        <v/>
      </c>
      <c r="N29" s="94" t="str">
        <f>IF($A29="","",IFERROR(SUMPRODUCT((Raw_Data_Daily!$B$2:$B$9999="Control")*(Raw_Data_Daily!$A$2:$A$9999=$A29)*(Raw_Data_Daily!$C$2:$C$9999=$C$3)*Raw_Data_Daily!$D$2:$D$9999*Raw_Data_Daily!$H$2:$H$9999/100)/SUMIFS(Raw_Data_Daily!$D:$D, Raw_Data_Daily!$B:$B, "Control", Raw_Data_Daily!$A:$A, $A29, Raw_Data_Daily!$C:$C, $C$3)*100,""))</f>
        <v/>
      </c>
      <c r="O29" s="94" t="str">
        <f>IF($A29="","",IFERROR(SUMPRODUCT((Raw_Data_Daily!$B$2:$B$9999="Variant")*(Raw_Data_Daily!$A$2:$A$9999=$A29)*(Raw_Data_Daily!$C$2:$C$9999=$C$3)*Raw_Data_Daily!$D$2:$D$9999*Raw_Data_Daily!$H$2:$H$9999/100)/SUMIFS(Raw_Data_Daily!$D:$D, Raw_Data_Daily!$B:$B, "Variant", Raw_Data_Daily!$A:$A, $A29, Raw_Data_Daily!$C:$C, $C$3)*100,""))</f>
        <v/>
      </c>
      <c r="P29" s="96" t="str">
        <f t="shared" si="5"/>
        <v/>
      </c>
      <c r="Q29" s="97" t="str">
        <f>IF($A29="","",IFERROR(SUMIFS(Raw_Data_Daily!$F:$F, Raw_Data_Daily!$B:$B, "Control", Raw_Data_Daily!$A:$A, $A29, Raw_Data_Daily!$C:$C, $C$3)/SUMPRODUCT((Raw_Data_Daily!$B$2:$B$9999="Control")*(Raw_Data_Daily!$A$2:$A$9999=$A29)*(Raw_Data_Daily!$C$2:$C$9999=$C$3)*Raw_Data_Daily!$D$2:$D$9999*Raw_Data_Daily!$H$2:$H$9999/100),""))</f>
        <v/>
      </c>
      <c r="R29" s="97" t="str">
        <f>IF($A29="","",IFERROR(SUMIFS(Raw_Data_Daily!$F:$F, Raw_Data_Daily!$B:$B, "Variant", Raw_Data_Daily!$A:$A, $A29, Raw_Data_Daily!$C:$C, $C$3)/SUMPRODUCT((Raw_Data_Daily!$B$2:$B$9999="Variant")*(Raw_Data_Daily!$A$2:$A$9999=$A29)*(Raw_Data_Daily!$C$2:$C$9999=$C$3)*Raw_Data_Daily!$D$2:$D$9999*Raw_Data_Daily!$H$2:$H$9999/100),""))</f>
        <v/>
      </c>
      <c r="S29" s="96" t="str">
        <f t="shared" si="6"/>
        <v/>
      </c>
      <c r="T29" s="121" t="str">
        <f>IF($A29="","",IFERROR(SUMPRODUCT((Raw_Data_Daily!$B$2:$B$9999="Control")*(Raw_Data_Daily!$A$2:$A$9999=$A29)*(Raw_Data_Daily!$C$2:$C$9999=$C$3)*Raw_Data_Daily!$D$2:$D$9999*Raw_Data_Daily!$J$2:$J$9999)/SUMIFS(Raw_Data_Daily!$D:$D, Raw_Data_Daily!$B:$B, "Control", Raw_Data_Daily!$A:$A, $A29, Raw_Data_Daily!$C:$C, $C$3),""))</f>
        <v/>
      </c>
      <c r="U29" s="121" t="str">
        <f>IF($A29="","",IFERROR(SUMPRODUCT((Raw_Data_Daily!$B$2:$B$9999="Variant")*(Raw_Data_Daily!$A$2:$A$9999=$A29)*(Raw_Data_Daily!$C$2:$C$9999=$C$3)*Raw_Data_Daily!$D$2:$D$9999*Raw_Data_Daily!$J$2:$J$9999)/SUMIFS(Raw_Data_Daily!$D:$D, Raw_Data_Daily!$B:$B, "Variant", Raw_Data_Daily!$A:$A, $A29, Raw_Data_Daily!$C:$C, $C$3),""))</f>
        <v/>
      </c>
      <c r="V29" s="96" t="str">
        <f t="shared" si="7"/>
        <v/>
      </c>
      <c r="W29" s="121" t="str">
        <f>IF($A29="","",IFERROR(SUMPRODUCT((Raw_Data_Daily!$B$2:$B$9999="Control")*(Raw_Data_Daily!$A$2:$A$9999=$A29)*(Raw_Data_Daily!$C$2:$C$9999=$C$3)*Raw_Data_Daily!$D$2:$D$9999*Raw_Data_Daily!$K$2:$K$9999)/SUMIFS(Raw_Data_Daily!$D:$D, Raw_Data_Daily!$B:$B, "Control", Raw_Data_Daily!$A:$A, $A29, Raw_Data_Daily!$C:$C, $C$3),""))</f>
        <v/>
      </c>
      <c r="X29" s="121" t="str">
        <f>IF($A29="","",IFERROR(SUMPRODUCT((Raw_Data_Daily!$B$2:$B$9999="Variant")*(Raw_Data_Daily!$A$2:$A$9999=$A29)*(Raw_Data_Daily!$C$2:$C$9999=$C$3)*Raw_Data_Daily!$D$2:$D$9999*Raw_Data_Daily!$K$2:$K$9999)/SUMIFS(Raw_Data_Daily!$D:$D, Raw_Data_Daily!$B:$B, "Variant", Raw_Data_Daily!$A:$A, $A29, Raw_Data_Daily!$C:$C, $C$3),""))</f>
        <v/>
      </c>
      <c r="Y29" s="96" t="str">
        <f t="shared" si="8"/>
        <v/>
      </c>
      <c r="Z29" s="121" t="str">
        <f>IF($A29="","",IFERROR(SUMPRODUCT((Raw_Data_Daily!$B$2:$B$9999="Control")*(Raw_Data_Daily!$A$2:$A$9999=$A29)*(Raw_Data_Daily!$C$2:$C$9999=$C$3)*Raw_Data_Daily!$D$2:$D$9999*Raw_Data_Daily!$L$2:$L$9999)/SUMIFS(Raw_Data_Daily!$D:$D, Raw_Data_Daily!$B:$B, "Control", Raw_Data_Daily!$A:$A, $A29, Raw_Data_Daily!$C:$C, $C$3),""))</f>
        <v/>
      </c>
      <c r="AA29" s="121" t="str">
        <f>IF($A29="","",IFERROR(SUMPRODUCT((Raw_Data_Daily!$B$2:$B$9999="Variant")*(Raw_Data_Daily!$A$2:$A$9999=$A29)*(Raw_Data_Daily!$C$2:$C$9999=$C$3)*Raw_Data_Daily!$D$2:$D$9999*Raw_Data_Daily!$L$2:$L$9999)/SUMIFS(Raw_Data_Daily!$D:$D, Raw_Data_Daily!$B:$B, "Variant", Raw_Data_Daily!$A:$A, $A29, Raw_Data_Daily!$C:$C, $C$3),""))</f>
        <v/>
      </c>
      <c r="AB29" s="96" t="str">
        <f t="shared" si="9"/>
        <v/>
      </c>
      <c r="AC29" s="139" t="str">
        <f>IF($A29="","",IFERROR(SUMPRODUCT((Raw_Data_Daily!$B$2:$B$9999="Control")*(Raw_Data_Daily!$A$2:$A$9999=$A29)*(Raw_Data_Daily!$C$2:$C$9999=$C$3)*Raw_Data_Daily!$D$2:$D$9999*Raw_Data_Daily!$M$2:$M$9999)/SUMIFS(Raw_Data_Daily!$D:$D, Raw_Data_Daily!$B:$B, "Control", Raw_Data_Daily!$A:$A, $A29, Raw_Data_Daily!$C:$C, $C$3),""))</f>
        <v/>
      </c>
      <c r="AD29" s="139" t="str">
        <f>IF($A29="","",IFERROR(SUMPRODUCT((Raw_Data_Daily!$B$2:$B$9999="Variant")*(Raw_Data_Daily!$A$2:$A$9999=$A29)*(Raw_Data_Daily!$C$2:$C$9999=$C$3)*Raw_Data_Daily!$D$2:$D$9999*Raw_Data_Daily!$M$2:$M$9999)/SUMIFS(Raw_Data_Daily!$D:$D, Raw_Data_Daily!$B:$B, "Variant", Raw_Data_Daily!$A:$A, $A29, Raw_Data_Daily!$C:$C, $C$3),""))</f>
        <v/>
      </c>
      <c r="AE29" s="142" t="str">
        <f t="shared" si="10"/>
        <v/>
      </c>
      <c r="AF29" s="139" t="str">
        <f>IF($A29="","",IFERROR(SUMPRODUCT((Raw_Data_Daily!$B$2:$B$9999="Control")*(Raw_Data_Daily!$A$2:$A$9999=$A29)*(Raw_Data_Daily!$C$2:$C$9999=$C$3)*Raw_Data_Daily!$D$2:$D$9999*Raw_Data_Daily!$N$2:$N$9999)/SUMIFS(Raw_Data_Daily!$D:$D, Raw_Data_Daily!$B:$B, "Control", Raw_Data_Daily!$A:$A, $A29, Raw_Data_Daily!$C:$C, $C$3),""))</f>
        <v/>
      </c>
      <c r="AG29" s="139" t="str">
        <f>IF($A29="","",IFERROR(SUMPRODUCT((Raw_Data_Daily!$B$2:$B$9999="Variant")*(Raw_Data_Daily!$A$2:$A$9999=$A29)*(Raw_Data_Daily!$C$2:$C$9999=$C$3)*Raw_Data_Daily!$D$2:$D$9999*Raw_Data_Daily!$N$2:$N$9999)/SUMIFS(Raw_Data_Daily!$D:$D, Raw_Data_Daily!$B:$B, "Variant", Raw_Data_Daily!$A:$A, $A29, Raw_Data_Daily!$C:$C, $C$3),""))</f>
        <v/>
      </c>
      <c r="AH29" s="142" t="str">
        <f t="shared" si="11"/>
        <v/>
      </c>
      <c r="AI29" s="139" t="str">
        <f>IF($A29="","",IFERROR(SUMPRODUCT((Raw_Data_Daily!$B$2:$B$9999="Control")*(Raw_Data_Daily!$A$2:$A$9999=$A29)*(Raw_Data_Daily!$C$2:$C$9999=$C$3)*Raw_Data_Daily!$D$2:$D$9999*Raw_Data_Daily!$O$2:$O$9999)/SUMIFS(Raw_Data_Daily!$D:$D, Raw_Data_Daily!$B:$B, "Control", Raw_Data_Daily!$A:$A, $A29, Raw_Data_Daily!$C:$C, $C$3),""))</f>
        <v/>
      </c>
      <c r="AJ29" s="139" t="str">
        <f>IF($A29="","",IFERROR(SUMPRODUCT((Raw_Data_Daily!$B$2:$B$9999="Variant")*(Raw_Data_Daily!$A$2:$A$9999=$A29)*(Raw_Data_Daily!$C$2:$C$9999=$C$3)*Raw_Data_Daily!$D$2:$D$9999*Raw_Data_Daily!$O$2:$O$9999)/SUMIFS(Raw_Data_Daily!$D:$D, Raw_Data_Daily!$B:$B, "Variant", Raw_Data_Daily!$A:$A, $A29, Raw_Data_Daily!$C:$C, $C$3),""))</f>
        <v/>
      </c>
      <c r="AK29" s="96" t="str">
        <f t="shared" si="12"/>
        <v/>
      </c>
      <c r="AL29" s="121" t="str">
        <f>IF($A29="","",IFERROR(SUMPRODUCT((Raw_Data_Daily!$B$2:$B$9999="Control")*(Raw_Data_Daily!$A$2:$A$9999=$A29)*(Raw_Data_Daily!$C$2:$C$9999=$C$3)*Raw_Data_Daily!$D$2:$D$9999*Raw_Data_Daily!$P$2:$P$9999)/SUMIFS(Raw_Data_Daily!$D:$D, Raw_Data_Daily!$B:$B, "Control", Raw_Data_Daily!$A:$A, $A29, Raw_Data_Daily!$C:$C, $C$3),""))</f>
        <v/>
      </c>
      <c r="AM29" s="121" t="str">
        <f>IF($A29="","",IFERROR(SUMPRODUCT((Raw_Data_Daily!$B$2:$B$9999="Variant")*(Raw_Data_Daily!$A$2:$A$9999=$A29)*(Raw_Data_Daily!$C$2:$C$9999=$C$3)*Raw_Data_Daily!$D$2:$D$9999*Raw_Data_Daily!$P$2:$P$9999)/SUMIFS(Raw_Data_Daily!$D:$D, Raw_Data_Daily!$B:$B, "Variant", Raw_Data_Daily!$A:$A, $A29, Raw_Data_Daily!$C:$C, $C$3),""))</f>
        <v/>
      </c>
      <c r="AN29" s="96" t="str">
        <f t="shared" si="13"/>
        <v/>
      </c>
      <c r="AO29" s="121" t="str">
        <f>IF($A29="","",IFERROR(SUMPRODUCT((Raw_Data_Daily!$B$2:$B$9999="Control")*(Raw_Data_Daily!$A$2:$A$9999=$A29)*(Raw_Data_Daily!$C$2:$C$9999=$C$3)*Raw_Data_Daily!$D$2:$D$9999*Raw_Data_Daily!$Q$2:$Q$9999)/SUMIFS(Raw_Data_Daily!$D:$D, Raw_Data_Daily!$B:$B, "Control", Raw_Data_Daily!$A:$A, $A29, Raw_Data_Daily!$C:$C, $C$3),""))</f>
        <v/>
      </c>
      <c r="AP29" s="121" t="str">
        <f>IF($A29="","",IFERROR(SUMPRODUCT((Raw_Data_Daily!$B$2:$B$9999="Variant")*(Raw_Data_Daily!$A$2:$A$9999=$A29)*(Raw_Data_Daily!$C$2:$C$9999=$C$3)*Raw_Data_Daily!$D$2:$D$9999*Raw_Data_Daily!$Q$2:$Q$9999)/SUMIFS(Raw_Data_Daily!$D:$D, Raw_Data_Daily!$B:$B, "Variant", Raw_Data_Daily!$A:$A, $A29, Raw_Data_Daily!$C:$C, $C$3),""))</f>
        <v/>
      </c>
      <c r="AQ29" s="93" t="str">
        <f t="shared" si="14"/>
        <v/>
      </c>
      <c r="AR29" s="121" t="str">
        <f>IF($A29="","",IFERROR(SUMPRODUCT((Raw_Data_Daily!$B$2:$B$9999="Control")*(Raw_Data_Daily!$A$2:$A$9999=$A29)*(Raw_Data_Daily!$C$2:$C$9999=$C$3)*Raw_Data_Daily!$D$2:$D$9999*Raw_Data_Daily!$R$2:$R$9999)/SUMIFS(Raw_Data_Daily!$D:$D, Raw_Data_Daily!$B:$B, "Control", Raw_Data_Daily!$A:$A, $A29, Raw_Data_Daily!$C:$C, $C$3),""))</f>
        <v/>
      </c>
      <c r="AS29" s="121" t="str">
        <f>IF($A29="","",IFERROR(SUMPRODUCT((Raw_Data_Daily!$B$2:$B$9999="Variant")*(Raw_Data_Daily!$A$2:$A$9999=$A29)*(Raw_Data_Daily!$C$2:$C$9999=$C$3)*Raw_Data_Daily!$D$2:$D$9999*Raw_Data_Daily!$R$2:$R$9999)/SUMIFS(Raw_Data_Daily!$D:$D, Raw_Data_Daily!$B:$B, "Variant", Raw_Data_Daily!$A:$A, $A29, Raw_Data_Daily!$C:$C, $C$3),""))</f>
        <v/>
      </c>
      <c r="AT29" s="93" t="str">
        <f t="shared" si="15"/>
        <v/>
      </c>
      <c r="AU29" s="121" t="str">
        <f>IF($A29="","",IFERROR(SUMPRODUCT((Raw_Data_Daily!$B$2:$B$9999="Control")*(Raw_Data_Daily!$A$2:$A$9999=$A29)*(Raw_Data_Daily!$C$2:$C$9999=$C$3)*Raw_Data_Daily!$D$2:$D$9999*Raw_Data_Daily!$S$2:$S$9999)/SUMIFS(Raw_Data_Daily!$D:$D, Raw_Data_Daily!$B:$B, "Control", Raw_Data_Daily!$A:$A, $A29, Raw_Data_Daily!$C:$C, $C$3),""))</f>
        <v/>
      </c>
      <c r="AV29" s="121" t="str">
        <f>IF($A29="","",IFERROR(SUMPRODUCT((Raw_Data_Daily!$B$2:$B$9999="Variant")*(Raw_Data_Daily!$A$2:$A$9999=$A29)*(Raw_Data_Daily!$C$2:$C$9999=$C$3)*Raw_Data_Daily!$D$2:$D$9999*Raw_Data_Daily!$S$2:$S$9999)/SUMIFS(Raw_Data_Daily!$D:$D, Raw_Data_Daily!$B:$B, "Variant", Raw_Data_Daily!$A:$A, $A29, Raw_Data_Daily!$C:$C, $C$3),""))</f>
        <v/>
      </c>
      <c r="AW29" s="93" t="str">
        <f t="shared" si="16"/>
        <v/>
      </c>
      <c r="AX29" s="121" t="str">
        <f>IF($A29="","",IFERROR(SUMPRODUCT((Raw_Data_Daily!$B$2:$B$9999="Control")*(Raw_Data_Daily!$A$2:$A$9999=$A29)*(Raw_Data_Daily!$C$2:$C$9999=$C$3)*Raw_Data_Daily!$D$2:$D$9999*Raw_Data_Daily!$T$2:$T$9999)/SUMIFS(Raw_Data_Daily!$D:$D, Raw_Data_Daily!$B:$B, "Control", Raw_Data_Daily!$A:$A, $A29, Raw_Data_Daily!$C:$C, $C$3),""))</f>
        <v/>
      </c>
      <c r="AY29" s="121" t="str">
        <f>IF($A29="","",IFERROR(SUMPRODUCT((Raw_Data_Daily!$B$2:$B$9999="Variant")*(Raw_Data_Daily!$A$2:$A$9999=$A29)*(Raw_Data_Daily!$C$2:$C$9999=$C$3)*Raw_Data_Daily!$D$2:$D$9999*Raw_Data_Daily!$T$2:$T$9999)/SUMIFS(Raw_Data_Daily!$D:$D, Raw_Data_Daily!$B:$B, "Variant", Raw_Data_Daily!$A:$A, $A29, Raw_Data_Daily!$C:$C, $C$3),""))</f>
        <v/>
      </c>
      <c r="AZ29" s="96" t="str">
        <f t="shared" si="17"/>
        <v/>
      </c>
      <c r="BA29" s="121" t="str">
        <f>IF($A29="","",IFERROR(SUMPRODUCT((Raw_Data_Daily!$B$2:$B$9999="Control")*(Raw_Data_Daily!$A$2:$A$9999=$A29)*(Raw_Data_Daily!$C$2:$C$9999=$C$3)*Raw_Data_Daily!$D$2:$D$9999*Raw_Data_Daily!$U$2:$U$9999)/SUMIFS(Raw_Data_Daily!$D:$D, Raw_Data_Daily!$B:$B, "Control", Raw_Data_Daily!$A:$A, $A29, Raw_Data_Daily!$C:$C, $C$3),""))</f>
        <v/>
      </c>
      <c r="BB29" s="121" t="str">
        <f>IF($A29="","",IFERROR(SUMPRODUCT((Raw_Data_Daily!$B$2:$B$9999="Variant")*(Raw_Data_Daily!$A$2:$A$9999=$A29)*(Raw_Data_Daily!$C$2:$C$9999=$C$3)*Raw_Data_Daily!$D$2:$D$9999*Raw_Data_Daily!$U$2:$U$9999)/SUMIFS(Raw_Data_Daily!$D:$D, Raw_Data_Daily!$B:$B, "Variant", Raw_Data_Daily!$A:$A, $A29, Raw_Data_Daily!$C:$C, $C$3),""))</f>
        <v/>
      </c>
      <c r="BC29" s="93" t="str">
        <f t="shared" si="18"/>
        <v/>
      </c>
      <c r="BD29" s="121" t="str">
        <f>IF($A29="","",IFERROR(SUMPRODUCT((Raw_Data_Daily!$B$2:$B$9999="Control")*(Raw_Data_Daily!$A$2:$A$9999=$A29)*(Raw_Data_Daily!$C$2:$C$9999=$C$3)*Raw_Data_Daily!$D$2:$D$9999*Raw_Data_Daily!$V$2:$V$9999)/SUMIFS(Raw_Data_Daily!$D:$D, Raw_Data_Daily!$B:$B, "Control", Raw_Data_Daily!$A:$A, $A29, Raw_Data_Daily!$C:$C, $C$3),""))</f>
        <v/>
      </c>
      <c r="BE29" s="121" t="str">
        <f>IF($A29="","",IFERROR(SUMPRODUCT((Raw_Data_Daily!$B$2:$B$9999="Variant")*(Raw_Data_Daily!$A$2:$A$9999=$A29)*(Raw_Data_Daily!$C$2:$C$9999=$C$3)*Raw_Data_Daily!$D$2:$D$9999*Raw_Data_Daily!$V$2:$V$9999)/SUMIFS(Raw_Data_Daily!$D:$D, Raw_Data_Daily!$B:$B, "Variant", Raw_Data_Daily!$A:$A, $A29, Raw_Data_Daily!$C:$C, $C$3),""))</f>
        <v/>
      </c>
      <c r="BF29" s="93" t="str">
        <f t="shared" si="19"/>
        <v/>
      </c>
      <c r="BG29" s="121" t="str">
        <f>IF($A29="","",IFERROR(SUMPRODUCT((Raw_Data_Daily!$B$2:$B$9999="Control")*(Raw_Data_Daily!$A$2:$A$9999=$A29)*(Raw_Data_Daily!$C$2:$C$9999=$C$3)*Raw_Data_Daily!$D$2:$D$9999*(Raw_Data_Daily!$Q$2:$Q$9999-Raw_Data_Daily!$V$2:$V$9999))/SUMIFS(Raw_Data_Daily!$D:$D, Raw_Data_Daily!$B:$B, "Control", Raw_Data_Daily!$A:$A, $A29, Raw_Data_Daily!$C:$C, $C$3),""))</f>
        <v/>
      </c>
      <c r="BH29" s="121" t="str">
        <f>IF($A29="","",IFERROR(SUMPRODUCT((Raw_Data_Daily!$B$2:$B$9999="Variant")*(Raw_Data_Daily!$A$2:$A$9999=$A29)*(Raw_Data_Daily!$C$2:$C$9999=$C$3)*Raw_Data_Daily!$D$2:$D$9999*(Raw_Data_Daily!$Q$2:$Q$9999-Raw_Data_Daily!$V$2:$V$9999))/SUMIFS(Raw_Data_Daily!$D:$D, Raw_Data_Daily!$B:$B, "Variant", Raw_Data_Daily!$A:$A, $A29, Raw_Data_Daily!$C:$C, $C$3),""))</f>
        <v/>
      </c>
      <c r="BI29" s="93" t="str">
        <f t="shared" si="20"/>
        <v/>
      </c>
      <c r="BJ29" s="121" t="str">
        <f>IF($A29="","",IFERROR(SUMPRODUCT((Raw_Data_Daily!$B$2:$B$9999="Control")*(Raw_Data_Daily!$A$2:$A$9999=$A29)*(Raw_Data_Daily!$C$2:$C$9999=$C$3)*Raw_Data_Daily!$D$2:$D$9999*Raw_Data_Daily!$W$2:$W$9999)/SUMIFS(Raw_Data_Daily!$D:$D, Raw_Data_Daily!$B:$B, "Control", Raw_Data_Daily!$A:$A, $A29, Raw_Data_Daily!$C:$C, $C$3),""))</f>
        <v/>
      </c>
      <c r="BK29" s="121" t="str">
        <f>IF($A29="","",IFERROR(SUMPRODUCT((Raw_Data_Daily!$B$2:$B$9999="Variant")*(Raw_Data_Daily!$A$2:$A$9999=$A29)*(Raw_Data_Daily!$C$2:$C$9999=$C$3)*Raw_Data_Daily!$D$2:$D$9999*Raw_Data_Daily!$W$2:$W$9999)/SUMIFS(Raw_Data_Daily!$D:$D, Raw_Data_Daily!$B:$B, "Variant", Raw_Data_Daily!$A:$A, $A29, Raw_Data_Daily!$C:$C, $C$3),""))</f>
        <v/>
      </c>
      <c r="BL29" s="93" t="str">
        <f t="shared" si="21"/>
        <v/>
      </c>
      <c r="BM29" s="139" t="str">
        <f>IF($A29="","",IFERROR(SUMPRODUCT((Raw_Data_Daily!$B$2:$B$9999="Control")*(Raw_Data_Daily!$A$2:$A$9999=$A29)*(Raw_Data_Daily!$C$2:$C$9999=$C$3)*Raw_Data_Daily!$D$2:$D$9999*Raw_Data_Daily!$X$2:$X$9999)/SUMIFS(Raw_Data_Daily!$D:$D, Raw_Data_Daily!$B:$B, "Control", Raw_Data_Daily!$A:$A, $A29, Raw_Data_Daily!$C:$C, $C$3),""))</f>
        <v/>
      </c>
      <c r="BN29" s="139" t="str">
        <f>IF($A29="","",IFERROR(SUMPRODUCT((Raw_Data_Daily!$B$2:$B$9999="Variant")*(Raw_Data_Daily!$A$2:$A$9999=$A29)*(Raw_Data_Daily!$C$2:$C$9999=$C$3)*Raw_Data_Daily!$D$2:$D$9999*Raw_Data_Daily!$X$2:$X$9999)/SUMIFS(Raw_Data_Daily!$D:$D, Raw_Data_Daily!$B:$B, "Variant", Raw_Data_Daily!$A:$A, $A29, Raw_Data_Daily!$C:$C, $C$3),""))</f>
        <v/>
      </c>
      <c r="BO29" s="96" t="str">
        <f t="shared" si="22"/>
        <v/>
      </c>
      <c r="BP29" s="92" t="str">
        <f>IF($A29="","",IFERROR(SUMPRODUCT((Raw_Data_Daily!$B$2:$B$9999="Control")*(Raw_Data_Daily!$A$2:$A$9999=$A29)*(Raw_Data_Daily!$C$2:$C$9999=$C$3)*Raw_Data_Daily!$D$2:$D$9999*Raw_Data_Daily!$Y$2:$Y$9999)/SUMIFS(Raw_Data_Daily!$D:$D, Raw_Data_Daily!$B:$B, "Control", Raw_Data_Daily!$A:$A, $A29, Raw_Data_Daily!$C:$C, $C$3),""))</f>
        <v/>
      </c>
      <c r="BQ29" s="92" t="str">
        <f>IF($A29="","",IFERROR(SUMPRODUCT((Raw_Data_Daily!$B$2:$B$9999="Variant")*(Raw_Data_Daily!$A$2:$A$9999=$A29)*(Raw_Data_Daily!$C$2:$C$9999=$C$3)*Raw_Data_Daily!$D$2:$D$9999*Raw_Data_Daily!$Y$2:$Y$9999)/SUMIFS(Raw_Data_Daily!$D:$D, Raw_Data_Daily!$B:$B, "Variant", Raw_Data_Daily!$A:$A, $A29, Raw_Data_Daily!$C:$C, $C$3),""))</f>
        <v/>
      </c>
      <c r="BR29" s="93" t="str">
        <f t="shared" si="23"/>
        <v/>
      </c>
      <c r="BS29" s="92" t="str">
        <f>IF($A29="","",IFERROR(SUMPRODUCT((Raw_Data_Daily!$B$2:$B$9999="Control")*(Raw_Data_Daily!$A$2:$A$9999=$A29)*(Raw_Data_Daily!$C$2:$C$9999=$C$3)*Raw_Data_Daily!$D$2:$D$9999*Raw_Data_Daily!$Z$2:$Z$9999)/SUMIFS(Raw_Data_Daily!$D:$D, Raw_Data_Daily!$B:$B, "Control", Raw_Data_Daily!$A:$A, $A29, Raw_Data_Daily!$C:$C, $C$3),""))</f>
        <v/>
      </c>
      <c r="BT29" s="92" t="str">
        <f>IF($A29="","",IFERROR(SUMPRODUCT((Raw_Data_Daily!$B$2:$B$9999="Variant")*(Raw_Data_Daily!$A$2:$A$9999=$A29)*(Raw_Data_Daily!$C$2:$C$9999=$C$3)*Raw_Data_Daily!$D$2:$D$9999*Raw_Data_Daily!$Z$2:$Z$9999)/SUMIFS(Raw_Data_Daily!$D:$D, Raw_Data_Daily!$B:$B, "Variant", Raw_Data_Daily!$A:$A, $A29, Raw_Data_Daily!$C:$C, $C$3),""))</f>
        <v/>
      </c>
      <c r="BU29" s="93" t="str">
        <f t="shared" si="24"/>
        <v/>
      </c>
      <c r="BV29" s="92" t="str">
        <f>IF($A29="","",IFERROR(SUMPRODUCT((Raw_Data_Daily!$B$2:$B$9999="Control")*(Raw_Data_Daily!$A$2:$A$9999=$A29)*(Raw_Data_Daily!$C$2:$C$9999=$C$3)*Raw_Data_Daily!$D$2:$D$9999*Raw_Data_Daily!$AA$2:$AA$9999)/SUMIFS(Raw_Data_Daily!$D:$D, Raw_Data_Daily!$B:$B, "Control", Raw_Data_Daily!$A:$A, $A29, Raw_Data_Daily!$C:$C, $C$3),""))</f>
        <v/>
      </c>
      <c r="BW29" s="92" t="str">
        <f>IF($A29="","",IFERROR(SUMPRODUCT((Raw_Data_Daily!$B$2:$B$9999="Variant")*(Raw_Data_Daily!$A$2:$A$9999=$A29)*(Raw_Data_Daily!$C$2:$C$9999=$C$3)*Raw_Data_Daily!$D$2:$D$9999*Raw_Data_Daily!$AA$2:$AA$9999)/SUMIFS(Raw_Data_Daily!$D:$D, Raw_Data_Daily!$B:$B, "Variant", Raw_Data_Daily!$A:$A, $A29, Raw_Data_Daily!$C:$C, $C$3),""))</f>
        <v/>
      </c>
      <c r="BX29" s="93" t="str">
        <f t="shared" si="25"/>
        <v/>
      </c>
      <c r="BY29" s="121" t="str">
        <f>IF($A29="","",IFERROR(SUMPRODUCT((Raw_Data_Daily!$B$2:$B$9999="Control")*(Raw_Data_Daily!$A$2:$A$9999=$A29)*(Raw_Data_Daily!$C$2:$C$9999=$C$3)*Raw_Data_Daily!$D$2:$D$9999*Raw_Data_Daily!$AB$2:$AB$9999)/SUMIFS(Raw_Data_Daily!$D:$D, Raw_Data_Daily!$B:$B, "Control", Raw_Data_Daily!$A:$A, $A29, Raw_Data_Daily!$C:$C, $C$3),""))</f>
        <v/>
      </c>
      <c r="BZ29" s="121" t="str">
        <f>IF($A29="","",IFERROR(SUMPRODUCT((Raw_Data_Daily!$B$2:$B$9999="Variant")*(Raw_Data_Daily!$A$2:$A$9999=$A29)*(Raw_Data_Daily!$C$2:$C$9999=$C$3)*Raw_Data_Daily!$D$2:$D$9999*Raw_Data_Daily!$AB$2:$AB$9999)/SUMIFS(Raw_Data_Daily!$D:$D, Raw_Data_Daily!$B:$B, "Variant", Raw_Data_Daily!$A:$A, $A29, Raw_Data_Daily!$C:$C, $C$3),""))</f>
        <v/>
      </c>
      <c r="CA29" s="96" t="str">
        <f t="shared" si="26"/>
        <v/>
      </c>
      <c r="CB29" s="121" t="str">
        <f>IF($A29="","",IFERROR(SUMPRODUCT((Raw_Data_Daily!$B$2:$B$9999="Control")*(Raw_Data_Daily!$A$2:$A$9999=$A29)*(Raw_Data_Daily!$C$2:$C$9999=$C$3)*Raw_Data_Daily!$D$2:$D$9999*Raw_Data_Daily!$AC$2:$AC$9999)/SUMIFS(Raw_Data_Daily!$D:$D, Raw_Data_Daily!$B:$B, "Control", Raw_Data_Daily!$A:$A, $A29, Raw_Data_Daily!$C:$C, $C$3),""))</f>
        <v/>
      </c>
      <c r="CC29" s="121" t="str">
        <f>IF($A29="","",IFERROR(SUMPRODUCT((Raw_Data_Daily!$B$2:$B$9999="Variant")*(Raw_Data_Daily!$A$2:$A$9999=$A29)*(Raw_Data_Daily!$C$2:$C$9999=$C$3)*Raw_Data_Daily!$D$2:$D$9999*Raw_Data_Daily!$AC$2:$AC$9999)/SUMIFS(Raw_Data_Daily!$D:$D, Raw_Data_Daily!$B:$B, "Variant", Raw_Data_Daily!$A:$A, $A29, Raw_Data_Daily!$C:$C, $C$3),""))</f>
        <v/>
      </c>
      <c r="CD29" s="96" t="str">
        <f t="shared" si="27"/>
        <v/>
      </c>
      <c r="CE29" s="121" t="str">
        <f>IF($A29="","",IFERROR(SUMPRODUCT((Raw_Data_Daily!$B$2:$B$9999="Control")*(Raw_Data_Daily!$A$2:$A$9999=$A29)*(Raw_Data_Daily!$C$2:$C$9999=$C$3)*Raw_Data_Daily!$D$2:$D$9999*Raw_Data_Daily!$AD$2:$AD$9999)/SUMIFS(Raw_Data_Daily!$D:$D, Raw_Data_Daily!$B:$B, "Control", Raw_Data_Daily!$A:$A, $A29, Raw_Data_Daily!$C:$C, $C$3),""))</f>
        <v/>
      </c>
      <c r="CF29" s="121" t="str">
        <f>IF($A29="","",IFERROR(SUMPRODUCT((Raw_Data_Daily!$B$2:$B$9999="Variant")*(Raw_Data_Daily!$A$2:$A$9999=$A29)*(Raw_Data_Daily!$C$2:$C$9999=$C$3)*Raw_Data_Daily!$D$2:$D$9999*Raw_Data_Daily!$AD$2:$AD$9999)/SUMIFS(Raw_Data_Daily!$D:$D, Raw_Data_Daily!$B:$B, "Variant", Raw_Data_Daily!$A:$A, $A29, Raw_Data_Daily!$C:$C, $C$3),""))</f>
        <v/>
      </c>
      <c r="CG29" s="96" t="str">
        <f t="shared" si="28"/>
        <v/>
      </c>
      <c r="CH29" s="121" t="str">
        <f>IF($A29="","",IFERROR(SUMPRODUCT((Raw_Data_Daily!$B$2:$B$9999="Control")*(Raw_Data_Daily!$A$2:$A$9999=$A29)*(Raw_Data_Daily!$C$2:$C$9999=$C$3)*Raw_Data_Daily!$D$2:$D$9999*Raw_Data_Daily!$AE$2:$AE$9999)/SUMIFS(Raw_Data_Daily!$D:$D, Raw_Data_Daily!$B:$B, "Control", Raw_Data_Daily!$A:$A, $A29, Raw_Data_Daily!$C:$C, $C$3),""))</f>
        <v/>
      </c>
      <c r="CI29" s="121" t="str">
        <f>IF($A29="","",IFERROR(SUMPRODUCT((Raw_Data_Daily!$B$2:$B$9999="Variant")*(Raw_Data_Daily!$A$2:$A$9999=$A29)*(Raw_Data_Daily!$C$2:$C$9999=$C$3)*Raw_Data_Daily!$D$2:$D$9999*Raw_Data_Daily!$AE$2:$AE$9999)/SUMIFS(Raw_Data_Daily!$D:$D, Raw_Data_Daily!$B:$B, "Variant", Raw_Data_Daily!$A:$A, $A29, Raw_Data_Daily!$C:$C, $C$3),""))</f>
        <v/>
      </c>
      <c r="CJ29" s="96" t="str">
        <f t="shared" si="29"/>
        <v/>
      </c>
      <c r="CK29" s="121" t="str">
        <f>IF($A29="","",IFERROR(SUMPRODUCT((Raw_Data_Daily!$B$2:$B$9999="Control")*(Raw_Data_Daily!$A$2:$A$9999=$A29)*(Raw_Data_Daily!$C$2:$C$9999=$C$3)*Raw_Data_Daily!$D$2:$D$9999*Raw_Data_Daily!$AF$2:$AF$9999)/SUMIFS(Raw_Data_Daily!$D:$D, Raw_Data_Daily!$B:$B, "Control", Raw_Data_Daily!$A:$A, $A29, Raw_Data_Daily!$C:$C, $C$3),""))</f>
        <v/>
      </c>
      <c r="CL29" s="121" t="str">
        <f>IF($A29="","",IFERROR(SUMPRODUCT((Raw_Data_Daily!$B$2:$B$9999="Variant")*(Raw_Data_Daily!$A$2:$A$9999=$A29)*(Raw_Data_Daily!$C$2:$C$9999=$C$3)*Raw_Data_Daily!$D$2:$D$9999*Raw_Data_Daily!$AF$2:$AF$9999)/SUMIFS(Raw_Data_Daily!$D:$D, Raw_Data_Daily!$B:$B, "Variant", Raw_Data_Daily!$A:$A, $A29, Raw_Data_Daily!$C:$C, $C$3),""))</f>
        <v/>
      </c>
      <c r="CM29" s="96" t="str">
        <f t="shared" si="30"/>
        <v/>
      </c>
      <c r="CN29" s="121" t="str">
        <f>IF($A29="","",IFERROR(SUMPRODUCT((Raw_Data_Daily!$B$2:$B$9999="Control")*(Raw_Data_Daily!$A$2:$A$9999=$A29)*(Raw_Data_Daily!$C$2:$C$9999=$C$3)*Raw_Data_Daily!$D$2:$D$9999*Raw_Data_Daily!$AG$2:$AG$9999)/SUMIFS(Raw_Data_Daily!$D:$D, Raw_Data_Daily!$B:$B, "Control", Raw_Data_Daily!$A:$A, $A29, Raw_Data_Daily!$C:$C, $C$3),""))</f>
        <v/>
      </c>
      <c r="CO29" s="121" t="str">
        <f>IF($A29="","",IFERROR(SUMPRODUCT((Raw_Data_Daily!$B$2:$B$9999="Variant")*(Raw_Data_Daily!$A$2:$A$9999=$A29)*(Raw_Data_Daily!$C$2:$C$9999=$C$3)*Raw_Data_Daily!$D$2:$D$9999*Raw_Data_Daily!$AG$2:$AG$9999)/SUMIFS(Raw_Data_Daily!$D:$D, Raw_Data_Daily!$B:$B, "Variant", Raw_Data_Daily!$A:$A, $A29, Raw_Data_Daily!$C:$C, $C$3),""))</f>
        <v/>
      </c>
      <c r="CP29" s="96" t="str">
        <f t="shared" si="31"/>
        <v/>
      </c>
      <c r="CQ29" s="121" t="str">
        <f>IF($A29="","",IFERROR(SUMPRODUCT((Raw_Data_Daily!$B$2:$B$9999="Control")*(Raw_Data_Daily!$A$2:$A$9999=$A29)*(Raw_Data_Daily!$C$2:$C$9999=$C$3)*Raw_Data_Daily!$D$2:$D$9999*Raw_Data_Daily!$AH$2:$AH$9999)/SUMIFS(Raw_Data_Daily!$D:$D, Raw_Data_Daily!$B:$B, "Control", Raw_Data_Daily!$A:$A, $A29, Raw_Data_Daily!$C:$C, $C$3),""))</f>
        <v/>
      </c>
      <c r="CR29" s="121" t="str">
        <f>IF($A29="","",IFERROR(SUMPRODUCT((Raw_Data_Daily!$B$2:$B$9999="Variant")*(Raw_Data_Daily!$A$2:$A$9999=$A29)*(Raw_Data_Daily!$C$2:$C$9999=$C$3)*Raw_Data_Daily!$D$2:$D$9999*Raw_Data_Daily!$AH$2:$AH$9999)/SUMIFS(Raw_Data_Daily!$D:$D, Raw_Data_Daily!$B:$B, "Variant", Raw_Data_Daily!$A:$A, $A29, Raw_Data_Daily!$C:$C, $C$3),""))</f>
        <v/>
      </c>
      <c r="CS29" s="96" t="str">
        <f t="shared" si="32"/>
        <v/>
      </c>
      <c r="CT29" s="94" t="str">
        <f>IF($A29="","",IFERROR(SUMPRODUCT((Raw_Data_Daily!$B$2:$B$9999="Control")*(Raw_Data_Daily!$A$2:$A$9999=$A29)*(Raw_Data_Daily!$C$2:$C$9999=$C$3)*Raw_Data_Daily!$D$2:$D$9999*Raw_Data_Daily!$AI$2:$AI$9999)/SUMIFS(Raw_Data_Daily!$D:$D, Raw_Data_Daily!$B:$B, "Control", Raw_Data_Daily!$A:$A, $A29, Raw_Data_Daily!$C:$C, $C$3),""))</f>
        <v/>
      </c>
      <c r="CU29" s="94" t="str">
        <f>IF($A29="","",IFERROR(SUMPRODUCT((Raw_Data_Daily!$B$2:$B$9999="Variant")*(Raw_Data_Daily!$A$2:$A$9999=$A29)*(Raw_Data_Daily!$C$2:$C$9999=$C$3)*Raw_Data_Daily!$D$2:$D$9999*Raw_Data_Daily!$AI$2:$AI$9999)/SUMIFS(Raw_Data_Daily!$D:$D, Raw_Data_Daily!$B:$B, "Variant", Raw_Data_Daily!$A:$A, $A29, Raw_Data_Daily!$C:$C, $C$3),""))</f>
        <v/>
      </c>
      <c r="CV29" s="142" t="str">
        <f t="shared" si="33"/>
        <v/>
      </c>
      <c r="CW29" s="94" t="str">
        <f>IF($A29="","",IFERROR(SUMPRODUCT((Raw_Data_Daily!$B$2:$B$9999="Control")*(Raw_Data_Daily!$A$2:$A$9999=$A29)*(Raw_Data_Daily!$C$2:$C$9999=$C$3)*Raw_Data_Daily!$D$2:$D$9999*Raw_Data_Daily!$AJ$2:$AJ$9999)/SUMIFS(Raw_Data_Daily!$D:$D, Raw_Data_Daily!$B:$B, "Control", Raw_Data_Daily!$A:$A, $A29, Raw_Data_Daily!$C:$C, $C$3),""))</f>
        <v/>
      </c>
      <c r="CX29" s="94" t="str">
        <f>IF($A29="","",IFERROR(SUMPRODUCT((Raw_Data_Daily!$B$2:$B$9999="Variant")*(Raw_Data_Daily!$A$2:$A$9999=$A29)*(Raw_Data_Daily!$C$2:$C$9999=$C$3)*Raw_Data_Daily!$D$2:$D$9999*Raw_Data_Daily!$AJ$2:$AJ$9999)/SUMIFS(Raw_Data_Daily!$D:$D, Raw_Data_Daily!$B:$B, "Variant", Raw_Data_Daily!$A:$A, $A29, Raw_Data_Daily!$C:$C, $C$3),""))</f>
        <v/>
      </c>
      <c r="CY29" s="142" t="str">
        <f t="shared" si="34"/>
        <v/>
      </c>
      <c r="CZ29" s="94" t="str">
        <f>IF($A29="","",IFERROR(SUMPRODUCT((Raw_Data_Daily!$B$2:$B$9999="Control")*(Raw_Data_Daily!$A$2:$A$9999=$A29)*(Raw_Data_Daily!$C$2:$C$9999=$C$3)*Raw_Data_Daily!$D$2:$D$9999*Raw_Data_Daily!$AK$2:$AK$9999)/SUMIFS(Raw_Data_Daily!$D:$D, Raw_Data_Daily!$B:$B, "Control", Raw_Data_Daily!$A:$A, $A29, Raw_Data_Daily!$C:$C, $C$3),""))</f>
        <v/>
      </c>
      <c r="DA29" s="94" t="str">
        <f>IF($A29="","",IFERROR(SUMPRODUCT((Raw_Data_Daily!$B$2:$B$9999="Variant")*(Raw_Data_Daily!$A$2:$A$9999=$A29)*(Raw_Data_Daily!$C$2:$C$9999=$C$3)*Raw_Data_Daily!$D$2:$D$9999*Raw_Data_Daily!$AK$2:$AK$9999)/SUMIFS(Raw_Data_Daily!$D:$D, Raw_Data_Daily!$B:$B, "Variant", Raw_Data_Daily!$A:$A, $A29, Raw_Data_Daily!$C:$C, $C$3),""))</f>
        <v/>
      </c>
      <c r="DB29" s="96" t="str">
        <f t="shared" si="35"/>
        <v/>
      </c>
      <c r="DC29" s="139" t="str">
        <f>IF($A29="","",IFERROR(SUMPRODUCT((Raw_Data_Daily!$B$2:$B$9999="Control")*(Raw_Data_Daily!$A$2:$A$9999=$A29)*(Raw_Data_Daily!$C$2:$C$9999=$C$3)*Raw_Data_Daily!$D$2:$D$9999*Raw_Data_Daily!$AL$2:$AL$9999)/SUMIFS(Raw_Data_Daily!$D:$D, Raw_Data_Daily!$B:$B, "Control", Raw_Data_Daily!$A:$A, $A29, Raw_Data_Daily!$C:$C, $C$3),""))</f>
        <v/>
      </c>
      <c r="DD29" s="139" t="str">
        <f>IF($A29="","",IFERROR(SUMPRODUCT((Raw_Data_Daily!$B$2:$B$9999="Variant")*(Raw_Data_Daily!$A$2:$A$9999=$A29)*(Raw_Data_Daily!$C$2:$C$9999=$C$3)*Raw_Data_Daily!$D$2:$D$9999*Raw_Data_Daily!$AL$2:$AL$9999)/SUMIFS(Raw_Data_Daily!$D:$D, Raw_Data_Daily!$B:$B, "Variant", Raw_Data_Daily!$A:$A, $A29, Raw_Data_Daily!$C:$C, $C$3),""))</f>
        <v/>
      </c>
      <c r="DE29" s="142" t="str">
        <f t="shared" si="36"/>
        <v/>
      </c>
      <c r="DF29" s="168"/>
      <c r="DG29" s="94" t="str">
        <f>IF($A29="","",IFERROR(SUMPRODUCT((Raw_Data_Daily!$B$2:$B$9999="Variant")*(Raw_Data_Daily!$A$2:$A$9999=$A29)*(Raw_Data_Daily!$C$2:$C$9999=$C$3)*Raw_Data_Daily!$D$2:$D$9999*Raw_Data_Daily!$AM$2:$AM$9999)/SUMIFS(Raw_Data_Daily!$D:$D, Raw_Data_Daily!$B:$B, "Variant", Raw_Data_Daily!$A:$A, $A29, Raw_Data_Daily!$C:$C, $C$3),""))</f>
        <v/>
      </c>
      <c r="DH29" s="169"/>
      <c r="DI29" s="168"/>
      <c r="DJ29" s="94" t="str">
        <f>IF($A29="","",IFERROR(SUMPRODUCT((Raw_Data_Daily!$B$2:$B$9999="Variant")*(Raw_Data_Daily!$A$2:$A$9999=$A29)*(Raw_Data_Daily!$C$2:$C$9999=$C$3)*Raw_Data_Daily!$D$2:$D$9999*Raw_Data_Daily!$AN$2:$AN$9999)/SUMIFS(Raw_Data_Daily!$D:$D, Raw_Data_Daily!$B:$B, "Variant", Raw_Data_Daily!$A:$A, $A29, Raw_Data_Daily!$C:$C, $C$3),""))</f>
        <v/>
      </c>
      <c r="DK29" s="169"/>
      <c r="DL29" s="168"/>
      <c r="DM29" s="94" t="str">
        <f>IF($A29="","",IFERROR(SUMPRODUCT((Raw_Data_Daily!$B$2:$B$9999="Variant")*(Raw_Data_Daily!$A$2:$A$9999=$A29)*(Raw_Data_Daily!$C$2:$C$9999=$C$3)*Raw_Data_Daily!$D$2:$D$9999*Raw_Data_Daily!$AO$2:$AO$9999)/SUMIFS(Raw_Data_Daily!$D:$D, Raw_Data_Daily!$B:$B, "Variant", Raw_Data_Daily!$A:$A, $A29, Raw_Data_Daily!$C:$C, $C$3),""))</f>
        <v/>
      </c>
      <c r="DN29" s="169"/>
      <c r="DO29" s="168"/>
      <c r="DP29" s="94" t="str">
        <f>IF($A29="","",IFERROR(SUMPRODUCT((Raw_Data_Daily!$B$2:$B$9999="Variant")*(Raw_Data_Daily!$A$2:$A$9999=$A29)*(Raw_Data_Daily!$C$2:$C$9999=$C$3)*Raw_Data_Daily!$D$2:$D$9999*Raw_Data_Daily!$AP$2:$AP$9999)/SUMIFS(Raw_Data_Daily!$D:$D, Raw_Data_Daily!$B:$B, "Variant", Raw_Data_Daily!$A:$A, $A29, Raw_Data_Daily!$C:$C, $C$3),""))</f>
        <v/>
      </c>
      <c r="DQ29" s="169"/>
      <c r="DR29" s="139" t="str">
        <f>IF($A29="","",IFERROR(SUMPRODUCT((Raw_Data_Daily!$B$2:$B$9999="Control")*(Raw_Data_Daily!$A$2:$A$9999=$A29)*(Raw_Data_Daily!$C$2:$C$9999=$C$3)*Raw_Data_Daily!$D$2:$D$9999*Raw_Data_Daily!$AQ$2:$AQ$9999)/SUMIFS(Raw_Data_Daily!$D:$D, Raw_Data_Daily!$B:$B, "Control", Raw_Data_Daily!$A:$A, $A29, Raw_Data_Daily!$C:$C, $C$3),""))</f>
        <v/>
      </c>
      <c r="DS29" s="139" t="str">
        <f>IF($A29="","",IFERROR(SUMPRODUCT((Raw_Data_Daily!$B$2:$B$9999="Variant")*(Raw_Data_Daily!$A$2:$A$9999=$A29)*(Raw_Data_Daily!$C$2:$C$9999=$C$3)*Raw_Data_Daily!$D$2:$D$9999*Raw_Data_Daily!$AQ$2:$AQ$9999)/SUMIFS(Raw_Data_Daily!$D:$D, Raw_Data_Daily!$B:$B, "Variant", Raw_Data_Daily!$A:$A, $A29, Raw_Data_Daily!$C:$C, $C$3),""))</f>
        <v/>
      </c>
      <c r="DT29" s="173" t="str">
        <f t="shared" si="37"/>
        <v/>
      </c>
      <c r="DU29" s="139" t="str">
        <f>IF($A29="","",IFERROR(SUMPRODUCT((Raw_Data_Daily!$B$2:$B$9999="Control")*(Raw_Data_Daily!$A$2:$A$9999=$A29)*(Raw_Data_Daily!$C$2:$C$9999=$C$3)*Raw_Data_Daily!$D$2:$D$9999*Raw_Data_Daily!$AR$2:$AR$9999)/SUMIFS(Raw_Data_Daily!$D:$D, Raw_Data_Daily!$B:$B, "Control", Raw_Data_Daily!$A:$A, $A29, Raw_Data_Daily!$C:$C, $C$3),""))</f>
        <v/>
      </c>
      <c r="DV29" s="139" t="str">
        <f>IF($A29="","",IFERROR(SUMPRODUCT((Raw_Data_Daily!$B$2:$B$9999="Variant")*(Raw_Data_Daily!$A$2:$A$9999=$A29)*(Raw_Data_Daily!$C$2:$C$9999=$C$3)*Raw_Data_Daily!$D$2:$D$9999*Raw_Data_Daily!$AR$2:$AR$9999)/SUMIFS(Raw_Data_Daily!$D:$D, Raw_Data_Daily!$B:$B, "Variant", Raw_Data_Daily!$A:$A, $A29, Raw_Data_Daily!$C:$C, $C$3),""))</f>
        <v/>
      </c>
      <c r="DW29" s="173" t="str">
        <f t="shared" si="38"/>
        <v/>
      </c>
      <c r="DX29" s="139" t="str">
        <f>IF($A29="","",IFERROR(SUMPRODUCT((Raw_Data_Daily!$B$2:$B$9999="Control")*(Raw_Data_Daily!$A$2:$A$9999=$A29)*(Raw_Data_Daily!$C$2:$C$9999=$C$3)*Raw_Data_Daily!$D$2:$D$9999*Raw_Data_Daily!$AS$2:$AS$9999)/SUMIFS(Raw_Data_Daily!$D:$D, Raw_Data_Daily!$B:$B, "Control", Raw_Data_Daily!$A:$A, $A29, Raw_Data_Daily!$C:$C, $C$3),""))</f>
        <v/>
      </c>
      <c r="DY29" s="139" t="str">
        <f>IF($A29="","",IFERROR(SUMPRODUCT((Raw_Data_Daily!$B$2:$B$9999="Variant")*(Raw_Data_Daily!$A$2:$A$9999=$A29)*(Raw_Data_Daily!$C$2:$C$9999=$C$3)*Raw_Data_Daily!$D$2:$D$9999*Raw_Data_Daily!$AS$2:$AS$9999)/SUMIFS(Raw_Data_Daily!$D:$D, Raw_Data_Daily!$B:$B, "Variant", Raw_Data_Daily!$A:$A, $A29, Raw_Data_Daily!$C:$C, $C$3),""))</f>
        <v/>
      </c>
      <c r="DZ29" s="174" t="str">
        <f t="shared" si="39"/>
        <v/>
      </c>
      <c r="EA29" s="139" t="str">
        <f>IF($A29="","",IFERROR(SUMPRODUCT((Raw_Data_Daily!$B$2:$B$9999="Control")*(Raw_Data_Daily!$A$2:$A$9999=$A29)*(Raw_Data_Daily!$C$2:$C$9999=$C$3)*Raw_Data_Daily!$D$2:$D$9999*Raw_Data_Daily!$AT$2:$AT$9999)/SUMIFS(Raw_Data_Daily!$D:$D, Raw_Data_Daily!$B:$B, "Control", Raw_Data_Daily!$A:$A, $A29, Raw_Data_Daily!$C:$C, $C$3),""))</f>
        <v/>
      </c>
      <c r="EB29" s="139" t="str">
        <f>IF($A29="","",IFERROR(SUMPRODUCT((Raw_Data_Daily!$B$2:$B$9999="Variant")*(Raw_Data_Daily!$A$2:$A$9999=$A29)*(Raw_Data_Daily!$C$2:$C$9999=$C$3)*Raw_Data_Daily!$D$2:$D$9999*Raw_Data_Daily!$AT$2:$AT$9999)/SUMIFS(Raw_Data_Daily!$D:$D, Raw_Data_Daily!$B:$B, "Variant", Raw_Data_Daily!$A:$A, $A29, Raw_Data_Daily!$C:$C, $C$3),""))</f>
        <v/>
      </c>
      <c r="EC29" s="173" t="str">
        <f t="shared" si="40"/>
        <v/>
      </c>
      <c r="ED29" s="139" t="str">
        <f>IF($A29="","",IFERROR(SUMPRODUCT((Raw_Data_Daily!$B$2:$B$9999="Control")*(Raw_Data_Daily!$A$2:$A$9999=$A29)*(Raw_Data_Daily!$C$2:$C$9999=$C$3)*Raw_Data_Daily!$D$2:$D$9999*(Raw_Data_Daily!$AQ$2:$AQ$9999-Raw_Data_Daily!$AT$2:$AT$9999))/SUMIFS(Raw_Data_Daily!$D:$D, Raw_Data_Daily!$B:$B, "Control", Raw_Data_Daily!$A:$A, $A29, Raw_Data_Daily!$C:$C, $C$3),""))</f>
        <v/>
      </c>
      <c r="EE29" s="139" t="str">
        <f>IF($A29="","",IFERROR(SUMPRODUCT((Raw_Data_Daily!$B$2:$B$9999="Variant")*(Raw_Data_Daily!$A$2:$A$9999=$A29)*(Raw_Data_Daily!$C$2:$C$9999=$C$3)*Raw_Data_Daily!$D$2:$D$9999*(Raw_Data_Daily!$AQ$2:$AQ$9999-Raw_Data_Daily!$AT$2:$AT$9999))/SUMIFS(Raw_Data_Daily!$D:$D, Raw_Data_Daily!$B:$B, "Variant", Raw_Data_Daily!$A:$A, $A29, Raw_Data_Daily!$C:$C, $C$3),""))</f>
        <v/>
      </c>
      <c r="EF29" s="174" t="str">
        <f t="shared" si="41"/>
        <v/>
      </c>
      <c r="EG29" s="139" t="str">
        <f>IF($A29="","",IFERROR(SUMPRODUCT((Raw_Data_Daily!$B$2:$B$9999="Control")*(Raw_Data_Daily!$A$2:$A$9999=$A29)*(Raw_Data_Daily!$C$2:$C$9999=$C$3)*Raw_Data_Daily!$D$2:$D$9999*Raw_Data_Daily!$AU$2:$AU$9999)/SUMIFS(Raw_Data_Daily!$D:$D, Raw_Data_Daily!$B:$B, "Control", Raw_Data_Daily!$A:$A, $A29, Raw_Data_Daily!$C:$C, $C$3),""))</f>
        <v/>
      </c>
      <c r="EH29" s="139" t="str">
        <f>IF($A29="","",IFERROR(SUMPRODUCT((Raw_Data_Daily!$B$2:$B$9999="Variant")*(Raw_Data_Daily!$A$2:$A$9999=$A29)*(Raw_Data_Daily!$C$2:$C$9999=$C$3)*Raw_Data_Daily!$D$2:$D$9999*Raw_Data_Daily!$AU$2:$AU$9999)/SUMIFS(Raw_Data_Daily!$D:$D, Raw_Data_Daily!$B:$B, "Variant", Raw_Data_Daily!$A:$A, $A29, Raw_Data_Daily!$C:$C, $C$3),""))</f>
        <v/>
      </c>
      <c r="EI29" s="173" t="str">
        <f t="shared" si="42"/>
        <v/>
      </c>
    </row>
    <row r="30" ht="15.75" customHeight="1">
      <c r="A30" s="91">
        <v>46253.0</v>
      </c>
      <c r="B30" s="92">
        <f>IF($A30="","",SUMIFS(Raw_Data_Daily!$D:$D, Raw_Data_Daily!$B:$B, "Control", Raw_Data_Daily!$A:$A, $A30, Raw_Data_Daily!$C:$C, $C$3))</f>
        <v>0</v>
      </c>
      <c r="C30" s="92">
        <f>IF($A30="","",SUMIFS(Raw_Data_Daily!$D:$D, Raw_Data_Daily!$B:$B, "Variant", Raw_Data_Daily!$A:$A, $A30, Raw_Data_Daily!$C:$C, $C$3))</f>
        <v>0</v>
      </c>
      <c r="D30" s="93" t="str">
        <f t="shared" si="1"/>
        <v/>
      </c>
      <c r="E30" s="94" t="str">
        <f>IF($A30="","",IFERROR(SUMPRODUCT((Raw_Data_Daily!$B$2:$B$9999="Control")*(Raw_Data_Daily!$A$2:$A$9999=$A30)*(Raw_Data_Daily!$C$2:$C$9999=$C$3)*Raw_Data_Daily!$D$2:$D$9999*Raw_Data_Daily!$E$2:$E$9999)/SUMIFS(Raw_Data_Daily!$D:$D, Raw_Data_Daily!$B:$B, "Control", Raw_Data_Daily!$A:$A, $A30, Raw_Data_Daily!$C:$C, $C$3),""))</f>
        <v/>
      </c>
      <c r="F30" s="94" t="str">
        <f>IF($A30="","",IFERROR(SUMPRODUCT((Raw_Data_Daily!$B$2:$B$9999="Variant")*(Raw_Data_Daily!$A$2:$A$9999=$A30)*(Raw_Data_Daily!$C$2:$C$9999=$C$3)*Raw_Data_Daily!$D$2:$D$9999*Raw_Data_Daily!$E$2:$E$9999)/SUMIFS(Raw_Data_Daily!$D:$D, Raw_Data_Daily!$B:$B, "Variant", Raw_Data_Daily!$A:$A, $A30, Raw_Data_Daily!$C:$C, $C$3),""))</f>
        <v/>
      </c>
      <c r="G30" s="93" t="str">
        <f t="shared" si="2"/>
        <v/>
      </c>
      <c r="H30" s="95">
        <f>IF($A30="","",SUMIFS(Raw_Data_Daily!$F:$F, Raw_Data_Daily!$B:$B, "Control", Raw_Data_Daily!$A:$A, $A30, Raw_Data_Daily!$C:$C, $C$3))</f>
        <v>0</v>
      </c>
      <c r="I30" s="95">
        <f>IF($A30="","",SUMIFS(Raw_Data_Daily!$F:$F, Raw_Data_Daily!$B:$B, "Variant", Raw_Data_Daily!$A:$A, $A30, Raw_Data_Daily!$C:$C, $C$3))</f>
        <v>0</v>
      </c>
      <c r="J30" s="96" t="str">
        <f t="shared" si="3"/>
        <v/>
      </c>
      <c r="K30" s="97" t="str">
        <f>IF($A30="","",IFERROR(SUMIFS(Raw_Data_Daily!$F:$F, Raw_Data_Daily!$B:$B, "Control", Raw_Data_Daily!$A:$A, $A30, Raw_Data_Daily!$C:$C, $C$3)/SUMIFS(Raw_Data_Daily!$D:$D, Raw_Data_Daily!$B:$B, "Control", Raw_Data_Daily!$A:$A, $A30, Raw_Data_Daily!$C:$C, $C$3),""))</f>
        <v/>
      </c>
      <c r="L30" s="97" t="str">
        <f>IF($A30="","",IFERROR(SUMIFS(Raw_Data_Daily!$F:$F, Raw_Data_Daily!$B:$B, "Variant", Raw_Data_Daily!$A:$A, $A30, Raw_Data_Daily!$C:$C, $C$3)/SUMIFS(Raw_Data_Daily!$D:$D, Raw_Data_Daily!$B:$B, "Variant", Raw_Data_Daily!$A:$A, $A30, Raw_Data_Daily!$C:$C, $C$3),""))</f>
        <v/>
      </c>
      <c r="M30" s="96" t="str">
        <f t="shared" si="4"/>
        <v/>
      </c>
      <c r="N30" s="94" t="str">
        <f>IF($A30="","",IFERROR(SUMPRODUCT((Raw_Data_Daily!$B$2:$B$9999="Control")*(Raw_Data_Daily!$A$2:$A$9999=$A30)*(Raw_Data_Daily!$C$2:$C$9999=$C$3)*Raw_Data_Daily!$D$2:$D$9999*Raw_Data_Daily!$H$2:$H$9999/100)/SUMIFS(Raw_Data_Daily!$D:$D, Raw_Data_Daily!$B:$B, "Control", Raw_Data_Daily!$A:$A, $A30, Raw_Data_Daily!$C:$C, $C$3)*100,""))</f>
        <v/>
      </c>
      <c r="O30" s="94" t="str">
        <f>IF($A30="","",IFERROR(SUMPRODUCT((Raw_Data_Daily!$B$2:$B$9999="Variant")*(Raw_Data_Daily!$A$2:$A$9999=$A30)*(Raw_Data_Daily!$C$2:$C$9999=$C$3)*Raw_Data_Daily!$D$2:$D$9999*Raw_Data_Daily!$H$2:$H$9999/100)/SUMIFS(Raw_Data_Daily!$D:$D, Raw_Data_Daily!$B:$B, "Variant", Raw_Data_Daily!$A:$A, $A30, Raw_Data_Daily!$C:$C, $C$3)*100,""))</f>
        <v/>
      </c>
      <c r="P30" s="96" t="str">
        <f t="shared" si="5"/>
        <v/>
      </c>
      <c r="Q30" s="97" t="str">
        <f>IF($A30="","",IFERROR(SUMIFS(Raw_Data_Daily!$F:$F, Raw_Data_Daily!$B:$B, "Control", Raw_Data_Daily!$A:$A, $A30, Raw_Data_Daily!$C:$C, $C$3)/SUMPRODUCT((Raw_Data_Daily!$B$2:$B$9999="Control")*(Raw_Data_Daily!$A$2:$A$9999=$A30)*(Raw_Data_Daily!$C$2:$C$9999=$C$3)*Raw_Data_Daily!$D$2:$D$9999*Raw_Data_Daily!$H$2:$H$9999/100),""))</f>
        <v/>
      </c>
      <c r="R30" s="97" t="str">
        <f>IF($A30="","",IFERROR(SUMIFS(Raw_Data_Daily!$F:$F, Raw_Data_Daily!$B:$B, "Variant", Raw_Data_Daily!$A:$A, $A30, Raw_Data_Daily!$C:$C, $C$3)/SUMPRODUCT((Raw_Data_Daily!$B$2:$B$9999="Variant")*(Raw_Data_Daily!$A$2:$A$9999=$A30)*(Raw_Data_Daily!$C$2:$C$9999=$C$3)*Raw_Data_Daily!$D$2:$D$9999*Raw_Data_Daily!$H$2:$H$9999/100),""))</f>
        <v/>
      </c>
      <c r="S30" s="96" t="str">
        <f t="shared" si="6"/>
        <v/>
      </c>
      <c r="T30" s="121" t="str">
        <f>IF($A30="","",IFERROR(SUMPRODUCT((Raw_Data_Daily!$B$2:$B$9999="Control")*(Raw_Data_Daily!$A$2:$A$9999=$A30)*(Raw_Data_Daily!$C$2:$C$9999=$C$3)*Raw_Data_Daily!$D$2:$D$9999*Raw_Data_Daily!$J$2:$J$9999)/SUMIFS(Raw_Data_Daily!$D:$D, Raw_Data_Daily!$B:$B, "Control", Raw_Data_Daily!$A:$A, $A30, Raw_Data_Daily!$C:$C, $C$3),""))</f>
        <v/>
      </c>
      <c r="U30" s="121" t="str">
        <f>IF($A30="","",IFERROR(SUMPRODUCT((Raw_Data_Daily!$B$2:$B$9999="Variant")*(Raw_Data_Daily!$A$2:$A$9999=$A30)*(Raw_Data_Daily!$C$2:$C$9999=$C$3)*Raw_Data_Daily!$D$2:$D$9999*Raw_Data_Daily!$J$2:$J$9999)/SUMIFS(Raw_Data_Daily!$D:$D, Raw_Data_Daily!$B:$B, "Variant", Raw_Data_Daily!$A:$A, $A30, Raw_Data_Daily!$C:$C, $C$3),""))</f>
        <v/>
      </c>
      <c r="V30" s="96" t="str">
        <f t="shared" si="7"/>
        <v/>
      </c>
      <c r="W30" s="121" t="str">
        <f>IF($A30="","",IFERROR(SUMPRODUCT((Raw_Data_Daily!$B$2:$B$9999="Control")*(Raw_Data_Daily!$A$2:$A$9999=$A30)*(Raw_Data_Daily!$C$2:$C$9999=$C$3)*Raw_Data_Daily!$D$2:$D$9999*Raw_Data_Daily!$K$2:$K$9999)/SUMIFS(Raw_Data_Daily!$D:$D, Raw_Data_Daily!$B:$B, "Control", Raw_Data_Daily!$A:$A, $A30, Raw_Data_Daily!$C:$C, $C$3),""))</f>
        <v/>
      </c>
      <c r="X30" s="121" t="str">
        <f>IF($A30="","",IFERROR(SUMPRODUCT((Raw_Data_Daily!$B$2:$B$9999="Variant")*(Raw_Data_Daily!$A$2:$A$9999=$A30)*(Raw_Data_Daily!$C$2:$C$9999=$C$3)*Raw_Data_Daily!$D$2:$D$9999*Raw_Data_Daily!$K$2:$K$9999)/SUMIFS(Raw_Data_Daily!$D:$D, Raw_Data_Daily!$B:$B, "Variant", Raw_Data_Daily!$A:$A, $A30, Raw_Data_Daily!$C:$C, $C$3),""))</f>
        <v/>
      </c>
      <c r="Y30" s="96" t="str">
        <f t="shared" si="8"/>
        <v/>
      </c>
      <c r="Z30" s="121" t="str">
        <f>IF($A30="","",IFERROR(SUMPRODUCT((Raw_Data_Daily!$B$2:$B$9999="Control")*(Raw_Data_Daily!$A$2:$A$9999=$A30)*(Raw_Data_Daily!$C$2:$C$9999=$C$3)*Raw_Data_Daily!$D$2:$D$9999*Raw_Data_Daily!$L$2:$L$9999)/SUMIFS(Raw_Data_Daily!$D:$D, Raw_Data_Daily!$B:$B, "Control", Raw_Data_Daily!$A:$A, $A30, Raw_Data_Daily!$C:$C, $C$3),""))</f>
        <v/>
      </c>
      <c r="AA30" s="121" t="str">
        <f>IF($A30="","",IFERROR(SUMPRODUCT((Raw_Data_Daily!$B$2:$B$9999="Variant")*(Raw_Data_Daily!$A$2:$A$9999=$A30)*(Raw_Data_Daily!$C$2:$C$9999=$C$3)*Raw_Data_Daily!$D$2:$D$9999*Raw_Data_Daily!$L$2:$L$9999)/SUMIFS(Raw_Data_Daily!$D:$D, Raw_Data_Daily!$B:$B, "Variant", Raw_Data_Daily!$A:$A, $A30, Raw_Data_Daily!$C:$C, $C$3),""))</f>
        <v/>
      </c>
      <c r="AB30" s="96" t="str">
        <f t="shared" si="9"/>
        <v/>
      </c>
      <c r="AC30" s="139" t="str">
        <f>IF($A30="","",IFERROR(SUMPRODUCT((Raw_Data_Daily!$B$2:$B$9999="Control")*(Raw_Data_Daily!$A$2:$A$9999=$A30)*(Raw_Data_Daily!$C$2:$C$9999=$C$3)*Raw_Data_Daily!$D$2:$D$9999*Raw_Data_Daily!$M$2:$M$9999)/SUMIFS(Raw_Data_Daily!$D:$D, Raw_Data_Daily!$B:$B, "Control", Raw_Data_Daily!$A:$A, $A30, Raw_Data_Daily!$C:$C, $C$3),""))</f>
        <v/>
      </c>
      <c r="AD30" s="139" t="str">
        <f>IF($A30="","",IFERROR(SUMPRODUCT((Raw_Data_Daily!$B$2:$B$9999="Variant")*(Raw_Data_Daily!$A$2:$A$9999=$A30)*(Raw_Data_Daily!$C$2:$C$9999=$C$3)*Raw_Data_Daily!$D$2:$D$9999*Raw_Data_Daily!$M$2:$M$9999)/SUMIFS(Raw_Data_Daily!$D:$D, Raw_Data_Daily!$B:$B, "Variant", Raw_Data_Daily!$A:$A, $A30, Raw_Data_Daily!$C:$C, $C$3),""))</f>
        <v/>
      </c>
      <c r="AE30" s="142" t="str">
        <f t="shared" si="10"/>
        <v/>
      </c>
      <c r="AF30" s="139" t="str">
        <f>IF($A30="","",IFERROR(SUMPRODUCT((Raw_Data_Daily!$B$2:$B$9999="Control")*(Raw_Data_Daily!$A$2:$A$9999=$A30)*(Raw_Data_Daily!$C$2:$C$9999=$C$3)*Raw_Data_Daily!$D$2:$D$9999*Raw_Data_Daily!$N$2:$N$9999)/SUMIFS(Raw_Data_Daily!$D:$D, Raw_Data_Daily!$B:$B, "Control", Raw_Data_Daily!$A:$A, $A30, Raw_Data_Daily!$C:$C, $C$3),""))</f>
        <v/>
      </c>
      <c r="AG30" s="139" t="str">
        <f>IF($A30="","",IFERROR(SUMPRODUCT((Raw_Data_Daily!$B$2:$B$9999="Variant")*(Raw_Data_Daily!$A$2:$A$9999=$A30)*(Raw_Data_Daily!$C$2:$C$9999=$C$3)*Raw_Data_Daily!$D$2:$D$9999*Raw_Data_Daily!$N$2:$N$9999)/SUMIFS(Raw_Data_Daily!$D:$D, Raw_Data_Daily!$B:$B, "Variant", Raw_Data_Daily!$A:$A, $A30, Raw_Data_Daily!$C:$C, $C$3),""))</f>
        <v/>
      </c>
      <c r="AH30" s="142" t="str">
        <f t="shared" si="11"/>
        <v/>
      </c>
      <c r="AI30" s="139" t="str">
        <f>IF($A30="","",IFERROR(SUMPRODUCT((Raw_Data_Daily!$B$2:$B$9999="Control")*(Raw_Data_Daily!$A$2:$A$9999=$A30)*(Raw_Data_Daily!$C$2:$C$9999=$C$3)*Raw_Data_Daily!$D$2:$D$9999*Raw_Data_Daily!$O$2:$O$9999)/SUMIFS(Raw_Data_Daily!$D:$D, Raw_Data_Daily!$B:$B, "Control", Raw_Data_Daily!$A:$A, $A30, Raw_Data_Daily!$C:$C, $C$3),""))</f>
        <v/>
      </c>
      <c r="AJ30" s="139" t="str">
        <f>IF($A30="","",IFERROR(SUMPRODUCT((Raw_Data_Daily!$B$2:$B$9999="Variant")*(Raw_Data_Daily!$A$2:$A$9999=$A30)*(Raw_Data_Daily!$C$2:$C$9999=$C$3)*Raw_Data_Daily!$D$2:$D$9999*Raw_Data_Daily!$O$2:$O$9999)/SUMIFS(Raw_Data_Daily!$D:$D, Raw_Data_Daily!$B:$B, "Variant", Raw_Data_Daily!$A:$A, $A30, Raw_Data_Daily!$C:$C, $C$3),""))</f>
        <v/>
      </c>
      <c r="AK30" s="96" t="str">
        <f t="shared" si="12"/>
        <v/>
      </c>
      <c r="AL30" s="121" t="str">
        <f>IF($A30="","",IFERROR(SUMPRODUCT((Raw_Data_Daily!$B$2:$B$9999="Control")*(Raw_Data_Daily!$A$2:$A$9999=$A30)*(Raw_Data_Daily!$C$2:$C$9999=$C$3)*Raw_Data_Daily!$D$2:$D$9999*Raw_Data_Daily!$P$2:$P$9999)/SUMIFS(Raw_Data_Daily!$D:$D, Raw_Data_Daily!$B:$B, "Control", Raw_Data_Daily!$A:$A, $A30, Raw_Data_Daily!$C:$C, $C$3),""))</f>
        <v/>
      </c>
      <c r="AM30" s="121" t="str">
        <f>IF($A30="","",IFERROR(SUMPRODUCT((Raw_Data_Daily!$B$2:$B$9999="Variant")*(Raw_Data_Daily!$A$2:$A$9999=$A30)*(Raw_Data_Daily!$C$2:$C$9999=$C$3)*Raw_Data_Daily!$D$2:$D$9999*Raw_Data_Daily!$P$2:$P$9999)/SUMIFS(Raw_Data_Daily!$D:$D, Raw_Data_Daily!$B:$B, "Variant", Raw_Data_Daily!$A:$A, $A30, Raw_Data_Daily!$C:$C, $C$3),""))</f>
        <v/>
      </c>
      <c r="AN30" s="96" t="str">
        <f t="shared" si="13"/>
        <v/>
      </c>
      <c r="AO30" s="121" t="str">
        <f>IF($A30="","",IFERROR(SUMPRODUCT((Raw_Data_Daily!$B$2:$B$9999="Control")*(Raw_Data_Daily!$A$2:$A$9999=$A30)*(Raw_Data_Daily!$C$2:$C$9999=$C$3)*Raw_Data_Daily!$D$2:$D$9999*Raw_Data_Daily!$Q$2:$Q$9999)/SUMIFS(Raw_Data_Daily!$D:$D, Raw_Data_Daily!$B:$B, "Control", Raw_Data_Daily!$A:$A, $A30, Raw_Data_Daily!$C:$C, $C$3),""))</f>
        <v/>
      </c>
      <c r="AP30" s="121" t="str">
        <f>IF($A30="","",IFERROR(SUMPRODUCT((Raw_Data_Daily!$B$2:$B$9999="Variant")*(Raw_Data_Daily!$A$2:$A$9999=$A30)*(Raw_Data_Daily!$C$2:$C$9999=$C$3)*Raw_Data_Daily!$D$2:$D$9999*Raw_Data_Daily!$Q$2:$Q$9999)/SUMIFS(Raw_Data_Daily!$D:$D, Raw_Data_Daily!$B:$B, "Variant", Raw_Data_Daily!$A:$A, $A30, Raw_Data_Daily!$C:$C, $C$3),""))</f>
        <v/>
      </c>
      <c r="AQ30" s="93" t="str">
        <f t="shared" si="14"/>
        <v/>
      </c>
      <c r="AR30" s="121" t="str">
        <f>IF($A30="","",IFERROR(SUMPRODUCT((Raw_Data_Daily!$B$2:$B$9999="Control")*(Raw_Data_Daily!$A$2:$A$9999=$A30)*(Raw_Data_Daily!$C$2:$C$9999=$C$3)*Raw_Data_Daily!$D$2:$D$9999*Raw_Data_Daily!$R$2:$R$9999)/SUMIFS(Raw_Data_Daily!$D:$D, Raw_Data_Daily!$B:$B, "Control", Raw_Data_Daily!$A:$A, $A30, Raw_Data_Daily!$C:$C, $C$3),""))</f>
        <v/>
      </c>
      <c r="AS30" s="121" t="str">
        <f>IF($A30="","",IFERROR(SUMPRODUCT((Raw_Data_Daily!$B$2:$B$9999="Variant")*(Raw_Data_Daily!$A$2:$A$9999=$A30)*(Raw_Data_Daily!$C$2:$C$9999=$C$3)*Raw_Data_Daily!$D$2:$D$9999*Raw_Data_Daily!$R$2:$R$9999)/SUMIFS(Raw_Data_Daily!$D:$D, Raw_Data_Daily!$B:$B, "Variant", Raw_Data_Daily!$A:$A, $A30, Raw_Data_Daily!$C:$C, $C$3),""))</f>
        <v/>
      </c>
      <c r="AT30" s="93" t="str">
        <f t="shared" si="15"/>
        <v/>
      </c>
      <c r="AU30" s="121" t="str">
        <f>IF($A30="","",IFERROR(SUMPRODUCT((Raw_Data_Daily!$B$2:$B$9999="Control")*(Raw_Data_Daily!$A$2:$A$9999=$A30)*(Raw_Data_Daily!$C$2:$C$9999=$C$3)*Raw_Data_Daily!$D$2:$D$9999*Raw_Data_Daily!$S$2:$S$9999)/SUMIFS(Raw_Data_Daily!$D:$D, Raw_Data_Daily!$B:$B, "Control", Raw_Data_Daily!$A:$A, $A30, Raw_Data_Daily!$C:$C, $C$3),""))</f>
        <v/>
      </c>
      <c r="AV30" s="121" t="str">
        <f>IF($A30="","",IFERROR(SUMPRODUCT((Raw_Data_Daily!$B$2:$B$9999="Variant")*(Raw_Data_Daily!$A$2:$A$9999=$A30)*(Raw_Data_Daily!$C$2:$C$9999=$C$3)*Raw_Data_Daily!$D$2:$D$9999*Raw_Data_Daily!$S$2:$S$9999)/SUMIFS(Raw_Data_Daily!$D:$D, Raw_Data_Daily!$B:$B, "Variant", Raw_Data_Daily!$A:$A, $A30, Raw_Data_Daily!$C:$C, $C$3),""))</f>
        <v/>
      </c>
      <c r="AW30" s="93" t="str">
        <f t="shared" si="16"/>
        <v/>
      </c>
      <c r="AX30" s="121" t="str">
        <f>IF($A30="","",IFERROR(SUMPRODUCT((Raw_Data_Daily!$B$2:$B$9999="Control")*(Raw_Data_Daily!$A$2:$A$9999=$A30)*(Raw_Data_Daily!$C$2:$C$9999=$C$3)*Raw_Data_Daily!$D$2:$D$9999*Raw_Data_Daily!$T$2:$T$9999)/SUMIFS(Raw_Data_Daily!$D:$D, Raw_Data_Daily!$B:$B, "Control", Raw_Data_Daily!$A:$A, $A30, Raw_Data_Daily!$C:$C, $C$3),""))</f>
        <v/>
      </c>
      <c r="AY30" s="121" t="str">
        <f>IF($A30="","",IFERROR(SUMPRODUCT((Raw_Data_Daily!$B$2:$B$9999="Variant")*(Raw_Data_Daily!$A$2:$A$9999=$A30)*(Raw_Data_Daily!$C$2:$C$9999=$C$3)*Raw_Data_Daily!$D$2:$D$9999*Raw_Data_Daily!$T$2:$T$9999)/SUMIFS(Raw_Data_Daily!$D:$D, Raw_Data_Daily!$B:$B, "Variant", Raw_Data_Daily!$A:$A, $A30, Raw_Data_Daily!$C:$C, $C$3),""))</f>
        <v/>
      </c>
      <c r="AZ30" s="96" t="str">
        <f t="shared" si="17"/>
        <v/>
      </c>
      <c r="BA30" s="121" t="str">
        <f>IF($A30="","",IFERROR(SUMPRODUCT((Raw_Data_Daily!$B$2:$B$9999="Control")*(Raw_Data_Daily!$A$2:$A$9999=$A30)*(Raw_Data_Daily!$C$2:$C$9999=$C$3)*Raw_Data_Daily!$D$2:$D$9999*Raw_Data_Daily!$U$2:$U$9999)/SUMIFS(Raw_Data_Daily!$D:$D, Raw_Data_Daily!$B:$B, "Control", Raw_Data_Daily!$A:$A, $A30, Raw_Data_Daily!$C:$C, $C$3),""))</f>
        <v/>
      </c>
      <c r="BB30" s="121" t="str">
        <f>IF($A30="","",IFERROR(SUMPRODUCT((Raw_Data_Daily!$B$2:$B$9999="Variant")*(Raw_Data_Daily!$A$2:$A$9999=$A30)*(Raw_Data_Daily!$C$2:$C$9999=$C$3)*Raw_Data_Daily!$D$2:$D$9999*Raw_Data_Daily!$U$2:$U$9999)/SUMIFS(Raw_Data_Daily!$D:$D, Raw_Data_Daily!$B:$B, "Variant", Raw_Data_Daily!$A:$A, $A30, Raw_Data_Daily!$C:$C, $C$3),""))</f>
        <v/>
      </c>
      <c r="BC30" s="93" t="str">
        <f t="shared" si="18"/>
        <v/>
      </c>
      <c r="BD30" s="121" t="str">
        <f>IF($A30="","",IFERROR(SUMPRODUCT((Raw_Data_Daily!$B$2:$B$9999="Control")*(Raw_Data_Daily!$A$2:$A$9999=$A30)*(Raw_Data_Daily!$C$2:$C$9999=$C$3)*Raw_Data_Daily!$D$2:$D$9999*Raw_Data_Daily!$V$2:$V$9999)/SUMIFS(Raw_Data_Daily!$D:$D, Raw_Data_Daily!$B:$B, "Control", Raw_Data_Daily!$A:$A, $A30, Raw_Data_Daily!$C:$C, $C$3),""))</f>
        <v/>
      </c>
      <c r="BE30" s="121" t="str">
        <f>IF($A30="","",IFERROR(SUMPRODUCT((Raw_Data_Daily!$B$2:$B$9999="Variant")*(Raw_Data_Daily!$A$2:$A$9999=$A30)*(Raw_Data_Daily!$C$2:$C$9999=$C$3)*Raw_Data_Daily!$D$2:$D$9999*Raw_Data_Daily!$V$2:$V$9999)/SUMIFS(Raw_Data_Daily!$D:$D, Raw_Data_Daily!$B:$B, "Variant", Raw_Data_Daily!$A:$A, $A30, Raw_Data_Daily!$C:$C, $C$3),""))</f>
        <v/>
      </c>
      <c r="BF30" s="93" t="str">
        <f t="shared" si="19"/>
        <v/>
      </c>
      <c r="BG30" s="121" t="str">
        <f>IF($A30="","",IFERROR(SUMPRODUCT((Raw_Data_Daily!$B$2:$B$9999="Control")*(Raw_Data_Daily!$A$2:$A$9999=$A30)*(Raw_Data_Daily!$C$2:$C$9999=$C$3)*Raw_Data_Daily!$D$2:$D$9999*(Raw_Data_Daily!$Q$2:$Q$9999-Raw_Data_Daily!$V$2:$V$9999))/SUMIFS(Raw_Data_Daily!$D:$D, Raw_Data_Daily!$B:$B, "Control", Raw_Data_Daily!$A:$A, $A30, Raw_Data_Daily!$C:$C, $C$3),""))</f>
        <v/>
      </c>
      <c r="BH30" s="121" t="str">
        <f>IF($A30="","",IFERROR(SUMPRODUCT((Raw_Data_Daily!$B$2:$B$9999="Variant")*(Raw_Data_Daily!$A$2:$A$9999=$A30)*(Raw_Data_Daily!$C$2:$C$9999=$C$3)*Raw_Data_Daily!$D$2:$D$9999*(Raw_Data_Daily!$Q$2:$Q$9999-Raw_Data_Daily!$V$2:$V$9999))/SUMIFS(Raw_Data_Daily!$D:$D, Raw_Data_Daily!$B:$B, "Variant", Raw_Data_Daily!$A:$A, $A30, Raw_Data_Daily!$C:$C, $C$3),""))</f>
        <v/>
      </c>
      <c r="BI30" s="93" t="str">
        <f t="shared" si="20"/>
        <v/>
      </c>
      <c r="BJ30" s="121" t="str">
        <f>IF($A30="","",IFERROR(SUMPRODUCT((Raw_Data_Daily!$B$2:$B$9999="Control")*(Raw_Data_Daily!$A$2:$A$9999=$A30)*(Raw_Data_Daily!$C$2:$C$9999=$C$3)*Raw_Data_Daily!$D$2:$D$9999*Raw_Data_Daily!$W$2:$W$9999)/SUMIFS(Raw_Data_Daily!$D:$D, Raw_Data_Daily!$B:$B, "Control", Raw_Data_Daily!$A:$A, $A30, Raw_Data_Daily!$C:$C, $C$3),""))</f>
        <v/>
      </c>
      <c r="BK30" s="121" t="str">
        <f>IF($A30="","",IFERROR(SUMPRODUCT((Raw_Data_Daily!$B$2:$B$9999="Variant")*(Raw_Data_Daily!$A$2:$A$9999=$A30)*(Raw_Data_Daily!$C$2:$C$9999=$C$3)*Raw_Data_Daily!$D$2:$D$9999*Raw_Data_Daily!$W$2:$W$9999)/SUMIFS(Raw_Data_Daily!$D:$D, Raw_Data_Daily!$B:$B, "Variant", Raw_Data_Daily!$A:$A, $A30, Raw_Data_Daily!$C:$C, $C$3),""))</f>
        <v/>
      </c>
      <c r="BL30" s="93" t="str">
        <f t="shared" si="21"/>
        <v/>
      </c>
      <c r="BM30" s="139" t="str">
        <f>IF($A30="","",IFERROR(SUMPRODUCT((Raw_Data_Daily!$B$2:$B$9999="Control")*(Raw_Data_Daily!$A$2:$A$9999=$A30)*(Raw_Data_Daily!$C$2:$C$9999=$C$3)*Raw_Data_Daily!$D$2:$D$9999*Raw_Data_Daily!$X$2:$X$9999)/SUMIFS(Raw_Data_Daily!$D:$D, Raw_Data_Daily!$B:$B, "Control", Raw_Data_Daily!$A:$A, $A30, Raw_Data_Daily!$C:$C, $C$3),""))</f>
        <v/>
      </c>
      <c r="BN30" s="139" t="str">
        <f>IF($A30="","",IFERROR(SUMPRODUCT((Raw_Data_Daily!$B$2:$B$9999="Variant")*(Raw_Data_Daily!$A$2:$A$9999=$A30)*(Raw_Data_Daily!$C$2:$C$9999=$C$3)*Raw_Data_Daily!$D$2:$D$9999*Raw_Data_Daily!$X$2:$X$9999)/SUMIFS(Raw_Data_Daily!$D:$D, Raw_Data_Daily!$B:$B, "Variant", Raw_Data_Daily!$A:$A, $A30, Raw_Data_Daily!$C:$C, $C$3),""))</f>
        <v/>
      </c>
      <c r="BO30" s="96" t="str">
        <f t="shared" si="22"/>
        <v/>
      </c>
      <c r="BP30" s="92" t="str">
        <f>IF($A30="","",IFERROR(SUMPRODUCT((Raw_Data_Daily!$B$2:$B$9999="Control")*(Raw_Data_Daily!$A$2:$A$9999=$A30)*(Raw_Data_Daily!$C$2:$C$9999=$C$3)*Raw_Data_Daily!$D$2:$D$9999*Raw_Data_Daily!$Y$2:$Y$9999)/SUMIFS(Raw_Data_Daily!$D:$D, Raw_Data_Daily!$B:$B, "Control", Raw_Data_Daily!$A:$A, $A30, Raw_Data_Daily!$C:$C, $C$3),""))</f>
        <v/>
      </c>
      <c r="BQ30" s="92" t="str">
        <f>IF($A30="","",IFERROR(SUMPRODUCT((Raw_Data_Daily!$B$2:$B$9999="Variant")*(Raw_Data_Daily!$A$2:$A$9999=$A30)*(Raw_Data_Daily!$C$2:$C$9999=$C$3)*Raw_Data_Daily!$D$2:$D$9999*Raw_Data_Daily!$Y$2:$Y$9999)/SUMIFS(Raw_Data_Daily!$D:$D, Raw_Data_Daily!$B:$B, "Variant", Raw_Data_Daily!$A:$A, $A30, Raw_Data_Daily!$C:$C, $C$3),""))</f>
        <v/>
      </c>
      <c r="BR30" s="93" t="str">
        <f t="shared" si="23"/>
        <v/>
      </c>
      <c r="BS30" s="92" t="str">
        <f>IF($A30="","",IFERROR(SUMPRODUCT((Raw_Data_Daily!$B$2:$B$9999="Control")*(Raw_Data_Daily!$A$2:$A$9999=$A30)*(Raw_Data_Daily!$C$2:$C$9999=$C$3)*Raw_Data_Daily!$D$2:$D$9999*Raw_Data_Daily!$Z$2:$Z$9999)/SUMIFS(Raw_Data_Daily!$D:$D, Raw_Data_Daily!$B:$B, "Control", Raw_Data_Daily!$A:$A, $A30, Raw_Data_Daily!$C:$C, $C$3),""))</f>
        <v/>
      </c>
      <c r="BT30" s="92" t="str">
        <f>IF($A30="","",IFERROR(SUMPRODUCT((Raw_Data_Daily!$B$2:$B$9999="Variant")*(Raw_Data_Daily!$A$2:$A$9999=$A30)*(Raw_Data_Daily!$C$2:$C$9999=$C$3)*Raw_Data_Daily!$D$2:$D$9999*Raw_Data_Daily!$Z$2:$Z$9999)/SUMIFS(Raw_Data_Daily!$D:$D, Raw_Data_Daily!$B:$B, "Variant", Raw_Data_Daily!$A:$A, $A30, Raw_Data_Daily!$C:$C, $C$3),""))</f>
        <v/>
      </c>
      <c r="BU30" s="93" t="str">
        <f t="shared" si="24"/>
        <v/>
      </c>
      <c r="BV30" s="92" t="str">
        <f>IF($A30="","",IFERROR(SUMPRODUCT((Raw_Data_Daily!$B$2:$B$9999="Control")*(Raw_Data_Daily!$A$2:$A$9999=$A30)*(Raw_Data_Daily!$C$2:$C$9999=$C$3)*Raw_Data_Daily!$D$2:$D$9999*Raw_Data_Daily!$AA$2:$AA$9999)/SUMIFS(Raw_Data_Daily!$D:$D, Raw_Data_Daily!$B:$B, "Control", Raw_Data_Daily!$A:$A, $A30, Raw_Data_Daily!$C:$C, $C$3),""))</f>
        <v/>
      </c>
      <c r="BW30" s="92" t="str">
        <f>IF($A30="","",IFERROR(SUMPRODUCT((Raw_Data_Daily!$B$2:$B$9999="Variant")*(Raw_Data_Daily!$A$2:$A$9999=$A30)*(Raw_Data_Daily!$C$2:$C$9999=$C$3)*Raw_Data_Daily!$D$2:$D$9999*Raw_Data_Daily!$AA$2:$AA$9999)/SUMIFS(Raw_Data_Daily!$D:$D, Raw_Data_Daily!$B:$B, "Variant", Raw_Data_Daily!$A:$A, $A30, Raw_Data_Daily!$C:$C, $C$3),""))</f>
        <v/>
      </c>
      <c r="BX30" s="93" t="str">
        <f t="shared" si="25"/>
        <v/>
      </c>
      <c r="BY30" s="121" t="str">
        <f>IF($A30="","",IFERROR(SUMPRODUCT((Raw_Data_Daily!$B$2:$B$9999="Control")*(Raw_Data_Daily!$A$2:$A$9999=$A30)*(Raw_Data_Daily!$C$2:$C$9999=$C$3)*Raw_Data_Daily!$D$2:$D$9999*Raw_Data_Daily!$AB$2:$AB$9999)/SUMIFS(Raw_Data_Daily!$D:$D, Raw_Data_Daily!$B:$B, "Control", Raw_Data_Daily!$A:$A, $A30, Raw_Data_Daily!$C:$C, $C$3),""))</f>
        <v/>
      </c>
      <c r="BZ30" s="121" t="str">
        <f>IF($A30="","",IFERROR(SUMPRODUCT((Raw_Data_Daily!$B$2:$B$9999="Variant")*(Raw_Data_Daily!$A$2:$A$9999=$A30)*(Raw_Data_Daily!$C$2:$C$9999=$C$3)*Raw_Data_Daily!$D$2:$D$9999*Raw_Data_Daily!$AB$2:$AB$9999)/SUMIFS(Raw_Data_Daily!$D:$D, Raw_Data_Daily!$B:$B, "Variant", Raw_Data_Daily!$A:$A, $A30, Raw_Data_Daily!$C:$C, $C$3),""))</f>
        <v/>
      </c>
      <c r="CA30" s="96" t="str">
        <f t="shared" si="26"/>
        <v/>
      </c>
      <c r="CB30" s="121" t="str">
        <f>IF($A30="","",IFERROR(SUMPRODUCT((Raw_Data_Daily!$B$2:$B$9999="Control")*(Raw_Data_Daily!$A$2:$A$9999=$A30)*(Raw_Data_Daily!$C$2:$C$9999=$C$3)*Raw_Data_Daily!$D$2:$D$9999*Raw_Data_Daily!$AC$2:$AC$9999)/SUMIFS(Raw_Data_Daily!$D:$D, Raw_Data_Daily!$B:$B, "Control", Raw_Data_Daily!$A:$A, $A30, Raw_Data_Daily!$C:$C, $C$3),""))</f>
        <v/>
      </c>
      <c r="CC30" s="121" t="str">
        <f>IF($A30="","",IFERROR(SUMPRODUCT((Raw_Data_Daily!$B$2:$B$9999="Variant")*(Raw_Data_Daily!$A$2:$A$9999=$A30)*(Raw_Data_Daily!$C$2:$C$9999=$C$3)*Raw_Data_Daily!$D$2:$D$9999*Raw_Data_Daily!$AC$2:$AC$9999)/SUMIFS(Raw_Data_Daily!$D:$D, Raw_Data_Daily!$B:$B, "Variant", Raw_Data_Daily!$A:$A, $A30, Raw_Data_Daily!$C:$C, $C$3),""))</f>
        <v/>
      </c>
      <c r="CD30" s="96" t="str">
        <f t="shared" si="27"/>
        <v/>
      </c>
      <c r="CE30" s="121" t="str">
        <f>IF($A30="","",IFERROR(SUMPRODUCT((Raw_Data_Daily!$B$2:$B$9999="Control")*(Raw_Data_Daily!$A$2:$A$9999=$A30)*(Raw_Data_Daily!$C$2:$C$9999=$C$3)*Raw_Data_Daily!$D$2:$D$9999*Raw_Data_Daily!$AD$2:$AD$9999)/SUMIFS(Raw_Data_Daily!$D:$D, Raw_Data_Daily!$B:$B, "Control", Raw_Data_Daily!$A:$A, $A30, Raw_Data_Daily!$C:$C, $C$3),""))</f>
        <v/>
      </c>
      <c r="CF30" s="121" t="str">
        <f>IF($A30="","",IFERROR(SUMPRODUCT((Raw_Data_Daily!$B$2:$B$9999="Variant")*(Raw_Data_Daily!$A$2:$A$9999=$A30)*(Raw_Data_Daily!$C$2:$C$9999=$C$3)*Raw_Data_Daily!$D$2:$D$9999*Raw_Data_Daily!$AD$2:$AD$9999)/SUMIFS(Raw_Data_Daily!$D:$D, Raw_Data_Daily!$B:$B, "Variant", Raw_Data_Daily!$A:$A, $A30, Raw_Data_Daily!$C:$C, $C$3),""))</f>
        <v/>
      </c>
      <c r="CG30" s="96" t="str">
        <f t="shared" si="28"/>
        <v/>
      </c>
      <c r="CH30" s="121" t="str">
        <f>IF($A30="","",IFERROR(SUMPRODUCT((Raw_Data_Daily!$B$2:$B$9999="Control")*(Raw_Data_Daily!$A$2:$A$9999=$A30)*(Raw_Data_Daily!$C$2:$C$9999=$C$3)*Raw_Data_Daily!$D$2:$D$9999*Raw_Data_Daily!$AE$2:$AE$9999)/SUMIFS(Raw_Data_Daily!$D:$D, Raw_Data_Daily!$B:$B, "Control", Raw_Data_Daily!$A:$A, $A30, Raw_Data_Daily!$C:$C, $C$3),""))</f>
        <v/>
      </c>
      <c r="CI30" s="121" t="str">
        <f>IF($A30="","",IFERROR(SUMPRODUCT((Raw_Data_Daily!$B$2:$B$9999="Variant")*(Raw_Data_Daily!$A$2:$A$9999=$A30)*(Raw_Data_Daily!$C$2:$C$9999=$C$3)*Raw_Data_Daily!$D$2:$D$9999*Raw_Data_Daily!$AE$2:$AE$9999)/SUMIFS(Raw_Data_Daily!$D:$D, Raw_Data_Daily!$B:$B, "Variant", Raw_Data_Daily!$A:$A, $A30, Raw_Data_Daily!$C:$C, $C$3),""))</f>
        <v/>
      </c>
      <c r="CJ30" s="96" t="str">
        <f t="shared" si="29"/>
        <v/>
      </c>
      <c r="CK30" s="121" t="str">
        <f>IF($A30="","",IFERROR(SUMPRODUCT((Raw_Data_Daily!$B$2:$B$9999="Control")*(Raw_Data_Daily!$A$2:$A$9999=$A30)*(Raw_Data_Daily!$C$2:$C$9999=$C$3)*Raw_Data_Daily!$D$2:$D$9999*Raw_Data_Daily!$AF$2:$AF$9999)/SUMIFS(Raw_Data_Daily!$D:$D, Raw_Data_Daily!$B:$B, "Control", Raw_Data_Daily!$A:$A, $A30, Raw_Data_Daily!$C:$C, $C$3),""))</f>
        <v/>
      </c>
      <c r="CL30" s="121" t="str">
        <f>IF($A30="","",IFERROR(SUMPRODUCT((Raw_Data_Daily!$B$2:$B$9999="Variant")*(Raw_Data_Daily!$A$2:$A$9999=$A30)*(Raw_Data_Daily!$C$2:$C$9999=$C$3)*Raw_Data_Daily!$D$2:$D$9999*Raw_Data_Daily!$AF$2:$AF$9999)/SUMIFS(Raw_Data_Daily!$D:$D, Raw_Data_Daily!$B:$B, "Variant", Raw_Data_Daily!$A:$A, $A30, Raw_Data_Daily!$C:$C, $C$3),""))</f>
        <v/>
      </c>
      <c r="CM30" s="96" t="str">
        <f t="shared" si="30"/>
        <v/>
      </c>
      <c r="CN30" s="121" t="str">
        <f>IF($A30="","",IFERROR(SUMPRODUCT((Raw_Data_Daily!$B$2:$B$9999="Control")*(Raw_Data_Daily!$A$2:$A$9999=$A30)*(Raw_Data_Daily!$C$2:$C$9999=$C$3)*Raw_Data_Daily!$D$2:$D$9999*Raw_Data_Daily!$AG$2:$AG$9999)/SUMIFS(Raw_Data_Daily!$D:$D, Raw_Data_Daily!$B:$B, "Control", Raw_Data_Daily!$A:$A, $A30, Raw_Data_Daily!$C:$C, $C$3),""))</f>
        <v/>
      </c>
      <c r="CO30" s="121" t="str">
        <f>IF($A30="","",IFERROR(SUMPRODUCT((Raw_Data_Daily!$B$2:$B$9999="Variant")*(Raw_Data_Daily!$A$2:$A$9999=$A30)*(Raw_Data_Daily!$C$2:$C$9999=$C$3)*Raw_Data_Daily!$D$2:$D$9999*Raw_Data_Daily!$AG$2:$AG$9999)/SUMIFS(Raw_Data_Daily!$D:$D, Raw_Data_Daily!$B:$B, "Variant", Raw_Data_Daily!$A:$A, $A30, Raw_Data_Daily!$C:$C, $C$3),""))</f>
        <v/>
      </c>
      <c r="CP30" s="96" t="str">
        <f t="shared" si="31"/>
        <v/>
      </c>
      <c r="CQ30" s="121" t="str">
        <f>IF($A30="","",IFERROR(SUMPRODUCT((Raw_Data_Daily!$B$2:$B$9999="Control")*(Raw_Data_Daily!$A$2:$A$9999=$A30)*(Raw_Data_Daily!$C$2:$C$9999=$C$3)*Raw_Data_Daily!$D$2:$D$9999*Raw_Data_Daily!$AH$2:$AH$9999)/SUMIFS(Raw_Data_Daily!$D:$D, Raw_Data_Daily!$B:$B, "Control", Raw_Data_Daily!$A:$A, $A30, Raw_Data_Daily!$C:$C, $C$3),""))</f>
        <v/>
      </c>
      <c r="CR30" s="121" t="str">
        <f>IF($A30="","",IFERROR(SUMPRODUCT((Raw_Data_Daily!$B$2:$B$9999="Variant")*(Raw_Data_Daily!$A$2:$A$9999=$A30)*(Raw_Data_Daily!$C$2:$C$9999=$C$3)*Raw_Data_Daily!$D$2:$D$9999*Raw_Data_Daily!$AH$2:$AH$9999)/SUMIFS(Raw_Data_Daily!$D:$D, Raw_Data_Daily!$B:$B, "Variant", Raw_Data_Daily!$A:$A, $A30, Raw_Data_Daily!$C:$C, $C$3),""))</f>
        <v/>
      </c>
      <c r="CS30" s="96" t="str">
        <f t="shared" si="32"/>
        <v/>
      </c>
      <c r="CT30" s="94" t="str">
        <f>IF($A30="","",IFERROR(SUMPRODUCT((Raw_Data_Daily!$B$2:$B$9999="Control")*(Raw_Data_Daily!$A$2:$A$9999=$A30)*(Raw_Data_Daily!$C$2:$C$9999=$C$3)*Raw_Data_Daily!$D$2:$D$9999*Raw_Data_Daily!$AI$2:$AI$9999)/SUMIFS(Raw_Data_Daily!$D:$D, Raw_Data_Daily!$B:$B, "Control", Raw_Data_Daily!$A:$A, $A30, Raw_Data_Daily!$C:$C, $C$3),""))</f>
        <v/>
      </c>
      <c r="CU30" s="94" t="str">
        <f>IF($A30="","",IFERROR(SUMPRODUCT((Raw_Data_Daily!$B$2:$B$9999="Variant")*(Raw_Data_Daily!$A$2:$A$9999=$A30)*(Raw_Data_Daily!$C$2:$C$9999=$C$3)*Raw_Data_Daily!$D$2:$D$9999*Raw_Data_Daily!$AI$2:$AI$9999)/SUMIFS(Raw_Data_Daily!$D:$D, Raw_Data_Daily!$B:$B, "Variant", Raw_Data_Daily!$A:$A, $A30, Raw_Data_Daily!$C:$C, $C$3),""))</f>
        <v/>
      </c>
      <c r="CV30" s="142" t="str">
        <f t="shared" si="33"/>
        <v/>
      </c>
      <c r="CW30" s="94" t="str">
        <f>IF($A30="","",IFERROR(SUMPRODUCT((Raw_Data_Daily!$B$2:$B$9999="Control")*(Raw_Data_Daily!$A$2:$A$9999=$A30)*(Raw_Data_Daily!$C$2:$C$9999=$C$3)*Raw_Data_Daily!$D$2:$D$9999*Raw_Data_Daily!$AJ$2:$AJ$9999)/SUMIFS(Raw_Data_Daily!$D:$D, Raw_Data_Daily!$B:$B, "Control", Raw_Data_Daily!$A:$A, $A30, Raw_Data_Daily!$C:$C, $C$3),""))</f>
        <v/>
      </c>
      <c r="CX30" s="94" t="str">
        <f>IF($A30="","",IFERROR(SUMPRODUCT((Raw_Data_Daily!$B$2:$B$9999="Variant")*(Raw_Data_Daily!$A$2:$A$9999=$A30)*(Raw_Data_Daily!$C$2:$C$9999=$C$3)*Raw_Data_Daily!$D$2:$D$9999*Raw_Data_Daily!$AJ$2:$AJ$9999)/SUMIFS(Raw_Data_Daily!$D:$D, Raw_Data_Daily!$B:$B, "Variant", Raw_Data_Daily!$A:$A, $A30, Raw_Data_Daily!$C:$C, $C$3),""))</f>
        <v/>
      </c>
      <c r="CY30" s="142" t="str">
        <f t="shared" si="34"/>
        <v/>
      </c>
      <c r="CZ30" s="94" t="str">
        <f>IF($A30="","",IFERROR(SUMPRODUCT((Raw_Data_Daily!$B$2:$B$9999="Control")*(Raw_Data_Daily!$A$2:$A$9999=$A30)*(Raw_Data_Daily!$C$2:$C$9999=$C$3)*Raw_Data_Daily!$D$2:$D$9999*Raw_Data_Daily!$AK$2:$AK$9999)/SUMIFS(Raw_Data_Daily!$D:$D, Raw_Data_Daily!$B:$B, "Control", Raw_Data_Daily!$A:$A, $A30, Raw_Data_Daily!$C:$C, $C$3),""))</f>
        <v/>
      </c>
      <c r="DA30" s="94" t="str">
        <f>IF($A30="","",IFERROR(SUMPRODUCT((Raw_Data_Daily!$B$2:$B$9999="Variant")*(Raw_Data_Daily!$A$2:$A$9999=$A30)*(Raw_Data_Daily!$C$2:$C$9999=$C$3)*Raw_Data_Daily!$D$2:$D$9999*Raw_Data_Daily!$AK$2:$AK$9999)/SUMIFS(Raw_Data_Daily!$D:$D, Raw_Data_Daily!$B:$B, "Variant", Raw_Data_Daily!$A:$A, $A30, Raw_Data_Daily!$C:$C, $C$3),""))</f>
        <v/>
      </c>
      <c r="DB30" s="96" t="str">
        <f t="shared" si="35"/>
        <v/>
      </c>
      <c r="DC30" s="139" t="str">
        <f>IF($A30="","",IFERROR(SUMPRODUCT((Raw_Data_Daily!$B$2:$B$9999="Control")*(Raw_Data_Daily!$A$2:$A$9999=$A30)*(Raw_Data_Daily!$C$2:$C$9999=$C$3)*Raw_Data_Daily!$D$2:$D$9999*Raw_Data_Daily!$AL$2:$AL$9999)/SUMIFS(Raw_Data_Daily!$D:$D, Raw_Data_Daily!$B:$B, "Control", Raw_Data_Daily!$A:$A, $A30, Raw_Data_Daily!$C:$C, $C$3),""))</f>
        <v/>
      </c>
      <c r="DD30" s="139" t="str">
        <f>IF($A30="","",IFERROR(SUMPRODUCT((Raw_Data_Daily!$B$2:$B$9999="Variant")*(Raw_Data_Daily!$A$2:$A$9999=$A30)*(Raw_Data_Daily!$C$2:$C$9999=$C$3)*Raw_Data_Daily!$D$2:$D$9999*Raw_Data_Daily!$AL$2:$AL$9999)/SUMIFS(Raw_Data_Daily!$D:$D, Raw_Data_Daily!$B:$B, "Variant", Raw_Data_Daily!$A:$A, $A30, Raw_Data_Daily!$C:$C, $C$3),""))</f>
        <v/>
      </c>
      <c r="DE30" s="142" t="str">
        <f t="shared" si="36"/>
        <v/>
      </c>
      <c r="DF30" s="168"/>
      <c r="DG30" s="94" t="str">
        <f>IF($A30="","",IFERROR(SUMPRODUCT((Raw_Data_Daily!$B$2:$B$9999="Variant")*(Raw_Data_Daily!$A$2:$A$9999=$A30)*(Raw_Data_Daily!$C$2:$C$9999=$C$3)*Raw_Data_Daily!$D$2:$D$9999*Raw_Data_Daily!$AM$2:$AM$9999)/SUMIFS(Raw_Data_Daily!$D:$D, Raw_Data_Daily!$B:$B, "Variant", Raw_Data_Daily!$A:$A, $A30, Raw_Data_Daily!$C:$C, $C$3),""))</f>
        <v/>
      </c>
      <c r="DH30" s="169"/>
      <c r="DI30" s="168"/>
      <c r="DJ30" s="94" t="str">
        <f>IF($A30="","",IFERROR(SUMPRODUCT((Raw_Data_Daily!$B$2:$B$9999="Variant")*(Raw_Data_Daily!$A$2:$A$9999=$A30)*(Raw_Data_Daily!$C$2:$C$9999=$C$3)*Raw_Data_Daily!$D$2:$D$9999*Raw_Data_Daily!$AN$2:$AN$9999)/SUMIFS(Raw_Data_Daily!$D:$D, Raw_Data_Daily!$B:$B, "Variant", Raw_Data_Daily!$A:$A, $A30, Raw_Data_Daily!$C:$C, $C$3),""))</f>
        <v/>
      </c>
      <c r="DK30" s="169"/>
      <c r="DL30" s="168"/>
      <c r="DM30" s="94" t="str">
        <f>IF($A30="","",IFERROR(SUMPRODUCT((Raw_Data_Daily!$B$2:$B$9999="Variant")*(Raw_Data_Daily!$A$2:$A$9999=$A30)*(Raw_Data_Daily!$C$2:$C$9999=$C$3)*Raw_Data_Daily!$D$2:$D$9999*Raw_Data_Daily!$AO$2:$AO$9999)/SUMIFS(Raw_Data_Daily!$D:$D, Raw_Data_Daily!$B:$B, "Variant", Raw_Data_Daily!$A:$A, $A30, Raw_Data_Daily!$C:$C, $C$3),""))</f>
        <v/>
      </c>
      <c r="DN30" s="169"/>
      <c r="DO30" s="168"/>
      <c r="DP30" s="94" t="str">
        <f>IF($A30="","",IFERROR(SUMPRODUCT((Raw_Data_Daily!$B$2:$B$9999="Variant")*(Raw_Data_Daily!$A$2:$A$9999=$A30)*(Raw_Data_Daily!$C$2:$C$9999=$C$3)*Raw_Data_Daily!$D$2:$D$9999*Raw_Data_Daily!$AP$2:$AP$9999)/SUMIFS(Raw_Data_Daily!$D:$D, Raw_Data_Daily!$B:$B, "Variant", Raw_Data_Daily!$A:$A, $A30, Raw_Data_Daily!$C:$C, $C$3),""))</f>
        <v/>
      </c>
      <c r="DQ30" s="169"/>
      <c r="DR30" s="139" t="str">
        <f>IF($A30="","",IFERROR(SUMPRODUCT((Raw_Data_Daily!$B$2:$B$9999="Control")*(Raw_Data_Daily!$A$2:$A$9999=$A30)*(Raw_Data_Daily!$C$2:$C$9999=$C$3)*Raw_Data_Daily!$D$2:$D$9999*Raw_Data_Daily!$AQ$2:$AQ$9999)/SUMIFS(Raw_Data_Daily!$D:$D, Raw_Data_Daily!$B:$B, "Control", Raw_Data_Daily!$A:$A, $A30, Raw_Data_Daily!$C:$C, $C$3),""))</f>
        <v/>
      </c>
      <c r="DS30" s="139" t="str">
        <f>IF($A30="","",IFERROR(SUMPRODUCT((Raw_Data_Daily!$B$2:$B$9999="Variant")*(Raw_Data_Daily!$A$2:$A$9999=$A30)*(Raw_Data_Daily!$C$2:$C$9999=$C$3)*Raw_Data_Daily!$D$2:$D$9999*Raw_Data_Daily!$AQ$2:$AQ$9999)/SUMIFS(Raw_Data_Daily!$D:$D, Raw_Data_Daily!$B:$B, "Variant", Raw_Data_Daily!$A:$A, $A30, Raw_Data_Daily!$C:$C, $C$3),""))</f>
        <v/>
      </c>
      <c r="DT30" s="173" t="str">
        <f t="shared" si="37"/>
        <v/>
      </c>
      <c r="DU30" s="139" t="str">
        <f>IF($A30="","",IFERROR(SUMPRODUCT((Raw_Data_Daily!$B$2:$B$9999="Control")*(Raw_Data_Daily!$A$2:$A$9999=$A30)*(Raw_Data_Daily!$C$2:$C$9999=$C$3)*Raw_Data_Daily!$D$2:$D$9999*Raw_Data_Daily!$AR$2:$AR$9999)/SUMIFS(Raw_Data_Daily!$D:$D, Raw_Data_Daily!$B:$B, "Control", Raw_Data_Daily!$A:$A, $A30, Raw_Data_Daily!$C:$C, $C$3),""))</f>
        <v/>
      </c>
      <c r="DV30" s="139" t="str">
        <f>IF($A30="","",IFERROR(SUMPRODUCT((Raw_Data_Daily!$B$2:$B$9999="Variant")*(Raw_Data_Daily!$A$2:$A$9999=$A30)*(Raw_Data_Daily!$C$2:$C$9999=$C$3)*Raw_Data_Daily!$D$2:$D$9999*Raw_Data_Daily!$AR$2:$AR$9999)/SUMIFS(Raw_Data_Daily!$D:$D, Raw_Data_Daily!$B:$B, "Variant", Raw_Data_Daily!$A:$A, $A30, Raw_Data_Daily!$C:$C, $C$3),""))</f>
        <v/>
      </c>
      <c r="DW30" s="173" t="str">
        <f t="shared" si="38"/>
        <v/>
      </c>
      <c r="DX30" s="139" t="str">
        <f>IF($A30="","",IFERROR(SUMPRODUCT((Raw_Data_Daily!$B$2:$B$9999="Control")*(Raw_Data_Daily!$A$2:$A$9999=$A30)*(Raw_Data_Daily!$C$2:$C$9999=$C$3)*Raw_Data_Daily!$D$2:$D$9999*Raw_Data_Daily!$AS$2:$AS$9999)/SUMIFS(Raw_Data_Daily!$D:$D, Raw_Data_Daily!$B:$B, "Control", Raw_Data_Daily!$A:$A, $A30, Raw_Data_Daily!$C:$C, $C$3),""))</f>
        <v/>
      </c>
      <c r="DY30" s="139" t="str">
        <f>IF($A30="","",IFERROR(SUMPRODUCT((Raw_Data_Daily!$B$2:$B$9999="Variant")*(Raw_Data_Daily!$A$2:$A$9999=$A30)*(Raw_Data_Daily!$C$2:$C$9999=$C$3)*Raw_Data_Daily!$D$2:$D$9999*Raw_Data_Daily!$AS$2:$AS$9999)/SUMIFS(Raw_Data_Daily!$D:$D, Raw_Data_Daily!$B:$B, "Variant", Raw_Data_Daily!$A:$A, $A30, Raw_Data_Daily!$C:$C, $C$3),""))</f>
        <v/>
      </c>
      <c r="DZ30" s="174" t="str">
        <f t="shared" si="39"/>
        <v/>
      </c>
      <c r="EA30" s="139" t="str">
        <f>IF($A30="","",IFERROR(SUMPRODUCT((Raw_Data_Daily!$B$2:$B$9999="Control")*(Raw_Data_Daily!$A$2:$A$9999=$A30)*(Raw_Data_Daily!$C$2:$C$9999=$C$3)*Raw_Data_Daily!$D$2:$D$9999*Raw_Data_Daily!$AT$2:$AT$9999)/SUMIFS(Raw_Data_Daily!$D:$D, Raw_Data_Daily!$B:$B, "Control", Raw_Data_Daily!$A:$A, $A30, Raw_Data_Daily!$C:$C, $C$3),""))</f>
        <v/>
      </c>
      <c r="EB30" s="139" t="str">
        <f>IF($A30="","",IFERROR(SUMPRODUCT((Raw_Data_Daily!$B$2:$B$9999="Variant")*(Raw_Data_Daily!$A$2:$A$9999=$A30)*(Raw_Data_Daily!$C$2:$C$9999=$C$3)*Raw_Data_Daily!$D$2:$D$9999*Raw_Data_Daily!$AT$2:$AT$9999)/SUMIFS(Raw_Data_Daily!$D:$D, Raw_Data_Daily!$B:$B, "Variant", Raw_Data_Daily!$A:$A, $A30, Raw_Data_Daily!$C:$C, $C$3),""))</f>
        <v/>
      </c>
      <c r="EC30" s="173" t="str">
        <f t="shared" si="40"/>
        <v/>
      </c>
      <c r="ED30" s="139" t="str">
        <f>IF($A30="","",IFERROR(SUMPRODUCT((Raw_Data_Daily!$B$2:$B$9999="Control")*(Raw_Data_Daily!$A$2:$A$9999=$A30)*(Raw_Data_Daily!$C$2:$C$9999=$C$3)*Raw_Data_Daily!$D$2:$D$9999*(Raw_Data_Daily!$AQ$2:$AQ$9999-Raw_Data_Daily!$AT$2:$AT$9999))/SUMIFS(Raw_Data_Daily!$D:$D, Raw_Data_Daily!$B:$B, "Control", Raw_Data_Daily!$A:$A, $A30, Raw_Data_Daily!$C:$C, $C$3),""))</f>
        <v/>
      </c>
      <c r="EE30" s="139" t="str">
        <f>IF($A30="","",IFERROR(SUMPRODUCT((Raw_Data_Daily!$B$2:$B$9999="Variant")*(Raw_Data_Daily!$A$2:$A$9999=$A30)*(Raw_Data_Daily!$C$2:$C$9999=$C$3)*Raw_Data_Daily!$D$2:$D$9999*(Raw_Data_Daily!$AQ$2:$AQ$9999-Raw_Data_Daily!$AT$2:$AT$9999))/SUMIFS(Raw_Data_Daily!$D:$D, Raw_Data_Daily!$B:$B, "Variant", Raw_Data_Daily!$A:$A, $A30, Raw_Data_Daily!$C:$C, $C$3),""))</f>
        <v/>
      </c>
      <c r="EF30" s="174" t="str">
        <f t="shared" si="41"/>
        <v/>
      </c>
      <c r="EG30" s="139" t="str">
        <f>IF($A30="","",IFERROR(SUMPRODUCT((Raw_Data_Daily!$B$2:$B$9999="Control")*(Raw_Data_Daily!$A$2:$A$9999=$A30)*(Raw_Data_Daily!$C$2:$C$9999=$C$3)*Raw_Data_Daily!$D$2:$D$9999*Raw_Data_Daily!$AU$2:$AU$9999)/SUMIFS(Raw_Data_Daily!$D:$D, Raw_Data_Daily!$B:$B, "Control", Raw_Data_Daily!$A:$A, $A30, Raw_Data_Daily!$C:$C, $C$3),""))</f>
        <v/>
      </c>
      <c r="EH30" s="139" t="str">
        <f>IF($A30="","",IFERROR(SUMPRODUCT((Raw_Data_Daily!$B$2:$B$9999="Variant")*(Raw_Data_Daily!$A$2:$A$9999=$A30)*(Raw_Data_Daily!$C$2:$C$9999=$C$3)*Raw_Data_Daily!$D$2:$D$9999*Raw_Data_Daily!$AU$2:$AU$9999)/SUMIFS(Raw_Data_Daily!$D:$D, Raw_Data_Daily!$B:$B, "Variant", Raw_Data_Daily!$A:$A, $A30, Raw_Data_Daily!$C:$C, $C$3),""))</f>
        <v/>
      </c>
      <c r="EI30" s="173" t="str">
        <f t="shared" si="42"/>
        <v/>
      </c>
    </row>
    <row r="31" ht="15.75" customHeight="1">
      <c r="A31" s="91">
        <v>46254.0</v>
      </c>
      <c r="B31" s="92">
        <f>IF($A31="","",SUMIFS(Raw_Data_Daily!$D:$D, Raw_Data_Daily!$B:$B, "Control", Raw_Data_Daily!$A:$A, $A31, Raw_Data_Daily!$C:$C, $C$3))</f>
        <v>0</v>
      </c>
      <c r="C31" s="92">
        <f>IF($A31="","",SUMIFS(Raw_Data_Daily!$D:$D, Raw_Data_Daily!$B:$B, "Variant", Raw_Data_Daily!$A:$A, $A31, Raw_Data_Daily!$C:$C, $C$3))</f>
        <v>0</v>
      </c>
      <c r="D31" s="93" t="str">
        <f t="shared" si="1"/>
        <v/>
      </c>
      <c r="E31" s="94" t="str">
        <f>IF($A31="","",IFERROR(SUMPRODUCT((Raw_Data_Daily!$B$2:$B$9999="Control")*(Raw_Data_Daily!$A$2:$A$9999=$A31)*(Raw_Data_Daily!$C$2:$C$9999=$C$3)*Raw_Data_Daily!$D$2:$D$9999*Raw_Data_Daily!$E$2:$E$9999)/SUMIFS(Raw_Data_Daily!$D:$D, Raw_Data_Daily!$B:$B, "Control", Raw_Data_Daily!$A:$A, $A31, Raw_Data_Daily!$C:$C, $C$3),""))</f>
        <v/>
      </c>
      <c r="F31" s="94" t="str">
        <f>IF($A31="","",IFERROR(SUMPRODUCT((Raw_Data_Daily!$B$2:$B$9999="Variant")*(Raw_Data_Daily!$A$2:$A$9999=$A31)*(Raw_Data_Daily!$C$2:$C$9999=$C$3)*Raw_Data_Daily!$D$2:$D$9999*Raw_Data_Daily!$E$2:$E$9999)/SUMIFS(Raw_Data_Daily!$D:$D, Raw_Data_Daily!$B:$B, "Variant", Raw_Data_Daily!$A:$A, $A31, Raw_Data_Daily!$C:$C, $C$3),""))</f>
        <v/>
      </c>
      <c r="G31" s="93" t="str">
        <f t="shared" si="2"/>
        <v/>
      </c>
      <c r="H31" s="95">
        <f>IF($A31="","",SUMIFS(Raw_Data_Daily!$F:$F, Raw_Data_Daily!$B:$B, "Control", Raw_Data_Daily!$A:$A, $A31, Raw_Data_Daily!$C:$C, $C$3))</f>
        <v>0</v>
      </c>
      <c r="I31" s="95">
        <f>IF($A31="","",SUMIFS(Raw_Data_Daily!$F:$F, Raw_Data_Daily!$B:$B, "Variant", Raw_Data_Daily!$A:$A, $A31, Raw_Data_Daily!$C:$C, $C$3))</f>
        <v>0</v>
      </c>
      <c r="J31" s="96" t="str">
        <f t="shared" si="3"/>
        <v/>
      </c>
      <c r="K31" s="97" t="str">
        <f>IF($A31="","",IFERROR(SUMIFS(Raw_Data_Daily!$F:$F, Raw_Data_Daily!$B:$B, "Control", Raw_Data_Daily!$A:$A, $A31, Raw_Data_Daily!$C:$C, $C$3)/SUMIFS(Raw_Data_Daily!$D:$D, Raw_Data_Daily!$B:$B, "Control", Raw_Data_Daily!$A:$A, $A31, Raw_Data_Daily!$C:$C, $C$3),""))</f>
        <v/>
      </c>
      <c r="L31" s="97" t="str">
        <f>IF($A31="","",IFERROR(SUMIFS(Raw_Data_Daily!$F:$F, Raw_Data_Daily!$B:$B, "Variant", Raw_Data_Daily!$A:$A, $A31, Raw_Data_Daily!$C:$C, $C$3)/SUMIFS(Raw_Data_Daily!$D:$D, Raw_Data_Daily!$B:$B, "Variant", Raw_Data_Daily!$A:$A, $A31, Raw_Data_Daily!$C:$C, $C$3),""))</f>
        <v/>
      </c>
      <c r="M31" s="96" t="str">
        <f t="shared" si="4"/>
        <v/>
      </c>
      <c r="N31" s="94" t="str">
        <f>IF($A31="","",IFERROR(SUMPRODUCT((Raw_Data_Daily!$B$2:$B$9999="Control")*(Raw_Data_Daily!$A$2:$A$9999=$A31)*(Raw_Data_Daily!$C$2:$C$9999=$C$3)*Raw_Data_Daily!$D$2:$D$9999*Raw_Data_Daily!$H$2:$H$9999/100)/SUMIFS(Raw_Data_Daily!$D:$D, Raw_Data_Daily!$B:$B, "Control", Raw_Data_Daily!$A:$A, $A31, Raw_Data_Daily!$C:$C, $C$3)*100,""))</f>
        <v/>
      </c>
      <c r="O31" s="94" t="str">
        <f>IF($A31="","",IFERROR(SUMPRODUCT((Raw_Data_Daily!$B$2:$B$9999="Variant")*(Raw_Data_Daily!$A$2:$A$9999=$A31)*(Raw_Data_Daily!$C$2:$C$9999=$C$3)*Raw_Data_Daily!$D$2:$D$9999*Raw_Data_Daily!$H$2:$H$9999/100)/SUMIFS(Raw_Data_Daily!$D:$D, Raw_Data_Daily!$B:$B, "Variant", Raw_Data_Daily!$A:$A, $A31, Raw_Data_Daily!$C:$C, $C$3)*100,""))</f>
        <v/>
      </c>
      <c r="P31" s="96" t="str">
        <f t="shared" si="5"/>
        <v/>
      </c>
      <c r="Q31" s="97" t="str">
        <f>IF($A31="","",IFERROR(SUMIFS(Raw_Data_Daily!$F:$F, Raw_Data_Daily!$B:$B, "Control", Raw_Data_Daily!$A:$A, $A31, Raw_Data_Daily!$C:$C, $C$3)/SUMPRODUCT((Raw_Data_Daily!$B$2:$B$9999="Control")*(Raw_Data_Daily!$A$2:$A$9999=$A31)*(Raw_Data_Daily!$C$2:$C$9999=$C$3)*Raw_Data_Daily!$D$2:$D$9999*Raw_Data_Daily!$H$2:$H$9999/100),""))</f>
        <v/>
      </c>
      <c r="R31" s="97" t="str">
        <f>IF($A31="","",IFERROR(SUMIFS(Raw_Data_Daily!$F:$F, Raw_Data_Daily!$B:$B, "Variant", Raw_Data_Daily!$A:$A, $A31, Raw_Data_Daily!$C:$C, $C$3)/SUMPRODUCT((Raw_Data_Daily!$B$2:$B$9999="Variant")*(Raw_Data_Daily!$A$2:$A$9999=$A31)*(Raw_Data_Daily!$C$2:$C$9999=$C$3)*Raw_Data_Daily!$D$2:$D$9999*Raw_Data_Daily!$H$2:$H$9999/100),""))</f>
        <v/>
      </c>
      <c r="S31" s="96" t="str">
        <f t="shared" si="6"/>
        <v/>
      </c>
      <c r="T31" s="121" t="str">
        <f>IF($A31="","",IFERROR(SUMPRODUCT((Raw_Data_Daily!$B$2:$B$9999="Control")*(Raw_Data_Daily!$A$2:$A$9999=$A31)*(Raw_Data_Daily!$C$2:$C$9999=$C$3)*Raw_Data_Daily!$D$2:$D$9999*Raw_Data_Daily!$J$2:$J$9999)/SUMIFS(Raw_Data_Daily!$D:$D, Raw_Data_Daily!$B:$B, "Control", Raw_Data_Daily!$A:$A, $A31, Raw_Data_Daily!$C:$C, $C$3),""))</f>
        <v/>
      </c>
      <c r="U31" s="121" t="str">
        <f>IF($A31="","",IFERROR(SUMPRODUCT((Raw_Data_Daily!$B$2:$B$9999="Variant")*(Raw_Data_Daily!$A$2:$A$9999=$A31)*(Raw_Data_Daily!$C$2:$C$9999=$C$3)*Raw_Data_Daily!$D$2:$D$9999*Raw_Data_Daily!$J$2:$J$9999)/SUMIFS(Raw_Data_Daily!$D:$D, Raw_Data_Daily!$B:$B, "Variant", Raw_Data_Daily!$A:$A, $A31, Raw_Data_Daily!$C:$C, $C$3),""))</f>
        <v/>
      </c>
      <c r="V31" s="96" t="str">
        <f t="shared" si="7"/>
        <v/>
      </c>
      <c r="W31" s="121" t="str">
        <f>IF($A31="","",IFERROR(SUMPRODUCT((Raw_Data_Daily!$B$2:$B$9999="Control")*(Raw_Data_Daily!$A$2:$A$9999=$A31)*(Raw_Data_Daily!$C$2:$C$9999=$C$3)*Raw_Data_Daily!$D$2:$D$9999*Raw_Data_Daily!$K$2:$K$9999)/SUMIFS(Raw_Data_Daily!$D:$D, Raw_Data_Daily!$B:$B, "Control", Raw_Data_Daily!$A:$A, $A31, Raw_Data_Daily!$C:$C, $C$3),""))</f>
        <v/>
      </c>
      <c r="X31" s="121" t="str">
        <f>IF($A31="","",IFERROR(SUMPRODUCT((Raw_Data_Daily!$B$2:$B$9999="Variant")*(Raw_Data_Daily!$A$2:$A$9999=$A31)*(Raw_Data_Daily!$C$2:$C$9999=$C$3)*Raw_Data_Daily!$D$2:$D$9999*Raw_Data_Daily!$K$2:$K$9999)/SUMIFS(Raw_Data_Daily!$D:$D, Raw_Data_Daily!$B:$B, "Variant", Raw_Data_Daily!$A:$A, $A31, Raw_Data_Daily!$C:$C, $C$3),""))</f>
        <v/>
      </c>
      <c r="Y31" s="96" t="str">
        <f t="shared" si="8"/>
        <v/>
      </c>
      <c r="Z31" s="121" t="str">
        <f>IF($A31="","",IFERROR(SUMPRODUCT((Raw_Data_Daily!$B$2:$B$9999="Control")*(Raw_Data_Daily!$A$2:$A$9999=$A31)*(Raw_Data_Daily!$C$2:$C$9999=$C$3)*Raw_Data_Daily!$D$2:$D$9999*Raw_Data_Daily!$L$2:$L$9999)/SUMIFS(Raw_Data_Daily!$D:$D, Raw_Data_Daily!$B:$B, "Control", Raw_Data_Daily!$A:$A, $A31, Raw_Data_Daily!$C:$C, $C$3),""))</f>
        <v/>
      </c>
      <c r="AA31" s="121" t="str">
        <f>IF($A31="","",IFERROR(SUMPRODUCT((Raw_Data_Daily!$B$2:$B$9999="Variant")*(Raw_Data_Daily!$A$2:$A$9999=$A31)*(Raw_Data_Daily!$C$2:$C$9999=$C$3)*Raw_Data_Daily!$D$2:$D$9999*Raw_Data_Daily!$L$2:$L$9999)/SUMIFS(Raw_Data_Daily!$D:$D, Raw_Data_Daily!$B:$B, "Variant", Raw_Data_Daily!$A:$A, $A31, Raw_Data_Daily!$C:$C, $C$3),""))</f>
        <v/>
      </c>
      <c r="AB31" s="96" t="str">
        <f t="shared" si="9"/>
        <v/>
      </c>
      <c r="AC31" s="139" t="str">
        <f>IF($A31="","",IFERROR(SUMPRODUCT((Raw_Data_Daily!$B$2:$B$9999="Control")*(Raw_Data_Daily!$A$2:$A$9999=$A31)*(Raw_Data_Daily!$C$2:$C$9999=$C$3)*Raw_Data_Daily!$D$2:$D$9999*Raw_Data_Daily!$M$2:$M$9999)/SUMIFS(Raw_Data_Daily!$D:$D, Raw_Data_Daily!$B:$B, "Control", Raw_Data_Daily!$A:$A, $A31, Raw_Data_Daily!$C:$C, $C$3),""))</f>
        <v/>
      </c>
      <c r="AD31" s="139" t="str">
        <f>IF($A31="","",IFERROR(SUMPRODUCT((Raw_Data_Daily!$B$2:$B$9999="Variant")*(Raw_Data_Daily!$A$2:$A$9999=$A31)*(Raw_Data_Daily!$C$2:$C$9999=$C$3)*Raw_Data_Daily!$D$2:$D$9999*Raw_Data_Daily!$M$2:$M$9999)/SUMIFS(Raw_Data_Daily!$D:$D, Raw_Data_Daily!$B:$B, "Variant", Raw_Data_Daily!$A:$A, $A31, Raw_Data_Daily!$C:$C, $C$3),""))</f>
        <v/>
      </c>
      <c r="AE31" s="142" t="str">
        <f t="shared" si="10"/>
        <v/>
      </c>
      <c r="AF31" s="139" t="str">
        <f>IF($A31="","",IFERROR(SUMPRODUCT((Raw_Data_Daily!$B$2:$B$9999="Control")*(Raw_Data_Daily!$A$2:$A$9999=$A31)*(Raw_Data_Daily!$C$2:$C$9999=$C$3)*Raw_Data_Daily!$D$2:$D$9999*Raw_Data_Daily!$N$2:$N$9999)/SUMIFS(Raw_Data_Daily!$D:$D, Raw_Data_Daily!$B:$B, "Control", Raw_Data_Daily!$A:$A, $A31, Raw_Data_Daily!$C:$C, $C$3),""))</f>
        <v/>
      </c>
      <c r="AG31" s="139" t="str">
        <f>IF($A31="","",IFERROR(SUMPRODUCT((Raw_Data_Daily!$B$2:$B$9999="Variant")*(Raw_Data_Daily!$A$2:$A$9999=$A31)*(Raw_Data_Daily!$C$2:$C$9999=$C$3)*Raw_Data_Daily!$D$2:$D$9999*Raw_Data_Daily!$N$2:$N$9999)/SUMIFS(Raw_Data_Daily!$D:$D, Raw_Data_Daily!$B:$B, "Variant", Raw_Data_Daily!$A:$A, $A31, Raw_Data_Daily!$C:$C, $C$3),""))</f>
        <v/>
      </c>
      <c r="AH31" s="142" t="str">
        <f t="shared" si="11"/>
        <v/>
      </c>
      <c r="AI31" s="139" t="str">
        <f>IF($A31="","",IFERROR(SUMPRODUCT((Raw_Data_Daily!$B$2:$B$9999="Control")*(Raw_Data_Daily!$A$2:$A$9999=$A31)*(Raw_Data_Daily!$C$2:$C$9999=$C$3)*Raw_Data_Daily!$D$2:$D$9999*Raw_Data_Daily!$O$2:$O$9999)/SUMIFS(Raw_Data_Daily!$D:$D, Raw_Data_Daily!$B:$B, "Control", Raw_Data_Daily!$A:$A, $A31, Raw_Data_Daily!$C:$C, $C$3),""))</f>
        <v/>
      </c>
      <c r="AJ31" s="139" t="str">
        <f>IF($A31="","",IFERROR(SUMPRODUCT((Raw_Data_Daily!$B$2:$B$9999="Variant")*(Raw_Data_Daily!$A$2:$A$9999=$A31)*(Raw_Data_Daily!$C$2:$C$9999=$C$3)*Raw_Data_Daily!$D$2:$D$9999*Raw_Data_Daily!$O$2:$O$9999)/SUMIFS(Raw_Data_Daily!$D:$D, Raw_Data_Daily!$B:$B, "Variant", Raw_Data_Daily!$A:$A, $A31, Raw_Data_Daily!$C:$C, $C$3),""))</f>
        <v/>
      </c>
      <c r="AK31" s="96" t="str">
        <f t="shared" si="12"/>
        <v/>
      </c>
      <c r="AL31" s="121" t="str">
        <f>IF($A31="","",IFERROR(SUMPRODUCT((Raw_Data_Daily!$B$2:$B$9999="Control")*(Raw_Data_Daily!$A$2:$A$9999=$A31)*(Raw_Data_Daily!$C$2:$C$9999=$C$3)*Raw_Data_Daily!$D$2:$D$9999*Raw_Data_Daily!$P$2:$P$9999)/SUMIFS(Raw_Data_Daily!$D:$D, Raw_Data_Daily!$B:$B, "Control", Raw_Data_Daily!$A:$A, $A31, Raw_Data_Daily!$C:$C, $C$3),""))</f>
        <v/>
      </c>
      <c r="AM31" s="121" t="str">
        <f>IF($A31="","",IFERROR(SUMPRODUCT((Raw_Data_Daily!$B$2:$B$9999="Variant")*(Raw_Data_Daily!$A$2:$A$9999=$A31)*(Raw_Data_Daily!$C$2:$C$9999=$C$3)*Raw_Data_Daily!$D$2:$D$9999*Raw_Data_Daily!$P$2:$P$9999)/SUMIFS(Raw_Data_Daily!$D:$D, Raw_Data_Daily!$B:$B, "Variant", Raw_Data_Daily!$A:$A, $A31, Raw_Data_Daily!$C:$C, $C$3),""))</f>
        <v/>
      </c>
      <c r="AN31" s="96" t="str">
        <f t="shared" si="13"/>
        <v/>
      </c>
      <c r="AO31" s="121" t="str">
        <f>IF($A31="","",IFERROR(SUMPRODUCT((Raw_Data_Daily!$B$2:$B$9999="Control")*(Raw_Data_Daily!$A$2:$A$9999=$A31)*(Raw_Data_Daily!$C$2:$C$9999=$C$3)*Raw_Data_Daily!$D$2:$D$9999*Raw_Data_Daily!$Q$2:$Q$9999)/SUMIFS(Raw_Data_Daily!$D:$D, Raw_Data_Daily!$B:$B, "Control", Raw_Data_Daily!$A:$A, $A31, Raw_Data_Daily!$C:$C, $C$3),""))</f>
        <v/>
      </c>
      <c r="AP31" s="121" t="str">
        <f>IF($A31="","",IFERROR(SUMPRODUCT((Raw_Data_Daily!$B$2:$B$9999="Variant")*(Raw_Data_Daily!$A$2:$A$9999=$A31)*(Raw_Data_Daily!$C$2:$C$9999=$C$3)*Raw_Data_Daily!$D$2:$D$9999*Raw_Data_Daily!$Q$2:$Q$9999)/SUMIFS(Raw_Data_Daily!$D:$D, Raw_Data_Daily!$B:$B, "Variant", Raw_Data_Daily!$A:$A, $A31, Raw_Data_Daily!$C:$C, $C$3),""))</f>
        <v/>
      </c>
      <c r="AQ31" s="93" t="str">
        <f t="shared" si="14"/>
        <v/>
      </c>
      <c r="AR31" s="121" t="str">
        <f>IF($A31="","",IFERROR(SUMPRODUCT((Raw_Data_Daily!$B$2:$B$9999="Control")*(Raw_Data_Daily!$A$2:$A$9999=$A31)*(Raw_Data_Daily!$C$2:$C$9999=$C$3)*Raw_Data_Daily!$D$2:$D$9999*Raw_Data_Daily!$R$2:$R$9999)/SUMIFS(Raw_Data_Daily!$D:$D, Raw_Data_Daily!$B:$B, "Control", Raw_Data_Daily!$A:$A, $A31, Raw_Data_Daily!$C:$C, $C$3),""))</f>
        <v/>
      </c>
      <c r="AS31" s="121" t="str">
        <f>IF($A31="","",IFERROR(SUMPRODUCT((Raw_Data_Daily!$B$2:$B$9999="Variant")*(Raw_Data_Daily!$A$2:$A$9999=$A31)*(Raw_Data_Daily!$C$2:$C$9999=$C$3)*Raw_Data_Daily!$D$2:$D$9999*Raw_Data_Daily!$R$2:$R$9999)/SUMIFS(Raw_Data_Daily!$D:$D, Raw_Data_Daily!$B:$B, "Variant", Raw_Data_Daily!$A:$A, $A31, Raw_Data_Daily!$C:$C, $C$3),""))</f>
        <v/>
      </c>
      <c r="AT31" s="93" t="str">
        <f t="shared" si="15"/>
        <v/>
      </c>
      <c r="AU31" s="121" t="str">
        <f>IF($A31="","",IFERROR(SUMPRODUCT((Raw_Data_Daily!$B$2:$B$9999="Control")*(Raw_Data_Daily!$A$2:$A$9999=$A31)*(Raw_Data_Daily!$C$2:$C$9999=$C$3)*Raw_Data_Daily!$D$2:$D$9999*Raw_Data_Daily!$S$2:$S$9999)/SUMIFS(Raw_Data_Daily!$D:$D, Raw_Data_Daily!$B:$B, "Control", Raw_Data_Daily!$A:$A, $A31, Raw_Data_Daily!$C:$C, $C$3),""))</f>
        <v/>
      </c>
      <c r="AV31" s="121" t="str">
        <f>IF($A31="","",IFERROR(SUMPRODUCT((Raw_Data_Daily!$B$2:$B$9999="Variant")*(Raw_Data_Daily!$A$2:$A$9999=$A31)*(Raw_Data_Daily!$C$2:$C$9999=$C$3)*Raw_Data_Daily!$D$2:$D$9999*Raw_Data_Daily!$S$2:$S$9999)/SUMIFS(Raw_Data_Daily!$D:$D, Raw_Data_Daily!$B:$B, "Variant", Raw_Data_Daily!$A:$A, $A31, Raw_Data_Daily!$C:$C, $C$3),""))</f>
        <v/>
      </c>
      <c r="AW31" s="93" t="str">
        <f t="shared" si="16"/>
        <v/>
      </c>
      <c r="AX31" s="121" t="str">
        <f>IF($A31="","",IFERROR(SUMPRODUCT((Raw_Data_Daily!$B$2:$B$9999="Control")*(Raw_Data_Daily!$A$2:$A$9999=$A31)*(Raw_Data_Daily!$C$2:$C$9999=$C$3)*Raw_Data_Daily!$D$2:$D$9999*Raw_Data_Daily!$T$2:$T$9999)/SUMIFS(Raw_Data_Daily!$D:$D, Raw_Data_Daily!$B:$B, "Control", Raw_Data_Daily!$A:$A, $A31, Raw_Data_Daily!$C:$C, $C$3),""))</f>
        <v/>
      </c>
      <c r="AY31" s="121" t="str">
        <f>IF($A31="","",IFERROR(SUMPRODUCT((Raw_Data_Daily!$B$2:$B$9999="Variant")*(Raw_Data_Daily!$A$2:$A$9999=$A31)*(Raw_Data_Daily!$C$2:$C$9999=$C$3)*Raw_Data_Daily!$D$2:$D$9999*Raw_Data_Daily!$T$2:$T$9999)/SUMIFS(Raw_Data_Daily!$D:$D, Raw_Data_Daily!$B:$B, "Variant", Raw_Data_Daily!$A:$A, $A31, Raw_Data_Daily!$C:$C, $C$3),""))</f>
        <v/>
      </c>
      <c r="AZ31" s="96" t="str">
        <f t="shared" si="17"/>
        <v/>
      </c>
      <c r="BA31" s="121" t="str">
        <f>IF($A31="","",IFERROR(SUMPRODUCT((Raw_Data_Daily!$B$2:$B$9999="Control")*(Raw_Data_Daily!$A$2:$A$9999=$A31)*(Raw_Data_Daily!$C$2:$C$9999=$C$3)*Raw_Data_Daily!$D$2:$D$9999*Raw_Data_Daily!$U$2:$U$9999)/SUMIFS(Raw_Data_Daily!$D:$D, Raw_Data_Daily!$B:$B, "Control", Raw_Data_Daily!$A:$A, $A31, Raw_Data_Daily!$C:$C, $C$3),""))</f>
        <v/>
      </c>
      <c r="BB31" s="121" t="str">
        <f>IF($A31="","",IFERROR(SUMPRODUCT((Raw_Data_Daily!$B$2:$B$9999="Variant")*(Raw_Data_Daily!$A$2:$A$9999=$A31)*(Raw_Data_Daily!$C$2:$C$9999=$C$3)*Raw_Data_Daily!$D$2:$D$9999*Raw_Data_Daily!$U$2:$U$9999)/SUMIFS(Raw_Data_Daily!$D:$D, Raw_Data_Daily!$B:$B, "Variant", Raw_Data_Daily!$A:$A, $A31, Raw_Data_Daily!$C:$C, $C$3),""))</f>
        <v/>
      </c>
      <c r="BC31" s="93" t="str">
        <f t="shared" si="18"/>
        <v/>
      </c>
      <c r="BD31" s="121" t="str">
        <f>IF($A31="","",IFERROR(SUMPRODUCT((Raw_Data_Daily!$B$2:$B$9999="Control")*(Raw_Data_Daily!$A$2:$A$9999=$A31)*(Raw_Data_Daily!$C$2:$C$9999=$C$3)*Raw_Data_Daily!$D$2:$D$9999*Raw_Data_Daily!$V$2:$V$9999)/SUMIFS(Raw_Data_Daily!$D:$D, Raw_Data_Daily!$B:$B, "Control", Raw_Data_Daily!$A:$A, $A31, Raw_Data_Daily!$C:$C, $C$3),""))</f>
        <v/>
      </c>
      <c r="BE31" s="121" t="str">
        <f>IF($A31="","",IFERROR(SUMPRODUCT((Raw_Data_Daily!$B$2:$B$9999="Variant")*(Raw_Data_Daily!$A$2:$A$9999=$A31)*(Raw_Data_Daily!$C$2:$C$9999=$C$3)*Raw_Data_Daily!$D$2:$D$9999*Raw_Data_Daily!$V$2:$V$9999)/SUMIFS(Raw_Data_Daily!$D:$D, Raw_Data_Daily!$B:$B, "Variant", Raw_Data_Daily!$A:$A, $A31, Raw_Data_Daily!$C:$C, $C$3),""))</f>
        <v/>
      </c>
      <c r="BF31" s="93" t="str">
        <f t="shared" si="19"/>
        <v/>
      </c>
      <c r="BG31" s="121" t="str">
        <f>IF($A31="","",IFERROR(SUMPRODUCT((Raw_Data_Daily!$B$2:$B$9999="Control")*(Raw_Data_Daily!$A$2:$A$9999=$A31)*(Raw_Data_Daily!$C$2:$C$9999=$C$3)*Raw_Data_Daily!$D$2:$D$9999*(Raw_Data_Daily!$Q$2:$Q$9999-Raw_Data_Daily!$V$2:$V$9999))/SUMIFS(Raw_Data_Daily!$D:$D, Raw_Data_Daily!$B:$B, "Control", Raw_Data_Daily!$A:$A, $A31, Raw_Data_Daily!$C:$C, $C$3),""))</f>
        <v/>
      </c>
      <c r="BH31" s="121" t="str">
        <f>IF($A31="","",IFERROR(SUMPRODUCT((Raw_Data_Daily!$B$2:$B$9999="Variant")*(Raw_Data_Daily!$A$2:$A$9999=$A31)*(Raw_Data_Daily!$C$2:$C$9999=$C$3)*Raw_Data_Daily!$D$2:$D$9999*(Raw_Data_Daily!$Q$2:$Q$9999-Raw_Data_Daily!$V$2:$V$9999))/SUMIFS(Raw_Data_Daily!$D:$D, Raw_Data_Daily!$B:$B, "Variant", Raw_Data_Daily!$A:$A, $A31, Raw_Data_Daily!$C:$C, $C$3),""))</f>
        <v/>
      </c>
      <c r="BI31" s="93" t="str">
        <f t="shared" si="20"/>
        <v/>
      </c>
      <c r="BJ31" s="121" t="str">
        <f>IF($A31="","",IFERROR(SUMPRODUCT((Raw_Data_Daily!$B$2:$B$9999="Control")*(Raw_Data_Daily!$A$2:$A$9999=$A31)*(Raw_Data_Daily!$C$2:$C$9999=$C$3)*Raw_Data_Daily!$D$2:$D$9999*Raw_Data_Daily!$W$2:$W$9999)/SUMIFS(Raw_Data_Daily!$D:$D, Raw_Data_Daily!$B:$B, "Control", Raw_Data_Daily!$A:$A, $A31, Raw_Data_Daily!$C:$C, $C$3),""))</f>
        <v/>
      </c>
      <c r="BK31" s="121" t="str">
        <f>IF($A31="","",IFERROR(SUMPRODUCT((Raw_Data_Daily!$B$2:$B$9999="Variant")*(Raw_Data_Daily!$A$2:$A$9999=$A31)*(Raw_Data_Daily!$C$2:$C$9999=$C$3)*Raw_Data_Daily!$D$2:$D$9999*Raw_Data_Daily!$W$2:$W$9999)/SUMIFS(Raw_Data_Daily!$D:$D, Raw_Data_Daily!$B:$B, "Variant", Raw_Data_Daily!$A:$A, $A31, Raw_Data_Daily!$C:$C, $C$3),""))</f>
        <v/>
      </c>
      <c r="BL31" s="93" t="str">
        <f t="shared" si="21"/>
        <v/>
      </c>
      <c r="BM31" s="139" t="str">
        <f>IF($A31="","",IFERROR(SUMPRODUCT((Raw_Data_Daily!$B$2:$B$9999="Control")*(Raw_Data_Daily!$A$2:$A$9999=$A31)*(Raw_Data_Daily!$C$2:$C$9999=$C$3)*Raw_Data_Daily!$D$2:$D$9999*Raw_Data_Daily!$X$2:$X$9999)/SUMIFS(Raw_Data_Daily!$D:$D, Raw_Data_Daily!$B:$B, "Control", Raw_Data_Daily!$A:$A, $A31, Raw_Data_Daily!$C:$C, $C$3),""))</f>
        <v/>
      </c>
      <c r="BN31" s="139" t="str">
        <f>IF($A31="","",IFERROR(SUMPRODUCT((Raw_Data_Daily!$B$2:$B$9999="Variant")*(Raw_Data_Daily!$A$2:$A$9999=$A31)*(Raw_Data_Daily!$C$2:$C$9999=$C$3)*Raw_Data_Daily!$D$2:$D$9999*Raw_Data_Daily!$X$2:$X$9999)/SUMIFS(Raw_Data_Daily!$D:$D, Raw_Data_Daily!$B:$B, "Variant", Raw_Data_Daily!$A:$A, $A31, Raw_Data_Daily!$C:$C, $C$3),""))</f>
        <v/>
      </c>
      <c r="BO31" s="96" t="str">
        <f t="shared" si="22"/>
        <v/>
      </c>
      <c r="BP31" s="92" t="str">
        <f>IF($A31="","",IFERROR(SUMPRODUCT((Raw_Data_Daily!$B$2:$B$9999="Control")*(Raw_Data_Daily!$A$2:$A$9999=$A31)*(Raw_Data_Daily!$C$2:$C$9999=$C$3)*Raw_Data_Daily!$D$2:$D$9999*Raw_Data_Daily!$Y$2:$Y$9999)/SUMIFS(Raw_Data_Daily!$D:$D, Raw_Data_Daily!$B:$B, "Control", Raw_Data_Daily!$A:$A, $A31, Raw_Data_Daily!$C:$C, $C$3),""))</f>
        <v/>
      </c>
      <c r="BQ31" s="92" t="str">
        <f>IF($A31="","",IFERROR(SUMPRODUCT((Raw_Data_Daily!$B$2:$B$9999="Variant")*(Raw_Data_Daily!$A$2:$A$9999=$A31)*(Raw_Data_Daily!$C$2:$C$9999=$C$3)*Raw_Data_Daily!$D$2:$D$9999*Raw_Data_Daily!$Y$2:$Y$9999)/SUMIFS(Raw_Data_Daily!$D:$D, Raw_Data_Daily!$B:$B, "Variant", Raw_Data_Daily!$A:$A, $A31, Raw_Data_Daily!$C:$C, $C$3),""))</f>
        <v/>
      </c>
      <c r="BR31" s="93" t="str">
        <f t="shared" si="23"/>
        <v/>
      </c>
      <c r="BS31" s="92" t="str">
        <f>IF($A31="","",IFERROR(SUMPRODUCT((Raw_Data_Daily!$B$2:$B$9999="Control")*(Raw_Data_Daily!$A$2:$A$9999=$A31)*(Raw_Data_Daily!$C$2:$C$9999=$C$3)*Raw_Data_Daily!$D$2:$D$9999*Raw_Data_Daily!$Z$2:$Z$9999)/SUMIFS(Raw_Data_Daily!$D:$D, Raw_Data_Daily!$B:$B, "Control", Raw_Data_Daily!$A:$A, $A31, Raw_Data_Daily!$C:$C, $C$3),""))</f>
        <v/>
      </c>
      <c r="BT31" s="92" t="str">
        <f>IF($A31="","",IFERROR(SUMPRODUCT((Raw_Data_Daily!$B$2:$B$9999="Variant")*(Raw_Data_Daily!$A$2:$A$9999=$A31)*(Raw_Data_Daily!$C$2:$C$9999=$C$3)*Raw_Data_Daily!$D$2:$D$9999*Raw_Data_Daily!$Z$2:$Z$9999)/SUMIFS(Raw_Data_Daily!$D:$D, Raw_Data_Daily!$B:$B, "Variant", Raw_Data_Daily!$A:$A, $A31, Raw_Data_Daily!$C:$C, $C$3),""))</f>
        <v/>
      </c>
      <c r="BU31" s="93" t="str">
        <f t="shared" si="24"/>
        <v/>
      </c>
      <c r="BV31" s="92" t="str">
        <f>IF($A31="","",IFERROR(SUMPRODUCT((Raw_Data_Daily!$B$2:$B$9999="Control")*(Raw_Data_Daily!$A$2:$A$9999=$A31)*(Raw_Data_Daily!$C$2:$C$9999=$C$3)*Raw_Data_Daily!$D$2:$D$9999*Raw_Data_Daily!$AA$2:$AA$9999)/SUMIFS(Raw_Data_Daily!$D:$D, Raw_Data_Daily!$B:$B, "Control", Raw_Data_Daily!$A:$A, $A31, Raw_Data_Daily!$C:$C, $C$3),""))</f>
        <v/>
      </c>
      <c r="BW31" s="92" t="str">
        <f>IF($A31="","",IFERROR(SUMPRODUCT((Raw_Data_Daily!$B$2:$B$9999="Variant")*(Raw_Data_Daily!$A$2:$A$9999=$A31)*(Raw_Data_Daily!$C$2:$C$9999=$C$3)*Raw_Data_Daily!$D$2:$D$9999*Raw_Data_Daily!$AA$2:$AA$9999)/SUMIFS(Raw_Data_Daily!$D:$D, Raw_Data_Daily!$B:$B, "Variant", Raw_Data_Daily!$A:$A, $A31, Raw_Data_Daily!$C:$C, $C$3),""))</f>
        <v/>
      </c>
      <c r="BX31" s="93" t="str">
        <f t="shared" si="25"/>
        <v/>
      </c>
      <c r="BY31" s="121" t="str">
        <f>IF($A31="","",IFERROR(SUMPRODUCT((Raw_Data_Daily!$B$2:$B$9999="Control")*(Raw_Data_Daily!$A$2:$A$9999=$A31)*(Raw_Data_Daily!$C$2:$C$9999=$C$3)*Raw_Data_Daily!$D$2:$D$9999*Raw_Data_Daily!$AB$2:$AB$9999)/SUMIFS(Raw_Data_Daily!$D:$D, Raw_Data_Daily!$B:$B, "Control", Raw_Data_Daily!$A:$A, $A31, Raw_Data_Daily!$C:$C, $C$3),""))</f>
        <v/>
      </c>
      <c r="BZ31" s="121" t="str">
        <f>IF($A31="","",IFERROR(SUMPRODUCT((Raw_Data_Daily!$B$2:$B$9999="Variant")*(Raw_Data_Daily!$A$2:$A$9999=$A31)*(Raw_Data_Daily!$C$2:$C$9999=$C$3)*Raw_Data_Daily!$D$2:$D$9999*Raw_Data_Daily!$AB$2:$AB$9999)/SUMIFS(Raw_Data_Daily!$D:$D, Raw_Data_Daily!$B:$B, "Variant", Raw_Data_Daily!$A:$A, $A31, Raw_Data_Daily!$C:$C, $C$3),""))</f>
        <v/>
      </c>
      <c r="CA31" s="96" t="str">
        <f t="shared" si="26"/>
        <v/>
      </c>
      <c r="CB31" s="121" t="str">
        <f>IF($A31="","",IFERROR(SUMPRODUCT((Raw_Data_Daily!$B$2:$B$9999="Control")*(Raw_Data_Daily!$A$2:$A$9999=$A31)*(Raw_Data_Daily!$C$2:$C$9999=$C$3)*Raw_Data_Daily!$D$2:$D$9999*Raw_Data_Daily!$AC$2:$AC$9999)/SUMIFS(Raw_Data_Daily!$D:$D, Raw_Data_Daily!$B:$B, "Control", Raw_Data_Daily!$A:$A, $A31, Raw_Data_Daily!$C:$C, $C$3),""))</f>
        <v/>
      </c>
      <c r="CC31" s="121" t="str">
        <f>IF($A31="","",IFERROR(SUMPRODUCT((Raw_Data_Daily!$B$2:$B$9999="Variant")*(Raw_Data_Daily!$A$2:$A$9999=$A31)*(Raw_Data_Daily!$C$2:$C$9999=$C$3)*Raw_Data_Daily!$D$2:$D$9999*Raw_Data_Daily!$AC$2:$AC$9999)/SUMIFS(Raw_Data_Daily!$D:$D, Raw_Data_Daily!$B:$B, "Variant", Raw_Data_Daily!$A:$A, $A31, Raw_Data_Daily!$C:$C, $C$3),""))</f>
        <v/>
      </c>
      <c r="CD31" s="96" t="str">
        <f t="shared" si="27"/>
        <v/>
      </c>
      <c r="CE31" s="121" t="str">
        <f>IF($A31="","",IFERROR(SUMPRODUCT((Raw_Data_Daily!$B$2:$B$9999="Control")*(Raw_Data_Daily!$A$2:$A$9999=$A31)*(Raw_Data_Daily!$C$2:$C$9999=$C$3)*Raw_Data_Daily!$D$2:$D$9999*Raw_Data_Daily!$AD$2:$AD$9999)/SUMIFS(Raw_Data_Daily!$D:$D, Raw_Data_Daily!$B:$B, "Control", Raw_Data_Daily!$A:$A, $A31, Raw_Data_Daily!$C:$C, $C$3),""))</f>
        <v/>
      </c>
      <c r="CF31" s="121" t="str">
        <f>IF($A31="","",IFERROR(SUMPRODUCT((Raw_Data_Daily!$B$2:$B$9999="Variant")*(Raw_Data_Daily!$A$2:$A$9999=$A31)*(Raw_Data_Daily!$C$2:$C$9999=$C$3)*Raw_Data_Daily!$D$2:$D$9999*Raw_Data_Daily!$AD$2:$AD$9999)/SUMIFS(Raw_Data_Daily!$D:$D, Raw_Data_Daily!$B:$B, "Variant", Raw_Data_Daily!$A:$A, $A31, Raw_Data_Daily!$C:$C, $C$3),""))</f>
        <v/>
      </c>
      <c r="CG31" s="96" t="str">
        <f t="shared" si="28"/>
        <v/>
      </c>
      <c r="CH31" s="121" t="str">
        <f>IF($A31="","",IFERROR(SUMPRODUCT((Raw_Data_Daily!$B$2:$B$9999="Control")*(Raw_Data_Daily!$A$2:$A$9999=$A31)*(Raw_Data_Daily!$C$2:$C$9999=$C$3)*Raw_Data_Daily!$D$2:$D$9999*Raw_Data_Daily!$AE$2:$AE$9999)/SUMIFS(Raw_Data_Daily!$D:$D, Raw_Data_Daily!$B:$B, "Control", Raw_Data_Daily!$A:$A, $A31, Raw_Data_Daily!$C:$C, $C$3),""))</f>
        <v/>
      </c>
      <c r="CI31" s="121" t="str">
        <f>IF($A31="","",IFERROR(SUMPRODUCT((Raw_Data_Daily!$B$2:$B$9999="Variant")*(Raw_Data_Daily!$A$2:$A$9999=$A31)*(Raw_Data_Daily!$C$2:$C$9999=$C$3)*Raw_Data_Daily!$D$2:$D$9999*Raw_Data_Daily!$AE$2:$AE$9999)/SUMIFS(Raw_Data_Daily!$D:$D, Raw_Data_Daily!$B:$B, "Variant", Raw_Data_Daily!$A:$A, $A31, Raw_Data_Daily!$C:$C, $C$3),""))</f>
        <v/>
      </c>
      <c r="CJ31" s="96" t="str">
        <f t="shared" si="29"/>
        <v/>
      </c>
      <c r="CK31" s="121" t="str">
        <f>IF($A31="","",IFERROR(SUMPRODUCT((Raw_Data_Daily!$B$2:$B$9999="Control")*(Raw_Data_Daily!$A$2:$A$9999=$A31)*(Raw_Data_Daily!$C$2:$C$9999=$C$3)*Raw_Data_Daily!$D$2:$D$9999*Raw_Data_Daily!$AF$2:$AF$9999)/SUMIFS(Raw_Data_Daily!$D:$D, Raw_Data_Daily!$B:$B, "Control", Raw_Data_Daily!$A:$A, $A31, Raw_Data_Daily!$C:$C, $C$3),""))</f>
        <v/>
      </c>
      <c r="CL31" s="121" t="str">
        <f>IF($A31="","",IFERROR(SUMPRODUCT((Raw_Data_Daily!$B$2:$B$9999="Variant")*(Raw_Data_Daily!$A$2:$A$9999=$A31)*(Raw_Data_Daily!$C$2:$C$9999=$C$3)*Raw_Data_Daily!$D$2:$D$9999*Raw_Data_Daily!$AF$2:$AF$9999)/SUMIFS(Raw_Data_Daily!$D:$D, Raw_Data_Daily!$B:$B, "Variant", Raw_Data_Daily!$A:$A, $A31, Raw_Data_Daily!$C:$C, $C$3),""))</f>
        <v/>
      </c>
      <c r="CM31" s="96" t="str">
        <f t="shared" si="30"/>
        <v/>
      </c>
      <c r="CN31" s="121" t="str">
        <f>IF($A31="","",IFERROR(SUMPRODUCT((Raw_Data_Daily!$B$2:$B$9999="Control")*(Raw_Data_Daily!$A$2:$A$9999=$A31)*(Raw_Data_Daily!$C$2:$C$9999=$C$3)*Raw_Data_Daily!$D$2:$D$9999*Raw_Data_Daily!$AG$2:$AG$9999)/SUMIFS(Raw_Data_Daily!$D:$D, Raw_Data_Daily!$B:$B, "Control", Raw_Data_Daily!$A:$A, $A31, Raw_Data_Daily!$C:$C, $C$3),""))</f>
        <v/>
      </c>
      <c r="CO31" s="121" t="str">
        <f>IF($A31="","",IFERROR(SUMPRODUCT((Raw_Data_Daily!$B$2:$B$9999="Variant")*(Raw_Data_Daily!$A$2:$A$9999=$A31)*(Raw_Data_Daily!$C$2:$C$9999=$C$3)*Raw_Data_Daily!$D$2:$D$9999*Raw_Data_Daily!$AG$2:$AG$9999)/SUMIFS(Raw_Data_Daily!$D:$D, Raw_Data_Daily!$B:$B, "Variant", Raw_Data_Daily!$A:$A, $A31, Raw_Data_Daily!$C:$C, $C$3),""))</f>
        <v/>
      </c>
      <c r="CP31" s="96" t="str">
        <f t="shared" si="31"/>
        <v/>
      </c>
      <c r="CQ31" s="121" t="str">
        <f>IF($A31="","",IFERROR(SUMPRODUCT((Raw_Data_Daily!$B$2:$B$9999="Control")*(Raw_Data_Daily!$A$2:$A$9999=$A31)*(Raw_Data_Daily!$C$2:$C$9999=$C$3)*Raw_Data_Daily!$D$2:$D$9999*Raw_Data_Daily!$AH$2:$AH$9999)/SUMIFS(Raw_Data_Daily!$D:$D, Raw_Data_Daily!$B:$B, "Control", Raw_Data_Daily!$A:$A, $A31, Raw_Data_Daily!$C:$C, $C$3),""))</f>
        <v/>
      </c>
      <c r="CR31" s="121" t="str">
        <f>IF($A31="","",IFERROR(SUMPRODUCT((Raw_Data_Daily!$B$2:$B$9999="Variant")*(Raw_Data_Daily!$A$2:$A$9999=$A31)*(Raw_Data_Daily!$C$2:$C$9999=$C$3)*Raw_Data_Daily!$D$2:$D$9999*Raw_Data_Daily!$AH$2:$AH$9999)/SUMIFS(Raw_Data_Daily!$D:$D, Raw_Data_Daily!$B:$B, "Variant", Raw_Data_Daily!$A:$A, $A31, Raw_Data_Daily!$C:$C, $C$3),""))</f>
        <v/>
      </c>
      <c r="CS31" s="96" t="str">
        <f t="shared" si="32"/>
        <v/>
      </c>
      <c r="CT31" s="94" t="str">
        <f>IF($A31="","",IFERROR(SUMPRODUCT((Raw_Data_Daily!$B$2:$B$9999="Control")*(Raw_Data_Daily!$A$2:$A$9999=$A31)*(Raw_Data_Daily!$C$2:$C$9999=$C$3)*Raw_Data_Daily!$D$2:$D$9999*Raw_Data_Daily!$AI$2:$AI$9999)/SUMIFS(Raw_Data_Daily!$D:$D, Raw_Data_Daily!$B:$B, "Control", Raw_Data_Daily!$A:$A, $A31, Raw_Data_Daily!$C:$C, $C$3),""))</f>
        <v/>
      </c>
      <c r="CU31" s="94" t="str">
        <f>IF($A31="","",IFERROR(SUMPRODUCT((Raw_Data_Daily!$B$2:$B$9999="Variant")*(Raw_Data_Daily!$A$2:$A$9999=$A31)*(Raw_Data_Daily!$C$2:$C$9999=$C$3)*Raw_Data_Daily!$D$2:$D$9999*Raw_Data_Daily!$AI$2:$AI$9999)/SUMIFS(Raw_Data_Daily!$D:$D, Raw_Data_Daily!$B:$B, "Variant", Raw_Data_Daily!$A:$A, $A31, Raw_Data_Daily!$C:$C, $C$3),""))</f>
        <v/>
      </c>
      <c r="CV31" s="142" t="str">
        <f t="shared" si="33"/>
        <v/>
      </c>
      <c r="CW31" s="94" t="str">
        <f>IF($A31="","",IFERROR(SUMPRODUCT((Raw_Data_Daily!$B$2:$B$9999="Control")*(Raw_Data_Daily!$A$2:$A$9999=$A31)*(Raw_Data_Daily!$C$2:$C$9999=$C$3)*Raw_Data_Daily!$D$2:$D$9999*Raw_Data_Daily!$AJ$2:$AJ$9999)/SUMIFS(Raw_Data_Daily!$D:$D, Raw_Data_Daily!$B:$B, "Control", Raw_Data_Daily!$A:$A, $A31, Raw_Data_Daily!$C:$C, $C$3),""))</f>
        <v/>
      </c>
      <c r="CX31" s="94" t="str">
        <f>IF($A31="","",IFERROR(SUMPRODUCT((Raw_Data_Daily!$B$2:$B$9999="Variant")*(Raw_Data_Daily!$A$2:$A$9999=$A31)*(Raw_Data_Daily!$C$2:$C$9999=$C$3)*Raw_Data_Daily!$D$2:$D$9999*Raw_Data_Daily!$AJ$2:$AJ$9999)/SUMIFS(Raw_Data_Daily!$D:$D, Raw_Data_Daily!$B:$B, "Variant", Raw_Data_Daily!$A:$A, $A31, Raw_Data_Daily!$C:$C, $C$3),""))</f>
        <v/>
      </c>
      <c r="CY31" s="142" t="str">
        <f t="shared" si="34"/>
        <v/>
      </c>
      <c r="CZ31" s="94" t="str">
        <f>IF($A31="","",IFERROR(SUMPRODUCT((Raw_Data_Daily!$B$2:$B$9999="Control")*(Raw_Data_Daily!$A$2:$A$9999=$A31)*(Raw_Data_Daily!$C$2:$C$9999=$C$3)*Raw_Data_Daily!$D$2:$D$9999*Raw_Data_Daily!$AK$2:$AK$9999)/SUMIFS(Raw_Data_Daily!$D:$D, Raw_Data_Daily!$B:$B, "Control", Raw_Data_Daily!$A:$A, $A31, Raw_Data_Daily!$C:$C, $C$3),""))</f>
        <v/>
      </c>
      <c r="DA31" s="94" t="str">
        <f>IF($A31="","",IFERROR(SUMPRODUCT((Raw_Data_Daily!$B$2:$B$9999="Variant")*(Raw_Data_Daily!$A$2:$A$9999=$A31)*(Raw_Data_Daily!$C$2:$C$9999=$C$3)*Raw_Data_Daily!$D$2:$D$9999*Raw_Data_Daily!$AK$2:$AK$9999)/SUMIFS(Raw_Data_Daily!$D:$D, Raw_Data_Daily!$B:$B, "Variant", Raw_Data_Daily!$A:$A, $A31, Raw_Data_Daily!$C:$C, $C$3),""))</f>
        <v/>
      </c>
      <c r="DB31" s="96" t="str">
        <f t="shared" si="35"/>
        <v/>
      </c>
      <c r="DC31" s="139" t="str">
        <f>IF($A31="","",IFERROR(SUMPRODUCT((Raw_Data_Daily!$B$2:$B$9999="Control")*(Raw_Data_Daily!$A$2:$A$9999=$A31)*(Raw_Data_Daily!$C$2:$C$9999=$C$3)*Raw_Data_Daily!$D$2:$D$9999*Raw_Data_Daily!$AL$2:$AL$9999)/SUMIFS(Raw_Data_Daily!$D:$D, Raw_Data_Daily!$B:$B, "Control", Raw_Data_Daily!$A:$A, $A31, Raw_Data_Daily!$C:$C, $C$3),""))</f>
        <v/>
      </c>
      <c r="DD31" s="139" t="str">
        <f>IF($A31="","",IFERROR(SUMPRODUCT((Raw_Data_Daily!$B$2:$B$9999="Variant")*(Raw_Data_Daily!$A$2:$A$9999=$A31)*(Raw_Data_Daily!$C$2:$C$9999=$C$3)*Raw_Data_Daily!$D$2:$D$9999*Raw_Data_Daily!$AL$2:$AL$9999)/SUMIFS(Raw_Data_Daily!$D:$D, Raw_Data_Daily!$B:$B, "Variant", Raw_Data_Daily!$A:$A, $A31, Raw_Data_Daily!$C:$C, $C$3),""))</f>
        <v/>
      </c>
      <c r="DE31" s="142" t="str">
        <f t="shared" si="36"/>
        <v/>
      </c>
      <c r="DF31" s="168"/>
      <c r="DG31" s="94" t="str">
        <f>IF($A31="","",IFERROR(SUMPRODUCT((Raw_Data_Daily!$B$2:$B$9999="Variant")*(Raw_Data_Daily!$A$2:$A$9999=$A31)*(Raw_Data_Daily!$C$2:$C$9999=$C$3)*Raw_Data_Daily!$D$2:$D$9999*Raw_Data_Daily!$AM$2:$AM$9999)/SUMIFS(Raw_Data_Daily!$D:$D, Raw_Data_Daily!$B:$B, "Variant", Raw_Data_Daily!$A:$A, $A31, Raw_Data_Daily!$C:$C, $C$3),""))</f>
        <v/>
      </c>
      <c r="DH31" s="169"/>
      <c r="DI31" s="168"/>
      <c r="DJ31" s="94" t="str">
        <f>IF($A31="","",IFERROR(SUMPRODUCT((Raw_Data_Daily!$B$2:$B$9999="Variant")*(Raw_Data_Daily!$A$2:$A$9999=$A31)*(Raw_Data_Daily!$C$2:$C$9999=$C$3)*Raw_Data_Daily!$D$2:$D$9999*Raw_Data_Daily!$AN$2:$AN$9999)/SUMIFS(Raw_Data_Daily!$D:$D, Raw_Data_Daily!$B:$B, "Variant", Raw_Data_Daily!$A:$A, $A31, Raw_Data_Daily!$C:$C, $C$3),""))</f>
        <v/>
      </c>
      <c r="DK31" s="169"/>
      <c r="DL31" s="168"/>
      <c r="DM31" s="94" t="str">
        <f>IF($A31="","",IFERROR(SUMPRODUCT((Raw_Data_Daily!$B$2:$B$9999="Variant")*(Raw_Data_Daily!$A$2:$A$9999=$A31)*(Raw_Data_Daily!$C$2:$C$9999=$C$3)*Raw_Data_Daily!$D$2:$D$9999*Raw_Data_Daily!$AO$2:$AO$9999)/SUMIFS(Raw_Data_Daily!$D:$D, Raw_Data_Daily!$B:$B, "Variant", Raw_Data_Daily!$A:$A, $A31, Raw_Data_Daily!$C:$C, $C$3),""))</f>
        <v/>
      </c>
      <c r="DN31" s="169"/>
      <c r="DO31" s="168"/>
      <c r="DP31" s="94" t="str">
        <f>IF($A31="","",IFERROR(SUMPRODUCT((Raw_Data_Daily!$B$2:$B$9999="Variant")*(Raw_Data_Daily!$A$2:$A$9999=$A31)*(Raw_Data_Daily!$C$2:$C$9999=$C$3)*Raw_Data_Daily!$D$2:$D$9999*Raw_Data_Daily!$AP$2:$AP$9999)/SUMIFS(Raw_Data_Daily!$D:$D, Raw_Data_Daily!$B:$B, "Variant", Raw_Data_Daily!$A:$A, $A31, Raw_Data_Daily!$C:$C, $C$3),""))</f>
        <v/>
      </c>
      <c r="DQ31" s="169"/>
      <c r="DR31" s="139" t="str">
        <f>IF($A31="","",IFERROR(SUMPRODUCT((Raw_Data_Daily!$B$2:$B$9999="Control")*(Raw_Data_Daily!$A$2:$A$9999=$A31)*(Raw_Data_Daily!$C$2:$C$9999=$C$3)*Raw_Data_Daily!$D$2:$D$9999*Raw_Data_Daily!$AQ$2:$AQ$9999)/SUMIFS(Raw_Data_Daily!$D:$D, Raw_Data_Daily!$B:$B, "Control", Raw_Data_Daily!$A:$A, $A31, Raw_Data_Daily!$C:$C, $C$3),""))</f>
        <v/>
      </c>
      <c r="DS31" s="139" t="str">
        <f>IF($A31="","",IFERROR(SUMPRODUCT((Raw_Data_Daily!$B$2:$B$9999="Variant")*(Raw_Data_Daily!$A$2:$A$9999=$A31)*(Raw_Data_Daily!$C$2:$C$9999=$C$3)*Raw_Data_Daily!$D$2:$D$9999*Raw_Data_Daily!$AQ$2:$AQ$9999)/SUMIFS(Raw_Data_Daily!$D:$D, Raw_Data_Daily!$B:$B, "Variant", Raw_Data_Daily!$A:$A, $A31, Raw_Data_Daily!$C:$C, $C$3),""))</f>
        <v/>
      </c>
      <c r="DT31" s="173" t="str">
        <f t="shared" si="37"/>
        <v/>
      </c>
      <c r="DU31" s="139" t="str">
        <f>IF($A31="","",IFERROR(SUMPRODUCT((Raw_Data_Daily!$B$2:$B$9999="Control")*(Raw_Data_Daily!$A$2:$A$9999=$A31)*(Raw_Data_Daily!$C$2:$C$9999=$C$3)*Raw_Data_Daily!$D$2:$D$9999*Raw_Data_Daily!$AR$2:$AR$9999)/SUMIFS(Raw_Data_Daily!$D:$D, Raw_Data_Daily!$B:$B, "Control", Raw_Data_Daily!$A:$A, $A31, Raw_Data_Daily!$C:$C, $C$3),""))</f>
        <v/>
      </c>
      <c r="DV31" s="139" t="str">
        <f>IF($A31="","",IFERROR(SUMPRODUCT((Raw_Data_Daily!$B$2:$B$9999="Variant")*(Raw_Data_Daily!$A$2:$A$9999=$A31)*(Raw_Data_Daily!$C$2:$C$9999=$C$3)*Raw_Data_Daily!$D$2:$D$9999*Raw_Data_Daily!$AR$2:$AR$9999)/SUMIFS(Raw_Data_Daily!$D:$D, Raw_Data_Daily!$B:$B, "Variant", Raw_Data_Daily!$A:$A, $A31, Raw_Data_Daily!$C:$C, $C$3),""))</f>
        <v/>
      </c>
      <c r="DW31" s="173" t="str">
        <f t="shared" si="38"/>
        <v/>
      </c>
      <c r="DX31" s="139" t="str">
        <f>IF($A31="","",IFERROR(SUMPRODUCT((Raw_Data_Daily!$B$2:$B$9999="Control")*(Raw_Data_Daily!$A$2:$A$9999=$A31)*(Raw_Data_Daily!$C$2:$C$9999=$C$3)*Raw_Data_Daily!$D$2:$D$9999*Raw_Data_Daily!$AS$2:$AS$9999)/SUMIFS(Raw_Data_Daily!$D:$D, Raw_Data_Daily!$B:$B, "Control", Raw_Data_Daily!$A:$A, $A31, Raw_Data_Daily!$C:$C, $C$3),""))</f>
        <v/>
      </c>
      <c r="DY31" s="139" t="str">
        <f>IF($A31="","",IFERROR(SUMPRODUCT((Raw_Data_Daily!$B$2:$B$9999="Variant")*(Raw_Data_Daily!$A$2:$A$9999=$A31)*(Raw_Data_Daily!$C$2:$C$9999=$C$3)*Raw_Data_Daily!$D$2:$D$9999*Raw_Data_Daily!$AS$2:$AS$9999)/SUMIFS(Raw_Data_Daily!$D:$D, Raw_Data_Daily!$B:$B, "Variant", Raw_Data_Daily!$A:$A, $A31, Raw_Data_Daily!$C:$C, $C$3),""))</f>
        <v/>
      </c>
      <c r="DZ31" s="174" t="str">
        <f t="shared" si="39"/>
        <v/>
      </c>
      <c r="EA31" s="139" t="str">
        <f>IF($A31="","",IFERROR(SUMPRODUCT((Raw_Data_Daily!$B$2:$B$9999="Control")*(Raw_Data_Daily!$A$2:$A$9999=$A31)*(Raw_Data_Daily!$C$2:$C$9999=$C$3)*Raw_Data_Daily!$D$2:$D$9999*Raw_Data_Daily!$AT$2:$AT$9999)/SUMIFS(Raw_Data_Daily!$D:$D, Raw_Data_Daily!$B:$B, "Control", Raw_Data_Daily!$A:$A, $A31, Raw_Data_Daily!$C:$C, $C$3),""))</f>
        <v/>
      </c>
      <c r="EB31" s="139" t="str">
        <f>IF($A31="","",IFERROR(SUMPRODUCT((Raw_Data_Daily!$B$2:$B$9999="Variant")*(Raw_Data_Daily!$A$2:$A$9999=$A31)*(Raw_Data_Daily!$C$2:$C$9999=$C$3)*Raw_Data_Daily!$D$2:$D$9999*Raw_Data_Daily!$AT$2:$AT$9999)/SUMIFS(Raw_Data_Daily!$D:$D, Raw_Data_Daily!$B:$B, "Variant", Raw_Data_Daily!$A:$A, $A31, Raw_Data_Daily!$C:$C, $C$3),""))</f>
        <v/>
      </c>
      <c r="EC31" s="173" t="str">
        <f t="shared" si="40"/>
        <v/>
      </c>
      <c r="ED31" s="139" t="str">
        <f>IF($A31="","",IFERROR(SUMPRODUCT((Raw_Data_Daily!$B$2:$B$9999="Control")*(Raw_Data_Daily!$A$2:$A$9999=$A31)*(Raw_Data_Daily!$C$2:$C$9999=$C$3)*Raw_Data_Daily!$D$2:$D$9999*(Raw_Data_Daily!$AQ$2:$AQ$9999-Raw_Data_Daily!$AT$2:$AT$9999))/SUMIFS(Raw_Data_Daily!$D:$D, Raw_Data_Daily!$B:$B, "Control", Raw_Data_Daily!$A:$A, $A31, Raw_Data_Daily!$C:$C, $C$3),""))</f>
        <v/>
      </c>
      <c r="EE31" s="139" t="str">
        <f>IF($A31="","",IFERROR(SUMPRODUCT((Raw_Data_Daily!$B$2:$B$9999="Variant")*(Raw_Data_Daily!$A$2:$A$9999=$A31)*(Raw_Data_Daily!$C$2:$C$9999=$C$3)*Raw_Data_Daily!$D$2:$D$9999*(Raw_Data_Daily!$AQ$2:$AQ$9999-Raw_Data_Daily!$AT$2:$AT$9999))/SUMIFS(Raw_Data_Daily!$D:$D, Raw_Data_Daily!$B:$B, "Variant", Raw_Data_Daily!$A:$A, $A31, Raw_Data_Daily!$C:$C, $C$3),""))</f>
        <v/>
      </c>
      <c r="EF31" s="174" t="str">
        <f t="shared" si="41"/>
        <v/>
      </c>
      <c r="EG31" s="139" t="str">
        <f>IF($A31="","",IFERROR(SUMPRODUCT((Raw_Data_Daily!$B$2:$B$9999="Control")*(Raw_Data_Daily!$A$2:$A$9999=$A31)*(Raw_Data_Daily!$C$2:$C$9999=$C$3)*Raw_Data_Daily!$D$2:$D$9999*Raw_Data_Daily!$AU$2:$AU$9999)/SUMIFS(Raw_Data_Daily!$D:$D, Raw_Data_Daily!$B:$B, "Control", Raw_Data_Daily!$A:$A, $A31, Raw_Data_Daily!$C:$C, $C$3),""))</f>
        <v/>
      </c>
      <c r="EH31" s="139" t="str">
        <f>IF($A31="","",IFERROR(SUMPRODUCT((Raw_Data_Daily!$B$2:$B$9999="Variant")*(Raw_Data_Daily!$A$2:$A$9999=$A31)*(Raw_Data_Daily!$C$2:$C$9999=$C$3)*Raw_Data_Daily!$D$2:$D$9999*Raw_Data_Daily!$AU$2:$AU$9999)/SUMIFS(Raw_Data_Daily!$D:$D, Raw_Data_Daily!$B:$B, "Variant", Raw_Data_Daily!$A:$A, $A31, Raw_Data_Daily!$C:$C, $C$3),""))</f>
        <v/>
      </c>
      <c r="EI31" s="173" t="str">
        <f t="shared" si="42"/>
        <v/>
      </c>
    </row>
    <row r="32" ht="15.75" customHeight="1">
      <c r="A32" s="224">
        <v>46255.0</v>
      </c>
      <c r="B32" s="225">
        <f>IF($A32="","",SUMIFS(Raw_Data_Daily!$D:$D, Raw_Data_Daily!$B:$B, "Control", Raw_Data_Daily!$A:$A, $A32, Raw_Data_Daily!$C:$C, $C$3))</f>
        <v>5908</v>
      </c>
      <c r="C32" s="225">
        <f>IF($A32="","",SUMIFS(Raw_Data_Daily!$D:$D, Raw_Data_Daily!$B:$B, "Variant", Raw_Data_Daily!$A:$A, $A32, Raw_Data_Daily!$C:$C, $C$3))</f>
        <v>5801</v>
      </c>
      <c r="D32" s="226">
        <f t="shared" si="1"/>
        <v>-0.01811103588</v>
      </c>
      <c r="E32" s="227">
        <f>IF($A32="","",IFERROR(SUMPRODUCT((Raw_Data_Daily!$B$2:$B$9999="Control")*(Raw_Data_Daily!$A$2:$A$9999=$A32)*(Raw_Data_Daily!$C$2:$C$9999=$C$3)*Raw_Data_Daily!$D$2:$D$9999*Raw_Data_Daily!$E$2:$E$9999)/SUMIFS(Raw_Data_Daily!$D:$D, Raw_Data_Daily!$B:$B, "Control", Raw_Data_Daily!$A:$A, $A32, Raw_Data_Daily!$C:$C, $C$3),""))</f>
        <v>22.17</v>
      </c>
      <c r="F32" s="227">
        <f>IF($A32="","",IFERROR(SUMPRODUCT((Raw_Data_Daily!$B$2:$B$9999="Variant")*(Raw_Data_Daily!$A$2:$A$9999=$A32)*(Raw_Data_Daily!$C$2:$C$9999=$C$3)*Raw_Data_Daily!$D$2:$D$9999*Raw_Data_Daily!$E$2:$E$9999)/SUMIFS(Raw_Data_Daily!$D:$D, Raw_Data_Daily!$B:$B, "Variant", Raw_Data_Daily!$A:$A, $A32, Raw_Data_Daily!$C:$C, $C$3),""))</f>
        <v>22.16</v>
      </c>
      <c r="G32" s="226">
        <f t="shared" si="2"/>
        <v>-0.000451059991</v>
      </c>
      <c r="H32" s="228">
        <f>IF($A32="","",SUMIFS(Raw_Data_Daily!$F:$F, Raw_Data_Daily!$B:$B, "Control", Raw_Data_Daily!$A:$A, $A32, Raw_Data_Daily!$C:$C, $C$3))</f>
        <v>458.35</v>
      </c>
      <c r="I32" s="228">
        <f>IF($A32="","",SUMIFS(Raw_Data_Daily!$F:$F, Raw_Data_Daily!$B:$B, "Variant", Raw_Data_Daily!$A:$A, $A32, Raw_Data_Daily!$C:$C, $C$3))</f>
        <v>259.57</v>
      </c>
      <c r="J32" s="229">
        <f t="shared" si="3"/>
        <v>-0.4336860478</v>
      </c>
      <c r="K32" s="230">
        <f>IF($A32="","",IFERROR(SUMIFS(Raw_Data_Daily!$F:$F, Raw_Data_Daily!$B:$B, "Control", Raw_Data_Daily!$A:$A, $A32, Raw_Data_Daily!$C:$C, $C$3)/SUMIFS(Raw_Data_Daily!$D:$D, Raw_Data_Daily!$B:$B, "Control", Raw_Data_Daily!$A:$A, $A32, Raw_Data_Daily!$C:$C, $C$3),""))</f>
        <v>0.07758124577</v>
      </c>
      <c r="L32" s="230">
        <f>IF($A32="","",IFERROR(SUMIFS(Raw_Data_Daily!$F:$F, Raw_Data_Daily!$B:$B, "Variant", Raw_Data_Daily!$A:$A, $A32, Raw_Data_Daily!$C:$C, $C$3)/SUMIFS(Raw_Data_Daily!$D:$D, Raw_Data_Daily!$B:$B, "Variant", Raw_Data_Daily!$A:$A, $A32, Raw_Data_Daily!$C:$C, $C$3),""))</f>
        <v>0.04474573349</v>
      </c>
      <c r="M32" s="229">
        <f t="shared" si="4"/>
        <v>-0.4232403328</v>
      </c>
      <c r="N32" s="227">
        <f>IF($A32="","",IFERROR(SUMPRODUCT((Raw_Data_Daily!$B$2:$B$9999="Control")*(Raw_Data_Daily!$A$2:$A$9999=$A32)*(Raw_Data_Daily!$C$2:$C$9999=$C$3)*Raw_Data_Daily!$D$2:$D$9999*Raw_Data_Daily!$H$2:$H$9999/100)/SUMIFS(Raw_Data_Daily!$D:$D, Raw_Data_Daily!$B:$B, "Control", Raw_Data_Daily!$A:$A, $A32, Raw_Data_Daily!$C:$C, $C$3)*100,""))</f>
        <v>2</v>
      </c>
      <c r="O32" s="227">
        <f>IF($A32="","",IFERROR(SUMPRODUCT((Raw_Data_Daily!$B$2:$B$9999="Variant")*(Raw_Data_Daily!$A$2:$A$9999=$A32)*(Raw_Data_Daily!$C$2:$C$9999=$C$3)*Raw_Data_Daily!$D$2:$D$9999*Raw_Data_Daily!$H$2:$H$9999/100)/SUMIFS(Raw_Data_Daily!$D:$D, Raw_Data_Daily!$B:$B, "Variant", Raw_Data_Daily!$A:$A, $A32, Raw_Data_Daily!$C:$C, $C$3)*100,""))</f>
        <v>1.78</v>
      </c>
      <c r="P32" s="229">
        <f t="shared" si="5"/>
        <v>-0.11</v>
      </c>
      <c r="Q32" s="230">
        <f>IF($A32="","",IFERROR(SUMIFS(Raw_Data_Daily!$F:$F, Raw_Data_Daily!$B:$B, "Control", Raw_Data_Daily!$A:$A, $A32, Raw_Data_Daily!$C:$C, $C$3)/SUMPRODUCT((Raw_Data_Daily!$B$2:$B$9999="Control")*(Raw_Data_Daily!$A$2:$A$9999=$A32)*(Raw_Data_Daily!$C$2:$C$9999=$C$3)*Raw_Data_Daily!$D$2:$D$9999*Raw_Data_Daily!$H$2:$H$9999/100),""))</f>
        <v>3.879062288</v>
      </c>
      <c r="R32" s="230">
        <f>IF($A32="","",IFERROR(SUMIFS(Raw_Data_Daily!$F:$F, Raw_Data_Daily!$B:$B, "Variant", Raw_Data_Daily!$A:$A, $A32, Raw_Data_Daily!$C:$C, $C$3)/SUMPRODUCT((Raw_Data_Daily!$B$2:$B$9999="Variant")*(Raw_Data_Daily!$A$2:$A$9999=$A32)*(Raw_Data_Daily!$C$2:$C$9999=$C$3)*Raw_Data_Daily!$D$2:$D$9999*Raw_Data_Daily!$H$2:$H$9999/100),""))</f>
        <v>2.513805252</v>
      </c>
      <c r="S32" s="229">
        <f t="shared" si="6"/>
        <v>-0.3519554301</v>
      </c>
      <c r="T32" s="231">
        <f>IF($A32="","",IFERROR(SUMPRODUCT((Raw_Data_Daily!$B$2:$B$9999="Control")*(Raw_Data_Daily!$A$2:$A$9999=$A32)*(Raw_Data_Daily!$C$2:$C$9999=$C$3)*Raw_Data_Daily!$D$2:$D$9999*Raw_Data_Daily!$J$2:$J$9999)/SUMIFS(Raw_Data_Daily!$D:$D, Raw_Data_Daily!$B:$B, "Control", Raw_Data_Daily!$A:$A, $A32, Raw_Data_Daily!$C:$C, $C$3),""))</f>
        <v>43.66</v>
      </c>
      <c r="U32" s="231">
        <f>IF($A32="","",IFERROR(SUMPRODUCT((Raw_Data_Daily!$B$2:$B$9999="Variant")*(Raw_Data_Daily!$A$2:$A$9999=$A32)*(Raw_Data_Daily!$C$2:$C$9999=$C$3)*Raw_Data_Daily!$D$2:$D$9999*Raw_Data_Daily!$J$2:$J$9999)/SUMIFS(Raw_Data_Daily!$D:$D, Raw_Data_Daily!$B:$B, "Variant", Raw_Data_Daily!$A:$A, $A32, Raw_Data_Daily!$C:$C, $C$3),""))</f>
        <v>42.78</v>
      </c>
      <c r="V32" s="229">
        <f t="shared" si="7"/>
        <v>-0.02015574897</v>
      </c>
      <c r="W32" s="231">
        <f>IF($A32="","",IFERROR(SUMPRODUCT((Raw_Data_Daily!$B$2:$B$9999="Control")*(Raw_Data_Daily!$A$2:$A$9999=$A32)*(Raw_Data_Daily!$C$2:$C$9999=$C$3)*Raw_Data_Daily!$D$2:$D$9999*Raw_Data_Daily!$K$2:$K$9999)/SUMIFS(Raw_Data_Daily!$D:$D, Raw_Data_Daily!$B:$B, "Control", Raw_Data_Daily!$A:$A, $A32, Raw_Data_Daily!$C:$C, $C$3),""))</f>
        <v>24.06</v>
      </c>
      <c r="X32" s="231">
        <f>IF($A32="","",IFERROR(SUMPRODUCT((Raw_Data_Daily!$B$2:$B$9999="Variant")*(Raw_Data_Daily!$A$2:$A$9999=$A32)*(Raw_Data_Daily!$C$2:$C$9999=$C$3)*Raw_Data_Daily!$D$2:$D$9999*Raw_Data_Daily!$K$2:$K$9999)/SUMIFS(Raw_Data_Daily!$D:$D, Raw_Data_Daily!$B:$B, "Variant", Raw_Data_Daily!$A:$A, $A32, Raw_Data_Daily!$C:$C, $C$3),""))</f>
        <v>22.67</v>
      </c>
      <c r="Y32" s="229">
        <f t="shared" si="8"/>
        <v>-0.05777223608</v>
      </c>
      <c r="Z32" s="231">
        <f>IF($A32="","",IFERROR(SUMPRODUCT((Raw_Data_Daily!$B$2:$B$9999="Control")*(Raw_Data_Daily!$A$2:$A$9999=$A32)*(Raw_Data_Daily!$C$2:$C$9999=$C$3)*Raw_Data_Daily!$D$2:$D$9999*Raw_Data_Daily!$L$2:$L$9999)/SUMIFS(Raw_Data_Daily!$D:$D, Raw_Data_Daily!$B:$B, "Control", Raw_Data_Daily!$A:$A, $A32, Raw_Data_Daily!$C:$C, $C$3),""))</f>
        <v>14.43</v>
      </c>
      <c r="AA32" s="231">
        <f>IF($A32="","",IFERROR(SUMPRODUCT((Raw_Data_Daily!$B$2:$B$9999="Variant")*(Raw_Data_Daily!$A$2:$A$9999=$A32)*(Raw_Data_Daily!$C$2:$C$9999=$C$3)*Raw_Data_Daily!$D$2:$D$9999*Raw_Data_Daily!$L$2:$L$9999)/SUMIFS(Raw_Data_Daily!$D:$D, Raw_Data_Daily!$B:$B, "Variant", Raw_Data_Daily!$A:$A, $A32, Raw_Data_Daily!$C:$C, $C$3),""))</f>
        <v>13.66</v>
      </c>
      <c r="AB32" s="229">
        <f t="shared" si="9"/>
        <v>-0.05336105336</v>
      </c>
      <c r="AC32" s="232">
        <f>IF($A32="","",IFERROR(SUMPRODUCT((Raw_Data_Daily!$B$2:$B$9999="Control")*(Raw_Data_Daily!$A$2:$A$9999=$A32)*(Raw_Data_Daily!$C$2:$C$9999=$C$3)*Raw_Data_Daily!$D$2:$D$9999*Raw_Data_Daily!$M$2:$M$9999)/SUMIFS(Raw_Data_Daily!$D:$D, Raw_Data_Daily!$B:$B, "Control", Raw_Data_Daily!$A:$A, $A32, Raw_Data_Daily!$C:$C, $C$3),""))</f>
        <v>0.5996</v>
      </c>
      <c r="AD32" s="232">
        <f>IF($A32="","",IFERROR(SUMPRODUCT((Raw_Data_Daily!$B$2:$B$9999="Variant")*(Raw_Data_Daily!$A$2:$A$9999=$A32)*(Raw_Data_Daily!$C$2:$C$9999=$C$3)*Raw_Data_Daily!$D$2:$D$9999*Raw_Data_Daily!$M$2:$M$9999)/SUMIFS(Raw_Data_Daily!$D:$D, Raw_Data_Daily!$B:$B, "Variant", Raw_Data_Daily!$A:$A, $A32, Raw_Data_Daily!$C:$C, $C$3),""))</f>
        <v>0.6026</v>
      </c>
      <c r="AE32" s="233">
        <f t="shared" si="10"/>
        <v>0.005003335557</v>
      </c>
      <c r="AF32" s="232">
        <f>IF($A32="","",IFERROR(SUMPRODUCT((Raw_Data_Daily!$B$2:$B$9999="Control")*(Raw_Data_Daily!$A$2:$A$9999=$A32)*(Raw_Data_Daily!$C$2:$C$9999=$C$3)*Raw_Data_Daily!$D$2:$D$9999*Raw_Data_Daily!$N$2:$N$9999)/SUMIFS(Raw_Data_Daily!$D:$D, Raw_Data_Daily!$B:$B, "Control", Raw_Data_Daily!$A:$A, $A32, Raw_Data_Daily!$C:$C, $C$3),""))</f>
        <v>0.523</v>
      </c>
      <c r="AG32" s="232">
        <f>IF($A32="","",IFERROR(SUMPRODUCT((Raw_Data_Daily!$B$2:$B$9999="Variant")*(Raw_Data_Daily!$A$2:$A$9999=$A32)*(Raw_Data_Daily!$C$2:$C$9999=$C$3)*Raw_Data_Daily!$D$2:$D$9999*Raw_Data_Daily!$N$2:$N$9999)/SUMIFS(Raw_Data_Daily!$D:$D, Raw_Data_Daily!$B:$B, "Variant", Raw_Data_Daily!$A:$A, $A32, Raw_Data_Daily!$C:$C, $C$3),""))</f>
        <v>0.5242</v>
      </c>
      <c r="AH32" s="233">
        <f t="shared" si="11"/>
        <v>0.002294455067</v>
      </c>
      <c r="AI32" s="232">
        <f>IF($A32="","",IFERROR(SUMPRODUCT((Raw_Data_Daily!$B$2:$B$9999="Control")*(Raw_Data_Daily!$A$2:$A$9999=$A32)*(Raw_Data_Daily!$C$2:$C$9999=$C$3)*Raw_Data_Daily!$D$2:$D$9999*Raw_Data_Daily!$O$2:$O$9999)/SUMIFS(Raw_Data_Daily!$D:$D, Raw_Data_Daily!$B:$B, "Control", Raw_Data_Daily!$A:$A, $A32, Raw_Data_Daily!$C:$C, $C$3),""))</f>
        <v>0.3104</v>
      </c>
      <c r="AJ32" s="232">
        <f>IF($A32="","",IFERROR(SUMPRODUCT((Raw_Data_Daily!$B$2:$B$9999="Variant")*(Raw_Data_Daily!$A$2:$A$9999=$A32)*(Raw_Data_Daily!$C$2:$C$9999=$C$3)*Raw_Data_Daily!$D$2:$D$9999*Raw_Data_Daily!$O$2:$O$9999)/SUMIFS(Raw_Data_Daily!$D:$D, Raw_Data_Daily!$B:$B, "Variant", Raw_Data_Daily!$A:$A, $A32, Raw_Data_Daily!$C:$C, $C$3),""))</f>
        <v>0.3148</v>
      </c>
      <c r="AK32" s="229">
        <f t="shared" si="12"/>
        <v>0.01417525773</v>
      </c>
      <c r="AL32" s="231">
        <f>IF($A32="","",IFERROR(SUMPRODUCT((Raw_Data_Daily!$B$2:$B$9999="Control")*(Raw_Data_Daily!$A$2:$A$9999=$A32)*(Raw_Data_Daily!$C$2:$C$9999=$C$3)*Raw_Data_Daily!$D$2:$D$9999*Raw_Data_Daily!$P$2:$P$9999)/SUMIFS(Raw_Data_Daily!$D:$D, Raw_Data_Daily!$B:$B, "Control", Raw_Data_Daily!$A:$A, $A32, Raw_Data_Daily!$C:$C, $C$3),""))</f>
        <v>1.6678</v>
      </c>
      <c r="AM32" s="231">
        <f>IF($A32="","",IFERROR(SUMPRODUCT((Raw_Data_Daily!$B$2:$B$9999="Variant")*(Raw_Data_Daily!$A$2:$A$9999=$A32)*(Raw_Data_Daily!$C$2:$C$9999=$C$3)*Raw_Data_Daily!$D$2:$D$9999*Raw_Data_Daily!$P$2:$P$9999)/SUMIFS(Raw_Data_Daily!$D:$D, Raw_Data_Daily!$B:$B, "Variant", Raw_Data_Daily!$A:$A, $A32, Raw_Data_Daily!$C:$C, $C$3),""))</f>
        <v>1.6595</v>
      </c>
      <c r="AN32" s="229">
        <f t="shared" si="13"/>
        <v>-0.004976615901</v>
      </c>
      <c r="AO32" s="231">
        <f>IF($A32="","",IFERROR(SUMPRODUCT((Raw_Data_Daily!$B$2:$B$9999="Control")*(Raw_Data_Daily!$A$2:$A$9999=$A32)*(Raw_Data_Daily!$C$2:$C$9999=$C$3)*Raw_Data_Daily!$D$2:$D$9999*Raw_Data_Daily!$Q$2:$Q$9999)/SUMIFS(Raw_Data_Daily!$D:$D, Raw_Data_Daily!$B:$B, "Control", Raw_Data_Daily!$A:$A, $A32, Raw_Data_Daily!$C:$C, $C$3),""))</f>
        <v>119.14</v>
      </c>
      <c r="AP32" s="231">
        <f>IF($A32="","",IFERROR(SUMPRODUCT((Raw_Data_Daily!$B$2:$B$9999="Variant")*(Raw_Data_Daily!$A$2:$A$9999=$A32)*(Raw_Data_Daily!$C$2:$C$9999=$C$3)*Raw_Data_Daily!$D$2:$D$9999*Raw_Data_Daily!$Q$2:$Q$9999)/SUMIFS(Raw_Data_Daily!$D:$D, Raw_Data_Daily!$B:$B, "Variant", Raw_Data_Daily!$A:$A, $A32, Raw_Data_Daily!$C:$C, $C$3),""))</f>
        <v>108.05</v>
      </c>
      <c r="AQ32" s="226">
        <f t="shared" si="14"/>
        <v>-0.093083767</v>
      </c>
      <c r="AR32" s="231">
        <f>IF($A32="","",IFERROR(SUMPRODUCT((Raw_Data_Daily!$B$2:$B$9999="Control")*(Raw_Data_Daily!$A$2:$A$9999=$A32)*(Raw_Data_Daily!$C$2:$C$9999=$C$3)*Raw_Data_Daily!$D$2:$D$9999*Raw_Data_Daily!$R$2:$R$9999)/SUMIFS(Raw_Data_Daily!$D:$D, Raw_Data_Daily!$B:$B, "Control", Raw_Data_Daily!$A:$A, $A32, Raw_Data_Daily!$C:$C, $C$3),""))</f>
        <v>106.03</v>
      </c>
      <c r="AS32" s="231">
        <f>IF($A32="","",IFERROR(SUMPRODUCT((Raw_Data_Daily!$B$2:$B$9999="Variant")*(Raw_Data_Daily!$A$2:$A$9999=$A32)*(Raw_Data_Daily!$C$2:$C$9999=$C$3)*Raw_Data_Daily!$D$2:$D$9999*Raw_Data_Daily!$R$2:$R$9999)/SUMIFS(Raw_Data_Daily!$D:$D, Raw_Data_Daily!$B:$B, "Variant", Raw_Data_Daily!$A:$A, $A32, Raw_Data_Daily!$C:$C, $C$3),""))</f>
        <v>97.51</v>
      </c>
      <c r="AT32" s="226">
        <f t="shared" si="15"/>
        <v>-0.08035461662</v>
      </c>
      <c r="AU32" s="231">
        <f>IF($A32="","",IFERROR(SUMPRODUCT((Raw_Data_Daily!$B$2:$B$9999="Control")*(Raw_Data_Daily!$A$2:$A$9999=$A32)*(Raw_Data_Daily!$C$2:$C$9999=$C$3)*Raw_Data_Daily!$D$2:$D$9999*Raw_Data_Daily!$S$2:$S$9999)/SUMIFS(Raw_Data_Daily!$D:$D, Raw_Data_Daily!$B:$B, "Control", Raw_Data_Daily!$A:$A, $A32, Raw_Data_Daily!$C:$C, $C$3),""))</f>
        <v>13.11</v>
      </c>
      <c r="AV32" s="231">
        <f>IF($A32="","",IFERROR(SUMPRODUCT((Raw_Data_Daily!$B$2:$B$9999="Variant")*(Raw_Data_Daily!$A$2:$A$9999=$A32)*(Raw_Data_Daily!$C$2:$C$9999=$C$3)*Raw_Data_Daily!$D$2:$D$9999*Raw_Data_Daily!$S$2:$S$9999)/SUMIFS(Raw_Data_Daily!$D:$D, Raw_Data_Daily!$B:$B, "Variant", Raw_Data_Daily!$A:$A, $A32, Raw_Data_Daily!$C:$C, $C$3),""))</f>
        <v>10.54</v>
      </c>
      <c r="AW32" s="226">
        <f t="shared" si="16"/>
        <v>-0.1960335622</v>
      </c>
      <c r="AX32" s="231">
        <f>IF($A32="","",IFERROR(SUMPRODUCT((Raw_Data_Daily!$B$2:$B$9999="Control")*(Raw_Data_Daily!$A$2:$A$9999=$A32)*(Raw_Data_Daily!$C$2:$C$9999=$C$3)*Raw_Data_Daily!$D$2:$D$9999*Raw_Data_Daily!$T$2:$T$9999)/SUMIFS(Raw_Data_Daily!$D:$D, Raw_Data_Daily!$B:$B, "Control", Raw_Data_Daily!$A:$A, $A32, Raw_Data_Daily!$C:$C, $C$3),""))</f>
        <v>6.65</v>
      </c>
      <c r="AY32" s="231">
        <f>IF($A32="","",IFERROR(SUMPRODUCT((Raw_Data_Daily!$B$2:$B$9999="Variant")*(Raw_Data_Daily!$A$2:$A$9999=$A32)*(Raw_Data_Daily!$C$2:$C$9999=$C$3)*Raw_Data_Daily!$D$2:$D$9999*Raw_Data_Daily!$T$2:$T$9999)/SUMIFS(Raw_Data_Daily!$D:$D, Raw_Data_Daily!$B:$B, "Variant", Raw_Data_Daily!$A:$A, $A32, Raw_Data_Daily!$C:$C, $C$3),""))</f>
        <v>3.4</v>
      </c>
      <c r="AZ32" s="229">
        <f t="shared" si="17"/>
        <v>-0.4887218045</v>
      </c>
      <c r="BA32" s="231">
        <f>IF($A32="","",IFERROR(SUMPRODUCT((Raw_Data_Daily!$B$2:$B$9999="Control")*(Raw_Data_Daily!$A$2:$A$9999=$A32)*(Raw_Data_Daily!$C$2:$C$9999=$C$3)*Raw_Data_Daily!$D$2:$D$9999*Raw_Data_Daily!$U$2:$U$9999)/SUMIFS(Raw_Data_Daily!$D:$D, Raw_Data_Daily!$B:$B, "Control", Raw_Data_Daily!$A:$A, $A32, Raw_Data_Daily!$C:$C, $C$3),""))</f>
        <v>112.49</v>
      </c>
      <c r="BB32" s="231">
        <f>IF($A32="","",IFERROR(SUMPRODUCT((Raw_Data_Daily!$B$2:$B$9999="Variant")*(Raw_Data_Daily!$A$2:$A$9999=$A32)*(Raw_Data_Daily!$C$2:$C$9999=$C$3)*Raw_Data_Daily!$D$2:$D$9999*Raw_Data_Daily!$U$2:$U$9999)/SUMIFS(Raw_Data_Daily!$D:$D, Raw_Data_Daily!$B:$B, "Variant", Raw_Data_Daily!$A:$A, $A32, Raw_Data_Daily!$C:$C, $C$3),""))</f>
        <v>104.64</v>
      </c>
      <c r="BC32" s="226">
        <f t="shared" si="18"/>
        <v>-0.0697839808</v>
      </c>
      <c r="BD32" s="231">
        <f>IF($A32="","",IFERROR(SUMPRODUCT((Raw_Data_Daily!$B$2:$B$9999="Control")*(Raw_Data_Daily!$A$2:$A$9999=$A32)*(Raw_Data_Daily!$C$2:$C$9999=$C$3)*Raw_Data_Daily!$D$2:$D$9999*Raw_Data_Daily!$V$2:$V$9999)/SUMIFS(Raw_Data_Daily!$D:$D, Raw_Data_Daily!$B:$B, "Control", Raw_Data_Daily!$A:$A, $A32, Raw_Data_Daily!$C:$C, $C$3),""))</f>
        <v>102.1</v>
      </c>
      <c r="BE32" s="231">
        <f>IF($A32="","",IFERROR(SUMPRODUCT((Raw_Data_Daily!$B$2:$B$9999="Variant")*(Raw_Data_Daily!$A$2:$A$9999=$A32)*(Raw_Data_Daily!$C$2:$C$9999=$C$3)*Raw_Data_Daily!$D$2:$D$9999*Raw_Data_Daily!$V$2:$V$9999)/SUMIFS(Raw_Data_Daily!$D:$D, Raw_Data_Daily!$B:$B, "Variant", Raw_Data_Daily!$A:$A, $A32, Raw_Data_Daily!$C:$C, $C$3),""))</f>
        <v>95.38</v>
      </c>
      <c r="BF32" s="226">
        <f t="shared" si="19"/>
        <v>-0.06581782566</v>
      </c>
      <c r="BG32" s="231">
        <f>IF($A32="","",IFERROR(SUMPRODUCT((Raw_Data_Daily!$B$2:$B$9999="Control")*(Raw_Data_Daily!$A$2:$A$9999=$A32)*(Raw_Data_Daily!$C$2:$C$9999=$C$3)*Raw_Data_Daily!$D$2:$D$9999*(Raw_Data_Daily!$Q$2:$Q$9999-Raw_Data_Daily!$V$2:$V$9999))/SUMIFS(Raw_Data_Daily!$D:$D, Raw_Data_Daily!$B:$B, "Control", Raw_Data_Daily!$A:$A, $A32, Raw_Data_Daily!$C:$C, $C$3),""))</f>
        <v>17.04</v>
      </c>
      <c r="BH32" s="231">
        <f>IF($A32="","",IFERROR(SUMPRODUCT((Raw_Data_Daily!$B$2:$B$9999="Variant")*(Raw_Data_Daily!$A$2:$A$9999=$A32)*(Raw_Data_Daily!$C$2:$C$9999=$C$3)*Raw_Data_Daily!$D$2:$D$9999*(Raw_Data_Daily!$Q$2:$Q$9999-Raw_Data_Daily!$V$2:$V$9999))/SUMIFS(Raw_Data_Daily!$D:$D, Raw_Data_Daily!$B:$B, "Variant", Raw_Data_Daily!$A:$A, $A32, Raw_Data_Daily!$C:$C, $C$3),""))</f>
        <v>12.67</v>
      </c>
      <c r="BI32" s="226">
        <f t="shared" si="20"/>
        <v>-0.2564553991</v>
      </c>
      <c r="BJ32" s="231">
        <f>IF($A32="","",IFERROR(SUMPRODUCT((Raw_Data_Daily!$B$2:$B$9999="Control")*(Raw_Data_Daily!$A$2:$A$9999=$A32)*(Raw_Data_Daily!$C$2:$C$9999=$C$3)*Raw_Data_Daily!$D$2:$D$9999*Raw_Data_Daily!$W$2:$W$9999)/SUMIFS(Raw_Data_Daily!$D:$D, Raw_Data_Daily!$B:$B, "Control", Raw_Data_Daily!$A:$A, $A32, Raw_Data_Daily!$C:$C, $C$3),""))</f>
        <v>4.2437</v>
      </c>
      <c r="BK32" s="231">
        <f>IF($A32="","",IFERROR(SUMPRODUCT((Raw_Data_Daily!$B$2:$B$9999="Variant")*(Raw_Data_Daily!$A$2:$A$9999=$A32)*(Raw_Data_Daily!$C$2:$C$9999=$C$3)*Raw_Data_Daily!$D$2:$D$9999*Raw_Data_Daily!$W$2:$W$9999)/SUMIFS(Raw_Data_Daily!$D:$D, Raw_Data_Daily!$B:$B, "Variant", Raw_Data_Daily!$A:$A, $A32, Raw_Data_Daily!$C:$C, $C$3),""))</f>
        <v>4.2065</v>
      </c>
      <c r="BL32" s="226">
        <f t="shared" si="21"/>
        <v>-0.008765935387</v>
      </c>
      <c r="BM32" s="232">
        <f>IF($A32="","",IFERROR(SUMPRODUCT((Raw_Data_Daily!$B$2:$B$9999="Control")*(Raw_Data_Daily!$A$2:$A$9999=$A32)*(Raw_Data_Daily!$C$2:$C$9999=$C$3)*Raw_Data_Daily!$D$2:$D$9999*Raw_Data_Daily!$X$2:$X$9999)/SUMIFS(Raw_Data_Daily!$D:$D, Raw_Data_Daily!$B:$B, "Control", Raw_Data_Daily!$A:$A, $A32, Raw_Data_Daily!$C:$C, $C$3),""))</f>
        <v>5.58</v>
      </c>
      <c r="BN32" s="232">
        <f>IF($A32="","",IFERROR(SUMPRODUCT((Raw_Data_Daily!$B$2:$B$9999="Variant")*(Raw_Data_Daily!$A$2:$A$9999=$A32)*(Raw_Data_Daily!$C$2:$C$9999=$C$3)*Raw_Data_Daily!$D$2:$D$9999*Raw_Data_Daily!$X$2:$X$9999)/SUMIFS(Raw_Data_Daily!$D:$D, Raw_Data_Daily!$B:$B, "Variant", Raw_Data_Daily!$A:$A, $A32, Raw_Data_Daily!$C:$C, $C$3),""))</f>
        <v>3.15</v>
      </c>
      <c r="BO32" s="229">
        <f t="shared" si="22"/>
        <v>-0.435483871</v>
      </c>
      <c r="BP32" s="225">
        <f>IF($A32="","",IFERROR(SUMPRODUCT((Raw_Data_Daily!$B$2:$B$9999="Control")*(Raw_Data_Daily!$A$2:$A$9999=$A32)*(Raw_Data_Daily!$C$2:$C$9999=$C$3)*Raw_Data_Daily!$D$2:$D$9999*Raw_Data_Daily!$Y$2:$Y$9999)/SUMIFS(Raw_Data_Daily!$D:$D, Raw_Data_Daily!$B:$B, "Control", Raw_Data_Daily!$A:$A, $A32, Raw_Data_Daily!$C:$C, $C$3),""))</f>
        <v>237</v>
      </c>
      <c r="BQ32" s="225">
        <f>IF($A32="","",IFERROR(SUMPRODUCT((Raw_Data_Daily!$B$2:$B$9999="Variant")*(Raw_Data_Daily!$A$2:$A$9999=$A32)*(Raw_Data_Daily!$C$2:$C$9999=$C$3)*Raw_Data_Daily!$D$2:$D$9999*Raw_Data_Daily!$Y$2:$Y$9999)/SUMIFS(Raw_Data_Daily!$D:$D, Raw_Data_Daily!$B:$B, "Variant", Raw_Data_Daily!$A:$A, $A32, Raw_Data_Daily!$C:$C, $C$3),""))</f>
        <v>226</v>
      </c>
      <c r="BR32" s="226">
        <f t="shared" si="23"/>
        <v>-0.04641350211</v>
      </c>
      <c r="BS32" s="225">
        <f>IF($A32="","",IFERROR(SUMPRODUCT((Raw_Data_Daily!$B$2:$B$9999="Control")*(Raw_Data_Daily!$A$2:$A$9999=$A32)*(Raw_Data_Daily!$C$2:$C$9999=$C$3)*Raw_Data_Daily!$D$2:$D$9999*Raw_Data_Daily!$Z$2:$Z$9999)/SUMIFS(Raw_Data_Daily!$D:$D, Raw_Data_Daily!$B:$B, "Control", Raw_Data_Daily!$A:$A, $A32, Raw_Data_Daily!$C:$C, $C$3),""))</f>
        <v>436</v>
      </c>
      <c r="BT32" s="225">
        <f>IF($A32="","",IFERROR(SUMPRODUCT((Raw_Data_Daily!$B$2:$B$9999="Variant")*(Raw_Data_Daily!$A$2:$A$9999=$A32)*(Raw_Data_Daily!$C$2:$C$9999=$C$3)*Raw_Data_Daily!$D$2:$D$9999*Raw_Data_Daily!$Z$2:$Z$9999)/SUMIFS(Raw_Data_Daily!$D:$D, Raw_Data_Daily!$B:$B, "Variant", Raw_Data_Daily!$A:$A, $A32, Raw_Data_Daily!$C:$C, $C$3),""))</f>
        <v>384</v>
      </c>
      <c r="BU32" s="226">
        <f t="shared" si="24"/>
        <v>-0.119266055</v>
      </c>
      <c r="BV32" s="225">
        <f>IF($A32="","",IFERROR(SUMPRODUCT((Raw_Data_Daily!$B$2:$B$9999="Control")*(Raw_Data_Daily!$A$2:$A$9999=$A32)*(Raw_Data_Daily!$C$2:$C$9999=$C$3)*Raw_Data_Daily!$D$2:$D$9999*Raw_Data_Daily!$AA$2:$AA$9999)/SUMIFS(Raw_Data_Daily!$D:$D, Raw_Data_Daily!$B:$B, "Control", Raw_Data_Daily!$A:$A, $A32, Raw_Data_Daily!$C:$C, $C$3),""))</f>
        <v>1330</v>
      </c>
      <c r="BW32" s="225">
        <f>IF($A32="","",IFERROR(SUMPRODUCT((Raw_Data_Daily!$B$2:$B$9999="Variant")*(Raw_Data_Daily!$A$2:$A$9999=$A32)*(Raw_Data_Daily!$C$2:$C$9999=$C$3)*Raw_Data_Daily!$D$2:$D$9999*Raw_Data_Daily!$AA$2:$AA$9999)/SUMIFS(Raw_Data_Daily!$D:$D, Raw_Data_Daily!$B:$B, "Variant", Raw_Data_Daily!$A:$A, $A32, Raw_Data_Daily!$C:$C, $C$3),""))</f>
        <v>1132</v>
      </c>
      <c r="BX32" s="226">
        <f t="shared" si="25"/>
        <v>-0.1488721805</v>
      </c>
      <c r="BY32" s="231">
        <f>IF($A32="","",IFERROR(SUMPRODUCT((Raw_Data_Daily!$B$2:$B$9999="Control")*(Raw_Data_Daily!$A$2:$A$9999=$A32)*(Raw_Data_Daily!$C$2:$C$9999=$C$3)*Raw_Data_Daily!$D$2:$D$9999*Raw_Data_Daily!$AB$2:$AB$9999)/SUMIFS(Raw_Data_Daily!$D:$D, Raw_Data_Daily!$B:$B, "Control", Raw_Data_Daily!$A:$A, $A32, Raw_Data_Daily!$C:$C, $C$3),""))</f>
        <v>51.8984</v>
      </c>
      <c r="BZ32" s="231">
        <f>IF($A32="","",IFERROR(SUMPRODUCT((Raw_Data_Daily!$B$2:$B$9999="Variant")*(Raw_Data_Daily!$A$2:$A$9999=$A32)*(Raw_Data_Daily!$C$2:$C$9999=$C$3)*Raw_Data_Daily!$D$2:$D$9999*Raw_Data_Daily!$AB$2:$AB$9999)/SUMIFS(Raw_Data_Daily!$D:$D, Raw_Data_Daily!$B:$B, "Variant", Raw_Data_Daily!$A:$A, $A32, Raw_Data_Daily!$C:$C, $C$3),""))</f>
        <v>52.0481</v>
      </c>
      <c r="CA32" s="229">
        <f t="shared" si="26"/>
        <v>0.002884481988</v>
      </c>
      <c r="CB32" s="231">
        <f>IF($A32="","",IFERROR(SUMPRODUCT((Raw_Data_Daily!$B$2:$B$9999="Control")*(Raw_Data_Daily!$A$2:$A$9999=$A32)*(Raw_Data_Daily!$C$2:$C$9999=$C$3)*Raw_Data_Daily!$D$2:$D$9999*Raw_Data_Daily!$AC$2:$AC$9999)/SUMIFS(Raw_Data_Daily!$D:$D, Raw_Data_Daily!$B:$B, "Control", Raw_Data_Daily!$A:$A, $A32, Raw_Data_Daily!$C:$C, $C$3),""))</f>
        <v>0.6792</v>
      </c>
      <c r="CC32" s="231">
        <f>IF($A32="","",IFERROR(SUMPRODUCT((Raw_Data_Daily!$B$2:$B$9999="Variant")*(Raw_Data_Daily!$A$2:$A$9999=$A32)*(Raw_Data_Daily!$C$2:$C$9999=$C$3)*Raw_Data_Daily!$D$2:$D$9999*Raw_Data_Daily!$AC$2:$AC$9999)/SUMIFS(Raw_Data_Daily!$D:$D, Raw_Data_Daily!$B:$B, "Variant", Raw_Data_Daily!$A:$A, $A32, Raw_Data_Daily!$C:$C, $C$3),""))</f>
        <v>0.6792</v>
      </c>
      <c r="CD32" s="229">
        <f t="shared" si="27"/>
        <v>0</v>
      </c>
      <c r="CE32" s="231">
        <f>IF($A32="","",IFERROR(SUMPRODUCT((Raw_Data_Daily!$B$2:$B$9999="Control")*(Raw_Data_Daily!$A$2:$A$9999=$A32)*(Raw_Data_Daily!$C$2:$C$9999=$C$3)*Raw_Data_Daily!$D$2:$D$9999*Raw_Data_Daily!$AD$2:$AD$9999)/SUMIFS(Raw_Data_Daily!$D:$D, Raw_Data_Daily!$B:$B, "Control", Raw_Data_Daily!$A:$A, $A32, Raw_Data_Daily!$C:$C, $C$3),""))</f>
        <v>10.08</v>
      </c>
      <c r="CF32" s="231">
        <f>IF($A32="","",IFERROR(SUMPRODUCT((Raw_Data_Daily!$B$2:$B$9999="Variant")*(Raw_Data_Daily!$A$2:$A$9999=$A32)*(Raw_Data_Daily!$C$2:$C$9999=$C$3)*Raw_Data_Daily!$D$2:$D$9999*Raw_Data_Daily!$AD$2:$AD$9999)/SUMIFS(Raw_Data_Daily!$D:$D, Raw_Data_Daily!$B:$B, "Variant", Raw_Data_Daily!$A:$A, $A32, Raw_Data_Daily!$C:$C, $C$3),""))</f>
        <v>9.75</v>
      </c>
      <c r="CG32" s="229">
        <f t="shared" si="28"/>
        <v>-0.03273809524</v>
      </c>
      <c r="CH32" s="231">
        <f>IF($A32="","",IFERROR(SUMPRODUCT((Raw_Data_Daily!$B$2:$B$9999="Control")*(Raw_Data_Daily!$A$2:$A$9999=$A32)*(Raw_Data_Daily!$C$2:$C$9999=$C$3)*Raw_Data_Daily!$D$2:$D$9999*Raw_Data_Daily!$AE$2:$AE$9999)/SUMIFS(Raw_Data_Daily!$D:$D, Raw_Data_Daily!$B:$B, "Control", Raw_Data_Daily!$A:$A, $A32, Raw_Data_Daily!$C:$C, $C$3),""))</f>
        <v>5</v>
      </c>
      <c r="CI32" s="231">
        <f>IF($A32="","",IFERROR(SUMPRODUCT((Raw_Data_Daily!$B$2:$B$9999="Variant")*(Raw_Data_Daily!$A$2:$A$9999=$A32)*(Raw_Data_Daily!$C$2:$C$9999=$C$3)*Raw_Data_Daily!$D$2:$D$9999*Raw_Data_Daily!$AE$2:$AE$9999)/SUMIFS(Raw_Data_Daily!$D:$D, Raw_Data_Daily!$B:$B, "Variant", Raw_Data_Daily!$A:$A, $A32, Raw_Data_Daily!$C:$C, $C$3),""))</f>
        <v>4</v>
      </c>
      <c r="CJ32" s="229">
        <f t="shared" si="29"/>
        <v>-0.2</v>
      </c>
      <c r="CK32" s="231">
        <f>IF($A32="","",IFERROR(SUMPRODUCT((Raw_Data_Daily!$B$2:$B$9999="Control")*(Raw_Data_Daily!$A$2:$A$9999=$A32)*(Raw_Data_Daily!$C$2:$C$9999=$C$3)*Raw_Data_Daily!$D$2:$D$9999*Raw_Data_Daily!$AF$2:$AF$9999)/SUMIFS(Raw_Data_Daily!$D:$D, Raw_Data_Daily!$B:$B, "Control", Raw_Data_Daily!$A:$A, $A32, Raw_Data_Daily!$C:$C, $C$3),""))</f>
        <v>9</v>
      </c>
      <c r="CL32" s="231">
        <f>IF($A32="","",IFERROR(SUMPRODUCT((Raw_Data_Daily!$B$2:$B$9999="Variant")*(Raw_Data_Daily!$A$2:$A$9999=$A32)*(Raw_Data_Daily!$C$2:$C$9999=$C$3)*Raw_Data_Daily!$D$2:$D$9999*Raw_Data_Daily!$AF$2:$AF$9999)/SUMIFS(Raw_Data_Daily!$D:$D, Raw_Data_Daily!$B:$B, "Variant", Raw_Data_Daily!$A:$A, $A32, Raw_Data_Daily!$C:$C, $C$3),""))</f>
        <v>9</v>
      </c>
      <c r="CM32" s="229">
        <f t="shared" si="30"/>
        <v>0</v>
      </c>
      <c r="CN32" s="231">
        <f>IF($A32="","",IFERROR(SUMPRODUCT((Raw_Data_Daily!$B$2:$B$9999="Control")*(Raw_Data_Daily!$A$2:$A$9999=$A32)*(Raw_Data_Daily!$C$2:$C$9999=$C$3)*Raw_Data_Daily!$D$2:$D$9999*Raw_Data_Daily!$AG$2:$AG$9999)/SUMIFS(Raw_Data_Daily!$D:$D, Raw_Data_Daily!$B:$B, "Control", Raw_Data_Daily!$A:$A, $A32, Raw_Data_Daily!$C:$C, $C$3),""))</f>
        <v>14</v>
      </c>
      <c r="CO32" s="231">
        <f>IF($A32="","",IFERROR(SUMPRODUCT((Raw_Data_Daily!$B$2:$B$9999="Variant")*(Raw_Data_Daily!$A$2:$A$9999=$A32)*(Raw_Data_Daily!$C$2:$C$9999=$C$3)*Raw_Data_Daily!$D$2:$D$9999*Raw_Data_Daily!$AG$2:$AG$9999)/SUMIFS(Raw_Data_Daily!$D:$D, Raw_Data_Daily!$B:$B, "Variant", Raw_Data_Daily!$A:$A, $A32, Raw_Data_Daily!$C:$C, $C$3),""))</f>
        <v>13</v>
      </c>
      <c r="CP32" s="229">
        <f t="shared" si="31"/>
        <v>-0.07142857143</v>
      </c>
      <c r="CQ32" s="231">
        <f>IF($A32="","",IFERROR(SUMPRODUCT((Raw_Data_Daily!$B$2:$B$9999="Control")*(Raw_Data_Daily!$A$2:$A$9999=$A32)*(Raw_Data_Daily!$C$2:$C$9999=$C$3)*Raw_Data_Daily!$D$2:$D$9999*Raw_Data_Daily!$AH$2:$AH$9999)/SUMIFS(Raw_Data_Daily!$D:$D, Raw_Data_Daily!$B:$B, "Control", Raw_Data_Daily!$A:$A, $A32, Raw_Data_Daily!$C:$C, $C$3),""))</f>
        <v>19</v>
      </c>
      <c r="CR32" s="231">
        <f>IF($A32="","",IFERROR(SUMPRODUCT((Raw_Data_Daily!$B$2:$B$9999="Variant")*(Raw_Data_Daily!$A$2:$A$9999=$A32)*(Raw_Data_Daily!$C$2:$C$9999=$C$3)*Raw_Data_Daily!$D$2:$D$9999*Raw_Data_Daily!$AH$2:$AH$9999)/SUMIFS(Raw_Data_Daily!$D:$D, Raw_Data_Daily!$B:$B, "Variant", Raw_Data_Daily!$A:$A, $A32, Raw_Data_Daily!$C:$C, $C$3),""))</f>
        <v>19</v>
      </c>
      <c r="CS32" s="229">
        <f t="shared" si="32"/>
        <v>0</v>
      </c>
      <c r="CT32" s="227">
        <f>IF($A32="","",IFERROR(SUMPRODUCT((Raw_Data_Daily!$B$2:$B$9999="Control")*(Raw_Data_Daily!$A$2:$A$9999=$A32)*(Raw_Data_Daily!$C$2:$C$9999=$C$3)*Raw_Data_Daily!$D$2:$D$9999*Raw_Data_Daily!$AI$2:$AI$9999)/SUMIFS(Raw_Data_Daily!$D:$D, Raw_Data_Daily!$B:$B, "Control", Raw_Data_Daily!$A:$A, $A32, Raw_Data_Daily!$C:$C, $C$3),""))</f>
        <v>69.57</v>
      </c>
      <c r="CU32" s="227">
        <f>IF($A32="","",IFERROR(SUMPRODUCT((Raw_Data_Daily!$B$2:$B$9999="Variant")*(Raw_Data_Daily!$A$2:$A$9999=$A32)*(Raw_Data_Daily!$C$2:$C$9999=$C$3)*Raw_Data_Daily!$D$2:$D$9999*Raw_Data_Daily!$AI$2:$AI$9999)/SUMIFS(Raw_Data_Daily!$D:$D, Raw_Data_Daily!$B:$B, "Variant", Raw_Data_Daily!$A:$A, $A32, Raw_Data_Daily!$C:$C, $C$3),""))</f>
        <v>66.01</v>
      </c>
      <c r="CV32" s="233">
        <f t="shared" si="33"/>
        <v>-0.05117148196</v>
      </c>
      <c r="CW32" s="227">
        <f>IF($A32="","",IFERROR(SUMPRODUCT((Raw_Data_Daily!$B$2:$B$9999="Control")*(Raw_Data_Daily!$A$2:$A$9999=$A32)*(Raw_Data_Daily!$C$2:$C$9999=$C$3)*Raw_Data_Daily!$D$2:$D$9999*Raw_Data_Daily!$AJ$2:$AJ$9999)/SUMIFS(Raw_Data_Daily!$D:$D, Raw_Data_Daily!$B:$B, "Control", Raw_Data_Daily!$A:$A, $A32, Raw_Data_Daily!$C:$C, $C$3),""))</f>
        <v>29.21</v>
      </c>
      <c r="CX32" s="227">
        <f>IF($A32="","",IFERROR(SUMPRODUCT((Raw_Data_Daily!$B$2:$B$9999="Variant")*(Raw_Data_Daily!$A$2:$A$9999=$A32)*(Raw_Data_Daily!$C$2:$C$9999=$C$3)*Raw_Data_Daily!$D$2:$D$9999*Raw_Data_Daily!$AJ$2:$AJ$9999)/SUMIFS(Raw_Data_Daily!$D:$D, Raw_Data_Daily!$B:$B, "Variant", Raw_Data_Daily!$A:$A, $A32, Raw_Data_Daily!$C:$C, $C$3),""))</f>
        <v>27.58</v>
      </c>
      <c r="CY32" s="233">
        <f t="shared" si="34"/>
        <v>-0.05580280726</v>
      </c>
      <c r="CZ32" s="227">
        <f>IF($A32="","",IFERROR(SUMPRODUCT((Raw_Data_Daily!$B$2:$B$9999="Control")*(Raw_Data_Daily!$A$2:$A$9999=$A32)*(Raw_Data_Daily!$C$2:$C$9999=$C$3)*Raw_Data_Daily!$D$2:$D$9999*Raw_Data_Daily!$AK$2:$AK$9999)/SUMIFS(Raw_Data_Daily!$D:$D, Raw_Data_Daily!$B:$B, "Control", Raw_Data_Daily!$A:$A, $A32, Raw_Data_Daily!$C:$C, $C$3),""))</f>
        <v>4.01</v>
      </c>
      <c r="DA32" s="227">
        <f>IF($A32="","",IFERROR(SUMPRODUCT((Raw_Data_Daily!$B$2:$B$9999="Variant")*(Raw_Data_Daily!$A$2:$A$9999=$A32)*(Raw_Data_Daily!$C$2:$C$9999=$C$3)*Raw_Data_Daily!$D$2:$D$9999*Raw_Data_Daily!$AK$2:$AK$9999)/SUMIFS(Raw_Data_Daily!$D:$D, Raw_Data_Daily!$B:$B, "Variant", Raw_Data_Daily!$A:$A, $A32, Raw_Data_Daily!$C:$C, $C$3),""))</f>
        <v>4.14</v>
      </c>
      <c r="DB32" s="229">
        <f t="shared" si="35"/>
        <v>0.03241895262</v>
      </c>
      <c r="DC32" s="232">
        <f>IF($A32="","",IFERROR(SUMPRODUCT((Raw_Data_Daily!$B$2:$B$9999="Control")*(Raw_Data_Daily!$A$2:$A$9999=$A32)*(Raw_Data_Daily!$C$2:$C$9999=$C$3)*Raw_Data_Daily!$D$2:$D$9999*Raw_Data_Daily!$AL$2:$AL$9999)/SUMIFS(Raw_Data_Daily!$D:$D, Raw_Data_Daily!$B:$B, "Control", Raw_Data_Daily!$A:$A, $A32, Raw_Data_Daily!$C:$C, $C$3),""))</f>
        <v>0.3549</v>
      </c>
      <c r="DD32" s="232">
        <f>IF($A32="","",IFERROR(SUMPRODUCT((Raw_Data_Daily!$B$2:$B$9999="Variant")*(Raw_Data_Daily!$A$2:$A$9999=$A32)*(Raw_Data_Daily!$C$2:$C$9999=$C$3)*Raw_Data_Daily!$D$2:$D$9999*Raw_Data_Daily!$AL$2:$AL$9999)/SUMIFS(Raw_Data_Daily!$D:$D, Raw_Data_Daily!$B:$B, "Variant", Raw_Data_Daily!$A:$A, $A32, Raw_Data_Daily!$C:$C, $C$3),""))</f>
        <v>0.3546</v>
      </c>
      <c r="DE32" s="233">
        <f t="shared" si="36"/>
        <v>-0.0008453085376</v>
      </c>
      <c r="DF32" s="234"/>
      <c r="DG32" s="227">
        <f>IF($A32="","",IFERROR(SUMPRODUCT((Raw_Data_Daily!$B$2:$B$9999="Variant")*(Raw_Data_Daily!$A$2:$A$9999=$A32)*(Raw_Data_Daily!$C$2:$C$9999=$C$3)*Raw_Data_Daily!$D$2:$D$9999*Raw_Data_Daily!$AM$2:$AM$9999)/SUMIFS(Raw_Data_Daily!$D:$D, Raw_Data_Daily!$B:$B, "Variant", Raw_Data_Daily!$A:$A, $A32, Raw_Data_Daily!$C:$C, $C$3),""))</f>
        <v>47.78</v>
      </c>
      <c r="DH32" s="235"/>
      <c r="DI32" s="234"/>
      <c r="DJ32" s="227">
        <f>IF($A32="","",IFERROR(SUMPRODUCT((Raw_Data_Daily!$B$2:$B$9999="Variant")*(Raw_Data_Daily!$A$2:$A$9999=$A32)*(Raw_Data_Daily!$C$2:$C$9999=$C$3)*Raw_Data_Daily!$D$2:$D$9999*Raw_Data_Daily!$AN$2:$AN$9999)/SUMIFS(Raw_Data_Daily!$D:$D, Raw_Data_Daily!$B:$B, "Variant", Raw_Data_Daily!$A:$A, $A32, Raw_Data_Daily!$C:$C, $C$3),""))</f>
        <v>47.78</v>
      </c>
      <c r="DK32" s="235"/>
      <c r="DL32" s="234"/>
      <c r="DM32" s="227">
        <f>IF($A32="","",IFERROR(SUMPRODUCT((Raw_Data_Daily!$B$2:$B$9999="Variant")*(Raw_Data_Daily!$A$2:$A$9999=$A32)*(Raw_Data_Daily!$C$2:$C$9999=$C$3)*Raw_Data_Daily!$D$2:$D$9999*Raw_Data_Daily!$AO$2:$AO$9999)/SUMIFS(Raw_Data_Daily!$D:$D, Raw_Data_Daily!$B:$B, "Variant", Raw_Data_Daily!$A:$A, $A32, Raw_Data_Daily!$C:$C, $C$3),""))</f>
        <v>28.62</v>
      </c>
      <c r="DN32" s="235"/>
      <c r="DO32" s="234"/>
      <c r="DP32" s="227">
        <f>IF($A32="","",IFERROR(SUMPRODUCT((Raw_Data_Daily!$B$2:$B$9999="Variant")*(Raw_Data_Daily!$A$2:$A$9999=$A32)*(Raw_Data_Daily!$C$2:$C$9999=$C$3)*Raw_Data_Daily!$D$2:$D$9999*Raw_Data_Daily!$AP$2:$AP$9999)/SUMIFS(Raw_Data_Daily!$D:$D, Raw_Data_Daily!$B:$B, "Variant", Raw_Data_Daily!$A:$A, $A32, Raw_Data_Daily!$C:$C, $C$3),""))</f>
        <v>13.58</v>
      </c>
      <c r="DQ32" s="235"/>
      <c r="DR32" s="232">
        <f>IF($A32="","",IFERROR(SUMPRODUCT((Raw_Data_Daily!$B$2:$B$9999="Control")*(Raw_Data_Daily!$A$2:$A$9999=$A32)*(Raw_Data_Daily!$C$2:$C$9999=$C$3)*Raw_Data_Daily!$D$2:$D$9999*Raw_Data_Daily!$AQ$2:$AQ$9999)/SUMIFS(Raw_Data_Daily!$D:$D, Raw_Data_Daily!$B:$B, "Control", Raw_Data_Daily!$A:$A, $A32, Raw_Data_Daily!$C:$C, $C$3),""))</f>
        <v>8.2552</v>
      </c>
      <c r="DS32" s="232">
        <f>IF($A32="","",IFERROR(SUMPRODUCT((Raw_Data_Daily!$B$2:$B$9999="Variant")*(Raw_Data_Daily!$A$2:$A$9999=$A32)*(Raw_Data_Daily!$C$2:$C$9999=$C$3)*Raw_Data_Daily!$D$2:$D$9999*Raw_Data_Daily!$AQ$2:$AQ$9999)/SUMIFS(Raw_Data_Daily!$D:$D, Raw_Data_Daily!$B:$B, "Variant", Raw_Data_Daily!$A:$A, $A32, Raw_Data_Daily!$C:$C, $C$3),""))</f>
        <v>7.2867</v>
      </c>
      <c r="DT32" s="236">
        <f t="shared" si="37"/>
        <v>-0.1173199922</v>
      </c>
      <c r="DU32" s="232">
        <f>IF($A32="","",IFERROR(SUMPRODUCT((Raw_Data_Daily!$B$2:$B$9999="Control")*(Raw_Data_Daily!$A$2:$A$9999=$A32)*(Raw_Data_Daily!$C$2:$C$9999=$C$3)*Raw_Data_Daily!$D$2:$D$9999*Raw_Data_Daily!$AR$2:$AR$9999)/SUMIFS(Raw_Data_Daily!$D:$D, Raw_Data_Daily!$B:$B, "Control", Raw_Data_Daily!$A:$A, $A32, Raw_Data_Daily!$C:$C, $C$3),""))</f>
        <v>0.1264</v>
      </c>
      <c r="DV32" s="232">
        <f>IF($A32="","",IFERROR(SUMPRODUCT((Raw_Data_Daily!$B$2:$B$9999="Variant")*(Raw_Data_Daily!$A$2:$A$9999=$A32)*(Raw_Data_Daily!$C$2:$C$9999=$C$3)*Raw_Data_Daily!$D$2:$D$9999*Raw_Data_Daily!$AR$2:$AR$9999)/SUMIFS(Raw_Data_Daily!$D:$D, Raw_Data_Daily!$B:$B, "Variant", Raw_Data_Daily!$A:$A, $A32, Raw_Data_Daily!$C:$C, $C$3),""))</f>
        <v>0.0867</v>
      </c>
      <c r="DW32" s="236">
        <f t="shared" si="38"/>
        <v>-0.3140822785</v>
      </c>
      <c r="DX32" s="232">
        <f>IF($A32="","",IFERROR(SUMPRODUCT((Raw_Data_Daily!$B$2:$B$9999="Control")*(Raw_Data_Daily!$A$2:$A$9999=$A32)*(Raw_Data_Daily!$C$2:$C$9999=$C$3)*Raw_Data_Daily!$D$2:$D$9999*Raw_Data_Daily!$AS$2:$AS$9999)/SUMIFS(Raw_Data_Daily!$D:$D, Raw_Data_Daily!$B:$B, "Control", Raw_Data_Daily!$A:$A, $A32, Raw_Data_Daily!$C:$C, $C$3),""))</f>
        <v>8.1288</v>
      </c>
      <c r="DY32" s="232">
        <f>IF($A32="","",IFERROR(SUMPRODUCT((Raw_Data_Daily!$B$2:$B$9999="Variant")*(Raw_Data_Daily!$A$2:$A$9999=$A32)*(Raw_Data_Daily!$C$2:$C$9999=$C$3)*Raw_Data_Daily!$D$2:$D$9999*Raw_Data_Daily!$AS$2:$AS$9999)/SUMIFS(Raw_Data_Daily!$D:$D, Raw_Data_Daily!$B:$B, "Variant", Raw_Data_Daily!$A:$A, $A32, Raw_Data_Daily!$C:$C, $C$3),""))</f>
        <v>7.2</v>
      </c>
      <c r="DZ32" s="236">
        <f t="shared" si="39"/>
        <v>-0.1142604074</v>
      </c>
      <c r="EA32" s="232">
        <f>IF($A32="","",IFERROR(SUMPRODUCT((Raw_Data_Daily!$B$2:$B$9999="Control")*(Raw_Data_Daily!$A$2:$A$9999=$A32)*(Raw_Data_Daily!$C$2:$C$9999=$C$3)*Raw_Data_Daily!$D$2:$D$9999*Raw_Data_Daily!$AT$2:$AT$9999)/SUMIFS(Raw_Data_Daily!$D:$D, Raw_Data_Daily!$B:$B, "Control", Raw_Data_Daily!$A:$A, $A32, Raw_Data_Daily!$C:$C, $C$3),""))</f>
        <v>5.9931</v>
      </c>
      <c r="EB32" s="232">
        <f>IF($A32="","",IFERROR(SUMPRODUCT((Raw_Data_Daily!$B$2:$B$9999="Variant")*(Raw_Data_Daily!$A$2:$A$9999=$A32)*(Raw_Data_Daily!$C$2:$C$9999=$C$3)*Raw_Data_Daily!$D$2:$D$9999*Raw_Data_Daily!$AT$2:$AT$9999)/SUMIFS(Raw_Data_Daily!$D:$D, Raw_Data_Daily!$B:$B, "Variant", Raw_Data_Daily!$A:$A, $A32, Raw_Data_Daily!$C:$C, $C$3),""))</f>
        <v>5.7083</v>
      </c>
      <c r="EC32" s="236">
        <f t="shared" si="40"/>
        <v>-0.04752131618</v>
      </c>
      <c r="ED32" s="232">
        <f>IF($A32="","",IFERROR(SUMPRODUCT((Raw_Data_Daily!$B$2:$B$9999="Control")*(Raw_Data_Daily!$A$2:$A$9999=$A32)*(Raw_Data_Daily!$C$2:$C$9999=$C$3)*Raw_Data_Daily!$D$2:$D$9999*(Raw_Data_Daily!$AQ$2:$AQ$9999-Raw_Data_Daily!$AT$2:$AT$9999))/SUMIFS(Raw_Data_Daily!$D:$D, Raw_Data_Daily!$B:$B, "Control", Raw_Data_Daily!$A:$A, $A32, Raw_Data_Daily!$C:$C, $C$3),""))</f>
        <v>2.2621</v>
      </c>
      <c r="EE32" s="232">
        <f>IF($A32="","",IFERROR(SUMPRODUCT((Raw_Data_Daily!$B$2:$B$9999="Variant")*(Raw_Data_Daily!$A$2:$A$9999=$A32)*(Raw_Data_Daily!$C$2:$C$9999=$C$3)*Raw_Data_Daily!$D$2:$D$9999*(Raw_Data_Daily!$AQ$2:$AQ$9999-Raw_Data_Daily!$AT$2:$AT$9999))/SUMIFS(Raw_Data_Daily!$D:$D, Raw_Data_Daily!$B:$B, "Variant", Raw_Data_Daily!$A:$A, $A32, Raw_Data_Daily!$C:$C, $C$3),""))</f>
        <v>1.5784</v>
      </c>
      <c r="EF32" s="236">
        <f t="shared" si="41"/>
        <v>-0.3022412802</v>
      </c>
      <c r="EG32" s="232">
        <f>IF($A32="","",IFERROR(SUMPRODUCT((Raw_Data_Daily!$B$2:$B$9999="Control")*(Raw_Data_Daily!$A$2:$A$9999=$A32)*(Raw_Data_Daily!$C$2:$C$9999=$C$3)*Raw_Data_Daily!$D$2:$D$9999*Raw_Data_Daily!$AU$2:$AU$9999)/SUMIFS(Raw_Data_Daily!$D:$D, Raw_Data_Daily!$B:$B, "Control", Raw_Data_Daily!$A:$A, $A32, Raw_Data_Daily!$C:$C, $C$3),""))</f>
        <v>0.2491</v>
      </c>
      <c r="EH32" s="232">
        <f>IF($A32="","",IFERROR(SUMPRODUCT((Raw_Data_Daily!$B$2:$B$9999="Variant")*(Raw_Data_Daily!$A$2:$A$9999=$A32)*(Raw_Data_Daily!$C$2:$C$9999=$C$3)*Raw_Data_Daily!$D$2:$D$9999*Raw_Data_Daily!$AU$2:$AU$9999)/SUMIFS(Raw_Data_Daily!$D:$D, Raw_Data_Daily!$B:$B, "Variant", Raw_Data_Daily!$A:$A, $A32, Raw_Data_Daily!$C:$C, $C$3),""))</f>
        <v>0.2518</v>
      </c>
      <c r="EI32" s="236">
        <f t="shared" si="42"/>
        <v>0.01083902047</v>
      </c>
    </row>
    <row r="33" ht="15.75" customHeight="1">
      <c r="A33" s="224">
        <v>46256.0</v>
      </c>
      <c r="B33" s="225">
        <f>IF($A33="","",SUMIFS(Raw_Data_Daily!$D:$D, Raw_Data_Daily!$B:$B, "Control", Raw_Data_Daily!$A:$A, $A33, Raw_Data_Daily!$C:$C, $C$3))</f>
        <v>5749</v>
      </c>
      <c r="C33" s="225">
        <f>IF($A33="","",SUMIFS(Raw_Data_Daily!$D:$D, Raw_Data_Daily!$B:$B, "Variant", Raw_Data_Daily!$A:$A, $A33, Raw_Data_Daily!$C:$C, $C$3))</f>
        <v>5681</v>
      </c>
      <c r="D33" s="226">
        <f t="shared" si="1"/>
        <v>-0.01182814403</v>
      </c>
      <c r="E33" s="227">
        <f>IF($A33="","",IFERROR(SUMPRODUCT((Raw_Data_Daily!$B$2:$B$9999="Control")*(Raw_Data_Daily!$A$2:$A$9999=$A33)*(Raw_Data_Daily!$C$2:$C$9999=$C$3)*Raw_Data_Daily!$D$2:$D$9999*Raw_Data_Daily!$E$2:$E$9999)/SUMIFS(Raw_Data_Daily!$D:$D, Raw_Data_Daily!$B:$B, "Control", Raw_Data_Daily!$A:$A, $A33, Raw_Data_Daily!$C:$C, $C$3),""))</f>
        <v>21.64</v>
      </c>
      <c r="F33" s="227">
        <f>IF($A33="","",IFERROR(SUMPRODUCT((Raw_Data_Daily!$B$2:$B$9999="Variant")*(Raw_Data_Daily!$A$2:$A$9999=$A33)*(Raw_Data_Daily!$C$2:$C$9999=$C$3)*Raw_Data_Daily!$D$2:$D$9999*Raw_Data_Daily!$E$2:$E$9999)/SUMIFS(Raw_Data_Daily!$D:$D, Raw_Data_Daily!$B:$B, "Variant", Raw_Data_Daily!$A:$A, $A33, Raw_Data_Daily!$C:$C, $C$3),""))</f>
        <v>21.76</v>
      </c>
      <c r="G33" s="226">
        <f t="shared" si="2"/>
        <v>0.005545286506</v>
      </c>
      <c r="H33" s="228">
        <f>IF($A33="","",SUMIFS(Raw_Data_Daily!$F:$F, Raw_Data_Daily!$B:$B, "Control", Raw_Data_Daily!$A:$A, $A33, Raw_Data_Daily!$C:$C, $C$3))</f>
        <v>469.87</v>
      </c>
      <c r="I33" s="228">
        <f>IF($A33="","",SUMIFS(Raw_Data_Daily!$F:$F, Raw_Data_Daily!$B:$B, "Variant", Raw_Data_Daily!$A:$A, $A33, Raw_Data_Daily!$C:$C, $C$3))</f>
        <v>425.61</v>
      </c>
      <c r="J33" s="229">
        <f t="shared" si="3"/>
        <v>-0.09419626705</v>
      </c>
      <c r="K33" s="230">
        <f>IF($A33="","",IFERROR(SUMIFS(Raw_Data_Daily!$F:$F, Raw_Data_Daily!$B:$B, "Control", Raw_Data_Daily!$A:$A, $A33, Raw_Data_Daily!$C:$C, $C$3)/SUMIFS(Raw_Data_Daily!$D:$D, Raw_Data_Daily!$B:$B, "Control", Raw_Data_Daily!$A:$A, $A33, Raw_Data_Daily!$C:$C, $C$3),""))</f>
        <v>0.08173073578</v>
      </c>
      <c r="L33" s="230">
        <f>IF($A33="","",IFERROR(SUMIFS(Raw_Data_Daily!$F:$F, Raw_Data_Daily!$B:$B, "Variant", Raw_Data_Daily!$A:$A, $A33, Raw_Data_Daily!$C:$C, $C$3)/SUMIFS(Raw_Data_Daily!$D:$D, Raw_Data_Daily!$B:$B, "Variant", Raw_Data_Daily!$A:$A, $A33, Raw_Data_Daily!$C:$C, $C$3),""))</f>
        <v>0.07491814821</v>
      </c>
      <c r="M33" s="229">
        <f t="shared" si="4"/>
        <v>-0.0833540467</v>
      </c>
      <c r="N33" s="227">
        <f>IF($A33="","",IFERROR(SUMPRODUCT((Raw_Data_Daily!$B$2:$B$9999="Control")*(Raw_Data_Daily!$A$2:$A$9999=$A33)*(Raw_Data_Daily!$C$2:$C$9999=$C$3)*Raw_Data_Daily!$D$2:$D$9999*Raw_Data_Daily!$H$2:$H$9999/100)/SUMIFS(Raw_Data_Daily!$D:$D, Raw_Data_Daily!$B:$B, "Control", Raw_Data_Daily!$A:$A, $A33, Raw_Data_Daily!$C:$C, $C$3)*100,""))</f>
        <v>2.17</v>
      </c>
      <c r="O33" s="227">
        <f>IF($A33="","",IFERROR(SUMPRODUCT((Raw_Data_Daily!$B$2:$B$9999="Variant")*(Raw_Data_Daily!$A$2:$A$9999=$A33)*(Raw_Data_Daily!$C$2:$C$9999=$C$3)*Raw_Data_Daily!$D$2:$D$9999*Raw_Data_Daily!$H$2:$H$9999/100)/SUMIFS(Raw_Data_Daily!$D:$D, Raw_Data_Daily!$B:$B, "Variant", Raw_Data_Daily!$A:$A, $A33, Raw_Data_Daily!$C:$C, $C$3)*100,""))</f>
        <v>2.53</v>
      </c>
      <c r="P33" s="229">
        <f t="shared" si="5"/>
        <v>0.1658986175</v>
      </c>
      <c r="Q33" s="230">
        <f>IF($A33="","",IFERROR(SUMIFS(Raw_Data_Daily!$F:$F, Raw_Data_Daily!$B:$B, "Control", Raw_Data_Daily!$A:$A, $A33, Raw_Data_Daily!$C:$C, $C$3)/SUMPRODUCT((Raw_Data_Daily!$B$2:$B$9999="Control")*(Raw_Data_Daily!$A$2:$A$9999=$A33)*(Raw_Data_Daily!$C$2:$C$9999=$C$3)*Raw_Data_Daily!$D$2:$D$9999*Raw_Data_Daily!$H$2:$H$9999/100),""))</f>
        <v>3.766393354</v>
      </c>
      <c r="R33" s="230">
        <f>IF($A33="","",IFERROR(SUMIFS(Raw_Data_Daily!$F:$F, Raw_Data_Daily!$B:$B, "Variant", Raw_Data_Daily!$A:$A, $A33, Raw_Data_Daily!$C:$C, $C$3)/SUMPRODUCT((Raw_Data_Daily!$B$2:$B$9999="Variant")*(Raw_Data_Daily!$A$2:$A$9999=$A33)*(Raw_Data_Daily!$C$2:$C$9999=$C$3)*Raw_Data_Daily!$D$2:$D$9999*Raw_Data_Daily!$H$2:$H$9999/100),""))</f>
        <v>2.961191629</v>
      </c>
      <c r="S33" s="229">
        <f t="shared" si="6"/>
        <v>-0.2137858819</v>
      </c>
      <c r="T33" s="231">
        <f>IF($A33="","",IFERROR(SUMPRODUCT((Raw_Data_Daily!$B$2:$B$9999="Control")*(Raw_Data_Daily!$A$2:$A$9999=$A33)*(Raw_Data_Daily!$C$2:$C$9999=$C$3)*Raw_Data_Daily!$D$2:$D$9999*Raw_Data_Daily!$J$2:$J$9999)/SUMIFS(Raw_Data_Daily!$D:$D, Raw_Data_Daily!$B:$B, "Control", Raw_Data_Daily!$A:$A, $A33, Raw_Data_Daily!$C:$C, $C$3),""))</f>
        <v>40.51</v>
      </c>
      <c r="U33" s="231">
        <f>IF($A33="","",IFERROR(SUMPRODUCT((Raw_Data_Daily!$B$2:$B$9999="Variant")*(Raw_Data_Daily!$A$2:$A$9999=$A33)*(Raw_Data_Daily!$C$2:$C$9999=$C$3)*Raw_Data_Daily!$D$2:$D$9999*Raw_Data_Daily!$J$2:$J$9999)/SUMIFS(Raw_Data_Daily!$D:$D, Raw_Data_Daily!$B:$B, "Variant", Raw_Data_Daily!$A:$A, $A33, Raw_Data_Daily!$C:$C, $C$3),""))</f>
        <v>41.37</v>
      </c>
      <c r="V33" s="229">
        <f t="shared" si="7"/>
        <v>0.02122932609</v>
      </c>
      <c r="W33" s="231">
        <f>IF($A33="","",IFERROR(SUMPRODUCT((Raw_Data_Daily!$B$2:$B$9999="Control")*(Raw_Data_Daily!$A$2:$A$9999=$A33)*(Raw_Data_Daily!$C$2:$C$9999=$C$3)*Raw_Data_Daily!$D$2:$D$9999*Raw_Data_Daily!$K$2:$K$9999)/SUMIFS(Raw_Data_Daily!$D:$D, Raw_Data_Daily!$B:$B, "Control", Raw_Data_Daily!$A:$A, $A33, Raw_Data_Daily!$C:$C, $C$3),""))</f>
        <v>22.4</v>
      </c>
      <c r="X33" s="231">
        <f>IF($A33="","",IFERROR(SUMPRODUCT((Raw_Data_Daily!$B$2:$B$9999="Variant")*(Raw_Data_Daily!$A$2:$A$9999=$A33)*(Raw_Data_Daily!$C$2:$C$9999=$C$3)*Raw_Data_Daily!$D$2:$D$9999*Raw_Data_Daily!$K$2:$K$9999)/SUMIFS(Raw_Data_Daily!$D:$D, Raw_Data_Daily!$B:$B, "Variant", Raw_Data_Daily!$A:$A, $A33, Raw_Data_Daily!$C:$C, $C$3),""))</f>
        <v>22.66</v>
      </c>
      <c r="Y33" s="229">
        <f t="shared" si="8"/>
        <v>0.01160714286</v>
      </c>
      <c r="Z33" s="231">
        <f>IF($A33="","",IFERROR(SUMPRODUCT((Raw_Data_Daily!$B$2:$B$9999="Control")*(Raw_Data_Daily!$A$2:$A$9999=$A33)*(Raw_Data_Daily!$C$2:$C$9999=$C$3)*Raw_Data_Daily!$D$2:$D$9999*Raw_Data_Daily!$L$2:$L$9999)/SUMIFS(Raw_Data_Daily!$D:$D, Raw_Data_Daily!$B:$B, "Control", Raw_Data_Daily!$A:$A, $A33, Raw_Data_Daily!$C:$C, $C$3),""))</f>
        <v>13.46</v>
      </c>
      <c r="AA33" s="231">
        <f>IF($A33="","",IFERROR(SUMPRODUCT((Raw_Data_Daily!$B$2:$B$9999="Variant")*(Raw_Data_Daily!$A$2:$A$9999=$A33)*(Raw_Data_Daily!$C$2:$C$9999=$C$3)*Raw_Data_Daily!$D$2:$D$9999*Raw_Data_Daily!$L$2:$L$9999)/SUMIFS(Raw_Data_Daily!$D:$D, Raw_Data_Daily!$B:$B, "Variant", Raw_Data_Daily!$A:$A, $A33, Raw_Data_Daily!$C:$C, $C$3),""))</f>
        <v>13.26</v>
      </c>
      <c r="AB33" s="229">
        <f t="shared" si="9"/>
        <v>-0.01485884101</v>
      </c>
      <c r="AC33" s="232">
        <f>IF($A33="","",IFERROR(SUMPRODUCT((Raw_Data_Daily!$B$2:$B$9999="Control")*(Raw_Data_Daily!$A$2:$A$9999=$A33)*(Raw_Data_Daily!$C$2:$C$9999=$C$3)*Raw_Data_Daily!$D$2:$D$9999*Raw_Data_Daily!$M$2:$M$9999)/SUMIFS(Raw_Data_Daily!$D:$D, Raw_Data_Daily!$B:$B, "Control", Raw_Data_Daily!$A:$A, $A33, Raw_Data_Daily!$C:$C, $C$3),""))</f>
        <v>0.6008</v>
      </c>
      <c r="AD33" s="232">
        <f>IF($A33="","",IFERROR(SUMPRODUCT((Raw_Data_Daily!$B$2:$B$9999="Variant")*(Raw_Data_Daily!$A$2:$A$9999=$A33)*(Raw_Data_Daily!$C$2:$C$9999=$C$3)*Raw_Data_Daily!$D$2:$D$9999*Raw_Data_Daily!$M$2:$M$9999)/SUMIFS(Raw_Data_Daily!$D:$D, Raw_Data_Daily!$B:$B, "Variant", Raw_Data_Daily!$A:$A, $A33, Raw_Data_Daily!$C:$C, $C$3),""))</f>
        <v>0.5851</v>
      </c>
      <c r="AE33" s="233">
        <f t="shared" si="10"/>
        <v>-0.02613182423</v>
      </c>
      <c r="AF33" s="232">
        <f>IF($A33="","",IFERROR(SUMPRODUCT((Raw_Data_Daily!$B$2:$B$9999="Control")*(Raw_Data_Daily!$A$2:$A$9999=$A33)*(Raw_Data_Daily!$C$2:$C$9999=$C$3)*Raw_Data_Daily!$D$2:$D$9999*Raw_Data_Daily!$N$2:$N$9999)/SUMIFS(Raw_Data_Daily!$D:$D, Raw_Data_Daily!$B:$B, "Control", Raw_Data_Daily!$A:$A, $A33, Raw_Data_Daily!$C:$C, $C$3),""))</f>
        <v>0.5231</v>
      </c>
      <c r="AG33" s="232">
        <f>IF($A33="","",IFERROR(SUMPRODUCT((Raw_Data_Daily!$B$2:$B$9999="Variant")*(Raw_Data_Daily!$A$2:$A$9999=$A33)*(Raw_Data_Daily!$C$2:$C$9999=$C$3)*Raw_Data_Daily!$D$2:$D$9999*Raw_Data_Daily!$N$2:$N$9999)/SUMIFS(Raw_Data_Daily!$D:$D, Raw_Data_Daily!$B:$B, "Variant", Raw_Data_Daily!$A:$A, $A33, Raw_Data_Daily!$C:$C, $C$3),""))</f>
        <v>0.5344</v>
      </c>
      <c r="AH33" s="233">
        <f t="shared" si="11"/>
        <v>0.02160198815</v>
      </c>
      <c r="AI33" s="232">
        <f>IF($A33="","",IFERROR(SUMPRODUCT((Raw_Data_Daily!$B$2:$B$9999="Control")*(Raw_Data_Daily!$A$2:$A$9999=$A33)*(Raw_Data_Daily!$C$2:$C$9999=$C$3)*Raw_Data_Daily!$D$2:$D$9999*Raw_Data_Daily!$O$2:$O$9999)/SUMIFS(Raw_Data_Daily!$D:$D, Raw_Data_Daily!$B:$B, "Control", Raw_Data_Daily!$A:$A, $A33, Raw_Data_Daily!$C:$C, $C$3),""))</f>
        <v>0.3137</v>
      </c>
      <c r="AJ33" s="232">
        <f>IF($A33="","",IFERROR(SUMPRODUCT((Raw_Data_Daily!$B$2:$B$9999="Variant")*(Raw_Data_Daily!$A$2:$A$9999=$A33)*(Raw_Data_Daily!$C$2:$C$9999=$C$3)*Raw_Data_Daily!$D$2:$D$9999*Raw_Data_Daily!$O$2:$O$9999)/SUMIFS(Raw_Data_Daily!$D:$D, Raw_Data_Daily!$B:$B, "Variant", Raw_Data_Daily!$A:$A, $A33, Raw_Data_Daily!$C:$C, $C$3),""))</f>
        <v>0.3154</v>
      </c>
      <c r="AK33" s="229">
        <f t="shared" si="12"/>
        <v>0.005419190309</v>
      </c>
      <c r="AL33" s="231">
        <f>IF($A33="","",IFERROR(SUMPRODUCT((Raw_Data_Daily!$B$2:$B$9999="Control")*(Raw_Data_Daily!$A$2:$A$9999=$A33)*(Raw_Data_Daily!$C$2:$C$9999=$C$3)*Raw_Data_Daily!$D$2:$D$9999*Raw_Data_Daily!$P$2:$P$9999)/SUMIFS(Raw_Data_Daily!$D:$D, Raw_Data_Daily!$B:$B, "Control", Raw_Data_Daily!$A:$A, $A33, Raw_Data_Daily!$C:$C, $C$3),""))</f>
        <v>1.6645</v>
      </c>
      <c r="AM33" s="231">
        <f>IF($A33="","",IFERROR(SUMPRODUCT((Raw_Data_Daily!$B$2:$B$9999="Variant")*(Raw_Data_Daily!$A$2:$A$9999=$A33)*(Raw_Data_Daily!$C$2:$C$9999=$C$3)*Raw_Data_Daily!$D$2:$D$9999*Raw_Data_Daily!$P$2:$P$9999)/SUMIFS(Raw_Data_Daily!$D:$D, Raw_Data_Daily!$B:$B, "Variant", Raw_Data_Daily!$A:$A, $A33, Raw_Data_Daily!$C:$C, $C$3),""))</f>
        <v>1.7092</v>
      </c>
      <c r="AN33" s="229">
        <f t="shared" si="13"/>
        <v>0.02685491138</v>
      </c>
      <c r="AO33" s="231">
        <f>IF($A33="","",IFERROR(SUMPRODUCT((Raw_Data_Daily!$B$2:$B$9999="Control")*(Raw_Data_Daily!$A$2:$A$9999=$A33)*(Raw_Data_Daily!$C$2:$C$9999=$C$3)*Raw_Data_Daily!$D$2:$D$9999*Raw_Data_Daily!$Q$2:$Q$9999)/SUMIFS(Raw_Data_Daily!$D:$D, Raw_Data_Daily!$B:$B, "Control", Raw_Data_Daily!$A:$A, $A33, Raw_Data_Daily!$C:$C, $C$3),""))</f>
        <v>96.4</v>
      </c>
      <c r="AP33" s="231">
        <f>IF($A33="","",IFERROR(SUMPRODUCT((Raw_Data_Daily!$B$2:$B$9999="Variant")*(Raw_Data_Daily!$A$2:$A$9999=$A33)*(Raw_Data_Daily!$C$2:$C$9999=$C$3)*Raw_Data_Daily!$D$2:$D$9999*Raw_Data_Daily!$Q$2:$Q$9999)/SUMIFS(Raw_Data_Daily!$D:$D, Raw_Data_Daily!$B:$B, "Variant", Raw_Data_Daily!$A:$A, $A33, Raw_Data_Daily!$C:$C, $C$3),""))</f>
        <v>85.68</v>
      </c>
      <c r="AQ33" s="226">
        <f t="shared" si="14"/>
        <v>-0.1112033195</v>
      </c>
      <c r="AR33" s="231">
        <f>IF($A33="","",IFERROR(SUMPRODUCT((Raw_Data_Daily!$B$2:$B$9999="Control")*(Raw_Data_Daily!$A$2:$A$9999=$A33)*(Raw_Data_Daily!$C$2:$C$9999=$C$3)*Raw_Data_Daily!$D$2:$D$9999*Raw_Data_Daily!$R$2:$R$9999)/SUMIFS(Raw_Data_Daily!$D:$D, Raw_Data_Daily!$B:$B, "Control", Raw_Data_Daily!$A:$A, $A33, Raw_Data_Daily!$C:$C, $C$3),""))</f>
        <v>83.76</v>
      </c>
      <c r="AS33" s="231">
        <f>IF($A33="","",IFERROR(SUMPRODUCT((Raw_Data_Daily!$B$2:$B$9999="Variant")*(Raw_Data_Daily!$A$2:$A$9999=$A33)*(Raw_Data_Daily!$C$2:$C$9999=$C$3)*Raw_Data_Daily!$D$2:$D$9999*Raw_Data_Daily!$R$2:$R$9999)/SUMIFS(Raw_Data_Daily!$D:$D, Raw_Data_Daily!$B:$B, "Variant", Raw_Data_Daily!$A:$A, $A33, Raw_Data_Daily!$C:$C, $C$3),""))</f>
        <v>75.38</v>
      </c>
      <c r="AT33" s="226">
        <f t="shared" si="15"/>
        <v>-0.1000477555</v>
      </c>
      <c r="AU33" s="231">
        <f>IF($A33="","",IFERROR(SUMPRODUCT((Raw_Data_Daily!$B$2:$B$9999="Control")*(Raw_Data_Daily!$A$2:$A$9999=$A33)*(Raw_Data_Daily!$C$2:$C$9999=$C$3)*Raw_Data_Daily!$D$2:$D$9999*Raw_Data_Daily!$S$2:$S$9999)/SUMIFS(Raw_Data_Daily!$D:$D, Raw_Data_Daily!$B:$B, "Control", Raw_Data_Daily!$A:$A, $A33, Raw_Data_Daily!$C:$C, $C$3),""))</f>
        <v>12.64</v>
      </c>
      <c r="AV33" s="231">
        <f>IF($A33="","",IFERROR(SUMPRODUCT((Raw_Data_Daily!$B$2:$B$9999="Variant")*(Raw_Data_Daily!$A$2:$A$9999=$A33)*(Raw_Data_Daily!$C$2:$C$9999=$C$3)*Raw_Data_Daily!$D$2:$D$9999*Raw_Data_Daily!$S$2:$S$9999)/SUMIFS(Raw_Data_Daily!$D:$D, Raw_Data_Daily!$B:$B, "Variant", Raw_Data_Daily!$A:$A, $A33, Raw_Data_Daily!$C:$C, $C$3),""))</f>
        <v>10.3</v>
      </c>
      <c r="AW33" s="226">
        <f t="shared" si="16"/>
        <v>-0.1851265823</v>
      </c>
      <c r="AX33" s="231">
        <f>IF($A33="","",IFERROR(SUMPRODUCT((Raw_Data_Daily!$B$2:$B$9999="Control")*(Raw_Data_Daily!$A$2:$A$9999=$A33)*(Raw_Data_Daily!$C$2:$C$9999=$C$3)*Raw_Data_Daily!$D$2:$D$9999*Raw_Data_Daily!$T$2:$T$9999)/SUMIFS(Raw_Data_Daily!$D:$D, Raw_Data_Daily!$B:$B, "Control", Raw_Data_Daily!$A:$A, $A33, Raw_Data_Daily!$C:$C, $C$3),""))</f>
        <v>6.27</v>
      </c>
      <c r="AY33" s="231">
        <f>IF($A33="","",IFERROR(SUMPRODUCT((Raw_Data_Daily!$B$2:$B$9999="Variant")*(Raw_Data_Daily!$A$2:$A$9999=$A33)*(Raw_Data_Daily!$C$2:$C$9999=$C$3)*Raw_Data_Daily!$D$2:$D$9999*Raw_Data_Daily!$T$2:$T$9999)/SUMIFS(Raw_Data_Daily!$D:$D, Raw_Data_Daily!$B:$B, "Variant", Raw_Data_Daily!$A:$A, $A33, Raw_Data_Daily!$C:$C, $C$3),""))</f>
        <v>6.25</v>
      </c>
      <c r="AZ33" s="229">
        <f t="shared" si="17"/>
        <v>-0.003189792663</v>
      </c>
      <c r="BA33" s="231">
        <f>IF($A33="","",IFERROR(SUMPRODUCT((Raw_Data_Daily!$B$2:$B$9999="Control")*(Raw_Data_Daily!$A$2:$A$9999=$A33)*(Raw_Data_Daily!$C$2:$C$9999=$C$3)*Raw_Data_Daily!$D$2:$D$9999*Raw_Data_Daily!$U$2:$U$9999)/SUMIFS(Raw_Data_Daily!$D:$D, Raw_Data_Daily!$B:$B, "Control", Raw_Data_Daily!$A:$A, $A33, Raw_Data_Daily!$C:$C, $C$3),""))</f>
        <v>90.13</v>
      </c>
      <c r="BB33" s="231">
        <f>IF($A33="","",IFERROR(SUMPRODUCT((Raw_Data_Daily!$B$2:$B$9999="Variant")*(Raw_Data_Daily!$A$2:$A$9999=$A33)*(Raw_Data_Daily!$C$2:$C$9999=$C$3)*Raw_Data_Daily!$D$2:$D$9999*Raw_Data_Daily!$U$2:$U$9999)/SUMIFS(Raw_Data_Daily!$D:$D, Raw_Data_Daily!$B:$B, "Variant", Raw_Data_Daily!$A:$A, $A33, Raw_Data_Daily!$C:$C, $C$3),""))</f>
        <v>79.43</v>
      </c>
      <c r="BC33" s="226">
        <f t="shared" si="18"/>
        <v>-0.1187174082</v>
      </c>
      <c r="BD33" s="231">
        <f>IF($A33="","",IFERROR(SUMPRODUCT((Raw_Data_Daily!$B$2:$B$9999="Control")*(Raw_Data_Daily!$A$2:$A$9999=$A33)*(Raw_Data_Daily!$C$2:$C$9999=$C$3)*Raw_Data_Daily!$D$2:$D$9999*Raw_Data_Daily!$V$2:$V$9999)/SUMIFS(Raw_Data_Daily!$D:$D, Raw_Data_Daily!$B:$B, "Control", Raw_Data_Daily!$A:$A, $A33, Raw_Data_Daily!$C:$C, $C$3),""))</f>
        <v>97.22</v>
      </c>
      <c r="BE33" s="231">
        <f>IF($A33="","",IFERROR(SUMPRODUCT((Raw_Data_Daily!$B$2:$B$9999="Variant")*(Raw_Data_Daily!$A$2:$A$9999=$A33)*(Raw_Data_Daily!$C$2:$C$9999=$C$3)*Raw_Data_Daily!$D$2:$D$9999*Raw_Data_Daily!$V$2:$V$9999)/SUMIFS(Raw_Data_Daily!$D:$D, Raw_Data_Daily!$B:$B, "Variant", Raw_Data_Daily!$A:$A, $A33, Raw_Data_Daily!$C:$C, $C$3),""))</f>
        <v>90.86</v>
      </c>
      <c r="BF33" s="226">
        <f t="shared" si="19"/>
        <v>-0.06541863814</v>
      </c>
      <c r="BG33" s="231">
        <f>IF($A33="","",IFERROR(SUMPRODUCT((Raw_Data_Daily!$B$2:$B$9999="Control")*(Raw_Data_Daily!$A$2:$A$9999=$A33)*(Raw_Data_Daily!$C$2:$C$9999=$C$3)*Raw_Data_Daily!$D$2:$D$9999*(Raw_Data_Daily!$Q$2:$Q$9999-Raw_Data_Daily!$V$2:$V$9999))/SUMIFS(Raw_Data_Daily!$D:$D, Raw_Data_Daily!$B:$B, "Control", Raw_Data_Daily!$A:$A, $A33, Raw_Data_Daily!$C:$C, $C$3),""))</f>
        <v>-0.82</v>
      </c>
      <c r="BH33" s="231">
        <f>IF($A33="","",IFERROR(SUMPRODUCT((Raw_Data_Daily!$B$2:$B$9999="Variant")*(Raw_Data_Daily!$A$2:$A$9999=$A33)*(Raw_Data_Daily!$C$2:$C$9999=$C$3)*Raw_Data_Daily!$D$2:$D$9999*(Raw_Data_Daily!$Q$2:$Q$9999-Raw_Data_Daily!$V$2:$V$9999))/SUMIFS(Raw_Data_Daily!$D:$D, Raw_Data_Daily!$B:$B, "Variant", Raw_Data_Daily!$A:$A, $A33, Raw_Data_Daily!$C:$C, $C$3),""))</f>
        <v>-5.18</v>
      </c>
      <c r="BI33" s="226">
        <f t="shared" si="20"/>
        <v>-5.317073171</v>
      </c>
      <c r="BJ33" s="231">
        <f>IF($A33="","",IFERROR(SUMPRODUCT((Raw_Data_Daily!$B$2:$B$9999="Control")*(Raw_Data_Daily!$A$2:$A$9999=$A33)*(Raw_Data_Daily!$C$2:$C$9999=$C$3)*Raw_Data_Daily!$D$2:$D$9999*Raw_Data_Daily!$W$2:$W$9999)/SUMIFS(Raw_Data_Daily!$D:$D, Raw_Data_Daily!$B:$B, "Control", Raw_Data_Daily!$A:$A, $A33, Raw_Data_Daily!$C:$C, $C$3),""))</f>
        <v>4.3395</v>
      </c>
      <c r="BK33" s="231">
        <f>IF($A33="","",IFERROR(SUMPRODUCT((Raw_Data_Daily!$B$2:$B$9999="Variant")*(Raw_Data_Daily!$A$2:$A$9999=$A33)*(Raw_Data_Daily!$C$2:$C$9999=$C$3)*Raw_Data_Daily!$D$2:$D$9999*Raw_Data_Daily!$W$2:$W$9999)/SUMIFS(Raw_Data_Daily!$D:$D, Raw_Data_Daily!$B:$B, "Variant", Raw_Data_Daily!$A:$A, $A33, Raw_Data_Daily!$C:$C, $C$3),""))</f>
        <v>4.0093</v>
      </c>
      <c r="BL33" s="226">
        <f t="shared" si="21"/>
        <v>-0.07609171564</v>
      </c>
      <c r="BM33" s="232">
        <f>IF($A33="","",IFERROR(SUMPRODUCT((Raw_Data_Daily!$B$2:$B$9999="Control")*(Raw_Data_Daily!$A$2:$A$9999=$A33)*(Raw_Data_Daily!$C$2:$C$9999=$C$3)*Raw_Data_Daily!$D$2:$D$9999*Raw_Data_Daily!$X$2:$X$9999)/SUMIFS(Raw_Data_Daily!$D:$D, Raw_Data_Daily!$B:$B, "Control", Raw_Data_Daily!$A:$A, $A33, Raw_Data_Daily!$C:$C, $C$3),""))</f>
        <v>6.5</v>
      </c>
      <c r="BN33" s="232">
        <f>IF($A33="","",IFERROR(SUMPRODUCT((Raw_Data_Daily!$B$2:$B$9999="Variant")*(Raw_Data_Daily!$A$2:$A$9999=$A33)*(Raw_Data_Daily!$C$2:$C$9999=$C$3)*Raw_Data_Daily!$D$2:$D$9999*Raw_Data_Daily!$X$2:$X$9999)/SUMIFS(Raw_Data_Daily!$D:$D, Raw_Data_Daily!$B:$B, "Variant", Raw_Data_Daily!$A:$A, $A33, Raw_Data_Daily!$C:$C, $C$3),""))</f>
        <v>7.29</v>
      </c>
      <c r="BO33" s="229">
        <f t="shared" si="22"/>
        <v>0.1215384615</v>
      </c>
      <c r="BP33" s="225">
        <f>IF($A33="","",IFERROR(SUMPRODUCT((Raw_Data_Daily!$B$2:$B$9999="Control")*(Raw_Data_Daily!$A$2:$A$9999=$A33)*(Raw_Data_Daily!$C$2:$C$9999=$C$3)*Raw_Data_Daily!$D$2:$D$9999*Raw_Data_Daily!$Y$2:$Y$9999)/SUMIFS(Raw_Data_Daily!$D:$D, Raw_Data_Daily!$B:$B, "Control", Raw_Data_Daily!$A:$A, $A33, Raw_Data_Daily!$C:$C, $C$3),""))</f>
        <v>233</v>
      </c>
      <c r="BQ33" s="225">
        <f>IF($A33="","",IFERROR(SUMPRODUCT((Raw_Data_Daily!$B$2:$B$9999="Variant")*(Raw_Data_Daily!$A$2:$A$9999=$A33)*(Raw_Data_Daily!$C$2:$C$9999=$C$3)*Raw_Data_Daily!$D$2:$D$9999*Raw_Data_Daily!$Y$2:$Y$9999)/SUMIFS(Raw_Data_Daily!$D:$D, Raw_Data_Daily!$B:$B, "Variant", Raw_Data_Daily!$A:$A, $A33, Raw_Data_Daily!$C:$C, $C$3),""))</f>
        <v>215</v>
      </c>
      <c r="BR33" s="226">
        <f t="shared" si="23"/>
        <v>-0.07725321888</v>
      </c>
      <c r="BS33" s="225">
        <f>IF($A33="","",IFERROR(SUMPRODUCT((Raw_Data_Daily!$B$2:$B$9999="Control")*(Raw_Data_Daily!$A$2:$A$9999=$A33)*(Raw_Data_Daily!$C$2:$C$9999=$C$3)*Raw_Data_Daily!$D$2:$D$9999*Raw_Data_Daily!$Z$2:$Z$9999)/SUMIFS(Raw_Data_Daily!$D:$D, Raw_Data_Daily!$B:$B, "Control", Raw_Data_Daily!$A:$A, $A33, Raw_Data_Daily!$C:$C, $C$3),""))</f>
        <v>462</v>
      </c>
      <c r="BT33" s="225">
        <f>IF($A33="","",IFERROR(SUMPRODUCT((Raw_Data_Daily!$B$2:$B$9999="Variant")*(Raw_Data_Daily!$A$2:$A$9999=$A33)*(Raw_Data_Daily!$C$2:$C$9999=$C$3)*Raw_Data_Daily!$D$2:$D$9999*Raw_Data_Daily!$Z$2:$Z$9999)/SUMIFS(Raw_Data_Daily!$D:$D, Raw_Data_Daily!$B:$B, "Variant", Raw_Data_Daily!$A:$A, $A33, Raw_Data_Daily!$C:$C, $C$3),""))</f>
        <v>391</v>
      </c>
      <c r="BU33" s="226">
        <f t="shared" si="24"/>
        <v>-0.1536796537</v>
      </c>
      <c r="BV33" s="225">
        <f>IF($A33="","",IFERROR(SUMPRODUCT((Raw_Data_Daily!$B$2:$B$9999="Control")*(Raw_Data_Daily!$A$2:$A$9999=$A33)*(Raw_Data_Daily!$C$2:$C$9999=$C$3)*Raw_Data_Daily!$D$2:$D$9999*Raw_Data_Daily!$AA$2:$AA$9999)/SUMIFS(Raw_Data_Daily!$D:$D, Raw_Data_Daily!$B:$B, "Control", Raw_Data_Daily!$A:$A, $A33, Raw_Data_Daily!$C:$C, $C$3),""))</f>
        <v>1389</v>
      </c>
      <c r="BW33" s="225">
        <f>IF($A33="","",IFERROR(SUMPRODUCT((Raw_Data_Daily!$B$2:$B$9999="Variant")*(Raw_Data_Daily!$A$2:$A$9999=$A33)*(Raw_Data_Daily!$C$2:$C$9999=$C$3)*Raw_Data_Daily!$D$2:$D$9999*Raw_Data_Daily!$AA$2:$AA$9999)/SUMIFS(Raw_Data_Daily!$D:$D, Raw_Data_Daily!$B:$B, "Variant", Raw_Data_Daily!$A:$A, $A33, Raw_Data_Daily!$C:$C, $C$3),""))</f>
        <v>1265</v>
      </c>
      <c r="BX33" s="226">
        <f t="shared" si="25"/>
        <v>-0.08927285817</v>
      </c>
      <c r="BY33" s="231">
        <f>IF($A33="","",IFERROR(SUMPRODUCT((Raw_Data_Daily!$B$2:$B$9999="Control")*(Raw_Data_Daily!$A$2:$A$9999=$A33)*(Raw_Data_Daily!$C$2:$C$9999=$C$3)*Raw_Data_Daily!$D$2:$D$9999*Raw_Data_Daily!$AB$2:$AB$9999)/SUMIFS(Raw_Data_Daily!$D:$D, Raw_Data_Daily!$B:$B, "Control", Raw_Data_Daily!$A:$A, $A33, Raw_Data_Daily!$C:$C, $C$3),""))</f>
        <v>51.9013</v>
      </c>
      <c r="BZ33" s="231">
        <f>IF($A33="","",IFERROR(SUMPRODUCT((Raw_Data_Daily!$B$2:$B$9999="Variant")*(Raw_Data_Daily!$A$2:$A$9999=$A33)*(Raw_Data_Daily!$C$2:$C$9999=$C$3)*Raw_Data_Daily!$D$2:$D$9999*Raw_Data_Daily!$AB$2:$AB$9999)/SUMIFS(Raw_Data_Daily!$D:$D, Raw_Data_Daily!$B:$B, "Variant", Raw_Data_Daily!$A:$A, $A33, Raw_Data_Daily!$C:$C, $C$3),""))</f>
        <v>51.919</v>
      </c>
      <c r="CA33" s="229">
        <f t="shared" si="26"/>
        <v>0.0003410319202</v>
      </c>
      <c r="CB33" s="231">
        <f>IF($A33="","",IFERROR(SUMPRODUCT((Raw_Data_Daily!$B$2:$B$9999="Control")*(Raw_Data_Daily!$A$2:$A$9999=$A33)*(Raw_Data_Daily!$C$2:$C$9999=$C$3)*Raw_Data_Daily!$D$2:$D$9999*Raw_Data_Daily!$AC$2:$AC$9999)/SUMIFS(Raw_Data_Daily!$D:$D, Raw_Data_Daily!$B:$B, "Control", Raw_Data_Daily!$A:$A, $A33, Raw_Data_Daily!$C:$C, $C$3),""))</f>
        <v>0.6919</v>
      </c>
      <c r="CC33" s="231">
        <f>IF($A33="","",IFERROR(SUMPRODUCT((Raw_Data_Daily!$B$2:$B$9999="Variant")*(Raw_Data_Daily!$A$2:$A$9999=$A33)*(Raw_Data_Daily!$C$2:$C$9999=$C$3)*Raw_Data_Daily!$D$2:$D$9999*Raw_Data_Daily!$AC$2:$AC$9999)/SUMIFS(Raw_Data_Daily!$D:$D, Raw_Data_Daily!$B:$B, "Variant", Raw_Data_Daily!$A:$A, $A33, Raw_Data_Daily!$C:$C, $C$3),""))</f>
        <v>0.6865</v>
      </c>
      <c r="CD33" s="229">
        <f t="shared" si="27"/>
        <v>-0.00780459604</v>
      </c>
      <c r="CE33" s="231">
        <f>IF($A33="","",IFERROR(SUMPRODUCT((Raw_Data_Daily!$B$2:$B$9999="Control")*(Raw_Data_Daily!$A$2:$A$9999=$A33)*(Raw_Data_Daily!$C$2:$C$9999=$C$3)*Raw_Data_Daily!$D$2:$D$9999*Raw_Data_Daily!$AD$2:$AD$9999)/SUMIFS(Raw_Data_Daily!$D:$D, Raw_Data_Daily!$B:$B, "Control", Raw_Data_Daily!$A:$A, $A33, Raw_Data_Daily!$C:$C, $C$3),""))</f>
        <v>9.63</v>
      </c>
      <c r="CF33" s="231">
        <f>IF($A33="","",IFERROR(SUMPRODUCT((Raw_Data_Daily!$B$2:$B$9999="Variant")*(Raw_Data_Daily!$A$2:$A$9999=$A33)*(Raw_Data_Daily!$C$2:$C$9999=$C$3)*Raw_Data_Daily!$D$2:$D$9999*Raw_Data_Daily!$AD$2:$AD$9999)/SUMIFS(Raw_Data_Daily!$D:$D, Raw_Data_Daily!$B:$B, "Variant", Raw_Data_Daily!$A:$A, $A33, Raw_Data_Daily!$C:$C, $C$3),""))</f>
        <v>9.53</v>
      </c>
      <c r="CG33" s="229">
        <f t="shared" si="28"/>
        <v>-0.01038421599</v>
      </c>
      <c r="CH33" s="231">
        <f>IF($A33="","",IFERROR(SUMPRODUCT((Raw_Data_Daily!$B$2:$B$9999="Control")*(Raw_Data_Daily!$A$2:$A$9999=$A33)*(Raw_Data_Daily!$C$2:$C$9999=$C$3)*Raw_Data_Daily!$D$2:$D$9999*Raw_Data_Daily!$AE$2:$AE$9999)/SUMIFS(Raw_Data_Daily!$D:$D, Raw_Data_Daily!$B:$B, "Control", Raw_Data_Daily!$A:$A, $A33, Raw_Data_Daily!$C:$C, $C$3),""))</f>
        <v>4</v>
      </c>
      <c r="CI33" s="231">
        <f>IF($A33="","",IFERROR(SUMPRODUCT((Raw_Data_Daily!$B$2:$B$9999="Variant")*(Raw_Data_Daily!$A$2:$A$9999=$A33)*(Raw_Data_Daily!$C$2:$C$9999=$C$3)*Raw_Data_Daily!$D$2:$D$9999*Raw_Data_Daily!$AE$2:$AE$9999)/SUMIFS(Raw_Data_Daily!$D:$D, Raw_Data_Daily!$B:$B, "Variant", Raw_Data_Daily!$A:$A, $A33, Raw_Data_Daily!$C:$C, $C$3),""))</f>
        <v>4</v>
      </c>
      <c r="CJ33" s="229">
        <f t="shared" si="29"/>
        <v>0</v>
      </c>
      <c r="CK33" s="231">
        <f>IF($A33="","",IFERROR(SUMPRODUCT((Raw_Data_Daily!$B$2:$B$9999="Control")*(Raw_Data_Daily!$A$2:$A$9999=$A33)*(Raw_Data_Daily!$C$2:$C$9999=$C$3)*Raw_Data_Daily!$D$2:$D$9999*Raw_Data_Daily!$AF$2:$AF$9999)/SUMIFS(Raw_Data_Daily!$D:$D, Raw_Data_Daily!$B:$B, "Control", Raw_Data_Daily!$A:$A, $A33, Raw_Data_Daily!$C:$C, $C$3),""))</f>
        <v>8</v>
      </c>
      <c r="CL33" s="231">
        <f>IF($A33="","",IFERROR(SUMPRODUCT((Raw_Data_Daily!$B$2:$B$9999="Variant")*(Raw_Data_Daily!$A$2:$A$9999=$A33)*(Raw_Data_Daily!$C$2:$C$9999=$C$3)*Raw_Data_Daily!$D$2:$D$9999*Raw_Data_Daily!$AF$2:$AF$9999)/SUMIFS(Raw_Data_Daily!$D:$D, Raw_Data_Daily!$B:$B, "Variant", Raw_Data_Daily!$A:$A, $A33, Raw_Data_Daily!$C:$C, $C$3),""))</f>
        <v>8</v>
      </c>
      <c r="CM33" s="229">
        <f t="shared" si="30"/>
        <v>0</v>
      </c>
      <c r="CN33" s="231">
        <f>IF($A33="","",IFERROR(SUMPRODUCT((Raw_Data_Daily!$B$2:$B$9999="Control")*(Raw_Data_Daily!$A$2:$A$9999=$A33)*(Raw_Data_Daily!$C$2:$C$9999=$C$3)*Raw_Data_Daily!$D$2:$D$9999*Raw_Data_Daily!$AG$2:$AG$9999)/SUMIFS(Raw_Data_Daily!$D:$D, Raw_Data_Daily!$B:$B, "Control", Raw_Data_Daily!$A:$A, $A33, Raw_Data_Daily!$C:$C, $C$3),""))</f>
        <v>13</v>
      </c>
      <c r="CO33" s="231">
        <f>IF($A33="","",IFERROR(SUMPRODUCT((Raw_Data_Daily!$B$2:$B$9999="Variant")*(Raw_Data_Daily!$A$2:$A$9999=$A33)*(Raw_Data_Daily!$C$2:$C$9999=$C$3)*Raw_Data_Daily!$D$2:$D$9999*Raw_Data_Daily!$AG$2:$AG$9999)/SUMIFS(Raw_Data_Daily!$D:$D, Raw_Data_Daily!$B:$B, "Variant", Raw_Data_Daily!$A:$A, $A33, Raw_Data_Daily!$C:$C, $C$3),""))</f>
        <v>13</v>
      </c>
      <c r="CP33" s="229">
        <f t="shared" si="31"/>
        <v>0</v>
      </c>
      <c r="CQ33" s="231">
        <f>IF($A33="","",IFERROR(SUMPRODUCT((Raw_Data_Daily!$B$2:$B$9999="Control")*(Raw_Data_Daily!$A$2:$A$9999=$A33)*(Raw_Data_Daily!$C$2:$C$9999=$C$3)*Raw_Data_Daily!$D$2:$D$9999*Raw_Data_Daily!$AH$2:$AH$9999)/SUMIFS(Raw_Data_Daily!$D:$D, Raw_Data_Daily!$B:$B, "Control", Raw_Data_Daily!$A:$A, $A33, Raw_Data_Daily!$C:$C, $C$3),""))</f>
        <v>19</v>
      </c>
      <c r="CR33" s="231">
        <f>IF($A33="","",IFERROR(SUMPRODUCT((Raw_Data_Daily!$B$2:$B$9999="Variant")*(Raw_Data_Daily!$A$2:$A$9999=$A33)*(Raw_Data_Daily!$C$2:$C$9999=$C$3)*Raw_Data_Daily!$D$2:$D$9999*Raw_Data_Daily!$AH$2:$AH$9999)/SUMIFS(Raw_Data_Daily!$D:$D, Raw_Data_Daily!$B:$B, "Variant", Raw_Data_Daily!$A:$A, $A33, Raw_Data_Daily!$C:$C, $C$3),""))</f>
        <v>19</v>
      </c>
      <c r="CS33" s="229">
        <f t="shared" si="32"/>
        <v>0</v>
      </c>
      <c r="CT33" s="227">
        <f>IF($A33="","",IFERROR(SUMPRODUCT((Raw_Data_Daily!$B$2:$B$9999="Control")*(Raw_Data_Daily!$A$2:$A$9999=$A33)*(Raw_Data_Daily!$C$2:$C$9999=$C$3)*Raw_Data_Daily!$D$2:$D$9999*Raw_Data_Daily!$AI$2:$AI$9999)/SUMIFS(Raw_Data_Daily!$D:$D, Raw_Data_Daily!$B:$B, "Control", Raw_Data_Daily!$A:$A, $A33, Raw_Data_Daily!$C:$C, $C$3),""))</f>
        <v>67.04</v>
      </c>
      <c r="CU33" s="227">
        <f>IF($A33="","",IFERROR(SUMPRODUCT((Raw_Data_Daily!$B$2:$B$9999="Variant")*(Raw_Data_Daily!$A$2:$A$9999=$A33)*(Raw_Data_Daily!$C$2:$C$9999=$C$3)*Raw_Data_Daily!$D$2:$D$9999*Raw_Data_Daily!$AI$2:$AI$9999)/SUMIFS(Raw_Data_Daily!$D:$D, Raw_Data_Daily!$B:$B, "Variant", Raw_Data_Daily!$A:$A, $A33, Raw_Data_Daily!$C:$C, $C$3),""))</f>
        <v>65.96</v>
      </c>
      <c r="CV33" s="233">
        <f t="shared" si="33"/>
        <v>-0.0161097852</v>
      </c>
      <c r="CW33" s="227">
        <f>IF($A33="","",IFERROR(SUMPRODUCT((Raw_Data_Daily!$B$2:$B$9999="Control")*(Raw_Data_Daily!$A$2:$A$9999=$A33)*(Raw_Data_Daily!$C$2:$C$9999=$C$3)*Raw_Data_Daily!$D$2:$D$9999*Raw_Data_Daily!$AJ$2:$AJ$9999)/SUMIFS(Raw_Data_Daily!$D:$D, Raw_Data_Daily!$B:$B, "Control", Raw_Data_Daily!$A:$A, $A33, Raw_Data_Daily!$C:$C, $C$3),""))</f>
        <v>26.74</v>
      </c>
      <c r="CX33" s="227">
        <f>IF($A33="","",IFERROR(SUMPRODUCT((Raw_Data_Daily!$B$2:$B$9999="Variant")*(Raw_Data_Daily!$A$2:$A$9999=$A33)*(Raw_Data_Daily!$C$2:$C$9999=$C$3)*Raw_Data_Daily!$D$2:$D$9999*Raw_Data_Daily!$AJ$2:$AJ$9999)/SUMIFS(Raw_Data_Daily!$D:$D, Raw_Data_Daily!$B:$B, "Variant", Raw_Data_Daily!$A:$A, $A33, Raw_Data_Daily!$C:$C, $C$3),""))</f>
        <v>25.96</v>
      </c>
      <c r="CY33" s="233">
        <f t="shared" si="34"/>
        <v>-0.0291697831</v>
      </c>
      <c r="CZ33" s="227">
        <f>IF($A33="","",IFERROR(SUMPRODUCT((Raw_Data_Daily!$B$2:$B$9999="Control")*(Raw_Data_Daily!$A$2:$A$9999=$A33)*(Raw_Data_Daily!$C$2:$C$9999=$C$3)*Raw_Data_Daily!$D$2:$D$9999*Raw_Data_Daily!$AK$2:$AK$9999)/SUMIFS(Raw_Data_Daily!$D:$D, Raw_Data_Daily!$B:$B, "Control", Raw_Data_Daily!$A:$A, $A33, Raw_Data_Daily!$C:$C, $C$3),""))</f>
        <v>3.44</v>
      </c>
      <c r="DA33" s="227">
        <f>IF($A33="","",IFERROR(SUMPRODUCT((Raw_Data_Daily!$B$2:$B$9999="Variant")*(Raw_Data_Daily!$A$2:$A$9999=$A33)*(Raw_Data_Daily!$C$2:$C$9999=$C$3)*Raw_Data_Daily!$D$2:$D$9999*Raw_Data_Daily!$AK$2:$AK$9999)/SUMIFS(Raw_Data_Daily!$D:$D, Raw_Data_Daily!$B:$B, "Variant", Raw_Data_Daily!$A:$A, $A33, Raw_Data_Daily!$C:$C, $C$3),""))</f>
        <v>3.85</v>
      </c>
      <c r="DB33" s="229">
        <f t="shared" si="35"/>
        <v>0.1191860465</v>
      </c>
      <c r="DC33" s="232">
        <f>IF($A33="","",IFERROR(SUMPRODUCT((Raw_Data_Daily!$B$2:$B$9999="Control")*(Raw_Data_Daily!$A$2:$A$9999=$A33)*(Raw_Data_Daily!$C$2:$C$9999=$C$3)*Raw_Data_Daily!$D$2:$D$9999*Raw_Data_Daily!$AL$2:$AL$9999)/SUMIFS(Raw_Data_Daily!$D:$D, Raw_Data_Daily!$B:$B, "Control", Raw_Data_Daily!$A:$A, $A33, Raw_Data_Daily!$C:$C, $C$3),""))</f>
        <v>0.3663</v>
      </c>
      <c r="DD33" s="232">
        <f>IF($A33="","",IFERROR(SUMPRODUCT((Raw_Data_Daily!$B$2:$B$9999="Variant")*(Raw_Data_Daily!$A$2:$A$9999=$A33)*(Raw_Data_Daily!$C$2:$C$9999=$C$3)*Raw_Data_Daily!$D$2:$D$9999*Raw_Data_Daily!$AL$2:$AL$9999)/SUMIFS(Raw_Data_Daily!$D:$D, Raw_Data_Daily!$B:$B, "Variant", Raw_Data_Daily!$A:$A, $A33, Raw_Data_Daily!$C:$C, $C$3),""))</f>
        <v>0.3513</v>
      </c>
      <c r="DE33" s="233">
        <f t="shared" si="36"/>
        <v>-0.04095004095</v>
      </c>
      <c r="DF33" s="234"/>
      <c r="DG33" s="227">
        <f>IF($A33="","",IFERROR(SUMPRODUCT((Raw_Data_Daily!$B$2:$B$9999="Variant")*(Raw_Data_Daily!$A$2:$A$9999=$A33)*(Raw_Data_Daily!$C$2:$C$9999=$C$3)*Raw_Data_Daily!$D$2:$D$9999*Raw_Data_Daily!$AM$2:$AM$9999)/SUMIFS(Raw_Data_Daily!$D:$D, Raw_Data_Daily!$B:$B, "Variant", Raw_Data_Daily!$A:$A, $A33, Raw_Data_Daily!$C:$C, $C$3),""))</f>
        <v>48.21</v>
      </c>
      <c r="DH33" s="235"/>
      <c r="DI33" s="234"/>
      <c r="DJ33" s="227">
        <f>IF($A33="","",IFERROR(SUMPRODUCT((Raw_Data_Daily!$B$2:$B$9999="Variant")*(Raw_Data_Daily!$A$2:$A$9999=$A33)*(Raw_Data_Daily!$C$2:$C$9999=$C$3)*Raw_Data_Daily!$D$2:$D$9999*Raw_Data_Daily!$AN$2:$AN$9999)/SUMIFS(Raw_Data_Daily!$D:$D, Raw_Data_Daily!$B:$B, "Variant", Raw_Data_Daily!$A:$A, $A33, Raw_Data_Daily!$C:$C, $C$3),""))</f>
        <v>48.21</v>
      </c>
      <c r="DK33" s="235"/>
      <c r="DL33" s="234"/>
      <c r="DM33" s="227">
        <f>IF($A33="","",IFERROR(SUMPRODUCT((Raw_Data_Daily!$B$2:$B$9999="Variant")*(Raw_Data_Daily!$A$2:$A$9999=$A33)*(Raw_Data_Daily!$C$2:$C$9999=$C$3)*Raw_Data_Daily!$D$2:$D$9999*Raw_Data_Daily!$AO$2:$AO$9999)/SUMIFS(Raw_Data_Daily!$D:$D, Raw_Data_Daily!$B:$B, "Variant", Raw_Data_Daily!$A:$A, $A33, Raw_Data_Daily!$C:$C, $C$3),""))</f>
        <v>28.32</v>
      </c>
      <c r="DN33" s="235"/>
      <c r="DO33" s="234"/>
      <c r="DP33" s="227">
        <f>IF($A33="","",IFERROR(SUMPRODUCT((Raw_Data_Daily!$B$2:$B$9999="Variant")*(Raw_Data_Daily!$A$2:$A$9999=$A33)*(Raw_Data_Daily!$C$2:$C$9999=$C$3)*Raw_Data_Daily!$D$2:$D$9999*Raw_Data_Daily!$AP$2:$AP$9999)/SUMIFS(Raw_Data_Daily!$D:$D, Raw_Data_Daily!$B:$B, "Variant", Raw_Data_Daily!$A:$A, $A33, Raw_Data_Daily!$C:$C, $C$3),""))</f>
        <v>13.06</v>
      </c>
      <c r="DQ33" s="235"/>
      <c r="DR33" s="232">
        <f>IF($A33="","",IFERROR(SUMPRODUCT((Raw_Data_Daily!$B$2:$B$9999="Control")*(Raw_Data_Daily!$A$2:$A$9999=$A33)*(Raw_Data_Daily!$C$2:$C$9999=$C$3)*Raw_Data_Daily!$D$2:$D$9999*Raw_Data_Daily!$AQ$2:$AQ$9999)/SUMIFS(Raw_Data_Daily!$D:$D, Raw_Data_Daily!$B:$B, "Control", Raw_Data_Daily!$A:$A, $A33, Raw_Data_Daily!$C:$C, $C$3),""))</f>
        <v>6.6676</v>
      </c>
      <c r="DS33" s="232">
        <f>IF($A33="","",IFERROR(SUMPRODUCT((Raw_Data_Daily!$B$2:$B$9999="Variant")*(Raw_Data_Daily!$A$2:$A$9999=$A33)*(Raw_Data_Daily!$C$2:$C$9999=$C$3)*Raw_Data_Daily!$D$2:$D$9999*Raw_Data_Daily!$AQ$2:$AQ$9999)/SUMIFS(Raw_Data_Daily!$D:$D, Raw_Data_Daily!$B:$B, "Variant", Raw_Data_Daily!$A:$A, $A33, Raw_Data_Daily!$C:$C, $C$3),""))</f>
        <v>5.1086</v>
      </c>
      <c r="DT33" s="236">
        <f t="shared" si="37"/>
        <v>-0.2338172656</v>
      </c>
      <c r="DU33" s="232">
        <f>IF($A33="","",IFERROR(SUMPRODUCT((Raw_Data_Daily!$B$2:$B$9999="Control")*(Raw_Data_Daily!$A$2:$A$9999=$A33)*(Raw_Data_Daily!$C$2:$C$9999=$C$3)*Raw_Data_Daily!$D$2:$D$9999*Raw_Data_Daily!$AR$2:$AR$9999)/SUMIFS(Raw_Data_Daily!$D:$D, Raw_Data_Daily!$B:$B, "Control", Raw_Data_Daily!$A:$A, $A33, Raw_Data_Daily!$C:$C, $C$3),""))</f>
        <v>0.1567</v>
      </c>
      <c r="DV33" s="232">
        <f>IF($A33="","",IFERROR(SUMPRODUCT((Raw_Data_Daily!$B$2:$B$9999="Variant")*(Raw_Data_Daily!$A$2:$A$9999=$A33)*(Raw_Data_Daily!$C$2:$C$9999=$C$3)*Raw_Data_Daily!$D$2:$D$9999*Raw_Data_Daily!$AR$2:$AR$9999)/SUMIFS(Raw_Data_Daily!$D:$D, Raw_Data_Daily!$B:$B, "Variant", Raw_Data_Daily!$A:$A, $A33, Raw_Data_Daily!$C:$C, $C$3),""))</f>
        <v>0.1195</v>
      </c>
      <c r="DW33" s="236">
        <f t="shared" si="38"/>
        <v>-0.2373962987</v>
      </c>
      <c r="DX33" s="232">
        <f>IF($A33="","",IFERROR(SUMPRODUCT((Raw_Data_Daily!$B$2:$B$9999="Control")*(Raw_Data_Daily!$A$2:$A$9999=$A33)*(Raw_Data_Daily!$C$2:$C$9999=$C$3)*Raw_Data_Daily!$D$2:$D$9999*Raw_Data_Daily!$AS$2:$AS$9999)/SUMIFS(Raw_Data_Daily!$D:$D, Raw_Data_Daily!$B:$B, "Control", Raw_Data_Daily!$A:$A, $A33, Raw_Data_Daily!$C:$C, $C$3),""))</f>
        <v>6.5109</v>
      </c>
      <c r="DY33" s="232">
        <f>IF($A33="","",IFERROR(SUMPRODUCT((Raw_Data_Daily!$B$2:$B$9999="Variant")*(Raw_Data_Daily!$A$2:$A$9999=$A33)*(Raw_Data_Daily!$C$2:$C$9999=$C$3)*Raw_Data_Daily!$D$2:$D$9999*Raw_Data_Daily!$AS$2:$AS$9999)/SUMIFS(Raw_Data_Daily!$D:$D, Raw_Data_Daily!$B:$B, "Variant", Raw_Data_Daily!$A:$A, $A33, Raw_Data_Daily!$C:$C, $C$3),""))</f>
        <v>4.9891</v>
      </c>
      <c r="DZ33" s="236">
        <f t="shared" si="39"/>
        <v>-0.2337311278</v>
      </c>
      <c r="EA33" s="232">
        <f>IF($A33="","",IFERROR(SUMPRODUCT((Raw_Data_Daily!$B$2:$B$9999="Control")*(Raw_Data_Daily!$A$2:$A$9999=$A33)*(Raw_Data_Daily!$C$2:$C$9999=$C$3)*Raw_Data_Daily!$D$2:$D$9999*Raw_Data_Daily!$AT$2:$AT$9999)/SUMIFS(Raw_Data_Daily!$D:$D, Raw_Data_Daily!$B:$B, "Control", Raw_Data_Daily!$A:$A, $A33, Raw_Data_Daily!$C:$C, $C$3),""))</f>
        <v>5.7326</v>
      </c>
      <c r="EB33" s="232">
        <f>IF($A33="","",IFERROR(SUMPRODUCT((Raw_Data_Daily!$B$2:$B$9999="Variant")*(Raw_Data_Daily!$A$2:$A$9999=$A33)*(Raw_Data_Daily!$C$2:$C$9999=$C$3)*Raw_Data_Daily!$D$2:$D$9999*Raw_Data_Daily!$AT$2:$AT$9999)/SUMIFS(Raw_Data_Daily!$D:$D, Raw_Data_Daily!$B:$B, "Variant", Raw_Data_Daily!$A:$A, $A33, Raw_Data_Daily!$C:$C, $C$3),""))</f>
        <v>5.1204</v>
      </c>
      <c r="EC33" s="236">
        <f t="shared" si="40"/>
        <v>-0.1067927293</v>
      </c>
      <c r="ED33" s="232">
        <f>IF($A33="","",IFERROR(SUMPRODUCT((Raw_Data_Daily!$B$2:$B$9999="Control")*(Raw_Data_Daily!$A$2:$A$9999=$A33)*(Raw_Data_Daily!$C$2:$C$9999=$C$3)*Raw_Data_Daily!$D$2:$D$9999*(Raw_Data_Daily!$AQ$2:$AQ$9999-Raw_Data_Daily!$AT$2:$AT$9999))/SUMIFS(Raw_Data_Daily!$D:$D, Raw_Data_Daily!$B:$B, "Control", Raw_Data_Daily!$A:$A, $A33, Raw_Data_Daily!$C:$C, $C$3),""))</f>
        <v>0.935</v>
      </c>
      <c r="EE33" s="232">
        <f>IF($A33="","",IFERROR(SUMPRODUCT((Raw_Data_Daily!$B$2:$B$9999="Variant")*(Raw_Data_Daily!$A$2:$A$9999=$A33)*(Raw_Data_Daily!$C$2:$C$9999=$C$3)*Raw_Data_Daily!$D$2:$D$9999*(Raw_Data_Daily!$AQ$2:$AQ$9999-Raw_Data_Daily!$AT$2:$AT$9999))/SUMIFS(Raw_Data_Daily!$D:$D, Raw_Data_Daily!$B:$B, "Variant", Raw_Data_Daily!$A:$A, $A33, Raw_Data_Daily!$C:$C, $C$3),""))</f>
        <v>-0.0118</v>
      </c>
      <c r="EF33" s="236">
        <f t="shared" si="41"/>
        <v>-1.012620321</v>
      </c>
      <c r="EG33" s="232">
        <f>IF($A33="","",IFERROR(SUMPRODUCT((Raw_Data_Daily!$B$2:$B$9999="Control")*(Raw_Data_Daily!$A$2:$A$9999=$A33)*(Raw_Data_Daily!$C$2:$C$9999=$C$3)*Raw_Data_Daily!$D$2:$D$9999*Raw_Data_Daily!$AU$2:$AU$9999)/SUMIFS(Raw_Data_Daily!$D:$D, Raw_Data_Daily!$B:$B, "Control", Raw_Data_Daily!$A:$A, $A33, Raw_Data_Daily!$C:$C, $C$3),""))</f>
        <v>0.2559</v>
      </c>
      <c r="EH33" s="232">
        <f>IF($A33="","",IFERROR(SUMPRODUCT((Raw_Data_Daily!$B$2:$B$9999="Variant")*(Raw_Data_Daily!$A$2:$A$9999=$A33)*(Raw_Data_Daily!$C$2:$C$9999=$C$3)*Raw_Data_Daily!$D$2:$D$9999*Raw_Data_Daily!$AU$2:$AU$9999)/SUMIFS(Raw_Data_Daily!$D:$D, Raw_Data_Daily!$B:$B, "Variant", Raw_Data_Daily!$A:$A, $A33, Raw_Data_Daily!$C:$C, $C$3),""))</f>
        <v>0.226</v>
      </c>
      <c r="EI33" s="236">
        <f t="shared" si="42"/>
        <v>-0.1168425166</v>
      </c>
    </row>
    <row r="34" ht="15.75" customHeight="1">
      <c r="A34" s="224">
        <v>46257.0</v>
      </c>
      <c r="B34" s="225">
        <f>IF($A34="","",SUMIFS(Raw_Data_Daily!$D:$D, Raw_Data_Daily!$B:$B, "Control", Raw_Data_Daily!$A:$A, $A34, Raw_Data_Daily!$C:$C, $C$3))</f>
        <v>5642</v>
      </c>
      <c r="C34" s="225">
        <f>IF($A34="","",SUMIFS(Raw_Data_Daily!$D:$D, Raw_Data_Daily!$B:$B, "Variant", Raw_Data_Daily!$A:$A, $A34, Raw_Data_Daily!$C:$C, $C$3))</f>
        <v>5770</v>
      </c>
      <c r="D34" s="226">
        <f t="shared" si="1"/>
        <v>0.02268699043</v>
      </c>
      <c r="E34" s="227">
        <f>IF($A34="","",IFERROR(SUMPRODUCT((Raw_Data_Daily!$B$2:$B$9999="Control")*(Raw_Data_Daily!$A$2:$A$9999=$A34)*(Raw_Data_Daily!$C$2:$C$9999=$C$3)*Raw_Data_Daily!$D$2:$D$9999*Raw_Data_Daily!$E$2:$E$9999)/SUMIFS(Raw_Data_Daily!$D:$D, Raw_Data_Daily!$B:$B, "Control", Raw_Data_Daily!$A:$A, $A34, Raw_Data_Daily!$C:$C, $C$3),""))</f>
        <v>21.18</v>
      </c>
      <c r="F34" s="227">
        <f>IF($A34="","",IFERROR(SUMPRODUCT((Raw_Data_Daily!$B$2:$B$9999="Variant")*(Raw_Data_Daily!$A$2:$A$9999=$A34)*(Raw_Data_Daily!$C$2:$C$9999=$C$3)*Raw_Data_Daily!$D$2:$D$9999*Raw_Data_Daily!$E$2:$E$9999)/SUMIFS(Raw_Data_Daily!$D:$D, Raw_Data_Daily!$B:$B, "Variant", Raw_Data_Daily!$A:$A, $A34, Raw_Data_Daily!$C:$C, $C$3),""))</f>
        <v>21.97</v>
      </c>
      <c r="G34" s="226">
        <f t="shared" si="2"/>
        <v>0.037299339</v>
      </c>
      <c r="H34" s="228">
        <f>IF($A34="","",SUMIFS(Raw_Data_Daily!$F:$F, Raw_Data_Daily!$B:$B, "Control", Raw_Data_Daily!$A:$A, $A34, Raw_Data_Daily!$C:$C, $C$3))</f>
        <v>428.41</v>
      </c>
      <c r="I34" s="228">
        <f>IF($A34="","",SUMIFS(Raw_Data_Daily!$F:$F, Raw_Data_Daily!$B:$B, "Variant", Raw_Data_Daily!$A:$A, $A34, Raw_Data_Daily!$C:$C, $C$3))</f>
        <v>441.61</v>
      </c>
      <c r="J34" s="229">
        <f t="shared" si="3"/>
        <v>0.0308116057</v>
      </c>
      <c r="K34" s="230">
        <f>IF($A34="","",IFERROR(SUMIFS(Raw_Data_Daily!$F:$F, Raw_Data_Daily!$B:$B, "Control", Raw_Data_Daily!$A:$A, $A34, Raw_Data_Daily!$C:$C, $C$3)/SUMIFS(Raw_Data_Daily!$D:$D, Raw_Data_Daily!$B:$B, "Control", Raw_Data_Daily!$A:$A, $A34, Raw_Data_Daily!$C:$C, $C$3),""))</f>
        <v>0.07593229351</v>
      </c>
      <c r="L34" s="230">
        <f>IF($A34="","",IFERROR(SUMIFS(Raw_Data_Daily!$F:$F, Raw_Data_Daily!$B:$B, "Variant", Raw_Data_Daily!$A:$A, $A34, Raw_Data_Daily!$C:$C, $C$3)/SUMIFS(Raw_Data_Daily!$D:$D, Raw_Data_Daily!$B:$B, "Variant", Raw_Data_Daily!$A:$A, $A34, Raw_Data_Daily!$C:$C, $C$3),""))</f>
        <v>0.0765355286</v>
      </c>
      <c r="M34" s="229">
        <f t="shared" si="4"/>
        <v>0.007944381176</v>
      </c>
      <c r="N34" s="227">
        <f>IF($A34="","",IFERROR(SUMPRODUCT((Raw_Data_Daily!$B$2:$B$9999="Control")*(Raw_Data_Daily!$A$2:$A$9999=$A34)*(Raw_Data_Daily!$C$2:$C$9999=$C$3)*Raw_Data_Daily!$D$2:$D$9999*Raw_Data_Daily!$H$2:$H$9999/100)/SUMIFS(Raw_Data_Daily!$D:$D, Raw_Data_Daily!$B:$B, "Control", Raw_Data_Daily!$A:$A, $A34, Raw_Data_Daily!$C:$C, $C$3)*100,""))</f>
        <v>2.04</v>
      </c>
      <c r="O34" s="227">
        <f>IF($A34="","",IFERROR(SUMPRODUCT((Raw_Data_Daily!$B$2:$B$9999="Variant")*(Raw_Data_Daily!$A$2:$A$9999=$A34)*(Raw_Data_Daily!$C$2:$C$9999=$C$3)*Raw_Data_Daily!$D$2:$D$9999*Raw_Data_Daily!$H$2:$H$9999/100)/SUMIFS(Raw_Data_Daily!$D:$D, Raw_Data_Daily!$B:$B, "Variant", Raw_Data_Daily!$A:$A, $A34, Raw_Data_Daily!$C:$C, $C$3)*100,""))</f>
        <v>2.48</v>
      </c>
      <c r="P34" s="229">
        <f t="shared" si="5"/>
        <v>0.2156862745</v>
      </c>
      <c r="Q34" s="230">
        <f>IF($A34="","",IFERROR(SUMIFS(Raw_Data_Daily!$F:$F, Raw_Data_Daily!$B:$B, "Control", Raw_Data_Daily!$A:$A, $A34, Raw_Data_Daily!$C:$C, $C$3)/SUMPRODUCT((Raw_Data_Daily!$B$2:$B$9999="Control")*(Raw_Data_Daily!$A$2:$A$9999=$A34)*(Raw_Data_Daily!$C$2:$C$9999=$C$3)*Raw_Data_Daily!$D$2:$D$9999*Raw_Data_Daily!$H$2:$H$9999/100),""))</f>
        <v>3.722171251</v>
      </c>
      <c r="R34" s="230">
        <f>IF($A34="","",IFERROR(SUMIFS(Raw_Data_Daily!$F:$F, Raw_Data_Daily!$B:$B, "Variant", Raw_Data_Daily!$A:$A, $A34, Raw_Data_Daily!$C:$C, $C$3)/SUMPRODUCT((Raw_Data_Daily!$B$2:$B$9999="Variant")*(Raw_Data_Daily!$A$2:$A$9999=$A34)*(Raw_Data_Daily!$C$2:$C$9999=$C$3)*Raw_Data_Daily!$D$2:$D$9999*Raw_Data_Daily!$H$2:$H$9999/100),""))</f>
        <v>3.086110024</v>
      </c>
      <c r="S34" s="229">
        <f t="shared" si="6"/>
        <v>-0.1708844606</v>
      </c>
      <c r="T34" s="231">
        <f>IF($A34="","",IFERROR(SUMPRODUCT((Raw_Data_Daily!$B$2:$B$9999="Control")*(Raw_Data_Daily!$A$2:$A$9999=$A34)*(Raw_Data_Daily!$C$2:$C$9999=$C$3)*Raw_Data_Daily!$D$2:$D$9999*Raw_Data_Daily!$J$2:$J$9999)/SUMIFS(Raw_Data_Daily!$D:$D, Raw_Data_Daily!$B:$B, "Control", Raw_Data_Daily!$A:$A, $A34, Raw_Data_Daily!$C:$C, $C$3),""))</f>
        <v>43.32</v>
      </c>
      <c r="U34" s="231">
        <f>IF($A34="","",IFERROR(SUMPRODUCT((Raw_Data_Daily!$B$2:$B$9999="Variant")*(Raw_Data_Daily!$A$2:$A$9999=$A34)*(Raw_Data_Daily!$C$2:$C$9999=$C$3)*Raw_Data_Daily!$D$2:$D$9999*Raw_Data_Daily!$J$2:$J$9999)/SUMIFS(Raw_Data_Daily!$D:$D, Raw_Data_Daily!$B:$B, "Variant", Raw_Data_Daily!$A:$A, $A34, Raw_Data_Daily!$C:$C, $C$3),""))</f>
        <v>40.15</v>
      </c>
      <c r="V34" s="229">
        <f t="shared" si="7"/>
        <v>-0.07317636196</v>
      </c>
      <c r="W34" s="231">
        <f>IF($A34="","",IFERROR(SUMPRODUCT((Raw_Data_Daily!$B$2:$B$9999="Control")*(Raw_Data_Daily!$A$2:$A$9999=$A34)*(Raw_Data_Daily!$C$2:$C$9999=$C$3)*Raw_Data_Daily!$D$2:$D$9999*Raw_Data_Daily!$K$2:$K$9999)/SUMIFS(Raw_Data_Daily!$D:$D, Raw_Data_Daily!$B:$B, "Control", Raw_Data_Daily!$A:$A, $A34, Raw_Data_Daily!$C:$C, $C$3),""))</f>
        <v>23.99</v>
      </c>
      <c r="X34" s="231">
        <f>IF($A34="","",IFERROR(SUMPRODUCT((Raw_Data_Daily!$B$2:$B$9999="Variant")*(Raw_Data_Daily!$A$2:$A$9999=$A34)*(Raw_Data_Daily!$C$2:$C$9999=$C$3)*Raw_Data_Daily!$D$2:$D$9999*Raw_Data_Daily!$K$2:$K$9999)/SUMIFS(Raw_Data_Daily!$D:$D, Raw_Data_Daily!$B:$B, "Variant", Raw_Data_Daily!$A:$A, $A34, Raw_Data_Daily!$C:$C, $C$3),""))</f>
        <v>22.25</v>
      </c>
      <c r="Y34" s="229">
        <f t="shared" si="8"/>
        <v>-0.07253022093</v>
      </c>
      <c r="Z34" s="231">
        <f>IF($A34="","",IFERROR(SUMPRODUCT((Raw_Data_Daily!$B$2:$B$9999="Control")*(Raw_Data_Daily!$A$2:$A$9999=$A34)*(Raw_Data_Daily!$C$2:$C$9999=$C$3)*Raw_Data_Daily!$D$2:$D$9999*Raw_Data_Daily!$L$2:$L$9999)/SUMIFS(Raw_Data_Daily!$D:$D, Raw_Data_Daily!$B:$B, "Control", Raw_Data_Daily!$A:$A, $A34, Raw_Data_Daily!$C:$C, $C$3),""))</f>
        <v>13.58</v>
      </c>
      <c r="AA34" s="231">
        <f>IF($A34="","",IFERROR(SUMPRODUCT((Raw_Data_Daily!$B$2:$B$9999="Variant")*(Raw_Data_Daily!$A$2:$A$9999=$A34)*(Raw_Data_Daily!$C$2:$C$9999=$C$3)*Raw_Data_Daily!$D$2:$D$9999*Raw_Data_Daily!$L$2:$L$9999)/SUMIFS(Raw_Data_Daily!$D:$D, Raw_Data_Daily!$B:$B, "Variant", Raw_Data_Daily!$A:$A, $A34, Raw_Data_Daily!$C:$C, $C$3),""))</f>
        <v>12.96</v>
      </c>
      <c r="AB34" s="229">
        <f t="shared" si="9"/>
        <v>-0.04565537555</v>
      </c>
      <c r="AC34" s="232">
        <f>IF($A34="","",IFERROR(SUMPRODUCT((Raw_Data_Daily!$B$2:$B$9999="Control")*(Raw_Data_Daily!$A$2:$A$9999=$A34)*(Raw_Data_Daily!$C$2:$C$9999=$C$3)*Raw_Data_Daily!$D$2:$D$9999*Raw_Data_Daily!$M$2:$M$9999)/SUMIFS(Raw_Data_Daily!$D:$D, Raw_Data_Daily!$B:$B, "Control", Raw_Data_Daily!$A:$A, $A34, Raw_Data_Daily!$C:$C, $C$3),""))</f>
        <v>0.5661</v>
      </c>
      <c r="AD34" s="232">
        <f>IF($A34="","",IFERROR(SUMPRODUCT((Raw_Data_Daily!$B$2:$B$9999="Variant")*(Raw_Data_Daily!$A$2:$A$9999=$A34)*(Raw_Data_Daily!$C$2:$C$9999=$C$3)*Raw_Data_Daily!$D$2:$D$9999*Raw_Data_Daily!$M$2:$M$9999)/SUMIFS(Raw_Data_Daily!$D:$D, Raw_Data_Daily!$B:$B, "Variant", Raw_Data_Daily!$A:$A, $A34, Raw_Data_Daily!$C:$C, $C$3),""))</f>
        <v>0.5823</v>
      </c>
      <c r="AE34" s="233">
        <f t="shared" si="10"/>
        <v>0.02861685215</v>
      </c>
      <c r="AF34" s="232">
        <f>IF($A34="","",IFERROR(SUMPRODUCT((Raw_Data_Daily!$B$2:$B$9999="Control")*(Raw_Data_Daily!$A$2:$A$9999=$A34)*(Raw_Data_Daily!$C$2:$C$9999=$C$3)*Raw_Data_Daily!$D$2:$D$9999*Raw_Data_Daily!$N$2:$N$9999)/SUMIFS(Raw_Data_Daily!$D:$D, Raw_Data_Daily!$B:$B, "Control", Raw_Data_Daily!$A:$A, $A34, Raw_Data_Daily!$C:$C, $C$3),""))</f>
        <v>0.5525</v>
      </c>
      <c r="AG34" s="232">
        <f>IF($A34="","",IFERROR(SUMPRODUCT((Raw_Data_Daily!$B$2:$B$9999="Variant")*(Raw_Data_Daily!$A$2:$A$9999=$A34)*(Raw_Data_Daily!$C$2:$C$9999=$C$3)*Raw_Data_Daily!$D$2:$D$9999*Raw_Data_Daily!$N$2:$N$9999)/SUMIFS(Raw_Data_Daily!$D:$D, Raw_Data_Daily!$B:$B, "Variant", Raw_Data_Daily!$A:$A, $A34, Raw_Data_Daily!$C:$C, $C$3),""))</f>
        <v>0.5357</v>
      </c>
      <c r="AH34" s="233">
        <f t="shared" si="11"/>
        <v>-0.03040723982</v>
      </c>
      <c r="AI34" s="232">
        <f>IF($A34="","",IFERROR(SUMPRODUCT((Raw_Data_Daily!$B$2:$B$9999="Control")*(Raw_Data_Daily!$A$2:$A$9999=$A34)*(Raw_Data_Daily!$C$2:$C$9999=$C$3)*Raw_Data_Daily!$D$2:$D$9999*Raw_Data_Daily!$O$2:$O$9999)/SUMIFS(Raw_Data_Daily!$D:$D, Raw_Data_Daily!$B:$B, "Control", Raw_Data_Daily!$A:$A, $A34, Raw_Data_Daily!$C:$C, $C$3),""))</f>
        <v>0.3269</v>
      </c>
      <c r="AJ34" s="232">
        <f>IF($A34="","",IFERROR(SUMPRODUCT((Raw_Data_Daily!$B$2:$B$9999="Variant")*(Raw_Data_Daily!$A$2:$A$9999=$A34)*(Raw_Data_Daily!$C$2:$C$9999=$C$3)*Raw_Data_Daily!$D$2:$D$9999*Raw_Data_Daily!$O$2:$O$9999)/SUMIFS(Raw_Data_Daily!$D:$D, Raw_Data_Daily!$B:$B, "Variant", Raw_Data_Daily!$A:$A, $A34, Raw_Data_Daily!$C:$C, $C$3),""))</f>
        <v>0.3142</v>
      </c>
      <c r="AK34" s="229">
        <f t="shared" si="12"/>
        <v>-0.03884980116</v>
      </c>
      <c r="AL34" s="231">
        <f>IF($A34="","",IFERROR(SUMPRODUCT((Raw_Data_Daily!$B$2:$B$9999="Control")*(Raw_Data_Daily!$A$2:$A$9999=$A34)*(Raw_Data_Daily!$C$2:$C$9999=$C$3)*Raw_Data_Daily!$D$2:$D$9999*Raw_Data_Daily!$P$2:$P$9999)/SUMIFS(Raw_Data_Daily!$D:$D, Raw_Data_Daily!$B:$B, "Control", Raw_Data_Daily!$A:$A, $A34, Raw_Data_Daily!$C:$C, $C$3),""))</f>
        <v>1.7663</v>
      </c>
      <c r="AM34" s="231">
        <f>IF($A34="","",IFERROR(SUMPRODUCT((Raw_Data_Daily!$B$2:$B$9999="Variant")*(Raw_Data_Daily!$A$2:$A$9999=$A34)*(Raw_Data_Daily!$C$2:$C$9999=$C$3)*Raw_Data_Daily!$D$2:$D$9999*Raw_Data_Daily!$P$2:$P$9999)/SUMIFS(Raw_Data_Daily!$D:$D, Raw_Data_Daily!$B:$B, "Variant", Raw_Data_Daily!$A:$A, $A34, Raw_Data_Daily!$C:$C, $C$3),""))</f>
        <v>1.7174</v>
      </c>
      <c r="AN34" s="229">
        <f t="shared" si="13"/>
        <v>-0.02768499122</v>
      </c>
      <c r="AO34" s="231">
        <f>IF($A34="","",IFERROR(SUMPRODUCT((Raw_Data_Daily!$B$2:$B$9999="Control")*(Raw_Data_Daily!$A$2:$A$9999=$A34)*(Raw_Data_Daily!$C$2:$C$9999=$C$3)*Raw_Data_Daily!$D$2:$D$9999*Raw_Data_Daily!$Q$2:$Q$9999)/SUMIFS(Raw_Data_Daily!$D:$D, Raw_Data_Daily!$B:$B, "Control", Raw_Data_Daily!$A:$A, $A34, Raw_Data_Daily!$C:$C, $C$3),""))</f>
        <v>82</v>
      </c>
      <c r="AP34" s="231">
        <f>IF($A34="","",IFERROR(SUMPRODUCT((Raw_Data_Daily!$B$2:$B$9999="Variant")*(Raw_Data_Daily!$A$2:$A$9999=$A34)*(Raw_Data_Daily!$C$2:$C$9999=$C$3)*Raw_Data_Daily!$D$2:$D$9999*Raw_Data_Daily!$Q$2:$Q$9999)/SUMIFS(Raw_Data_Daily!$D:$D, Raw_Data_Daily!$B:$B, "Variant", Raw_Data_Daily!$A:$A, $A34, Raw_Data_Daily!$C:$C, $C$3),""))</f>
        <v>78.45</v>
      </c>
      <c r="AQ34" s="226">
        <f t="shared" si="14"/>
        <v>-0.04329268293</v>
      </c>
      <c r="AR34" s="231">
        <f>IF($A34="","",IFERROR(SUMPRODUCT((Raw_Data_Daily!$B$2:$B$9999="Control")*(Raw_Data_Daily!$A$2:$A$9999=$A34)*(Raw_Data_Daily!$C$2:$C$9999=$C$3)*Raw_Data_Daily!$D$2:$D$9999*Raw_Data_Daily!$R$2:$R$9999)/SUMIFS(Raw_Data_Daily!$D:$D, Raw_Data_Daily!$B:$B, "Control", Raw_Data_Daily!$A:$A, $A34, Raw_Data_Daily!$C:$C, $C$3),""))</f>
        <v>69.5</v>
      </c>
      <c r="AS34" s="231">
        <f>IF($A34="","",IFERROR(SUMPRODUCT((Raw_Data_Daily!$B$2:$B$9999="Variant")*(Raw_Data_Daily!$A$2:$A$9999=$A34)*(Raw_Data_Daily!$C$2:$C$9999=$C$3)*Raw_Data_Daily!$D$2:$D$9999*Raw_Data_Daily!$R$2:$R$9999)/SUMIFS(Raw_Data_Daily!$D:$D, Raw_Data_Daily!$B:$B, "Variant", Raw_Data_Daily!$A:$A, $A34, Raw_Data_Daily!$C:$C, $C$3),""))</f>
        <v>68.45</v>
      </c>
      <c r="AT34" s="226">
        <f t="shared" si="15"/>
        <v>-0.01510791367</v>
      </c>
      <c r="AU34" s="231">
        <f>IF($A34="","",IFERROR(SUMPRODUCT((Raw_Data_Daily!$B$2:$B$9999="Control")*(Raw_Data_Daily!$A$2:$A$9999=$A34)*(Raw_Data_Daily!$C$2:$C$9999=$C$3)*Raw_Data_Daily!$D$2:$D$9999*Raw_Data_Daily!$S$2:$S$9999)/SUMIFS(Raw_Data_Daily!$D:$D, Raw_Data_Daily!$B:$B, "Control", Raw_Data_Daily!$A:$A, $A34, Raw_Data_Daily!$C:$C, $C$3),""))</f>
        <v>12.5</v>
      </c>
      <c r="AV34" s="231">
        <f>IF($A34="","",IFERROR(SUMPRODUCT((Raw_Data_Daily!$B$2:$B$9999="Variant")*(Raw_Data_Daily!$A$2:$A$9999=$A34)*(Raw_Data_Daily!$C$2:$C$9999=$C$3)*Raw_Data_Daily!$D$2:$D$9999*Raw_Data_Daily!$S$2:$S$9999)/SUMIFS(Raw_Data_Daily!$D:$D, Raw_Data_Daily!$B:$B, "Variant", Raw_Data_Daily!$A:$A, $A34, Raw_Data_Daily!$C:$C, $C$3),""))</f>
        <v>10.01</v>
      </c>
      <c r="AW34" s="226">
        <f t="shared" si="16"/>
        <v>-0.1992</v>
      </c>
      <c r="AX34" s="231">
        <f>IF($A34="","",IFERROR(SUMPRODUCT((Raw_Data_Daily!$B$2:$B$9999="Control")*(Raw_Data_Daily!$A$2:$A$9999=$A34)*(Raw_Data_Daily!$C$2:$C$9999=$C$3)*Raw_Data_Daily!$D$2:$D$9999*Raw_Data_Daily!$T$2:$T$9999)/SUMIFS(Raw_Data_Daily!$D:$D, Raw_Data_Daily!$B:$B, "Control", Raw_Data_Daily!$A:$A, $A34, Raw_Data_Daily!$C:$C, $C$3),""))</f>
        <v>6.59</v>
      </c>
      <c r="AY34" s="231">
        <f>IF($A34="","",IFERROR(SUMPRODUCT((Raw_Data_Daily!$B$2:$B$9999="Variant")*(Raw_Data_Daily!$A$2:$A$9999=$A34)*(Raw_Data_Daily!$C$2:$C$9999=$C$3)*Raw_Data_Daily!$D$2:$D$9999*Raw_Data_Daily!$T$2:$T$9999)/SUMIFS(Raw_Data_Daily!$D:$D, Raw_Data_Daily!$B:$B, "Variant", Raw_Data_Daily!$A:$A, $A34, Raw_Data_Daily!$C:$C, $C$3),""))</f>
        <v>5.94</v>
      </c>
      <c r="AZ34" s="229">
        <f t="shared" si="17"/>
        <v>-0.09863429439</v>
      </c>
      <c r="BA34" s="231">
        <f>IF($A34="","",IFERROR(SUMPRODUCT((Raw_Data_Daily!$B$2:$B$9999="Control")*(Raw_Data_Daily!$A$2:$A$9999=$A34)*(Raw_Data_Daily!$C$2:$C$9999=$C$3)*Raw_Data_Daily!$D$2:$D$9999*Raw_Data_Daily!$U$2:$U$9999)/SUMIFS(Raw_Data_Daily!$D:$D, Raw_Data_Daily!$B:$B, "Control", Raw_Data_Daily!$A:$A, $A34, Raw_Data_Daily!$C:$C, $C$3),""))</f>
        <v>75.4</v>
      </c>
      <c r="BB34" s="231">
        <f>IF($A34="","",IFERROR(SUMPRODUCT((Raw_Data_Daily!$B$2:$B$9999="Variant")*(Raw_Data_Daily!$A$2:$A$9999=$A34)*(Raw_Data_Daily!$C$2:$C$9999=$C$3)*Raw_Data_Daily!$D$2:$D$9999*Raw_Data_Daily!$U$2:$U$9999)/SUMIFS(Raw_Data_Daily!$D:$D, Raw_Data_Daily!$B:$B, "Variant", Raw_Data_Daily!$A:$A, $A34, Raw_Data_Daily!$C:$C, $C$3),""))</f>
        <v>72.52</v>
      </c>
      <c r="BC34" s="226">
        <f t="shared" si="18"/>
        <v>-0.03819628647</v>
      </c>
      <c r="BD34" s="231">
        <f>IF($A34="","",IFERROR(SUMPRODUCT((Raw_Data_Daily!$B$2:$B$9999="Control")*(Raw_Data_Daily!$A$2:$A$9999=$A34)*(Raw_Data_Daily!$C$2:$C$9999=$C$3)*Raw_Data_Daily!$D$2:$D$9999*Raw_Data_Daily!$V$2:$V$9999)/SUMIFS(Raw_Data_Daily!$D:$D, Raw_Data_Daily!$B:$B, "Control", Raw_Data_Daily!$A:$A, $A34, Raw_Data_Daily!$C:$C, $C$3),""))</f>
        <v>95.25</v>
      </c>
      <c r="BE34" s="231">
        <f>IF($A34="","",IFERROR(SUMPRODUCT((Raw_Data_Daily!$B$2:$B$9999="Variant")*(Raw_Data_Daily!$A$2:$A$9999=$A34)*(Raw_Data_Daily!$C$2:$C$9999=$C$3)*Raw_Data_Daily!$D$2:$D$9999*Raw_Data_Daily!$V$2:$V$9999)/SUMIFS(Raw_Data_Daily!$D:$D, Raw_Data_Daily!$B:$B, "Variant", Raw_Data_Daily!$A:$A, $A34, Raw_Data_Daily!$C:$C, $C$3),""))</f>
        <v>85.58</v>
      </c>
      <c r="BF34" s="226">
        <f t="shared" si="19"/>
        <v>-0.1015223097</v>
      </c>
      <c r="BG34" s="231">
        <f>IF($A34="","",IFERROR(SUMPRODUCT((Raw_Data_Daily!$B$2:$B$9999="Control")*(Raw_Data_Daily!$A$2:$A$9999=$A34)*(Raw_Data_Daily!$C$2:$C$9999=$C$3)*Raw_Data_Daily!$D$2:$D$9999*(Raw_Data_Daily!$Q$2:$Q$9999-Raw_Data_Daily!$V$2:$V$9999))/SUMIFS(Raw_Data_Daily!$D:$D, Raw_Data_Daily!$B:$B, "Control", Raw_Data_Daily!$A:$A, $A34, Raw_Data_Daily!$C:$C, $C$3),""))</f>
        <v>-13.25</v>
      </c>
      <c r="BH34" s="231">
        <f>IF($A34="","",IFERROR(SUMPRODUCT((Raw_Data_Daily!$B$2:$B$9999="Variant")*(Raw_Data_Daily!$A$2:$A$9999=$A34)*(Raw_Data_Daily!$C$2:$C$9999=$C$3)*Raw_Data_Daily!$D$2:$D$9999*(Raw_Data_Daily!$Q$2:$Q$9999-Raw_Data_Daily!$V$2:$V$9999))/SUMIFS(Raw_Data_Daily!$D:$D, Raw_Data_Daily!$B:$B, "Variant", Raw_Data_Daily!$A:$A, $A34, Raw_Data_Daily!$C:$C, $C$3),""))</f>
        <v>-7.13</v>
      </c>
      <c r="BI34" s="226">
        <f t="shared" si="20"/>
        <v>0.4618867925</v>
      </c>
      <c r="BJ34" s="231">
        <f>IF($A34="","",IFERROR(SUMPRODUCT((Raw_Data_Daily!$B$2:$B$9999="Control")*(Raw_Data_Daily!$A$2:$A$9999=$A34)*(Raw_Data_Daily!$C$2:$C$9999=$C$3)*Raw_Data_Daily!$D$2:$D$9999*Raw_Data_Daily!$W$2:$W$9999)/SUMIFS(Raw_Data_Daily!$D:$D, Raw_Data_Daily!$B:$B, "Control", Raw_Data_Daily!$A:$A, $A34, Raw_Data_Daily!$C:$C, $C$3),""))</f>
        <v>3.9701</v>
      </c>
      <c r="BK34" s="231">
        <f>IF($A34="","",IFERROR(SUMPRODUCT((Raw_Data_Daily!$B$2:$B$9999="Variant")*(Raw_Data_Daily!$A$2:$A$9999=$A34)*(Raw_Data_Daily!$C$2:$C$9999=$C$3)*Raw_Data_Daily!$D$2:$D$9999*Raw_Data_Daily!$W$2:$W$9999)/SUMIFS(Raw_Data_Daily!$D:$D, Raw_Data_Daily!$B:$B, "Variant", Raw_Data_Daily!$A:$A, $A34, Raw_Data_Daily!$C:$C, $C$3),""))</f>
        <v>3.8455</v>
      </c>
      <c r="BL34" s="226">
        <f t="shared" si="21"/>
        <v>-0.03138459988</v>
      </c>
      <c r="BM34" s="232">
        <f>IF($A34="","",IFERROR(SUMPRODUCT((Raw_Data_Daily!$B$2:$B$9999="Control")*(Raw_Data_Daily!$A$2:$A$9999=$A34)*(Raw_Data_Daily!$C$2:$C$9999=$C$3)*Raw_Data_Daily!$D$2:$D$9999*Raw_Data_Daily!$X$2:$X$9999)/SUMIFS(Raw_Data_Daily!$D:$D, Raw_Data_Daily!$B:$B, "Control", Raw_Data_Daily!$A:$A, $A34, Raw_Data_Daily!$C:$C, $C$3),""))</f>
        <v>8.04</v>
      </c>
      <c r="BN34" s="232">
        <f>IF($A34="","",IFERROR(SUMPRODUCT((Raw_Data_Daily!$B$2:$B$9999="Variant")*(Raw_Data_Daily!$A$2:$A$9999=$A34)*(Raw_Data_Daily!$C$2:$C$9999=$C$3)*Raw_Data_Daily!$D$2:$D$9999*Raw_Data_Daily!$X$2:$X$9999)/SUMIFS(Raw_Data_Daily!$D:$D, Raw_Data_Daily!$B:$B, "Variant", Raw_Data_Daily!$A:$A, $A34, Raw_Data_Daily!$C:$C, $C$3),""))</f>
        <v>7.57</v>
      </c>
      <c r="BO34" s="229">
        <f t="shared" si="22"/>
        <v>-0.05845771144</v>
      </c>
      <c r="BP34" s="225">
        <f>IF($A34="","",IFERROR(SUMPRODUCT((Raw_Data_Daily!$B$2:$B$9999="Control")*(Raw_Data_Daily!$A$2:$A$9999=$A34)*(Raw_Data_Daily!$C$2:$C$9999=$C$3)*Raw_Data_Daily!$D$2:$D$9999*Raw_Data_Daily!$Y$2:$Y$9999)/SUMIFS(Raw_Data_Daily!$D:$D, Raw_Data_Daily!$B:$B, "Control", Raw_Data_Daily!$A:$A, $A34, Raw_Data_Daily!$C:$C, $C$3),""))</f>
        <v>216</v>
      </c>
      <c r="BQ34" s="225">
        <f>IF($A34="","",IFERROR(SUMPRODUCT((Raw_Data_Daily!$B$2:$B$9999="Variant")*(Raw_Data_Daily!$A$2:$A$9999=$A34)*(Raw_Data_Daily!$C$2:$C$9999=$C$3)*Raw_Data_Daily!$D$2:$D$9999*Raw_Data_Daily!$Y$2:$Y$9999)/SUMIFS(Raw_Data_Daily!$D:$D, Raw_Data_Daily!$B:$B, "Variant", Raw_Data_Daily!$A:$A, $A34, Raw_Data_Daily!$C:$C, $C$3),""))</f>
        <v>209</v>
      </c>
      <c r="BR34" s="226">
        <f t="shared" si="23"/>
        <v>-0.03240740741</v>
      </c>
      <c r="BS34" s="225">
        <f>IF($A34="","",IFERROR(SUMPRODUCT((Raw_Data_Daily!$B$2:$B$9999="Control")*(Raw_Data_Daily!$A$2:$A$9999=$A34)*(Raw_Data_Daily!$C$2:$C$9999=$C$3)*Raw_Data_Daily!$D$2:$D$9999*Raw_Data_Daily!$Z$2:$Z$9999)/SUMIFS(Raw_Data_Daily!$D:$D, Raw_Data_Daily!$B:$B, "Control", Raw_Data_Daily!$A:$A, $A34, Raw_Data_Daily!$C:$C, $C$3),""))</f>
        <v>427</v>
      </c>
      <c r="BT34" s="225">
        <f>IF($A34="","",IFERROR(SUMPRODUCT((Raw_Data_Daily!$B$2:$B$9999="Variant")*(Raw_Data_Daily!$A$2:$A$9999=$A34)*(Raw_Data_Daily!$C$2:$C$9999=$C$3)*Raw_Data_Daily!$D$2:$D$9999*Raw_Data_Daily!$Z$2:$Z$9999)/SUMIFS(Raw_Data_Daily!$D:$D, Raw_Data_Daily!$B:$B, "Variant", Raw_Data_Daily!$A:$A, $A34, Raw_Data_Daily!$C:$C, $C$3),""))</f>
        <v>372</v>
      </c>
      <c r="BU34" s="226">
        <f t="shared" si="24"/>
        <v>-0.1288056206</v>
      </c>
      <c r="BV34" s="225">
        <f>IF($A34="","",IFERROR(SUMPRODUCT((Raw_Data_Daily!$B$2:$B$9999="Control")*(Raw_Data_Daily!$A$2:$A$9999=$A34)*(Raw_Data_Daily!$C$2:$C$9999=$C$3)*Raw_Data_Daily!$D$2:$D$9999*Raw_Data_Daily!$AA$2:$AA$9999)/SUMIFS(Raw_Data_Daily!$D:$D, Raw_Data_Daily!$B:$B, "Control", Raw_Data_Daily!$A:$A, $A34, Raw_Data_Daily!$C:$C, $C$3),""))</f>
        <v>1324</v>
      </c>
      <c r="BW34" s="225">
        <f>IF($A34="","",IFERROR(SUMPRODUCT((Raw_Data_Daily!$B$2:$B$9999="Variant")*(Raw_Data_Daily!$A$2:$A$9999=$A34)*(Raw_Data_Daily!$C$2:$C$9999=$C$3)*Raw_Data_Daily!$D$2:$D$9999*Raw_Data_Daily!$AA$2:$AA$9999)/SUMIFS(Raw_Data_Daily!$D:$D, Raw_Data_Daily!$B:$B, "Variant", Raw_Data_Daily!$A:$A, $A34, Raw_Data_Daily!$C:$C, $C$3),""))</f>
        <v>1081</v>
      </c>
      <c r="BX34" s="226">
        <f t="shared" si="25"/>
        <v>-0.1835347432</v>
      </c>
      <c r="BY34" s="231">
        <f>IF($A34="","",IFERROR(SUMPRODUCT((Raw_Data_Daily!$B$2:$B$9999="Control")*(Raw_Data_Daily!$A$2:$A$9999=$A34)*(Raw_Data_Daily!$C$2:$C$9999=$C$3)*Raw_Data_Daily!$D$2:$D$9999*Raw_Data_Daily!$AB$2:$AB$9999)/SUMIFS(Raw_Data_Daily!$D:$D, Raw_Data_Daily!$B:$B, "Control", Raw_Data_Daily!$A:$A, $A34, Raw_Data_Daily!$C:$C, $C$3),""))</f>
        <v>51.8852</v>
      </c>
      <c r="BZ34" s="231">
        <f>IF($A34="","",IFERROR(SUMPRODUCT((Raw_Data_Daily!$B$2:$B$9999="Variant")*(Raw_Data_Daily!$A$2:$A$9999=$A34)*(Raw_Data_Daily!$C$2:$C$9999=$C$3)*Raw_Data_Daily!$D$2:$D$9999*Raw_Data_Daily!$AB$2:$AB$9999)/SUMIFS(Raw_Data_Daily!$D:$D, Raw_Data_Daily!$B:$B, "Variant", Raw_Data_Daily!$A:$A, $A34, Raw_Data_Daily!$C:$C, $C$3),""))</f>
        <v>51.792</v>
      </c>
      <c r="CA34" s="229">
        <f t="shared" si="26"/>
        <v>-0.001796273311</v>
      </c>
      <c r="CB34" s="231">
        <f>IF($A34="","",IFERROR(SUMPRODUCT((Raw_Data_Daily!$B$2:$B$9999="Control")*(Raw_Data_Daily!$A$2:$A$9999=$A34)*(Raw_Data_Daily!$C$2:$C$9999=$C$3)*Raw_Data_Daily!$D$2:$D$9999*Raw_Data_Daily!$AC$2:$AC$9999)/SUMIFS(Raw_Data_Daily!$D:$D, Raw_Data_Daily!$B:$B, "Control", Raw_Data_Daily!$A:$A, $A34, Raw_Data_Daily!$C:$C, $C$3),""))</f>
        <v>0.6875</v>
      </c>
      <c r="CC34" s="231">
        <f>IF($A34="","",IFERROR(SUMPRODUCT((Raw_Data_Daily!$B$2:$B$9999="Variant")*(Raw_Data_Daily!$A$2:$A$9999=$A34)*(Raw_Data_Daily!$C$2:$C$9999=$C$3)*Raw_Data_Daily!$D$2:$D$9999*Raw_Data_Daily!$AC$2:$AC$9999)/SUMIFS(Raw_Data_Daily!$D:$D, Raw_Data_Daily!$B:$B, "Variant", Raw_Data_Daily!$A:$A, $A34, Raw_Data_Daily!$C:$C, $C$3),""))</f>
        <v>0.6803</v>
      </c>
      <c r="CD34" s="229">
        <f t="shared" si="27"/>
        <v>-0.01047272727</v>
      </c>
      <c r="CE34" s="231">
        <f>IF($A34="","",IFERROR(SUMPRODUCT((Raw_Data_Daily!$B$2:$B$9999="Control")*(Raw_Data_Daily!$A$2:$A$9999=$A34)*(Raw_Data_Daily!$C$2:$C$9999=$C$3)*Raw_Data_Daily!$D$2:$D$9999*Raw_Data_Daily!$AD$2:$AD$9999)/SUMIFS(Raw_Data_Daily!$D:$D, Raw_Data_Daily!$B:$B, "Control", Raw_Data_Daily!$A:$A, $A34, Raw_Data_Daily!$C:$C, $C$3),""))</f>
        <v>9.54</v>
      </c>
      <c r="CF34" s="231">
        <f>IF($A34="","",IFERROR(SUMPRODUCT((Raw_Data_Daily!$B$2:$B$9999="Variant")*(Raw_Data_Daily!$A$2:$A$9999=$A34)*(Raw_Data_Daily!$C$2:$C$9999=$C$3)*Raw_Data_Daily!$D$2:$D$9999*Raw_Data_Daily!$AD$2:$AD$9999)/SUMIFS(Raw_Data_Daily!$D:$D, Raw_Data_Daily!$B:$B, "Variant", Raw_Data_Daily!$A:$A, $A34, Raw_Data_Daily!$C:$C, $C$3),""))</f>
        <v>9.39</v>
      </c>
      <c r="CG34" s="229">
        <f t="shared" si="28"/>
        <v>-0.01572327044</v>
      </c>
      <c r="CH34" s="231">
        <f>IF($A34="","",IFERROR(SUMPRODUCT((Raw_Data_Daily!$B$2:$B$9999="Control")*(Raw_Data_Daily!$A$2:$A$9999=$A34)*(Raw_Data_Daily!$C$2:$C$9999=$C$3)*Raw_Data_Daily!$D$2:$D$9999*Raw_Data_Daily!$AE$2:$AE$9999)/SUMIFS(Raw_Data_Daily!$D:$D, Raw_Data_Daily!$B:$B, "Control", Raw_Data_Daily!$A:$A, $A34, Raw_Data_Daily!$C:$C, $C$3),""))</f>
        <v>4</v>
      </c>
      <c r="CI34" s="231">
        <f>IF($A34="","",IFERROR(SUMPRODUCT((Raw_Data_Daily!$B$2:$B$9999="Variant")*(Raw_Data_Daily!$A$2:$A$9999=$A34)*(Raw_Data_Daily!$C$2:$C$9999=$C$3)*Raw_Data_Daily!$D$2:$D$9999*Raw_Data_Daily!$AE$2:$AE$9999)/SUMIFS(Raw_Data_Daily!$D:$D, Raw_Data_Daily!$B:$B, "Variant", Raw_Data_Daily!$A:$A, $A34, Raw_Data_Daily!$C:$C, $C$3),""))</f>
        <v>4</v>
      </c>
      <c r="CJ34" s="229">
        <f t="shared" si="29"/>
        <v>0</v>
      </c>
      <c r="CK34" s="231">
        <f>IF($A34="","",IFERROR(SUMPRODUCT((Raw_Data_Daily!$B$2:$B$9999="Control")*(Raw_Data_Daily!$A$2:$A$9999=$A34)*(Raw_Data_Daily!$C$2:$C$9999=$C$3)*Raw_Data_Daily!$D$2:$D$9999*Raw_Data_Daily!$AF$2:$AF$9999)/SUMIFS(Raw_Data_Daily!$D:$D, Raw_Data_Daily!$B:$B, "Control", Raw_Data_Daily!$A:$A, $A34, Raw_Data_Daily!$C:$C, $C$3),""))</f>
        <v>8</v>
      </c>
      <c r="CL34" s="231">
        <f>IF($A34="","",IFERROR(SUMPRODUCT((Raw_Data_Daily!$B$2:$B$9999="Variant")*(Raw_Data_Daily!$A$2:$A$9999=$A34)*(Raw_Data_Daily!$C$2:$C$9999=$C$3)*Raw_Data_Daily!$D$2:$D$9999*Raw_Data_Daily!$AF$2:$AF$9999)/SUMIFS(Raw_Data_Daily!$D:$D, Raw_Data_Daily!$B:$B, "Variant", Raw_Data_Daily!$A:$A, $A34, Raw_Data_Daily!$C:$C, $C$3),""))</f>
        <v>8</v>
      </c>
      <c r="CM34" s="229">
        <f t="shared" si="30"/>
        <v>0</v>
      </c>
      <c r="CN34" s="231">
        <f>IF($A34="","",IFERROR(SUMPRODUCT((Raw_Data_Daily!$B$2:$B$9999="Control")*(Raw_Data_Daily!$A$2:$A$9999=$A34)*(Raw_Data_Daily!$C$2:$C$9999=$C$3)*Raw_Data_Daily!$D$2:$D$9999*Raw_Data_Daily!$AG$2:$AG$9999)/SUMIFS(Raw_Data_Daily!$D:$D, Raw_Data_Daily!$B:$B, "Control", Raw_Data_Daily!$A:$A, $A34, Raw_Data_Daily!$C:$C, $C$3),""))</f>
        <v>13</v>
      </c>
      <c r="CO34" s="231">
        <f>IF($A34="","",IFERROR(SUMPRODUCT((Raw_Data_Daily!$B$2:$B$9999="Variant")*(Raw_Data_Daily!$A$2:$A$9999=$A34)*(Raw_Data_Daily!$C$2:$C$9999=$C$3)*Raw_Data_Daily!$D$2:$D$9999*Raw_Data_Daily!$AG$2:$AG$9999)/SUMIFS(Raw_Data_Daily!$D:$D, Raw_Data_Daily!$B:$B, "Variant", Raw_Data_Daily!$A:$A, $A34, Raw_Data_Daily!$C:$C, $C$3),""))</f>
        <v>13</v>
      </c>
      <c r="CP34" s="229">
        <f t="shared" si="31"/>
        <v>0</v>
      </c>
      <c r="CQ34" s="231">
        <f>IF($A34="","",IFERROR(SUMPRODUCT((Raw_Data_Daily!$B$2:$B$9999="Control")*(Raw_Data_Daily!$A$2:$A$9999=$A34)*(Raw_Data_Daily!$C$2:$C$9999=$C$3)*Raw_Data_Daily!$D$2:$D$9999*Raw_Data_Daily!$AH$2:$AH$9999)/SUMIFS(Raw_Data_Daily!$D:$D, Raw_Data_Daily!$B:$B, "Control", Raw_Data_Daily!$A:$A, $A34, Raw_Data_Daily!$C:$C, $C$3),""))</f>
        <v>18</v>
      </c>
      <c r="CR34" s="231">
        <f>IF($A34="","",IFERROR(SUMPRODUCT((Raw_Data_Daily!$B$2:$B$9999="Variant")*(Raw_Data_Daily!$A$2:$A$9999=$A34)*(Raw_Data_Daily!$C$2:$C$9999=$C$3)*Raw_Data_Daily!$D$2:$D$9999*Raw_Data_Daily!$AH$2:$AH$9999)/SUMIFS(Raw_Data_Daily!$D:$D, Raw_Data_Daily!$B:$B, "Variant", Raw_Data_Daily!$A:$A, $A34, Raw_Data_Daily!$C:$C, $C$3),""))</f>
        <v>18</v>
      </c>
      <c r="CS34" s="229">
        <f t="shared" si="32"/>
        <v>0</v>
      </c>
      <c r="CT34" s="227">
        <f>IF($A34="","",IFERROR(SUMPRODUCT((Raw_Data_Daily!$B$2:$B$9999="Control")*(Raw_Data_Daily!$A$2:$A$9999=$A34)*(Raw_Data_Daily!$C$2:$C$9999=$C$3)*Raw_Data_Daily!$D$2:$D$9999*Raw_Data_Daily!$AI$2:$AI$9999)/SUMIFS(Raw_Data_Daily!$D:$D, Raw_Data_Daily!$B:$B, "Control", Raw_Data_Daily!$A:$A, $A34, Raw_Data_Daily!$C:$C, $C$3),""))</f>
        <v>67</v>
      </c>
      <c r="CU34" s="227">
        <f>IF($A34="","",IFERROR(SUMPRODUCT((Raw_Data_Daily!$B$2:$B$9999="Variant")*(Raw_Data_Daily!$A$2:$A$9999=$A34)*(Raw_Data_Daily!$C$2:$C$9999=$C$3)*Raw_Data_Daily!$D$2:$D$9999*Raw_Data_Daily!$AI$2:$AI$9999)/SUMIFS(Raw_Data_Daily!$D:$D, Raw_Data_Daily!$B:$B, "Variant", Raw_Data_Daily!$A:$A, $A34, Raw_Data_Daily!$C:$C, $C$3),""))</f>
        <v>64.96</v>
      </c>
      <c r="CV34" s="233">
        <f t="shared" si="33"/>
        <v>-0.03044776119</v>
      </c>
      <c r="CW34" s="227">
        <f>IF($A34="","",IFERROR(SUMPRODUCT((Raw_Data_Daily!$B$2:$B$9999="Control")*(Raw_Data_Daily!$A$2:$A$9999=$A34)*(Raw_Data_Daily!$C$2:$C$9999=$C$3)*Raw_Data_Daily!$D$2:$D$9999*Raw_Data_Daily!$AJ$2:$AJ$9999)/SUMIFS(Raw_Data_Daily!$D:$D, Raw_Data_Daily!$B:$B, "Control", Raw_Data_Daily!$A:$A, $A34, Raw_Data_Daily!$C:$C, $C$3),""))</f>
        <v>26.27</v>
      </c>
      <c r="CX34" s="227">
        <f>IF($A34="","",IFERROR(SUMPRODUCT((Raw_Data_Daily!$B$2:$B$9999="Variant")*(Raw_Data_Daily!$A$2:$A$9999=$A34)*(Raw_Data_Daily!$C$2:$C$9999=$C$3)*Raw_Data_Daily!$D$2:$D$9999*Raw_Data_Daily!$AJ$2:$AJ$9999)/SUMIFS(Raw_Data_Daily!$D:$D, Raw_Data_Daily!$B:$B, "Variant", Raw_Data_Daily!$A:$A, $A34, Raw_Data_Daily!$C:$C, $C$3),""))</f>
        <v>25.94</v>
      </c>
      <c r="CY34" s="233">
        <f t="shared" si="34"/>
        <v>-0.01256185763</v>
      </c>
      <c r="CZ34" s="227">
        <f>IF($A34="","",IFERROR(SUMPRODUCT((Raw_Data_Daily!$B$2:$B$9999="Control")*(Raw_Data_Daily!$A$2:$A$9999=$A34)*(Raw_Data_Daily!$C$2:$C$9999=$C$3)*Raw_Data_Daily!$D$2:$D$9999*Raw_Data_Daily!$AK$2:$AK$9999)/SUMIFS(Raw_Data_Daily!$D:$D, Raw_Data_Daily!$B:$B, "Control", Raw_Data_Daily!$A:$A, $A34, Raw_Data_Daily!$C:$C, $C$3),""))</f>
        <v>3.31</v>
      </c>
      <c r="DA34" s="227">
        <f>IF($A34="","",IFERROR(SUMPRODUCT((Raw_Data_Daily!$B$2:$B$9999="Variant")*(Raw_Data_Daily!$A$2:$A$9999=$A34)*(Raw_Data_Daily!$C$2:$C$9999=$C$3)*Raw_Data_Daily!$D$2:$D$9999*Raw_Data_Daily!$AK$2:$AK$9999)/SUMIFS(Raw_Data_Daily!$D:$D, Raw_Data_Daily!$B:$B, "Variant", Raw_Data_Daily!$A:$A, $A34, Raw_Data_Daily!$C:$C, $C$3),""))</f>
        <v>3.22</v>
      </c>
      <c r="DB34" s="229">
        <f t="shared" si="35"/>
        <v>-0.02719033233</v>
      </c>
      <c r="DC34" s="232">
        <f>IF($A34="","",IFERROR(SUMPRODUCT((Raw_Data_Daily!$B$2:$B$9999="Control")*(Raw_Data_Daily!$A$2:$A$9999=$A34)*(Raw_Data_Daily!$C$2:$C$9999=$C$3)*Raw_Data_Daily!$D$2:$D$9999*Raw_Data_Daily!$AL$2:$AL$9999)/SUMIFS(Raw_Data_Daily!$D:$D, Raw_Data_Daily!$B:$B, "Control", Raw_Data_Daily!$A:$A, $A34, Raw_Data_Daily!$C:$C, $C$3),""))</f>
        <v>0.3726</v>
      </c>
      <c r="DD34" s="232">
        <f>IF($A34="","",IFERROR(SUMPRODUCT((Raw_Data_Daily!$B$2:$B$9999="Variant")*(Raw_Data_Daily!$A$2:$A$9999=$A34)*(Raw_Data_Daily!$C$2:$C$9999=$C$3)*Raw_Data_Daily!$D$2:$D$9999*Raw_Data_Daily!$AL$2:$AL$9999)/SUMIFS(Raw_Data_Daily!$D:$D, Raw_Data_Daily!$B:$B, "Variant", Raw_Data_Daily!$A:$A, $A34, Raw_Data_Daily!$C:$C, $C$3),""))</f>
        <v>0.3712</v>
      </c>
      <c r="DE34" s="233">
        <f t="shared" si="36"/>
        <v>-0.003757380569</v>
      </c>
      <c r="DF34" s="234"/>
      <c r="DG34" s="227">
        <f>IF($A34="","",IFERROR(SUMPRODUCT((Raw_Data_Daily!$B$2:$B$9999="Variant")*(Raw_Data_Daily!$A$2:$A$9999=$A34)*(Raw_Data_Daily!$C$2:$C$9999=$C$3)*Raw_Data_Daily!$D$2:$D$9999*Raw_Data_Daily!$AM$2:$AM$9999)/SUMIFS(Raw_Data_Daily!$D:$D, Raw_Data_Daily!$B:$B, "Variant", Raw_Data_Daily!$A:$A, $A34, Raw_Data_Daily!$C:$C, $C$3),""))</f>
        <v>46.41</v>
      </c>
      <c r="DH34" s="235"/>
      <c r="DI34" s="234"/>
      <c r="DJ34" s="227">
        <f>IF($A34="","",IFERROR(SUMPRODUCT((Raw_Data_Daily!$B$2:$B$9999="Variant")*(Raw_Data_Daily!$A$2:$A$9999=$A34)*(Raw_Data_Daily!$C$2:$C$9999=$C$3)*Raw_Data_Daily!$D$2:$D$9999*Raw_Data_Daily!$AN$2:$AN$9999)/SUMIFS(Raw_Data_Daily!$D:$D, Raw_Data_Daily!$B:$B, "Variant", Raw_Data_Daily!$A:$A, $A34, Raw_Data_Daily!$C:$C, $C$3),""))</f>
        <v>46.41</v>
      </c>
      <c r="DK34" s="235"/>
      <c r="DL34" s="234"/>
      <c r="DM34" s="227">
        <f>IF($A34="","",IFERROR(SUMPRODUCT((Raw_Data_Daily!$B$2:$B$9999="Variant")*(Raw_Data_Daily!$A$2:$A$9999=$A34)*(Raw_Data_Daily!$C$2:$C$9999=$C$3)*Raw_Data_Daily!$D$2:$D$9999*Raw_Data_Daily!$AO$2:$AO$9999)/SUMIFS(Raw_Data_Daily!$D:$D, Raw_Data_Daily!$B:$B, "Variant", Raw_Data_Daily!$A:$A, $A34, Raw_Data_Daily!$C:$C, $C$3),""))</f>
        <v>27.04</v>
      </c>
      <c r="DN34" s="235"/>
      <c r="DO34" s="234"/>
      <c r="DP34" s="227">
        <f>IF($A34="","",IFERROR(SUMPRODUCT((Raw_Data_Daily!$B$2:$B$9999="Variant")*(Raw_Data_Daily!$A$2:$A$9999=$A34)*(Raw_Data_Daily!$C$2:$C$9999=$C$3)*Raw_Data_Daily!$D$2:$D$9999*Raw_Data_Daily!$AP$2:$AP$9999)/SUMIFS(Raw_Data_Daily!$D:$D, Raw_Data_Daily!$B:$B, "Variant", Raw_Data_Daily!$A:$A, $A34, Raw_Data_Daily!$C:$C, $C$3),""))</f>
        <v>13.26</v>
      </c>
      <c r="DQ34" s="235"/>
      <c r="DR34" s="232">
        <f>IF($A34="","",IFERROR(SUMPRODUCT((Raw_Data_Daily!$B$2:$B$9999="Control")*(Raw_Data_Daily!$A$2:$A$9999=$A34)*(Raw_Data_Daily!$C$2:$C$9999=$C$3)*Raw_Data_Daily!$D$2:$D$9999*Raw_Data_Daily!$AQ$2:$AQ$9999)/SUMIFS(Raw_Data_Daily!$D:$D, Raw_Data_Daily!$B:$B, "Control", Raw_Data_Daily!$A:$A, $A34, Raw_Data_Daily!$C:$C, $C$3),""))</f>
        <v>5.9284</v>
      </c>
      <c r="DS34" s="232">
        <f>IF($A34="","",IFERROR(SUMPRODUCT((Raw_Data_Daily!$B$2:$B$9999="Variant")*(Raw_Data_Daily!$A$2:$A$9999=$A34)*(Raw_Data_Daily!$C$2:$C$9999=$C$3)*Raw_Data_Daily!$D$2:$D$9999*Raw_Data_Daily!$AQ$2:$AQ$9999)/SUMIFS(Raw_Data_Daily!$D:$D, Raw_Data_Daily!$B:$B, "Variant", Raw_Data_Daily!$A:$A, $A34, Raw_Data_Daily!$C:$C, $C$3),""))</f>
        <v>4.4075</v>
      </c>
      <c r="DT34" s="236">
        <f t="shared" si="37"/>
        <v>-0.2565447676</v>
      </c>
      <c r="DU34" s="232">
        <f>IF($A34="","",IFERROR(SUMPRODUCT((Raw_Data_Daily!$B$2:$B$9999="Control")*(Raw_Data_Daily!$A$2:$A$9999=$A34)*(Raw_Data_Daily!$C$2:$C$9999=$C$3)*Raw_Data_Daily!$D$2:$D$9999*Raw_Data_Daily!$AR$2:$AR$9999)/SUMIFS(Raw_Data_Daily!$D:$D, Raw_Data_Daily!$B:$B, "Control", Raw_Data_Daily!$A:$A, $A34, Raw_Data_Daily!$C:$C, $C$3),""))</f>
        <v>0.1932</v>
      </c>
      <c r="DV34" s="232">
        <f>IF($A34="","",IFERROR(SUMPRODUCT((Raw_Data_Daily!$B$2:$B$9999="Variant")*(Raw_Data_Daily!$A$2:$A$9999=$A34)*(Raw_Data_Daily!$C$2:$C$9999=$C$3)*Raw_Data_Daily!$D$2:$D$9999*Raw_Data_Daily!$AR$2:$AR$9999)/SUMIFS(Raw_Data_Daily!$D:$D, Raw_Data_Daily!$B:$B, "Variant", Raw_Data_Daily!$A:$A, $A34, Raw_Data_Daily!$C:$C, $C$3),""))</f>
        <v>0.1199</v>
      </c>
      <c r="DW34" s="236">
        <f t="shared" si="38"/>
        <v>-0.3793995859</v>
      </c>
      <c r="DX34" s="232">
        <f>IF($A34="","",IFERROR(SUMPRODUCT((Raw_Data_Daily!$B$2:$B$9999="Control")*(Raw_Data_Daily!$A$2:$A$9999=$A34)*(Raw_Data_Daily!$C$2:$C$9999=$C$3)*Raw_Data_Daily!$D$2:$D$9999*Raw_Data_Daily!$AS$2:$AS$9999)/SUMIFS(Raw_Data_Daily!$D:$D, Raw_Data_Daily!$B:$B, "Control", Raw_Data_Daily!$A:$A, $A34, Raw_Data_Daily!$C:$C, $C$3),""))</f>
        <v>5.7352</v>
      </c>
      <c r="DY34" s="232">
        <f>IF($A34="","",IFERROR(SUMPRODUCT((Raw_Data_Daily!$B$2:$B$9999="Variant")*(Raw_Data_Daily!$A$2:$A$9999=$A34)*(Raw_Data_Daily!$C$2:$C$9999=$C$3)*Raw_Data_Daily!$D$2:$D$9999*Raw_Data_Daily!$AS$2:$AS$9999)/SUMIFS(Raw_Data_Daily!$D:$D, Raw_Data_Daily!$B:$B, "Variant", Raw_Data_Daily!$A:$A, $A34, Raw_Data_Daily!$C:$C, $C$3),""))</f>
        <v>4.2875</v>
      </c>
      <c r="DZ34" s="236">
        <f t="shared" si="39"/>
        <v>-0.2524236295</v>
      </c>
      <c r="EA34" s="232">
        <f>IF($A34="","",IFERROR(SUMPRODUCT((Raw_Data_Daily!$B$2:$B$9999="Control")*(Raw_Data_Daily!$A$2:$A$9999=$A34)*(Raw_Data_Daily!$C$2:$C$9999=$C$3)*Raw_Data_Daily!$D$2:$D$9999*Raw_Data_Daily!$AT$2:$AT$9999)/SUMIFS(Raw_Data_Daily!$D:$D, Raw_Data_Daily!$B:$B, "Control", Raw_Data_Daily!$A:$A, $A34, Raw_Data_Daily!$C:$C, $C$3),""))</f>
        <v>5.5987</v>
      </c>
      <c r="EB34" s="232">
        <f>IF($A34="","",IFERROR(SUMPRODUCT((Raw_Data_Daily!$B$2:$B$9999="Variant")*(Raw_Data_Daily!$A$2:$A$9999=$A34)*(Raw_Data_Daily!$C$2:$C$9999=$C$3)*Raw_Data_Daily!$D$2:$D$9999*Raw_Data_Daily!$AT$2:$AT$9999)/SUMIFS(Raw_Data_Daily!$D:$D, Raw_Data_Daily!$B:$B, "Variant", Raw_Data_Daily!$A:$A, $A34, Raw_Data_Daily!$C:$C, $C$3),""))</f>
        <v>4.7756</v>
      </c>
      <c r="EC34" s="236">
        <f t="shared" si="40"/>
        <v>-0.1470162716</v>
      </c>
      <c r="ED34" s="232">
        <f>IF($A34="","",IFERROR(SUMPRODUCT((Raw_Data_Daily!$B$2:$B$9999="Control")*(Raw_Data_Daily!$A$2:$A$9999=$A34)*(Raw_Data_Daily!$C$2:$C$9999=$C$3)*Raw_Data_Daily!$D$2:$D$9999*(Raw_Data_Daily!$AQ$2:$AQ$9999-Raw_Data_Daily!$AT$2:$AT$9999))/SUMIFS(Raw_Data_Daily!$D:$D, Raw_Data_Daily!$B:$B, "Control", Raw_Data_Daily!$A:$A, $A34, Raw_Data_Daily!$C:$C, $C$3),""))</f>
        <v>0.3297</v>
      </c>
      <c r="EE34" s="232">
        <f>IF($A34="","",IFERROR(SUMPRODUCT((Raw_Data_Daily!$B$2:$B$9999="Variant")*(Raw_Data_Daily!$A$2:$A$9999=$A34)*(Raw_Data_Daily!$C$2:$C$9999=$C$3)*Raw_Data_Daily!$D$2:$D$9999*(Raw_Data_Daily!$AQ$2:$AQ$9999-Raw_Data_Daily!$AT$2:$AT$9999))/SUMIFS(Raw_Data_Daily!$D:$D, Raw_Data_Daily!$B:$B, "Variant", Raw_Data_Daily!$A:$A, $A34, Raw_Data_Daily!$C:$C, $C$3),""))</f>
        <v>-0.3681</v>
      </c>
      <c r="EF34" s="236">
        <f t="shared" si="41"/>
        <v>-2.116469518</v>
      </c>
      <c r="EG34" s="232">
        <f>IF($A34="","",IFERROR(SUMPRODUCT((Raw_Data_Daily!$B$2:$B$9999="Control")*(Raw_Data_Daily!$A$2:$A$9999=$A34)*(Raw_Data_Daily!$C$2:$C$9999=$C$3)*Raw_Data_Daily!$D$2:$D$9999*Raw_Data_Daily!$AU$2:$AU$9999)/SUMIFS(Raw_Data_Daily!$D:$D, Raw_Data_Daily!$B:$B, "Control", Raw_Data_Daily!$A:$A, $A34, Raw_Data_Daily!$C:$C, $C$3),""))</f>
        <v>0.2334</v>
      </c>
      <c r="EH34" s="232">
        <f>IF($A34="","",IFERROR(SUMPRODUCT((Raw_Data_Daily!$B$2:$B$9999="Variant")*(Raw_Data_Daily!$A$2:$A$9999=$A34)*(Raw_Data_Daily!$C$2:$C$9999=$C$3)*Raw_Data_Daily!$D$2:$D$9999*Raw_Data_Daily!$AU$2:$AU$9999)/SUMIFS(Raw_Data_Daily!$D:$D, Raw_Data_Daily!$B:$B, "Variant", Raw_Data_Daily!$A:$A, $A34, Raw_Data_Daily!$C:$C, $C$3),""))</f>
        <v>0.2146</v>
      </c>
      <c r="EI34" s="236">
        <f t="shared" si="42"/>
        <v>-0.08054841474</v>
      </c>
    </row>
    <row r="35" ht="15.75" customHeight="1">
      <c r="A35" s="91">
        <v>46258.0</v>
      </c>
      <c r="B35" s="92">
        <f>IF($A35="","",SUMIFS(Raw_Data_Daily!$D:$D, Raw_Data_Daily!$B:$B, "Control", Raw_Data_Daily!$A:$A, $A35, Raw_Data_Daily!$C:$C, $C$3))</f>
        <v>5969</v>
      </c>
      <c r="C35" s="92">
        <f>IF($A35="","",SUMIFS(Raw_Data_Daily!$D:$D, Raw_Data_Daily!$B:$B, "Variant", Raw_Data_Daily!$A:$A, $A35, Raw_Data_Daily!$C:$C, $C$3))</f>
        <v>6082</v>
      </c>
      <c r="D35" s="93">
        <f t="shared" si="1"/>
        <v>0.01893114425</v>
      </c>
      <c r="E35" s="94">
        <f>IF($A35="","",IFERROR(SUMPRODUCT((Raw_Data_Daily!$B$2:$B$9999="Control")*(Raw_Data_Daily!$A$2:$A$9999=$A35)*(Raw_Data_Daily!$C$2:$C$9999=$C$3)*Raw_Data_Daily!$D$2:$D$9999*Raw_Data_Daily!$E$2:$E$9999)/SUMIFS(Raw_Data_Daily!$D:$D, Raw_Data_Daily!$B:$B, "Control", Raw_Data_Daily!$A:$A, $A35, Raw_Data_Daily!$C:$C, $C$3),""))</f>
        <v>22.91</v>
      </c>
      <c r="F35" s="94">
        <f>IF($A35="","",IFERROR(SUMPRODUCT((Raw_Data_Daily!$B$2:$B$9999="Variant")*(Raw_Data_Daily!$A$2:$A$9999=$A35)*(Raw_Data_Daily!$C$2:$C$9999=$C$3)*Raw_Data_Daily!$D$2:$D$9999*Raw_Data_Daily!$E$2:$E$9999)/SUMIFS(Raw_Data_Daily!$D:$D, Raw_Data_Daily!$B:$B, "Variant", Raw_Data_Daily!$A:$A, $A35, Raw_Data_Daily!$C:$C, $C$3),""))</f>
        <v>23.68</v>
      </c>
      <c r="G35" s="93">
        <f t="shared" si="2"/>
        <v>0.03360977739</v>
      </c>
      <c r="H35" s="95">
        <f>IF($A35="","",SUMIFS(Raw_Data_Daily!$F:$F, Raw_Data_Daily!$B:$B, "Control", Raw_Data_Daily!$A:$A, $A35, Raw_Data_Daily!$C:$C, $C$3))</f>
        <v>419.77</v>
      </c>
      <c r="I35" s="95">
        <f>IF($A35="","",SUMIFS(Raw_Data_Daily!$F:$F, Raw_Data_Daily!$B:$B, "Variant", Raw_Data_Daily!$A:$A, $A35, Raw_Data_Daily!$C:$C, $C$3))</f>
        <v>395.02</v>
      </c>
      <c r="J35" s="96">
        <f t="shared" si="3"/>
        <v>-0.05896085952</v>
      </c>
      <c r="K35" s="97">
        <f>IF($A35="","",IFERROR(SUMIFS(Raw_Data_Daily!$F:$F, Raw_Data_Daily!$B:$B, "Control", Raw_Data_Daily!$A:$A, $A35, Raw_Data_Daily!$C:$C, $C$3)/SUMIFS(Raw_Data_Daily!$D:$D, Raw_Data_Daily!$B:$B, "Control", Raw_Data_Daily!$A:$A, $A35, Raw_Data_Daily!$C:$C, $C$3),""))</f>
        <v>0.07032501256</v>
      </c>
      <c r="L35" s="97">
        <f>IF($A35="","",IFERROR(SUMIFS(Raw_Data_Daily!$F:$F, Raw_Data_Daily!$B:$B, "Variant", Raw_Data_Daily!$A:$A, $A35, Raw_Data_Daily!$C:$C, $C$3)/SUMIFS(Raw_Data_Daily!$D:$D, Raw_Data_Daily!$B:$B, "Variant", Raw_Data_Daily!$A:$A, $A35, Raw_Data_Daily!$C:$C, $C$3),""))</f>
        <v>0.06494902992</v>
      </c>
      <c r="M35" s="96">
        <f t="shared" si="4"/>
        <v>-0.07644481593</v>
      </c>
      <c r="N35" s="94">
        <f>IF($A35="","",IFERROR(SUMPRODUCT((Raw_Data_Daily!$B$2:$B$9999="Control")*(Raw_Data_Daily!$A$2:$A$9999=$A35)*(Raw_Data_Daily!$C$2:$C$9999=$C$3)*Raw_Data_Daily!$D$2:$D$9999*Raw_Data_Daily!$H$2:$H$9999/100)/SUMIFS(Raw_Data_Daily!$D:$D, Raw_Data_Daily!$B:$B, "Control", Raw_Data_Daily!$A:$A, $A35, Raw_Data_Daily!$C:$C, $C$3)*100,""))</f>
        <v>2.06</v>
      </c>
      <c r="O35" s="94">
        <f>IF($A35="","",IFERROR(SUMPRODUCT((Raw_Data_Daily!$B$2:$B$9999="Variant")*(Raw_Data_Daily!$A$2:$A$9999=$A35)*(Raw_Data_Daily!$C$2:$C$9999=$C$3)*Raw_Data_Daily!$D$2:$D$9999*Raw_Data_Daily!$H$2:$H$9999/100)/SUMIFS(Raw_Data_Daily!$D:$D, Raw_Data_Daily!$B:$B, "Variant", Raw_Data_Daily!$A:$A, $A35, Raw_Data_Daily!$C:$C, $C$3)*100,""))</f>
        <v>2.27</v>
      </c>
      <c r="P35" s="96">
        <f t="shared" si="5"/>
        <v>0.1019417476</v>
      </c>
      <c r="Q35" s="97">
        <f>IF($A35="","",IFERROR(SUMIFS(Raw_Data_Daily!$F:$F, Raw_Data_Daily!$B:$B, "Control", Raw_Data_Daily!$A:$A, $A35, Raw_Data_Daily!$C:$C, $C$3)/SUMPRODUCT((Raw_Data_Daily!$B$2:$B$9999="Control")*(Raw_Data_Daily!$A$2:$A$9999=$A35)*(Raw_Data_Daily!$C$2:$C$9999=$C$3)*Raw_Data_Daily!$D$2:$D$9999*Raw_Data_Daily!$H$2:$H$9999/100),""))</f>
        <v>3.413835561</v>
      </c>
      <c r="R35" s="97">
        <f>IF($A35="","",IFERROR(SUMIFS(Raw_Data_Daily!$F:$F, Raw_Data_Daily!$B:$B, "Variant", Raw_Data_Daily!$A:$A, $A35, Raw_Data_Daily!$C:$C, $C$3)/SUMPRODUCT((Raw_Data_Daily!$B$2:$B$9999="Variant")*(Raw_Data_Daily!$A$2:$A$9999=$A35)*(Raw_Data_Daily!$C$2:$C$9999=$C$3)*Raw_Data_Daily!$D$2:$D$9999*Raw_Data_Daily!$H$2:$H$9999/100),""))</f>
        <v>2.861190746</v>
      </c>
      <c r="S35" s="96">
        <f t="shared" si="6"/>
        <v>-0.1618838418</v>
      </c>
      <c r="T35" s="121">
        <f>IF($A35="","",IFERROR(SUMPRODUCT((Raw_Data_Daily!$B$2:$B$9999="Control")*(Raw_Data_Daily!$A$2:$A$9999=$A35)*(Raw_Data_Daily!$C$2:$C$9999=$C$3)*Raw_Data_Daily!$D$2:$D$9999*Raw_Data_Daily!$J$2:$J$9999)/SUMIFS(Raw_Data_Daily!$D:$D, Raw_Data_Daily!$B:$B, "Control", Raw_Data_Daily!$A:$A, $A35, Raw_Data_Daily!$C:$C, $C$3),""))</f>
        <v>45.33</v>
      </c>
      <c r="U35" s="121">
        <f>IF($A35="","",IFERROR(SUMPRODUCT((Raw_Data_Daily!$B$2:$B$9999="Variant")*(Raw_Data_Daily!$A$2:$A$9999=$A35)*(Raw_Data_Daily!$C$2:$C$9999=$C$3)*Raw_Data_Daily!$D$2:$D$9999*Raw_Data_Daily!$J$2:$J$9999)/SUMIFS(Raw_Data_Daily!$D:$D, Raw_Data_Daily!$B:$B, "Variant", Raw_Data_Daily!$A:$A, $A35, Raw_Data_Daily!$C:$C, $C$3),""))</f>
        <v>47.2</v>
      </c>
      <c r="V35" s="96">
        <f t="shared" si="7"/>
        <v>0.04125303331</v>
      </c>
      <c r="W35" s="121">
        <f>IF($A35="","",IFERROR(SUMPRODUCT((Raw_Data_Daily!$B$2:$B$9999="Control")*(Raw_Data_Daily!$A$2:$A$9999=$A35)*(Raw_Data_Daily!$C$2:$C$9999=$C$3)*Raw_Data_Daily!$D$2:$D$9999*Raw_Data_Daily!$K$2:$K$9999)/SUMIFS(Raw_Data_Daily!$D:$D, Raw_Data_Daily!$B:$B, "Control", Raw_Data_Daily!$A:$A, $A35, Raw_Data_Daily!$C:$C, $C$3),""))</f>
        <v>24.2</v>
      </c>
      <c r="X35" s="121">
        <f>IF($A35="","",IFERROR(SUMPRODUCT((Raw_Data_Daily!$B$2:$B$9999="Variant")*(Raw_Data_Daily!$A$2:$A$9999=$A35)*(Raw_Data_Daily!$C$2:$C$9999=$C$3)*Raw_Data_Daily!$D$2:$D$9999*Raw_Data_Daily!$K$2:$K$9999)/SUMIFS(Raw_Data_Daily!$D:$D, Raw_Data_Daily!$B:$B, "Variant", Raw_Data_Daily!$A:$A, $A35, Raw_Data_Daily!$C:$C, $C$3),""))</f>
        <v>25.34</v>
      </c>
      <c r="Y35" s="96">
        <f t="shared" si="8"/>
        <v>0.04710743802</v>
      </c>
      <c r="Z35" s="121">
        <f>IF($A35="","",IFERROR(SUMPRODUCT((Raw_Data_Daily!$B$2:$B$9999="Control")*(Raw_Data_Daily!$A$2:$A$9999=$A35)*(Raw_Data_Daily!$C$2:$C$9999=$C$3)*Raw_Data_Daily!$D$2:$D$9999*Raw_Data_Daily!$L$2:$L$9999)/SUMIFS(Raw_Data_Daily!$D:$D, Raw_Data_Daily!$B:$B, "Control", Raw_Data_Daily!$A:$A, $A35, Raw_Data_Daily!$C:$C, $C$3),""))</f>
        <v>13.94</v>
      </c>
      <c r="AA35" s="121">
        <f>IF($A35="","",IFERROR(SUMPRODUCT((Raw_Data_Daily!$B$2:$B$9999="Variant")*(Raw_Data_Daily!$A$2:$A$9999=$A35)*(Raw_Data_Daily!$C$2:$C$9999=$C$3)*Raw_Data_Daily!$D$2:$D$9999*Raw_Data_Daily!$L$2:$L$9999)/SUMIFS(Raw_Data_Daily!$D:$D, Raw_Data_Daily!$B:$B, "Variant", Raw_Data_Daily!$A:$A, $A35, Raw_Data_Daily!$C:$C, $C$3),""))</f>
        <v>14.46</v>
      </c>
      <c r="AB35" s="96">
        <f t="shared" si="9"/>
        <v>0.03730272597</v>
      </c>
      <c r="AC35" s="139">
        <f>IF($A35="","",IFERROR(SUMPRODUCT((Raw_Data_Daily!$B$2:$B$9999="Control")*(Raw_Data_Daily!$A$2:$A$9999=$A35)*(Raw_Data_Daily!$C$2:$C$9999=$C$3)*Raw_Data_Daily!$D$2:$D$9999*Raw_Data_Daily!$M$2:$M$9999)/SUMIFS(Raw_Data_Daily!$D:$D, Raw_Data_Daily!$B:$B, "Control", Raw_Data_Daily!$A:$A, $A35, Raw_Data_Daily!$C:$C, $C$3),""))</f>
        <v>0.5761</v>
      </c>
      <c r="AD35" s="139">
        <f>IF($A35="","",IFERROR(SUMPRODUCT((Raw_Data_Daily!$B$2:$B$9999="Variant")*(Raw_Data_Daily!$A$2:$A$9999=$A35)*(Raw_Data_Daily!$C$2:$C$9999=$C$3)*Raw_Data_Daily!$D$2:$D$9999*Raw_Data_Daily!$M$2:$M$9999)/SUMIFS(Raw_Data_Daily!$D:$D, Raw_Data_Daily!$B:$B, "Variant", Raw_Data_Daily!$A:$A, $A35, Raw_Data_Daily!$C:$C, $C$3),""))</f>
        <v>0.5707</v>
      </c>
      <c r="AE35" s="142">
        <f t="shared" si="10"/>
        <v>-0.009373372678</v>
      </c>
      <c r="AF35" s="139">
        <f>IF($A35="","",IFERROR(SUMPRODUCT((Raw_Data_Daily!$B$2:$B$9999="Control")*(Raw_Data_Daily!$A$2:$A$9999=$A35)*(Raw_Data_Daily!$C$2:$C$9999=$C$3)*Raw_Data_Daily!$D$2:$D$9999*Raw_Data_Daily!$N$2:$N$9999)/SUMIFS(Raw_Data_Daily!$D:$D, Raw_Data_Daily!$B:$B, "Control", Raw_Data_Daily!$A:$A, $A35, Raw_Data_Daily!$C:$C, $C$3),""))</f>
        <v>0.5566</v>
      </c>
      <c r="AG35" s="139">
        <f>IF($A35="","",IFERROR(SUMPRODUCT((Raw_Data_Daily!$B$2:$B$9999="Variant")*(Raw_Data_Daily!$A$2:$A$9999=$A35)*(Raw_Data_Daily!$C$2:$C$9999=$C$3)*Raw_Data_Daily!$D$2:$D$9999*Raw_Data_Daily!$N$2:$N$9999)/SUMIFS(Raw_Data_Daily!$D:$D, Raw_Data_Daily!$B:$B, "Variant", Raw_Data_Daily!$A:$A, $A35, Raw_Data_Daily!$C:$C, $C$3),""))</f>
        <v>0.5551</v>
      </c>
      <c r="AH35" s="142">
        <f t="shared" si="11"/>
        <v>-0.002694933525</v>
      </c>
      <c r="AI35" s="139">
        <f>IF($A35="","",IFERROR(SUMPRODUCT((Raw_Data_Daily!$B$2:$B$9999="Control")*(Raw_Data_Daily!$A$2:$A$9999=$A35)*(Raw_Data_Daily!$C$2:$C$9999=$C$3)*Raw_Data_Daily!$D$2:$D$9999*Raw_Data_Daily!$O$2:$O$9999)/SUMIFS(Raw_Data_Daily!$D:$D, Raw_Data_Daily!$B:$B, "Control", Raw_Data_Daily!$A:$A, $A35, Raw_Data_Daily!$C:$C, $C$3),""))</f>
        <v>0.3434</v>
      </c>
      <c r="AJ35" s="139">
        <f>IF($A35="","",IFERROR(SUMPRODUCT((Raw_Data_Daily!$B$2:$B$9999="Variant")*(Raw_Data_Daily!$A$2:$A$9999=$A35)*(Raw_Data_Daily!$C$2:$C$9999=$C$3)*Raw_Data_Daily!$D$2:$D$9999*Raw_Data_Daily!$O$2:$O$9999)/SUMIFS(Raw_Data_Daily!$D:$D, Raw_Data_Daily!$B:$B, "Variant", Raw_Data_Daily!$A:$A, $A35, Raw_Data_Daily!$C:$C, $C$3),""))</f>
        <v>0.3314</v>
      </c>
      <c r="AK35" s="96">
        <f t="shared" si="12"/>
        <v>-0.03494467094</v>
      </c>
      <c r="AL35" s="121">
        <f>IF($A35="","",IFERROR(SUMPRODUCT((Raw_Data_Daily!$B$2:$B$9999="Control")*(Raw_Data_Daily!$A$2:$A$9999=$A35)*(Raw_Data_Daily!$C$2:$C$9999=$C$3)*Raw_Data_Daily!$D$2:$D$9999*Raw_Data_Daily!$P$2:$P$9999)/SUMIFS(Raw_Data_Daily!$D:$D, Raw_Data_Daily!$B:$B, "Control", Raw_Data_Daily!$A:$A, $A35, Raw_Data_Daily!$C:$C, $C$3),""))</f>
        <v>1.7357</v>
      </c>
      <c r="AM35" s="121">
        <f>IF($A35="","",IFERROR(SUMPRODUCT((Raw_Data_Daily!$B$2:$B$9999="Variant")*(Raw_Data_Daily!$A$2:$A$9999=$A35)*(Raw_Data_Daily!$C$2:$C$9999=$C$3)*Raw_Data_Daily!$D$2:$D$9999*Raw_Data_Daily!$P$2:$P$9999)/SUMIFS(Raw_Data_Daily!$D:$D, Raw_Data_Daily!$B:$B, "Variant", Raw_Data_Daily!$A:$A, $A35, Raw_Data_Daily!$C:$C, $C$3),""))</f>
        <v>1.7521</v>
      </c>
      <c r="AN35" s="96">
        <f t="shared" si="13"/>
        <v>0.009448637437</v>
      </c>
      <c r="AO35" s="121">
        <f>IF($A35="","",IFERROR(SUMPRODUCT((Raw_Data_Daily!$B$2:$B$9999="Control")*(Raw_Data_Daily!$A$2:$A$9999=$A35)*(Raw_Data_Daily!$C$2:$C$9999=$C$3)*Raw_Data_Daily!$D$2:$D$9999*Raw_Data_Daily!$Q$2:$Q$9999)/SUMIFS(Raw_Data_Daily!$D:$D, Raw_Data_Daily!$B:$B, "Control", Raw_Data_Daily!$A:$A, $A35, Raw_Data_Daily!$C:$C, $C$3),""))</f>
        <v>114.24</v>
      </c>
      <c r="AP35" s="121">
        <f>IF($A35="","",IFERROR(SUMPRODUCT((Raw_Data_Daily!$B$2:$B$9999="Variant")*(Raw_Data_Daily!$A$2:$A$9999=$A35)*(Raw_Data_Daily!$C$2:$C$9999=$C$3)*Raw_Data_Daily!$D$2:$D$9999*Raw_Data_Daily!$Q$2:$Q$9999)/SUMIFS(Raw_Data_Daily!$D:$D, Raw_Data_Daily!$B:$B, "Variant", Raw_Data_Daily!$A:$A, $A35, Raw_Data_Daily!$C:$C, $C$3),""))</f>
        <v>121.61</v>
      </c>
      <c r="AQ35" s="93">
        <f t="shared" si="14"/>
        <v>0.06451330532</v>
      </c>
      <c r="AR35" s="121">
        <f>IF($A35="","",IFERROR(SUMPRODUCT((Raw_Data_Daily!$B$2:$B$9999="Control")*(Raw_Data_Daily!$A$2:$A$9999=$A35)*(Raw_Data_Daily!$C$2:$C$9999=$C$3)*Raw_Data_Daily!$D$2:$D$9999*Raw_Data_Daily!$R$2:$R$9999)/SUMIFS(Raw_Data_Daily!$D:$D, Raw_Data_Daily!$B:$B, "Control", Raw_Data_Daily!$A:$A, $A35, Raw_Data_Daily!$C:$C, $C$3),""))</f>
        <v>102.19</v>
      </c>
      <c r="AS35" s="121">
        <f>IF($A35="","",IFERROR(SUMPRODUCT((Raw_Data_Daily!$B$2:$B$9999="Variant")*(Raw_Data_Daily!$A$2:$A$9999=$A35)*(Raw_Data_Daily!$C$2:$C$9999=$C$3)*Raw_Data_Daily!$D$2:$D$9999*Raw_Data_Daily!$R$2:$R$9999)/SUMIFS(Raw_Data_Daily!$D:$D, Raw_Data_Daily!$B:$B, "Variant", Raw_Data_Daily!$A:$A, $A35, Raw_Data_Daily!$C:$C, $C$3),""))</f>
        <v>110.9</v>
      </c>
      <c r="AT35" s="93">
        <f t="shared" si="15"/>
        <v>0.08523338879</v>
      </c>
      <c r="AU35" s="121">
        <f>IF($A35="","",IFERROR(SUMPRODUCT((Raw_Data_Daily!$B$2:$B$9999="Control")*(Raw_Data_Daily!$A$2:$A$9999=$A35)*(Raw_Data_Daily!$C$2:$C$9999=$C$3)*Raw_Data_Daily!$D$2:$D$9999*Raw_Data_Daily!$S$2:$S$9999)/SUMIFS(Raw_Data_Daily!$D:$D, Raw_Data_Daily!$B:$B, "Control", Raw_Data_Daily!$A:$A, $A35, Raw_Data_Daily!$C:$C, $C$3),""))</f>
        <v>12.05</v>
      </c>
      <c r="AV35" s="121">
        <f>IF($A35="","",IFERROR(SUMPRODUCT((Raw_Data_Daily!$B$2:$B$9999="Variant")*(Raw_Data_Daily!$A$2:$A$9999=$A35)*(Raw_Data_Daily!$C$2:$C$9999=$C$3)*Raw_Data_Daily!$D$2:$D$9999*Raw_Data_Daily!$S$2:$S$9999)/SUMIFS(Raw_Data_Daily!$D:$D, Raw_Data_Daily!$B:$B, "Variant", Raw_Data_Daily!$A:$A, $A35, Raw_Data_Daily!$C:$C, $C$3),""))</f>
        <v>10.72</v>
      </c>
      <c r="AW35" s="93">
        <f t="shared" si="16"/>
        <v>-0.110373444</v>
      </c>
      <c r="AX35" s="121">
        <f>IF($A35="","",IFERROR(SUMPRODUCT((Raw_Data_Daily!$B$2:$B$9999="Control")*(Raw_Data_Daily!$A$2:$A$9999=$A35)*(Raw_Data_Daily!$C$2:$C$9999=$C$3)*Raw_Data_Daily!$D$2:$D$9999*Raw_Data_Daily!$T$2:$T$9999)/SUMIFS(Raw_Data_Daily!$D:$D, Raw_Data_Daily!$B:$B, "Control", Raw_Data_Daily!$A:$A, $A35, Raw_Data_Daily!$C:$C, $C$3),""))</f>
        <v>5.44</v>
      </c>
      <c r="AY35" s="121">
        <f>IF($A35="","",IFERROR(SUMPRODUCT((Raw_Data_Daily!$B$2:$B$9999="Variant")*(Raw_Data_Daily!$A$2:$A$9999=$A35)*(Raw_Data_Daily!$C$2:$C$9999=$C$3)*Raw_Data_Daily!$D$2:$D$9999*Raw_Data_Daily!$T$2:$T$9999)/SUMIFS(Raw_Data_Daily!$D:$D, Raw_Data_Daily!$B:$B, "Variant", Raw_Data_Daily!$A:$A, $A35, Raw_Data_Daily!$C:$C, $C$3),""))</f>
        <v>5.75</v>
      </c>
      <c r="AZ35" s="96">
        <f t="shared" si="17"/>
        <v>0.05698529412</v>
      </c>
      <c r="BA35" s="121">
        <f>IF($A35="","",IFERROR(SUMPRODUCT((Raw_Data_Daily!$B$2:$B$9999="Control")*(Raw_Data_Daily!$A$2:$A$9999=$A35)*(Raw_Data_Daily!$C$2:$C$9999=$C$3)*Raw_Data_Daily!$D$2:$D$9999*Raw_Data_Daily!$U$2:$U$9999)/SUMIFS(Raw_Data_Daily!$D:$D, Raw_Data_Daily!$B:$B, "Control", Raw_Data_Daily!$A:$A, $A35, Raw_Data_Daily!$C:$C, $C$3),""))</f>
        <v>108.81</v>
      </c>
      <c r="BB35" s="121">
        <f>IF($A35="","",IFERROR(SUMPRODUCT((Raw_Data_Daily!$B$2:$B$9999="Variant")*(Raw_Data_Daily!$A$2:$A$9999=$A35)*(Raw_Data_Daily!$C$2:$C$9999=$C$3)*Raw_Data_Daily!$D$2:$D$9999*Raw_Data_Daily!$U$2:$U$9999)/SUMIFS(Raw_Data_Daily!$D:$D, Raw_Data_Daily!$B:$B, "Variant", Raw_Data_Daily!$A:$A, $A35, Raw_Data_Daily!$C:$C, $C$3),""))</f>
        <v>115.87</v>
      </c>
      <c r="BC35" s="93">
        <f t="shared" si="18"/>
        <v>0.0648837423</v>
      </c>
      <c r="BD35" s="121">
        <f>IF($A35="","",IFERROR(SUMPRODUCT((Raw_Data_Daily!$B$2:$B$9999="Control")*(Raw_Data_Daily!$A$2:$A$9999=$A35)*(Raw_Data_Daily!$C$2:$C$9999=$C$3)*Raw_Data_Daily!$D$2:$D$9999*Raw_Data_Daily!$V$2:$V$9999)/SUMIFS(Raw_Data_Daily!$D:$D, Raw_Data_Daily!$B:$B, "Control", Raw_Data_Daily!$A:$A, $A35, Raw_Data_Daily!$C:$C, $C$3),""))</f>
        <v>112.72</v>
      </c>
      <c r="BE35" s="121">
        <f>IF($A35="","",IFERROR(SUMPRODUCT((Raw_Data_Daily!$B$2:$B$9999="Variant")*(Raw_Data_Daily!$A$2:$A$9999=$A35)*(Raw_Data_Daily!$C$2:$C$9999=$C$3)*Raw_Data_Daily!$D$2:$D$9999*Raw_Data_Daily!$V$2:$V$9999)/SUMIFS(Raw_Data_Daily!$D:$D, Raw_Data_Daily!$B:$B, "Variant", Raw_Data_Daily!$A:$A, $A35, Raw_Data_Daily!$C:$C, $C$3),""))</f>
        <v>106.44</v>
      </c>
      <c r="BF35" s="93">
        <f t="shared" si="19"/>
        <v>-0.05571327182</v>
      </c>
      <c r="BG35" s="121">
        <f>IF($A35="","",IFERROR(SUMPRODUCT((Raw_Data_Daily!$B$2:$B$9999="Control")*(Raw_Data_Daily!$A$2:$A$9999=$A35)*(Raw_Data_Daily!$C$2:$C$9999=$C$3)*Raw_Data_Daily!$D$2:$D$9999*(Raw_Data_Daily!$Q$2:$Q$9999-Raw_Data_Daily!$V$2:$V$9999))/SUMIFS(Raw_Data_Daily!$D:$D, Raw_Data_Daily!$B:$B, "Control", Raw_Data_Daily!$A:$A, $A35, Raw_Data_Daily!$C:$C, $C$3),""))</f>
        <v>1.52</v>
      </c>
      <c r="BH35" s="121">
        <f>IF($A35="","",IFERROR(SUMPRODUCT((Raw_Data_Daily!$B$2:$B$9999="Variant")*(Raw_Data_Daily!$A$2:$A$9999=$A35)*(Raw_Data_Daily!$C$2:$C$9999=$C$3)*Raw_Data_Daily!$D$2:$D$9999*(Raw_Data_Daily!$Q$2:$Q$9999-Raw_Data_Daily!$V$2:$V$9999))/SUMIFS(Raw_Data_Daily!$D:$D, Raw_Data_Daily!$B:$B, "Variant", Raw_Data_Daily!$A:$A, $A35, Raw_Data_Daily!$C:$C, $C$3),""))</f>
        <v>15.17</v>
      </c>
      <c r="BI35" s="93">
        <f t="shared" si="20"/>
        <v>8.980263158</v>
      </c>
      <c r="BJ35" s="121">
        <f>IF($A35="","",IFERROR(SUMPRODUCT((Raw_Data_Daily!$B$2:$B$9999="Control")*(Raw_Data_Daily!$A$2:$A$9999=$A35)*(Raw_Data_Daily!$C$2:$C$9999=$C$3)*Raw_Data_Daily!$D$2:$D$9999*Raw_Data_Daily!$W$2:$W$9999)/SUMIFS(Raw_Data_Daily!$D:$D, Raw_Data_Daily!$B:$B, "Control", Raw_Data_Daily!$A:$A, $A35, Raw_Data_Daily!$C:$C, $C$3),""))</f>
        <v>4.6582</v>
      </c>
      <c r="BK35" s="121">
        <f>IF($A35="","",IFERROR(SUMPRODUCT((Raw_Data_Daily!$B$2:$B$9999="Variant")*(Raw_Data_Daily!$A$2:$A$9999=$A35)*(Raw_Data_Daily!$C$2:$C$9999=$C$3)*Raw_Data_Daily!$D$2:$D$9999*Raw_Data_Daily!$W$2:$W$9999)/SUMIFS(Raw_Data_Daily!$D:$D, Raw_Data_Daily!$B:$B, "Variant", Raw_Data_Daily!$A:$A, $A35, Raw_Data_Daily!$C:$C, $C$3),""))</f>
        <v>4.2004</v>
      </c>
      <c r="BL35" s="93">
        <f t="shared" si="21"/>
        <v>-0.09827830492</v>
      </c>
      <c r="BM35" s="139">
        <f>IF($A35="","",IFERROR(SUMPRODUCT((Raw_Data_Daily!$B$2:$B$9999="Control")*(Raw_Data_Daily!$A$2:$A$9999=$A35)*(Raw_Data_Daily!$C$2:$C$9999=$C$3)*Raw_Data_Daily!$D$2:$D$9999*Raw_Data_Daily!$X$2:$X$9999)/SUMIFS(Raw_Data_Daily!$D:$D, Raw_Data_Daily!$B:$B, "Control", Raw_Data_Daily!$A:$A, $A35, Raw_Data_Daily!$C:$C, $C$3),""))</f>
        <v>4.76</v>
      </c>
      <c r="BN35" s="139">
        <f>IF($A35="","",IFERROR(SUMPRODUCT((Raw_Data_Daily!$B$2:$B$9999="Variant")*(Raw_Data_Daily!$A$2:$A$9999=$A35)*(Raw_Data_Daily!$C$2:$C$9999=$C$3)*Raw_Data_Daily!$D$2:$D$9999*Raw_Data_Daily!$X$2:$X$9999)/SUMIFS(Raw_Data_Daily!$D:$D, Raw_Data_Daily!$B:$B, "Variant", Raw_Data_Daily!$A:$A, $A35, Raw_Data_Daily!$C:$C, $C$3),""))</f>
        <v>4.73</v>
      </c>
      <c r="BO35" s="96">
        <f t="shared" si="22"/>
        <v>-0.006302521008</v>
      </c>
      <c r="BP35" s="92">
        <f>IF($A35="","",IFERROR(SUMPRODUCT((Raw_Data_Daily!$B$2:$B$9999="Control")*(Raw_Data_Daily!$A$2:$A$9999=$A35)*(Raw_Data_Daily!$C$2:$C$9999=$C$3)*Raw_Data_Daily!$D$2:$D$9999*Raw_Data_Daily!$Y$2:$Y$9999)/SUMIFS(Raw_Data_Daily!$D:$D, Raw_Data_Daily!$B:$B, "Control", Raw_Data_Daily!$A:$A, $A35, Raw_Data_Daily!$C:$C, $C$3),""))</f>
        <v>230</v>
      </c>
      <c r="BQ35" s="92">
        <f>IF($A35="","",IFERROR(SUMPRODUCT((Raw_Data_Daily!$B$2:$B$9999="Variant")*(Raw_Data_Daily!$A$2:$A$9999=$A35)*(Raw_Data_Daily!$C$2:$C$9999=$C$3)*Raw_Data_Daily!$D$2:$D$9999*Raw_Data_Daily!$Y$2:$Y$9999)/SUMIFS(Raw_Data_Daily!$D:$D, Raw_Data_Daily!$B:$B, "Variant", Raw_Data_Daily!$A:$A, $A35, Raw_Data_Daily!$C:$C, $C$3),""))</f>
        <v>219</v>
      </c>
      <c r="BR35" s="93">
        <f t="shared" si="23"/>
        <v>-0.04782608696</v>
      </c>
      <c r="BS35" s="92">
        <f>IF($A35="","",IFERROR(SUMPRODUCT((Raw_Data_Daily!$B$2:$B$9999="Control")*(Raw_Data_Daily!$A$2:$A$9999=$A35)*(Raw_Data_Daily!$C$2:$C$9999=$C$3)*Raw_Data_Daily!$D$2:$D$9999*Raw_Data_Daily!$Z$2:$Z$9999)/SUMIFS(Raw_Data_Daily!$D:$D, Raw_Data_Daily!$B:$B, "Control", Raw_Data_Daily!$A:$A, $A35, Raw_Data_Daily!$C:$C, $C$3),""))</f>
        <v>451</v>
      </c>
      <c r="BT35" s="92">
        <f>IF($A35="","",IFERROR(SUMPRODUCT((Raw_Data_Daily!$B$2:$B$9999="Variant")*(Raw_Data_Daily!$A$2:$A$9999=$A35)*(Raw_Data_Daily!$C$2:$C$9999=$C$3)*Raw_Data_Daily!$D$2:$D$9999*Raw_Data_Daily!$Z$2:$Z$9999)/SUMIFS(Raw_Data_Daily!$D:$D, Raw_Data_Daily!$B:$B, "Variant", Raw_Data_Daily!$A:$A, $A35, Raw_Data_Daily!$C:$C, $C$3),""))</f>
        <v>393</v>
      </c>
      <c r="BU35" s="93">
        <f t="shared" si="24"/>
        <v>-0.1286031042</v>
      </c>
      <c r="BV35" s="92">
        <f>IF($A35="","",IFERROR(SUMPRODUCT((Raw_Data_Daily!$B$2:$B$9999="Control")*(Raw_Data_Daily!$A$2:$A$9999=$A35)*(Raw_Data_Daily!$C$2:$C$9999=$C$3)*Raw_Data_Daily!$D$2:$D$9999*Raw_Data_Daily!$AA$2:$AA$9999)/SUMIFS(Raw_Data_Daily!$D:$D, Raw_Data_Daily!$B:$B, "Control", Raw_Data_Daily!$A:$A, $A35, Raw_Data_Daily!$C:$C, $C$3),""))</f>
        <v>1442</v>
      </c>
      <c r="BW35" s="92">
        <f>IF($A35="","",IFERROR(SUMPRODUCT((Raw_Data_Daily!$B$2:$B$9999="Variant")*(Raw_Data_Daily!$A$2:$A$9999=$A35)*(Raw_Data_Daily!$C$2:$C$9999=$C$3)*Raw_Data_Daily!$D$2:$D$9999*Raw_Data_Daily!$AA$2:$AA$9999)/SUMIFS(Raw_Data_Daily!$D:$D, Raw_Data_Daily!$B:$B, "Variant", Raw_Data_Daily!$A:$A, $A35, Raw_Data_Daily!$C:$C, $C$3),""))</f>
        <v>1204</v>
      </c>
      <c r="BX35" s="93">
        <f t="shared" si="25"/>
        <v>-0.1650485437</v>
      </c>
      <c r="BY35" s="121">
        <f>IF($A35="","",IFERROR(SUMPRODUCT((Raw_Data_Daily!$B$2:$B$9999="Control")*(Raw_Data_Daily!$A$2:$A$9999=$A35)*(Raw_Data_Daily!$C$2:$C$9999=$C$3)*Raw_Data_Daily!$D$2:$D$9999*Raw_Data_Daily!$AB$2:$AB$9999)/SUMIFS(Raw_Data_Daily!$D:$D, Raw_Data_Daily!$B:$B, "Control", Raw_Data_Daily!$A:$A, $A35, Raw_Data_Daily!$C:$C, $C$3),""))</f>
        <v>51.6845</v>
      </c>
      <c r="BZ35" s="121">
        <f>IF($A35="","",IFERROR(SUMPRODUCT((Raw_Data_Daily!$B$2:$B$9999="Variant")*(Raw_Data_Daily!$A$2:$A$9999=$A35)*(Raw_Data_Daily!$C$2:$C$9999=$C$3)*Raw_Data_Daily!$D$2:$D$9999*Raw_Data_Daily!$AB$2:$AB$9999)/SUMIFS(Raw_Data_Daily!$D:$D, Raw_Data_Daily!$B:$B, "Variant", Raw_Data_Daily!$A:$A, $A35, Raw_Data_Daily!$C:$C, $C$3),""))</f>
        <v>51.5181</v>
      </c>
      <c r="CA35" s="96">
        <f t="shared" si="26"/>
        <v>-0.003219533903</v>
      </c>
      <c r="CB35" s="121">
        <f>IF($A35="","",IFERROR(SUMPRODUCT((Raw_Data_Daily!$B$2:$B$9999="Control")*(Raw_Data_Daily!$A$2:$A$9999=$A35)*(Raw_Data_Daily!$C$2:$C$9999=$C$3)*Raw_Data_Daily!$D$2:$D$9999*Raw_Data_Daily!$AC$2:$AC$9999)/SUMIFS(Raw_Data_Daily!$D:$D, Raw_Data_Daily!$B:$B, "Control", Raw_Data_Daily!$A:$A, $A35, Raw_Data_Daily!$C:$C, $C$3),""))</f>
        <v>0.6367</v>
      </c>
      <c r="CC35" s="121">
        <f>IF($A35="","",IFERROR(SUMPRODUCT((Raw_Data_Daily!$B$2:$B$9999="Variant")*(Raw_Data_Daily!$A$2:$A$9999=$A35)*(Raw_Data_Daily!$C$2:$C$9999=$C$3)*Raw_Data_Daily!$D$2:$D$9999*Raw_Data_Daily!$AC$2:$AC$9999)/SUMIFS(Raw_Data_Daily!$D:$D, Raw_Data_Daily!$B:$B, "Variant", Raw_Data_Daily!$A:$A, $A35, Raw_Data_Daily!$C:$C, $C$3),""))</f>
        <v>0.6412</v>
      </c>
      <c r="CD35" s="96">
        <f t="shared" si="27"/>
        <v>0.007067692791</v>
      </c>
      <c r="CE35" s="121">
        <f>IF($A35="","",IFERROR(SUMPRODUCT((Raw_Data_Daily!$B$2:$B$9999="Control")*(Raw_Data_Daily!$A$2:$A$9999=$A35)*(Raw_Data_Daily!$C$2:$C$9999=$C$3)*Raw_Data_Daily!$D$2:$D$9999*Raw_Data_Daily!$AD$2:$AD$9999)/SUMIFS(Raw_Data_Daily!$D:$D, Raw_Data_Daily!$B:$B, "Control", Raw_Data_Daily!$A:$A, $A35, Raw_Data_Daily!$C:$C, $C$3),""))</f>
        <v>9.59</v>
      </c>
      <c r="CF35" s="121">
        <f>IF($A35="","",IFERROR(SUMPRODUCT((Raw_Data_Daily!$B$2:$B$9999="Variant")*(Raw_Data_Daily!$A$2:$A$9999=$A35)*(Raw_Data_Daily!$C$2:$C$9999=$C$3)*Raw_Data_Daily!$D$2:$D$9999*Raw_Data_Daily!$AD$2:$AD$9999)/SUMIFS(Raw_Data_Daily!$D:$D, Raw_Data_Daily!$B:$B, "Variant", Raw_Data_Daily!$A:$A, $A35, Raw_Data_Daily!$C:$C, $C$3),""))</f>
        <v>9.87</v>
      </c>
      <c r="CG35" s="96">
        <f t="shared" si="28"/>
        <v>0.02919708029</v>
      </c>
      <c r="CH35" s="121">
        <f>IF($A35="","",IFERROR(SUMPRODUCT((Raw_Data_Daily!$B$2:$B$9999="Control")*(Raw_Data_Daily!$A$2:$A$9999=$A35)*(Raw_Data_Daily!$C$2:$C$9999=$C$3)*Raw_Data_Daily!$D$2:$D$9999*Raw_Data_Daily!$AE$2:$AE$9999)/SUMIFS(Raw_Data_Daily!$D:$D, Raw_Data_Daily!$B:$B, "Control", Raw_Data_Daily!$A:$A, $A35, Raw_Data_Daily!$C:$C, $C$3),""))</f>
        <v>4</v>
      </c>
      <c r="CI35" s="121">
        <f>IF($A35="","",IFERROR(SUMPRODUCT((Raw_Data_Daily!$B$2:$B$9999="Variant")*(Raw_Data_Daily!$A$2:$A$9999=$A35)*(Raw_Data_Daily!$C$2:$C$9999=$C$3)*Raw_Data_Daily!$D$2:$D$9999*Raw_Data_Daily!$AE$2:$AE$9999)/SUMIFS(Raw_Data_Daily!$D:$D, Raw_Data_Daily!$B:$B, "Variant", Raw_Data_Daily!$A:$A, $A35, Raw_Data_Daily!$C:$C, $C$3),""))</f>
        <v>5</v>
      </c>
      <c r="CJ35" s="96">
        <f t="shared" si="29"/>
        <v>0.25</v>
      </c>
      <c r="CK35" s="121">
        <f>IF($A35="","",IFERROR(SUMPRODUCT((Raw_Data_Daily!$B$2:$B$9999="Control")*(Raw_Data_Daily!$A$2:$A$9999=$A35)*(Raw_Data_Daily!$C$2:$C$9999=$C$3)*Raw_Data_Daily!$D$2:$D$9999*Raw_Data_Daily!$AF$2:$AF$9999)/SUMIFS(Raw_Data_Daily!$D:$D, Raw_Data_Daily!$B:$B, "Control", Raw_Data_Daily!$A:$A, $A35, Raw_Data_Daily!$C:$C, $C$3),""))</f>
        <v>8</v>
      </c>
      <c r="CL35" s="121">
        <f>IF($A35="","",IFERROR(SUMPRODUCT((Raw_Data_Daily!$B$2:$B$9999="Variant")*(Raw_Data_Daily!$A$2:$A$9999=$A35)*(Raw_Data_Daily!$C$2:$C$9999=$C$3)*Raw_Data_Daily!$D$2:$D$9999*Raw_Data_Daily!$AF$2:$AF$9999)/SUMIFS(Raw_Data_Daily!$D:$D, Raw_Data_Daily!$B:$B, "Variant", Raw_Data_Daily!$A:$A, $A35, Raw_Data_Daily!$C:$C, $C$3),""))</f>
        <v>9</v>
      </c>
      <c r="CM35" s="96">
        <f t="shared" si="30"/>
        <v>0.125</v>
      </c>
      <c r="CN35" s="121">
        <f>IF($A35="","",IFERROR(SUMPRODUCT((Raw_Data_Daily!$B$2:$B$9999="Control")*(Raw_Data_Daily!$A$2:$A$9999=$A35)*(Raw_Data_Daily!$C$2:$C$9999=$C$3)*Raw_Data_Daily!$D$2:$D$9999*Raw_Data_Daily!$AG$2:$AG$9999)/SUMIFS(Raw_Data_Daily!$D:$D, Raw_Data_Daily!$B:$B, "Control", Raw_Data_Daily!$A:$A, $A35, Raw_Data_Daily!$C:$C, $C$3),""))</f>
        <v>13</v>
      </c>
      <c r="CO35" s="121">
        <f>IF($A35="","",IFERROR(SUMPRODUCT((Raw_Data_Daily!$B$2:$B$9999="Variant")*(Raw_Data_Daily!$A$2:$A$9999=$A35)*(Raw_Data_Daily!$C$2:$C$9999=$C$3)*Raw_Data_Daily!$D$2:$D$9999*Raw_Data_Daily!$AG$2:$AG$9999)/SUMIFS(Raw_Data_Daily!$D:$D, Raw_Data_Daily!$B:$B, "Variant", Raw_Data_Daily!$A:$A, $A35, Raw_Data_Daily!$C:$C, $C$3),""))</f>
        <v>13</v>
      </c>
      <c r="CP35" s="96">
        <f t="shared" si="31"/>
        <v>0</v>
      </c>
      <c r="CQ35" s="121">
        <f>IF($A35="","",IFERROR(SUMPRODUCT((Raw_Data_Daily!$B$2:$B$9999="Control")*(Raw_Data_Daily!$A$2:$A$9999=$A35)*(Raw_Data_Daily!$C$2:$C$9999=$C$3)*Raw_Data_Daily!$D$2:$D$9999*Raw_Data_Daily!$AH$2:$AH$9999)/SUMIFS(Raw_Data_Daily!$D:$D, Raw_Data_Daily!$B:$B, "Control", Raw_Data_Daily!$A:$A, $A35, Raw_Data_Daily!$C:$C, $C$3),""))</f>
        <v>19</v>
      </c>
      <c r="CR35" s="121">
        <f>IF($A35="","",IFERROR(SUMPRODUCT((Raw_Data_Daily!$B$2:$B$9999="Variant")*(Raw_Data_Daily!$A$2:$A$9999=$A35)*(Raw_Data_Daily!$C$2:$C$9999=$C$3)*Raw_Data_Daily!$D$2:$D$9999*Raw_Data_Daily!$AH$2:$AH$9999)/SUMIFS(Raw_Data_Daily!$D:$D, Raw_Data_Daily!$B:$B, "Variant", Raw_Data_Daily!$A:$A, $A35, Raw_Data_Daily!$C:$C, $C$3),""))</f>
        <v>19</v>
      </c>
      <c r="CS35" s="96">
        <f t="shared" si="32"/>
        <v>0</v>
      </c>
      <c r="CT35" s="94">
        <f>IF($A35="","",IFERROR(SUMPRODUCT((Raw_Data_Daily!$B$2:$B$9999="Control")*(Raw_Data_Daily!$A$2:$A$9999=$A35)*(Raw_Data_Daily!$C$2:$C$9999=$C$3)*Raw_Data_Daily!$D$2:$D$9999*Raw_Data_Daily!$AI$2:$AI$9999)/SUMIFS(Raw_Data_Daily!$D:$D, Raw_Data_Daily!$B:$B, "Control", Raw_Data_Daily!$A:$A, $A35, Raw_Data_Daily!$C:$C, $C$3),""))</f>
        <v>65.81</v>
      </c>
      <c r="CU35" s="94">
        <f>IF($A35="","",IFERROR(SUMPRODUCT((Raw_Data_Daily!$B$2:$B$9999="Variant")*(Raw_Data_Daily!$A$2:$A$9999=$A35)*(Raw_Data_Daily!$C$2:$C$9999=$C$3)*Raw_Data_Daily!$D$2:$D$9999*Raw_Data_Daily!$AI$2:$AI$9999)/SUMIFS(Raw_Data_Daily!$D:$D, Raw_Data_Daily!$B:$B, "Variant", Raw_Data_Daily!$A:$A, $A35, Raw_Data_Daily!$C:$C, $C$3),""))</f>
        <v>67.26</v>
      </c>
      <c r="CV35" s="142">
        <f t="shared" si="33"/>
        <v>0.02203312566</v>
      </c>
      <c r="CW35" s="94">
        <f>IF($A35="","",IFERROR(SUMPRODUCT((Raw_Data_Daily!$B$2:$B$9999="Control")*(Raw_Data_Daily!$A$2:$A$9999=$A35)*(Raw_Data_Daily!$C$2:$C$9999=$C$3)*Raw_Data_Daily!$D$2:$D$9999*Raw_Data_Daily!$AJ$2:$AJ$9999)/SUMIFS(Raw_Data_Daily!$D:$D, Raw_Data_Daily!$B:$B, "Control", Raw_Data_Daily!$A:$A, $A35, Raw_Data_Daily!$C:$C, $C$3),""))</f>
        <v>26.89</v>
      </c>
      <c r="CX35" s="94">
        <f>IF($A35="","",IFERROR(SUMPRODUCT((Raw_Data_Daily!$B$2:$B$9999="Variant")*(Raw_Data_Daily!$A$2:$A$9999=$A35)*(Raw_Data_Daily!$C$2:$C$9999=$C$3)*Raw_Data_Daily!$D$2:$D$9999*Raw_Data_Daily!$AJ$2:$AJ$9999)/SUMIFS(Raw_Data_Daily!$D:$D, Raw_Data_Daily!$B:$B, "Variant", Raw_Data_Daily!$A:$A, $A35, Raw_Data_Daily!$C:$C, $C$3),""))</f>
        <v>28.07</v>
      </c>
      <c r="CY35" s="142">
        <f t="shared" si="34"/>
        <v>0.04388248419</v>
      </c>
      <c r="CZ35" s="94">
        <f>IF($A35="","",IFERROR(SUMPRODUCT((Raw_Data_Daily!$B$2:$B$9999="Control")*(Raw_Data_Daily!$A$2:$A$9999=$A35)*(Raw_Data_Daily!$C$2:$C$9999=$C$3)*Raw_Data_Daily!$D$2:$D$9999*Raw_Data_Daily!$AK$2:$AK$9999)/SUMIFS(Raw_Data_Daily!$D:$D, Raw_Data_Daily!$B:$B, "Control", Raw_Data_Daily!$A:$A, $A35, Raw_Data_Daily!$C:$C, $C$3),""))</f>
        <v>3.65</v>
      </c>
      <c r="DA35" s="94">
        <f>IF($A35="","",IFERROR(SUMPRODUCT((Raw_Data_Daily!$B$2:$B$9999="Variant")*(Raw_Data_Daily!$A$2:$A$9999=$A35)*(Raw_Data_Daily!$C$2:$C$9999=$C$3)*Raw_Data_Daily!$D$2:$D$9999*Raw_Data_Daily!$AK$2:$AK$9999)/SUMIFS(Raw_Data_Daily!$D:$D, Raw_Data_Daily!$B:$B, "Variant", Raw_Data_Daily!$A:$A, $A35, Raw_Data_Daily!$C:$C, $C$3),""))</f>
        <v>3.98</v>
      </c>
      <c r="DB35" s="96">
        <f t="shared" si="35"/>
        <v>0.0904109589</v>
      </c>
      <c r="DC35" s="139">
        <f>IF($A35="","",IFERROR(SUMPRODUCT((Raw_Data_Daily!$B$2:$B$9999="Control")*(Raw_Data_Daily!$A$2:$A$9999=$A35)*(Raw_Data_Daily!$C$2:$C$9999=$C$3)*Raw_Data_Daily!$D$2:$D$9999*Raw_Data_Daily!$AL$2:$AL$9999)/SUMIFS(Raw_Data_Daily!$D:$D, Raw_Data_Daily!$B:$B, "Control", Raw_Data_Daily!$A:$A, $A35, Raw_Data_Daily!$C:$C, $C$3),""))</f>
        <v>0.3225</v>
      </c>
      <c r="DD35" s="139">
        <f>IF($A35="","",IFERROR(SUMPRODUCT((Raw_Data_Daily!$B$2:$B$9999="Variant")*(Raw_Data_Daily!$A$2:$A$9999=$A35)*(Raw_Data_Daily!$C$2:$C$9999=$C$3)*Raw_Data_Daily!$D$2:$D$9999*Raw_Data_Daily!$AL$2:$AL$9999)/SUMIFS(Raw_Data_Daily!$D:$D, Raw_Data_Daily!$B:$B, "Variant", Raw_Data_Daily!$A:$A, $A35, Raw_Data_Daily!$C:$C, $C$3),""))</f>
        <v>0.316</v>
      </c>
      <c r="DE35" s="142">
        <f t="shared" si="36"/>
        <v>-0.02015503876</v>
      </c>
      <c r="DF35" s="168"/>
      <c r="DG35" s="94">
        <f>IF($A35="","",IFERROR(SUMPRODUCT((Raw_Data_Daily!$B$2:$B$9999="Variant")*(Raw_Data_Daily!$A$2:$A$9999=$A35)*(Raw_Data_Daily!$C$2:$C$9999=$C$3)*Raw_Data_Daily!$D$2:$D$9999*Raw_Data_Daily!$AM$2:$AM$9999)/SUMIFS(Raw_Data_Daily!$D:$D, Raw_Data_Daily!$B:$B, "Variant", Raw_Data_Daily!$A:$A, $A35, Raw_Data_Daily!$C:$C, $C$3),""))</f>
        <v>46.25</v>
      </c>
      <c r="DH35" s="169"/>
      <c r="DI35" s="168"/>
      <c r="DJ35" s="94">
        <f>IF($A35="","",IFERROR(SUMPRODUCT((Raw_Data_Daily!$B$2:$B$9999="Variant")*(Raw_Data_Daily!$A$2:$A$9999=$A35)*(Raw_Data_Daily!$C$2:$C$9999=$C$3)*Raw_Data_Daily!$D$2:$D$9999*Raw_Data_Daily!$AN$2:$AN$9999)/SUMIFS(Raw_Data_Daily!$D:$D, Raw_Data_Daily!$B:$B, "Variant", Raw_Data_Daily!$A:$A, $A35, Raw_Data_Daily!$C:$C, $C$3),""))</f>
        <v>46.25</v>
      </c>
      <c r="DK35" s="169"/>
      <c r="DL35" s="168"/>
      <c r="DM35" s="94">
        <f>IF($A35="","",IFERROR(SUMPRODUCT((Raw_Data_Daily!$B$2:$B$9999="Variant")*(Raw_Data_Daily!$A$2:$A$9999=$A35)*(Raw_Data_Daily!$C$2:$C$9999=$C$3)*Raw_Data_Daily!$D$2:$D$9999*Raw_Data_Daily!$AO$2:$AO$9999)/SUMIFS(Raw_Data_Daily!$D:$D, Raw_Data_Daily!$B:$B, "Variant", Raw_Data_Daily!$A:$A, $A35, Raw_Data_Daily!$C:$C, $C$3),""))</f>
        <v>27.36</v>
      </c>
      <c r="DN35" s="169"/>
      <c r="DO35" s="168"/>
      <c r="DP35" s="94">
        <f>IF($A35="","",IFERROR(SUMPRODUCT((Raw_Data_Daily!$B$2:$B$9999="Variant")*(Raw_Data_Daily!$A$2:$A$9999=$A35)*(Raw_Data_Daily!$C$2:$C$9999=$C$3)*Raw_Data_Daily!$D$2:$D$9999*Raw_Data_Daily!$AP$2:$AP$9999)/SUMIFS(Raw_Data_Daily!$D:$D, Raw_Data_Daily!$B:$B, "Variant", Raw_Data_Daily!$A:$A, $A35, Raw_Data_Daily!$C:$C, $C$3),""))</f>
        <v>13.04</v>
      </c>
      <c r="DQ35" s="169"/>
      <c r="DR35" s="139">
        <f>IF($A35="","",IFERROR(SUMPRODUCT((Raw_Data_Daily!$B$2:$B$9999="Control")*(Raw_Data_Daily!$A$2:$A$9999=$A35)*(Raw_Data_Daily!$C$2:$C$9999=$C$3)*Raw_Data_Daily!$D$2:$D$9999*Raw_Data_Daily!$AQ$2:$AQ$9999)/SUMIFS(Raw_Data_Daily!$D:$D, Raw_Data_Daily!$B:$B, "Control", Raw_Data_Daily!$A:$A, $A35, Raw_Data_Daily!$C:$C, $C$3),""))</f>
        <v>7.6137</v>
      </c>
      <c r="DS35" s="139">
        <f>IF($A35="","",IFERROR(SUMPRODUCT((Raw_Data_Daily!$B$2:$B$9999="Variant")*(Raw_Data_Daily!$A$2:$A$9999=$A35)*(Raw_Data_Daily!$C$2:$C$9999=$C$3)*Raw_Data_Daily!$D$2:$D$9999*Raw_Data_Daily!$AQ$2:$AQ$9999)/SUMIFS(Raw_Data_Daily!$D:$D, Raw_Data_Daily!$B:$B, "Variant", Raw_Data_Daily!$A:$A, $A35, Raw_Data_Daily!$C:$C, $C$3),""))</f>
        <v>8.6457</v>
      </c>
      <c r="DT35" s="173">
        <f t="shared" si="37"/>
        <v>0.1355451357</v>
      </c>
      <c r="DU35" s="139">
        <f>IF($A35="","",IFERROR(SUMPRODUCT((Raw_Data_Daily!$B$2:$B$9999="Control")*(Raw_Data_Daily!$A$2:$A$9999=$A35)*(Raw_Data_Daily!$C$2:$C$9999=$C$3)*Raw_Data_Daily!$D$2:$D$9999*Raw_Data_Daily!$AR$2:$AR$9999)/SUMIFS(Raw_Data_Daily!$D:$D, Raw_Data_Daily!$B:$B, "Control", Raw_Data_Daily!$A:$A, $A35, Raw_Data_Daily!$C:$C, $C$3),""))</f>
        <v>0.2024</v>
      </c>
      <c r="DV35" s="139">
        <f>IF($A35="","",IFERROR(SUMPRODUCT((Raw_Data_Daily!$B$2:$B$9999="Variant")*(Raw_Data_Daily!$A$2:$A$9999=$A35)*(Raw_Data_Daily!$C$2:$C$9999=$C$3)*Raw_Data_Daily!$D$2:$D$9999*Raw_Data_Daily!$AR$2:$AR$9999)/SUMIFS(Raw_Data_Daily!$D:$D, Raw_Data_Daily!$B:$B, "Variant", Raw_Data_Daily!$A:$A, $A35, Raw_Data_Daily!$C:$C, $C$3),""))</f>
        <v>0.0965</v>
      </c>
      <c r="DW35" s="173">
        <f t="shared" si="38"/>
        <v>-0.5232213439</v>
      </c>
      <c r="DX35" s="139">
        <f>IF($A35="","",IFERROR(SUMPRODUCT((Raw_Data_Daily!$B$2:$B$9999="Control")*(Raw_Data_Daily!$A$2:$A$9999=$A35)*(Raw_Data_Daily!$C$2:$C$9999=$C$3)*Raw_Data_Daily!$D$2:$D$9999*Raw_Data_Daily!$AS$2:$AS$9999)/SUMIFS(Raw_Data_Daily!$D:$D, Raw_Data_Daily!$B:$B, "Control", Raw_Data_Daily!$A:$A, $A35, Raw_Data_Daily!$C:$C, $C$3),""))</f>
        <v>7.4113</v>
      </c>
      <c r="DY35" s="139">
        <f>IF($A35="","",IFERROR(SUMPRODUCT((Raw_Data_Daily!$B$2:$B$9999="Variant")*(Raw_Data_Daily!$A$2:$A$9999=$A35)*(Raw_Data_Daily!$C$2:$C$9999=$C$3)*Raw_Data_Daily!$D$2:$D$9999*Raw_Data_Daily!$AS$2:$AS$9999)/SUMIFS(Raw_Data_Daily!$D:$D, Raw_Data_Daily!$B:$B, "Variant", Raw_Data_Daily!$A:$A, $A35, Raw_Data_Daily!$C:$C, $C$3),""))</f>
        <v>8.5492</v>
      </c>
      <c r="DZ35" s="174">
        <f t="shared" si="39"/>
        <v>0.1535358169</v>
      </c>
      <c r="EA35" s="139">
        <f>IF($A35="","",IFERROR(SUMPRODUCT((Raw_Data_Daily!$B$2:$B$9999="Control")*(Raw_Data_Daily!$A$2:$A$9999=$A35)*(Raw_Data_Daily!$C$2:$C$9999=$C$3)*Raw_Data_Daily!$D$2:$D$9999*Raw_Data_Daily!$AT$2:$AT$9999)/SUMIFS(Raw_Data_Daily!$D:$D, Raw_Data_Daily!$B:$B, "Control", Raw_Data_Daily!$A:$A, $A35, Raw_Data_Daily!$C:$C, $C$3),""))</f>
        <v>6.0023</v>
      </c>
      <c r="EB35" s="139">
        <f>IF($A35="","",IFERROR(SUMPRODUCT((Raw_Data_Daily!$B$2:$B$9999="Variant")*(Raw_Data_Daily!$A$2:$A$9999=$A35)*(Raw_Data_Daily!$C$2:$C$9999=$C$3)*Raw_Data_Daily!$D$2:$D$9999*Raw_Data_Daily!$AT$2:$AT$9999)/SUMIFS(Raw_Data_Daily!$D:$D, Raw_Data_Daily!$B:$B, "Variant", Raw_Data_Daily!$A:$A, $A35, Raw_Data_Daily!$C:$C, $C$3),""))</f>
        <v>5.9781</v>
      </c>
      <c r="EC35" s="173">
        <f t="shared" si="40"/>
        <v>-0.004031787815</v>
      </c>
      <c r="ED35" s="139">
        <f>IF($A35="","",IFERROR(SUMPRODUCT((Raw_Data_Daily!$B$2:$B$9999="Control")*(Raw_Data_Daily!$A$2:$A$9999=$A35)*(Raw_Data_Daily!$C$2:$C$9999=$C$3)*Raw_Data_Daily!$D$2:$D$9999*(Raw_Data_Daily!$AQ$2:$AQ$9999-Raw_Data_Daily!$AT$2:$AT$9999))/SUMIFS(Raw_Data_Daily!$D:$D, Raw_Data_Daily!$B:$B, "Control", Raw_Data_Daily!$A:$A, $A35, Raw_Data_Daily!$C:$C, $C$3),""))</f>
        <v>1.6114</v>
      </c>
      <c r="EE35" s="139">
        <f>IF($A35="","",IFERROR(SUMPRODUCT((Raw_Data_Daily!$B$2:$B$9999="Variant")*(Raw_Data_Daily!$A$2:$A$9999=$A35)*(Raw_Data_Daily!$C$2:$C$9999=$C$3)*Raw_Data_Daily!$D$2:$D$9999*(Raw_Data_Daily!$AQ$2:$AQ$9999-Raw_Data_Daily!$AT$2:$AT$9999))/SUMIFS(Raw_Data_Daily!$D:$D, Raw_Data_Daily!$B:$B, "Variant", Raw_Data_Daily!$A:$A, $A35, Raw_Data_Daily!$C:$C, $C$3),""))</f>
        <v>2.6676</v>
      </c>
      <c r="EF35" s="174">
        <f t="shared" si="41"/>
        <v>0.655454884</v>
      </c>
      <c r="EG35" s="139">
        <f>IF($A35="","",IFERROR(SUMPRODUCT((Raw_Data_Daily!$B$2:$B$9999="Control")*(Raw_Data_Daily!$A$2:$A$9999=$A35)*(Raw_Data_Daily!$C$2:$C$9999=$C$3)*Raw_Data_Daily!$D$2:$D$9999*Raw_Data_Daily!$AU$2:$AU$9999)/SUMIFS(Raw_Data_Daily!$D:$D, Raw_Data_Daily!$B:$B, "Control", Raw_Data_Daily!$A:$A, $A35, Raw_Data_Daily!$C:$C, $C$3),""))</f>
        <v>0.2481</v>
      </c>
      <c r="EH35" s="139">
        <f>IF($A35="","",IFERROR(SUMPRODUCT((Raw_Data_Daily!$B$2:$B$9999="Variant")*(Raw_Data_Daily!$A$2:$A$9999=$A35)*(Raw_Data_Daily!$C$2:$C$9999=$C$3)*Raw_Data_Daily!$D$2:$D$9999*Raw_Data_Daily!$AU$2:$AU$9999)/SUMIFS(Raw_Data_Daily!$D:$D, Raw_Data_Daily!$B:$B, "Variant", Raw_Data_Daily!$A:$A, $A35, Raw_Data_Daily!$C:$C, $C$3),""))</f>
        <v>0.2359</v>
      </c>
      <c r="EI35" s="173">
        <f t="shared" si="42"/>
        <v>-0.04917372027</v>
      </c>
    </row>
    <row r="36" ht="15.75" customHeight="1">
      <c r="A36" s="91">
        <v>46259.0</v>
      </c>
      <c r="B36" s="92">
        <f>IF($A36="","",SUMIFS(Raw_Data_Daily!$D:$D, Raw_Data_Daily!$B:$B, "Control", Raw_Data_Daily!$A:$A, $A36, Raw_Data_Daily!$C:$C, $C$3))</f>
        <v>8893</v>
      </c>
      <c r="C36" s="92">
        <f>IF($A36="","",SUMIFS(Raw_Data_Daily!$D:$D, Raw_Data_Daily!$B:$B, "Variant", Raw_Data_Daily!$A:$A, $A36, Raw_Data_Daily!$C:$C, $C$3))</f>
        <v>9077</v>
      </c>
      <c r="D36" s="93">
        <f t="shared" si="1"/>
        <v>0.02069043068</v>
      </c>
      <c r="E36" s="94">
        <f>IF($A36="","",IFERROR(SUMPRODUCT((Raw_Data_Daily!$B$2:$B$9999="Control")*(Raw_Data_Daily!$A$2:$A$9999=$A36)*(Raw_Data_Daily!$C$2:$C$9999=$C$3)*Raw_Data_Daily!$D$2:$D$9999*Raw_Data_Daily!$E$2:$E$9999)/SUMIFS(Raw_Data_Daily!$D:$D, Raw_Data_Daily!$B:$B, "Control", Raw_Data_Daily!$A:$A, $A36, Raw_Data_Daily!$C:$C, $C$3),""))</f>
        <v>23.34</v>
      </c>
      <c r="F36" s="94">
        <f>IF($A36="","",IFERROR(SUMPRODUCT((Raw_Data_Daily!$B$2:$B$9999="Variant")*(Raw_Data_Daily!$A$2:$A$9999=$A36)*(Raw_Data_Daily!$C$2:$C$9999=$C$3)*Raw_Data_Daily!$D$2:$D$9999*Raw_Data_Daily!$E$2:$E$9999)/SUMIFS(Raw_Data_Daily!$D:$D, Raw_Data_Daily!$B:$B, "Variant", Raw_Data_Daily!$A:$A, $A36, Raw_Data_Daily!$C:$C, $C$3),""))</f>
        <v>23.69</v>
      </c>
      <c r="G36" s="93">
        <f t="shared" si="2"/>
        <v>0.01499571551</v>
      </c>
      <c r="H36" s="95">
        <f>IF($A36="","",SUMIFS(Raw_Data_Daily!$F:$F, Raw_Data_Daily!$B:$B, "Control", Raw_Data_Daily!$A:$A, $A36, Raw_Data_Daily!$C:$C, $C$3))</f>
        <v>1023.4</v>
      </c>
      <c r="I36" s="95">
        <f>IF($A36="","",SUMIFS(Raw_Data_Daily!$F:$F, Raw_Data_Daily!$B:$B, "Variant", Raw_Data_Daily!$A:$A, $A36, Raw_Data_Daily!$C:$C, $C$3))</f>
        <v>1185.72</v>
      </c>
      <c r="J36" s="96">
        <f t="shared" si="3"/>
        <v>0.1586085597</v>
      </c>
      <c r="K36" s="97">
        <f>IF($A36="","",IFERROR(SUMIFS(Raw_Data_Daily!$F:$F, Raw_Data_Daily!$B:$B, "Control", Raw_Data_Daily!$A:$A, $A36, Raw_Data_Daily!$C:$C, $C$3)/SUMIFS(Raw_Data_Daily!$D:$D, Raw_Data_Daily!$B:$B, "Control", Raw_Data_Daily!$A:$A, $A36, Raw_Data_Daily!$C:$C, $C$3),""))</f>
        <v>0.1150792758</v>
      </c>
      <c r="L36" s="97">
        <f>IF($A36="","",IFERROR(SUMIFS(Raw_Data_Daily!$F:$F, Raw_Data_Daily!$B:$B, "Variant", Raw_Data_Daily!$A:$A, $A36, Raw_Data_Daily!$C:$C, $C$3)/SUMIFS(Raw_Data_Daily!$D:$D, Raw_Data_Daily!$B:$B, "Variant", Raw_Data_Daily!$A:$A, $A36, Raw_Data_Daily!$C:$C, $C$3),""))</f>
        <v>0.1306290625</v>
      </c>
      <c r="M36" s="96">
        <f t="shared" si="4"/>
        <v>0.1351223886</v>
      </c>
      <c r="N36" s="94">
        <f>IF($A36="","",IFERROR(SUMPRODUCT((Raw_Data_Daily!$B$2:$B$9999="Control")*(Raw_Data_Daily!$A$2:$A$9999=$A36)*(Raw_Data_Daily!$C$2:$C$9999=$C$3)*Raw_Data_Daily!$D$2:$D$9999*Raw_Data_Daily!$H$2:$H$9999/100)/SUMIFS(Raw_Data_Daily!$D:$D, Raw_Data_Daily!$B:$B, "Control", Raw_Data_Daily!$A:$A, $A36, Raw_Data_Daily!$C:$C, $C$3)*100,""))</f>
        <v>3.52</v>
      </c>
      <c r="O36" s="94">
        <f>IF($A36="","",IFERROR(SUMPRODUCT((Raw_Data_Daily!$B$2:$B$9999="Variant")*(Raw_Data_Daily!$A$2:$A$9999=$A36)*(Raw_Data_Daily!$C$2:$C$9999=$C$3)*Raw_Data_Daily!$D$2:$D$9999*Raw_Data_Daily!$H$2:$H$9999/100)/SUMIFS(Raw_Data_Daily!$D:$D, Raw_Data_Daily!$B:$B, "Variant", Raw_Data_Daily!$A:$A, $A36, Raw_Data_Daily!$C:$C, $C$3)*100,""))</f>
        <v>3.76</v>
      </c>
      <c r="P36" s="96">
        <f t="shared" si="5"/>
        <v>0.06818181818</v>
      </c>
      <c r="Q36" s="97">
        <f>IF($A36="","",IFERROR(SUMIFS(Raw_Data_Daily!$F:$F, Raw_Data_Daily!$B:$B, "Control", Raw_Data_Daily!$A:$A, $A36, Raw_Data_Daily!$C:$C, $C$3)/SUMPRODUCT((Raw_Data_Daily!$B$2:$B$9999="Control")*(Raw_Data_Daily!$A$2:$A$9999=$A36)*(Raw_Data_Daily!$C$2:$C$9999=$C$3)*Raw_Data_Daily!$D$2:$D$9999*Raw_Data_Daily!$H$2:$H$9999/100),""))</f>
        <v>3.269297609</v>
      </c>
      <c r="R36" s="97">
        <f>IF($A36="","",IFERROR(SUMIFS(Raw_Data_Daily!$F:$F, Raw_Data_Daily!$B:$B, "Variant", Raw_Data_Daily!$A:$A, $A36, Raw_Data_Daily!$C:$C, $C$3)/SUMPRODUCT((Raw_Data_Daily!$B$2:$B$9999="Variant")*(Raw_Data_Daily!$A$2:$A$9999=$A36)*(Raw_Data_Daily!$C$2:$C$9999=$C$3)*Raw_Data_Daily!$D$2:$D$9999*Raw_Data_Daily!$H$2:$H$9999/100),""))</f>
        <v>3.474177193</v>
      </c>
      <c r="S36" s="96">
        <f t="shared" si="6"/>
        <v>0.06266776806</v>
      </c>
      <c r="T36" s="121">
        <f>IF($A36="","",IFERROR(SUMPRODUCT((Raw_Data_Daily!$B$2:$B$9999="Control")*(Raw_Data_Daily!$A$2:$A$9999=$A36)*(Raw_Data_Daily!$C$2:$C$9999=$C$3)*Raw_Data_Daily!$D$2:$D$9999*Raw_Data_Daily!$J$2:$J$9999)/SUMIFS(Raw_Data_Daily!$D:$D, Raw_Data_Daily!$B:$B, "Control", Raw_Data_Daily!$A:$A, $A36, Raw_Data_Daily!$C:$C, $C$3),""))</f>
        <v>46.08</v>
      </c>
      <c r="U36" s="121">
        <f>IF($A36="","",IFERROR(SUMPRODUCT((Raw_Data_Daily!$B$2:$B$9999="Variant")*(Raw_Data_Daily!$A$2:$A$9999=$A36)*(Raw_Data_Daily!$C$2:$C$9999=$C$3)*Raw_Data_Daily!$D$2:$D$9999*Raw_Data_Daily!$J$2:$J$9999)/SUMIFS(Raw_Data_Daily!$D:$D, Raw_Data_Daily!$B:$B, "Variant", Raw_Data_Daily!$A:$A, $A36, Raw_Data_Daily!$C:$C, $C$3),""))</f>
        <v>51.36</v>
      </c>
      <c r="V36" s="96">
        <f t="shared" si="7"/>
        <v>0.1145833333</v>
      </c>
      <c r="W36" s="121">
        <f>IF($A36="","",IFERROR(SUMPRODUCT((Raw_Data_Daily!$B$2:$B$9999="Control")*(Raw_Data_Daily!$A$2:$A$9999=$A36)*(Raw_Data_Daily!$C$2:$C$9999=$C$3)*Raw_Data_Daily!$D$2:$D$9999*Raw_Data_Daily!$K$2:$K$9999)/SUMIFS(Raw_Data_Daily!$D:$D, Raw_Data_Daily!$B:$B, "Control", Raw_Data_Daily!$A:$A, $A36, Raw_Data_Daily!$C:$C, $C$3),""))</f>
        <v>24.24</v>
      </c>
      <c r="X36" s="121">
        <f>IF($A36="","",IFERROR(SUMPRODUCT((Raw_Data_Daily!$B$2:$B$9999="Variant")*(Raw_Data_Daily!$A$2:$A$9999=$A36)*(Raw_Data_Daily!$C$2:$C$9999=$C$3)*Raw_Data_Daily!$D$2:$D$9999*Raw_Data_Daily!$K$2:$K$9999)/SUMIFS(Raw_Data_Daily!$D:$D, Raw_Data_Daily!$B:$B, "Variant", Raw_Data_Daily!$A:$A, $A36, Raw_Data_Daily!$C:$C, $C$3),""))</f>
        <v>27.36</v>
      </c>
      <c r="Y36" s="96">
        <f t="shared" si="8"/>
        <v>0.1287128713</v>
      </c>
      <c r="Z36" s="121">
        <f>IF($A36="","",IFERROR(SUMPRODUCT((Raw_Data_Daily!$B$2:$B$9999="Control")*(Raw_Data_Daily!$A$2:$A$9999=$A36)*(Raw_Data_Daily!$C$2:$C$9999=$C$3)*Raw_Data_Daily!$D$2:$D$9999*Raw_Data_Daily!$L$2:$L$9999)/SUMIFS(Raw_Data_Daily!$D:$D, Raw_Data_Daily!$B:$B, "Control", Raw_Data_Daily!$A:$A, $A36, Raw_Data_Daily!$C:$C, $C$3),""))</f>
        <v>13.75</v>
      </c>
      <c r="AA36" s="121">
        <f>IF($A36="","",IFERROR(SUMPRODUCT((Raw_Data_Daily!$B$2:$B$9999="Variant")*(Raw_Data_Daily!$A$2:$A$9999=$A36)*(Raw_Data_Daily!$C$2:$C$9999=$C$3)*Raw_Data_Daily!$D$2:$D$9999*Raw_Data_Daily!$L$2:$L$9999)/SUMIFS(Raw_Data_Daily!$D:$D, Raw_Data_Daily!$B:$B, "Variant", Raw_Data_Daily!$A:$A, $A36, Raw_Data_Daily!$C:$C, $C$3),""))</f>
        <v>14.15</v>
      </c>
      <c r="AB36" s="96">
        <f t="shared" si="9"/>
        <v>0.02909090909</v>
      </c>
      <c r="AC36" s="139">
        <f>IF($A36="","",IFERROR(SUMPRODUCT((Raw_Data_Daily!$B$2:$B$9999="Control")*(Raw_Data_Daily!$A$2:$A$9999=$A36)*(Raw_Data_Daily!$C$2:$C$9999=$C$3)*Raw_Data_Daily!$D$2:$D$9999*Raw_Data_Daily!$M$2:$M$9999)/SUMIFS(Raw_Data_Daily!$D:$D, Raw_Data_Daily!$B:$B, "Control", Raw_Data_Daily!$A:$A, $A36, Raw_Data_Daily!$C:$C, $C$3),""))</f>
        <v>0.567</v>
      </c>
      <c r="AD36" s="139">
        <f>IF($A36="","",IFERROR(SUMPRODUCT((Raw_Data_Daily!$B$2:$B$9999="Variant")*(Raw_Data_Daily!$A$2:$A$9999=$A36)*(Raw_Data_Daily!$C$2:$C$9999=$C$3)*Raw_Data_Daily!$D$2:$D$9999*Raw_Data_Daily!$M$2:$M$9999)/SUMIFS(Raw_Data_Daily!$D:$D, Raw_Data_Daily!$B:$B, "Variant", Raw_Data_Daily!$A:$A, $A36, Raw_Data_Daily!$C:$C, $C$3),""))</f>
        <v>0.5171</v>
      </c>
      <c r="AE36" s="142">
        <f t="shared" si="10"/>
        <v>-0.08800705467</v>
      </c>
      <c r="AF36" s="139">
        <f>IF($A36="","",IFERROR(SUMPRODUCT((Raw_Data_Daily!$B$2:$B$9999="Control")*(Raw_Data_Daily!$A$2:$A$9999=$A36)*(Raw_Data_Daily!$C$2:$C$9999=$C$3)*Raw_Data_Daily!$D$2:$D$9999*Raw_Data_Daily!$N$2:$N$9999)/SUMIFS(Raw_Data_Daily!$D:$D, Raw_Data_Daily!$B:$B, "Control", Raw_Data_Daily!$A:$A, $A36, Raw_Data_Daily!$C:$C, $C$3),""))</f>
        <v>0.5699</v>
      </c>
      <c r="AG36" s="139">
        <f>IF($A36="","",IFERROR(SUMPRODUCT((Raw_Data_Daily!$B$2:$B$9999="Variant")*(Raw_Data_Daily!$A$2:$A$9999=$A36)*(Raw_Data_Daily!$C$2:$C$9999=$C$3)*Raw_Data_Daily!$D$2:$D$9999*Raw_Data_Daily!$N$2:$N$9999)/SUMIFS(Raw_Data_Daily!$D:$D, Raw_Data_Daily!$B:$B, "Variant", Raw_Data_Daily!$A:$A, $A36, Raw_Data_Daily!$C:$C, $C$3),""))</f>
        <v>0.6043</v>
      </c>
      <c r="AH36" s="142">
        <f t="shared" si="11"/>
        <v>0.06036146692</v>
      </c>
      <c r="AI36" s="139">
        <f>IF($A36="","",IFERROR(SUMPRODUCT((Raw_Data_Daily!$B$2:$B$9999="Control")*(Raw_Data_Daily!$A$2:$A$9999=$A36)*(Raw_Data_Daily!$C$2:$C$9999=$C$3)*Raw_Data_Daily!$D$2:$D$9999*Raw_Data_Daily!$O$2:$O$9999)/SUMIFS(Raw_Data_Daily!$D:$D, Raw_Data_Daily!$B:$B, "Control", Raw_Data_Daily!$A:$A, $A36, Raw_Data_Daily!$C:$C, $C$3),""))</f>
        <v>0.348</v>
      </c>
      <c r="AJ36" s="139">
        <f>IF($A36="","",IFERROR(SUMPRODUCT((Raw_Data_Daily!$B$2:$B$9999="Variant")*(Raw_Data_Daily!$A$2:$A$9999=$A36)*(Raw_Data_Daily!$C$2:$C$9999=$C$3)*Raw_Data_Daily!$D$2:$D$9999*Raw_Data_Daily!$O$2:$O$9999)/SUMIFS(Raw_Data_Daily!$D:$D, Raw_Data_Daily!$B:$B, "Variant", Raw_Data_Daily!$A:$A, $A36, Raw_Data_Daily!$C:$C, $C$3),""))</f>
        <v>0.3536</v>
      </c>
      <c r="AK36" s="96">
        <f t="shared" si="12"/>
        <v>0.01609195402</v>
      </c>
      <c r="AL36" s="121">
        <f>IF($A36="","",IFERROR(SUMPRODUCT((Raw_Data_Daily!$B$2:$B$9999="Control")*(Raw_Data_Daily!$A$2:$A$9999=$A36)*(Raw_Data_Daily!$C$2:$C$9999=$C$3)*Raw_Data_Daily!$D$2:$D$9999*Raw_Data_Daily!$P$2:$P$9999)/SUMIFS(Raw_Data_Daily!$D:$D, Raw_Data_Daily!$B:$B, "Control", Raw_Data_Daily!$A:$A, $A36, Raw_Data_Daily!$C:$C, $C$3),""))</f>
        <v>1.7637</v>
      </c>
      <c r="AM36" s="121">
        <f>IF($A36="","",IFERROR(SUMPRODUCT((Raw_Data_Daily!$B$2:$B$9999="Variant")*(Raw_Data_Daily!$A$2:$A$9999=$A36)*(Raw_Data_Daily!$C$2:$C$9999=$C$3)*Raw_Data_Daily!$D$2:$D$9999*Raw_Data_Daily!$P$2:$P$9999)/SUMIFS(Raw_Data_Daily!$D:$D, Raw_Data_Daily!$B:$B, "Variant", Raw_Data_Daily!$A:$A, $A36, Raw_Data_Daily!$C:$C, $C$3),""))</f>
        <v>1.9338</v>
      </c>
      <c r="AN36" s="96">
        <f t="shared" si="13"/>
        <v>0.09644497363</v>
      </c>
      <c r="AO36" s="121">
        <f>IF($A36="","",IFERROR(SUMPRODUCT((Raw_Data_Daily!$B$2:$B$9999="Control")*(Raw_Data_Daily!$A$2:$A$9999=$A36)*(Raw_Data_Daily!$C$2:$C$9999=$C$3)*Raw_Data_Daily!$D$2:$D$9999*Raw_Data_Daily!$Q$2:$Q$9999)/SUMIFS(Raw_Data_Daily!$D:$D, Raw_Data_Daily!$B:$B, "Control", Raw_Data_Daily!$A:$A, $A36, Raw_Data_Daily!$C:$C, $C$3),""))</f>
        <v>99.5</v>
      </c>
      <c r="AP36" s="121">
        <f>IF($A36="","",IFERROR(SUMPRODUCT((Raw_Data_Daily!$B$2:$B$9999="Variant")*(Raw_Data_Daily!$A$2:$A$9999=$A36)*(Raw_Data_Daily!$C$2:$C$9999=$C$3)*Raw_Data_Daily!$D$2:$D$9999*Raw_Data_Daily!$Q$2:$Q$9999)/SUMIFS(Raw_Data_Daily!$D:$D, Raw_Data_Daily!$B:$B, "Variant", Raw_Data_Daily!$A:$A, $A36, Raw_Data_Daily!$C:$C, $C$3),""))</f>
        <v>90.91</v>
      </c>
      <c r="AQ36" s="93">
        <f t="shared" si="14"/>
        <v>-0.08633165829</v>
      </c>
      <c r="AR36" s="121">
        <f>IF($A36="","",IFERROR(SUMPRODUCT((Raw_Data_Daily!$B$2:$B$9999="Control")*(Raw_Data_Daily!$A$2:$A$9999=$A36)*(Raw_Data_Daily!$C$2:$C$9999=$C$3)*Raw_Data_Daily!$D$2:$D$9999*Raw_Data_Daily!$R$2:$R$9999)/SUMIFS(Raw_Data_Daily!$D:$D, Raw_Data_Daily!$B:$B, "Control", Raw_Data_Daily!$A:$A, $A36, Raw_Data_Daily!$C:$C, $C$3),""))</f>
        <v>88.14</v>
      </c>
      <c r="AS36" s="121">
        <f>IF($A36="","",IFERROR(SUMPRODUCT((Raw_Data_Daily!$B$2:$B$9999="Variant")*(Raw_Data_Daily!$A$2:$A$9999=$A36)*(Raw_Data_Daily!$C$2:$C$9999=$C$3)*Raw_Data_Daily!$D$2:$D$9999*Raw_Data_Daily!$R$2:$R$9999)/SUMIFS(Raw_Data_Daily!$D:$D, Raw_Data_Daily!$B:$B, "Variant", Raw_Data_Daily!$A:$A, $A36, Raw_Data_Daily!$C:$C, $C$3),""))</f>
        <v>80.54</v>
      </c>
      <c r="AT36" s="93">
        <f t="shared" si="15"/>
        <v>-0.08622645791</v>
      </c>
      <c r="AU36" s="121">
        <f>IF($A36="","",IFERROR(SUMPRODUCT((Raw_Data_Daily!$B$2:$B$9999="Control")*(Raw_Data_Daily!$A$2:$A$9999=$A36)*(Raw_Data_Daily!$C$2:$C$9999=$C$3)*Raw_Data_Daily!$D$2:$D$9999*Raw_Data_Daily!$S$2:$S$9999)/SUMIFS(Raw_Data_Daily!$D:$D, Raw_Data_Daily!$B:$B, "Control", Raw_Data_Daily!$A:$A, $A36, Raw_Data_Daily!$C:$C, $C$3),""))</f>
        <v>11.37</v>
      </c>
      <c r="AV36" s="121">
        <f>IF($A36="","",IFERROR(SUMPRODUCT((Raw_Data_Daily!$B$2:$B$9999="Variant")*(Raw_Data_Daily!$A$2:$A$9999=$A36)*(Raw_Data_Daily!$C$2:$C$9999=$C$3)*Raw_Data_Daily!$D$2:$D$9999*Raw_Data_Daily!$S$2:$S$9999)/SUMIFS(Raw_Data_Daily!$D:$D, Raw_Data_Daily!$B:$B, "Variant", Raw_Data_Daily!$A:$A, $A36, Raw_Data_Daily!$C:$C, $C$3),""))</f>
        <v>10.37</v>
      </c>
      <c r="AW36" s="93">
        <f t="shared" si="16"/>
        <v>-0.08795074758</v>
      </c>
      <c r="AX36" s="121">
        <f>IF($A36="","",IFERROR(SUMPRODUCT((Raw_Data_Daily!$B$2:$B$9999="Control")*(Raw_Data_Daily!$A$2:$A$9999=$A36)*(Raw_Data_Daily!$C$2:$C$9999=$C$3)*Raw_Data_Daily!$D$2:$D$9999*Raw_Data_Daily!$T$2:$T$9999)/SUMIFS(Raw_Data_Daily!$D:$D, Raw_Data_Daily!$B:$B, "Control", Raw_Data_Daily!$A:$A, $A36, Raw_Data_Daily!$C:$C, $C$3),""))</f>
        <v>8.35</v>
      </c>
      <c r="AY36" s="121">
        <f>IF($A36="","",IFERROR(SUMPRODUCT((Raw_Data_Daily!$B$2:$B$9999="Variant")*(Raw_Data_Daily!$A$2:$A$9999=$A36)*(Raw_Data_Daily!$C$2:$C$9999=$C$3)*Raw_Data_Daily!$D$2:$D$9999*Raw_Data_Daily!$T$2:$T$9999)/SUMIFS(Raw_Data_Daily!$D:$D, Raw_Data_Daily!$B:$B, "Variant", Raw_Data_Daily!$A:$A, $A36, Raw_Data_Daily!$C:$C, $C$3),""))</f>
        <v>9.39</v>
      </c>
      <c r="AZ36" s="96">
        <f t="shared" si="17"/>
        <v>0.1245508982</v>
      </c>
      <c r="BA36" s="121">
        <f>IF($A36="","",IFERROR(SUMPRODUCT((Raw_Data_Daily!$B$2:$B$9999="Control")*(Raw_Data_Daily!$A$2:$A$9999=$A36)*(Raw_Data_Daily!$C$2:$C$9999=$C$3)*Raw_Data_Daily!$D$2:$D$9999*Raw_Data_Daily!$U$2:$U$9999)/SUMIFS(Raw_Data_Daily!$D:$D, Raw_Data_Daily!$B:$B, "Control", Raw_Data_Daily!$A:$A, $A36, Raw_Data_Daily!$C:$C, $C$3),""))</f>
        <v>91.16</v>
      </c>
      <c r="BB36" s="121">
        <f>IF($A36="","",IFERROR(SUMPRODUCT((Raw_Data_Daily!$B$2:$B$9999="Variant")*(Raw_Data_Daily!$A$2:$A$9999=$A36)*(Raw_Data_Daily!$C$2:$C$9999=$C$3)*Raw_Data_Daily!$D$2:$D$9999*Raw_Data_Daily!$U$2:$U$9999)/SUMIFS(Raw_Data_Daily!$D:$D, Raw_Data_Daily!$B:$B, "Variant", Raw_Data_Daily!$A:$A, $A36, Raw_Data_Daily!$C:$C, $C$3),""))</f>
        <v>81.52</v>
      </c>
      <c r="BC36" s="93">
        <f t="shared" si="18"/>
        <v>-0.1057481351</v>
      </c>
      <c r="BD36" s="121">
        <f>IF($A36="","",IFERROR(SUMPRODUCT((Raw_Data_Daily!$B$2:$B$9999="Control")*(Raw_Data_Daily!$A$2:$A$9999=$A36)*(Raw_Data_Daily!$C$2:$C$9999=$C$3)*Raw_Data_Daily!$D$2:$D$9999*Raw_Data_Daily!$V$2:$V$9999)/SUMIFS(Raw_Data_Daily!$D:$D, Raw_Data_Daily!$B:$B, "Control", Raw_Data_Daily!$A:$A, $A36, Raw_Data_Daily!$C:$C, $C$3),""))</f>
        <v>104.93</v>
      </c>
      <c r="BE36" s="121">
        <f>IF($A36="","",IFERROR(SUMPRODUCT((Raw_Data_Daily!$B$2:$B$9999="Variant")*(Raw_Data_Daily!$A$2:$A$9999=$A36)*(Raw_Data_Daily!$C$2:$C$9999=$C$3)*Raw_Data_Daily!$D$2:$D$9999*Raw_Data_Daily!$V$2:$V$9999)/SUMIFS(Raw_Data_Daily!$D:$D, Raw_Data_Daily!$B:$B, "Variant", Raw_Data_Daily!$A:$A, $A36, Raw_Data_Daily!$C:$C, $C$3),""))</f>
        <v>100.99</v>
      </c>
      <c r="BF36" s="93">
        <f t="shared" si="19"/>
        <v>-0.03754884209</v>
      </c>
      <c r="BG36" s="121">
        <f>IF($A36="","",IFERROR(SUMPRODUCT((Raw_Data_Daily!$B$2:$B$9999="Control")*(Raw_Data_Daily!$A$2:$A$9999=$A36)*(Raw_Data_Daily!$C$2:$C$9999=$C$3)*Raw_Data_Daily!$D$2:$D$9999*(Raw_Data_Daily!$Q$2:$Q$9999-Raw_Data_Daily!$V$2:$V$9999))/SUMIFS(Raw_Data_Daily!$D:$D, Raw_Data_Daily!$B:$B, "Control", Raw_Data_Daily!$A:$A, $A36, Raw_Data_Daily!$C:$C, $C$3),""))</f>
        <v>-5.43</v>
      </c>
      <c r="BH36" s="121">
        <f>IF($A36="","",IFERROR(SUMPRODUCT((Raw_Data_Daily!$B$2:$B$9999="Variant")*(Raw_Data_Daily!$A$2:$A$9999=$A36)*(Raw_Data_Daily!$C$2:$C$9999=$C$3)*Raw_Data_Daily!$D$2:$D$9999*(Raw_Data_Daily!$Q$2:$Q$9999-Raw_Data_Daily!$V$2:$V$9999))/SUMIFS(Raw_Data_Daily!$D:$D, Raw_Data_Daily!$B:$B, "Variant", Raw_Data_Daily!$A:$A, $A36, Raw_Data_Daily!$C:$C, $C$3),""))</f>
        <v>-10.08</v>
      </c>
      <c r="BI36" s="93">
        <f t="shared" si="20"/>
        <v>-0.8563535912</v>
      </c>
      <c r="BJ36" s="121">
        <f>IF($A36="","",IFERROR(SUMPRODUCT((Raw_Data_Daily!$B$2:$B$9999="Control")*(Raw_Data_Daily!$A$2:$A$9999=$A36)*(Raw_Data_Daily!$C$2:$C$9999=$C$3)*Raw_Data_Daily!$D$2:$D$9999*Raw_Data_Daily!$W$2:$W$9999)/SUMIFS(Raw_Data_Daily!$D:$D, Raw_Data_Daily!$B:$B, "Control", Raw_Data_Daily!$A:$A, $A36, Raw_Data_Daily!$C:$C, $C$3),""))</f>
        <v>4.3281</v>
      </c>
      <c r="BK36" s="121">
        <f>IF($A36="","",IFERROR(SUMPRODUCT((Raw_Data_Daily!$B$2:$B$9999="Variant")*(Raw_Data_Daily!$A$2:$A$9999=$A36)*(Raw_Data_Daily!$C$2:$C$9999=$C$3)*Raw_Data_Daily!$D$2:$D$9999*Raw_Data_Daily!$W$2:$W$9999)/SUMIFS(Raw_Data_Daily!$D:$D, Raw_Data_Daily!$B:$B, "Variant", Raw_Data_Daily!$A:$A, $A36, Raw_Data_Daily!$C:$C, $C$3),""))</f>
        <v>3.6917</v>
      </c>
      <c r="BL36" s="93">
        <f t="shared" si="21"/>
        <v>-0.1470391165</v>
      </c>
      <c r="BM36" s="139">
        <f>IF($A36="","",IFERROR(SUMPRODUCT((Raw_Data_Daily!$B$2:$B$9999="Control")*(Raw_Data_Daily!$A$2:$A$9999=$A36)*(Raw_Data_Daily!$C$2:$C$9999=$C$3)*Raw_Data_Daily!$D$2:$D$9999*Raw_Data_Daily!$X$2:$X$9999)/SUMIFS(Raw_Data_Daily!$D:$D, Raw_Data_Daily!$B:$B, "Control", Raw_Data_Daily!$A:$A, $A36, Raw_Data_Daily!$C:$C, $C$3),""))</f>
        <v>8.39</v>
      </c>
      <c r="BN36" s="139">
        <f>IF($A36="","",IFERROR(SUMPRODUCT((Raw_Data_Daily!$B$2:$B$9999="Variant")*(Raw_Data_Daily!$A$2:$A$9999=$A36)*(Raw_Data_Daily!$C$2:$C$9999=$C$3)*Raw_Data_Daily!$D$2:$D$9999*Raw_Data_Daily!$X$2:$X$9999)/SUMIFS(Raw_Data_Daily!$D:$D, Raw_Data_Daily!$B:$B, "Variant", Raw_Data_Daily!$A:$A, $A36, Raw_Data_Daily!$C:$C, $C$3),""))</f>
        <v>10.33</v>
      </c>
      <c r="BO36" s="96">
        <f t="shared" si="22"/>
        <v>0.231227652</v>
      </c>
      <c r="BP36" s="92">
        <f>IF($A36="","",IFERROR(SUMPRODUCT((Raw_Data_Daily!$B$2:$B$9999="Control")*(Raw_Data_Daily!$A$2:$A$9999=$A36)*(Raw_Data_Daily!$C$2:$C$9999=$C$3)*Raw_Data_Daily!$D$2:$D$9999*Raw_Data_Daily!$Y$2:$Y$9999)/SUMIFS(Raw_Data_Daily!$D:$D, Raw_Data_Daily!$B:$B, "Control", Raw_Data_Daily!$A:$A, $A36, Raw_Data_Daily!$C:$C, $C$3),""))</f>
        <v>221</v>
      </c>
      <c r="BQ36" s="92">
        <f>IF($A36="","",IFERROR(SUMPRODUCT((Raw_Data_Daily!$B$2:$B$9999="Variant")*(Raw_Data_Daily!$A$2:$A$9999=$A36)*(Raw_Data_Daily!$C$2:$C$9999=$C$3)*Raw_Data_Daily!$D$2:$D$9999*Raw_Data_Daily!$Y$2:$Y$9999)/SUMIFS(Raw_Data_Daily!$D:$D, Raw_Data_Daily!$B:$B, "Variant", Raw_Data_Daily!$A:$A, $A36, Raw_Data_Daily!$C:$C, $C$3),""))</f>
        <v>207</v>
      </c>
      <c r="BR36" s="93">
        <f t="shared" si="23"/>
        <v>-0.06334841629</v>
      </c>
      <c r="BS36" s="92">
        <f>IF($A36="","",IFERROR(SUMPRODUCT((Raw_Data_Daily!$B$2:$B$9999="Control")*(Raw_Data_Daily!$A$2:$A$9999=$A36)*(Raw_Data_Daily!$C$2:$C$9999=$C$3)*Raw_Data_Daily!$D$2:$D$9999*Raw_Data_Daily!$Z$2:$Z$9999)/SUMIFS(Raw_Data_Daily!$D:$D, Raw_Data_Daily!$B:$B, "Control", Raw_Data_Daily!$A:$A, $A36, Raw_Data_Daily!$C:$C, $C$3),""))</f>
        <v>464</v>
      </c>
      <c r="BT36" s="92">
        <f>IF($A36="","",IFERROR(SUMPRODUCT((Raw_Data_Daily!$B$2:$B$9999="Variant")*(Raw_Data_Daily!$A$2:$A$9999=$A36)*(Raw_Data_Daily!$C$2:$C$9999=$C$3)*Raw_Data_Daily!$D$2:$D$9999*Raw_Data_Daily!$Z$2:$Z$9999)/SUMIFS(Raw_Data_Daily!$D:$D, Raw_Data_Daily!$B:$B, "Variant", Raw_Data_Daily!$A:$A, $A36, Raw_Data_Daily!$C:$C, $C$3),""))</f>
        <v>410</v>
      </c>
      <c r="BU36" s="93">
        <f t="shared" si="24"/>
        <v>-0.1163793103</v>
      </c>
      <c r="BV36" s="92">
        <f>IF($A36="","",IFERROR(SUMPRODUCT((Raw_Data_Daily!$B$2:$B$9999="Control")*(Raw_Data_Daily!$A$2:$A$9999=$A36)*(Raw_Data_Daily!$C$2:$C$9999=$C$3)*Raw_Data_Daily!$D$2:$D$9999*Raw_Data_Daily!$AA$2:$AA$9999)/SUMIFS(Raw_Data_Daily!$D:$D, Raw_Data_Daily!$B:$B, "Control", Raw_Data_Daily!$A:$A, $A36, Raw_Data_Daily!$C:$C, $C$3),""))</f>
        <v>1953</v>
      </c>
      <c r="BW36" s="92">
        <f>IF($A36="","",IFERROR(SUMPRODUCT((Raw_Data_Daily!$B$2:$B$9999="Variant")*(Raw_Data_Daily!$A$2:$A$9999=$A36)*(Raw_Data_Daily!$C$2:$C$9999=$C$3)*Raw_Data_Daily!$D$2:$D$9999*Raw_Data_Daily!$AA$2:$AA$9999)/SUMIFS(Raw_Data_Daily!$D:$D, Raw_Data_Daily!$B:$B, "Variant", Raw_Data_Daily!$A:$A, $A36, Raw_Data_Daily!$C:$C, $C$3),""))</f>
        <v>1486</v>
      </c>
      <c r="BX36" s="93">
        <f t="shared" si="25"/>
        <v>-0.2391193036</v>
      </c>
      <c r="BY36" s="121">
        <f>IF($A36="","",IFERROR(SUMPRODUCT((Raw_Data_Daily!$B$2:$B$9999="Control")*(Raw_Data_Daily!$A$2:$A$9999=$A36)*(Raw_Data_Daily!$C$2:$C$9999=$C$3)*Raw_Data_Daily!$D$2:$D$9999*Raw_Data_Daily!$AB$2:$AB$9999)/SUMIFS(Raw_Data_Daily!$D:$D, Raw_Data_Daily!$B:$B, "Control", Raw_Data_Daily!$A:$A, $A36, Raw_Data_Daily!$C:$C, $C$3),""))</f>
        <v>51.8081</v>
      </c>
      <c r="BZ36" s="121">
        <f>IF($A36="","",IFERROR(SUMPRODUCT((Raw_Data_Daily!$B$2:$B$9999="Variant")*(Raw_Data_Daily!$A$2:$A$9999=$A36)*(Raw_Data_Daily!$C$2:$C$9999=$C$3)*Raw_Data_Daily!$D$2:$D$9999*Raw_Data_Daily!$AB$2:$AB$9999)/SUMIFS(Raw_Data_Daily!$D:$D, Raw_Data_Daily!$B:$B, "Variant", Raw_Data_Daily!$A:$A, $A36, Raw_Data_Daily!$C:$C, $C$3),""))</f>
        <v>51.3709</v>
      </c>
      <c r="CA36" s="96">
        <f t="shared" si="26"/>
        <v>-0.008438834854</v>
      </c>
      <c r="CB36" s="121">
        <f>IF($A36="","",IFERROR(SUMPRODUCT((Raw_Data_Daily!$B$2:$B$9999="Control")*(Raw_Data_Daily!$A$2:$A$9999=$A36)*(Raw_Data_Daily!$C$2:$C$9999=$C$3)*Raw_Data_Daily!$D$2:$D$9999*Raw_Data_Daily!$AC$2:$AC$9999)/SUMIFS(Raw_Data_Daily!$D:$D, Raw_Data_Daily!$B:$B, "Control", Raw_Data_Daily!$A:$A, $A36, Raw_Data_Daily!$C:$C, $C$3),""))</f>
        <v>0.6222</v>
      </c>
      <c r="CC36" s="121">
        <f>IF($A36="","",IFERROR(SUMPRODUCT((Raw_Data_Daily!$B$2:$B$9999="Variant")*(Raw_Data_Daily!$A$2:$A$9999=$A36)*(Raw_Data_Daily!$C$2:$C$9999=$C$3)*Raw_Data_Daily!$D$2:$D$9999*Raw_Data_Daily!$AC$2:$AC$9999)/SUMIFS(Raw_Data_Daily!$D:$D, Raw_Data_Daily!$B:$B, "Variant", Raw_Data_Daily!$A:$A, $A36, Raw_Data_Daily!$C:$C, $C$3),""))</f>
        <v>0.6155</v>
      </c>
      <c r="CD36" s="96">
        <f t="shared" si="27"/>
        <v>-0.01076824172</v>
      </c>
      <c r="CE36" s="121">
        <f>IF($A36="","",IFERROR(SUMPRODUCT((Raw_Data_Daily!$B$2:$B$9999="Control")*(Raw_Data_Daily!$A$2:$A$9999=$A36)*(Raw_Data_Daily!$C$2:$C$9999=$C$3)*Raw_Data_Daily!$D$2:$D$9999*Raw_Data_Daily!$AD$2:$AD$9999)/SUMIFS(Raw_Data_Daily!$D:$D, Raw_Data_Daily!$B:$B, "Control", Raw_Data_Daily!$A:$A, $A36, Raw_Data_Daily!$C:$C, $C$3),""))</f>
        <v>9.4</v>
      </c>
      <c r="CF36" s="121">
        <f>IF($A36="","",IFERROR(SUMPRODUCT((Raw_Data_Daily!$B$2:$B$9999="Variant")*(Raw_Data_Daily!$A$2:$A$9999=$A36)*(Raw_Data_Daily!$C$2:$C$9999=$C$3)*Raw_Data_Daily!$D$2:$D$9999*Raw_Data_Daily!$AD$2:$AD$9999)/SUMIFS(Raw_Data_Daily!$D:$D, Raw_Data_Daily!$B:$B, "Variant", Raw_Data_Daily!$A:$A, $A36, Raw_Data_Daily!$C:$C, $C$3),""))</f>
        <v>9.35</v>
      </c>
      <c r="CG36" s="96">
        <f t="shared" si="28"/>
        <v>-0.005319148936</v>
      </c>
      <c r="CH36" s="121">
        <f>IF($A36="","",IFERROR(SUMPRODUCT((Raw_Data_Daily!$B$2:$B$9999="Control")*(Raw_Data_Daily!$A$2:$A$9999=$A36)*(Raw_Data_Daily!$C$2:$C$9999=$C$3)*Raw_Data_Daily!$D$2:$D$9999*Raw_Data_Daily!$AE$2:$AE$9999)/SUMIFS(Raw_Data_Daily!$D:$D, Raw_Data_Daily!$B:$B, "Control", Raw_Data_Daily!$A:$A, $A36, Raw_Data_Daily!$C:$C, $C$3),""))</f>
        <v>4</v>
      </c>
      <c r="CI36" s="121">
        <f>IF($A36="","",IFERROR(SUMPRODUCT((Raw_Data_Daily!$B$2:$B$9999="Variant")*(Raw_Data_Daily!$A$2:$A$9999=$A36)*(Raw_Data_Daily!$C$2:$C$9999=$C$3)*Raw_Data_Daily!$D$2:$D$9999*Raw_Data_Daily!$AE$2:$AE$9999)/SUMIFS(Raw_Data_Daily!$D:$D, Raw_Data_Daily!$B:$B, "Variant", Raw_Data_Daily!$A:$A, $A36, Raw_Data_Daily!$C:$C, $C$3),""))</f>
        <v>4</v>
      </c>
      <c r="CJ36" s="96">
        <f t="shared" si="29"/>
        <v>0</v>
      </c>
      <c r="CK36" s="121">
        <f>IF($A36="","",IFERROR(SUMPRODUCT((Raw_Data_Daily!$B$2:$B$9999="Control")*(Raw_Data_Daily!$A$2:$A$9999=$A36)*(Raw_Data_Daily!$C$2:$C$9999=$C$3)*Raw_Data_Daily!$D$2:$D$9999*Raw_Data_Daily!$AF$2:$AF$9999)/SUMIFS(Raw_Data_Daily!$D:$D, Raw_Data_Daily!$B:$B, "Control", Raw_Data_Daily!$A:$A, $A36, Raw_Data_Daily!$C:$C, $C$3),""))</f>
        <v>8</v>
      </c>
      <c r="CL36" s="121">
        <f>IF($A36="","",IFERROR(SUMPRODUCT((Raw_Data_Daily!$B$2:$B$9999="Variant")*(Raw_Data_Daily!$A$2:$A$9999=$A36)*(Raw_Data_Daily!$C$2:$C$9999=$C$3)*Raw_Data_Daily!$D$2:$D$9999*Raw_Data_Daily!$AF$2:$AF$9999)/SUMIFS(Raw_Data_Daily!$D:$D, Raw_Data_Daily!$B:$B, "Variant", Raw_Data_Daily!$A:$A, $A36, Raw_Data_Daily!$C:$C, $C$3),""))</f>
        <v>8</v>
      </c>
      <c r="CM36" s="96">
        <f t="shared" si="30"/>
        <v>0</v>
      </c>
      <c r="CN36" s="121">
        <f>IF($A36="","",IFERROR(SUMPRODUCT((Raw_Data_Daily!$B$2:$B$9999="Control")*(Raw_Data_Daily!$A$2:$A$9999=$A36)*(Raw_Data_Daily!$C$2:$C$9999=$C$3)*Raw_Data_Daily!$D$2:$D$9999*Raw_Data_Daily!$AG$2:$AG$9999)/SUMIFS(Raw_Data_Daily!$D:$D, Raw_Data_Daily!$B:$B, "Control", Raw_Data_Daily!$A:$A, $A36, Raw_Data_Daily!$C:$C, $C$3),""))</f>
        <v>13</v>
      </c>
      <c r="CO36" s="121">
        <f>IF($A36="","",IFERROR(SUMPRODUCT((Raw_Data_Daily!$B$2:$B$9999="Variant")*(Raw_Data_Daily!$A$2:$A$9999=$A36)*(Raw_Data_Daily!$C$2:$C$9999=$C$3)*Raw_Data_Daily!$D$2:$D$9999*Raw_Data_Daily!$AG$2:$AG$9999)/SUMIFS(Raw_Data_Daily!$D:$D, Raw_Data_Daily!$B:$B, "Variant", Raw_Data_Daily!$A:$A, $A36, Raw_Data_Daily!$C:$C, $C$3),""))</f>
        <v>13</v>
      </c>
      <c r="CP36" s="96">
        <f t="shared" si="31"/>
        <v>0</v>
      </c>
      <c r="CQ36" s="121">
        <f>IF($A36="","",IFERROR(SUMPRODUCT((Raw_Data_Daily!$B$2:$B$9999="Control")*(Raw_Data_Daily!$A$2:$A$9999=$A36)*(Raw_Data_Daily!$C$2:$C$9999=$C$3)*Raw_Data_Daily!$D$2:$D$9999*Raw_Data_Daily!$AH$2:$AH$9999)/SUMIFS(Raw_Data_Daily!$D:$D, Raw_Data_Daily!$B:$B, "Control", Raw_Data_Daily!$A:$A, $A36, Raw_Data_Daily!$C:$C, $C$3),""))</f>
        <v>19</v>
      </c>
      <c r="CR36" s="121">
        <f>IF($A36="","",IFERROR(SUMPRODUCT((Raw_Data_Daily!$B$2:$B$9999="Variant")*(Raw_Data_Daily!$A$2:$A$9999=$A36)*(Raw_Data_Daily!$C$2:$C$9999=$C$3)*Raw_Data_Daily!$D$2:$D$9999*Raw_Data_Daily!$AH$2:$AH$9999)/SUMIFS(Raw_Data_Daily!$D:$D, Raw_Data_Daily!$B:$B, "Variant", Raw_Data_Daily!$A:$A, $A36, Raw_Data_Daily!$C:$C, $C$3),""))</f>
        <v>19</v>
      </c>
      <c r="CS36" s="96">
        <f t="shared" si="32"/>
        <v>0</v>
      </c>
      <c r="CT36" s="94">
        <f>IF($A36="","",IFERROR(SUMPRODUCT((Raw_Data_Daily!$B$2:$B$9999="Control")*(Raw_Data_Daily!$A$2:$A$9999=$A36)*(Raw_Data_Daily!$C$2:$C$9999=$C$3)*Raw_Data_Daily!$D$2:$D$9999*Raw_Data_Daily!$AI$2:$AI$9999)/SUMIFS(Raw_Data_Daily!$D:$D, Raw_Data_Daily!$B:$B, "Control", Raw_Data_Daily!$A:$A, $A36, Raw_Data_Daily!$C:$C, $C$3),""))</f>
        <v>63.04</v>
      </c>
      <c r="CU36" s="94">
        <f>IF($A36="","",IFERROR(SUMPRODUCT((Raw_Data_Daily!$B$2:$B$9999="Variant")*(Raw_Data_Daily!$A$2:$A$9999=$A36)*(Raw_Data_Daily!$C$2:$C$9999=$C$3)*Raw_Data_Daily!$D$2:$D$9999*Raw_Data_Daily!$AI$2:$AI$9999)/SUMIFS(Raw_Data_Daily!$D:$D, Raw_Data_Daily!$B:$B, "Variant", Raw_Data_Daily!$A:$A, $A36, Raw_Data_Daily!$C:$C, $C$3),""))</f>
        <v>63.52</v>
      </c>
      <c r="CV36" s="142">
        <f t="shared" si="33"/>
        <v>0.007614213198</v>
      </c>
      <c r="CW36" s="94">
        <f>IF($A36="","",IFERROR(SUMPRODUCT((Raw_Data_Daily!$B$2:$B$9999="Control")*(Raw_Data_Daily!$A$2:$A$9999=$A36)*(Raw_Data_Daily!$C$2:$C$9999=$C$3)*Raw_Data_Daily!$D$2:$D$9999*Raw_Data_Daily!$AJ$2:$AJ$9999)/SUMIFS(Raw_Data_Daily!$D:$D, Raw_Data_Daily!$B:$B, "Control", Raw_Data_Daily!$A:$A, $A36, Raw_Data_Daily!$C:$C, $C$3),""))</f>
        <v>26.64</v>
      </c>
      <c r="CX36" s="94">
        <f>IF($A36="","",IFERROR(SUMPRODUCT((Raw_Data_Daily!$B$2:$B$9999="Variant")*(Raw_Data_Daily!$A$2:$A$9999=$A36)*(Raw_Data_Daily!$C$2:$C$9999=$C$3)*Raw_Data_Daily!$D$2:$D$9999*Raw_Data_Daily!$AJ$2:$AJ$9999)/SUMIFS(Raw_Data_Daily!$D:$D, Raw_Data_Daily!$B:$B, "Variant", Raw_Data_Daily!$A:$A, $A36, Raw_Data_Daily!$C:$C, $C$3),""))</f>
        <v>25.91</v>
      </c>
      <c r="CY36" s="142">
        <f t="shared" si="34"/>
        <v>-0.0274024024</v>
      </c>
      <c r="CZ36" s="94">
        <f>IF($A36="","",IFERROR(SUMPRODUCT((Raw_Data_Daily!$B$2:$B$9999="Control")*(Raw_Data_Daily!$A$2:$A$9999=$A36)*(Raw_Data_Daily!$C$2:$C$9999=$C$3)*Raw_Data_Daily!$D$2:$D$9999*Raw_Data_Daily!$AK$2:$AK$9999)/SUMIFS(Raw_Data_Daily!$D:$D, Raw_Data_Daily!$B:$B, "Control", Raw_Data_Daily!$A:$A, $A36, Raw_Data_Daily!$C:$C, $C$3),""))</f>
        <v>3.79</v>
      </c>
      <c r="DA36" s="94">
        <f>IF($A36="","",IFERROR(SUMPRODUCT((Raw_Data_Daily!$B$2:$B$9999="Variant")*(Raw_Data_Daily!$A$2:$A$9999=$A36)*(Raw_Data_Daily!$C$2:$C$9999=$C$3)*Raw_Data_Daily!$D$2:$D$9999*Raw_Data_Daily!$AK$2:$AK$9999)/SUMIFS(Raw_Data_Daily!$D:$D, Raw_Data_Daily!$B:$B, "Variant", Raw_Data_Daily!$A:$A, $A36, Raw_Data_Daily!$C:$C, $C$3),""))</f>
        <v>3.51</v>
      </c>
      <c r="DB36" s="96">
        <f t="shared" si="35"/>
        <v>-0.07387862797</v>
      </c>
      <c r="DC36" s="139">
        <f>IF($A36="","",IFERROR(SUMPRODUCT((Raw_Data_Daily!$B$2:$B$9999="Control")*(Raw_Data_Daily!$A$2:$A$9999=$A36)*(Raw_Data_Daily!$C$2:$C$9999=$C$3)*Raw_Data_Daily!$D$2:$D$9999*Raw_Data_Daily!$AL$2:$AL$9999)/SUMIFS(Raw_Data_Daily!$D:$D, Raw_Data_Daily!$B:$B, "Control", Raw_Data_Daily!$A:$A, $A36, Raw_Data_Daily!$C:$C, $C$3),""))</f>
        <v>0.2791</v>
      </c>
      <c r="DD36" s="139">
        <f>IF($A36="","",IFERROR(SUMPRODUCT((Raw_Data_Daily!$B$2:$B$9999="Variant")*(Raw_Data_Daily!$A$2:$A$9999=$A36)*(Raw_Data_Daily!$C$2:$C$9999=$C$3)*Raw_Data_Daily!$D$2:$D$9999*Raw_Data_Daily!$AL$2:$AL$9999)/SUMIFS(Raw_Data_Daily!$D:$D, Raw_Data_Daily!$B:$B, "Variant", Raw_Data_Daily!$A:$A, $A36, Raw_Data_Daily!$C:$C, $C$3),""))</f>
        <v>0.2745</v>
      </c>
      <c r="DE36" s="142">
        <f t="shared" si="36"/>
        <v>-0.01648154783</v>
      </c>
      <c r="DF36" s="168"/>
      <c r="DG36" s="94">
        <f>IF($A36="","",IFERROR(SUMPRODUCT((Raw_Data_Daily!$B$2:$B$9999="Variant")*(Raw_Data_Daily!$A$2:$A$9999=$A36)*(Raw_Data_Daily!$C$2:$C$9999=$C$3)*Raw_Data_Daily!$D$2:$D$9999*Raw_Data_Daily!$AM$2:$AM$9999)/SUMIFS(Raw_Data_Daily!$D:$D, Raw_Data_Daily!$B:$B, "Variant", Raw_Data_Daily!$A:$A, $A36, Raw_Data_Daily!$C:$C, $C$3),""))</f>
        <v>36.22</v>
      </c>
      <c r="DH36" s="169"/>
      <c r="DI36" s="168"/>
      <c r="DJ36" s="94">
        <f>IF($A36="","",IFERROR(SUMPRODUCT((Raw_Data_Daily!$B$2:$B$9999="Variant")*(Raw_Data_Daily!$A$2:$A$9999=$A36)*(Raw_Data_Daily!$C$2:$C$9999=$C$3)*Raw_Data_Daily!$D$2:$D$9999*Raw_Data_Daily!$AN$2:$AN$9999)/SUMIFS(Raw_Data_Daily!$D:$D, Raw_Data_Daily!$B:$B, "Variant", Raw_Data_Daily!$A:$A, $A36, Raw_Data_Daily!$C:$C, $C$3),""))</f>
        <v>36.22</v>
      </c>
      <c r="DK36" s="169"/>
      <c r="DL36" s="168"/>
      <c r="DM36" s="94">
        <f>IF($A36="","",IFERROR(SUMPRODUCT((Raw_Data_Daily!$B$2:$B$9999="Variant")*(Raw_Data_Daily!$A$2:$A$9999=$A36)*(Raw_Data_Daily!$C$2:$C$9999=$C$3)*Raw_Data_Daily!$D$2:$D$9999*Raw_Data_Daily!$AO$2:$AO$9999)/SUMIFS(Raw_Data_Daily!$D:$D, Raw_Data_Daily!$B:$B, "Variant", Raw_Data_Daily!$A:$A, $A36, Raw_Data_Daily!$C:$C, $C$3),""))</f>
        <v>20.59</v>
      </c>
      <c r="DN36" s="169"/>
      <c r="DO36" s="168"/>
      <c r="DP36" s="94">
        <f>IF($A36="","",IFERROR(SUMPRODUCT((Raw_Data_Daily!$B$2:$B$9999="Variant")*(Raw_Data_Daily!$A$2:$A$9999=$A36)*(Raw_Data_Daily!$C$2:$C$9999=$C$3)*Raw_Data_Daily!$D$2:$D$9999*Raw_Data_Daily!$AP$2:$AP$9999)/SUMIFS(Raw_Data_Daily!$D:$D, Raw_Data_Daily!$B:$B, "Variant", Raw_Data_Daily!$A:$A, $A36, Raw_Data_Daily!$C:$C, $C$3),""))</f>
        <v>9.32</v>
      </c>
      <c r="DQ36" s="169"/>
      <c r="DR36" s="139">
        <f>IF($A36="","",IFERROR(SUMPRODUCT((Raw_Data_Daily!$B$2:$B$9999="Control")*(Raw_Data_Daily!$A$2:$A$9999=$A36)*(Raw_Data_Daily!$C$2:$C$9999=$C$3)*Raw_Data_Daily!$D$2:$D$9999*Raw_Data_Daily!$AQ$2:$AQ$9999)/SUMIFS(Raw_Data_Daily!$D:$D, Raw_Data_Daily!$B:$B, "Control", Raw_Data_Daily!$A:$A, $A36, Raw_Data_Daily!$C:$C, $C$3),""))</f>
        <v>6.1265</v>
      </c>
      <c r="DS36" s="139">
        <f>IF($A36="","",IFERROR(SUMPRODUCT((Raw_Data_Daily!$B$2:$B$9999="Variant")*(Raw_Data_Daily!$A$2:$A$9999=$A36)*(Raw_Data_Daily!$C$2:$C$9999=$C$3)*Raw_Data_Daily!$D$2:$D$9999*Raw_Data_Daily!$AQ$2:$AQ$9999)/SUMIFS(Raw_Data_Daily!$D:$D, Raw_Data_Daily!$B:$B, "Variant", Raw_Data_Daily!$A:$A, $A36, Raw_Data_Daily!$C:$C, $C$3),""))</f>
        <v>6.7889</v>
      </c>
      <c r="DT36" s="173">
        <f t="shared" si="37"/>
        <v>0.1081204603</v>
      </c>
      <c r="DU36" s="139">
        <f>IF($A36="","",IFERROR(SUMPRODUCT((Raw_Data_Daily!$B$2:$B$9999="Control")*(Raw_Data_Daily!$A$2:$A$9999=$A36)*(Raw_Data_Daily!$C$2:$C$9999=$C$3)*Raw_Data_Daily!$D$2:$D$9999*Raw_Data_Daily!$AR$2:$AR$9999)/SUMIFS(Raw_Data_Daily!$D:$D, Raw_Data_Daily!$B:$B, "Control", Raw_Data_Daily!$A:$A, $A36, Raw_Data_Daily!$C:$C, $C$3),""))</f>
        <v>0.1196</v>
      </c>
      <c r="DV36" s="139">
        <f>IF($A36="","",IFERROR(SUMPRODUCT((Raw_Data_Daily!$B$2:$B$9999="Variant")*(Raw_Data_Daily!$A$2:$A$9999=$A36)*(Raw_Data_Daily!$C$2:$C$9999=$C$3)*Raw_Data_Daily!$D$2:$D$9999*Raw_Data_Daily!$AR$2:$AR$9999)/SUMIFS(Raw_Data_Daily!$D:$D, Raw_Data_Daily!$B:$B, "Variant", Raw_Data_Daily!$A:$A, $A36, Raw_Data_Daily!$C:$C, $C$3),""))</f>
        <v>0.1238</v>
      </c>
      <c r="DW36" s="173">
        <f t="shared" si="38"/>
        <v>0.03511705686</v>
      </c>
      <c r="DX36" s="139">
        <f>IF($A36="","",IFERROR(SUMPRODUCT((Raw_Data_Daily!$B$2:$B$9999="Control")*(Raw_Data_Daily!$A$2:$A$9999=$A36)*(Raw_Data_Daily!$C$2:$C$9999=$C$3)*Raw_Data_Daily!$D$2:$D$9999*Raw_Data_Daily!$AS$2:$AS$9999)/SUMIFS(Raw_Data_Daily!$D:$D, Raw_Data_Daily!$B:$B, "Control", Raw_Data_Daily!$A:$A, $A36, Raw_Data_Daily!$C:$C, $C$3),""))</f>
        <v>6.0069</v>
      </c>
      <c r="DY36" s="139">
        <f>IF($A36="","",IFERROR(SUMPRODUCT((Raw_Data_Daily!$B$2:$B$9999="Variant")*(Raw_Data_Daily!$A$2:$A$9999=$A36)*(Raw_Data_Daily!$C$2:$C$9999=$C$3)*Raw_Data_Daily!$D$2:$D$9999*Raw_Data_Daily!$AS$2:$AS$9999)/SUMIFS(Raw_Data_Daily!$D:$D, Raw_Data_Daily!$B:$B, "Variant", Raw_Data_Daily!$A:$A, $A36, Raw_Data_Daily!$C:$C, $C$3),""))</f>
        <v>6.6651</v>
      </c>
      <c r="DZ36" s="174">
        <f t="shared" si="39"/>
        <v>0.1095739899</v>
      </c>
      <c r="EA36" s="139">
        <f>IF($A36="","",IFERROR(SUMPRODUCT((Raw_Data_Daily!$B$2:$B$9999="Control")*(Raw_Data_Daily!$A$2:$A$9999=$A36)*(Raw_Data_Daily!$C$2:$C$9999=$C$3)*Raw_Data_Daily!$D$2:$D$9999*Raw_Data_Daily!$AT$2:$AT$9999)/SUMIFS(Raw_Data_Daily!$D:$D, Raw_Data_Daily!$B:$B, "Control", Raw_Data_Daily!$A:$A, $A36, Raw_Data_Daily!$C:$C, $C$3),""))</f>
        <v>5.8781</v>
      </c>
      <c r="EB36" s="139">
        <f>IF($A36="","",IFERROR(SUMPRODUCT((Raw_Data_Daily!$B$2:$B$9999="Variant")*(Raw_Data_Daily!$A$2:$A$9999=$A36)*(Raw_Data_Daily!$C$2:$C$9999=$C$3)*Raw_Data_Daily!$D$2:$D$9999*Raw_Data_Daily!$AT$2:$AT$9999)/SUMIFS(Raw_Data_Daily!$D:$D, Raw_Data_Daily!$B:$B, "Variant", Raw_Data_Daily!$A:$A, $A36, Raw_Data_Daily!$C:$C, $C$3),""))</f>
        <v>6.0889</v>
      </c>
      <c r="EC36" s="173">
        <f t="shared" si="40"/>
        <v>0.03586192817</v>
      </c>
      <c r="ED36" s="139">
        <f>IF($A36="","",IFERROR(SUMPRODUCT((Raw_Data_Daily!$B$2:$B$9999="Control")*(Raw_Data_Daily!$A$2:$A$9999=$A36)*(Raw_Data_Daily!$C$2:$C$9999=$C$3)*Raw_Data_Daily!$D$2:$D$9999*(Raw_Data_Daily!$AQ$2:$AQ$9999-Raw_Data_Daily!$AT$2:$AT$9999))/SUMIFS(Raw_Data_Daily!$D:$D, Raw_Data_Daily!$B:$B, "Control", Raw_Data_Daily!$A:$A, $A36, Raw_Data_Daily!$C:$C, $C$3),""))</f>
        <v>0.2484</v>
      </c>
      <c r="EE36" s="139">
        <f>IF($A36="","",IFERROR(SUMPRODUCT((Raw_Data_Daily!$B$2:$B$9999="Variant")*(Raw_Data_Daily!$A$2:$A$9999=$A36)*(Raw_Data_Daily!$C$2:$C$9999=$C$3)*Raw_Data_Daily!$D$2:$D$9999*(Raw_Data_Daily!$AQ$2:$AQ$9999-Raw_Data_Daily!$AT$2:$AT$9999))/SUMIFS(Raw_Data_Daily!$D:$D, Raw_Data_Daily!$B:$B, "Variant", Raw_Data_Daily!$A:$A, $A36, Raw_Data_Daily!$C:$C, $C$3),""))</f>
        <v>0.7</v>
      </c>
      <c r="EF36" s="174">
        <f t="shared" si="41"/>
        <v>1.818035427</v>
      </c>
      <c r="EG36" s="139">
        <f>IF($A36="","",IFERROR(SUMPRODUCT((Raw_Data_Daily!$B$2:$B$9999="Control")*(Raw_Data_Daily!$A$2:$A$9999=$A36)*(Raw_Data_Daily!$C$2:$C$9999=$C$3)*Raw_Data_Daily!$D$2:$D$9999*Raw_Data_Daily!$AU$2:$AU$9999)/SUMIFS(Raw_Data_Daily!$D:$D, Raw_Data_Daily!$B:$B, "Control", Raw_Data_Daily!$A:$A, $A36, Raw_Data_Daily!$C:$C, $C$3),""))</f>
        <v>0.2425</v>
      </c>
      <c r="EH36" s="139">
        <f>IF($A36="","",IFERROR(SUMPRODUCT((Raw_Data_Daily!$B$2:$B$9999="Variant")*(Raw_Data_Daily!$A$2:$A$9999=$A36)*(Raw_Data_Daily!$C$2:$C$9999=$C$3)*Raw_Data_Daily!$D$2:$D$9999*Raw_Data_Daily!$AU$2:$AU$9999)/SUMIFS(Raw_Data_Daily!$D:$D, Raw_Data_Daily!$B:$B, "Variant", Raw_Data_Daily!$A:$A, $A36, Raw_Data_Daily!$C:$C, $C$3),""))</f>
        <v>0.2226</v>
      </c>
      <c r="EI36" s="173">
        <f t="shared" si="42"/>
        <v>-0.08206185567</v>
      </c>
    </row>
    <row r="37" ht="15.75" customHeight="1">
      <c r="A37" s="91">
        <v>46260.0</v>
      </c>
      <c r="B37" s="92">
        <f>IF($A37="","",SUMIFS(Raw_Data_Daily!$D:$D, Raw_Data_Daily!$B:$B, "Control", Raw_Data_Daily!$A:$A, $A37, Raw_Data_Daily!$C:$C, $C$3))</f>
        <v>9111</v>
      </c>
      <c r="C37" s="92">
        <f>IF($A37="","",SUMIFS(Raw_Data_Daily!$D:$D, Raw_Data_Daily!$B:$B, "Variant", Raw_Data_Daily!$A:$A, $A37, Raw_Data_Daily!$C:$C, $C$3))</f>
        <v>9262</v>
      </c>
      <c r="D37" s="93">
        <f t="shared" si="1"/>
        <v>0.01657337285</v>
      </c>
      <c r="E37" s="94">
        <f>IF($A37="","",IFERROR(SUMPRODUCT((Raw_Data_Daily!$B$2:$B$9999="Control")*(Raw_Data_Daily!$A$2:$A$9999=$A37)*(Raw_Data_Daily!$C$2:$C$9999=$C$3)*Raw_Data_Daily!$D$2:$D$9999*Raw_Data_Daily!$E$2:$E$9999)/SUMIFS(Raw_Data_Daily!$D:$D, Raw_Data_Daily!$B:$B, "Control", Raw_Data_Daily!$A:$A, $A37, Raw_Data_Daily!$C:$C, $C$3),""))</f>
        <v>22.89</v>
      </c>
      <c r="F37" s="94">
        <f>IF($A37="","",IFERROR(SUMPRODUCT((Raw_Data_Daily!$B$2:$B$9999="Variant")*(Raw_Data_Daily!$A$2:$A$9999=$A37)*(Raw_Data_Daily!$C$2:$C$9999=$C$3)*Raw_Data_Daily!$D$2:$D$9999*Raw_Data_Daily!$E$2:$E$9999)/SUMIFS(Raw_Data_Daily!$D:$D, Raw_Data_Daily!$B:$B, "Variant", Raw_Data_Daily!$A:$A, $A37, Raw_Data_Daily!$C:$C, $C$3),""))</f>
        <v>23.18</v>
      </c>
      <c r="G37" s="93">
        <f t="shared" si="2"/>
        <v>0.0126692879</v>
      </c>
      <c r="H37" s="95">
        <f>IF($A37="","",SUMIFS(Raw_Data_Daily!$F:$F, Raw_Data_Daily!$B:$B, "Control", Raw_Data_Daily!$A:$A, $A37, Raw_Data_Daily!$C:$C, $C$3))</f>
        <v>1252.77</v>
      </c>
      <c r="I37" s="95">
        <f>IF($A37="","",SUMIFS(Raw_Data_Daily!$F:$F, Raw_Data_Daily!$B:$B, "Variant", Raw_Data_Daily!$A:$A, $A37, Raw_Data_Daily!$C:$C, $C$3))</f>
        <v>1343.81</v>
      </c>
      <c r="J37" s="96">
        <f t="shared" si="3"/>
        <v>0.07267096115</v>
      </c>
      <c r="K37" s="97">
        <f>IF($A37="","",IFERROR(SUMIFS(Raw_Data_Daily!$F:$F, Raw_Data_Daily!$B:$B, "Control", Raw_Data_Daily!$A:$A, $A37, Raw_Data_Daily!$C:$C, $C$3)/SUMIFS(Raw_Data_Daily!$D:$D, Raw_Data_Daily!$B:$B, "Control", Raw_Data_Daily!$A:$A, $A37, Raw_Data_Daily!$C:$C, $C$3),""))</f>
        <v>0.1375008232</v>
      </c>
      <c r="L37" s="97">
        <f>IF($A37="","",IFERROR(SUMIFS(Raw_Data_Daily!$F:$F, Raw_Data_Daily!$B:$B, "Variant", Raw_Data_Daily!$A:$A, $A37, Raw_Data_Daily!$C:$C, $C$3)/SUMIFS(Raw_Data_Daily!$D:$D, Raw_Data_Daily!$B:$B, "Variant", Raw_Data_Daily!$A:$A, $A37, Raw_Data_Daily!$C:$C, $C$3),""))</f>
        <v>0.1450885338</v>
      </c>
      <c r="M37" s="96">
        <f t="shared" si="4"/>
        <v>0.05518301955</v>
      </c>
      <c r="N37" s="94">
        <f>IF($A37="","",IFERROR(SUMPRODUCT((Raw_Data_Daily!$B$2:$B$9999="Control")*(Raw_Data_Daily!$A$2:$A$9999=$A37)*(Raw_Data_Daily!$C$2:$C$9999=$C$3)*Raw_Data_Daily!$D$2:$D$9999*Raw_Data_Daily!$H$2:$H$9999/100)/SUMIFS(Raw_Data_Daily!$D:$D, Raw_Data_Daily!$B:$B, "Control", Raw_Data_Daily!$A:$A, $A37, Raw_Data_Daily!$C:$C, $C$3)*100,""))</f>
        <v>3.72</v>
      </c>
      <c r="O37" s="94">
        <f>IF($A37="","",IFERROR(SUMPRODUCT((Raw_Data_Daily!$B$2:$B$9999="Variant")*(Raw_Data_Daily!$A$2:$A$9999=$A37)*(Raw_Data_Daily!$C$2:$C$9999=$C$3)*Raw_Data_Daily!$D$2:$D$9999*Raw_Data_Daily!$H$2:$H$9999/100)/SUMIFS(Raw_Data_Daily!$D:$D, Raw_Data_Daily!$B:$B, "Variant", Raw_Data_Daily!$A:$A, $A37, Raw_Data_Daily!$C:$C, $C$3)*100,""))</f>
        <v>3.45</v>
      </c>
      <c r="P37" s="96">
        <f t="shared" si="5"/>
        <v>-0.07258064516</v>
      </c>
      <c r="Q37" s="97">
        <f>IF($A37="","",IFERROR(SUMIFS(Raw_Data_Daily!$F:$F, Raw_Data_Daily!$B:$B, "Control", Raw_Data_Daily!$A:$A, $A37, Raw_Data_Daily!$C:$C, $C$3)/SUMPRODUCT((Raw_Data_Daily!$B$2:$B$9999="Control")*(Raw_Data_Daily!$A$2:$A$9999=$A37)*(Raw_Data_Daily!$C$2:$C$9999=$C$3)*Raw_Data_Daily!$D$2:$D$9999*Raw_Data_Daily!$H$2:$H$9999/100),""))</f>
        <v>3.696258688</v>
      </c>
      <c r="R37" s="97">
        <f>IF($A37="","",IFERROR(SUMIFS(Raw_Data_Daily!$F:$F, Raw_Data_Daily!$B:$B, "Variant", Raw_Data_Daily!$A:$A, $A37, Raw_Data_Daily!$C:$C, $C$3)/SUMPRODUCT((Raw_Data_Daily!$B$2:$B$9999="Variant")*(Raw_Data_Daily!$A$2:$A$9999=$A37)*(Raw_Data_Daily!$C$2:$C$9999=$C$3)*Raw_Data_Daily!$D$2:$D$9999*Raw_Data_Daily!$H$2:$H$9999/100),""))</f>
        <v>4.205464748</v>
      </c>
      <c r="S37" s="96">
        <f t="shared" si="6"/>
        <v>0.1377625602</v>
      </c>
      <c r="T37" s="121">
        <f>IF($A37="","",IFERROR(SUMPRODUCT((Raw_Data_Daily!$B$2:$B$9999="Control")*(Raw_Data_Daily!$A$2:$A$9999=$A37)*(Raw_Data_Daily!$C$2:$C$9999=$C$3)*Raw_Data_Daily!$D$2:$D$9999*Raw_Data_Daily!$J$2:$J$9999)/SUMIFS(Raw_Data_Daily!$D:$D, Raw_Data_Daily!$B:$B, "Control", Raw_Data_Daily!$A:$A, $A37, Raw_Data_Daily!$C:$C, $C$3),""))</f>
        <v>48.96</v>
      </c>
      <c r="U37" s="121">
        <f>IF($A37="","",IFERROR(SUMPRODUCT((Raw_Data_Daily!$B$2:$B$9999="Variant")*(Raw_Data_Daily!$A$2:$A$9999=$A37)*(Raw_Data_Daily!$C$2:$C$9999=$C$3)*Raw_Data_Daily!$D$2:$D$9999*Raw_Data_Daily!$J$2:$J$9999)/SUMIFS(Raw_Data_Daily!$D:$D, Raw_Data_Daily!$B:$B, "Variant", Raw_Data_Daily!$A:$A, $A37, Raw_Data_Daily!$C:$C, $C$3),""))</f>
        <v>50.21</v>
      </c>
      <c r="V37" s="96">
        <f t="shared" si="7"/>
        <v>0.02553104575</v>
      </c>
      <c r="W37" s="121">
        <f>IF($A37="","",IFERROR(SUMPRODUCT((Raw_Data_Daily!$B$2:$B$9999="Control")*(Raw_Data_Daily!$A$2:$A$9999=$A37)*(Raw_Data_Daily!$C$2:$C$9999=$C$3)*Raw_Data_Daily!$D$2:$D$9999*Raw_Data_Daily!$K$2:$K$9999)/SUMIFS(Raw_Data_Daily!$D:$D, Raw_Data_Daily!$B:$B, "Control", Raw_Data_Daily!$A:$A, $A37, Raw_Data_Daily!$C:$C, $C$3),""))</f>
        <v>26.27</v>
      </c>
      <c r="X37" s="121">
        <f>IF($A37="","",IFERROR(SUMPRODUCT((Raw_Data_Daily!$B$2:$B$9999="Variant")*(Raw_Data_Daily!$A$2:$A$9999=$A37)*(Raw_Data_Daily!$C$2:$C$9999=$C$3)*Raw_Data_Daily!$D$2:$D$9999*Raw_Data_Daily!$K$2:$K$9999)/SUMIFS(Raw_Data_Daily!$D:$D, Raw_Data_Daily!$B:$B, "Variant", Raw_Data_Daily!$A:$A, $A37, Raw_Data_Daily!$C:$C, $C$3),""))</f>
        <v>26.61</v>
      </c>
      <c r="Y37" s="96">
        <f t="shared" si="8"/>
        <v>0.01294251998</v>
      </c>
      <c r="Z37" s="121">
        <f>IF($A37="","",IFERROR(SUMPRODUCT((Raw_Data_Daily!$B$2:$B$9999="Control")*(Raw_Data_Daily!$A$2:$A$9999=$A37)*(Raw_Data_Daily!$C$2:$C$9999=$C$3)*Raw_Data_Daily!$D$2:$D$9999*Raw_Data_Daily!$L$2:$L$9999)/SUMIFS(Raw_Data_Daily!$D:$D, Raw_Data_Daily!$B:$B, "Control", Raw_Data_Daily!$A:$A, $A37, Raw_Data_Daily!$C:$C, $C$3),""))</f>
        <v>13.83</v>
      </c>
      <c r="AA37" s="121">
        <f>IF($A37="","",IFERROR(SUMPRODUCT((Raw_Data_Daily!$B$2:$B$9999="Variant")*(Raw_Data_Daily!$A$2:$A$9999=$A37)*(Raw_Data_Daily!$C$2:$C$9999=$C$3)*Raw_Data_Daily!$D$2:$D$9999*Raw_Data_Daily!$L$2:$L$9999)/SUMIFS(Raw_Data_Daily!$D:$D, Raw_Data_Daily!$B:$B, "Variant", Raw_Data_Daily!$A:$A, $A37, Raw_Data_Daily!$C:$C, $C$3),""))</f>
        <v>14.03</v>
      </c>
      <c r="AB37" s="96">
        <f t="shared" si="9"/>
        <v>0.01446131598</v>
      </c>
      <c r="AC37" s="139">
        <f>IF($A37="","",IFERROR(SUMPRODUCT((Raw_Data_Daily!$B$2:$B$9999="Control")*(Raw_Data_Daily!$A$2:$A$9999=$A37)*(Raw_Data_Daily!$C$2:$C$9999=$C$3)*Raw_Data_Daily!$D$2:$D$9999*Raw_Data_Daily!$M$2:$M$9999)/SUMIFS(Raw_Data_Daily!$D:$D, Raw_Data_Daily!$B:$B, "Control", Raw_Data_Daily!$A:$A, $A37, Raw_Data_Daily!$C:$C, $C$3),""))</f>
        <v>0.5264</v>
      </c>
      <c r="AD37" s="139">
        <f>IF($A37="","",IFERROR(SUMPRODUCT((Raw_Data_Daily!$B$2:$B$9999="Variant")*(Raw_Data_Daily!$A$2:$A$9999=$A37)*(Raw_Data_Daily!$C$2:$C$9999=$C$3)*Raw_Data_Daily!$D$2:$D$9999*Raw_Data_Daily!$M$2:$M$9999)/SUMIFS(Raw_Data_Daily!$D:$D, Raw_Data_Daily!$B:$B, "Variant", Raw_Data_Daily!$A:$A, $A37, Raw_Data_Daily!$C:$C, $C$3),""))</f>
        <v>0.5274</v>
      </c>
      <c r="AE37" s="142">
        <f t="shared" si="10"/>
        <v>0.001899696049</v>
      </c>
      <c r="AF37" s="139">
        <f>IF($A37="","",IFERROR(SUMPRODUCT((Raw_Data_Daily!$B$2:$B$9999="Control")*(Raw_Data_Daily!$A$2:$A$9999=$A37)*(Raw_Data_Daily!$C$2:$C$9999=$C$3)*Raw_Data_Daily!$D$2:$D$9999*Raw_Data_Daily!$N$2:$N$9999)/SUMIFS(Raw_Data_Daily!$D:$D, Raw_Data_Daily!$B:$B, "Control", Raw_Data_Daily!$A:$A, $A37, Raw_Data_Daily!$C:$C, $C$3),""))</f>
        <v>0.5984</v>
      </c>
      <c r="AG37" s="139">
        <f>IF($A37="","",IFERROR(SUMPRODUCT((Raw_Data_Daily!$B$2:$B$9999="Variant")*(Raw_Data_Daily!$A$2:$A$9999=$A37)*(Raw_Data_Daily!$C$2:$C$9999=$C$3)*Raw_Data_Daily!$D$2:$D$9999*Raw_Data_Daily!$N$2:$N$9999)/SUMIFS(Raw_Data_Daily!$D:$D, Raw_Data_Daily!$B:$B, "Variant", Raw_Data_Daily!$A:$A, $A37, Raw_Data_Daily!$C:$C, $C$3),""))</f>
        <v>0.5945</v>
      </c>
      <c r="AH37" s="142">
        <f t="shared" si="11"/>
        <v>-0.006517379679</v>
      </c>
      <c r="AI37" s="139">
        <f>IF($A37="","",IFERROR(SUMPRODUCT((Raw_Data_Daily!$B$2:$B$9999="Control")*(Raw_Data_Daily!$A$2:$A$9999=$A37)*(Raw_Data_Daily!$C$2:$C$9999=$C$3)*Raw_Data_Daily!$D$2:$D$9999*Raw_Data_Daily!$O$2:$O$9999)/SUMIFS(Raw_Data_Daily!$D:$D, Raw_Data_Daily!$B:$B, "Control", Raw_Data_Daily!$A:$A, $A37, Raw_Data_Daily!$C:$C, $C$3),""))</f>
        <v>0.3501</v>
      </c>
      <c r="AJ37" s="139">
        <f>IF($A37="","",IFERROR(SUMPRODUCT((Raw_Data_Daily!$B$2:$B$9999="Variant")*(Raw_Data_Daily!$A$2:$A$9999=$A37)*(Raw_Data_Daily!$C$2:$C$9999=$C$3)*Raw_Data_Daily!$D$2:$D$9999*Raw_Data_Daily!$O$2:$O$9999)/SUMIFS(Raw_Data_Daily!$D:$D, Raw_Data_Daily!$B:$B, "Variant", Raw_Data_Daily!$A:$A, $A37, Raw_Data_Daily!$C:$C, $C$3),""))</f>
        <v>0.3436</v>
      </c>
      <c r="AK37" s="96">
        <f t="shared" si="12"/>
        <v>-0.01856612396</v>
      </c>
      <c r="AL37" s="121">
        <f>IF($A37="","",IFERROR(SUMPRODUCT((Raw_Data_Daily!$B$2:$B$9999="Control")*(Raw_Data_Daily!$A$2:$A$9999=$A37)*(Raw_Data_Daily!$C$2:$C$9999=$C$3)*Raw_Data_Daily!$D$2:$D$9999*Raw_Data_Daily!$P$2:$P$9999)/SUMIFS(Raw_Data_Daily!$D:$D, Raw_Data_Daily!$B:$B, "Control", Raw_Data_Daily!$A:$A, $A37, Raw_Data_Daily!$C:$C, $C$3),""))</f>
        <v>1.8998</v>
      </c>
      <c r="AM37" s="121">
        <f>IF($A37="","",IFERROR(SUMPRODUCT((Raw_Data_Daily!$B$2:$B$9999="Variant")*(Raw_Data_Daily!$A$2:$A$9999=$A37)*(Raw_Data_Daily!$C$2:$C$9999=$C$3)*Raw_Data_Daily!$D$2:$D$9999*Raw_Data_Daily!$P$2:$P$9999)/SUMIFS(Raw_Data_Daily!$D:$D, Raw_Data_Daily!$B:$B, "Variant", Raw_Data_Daily!$A:$A, $A37, Raw_Data_Daily!$C:$C, $C$3),""))</f>
        <v>1.896</v>
      </c>
      <c r="AN37" s="96">
        <f t="shared" si="13"/>
        <v>-0.002000210548</v>
      </c>
      <c r="AO37" s="121">
        <f>IF($A37="","",IFERROR(SUMPRODUCT((Raw_Data_Daily!$B$2:$B$9999="Control")*(Raw_Data_Daily!$A$2:$A$9999=$A37)*(Raw_Data_Daily!$C$2:$C$9999=$C$3)*Raw_Data_Daily!$D$2:$D$9999*Raw_Data_Daily!$Q$2:$Q$9999)/SUMIFS(Raw_Data_Daily!$D:$D, Raw_Data_Daily!$B:$B, "Control", Raw_Data_Daily!$A:$A, $A37, Raw_Data_Daily!$C:$C, $C$3),""))</f>
        <v>84.29</v>
      </c>
      <c r="AP37" s="121">
        <f>IF($A37="","",IFERROR(SUMPRODUCT((Raw_Data_Daily!$B$2:$B$9999="Variant")*(Raw_Data_Daily!$A$2:$A$9999=$A37)*(Raw_Data_Daily!$C$2:$C$9999=$C$3)*Raw_Data_Daily!$D$2:$D$9999*Raw_Data_Daily!$Q$2:$Q$9999)/SUMIFS(Raw_Data_Daily!$D:$D, Raw_Data_Daily!$B:$B, "Variant", Raw_Data_Daily!$A:$A, $A37, Raw_Data_Daily!$C:$C, $C$3),""))</f>
        <v>89.08</v>
      </c>
      <c r="AQ37" s="93">
        <f t="shared" si="14"/>
        <v>0.05682761893</v>
      </c>
      <c r="AR37" s="121">
        <f>IF($A37="","",IFERROR(SUMPRODUCT((Raw_Data_Daily!$B$2:$B$9999="Control")*(Raw_Data_Daily!$A$2:$A$9999=$A37)*(Raw_Data_Daily!$C$2:$C$9999=$C$3)*Raw_Data_Daily!$D$2:$D$9999*Raw_Data_Daily!$R$2:$R$9999)/SUMIFS(Raw_Data_Daily!$D:$D, Raw_Data_Daily!$B:$B, "Control", Raw_Data_Daily!$A:$A, $A37, Raw_Data_Daily!$C:$C, $C$3),""))</f>
        <v>72.73</v>
      </c>
      <c r="AS37" s="121">
        <f>IF($A37="","",IFERROR(SUMPRODUCT((Raw_Data_Daily!$B$2:$B$9999="Variant")*(Raw_Data_Daily!$A$2:$A$9999=$A37)*(Raw_Data_Daily!$C$2:$C$9999=$C$3)*Raw_Data_Daily!$D$2:$D$9999*Raw_Data_Daily!$R$2:$R$9999)/SUMIFS(Raw_Data_Daily!$D:$D, Raw_Data_Daily!$B:$B, "Variant", Raw_Data_Daily!$A:$A, $A37, Raw_Data_Daily!$C:$C, $C$3),""))</f>
        <v>79.73</v>
      </c>
      <c r="AT37" s="93">
        <f t="shared" si="15"/>
        <v>0.09624639076</v>
      </c>
      <c r="AU37" s="121">
        <f>IF($A37="","",IFERROR(SUMPRODUCT((Raw_Data_Daily!$B$2:$B$9999="Control")*(Raw_Data_Daily!$A$2:$A$9999=$A37)*(Raw_Data_Daily!$C$2:$C$9999=$C$3)*Raw_Data_Daily!$D$2:$D$9999*Raw_Data_Daily!$S$2:$S$9999)/SUMIFS(Raw_Data_Daily!$D:$D, Raw_Data_Daily!$B:$B, "Control", Raw_Data_Daily!$A:$A, $A37, Raw_Data_Daily!$C:$C, $C$3),""))</f>
        <v>11.57</v>
      </c>
      <c r="AV37" s="121">
        <f>IF($A37="","",IFERROR(SUMPRODUCT((Raw_Data_Daily!$B$2:$B$9999="Variant")*(Raw_Data_Daily!$A$2:$A$9999=$A37)*(Raw_Data_Daily!$C$2:$C$9999=$C$3)*Raw_Data_Daily!$D$2:$D$9999*Raw_Data_Daily!$S$2:$S$9999)/SUMIFS(Raw_Data_Daily!$D:$D, Raw_Data_Daily!$B:$B, "Variant", Raw_Data_Daily!$A:$A, $A37, Raw_Data_Daily!$C:$C, $C$3),""))</f>
        <v>9.35</v>
      </c>
      <c r="AW37" s="93">
        <f t="shared" si="16"/>
        <v>-0.1918755402</v>
      </c>
      <c r="AX37" s="121">
        <f>IF($A37="","",IFERROR(SUMPRODUCT((Raw_Data_Daily!$B$2:$B$9999="Control")*(Raw_Data_Daily!$A$2:$A$9999=$A37)*(Raw_Data_Daily!$C$2:$C$9999=$C$3)*Raw_Data_Daily!$D$2:$D$9999*Raw_Data_Daily!$T$2:$T$9999)/SUMIFS(Raw_Data_Daily!$D:$D, Raw_Data_Daily!$B:$B, "Control", Raw_Data_Daily!$A:$A, $A37, Raw_Data_Daily!$C:$C, $C$3),""))</f>
        <v>9.98</v>
      </c>
      <c r="AY37" s="121">
        <f>IF($A37="","",IFERROR(SUMPRODUCT((Raw_Data_Daily!$B$2:$B$9999="Variant")*(Raw_Data_Daily!$A$2:$A$9999=$A37)*(Raw_Data_Daily!$C$2:$C$9999=$C$3)*Raw_Data_Daily!$D$2:$D$9999*Raw_Data_Daily!$T$2:$T$9999)/SUMIFS(Raw_Data_Daily!$D:$D, Raw_Data_Daily!$B:$B, "Variant", Raw_Data_Daily!$A:$A, $A37, Raw_Data_Daily!$C:$C, $C$3),""))</f>
        <v>10.45</v>
      </c>
      <c r="AZ37" s="96">
        <f t="shared" si="17"/>
        <v>0.04709418838</v>
      </c>
      <c r="BA37" s="121">
        <f>IF($A37="","",IFERROR(SUMPRODUCT((Raw_Data_Daily!$B$2:$B$9999="Control")*(Raw_Data_Daily!$A$2:$A$9999=$A37)*(Raw_Data_Daily!$C$2:$C$9999=$C$3)*Raw_Data_Daily!$D$2:$D$9999*Raw_Data_Daily!$U$2:$U$9999)/SUMIFS(Raw_Data_Daily!$D:$D, Raw_Data_Daily!$B:$B, "Control", Raw_Data_Daily!$A:$A, $A37, Raw_Data_Daily!$C:$C, $C$3),""))</f>
        <v>74.32</v>
      </c>
      <c r="BB37" s="121">
        <f>IF($A37="","",IFERROR(SUMPRODUCT((Raw_Data_Daily!$B$2:$B$9999="Variant")*(Raw_Data_Daily!$A$2:$A$9999=$A37)*(Raw_Data_Daily!$C$2:$C$9999=$C$3)*Raw_Data_Daily!$D$2:$D$9999*Raw_Data_Daily!$U$2:$U$9999)/SUMIFS(Raw_Data_Daily!$D:$D, Raw_Data_Daily!$B:$B, "Variant", Raw_Data_Daily!$A:$A, $A37, Raw_Data_Daily!$C:$C, $C$3),""))</f>
        <v>78.62</v>
      </c>
      <c r="BC37" s="93">
        <f t="shared" si="18"/>
        <v>0.05785791173</v>
      </c>
      <c r="BD37" s="121">
        <f>IF($A37="","",IFERROR(SUMPRODUCT((Raw_Data_Daily!$B$2:$B$9999="Control")*(Raw_Data_Daily!$A$2:$A$9999=$A37)*(Raw_Data_Daily!$C$2:$C$9999=$C$3)*Raw_Data_Daily!$D$2:$D$9999*Raw_Data_Daily!$V$2:$V$9999)/SUMIFS(Raw_Data_Daily!$D:$D, Raw_Data_Daily!$B:$B, "Control", Raw_Data_Daily!$A:$A, $A37, Raw_Data_Daily!$C:$C, $C$3),""))</f>
        <v>97.65</v>
      </c>
      <c r="BE37" s="121">
        <f>IF($A37="","",IFERROR(SUMPRODUCT((Raw_Data_Daily!$B$2:$B$9999="Variant")*(Raw_Data_Daily!$A$2:$A$9999=$A37)*(Raw_Data_Daily!$C$2:$C$9999=$C$3)*Raw_Data_Daily!$D$2:$D$9999*Raw_Data_Daily!$V$2:$V$9999)/SUMIFS(Raw_Data_Daily!$D:$D, Raw_Data_Daily!$B:$B, "Variant", Raw_Data_Daily!$A:$A, $A37, Raw_Data_Daily!$C:$C, $C$3),""))</f>
        <v>97.26</v>
      </c>
      <c r="BF37" s="93">
        <f t="shared" si="19"/>
        <v>-0.003993855607</v>
      </c>
      <c r="BG37" s="121">
        <f>IF($A37="","",IFERROR(SUMPRODUCT((Raw_Data_Daily!$B$2:$B$9999="Control")*(Raw_Data_Daily!$A$2:$A$9999=$A37)*(Raw_Data_Daily!$C$2:$C$9999=$C$3)*Raw_Data_Daily!$D$2:$D$9999*(Raw_Data_Daily!$Q$2:$Q$9999-Raw_Data_Daily!$V$2:$V$9999))/SUMIFS(Raw_Data_Daily!$D:$D, Raw_Data_Daily!$B:$B, "Control", Raw_Data_Daily!$A:$A, $A37, Raw_Data_Daily!$C:$C, $C$3),""))</f>
        <v>-13.36</v>
      </c>
      <c r="BH37" s="121">
        <f>IF($A37="","",IFERROR(SUMPRODUCT((Raw_Data_Daily!$B$2:$B$9999="Variant")*(Raw_Data_Daily!$A$2:$A$9999=$A37)*(Raw_Data_Daily!$C$2:$C$9999=$C$3)*Raw_Data_Daily!$D$2:$D$9999*(Raw_Data_Daily!$Q$2:$Q$9999-Raw_Data_Daily!$V$2:$V$9999))/SUMIFS(Raw_Data_Daily!$D:$D, Raw_Data_Daily!$B:$B, "Variant", Raw_Data_Daily!$A:$A, $A37, Raw_Data_Daily!$C:$C, $C$3),""))</f>
        <v>-8.18</v>
      </c>
      <c r="BI37" s="93">
        <f t="shared" si="20"/>
        <v>0.3877245509</v>
      </c>
      <c r="BJ37" s="121">
        <f>IF($A37="","",IFERROR(SUMPRODUCT((Raw_Data_Daily!$B$2:$B$9999="Control")*(Raw_Data_Daily!$A$2:$A$9999=$A37)*(Raw_Data_Daily!$C$2:$C$9999=$C$3)*Raw_Data_Daily!$D$2:$D$9999*Raw_Data_Daily!$W$2:$W$9999)/SUMIFS(Raw_Data_Daily!$D:$D, Raw_Data_Daily!$B:$B, "Control", Raw_Data_Daily!$A:$A, $A37, Raw_Data_Daily!$C:$C, $C$3),""))</f>
        <v>3.7176</v>
      </c>
      <c r="BK37" s="121">
        <f>IF($A37="","",IFERROR(SUMPRODUCT((Raw_Data_Daily!$B$2:$B$9999="Variant")*(Raw_Data_Daily!$A$2:$A$9999=$A37)*(Raw_Data_Daily!$C$2:$C$9999=$C$3)*Raw_Data_Daily!$D$2:$D$9999*Raw_Data_Daily!$W$2:$W$9999)/SUMIFS(Raw_Data_Daily!$D:$D, Raw_Data_Daily!$B:$B, "Variant", Raw_Data_Daily!$A:$A, $A37, Raw_Data_Daily!$C:$C, $C$3),""))</f>
        <v>3.6555</v>
      </c>
      <c r="BL37" s="93">
        <f t="shared" si="21"/>
        <v>-0.01670432537</v>
      </c>
      <c r="BM37" s="139">
        <f>IF($A37="","",IFERROR(SUMPRODUCT((Raw_Data_Daily!$B$2:$B$9999="Control")*(Raw_Data_Daily!$A$2:$A$9999=$A37)*(Raw_Data_Daily!$C$2:$C$9999=$C$3)*Raw_Data_Daily!$D$2:$D$9999*Raw_Data_Daily!$X$2:$X$9999)/SUMIFS(Raw_Data_Daily!$D:$D, Raw_Data_Daily!$B:$B, "Control", Raw_Data_Daily!$A:$A, $A37, Raw_Data_Daily!$C:$C, $C$3),""))</f>
        <v>11.84</v>
      </c>
      <c r="BN37" s="139">
        <f>IF($A37="","",IFERROR(SUMPRODUCT((Raw_Data_Daily!$B$2:$B$9999="Variant")*(Raw_Data_Daily!$A$2:$A$9999=$A37)*(Raw_Data_Daily!$C$2:$C$9999=$C$3)*Raw_Data_Daily!$D$2:$D$9999*Raw_Data_Daily!$X$2:$X$9999)/SUMIFS(Raw_Data_Daily!$D:$D, Raw_Data_Daily!$B:$B, "Variant", Raw_Data_Daily!$A:$A, $A37, Raw_Data_Daily!$C:$C, $C$3),""))</f>
        <v>11.73</v>
      </c>
      <c r="BO37" s="96">
        <f t="shared" si="22"/>
        <v>-0.009290540541</v>
      </c>
      <c r="BP37" s="92">
        <f>IF($A37="","",IFERROR(SUMPRODUCT((Raw_Data_Daily!$B$2:$B$9999="Control")*(Raw_Data_Daily!$A$2:$A$9999=$A37)*(Raw_Data_Daily!$C$2:$C$9999=$C$3)*Raw_Data_Daily!$D$2:$D$9999*Raw_Data_Daily!$Y$2:$Y$9999)/SUMIFS(Raw_Data_Daily!$D:$D, Raw_Data_Daily!$B:$B, "Control", Raw_Data_Daily!$A:$A, $A37, Raw_Data_Daily!$C:$C, $C$3),""))</f>
        <v>201</v>
      </c>
      <c r="BQ37" s="92">
        <f>IF($A37="","",IFERROR(SUMPRODUCT((Raw_Data_Daily!$B$2:$B$9999="Variant")*(Raw_Data_Daily!$A$2:$A$9999=$A37)*(Raw_Data_Daily!$C$2:$C$9999=$C$3)*Raw_Data_Daily!$D$2:$D$9999*Raw_Data_Daily!$Y$2:$Y$9999)/SUMIFS(Raw_Data_Daily!$D:$D, Raw_Data_Daily!$B:$B, "Variant", Raw_Data_Daily!$A:$A, $A37, Raw_Data_Daily!$C:$C, $C$3),""))</f>
        <v>200</v>
      </c>
      <c r="BR37" s="93">
        <f t="shared" si="23"/>
        <v>-0.004975124378</v>
      </c>
      <c r="BS37" s="92">
        <f>IF($A37="","",IFERROR(SUMPRODUCT((Raw_Data_Daily!$B$2:$B$9999="Control")*(Raw_Data_Daily!$A$2:$A$9999=$A37)*(Raw_Data_Daily!$C$2:$C$9999=$C$3)*Raw_Data_Daily!$D$2:$D$9999*Raw_Data_Daily!$Z$2:$Z$9999)/SUMIFS(Raw_Data_Daily!$D:$D, Raw_Data_Daily!$B:$B, "Control", Raw_Data_Daily!$A:$A, $A37, Raw_Data_Daily!$C:$C, $C$3),""))</f>
        <v>458</v>
      </c>
      <c r="BT37" s="92">
        <f>IF($A37="","",IFERROR(SUMPRODUCT((Raw_Data_Daily!$B$2:$B$9999="Variant")*(Raw_Data_Daily!$A$2:$A$9999=$A37)*(Raw_Data_Daily!$C$2:$C$9999=$C$3)*Raw_Data_Daily!$D$2:$D$9999*Raw_Data_Daily!$Z$2:$Z$9999)/SUMIFS(Raw_Data_Daily!$D:$D, Raw_Data_Daily!$B:$B, "Variant", Raw_Data_Daily!$A:$A, $A37, Raw_Data_Daily!$C:$C, $C$3),""))</f>
        <v>408</v>
      </c>
      <c r="BU37" s="93">
        <f t="shared" si="24"/>
        <v>-0.1091703057</v>
      </c>
      <c r="BV37" s="92">
        <f>IF($A37="","",IFERROR(SUMPRODUCT((Raw_Data_Daily!$B$2:$B$9999="Control")*(Raw_Data_Daily!$A$2:$A$9999=$A37)*(Raw_Data_Daily!$C$2:$C$9999=$C$3)*Raw_Data_Daily!$D$2:$D$9999*Raw_Data_Daily!$AA$2:$AA$9999)/SUMIFS(Raw_Data_Daily!$D:$D, Raw_Data_Daily!$B:$B, "Control", Raw_Data_Daily!$A:$A, $A37, Raw_Data_Daily!$C:$C, $C$3),""))</f>
        <v>1802</v>
      </c>
      <c r="BW37" s="92">
        <f>IF($A37="","",IFERROR(SUMPRODUCT((Raw_Data_Daily!$B$2:$B$9999="Variant")*(Raw_Data_Daily!$A$2:$A$9999=$A37)*(Raw_Data_Daily!$C$2:$C$9999=$C$3)*Raw_Data_Daily!$D$2:$D$9999*Raw_Data_Daily!$AA$2:$AA$9999)/SUMIFS(Raw_Data_Daily!$D:$D, Raw_Data_Daily!$B:$B, "Variant", Raw_Data_Daily!$A:$A, $A37, Raw_Data_Daily!$C:$C, $C$3),""))</f>
        <v>1490</v>
      </c>
      <c r="BX37" s="93">
        <f t="shared" si="25"/>
        <v>-0.1731409545</v>
      </c>
      <c r="BY37" s="121">
        <f>IF($A37="","",IFERROR(SUMPRODUCT((Raw_Data_Daily!$B$2:$B$9999="Control")*(Raw_Data_Daily!$A$2:$A$9999=$A37)*(Raw_Data_Daily!$C$2:$C$9999=$C$3)*Raw_Data_Daily!$D$2:$D$9999*Raw_Data_Daily!$AB$2:$AB$9999)/SUMIFS(Raw_Data_Daily!$D:$D, Raw_Data_Daily!$B:$B, "Control", Raw_Data_Daily!$A:$A, $A37, Raw_Data_Daily!$C:$C, $C$3),""))</f>
        <v>51.9427</v>
      </c>
      <c r="BZ37" s="121">
        <f>IF($A37="","",IFERROR(SUMPRODUCT((Raw_Data_Daily!$B$2:$B$9999="Variant")*(Raw_Data_Daily!$A$2:$A$9999=$A37)*(Raw_Data_Daily!$C$2:$C$9999=$C$3)*Raw_Data_Daily!$D$2:$D$9999*Raw_Data_Daily!$AB$2:$AB$9999)/SUMIFS(Raw_Data_Daily!$D:$D, Raw_Data_Daily!$B:$B, "Variant", Raw_Data_Daily!$A:$A, $A37, Raw_Data_Daily!$C:$C, $C$3),""))</f>
        <v>51.5889</v>
      </c>
      <c r="CA37" s="96">
        <f t="shared" si="26"/>
        <v>-0.00681135174</v>
      </c>
      <c r="CB37" s="121">
        <f>IF($A37="","",IFERROR(SUMPRODUCT((Raw_Data_Daily!$B$2:$B$9999="Control")*(Raw_Data_Daily!$A$2:$A$9999=$A37)*(Raw_Data_Daily!$C$2:$C$9999=$C$3)*Raw_Data_Daily!$D$2:$D$9999*Raw_Data_Daily!$AC$2:$AC$9999)/SUMIFS(Raw_Data_Daily!$D:$D, Raw_Data_Daily!$B:$B, "Control", Raw_Data_Daily!$A:$A, $A37, Raw_Data_Daily!$C:$C, $C$3),""))</f>
        <v>0.6346</v>
      </c>
      <c r="CC37" s="121">
        <f>IF($A37="","",IFERROR(SUMPRODUCT((Raw_Data_Daily!$B$2:$B$9999="Variant")*(Raw_Data_Daily!$A$2:$A$9999=$A37)*(Raw_Data_Daily!$C$2:$C$9999=$C$3)*Raw_Data_Daily!$D$2:$D$9999*Raw_Data_Daily!$AC$2:$AC$9999)/SUMIFS(Raw_Data_Daily!$D:$D, Raw_Data_Daily!$B:$B, "Variant", Raw_Data_Daily!$A:$A, $A37, Raw_Data_Daily!$C:$C, $C$3),""))</f>
        <v>0.6308</v>
      </c>
      <c r="CD37" s="96">
        <f t="shared" si="27"/>
        <v>-0.005988023952</v>
      </c>
      <c r="CE37" s="121">
        <f>IF($A37="","",IFERROR(SUMPRODUCT((Raw_Data_Daily!$B$2:$B$9999="Control")*(Raw_Data_Daily!$A$2:$A$9999=$A37)*(Raw_Data_Daily!$C$2:$C$9999=$C$3)*Raw_Data_Daily!$D$2:$D$9999*Raw_Data_Daily!$AD$2:$AD$9999)/SUMIFS(Raw_Data_Daily!$D:$D, Raw_Data_Daily!$B:$B, "Control", Raw_Data_Daily!$A:$A, $A37, Raw_Data_Daily!$C:$C, $C$3),""))</f>
        <v>8.87</v>
      </c>
      <c r="CF37" s="121">
        <f>IF($A37="","",IFERROR(SUMPRODUCT((Raw_Data_Daily!$B$2:$B$9999="Variant")*(Raw_Data_Daily!$A$2:$A$9999=$A37)*(Raw_Data_Daily!$C$2:$C$9999=$C$3)*Raw_Data_Daily!$D$2:$D$9999*Raw_Data_Daily!$AD$2:$AD$9999)/SUMIFS(Raw_Data_Daily!$D:$D, Raw_Data_Daily!$B:$B, "Variant", Raw_Data_Daily!$A:$A, $A37, Raw_Data_Daily!$C:$C, $C$3),""))</f>
        <v>9.14</v>
      </c>
      <c r="CG37" s="96">
        <f t="shared" si="28"/>
        <v>0.03043968433</v>
      </c>
      <c r="CH37" s="121">
        <f>IF($A37="","",IFERROR(SUMPRODUCT((Raw_Data_Daily!$B$2:$B$9999="Control")*(Raw_Data_Daily!$A$2:$A$9999=$A37)*(Raw_Data_Daily!$C$2:$C$9999=$C$3)*Raw_Data_Daily!$D$2:$D$9999*Raw_Data_Daily!$AE$2:$AE$9999)/SUMIFS(Raw_Data_Daily!$D:$D, Raw_Data_Daily!$B:$B, "Control", Raw_Data_Daily!$A:$A, $A37, Raw_Data_Daily!$C:$C, $C$3),""))</f>
        <v>4</v>
      </c>
      <c r="CI37" s="121">
        <f>IF($A37="","",IFERROR(SUMPRODUCT((Raw_Data_Daily!$B$2:$B$9999="Variant")*(Raw_Data_Daily!$A$2:$A$9999=$A37)*(Raw_Data_Daily!$C$2:$C$9999=$C$3)*Raw_Data_Daily!$D$2:$D$9999*Raw_Data_Daily!$AE$2:$AE$9999)/SUMIFS(Raw_Data_Daily!$D:$D, Raw_Data_Daily!$B:$B, "Variant", Raw_Data_Daily!$A:$A, $A37, Raw_Data_Daily!$C:$C, $C$3),""))</f>
        <v>4</v>
      </c>
      <c r="CJ37" s="96">
        <f t="shared" si="29"/>
        <v>0</v>
      </c>
      <c r="CK37" s="121">
        <f>IF($A37="","",IFERROR(SUMPRODUCT((Raw_Data_Daily!$B$2:$B$9999="Control")*(Raw_Data_Daily!$A$2:$A$9999=$A37)*(Raw_Data_Daily!$C$2:$C$9999=$C$3)*Raw_Data_Daily!$D$2:$D$9999*Raw_Data_Daily!$AF$2:$AF$9999)/SUMIFS(Raw_Data_Daily!$D:$D, Raw_Data_Daily!$B:$B, "Control", Raw_Data_Daily!$A:$A, $A37, Raw_Data_Daily!$C:$C, $C$3),""))</f>
        <v>7</v>
      </c>
      <c r="CL37" s="121">
        <f>IF($A37="","",IFERROR(SUMPRODUCT((Raw_Data_Daily!$B$2:$B$9999="Variant")*(Raw_Data_Daily!$A$2:$A$9999=$A37)*(Raw_Data_Daily!$C$2:$C$9999=$C$3)*Raw_Data_Daily!$D$2:$D$9999*Raw_Data_Daily!$AF$2:$AF$9999)/SUMIFS(Raw_Data_Daily!$D:$D, Raw_Data_Daily!$B:$B, "Variant", Raw_Data_Daily!$A:$A, $A37, Raw_Data_Daily!$C:$C, $C$3),""))</f>
        <v>8</v>
      </c>
      <c r="CM37" s="96">
        <f t="shared" si="30"/>
        <v>0.1428571429</v>
      </c>
      <c r="CN37" s="121">
        <f>IF($A37="","",IFERROR(SUMPRODUCT((Raw_Data_Daily!$B$2:$B$9999="Control")*(Raw_Data_Daily!$A$2:$A$9999=$A37)*(Raw_Data_Daily!$C$2:$C$9999=$C$3)*Raw_Data_Daily!$D$2:$D$9999*Raw_Data_Daily!$AG$2:$AG$9999)/SUMIFS(Raw_Data_Daily!$D:$D, Raw_Data_Daily!$B:$B, "Control", Raw_Data_Daily!$A:$A, $A37, Raw_Data_Daily!$C:$C, $C$3),""))</f>
        <v>12</v>
      </c>
      <c r="CO37" s="121">
        <f>IF($A37="","",IFERROR(SUMPRODUCT((Raw_Data_Daily!$B$2:$B$9999="Variant")*(Raw_Data_Daily!$A$2:$A$9999=$A37)*(Raw_Data_Daily!$C$2:$C$9999=$C$3)*Raw_Data_Daily!$D$2:$D$9999*Raw_Data_Daily!$AG$2:$AG$9999)/SUMIFS(Raw_Data_Daily!$D:$D, Raw_Data_Daily!$B:$B, "Variant", Raw_Data_Daily!$A:$A, $A37, Raw_Data_Daily!$C:$C, $C$3),""))</f>
        <v>13</v>
      </c>
      <c r="CP37" s="96">
        <f t="shared" si="31"/>
        <v>0.08333333333</v>
      </c>
      <c r="CQ37" s="121">
        <f>IF($A37="","",IFERROR(SUMPRODUCT((Raw_Data_Daily!$B$2:$B$9999="Control")*(Raw_Data_Daily!$A$2:$A$9999=$A37)*(Raw_Data_Daily!$C$2:$C$9999=$C$3)*Raw_Data_Daily!$D$2:$D$9999*Raw_Data_Daily!$AH$2:$AH$9999)/SUMIFS(Raw_Data_Daily!$D:$D, Raw_Data_Daily!$B:$B, "Control", Raw_Data_Daily!$A:$A, $A37, Raw_Data_Daily!$C:$C, $C$3),""))</f>
        <v>18</v>
      </c>
      <c r="CR37" s="121">
        <f>IF($A37="","",IFERROR(SUMPRODUCT((Raw_Data_Daily!$B$2:$B$9999="Variant")*(Raw_Data_Daily!$A$2:$A$9999=$A37)*(Raw_Data_Daily!$C$2:$C$9999=$C$3)*Raw_Data_Daily!$D$2:$D$9999*Raw_Data_Daily!$AH$2:$AH$9999)/SUMIFS(Raw_Data_Daily!$D:$D, Raw_Data_Daily!$B:$B, "Variant", Raw_Data_Daily!$A:$A, $A37, Raw_Data_Daily!$C:$C, $C$3),""))</f>
        <v>18</v>
      </c>
      <c r="CS37" s="96">
        <f t="shared" si="32"/>
        <v>0</v>
      </c>
      <c r="CT37" s="94">
        <f>IF($A37="","",IFERROR(SUMPRODUCT((Raw_Data_Daily!$B$2:$B$9999="Control")*(Raw_Data_Daily!$A$2:$A$9999=$A37)*(Raw_Data_Daily!$C$2:$C$9999=$C$3)*Raw_Data_Daily!$D$2:$D$9999*Raw_Data_Daily!$AI$2:$AI$9999)/SUMIFS(Raw_Data_Daily!$D:$D, Raw_Data_Daily!$B:$B, "Control", Raw_Data_Daily!$A:$A, $A37, Raw_Data_Daily!$C:$C, $C$3),""))</f>
        <v>60.65</v>
      </c>
      <c r="CU37" s="94">
        <f>IF($A37="","",IFERROR(SUMPRODUCT((Raw_Data_Daily!$B$2:$B$9999="Variant")*(Raw_Data_Daily!$A$2:$A$9999=$A37)*(Raw_Data_Daily!$C$2:$C$9999=$C$3)*Raw_Data_Daily!$D$2:$D$9999*Raw_Data_Daily!$AI$2:$AI$9999)/SUMIFS(Raw_Data_Daily!$D:$D, Raw_Data_Daily!$B:$B, "Variant", Raw_Data_Daily!$A:$A, $A37, Raw_Data_Daily!$C:$C, $C$3),""))</f>
        <v>61.85</v>
      </c>
      <c r="CV37" s="142">
        <f t="shared" si="33"/>
        <v>0.0197856554</v>
      </c>
      <c r="CW37" s="94">
        <f>IF($A37="","",IFERROR(SUMPRODUCT((Raw_Data_Daily!$B$2:$B$9999="Control")*(Raw_Data_Daily!$A$2:$A$9999=$A37)*(Raw_Data_Daily!$C$2:$C$9999=$C$3)*Raw_Data_Daily!$D$2:$D$9999*Raw_Data_Daily!$AJ$2:$AJ$9999)/SUMIFS(Raw_Data_Daily!$D:$D, Raw_Data_Daily!$B:$B, "Control", Raw_Data_Daily!$A:$A, $A37, Raw_Data_Daily!$C:$C, $C$3),""))</f>
        <v>23.97</v>
      </c>
      <c r="CX37" s="94">
        <f>IF($A37="","",IFERROR(SUMPRODUCT((Raw_Data_Daily!$B$2:$B$9999="Variant")*(Raw_Data_Daily!$A$2:$A$9999=$A37)*(Raw_Data_Daily!$C$2:$C$9999=$C$3)*Raw_Data_Daily!$D$2:$D$9999*Raw_Data_Daily!$AJ$2:$AJ$9999)/SUMIFS(Raw_Data_Daily!$D:$D, Raw_Data_Daily!$B:$B, "Variant", Raw_Data_Daily!$A:$A, $A37, Raw_Data_Daily!$C:$C, $C$3),""))</f>
        <v>25.25</v>
      </c>
      <c r="CY37" s="142">
        <f t="shared" si="34"/>
        <v>0.05340008344</v>
      </c>
      <c r="CZ37" s="94">
        <f>IF($A37="","",IFERROR(SUMPRODUCT((Raw_Data_Daily!$B$2:$B$9999="Control")*(Raw_Data_Daily!$A$2:$A$9999=$A37)*(Raw_Data_Daily!$C$2:$C$9999=$C$3)*Raw_Data_Daily!$D$2:$D$9999*Raw_Data_Daily!$AK$2:$AK$9999)/SUMIFS(Raw_Data_Daily!$D:$D, Raw_Data_Daily!$B:$B, "Control", Raw_Data_Daily!$A:$A, $A37, Raw_Data_Daily!$C:$C, $C$3),""))</f>
        <v>3.04</v>
      </c>
      <c r="DA37" s="94">
        <f>IF($A37="","",IFERROR(SUMPRODUCT((Raw_Data_Daily!$B$2:$B$9999="Variant")*(Raw_Data_Daily!$A$2:$A$9999=$A37)*(Raw_Data_Daily!$C$2:$C$9999=$C$3)*Raw_Data_Daily!$D$2:$D$9999*Raw_Data_Daily!$AK$2:$AK$9999)/SUMIFS(Raw_Data_Daily!$D:$D, Raw_Data_Daily!$B:$B, "Variant", Raw_Data_Daily!$A:$A, $A37, Raw_Data_Daily!$C:$C, $C$3),""))</f>
        <v>3.37</v>
      </c>
      <c r="DB37" s="96">
        <f t="shared" si="35"/>
        <v>0.1085526316</v>
      </c>
      <c r="DC37" s="139">
        <f>IF($A37="","",IFERROR(SUMPRODUCT((Raw_Data_Daily!$B$2:$B$9999="Control")*(Raw_Data_Daily!$A$2:$A$9999=$A37)*(Raw_Data_Daily!$C$2:$C$9999=$C$3)*Raw_Data_Daily!$D$2:$D$9999*Raw_Data_Daily!$AL$2:$AL$9999)/SUMIFS(Raw_Data_Daily!$D:$D, Raw_Data_Daily!$B:$B, "Control", Raw_Data_Daily!$A:$A, $A37, Raw_Data_Daily!$C:$C, $C$3),""))</f>
        <v>0</v>
      </c>
      <c r="DD37" s="139">
        <f>IF($A37="","",IFERROR(SUMPRODUCT((Raw_Data_Daily!$B$2:$B$9999="Variant")*(Raw_Data_Daily!$A$2:$A$9999=$A37)*(Raw_Data_Daily!$C$2:$C$9999=$C$3)*Raw_Data_Daily!$D$2:$D$9999*Raw_Data_Daily!$AL$2:$AL$9999)/SUMIFS(Raw_Data_Daily!$D:$D, Raw_Data_Daily!$B:$B, "Variant", Raw_Data_Daily!$A:$A, $A37, Raw_Data_Daily!$C:$C, $C$3),""))</f>
        <v>0</v>
      </c>
      <c r="DE37" s="142" t="str">
        <f t="shared" si="36"/>
        <v/>
      </c>
      <c r="DF37" s="168"/>
      <c r="DG37" s="94">
        <f>IF($A37="","",IFERROR(SUMPRODUCT((Raw_Data_Daily!$B$2:$B$9999="Variant")*(Raw_Data_Daily!$A$2:$A$9999=$A37)*(Raw_Data_Daily!$C$2:$C$9999=$C$3)*Raw_Data_Daily!$D$2:$D$9999*Raw_Data_Daily!$AM$2:$AM$9999)/SUMIFS(Raw_Data_Daily!$D:$D, Raw_Data_Daily!$B:$B, "Variant", Raw_Data_Daily!$A:$A, $A37, Raw_Data_Daily!$C:$C, $C$3),""))</f>
        <v>44.05</v>
      </c>
      <c r="DH37" s="169"/>
      <c r="DI37" s="168"/>
      <c r="DJ37" s="94">
        <f>IF($A37="","",IFERROR(SUMPRODUCT((Raw_Data_Daily!$B$2:$B$9999="Variant")*(Raw_Data_Daily!$A$2:$A$9999=$A37)*(Raw_Data_Daily!$C$2:$C$9999=$C$3)*Raw_Data_Daily!$D$2:$D$9999*Raw_Data_Daily!$AN$2:$AN$9999)/SUMIFS(Raw_Data_Daily!$D:$D, Raw_Data_Daily!$B:$B, "Variant", Raw_Data_Daily!$A:$A, $A37, Raw_Data_Daily!$C:$C, $C$3),""))</f>
        <v>44.05</v>
      </c>
      <c r="DK37" s="169"/>
      <c r="DL37" s="168"/>
      <c r="DM37" s="94">
        <f>IF($A37="","",IFERROR(SUMPRODUCT((Raw_Data_Daily!$B$2:$B$9999="Variant")*(Raw_Data_Daily!$A$2:$A$9999=$A37)*(Raw_Data_Daily!$C$2:$C$9999=$C$3)*Raw_Data_Daily!$D$2:$D$9999*Raw_Data_Daily!$AO$2:$AO$9999)/SUMIFS(Raw_Data_Daily!$D:$D, Raw_Data_Daily!$B:$B, "Variant", Raw_Data_Daily!$A:$A, $A37, Raw_Data_Daily!$C:$C, $C$3),""))</f>
        <v>24.36</v>
      </c>
      <c r="DN37" s="169"/>
      <c r="DO37" s="168"/>
      <c r="DP37" s="94">
        <f>IF($A37="","",IFERROR(SUMPRODUCT((Raw_Data_Daily!$B$2:$B$9999="Variant")*(Raw_Data_Daily!$A$2:$A$9999=$A37)*(Raw_Data_Daily!$C$2:$C$9999=$C$3)*Raw_Data_Daily!$D$2:$D$9999*Raw_Data_Daily!$AP$2:$AP$9999)/SUMIFS(Raw_Data_Daily!$D:$D, Raw_Data_Daily!$B:$B, "Variant", Raw_Data_Daily!$A:$A, $A37, Raw_Data_Daily!$C:$C, $C$3),""))</f>
        <v>10.26</v>
      </c>
      <c r="DQ37" s="169"/>
      <c r="DR37" s="139">
        <f>IF($A37="","",IFERROR(SUMPRODUCT((Raw_Data_Daily!$B$2:$B$9999="Control")*(Raw_Data_Daily!$A$2:$A$9999=$A37)*(Raw_Data_Daily!$C$2:$C$9999=$C$3)*Raw_Data_Daily!$D$2:$D$9999*Raw_Data_Daily!$AQ$2:$AQ$9999)/SUMIFS(Raw_Data_Daily!$D:$D, Raw_Data_Daily!$B:$B, "Control", Raw_Data_Daily!$A:$A, $A37, Raw_Data_Daily!$C:$C, $C$3),""))</f>
        <v>5.3334</v>
      </c>
      <c r="DS37" s="139">
        <f>IF($A37="","",IFERROR(SUMPRODUCT((Raw_Data_Daily!$B$2:$B$9999="Variant")*(Raw_Data_Daily!$A$2:$A$9999=$A37)*(Raw_Data_Daily!$C$2:$C$9999=$C$3)*Raw_Data_Daily!$D$2:$D$9999*Raw_Data_Daily!$AQ$2:$AQ$9999)/SUMIFS(Raw_Data_Daily!$D:$D, Raw_Data_Daily!$B:$B, "Variant", Raw_Data_Daily!$A:$A, $A37, Raw_Data_Daily!$C:$C, $C$3),""))</f>
        <v>6.6134</v>
      </c>
      <c r="DT37" s="173">
        <f t="shared" si="37"/>
        <v>0.239997</v>
      </c>
      <c r="DU37" s="139">
        <f>IF($A37="","",IFERROR(SUMPRODUCT((Raw_Data_Daily!$B$2:$B$9999="Control")*(Raw_Data_Daily!$A$2:$A$9999=$A37)*(Raw_Data_Daily!$C$2:$C$9999=$C$3)*Raw_Data_Daily!$D$2:$D$9999*Raw_Data_Daily!$AR$2:$AR$9999)/SUMIFS(Raw_Data_Daily!$D:$D, Raw_Data_Daily!$B:$B, "Control", Raw_Data_Daily!$A:$A, $A37, Raw_Data_Daily!$C:$C, $C$3),""))</f>
        <v>0.1391</v>
      </c>
      <c r="DV37" s="139">
        <f>IF($A37="","",IFERROR(SUMPRODUCT((Raw_Data_Daily!$B$2:$B$9999="Variant")*(Raw_Data_Daily!$A$2:$A$9999=$A37)*(Raw_Data_Daily!$C$2:$C$9999=$C$3)*Raw_Data_Daily!$D$2:$D$9999*Raw_Data_Daily!$AR$2:$AR$9999)/SUMIFS(Raw_Data_Daily!$D:$D, Raw_Data_Daily!$B:$B, "Variant", Raw_Data_Daily!$A:$A, $A37, Raw_Data_Daily!$C:$C, $C$3),""))</f>
        <v>0.1584</v>
      </c>
      <c r="DW37" s="173">
        <f t="shared" si="38"/>
        <v>0.1387491014</v>
      </c>
      <c r="DX37" s="139">
        <f>IF($A37="","",IFERROR(SUMPRODUCT((Raw_Data_Daily!$B$2:$B$9999="Control")*(Raw_Data_Daily!$A$2:$A$9999=$A37)*(Raw_Data_Daily!$C$2:$C$9999=$C$3)*Raw_Data_Daily!$D$2:$D$9999*Raw_Data_Daily!$AS$2:$AS$9999)/SUMIFS(Raw_Data_Daily!$D:$D, Raw_Data_Daily!$B:$B, "Control", Raw_Data_Daily!$A:$A, $A37, Raw_Data_Daily!$C:$C, $C$3),""))</f>
        <v>5.1944</v>
      </c>
      <c r="DY37" s="139">
        <f>IF($A37="","",IFERROR(SUMPRODUCT((Raw_Data_Daily!$B$2:$B$9999="Variant")*(Raw_Data_Daily!$A$2:$A$9999=$A37)*(Raw_Data_Daily!$C$2:$C$9999=$C$3)*Raw_Data_Daily!$D$2:$D$9999*Raw_Data_Daily!$AS$2:$AS$9999)/SUMIFS(Raw_Data_Daily!$D:$D, Raw_Data_Daily!$B:$B, "Variant", Raw_Data_Daily!$A:$A, $A37, Raw_Data_Daily!$C:$C, $C$3),""))</f>
        <v>6.455</v>
      </c>
      <c r="DZ37" s="174">
        <f t="shared" si="39"/>
        <v>0.2426844294</v>
      </c>
      <c r="EA37" s="139">
        <f>IF($A37="","",IFERROR(SUMPRODUCT((Raw_Data_Daily!$B$2:$B$9999="Control")*(Raw_Data_Daily!$A$2:$A$9999=$A37)*(Raw_Data_Daily!$C$2:$C$9999=$C$3)*Raw_Data_Daily!$D$2:$D$9999*Raw_Data_Daily!$AT$2:$AT$9999)/SUMIFS(Raw_Data_Daily!$D:$D, Raw_Data_Daily!$B:$B, "Control", Raw_Data_Daily!$A:$A, $A37, Raw_Data_Daily!$C:$C, $C$3),""))</f>
        <v>5.5473</v>
      </c>
      <c r="EB37" s="139">
        <f>IF($A37="","",IFERROR(SUMPRODUCT((Raw_Data_Daily!$B$2:$B$9999="Variant")*(Raw_Data_Daily!$A$2:$A$9999=$A37)*(Raw_Data_Daily!$C$2:$C$9999=$C$3)*Raw_Data_Daily!$D$2:$D$9999*Raw_Data_Daily!$AT$2:$AT$9999)/SUMIFS(Raw_Data_Daily!$D:$D, Raw_Data_Daily!$B:$B, "Variant", Raw_Data_Daily!$A:$A, $A37, Raw_Data_Daily!$C:$C, $C$3),""))</f>
        <v>5.9628</v>
      </c>
      <c r="EC37" s="173">
        <f t="shared" si="40"/>
        <v>0.07490130334</v>
      </c>
      <c r="ED37" s="139">
        <f>IF($A37="","",IFERROR(SUMPRODUCT((Raw_Data_Daily!$B$2:$B$9999="Control")*(Raw_Data_Daily!$A$2:$A$9999=$A37)*(Raw_Data_Daily!$C$2:$C$9999=$C$3)*Raw_Data_Daily!$D$2:$D$9999*(Raw_Data_Daily!$AQ$2:$AQ$9999-Raw_Data_Daily!$AT$2:$AT$9999))/SUMIFS(Raw_Data_Daily!$D:$D, Raw_Data_Daily!$B:$B, "Control", Raw_Data_Daily!$A:$A, $A37, Raw_Data_Daily!$C:$C, $C$3),""))</f>
        <v>-0.2139</v>
      </c>
      <c r="EE37" s="139">
        <f>IF($A37="","",IFERROR(SUMPRODUCT((Raw_Data_Daily!$B$2:$B$9999="Variant")*(Raw_Data_Daily!$A$2:$A$9999=$A37)*(Raw_Data_Daily!$C$2:$C$9999=$C$3)*Raw_Data_Daily!$D$2:$D$9999*(Raw_Data_Daily!$AQ$2:$AQ$9999-Raw_Data_Daily!$AT$2:$AT$9999))/SUMIFS(Raw_Data_Daily!$D:$D, Raw_Data_Daily!$B:$B, "Variant", Raw_Data_Daily!$A:$A, $A37, Raw_Data_Daily!$C:$C, $C$3),""))</f>
        <v>0.6506</v>
      </c>
      <c r="EF37" s="174">
        <f t="shared" si="41"/>
        <v>4.041608228</v>
      </c>
      <c r="EG37" s="139">
        <f>IF($A37="","",IFERROR(SUMPRODUCT((Raw_Data_Daily!$B$2:$B$9999="Control")*(Raw_Data_Daily!$A$2:$A$9999=$A37)*(Raw_Data_Daily!$C$2:$C$9999=$C$3)*Raw_Data_Daily!$D$2:$D$9999*Raw_Data_Daily!$AU$2:$AU$9999)/SUMIFS(Raw_Data_Daily!$D:$D, Raw_Data_Daily!$B:$B, "Control", Raw_Data_Daily!$A:$A, $A37, Raw_Data_Daily!$C:$C, $C$3),""))</f>
        <v>0.2112</v>
      </c>
      <c r="EH37" s="139">
        <f>IF($A37="","",IFERROR(SUMPRODUCT((Raw_Data_Daily!$B$2:$B$9999="Variant")*(Raw_Data_Daily!$A$2:$A$9999=$A37)*(Raw_Data_Daily!$C$2:$C$9999=$C$3)*Raw_Data_Daily!$D$2:$D$9999*Raw_Data_Daily!$AU$2:$AU$9999)/SUMIFS(Raw_Data_Daily!$D:$D, Raw_Data_Daily!$B:$B, "Variant", Raw_Data_Daily!$A:$A, $A37, Raw_Data_Daily!$C:$C, $C$3),""))</f>
        <v>0.2241</v>
      </c>
      <c r="EI37" s="173">
        <f t="shared" si="42"/>
        <v>0.06107954545</v>
      </c>
    </row>
    <row r="38" ht="15.75" customHeight="1">
      <c r="A38" s="91">
        <v>46261.0</v>
      </c>
      <c r="B38" s="92">
        <f>IF($A38="","",SUMIFS(Raw_Data_Daily!$D:$D, Raw_Data_Daily!$B:$B, "Control", Raw_Data_Daily!$A:$A, $A38, Raw_Data_Daily!$C:$C, $C$3))</f>
        <v>0</v>
      </c>
      <c r="C38" s="92">
        <f>IF($A38="","",SUMIFS(Raw_Data_Daily!$D:$D, Raw_Data_Daily!$B:$B, "Variant", Raw_Data_Daily!$A:$A, $A38, Raw_Data_Daily!$C:$C, $C$3))</f>
        <v>0</v>
      </c>
      <c r="D38" s="93" t="str">
        <f t="shared" si="1"/>
        <v/>
      </c>
      <c r="E38" s="94" t="str">
        <f>IF($A38="","",IFERROR(SUMPRODUCT((Raw_Data_Daily!$B$2:$B$9999="Control")*(Raw_Data_Daily!$A$2:$A$9999=$A38)*(Raw_Data_Daily!$C$2:$C$9999=$C$3)*Raw_Data_Daily!$D$2:$D$9999*Raw_Data_Daily!$E$2:$E$9999)/SUMIFS(Raw_Data_Daily!$D:$D, Raw_Data_Daily!$B:$B, "Control", Raw_Data_Daily!$A:$A, $A38, Raw_Data_Daily!$C:$C, $C$3),""))</f>
        <v/>
      </c>
      <c r="F38" s="94" t="str">
        <f>IF($A38="","",IFERROR(SUMPRODUCT((Raw_Data_Daily!$B$2:$B$9999="Variant")*(Raw_Data_Daily!$A$2:$A$9999=$A38)*(Raw_Data_Daily!$C$2:$C$9999=$C$3)*Raw_Data_Daily!$D$2:$D$9999*Raw_Data_Daily!$E$2:$E$9999)/SUMIFS(Raw_Data_Daily!$D:$D, Raw_Data_Daily!$B:$B, "Variant", Raw_Data_Daily!$A:$A, $A38, Raw_Data_Daily!$C:$C, $C$3),""))</f>
        <v/>
      </c>
      <c r="G38" s="93" t="str">
        <f t="shared" si="2"/>
        <v/>
      </c>
      <c r="H38" s="95">
        <f>IF($A38="","",SUMIFS(Raw_Data_Daily!$F:$F, Raw_Data_Daily!$B:$B, "Control", Raw_Data_Daily!$A:$A, $A38, Raw_Data_Daily!$C:$C, $C$3))</f>
        <v>0</v>
      </c>
      <c r="I38" s="95">
        <f>IF($A38="","",SUMIFS(Raw_Data_Daily!$F:$F, Raw_Data_Daily!$B:$B, "Variant", Raw_Data_Daily!$A:$A, $A38, Raw_Data_Daily!$C:$C, $C$3))</f>
        <v>0</v>
      </c>
      <c r="J38" s="96" t="str">
        <f t="shared" si="3"/>
        <v/>
      </c>
      <c r="K38" s="97" t="str">
        <f>IF($A38="","",IFERROR(SUMIFS(Raw_Data_Daily!$F:$F, Raw_Data_Daily!$B:$B, "Control", Raw_Data_Daily!$A:$A, $A38, Raw_Data_Daily!$C:$C, $C$3)/SUMIFS(Raw_Data_Daily!$D:$D, Raw_Data_Daily!$B:$B, "Control", Raw_Data_Daily!$A:$A, $A38, Raw_Data_Daily!$C:$C, $C$3),""))</f>
        <v/>
      </c>
      <c r="L38" s="97" t="str">
        <f>IF($A38="","",IFERROR(SUMIFS(Raw_Data_Daily!$F:$F, Raw_Data_Daily!$B:$B, "Variant", Raw_Data_Daily!$A:$A, $A38, Raw_Data_Daily!$C:$C, $C$3)/SUMIFS(Raw_Data_Daily!$D:$D, Raw_Data_Daily!$B:$B, "Variant", Raw_Data_Daily!$A:$A, $A38, Raw_Data_Daily!$C:$C, $C$3),""))</f>
        <v/>
      </c>
      <c r="M38" s="96" t="str">
        <f t="shared" si="4"/>
        <v/>
      </c>
      <c r="N38" s="94" t="str">
        <f>IF($A38="","",IFERROR(SUMPRODUCT((Raw_Data_Daily!$B$2:$B$9999="Control")*(Raw_Data_Daily!$A$2:$A$9999=$A38)*(Raw_Data_Daily!$C$2:$C$9999=$C$3)*Raw_Data_Daily!$D$2:$D$9999*Raw_Data_Daily!$H$2:$H$9999/100)/SUMIFS(Raw_Data_Daily!$D:$D, Raw_Data_Daily!$B:$B, "Control", Raw_Data_Daily!$A:$A, $A38, Raw_Data_Daily!$C:$C, $C$3)*100,""))</f>
        <v/>
      </c>
      <c r="O38" s="94" t="str">
        <f>IF($A38="","",IFERROR(SUMPRODUCT((Raw_Data_Daily!$B$2:$B$9999="Variant")*(Raw_Data_Daily!$A$2:$A$9999=$A38)*(Raw_Data_Daily!$C$2:$C$9999=$C$3)*Raw_Data_Daily!$D$2:$D$9999*Raw_Data_Daily!$H$2:$H$9999/100)/SUMIFS(Raw_Data_Daily!$D:$D, Raw_Data_Daily!$B:$B, "Variant", Raw_Data_Daily!$A:$A, $A38, Raw_Data_Daily!$C:$C, $C$3)*100,""))</f>
        <v/>
      </c>
      <c r="P38" s="96" t="str">
        <f t="shared" si="5"/>
        <v/>
      </c>
      <c r="Q38" s="97" t="str">
        <f>IF($A38="","",IFERROR(SUMIFS(Raw_Data_Daily!$F:$F, Raw_Data_Daily!$B:$B, "Control", Raw_Data_Daily!$A:$A, $A38, Raw_Data_Daily!$C:$C, $C$3)/SUMPRODUCT((Raw_Data_Daily!$B$2:$B$9999="Control")*(Raw_Data_Daily!$A$2:$A$9999=$A38)*(Raw_Data_Daily!$C$2:$C$9999=$C$3)*Raw_Data_Daily!$D$2:$D$9999*Raw_Data_Daily!$H$2:$H$9999/100),""))</f>
        <v/>
      </c>
      <c r="R38" s="97" t="str">
        <f>IF($A38="","",IFERROR(SUMIFS(Raw_Data_Daily!$F:$F, Raw_Data_Daily!$B:$B, "Variant", Raw_Data_Daily!$A:$A, $A38, Raw_Data_Daily!$C:$C, $C$3)/SUMPRODUCT((Raw_Data_Daily!$B$2:$B$9999="Variant")*(Raw_Data_Daily!$A$2:$A$9999=$A38)*(Raw_Data_Daily!$C$2:$C$9999=$C$3)*Raw_Data_Daily!$D$2:$D$9999*Raw_Data_Daily!$H$2:$H$9999/100),""))</f>
        <v/>
      </c>
      <c r="S38" s="96" t="str">
        <f t="shared" si="6"/>
        <v/>
      </c>
      <c r="T38" s="121" t="str">
        <f>IF($A38="","",IFERROR(SUMPRODUCT((Raw_Data_Daily!$B$2:$B$9999="Control")*(Raw_Data_Daily!$A$2:$A$9999=$A38)*(Raw_Data_Daily!$C$2:$C$9999=$C$3)*Raw_Data_Daily!$D$2:$D$9999*Raw_Data_Daily!$J$2:$J$9999)/SUMIFS(Raw_Data_Daily!$D:$D, Raw_Data_Daily!$B:$B, "Control", Raw_Data_Daily!$A:$A, $A38, Raw_Data_Daily!$C:$C, $C$3),""))</f>
        <v/>
      </c>
      <c r="U38" s="121" t="str">
        <f>IF($A38="","",IFERROR(SUMPRODUCT((Raw_Data_Daily!$B$2:$B$9999="Variant")*(Raw_Data_Daily!$A$2:$A$9999=$A38)*(Raw_Data_Daily!$C$2:$C$9999=$C$3)*Raw_Data_Daily!$D$2:$D$9999*Raw_Data_Daily!$J$2:$J$9999)/SUMIFS(Raw_Data_Daily!$D:$D, Raw_Data_Daily!$B:$B, "Variant", Raw_Data_Daily!$A:$A, $A38, Raw_Data_Daily!$C:$C, $C$3),""))</f>
        <v/>
      </c>
      <c r="V38" s="96" t="str">
        <f t="shared" si="7"/>
        <v/>
      </c>
      <c r="W38" s="121" t="str">
        <f>IF($A38="","",IFERROR(SUMPRODUCT((Raw_Data_Daily!$B$2:$B$9999="Control")*(Raw_Data_Daily!$A$2:$A$9999=$A38)*(Raw_Data_Daily!$C$2:$C$9999=$C$3)*Raw_Data_Daily!$D$2:$D$9999*Raw_Data_Daily!$K$2:$K$9999)/SUMIFS(Raw_Data_Daily!$D:$D, Raw_Data_Daily!$B:$B, "Control", Raw_Data_Daily!$A:$A, $A38, Raw_Data_Daily!$C:$C, $C$3),""))</f>
        <v/>
      </c>
      <c r="X38" s="121" t="str">
        <f>IF($A38="","",IFERROR(SUMPRODUCT((Raw_Data_Daily!$B$2:$B$9999="Variant")*(Raw_Data_Daily!$A$2:$A$9999=$A38)*(Raw_Data_Daily!$C$2:$C$9999=$C$3)*Raw_Data_Daily!$D$2:$D$9999*Raw_Data_Daily!$K$2:$K$9999)/SUMIFS(Raw_Data_Daily!$D:$D, Raw_Data_Daily!$B:$B, "Variant", Raw_Data_Daily!$A:$A, $A38, Raw_Data_Daily!$C:$C, $C$3),""))</f>
        <v/>
      </c>
      <c r="Y38" s="96" t="str">
        <f t="shared" si="8"/>
        <v/>
      </c>
      <c r="Z38" s="121" t="str">
        <f>IF($A38="","",IFERROR(SUMPRODUCT((Raw_Data_Daily!$B$2:$B$9999="Control")*(Raw_Data_Daily!$A$2:$A$9999=$A38)*(Raw_Data_Daily!$C$2:$C$9999=$C$3)*Raw_Data_Daily!$D$2:$D$9999*Raw_Data_Daily!$L$2:$L$9999)/SUMIFS(Raw_Data_Daily!$D:$D, Raw_Data_Daily!$B:$B, "Control", Raw_Data_Daily!$A:$A, $A38, Raw_Data_Daily!$C:$C, $C$3),""))</f>
        <v/>
      </c>
      <c r="AA38" s="121" t="str">
        <f>IF($A38="","",IFERROR(SUMPRODUCT((Raw_Data_Daily!$B$2:$B$9999="Variant")*(Raw_Data_Daily!$A$2:$A$9999=$A38)*(Raw_Data_Daily!$C$2:$C$9999=$C$3)*Raw_Data_Daily!$D$2:$D$9999*Raw_Data_Daily!$L$2:$L$9999)/SUMIFS(Raw_Data_Daily!$D:$D, Raw_Data_Daily!$B:$B, "Variant", Raw_Data_Daily!$A:$A, $A38, Raw_Data_Daily!$C:$C, $C$3),""))</f>
        <v/>
      </c>
      <c r="AB38" s="96" t="str">
        <f t="shared" si="9"/>
        <v/>
      </c>
      <c r="AC38" s="139" t="str">
        <f>IF($A38="","",IFERROR(SUMPRODUCT((Raw_Data_Daily!$B$2:$B$9999="Control")*(Raw_Data_Daily!$A$2:$A$9999=$A38)*(Raw_Data_Daily!$C$2:$C$9999=$C$3)*Raw_Data_Daily!$D$2:$D$9999*Raw_Data_Daily!$M$2:$M$9999)/SUMIFS(Raw_Data_Daily!$D:$D, Raw_Data_Daily!$B:$B, "Control", Raw_Data_Daily!$A:$A, $A38, Raw_Data_Daily!$C:$C, $C$3),""))</f>
        <v/>
      </c>
      <c r="AD38" s="139" t="str">
        <f>IF($A38="","",IFERROR(SUMPRODUCT((Raw_Data_Daily!$B$2:$B$9999="Variant")*(Raw_Data_Daily!$A$2:$A$9999=$A38)*(Raw_Data_Daily!$C$2:$C$9999=$C$3)*Raw_Data_Daily!$D$2:$D$9999*Raw_Data_Daily!$M$2:$M$9999)/SUMIFS(Raw_Data_Daily!$D:$D, Raw_Data_Daily!$B:$B, "Variant", Raw_Data_Daily!$A:$A, $A38, Raw_Data_Daily!$C:$C, $C$3),""))</f>
        <v/>
      </c>
      <c r="AE38" s="142" t="str">
        <f t="shared" si="10"/>
        <v/>
      </c>
      <c r="AF38" s="139" t="str">
        <f>IF($A38="","",IFERROR(SUMPRODUCT((Raw_Data_Daily!$B$2:$B$9999="Control")*(Raw_Data_Daily!$A$2:$A$9999=$A38)*(Raw_Data_Daily!$C$2:$C$9999=$C$3)*Raw_Data_Daily!$D$2:$D$9999*Raw_Data_Daily!$N$2:$N$9999)/SUMIFS(Raw_Data_Daily!$D:$D, Raw_Data_Daily!$B:$B, "Control", Raw_Data_Daily!$A:$A, $A38, Raw_Data_Daily!$C:$C, $C$3),""))</f>
        <v/>
      </c>
      <c r="AG38" s="139" t="str">
        <f>IF($A38="","",IFERROR(SUMPRODUCT((Raw_Data_Daily!$B$2:$B$9999="Variant")*(Raw_Data_Daily!$A$2:$A$9999=$A38)*(Raw_Data_Daily!$C$2:$C$9999=$C$3)*Raw_Data_Daily!$D$2:$D$9999*Raw_Data_Daily!$N$2:$N$9999)/SUMIFS(Raw_Data_Daily!$D:$D, Raw_Data_Daily!$B:$B, "Variant", Raw_Data_Daily!$A:$A, $A38, Raw_Data_Daily!$C:$C, $C$3),""))</f>
        <v/>
      </c>
      <c r="AH38" s="142" t="str">
        <f t="shared" si="11"/>
        <v/>
      </c>
      <c r="AI38" s="139" t="str">
        <f>IF($A38="","",IFERROR(SUMPRODUCT((Raw_Data_Daily!$B$2:$B$9999="Control")*(Raw_Data_Daily!$A$2:$A$9999=$A38)*(Raw_Data_Daily!$C$2:$C$9999=$C$3)*Raw_Data_Daily!$D$2:$D$9999*Raw_Data_Daily!$O$2:$O$9999)/SUMIFS(Raw_Data_Daily!$D:$D, Raw_Data_Daily!$B:$B, "Control", Raw_Data_Daily!$A:$A, $A38, Raw_Data_Daily!$C:$C, $C$3),""))</f>
        <v/>
      </c>
      <c r="AJ38" s="139" t="str">
        <f>IF($A38="","",IFERROR(SUMPRODUCT((Raw_Data_Daily!$B$2:$B$9999="Variant")*(Raw_Data_Daily!$A$2:$A$9999=$A38)*(Raw_Data_Daily!$C$2:$C$9999=$C$3)*Raw_Data_Daily!$D$2:$D$9999*Raw_Data_Daily!$O$2:$O$9999)/SUMIFS(Raw_Data_Daily!$D:$D, Raw_Data_Daily!$B:$B, "Variant", Raw_Data_Daily!$A:$A, $A38, Raw_Data_Daily!$C:$C, $C$3),""))</f>
        <v/>
      </c>
      <c r="AK38" s="96" t="str">
        <f t="shared" si="12"/>
        <v/>
      </c>
      <c r="AL38" s="121" t="str">
        <f>IF($A38="","",IFERROR(SUMPRODUCT((Raw_Data_Daily!$B$2:$B$9999="Control")*(Raw_Data_Daily!$A$2:$A$9999=$A38)*(Raw_Data_Daily!$C$2:$C$9999=$C$3)*Raw_Data_Daily!$D$2:$D$9999*Raw_Data_Daily!$P$2:$P$9999)/SUMIFS(Raw_Data_Daily!$D:$D, Raw_Data_Daily!$B:$B, "Control", Raw_Data_Daily!$A:$A, $A38, Raw_Data_Daily!$C:$C, $C$3),""))</f>
        <v/>
      </c>
      <c r="AM38" s="121" t="str">
        <f>IF($A38="","",IFERROR(SUMPRODUCT((Raw_Data_Daily!$B$2:$B$9999="Variant")*(Raw_Data_Daily!$A$2:$A$9999=$A38)*(Raw_Data_Daily!$C$2:$C$9999=$C$3)*Raw_Data_Daily!$D$2:$D$9999*Raw_Data_Daily!$P$2:$P$9999)/SUMIFS(Raw_Data_Daily!$D:$D, Raw_Data_Daily!$B:$B, "Variant", Raw_Data_Daily!$A:$A, $A38, Raw_Data_Daily!$C:$C, $C$3),""))</f>
        <v/>
      </c>
      <c r="AN38" s="96" t="str">
        <f t="shared" si="13"/>
        <v/>
      </c>
      <c r="AO38" s="121" t="str">
        <f>IF($A38="","",IFERROR(SUMPRODUCT((Raw_Data_Daily!$B$2:$B$9999="Control")*(Raw_Data_Daily!$A$2:$A$9999=$A38)*(Raw_Data_Daily!$C$2:$C$9999=$C$3)*Raw_Data_Daily!$D$2:$D$9999*Raw_Data_Daily!$Q$2:$Q$9999)/SUMIFS(Raw_Data_Daily!$D:$D, Raw_Data_Daily!$B:$B, "Control", Raw_Data_Daily!$A:$A, $A38, Raw_Data_Daily!$C:$C, $C$3),""))</f>
        <v/>
      </c>
      <c r="AP38" s="121" t="str">
        <f>IF($A38="","",IFERROR(SUMPRODUCT((Raw_Data_Daily!$B$2:$B$9999="Variant")*(Raw_Data_Daily!$A$2:$A$9999=$A38)*(Raw_Data_Daily!$C$2:$C$9999=$C$3)*Raw_Data_Daily!$D$2:$D$9999*Raw_Data_Daily!$Q$2:$Q$9999)/SUMIFS(Raw_Data_Daily!$D:$D, Raw_Data_Daily!$B:$B, "Variant", Raw_Data_Daily!$A:$A, $A38, Raw_Data_Daily!$C:$C, $C$3),""))</f>
        <v/>
      </c>
      <c r="AQ38" s="93" t="str">
        <f t="shared" si="14"/>
        <v/>
      </c>
      <c r="AR38" s="121" t="str">
        <f>IF($A38="","",IFERROR(SUMPRODUCT((Raw_Data_Daily!$B$2:$B$9999="Control")*(Raw_Data_Daily!$A$2:$A$9999=$A38)*(Raw_Data_Daily!$C$2:$C$9999=$C$3)*Raw_Data_Daily!$D$2:$D$9999*Raw_Data_Daily!$R$2:$R$9999)/SUMIFS(Raw_Data_Daily!$D:$D, Raw_Data_Daily!$B:$B, "Control", Raw_Data_Daily!$A:$A, $A38, Raw_Data_Daily!$C:$C, $C$3),""))</f>
        <v/>
      </c>
      <c r="AS38" s="121" t="str">
        <f>IF($A38="","",IFERROR(SUMPRODUCT((Raw_Data_Daily!$B$2:$B$9999="Variant")*(Raw_Data_Daily!$A$2:$A$9999=$A38)*(Raw_Data_Daily!$C$2:$C$9999=$C$3)*Raw_Data_Daily!$D$2:$D$9999*Raw_Data_Daily!$R$2:$R$9999)/SUMIFS(Raw_Data_Daily!$D:$D, Raw_Data_Daily!$B:$B, "Variant", Raw_Data_Daily!$A:$A, $A38, Raw_Data_Daily!$C:$C, $C$3),""))</f>
        <v/>
      </c>
      <c r="AT38" s="93" t="str">
        <f t="shared" si="15"/>
        <v/>
      </c>
      <c r="AU38" s="121" t="str">
        <f>IF($A38="","",IFERROR(SUMPRODUCT((Raw_Data_Daily!$B$2:$B$9999="Control")*(Raw_Data_Daily!$A$2:$A$9999=$A38)*(Raw_Data_Daily!$C$2:$C$9999=$C$3)*Raw_Data_Daily!$D$2:$D$9999*Raw_Data_Daily!$S$2:$S$9999)/SUMIFS(Raw_Data_Daily!$D:$D, Raw_Data_Daily!$B:$B, "Control", Raw_Data_Daily!$A:$A, $A38, Raw_Data_Daily!$C:$C, $C$3),""))</f>
        <v/>
      </c>
      <c r="AV38" s="121" t="str">
        <f>IF($A38="","",IFERROR(SUMPRODUCT((Raw_Data_Daily!$B$2:$B$9999="Variant")*(Raw_Data_Daily!$A$2:$A$9999=$A38)*(Raw_Data_Daily!$C$2:$C$9999=$C$3)*Raw_Data_Daily!$D$2:$D$9999*Raw_Data_Daily!$S$2:$S$9999)/SUMIFS(Raw_Data_Daily!$D:$D, Raw_Data_Daily!$B:$B, "Variant", Raw_Data_Daily!$A:$A, $A38, Raw_Data_Daily!$C:$C, $C$3),""))</f>
        <v/>
      </c>
      <c r="AW38" s="93" t="str">
        <f t="shared" si="16"/>
        <v/>
      </c>
      <c r="AX38" s="121" t="str">
        <f>IF($A38="","",IFERROR(SUMPRODUCT((Raw_Data_Daily!$B$2:$B$9999="Control")*(Raw_Data_Daily!$A$2:$A$9999=$A38)*(Raw_Data_Daily!$C$2:$C$9999=$C$3)*Raw_Data_Daily!$D$2:$D$9999*Raw_Data_Daily!$T$2:$T$9999)/SUMIFS(Raw_Data_Daily!$D:$D, Raw_Data_Daily!$B:$B, "Control", Raw_Data_Daily!$A:$A, $A38, Raw_Data_Daily!$C:$C, $C$3),""))</f>
        <v/>
      </c>
      <c r="AY38" s="121" t="str">
        <f>IF($A38="","",IFERROR(SUMPRODUCT((Raw_Data_Daily!$B$2:$B$9999="Variant")*(Raw_Data_Daily!$A$2:$A$9999=$A38)*(Raw_Data_Daily!$C$2:$C$9999=$C$3)*Raw_Data_Daily!$D$2:$D$9999*Raw_Data_Daily!$T$2:$T$9999)/SUMIFS(Raw_Data_Daily!$D:$D, Raw_Data_Daily!$B:$B, "Variant", Raw_Data_Daily!$A:$A, $A38, Raw_Data_Daily!$C:$C, $C$3),""))</f>
        <v/>
      </c>
      <c r="AZ38" s="96" t="str">
        <f t="shared" si="17"/>
        <v/>
      </c>
      <c r="BA38" s="121" t="str">
        <f>IF($A38="","",IFERROR(SUMPRODUCT((Raw_Data_Daily!$B$2:$B$9999="Control")*(Raw_Data_Daily!$A$2:$A$9999=$A38)*(Raw_Data_Daily!$C$2:$C$9999=$C$3)*Raw_Data_Daily!$D$2:$D$9999*Raw_Data_Daily!$U$2:$U$9999)/SUMIFS(Raw_Data_Daily!$D:$D, Raw_Data_Daily!$B:$B, "Control", Raw_Data_Daily!$A:$A, $A38, Raw_Data_Daily!$C:$C, $C$3),""))</f>
        <v/>
      </c>
      <c r="BB38" s="121" t="str">
        <f>IF($A38="","",IFERROR(SUMPRODUCT((Raw_Data_Daily!$B$2:$B$9999="Variant")*(Raw_Data_Daily!$A$2:$A$9999=$A38)*(Raw_Data_Daily!$C$2:$C$9999=$C$3)*Raw_Data_Daily!$D$2:$D$9999*Raw_Data_Daily!$U$2:$U$9999)/SUMIFS(Raw_Data_Daily!$D:$D, Raw_Data_Daily!$B:$B, "Variant", Raw_Data_Daily!$A:$A, $A38, Raw_Data_Daily!$C:$C, $C$3),""))</f>
        <v/>
      </c>
      <c r="BC38" s="93" t="str">
        <f t="shared" si="18"/>
        <v/>
      </c>
      <c r="BD38" s="121" t="str">
        <f>IF($A38="","",IFERROR(SUMPRODUCT((Raw_Data_Daily!$B$2:$B$9999="Control")*(Raw_Data_Daily!$A$2:$A$9999=$A38)*(Raw_Data_Daily!$C$2:$C$9999=$C$3)*Raw_Data_Daily!$D$2:$D$9999*Raw_Data_Daily!$V$2:$V$9999)/SUMIFS(Raw_Data_Daily!$D:$D, Raw_Data_Daily!$B:$B, "Control", Raw_Data_Daily!$A:$A, $A38, Raw_Data_Daily!$C:$C, $C$3),""))</f>
        <v/>
      </c>
      <c r="BE38" s="121" t="str">
        <f>IF($A38="","",IFERROR(SUMPRODUCT((Raw_Data_Daily!$B$2:$B$9999="Variant")*(Raw_Data_Daily!$A$2:$A$9999=$A38)*(Raw_Data_Daily!$C$2:$C$9999=$C$3)*Raw_Data_Daily!$D$2:$D$9999*Raw_Data_Daily!$V$2:$V$9999)/SUMIFS(Raw_Data_Daily!$D:$D, Raw_Data_Daily!$B:$B, "Variant", Raw_Data_Daily!$A:$A, $A38, Raw_Data_Daily!$C:$C, $C$3),""))</f>
        <v/>
      </c>
      <c r="BF38" s="93" t="str">
        <f t="shared" si="19"/>
        <v/>
      </c>
      <c r="BG38" s="121" t="str">
        <f>IF($A38="","",IFERROR(SUMPRODUCT((Raw_Data_Daily!$B$2:$B$9999="Control")*(Raw_Data_Daily!$A$2:$A$9999=$A38)*(Raw_Data_Daily!$C$2:$C$9999=$C$3)*Raw_Data_Daily!$D$2:$D$9999*(Raw_Data_Daily!$Q$2:$Q$9999-Raw_Data_Daily!$V$2:$V$9999))/SUMIFS(Raw_Data_Daily!$D:$D, Raw_Data_Daily!$B:$B, "Control", Raw_Data_Daily!$A:$A, $A38, Raw_Data_Daily!$C:$C, $C$3),""))</f>
        <v/>
      </c>
      <c r="BH38" s="121" t="str">
        <f>IF($A38="","",IFERROR(SUMPRODUCT((Raw_Data_Daily!$B$2:$B$9999="Variant")*(Raw_Data_Daily!$A$2:$A$9999=$A38)*(Raw_Data_Daily!$C$2:$C$9999=$C$3)*Raw_Data_Daily!$D$2:$D$9999*(Raw_Data_Daily!$Q$2:$Q$9999-Raw_Data_Daily!$V$2:$V$9999))/SUMIFS(Raw_Data_Daily!$D:$D, Raw_Data_Daily!$B:$B, "Variant", Raw_Data_Daily!$A:$A, $A38, Raw_Data_Daily!$C:$C, $C$3),""))</f>
        <v/>
      </c>
      <c r="BI38" s="93" t="str">
        <f t="shared" si="20"/>
        <v/>
      </c>
      <c r="BJ38" s="121" t="str">
        <f>IF($A38="","",IFERROR(SUMPRODUCT((Raw_Data_Daily!$B$2:$B$9999="Control")*(Raw_Data_Daily!$A$2:$A$9999=$A38)*(Raw_Data_Daily!$C$2:$C$9999=$C$3)*Raw_Data_Daily!$D$2:$D$9999*Raw_Data_Daily!$W$2:$W$9999)/SUMIFS(Raw_Data_Daily!$D:$D, Raw_Data_Daily!$B:$B, "Control", Raw_Data_Daily!$A:$A, $A38, Raw_Data_Daily!$C:$C, $C$3),""))</f>
        <v/>
      </c>
      <c r="BK38" s="121" t="str">
        <f>IF($A38="","",IFERROR(SUMPRODUCT((Raw_Data_Daily!$B$2:$B$9999="Variant")*(Raw_Data_Daily!$A$2:$A$9999=$A38)*(Raw_Data_Daily!$C$2:$C$9999=$C$3)*Raw_Data_Daily!$D$2:$D$9999*Raw_Data_Daily!$W$2:$W$9999)/SUMIFS(Raw_Data_Daily!$D:$D, Raw_Data_Daily!$B:$B, "Variant", Raw_Data_Daily!$A:$A, $A38, Raw_Data_Daily!$C:$C, $C$3),""))</f>
        <v/>
      </c>
      <c r="BL38" s="93" t="str">
        <f t="shared" si="21"/>
        <v/>
      </c>
      <c r="BM38" s="139" t="str">
        <f>IF($A38="","",IFERROR(SUMPRODUCT((Raw_Data_Daily!$B$2:$B$9999="Control")*(Raw_Data_Daily!$A$2:$A$9999=$A38)*(Raw_Data_Daily!$C$2:$C$9999=$C$3)*Raw_Data_Daily!$D$2:$D$9999*Raw_Data_Daily!$X$2:$X$9999)/SUMIFS(Raw_Data_Daily!$D:$D, Raw_Data_Daily!$B:$B, "Control", Raw_Data_Daily!$A:$A, $A38, Raw_Data_Daily!$C:$C, $C$3),""))</f>
        <v/>
      </c>
      <c r="BN38" s="139" t="str">
        <f>IF($A38="","",IFERROR(SUMPRODUCT((Raw_Data_Daily!$B$2:$B$9999="Variant")*(Raw_Data_Daily!$A$2:$A$9999=$A38)*(Raw_Data_Daily!$C$2:$C$9999=$C$3)*Raw_Data_Daily!$D$2:$D$9999*Raw_Data_Daily!$X$2:$X$9999)/SUMIFS(Raw_Data_Daily!$D:$D, Raw_Data_Daily!$B:$B, "Variant", Raw_Data_Daily!$A:$A, $A38, Raw_Data_Daily!$C:$C, $C$3),""))</f>
        <v/>
      </c>
      <c r="BO38" s="96" t="str">
        <f t="shared" si="22"/>
        <v/>
      </c>
      <c r="BP38" s="92" t="str">
        <f>IF($A38="","",IFERROR(SUMPRODUCT((Raw_Data_Daily!$B$2:$B$9999="Control")*(Raw_Data_Daily!$A$2:$A$9999=$A38)*(Raw_Data_Daily!$C$2:$C$9999=$C$3)*Raw_Data_Daily!$D$2:$D$9999*Raw_Data_Daily!$Y$2:$Y$9999)/SUMIFS(Raw_Data_Daily!$D:$D, Raw_Data_Daily!$B:$B, "Control", Raw_Data_Daily!$A:$A, $A38, Raw_Data_Daily!$C:$C, $C$3),""))</f>
        <v/>
      </c>
      <c r="BQ38" s="92" t="str">
        <f>IF($A38="","",IFERROR(SUMPRODUCT((Raw_Data_Daily!$B$2:$B$9999="Variant")*(Raw_Data_Daily!$A$2:$A$9999=$A38)*(Raw_Data_Daily!$C$2:$C$9999=$C$3)*Raw_Data_Daily!$D$2:$D$9999*Raw_Data_Daily!$Y$2:$Y$9999)/SUMIFS(Raw_Data_Daily!$D:$D, Raw_Data_Daily!$B:$B, "Variant", Raw_Data_Daily!$A:$A, $A38, Raw_Data_Daily!$C:$C, $C$3),""))</f>
        <v/>
      </c>
      <c r="BR38" s="93" t="str">
        <f t="shared" si="23"/>
        <v/>
      </c>
      <c r="BS38" s="92" t="str">
        <f>IF($A38="","",IFERROR(SUMPRODUCT((Raw_Data_Daily!$B$2:$B$9999="Control")*(Raw_Data_Daily!$A$2:$A$9999=$A38)*(Raw_Data_Daily!$C$2:$C$9999=$C$3)*Raw_Data_Daily!$D$2:$D$9999*Raw_Data_Daily!$Z$2:$Z$9999)/SUMIFS(Raw_Data_Daily!$D:$D, Raw_Data_Daily!$B:$B, "Control", Raw_Data_Daily!$A:$A, $A38, Raw_Data_Daily!$C:$C, $C$3),""))</f>
        <v/>
      </c>
      <c r="BT38" s="92" t="str">
        <f>IF($A38="","",IFERROR(SUMPRODUCT((Raw_Data_Daily!$B$2:$B$9999="Variant")*(Raw_Data_Daily!$A$2:$A$9999=$A38)*(Raw_Data_Daily!$C$2:$C$9999=$C$3)*Raw_Data_Daily!$D$2:$D$9999*Raw_Data_Daily!$Z$2:$Z$9999)/SUMIFS(Raw_Data_Daily!$D:$D, Raw_Data_Daily!$B:$B, "Variant", Raw_Data_Daily!$A:$A, $A38, Raw_Data_Daily!$C:$C, $C$3),""))</f>
        <v/>
      </c>
      <c r="BU38" s="93" t="str">
        <f t="shared" si="24"/>
        <v/>
      </c>
      <c r="BV38" s="92" t="str">
        <f>IF($A38="","",IFERROR(SUMPRODUCT((Raw_Data_Daily!$B$2:$B$9999="Control")*(Raw_Data_Daily!$A$2:$A$9999=$A38)*(Raw_Data_Daily!$C$2:$C$9999=$C$3)*Raw_Data_Daily!$D$2:$D$9999*Raw_Data_Daily!$AA$2:$AA$9999)/SUMIFS(Raw_Data_Daily!$D:$D, Raw_Data_Daily!$B:$B, "Control", Raw_Data_Daily!$A:$A, $A38, Raw_Data_Daily!$C:$C, $C$3),""))</f>
        <v/>
      </c>
      <c r="BW38" s="92" t="str">
        <f>IF($A38="","",IFERROR(SUMPRODUCT((Raw_Data_Daily!$B$2:$B$9999="Variant")*(Raw_Data_Daily!$A$2:$A$9999=$A38)*(Raw_Data_Daily!$C$2:$C$9999=$C$3)*Raw_Data_Daily!$D$2:$D$9999*Raw_Data_Daily!$AA$2:$AA$9999)/SUMIFS(Raw_Data_Daily!$D:$D, Raw_Data_Daily!$B:$B, "Variant", Raw_Data_Daily!$A:$A, $A38, Raw_Data_Daily!$C:$C, $C$3),""))</f>
        <v/>
      </c>
      <c r="BX38" s="93" t="str">
        <f t="shared" si="25"/>
        <v/>
      </c>
      <c r="BY38" s="121" t="str">
        <f>IF($A38="","",IFERROR(SUMPRODUCT((Raw_Data_Daily!$B$2:$B$9999="Control")*(Raw_Data_Daily!$A$2:$A$9999=$A38)*(Raw_Data_Daily!$C$2:$C$9999=$C$3)*Raw_Data_Daily!$D$2:$D$9999*Raw_Data_Daily!$AB$2:$AB$9999)/SUMIFS(Raw_Data_Daily!$D:$D, Raw_Data_Daily!$B:$B, "Control", Raw_Data_Daily!$A:$A, $A38, Raw_Data_Daily!$C:$C, $C$3),""))</f>
        <v/>
      </c>
      <c r="BZ38" s="121" t="str">
        <f>IF($A38="","",IFERROR(SUMPRODUCT((Raw_Data_Daily!$B$2:$B$9999="Variant")*(Raw_Data_Daily!$A$2:$A$9999=$A38)*(Raw_Data_Daily!$C$2:$C$9999=$C$3)*Raw_Data_Daily!$D$2:$D$9999*Raw_Data_Daily!$AB$2:$AB$9999)/SUMIFS(Raw_Data_Daily!$D:$D, Raw_Data_Daily!$B:$B, "Variant", Raw_Data_Daily!$A:$A, $A38, Raw_Data_Daily!$C:$C, $C$3),""))</f>
        <v/>
      </c>
      <c r="CA38" s="96" t="str">
        <f t="shared" si="26"/>
        <v/>
      </c>
      <c r="CB38" s="121" t="str">
        <f>IF($A38="","",IFERROR(SUMPRODUCT((Raw_Data_Daily!$B$2:$B$9999="Control")*(Raw_Data_Daily!$A$2:$A$9999=$A38)*(Raw_Data_Daily!$C$2:$C$9999=$C$3)*Raw_Data_Daily!$D$2:$D$9999*Raw_Data_Daily!$AC$2:$AC$9999)/SUMIFS(Raw_Data_Daily!$D:$D, Raw_Data_Daily!$B:$B, "Control", Raw_Data_Daily!$A:$A, $A38, Raw_Data_Daily!$C:$C, $C$3),""))</f>
        <v/>
      </c>
      <c r="CC38" s="121" t="str">
        <f>IF($A38="","",IFERROR(SUMPRODUCT((Raw_Data_Daily!$B$2:$B$9999="Variant")*(Raw_Data_Daily!$A$2:$A$9999=$A38)*(Raw_Data_Daily!$C$2:$C$9999=$C$3)*Raw_Data_Daily!$D$2:$D$9999*Raw_Data_Daily!$AC$2:$AC$9999)/SUMIFS(Raw_Data_Daily!$D:$D, Raw_Data_Daily!$B:$B, "Variant", Raw_Data_Daily!$A:$A, $A38, Raw_Data_Daily!$C:$C, $C$3),""))</f>
        <v/>
      </c>
      <c r="CD38" s="96" t="str">
        <f t="shared" si="27"/>
        <v/>
      </c>
      <c r="CE38" s="121" t="str">
        <f>IF($A38="","",IFERROR(SUMPRODUCT((Raw_Data_Daily!$B$2:$B$9999="Control")*(Raw_Data_Daily!$A$2:$A$9999=$A38)*(Raw_Data_Daily!$C$2:$C$9999=$C$3)*Raw_Data_Daily!$D$2:$D$9999*Raw_Data_Daily!$AD$2:$AD$9999)/SUMIFS(Raw_Data_Daily!$D:$D, Raw_Data_Daily!$B:$B, "Control", Raw_Data_Daily!$A:$A, $A38, Raw_Data_Daily!$C:$C, $C$3),""))</f>
        <v/>
      </c>
      <c r="CF38" s="121" t="str">
        <f>IF($A38="","",IFERROR(SUMPRODUCT((Raw_Data_Daily!$B$2:$B$9999="Variant")*(Raw_Data_Daily!$A$2:$A$9999=$A38)*(Raw_Data_Daily!$C$2:$C$9999=$C$3)*Raw_Data_Daily!$D$2:$D$9999*Raw_Data_Daily!$AD$2:$AD$9999)/SUMIFS(Raw_Data_Daily!$D:$D, Raw_Data_Daily!$B:$B, "Variant", Raw_Data_Daily!$A:$A, $A38, Raw_Data_Daily!$C:$C, $C$3),""))</f>
        <v/>
      </c>
      <c r="CG38" s="96" t="str">
        <f t="shared" si="28"/>
        <v/>
      </c>
      <c r="CH38" s="121" t="str">
        <f>IF($A38="","",IFERROR(SUMPRODUCT((Raw_Data_Daily!$B$2:$B$9999="Control")*(Raw_Data_Daily!$A$2:$A$9999=$A38)*(Raw_Data_Daily!$C$2:$C$9999=$C$3)*Raw_Data_Daily!$D$2:$D$9999*Raw_Data_Daily!$AE$2:$AE$9999)/SUMIFS(Raw_Data_Daily!$D:$D, Raw_Data_Daily!$B:$B, "Control", Raw_Data_Daily!$A:$A, $A38, Raw_Data_Daily!$C:$C, $C$3),""))</f>
        <v/>
      </c>
      <c r="CI38" s="121" t="str">
        <f>IF($A38="","",IFERROR(SUMPRODUCT((Raw_Data_Daily!$B$2:$B$9999="Variant")*(Raw_Data_Daily!$A$2:$A$9999=$A38)*(Raw_Data_Daily!$C$2:$C$9999=$C$3)*Raw_Data_Daily!$D$2:$D$9999*Raw_Data_Daily!$AE$2:$AE$9999)/SUMIFS(Raw_Data_Daily!$D:$D, Raw_Data_Daily!$B:$B, "Variant", Raw_Data_Daily!$A:$A, $A38, Raw_Data_Daily!$C:$C, $C$3),""))</f>
        <v/>
      </c>
      <c r="CJ38" s="96" t="str">
        <f t="shared" si="29"/>
        <v/>
      </c>
      <c r="CK38" s="121" t="str">
        <f>IF($A38="","",IFERROR(SUMPRODUCT((Raw_Data_Daily!$B$2:$B$9999="Control")*(Raw_Data_Daily!$A$2:$A$9999=$A38)*(Raw_Data_Daily!$C$2:$C$9999=$C$3)*Raw_Data_Daily!$D$2:$D$9999*Raw_Data_Daily!$AF$2:$AF$9999)/SUMIFS(Raw_Data_Daily!$D:$D, Raw_Data_Daily!$B:$B, "Control", Raw_Data_Daily!$A:$A, $A38, Raw_Data_Daily!$C:$C, $C$3),""))</f>
        <v/>
      </c>
      <c r="CL38" s="121" t="str">
        <f>IF($A38="","",IFERROR(SUMPRODUCT((Raw_Data_Daily!$B$2:$B$9999="Variant")*(Raw_Data_Daily!$A$2:$A$9999=$A38)*(Raw_Data_Daily!$C$2:$C$9999=$C$3)*Raw_Data_Daily!$D$2:$D$9999*Raw_Data_Daily!$AF$2:$AF$9999)/SUMIFS(Raw_Data_Daily!$D:$D, Raw_Data_Daily!$B:$B, "Variant", Raw_Data_Daily!$A:$A, $A38, Raw_Data_Daily!$C:$C, $C$3),""))</f>
        <v/>
      </c>
      <c r="CM38" s="96" t="str">
        <f t="shared" si="30"/>
        <v/>
      </c>
      <c r="CN38" s="121" t="str">
        <f>IF($A38="","",IFERROR(SUMPRODUCT((Raw_Data_Daily!$B$2:$B$9999="Control")*(Raw_Data_Daily!$A$2:$A$9999=$A38)*(Raw_Data_Daily!$C$2:$C$9999=$C$3)*Raw_Data_Daily!$D$2:$D$9999*Raw_Data_Daily!$AG$2:$AG$9999)/SUMIFS(Raw_Data_Daily!$D:$D, Raw_Data_Daily!$B:$B, "Control", Raw_Data_Daily!$A:$A, $A38, Raw_Data_Daily!$C:$C, $C$3),""))</f>
        <v/>
      </c>
      <c r="CO38" s="121" t="str">
        <f>IF($A38="","",IFERROR(SUMPRODUCT((Raw_Data_Daily!$B$2:$B$9999="Variant")*(Raw_Data_Daily!$A$2:$A$9999=$A38)*(Raw_Data_Daily!$C$2:$C$9999=$C$3)*Raw_Data_Daily!$D$2:$D$9999*Raw_Data_Daily!$AG$2:$AG$9999)/SUMIFS(Raw_Data_Daily!$D:$D, Raw_Data_Daily!$B:$B, "Variant", Raw_Data_Daily!$A:$A, $A38, Raw_Data_Daily!$C:$C, $C$3),""))</f>
        <v/>
      </c>
      <c r="CP38" s="96" t="str">
        <f t="shared" si="31"/>
        <v/>
      </c>
      <c r="CQ38" s="121" t="str">
        <f>IF($A38="","",IFERROR(SUMPRODUCT((Raw_Data_Daily!$B$2:$B$9999="Control")*(Raw_Data_Daily!$A$2:$A$9999=$A38)*(Raw_Data_Daily!$C$2:$C$9999=$C$3)*Raw_Data_Daily!$D$2:$D$9999*Raw_Data_Daily!$AH$2:$AH$9999)/SUMIFS(Raw_Data_Daily!$D:$D, Raw_Data_Daily!$B:$B, "Control", Raw_Data_Daily!$A:$A, $A38, Raw_Data_Daily!$C:$C, $C$3),""))</f>
        <v/>
      </c>
      <c r="CR38" s="121" t="str">
        <f>IF($A38="","",IFERROR(SUMPRODUCT((Raw_Data_Daily!$B$2:$B$9999="Variant")*(Raw_Data_Daily!$A$2:$A$9999=$A38)*(Raw_Data_Daily!$C$2:$C$9999=$C$3)*Raw_Data_Daily!$D$2:$D$9999*Raw_Data_Daily!$AH$2:$AH$9999)/SUMIFS(Raw_Data_Daily!$D:$D, Raw_Data_Daily!$B:$B, "Variant", Raw_Data_Daily!$A:$A, $A38, Raw_Data_Daily!$C:$C, $C$3),""))</f>
        <v/>
      </c>
      <c r="CS38" s="96" t="str">
        <f t="shared" si="32"/>
        <v/>
      </c>
      <c r="CT38" s="94" t="str">
        <f>IF($A38="","",IFERROR(SUMPRODUCT((Raw_Data_Daily!$B$2:$B$9999="Control")*(Raw_Data_Daily!$A$2:$A$9999=$A38)*(Raw_Data_Daily!$C$2:$C$9999=$C$3)*Raw_Data_Daily!$D$2:$D$9999*Raw_Data_Daily!$AI$2:$AI$9999)/SUMIFS(Raw_Data_Daily!$D:$D, Raw_Data_Daily!$B:$B, "Control", Raw_Data_Daily!$A:$A, $A38, Raw_Data_Daily!$C:$C, $C$3),""))</f>
        <v/>
      </c>
      <c r="CU38" s="94" t="str">
        <f>IF($A38="","",IFERROR(SUMPRODUCT((Raw_Data_Daily!$B$2:$B$9999="Variant")*(Raw_Data_Daily!$A$2:$A$9999=$A38)*(Raw_Data_Daily!$C$2:$C$9999=$C$3)*Raw_Data_Daily!$D$2:$D$9999*Raw_Data_Daily!$AI$2:$AI$9999)/SUMIFS(Raw_Data_Daily!$D:$D, Raw_Data_Daily!$B:$B, "Variant", Raw_Data_Daily!$A:$A, $A38, Raw_Data_Daily!$C:$C, $C$3),""))</f>
        <v/>
      </c>
      <c r="CV38" s="142" t="str">
        <f t="shared" si="33"/>
        <v/>
      </c>
      <c r="CW38" s="94" t="str">
        <f>IF($A38="","",IFERROR(SUMPRODUCT((Raw_Data_Daily!$B$2:$B$9999="Control")*(Raw_Data_Daily!$A$2:$A$9999=$A38)*(Raw_Data_Daily!$C$2:$C$9999=$C$3)*Raw_Data_Daily!$D$2:$D$9999*Raw_Data_Daily!$AJ$2:$AJ$9999)/SUMIFS(Raw_Data_Daily!$D:$D, Raw_Data_Daily!$B:$B, "Control", Raw_Data_Daily!$A:$A, $A38, Raw_Data_Daily!$C:$C, $C$3),""))</f>
        <v/>
      </c>
      <c r="CX38" s="94" t="str">
        <f>IF($A38="","",IFERROR(SUMPRODUCT((Raw_Data_Daily!$B$2:$B$9999="Variant")*(Raw_Data_Daily!$A$2:$A$9999=$A38)*(Raw_Data_Daily!$C$2:$C$9999=$C$3)*Raw_Data_Daily!$D$2:$D$9999*Raw_Data_Daily!$AJ$2:$AJ$9999)/SUMIFS(Raw_Data_Daily!$D:$D, Raw_Data_Daily!$B:$B, "Variant", Raw_Data_Daily!$A:$A, $A38, Raw_Data_Daily!$C:$C, $C$3),""))</f>
        <v/>
      </c>
      <c r="CY38" s="142" t="str">
        <f t="shared" si="34"/>
        <v/>
      </c>
      <c r="CZ38" s="94" t="str">
        <f>IF($A38="","",IFERROR(SUMPRODUCT((Raw_Data_Daily!$B$2:$B$9999="Control")*(Raw_Data_Daily!$A$2:$A$9999=$A38)*(Raw_Data_Daily!$C$2:$C$9999=$C$3)*Raw_Data_Daily!$D$2:$D$9999*Raw_Data_Daily!$AK$2:$AK$9999)/SUMIFS(Raw_Data_Daily!$D:$D, Raw_Data_Daily!$B:$B, "Control", Raw_Data_Daily!$A:$A, $A38, Raw_Data_Daily!$C:$C, $C$3),""))</f>
        <v/>
      </c>
      <c r="DA38" s="94" t="str">
        <f>IF($A38="","",IFERROR(SUMPRODUCT((Raw_Data_Daily!$B$2:$B$9999="Variant")*(Raw_Data_Daily!$A$2:$A$9999=$A38)*(Raw_Data_Daily!$C$2:$C$9999=$C$3)*Raw_Data_Daily!$D$2:$D$9999*Raw_Data_Daily!$AK$2:$AK$9999)/SUMIFS(Raw_Data_Daily!$D:$D, Raw_Data_Daily!$B:$B, "Variant", Raw_Data_Daily!$A:$A, $A38, Raw_Data_Daily!$C:$C, $C$3),""))</f>
        <v/>
      </c>
      <c r="DB38" s="96" t="str">
        <f t="shared" si="35"/>
        <v/>
      </c>
      <c r="DC38" s="139" t="str">
        <f>IF($A38="","",IFERROR(SUMPRODUCT((Raw_Data_Daily!$B$2:$B$9999="Control")*(Raw_Data_Daily!$A$2:$A$9999=$A38)*(Raw_Data_Daily!$C$2:$C$9999=$C$3)*Raw_Data_Daily!$D$2:$D$9999*Raw_Data_Daily!$AL$2:$AL$9999)/SUMIFS(Raw_Data_Daily!$D:$D, Raw_Data_Daily!$B:$B, "Control", Raw_Data_Daily!$A:$A, $A38, Raw_Data_Daily!$C:$C, $C$3),""))</f>
        <v/>
      </c>
      <c r="DD38" s="139" t="str">
        <f>IF($A38="","",IFERROR(SUMPRODUCT((Raw_Data_Daily!$B$2:$B$9999="Variant")*(Raw_Data_Daily!$A$2:$A$9999=$A38)*(Raw_Data_Daily!$C$2:$C$9999=$C$3)*Raw_Data_Daily!$D$2:$D$9999*Raw_Data_Daily!$AL$2:$AL$9999)/SUMIFS(Raw_Data_Daily!$D:$D, Raw_Data_Daily!$B:$B, "Variant", Raw_Data_Daily!$A:$A, $A38, Raw_Data_Daily!$C:$C, $C$3),""))</f>
        <v/>
      </c>
      <c r="DE38" s="142" t="str">
        <f t="shared" si="36"/>
        <v/>
      </c>
      <c r="DF38" s="168"/>
      <c r="DG38" s="94" t="str">
        <f>IF($A38="","",IFERROR(SUMPRODUCT((Raw_Data_Daily!$B$2:$B$9999="Variant")*(Raw_Data_Daily!$A$2:$A$9999=$A38)*(Raw_Data_Daily!$C$2:$C$9999=$C$3)*Raw_Data_Daily!$D$2:$D$9999*Raw_Data_Daily!$AM$2:$AM$9999)/SUMIFS(Raw_Data_Daily!$D:$D, Raw_Data_Daily!$B:$B, "Variant", Raw_Data_Daily!$A:$A, $A38, Raw_Data_Daily!$C:$C, $C$3),""))</f>
        <v/>
      </c>
      <c r="DH38" s="169"/>
      <c r="DI38" s="168"/>
      <c r="DJ38" s="94" t="str">
        <f>IF($A38="","",IFERROR(SUMPRODUCT((Raw_Data_Daily!$B$2:$B$9999="Variant")*(Raw_Data_Daily!$A$2:$A$9999=$A38)*(Raw_Data_Daily!$C$2:$C$9999=$C$3)*Raw_Data_Daily!$D$2:$D$9999*Raw_Data_Daily!$AN$2:$AN$9999)/SUMIFS(Raw_Data_Daily!$D:$D, Raw_Data_Daily!$B:$B, "Variant", Raw_Data_Daily!$A:$A, $A38, Raw_Data_Daily!$C:$C, $C$3),""))</f>
        <v/>
      </c>
      <c r="DK38" s="169"/>
      <c r="DL38" s="168"/>
      <c r="DM38" s="94" t="str">
        <f>IF($A38="","",IFERROR(SUMPRODUCT((Raw_Data_Daily!$B$2:$B$9999="Variant")*(Raw_Data_Daily!$A$2:$A$9999=$A38)*(Raw_Data_Daily!$C$2:$C$9999=$C$3)*Raw_Data_Daily!$D$2:$D$9999*Raw_Data_Daily!$AO$2:$AO$9999)/SUMIFS(Raw_Data_Daily!$D:$D, Raw_Data_Daily!$B:$B, "Variant", Raw_Data_Daily!$A:$A, $A38, Raw_Data_Daily!$C:$C, $C$3),""))</f>
        <v/>
      </c>
      <c r="DN38" s="169"/>
      <c r="DO38" s="168"/>
      <c r="DP38" s="94" t="str">
        <f>IF($A38="","",IFERROR(SUMPRODUCT((Raw_Data_Daily!$B$2:$B$9999="Variant")*(Raw_Data_Daily!$A$2:$A$9999=$A38)*(Raw_Data_Daily!$C$2:$C$9999=$C$3)*Raw_Data_Daily!$D$2:$D$9999*Raw_Data_Daily!$AP$2:$AP$9999)/SUMIFS(Raw_Data_Daily!$D:$D, Raw_Data_Daily!$B:$B, "Variant", Raw_Data_Daily!$A:$A, $A38, Raw_Data_Daily!$C:$C, $C$3),""))</f>
        <v/>
      </c>
      <c r="DQ38" s="169"/>
      <c r="DR38" s="139" t="str">
        <f>IF($A38="","",IFERROR(SUMPRODUCT((Raw_Data_Daily!$B$2:$B$9999="Control")*(Raw_Data_Daily!$A$2:$A$9999=$A38)*(Raw_Data_Daily!$C$2:$C$9999=$C$3)*Raw_Data_Daily!$D$2:$D$9999*Raw_Data_Daily!$AQ$2:$AQ$9999)/SUMIFS(Raw_Data_Daily!$D:$D, Raw_Data_Daily!$B:$B, "Control", Raw_Data_Daily!$A:$A, $A38, Raw_Data_Daily!$C:$C, $C$3),""))</f>
        <v/>
      </c>
      <c r="DS38" s="139" t="str">
        <f>IF($A38="","",IFERROR(SUMPRODUCT((Raw_Data_Daily!$B$2:$B$9999="Variant")*(Raw_Data_Daily!$A$2:$A$9999=$A38)*(Raw_Data_Daily!$C$2:$C$9999=$C$3)*Raw_Data_Daily!$D$2:$D$9999*Raw_Data_Daily!$AQ$2:$AQ$9999)/SUMIFS(Raw_Data_Daily!$D:$D, Raw_Data_Daily!$B:$B, "Variant", Raw_Data_Daily!$A:$A, $A38, Raw_Data_Daily!$C:$C, $C$3),""))</f>
        <v/>
      </c>
      <c r="DT38" s="173" t="str">
        <f t="shared" si="37"/>
        <v/>
      </c>
      <c r="DU38" s="139" t="str">
        <f>IF($A38="","",IFERROR(SUMPRODUCT((Raw_Data_Daily!$B$2:$B$9999="Control")*(Raw_Data_Daily!$A$2:$A$9999=$A38)*(Raw_Data_Daily!$C$2:$C$9999=$C$3)*Raw_Data_Daily!$D$2:$D$9999*Raw_Data_Daily!$AR$2:$AR$9999)/SUMIFS(Raw_Data_Daily!$D:$D, Raw_Data_Daily!$B:$B, "Control", Raw_Data_Daily!$A:$A, $A38, Raw_Data_Daily!$C:$C, $C$3),""))</f>
        <v/>
      </c>
      <c r="DV38" s="139" t="str">
        <f>IF($A38="","",IFERROR(SUMPRODUCT((Raw_Data_Daily!$B$2:$B$9999="Variant")*(Raw_Data_Daily!$A$2:$A$9999=$A38)*(Raw_Data_Daily!$C$2:$C$9999=$C$3)*Raw_Data_Daily!$D$2:$D$9999*Raw_Data_Daily!$AR$2:$AR$9999)/SUMIFS(Raw_Data_Daily!$D:$D, Raw_Data_Daily!$B:$B, "Variant", Raw_Data_Daily!$A:$A, $A38, Raw_Data_Daily!$C:$C, $C$3),""))</f>
        <v/>
      </c>
      <c r="DW38" s="173" t="str">
        <f t="shared" si="38"/>
        <v/>
      </c>
      <c r="DX38" s="139" t="str">
        <f>IF($A38="","",IFERROR(SUMPRODUCT((Raw_Data_Daily!$B$2:$B$9999="Control")*(Raw_Data_Daily!$A$2:$A$9999=$A38)*(Raw_Data_Daily!$C$2:$C$9999=$C$3)*Raw_Data_Daily!$D$2:$D$9999*Raw_Data_Daily!$AS$2:$AS$9999)/SUMIFS(Raw_Data_Daily!$D:$D, Raw_Data_Daily!$B:$B, "Control", Raw_Data_Daily!$A:$A, $A38, Raw_Data_Daily!$C:$C, $C$3),""))</f>
        <v/>
      </c>
      <c r="DY38" s="139" t="str">
        <f>IF($A38="","",IFERROR(SUMPRODUCT((Raw_Data_Daily!$B$2:$B$9999="Variant")*(Raw_Data_Daily!$A$2:$A$9999=$A38)*(Raw_Data_Daily!$C$2:$C$9999=$C$3)*Raw_Data_Daily!$D$2:$D$9999*Raw_Data_Daily!$AS$2:$AS$9999)/SUMIFS(Raw_Data_Daily!$D:$D, Raw_Data_Daily!$B:$B, "Variant", Raw_Data_Daily!$A:$A, $A38, Raw_Data_Daily!$C:$C, $C$3),""))</f>
        <v/>
      </c>
      <c r="DZ38" s="174" t="str">
        <f t="shared" si="39"/>
        <v/>
      </c>
      <c r="EA38" s="139" t="str">
        <f>IF($A38="","",IFERROR(SUMPRODUCT((Raw_Data_Daily!$B$2:$B$9999="Control")*(Raw_Data_Daily!$A$2:$A$9999=$A38)*(Raw_Data_Daily!$C$2:$C$9999=$C$3)*Raw_Data_Daily!$D$2:$D$9999*Raw_Data_Daily!$AT$2:$AT$9999)/SUMIFS(Raw_Data_Daily!$D:$D, Raw_Data_Daily!$B:$B, "Control", Raw_Data_Daily!$A:$A, $A38, Raw_Data_Daily!$C:$C, $C$3),""))</f>
        <v/>
      </c>
      <c r="EB38" s="139" t="str">
        <f>IF($A38="","",IFERROR(SUMPRODUCT((Raw_Data_Daily!$B$2:$B$9999="Variant")*(Raw_Data_Daily!$A$2:$A$9999=$A38)*(Raw_Data_Daily!$C$2:$C$9999=$C$3)*Raw_Data_Daily!$D$2:$D$9999*Raw_Data_Daily!$AT$2:$AT$9999)/SUMIFS(Raw_Data_Daily!$D:$D, Raw_Data_Daily!$B:$B, "Variant", Raw_Data_Daily!$A:$A, $A38, Raw_Data_Daily!$C:$C, $C$3),""))</f>
        <v/>
      </c>
      <c r="EC38" s="173" t="str">
        <f t="shared" si="40"/>
        <v/>
      </c>
      <c r="ED38" s="139" t="str">
        <f>IF($A38="","",IFERROR(SUMPRODUCT((Raw_Data_Daily!$B$2:$B$9999="Control")*(Raw_Data_Daily!$A$2:$A$9999=$A38)*(Raw_Data_Daily!$C$2:$C$9999=$C$3)*Raw_Data_Daily!$D$2:$D$9999*(Raw_Data_Daily!$AQ$2:$AQ$9999-Raw_Data_Daily!$AT$2:$AT$9999))/SUMIFS(Raw_Data_Daily!$D:$D, Raw_Data_Daily!$B:$B, "Control", Raw_Data_Daily!$A:$A, $A38, Raw_Data_Daily!$C:$C, $C$3),""))</f>
        <v/>
      </c>
      <c r="EE38" s="139" t="str">
        <f>IF($A38="","",IFERROR(SUMPRODUCT((Raw_Data_Daily!$B$2:$B$9999="Variant")*(Raw_Data_Daily!$A$2:$A$9999=$A38)*(Raw_Data_Daily!$C$2:$C$9999=$C$3)*Raw_Data_Daily!$D$2:$D$9999*(Raw_Data_Daily!$AQ$2:$AQ$9999-Raw_Data_Daily!$AT$2:$AT$9999))/SUMIFS(Raw_Data_Daily!$D:$D, Raw_Data_Daily!$B:$B, "Variant", Raw_Data_Daily!$A:$A, $A38, Raw_Data_Daily!$C:$C, $C$3),""))</f>
        <v/>
      </c>
      <c r="EF38" s="174" t="str">
        <f t="shared" si="41"/>
        <v/>
      </c>
      <c r="EG38" s="139" t="str">
        <f>IF($A38="","",IFERROR(SUMPRODUCT((Raw_Data_Daily!$B$2:$B$9999="Control")*(Raw_Data_Daily!$A$2:$A$9999=$A38)*(Raw_Data_Daily!$C$2:$C$9999=$C$3)*Raw_Data_Daily!$D$2:$D$9999*Raw_Data_Daily!$AU$2:$AU$9999)/SUMIFS(Raw_Data_Daily!$D:$D, Raw_Data_Daily!$B:$B, "Control", Raw_Data_Daily!$A:$A, $A38, Raw_Data_Daily!$C:$C, $C$3),""))</f>
        <v/>
      </c>
      <c r="EH38" s="139" t="str">
        <f>IF($A38="","",IFERROR(SUMPRODUCT((Raw_Data_Daily!$B$2:$B$9999="Variant")*(Raw_Data_Daily!$A$2:$A$9999=$A38)*(Raw_Data_Daily!$C$2:$C$9999=$C$3)*Raw_Data_Daily!$D$2:$D$9999*Raw_Data_Daily!$AU$2:$AU$9999)/SUMIFS(Raw_Data_Daily!$D:$D, Raw_Data_Daily!$B:$B, "Variant", Raw_Data_Daily!$A:$A, $A38, Raw_Data_Daily!$C:$C, $C$3),""))</f>
        <v/>
      </c>
      <c r="EI38" s="173" t="str">
        <f t="shared" si="42"/>
        <v/>
      </c>
    </row>
    <row r="39" ht="15.75" customHeight="1">
      <c r="A39" s="224">
        <v>46262.0</v>
      </c>
      <c r="B39" s="225">
        <f>IF($A39="","",SUMIFS(Raw_Data_Daily!$D:$D, Raw_Data_Daily!$B:$B, "Control", Raw_Data_Daily!$A:$A, $A39, Raw_Data_Daily!$C:$C, $C$3))</f>
        <v>0</v>
      </c>
      <c r="C39" s="225">
        <f>IF($A39="","",SUMIFS(Raw_Data_Daily!$D:$D, Raw_Data_Daily!$B:$B, "Variant", Raw_Data_Daily!$A:$A, $A39, Raw_Data_Daily!$C:$C, $C$3))</f>
        <v>0</v>
      </c>
      <c r="D39" s="226" t="str">
        <f t="shared" si="1"/>
        <v/>
      </c>
      <c r="E39" s="227" t="str">
        <f>IF($A39="","",IFERROR(SUMPRODUCT((Raw_Data_Daily!$B$2:$B$9999="Control")*(Raw_Data_Daily!$A$2:$A$9999=$A39)*(Raw_Data_Daily!$C$2:$C$9999=$C$3)*Raw_Data_Daily!$D$2:$D$9999*Raw_Data_Daily!$E$2:$E$9999)/SUMIFS(Raw_Data_Daily!$D:$D, Raw_Data_Daily!$B:$B, "Control", Raw_Data_Daily!$A:$A, $A39, Raw_Data_Daily!$C:$C, $C$3),""))</f>
        <v/>
      </c>
      <c r="F39" s="227" t="str">
        <f>IF($A39="","",IFERROR(SUMPRODUCT((Raw_Data_Daily!$B$2:$B$9999="Variant")*(Raw_Data_Daily!$A$2:$A$9999=$A39)*(Raw_Data_Daily!$C$2:$C$9999=$C$3)*Raw_Data_Daily!$D$2:$D$9999*Raw_Data_Daily!$E$2:$E$9999)/SUMIFS(Raw_Data_Daily!$D:$D, Raw_Data_Daily!$B:$B, "Variant", Raw_Data_Daily!$A:$A, $A39, Raw_Data_Daily!$C:$C, $C$3),""))</f>
        <v/>
      </c>
      <c r="G39" s="226" t="str">
        <f t="shared" si="2"/>
        <v/>
      </c>
      <c r="H39" s="228">
        <f>IF($A39="","",SUMIFS(Raw_Data_Daily!$F:$F, Raw_Data_Daily!$B:$B, "Control", Raw_Data_Daily!$A:$A, $A39, Raw_Data_Daily!$C:$C, $C$3))</f>
        <v>0</v>
      </c>
      <c r="I39" s="228">
        <f>IF($A39="","",SUMIFS(Raw_Data_Daily!$F:$F, Raw_Data_Daily!$B:$B, "Variant", Raw_Data_Daily!$A:$A, $A39, Raw_Data_Daily!$C:$C, $C$3))</f>
        <v>0</v>
      </c>
      <c r="J39" s="229" t="str">
        <f t="shared" si="3"/>
        <v/>
      </c>
      <c r="K39" s="230" t="str">
        <f>IF($A39="","",IFERROR(SUMIFS(Raw_Data_Daily!$F:$F, Raw_Data_Daily!$B:$B, "Control", Raw_Data_Daily!$A:$A, $A39, Raw_Data_Daily!$C:$C, $C$3)/SUMIFS(Raw_Data_Daily!$D:$D, Raw_Data_Daily!$B:$B, "Control", Raw_Data_Daily!$A:$A, $A39, Raw_Data_Daily!$C:$C, $C$3),""))</f>
        <v/>
      </c>
      <c r="L39" s="230" t="str">
        <f>IF($A39="","",IFERROR(SUMIFS(Raw_Data_Daily!$F:$F, Raw_Data_Daily!$B:$B, "Variant", Raw_Data_Daily!$A:$A, $A39, Raw_Data_Daily!$C:$C, $C$3)/SUMIFS(Raw_Data_Daily!$D:$D, Raw_Data_Daily!$B:$B, "Variant", Raw_Data_Daily!$A:$A, $A39, Raw_Data_Daily!$C:$C, $C$3),""))</f>
        <v/>
      </c>
      <c r="M39" s="229" t="str">
        <f t="shared" si="4"/>
        <v/>
      </c>
      <c r="N39" s="227" t="str">
        <f>IF($A39="","",IFERROR(SUMPRODUCT((Raw_Data_Daily!$B$2:$B$9999="Control")*(Raw_Data_Daily!$A$2:$A$9999=$A39)*(Raw_Data_Daily!$C$2:$C$9999=$C$3)*Raw_Data_Daily!$D$2:$D$9999*Raw_Data_Daily!$H$2:$H$9999/100)/SUMIFS(Raw_Data_Daily!$D:$D, Raw_Data_Daily!$B:$B, "Control", Raw_Data_Daily!$A:$A, $A39, Raw_Data_Daily!$C:$C, $C$3)*100,""))</f>
        <v/>
      </c>
      <c r="O39" s="227" t="str">
        <f>IF($A39="","",IFERROR(SUMPRODUCT((Raw_Data_Daily!$B$2:$B$9999="Variant")*(Raw_Data_Daily!$A$2:$A$9999=$A39)*(Raw_Data_Daily!$C$2:$C$9999=$C$3)*Raw_Data_Daily!$D$2:$D$9999*Raw_Data_Daily!$H$2:$H$9999/100)/SUMIFS(Raw_Data_Daily!$D:$D, Raw_Data_Daily!$B:$B, "Variant", Raw_Data_Daily!$A:$A, $A39, Raw_Data_Daily!$C:$C, $C$3)*100,""))</f>
        <v/>
      </c>
      <c r="P39" s="229" t="str">
        <f t="shared" si="5"/>
        <v/>
      </c>
      <c r="Q39" s="230" t="str">
        <f>IF($A39="","",IFERROR(SUMIFS(Raw_Data_Daily!$F:$F, Raw_Data_Daily!$B:$B, "Control", Raw_Data_Daily!$A:$A, $A39, Raw_Data_Daily!$C:$C, $C$3)/SUMPRODUCT((Raw_Data_Daily!$B$2:$B$9999="Control")*(Raw_Data_Daily!$A$2:$A$9999=$A39)*(Raw_Data_Daily!$C$2:$C$9999=$C$3)*Raw_Data_Daily!$D$2:$D$9999*Raw_Data_Daily!$H$2:$H$9999/100),""))</f>
        <v/>
      </c>
      <c r="R39" s="230" t="str">
        <f>IF($A39="","",IFERROR(SUMIFS(Raw_Data_Daily!$F:$F, Raw_Data_Daily!$B:$B, "Variant", Raw_Data_Daily!$A:$A, $A39, Raw_Data_Daily!$C:$C, $C$3)/SUMPRODUCT((Raw_Data_Daily!$B$2:$B$9999="Variant")*(Raw_Data_Daily!$A$2:$A$9999=$A39)*(Raw_Data_Daily!$C$2:$C$9999=$C$3)*Raw_Data_Daily!$D$2:$D$9999*Raw_Data_Daily!$H$2:$H$9999/100),""))</f>
        <v/>
      </c>
      <c r="S39" s="229" t="str">
        <f t="shared" si="6"/>
        <v/>
      </c>
      <c r="T39" s="231" t="str">
        <f>IF($A39="","",IFERROR(SUMPRODUCT((Raw_Data_Daily!$B$2:$B$9999="Control")*(Raw_Data_Daily!$A$2:$A$9999=$A39)*(Raw_Data_Daily!$C$2:$C$9999=$C$3)*Raw_Data_Daily!$D$2:$D$9999*Raw_Data_Daily!$J$2:$J$9999)/SUMIFS(Raw_Data_Daily!$D:$D, Raw_Data_Daily!$B:$B, "Control", Raw_Data_Daily!$A:$A, $A39, Raw_Data_Daily!$C:$C, $C$3),""))</f>
        <v/>
      </c>
      <c r="U39" s="231" t="str">
        <f>IF($A39="","",IFERROR(SUMPRODUCT((Raw_Data_Daily!$B$2:$B$9999="Variant")*(Raw_Data_Daily!$A$2:$A$9999=$A39)*(Raw_Data_Daily!$C$2:$C$9999=$C$3)*Raw_Data_Daily!$D$2:$D$9999*Raw_Data_Daily!$J$2:$J$9999)/SUMIFS(Raw_Data_Daily!$D:$D, Raw_Data_Daily!$B:$B, "Variant", Raw_Data_Daily!$A:$A, $A39, Raw_Data_Daily!$C:$C, $C$3),""))</f>
        <v/>
      </c>
      <c r="V39" s="229" t="str">
        <f t="shared" si="7"/>
        <v/>
      </c>
      <c r="W39" s="231" t="str">
        <f>IF($A39="","",IFERROR(SUMPRODUCT((Raw_Data_Daily!$B$2:$B$9999="Control")*(Raw_Data_Daily!$A$2:$A$9999=$A39)*(Raw_Data_Daily!$C$2:$C$9999=$C$3)*Raw_Data_Daily!$D$2:$D$9999*Raw_Data_Daily!$K$2:$K$9999)/SUMIFS(Raw_Data_Daily!$D:$D, Raw_Data_Daily!$B:$B, "Control", Raw_Data_Daily!$A:$A, $A39, Raw_Data_Daily!$C:$C, $C$3),""))</f>
        <v/>
      </c>
      <c r="X39" s="231" t="str">
        <f>IF($A39="","",IFERROR(SUMPRODUCT((Raw_Data_Daily!$B$2:$B$9999="Variant")*(Raw_Data_Daily!$A$2:$A$9999=$A39)*(Raw_Data_Daily!$C$2:$C$9999=$C$3)*Raw_Data_Daily!$D$2:$D$9999*Raw_Data_Daily!$K$2:$K$9999)/SUMIFS(Raw_Data_Daily!$D:$D, Raw_Data_Daily!$B:$B, "Variant", Raw_Data_Daily!$A:$A, $A39, Raw_Data_Daily!$C:$C, $C$3),""))</f>
        <v/>
      </c>
      <c r="Y39" s="229" t="str">
        <f t="shared" si="8"/>
        <v/>
      </c>
      <c r="Z39" s="231" t="str">
        <f>IF($A39="","",IFERROR(SUMPRODUCT((Raw_Data_Daily!$B$2:$B$9999="Control")*(Raw_Data_Daily!$A$2:$A$9999=$A39)*(Raw_Data_Daily!$C$2:$C$9999=$C$3)*Raw_Data_Daily!$D$2:$D$9999*Raw_Data_Daily!$L$2:$L$9999)/SUMIFS(Raw_Data_Daily!$D:$D, Raw_Data_Daily!$B:$B, "Control", Raw_Data_Daily!$A:$A, $A39, Raw_Data_Daily!$C:$C, $C$3),""))</f>
        <v/>
      </c>
      <c r="AA39" s="231" t="str">
        <f>IF($A39="","",IFERROR(SUMPRODUCT((Raw_Data_Daily!$B$2:$B$9999="Variant")*(Raw_Data_Daily!$A$2:$A$9999=$A39)*(Raw_Data_Daily!$C$2:$C$9999=$C$3)*Raw_Data_Daily!$D$2:$D$9999*Raw_Data_Daily!$L$2:$L$9999)/SUMIFS(Raw_Data_Daily!$D:$D, Raw_Data_Daily!$B:$B, "Variant", Raw_Data_Daily!$A:$A, $A39, Raw_Data_Daily!$C:$C, $C$3),""))</f>
        <v/>
      </c>
      <c r="AB39" s="229" t="str">
        <f t="shared" si="9"/>
        <v/>
      </c>
      <c r="AC39" s="232" t="str">
        <f>IF($A39="","",IFERROR(SUMPRODUCT((Raw_Data_Daily!$B$2:$B$9999="Control")*(Raw_Data_Daily!$A$2:$A$9999=$A39)*(Raw_Data_Daily!$C$2:$C$9999=$C$3)*Raw_Data_Daily!$D$2:$D$9999*Raw_Data_Daily!$M$2:$M$9999)/SUMIFS(Raw_Data_Daily!$D:$D, Raw_Data_Daily!$B:$B, "Control", Raw_Data_Daily!$A:$A, $A39, Raw_Data_Daily!$C:$C, $C$3),""))</f>
        <v/>
      </c>
      <c r="AD39" s="232" t="str">
        <f>IF($A39="","",IFERROR(SUMPRODUCT((Raw_Data_Daily!$B$2:$B$9999="Variant")*(Raw_Data_Daily!$A$2:$A$9999=$A39)*(Raw_Data_Daily!$C$2:$C$9999=$C$3)*Raw_Data_Daily!$D$2:$D$9999*Raw_Data_Daily!$M$2:$M$9999)/SUMIFS(Raw_Data_Daily!$D:$D, Raw_Data_Daily!$B:$B, "Variant", Raw_Data_Daily!$A:$A, $A39, Raw_Data_Daily!$C:$C, $C$3),""))</f>
        <v/>
      </c>
      <c r="AE39" s="233" t="str">
        <f t="shared" si="10"/>
        <v/>
      </c>
      <c r="AF39" s="232" t="str">
        <f>IF($A39="","",IFERROR(SUMPRODUCT((Raw_Data_Daily!$B$2:$B$9999="Control")*(Raw_Data_Daily!$A$2:$A$9999=$A39)*(Raw_Data_Daily!$C$2:$C$9999=$C$3)*Raw_Data_Daily!$D$2:$D$9999*Raw_Data_Daily!$N$2:$N$9999)/SUMIFS(Raw_Data_Daily!$D:$D, Raw_Data_Daily!$B:$B, "Control", Raw_Data_Daily!$A:$A, $A39, Raw_Data_Daily!$C:$C, $C$3),""))</f>
        <v/>
      </c>
      <c r="AG39" s="232" t="str">
        <f>IF($A39="","",IFERROR(SUMPRODUCT((Raw_Data_Daily!$B$2:$B$9999="Variant")*(Raw_Data_Daily!$A$2:$A$9999=$A39)*(Raw_Data_Daily!$C$2:$C$9999=$C$3)*Raw_Data_Daily!$D$2:$D$9999*Raw_Data_Daily!$N$2:$N$9999)/SUMIFS(Raw_Data_Daily!$D:$D, Raw_Data_Daily!$B:$B, "Variant", Raw_Data_Daily!$A:$A, $A39, Raw_Data_Daily!$C:$C, $C$3),""))</f>
        <v/>
      </c>
      <c r="AH39" s="233" t="str">
        <f t="shared" si="11"/>
        <v/>
      </c>
      <c r="AI39" s="232" t="str">
        <f>IF($A39="","",IFERROR(SUMPRODUCT((Raw_Data_Daily!$B$2:$B$9999="Control")*(Raw_Data_Daily!$A$2:$A$9999=$A39)*(Raw_Data_Daily!$C$2:$C$9999=$C$3)*Raw_Data_Daily!$D$2:$D$9999*Raw_Data_Daily!$O$2:$O$9999)/SUMIFS(Raw_Data_Daily!$D:$D, Raw_Data_Daily!$B:$B, "Control", Raw_Data_Daily!$A:$A, $A39, Raw_Data_Daily!$C:$C, $C$3),""))</f>
        <v/>
      </c>
      <c r="AJ39" s="232" t="str">
        <f>IF($A39="","",IFERROR(SUMPRODUCT((Raw_Data_Daily!$B$2:$B$9999="Variant")*(Raw_Data_Daily!$A$2:$A$9999=$A39)*(Raw_Data_Daily!$C$2:$C$9999=$C$3)*Raw_Data_Daily!$D$2:$D$9999*Raw_Data_Daily!$O$2:$O$9999)/SUMIFS(Raw_Data_Daily!$D:$D, Raw_Data_Daily!$B:$B, "Variant", Raw_Data_Daily!$A:$A, $A39, Raw_Data_Daily!$C:$C, $C$3),""))</f>
        <v/>
      </c>
      <c r="AK39" s="229" t="str">
        <f t="shared" si="12"/>
        <v/>
      </c>
      <c r="AL39" s="231" t="str">
        <f>IF($A39="","",IFERROR(SUMPRODUCT((Raw_Data_Daily!$B$2:$B$9999="Control")*(Raw_Data_Daily!$A$2:$A$9999=$A39)*(Raw_Data_Daily!$C$2:$C$9999=$C$3)*Raw_Data_Daily!$D$2:$D$9999*Raw_Data_Daily!$P$2:$P$9999)/SUMIFS(Raw_Data_Daily!$D:$D, Raw_Data_Daily!$B:$B, "Control", Raw_Data_Daily!$A:$A, $A39, Raw_Data_Daily!$C:$C, $C$3),""))</f>
        <v/>
      </c>
      <c r="AM39" s="231" t="str">
        <f>IF($A39="","",IFERROR(SUMPRODUCT((Raw_Data_Daily!$B$2:$B$9999="Variant")*(Raw_Data_Daily!$A$2:$A$9999=$A39)*(Raw_Data_Daily!$C$2:$C$9999=$C$3)*Raw_Data_Daily!$D$2:$D$9999*Raw_Data_Daily!$P$2:$P$9999)/SUMIFS(Raw_Data_Daily!$D:$D, Raw_Data_Daily!$B:$B, "Variant", Raw_Data_Daily!$A:$A, $A39, Raw_Data_Daily!$C:$C, $C$3),""))</f>
        <v/>
      </c>
      <c r="AN39" s="229" t="str">
        <f t="shared" si="13"/>
        <v/>
      </c>
      <c r="AO39" s="231" t="str">
        <f>IF($A39="","",IFERROR(SUMPRODUCT((Raw_Data_Daily!$B$2:$B$9999="Control")*(Raw_Data_Daily!$A$2:$A$9999=$A39)*(Raw_Data_Daily!$C$2:$C$9999=$C$3)*Raw_Data_Daily!$D$2:$D$9999*Raw_Data_Daily!$Q$2:$Q$9999)/SUMIFS(Raw_Data_Daily!$D:$D, Raw_Data_Daily!$B:$B, "Control", Raw_Data_Daily!$A:$A, $A39, Raw_Data_Daily!$C:$C, $C$3),""))</f>
        <v/>
      </c>
      <c r="AP39" s="231" t="str">
        <f>IF($A39="","",IFERROR(SUMPRODUCT((Raw_Data_Daily!$B$2:$B$9999="Variant")*(Raw_Data_Daily!$A$2:$A$9999=$A39)*(Raw_Data_Daily!$C$2:$C$9999=$C$3)*Raw_Data_Daily!$D$2:$D$9999*Raw_Data_Daily!$Q$2:$Q$9999)/SUMIFS(Raw_Data_Daily!$D:$D, Raw_Data_Daily!$B:$B, "Variant", Raw_Data_Daily!$A:$A, $A39, Raw_Data_Daily!$C:$C, $C$3),""))</f>
        <v/>
      </c>
      <c r="AQ39" s="226" t="str">
        <f t="shared" si="14"/>
        <v/>
      </c>
      <c r="AR39" s="231" t="str">
        <f>IF($A39="","",IFERROR(SUMPRODUCT((Raw_Data_Daily!$B$2:$B$9999="Control")*(Raw_Data_Daily!$A$2:$A$9999=$A39)*(Raw_Data_Daily!$C$2:$C$9999=$C$3)*Raw_Data_Daily!$D$2:$D$9999*Raw_Data_Daily!$R$2:$R$9999)/SUMIFS(Raw_Data_Daily!$D:$D, Raw_Data_Daily!$B:$B, "Control", Raw_Data_Daily!$A:$A, $A39, Raw_Data_Daily!$C:$C, $C$3),""))</f>
        <v/>
      </c>
      <c r="AS39" s="231" t="str">
        <f>IF($A39="","",IFERROR(SUMPRODUCT((Raw_Data_Daily!$B$2:$B$9999="Variant")*(Raw_Data_Daily!$A$2:$A$9999=$A39)*(Raw_Data_Daily!$C$2:$C$9999=$C$3)*Raw_Data_Daily!$D$2:$D$9999*Raw_Data_Daily!$R$2:$R$9999)/SUMIFS(Raw_Data_Daily!$D:$D, Raw_Data_Daily!$B:$B, "Variant", Raw_Data_Daily!$A:$A, $A39, Raw_Data_Daily!$C:$C, $C$3),""))</f>
        <v/>
      </c>
      <c r="AT39" s="226" t="str">
        <f t="shared" si="15"/>
        <v/>
      </c>
      <c r="AU39" s="231" t="str">
        <f>IF($A39="","",IFERROR(SUMPRODUCT((Raw_Data_Daily!$B$2:$B$9999="Control")*(Raw_Data_Daily!$A$2:$A$9999=$A39)*(Raw_Data_Daily!$C$2:$C$9999=$C$3)*Raw_Data_Daily!$D$2:$D$9999*Raw_Data_Daily!$S$2:$S$9999)/SUMIFS(Raw_Data_Daily!$D:$D, Raw_Data_Daily!$B:$B, "Control", Raw_Data_Daily!$A:$A, $A39, Raw_Data_Daily!$C:$C, $C$3),""))</f>
        <v/>
      </c>
      <c r="AV39" s="231" t="str">
        <f>IF($A39="","",IFERROR(SUMPRODUCT((Raw_Data_Daily!$B$2:$B$9999="Variant")*(Raw_Data_Daily!$A$2:$A$9999=$A39)*(Raw_Data_Daily!$C$2:$C$9999=$C$3)*Raw_Data_Daily!$D$2:$D$9999*Raw_Data_Daily!$S$2:$S$9999)/SUMIFS(Raw_Data_Daily!$D:$D, Raw_Data_Daily!$B:$B, "Variant", Raw_Data_Daily!$A:$A, $A39, Raw_Data_Daily!$C:$C, $C$3),""))</f>
        <v/>
      </c>
      <c r="AW39" s="226" t="str">
        <f t="shared" si="16"/>
        <v/>
      </c>
      <c r="AX39" s="231" t="str">
        <f>IF($A39="","",IFERROR(SUMPRODUCT((Raw_Data_Daily!$B$2:$B$9999="Control")*(Raw_Data_Daily!$A$2:$A$9999=$A39)*(Raw_Data_Daily!$C$2:$C$9999=$C$3)*Raw_Data_Daily!$D$2:$D$9999*Raw_Data_Daily!$T$2:$T$9999)/SUMIFS(Raw_Data_Daily!$D:$D, Raw_Data_Daily!$B:$B, "Control", Raw_Data_Daily!$A:$A, $A39, Raw_Data_Daily!$C:$C, $C$3),""))</f>
        <v/>
      </c>
      <c r="AY39" s="231" t="str">
        <f>IF($A39="","",IFERROR(SUMPRODUCT((Raw_Data_Daily!$B$2:$B$9999="Variant")*(Raw_Data_Daily!$A$2:$A$9999=$A39)*(Raw_Data_Daily!$C$2:$C$9999=$C$3)*Raw_Data_Daily!$D$2:$D$9999*Raw_Data_Daily!$T$2:$T$9999)/SUMIFS(Raw_Data_Daily!$D:$D, Raw_Data_Daily!$B:$B, "Variant", Raw_Data_Daily!$A:$A, $A39, Raw_Data_Daily!$C:$C, $C$3),""))</f>
        <v/>
      </c>
      <c r="AZ39" s="229" t="str">
        <f t="shared" si="17"/>
        <v/>
      </c>
      <c r="BA39" s="231" t="str">
        <f>IF($A39="","",IFERROR(SUMPRODUCT((Raw_Data_Daily!$B$2:$B$9999="Control")*(Raw_Data_Daily!$A$2:$A$9999=$A39)*(Raw_Data_Daily!$C$2:$C$9999=$C$3)*Raw_Data_Daily!$D$2:$D$9999*Raw_Data_Daily!$U$2:$U$9999)/SUMIFS(Raw_Data_Daily!$D:$D, Raw_Data_Daily!$B:$B, "Control", Raw_Data_Daily!$A:$A, $A39, Raw_Data_Daily!$C:$C, $C$3),""))</f>
        <v/>
      </c>
      <c r="BB39" s="231" t="str">
        <f>IF($A39="","",IFERROR(SUMPRODUCT((Raw_Data_Daily!$B$2:$B$9999="Variant")*(Raw_Data_Daily!$A$2:$A$9999=$A39)*(Raw_Data_Daily!$C$2:$C$9999=$C$3)*Raw_Data_Daily!$D$2:$D$9999*Raw_Data_Daily!$U$2:$U$9999)/SUMIFS(Raw_Data_Daily!$D:$D, Raw_Data_Daily!$B:$B, "Variant", Raw_Data_Daily!$A:$A, $A39, Raw_Data_Daily!$C:$C, $C$3),""))</f>
        <v/>
      </c>
      <c r="BC39" s="226" t="str">
        <f t="shared" si="18"/>
        <v/>
      </c>
      <c r="BD39" s="231" t="str">
        <f>IF($A39="","",IFERROR(SUMPRODUCT((Raw_Data_Daily!$B$2:$B$9999="Control")*(Raw_Data_Daily!$A$2:$A$9999=$A39)*(Raw_Data_Daily!$C$2:$C$9999=$C$3)*Raw_Data_Daily!$D$2:$D$9999*Raw_Data_Daily!$V$2:$V$9999)/SUMIFS(Raw_Data_Daily!$D:$D, Raw_Data_Daily!$B:$B, "Control", Raw_Data_Daily!$A:$A, $A39, Raw_Data_Daily!$C:$C, $C$3),""))</f>
        <v/>
      </c>
      <c r="BE39" s="231" t="str">
        <f>IF($A39="","",IFERROR(SUMPRODUCT((Raw_Data_Daily!$B$2:$B$9999="Variant")*(Raw_Data_Daily!$A$2:$A$9999=$A39)*(Raw_Data_Daily!$C$2:$C$9999=$C$3)*Raw_Data_Daily!$D$2:$D$9999*Raw_Data_Daily!$V$2:$V$9999)/SUMIFS(Raw_Data_Daily!$D:$D, Raw_Data_Daily!$B:$B, "Variant", Raw_Data_Daily!$A:$A, $A39, Raw_Data_Daily!$C:$C, $C$3),""))</f>
        <v/>
      </c>
      <c r="BF39" s="226" t="str">
        <f t="shared" si="19"/>
        <v/>
      </c>
      <c r="BG39" s="231" t="str">
        <f>IF($A39="","",IFERROR(SUMPRODUCT((Raw_Data_Daily!$B$2:$B$9999="Control")*(Raw_Data_Daily!$A$2:$A$9999=$A39)*(Raw_Data_Daily!$C$2:$C$9999=$C$3)*Raw_Data_Daily!$D$2:$D$9999*(Raw_Data_Daily!$Q$2:$Q$9999-Raw_Data_Daily!$V$2:$V$9999))/SUMIFS(Raw_Data_Daily!$D:$D, Raw_Data_Daily!$B:$B, "Control", Raw_Data_Daily!$A:$A, $A39, Raw_Data_Daily!$C:$C, $C$3),""))</f>
        <v/>
      </c>
      <c r="BH39" s="231" t="str">
        <f>IF($A39="","",IFERROR(SUMPRODUCT((Raw_Data_Daily!$B$2:$B$9999="Variant")*(Raw_Data_Daily!$A$2:$A$9999=$A39)*(Raw_Data_Daily!$C$2:$C$9999=$C$3)*Raw_Data_Daily!$D$2:$D$9999*(Raw_Data_Daily!$Q$2:$Q$9999-Raw_Data_Daily!$V$2:$V$9999))/SUMIFS(Raw_Data_Daily!$D:$D, Raw_Data_Daily!$B:$B, "Variant", Raw_Data_Daily!$A:$A, $A39, Raw_Data_Daily!$C:$C, $C$3),""))</f>
        <v/>
      </c>
      <c r="BI39" s="226" t="str">
        <f t="shared" si="20"/>
        <v/>
      </c>
      <c r="BJ39" s="231" t="str">
        <f>IF($A39="","",IFERROR(SUMPRODUCT((Raw_Data_Daily!$B$2:$B$9999="Control")*(Raw_Data_Daily!$A$2:$A$9999=$A39)*(Raw_Data_Daily!$C$2:$C$9999=$C$3)*Raw_Data_Daily!$D$2:$D$9999*Raw_Data_Daily!$W$2:$W$9999)/SUMIFS(Raw_Data_Daily!$D:$D, Raw_Data_Daily!$B:$B, "Control", Raw_Data_Daily!$A:$A, $A39, Raw_Data_Daily!$C:$C, $C$3),""))</f>
        <v/>
      </c>
      <c r="BK39" s="231" t="str">
        <f>IF($A39="","",IFERROR(SUMPRODUCT((Raw_Data_Daily!$B$2:$B$9999="Variant")*(Raw_Data_Daily!$A$2:$A$9999=$A39)*(Raw_Data_Daily!$C$2:$C$9999=$C$3)*Raw_Data_Daily!$D$2:$D$9999*Raw_Data_Daily!$W$2:$W$9999)/SUMIFS(Raw_Data_Daily!$D:$D, Raw_Data_Daily!$B:$B, "Variant", Raw_Data_Daily!$A:$A, $A39, Raw_Data_Daily!$C:$C, $C$3),""))</f>
        <v/>
      </c>
      <c r="BL39" s="226" t="str">
        <f t="shared" si="21"/>
        <v/>
      </c>
      <c r="BM39" s="232" t="str">
        <f>IF($A39="","",IFERROR(SUMPRODUCT((Raw_Data_Daily!$B$2:$B$9999="Control")*(Raw_Data_Daily!$A$2:$A$9999=$A39)*(Raw_Data_Daily!$C$2:$C$9999=$C$3)*Raw_Data_Daily!$D$2:$D$9999*Raw_Data_Daily!$X$2:$X$9999)/SUMIFS(Raw_Data_Daily!$D:$D, Raw_Data_Daily!$B:$B, "Control", Raw_Data_Daily!$A:$A, $A39, Raw_Data_Daily!$C:$C, $C$3),""))</f>
        <v/>
      </c>
      <c r="BN39" s="232" t="str">
        <f>IF($A39="","",IFERROR(SUMPRODUCT((Raw_Data_Daily!$B$2:$B$9999="Variant")*(Raw_Data_Daily!$A$2:$A$9999=$A39)*(Raw_Data_Daily!$C$2:$C$9999=$C$3)*Raw_Data_Daily!$D$2:$D$9999*Raw_Data_Daily!$X$2:$X$9999)/SUMIFS(Raw_Data_Daily!$D:$D, Raw_Data_Daily!$B:$B, "Variant", Raw_Data_Daily!$A:$A, $A39, Raw_Data_Daily!$C:$C, $C$3),""))</f>
        <v/>
      </c>
      <c r="BO39" s="229" t="str">
        <f t="shared" si="22"/>
        <v/>
      </c>
      <c r="BP39" s="225" t="str">
        <f>IF($A39="","",IFERROR(SUMPRODUCT((Raw_Data_Daily!$B$2:$B$9999="Control")*(Raw_Data_Daily!$A$2:$A$9999=$A39)*(Raw_Data_Daily!$C$2:$C$9999=$C$3)*Raw_Data_Daily!$D$2:$D$9999*Raw_Data_Daily!$Y$2:$Y$9999)/SUMIFS(Raw_Data_Daily!$D:$D, Raw_Data_Daily!$B:$B, "Control", Raw_Data_Daily!$A:$A, $A39, Raw_Data_Daily!$C:$C, $C$3),""))</f>
        <v/>
      </c>
      <c r="BQ39" s="225" t="str">
        <f>IF($A39="","",IFERROR(SUMPRODUCT((Raw_Data_Daily!$B$2:$B$9999="Variant")*(Raw_Data_Daily!$A$2:$A$9999=$A39)*(Raw_Data_Daily!$C$2:$C$9999=$C$3)*Raw_Data_Daily!$D$2:$D$9999*Raw_Data_Daily!$Y$2:$Y$9999)/SUMIFS(Raw_Data_Daily!$D:$D, Raw_Data_Daily!$B:$B, "Variant", Raw_Data_Daily!$A:$A, $A39, Raw_Data_Daily!$C:$C, $C$3),""))</f>
        <v/>
      </c>
      <c r="BR39" s="226" t="str">
        <f t="shared" si="23"/>
        <v/>
      </c>
      <c r="BS39" s="225" t="str">
        <f>IF($A39="","",IFERROR(SUMPRODUCT((Raw_Data_Daily!$B$2:$B$9999="Control")*(Raw_Data_Daily!$A$2:$A$9999=$A39)*(Raw_Data_Daily!$C$2:$C$9999=$C$3)*Raw_Data_Daily!$D$2:$D$9999*Raw_Data_Daily!$Z$2:$Z$9999)/SUMIFS(Raw_Data_Daily!$D:$D, Raw_Data_Daily!$B:$B, "Control", Raw_Data_Daily!$A:$A, $A39, Raw_Data_Daily!$C:$C, $C$3),""))</f>
        <v/>
      </c>
      <c r="BT39" s="225" t="str">
        <f>IF($A39="","",IFERROR(SUMPRODUCT((Raw_Data_Daily!$B$2:$B$9999="Variant")*(Raw_Data_Daily!$A$2:$A$9999=$A39)*(Raw_Data_Daily!$C$2:$C$9999=$C$3)*Raw_Data_Daily!$D$2:$D$9999*Raw_Data_Daily!$Z$2:$Z$9999)/SUMIFS(Raw_Data_Daily!$D:$D, Raw_Data_Daily!$B:$B, "Variant", Raw_Data_Daily!$A:$A, $A39, Raw_Data_Daily!$C:$C, $C$3),""))</f>
        <v/>
      </c>
      <c r="BU39" s="226" t="str">
        <f t="shared" si="24"/>
        <v/>
      </c>
      <c r="BV39" s="225" t="str">
        <f>IF($A39="","",IFERROR(SUMPRODUCT((Raw_Data_Daily!$B$2:$B$9999="Control")*(Raw_Data_Daily!$A$2:$A$9999=$A39)*(Raw_Data_Daily!$C$2:$C$9999=$C$3)*Raw_Data_Daily!$D$2:$D$9999*Raw_Data_Daily!$AA$2:$AA$9999)/SUMIFS(Raw_Data_Daily!$D:$D, Raw_Data_Daily!$B:$B, "Control", Raw_Data_Daily!$A:$A, $A39, Raw_Data_Daily!$C:$C, $C$3),""))</f>
        <v/>
      </c>
      <c r="BW39" s="225" t="str">
        <f>IF($A39="","",IFERROR(SUMPRODUCT((Raw_Data_Daily!$B$2:$B$9999="Variant")*(Raw_Data_Daily!$A$2:$A$9999=$A39)*(Raw_Data_Daily!$C$2:$C$9999=$C$3)*Raw_Data_Daily!$D$2:$D$9999*Raw_Data_Daily!$AA$2:$AA$9999)/SUMIFS(Raw_Data_Daily!$D:$D, Raw_Data_Daily!$B:$B, "Variant", Raw_Data_Daily!$A:$A, $A39, Raw_Data_Daily!$C:$C, $C$3),""))</f>
        <v/>
      </c>
      <c r="BX39" s="226" t="str">
        <f t="shared" si="25"/>
        <v/>
      </c>
      <c r="BY39" s="231" t="str">
        <f>IF($A39="","",IFERROR(SUMPRODUCT((Raw_Data_Daily!$B$2:$B$9999="Control")*(Raw_Data_Daily!$A$2:$A$9999=$A39)*(Raw_Data_Daily!$C$2:$C$9999=$C$3)*Raw_Data_Daily!$D$2:$D$9999*Raw_Data_Daily!$AB$2:$AB$9999)/SUMIFS(Raw_Data_Daily!$D:$D, Raw_Data_Daily!$B:$B, "Control", Raw_Data_Daily!$A:$A, $A39, Raw_Data_Daily!$C:$C, $C$3),""))</f>
        <v/>
      </c>
      <c r="BZ39" s="231" t="str">
        <f>IF($A39="","",IFERROR(SUMPRODUCT((Raw_Data_Daily!$B$2:$B$9999="Variant")*(Raw_Data_Daily!$A$2:$A$9999=$A39)*(Raw_Data_Daily!$C$2:$C$9999=$C$3)*Raw_Data_Daily!$D$2:$D$9999*Raw_Data_Daily!$AB$2:$AB$9999)/SUMIFS(Raw_Data_Daily!$D:$D, Raw_Data_Daily!$B:$B, "Variant", Raw_Data_Daily!$A:$A, $A39, Raw_Data_Daily!$C:$C, $C$3),""))</f>
        <v/>
      </c>
      <c r="CA39" s="229" t="str">
        <f t="shared" si="26"/>
        <v/>
      </c>
      <c r="CB39" s="231" t="str">
        <f>IF($A39="","",IFERROR(SUMPRODUCT((Raw_Data_Daily!$B$2:$B$9999="Control")*(Raw_Data_Daily!$A$2:$A$9999=$A39)*(Raw_Data_Daily!$C$2:$C$9999=$C$3)*Raw_Data_Daily!$D$2:$D$9999*Raw_Data_Daily!$AC$2:$AC$9999)/SUMIFS(Raw_Data_Daily!$D:$D, Raw_Data_Daily!$B:$B, "Control", Raw_Data_Daily!$A:$A, $A39, Raw_Data_Daily!$C:$C, $C$3),""))</f>
        <v/>
      </c>
      <c r="CC39" s="231" t="str">
        <f>IF($A39="","",IFERROR(SUMPRODUCT((Raw_Data_Daily!$B$2:$B$9999="Variant")*(Raw_Data_Daily!$A$2:$A$9999=$A39)*(Raw_Data_Daily!$C$2:$C$9999=$C$3)*Raw_Data_Daily!$D$2:$D$9999*Raw_Data_Daily!$AC$2:$AC$9999)/SUMIFS(Raw_Data_Daily!$D:$D, Raw_Data_Daily!$B:$B, "Variant", Raw_Data_Daily!$A:$A, $A39, Raw_Data_Daily!$C:$C, $C$3),""))</f>
        <v/>
      </c>
      <c r="CD39" s="229" t="str">
        <f t="shared" si="27"/>
        <v/>
      </c>
      <c r="CE39" s="231" t="str">
        <f>IF($A39="","",IFERROR(SUMPRODUCT((Raw_Data_Daily!$B$2:$B$9999="Control")*(Raw_Data_Daily!$A$2:$A$9999=$A39)*(Raw_Data_Daily!$C$2:$C$9999=$C$3)*Raw_Data_Daily!$D$2:$D$9999*Raw_Data_Daily!$AD$2:$AD$9999)/SUMIFS(Raw_Data_Daily!$D:$D, Raw_Data_Daily!$B:$B, "Control", Raw_Data_Daily!$A:$A, $A39, Raw_Data_Daily!$C:$C, $C$3),""))</f>
        <v/>
      </c>
      <c r="CF39" s="231" t="str">
        <f>IF($A39="","",IFERROR(SUMPRODUCT((Raw_Data_Daily!$B$2:$B$9999="Variant")*(Raw_Data_Daily!$A$2:$A$9999=$A39)*(Raw_Data_Daily!$C$2:$C$9999=$C$3)*Raw_Data_Daily!$D$2:$D$9999*Raw_Data_Daily!$AD$2:$AD$9999)/SUMIFS(Raw_Data_Daily!$D:$D, Raw_Data_Daily!$B:$B, "Variant", Raw_Data_Daily!$A:$A, $A39, Raw_Data_Daily!$C:$C, $C$3),""))</f>
        <v/>
      </c>
      <c r="CG39" s="229" t="str">
        <f t="shared" si="28"/>
        <v/>
      </c>
      <c r="CH39" s="231" t="str">
        <f>IF($A39="","",IFERROR(SUMPRODUCT((Raw_Data_Daily!$B$2:$B$9999="Control")*(Raw_Data_Daily!$A$2:$A$9999=$A39)*(Raw_Data_Daily!$C$2:$C$9999=$C$3)*Raw_Data_Daily!$D$2:$D$9999*Raw_Data_Daily!$AE$2:$AE$9999)/SUMIFS(Raw_Data_Daily!$D:$D, Raw_Data_Daily!$B:$B, "Control", Raw_Data_Daily!$A:$A, $A39, Raw_Data_Daily!$C:$C, $C$3),""))</f>
        <v/>
      </c>
      <c r="CI39" s="231" t="str">
        <f>IF($A39="","",IFERROR(SUMPRODUCT((Raw_Data_Daily!$B$2:$B$9999="Variant")*(Raw_Data_Daily!$A$2:$A$9999=$A39)*(Raw_Data_Daily!$C$2:$C$9999=$C$3)*Raw_Data_Daily!$D$2:$D$9999*Raw_Data_Daily!$AE$2:$AE$9999)/SUMIFS(Raw_Data_Daily!$D:$D, Raw_Data_Daily!$B:$B, "Variant", Raw_Data_Daily!$A:$A, $A39, Raw_Data_Daily!$C:$C, $C$3),""))</f>
        <v/>
      </c>
      <c r="CJ39" s="229" t="str">
        <f t="shared" si="29"/>
        <v/>
      </c>
      <c r="CK39" s="231" t="str">
        <f>IF($A39="","",IFERROR(SUMPRODUCT((Raw_Data_Daily!$B$2:$B$9999="Control")*(Raw_Data_Daily!$A$2:$A$9999=$A39)*(Raw_Data_Daily!$C$2:$C$9999=$C$3)*Raw_Data_Daily!$D$2:$D$9999*Raw_Data_Daily!$AF$2:$AF$9999)/SUMIFS(Raw_Data_Daily!$D:$D, Raw_Data_Daily!$B:$B, "Control", Raw_Data_Daily!$A:$A, $A39, Raw_Data_Daily!$C:$C, $C$3),""))</f>
        <v/>
      </c>
      <c r="CL39" s="231" t="str">
        <f>IF($A39="","",IFERROR(SUMPRODUCT((Raw_Data_Daily!$B$2:$B$9999="Variant")*(Raw_Data_Daily!$A$2:$A$9999=$A39)*(Raw_Data_Daily!$C$2:$C$9999=$C$3)*Raw_Data_Daily!$D$2:$D$9999*Raw_Data_Daily!$AF$2:$AF$9999)/SUMIFS(Raw_Data_Daily!$D:$D, Raw_Data_Daily!$B:$B, "Variant", Raw_Data_Daily!$A:$A, $A39, Raw_Data_Daily!$C:$C, $C$3),""))</f>
        <v/>
      </c>
      <c r="CM39" s="229" t="str">
        <f t="shared" si="30"/>
        <v/>
      </c>
      <c r="CN39" s="231" t="str">
        <f>IF($A39="","",IFERROR(SUMPRODUCT((Raw_Data_Daily!$B$2:$B$9999="Control")*(Raw_Data_Daily!$A$2:$A$9999=$A39)*(Raw_Data_Daily!$C$2:$C$9999=$C$3)*Raw_Data_Daily!$D$2:$D$9999*Raw_Data_Daily!$AG$2:$AG$9999)/SUMIFS(Raw_Data_Daily!$D:$D, Raw_Data_Daily!$B:$B, "Control", Raw_Data_Daily!$A:$A, $A39, Raw_Data_Daily!$C:$C, $C$3),""))</f>
        <v/>
      </c>
      <c r="CO39" s="231" t="str">
        <f>IF($A39="","",IFERROR(SUMPRODUCT((Raw_Data_Daily!$B$2:$B$9999="Variant")*(Raw_Data_Daily!$A$2:$A$9999=$A39)*(Raw_Data_Daily!$C$2:$C$9999=$C$3)*Raw_Data_Daily!$D$2:$D$9999*Raw_Data_Daily!$AG$2:$AG$9999)/SUMIFS(Raw_Data_Daily!$D:$D, Raw_Data_Daily!$B:$B, "Variant", Raw_Data_Daily!$A:$A, $A39, Raw_Data_Daily!$C:$C, $C$3),""))</f>
        <v/>
      </c>
      <c r="CP39" s="229" t="str">
        <f t="shared" si="31"/>
        <v/>
      </c>
      <c r="CQ39" s="231" t="str">
        <f>IF($A39="","",IFERROR(SUMPRODUCT((Raw_Data_Daily!$B$2:$B$9999="Control")*(Raw_Data_Daily!$A$2:$A$9999=$A39)*(Raw_Data_Daily!$C$2:$C$9999=$C$3)*Raw_Data_Daily!$D$2:$D$9999*Raw_Data_Daily!$AH$2:$AH$9999)/SUMIFS(Raw_Data_Daily!$D:$D, Raw_Data_Daily!$B:$B, "Control", Raw_Data_Daily!$A:$A, $A39, Raw_Data_Daily!$C:$C, $C$3),""))</f>
        <v/>
      </c>
      <c r="CR39" s="231" t="str">
        <f>IF($A39="","",IFERROR(SUMPRODUCT((Raw_Data_Daily!$B$2:$B$9999="Variant")*(Raw_Data_Daily!$A$2:$A$9999=$A39)*(Raw_Data_Daily!$C$2:$C$9999=$C$3)*Raw_Data_Daily!$D$2:$D$9999*Raw_Data_Daily!$AH$2:$AH$9999)/SUMIFS(Raw_Data_Daily!$D:$D, Raw_Data_Daily!$B:$B, "Variant", Raw_Data_Daily!$A:$A, $A39, Raw_Data_Daily!$C:$C, $C$3),""))</f>
        <v/>
      </c>
      <c r="CS39" s="229" t="str">
        <f t="shared" si="32"/>
        <v/>
      </c>
      <c r="CT39" s="227" t="str">
        <f>IF($A39="","",IFERROR(SUMPRODUCT((Raw_Data_Daily!$B$2:$B$9999="Control")*(Raw_Data_Daily!$A$2:$A$9999=$A39)*(Raw_Data_Daily!$C$2:$C$9999=$C$3)*Raw_Data_Daily!$D$2:$D$9999*Raw_Data_Daily!$AI$2:$AI$9999)/SUMIFS(Raw_Data_Daily!$D:$D, Raw_Data_Daily!$B:$B, "Control", Raw_Data_Daily!$A:$A, $A39, Raw_Data_Daily!$C:$C, $C$3),""))</f>
        <v/>
      </c>
      <c r="CU39" s="227" t="str">
        <f>IF($A39="","",IFERROR(SUMPRODUCT((Raw_Data_Daily!$B$2:$B$9999="Variant")*(Raw_Data_Daily!$A$2:$A$9999=$A39)*(Raw_Data_Daily!$C$2:$C$9999=$C$3)*Raw_Data_Daily!$D$2:$D$9999*Raw_Data_Daily!$AI$2:$AI$9999)/SUMIFS(Raw_Data_Daily!$D:$D, Raw_Data_Daily!$B:$B, "Variant", Raw_Data_Daily!$A:$A, $A39, Raw_Data_Daily!$C:$C, $C$3),""))</f>
        <v/>
      </c>
      <c r="CV39" s="233" t="str">
        <f t="shared" si="33"/>
        <v/>
      </c>
      <c r="CW39" s="227" t="str">
        <f>IF($A39="","",IFERROR(SUMPRODUCT((Raw_Data_Daily!$B$2:$B$9999="Control")*(Raw_Data_Daily!$A$2:$A$9999=$A39)*(Raw_Data_Daily!$C$2:$C$9999=$C$3)*Raw_Data_Daily!$D$2:$D$9999*Raw_Data_Daily!$AJ$2:$AJ$9999)/SUMIFS(Raw_Data_Daily!$D:$D, Raw_Data_Daily!$B:$B, "Control", Raw_Data_Daily!$A:$A, $A39, Raw_Data_Daily!$C:$C, $C$3),""))</f>
        <v/>
      </c>
      <c r="CX39" s="227" t="str">
        <f>IF($A39="","",IFERROR(SUMPRODUCT((Raw_Data_Daily!$B$2:$B$9999="Variant")*(Raw_Data_Daily!$A$2:$A$9999=$A39)*(Raw_Data_Daily!$C$2:$C$9999=$C$3)*Raw_Data_Daily!$D$2:$D$9999*Raw_Data_Daily!$AJ$2:$AJ$9999)/SUMIFS(Raw_Data_Daily!$D:$D, Raw_Data_Daily!$B:$B, "Variant", Raw_Data_Daily!$A:$A, $A39, Raw_Data_Daily!$C:$C, $C$3),""))</f>
        <v/>
      </c>
      <c r="CY39" s="233" t="str">
        <f t="shared" si="34"/>
        <v/>
      </c>
      <c r="CZ39" s="227" t="str">
        <f>IF($A39="","",IFERROR(SUMPRODUCT((Raw_Data_Daily!$B$2:$B$9999="Control")*(Raw_Data_Daily!$A$2:$A$9999=$A39)*(Raw_Data_Daily!$C$2:$C$9999=$C$3)*Raw_Data_Daily!$D$2:$D$9999*Raw_Data_Daily!$AK$2:$AK$9999)/SUMIFS(Raw_Data_Daily!$D:$D, Raw_Data_Daily!$B:$B, "Control", Raw_Data_Daily!$A:$A, $A39, Raw_Data_Daily!$C:$C, $C$3),""))</f>
        <v/>
      </c>
      <c r="DA39" s="227" t="str">
        <f>IF($A39="","",IFERROR(SUMPRODUCT((Raw_Data_Daily!$B$2:$B$9999="Variant")*(Raw_Data_Daily!$A$2:$A$9999=$A39)*(Raw_Data_Daily!$C$2:$C$9999=$C$3)*Raw_Data_Daily!$D$2:$D$9999*Raw_Data_Daily!$AK$2:$AK$9999)/SUMIFS(Raw_Data_Daily!$D:$D, Raw_Data_Daily!$B:$B, "Variant", Raw_Data_Daily!$A:$A, $A39, Raw_Data_Daily!$C:$C, $C$3),""))</f>
        <v/>
      </c>
      <c r="DB39" s="229" t="str">
        <f t="shared" si="35"/>
        <v/>
      </c>
      <c r="DC39" s="232" t="str">
        <f>IF($A39="","",IFERROR(SUMPRODUCT((Raw_Data_Daily!$B$2:$B$9999="Control")*(Raw_Data_Daily!$A$2:$A$9999=$A39)*(Raw_Data_Daily!$C$2:$C$9999=$C$3)*Raw_Data_Daily!$D$2:$D$9999*Raw_Data_Daily!$AL$2:$AL$9999)/SUMIFS(Raw_Data_Daily!$D:$D, Raw_Data_Daily!$B:$B, "Control", Raw_Data_Daily!$A:$A, $A39, Raw_Data_Daily!$C:$C, $C$3),""))</f>
        <v/>
      </c>
      <c r="DD39" s="232" t="str">
        <f>IF($A39="","",IFERROR(SUMPRODUCT((Raw_Data_Daily!$B$2:$B$9999="Variant")*(Raw_Data_Daily!$A$2:$A$9999=$A39)*(Raw_Data_Daily!$C$2:$C$9999=$C$3)*Raw_Data_Daily!$D$2:$D$9999*Raw_Data_Daily!$AL$2:$AL$9999)/SUMIFS(Raw_Data_Daily!$D:$D, Raw_Data_Daily!$B:$B, "Variant", Raw_Data_Daily!$A:$A, $A39, Raw_Data_Daily!$C:$C, $C$3),""))</f>
        <v/>
      </c>
      <c r="DE39" s="233" t="str">
        <f t="shared" si="36"/>
        <v/>
      </c>
      <c r="DF39" s="234"/>
      <c r="DG39" s="227" t="str">
        <f>IF($A39="","",IFERROR(SUMPRODUCT((Raw_Data_Daily!$B$2:$B$9999="Variant")*(Raw_Data_Daily!$A$2:$A$9999=$A39)*(Raw_Data_Daily!$C$2:$C$9999=$C$3)*Raw_Data_Daily!$D$2:$D$9999*Raw_Data_Daily!$AM$2:$AM$9999)/SUMIFS(Raw_Data_Daily!$D:$D, Raw_Data_Daily!$B:$B, "Variant", Raw_Data_Daily!$A:$A, $A39, Raw_Data_Daily!$C:$C, $C$3),""))</f>
        <v/>
      </c>
      <c r="DH39" s="235"/>
      <c r="DI39" s="234"/>
      <c r="DJ39" s="227" t="str">
        <f>IF($A39="","",IFERROR(SUMPRODUCT((Raw_Data_Daily!$B$2:$B$9999="Variant")*(Raw_Data_Daily!$A$2:$A$9999=$A39)*(Raw_Data_Daily!$C$2:$C$9999=$C$3)*Raw_Data_Daily!$D$2:$D$9999*Raw_Data_Daily!$AN$2:$AN$9999)/SUMIFS(Raw_Data_Daily!$D:$D, Raw_Data_Daily!$B:$B, "Variant", Raw_Data_Daily!$A:$A, $A39, Raw_Data_Daily!$C:$C, $C$3),""))</f>
        <v/>
      </c>
      <c r="DK39" s="235"/>
      <c r="DL39" s="234"/>
      <c r="DM39" s="227" t="str">
        <f>IF($A39="","",IFERROR(SUMPRODUCT((Raw_Data_Daily!$B$2:$B$9999="Variant")*(Raw_Data_Daily!$A$2:$A$9999=$A39)*(Raw_Data_Daily!$C$2:$C$9999=$C$3)*Raw_Data_Daily!$D$2:$D$9999*Raw_Data_Daily!$AO$2:$AO$9999)/SUMIFS(Raw_Data_Daily!$D:$D, Raw_Data_Daily!$B:$B, "Variant", Raw_Data_Daily!$A:$A, $A39, Raw_Data_Daily!$C:$C, $C$3),""))</f>
        <v/>
      </c>
      <c r="DN39" s="235"/>
      <c r="DO39" s="234"/>
      <c r="DP39" s="227" t="str">
        <f>IF($A39="","",IFERROR(SUMPRODUCT((Raw_Data_Daily!$B$2:$B$9999="Variant")*(Raw_Data_Daily!$A$2:$A$9999=$A39)*(Raw_Data_Daily!$C$2:$C$9999=$C$3)*Raw_Data_Daily!$D$2:$D$9999*Raw_Data_Daily!$AP$2:$AP$9999)/SUMIFS(Raw_Data_Daily!$D:$D, Raw_Data_Daily!$B:$B, "Variant", Raw_Data_Daily!$A:$A, $A39, Raw_Data_Daily!$C:$C, $C$3),""))</f>
        <v/>
      </c>
      <c r="DQ39" s="235"/>
      <c r="DR39" s="232" t="str">
        <f>IF($A39="","",IFERROR(SUMPRODUCT((Raw_Data_Daily!$B$2:$B$9999="Control")*(Raw_Data_Daily!$A$2:$A$9999=$A39)*(Raw_Data_Daily!$C$2:$C$9999=$C$3)*Raw_Data_Daily!$D$2:$D$9999*Raw_Data_Daily!$AQ$2:$AQ$9999)/SUMIFS(Raw_Data_Daily!$D:$D, Raw_Data_Daily!$B:$B, "Control", Raw_Data_Daily!$A:$A, $A39, Raw_Data_Daily!$C:$C, $C$3),""))</f>
        <v/>
      </c>
      <c r="DS39" s="232" t="str">
        <f>IF($A39="","",IFERROR(SUMPRODUCT((Raw_Data_Daily!$B$2:$B$9999="Variant")*(Raw_Data_Daily!$A$2:$A$9999=$A39)*(Raw_Data_Daily!$C$2:$C$9999=$C$3)*Raw_Data_Daily!$D$2:$D$9999*Raw_Data_Daily!$AQ$2:$AQ$9999)/SUMIFS(Raw_Data_Daily!$D:$D, Raw_Data_Daily!$B:$B, "Variant", Raw_Data_Daily!$A:$A, $A39, Raw_Data_Daily!$C:$C, $C$3),""))</f>
        <v/>
      </c>
      <c r="DT39" s="236" t="str">
        <f t="shared" si="37"/>
        <v/>
      </c>
      <c r="DU39" s="232" t="str">
        <f>IF($A39="","",IFERROR(SUMPRODUCT((Raw_Data_Daily!$B$2:$B$9999="Control")*(Raw_Data_Daily!$A$2:$A$9999=$A39)*(Raw_Data_Daily!$C$2:$C$9999=$C$3)*Raw_Data_Daily!$D$2:$D$9999*Raw_Data_Daily!$AR$2:$AR$9999)/SUMIFS(Raw_Data_Daily!$D:$D, Raw_Data_Daily!$B:$B, "Control", Raw_Data_Daily!$A:$A, $A39, Raw_Data_Daily!$C:$C, $C$3),""))</f>
        <v/>
      </c>
      <c r="DV39" s="232" t="str">
        <f>IF($A39="","",IFERROR(SUMPRODUCT((Raw_Data_Daily!$B$2:$B$9999="Variant")*(Raw_Data_Daily!$A$2:$A$9999=$A39)*(Raw_Data_Daily!$C$2:$C$9999=$C$3)*Raw_Data_Daily!$D$2:$D$9999*Raw_Data_Daily!$AR$2:$AR$9999)/SUMIFS(Raw_Data_Daily!$D:$D, Raw_Data_Daily!$B:$B, "Variant", Raw_Data_Daily!$A:$A, $A39, Raw_Data_Daily!$C:$C, $C$3),""))</f>
        <v/>
      </c>
      <c r="DW39" s="236" t="str">
        <f t="shared" si="38"/>
        <v/>
      </c>
      <c r="DX39" s="232" t="str">
        <f>IF($A39="","",IFERROR(SUMPRODUCT((Raw_Data_Daily!$B$2:$B$9999="Control")*(Raw_Data_Daily!$A$2:$A$9999=$A39)*(Raw_Data_Daily!$C$2:$C$9999=$C$3)*Raw_Data_Daily!$D$2:$D$9999*Raw_Data_Daily!$AS$2:$AS$9999)/SUMIFS(Raw_Data_Daily!$D:$D, Raw_Data_Daily!$B:$B, "Control", Raw_Data_Daily!$A:$A, $A39, Raw_Data_Daily!$C:$C, $C$3),""))</f>
        <v/>
      </c>
      <c r="DY39" s="232" t="str">
        <f>IF($A39="","",IFERROR(SUMPRODUCT((Raw_Data_Daily!$B$2:$B$9999="Variant")*(Raw_Data_Daily!$A$2:$A$9999=$A39)*(Raw_Data_Daily!$C$2:$C$9999=$C$3)*Raw_Data_Daily!$D$2:$D$9999*Raw_Data_Daily!$AS$2:$AS$9999)/SUMIFS(Raw_Data_Daily!$D:$D, Raw_Data_Daily!$B:$B, "Variant", Raw_Data_Daily!$A:$A, $A39, Raw_Data_Daily!$C:$C, $C$3),""))</f>
        <v/>
      </c>
      <c r="DZ39" s="236" t="str">
        <f t="shared" si="39"/>
        <v/>
      </c>
      <c r="EA39" s="232" t="str">
        <f>IF($A39="","",IFERROR(SUMPRODUCT((Raw_Data_Daily!$B$2:$B$9999="Control")*(Raw_Data_Daily!$A$2:$A$9999=$A39)*(Raw_Data_Daily!$C$2:$C$9999=$C$3)*Raw_Data_Daily!$D$2:$D$9999*Raw_Data_Daily!$AT$2:$AT$9999)/SUMIFS(Raw_Data_Daily!$D:$D, Raw_Data_Daily!$B:$B, "Control", Raw_Data_Daily!$A:$A, $A39, Raw_Data_Daily!$C:$C, $C$3),""))</f>
        <v/>
      </c>
      <c r="EB39" s="232" t="str">
        <f>IF($A39="","",IFERROR(SUMPRODUCT((Raw_Data_Daily!$B$2:$B$9999="Variant")*(Raw_Data_Daily!$A$2:$A$9999=$A39)*(Raw_Data_Daily!$C$2:$C$9999=$C$3)*Raw_Data_Daily!$D$2:$D$9999*Raw_Data_Daily!$AT$2:$AT$9999)/SUMIFS(Raw_Data_Daily!$D:$D, Raw_Data_Daily!$B:$B, "Variant", Raw_Data_Daily!$A:$A, $A39, Raw_Data_Daily!$C:$C, $C$3),""))</f>
        <v/>
      </c>
      <c r="EC39" s="236" t="str">
        <f t="shared" si="40"/>
        <v/>
      </c>
      <c r="ED39" s="232" t="str">
        <f>IF($A39="","",IFERROR(SUMPRODUCT((Raw_Data_Daily!$B$2:$B$9999="Control")*(Raw_Data_Daily!$A$2:$A$9999=$A39)*(Raw_Data_Daily!$C$2:$C$9999=$C$3)*Raw_Data_Daily!$D$2:$D$9999*(Raw_Data_Daily!$AQ$2:$AQ$9999-Raw_Data_Daily!$AT$2:$AT$9999))/SUMIFS(Raw_Data_Daily!$D:$D, Raw_Data_Daily!$B:$B, "Control", Raw_Data_Daily!$A:$A, $A39, Raw_Data_Daily!$C:$C, $C$3),""))</f>
        <v/>
      </c>
      <c r="EE39" s="232" t="str">
        <f>IF($A39="","",IFERROR(SUMPRODUCT((Raw_Data_Daily!$B$2:$B$9999="Variant")*(Raw_Data_Daily!$A$2:$A$9999=$A39)*(Raw_Data_Daily!$C$2:$C$9999=$C$3)*Raw_Data_Daily!$D$2:$D$9999*(Raw_Data_Daily!$AQ$2:$AQ$9999-Raw_Data_Daily!$AT$2:$AT$9999))/SUMIFS(Raw_Data_Daily!$D:$D, Raw_Data_Daily!$B:$B, "Variant", Raw_Data_Daily!$A:$A, $A39, Raw_Data_Daily!$C:$C, $C$3),""))</f>
        <v/>
      </c>
      <c r="EF39" s="236" t="str">
        <f t="shared" si="41"/>
        <v/>
      </c>
      <c r="EG39" s="232" t="str">
        <f>IF($A39="","",IFERROR(SUMPRODUCT((Raw_Data_Daily!$B$2:$B$9999="Control")*(Raw_Data_Daily!$A$2:$A$9999=$A39)*(Raw_Data_Daily!$C$2:$C$9999=$C$3)*Raw_Data_Daily!$D$2:$D$9999*Raw_Data_Daily!$AU$2:$AU$9999)/SUMIFS(Raw_Data_Daily!$D:$D, Raw_Data_Daily!$B:$B, "Control", Raw_Data_Daily!$A:$A, $A39, Raw_Data_Daily!$C:$C, $C$3),""))</f>
        <v/>
      </c>
      <c r="EH39" s="232" t="str">
        <f>IF($A39="","",IFERROR(SUMPRODUCT((Raw_Data_Daily!$B$2:$B$9999="Variant")*(Raw_Data_Daily!$A$2:$A$9999=$A39)*(Raw_Data_Daily!$C$2:$C$9999=$C$3)*Raw_Data_Daily!$D$2:$D$9999*Raw_Data_Daily!$AU$2:$AU$9999)/SUMIFS(Raw_Data_Daily!$D:$D, Raw_Data_Daily!$B:$B, "Variant", Raw_Data_Daily!$A:$A, $A39, Raw_Data_Daily!$C:$C, $C$3),""))</f>
        <v/>
      </c>
      <c r="EI39" s="236" t="str">
        <f t="shared" si="42"/>
        <v/>
      </c>
    </row>
    <row r="40" ht="15.75" customHeight="1">
      <c r="A40" s="224">
        <v>46263.0</v>
      </c>
      <c r="B40" s="225">
        <f>IF($A40="","",SUMIFS(Raw_Data_Daily!$D:$D, Raw_Data_Daily!$B:$B, "Control", Raw_Data_Daily!$A:$A, $A40, Raw_Data_Daily!$C:$C, $C$3))</f>
        <v>0</v>
      </c>
      <c r="C40" s="225">
        <f>IF($A40="","",SUMIFS(Raw_Data_Daily!$D:$D, Raw_Data_Daily!$B:$B, "Variant", Raw_Data_Daily!$A:$A, $A40, Raw_Data_Daily!$C:$C, $C$3))</f>
        <v>0</v>
      </c>
      <c r="D40" s="226" t="str">
        <f t="shared" si="1"/>
        <v/>
      </c>
      <c r="E40" s="227" t="str">
        <f>IF($A40="","",IFERROR(SUMPRODUCT((Raw_Data_Daily!$B$2:$B$9999="Control")*(Raw_Data_Daily!$A$2:$A$9999=$A40)*(Raw_Data_Daily!$C$2:$C$9999=$C$3)*Raw_Data_Daily!$D$2:$D$9999*Raw_Data_Daily!$E$2:$E$9999)/SUMIFS(Raw_Data_Daily!$D:$D, Raw_Data_Daily!$B:$B, "Control", Raw_Data_Daily!$A:$A, $A40, Raw_Data_Daily!$C:$C, $C$3),""))</f>
        <v/>
      </c>
      <c r="F40" s="227" t="str">
        <f>IF($A40="","",IFERROR(SUMPRODUCT((Raw_Data_Daily!$B$2:$B$9999="Variant")*(Raw_Data_Daily!$A$2:$A$9999=$A40)*(Raw_Data_Daily!$C$2:$C$9999=$C$3)*Raw_Data_Daily!$D$2:$D$9999*Raw_Data_Daily!$E$2:$E$9999)/SUMIFS(Raw_Data_Daily!$D:$D, Raw_Data_Daily!$B:$B, "Variant", Raw_Data_Daily!$A:$A, $A40, Raw_Data_Daily!$C:$C, $C$3),""))</f>
        <v/>
      </c>
      <c r="G40" s="226" t="str">
        <f t="shared" si="2"/>
        <v/>
      </c>
      <c r="H40" s="228">
        <f>IF($A40="","",SUMIFS(Raw_Data_Daily!$F:$F, Raw_Data_Daily!$B:$B, "Control", Raw_Data_Daily!$A:$A, $A40, Raw_Data_Daily!$C:$C, $C$3))</f>
        <v>0</v>
      </c>
      <c r="I40" s="228">
        <f>IF($A40="","",SUMIFS(Raw_Data_Daily!$F:$F, Raw_Data_Daily!$B:$B, "Variant", Raw_Data_Daily!$A:$A, $A40, Raw_Data_Daily!$C:$C, $C$3))</f>
        <v>0</v>
      </c>
      <c r="J40" s="229" t="str">
        <f t="shared" si="3"/>
        <v/>
      </c>
      <c r="K40" s="230" t="str">
        <f>IF($A40="","",IFERROR(SUMIFS(Raw_Data_Daily!$F:$F, Raw_Data_Daily!$B:$B, "Control", Raw_Data_Daily!$A:$A, $A40, Raw_Data_Daily!$C:$C, $C$3)/SUMIFS(Raw_Data_Daily!$D:$D, Raw_Data_Daily!$B:$B, "Control", Raw_Data_Daily!$A:$A, $A40, Raw_Data_Daily!$C:$C, $C$3),""))</f>
        <v/>
      </c>
      <c r="L40" s="230" t="str">
        <f>IF($A40="","",IFERROR(SUMIFS(Raw_Data_Daily!$F:$F, Raw_Data_Daily!$B:$B, "Variant", Raw_Data_Daily!$A:$A, $A40, Raw_Data_Daily!$C:$C, $C$3)/SUMIFS(Raw_Data_Daily!$D:$D, Raw_Data_Daily!$B:$B, "Variant", Raw_Data_Daily!$A:$A, $A40, Raw_Data_Daily!$C:$C, $C$3),""))</f>
        <v/>
      </c>
      <c r="M40" s="229" t="str">
        <f t="shared" si="4"/>
        <v/>
      </c>
      <c r="N40" s="227" t="str">
        <f>IF($A40="","",IFERROR(SUMPRODUCT((Raw_Data_Daily!$B$2:$B$9999="Control")*(Raw_Data_Daily!$A$2:$A$9999=$A40)*(Raw_Data_Daily!$C$2:$C$9999=$C$3)*Raw_Data_Daily!$D$2:$D$9999*Raw_Data_Daily!$H$2:$H$9999/100)/SUMIFS(Raw_Data_Daily!$D:$D, Raw_Data_Daily!$B:$B, "Control", Raw_Data_Daily!$A:$A, $A40, Raw_Data_Daily!$C:$C, $C$3)*100,""))</f>
        <v/>
      </c>
      <c r="O40" s="227" t="str">
        <f>IF($A40="","",IFERROR(SUMPRODUCT((Raw_Data_Daily!$B$2:$B$9999="Variant")*(Raw_Data_Daily!$A$2:$A$9999=$A40)*(Raw_Data_Daily!$C$2:$C$9999=$C$3)*Raw_Data_Daily!$D$2:$D$9999*Raw_Data_Daily!$H$2:$H$9999/100)/SUMIFS(Raw_Data_Daily!$D:$D, Raw_Data_Daily!$B:$B, "Variant", Raw_Data_Daily!$A:$A, $A40, Raw_Data_Daily!$C:$C, $C$3)*100,""))</f>
        <v/>
      </c>
      <c r="P40" s="229" t="str">
        <f t="shared" si="5"/>
        <v/>
      </c>
      <c r="Q40" s="230" t="str">
        <f>IF($A40="","",IFERROR(SUMIFS(Raw_Data_Daily!$F:$F, Raw_Data_Daily!$B:$B, "Control", Raw_Data_Daily!$A:$A, $A40, Raw_Data_Daily!$C:$C, $C$3)/SUMPRODUCT((Raw_Data_Daily!$B$2:$B$9999="Control")*(Raw_Data_Daily!$A$2:$A$9999=$A40)*(Raw_Data_Daily!$C$2:$C$9999=$C$3)*Raw_Data_Daily!$D$2:$D$9999*Raw_Data_Daily!$H$2:$H$9999/100),""))</f>
        <v/>
      </c>
      <c r="R40" s="230" t="str">
        <f>IF($A40="","",IFERROR(SUMIFS(Raw_Data_Daily!$F:$F, Raw_Data_Daily!$B:$B, "Variant", Raw_Data_Daily!$A:$A, $A40, Raw_Data_Daily!$C:$C, $C$3)/SUMPRODUCT((Raw_Data_Daily!$B$2:$B$9999="Variant")*(Raw_Data_Daily!$A$2:$A$9999=$A40)*(Raw_Data_Daily!$C$2:$C$9999=$C$3)*Raw_Data_Daily!$D$2:$D$9999*Raw_Data_Daily!$H$2:$H$9999/100),""))</f>
        <v/>
      </c>
      <c r="S40" s="229" t="str">
        <f t="shared" si="6"/>
        <v/>
      </c>
      <c r="T40" s="231" t="str">
        <f>IF($A40="","",IFERROR(SUMPRODUCT((Raw_Data_Daily!$B$2:$B$9999="Control")*(Raw_Data_Daily!$A$2:$A$9999=$A40)*(Raw_Data_Daily!$C$2:$C$9999=$C$3)*Raw_Data_Daily!$D$2:$D$9999*Raw_Data_Daily!$J$2:$J$9999)/SUMIFS(Raw_Data_Daily!$D:$D, Raw_Data_Daily!$B:$B, "Control", Raw_Data_Daily!$A:$A, $A40, Raw_Data_Daily!$C:$C, $C$3),""))</f>
        <v/>
      </c>
      <c r="U40" s="231" t="str">
        <f>IF($A40="","",IFERROR(SUMPRODUCT((Raw_Data_Daily!$B$2:$B$9999="Variant")*(Raw_Data_Daily!$A$2:$A$9999=$A40)*(Raw_Data_Daily!$C$2:$C$9999=$C$3)*Raw_Data_Daily!$D$2:$D$9999*Raw_Data_Daily!$J$2:$J$9999)/SUMIFS(Raw_Data_Daily!$D:$D, Raw_Data_Daily!$B:$B, "Variant", Raw_Data_Daily!$A:$A, $A40, Raw_Data_Daily!$C:$C, $C$3),""))</f>
        <v/>
      </c>
      <c r="V40" s="229" t="str">
        <f t="shared" si="7"/>
        <v/>
      </c>
      <c r="W40" s="231" t="str">
        <f>IF($A40="","",IFERROR(SUMPRODUCT((Raw_Data_Daily!$B$2:$B$9999="Control")*(Raw_Data_Daily!$A$2:$A$9999=$A40)*(Raw_Data_Daily!$C$2:$C$9999=$C$3)*Raw_Data_Daily!$D$2:$D$9999*Raw_Data_Daily!$K$2:$K$9999)/SUMIFS(Raw_Data_Daily!$D:$D, Raw_Data_Daily!$B:$B, "Control", Raw_Data_Daily!$A:$A, $A40, Raw_Data_Daily!$C:$C, $C$3),""))</f>
        <v/>
      </c>
      <c r="X40" s="231" t="str">
        <f>IF($A40="","",IFERROR(SUMPRODUCT((Raw_Data_Daily!$B$2:$B$9999="Variant")*(Raw_Data_Daily!$A$2:$A$9999=$A40)*(Raw_Data_Daily!$C$2:$C$9999=$C$3)*Raw_Data_Daily!$D$2:$D$9999*Raw_Data_Daily!$K$2:$K$9999)/SUMIFS(Raw_Data_Daily!$D:$D, Raw_Data_Daily!$B:$B, "Variant", Raw_Data_Daily!$A:$A, $A40, Raw_Data_Daily!$C:$C, $C$3),""))</f>
        <v/>
      </c>
      <c r="Y40" s="229" t="str">
        <f t="shared" si="8"/>
        <v/>
      </c>
      <c r="Z40" s="231" t="str">
        <f>IF($A40="","",IFERROR(SUMPRODUCT((Raw_Data_Daily!$B$2:$B$9999="Control")*(Raw_Data_Daily!$A$2:$A$9999=$A40)*(Raw_Data_Daily!$C$2:$C$9999=$C$3)*Raw_Data_Daily!$D$2:$D$9999*Raw_Data_Daily!$L$2:$L$9999)/SUMIFS(Raw_Data_Daily!$D:$D, Raw_Data_Daily!$B:$B, "Control", Raw_Data_Daily!$A:$A, $A40, Raw_Data_Daily!$C:$C, $C$3),""))</f>
        <v/>
      </c>
      <c r="AA40" s="231" t="str">
        <f>IF($A40="","",IFERROR(SUMPRODUCT((Raw_Data_Daily!$B$2:$B$9999="Variant")*(Raw_Data_Daily!$A$2:$A$9999=$A40)*(Raw_Data_Daily!$C$2:$C$9999=$C$3)*Raw_Data_Daily!$D$2:$D$9999*Raw_Data_Daily!$L$2:$L$9999)/SUMIFS(Raw_Data_Daily!$D:$D, Raw_Data_Daily!$B:$B, "Variant", Raw_Data_Daily!$A:$A, $A40, Raw_Data_Daily!$C:$C, $C$3),""))</f>
        <v/>
      </c>
      <c r="AB40" s="229" t="str">
        <f t="shared" si="9"/>
        <v/>
      </c>
      <c r="AC40" s="232" t="str">
        <f>IF($A40="","",IFERROR(SUMPRODUCT((Raw_Data_Daily!$B$2:$B$9999="Control")*(Raw_Data_Daily!$A$2:$A$9999=$A40)*(Raw_Data_Daily!$C$2:$C$9999=$C$3)*Raw_Data_Daily!$D$2:$D$9999*Raw_Data_Daily!$M$2:$M$9999)/SUMIFS(Raw_Data_Daily!$D:$D, Raw_Data_Daily!$B:$B, "Control", Raw_Data_Daily!$A:$A, $A40, Raw_Data_Daily!$C:$C, $C$3),""))</f>
        <v/>
      </c>
      <c r="AD40" s="232" t="str">
        <f>IF($A40="","",IFERROR(SUMPRODUCT((Raw_Data_Daily!$B$2:$B$9999="Variant")*(Raw_Data_Daily!$A$2:$A$9999=$A40)*(Raw_Data_Daily!$C$2:$C$9999=$C$3)*Raw_Data_Daily!$D$2:$D$9999*Raw_Data_Daily!$M$2:$M$9999)/SUMIFS(Raw_Data_Daily!$D:$D, Raw_Data_Daily!$B:$B, "Variant", Raw_Data_Daily!$A:$A, $A40, Raw_Data_Daily!$C:$C, $C$3),""))</f>
        <v/>
      </c>
      <c r="AE40" s="233" t="str">
        <f t="shared" si="10"/>
        <v/>
      </c>
      <c r="AF40" s="232" t="str">
        <f>IF($A40="","",IFERROR(SUMPRODUCT((Raw_Data_Daily!$B$2:$B$9999="Control")*(Raw_Data_Daily!$A$2:$A$9999=$A40)*(Raw_Data_Daily!$C$2:$C$9999=$C$3)*Raw_Data_Daily!$D$2:$D$9999*Raw_Data_Daily!$N$2:$N$9999)/SUMIFS(Raw_Data_Daily!$D:$D, Raw_Data_Daily!$B:$B, "Control", Raw_Data_Daily!$A:$A, $A40, Raw_Data_Daily!$C:$C, $C$3),""))</f>
        <v/>
      </c>
      <c r="AG40" s="232" t="str">
        <f>IF($A40="","",IFERROR(SUMPRODUCT((Raw_Data_Daily!$B$2:$B$9999="Variant")*(Raw_Data_Daily!$A$2:$A$9999=$A40)*(Raw_Data_Daily!$C$2:$C$9999=$C$3)*Raw_Data_Daily!$D$2:$D$9999*Raw_Data_Daily!$N$2:$N$9999)/SUMIFS(Raw_Data_Daily!$D:$D, Raw_Data_Daily!$B:$B, "Variant", Raw_Data_Daily!$A:$A, $A40, Raw_Data_Daily!$C:$C, $C$3),""))</f>
        <v/>
      </c>
      <c r="AH40" s="233" t="str">
        <f t="shared" si="11"/>
        <v/>
      </c>
      <c r="AI40" s="232" t="str">
        <f>IF($A40="","",IFERROR(SUMPRODUCT((Raw_Data_Daily!$B$2:$B$9999="Control")*(Raw_Data_Daily!$A$2:$A$9999=$A40)*(Raw_Data_Daily!$C$2:$C$9999=$C$3)*Raw_Data_Daily!$D$2:$D$9999*Raw_Data_Daily!$O$2:$O$9999)/SUMIFS(Raw_Data_Daily!$D:$D, Raw_Data_Daily!$B:$B, "Control", Raw_Data_Daily!$A:$A, $A40, Raw_Data_Daily!$C:$C, $C$3),""))</f>
        <v/>
      </c>
      <c r="AJ40" s="232" t="str">
        <f>IF($A40="","",IFERROR(SUMPRODUCT((Raw_Data_Daily!$B$2:$B$9999="Variant")*(Raw_Data_Daily!$A$2:$A$9999=$A40)*(Raw_Data_Daily!$C$2:$C$9999=$C$3)*Raw_Data_Daily!$D$2:$D$9999*Raw_Data_Daily!$O$2:$O$9999)/SUMIFS(Raw_Data_Daily!$D:$D, Raw_Data_Daily!$B:$B, "Variant", Raw_Data_Daily!$A:$A, $A40, Raw_Data_Daily!$C:$C, $C$3),""))</f>
        <v/>
      </c>
      <c r="AK40" s="229" t="str">
        <f t="shared" si="12"/>
        <v/>
      </c>
      <c r="AL40" s="231" t="str">
        <f>IF($A40="","",IFERROR(SUMPRODUCT((Raw_Data_Daily!$B$2:$B$9999="Control")*(Raw_Data_Daily!$A$2:$A$9999=$A40)*(Raw_Data_Daily!$C$2:$C$9999=$C$3)*Raw_Data_Daily!$D$2:$D$9999*Raw_Data_Daily!$P$2:$P$9999)/SUMIFS(Raw_Data_Daily!$D:$D, Raw_Data_Daily!$B:$B, "Control", Raw_Data_Daily!$A:$A, $A40, Raw_Data_Daily!$C:$C, $C$3),""))</f>
        <v/>
      </c>
      <c r="AM40" s="231" t="str">
        <f>IF($A40="","",IFERROR(SUMPRODUCT((Raw_Data_Daily!$B$2:$B$9999="Variant")*(Raw_Data_Daily!$A$2:$A$9999=$A40)*(Raw_Data_Daily!$C$2:$C$9999=$C$3)*Raw_Data_Daily!$D$2:$D$9999*Raw_Data_Daily!$P$2:$P$9999)/SUMIFS(Raw_Data_Daily!$D:$D, Raw_Data_Daily!$B:$B, "Variant", Raw_Data_Daily!$A:$A, $A40, Raw_Data_Daily!$C:$C, $C$3),""))</f>
        <v/>
      </c>
      <c r="AN40" s="229" t="str">
        <f t="shared" si="13"/>
        <v/>
      </c>
      <c r="AO40" s="231" t="str">
        <f>IF($A40="","",IFERROR(SUMPRODUCT((Raw_Data_Daily!$B$2:$B$9999="Control")*(Raw_Data_Daily!$A$2:$A$9999=$A40)*(Raw_Data_Daily!$C$2:$C$9999=$C$3)*Raw_Data_Daily!$D$2:$D$9999*Raw_Data_Daily!$Q$2:$Q$9999)/SUMIFS(Raw_Data_Daily!$D:$D, Raw_Data_Daily!$B:$B, "Control", Raw_Data_Daily!$A:$A, $A40, Raw_Data_Daily!$C:$C, $C$3),""))</f>
        <v/>
      </c>
      <c r="AP40" s="231" t="str">
        <f>IF($A40="","",IFERROR(SUMPRODUCT((Raw_Data_Daily!$B$2:$B$9999="Variant")*(Raw_Data_Daily!$A$2:$A$9999=$A40)*(Raw_Data_Daily!$C$2:$C$9999=$C$3)*Raw_Data_Daily!$D$2:$D$9999*Raw_Data_Daily!$Q$2:$Q$9999)/SUMIFS(Raw_Data_Daily!$D:$D, Raw_Data_Daily!$B:$B, "Variant", Raw_Data_Daily!$A:$A, $A40, Raw_Data_Daily!$C:$C, $C$3),""))</f>
        <v/>
      </c>
      <c r="AQ40" s="226" t="str">
        <f t="shared" si="14"/>
        <v/>
      </c>
      <c r="AR40" s="231" t="str">
        <f>IF($A40="","",IFERROR(SUMPRODUCT((Raw_Data_Daily!$B$2:$B$9999="Control")*(Raw_Data_Daily!$A$2:$A$9999=$A40)*(Raw_Data_Daily!$C$2:$C$9999=$C$3)*Raw_Data_Daily!$D$2:$D$9999*Raw_Data_Daily!$R$2:$R$9999)/SUMIFS(Raw_Data_Daily!$D:$D, Raw_Data_Daily!$B:$B, "Control", Raw_Data_Daily!$A:$A, $A40, Raw_Data_Daily!$C:$C, $C$3),""))</f>
        <v/>
      </c>
      <c r="AS40" s="231" t="str">
        <f>IF($A40="","",IFERROR(SUMPRODUCT((Raw_Data_Daily!$B$2:$B$9999="Variant")*(Raw_Data_Daily!$A$2:$A$9999=$A40)*(Raw_Data_Daily!$C$2:$C$9999=$C$3)*Raw_Data_Daily!$D$2:$D$9999*Raw_Data_Daily!$R$2:$R$9999)/SUMIFS(Raw_Data_Daily!$D:$D, Raw_Data_Daily!$B:$B, "Variant", Raw_Data_Daily!$A:$A, $A40, Raw_Data_Daily!$C:$C, $C$3),""))</f>
        <v/>
      </c>
      <c r="AT40" s="226" t="str">
        <f t="shared" si="15"/>
        <v/>
      </c>
      <c r="AU40" s="231" t="str">
        <f>IF($A40="","",IFERROR(SUMPRODUCT((Raw_Data_Daily!$B$2:$B$9999="Control")*(Raw_Data_Daily!$A$2:$A$9999=$A40)*(Raw_Data_Daily!$C$2:$C$9999=$C$3)*Raw_Data_Daily!$D$2:$D$9999*Raw_Data_Daily!$S$2:$S$9999)/SUMIFS(Raw_Data_Daily!$D:$D, Raw_Data_Daily!$B:$B, "Control", Raw_Data_Daily!$A:$A, $A40, Raw_Data_Daily!$C:$C, $C$3),""))</f>
        <v/>
      </c>
      <c r="AV40" s="231" t="str">
        <f>IF($A40="","",IFERROR(SUMPRODUCT((Raw_Data_Daily!$B$2:$B$9999="Variant")*(Raw_Data_Daily!$A$2:$A$9999=$A40)*(Raw_Data_Daily!$C$2:$C$9999=$C$3)*Raw_Data_Daily!$D$2:$D$9999*Raw_Data_Daily!$S$2:$S$9999)/SUMIFS(Raw_Data_Daily!$D:$D, Raw_Data_Daily!$B:$B, "Variant", Raw_Data_Daily!$A:$A, $A40, Raw_Data_Daily!$C:$C, $C$3),""))</f>
        <v/>
      </c>
      <c r="AW40" s="226" t="str">
        <f t="shared" si="16"/>
        <v/>
      </c>
      <c r="AX40" s="231" t="str">
        <f>IF($A40="","",IFERROR(SUMPRODUCT((Raw_Data_Daily!$B$2:$B$9999="Control")*(Raw_Data_Daily!$A$2:$A$9999=$A40)*(Raw_Data_Daily!$C$2:$C$9999=$C$3)*Raw_Data_Daily!$D$2:$D$9999*Raw_Data_Daily!$T$2:$T$9999)/SUMIFS(Raw_Data_Daily!$D:$D, Raw_Data_Daily!$B:$B, "Control", Raw_Data_Daily!$A:$A, $A40, Raw_Data_Daily!$C:$C, $C$3),""))</f>
        <v/>
      </c>
      <c r="AY40" s="231" t="str">
        <f>IF($A40="","",IFERROR(SUMPRODUCT((Raw_Data_Daily!$B$2:$B$9999="Variant")*(Raw_Data_Daily!$A$2:$A$9999=$A40)*(Raw_Data_Daily!$C$2:$C$9999=$C$3)*Raw_Data_Daily!$D$2:$D$9999*Raw_Data_Daily!$T$2:$T$9999)/SUMIFS(Raw_Data_Daily!$D:$D, Raw_Data_Daily!$B:$B, "Variant", Raw_Data_Daily!$A:$A, $A40, Raw_Data_Daily!$C:$C, $C$3),""))</f>
        <v/>
      </c>
      <c r="AZ40" s="229" t="str">
        <f t="shared" si="17"/>
        <v/>
      </c>
      <c r="BA40" s="231" t="str">
        <f>IF($A40="","",IFERROR(SUMPRODUCT((Raw_Data_Daily!$B$2:$B$9999="Control")*(Raw_Data_Daily!$A$2:$A$9999=$A40)*(Raw_Data_Daily!$C$2:$C$9999=$C$3)*Raw_Data_Daily!$D$2:$D$9999*Raw_Data_Daily!$U$2:$U$9999)/SUMIFS(Raw_Data_Daily!$D:$D, Raw_Data_Daily!$B:$B, "Control", Raw_Data_Daily!$A:$A, $A40, Raw_Data_Daily!$C:$C, $C$3),""))</f>
        <v/>
      </c>
      <c r="BB40" s="231" t="str">
        <f>IF($A40="","",IFERROR(SUMPRODUCT((Raw_Data_Daily!$B$2:$B$9999="Variant")*(Raw_Data_Daily!$A$2:$A$9999=$A40)*(Raw_Data_Daily!$C$2:$C$9999=$C$3)*Raw_Data_Daily!$D$2:$D$9999*Raw_Data_Daily!$U$2:$U$9999)/SUMIFS(Raw_Data_Daily!$D:$D, Raw_Data_Daily!$B:$B, "Variant", Raw_Data_Daily!$A:$A, $A40, Raw_Data_Daily!$C:$C, $C$3),""))</f>
        <v/>
      </c>
      <c r="BC40" s="226" t="str">
        <f t="shared" si="18"/>
        <v/>
      </c>
      <c r="BD40" s="231" t="str">
        <f>IF($A40="","",IFERROR(SUMPRODUCT((Raw_Data_Daily!$B$2:$B$9999="Control")*(Raw_Data_Daily!$A$2:$A$9999=$A40)*(Raw_Data_Daily!$C$2:$C$9999=$C$3)*Raw_Data_Daily!$D$2:$D$9999*Raw_Data_Daily!$V$2:$V$9999)/SUMIFS(Raw_Data_Daily!$D:$D, Raw_Data_Daily!$B:$B, "Control", Raw_Data_Daily!$A:$A, $A40, Raw_Data_Daily!$C:$C, $C$3),""))</f>
        <v/>
      </c>
      <c r="BE40" s="231" t="str">
        <f>IF($A40="","",IFERROR(SUMPRODUCT((Raw_Data_Daily!$B$2:$B$9999="Variant")*(Raw_Data_Daily!$A$2:$A$9999=$A40)*(Raw_Data_Daily!$C$2:$C$9999=$C$3)*Raw_Data_Daily!$D$2:$D$9999*Raw_Data_Daily!$V$2:$V$9999)/SUMIFS(Raw_Data_Daily!$D:$D, Raw_Data_Daily!$B:$B, "Variant", Raw_Data_Daily!$A:$A, $A40, Raw_Data_Daily!$C:$C, $C$3),""))</f>
        <v/>
      </c>
      <c r="BF40" s="226" t="str">
        <f t="shared" si="19"/>
        <v/>
      </c>
      <c r="BG40" s="231" t="str">
        <f>IF($A40="","",IFERROR(SUMPRODUCT((Raw_Data_Daily!$B$2:$B$9999="Control")*(Raw_Data_Daily!$A$2:$A$9999=$A40)*(Raw_Data_Daily!$C$2:$C$9999=$C$3)*Raw_Data_Daily!$D$2:$D$9999*(Raw_Data_Daily!$Q$2:$Q$9999-Raw_Data_Daily!$V$2:$V$9999))/SUMIFS(Raw_Data_Daily!$D:$D, Raw_Data_Daily!$B:$B, "Control", Raw_Data_Daily!$A:$A, $A40, Raw_Data_Daily!$C:$C, $C$3),""))</f>
        <v/>
      </c>
      <c r="BH40" s="231" t="str">
        <f>IF($A40="","",IFERROR(SUMPRODUCT((Raw_Data_Daily!$B$2:$B$9999="Variant")*(Raw_Data_Daily!$A$2:$A$9999=$A40)*(Raw_Data_Daily!$C$2:$C$9999=$C$3)*Raw_Data_Daily!$D$2:$D$9999*(Raw_Data_Daily!$Q$2:$Q$9999-Raw_Data_Daily!$V$2:$V$9999))/SUMIFS(Raw_Data_Daily!$D:$D, Raw_Data_Daily!$B:$B, "Variant", Raw_Data_Daily!$A:$A, $A40, Raw_Data_Daily!$C:$C, $C$3),""))</f>
        <v/>
      </c>
      <c r="BI40" s="226" t="str">
        <f t="shared" si="20"/>
        <v/>
      </c>
      <c r="BJ40" s="231" t="str">
        <f>IF($A40="","",IFERROR(SUMPRODUCT((Raw_Data_Daily!$B$2:$B$9999="Control")*(Raw_Data_Daily!$A$2:$A$9999=$A40)*(Raw_Data_Daily!$C$2:$C$9999=$C$3)*Raw_Data_Daily!$D$2:$D$9999*Raw_Data_Daily!$W$2:$W$9999)/SUMIFS(Raw_Data_Daily!$D:$D, Raw_Data_Daily!$B:$B, "Control", Raw_Data_Daily!$A:$A, $A40, Raw_Data_Daily!$C:$C, $C$3),""))</f>
        <v/>
      </c>
      <c r="BK40" s="231" t="str">
        <f>IF($A40="","",IFERROR(SUMPRODUCT((Raw_Data_Daily!$B$2:$B$9999="Variant")*(Raw_Data_Daily!$A$2:$A$9999=$A40)*(Raw_Data_Daily!$C$2:$C$9999=$C$3)*Raw_Data_Daily!$D$2:$D$9999*Raw_Data_Daily!$W$2:$W$9999)/SUMIFS(Raw_Data_Daily!$D:$D, Raw_Data_Daily!$B:$B, "Variant", Raw_Data_Daily!$A:$A, $A40, Raw_Data_Daily!$C:$C, $C$3),""))</f>
        <v/>
      </c>
      <c r="BL40" s="226" t="str">
        <f t="shared" si="21"/>
        <v/>
      </c>
      <c r="BM40" s="232" t="str">
        <f>IF($A40="","",IFERROR(SUMPRODUCT((Raw_Data_Daily!$B$2:$B$9999="Control")*(Raw_Data_Daily!$A$2:$A$9999=$A40)*(Raw_Data_Daily!$C$2:$C$9999=$C$3)*Raw_Data_Daily!$D$2:$D$9999*Raw_Data_Daily!$X$2:$X$9999)/SUMIFS(Raw_Data_Daily!$D:$D, Raw_Data_Daily!$B:$B, "Control", Raw_Data_Daily!$A:$A, $A40, Raw_Data_Daily!$C:$C, $C$3),""))</f>
        <v/>
      </c>
      <c r="BN40" s="232" t="str">
        <f>IF($A40="","",IFERROR(SUMPRODUCT((Raw_Data_Daily!$B$2:$B$9999="Variant")*(Raw_Data_Daily!$A$2:$A$9999=$A40)*(Raw_Data_Daily!$C$2:$C$9999=$C$3)*Raw_Data_Daily!$D$2:$D$9999*Raw_Data_Daily!$X$2:$X$9999)/SUMIFS(Raw_Data_Daily!$D:$D, Raw_Data_Daily!$B:$B, "Variant", Raw_Data_Daily!$A:$A, $A40, Raw_Data_Daily!$C:$C, $C$3),""))</f>
        <v/>
      </c>
      <c r="BO40" s="229" t="str">
        <f t="shared" si="22"/>
        <v/>
      </c>
      <c r="BP40" s="225" t="str">
        <f>IF($A40="","",IFERROR(SUMPRODUCT((Raw_Data_Daily!$B$2:$B$9999="Control")*(Raw_Data_Daily!$A$2:$A$9999=$A40)*(Raw_Data_Daily!$C$2:$C$9999=$C$3)*Raw_Data_Daily!$D$2:$D$9999*Raw_Data_Daily!$Y$2:$Y$9999)/SUMIFS(Raw_Data_Daily!$D:$D, Raw_Data_Daily!$B:$B, "Control", Raw_Data_Daily!$A:$A, $A40, Raw_Data_Daily!$C:$C, $C$3),""))</f>
        <v/>
      </c>
      <c r="BQ40" s="225" t="str">
        <f>IF($A40="","",IFERROR(SUMPRODUCT((Raw_Data_Daily!$B$2:$B$9999="Variant")*(Raw_Data_Daily!$A$2:$A$9999=$A40)*(Raw_Data_Daily!$C$2:$C$9999=$C$3)*Raw_Data_Daily!$D$2:$D$9999*Raw_Data_Daily!$Y$2:$Y$9999)/SUMIFS(Raw_Data_Daily!$D:$D, Raw_Data_Daily!$B:$B, "Variant", Raw_Data_Daily!$A:$A, $A40, Raw_Data_Daily!$C:$C, $C$3),""))</f>
        <v/>
      </c>
      <c r="BR40" s="226" t="str">
        <f t="shared" si="23"/>
        <v/>
      </c>
      <c r="BS40" s="225" t="str">
        <f>IF($A40="","",IFERROR(SUMPRODUCT((Raw_Data_Daily!$B$2:$B$9999="Control")*(Raw_Data_Daily!$A$2:$A$9999=$A40)*(Raw_Data_Daily!$C$2:$C$9999=$C$3)*Raw_Data_Daily!$D$2:$D$9999*Raw_Data_Daily!$Z$2:$Z$9999)/SUMIFS(Raw_Data_Daily!$D:$D, Raw_Data_Daily!$B:$B, "Control", Raw_Data_Daily!$A:$A, $A40, Raw_Data_Daily!$C:$C, $C$3),""))</f>
        <v/>
      </c>
      <c r="BT40" s="225" t="str">
        <f>IF($A40="","",IFERROR(SUMPRODUCT((Raw_Data_Daily!$B$2:$B$9999="Variant")*(Raw_Data_Daily!$A$2:$A$9999=$A40)*(Raw_Data_Daily!$C$2:$C$9999=$C$3)*Raw_Data_Daily!$D$2:$D$9999*Raw_Data_Daily!$Z$2:$Z$9999)/SUMIFS(Raw_Data_Daily!$D:$D, Raw_Data_Daily!$B:$B, "Variant", Raw_Data_Daily!$A:$A, $A40, Raw_Data_Daily!$C:$C, $C$3),""))</f>
        <v/>
      </c>
      <c r="BU40" s="226" t="str">
        <f t="shared" si="24"/>
        <v/>
      </c>
      <c r="BV40" s="225" t="str">
        <f>IF($A40="","",IFERROR(SUMPRODUCT((Raw_Data_Daily!$B$2:$B$9999="Control")*(Raw_Data_Daily!$A$2:$A$9999=$A40)*(Raw_Data_Daily!$C$2:$C$9999=$C$3)*Raw_Data_Daily!$D$2:$D$9999*Raw_Data_Daily!$AA$2:$AA$9999)/SUMIFS(Raw_Data_Daily!$D:$D, Raw_Data_Daily!$B:$B, "Control", Raw_Data_Daily!$A:$A, $A40, Raw_Data_Daily!$C:$C, $C$3),""))</f>
        <v/>
      </c>
      <c r="BW40" s="225" t="str">
        <f>IF($A40="","",IFERROR(SUMPRODUCT((Raw_Data_Daily!$B$2:$B$9999="Variant")*(Raw_Data_Daily!$A$2:$A$9999=$A40)*(Raw_Data_Daily!$C$2:$C$9999=$C$3)*Raw_Data_Daily!$D$2:$D$9999*Raw_Data_Daily!$AA$2:$AA$9999)/SUMIFS(Raw_Data_Daily!$D:$D, Raw_Data_Daily!$B:$B, "Variant", Raw_Data_Daily!$A:$A, $A40, Raw_Data_Daily!$C:$C, $C$3),""))</f>
        <v/>
      </c>
      <c r="BX40" s="226" t="str">
        <f t="shared" si="25"/>
        <v/>
      </c>
      <c r="BY40" s="231" t="str">
        <f>IF($A40="","",IFERROR(SUMPRODUCT((Raw_Data_Daily!$B$2:$B$9999="Control")*(Raw_Data_Daily!$A$2:$A$9999=$A40)*(Raw_Data_Daily!$C$2:$C$9999=$C$3)*Raw_Data_Daily!$D$2:$D$9999*Raw_Data_Daily!$AB$2:$AB$9999)/SUMIFS(Raw_Data_Daily!$D:$D, Raw_Data_Daily!$B:$B, "Control", Raw_Data_Daily!$A:$A, $A40, Raw_Data_Daily!$C:$C, $C$3),""))</f>
        <v/>
      </c>
      <c r="BZ40" s="231" t="str">
        <f>IF($A40="","",IFERROR(SUMPRODUCT((Raw_Data_Daily!$B$2:$B$9999="Variant")*(Raw_Data_Daily!$A$2:$A$9999=$A40)*(Raw_Data_Daily!$C$2:$C$9999=$C$3)*Raw_Data_Daily!$D$2:$D$9999*Raw_Data_Daily!$AB$2:$AB$9999)/SUMIFS(Raw_Data_Daily!$D:$D, Raw_Data_Daily!$B:$B, "Variant", Raw_Data_Daily!$A:$A, $A40, Raw_Data_Daily!$C:$C, $C$3),""))</f>
        <v/>
      </c>
      <c r="CA40" s="229" t="str">
        <f t="shared" si="26"/>
        <v/>
      </c>
      <c r="CB40" s="231" t="str">
        <f>IF($A40="","",IFERROR(SUMPRODUCT((Raw_Data_Daily!$B$2:$B$9999="Control")*(Raw_Data_Daily!$A$2:$A$9999=$A40)*(Raw_Data_Daily!$C$2:$C$9999=$C$3)*Raw_Data_Daily!$D$2:$D$9999*Raw_Data_Daily!$AC$2:$AC$9999)/SUMIFS(Raw_Data_Daily!$D:$D, Raw_Data_Daily!$B:$B, "Control", Raw_Data_Daily!$A:$A, $A40, Raw_Data_Daily!$C:$C, $C$3),""))</f>
        <v/>
      </c>
      <c r="CC40" s="231" t="str">
        <f>IF($A40="","",IFERROR(SUMPRODUCT((Raw_Data_Daily!$B$2:$B$9999="Variant")*(Raw_Data_Daily!$A$2:$A$9999=$A40)*(Raw_Data_Daily!$C$2:$C$9999=$C$3)*Raw_Data_Daily!$D$2:$D$9999*Raw_Data_Daily!$AC$2:$AC$9999)/SUMIFS(Raw_Data_Daily!$D:$D, Raw_Data_Daily!$B:$B, "Variant", Raw_Data_Daily!$A:$A, $A40, Raw_Data_Daily!$C:$C, $C$3),""))</f>
        <v/>
      </c>
      <c r="CD40" s="229" t="str">
        <f t="shared" si="27"/>
        <v/>
      </c>
      <c r="CE40" s="231" t="str">
        <f>IF($A40="","",IFERROR(SUMPRODUCT((Raw_Data_Daily!$B$2:$B$9999="Control")*(Raw_Data_Daily!$A$2:$A$9999=$A40)*(Raw_Data_Daily!$C$2:$C$9999=$C$3)*Raw_Data_Daily!$D$2:$D$9999*Raw_Data_Daily!$AD$2:$AD$9999)/SUMIFS(Raw_Data_Daily!$D:$D, Raw_Data_Daily!$B:$B, "Control", Raw_Data_Daily!$A:$A, $A40, Raw_Data_Daily!$C:$C, $C$3),""))</f>
        <v/>
      </c>
      <c r="CF40" s="231" t="str">
        <f>IF($A40="","",IFERROR(SUMPRODUCT((Raw_Data_Daily!$B$2:$B$9999="Variant")*(Raw_Data_Daily!$A$2:$A$9999=$A40)*(Raw_Data_Daily!$C$2:$C$9999=$C$3)*Raw_Data_Daily!$D$2:$D$9999*Raw_Data_Daily!$AD$2:$AD$9999)/SUMIFS(Raw_Data_Daily!$D:$D, Raw_Data_Daily!$B:$B, "Variant", Raw_Data_Daily!$A:$A, $A40, Raw_Data_Daily!$C:$C, $C$3),""))</f>
        <v/>
      </c>
      <c r="CG40" s="229" t="str">
        <f t="shared" si="28"/>
        <v/>
      </c>
      <c r="CH40" s="231" t="str">
        <f>IF($A40="","",IFERROR(SUMPRODUCT((Raw_Data_Daily!$B$2:$B$9999="Control")*(Raw_Data_Daily!$A$2:$A$9999=$A40)*(Raw_Data_Daily!$C$2:$C$9999=$C$3)*Raw_Data_Daily!$D$2:$D$9999*Raw_Data_Daily!$AE$2:$AE$9999)/SUMIFS(Raw_Data_Daily!$D:$D, Raw_Data_Daily!$B:$B, "Control", Raw_Data_Daily!$A:$A, $A40, Raw_Data_Daily!$C:$C, $C$3),""))</f>
        <v/>
      </c>
      <c r="CI40" s="231" t="str">
        <f>IF($A40="","",IFERROR(SUMPRODUCT((Raw_Data_Daily!$B$2:$B$9999="Variant")*(Raw_Data_Daily!$A$2:$A$9999=$A40)*(Raw_Data_Daily!$C$2:$C$9999=$C$3)*Raw_Data_Daily!$D$2:$D$9999*Raw_Data_Daily!$AE$2:$AE$9999)/SUMIFS(Raw_Data_Daily!$D:$D, Raw_Data_Daily!$B:$B, "Variant", Raw_Data_Daily!$A:$A, $A40, Raw_Data_Daily!$C:$C, $C$3),""))</f>
        <v/>
      </c>
      <c r="CJ40" s="229" t="str">
        <f t="shared" si="29"/>
        <v/>
      </c>
      <c r="CK40" s="231" t="str">
        <f>IF($A40="","",IFERROR(SUMPRODUCT((Raw_Data_Daily!$B$2:$B$9999="Control")*(Raw_Data_Daily!$A$2:$A$9999=$A40)*(Raw_Data_Daily!$C$2:$C$9999=$C$3)*Raw_Data_Daily!$D$2:$D$9999*Raw_Data_Daily!$AF$2:$AF$9999)/SUMIFS(Raw_Data_Daily!$D:$D, Raw_Data_Daily!$B:$B, "Control", Raw_Data_Daily!$A:$A, $A40, Raw_Data_Daily!$C:$C, $C$3),""))</f>
        <v/>
      </c>
      <c r="CL40" s="231" t="str">
        <f>IF($A40="","",IFERROR(SUMPRODUCT((Raw_Data_Daily!$B$2:$B$9999="Variant")*(Raw_Data_Daily!$A$2:$A$9999=$A40)*(Raw_Data_Daily!$C$2:$C$9999=$C$3)*Raw_Data_Daily!$D$2:$D$9999*Raw_Data_Daily!$AF$2:$AF$9999)/SUMIFS(Raw_Data_Daily!$D:$D, Raw_Data_Daily!$B:$B, "Variant", Raw_Data_Daily!$A:$A, $A40, Raw_Data_Daily!$C:$C, $C$3),""))</f>
        <v/>
      </c>
      <c r="CM40" s="229" t="str">
        <f t="shared" si="30"/>
        <v/>
      </c>
      <c r="CN40" s="231" t="str">
        <f>IF($A40="","",IFERROR(SUMPRODUCT((Raw_Data_Daily!$B$2:$B$9999="Control")*(Raw_Data_Daily!$A$2:$A$9999=$A40)*(Raw_Data_Daily!$C$2:$C$9999=$C$3)*Raw_Data_Daily!$D$2:$D$9999*Raw_Data_Daily!$AG$2:$AG$9999)/SUMIFS(Raw_Data_Daily!$D:$D, Raw_Data_Daily!$B:$B, "Control", Raw_Data_Daily!$A:$A, $A40, Raw_Data_Daily!$C:$C, $C$3),""))</f>
        <v/>
      </c>
      <c r="CO40" s="231" t="str">
        <f>IF($A40="","",IFERROR(SUMPRODUCT((Raw_Data_Daily!$B$2:$B$9999="Variant")*(Raw_Data_Daily!$A$2:$A$9999=$A40)*(Raw_Data_Daily!$C$2:$C$9999=$C$3)*Raw_Data_Daily!$D$2:$D$9999*Raw_Data_Daily!$AG$2:$AG$9999)/SUMIFS(Raw_Data_Daily!$D:$D, Raw_Data_Daily!$B:$B, "Variant", Raw_Data_Daily!$A:$A, $A40, Raw_Data_Daily!$C:$C, $C$3),""))</f>
        <v/>
      </c>
      <c r="CP40" s="229" t="str">
        <f t="shared" si="31"/>
        <v/>
      </c>
      <c r="CQ40" s="231" t="str">
        <f>IF($A40="","",IFERROR(SUMPRODUCT((Raw_Data_Daily!$B$2:$B$9999="Control")*(Raw_Data_Daily!$A$2:$A$9999=$A40)*(Raw_Data_Daily!$C$2:$C$9999=$C$3)*Raw_Data_Daily!$D$2:$D$9999*Raw_Data_Daily!$AH$2:$AH$9999)/SUMIFS(Raw_Data_Daily!$D:$D, Raw_Data_Daily!$B:$B, "Control", Raw_Data_Daily!$A:$A, $A40, Raw_Data_Daily!$C:$C, $C$3),""))</f>
        <v/>
      </c>
      <c r="CR40" s="231" t="str">
        <f>IF($A40="","",IFERROR(SUMPRODUCT((Raw_Data_Daily!$B$2:$B$9999="Variant")*(Raw_Data_Daily!$A$2:$A$9999=$A40)*(Raw_Data_Daily!$C$2:$C$9999=$C$3)*Raw_Data_Daily!$D$2:$D$9999*Raw_Data_Daily!$AH$2:$AH$9999)/SUMIFS(Raw_Data_Daily!$D:$D, Raw_Data_Daily!$B:$B, "Variant", Raw_Data_Daily!$A:$A, $A40, Raw_Data_Daily!$C:$C, $C$3),""))</f>
        <v/>
      </c>
      <c r="CS40" s="229" t="str">
        <f t="shared" si="32"/>
        <v/>
      </c>
      <c r="CT40" s="227" t="str">
        <f>IF($A40="","",IFERROR(SUMPRODUCT((Raw_Data_Daily!$B$2:$B$9999="Control")*(Raw_Data_Daily!$A$2:$A$9999=$A40)*(Raw_Data_Daily!$C$2:$C$9999=$C$3)*Raw_Data_Daily!$D$2:$D$9999*Raw_Data_Daily!$AI$2:$AI$9999)/SUMIFS(Raw_Data_Daily!$D:$D, Raw_Data_Daily!$B:$B, "Control", Raw_Data_Daily!$A:$A, $A40, Raw_Data_Daily!$C:$C, $C$3),""))</f>
        <v/>
      </c>
      <c r="CU40" s="227" t="str">
        <f>IF($A40="","",IFERROR(SUMPRODUCT((Raw_Data_Daily!$B$2:$B$9999="Variant")*(Raw_Data_Daily!$A$2:$A$9999=$A40)*(Raw_Data_Daily!$C$2:$C$9999=$C$3)*Raw_Data_Daily!$D$2:$D$9999*Raw_Data_Daily!$AI$2:$AI$9999)/SUMIFS(Raw_Data_Daily!$D:$D, Raw_Data_Daily!$B:$B, "Variant", Raw_Data_Daily!$A:$A, $A40, Raw_Data_Daily!$C:$C, $C$3),""))</f>
        <v/>
      </c>
      <c r="CV40" s="233" t="str">
        <f t="shared" si="33"/>
        <v/>
      </c>
      <c r="CW40" s="227" t="str">
        <f>IF($A40="","",IFERROR(SUMPRODUCT((Raw_Data_Daily!$B$2:$B$9999="Control")*(Raw_Data_Daily!$A$2:$A$9999=$A40)*(Raw_Data_Daily!$C$2:$C$9999=$C$3)*Raw_Data_Daily!$D$2:$D$9999*Raw_Data_Daily!$AJ$2:$AJ$9999)/SUMIFS(Raw_Data_Daily!$D:$D, Raw_Data_Daily!$B:$B, "Control", Raw_Data_Daily!$A:$A, $A40, Raw_Data_Daily!$C:$C, $C$3),""))</f>
        <v/>
      </c>
      <c r="CX40" s="227" t="str">
        <f>IF($A40="","",IFERROR(SUMPRODUCT((Raw_Data_Daily!$B$2:$B$9999="Variant")*(Raw_Data_Daily!$A$2:$A$9999=$A40)*(Raw_Data_Daily!$C$2:$C$9999=$C$3)*Raw_Data_Daily!$D$2:$D$9999*Raw_Data_Daily!$AJ$2:$AJ$9999)/SUMIFS(Raw_Data_Daily!$D:$D, Raw_Data_Daily!$B:$B, "Variant", Raw_Data_Daily!$A:$A, $A40, Raw_Data_Daily!$C:$C, $C$3),""))</f>
        <v/>
      </c>
      <c r="CY40" s="233" t="str">
        <f t="shared" si="34"/>
        <v/>
      </c>
      <c r="CZ40" s="227" t="str">
        <f>IF($A40="","",IFERROR(SUMPRODUCT((Raw_Data_Daily!$B$2:$B$9999="Control")*(Raw_Data_Daily!$A$2:$A$9999=$A40)*(Raw_Data_Daily!$C$2:$C$9999=$C$3)*Raw_Data_Daily!$D$2:$D$9999*Raw_Data_Daily!$AK$2:$AK$9999)/SUMIFS(Raw_Data_Daily!$D:$D, Raw_Data_Daily!$B:$B, "Control", Raw_Data_Daily!$A:$A, $A40, Raw_Data_Daily!$C:$C, $C$3),""))</f>
        <v/>
      </c>
      <c r="DA40" s="227" t="str">
        <f>IF($A40="","",IFERROR(SUMPRODUCT((Raw_Data_Daily!$B$2:$B$9999="Variant")*(Raw_Data_Daily!$A$2:$A$9999=$A40)*(Raw_Data_Daily!$C$2:$C$9999=$C$3)*Raw_Data_Daily!$D$2:$D$9999*Raw_Data_Daily!$AK$2:$AK$9999)/SUMIFS(Raw_Data_Daily!$D:$D, Raw_Data_Daily!$B:$B, "Variant", Raw_Data_Daily!$A:$A, $A40, Raw_Data_Daily!$C:$C, $C$3),""))</f>
        <v/>
      </c>
      <c r="DB40" s="229" t="str">
        <f t="shared" si="35"/>
        <v/>
      </c>
      <c r="DC40" s="232" t="str">
        <f>IF($A40="","",IFERROR(SUMPRODUCT((Raw_Data_Daily!$B$2:$B$9999="Control")*(Raw_Data_Daily!$A$2:$A$9999=$A40)*(Raw_Data_Daily!$C$2:$C$9999=$C$3)*Raw_Data_Daily!$D$2:$D$9999*Raw_Data_Daily!$AL$2:$AL$9999)/SUMIFS(Raw_Data_Daily!$D:$D, Raw_Data_Daily!$B:$B, "Control", Raw_Data_Daily!$A:$A, $A40, Raw_Data_Daily!$C:$C, $C$3),""))</f>
        <v/>
      </c>
      <c r="DD40" s="232" t="str">
        <f>IF($A40="","",IFERROR(SUMPRODUCT((Raw_Data_Daily!$B$2:$B$9999="Variant")*(Raw_Data_Daily!$A$2:$A$9999=$A40)*(Raw_Data_Daily!$C$2:$C$9999=$C$3)*Raw_Data_Daily!$D$2:$D$9999*Raw_Data_Daily!$AL$2:$AL$9999)/SUMIFS(Raw_Data_Daily!$D:$D, Raw_Data_Daily!$B:$B, "Variant", Raw_Data_Daily!$A:$A, $A40, Raw_Data_Daily!$C:$C, $C$3),""))</f>
        <v/>
      </c>
      <c r="DE40" s="233" t="str">
        <f t="shared" si="36"/>
        <v/>
      </c>
      <c r="DF40" s="234"/>
      <c r="DG40" s="227" t="str">
        <f>IF($A40="","",IFERROR(SUMPRODUCT((Raw_Data_Daily!$B$2:$B$9999="Variant")*(Raw_Data_Daily!$A$2:$A$9999=$A40)*(Raw_Data_Daily!$C$2:$C$9999=$C$3)*Raw_Data_Daily!$D$2:$D$9999*Raw_Data_Daily!$AM$2:$AM$9999)/SUMIFS(Raw_Data_Daily!$D:$D, Raw_Data_Daily!$B:$B, "Variant", Raw_Data_Daily!$A:$A, $A40, Raw_Data_Daily!$C:$C, $C$3),""))</f>
        <v/>
      </c>
      <c r="DH40" s="235"/>
      <c r="DI40" s="234"/>
      <c r="DJ40" s="227" t="str">
        <f>IF($A40="","",IFERROR(SUMPRODUCT((Raw_Data_Daily!$B$2:$B$9999="Variant")*(Raw_Data_Daily!$A$2:$A$9999=$A40)*(Raw_Data_Daily!$C$2:$C$9999=$C$3)*Raw_Data_Daily!$D$2:$D$9999*Raw_Data_Daily!$AN$2:$AN$9999)/SUMIFS(Raw_Data_Daily!$D:$D, Raw_Data_Daily!$B:$B, "Variant", Raw_Data_Daily!$A:$A, $A40, Raw_Data_Daily!$C:$C, $C$3),""))</f>
        <v/>
      </c>
      <c r="DK40" s="235"/>
      <c r="DL40" s="234"/>
      <c r="DM40" s="227" t="str">
        <f>IF($A40="","",IFERROR(SUMPRODUCT((Raw_Data_Daily!$B$2:$B$9999="Variant")*(Raw_Data_Daily!$A$2:$A$9999=$A40)*(Raw_Data_Daily!$C$2:$C$9999=$C$3)*Raw_Data_Daily!$D$2:$D$9999*Raw_Data_Daily!$AO$2:$AO$9999)/SUMIFS(Raw_Data_Daily!$D:$D, Raw_Data_Daily!$B:$B, "Variant", Raw_Data_Daily!$A:$A, $A40, Raw_Data_Daily!$C:$C, $C$3),""))</f>
        <v/>
      </c>
      <c r="DN40" s="235"/>
      <c r="DO40" s="234"/>
      <c r="DP40" s="227" t="str">
        <f>IF($A40="","",IFERROR(SUMPRODUCT((Raw_Data_Daily!$B$2:$B$9999="Variant")*(Raw_Data_Daily!$A$2:$A$9999=$A40)*(Raw_Data_Daily!$C$2:$C$9999=$C$3)*Raw_Data_Daily!$D$2:$D$9999*Raw_Data_Daily!$AP$2:$AP$9999)/SUMIFS(Raw_Data_Daily!$D:$D, Raw_Data_Daily!$B:$B, "Variant", Raw_Data_Daily!$A:$A, $A40, Raw_Data_Daily!$C:$C, $C$3),""))</f>
        <v/>
      </c>
      <c r="DQ40" s="235"/>
      <c r="DR40" s="232" t="str">
        <f>IF($A40="","",IFERROR(SUMPRODUCT((Raw_Data_Daily!$B$2:$B$9999="Control")*(Raw_Data_Daily!$A$2:$A$9999=$A40)*(Raw_Data_Daily!$C$2:$C$9999=$C$3)*Raw_Data_Daily!$D$2:$D$9999*Raw_Data_Daily!$AQ$2:$AQ$9999)/SUMIFS(Raw_Data_Daily!$D:$D, Raw_Data_Daily!$B:$B, "Control", Raw_Data_Daily!$A:$A, $A40, Raw_Data_Daily!$C:$C, $C$3),""))</f>
        <v/>
      </c>
      <c r="DS40" s="232" t="str">
        <f>IF($A40="","",IFERROR(SUMPRODUCT((Raw_Data_Daily!$B$2:$B$9999="Variant")*(Raw_Data_Daily!$A$2:$A$9999=$A40)*(Raw_Data_Daily!$C$2:$C$9999=$C$3)*Raw_Data_Daily!$D$2:$D$9999*Raw_Data_Daily!$AQ$2:$AQ$9999)/SUMIFS(Raw_Data_Daily!$D:$D, Raw_Data_Daily!$B:$B, "Variant", Raw_Data_Daily!$A:$A, $A40, Raw_Data_Daily!$C:$C, $C$3),""))</f>
        <v/>
      </c>
      <c r="DT40" s="236" t="str">
        <f t="shared" si="37"/>
        <v/>
      </c>
      <c r="DU40" s="232" t="str">
        <f>IF($A40="","",IFERROR(SUMPRODUCT((Raw_Data_Daily!$B$2:$B$9999="Control")*(Raw_Data_Daily!$A$2:$A$9999=$A40)*(Raw_Data_Daily!$C$2:$C$9999=$C$3)*Raw_Data_Daily!$D$2:$D$9999*Raw_Data_Daily!$AR$2:$AR$9999)/SUMIFS(Raw_Data_Daily!$D:$D, Raw_Data_Daily!$B:$B, "Control", Raw_Data_Daily!$A:$A, $A40, Raw_Data_Daily!$C:$C, $C$3),""))</f>
        <v/>
      </c>
      <c r="DV40" s="232" t="str">
        <f>IF($A40="","",IFERROR(SUMPRODUCT((Raw_Data_Daily!$B$2:$B$9999="Variant")*(Raw_Data_Daily!$A$2:$A$9999=$A40)*(Raw_Data_Daily!$C$2:$C$9999=$C$3)*Raw_Data_Daily!$D$2:$D$9999*Raw_Data_Daily!$AR$2:$AR$9999)/SUMIFS(Raw_Data_Daily!$D:$D, Raw_Data_Daily!$B:$B, "Variant", Raw_Data_Daily!$A:$A, $A40, Raw_Data_Daily!$C:$C, $C$3),""))</f>
        <v/>
      </c>
      <c r="DW40" s="236" t="str">
        <f t="shared" si="38"/>
        <v/>
      </c>
      <c r="DX40" s="232" t="str">
        <f>IF($A40="","",IFERROR(SUMPRODUCT((Raw_Data_Daily!$B$2:$B$9999="Control")*(Raw_Data_Daily!$A$2:$A$9999=$A40)*(Raw_Data_Daily!$C$2:$C$9999=$C$3)*Raw_Data_Daily!$D$2:$D$9999*Raw_Data_Daily!$AS$2:$AS$9999)/SUMIFS(Raw_Data_Daily!$D:$D, Raw_Data_Daily!$B:$B, "Control", Raw_Data_Daily!$A:$A, $A40, Raw_Data_Daily!$C:$C, $C$3),""))</f>
        <v/>
      </c>
      <c r="DY40" s="232" t="str">
        <f>IF($A40="","",IFERROR(SUMPRODUCT((Raw_Data_Daily!$B$2:$B$9999="Variant")*(Raw_Data_Daily!$A$2:$A$9999=$A40)*(Raw_Data_Daily!$C$2:$C$9999=$C$3)*Raw_Data_Daily!$D$2:$D$9999*Raw_Data_Daily!$AS$2:$AS$9999)/SUMIFS(Raw_Data_Daily!$D:$D, Raw_Data_Daily!$B:$B, "Variant", Raw_Data_Daily!$A:$A, $A40, Raw_Data_Daily!$C:$C, $C$3),""))</f>
        <v/>
      </c>
      <c r="DZ40" s="236" t="str">
        <f t="shared" si="39"/>
        <v/>
      </c>
      <c r="EA40" s="232" t="str">
        <f>IF($A40="","",IFERROR(SUMPRODUCT((Raw_Data_Daily!$B$2:$B$9999="Control")*(Raw_Data_Daily!$A$2:$A$9999=$A40)*(Raw_Data_Daily!$C$2:$C$9999=$C$3)*Raw_Data_Daily!$D$2:$D$9999*Raw_Data_Daily!$AT$2:$AT$9999)/SUMIFS(Raw_Data_Daily!$D:$D, Raw_Data_Daily!$B:$B, "Control", Raw_Data_Daily!$A:$A, $A40, Raw_Data_Daily!$C:$C, $C$3),""))</f>
        <v/>
      </c>
      <c r="EB40" s="232" t="str">
        <f>IF($A40="","",IFERROR(SUMPRODUCT((Raw_Data_Daily!$B$2:$B$9999="Variant")*(Raw_Data_Daily!$A$2:$A$9999=$A40)*(Raw_Data_Daily!$C$2:$C$9999=$C$3)*Raw_Data_Daily!$D$2:$D$9999*Raw_Data_Daily!$AT$2:$AT$9999)/SUMIFS(Raw_Data_Daily!$D:$D, Raw_Data_Daily!$B:$B, "Variant", Raw_Data_Daily!$A:$A, $A40, Raw_Data_Daily!$C:$C, $C$3),""))</f>
        <v/>
      </c>
      <c r="EC40" s="236" t="str">
        <f t="shared" si="40"/>
        <v/>
      </c>
      <c r="ED40" s="232" t="str">
        <f>IF($A40="","",IFERROR(SUMPRODUCT((Raw_Data_Daily!$B$2:$B$9999="Control")*(Raw_Data_Daily!$A$2:$A$9999=$A40)*(Raw_Data_Daily!$C$2:$C$9999=$C$3)*Raw_Data_Daily!$D$2:$D$9999*(Raw_Data_Daily!$AQ$2:$AQ$9999-Raw_Data_Daily!$AT$2:$AT$9999))/SUMIFS(Raw_Data_Daily!$D:$D, Raw_Data_Daily!$B:$B, "Control", Raw_Data_Daily!$A:$A, $A40, Raw_Data_Daily!$C:$C, $C$3),""))</f>
        <v/>
      </c>
      <c r="EE40" s="232" t="str">
        <f>IF($A40="","",IFERROR(SUMPRODUCT((Raw_Data_Daily!$B$2:$B$9999="Variant")*(Raw_Data_Daily!$A$2:$A$9999=$A40)*(Raw_Data_Daily!$C$2:$C$9999=$C$3)*Raw_Data_Daily!$D$2:$D$9999*(Raw_Data_Daily!$AQ$2:$AQ$9999-Raw_Data_Daily!$AT$2:$AT$9999))/SUMIFS(Raw_Data_Daily!$D:$D, Raw_Data_Daily!$B:$B, "Variant", Raw_Data_Daily!$A:$A, $A40, Raw_Data_Daily!$C:$C, $C$3),""))</f>
        <v/>
      </c>
      <c r="EF40" s="236" t="str">
        <f t="shared" si="41"/>
        <v/>
      </c>
      <c r="EG40" s="232" t="str">
        <f>IF($A40="","",IFERROR(SUMPRODUCT((Raw_Data_Daily!$B$2:$B$9999="Control")*(Raw_Data_Daily!$A$2:$A$9999=$A40)*(Raw_Data_Daily!$C$2:$C$9999=$C$3)*Raw_Data_Daily!$D$2:$D$9999*Raw_Data_Daily!$AU$2:$AU$9999)/SUMIFS(Raw_Data_Daily!$D:$D, Raw_Data_Daily!$B:$B, "Control", Raw_Data_Daily!$A:$A, $A40, Raw_Data_Daily!$C:$C, $C$3),""))</f>
        <v/>
      </c>
      <c r="EH40" s="232" t="str">
        <f>IF($A40="","",IFERROR(SUMPRODUCT((Raw_Data_Daily!$B$2:$B$9999="Variant")*(Raw_Data_Daily!$A$2:$A$9999=$A40)*(Raw_Data_Daily!$C$2:$C$9999=$C$3)*Raw_Data_Daily!$D$2:$D$9999*Raw_Data_Daily!$AU$2:$AU$9999)/SUMIFS(Raw_Data_Daily!$D:$D, Raw_Data_Daily!$B:$B, "Variant", Raw_Data_Daily!$A:$A, $A40, Raw_Data_Daily!$C:$C, $C$3),""))</f>
        <v/>
      </c>
      <c r="EI40" s="236" t="str">
        <f t="shared" si="42"/>
        <v/>
      </c>
    </row>
    <row r="41" ht="15.75" customHeight="1">
      <c r="A41" s="224">
        <v>46264.0</v>
      </c>
      <c r="B41" s="225">
        <f>IF($A41="","",SUMIFS(Raw_Data_Daily!$D:$D, Raw_Data_Daily!$B:$B, "Control", Raw_Data_Daily!$A:$A, $A41, Raw_Data_Daily!$C:$C, $C$3))</f>
        <v>0</v>
      </c>
      <c r="C41" s="225">
        <f>IF($A41="","",SUMIFS(Raw_Data_Daily!$D:$D, Raw_Data_Daily!$B:$B, "Variant", Raw_Data_Daily!$A:$A, $A41, Raw_Data_Daily!$C:$C, $C$3))</f>
        <v>0</v>
      </c>
      <c r="D41" s="226" t="str">
        <f t="shared" si="1"/>
        <v/>
      </c>
      <c r="E41" s="227" t="str">
        <f>IF($A41="","",IFERROR(SUMPRODUCT((Raw_Data_Daily!$B$2:$B$9999="Control")*(Raw_Data_Daily!$A$2:$A$9999=$A41)*(Raw_Data_Daily!$C$2:$C$9999=$C$3)*Raw_Data_Daily!$D$2:$D$9999*Raw_Data_Daily!$E$2:$E$9999)/SUMIFS(Raw_Data_Daily!$D:$D, Raw_Data_Daily!$B:$B, "Control", Raw_Data_Daily!$A:$A, $A41, Raw_Data_Daily!$C:$C, $C$3),""))</f>
        <v/>
      </c>
      <c r="F41" s="227" t="str">
        <f>IF($A41="","",IFERROR(SUMPRODUCT((Raw_Data_Daily!$B$2:$B$9999="Variant")*(Raw_Data_Daily!$A$2:$A$9999=$A41)*(Raw_Data_Daily!$C$2:$C$9999=$C$3)*Raw_Data_Daily!$D$2:$D$9999*Raw_Data_Daily!$E$2:$E$9999)/SUMIFS(Raw_Data_Daily!$D:$D, Raw_Data_Daily!$B:$B, "Variant", Raw_Data_Daily!$A:$A, $A41, Raw_Data_Daily!$C:$C, $C$3),""))</f>
        <v/>
      </c>
      <c r="G41" s="226" t="str">
        <f t="shared" si="2"/>
        <v/>
      </c>
      <c r="H41" s="228">
        <f>IF($A41="","",SUMIFS(Raw_Data_Daily!$F:$F, Raw_Data_Daily!$B:$B, "Control", Raw_Data_Daily!$A:$A, $A41, Raw_Data_Daily!$C:$C, $C$3))</f>
        <v>0</v>
      </c>
      <c r="I41" s="228">
        <f>IF($A41="","",SUMIFS(Raw_Data_Daily!$F:$F, Raw_Data_Daily!$B:$B, "Variant", Raw_Data_Daily!$A:$A, $A41, Raw_Data_Daily!$C:$C, $C$3))</f>
        <v>0</v>
      </c>
      <c r="J41" s="229" t="str">
        <f t="shared" si="3"/>
        <v/>
      </c>
      <c r="K41" s="230" t="str">
        <f>IF($A41="","",IFERROR(SUMIFS(Raw_Data_Daily!$F:$F, Raw_Data_Daily!$B:$B, "Control", Raw_Data_Daily!$A:$A, $A41, Raw_Data_Daily!$C:$C, $C$3)/SUMIFS(Raw_Data_Daily!$D:$D, Raw_Data_Daily!$B:$B, "Control", Raw_Data_Daily!$A:$A, $A41, Raw_Data_Daily!$C:$C, $C$3),""))</f>
        <v/>
      </c>
      <c r="L41" s="230" t="str">
        <f>IF($A41="","",IFERROR(SUMIFS(Raw_Data_Daily!$F:$F, Raw_Data_Daily!$B:$B, "Variant", Raw_Data_Daily!$A:$A, $A41, Raw_Data_Daily!$C:$C, $C$3)/SUMIFS(Raw_Data_Daily!$D:$D, Raw_Data_Daily!$B:$B, "Variant", Raw_Data_Daily!$A:$A, $A41, Raw_Data_Daily!$C:$C, $C$3),""))</f>
        <v/>
      </c>
      <c r="M41" s="229" t="str">
        <f t="shared" si="4"/>
        <v/>
      </c>
      <c r="N41" s="227" t="str">
        <f>IF($A41="","",IFERROR(SUMPRODUCT((Raw_Data_Daily!$B$2:$B$9999="Control")*(Raw_Data_Daily!$A$2:$A$9999=$A41)*(Raw_Data_Daily!$C$2:$C$9999=$C$3)*Raw_Data_Daily!$D$2:$D$9999*Raw_Data_Daily!$H$2:$H$9999/100)/SUMIFS(Raw_Data_Daily!$D:$D, Raw_Data_Daily!$B:$B, "Control", Raw_Data_Daily!$A:$A, $A41, Raw_Data_Daily!$C:$C, $C$3)*100,""))</f>
        <v/>
      </c>
      <c r="O41" s="227" t="str">
        <f>IF($A41="","",IFERROR(SUMPRODUCT((Raw_Data_Daily!$B$2:$B$9999="Variant")*(Raw_Data_Daily!$A$2:$A$9999=$A41)*(Raw_Data_Daily!$C$2:$C$9999=$C$3)*Raw_Data_Daily!$D$2:$D$9999*Raw_Data_Daily!$H$2:$H$9999/100)/SUMIFS(Raw_Data_Daily!$D:$D, Raw_Data_Daily!$B:$B, "Variant", Raw_Data_Daily!$A:$A, $A41, Raw_Data_Daily!$C:$C, $C$3)*100,""))</f>
        <v/>
      </c>
      <c r="P41" s="229" t="str">
        <f t="shared" si="5"/>
        <v/>
      </c>
      <c r="Q41" s="230" t="str">
        <f>IF($A41="","",IFERROR(SUMIFS(Raw_Data_Daily!$F:$F, Raw_Data_Daily!$B:$B, "Control", Raw_Data_Daily!$A:$A, $A41, Raw_Data_Daily!$C:$C, $C$3)/SUMPRODUCT((Raw_Data_Daily!$B$2:$B$9999="Control")*(Raw_Data_Daily!$A$2:$A$9999=$A41)*(Raw_Data_Daily!$C$2:$C$9999=$C$3)*Raw_Data_Daily!$D$2:$D$9999*Raw_Data_Daily!$H$2:$H$9999/100),""))</f>
        <v/>
      </c>
      <c r="R41" s="230" t="str">
        <f>IF($A41="","",IFERROR(SUMIFS(Raw_Data_Daily!$F:$F, Raw_Data_Daily!$B:$B, "Variant", Raw_Data_Daily!$A:$A, $A41, Raw_Data_Daily!$C:$C, $C$3)/SUMPRODUCT((Raw_Data_Daily!$B$2:$B$9999="Variant")*(Raw_Data_Daily!$A$2:$A$9999=$A41)*(Raw_Data_Daily!$C$2:$C$9999=$C$3)*Raw_Data_Daily!$D$2:$D$9999*Raw_Data_Daily!$H$2:$H$9999/100),""))</f>
        <v/>
      </c>
      <c r="S41" s="229" t="str">
        <f t="shared" si="6"/>
        <v/>
      </c>
      <c r="T41" s="231" t="str">
        <f>IF($A41="","",IFERROR(SUMPRODUCT((Raw_Data_Daily!$B$2:$B$9999="Control")*(Raw_Data_Daily!$A$2:$A$9999=$A41)*(Raw_Data_Daily!$C$2:$C$9999=$C$3)*Raw_Data_Daily!$D$2:$D$9999*Raw_Data_Daily!$J$2:$J$9999)/SUMIFS(Raw_Data_Daily!$D:$D, Raw_Data_Daily!$B:$B, "Control", Raw_Data_Daily!$A:$A, $A41, Raw_Data_Daily!$C:$C, $C$3),""))</f>
        <v/>
      </c>
      <c r="U41" s="231" t="str">
        <f>IF($A41="","",IFERROR(SUMPRODUCT((Raw_Data_Daily!$B$2:$B$9999="Variant")*(Raw_Data_Daily!$A$2:$A$9999=$A41)*(Raw_Data_Daily!$C$2:$C$9999=$C$3)*Raw_Data_Daily!$D$2:$D$9999*Raw_Data_Daily!$J$2:$J$9999)/SUMIFS(Raw_Data_Daily!$D:$D, Raw_Data_Daily!$B:$B, "Variant", Raw_Data_Daily!$A:$A, $A41, Raw_Data_Daily!$C:$C, $C$3),""))</f>
        <v/>
      </c>
      <c r="V41" s="229" t="str">
        <f t="shared" si="7"/>
        <v/>
      </c>
      <c r="W41" s="231" t="str">
        <f>IF($A41="","",IFERROR(SUMPRODUCT((Raw_Data_Daily!$B$2:$B$9999="Control")*(Raw_Data_Daily!$A$2:$A$9999=$A41)*(Raw_Data_Daily!$C$2:$C$9999=$C$3)*Raw_Data_Daily!$D$2:$D$9999*Raw_Data_Daily!$K$2:$K$9999)/SUMIFS(Raw_Data_Daily!$D:$D, Raw_Data_Daily!$B:$B, "Control", Raw_Data_Daily!$A:$A, $A41, Raw_Data_Daily!$C:$C, $C$3),""))</f>
        <v/>
      </c>
      <c r="X41" s="231" t="str">
        <f>IF($A41="","",IFERROR(SUMPRODUCT((Raw_Data_Daily!$B$2:$B$9999="Variant")*(Raw_Data_Daily!$A$2:$A$9999=$A41)*(Raw_Data_Daily!$C$2:$C$9999=$C$3)*Raw_Data_Daily!$D$2:$D$9999*Raw_Data_Daily!$K$2:$K$9999)/SUMIFS(Raw_Data_Daily!$D:$D, Raw_Data_Daily!$B:$B, "Variant", Raw_Data_Daily!$A:$A, $A41, Raw_Data_Daily!$C:$C, $C$3),""))</f>
        <v/>
      </c>
      <c r="Y41" s="229" t="str">
        <f t="shared" si="8"/>
        <v/>
      </c>
      <c r="Z41" s="231" t="str">
        <f>IF($A41="","",IFERROR(SUMPRODUCT((Raw_Data_Daily!$B$2:$B$9999="Control")*(Raw_Data_Daily!$A$2:$A$9999=$A41)*(Raw_Data_Daily!$C$2:$C$9999=$C$3)*Raw_Data_Daily!$D$2:$D$9999*Raw_Data_Daily!$L$2:$L$9999)/SUMIFS(Raw_Data_Daily!$D:$D, Raw_Data_Daily!$B:$B, "Control", Raw_Data_Daily!$A:$A, $A41, Raw_Data_Daily!$C:$C, $C$3),""))</f>
        <v/>
      </c>
      <c r="AA41" s="231" t="str">
        <f>IF($A41="","",IFERROR(SUMPRODUCT((Raw_Data_Daily!$B$2:$B$9999="Variant")*(Raw_Data_Daily!$A$2:$A$9999=$A41)*(Raw_Data_Daily!$C$2:$C$9999=$C$3)*Raw_Data_Daily!$D$2:$D$9999*Raw_Data_Daily!$L$2:$L$9999)/SUMIFS(Raw_Data_Daily!$D:$D, Raw_Data_Daily!$B:$B, "Variant", Raw_Data_Daily!$A:$A, $A41, Raw_Data_Daily!$C:$C, $C$3),""))</f>
        <v/>
      </c>
      <c r="AB41" s="229" t="str">
        <f t="shared" si="9"/>
        <v/>
      </c>
      <c r="AC41" s="232" t="str">
        <f>IF($A41="","",IFERROR(SUMPRODUCT((Raw_Data_Daily!$B$2:$B$9999="Control")*(Raw_Data_Daily!$A$2:$A$9999=$A41)*(Raw_Data_Daily!$C$2:$C$9999=$C$3)*Raw_Data_Daily!$D$2:$D$9999*Raw_Data_Daily!$M$2:$M$9999)/SUMIFS(Raw_Data_Daily!$D:$D, Raw_Data_Daily!$B:$B, "Control", Raw_Data_Daily!$A:$A, $A41, Raw_Data_Daily!$C:$C, $C$3),""))</f>
        <v/>
      </c>
      <c r="AD41" s="232" t="str">
        <f>IF($A41="","",IFERROR(SUMPRODUCT((Raw_Data_Daily!$B$2:$B$9999="Variant")*(Raw_Data_Daily!$A$2:$A$9999=$A41)*(Raw_Data_Daily!$C$2:$C$9999=$C$3)*Raw_Data_Daily!$D$2:$D$9999*Raw_Data_Daily!$M$2:$M$9999)/SUMIFS(Raw_Data_Daily!$D:$D, Raw_Data_Daily!$B:$B, "Variant", Raw_Data_Daily!$A:$A, $A41, Raw_Data_Daily!$C:$C, $C$3),""))</f>
        <v/>
      </c>
      <c r="AE41" s="233" t="str">
        <f t="shared" si="10"/>
        <v/>
      </c>
      <c r="AF41" s="232" t="str">
        <f>IF($A41="","",IFERROR(SUMPRODUCT((Raw_Data_Daily!$B$2:$B$9999="Control")*(Raw_Data_Daily!$A$2:$A$9999=$A41)*(Raw_Data_Daily!$C$2:$C$9999=$C$3)*Raw_Data_Daily!$D$2:$D$9999*Raw_Data_Daily!$N$2:$N$9999)/SUMIFS(Raw_Data_Daily!$D:$D, Raw_Data_Daily!$B:$B, "Control", Raw_Data_Daily!$A:$A, $A41, Raw_Data_Daily!$C:$C, $C$3),""))</f>
        <v/>
      </c>
      <c r="AG41" s="232" t="str">
        <f>IF($A41="","",IFERROR(SUMPRODUCT((Raw_Data_Daily!$B$2:$B$9999="Variant")*(Raw_Data_Daily!$A$2:$A$9999=$A41)*(Raw_Data_Daily!$C$2:$C$9999=$C$3)*Raw_Data_Daily!$D$2:$D$9999*Raw_Data_Daily!$N$2:$N$9999)/SUMIFS(Raw_Data_Daily!$D:$D, Raw_Data_Daily!$B:$B, "Variant", Raw_Data_Daily!$A:$A, $A41, Raw_Data_Daily!$C:$C, $C$3),""))</f>
        <v/>
      </c>
      <c r="AH41" s="233" t="str">
        <f t="shared" si="11"/>
        <v/>
      </c>
      <c r="AI41" s="232" t="str">
        <f>IF($A41="","",IFERROR(SUMPRODUCT((Raw_Data_Daily!$B$2:$B$9999="Control")*(Raw_Data_Daily!$A$2:$A$9999=$A41)*(Raw_Data_Daily!$C$2:$C$9999=$C$3)*Raw_Data_Daily!$D$2:$D$9999*Raw_Data_Daily!$O$2:$O$9999)/SUMIFS(Raw_Data_Daily!$D:$D, Raw_Data_Daily!$B:$B, "Control", Raw_Data_Daily!$A:$A, $A41, Raw_Data_Daily!$C:$C, $C$3),""))</f>
        <v/>
      </c>
      <c r="AJ41" s="232" t="str">
        <f>IF($A41="","",IFERROR(SUMPRODUCT((Raw_Data_Daily!$B$2:$B$9999="Variant")*(Raw_Data_Daily!$A$2:$A$9999=$A41)*(Raw_Data_Daily!$C$2:$C$9999=$C$3)*Raw_Data_Daily!$D$2:$D$9999*Raw_Data_Daily!$O$2:$O$9999)/SUMIFS(Raw_Data_Daily!$D:$D, Raw_Data_Daily!$B:$B, "Variant", Raw_Data_Daily!$A:$A, $A41, Raw_Data_Daily!$C:$C, $C$3),""))</f>
        <v/>
      </c>
      <c r="AK41" s="229" t="str">
        <f t="shared" si="12"/>
        <v/>
      </c>
      <c r="AL41" s="231" t="str">
        <f>IF($A41="","",IFERROR(SUMPRODUCT((Raw_Data_Daily!$B$2:$B$9999="Control")*(Raw_Data_Daily!$A$2:$A$9999=$A41)*(Raw_Data_Daily!$C$2:$C$9999=$C$3)*Raw_Data_Daily!$D$2:$D$9999*Raw_Data_Daily!$P$2:$P$9999)/SUMIFS(Raw_Data_Daily!$D:$D, Raw_Data_Daily!$B:$B, "Control", Raw_Data_Daily!$A:$A, $A41, Raw_Data_Daily!$C:$C, $C$3),""))</f>
        <v/>
      </c>
      <c r="AM41" s="231" t="str">
        <f>IF($A41="","",IFERROR(SUMPRODUCT((Raw_Data_Daily!$B$2:$B$9999="Variant")*(Raw_Data_Daily!$A$2:$A$9999=$A41)*(Raw_Data_Daily!$C$2:$C$9999=$C$3)*Raw_Data_Daily!$D$2:$D$9999*Raw_Data_Daily!$P$2:$P$9999)/SUMIFS(Raw_Data_Daily!$D:$D, Raw_Data_Daily!$B:$B, "Variant", Raw_Data_Daily!$A:$A, $A41, Raw_Data_Daily!$C:$C, $C$3),""))</f>
        <v/>
      </c>
      <c r="AN41" s="229" t="str">
        <f t="shared" si="13"/>
        <v/>
      </c>
      <c r="AO41" s="231" t="str">
        <f>IF($A41="","",IFERROR(SUMPRODUCT((Raw_Data_Daily!$B$2:$B$9999="Control")*(Raw_Data_Daily!$A$2:$A$9999=$A41)*(Raw_Data_Daily!$C$2:$C$9999=$C$3)*Raw_Data_Daily!$D$2:$D$9999*Raw_Data_Daily!$Q$2:$Q$9999)/SUMIFS(Raw_Data_Daily!$D:$D, Raw_Data_Daily!$B:$B, "Control", Raw_Data_Daily!$A:$A, $A41, Raw_Data_Daily!$C:$C, $C$3),""))</f>
        <v/>
      </c>
      <c r="AP41" s="231" t="str">
        <f>IF($A41="","",IFERROR(SUMPRODUCT((Raw_Data_Daily!$B$2:$B$9999="Variant")*(Raw_Data_Daily!$A$2:$A$9999=$A41)*(Raw_Data_Daily!$C$2:$C$9999=$C$3)*Raw_Data_Daily!$D$2:$D$9999*Raw_Data_Daily!$Q$2:$Q$9999)/SUMIFS(Raw_Data_Daily!$D:$D, Raw_Data_Daily!$B:$B, "Variant", Raw_Data_Daily!$A:$A, $A41, Raw_Data_Daily!$C:$C, $C$3),""))</f>
        <v/>
      </c>
      <c r="AQ41" s="226" t="str">
        <f t="shared" si="14"/>
        <v/>
      </c>
      <c r="AR41" s="231" t="str">
        <f>IF($A41="","",IFERROR(SUMPRODUCT((Raw_Data_Daily!$B$2:$B$9999="Control")*(Raw_Data_Daily!$A$2:$A$9999=$A41)*(Raw_Data_Daily!$C$2:$C$9999=$C$3)*Raw_Data_Daily!$D$2:$D$9999*Raw_Data_Daily!$R$2:$R$9999)/SUMIFS(Raw_Data_Daily!$D:$D, Raw_Data_Daily!$B:$B, "Control", Raw_Data_Daily!$A:$A, $A41, Raw_Data_Daily!$C:$C, $C$3),""))</f>
        <v/>
      </c>
      <c r="AS41" s="231" t="str">
        <f>IF($A41="","",IFERROR(SUMPRODUCT((Raw_Data_Daily!$B$2:$B$9999="Variant")*(Raw_Data_Daily!$A$2:$A$9999=$A41)*(Raw_Data_Daily!$C$2:$C$9999=$C$3)*Raw_Data_Daily!$D$2:$D$9999*Raw_Data_Daily!$R$2:$R$9999)/SUMIFS(Raw_Data_Daily!$D:$D, Raw_Data_Daily!$B:$B, "Variant", Raw_Data_Daily!$A:$A, $A41, Raw_Data_Daily!$C:$C, $C$3),""))</f>
        <v/>
      </c>
      <c r="AT41" s="226" t="str">
        <f t="shared" si="15"/>
        <v/>
      </c>
      <c r="AU41" s="231" t="str">
        <f>IF($A41="","",IFERROR(SUMPRODUCT((Raw_Data_Daily!$B$2:$B$9999="Control")*(Raw_Data_Daily!$A$2:$A$9999=$A41)*(Raw_Data_Daily!$C$2:$C$9999=$C$3)*Raw_Data_Daily!$D$2:$D$9999*Raw_Data_Daily!$S$2:$S$9999)/SUMIFS(Raw_Data_Daily!$D:$D, Raw_Data_Daily!$B:$B, "Control", Raw_Data_Daily!$A:$A, $A41, Raw_Data_Daily!$C:$C, $C$3),""))</f>
        <v/>
      </c>
      <c r="AV41" s="231" t="str">
        <f>IF($A41="","",IFERROR(SUMPRODUCT((Raw_Data_Daily!$B$2:$B$9999="Variant")*(Raw_Data_Daily!$A$2:$A$9999=$A41)*(Raw_Data_Daily!$C$2:$C$9999=$C$3)*Raw_Data_Daily!$D$2:$D$9999*Raw_Data_Daily!$S$2:$S$9999)/SUMIFS(Raw_Data_Daily!$D:$D, Raw_Data_Daily!$B:$B, "Variant", Raw_Data_Daily!$A:$A, $A41, Raw_Data_Daily!$C:$C, $C$3),""))</f>
        <v/>
      </c>
      <c r="AW41" s="226" t="str">
        <f t="shared" si="16"/>
        <v/>
      </c>
      <c r="AX41" s="231" t="str">
        <f>IF($A41="","",IFERROR(SUMPRODUCT((Raw_Data_Daily!$B$2:$B$9999="Control")*(Raw_Data_Daily!$A$2:$A$9999=$A41)*(Raw_Data_Daily!$C$2:$C$9999=$C$3)*Raw_Data_Daily!$D$2:$D$9999*Raw_Data_Daily!$T$2:$T$9999)/SUMIFS(Raw_Data_Daily!$D:$D, Raw_Data_Daily!$B:$B, "Control", Raw_Data_Daily!$A:$A, $A41, Raw_Data_Daily!$C:$C, $C$3),""))</f>
        <v/>
      </c>
      <c r="AY41" s="231" t="str">
        <f>IF($A41="","",IFERROR(SUMPRODUCT((Raw_Data_Daily!$B$2:$B$9999="Variant")*(Raw_Data_Daily!$A$2:$A$9999=$A41)*(Raw_Data_Daily!$C$2:$C$9999=$C$3)*Raw_Data_Daily!$D$2:$D$9999*Raw_Data_Daily!$T$2:$T$9999)/SUMIFS(Raw_Data_Daily!$D:$D, Raw_Data_Daily!$B:$B, "Variant", Raw_Data_Daily!$A:$A, $A41, Raw_Data_Daily!$C:$C, $C$3),""))</f>
        <v/>
      </c>
      <c r="AZ41" s="229" t="str">
        <f t="shared" si="17"/>
        <v/>
      </c>
      <c r="BA41" s="231" t="str">
        <f>IF($A41="","",IFERROR(SUMPRODUCT((Raw_Data_Daily!$B$2:$B$9999="Control")*(Raw_Data_Daily!$A$2:$A$9999=$A41)*(Raw_Data_Daily!$C$2:$C$9999=$C$3)*Raw_Data_Daily!$D$2:$D$9999*Raw_Data_Daily!$U$2:$U$9999)/SUMIFS(Raw_Data_Daily!$D:$D, Raw_Data_Daily!$B:$B, "Control", Raw_Data_Daily!$A:$A, $A41, Raw_Data_Daily!$C:$C, $C$3),""))</f>
        <v/>
      </c>
      <c r="BB41" s="231" t="str">
        <f>IF($A41="","",IFERROR(SUMPRODUCT((Raw_Data_Daily!$B$2:$B$9999="Variant")*(Raw_Data_Daily!$A$2:$A$9999=$A41)*(Raw_Data_Daily!$C$2:$C$9999=$C$3)*Raw_Data_Daily!$D$2:$D$9999*Raw_Data_Daily!$U$2:$U$9999)/SUMIFS(Raw_Data_Daily!$D:$D, Raw_Data_Daily!$B:$B, "Variant", Raw_Data_Daily!$A:$A, $A41, Raw_Data_Daily!$C:$C, $C$3),""))</f>
        <v/>
      </c>
      <c r="BC41" s="226" t="str">
        <f t="shared" si="18"/>
        <v/>
      </c>
      <c r="BD41" s="231" t="str">
        <f>IF($A41="","",IFERROR(SUMPRODUCT((Raw_Data_Daily!$B$2:$B$9999="Control")*(Raw_Data_Daily!$A$2:$A$9999=$A41)*(Raw_Data_Daily!$C$2:$C$9999=$C$3)*Raw_Data_Daily!$D$2:$D$9999*Raw_Data_Daily!$V$2:$V$9999)/SUMIFS(Raw_Data_Daily!$D:$D, Raw_Data_Daily!$B:$B, "Control", Raw_Data_Daily!$A:$A, $A41, Raw_Data_Daily!$C:$C, $C$3),""))</f>
        <v/>
      </c>
      <c r="BE41" s="231" t="str">
        <f>IF($A41="","",IFERROR(SUMPRODUCT((Raw_Data_Daily!$B$2:$B$9999="Variant")*(Raw_Data_Daily!$A$2:$A$9999=$A41)*(Raw_Data_Daily!$C$2:$C$9999=$C$3)*Raw_Data_Daily!$D$2:$D$9999*Raw_Data_Daily!$V$2:$V$9999)/SUMIFS(Raw_Data_Daily!$D:$D, Raw_Data_Daily!$B:$B, "Variant", Raw_Data_Daily!$A:$A, $A41, Raw_Data_Daily!$C:$C, $C$3),""))</f>
        <v/>
      </c>
      <c r="BF41" s="226" t="str">
        <f t="shared" si="19"/>
        <v/>
      </c>
      <c r="BG41" s="231" t="str">
        <f>IF($A41="","",IFERROR(SUMPRODUCT((Raw_Data_Daily!$B$2:$B$9999="Control")*(Raw_Data_Daily!$A$2:$A$9999=$A41)*(Raw_Data_Daily!$C$2:$C$9999=$C$3)*Raw_Data_Daily!$D$2:$D$9999*(Raw_Data_Daily!$Q$2:$Q$9999-Raw_Data_Daily!$V$2:$V$9999))/SUMIFS(Raw_Data_Daily!$D:$D, Raw_Data_Daily!$B:$B, "Control", Raw_Data_Daily!$A:$A, $A41, Raw_Data_Daily!$C:$C, $C$3),""))</f>
        <v/>
      </c>
      <c r="BH41" s="231" t="str">
        <f>IF($A41="","",IFERROR(SUMPRODUCT((Raw_Data_Daily!$B$2:$B$9999="Variant")*(Raw_Data_Daily!$A$2:$A$9999=$A41)*(Raw_Data_Daily!$C$2:$C$9999=$C$3)*Raw_Data_Daily!$D$2:$D$9999*(Raw_Data_Daily!$Q$2:$Q$9999-Raw_Data_Daily!$V$2:$V$9999))/SUMIFS(Raw_Data_Daily!$D:$D, Raw_Data_Daily!$B:$B, "Variant", Raw_Data_Daily!$A:$A, $A41, Raw_Data_Daily!$C:$C, $C$3),""))</f>
        <v/>
      </c>
      <c r="BI41" s="226" t="str">
        <f t="shared" si="20"/>
        <v/>
      </c>
      <c r="BJ41" s="231" t="str">
        <f>IF($A41="","",IFERROR(SUMPRODUCT((Raw_Data_Daily!$B$2:$B$9999="Control")*(Raw_Data_Daily!$A$2:$A$9999=$A41)*(Raw_Data_Daily!$C$2:$C$9999=$C$3)*Raw_Data_Daily!$D$2:$D$9999*Raw_Data_Daily!$W$2:$W$9999)/SUMIFS(Raw_Data_Daily!$D:$D, Raw_Data_Daily!$B:$B, "Control", Raw_Data_Daily!$A:$A, $A41, Raw_Data_Daily!$C:$C, $C$3),""))</f>
        <v/>
      </c>
      <c r="BK41" s="231" t="str">
        <f>IF($A41="","",IFERROR(SUMPRODUCT((Raw_Data_Daily!$B$2:$B$9999="Variant")*(Raw_Data_Daily!$A$2:$A$9999=$A41)*(Raw_Data_Daily!$C$2:$C$9999=$C$3)*Raw_Data_Daily!$D$2:$D$9999*Raw_Data_Daily!$W$2:$W$9999)/SUMIFS(Raw_Data_Daily!$D:$D, Raw_Data_Daily!$B:$B, "Variant", Raw_Data_Daily!$A:$A, $A41, Raw_Data_Daily!$C:$C, $C$3),""))</f>
        <v/>
      </c>
      <c r="BL41" s="226" t="str">
        <f t="shared" si="21"/>
        <v/>
      </c>
      <c r="BM41" s="232" t="str">
        <f>IF($A41="","",IFERROR(SUMPRODUCT((Raw_Data_Daily!$B$2:$B$9999="Control")*(Raw_Data_Daily!$A$2:$A$9999=$A41)*(Raw_Data_Daily!$C$2:$C$9999=$C$3)*Raw_Data_Daily!$D$2:$D$9999*Raw_Data_Daily!$X$2:$X$9999)/SUMIFS(Raw_Data_Daily!$D:$D, Raw_Data_Daily!$B:$B, "Control", Raw_Data_Daily!$A:$A, $A41, Raw_Data_Daily!$C:$C, $C$3),""))</f>
        <v/>
      </c>
      <c r="BN41" s="232" t="str">
        <f>IF($A41="","",IFERROR(SUMPRODUCT((Raw_Data_Daily!$B$2:$B$9999="Variant")*(Raw_Data_Daily!$A$2:$A$9999=$A41)*(Raw_Data_Daily!$C$2:$C$9999=$C$3)*Raw_Data_Daily!$D$2:$D$9999*Raw_Data_Daily!$X$2:$X$9999)/SUMIFS(Raw_Data_Daily!$D:$D, Raw_Data_Daily!$B:$B, "Variant", Raw_Data_Daily!$A:$A, $A41, Raw_Data_Daily!$C:$C, $C$3),""))</f>
        <v/>
      </c>
      <c r="BO41" s="229" t="str">
        <f t="shared" si="22"/>
        <v/>
      </c>
      <c r="BP41" s="225" t="str">
        <f>IF($A41="","",IFERROR(SUMPRODUCT((Raw_Data_Daily!$B$2:$B$9999="Control")*(Raw_Data_Daily!$A$2:$A$9999=$A41)*(Raw_Data_Daily!$C$2:$C$9999=$C$3)*Raw_Data_Daily!$D$2:$D$9999*Raw_Data_Daily!$Y$2:$Y$9999)/SUMIFS(Raw_Data_Daily!$D:$D, Raw_Data_Daily!$B:$B, "Control", Raw_Data_Daily!$A:$A, $A41, Raw_Data_Daily!$C:$C, $C$3),""))</f>
        <v/>
      </c>
      <c r="BQ41" s="225" t="str">
        <f>IF($A41="","",IFERROR(SUMPRODUCT((Raw_Data_Daily!$B$2:$B$9999="Variant")*(Raw_Data_Daily!$A$2:$A$9999=$A41)*(Raw_Data_Daily!$C$2:$C$9999=$C$3)*Raw_Data_Daily!$D$2:$D$9999*Raw_Data_Daily!$Y$2:$Y$9999)/SUMIFS(Raw_Data_Daily!$D:$D, Raw_Data_Daily!$B:$B, "Variant", Raw_Data_Daily!$A:$A, $A41, Raw_Data_Daily!$C:$C, $C$3),""))</f>
        <v/>
      </c>
      <c r="BR41" s="226" t="str">
        <f t="shared" si="23"/>
        <v/>
      </c>
      <c r="BS41" s="225" t="str">
        <f>IF($A41="","",IFERROR(SUMPRODUCT((Raw_Data_Daily!$B$2:$B$9999="Control")*(Raw_Data_Daily!$A$2:$A$9999=$A41)*(Raw_Data_Daily!$C$2:$C$9999=$C$3)*Raw_Data_Daily!$D$2:$D$9999*Raw_Data_Daily!$Z$2:$Z$9999)/SUMIFS(Raw_Data_Daily!$D:$D, Raw_Data_Daily!$B:$B, "Control", Raw_Data_Daily!$A:$A, $A41, Raw_Data_Daily!$C:$C, $C$3),""))</f>
        <v/>
      </c>
      <c r="BT41" s="225" t="str">
        <f>IF($A41="","",IFERROR(SUMPRODUCT((Raw_Data_Daily!$B$2:$B$9999="Variant")*(Raw_Data_Daily!$A$2:$A$9999=$A41)*(Raw_Data_Daily!$C$2:$C$9999=$C$3)*Raw_Data_Daily!$D$2:$D$9999*Raw_Data_Daily!$Z$2:$Z$9999)/SUMIFS(Raw_Data_Daily!$D:$D, Raw_Data_Daily!$B:$B, "Variant", Raw_Data_Daily!$A:$A, $A41, Raw_Data_Daily!$C:$C, $C$3),""))</f>
        <v/>
      </c>
      <c r="BU41" s="226" t="str">
        <f t="shared" si="24"/>
        <v/>
      </c>
      <c r="BV41" s="225" t="str">
        <f>IF($A41="","",IFERROR(SUMPRODUCT((Raw_Data_Daily!$B$2:$B$9999="Control")*(Raw_Data_Daily!$A$2:$A$9999=$A41)*(Raw_Data_Daily!$C$2:$C$9999=$C$3)*Raw_Data_Daily!$D$2:$D$9999*Raw_Data_Daily!$AA$2:$AA$9999)/SUMIFS(Raw_Data_Daily!$D:$D, Raw_Data_Daily!$B:$B, "Control", Raw_Data_Daily!$A:$A, $A41, Raw_Data_Daily!$C:$C, $C$3),""))</f>
        <v/>
      </c>
      <c r="BW41" s="225" t="str">
        <f>IF($A41="","",IFERROR(SUMPRODUCT((Raw_Data_Daily!$B$2:$B$9999="Variant")*(Raw_Data_Daily!$A$2:$A$9999=$A41)*(Raw_Data_Daily!$C$2:$C$9999=$C$3)*Raw_Data_Daily!$D$2:$D$9999*Raw_Data_Daily!$AA$2:$AA$9999)/SUMIFS(Raw_Data_Daily!$D:$D, Raw_Data_Daily!$B:$B, "Variant", Raw_Data_Daily!$A:$A, $A41, Raw_Data_Daily!$C:$C, $C$3),""))</f>
        <v/>
      </c>
      <c r="BX41" s="226" t="str">
        <f t="shared" si="25"/>
        <v/>
      </c>
      <c r="BY41" s="231" t="str">
        <f>IF($A41="","",IFERROR(SUMPRODUCT((Raw_Data_Daily!$B$2:$B$9999="Control")*(Raw_Data_Daily!$A$2:$A$9999=$A41)*(Raw_Data_Daily!$C$2:$C$9999=$C$3)*Raw_Data_Daily!$D$2:$D$9999*Raw_Data_Daily!$AB$2:$AB$9999)/SUMIFS(Raw_Data_Daily!$D:$D, Raw_Data_Daily!$B:$B, "Control", Raw_Data_Daily!$A:$A, $A41, Raw_Data_Daily!$C:$C, $C$3),""))</f>
        <v/>
      </c>
      <c r="BZ41" s="231" t="str">
        <f>IF($A41="","",IFERROR(SUMPRODUCT((Raw_Data_Daily!$B$2:$B$9999="Variant")*(Raw_Data_Daily!$A$2:$A$9999=$A41)*(Raw_Data_Daily!$C$2:$C$9999=$C$3)*Raw_Data_Daily!$D$2:$D$9999*Raw_Data_Daily!$AB$2:$AB$9999)/SUMIFS(Raw_Data_Daily!$D:$D, Raw_Data_Daily!$B:$B, "Variant", Raw_Data_Daily!$A:$A, $A41, Raw_Data_Daily!$C:$C, $C$3),""))</f>
        <v/>
      </c>
      <c r="CA41" s="229" t="str">
        <f t="shared" si="26"/>
        <v/>
      </c>
      <c r="CB41" s="231" t="str">
        <f>IF($A41="","",IFERROR(SUMPRODUCT((Raw_Data_Daily!$B$2:$B$9999="Control")*(Raw_Data_Daily!$A$2:$A$9999=$A41)*(Raw_Data_Daily!$C$2:$C$9999=$C$3)*Raw_Data_Daily!$D$2:$D$9999*Raw_Data_Daily!$AC$2:$AC$9999)/SUMIFS(Raw_Data_Daily!$D:$D, Raw_Data_Daily!$B:$B, "Control", Raw_Data_Daily!$A:$A, $A41, Raw_Data_Daily!$C:$C, $C$3),""))</f>
        <v/>
      </c>
      <c r="CC41" s="231" t="str">
        <f>IF($A41="","",IFERROR(SUMPRODUCT((Raw_Data_Daily!$B$2:$B$9999="Variant")*(Raw_Data_Daily!$A$2:$A$9999=$A41)*(Raw_Data_Daily!$C$2:$C$9999=$C$3)*Raw_Data_Daily!$D$2:$D$9999*Raw_Data_Daily!$AC$2:$AC$9999)/SUMIFS(Raw_Data_Daily!$D:$D, Raw_Data_Daily!$B:$B, "Variant", Raw_Data_Daily!$A:$A, $A41, Raw_Data_Daily!$C:$C, $C$3),""))</f>
        <v/>
      </c>
      <c r="CD41" s="229" t="str">
        <f t="shared" si="27"/>
        <v/>
      </c>
      <c r="CE41" s="231" t="str">
        <f>IF($A41="","",IFERROR(SUMPRODUCT((Raw_Data_Daily!$B$2:$B$9999="Control")*(Raw_Data_Daily!$A$2:$A$9999=$A41)*(Raw_Data_Daily!$C$2:$C$9999=$C$3)*Raw_Data_Daily!$D$2:$D$9999*Raw_Data_Daily!$AD$2:$AD$9999)/SUMIFS(Raw_Data_Daily!$D:$D, Raw_Data_Daily!$B:$B, "Control", Raw_Data_Daily!$A:$A, $A41, Raw_Data_Daily!$C:$C, $C$3),""))</f>
        <v/>
      </c>
      <c r="CF41" s="231" t="str">
        <f>IF($A41="","",IFERROR(SUMPRODUCT((Raw_Data_Daily!$B$2:$B$9999="Variant")*(Raw_Data_Daily!$A$2:$A$9999=$A41)*(Raw_Data_Daily!$C$2:$C$9999=$C$3)*Raw_Data_Daily!$D$2:$D$9999*Raw_Data_Daily!$AD$2:$AD$9999)/SUMIFS(Raw_Data_Daily!$D:$D, Raw_Data_Daily!$B:$B, "Variant", Raw_Data_Daily!$A:$A, $A41, Raw_Data_Daily!$C:$C, $C$3),""))</f>
        <v/>
      </c>
      <c r="CG41" s="229" t="str">
        <f t="shared" si="28"/>
        <v/>
      </c>
      <c r="CH41" s="231" t="str">
        <f>IF($A41="","",IFERROR(SUMPRODUCT((Raw_Data_Daily!$B$2:$B$9999="Control")*(Raw_Data_Daily!$A$2:$A$9999=$A41)*(Raw_Data_Daily!$C$2:$C$9999=$C$3)*Raw_Data_Daily!$D$2:$D$9999*Raw_Data_Daily!$AE$2:$AE$9999)/SUMIFS(Raw_Data_Daily!$D:$D, Raw_Data_Daily!$B:$B, "Control", Raw_Data_Daily!$A:$A, $A41, Raw_Data_Daily!$C:$C, $C$3),""))</f>
        <v/>
      </c>
      <c r="CI41" s="231" t="str">
        <f>IF($A41="","",IFERROR(SUMPRODUCT((Raw_Data_Daily!$B$2:$B$9999="Variant")*(Raw_Data_Daily!$A$2:$A$9999=$A41)*(Raw_Data_Daily!$C$2:$C$9999=$C$3)*Raw_Data_Daily!$D$2:$D$9999*Raw_Data_Daily!$AE$2:$AE$9999)/SUMIFS(Raw_Data_Daily!$D:$D, Raw_Data_Daily!$B:$B, "Variant", Raw_Data_Daily!$A:$A, $A41, Raw_Data_Daily!$C:$C, $C$3),""))</f>
        <v/>
      </c>
      <c r="CJ41" s="229" t="str">
        <f t="shared" si="29"/>
        <v/>
      </c>
      <c r="CK41" s="231" t="str">
        <f>IF($A41="","",IFERROR(SUMPRODUCT((Raw_Data_Daily!$B$2:$B$9999="Control")*(Raw_Data_Daily!$A$2:$A$9999=$A41)*(Raw_Data_Daily!$C$2:$C$9999=$C$3)*Raw_Data_Daily!$D$2:$D$9999*Raw_Data_Daily!$AF$2:$AF$9999)/SUMIFS(Raw_Data_Daily!$D:$D, Raw_Data_Daily!$B:$B, "Control", Raw_Data_Daily!$A:$A, $A41, Raw_Data_Daily!$C:$C, $C$3),""))</f>
        <v/>
      </c>
      <c r="CL41" s="231" t="str">
        <f>IF($A41="","",IFERROR(SUMPRODUCT((Raw_Data_Daily!$B$2:$B$9999="Variant")*(Raw_Data_Daily!$A$2:$A$9999=$A41)*(Raw_Data_Daily!$C$2:$C$9999=$C$3)*Raw_Data_Daily!$D$2:$D$9999*Raw_Data_Daily!$AF$2:$AF$9999)/SUMIFS(Raw_Data_Daily!$D:$D, Raw_Data_Daily!$B:$B, "Variant", Raw_Data_Daily!$A:$A, $A41, Raw_Data_Daily!$C:$C, $C$3),""))</f>
        <v/>
      </c>
      <c r="CM41" s="229" t="str">
        <f t="shared" si="30"/>
        <v/>
      </c>
      <c r="CN41" s="231" t="str">
        <f>IF($A41="","",IFERROR(SUMPRODUCT((Raw_Data_Daily!$B$2:$B$9999="Control")*(Raw_Data_Daily!$A$2:$A$9999=$A41)*(Raw_Data_Daily!$C$2:$C$9999=$C$3)*Raw_Data_Daily!$D$2:$D$9999*Raw_Data_Daily!$AG$2:$AG$9999)/SUMIFS(Raw_Data_Daily!$D:$D, Raw_Data_Daily!$B:$B, "Control", Raw_Data_Daily!$A:$A, $A41, Raw_Data_Daily!$C:$C, $C$3),""))</f>
        <v/>
      </c>
      <c r="CO41" s="231" t="str">
        <f>IF($A41="","",IFERROR(SUMPRODUCT((Raw_Data_Daily!$B$2:$B$9999="Variant")*(Raw_Data_Daily!$A$2:$A$9999=$A41)*(Raw_Data_Daily!$C$2:$C$9999=$C$3)*Raw_Data_Daily!$D$2:$D$9999*Raw_Data_Daily!$AG$2:$AG$9999)/SUMIFS(Raw_Data_Daily!$D:$D, Raw_Data_Daily!$B:$B, "Variant", Raw_Data_Daily!$A:$A, $A41, Raw_Data_Daily!$C:$C, $C$3),""))</f>
        <v/>
      </c>
      <c r="CP41" s="229" t="str">
        <f t="shared" si="31"/>
        <v/>
      </c>
      <c r="CQ41" s="231" t="str">
        <f>IF($A41="","",IFERROR(SUMPRODUCT((Raw_Data_Daily!$B$2:$B$9999="Control")*(Raw_Data_Daily!$A$2:$A$9999=$A41)*(Raw_Data_Daily!$C$2:$C$9999=$C$3)*Raw_Data_Daily!$D$2:$D$9999*Raw_Data_Daily!$AH$2:$AH$9999)/SUMIFS(Raw_Data_Daily!$D:$D, Raw_Data_Daily!$B:$B, "Control", Raw_Data_Daily!$A:$A, $A41, Raw_Data_Daily!$C:$C, $C$3),""))</f>
        <v/>
      </c>
      <c r="CR41" s="231" t="str">
        <f>IF($A41="","",IFERROR(SUMPRODUCT((Raw_Data_Daily!$B$2:$B$9999="Variant")*(Raw_Data_Daily!$A$2:$A$9999=$A41)*(Raw_Data_Daily!$C$2:$C$9999=$C$3)*Raw_Data_Daily!$D$2:$D$9999*Raw_Data_Daily!$AH$2:$AH$9999)/SUMIFS(Raw_Data_Daily!$D:$D, Raw_Data_Daily!$B:$B, "Variant", Raw_Data_Daily!$A:$A, $A41, Raw_Data_Daily!$C:$C, $C$3),""))</f>
        <v/>
      </c>
      <c r="CS41" s="229" t="str">
        <f t="shared" si="32"/>
        <v/>
      </c>
      <c r="CT41" s="227" t="str">
        <f>IF($A41="","",IFERROR(SUMPRODUCT((Raw_Data_Daily!$B$2:$B$9999="Control")*(Raw_Data_Daily!$A$2:$A$9999=$A41)*(Raw_Data_Daily!$C$2:$C$9999=$C$3)*Raw_Data_Daily!$D$2:$D$9999*Raw_Data_Daily!$AI$2:$AI$9999)/SUMIFS(Raw_Data_Daily!$D:$D, Raw_Data_Daily!$B:$B, "Control", Raw_Data_Daily!$A:$A, $A41, Raw_Data_Daily!$C:$C, $C$3),""))</f>
        <v/>
      </c>
      <c r="CU41" s="227" t="str">
        <f>IF($A41="","",IFERROR(SUMPRODUCT((Raw_Data_Daily!$B$2:$B$9999="Variant")*(Raw_Data_Daily!$A$2:$A$9999=$A41)*(Raw_Data_Daily!$C$2:$C$9999=$C$3)*Raw_Data_Daily!$D$2:$D$9999*Raw_Data_Daily!$AI$2:$AI$9999)/SUMIFS(Raw_Data_Daily!$D:$D, Raw_Data_Daily!$B:$B, "Variant", Raw_Data_Daily!$A:$A, $A41, Raw_Data_Daily!$C:$C, $C$3),""))</f>
        <v/>
      </c>
      <c r="CV41" s="233" t="str">
        <f t="shared" si="33"/>
        <v/>
      </c>
      <c r="CW41" s="227" t="str">
        <f>IF($A41="","",IFERROR(SUMPRODUCT((Raw_Data_Daily!$B$2:$B$9999="Control")*(Raw_Data_Daily!$A$2:$A$9999=$A41)*(Raw_Data_Daily!$C$2:$C$9999=$C$3)*Raw_Data_Daily!$D$2:$D$9999*Raw_Data_Daily!$AJ$2:$AJ$9999)/SUMIFS(Raw_Data_Daily!$D:$D, Raw_Data_Daily!$B:$B, "Control", Raw_Data_Daily!$A:$A, $A41, Raw_Data_Daily!$C:$C, $C$3),""))</f>
        <v/>
      </c>
      <c r="CX41" s="227" t="str">
        <f>IF($A41="","",IFERROR(SUMPRODUCT((Raw_Data_Daily!$B$2:$B$9999="Variant")*(Raw_Data_Daily!$A$2:$A$9999=$A41)*(Raw_Data_Daily!$C$2:$C$9999=$C$3)*Raw_Data_Daily!$D$2:$D$9999*Raw_Data_Daily!$AJ$2:$AJ$9999)/SUMIFS(Raw_Data_Daily!$D:$D, Raw_Data_Daily!$B:$B, "Variant", Raw_Data_Daily!$A:$A, $A41, Raw_Data_Daily!$C:$C, $C$3),""))</f>
        <v/>
      </c>
      <c r="CY41" s="233" t="str">
        <f t="shared" si="34"/>
        <v/>
      </c>
      <c r="CZ41" s="227" t="str">
        <f>IF($A41="","",IFERROR(SUMPRODUCT((Raw_Data_Daily!$B$2:$B$9999="Control")*(Raw_Data_Daily!$A$2:$A$9999=$A41)*(Raw_Data_Daily!$C$2:$C$9999=$C$3)*Raw_Data_Daily!$D$2:$D$9999*Raw_Data_Daily!$AK$2:$AK$9999)/SUMIFS(Raw_Data_Daily!$D:$D, Raw_Data_Daily!$B:$B, "Control", Raw_Data_Daily!$A:$A, $A41, Raw_Data_Daily!$C:$C, $C$3),""))</f>
        <v/>
      </c>
      <c r="DA41" s="227" t="str">
        <f>IF($A41="","",IFERROR(SUMPRODUCT((Raw_Data_Daily!$B$2:$B$9999="Variant")*(Raw_Data_Daily!$A$2:$A$9999=$A41)*(Raw_Data_Daily!$C$2:$C$9999=$C$3)*Raw_Data_Daily!$D$2:$D$9999*Raw_Data_Daily!$AK$2:$AK$9999)/SUMIFS(Raw_Data_Daily!$D:$D, Raw_Data_Daily!$B:$B, "Variant", Raw_Data_Daily!$A:$A, $A41, Raw_Data_Daily!$C:$C, $C$3),""))</f>
        <v/>
      </c>
      <c r="DB41" s="229" t="str">
        <f t="shared" si="35"/>
        <v/>
      </c>
      <c r="DC41" s="232" t="str">
        <f>IF($A41="","",IFERROR(SUMPRODUCT((Raw_Data_Daily!$B$2:$B$9999="Control")*(Raw_Data_Daily!$A$2:$A$9999=$A41)*(Raw_Data_Daily!$C$2:$C$9999=$C$3)*Raw_Data_Daily!$D$2:$D$9999*Raw_Data_Daily!$AL$2:$AL$9999)/SUMIFS(Raw_Data_Daily!$D:$D, Raw_Data_Daily!$B:$B, "Control", Raw_Data_Daily!$A:$A, $A41, Raw_Data_Daily!$C:$C, $C$3),""))</f>
        <v/>
      </c>
      <c r="DD41" s="232" t="str">
        <f>IF($A41="","",IFERROR(SUMPRODUCT((Raw_Data_Daily!$B$2:$B$9999="Variant")*(Raw_Data_Daily!$A$2:$A$9999=$A41)*(Raw_Data_Daily!$C$2:$C$9999=$C$3)*Raw_Data_Daily!$D$2:$D$9999*Raw_Data_Daily!$AL$2:$AL$9999)/SUMIFS(Raw_Data_Daily!$D:$D, Raw_Data_Daily!$B:$B, "Variant", Raw_Data_Daily!$A:$A, $A41, Raw_Data_Daily!$C:$C, $C$3),""))</f>
        <v/>
      </c>
      <c r="DE41" s="233" t="str">
        <f t="shared" si="36"/>
        <v/>
      </c>
      <c r="DF41" s="234"/>
      <c r="DG41" s="227" t="str">
        <f>IF($A41="","",IFERROR(SUMPRODUCT((Raw_Data_Daily!$B$2:$B$9999="Variant")*(Raw_Data_Daily!$A$2:$A$9999=$A41)*(Raw_Data_Daily!$C$2:$C$9999=$C$3)*Raw_Data_Daily!$D$2:$D$9999*Raw_Data_Daily!$AM$2:$AM$9999)/SUMIFS(Raw_Data_Daily!$D:$D, Raw_Data_Daily!$B:$B, "Variant", Raw_Data_Daily!$A:$A, $A41, Raw_Data_Daily!$C:$C, $C$3),""))</f>
        <v/>
      </c>
      <c r="DH41" s="235"/>
      <c r="DI41" s="234"/>
      <c r="DJ41" s="227" t="str">
        <f>IF($A41="","",IFERROR(SUMPRODUCT((Raw_Data_Daily!$B$2:$B$9999="Variant")*(Raw_Data_Daily!$A$2:$A$9999=$A41)*(Raw_Data_Daily!$C$2:$C$9999=$C$3)*Raw_Data_Daily!$D$2:$D$9999*Raw_Data_Daily!$AN$2:$AN$9999)/SUMIFS(Raw_Data_Daily!$D:$D, Raw_Data_Daily!$B:$B, "Variant", Raw_Data_Daily!$A:$A, $A41, Raw_Data_Daily!$C:$C, $C$3),""))</f>
        <v/>
      </c>
      <c r="DK41" s="235"/>
      <c r="DL41" s="234"/>
      <c r="DM41" s="227" t="str">
        <f>IF($A41="","",IFERROR(SUMPRODUCT((Raw_Data_Daily!$B$2:$B$9999="Variant")*(Raw_Data_Daily!$A$2:$A$9999=$A41)*(Raw_Data_Daily!$C$2:$C$9999=$C$3)*Raw_Data_Daily!$D$2:$D$9999*Raw_Data_Daily!$AO$2:$AO$9999)/SUMIFS(Raw_Data_Daily!$D:$D, Raw_Data_Daily!$B:$B, "Variant", Raw_Data_Daily!$A:$A, $A41, Raw_Data_Daily!$C:$C, $C$3),""))</f>
        <v/>
      </c>
      <c r="DN41" s="235"/>
      <c r="DO41" s="234"/>
      <c r="DP41" s="227" t="str">
        <f>IF($A41="","",IFERROR(SUMPRODUCT((Raw_Data_Daily!$B$2:$B$9999="Variant")*(Raw_Data_Daily!$A$2:$A$9999=$A41)*(Raw_Data_Daily!$C$2:$C$9999=$C$3)*Raw_Data_Daily!$D$2:$D$9999*Raw_Data_Daily!$AP$2:$AP$9999)/SUMIFS(Raw_Data_Daily!$D:$D, Raw_Data_Daily!$B:$B, "Variant", Raw_Data_Daily!$A:$A, $A41, Raw_Data_Daily!$C:$C, $C$3),""))</f>
        <v/>
      </c>
      <c r="DQ41" s="235"/>
      <c r="DR41" s="232" t="str">
        <f>IF($A41="","",IFERROR(SUMPRODUCT((Raw_Data_Daily!$B$2:$B$9999="Control")*(Raw_Data_Daily!$A$2:$A$9999=$A41)*(Raw_Data_Daily!$C$2:$C$9999=$C$3)*Raw_Data_Daily!$D$2:$D$9999*Raw_Data_Daily!$AQ$2:$AQ$9999)/SUMIFS(Raw_Data_Daily!$D:$D, Raw_Data_Daily!$B:$B, "Control", Raw_Data_Daily!$A:$A, $A41, Raw_Data_Daily!$C:$C, $C$3),""))</f>
        <v/>
      </c>
      <c r="DS41" s="232" t="str">
        <f>IF($A41="","",IFERROR(SUMPRODUCT((Raw_Data_Daily!$B$2:$B$9999="Variant")*(Raw_Data_Daily!$A$2:$A$9999=$A41)*(Raw_Data_Daily!$C$2:$C$9999=$C$3)*Raw_Data_Daily!$D$2:$D$9999*Raw_Data_Daily!$AQ$2:$AQ$9999)/SUMIFS(Raw_Data_Daily!$D:$D, Raw_Data_Daily!$B:$B, "Variant", Raw_Data_Daily!$A:$A, $A41, Raw_Data_Daily!$C:$C, $C$3),""))</f>
        <v/>
      </c>
      <c r="DT41" s="236" t="str">
        <f t="shared" si="37"/>
        <v/>
      </c>
      <c r="DU41" s="232" t="str">
        <f>IF($A41="","",IFERROR(SUMPRODUCT((Raw_Data_Daily!$B$2:$B$9999="Control")*(Raw_Data_Daily!$A$2:$A$9999=$A41)*(Raw_Data_Daily!$C$2:$C$9999=$C$3)*Raw_Data_Daily!$D$2:$D$9999*Raw_Data_Daily!$AR$2:$AR$9999)/SUMIFS(Raw_Data_Daily!$D:$D, Raw_Data_Daily!$B:$B, "Control", Raw_Data_Daily!$A:$A, $A41, Raw_Data_Daily!$C:$C, $C$3),""))</f>
        <v/>
      </c>
      <c r="DV41" s="232" t="str">
        <f>IF($A41="","",IFERROR(SUMPRODUCT((Raw_Data_Daily!$B$2:$B$9999="Variant")*(Raw_Data_Daily!$A$2:$A$9999=$A41)*(Raw_Data_Daily!$C$2:$C$9999=$C$3)*Raw_Data_Daily!$D$2:$D$9999*Raw_Data_Daily!$AR$2:$AR$9999)/SUMIFS(Raw_Data_Daily!$D:$D, Raw_Data_Daily!$B:$B, "Variant", Raw_Data_Daily!$A:$A, $A41, Raw_Data_Daily!$C:$C, $C$3),""))</f>
        <v/>
      </c>
      <c r="DW41" s="236" t="str">
        <f t="shared" si="38"/>
        <v/>
      </c>
      <c r="DX41" s="232" t="str">
        <f>IF($A41="","",IFERROR(SUMPRODUCT((Raw_Data_Daily!$B$2:$B$9999="Control")*(Raw_Data_Daily!$A$2:$A$9999=$A41)*(Raw_Data_Daily!$C$2:$C$9999=$C$3)*Raw_Data_Daily!$D$2:$D$9999*Raw_Data_Daily!$AS$2:$AS$9999)/SUMIFS(Raw_Data_Daily!$D:$D, Raw_Data_Daily!$B:$B, "Control", Raw_Data_Daily!$A:$A, $A41, Raw_Data_Daily!$C:$C, $C$3),""))</f>
        <v/>
      </c>
      <c r="DY41" s="232" t="str">
        <f>IF($A41="","",IFERROR(SUMPRODUCT((Raw_Data_Daily!$B$2:$B$9999="Variant")*(Raw_Data_Daily!$A$2:$A$9999=$A41)*(Raw_Data_Daily!$C$2:$C$9999=$C$3)*Raw_Data_Daily!$D$2:$D$9999*Raw_Data_Daily!$AS$2:$AS$9999)/SUMIFS(Raw_Data_Daily!$D:$D, Raw_Data_Daily!$B:$B, "Variant", Raw_Data_Daily!$A:$A, $A41, Raw_Data_Daily!$C:$C, $C$3),""))</f>
        <v/>
      </c>
      <c r="DZ41" s="236" t="str">
        <f t="shared" si="39"/>
        <v/>
      </c>
      <c r="EA41" s="232" t="str">
        <f>IF($A41="","",IFERROR(SUMPRODUCT((Raw_Data_Daily!$B$2:$B$9999="Control")*(Raw_Data_Daily!$A$2:$A$9999=$A41)*(Raw_Data_Daily!$C$2:$C$9999=$C$3)*Raw_Data_Daily!$D$2:$D$9999*Raw_Data_Daily!$AT$2:$AT$9999)/SUMIFS(Raw_Data_Daily!$D:$D, Raw_Data_Daily!$B:$B, "Control", Raw_Data_Daily!$A:$A, $A41, Raw_Data_Daily!$C:$C, $C$3),""))</f>
        <v/>
      </c>
      <c r="EB41" s="232" t="str">
        <f>IF($A41="","",IFERROR(SUMPRODUCT((Raw_Data_Daily!$B$2:$B$9999="Variant")*(Raw_Data_Daily!$A$2:$A$9999=$A41)*(Raw_Data_Daily!$C$2:$C$9999=$C$3)*Raw_Data_Daily!$D$2:$D$9999*Raw_Data_Daily!$AT$2:$AT$9999)/SUMIFS(Raw_Data_Daily!$D:$D, Raw_Data_Daily!$B:$B, "Variant", Raw_Data_Daily!$A:$A, $A41, Raw_Data_Daily!$C:$C, $C$3),""))</f>
        <v/>
      </c>
      <c r="EC41" s="236" t="str">
        <f t="shared" si="40"/>
        <v/>
      </c>
      <c r="ED41" s="232" t="str">
        <f>IF($A41="","",IFERROR(SUMPRODUCT((Raw_Data_Daily!$B$2:$B$9999="Control")*(Raw_Data_Daily!$A$2:$A$9999=$A41)*(Raw_Data_Daily!$C$2:$C$9999=$C$3)*Raw_Data_Daily!$D$2:$D$9999*(Raw_Data_Daily!$AQ$2:$AQ$9999-Raw_Data_Daily!$AT$2:$AT$9999))/SUMIFS(Raw_Data_Daily!$D:$D, Raw_Data_Daily!$B:$B, "Control", Raw_Data_Daily!$A:$A, $A41, Raw_Data_Daily!$C:$C, $C$3),""))</f>
        <v/>
      </c>
      <c r="EE41" s="232" t="str">
        <f>IF($A41="","",IFERROR(SUMPRODUCT((Raw_Data_Daily!$B$2:$B$9999="Variant")*(Raw_Data_Daily!$A$2:$A$9999=$A41)*(Raw_Data_Daily!$C$2:$C$9999=$C$3)*Raw_Data_Daily!$D$2:$D$9999*(Raw_Data_Daily!$AQ$2:$AQ$9999-Raw_Data_Daily!$AT$2:$AT$9999))/SUMIFS(Raw_Data_Daily!$D:$D, Raw_Data_Daily!$B:$B, "Variant", Raw_Data_Daily!$A:$A, $A41, Raw_Data_Daily!$C:$C, $C$3),""))</f>
        <v/>
      </c>
      <c r="EF41" s="236" t="str">
        <f t="shared" si="41"/>
        <v/>
      </c>
      <c r="EG41" s="232" t="str">
        <f>IF($A41="","",IFERROR(SUMPRODUCT((Raw_Data_Daily!$B$2:$B$9999="Control")*(Raw_Data_Daily!$A$2:$A$9999=$A41)*(Raw_Data_Daily!$C$2:$C$9999=$C$3)*Raw_Data_Daily!$D$2:$D$9999*Raw_Data_Daily!$AU$2:$AU$9999)/SUMIFS(Raw_Data_Daily!$D:$D, Raw_Data_Daily!$B:$B, "Control", Raw_Data_Daily!$A:$A, $A41, Raw_Data_Daily!$C:$C, $C$3),""))</f>
        <v/>
      </c>
      <c r="EH41" s="232" t="str">
        <f>IF($A41="","",IFERROR(SUMPRODUCT((Raw_Data_Daily!$B$2:$B$9999="Variant")*(Raw_Data_Daily!$A$2:$A$9999=$A41)*(Raw_Data_Daily!$C$2:$C$9999=$C$3)*Raw_Data_Daily!$D$2:$D$9999*Raw_Data_Daily!$AU$2:$AU$9999)/SUMIFS(Raw_Data_Daily!$D:$D, Raw_Data_Daily!$B:$B, "Variant", Raw_Data_Daily!$A:$A, $A41, Raw_Data_Daily!$C:$C, $C$3),""))</f>
        <v/>
      </c>
      <c r="EI41" s="236" t="str">
        <f t="shared" si="42"/>
        <v/>
      </c>
    </row>
    <row r="42" ht="15.75" customHeight="1">
      <c r="A42" s="91"/>
      <c r="B42" s="92"/>
      <c r="C42" s="92"/>
      <c r="D42" s="93"/>
      <c r="E42" s="94"/>
      <c r="F42" s="94"/>
      <c r="G42" s="93"/>
      <c r="H42" s="95"/>
      <c r="I42" s="95"/>
      <c r="J42" s="96"/>
      <c r="K42" s="97"/>
      <c r="L42" s="97"/>
      <c r="M42" s="96"/>
      <c r="N42" s="94"/>
      <c r="O42" s="94"/>
      <c r="P42" s="96"/>
      <c r="Q42" s="97"/>
      <c r="R42" s="97"/>
      <c r="S42" s="96"/>
      <c r="T42" s="121"/>
      <c r="U42" s="121"/>
      <c r="V42" s="96"/>
      <c r="W42" s="121"/>
      <c r="X42" s="121"/>
      <c r="Y42" s="96"/>
      <c r="Z42" s="121"/>
      <c r="AA42" s="121"/>
      <c r="AB42" s="96"/>
      <c r="AC42" s="139"/>
      <c r="AD42" s="139"/>
      <c r="AE42" s="142"/>
      <c r="AF42" s="139"/>
      <c r="AG42" s="139"/>
      <c r="AH42" s="142"/>
      <c r="AI42" s="139"/>
      <c r="AJ42" s="139"/>
      <c r="AK42" s="96"/>
      <c r="AL42" s="121"/>
      <c r="AM42" s="121"/>
      <c r="AN42" s="96"/>
      <c r="AO42" s="121"/>
      <c r="AP42" s="121"/>
      <c r="AQ42" s="93"/>
      <c r="AR42" s="121"/>
      <c r="AS42" s="121"/>
      <c r="AT42" s="93"/>
      <c r="AU42" s="121"/>
      <c r="AV42" s="121"/>
      <c r="AW42" s="93"/>
      <c r="AX42" s="121"/>
      <c r="AY42" s="121"/>
      <c r="AZ42" s="96"/>
      <c r="BA42" s="121"/>
      <c r="BB42" s="121"/>
      <c r="BC42" s="93"/>
      <c r="BD42" s="121"/>
      <c r="BE42" s="121"/>
      <c r="BF42" s="93"/>
      <c r="BG42" s="121"/>
      <c r="BH42" s="121"/>
      <c r="BI42" s="93"/>
      <c r="BJ42" s="121"/>
      <c r="BK42" s="121"/>
      <c r="BL42" s="93"/>
      <c r="BM42" s="139"/>
      <c r="BN42" s="139"/>
      <c r="BO42" s="96"/>
      <c r="BP42" s="92"/>
      <c r="BQ42" s="92"/>
      <c r="BR42" s="93"/>
      <c r="BS42" s="92"/>
      <c r="BT42" s="92"/>
      <c r="BU42" s="93"/>
      <c r="BV42" s="92"/>
      <c r="BW42" s="92"/>
      <c r="BX42" s="93"/>
      <c r="BY42" s="121"/>
      <c r="BZ42" s="121"/>
      <c r="CA42" s="96"/>
      <c r="CB42" s="121"/>
      <c r="CC42" s="121"/>
      <c r="CD42" s="96"/>
      <c r="CE42" s="121"/>
      <c r="CF42" s="121"/>
      <c r="CG42" s="96"/>
      <c r="CH42" s="121"/>
      <c r="CI42" s="121"/>
      <c r="CJ42" s="96"/>
      <c r="CK42" s="121"/>
      <c r="CL42" s="121"/>
      <c r="CM42" s="96"/>
      <c r="CN42" s="121"/>
      <c r="CO42" s="121"/>
      <c r="CP42" s="96"/>
      <c r="CQ42" s="121"/>
      <c r="CR42" s="121"/>
      <c r="CS42" s="96"/>
      <c r="CT42" s="94"/>
      <c r="CU42" s="94"/>
      <c r="CV42" s="142"/>
      <c r="CW42" s="94"/>
      <c r="CX42" s="94"/>
      <c r="CY42" s="142"/>
      <c r="CZ42" s="94"/>
      <c r="DA42" s="94"/>
      <c r="DB42" s="96"/>
      <c r="DC42" s="139"/>
      <c r="DD42" s="139"/>
      <c r="DE42" s="142"/>
      <c r="DF42" s="168"/>
      <c r="DG42" s="94"/>
      <c r="DH42" s="169"/>
      <c r="DI42" s="168"/>
      <c r="DJ42" s="94"/>
      <c r="DK42" s="169"/>
      <c r="DL42" s="168"/>
      <c r="DM42" s="94"/>
      <c r="DN42" s="169"/>
      <c r="DO42" s="168"/>
      <c r="DP42" s="94"/>
      <c r="DQ42" s="169"/>
      <c r="DR42" s="139"/>
      <c r="DS42" s="139"/>
      <c r="DT42" s="173"/>
      <c r="DU42" s="139"/>
      <c r="DV42" s="139"/>
      <c r="DW42" s="173"/>
      <c r="DX42" s="139"/>
      <c r="DY42" s="139"/>
      <c r="DZ42" s="174"/>
      <c r="EA42" s="139"/>
      <c r="EB42" s="139"/>
      <c r="EC42" s="173"/>
      <c r="ED42" s="139"/>
      <c r="EE42" s="139"/>
      <c r="EF42" s="174"/>
      <c r="EG42" s="139"/>
      <c r="EH42" s="139"/>
      <c r="EI42" s="173"/>
    </row>
    <row r="43" ht="15.75" customHeight="1">
      <c r="A43" s="91"/>
      <c r="B43" s="92"/>
      <c r="C43" s="92"/>
      <c r="D43" s="93"/>
      <c r="E43" s="94"/>
      <c r="F43" s="94"/>
      <c r="G43" s="93"/>
      <c r="H43" s="95"/>
      <c r="I43" s="95"/>
      <c r="J43" s="96"/>
      <c r="K43" s="97"/>
      <c r="L43" s="97"/>
      <c r="M43" s="96"/>
      <c r="N43" s="94"/>
      <c r="O43" s="94"/>
      <c r="P43" s="96"/>
      <c r="Q43" s="97"/>
      <c r="R43" s="97"/>
      <c r="S43" s="96"/>
      <c r="T43" s="121"/>
      <c r="U43" s="121"/>
      <c r="V43" s="96"/>
      <c r="W43" s="121"/>
      <c r="X43" s="121"/>
      <c r="Y43" s="96"/>
      <c r="Z43" s="121"/>
      <c r="AA43" s="121"/>
      <c r="AB43" s="96"/>
      <c r="AC43" s="139"/>
      <c r="AD43" s="139"/>
      <c r="AE43" s="142"/>
      <c r="AF43" s="139"/>
      <c r="AG43" s="139"/>
      <c r="AH43" s="142"/>
      <c r="AI43" s="139"/>
      <c r="AJ43" s="139"/>
      <c r="AK43" s="96"/>
      <c r="AL43" s="121"/>
      <c r="AM43" s="121"/>
      <c r="AN43" s="96"/>
      <c r="AO43" s="121"/>
      <c r="AP43" s="121"/>
      <c r="AQ43" s="93"/>
      <c r="AR43" s="121"/>
      <c r="AS43" s="121"/>
      <c r="AT43" s="93"/>
      <c r="AU43" s="121"/>
      <c r="AV43" s="121"/>
      <c r="AW43" s="93"/>
      <c r="AX43" s="121"/>
      <c r="AY43" s="121"/>
      <c r="AZ43" s="96"/>
      <c r="BA43" s="121"/>
      <c r="BB43" s="121"/>
      <c r="BC43" s="93"/>
      <c r="BD43" s="121"/>
      <c r="BE43" s="121"/>
      <c r="BF43" s="93"/>
      <c r="BG43" s="121"/>
      <c r="BH43" s="121"/>
      <c r="BI43" s="93"/>
      <c r="BJ43" s="121"/>
      <c r="BK43" s="121"/>
      <c r="BL43" s="93"/>
      <c r="BM43" s="139"/>
      <c r="BN43" s="139"/>
      <c r="BO43" s="96"/>
      <c r="BP43" s="92"/>
      <c r="BQ43" s="92"/>
      <c r="BR43" s="93"/>
      <c r="BS43" s="92"/>
      <c r="BT43" s="92"/>
      <c r="BU43" s="93"/>
      <c r="BV43" s="92"/>
      <c r="BW43" s="92"/>
      <c r="BX43" s="93"/>
      <c r="BY43" s="121"/>
      <c r="BZ43" s="121"/>
      <c r="CA43" s="96"/>
      <c r="CB43" s="121"/>
      <c r="CC43" s="121"/>
      <c r="CD43" s="96"/>
      <c r="CE43" s="121"/>
      <c r="CF43" s="121"/>
      <c r="CG43" s="96"/>
      <c r="CH43" s="121"/>
      <c r="CI43" s="121"/>
      <c r="CJ43" s="96"/>
      <c r="CK43" s="121"/>
      <c r="CL43" s="121"/>
      <c r="CM43" s="96"/>
      <c r="CN43" s="121"/>
      <c r="CO43" s="121"/>
      <c r="CP43" s="96"/>
      <c r="CQ43" s="121"/>
      <c r="CR43" s="121"/>
      <c r="CS43" s="96"/>
      <c r="CT43" s="94"/>
      <c r="CU43" s="94"/>
      <c r="CV43" s="142"/>
      <c r="CW43" s="94"/>
      <c r="CX43" s="94"/>
      <c r="CY43" s="142"/>
      <c r="CZ43" s="94"/>
      <c r="DA43" s="94"/>
      <c r="DB43" s="96"/>
      <c r="DC43" s="139"/>
      <c r="DD43" s="139"/>
      <c r="DE43" s="142"/>
      <c r="DF43" s="168"/>
      <c r="DG43" s="94"/>
      <c r="DH43" s="169"/>
      <c r="DI43" s="168"/>
      <c r="DJ43" s="94"/>
      <c r="DK43" s="169"/>
      <c r="DL43" s="168"/>
      <c r="DM43" s="94"/>
      <c r="DN43" s="169"/>
      <c r="DO43" s="168"/>
      <c r="DP43" s="94"/>
      <c r="DQ43" s="169"/>
      <c r="DR43" s="139"/>
      <c r="DS43" s="139"/>
      <c r="DT43" s="173"/>
      <c r="DU43" s="139"/>
      <c r="DV43" s="139"/>
      <c r="DW43" s="173"/>
      <c r="DX43" s="139"/>
      <c r="DY43" s="139"/>
      <c r="DZ43" s="174"/>
      <c r="EA43" s="139"/>
      <c r="EB43" s="139"/>
      <c r="EC43" s="173"/>
      <c r="ED43" s="139"/>
      <c r="EE43" s="139"/>
      <c r="EF43" s="174"/>
      <c r="EG43" s="139"/>
      <c r="EH43" s="139"/>
      <c r="EI43" s="173"/>
    </row>
    <row r="44" ht="15.75" customHeight="1">
      <c r="A44" s="91"/>
      <c r="B44" s="92"/>
      <c r="C44" s="92"/>
      <c r="D44" s="93"/>
      <c r="E44" s="94"/>
      <c r="F44" s="94"/>
      <c r="G44" s="93"/>
      <c r="H44" s="95"/>
      <c r="I44" s="95"/>
      <c r="J44" s="96"/>
      <c r="K44" s="97"/>
      <c r="L44" s="97"/>
      <c r="M44" s="96"/>
      <c r="N44" s="94"/>
      <c r="O44" s="94"/>
      <c r="P44" s="96"/>
      <c r="Q44" s="97"/>
      <c r="R44" s="97"/>
      <c r="S44" s="96"/>
      <c r="T44" s="121"/>
      <c r="U44" s="121"/>
      <c r="V44" s="96"/>
      <c r="W44" s="121"/>
      <c r="X44" s="121"/>
      <c r="Y44" s="96"/>
      <c r="Z44" s="121"/>
      <c r="AA44" s="121"/>
      <c r="AB44" s="96"/>
      <c r="AC44" s="139"/>
      <c r="AD44" s="139"/>
      <c r="AE44" s="142"/>
      <c r="AF44" s="139"/>
      <c r="AG44" s="139"/>
      <c r="AH44" s="142"/>
      <c r="AI44" s="139"/>
      <c r="AJ44" s="139"/>
      <c r="AK44" s="96"/>
      <c r="AL44" s="121"/>
      <c r="AM44" s="121"/>
      <c r="AN44" s="96"/>
      <c r="AO44" s="121"/>
      <c r="AP44" s="121"/>
      <c r="AQ44" s="93"/>
      <c r="AR44" s="121"/>
      <c r="AS44" s="121"/>
      <c r="AT44" s="93"/>
      <c r="AU44" s="121"/>
      <c r="AV44" s="121"/>
      <c r="AW44" s="93"/>
      <c r="AX44" s="121"/>
      <c r="AY44" s="121"/>
      <c r="AZ44" s="96"/>
      <c r="BA44" s="121"/>
      <c r="BB44" s="121"/>
      <c r="BC44" s="93"/>
      <c r="BD44" s="121"/>
      <c r="BE44" s="121"/>
      <c r="BF44" s="93"/>
      <c r="BG44" s="121"/>
      <c r="BH44" s="121"/>
      <c r="BI44" s="93"/>
      <c r="BJ44" s="121"/>
      <c r="BK44" s="121"/>
      <c r="BL44" s="93"/>
      <c r="BM44" s="139"/>
      <c r="BN44" s="139"/>
      <c r="BO44" s="96"/>
      <c r="BP44" s="92"/>
      <c r="BQ44" s="92"/>
      <c r="BR44" s="93"/>
      <c r="BS44" s="92"/>
      <c r="BT44" s="92"/>
      <c r="BU44" s="93"/>
      <c r="BV44" s="92"/>
      <c r="BW44" s="92"/>
      <c r="BX44" s="93"/>
      <c r="BY44" s="121"/>
      <c r="BZ44" s="121"/>
      <c r="CA44" s="96"/>
      <c r="CB44" s="121"/>
      <c r="CC44" s="121"/>
      <c r="CD44" s="96"/>
      <c r="CE44" s="121"/>
      <c r="CF44" s="121"/>
      <c r="CG44" s="96"/>
      <c r="CH44" s="121"/>
      <c r="CI44" s="121"/>
      <c r="CJ44" s="96"/>
      <c r="CK44" s="121"/>
      <c r="CL44" s="121"/>
      <c r="CM44" s="96"/>
      <c r="CN44" s="121"/>
      <c r="CO44" s="121"/>
      <c r="CP44" s="96"/>
      <c r="CQ44" s="121"/>
      <c r="CR44" s="121"/>
      <c r="CS44" s="96"/>
      <c r="CT44" s="94"/>
      <c r="CU44" s="94"/>
      <c r="CV44" s="142"/>
      <c r="CW44" s="94"/>
      <c r="CX44" s="94"/>
      <c r="CY44" s="142"/>
      <c r="CZ44" s="94"/>
      <c r="DA44" s="94"/>
      <c r="DB44" s="96"/>
      <c r="DC44" s="139"/>
      <c r="DD44" s="139"/>
      <c r="DE44" s="142"/>
      <c r="DF44" s="168"/>
      <c r="DG44" s="94"/>
      <c r="DH44" s="169"/>
      <c r="DI44" s="168"/>
      <c r="DJ44" s="94"/>
      <c r="DK44" s="169"/>
      <c r="DL44" s="168"/>
      <c r="DM44" s="94"/>
      <c r="DN44" s="169"/>
      <c r="DO44" s="168"/>
      <c r="DP44" s="94"/>
      <c r="DQ44" s="169"/>
      <c r="DR44" s="139"/>
      <c r="DS44" s="139"/>
      <c r="DT44" s="173"/>
      <c r="DU44" s="139"/>
      <c r="DV44" s="139"/>
      <c r="DW44" s="173"/>
      <c r="DX44" s="139"/>
      <c r="DY44" s="139"/>
      <c r="DZ44" s="174"/>
      <c r="EA44" s="139"/>
      <c r="EB44" s="139"/>
      <c r="EC44" s="173"/>
      <c r="ED44" s="139"/>
      <c r="EE44" s="139"/>
      <c r="EF44" s="174"/>
      <c r="EG44" s="139"/>
      <c r="EH44" s="139"/>
      <c r="EI44" s="173"/>
    </row>
    <row r="45" ht="15.75" customHeight="1">
      <c r="A45" s="91"/>
      <c r="B45" s="92"/>
      <c r="C45" s="92"/>
      <c r="D45" s="93"/>
      <c r="E45" s="94"/>
      <c r="F45" s="94"/>
      <c r="G45" s="93"/>
      <c r="H45" s="95"/>
      <c r="I45" s="95"/>
      <c r="J45" s="96"/>
      <c r="K45" s="97"/>
      <c r="L45" s="97"/>
      <c r="M45" s="96"/>
      <c r="N45" s="94"/>
      <c r="O45" s="94"/>
      <c r="P45" s="96"/>
      <c r="Q45" s="97"/>
      <c r="R45" s="97"/>
      <c r="S45" s="96"/>
      <c r="T45" s="121"/>
      <c r="U45" s="121"/>
      <c r="V45" s="96"/>
      <c r="W45" s="121"/>
      <c r="X45" s="121"/>
      <c r="Y45" s="96"/>
      <c r="Z45" s="121"/>
      <c r="AA45" s="121"/>
      <c r="AB45" s="96"/>
      <c r="AC45" s="139"/>
      <c r="AD45" s="139"/>
      <c r="AE45" s="142"/>
      <c r="AF45" s="139"/>
      <c r="AG45" s="139"/>
      <c r="AH45" s="142"/>
      <c r="AI45" s="139"/>
      <c r="AJ45" s="139"/>
      <c r="AK45" s="96"/>
      <c r="AL45" s="121"/>
      <c r="AM45" s="121"/>
      <c r="AN45" s="96"/>
      <c r="AO45" s="121"/>
      <c r="AP45" s="121"/>
      <c r="AQ45" s="93"/>
      <c r="AR45" s="121"/>
      <c r="AS45" s="121"/>
      <c r="AT45" s="93"/>
      <c r="AU45" s="121"/>
      <c r="AV45" s="121"/>
      <c r="AW45" s="93"/>
      <c r="AX45" s="121"/>
      <c r="AY45" s="121"/>
      <c r="AZ45" s="96"/>
      <c r="BA45" s="121"/>
      <c r="BB45" s="121"/>
      <c r="BC45" s="93"/>
      <c r="BD45" s="121"/>
      <c r="BE45" s="121"/>
      <c r="BF45" s="93"/>
      <c r="BG45" s="121"/>
      <c r="BH45" s="121"/>
      <c r="BI45" s="93"/>
      <c r="BJ45" s="121"/>
      <c r="BK45" s="121"/>
      <c r="BL45" s="93"/>
      <c r="BM45" s="139"/>
      <c r="BN45" s="139"/>
      <c r="BO45" s="96"/>
      <c r="BP45" s="92"/>
      <c r="BQ45" s="92"/>
      <c r="BR45" s="93"/>
      <c r="BS45" s="92"/>
      <c r="BT45" s="92"/>
      <c r="BU45" s="93"/>
      <c r="BV45" s="92"/>
      <c r="BW45" s="92"/>
      <c r="BX45" s="93"/>
      <c r="BY45" s="121"/>
      <c r="BZ45" s="121"/>
      <c r="CA45" s="96"/>
      <c r="CB45" s="121"/>
      <c r="CC45" s="121"/>
      <c r="CD45" s="96"/>
      <c r="CE45" s="121"/>
      <c r="CF45" s="121"/>
      <c r="CG45" s="96"/>
      <c r="CH45" s="121"/>
      <c r="CI45" s="121"/>
      <c r="CJ45" s="96"/>
      <c r="CK45" s="121"/>
      <c r="CL45" s="121"/>
      <c r="CM45" s="96"/>
      <c r="CN45" s="121"/>
      <c r="CO45" s="121"/>
      <c r="CP45" s="96"/>
      <c r="CQ45" s="121"/>
      <c r="CR45" s="121"/>
      <c r="CS45" s="96"/>
      <c r="CT45" s="94"/>
      <c r="CU45" s="94"/>
      <c r="CV45" s="142"/>
      <c r="CW45" s="94"/>
      <c r="CX45" s="94"/>
      <c r="CY45" s="142"/>
      <c r="CZ45" s="94"/>
      <c r="DA45" s="94"/>
      <c r="DB45" s="96"/>
      <c r="DC45" s="139"/>
      <c r="DD45" s="139"/>
      <c r="DE45" s="142"/>
      <c r="DF45" s="168"/>
      <c r="DG45" s="94"/>
      <c r="DH45" s="169"/>
      <c r="DI45" s="168"/>
      <c r="DJ45" s="94"/>
      <c r="DK45" s="169"/>
      <c r="DL45" s="168"/>
      <c r="DM45" s="94"/>
      <c r="DN45" s="169"/>
      <c r="DO45" s="168"/>
      <c r="DP45" s="94"/>
      <c r="DQ45" s="169"/>
      <c r="DR45" s="139"/>
      <c r="DS45" s="139"/>
      <c r="DT45" s="173"/>
      <c r="DU45" s="139"/>
      <c r="DV45" s="139"/>
      <c r="DW45" s="173"/>
      <c r="DX45" s="139"/>
      <c r="DY45" s="139"/>
      <c r="DZ45" s="174"/>
      <c r="EA45" s="139"/>
      <c r="EB45" s="139"/>
      <c r="EC45" s="173"/>
      <c r="ED45" s="139"/>
      <c r="EE45" s="139"/>
      <c r="EF45" s="174"/>
      <c r="EG45" s="139"/>
      <c r="EH45" s="139"/>
      <c r="EI45" s="173"/>
    </row>
    <row r="46" ht="15.75" customHeight="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81"/>
      <c r="BU46" s="81"/>
      <c r="BV46" s="81"/>
      <c r="BW46" s="81"/>
      <c r="BX46" s="81"/>
      <c r="BY46" s="81"/>
      <c r="BZ46" s="81"/>
      <c r="CA46" s="81"/>
      <c r="CB46" s="81"/>
      <c r="CC46" s="81"/>
      <c r="CD46" s="81"/>
      <c r="CE46" s="81"/>
      <c r="CF46" s="81"/>
      <c r="CG46" s="81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A46" s="81"/>
      <c r="DB46" s="81"/>
      <c r="DC46" s="81"/>
      <c r="DD46" s="81"/>
      <c r="DE46" s="81"/>
      <c r="DF46" s="81"/>
      <c r="DG46" s="81"/>
      <c r="DH46" s="81"/>
      <c r="DI46" s="81"/>
      <c r="DJ46" s="81"/>
      <c r="DK46" s="81"/>
      <c r="DL46" s="81"/>
      <c r="DM46" s="81"/>
      <c r="DN46" s="81"/>
      <c r="DO46" s="81"/>
      <c r="DP46" s="81"/>
      <c r="DQ46" s="81"/>
      <c r="DR46" s="81"/>
      <c r="DS46" s="81"/>
      <c r="DT46" s="81"/>
      <c r="DU46" s="81"/>
      <c r="DV46" s="81"/>
      <c r="DW46" s="81"/>
      <c r="DX46" s="81"/>
      <c r="DY46" s="81"/>
      <c r="DZ46" s="81"/>
      <c r="EA46" s="81"/>
      <c r="EB46" s="81"/>
      <c r="EC46" s="81"/>
      <c r="ED46" s="81"/>
      <c r="EE46" s="81"/>
      <c r="EF46" s="81"/>
      <c r="EG46" s="81"/>
      <c r="EH46" s="81"/>
      <c r="EI46" s="81"/>
    </row>
    <row r="47" ht="15.75" customHeigh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81"/>
      <c r="BU47" s="81"/>
      <c r="BV47" s="81"/>
      <c r="BW47" s="81"/>
      <c r="BX47" s="81"/>
      <c r="BY47" s="81"/>
      <c r="BZ47" s="81"/>
      <c r="CA47" s="81"/>
      <c r="CB47" s="81"/>
      <c r="CC47" s="81"/>
      <c r="CD47" s="81"/>
      <c r="CE47" s="81"/>
      <c r="CF47" s="81"/>
      <c r="CG47" s="81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A47" s="81"/>
      <c r="DB47" s="81"/>
      <c r="DC47" s="81"/>
      <c r="DD47" s="81"/>
      <c r="DE47" s="81"/>
      <c r="DF47" s="81"/>
      <c r="DG47" s="81"/>
      <c r="DH47" s="81"/>
      <c r="DI47" s="81"/>
      <c r="DJ47" s="81"/>
      <c r="DK47" s="81"/>
      <c r="DL47" s="81"/>
      <c r="DM47" s="81"/>
      <c r="DN47" s="81"/>
      <c r="DO47" s="81"/>
      <c r="DP47" s="81"/>
      <c r="DQ47" s="81"/>
      <c r="DR47" s="81"/>
      <c r="DS47" s="81"/>
      <c r="DT47" s="81"/>
      <c r="DU47" s="81"/>
      <c r="DV47" s="81"/>
      <c r="DW47" s="81"/>
      <c r="DX47" s="81"/>
      <c r="DY47" s="81"/>
      <c r="DZ47" s="81"/>
      <c r="EA47" s="81"/>
      <c r="EB47" s="81"/>
      <c r="EC47" s="81"/>
      <c r="ED47" s="81"/>
      <c r="EE47" s="81"/>
      <c r="EF47" s="81"/>
      <c r="EG47" s="81"/>
      <c r="EH47" s="81"/>
      <c r="EI47" s="81"/>
    </row>
    <row r="48" ht="15.75" customHeight="1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81"/>
      <c r="BQ48" s="81"/>
      <c r="BR48" s="81"/>
      <c r="BS48" s="81"/>
      <c r="BT48" s="81"/>
      <c r="BU48" s="81"/>
      <c r="BV48" s="81"/>
      <c r="BW48" s="81"/>
      <c r="BX48" s="81"/>
      <c r="BY48" s="81"/>
      <c r="BZ48" s="81"/>
      <c r="CA48" s="81"/>
      <c r="CB48" s="81"/>
      <c r="CC48" s="81"/>
      <c r="CD48" s="81"/>
      <c r="CE48" s="81"/>
      <c r="CF48" s="81"/>
      <c r="CG48" s="81"/>
      <c r="CH48" s="81"/>
      <c r="CI48" s="81"/>
      <c r="CJ48" s="81"/>
      <c r="CK48" s="81"/>
      <c r="CL48" s="81"/>
      <c r="CM48" s="81"/>
      <c r="CN48" s="81"/>
      <c r="CO48" s="81"/>
      <c r="CP48" s="81"/>
      <c r="CQ48" s="81"/>
      <c r="CR48" s="81"/>
      <c r="CS48" s="81"/>
      <c r="CT48" s="81"/>
      <c r="CU48" s="81"/>
      <c r="CV48" s="81"/>
      <c r="CW48" s="81"/>
      <c r="CX48" s="81"/>
      <c r="CY48" s="81"/>
      <c r="CZ48" s="81"/>
      <c r="DA48" s="81"/>
      <c r="DB48" s="81"/>
      <c r="DC48" s="81"/>
      <c r="DD48" s="81"/>
      <c r="DE48" s="81"/>
      <c r="DF48" s="81"/>
      <c r="DG48" s="81"/>
      <c r="DH48" s="81"/>
      <c r="DI48" s="81"/>
      <c r="DJ48" s="81"/>
      <c r="DK48" s="81"/>
      <c r="DL48" s="81"/>
      <c r="DM48" s="81"/>
      <c r="DN48" s="81"/>
      <c r="DO48" s="81"/>
      <c r="DP48" s="81"/>
      <c r="DQ48" s="81"/>
      <c r="DR48" s="81"/>
      <c r="DS48" s="81"/>
      <c r="DT48" s="81"/>
      <c r="DU48" s="81"/>
      <c r="DV48" s="81"/>
      <c r="DW48" s="81"/>
      <c r="DX48" s="81"/>
      <c r="DY48" s="81"/>
      <c r="DZ48" s="81"/>
      <c r="EA48" s="81"/>
      <c r="EB48" s="81"/>
      <c r="EC48" s="81"/>
      <c r="ED48" s="81"/>
      <c r="EE48" s="81"/>
      <c r="EF48" s="81"/>
      <c r="EG48" s="81"/>
      <c r="EH48" s="81"/>
      <c r="EI48" s="81"/>
    </row>
    <row r="49" ht="15.75" customHeight="1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81"/>
      <c r="BQ49" s="81"/>
      <c r="BR49" s="81"/>
      <c r="BS49" s="81"/>
      <c r="BT49" s="81"/>
      <c r="BU49" s="81"/>
      <c r="BV49" s="81"/>
      <c r="BW49" s="81"/>
      <c r="BX49" s="81"/>
      <c r="BY49" s="81"/>
      <c r="BZ49" s="81"/>
      <c r="CA49" s="81"/>
      <c r="CB49" s="81"/>
      <c r="CC49" s="81"/>
      <c r="CD49" s="81"/>
      <c r="CE49" s="81"/>
      <c r="CF49" s="81"/>
      <c r="CG49" s="81"/>
      <c r="CH49" s="81"/>
      <c r="CI49" s="81"/>
      <c r="CJ49" s="81"/>
      <c r="CK49" s="81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A49" s="81"/>
      <c r="DB49" s="81"/>
      <c r="DC49" s="81"/>
      <c r="DD49" s="81"/>
      <c r="DE49" s="81"/>
      <c r="DF49" s="81"/>
      <c r="DG49" s="81"/>
      <c r="DH49" s="81"/>
      <c r="DI49" s="81"/>
      <c r="DJ49" s="81"/>
      <c r="DK49" s="81"/>
      <c r="DL49" s="81"/>
      <c r="DM49" s="81"/>
      <c r="DN49" s="81"/>
      <c r="DO49" s="81"/>
      <c r="DP49" s="81"/>
      <c r="DQ49" s="81"/>
      <c r="DR49" s="81"/>
      <c r="DS49" s="81"/>
      <c r="DT49" s="81"/>
      <c r="DU49" s="81"/>
      <c r="DV49" s="81"/>
      <c r="DW49" s="81"/>
      <c r="DX49" s="81"/>
      <c r="DY49" s="81"/>
      <c r="DZ49" s="81"/>
      <c r="EA49" s="81"/>
      <c r="EB49" s="81"/>
      <c r="EC49" s="81"/>
      <c r="ED49" s="81"/>
      <c r="EE49" s="81"/>
      <c r="EF49" s="81"/>
      <c r="EG49" s="81"/>
      <c r="EH49" s="81"/>
      <c r="EI49" s="81"/>
    </row>
    <row r="50" ht="15.75" customHeight="1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81"/>
      <c r="BQ50" s="81"/>
      <c r="BR50" s="81"/>
      <c r="BS50" s="81"/>
      <c r="BT50" s="81"/>
      <c r="BU50" s="81"/>
      <c r="BV50" s="81"/>
      <c r="BW50" s="81"/>
      <c r="BX50" s="81"/>
      <c r="BY50" s="81"/>
      <c r="BZ50" s="81"/>
      <c r="CA50" s="81"/>
      <c r="CB50" s="81"/>
      <c r="CC50" s="81"/>
      <c r="CD50" s="81"/>
      <c r="CE50" s="81"/>
      <c r="CF50" s="81"/>
      <c r="CG50" s="81"/>
      <c r="CH50" s="81"/>
      <c r="CI50" s="81"/>
      <c r="CJ50" s="81"/>
      <c r="CK50" s="81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A50" s="81"/>
      <c r="DB50" s="81"/>
      <c r="DC50" s="81"/>
      <c r="DD50" s="81"/>
      <c r="DE50" s="81"/>
      <c r="DF50" s="81"/>
      <c r="DG50" s="81"/>
      <c r="DH50" s="81"/>
      <c r="DI50" s="81"/>
      <c r="DJ50" s="81"/>
      <c r="DK50" s="81"/>
      <c r="DL50" s="81"/>
      <c r="DM50" s="81"/>
      <c r="DN50" s="81"/>
      <c r="DO50" s="81"/>
      <c r="DP50" s="81"/>
      <c r="DQ50" s="81"/>
      <c r="DR50" s="81"/>
      <c r="DS50" s="81"/>
      <c r="DT50" s="81"/>
      <c r="DU50" s="81"/>
      <c r="DV50" s="81"/>
      <c r="DW50" s="81"/>
      <c r="DX50" s="81"/>
      <c r="DY50" s="81"/>
      <c r="DZ50" s="81"/>
      <c r="EA50" s="81"/>
      <c r="EB50" s="81"/>
      <c r="EC50" s="81"/>
      <c r="ED50" s="81"/>
      <c r="EE50" s="81"/>
      <c r="EF50" s="81"/>
      <c r="EG50" s="81"/>
      <c r="EH50" s="81"/>
      <c r="EI50" s="81"/>
    </row>
    <row r="51" ht="15.75" customHeight="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81"/>
      <c r="BQ51" s="81"/>
      <c r="BR51" s="81"/>
      <c r="BS51" s="81"/>
      <c r="BT51" s="81"/>
      <c r="BU51" s="81"/>
      <c r="BV51" s="81"/>
      <c r="BW51" s="81"/>
      <c r="BX51" s="81"/>
      <c r="BY51" s="81"/>
      <c r="BZ51" s="81"/>
      <c r="CA51" s="81"/>
      <c r="CB51" s="81"/>
      <c r="CC51" s="81"/>
      <c r="CD51" s="81"/>
      <c r="CE51" s="81"/>
      <c r="CF51" s="81"/>
      <c r="CG51" s="81"/>
      <c r="CH51" s="81"/>
      <c r="CI51" s="81"/>
      <c r="CJ51" s="81"/>
      <c r="CK51" s="81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1"/>
      <c r="CZ51" s="81"/>
      <c r="DA51" s="81"/>
      <c r="DB51" s="81"/>
      <c r="DC51" s="81"/>
      <c r="DD51" s="81"/>
      <c r="DE51" s="81"/>
      <c r="DF51" s="81"/>
      <c r="DG51" s="81"/>
      <c r="DH51" s="81"/>
      <c r="DI51" s="81"/>
      <c r="DJ51" s="81"/>
      <c r="DK51" s="81"/>
      <c r="DL51" s="81"/>
      <c r="DM51" s="81"/>
      <c r="DN51" s="81"/>
      <c r="DO51" s="81"/>
      <c r="DP51" s="81"/>
      <c r="DQ51" s="81"/>
      <c r="DR51" s="81"/>
      <c r="DS51" s="81"/>
      <c r="DT51" s="81"/>
      <c r="DU51" s="81"/>
      <c r="DV51" s="81"/>
      <c r="DW51" s="81"/>
      <c r="DX51" s="81"/>
      <c r="DY51" s="81"/>
      <c r="DZ51" s="81"/>
      <c r="EA51" s="81"/>
      <c r="EB51" s="81"/>
      <c r="EC51" s="81"/>
      <c r="ED51" s="81"/>
      <c r="EE51" s="81"/>
      <c r="EF51" s="81"/>
      <c r="EG51" s="81"/>
      <c r="EH51" s="81"/>
      <c r="EI51" s="81"/>
    </row>
    <row r="52" ht="15.75" customHeight="1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81"/>
      <c r="BQ52" s="81"/>
      <c r="BR52" s="81"/>
      <c r="BS52" s="81"/>
      <c r="BT52" s="81"/>
      <c r="BU52" s="81"/>
      <c r="BV52" s="81"/>
      <c r="BW52" s="81"/>
      <c r="BX52" s="81"/>
      <c r="BY52" s="81"/>
      <c r="BZ52" s="81"/>
      <c r="CA52" s="81"/>
      <c r="CB52" s="81"/>
      <c r="CC52" s="81"/>
      <c r="CD52" s="81"/>
      <c r="CE52" s="81"/>
      <c r="CF52" s="81"/>
      <c r="CG52" s="81"/>
      <c r="CH52" s="81"/>
      <c r="CI52" s="81"/>
      <c r="CJ52" s="81"/>
      <c r="CK52" s="81"/>
      <c r="CL52" s="81"/>
      <c r="CM52" s="81"/>
      <c r="CN52" s="81"/>
      <c r="CO52" s="81"/>
      <c r="CP52" s="81"/>
      <c r="CQ52" s="81"/>
      <c r="CR52" s="81"/>
      <c r="CS52" s="81"/>
      <c r="CT52" s="81"/>
      <c r="CU52" s="81"/>
      <c r="CV52" s="81"/>
      <c r="CW52" s="81"/>
      <c r="CX52" s="81"/>
      <c r="CY52" s="81"/>
      <c r="CZ52" s="81"/>
      <c r="DA52" s="81"/>
      <c r="DB52" s="81"/>
      <c r="DC52" s="81"/>
      <c r="DD52" s="81"/>
      <c r="DE52" s="81"/>
      <c r="DF52" s="81"/>
      <c r="DG52" s="81"/>
      <c r="DH52" s="81"/>
      <c r="DI52" s="81"/>
      <c r="DJ52" s="81"/>
      <c r="DK52" s="81"/>
      <c r="DL52" s="81"/>
      <c r="DM52" s="81"/>
      <c r="DN52" s="81"/>
      <c r="DO52" s="81"/>
      <c r="DP52" s="81"/>
      <c r="DQ52" s="81"/>
      <c r="DR52" s="81"/>
      <c r="DS52" s="81"/>
      <c r="DT52" s="81"/>
      <c r="DU52" s="81"/>
      <c r="DV52" s="81"/>
      <c r="DW52" s="81"/>
      <c r="DX52" s="81"/>
      <c r="DY52" s="81"/>
      <c r="DZ52" s="81"/>
      <c r="EA52" s="81"/>
      <c r="EB52" s="81"/>
      <c r="EC52" s="81"/>
      <c r="ED52" s="81"/>
      <c r="EE52" s="81"/>
      <c r="EF52" s="81"/>
      <c r="EG52" s="81"/>
      <c r="EH52" s="81"/>
      <c r="EI52" s="81"/>
    </row>
    <row r="53" ht="15.75" customHeight="1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81"/>
      <c r="BQ53" s="81"/>
      <c r="BR53" s="81"/>
      <c r="BS53" s="81"/>
      <c r="BT53" s="81"/>
      <c r="BU53" s="81"/>
      <c r="BV53" s="81"/>
      <c r="BW53" s="81"/>
      <c r="BX53" s="81"/>
      <c r="BY53" s="81"/>
      <c r="BZ53" s="81"/>
      <c r="CA53" s="81"/>
      <c r="CB53" s="81"/>
      <c r="CC53" s="81"/>
      <c r="CD53" s="81"/>
      <c r="CE53" s="81"/>
      <c r="CF53" s="81"/>
      <c r="CG53" s="81"/>
      <c r="CH53" s="81"/>
      <c r="CI53" s="81"/>
      <c r="CJ53" s="81"/>
      <c r="CK53" s="81"/>
      <c r="CL53" s="81"/>
      <c r="CM53" s="81"/>
      <c r="CN53" s="81"/>
      <c r="CO53" s="81"/>
      <c r="CP53" s="81"/>
      <c r="CQ53" s="81"/>
      <c r="CR53" s="81"/>
      <c r="CS53" s="81"/>
      <c r="CT53" s="81"/>
      <c r="CU53" s="81"/>
      <c r="CV53" s="81"/>
      <c r="CW53" s="81"/>
      <c r="CX53" s="81"/>
      <c r="CY53" s="81"/>
      <c r="CZ53" s="81"/>
      <c r="DA53" s="81"/>
      <c r="DB53" s="81"/>
      <c r="DC53" s="81"/>
      <c r="DD53" s="81"/>
      <c r="DE53" s="81"/>
      <c r="DF53" s="81"/>
      <c r="DG53" s="81"/>
      <c r="DH53" s="81"/>
      <c r="DI53" s="81"/>
      <c r="DJ53" s="81"/>
      <c r="DK53" s="81"/>
      <c r="DL53" s="81"/>
      <c r="DM53" s="81"/>
      <c r="DN53" s="81"/>
      <c r="DO53" s="81"/>
      <c r="DP53" s="81"/>
      <c r="DQ53" s="81"/>
      <c r="DR53" s="81"/>
      <c r="DS53" s="81"/>
      <c r="DT53" s="81"/>
      <c r="DU53" s="81"/>
      <c r="DV53" s="81"/>
      <c r="DW53" s="81"/>
      <c r="DX53" s="81"/>
      <c r="DY53" s="81"/>
      <c r="DZ53" s="81"/>
      <c r="EA53" s="81"/>
      <c r="EB53" s="81"/>
      <c r="EC53" s="81"/>
      <c r="ED53" s="81"/>
      <c r="EE53" s="81"/>
      <c r="EF53" s="81"/>
      <c r="EG53" s="81"/>
      <c r="EH53" s="81"/>
      <c r="EI53" s="81"/>
    </row>
    <row r="54" ht="15.75" customHeight="1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81"/>
      <c r="BQ54" s="81"/>
      <c r="BR54" s="81"/>
      <c r="BS54" s="81"/>
      <c r="BT54" s="81"/>
      <c r="BU54" s="81"/>
      <c r="BV54" s="81"/>
      <c r="BW54" s="81"/>
      <c r="BX54" s="81"/>
      <c r="BY54" s="81"/>
      <c r="BZ54" s="81"/>
      <c r="CA54" s="81"/>
      <c r="CB54" s="81"/>
      <c r="CC54" s="81"/>
      <c r="CD54" s="81"/>
      <c r="CE54" s="81"/>
      <c r="CF54" s="81"/>
      <c r="CG54" s="81"/>
      <c r="CH54" s="81"/>
      <c r="CI54" s="81"/>
      <c r="CJ54" s="81"/>
      <c r="CK54" s="81"/>
      <c r="CL54" s="81"/>
      <c r="CM54" s="81"/>
      <c r="CN54" s="81"/>
      <c r="CO54" s="81"/>
      <c r="CP54" s="81"/>
      <c r="CQ54" s="81"/>
      <c r="CR54" s="81"/>
      <c r="CS54" s="81"/>
      <c r="CT54" s="81"/>
      <c r="CU54" s="81"/>
      <c r="CV54" s="81"/>
      <c r="CW54" s="81"/>
      <c r="CX54" s="81"/>
      <c r="CY54" s="81"/>
      <c r="CZ54" s="81"/>
      <c r="DA54" s="81"/>
      <c r="DB54" s="81"/>
      <c r="DC54" s="81"/>
      <c r="DD54" s="81"/>
      <c r="DE54" s="81"/>
      <c r="DF54" s="81"/>
      <c r="DG54" s="81"/>
      <c r="DH54" s="81"/>
      <c r="DI54" s="81"/>
      <c r="DJ54" s="81"/>
      <c r="DK54" s="81"/>
      <c r="DL54" s="81"/>
      <c r="DM54" s="81"/>
      <c r="DN54" s="81"/>
      <c r="DO54" s="81"/>
      <c r="DP54" s="81"/>
      <c r="DQ54" s="81"/>
      <c r="DR54" s="81"/>
      <c r="DS54" s="81"/>
      <c r="DT54" s="81"/>
      <c r="DU54" s="81"/>
      <c r="DV54" s="81"/>
      <c r="DW54" s="81"/>
      <c r="DX54" s="81"/>
      <c r="DY54" s="81"/>
      <c r="DZ54" s="81"/>
      <c r="EA54" s="81"/>
      <c r="EB54" s="81"/>
      <c r="EC54" s="81"/>
      <c r="ED54" s="81"/>
      <c r="EE54" s="81"/>
      <c r="EF54" s="81"/>
      <c r="EG54" s="81"/>
      <c r="EH54" s="81"/>
      <c r="EI54" s="81"/>
    </row>
    <row r="55" ht="15.75" customHeight="1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1"/>
      <c r="BD55" s="81"/>
      <c r="BE55" s="81"/>
      <c r="BF55" s="81"/>
      <c r="BG55" s="81"/>
      <c r="BH55" s="81"/>
      <c r="BI55" s="81"/>
      <c r="BJ55" s="81"/>
      <c r="BK55" s="81"/>
      <c r="BL55" s="81"/>
      <c r="BM55" s="81"/>
      <c r="BN55" s="81"/>
      <c r="BO55" s="81"/>
      <c r="BP55" s="81"/>
      <c r="BQ55" s="81"/>
      <c r="BR55" s="81"/>
      <c r="BS55" s="81"/>
      <c r="BT55" s="81"/>
      <c r="BU55" s="81"/>
      <c r="BV55" s="81"/>
      <c r="BW55" s="81"/>
      <c r="BX55" s="81"/>
      <c r="BY55" s="81"/>
      <c r="BZ55" s="81"/>
      <c r="CA55" s="81"/>
      <c r="CB55" s="81"/>
      <c r="CC55" s="81"/>
      <c r="CD55" s="81"/>
      <c r="CE55" s="81"/>
      <c r="CF55" s="81"/>
      <c r="CG55" s="81"/>
      <c r="CH55" s="81"/>
      <c r="CI55" s="81"/>
      <c r="CJ55" s="81"/>
      <c r="CK55" s="81"/>
      <c r="CL55" s="81"/>
      <c r="CM55" s="81"/>
      <c r="CN55" s="81"/>
      <c r="CO55" s="81"/>
      <c r="CP55" s="81"/>
      <c r="CQ55" s="81"/>
      <c r="CR55" s="81"/>
      <c r="CS55" s="81"/>
      <c r="CT55" s="81"/>
      <c r="CU55" s="81"/>
      <c r="CV55" s="81"/>
      <c r="CW55" s="81"/>
      <c r="CX55" s="81"/>
      <c r="CY55" s="81"/>
      <c r="CZ55" s="81"/>
      <c r="DA55" s="81"/>
      <c r="DB55" s="81"/>
      <c r="DC55" s="81"/>
      <c r="DD55" s="81"/>
      <c r="DE55" s="81"/>
      <c r="DF55" s="81"/>
      <c r="DG55" s="81"/>
      <c r="DH55" s="81"/>
      <c r="DI55" s="81"/>
      <c r="DJ55" s="81"/>
      <c r="DK55" s="81"/>
      <c r="DL55" s="81"/>
      <c r="DM55" s="81"/>
      <c r="DN55" s="81"/>
      <c r="DO55" s="81"/>
      <c r="DP55" s="81"/>
      <c r="DQ55" s="81"/>
      <c r="DR55" s="81"/>
      <c r="DS55" s="81"/>
      <c r="DT55" s="81"/>
      <c r="DU55" s="81"/>
      <c r="DV55" s="81"/>
      <c r="DW55" s="81"/>
      <c r="DX55" s="81"/>
      <c r="DY55" s="81"/>
      <c r="DZ55" s="81"/>
      <c r="EA55" s="81"/>
      <c r="EB55" s="81"/>
      <c r="EC55" s="81"/>
      <c r="ED55" s="81"/>
      <c r="EE55" s="81"/>
      <c r="EF55" s="81"/>
      <c r="EG55" s="81"/>
      <c r="EH55" s="81"/>
      <c r="EI55" s="81"/>
    </row>
    <row r="56" ht="15.75" customHeight="1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J56" s="81"/>
      <c r="BK56" s="81"/>
      <c r="BL56" s="81"/>
      <c r="BM56" s="81"/>
      <c r="BN56" s="81"/>
      <c r="BO56" s="81"/>
      <c r="BP56" s="81"/>
      <c r="BQ56" s="81"/>
      <c r="BR56" s="81"/>
      <c r="BS56" s="81"/>
      <c r="BT56" s="81"/>
      <c r="BU56" s="81"/>
      <c r="BV56" s="81"/>
      <c r="BW56" s="81"/>
      <c r="BX56" s="81"/>
      <c r="BY56" s="81"/>
      <c r="BZ56" s="81"/>
      <c r="CA56" s="81"/>
      <c r="CB56" s="81"/>
      <c r="CC56" s="81"/>
      <c r="CD56" s="81"/>
      <c r="CE56" s="81"/>
      <c r="CF56" s="81"/>
      <c r="CG56" s="81"/>
      <c r="CH56" s="81"/>
      <c r="CI56" s="81"/>
      <c r="CJ56" s="81"/>
      <c r="CK56" s="81"/>
      <c r="CL56" s="81"/>
      <c r="CM56" s="81"/>
      <c r="CN56" s="81"/>
      <c r="CO56" s="81"/>
      <c r="CP56" s="81"/>
      <c r="CQ56" s="81"/>
      <c r="CR56" s="81"/>
      <c r="CS56" s="81"/>
      <c r="CT56" s="81"/>
      <c r="CU56" s="81"/>
      <c r="CV56" s="81"/>
      <c r="CW56" s="81"/>
      <c r="CX56" s="81"/>
      <c r="CY56" s="81"/>
      <c r="CZ56" s="81"/>
      <c r="DA56" s="81"/>
      <c r="DB56" s="81"/>
      <c r="DC56" s="81"/>
      <c r="DD56" s="81"/>
      <c r="DE56" s="81"/>
      <c r="DF56" s="81"/>
      <c r="DG56" s="81"/>
      <c r="DH56" s="81"/>
      <c r="DI56" s="81"/>
      <c r="DJ56" s="81"/>
      <c r="DK56" s="81"/>
      <c r="DL56" s="81"/>
      <c r="DM56" s="81"/>
      <c r="DN56" s="81"/>
      <c r="DO56" s="81"/>
      <c r="DP56" s="81"/>
      <c r="DQ56" s="81"/>
      <c r="DR56" s="81"/>
      <c r="DS56" s="81"/>
      <c r="DT56" s="81"/>
      <c r="DU56" s="81"/>
      <c r="DV56" s="81"/>
      <c r="DW56" s="81"/>
      <c r="DX56" s="81"/>
      <c r="DY56" s="81"/>
      <c r="DZ56" s="81"/>
      <c r="EA56" s="81"/>
      <c r="EB56" s="81"/>
      <c r="EC56" s="81"/>
      <c r="ED56" s="81"/>
      <c r="EE56" s="81"/>
      <c r="EF56" s="81"/>
      <c r="EG56" s="81"/>
      <c r="EH56" s="81"/>
      <c r="EI56" s="81"/>
    </row>
    <row r="57" ht="15.7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81"/>
      <c r="BQ57" s="81"/>
      <c r="BR57" s="81"/>
      <c r="BS57" s="81"/>
      <c r="BT57" s="81"/>
      <c r="BU57" s="81"/>
      <c r="BV57" s="81"/>
      <c r="BW57" s="81"/>
      <c r="BX57" s="81"/>
      <c r="BY57" s="81"/>
      <c r="BZ57" s="81"/>
      <c r="CA57" s="81"/>
      <c r="CB57" s="81"/>
      <c r="CC57" s="81"/>
      <c r="CD57" s="81"/>
      <c r="CE57" s="81"/>
      <c r="CF57" s="81"/>
      <c r="CG57" s="81"/>
      <c r="CH57" s="81"/>
      <c r="CI57" s="81"/>
      <c r="CJ57" s="81"/>
      <c r="CK57" s="81"/>
      <c r="CL57" s="81"/>
      <c r="CM57" s="81"/>
      <c r="CN57" s="81"/>
      <c r="CO57" s="81"/>
      <c r="CP57" s="81"/>
      <c r="CQ57" s="81"/>
      <c r="CR57" s="81"/>
      <c r="CS57" s="81"/>
      <c r="CT57" s="81"/>
      <c r="CU57" s="81"/>
      <c r="CV57" s="81"/>
      <c r="CW57" s="81"/>
      <c r="CX57" s="81"/>
      <c r="CY57" s="81"/>
      <c r="CZ57" s="81"/>
      <c r="DA57" s="81"/>
      <c r="DB57" s="81"/>
      <c r="DC57" s="81"/>
      <c r="DD57" s="81"/>
      <c r="DE57" s="81"/>
      <c r="DF57" s="81"/>
      <c r="DG57" s="81"/>
      <c r="DH57" s="81"/>
      <c r="DI57" s="81"/>
      <c r="DJ57" s="81"/>
      <c r="DK57" s="81"/>
      <c r="DL57" s="81"/>
      <c r="DM57" s="81"/>
      <c r="DN57" s="81"/>
      <c r="DO57" s="81"/>
      <c r="DP57" s="81"/>
      <c r="DQ57" s="81"/>
      <c r="DR57" s="81"/>
      <c r="DS57" s="81"/>
      <c r="DT57" s="81"/>
      <c r="DU57" s="81"/>
      <c r="DV57" s="81"/>
      <c r="DW57" s="81"/>
      <c r="DX57" s="81"/>
      <c r="DY57" s="81"/>
      <c r="DZ57" s="81"/>
      <c r="EA57" s="81"/>
      <c r="EB57" s="81"/>
      <c r="EC57" s="81"/>
      <c r="ED57" s="81"/>
      <c r="EE57" s="81"/>
      <c r="EF57" s="81"/>
      <c r="EG57" s="81"/>
      <c r="EH57" s="81"/>
      <c r="EI57" s="81"/>
    </row>
    <row r="58" ht="15.7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81"/>
      <c r="BQ58" s="81"/>
      <c r="BR58" s="81"/>
      <c r="BS58" s="81"/>
      <c r="BT58" s="81"/>
      <c r="BU58" s="81"/>
      <c r="BV58" s="81"/>
      <c r="BW58" s="81"/>
      <c r="BX58" s="81"/>
      <c r="BY58" s="81"/>
      <c r="BZ58" s="81"/>
      <c r="CA58" s="81"/>
      <c r="CB58" s="81"/>
      <c r="CC58" s="81"/>
      <c r="CD58" s="81"/>
      <c r="CE58" s="81"/>
      <c r="CF58" s="81"/>
      <c r="CG58" s="81"/>
      <c r="CH58" s="81"/>
      <c r="CI58" s="81"/>
      <c r="CJ58" s="81"/>
      <c r="CK58" s="81"/>
      <c r="CL58" s="81"/>
      <c r="CM58" s="81"/>
      <c r="CN58" s="81"/>
      <c r="CO58" s="81"/>
      <c r="CP58" s="81"/>
      <c r="CQ58" s="81"/>
      <c r="CR58" s="81"/>
      <c r="CS58" s="81"/>
      <c r="CT58" s="81"/>
      <c r="CU58" s="81"/>
      <c r="CV58" s="81"/>
      <c r="CW58" s="81"/>
      <c r="CX58" s="81"/>
      <c r="CY58" s="81"/>
      <c r="CZ58" s="81"/>
      <c r="DA58" s="81"/>
      <c r="DB58" s="81"/>
      <c r="DC58" s="81"/>
      <c r="DD58" s="81"/>
      <c r="DE58" s="81"/>
      <c r="DF58" s="81"/>
      <c r="DG58" s="81"/>
      <c r="DH58" s="81"/>
      <c r="DI58" s="81"/>
      <c r="DJ58" s="81"/>
      <c r="DK58" s="81"/>
      <c r="DL58" s="81"/>
      <c r="DM58" s="81"/>
      <c r="DN58" s="81"/>
      <c r="DO58" s="81"/>
      <c r="DP58" s="81"/>
      <c r="DQ58" s="81"/>
      <c r="DR58" s="81"/>
      <c r="DS58" s="81"/>
      <c r="DT58" s="81"/>
      <c r="DU58" s="81"/>
      <c r="DV58" s="81"/>
      <c r="DW58" s="81"/>
      <c r="DX58" s="81"/>
      <c r="DY58" s="81"/>
      <c r="DZ58" s="81"/>
      <c r="EA58" s="81"/>
      <c r="EB58" s="81"/>
      <c r="EC58" s="81"/>
      <c r="ED58" s="81"/>
      <c r="EE58" s="81"/>
      <c r="EF58" s="81"/>
      <c r="EG58" s="81"/>
      <c r="EH58" s="81"/>
      <c r="EI58" s="81"/>
    </row>
    <row r="59" ht="15.7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  <c r="EE59" s="81"/>
      <c r="EF59" s="81"/>
      <c r="EG59" s="81"/>
      <c r="EH59" s="81"/>
      <c r="EI59" s="81"/>
    </row>
    <row r="60" ht="15.7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  <c r="EG60" s="81"/>
      <c r="EH60" s="81"/>
      <c r="EI60" s="81"/>
    </row>
    <row r="61" ht="15.7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  <c r="BU61" s="81"/>
      <c r="BV61" s="81"/>
      <c r="BW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  <c r="DI61" s="81"/>
      <c r="DJ61" s="81"/>
      <c r="DK61" s="81"/>
      <c r="DL61" s="81"/>
      <c r="DM61" s="81"/>
      <c r="DN61" s="81"/>
      <c r="DO61" s="81"/>
      <c r="DP61" s="81"/>
      <c r="DQ61" s="81"/>
      <c r="DR61" s="81"/>
      <c r="DS61" s="81"/>
      <c r="DT61" s="81"/>
      <c r="DU61" s="81"/>
      <c r="DV61" s="81"/>
      <c r="DW61" s="81"/>
      <c r="DX61" s="81"/>
      <c r="DY61" s="81"/>
      <c r="DZ61" s="81"/>
      <c r="EA61" s="81"/>
      <c r="EB61" s="81"/>
      <c r="EC61" s="81"/>
      <c r="ED61" s="81"/>
      <c r="EE61" s="81"/>
      <c r="EF61" s="81"/>
      <c r="EG61" s="81"/>
      <c r="EH61" s="81"/>
      <c r="EI61" s="81"/>
    </row>
    <row r="62" ht="15.7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</row>
    <row r="63" ht="15.7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</row>
    <row r="64" ht="15.7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</row>
    <row r="65" ht="15.7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</row>
    <row r="66" ht="15.7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</row>
    <row r="67" ht="15.7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  <c r="DI67" s="81"/>
      <c r="DJ67" s="81"/>
      <c r="DK67" s="81"/>
      <c r="DL67" s="81"/>
      <c r="DM67" s="81"/>
      <c r="DN67" s="81"/>
      <c r="DO67" s="81"/>
      <c r="DP67" s="81"/>
      <c r="DQ67" s="81"/>
      <c r="DR67" s="81"/>
      <c r="DS67" s="81"/>
      <c r="DT67" s="81"/>
      <c r="DU67" s="81"/>
      <c r="DV67" s="81"/>
      <c r="DW67" s="81"/>
      <c r="DX67" s="81"/>
      <c r="DY67" s="81"/>
      <c r="DZ67" s="81"/>
      <c r="EA67" s="81"/>
      <c r="EB67" s="81"/>
      <c r="EC67" s="81"/>
      <c r="ED67" s="81"/>
      <c r="EE67" s="81"/>
      <c r="EF67" s="81"/>
      <c r="EG67" s="81"/>
      <c r="EH67" s="81"/>
      <c r="EI67" s="81"/>
    </row>
    <row r="68" ht="15.7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</row>
    <row r="69" ht="15.7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  <c r="DI69" s="81"/>
      <c r="DJ69" s="81"/>
      <c r="DK69" s="81"/>
      <c r="DL69" s="81"/>
      <c r="DM69" s="81"/>
      <c r="DN69" s="81"/>
      <c r="DO69" s="81"/>
      <c r="DP69" s="81"/>
      <c r="DQ69" s="81"/>
      <c r="DR69" s="81"/>
      <c r="DS69" s="81"/>
      <c r="DT69" s="81"/>
      <c r="DU69" s="81"/>
      <c r="DV69" s="81"/>
      <c r="DW69" s="81"/>
      <c r="DX69" s="81"/>
      <c r="DY69" s="81"/>
      <c r="DZ69" s="81"/>
      <c r="EA69" s="81"/>
      <c r="EB69" s="81"/>
      <c r="EC69" s="81"/>
      <c r="ED69" s="81"/>
      <c r="EE69" s="81"/>
      <c r="EF69" s="81"/>
      <c r="EG69" s="81"/>
      <c r="EH69" s="81"/>
      <c r="EI69" s="81"/>
    </row>
    <row r="70" ht="15.7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</row>
    <row r="71" ht="15.7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  <c r="BU71" s="81"/>
      <c r="BV71" s="81"/>
      <c r="BW71" s="81"/>
      <c r="BX71" s="81"/>
      <c r="BY71" s="81"/>
      <c r="BZ71" s="81"/>
      <c r="CA71" s="81"/>
      <c r="CB71" s="81"/>
      <c r="CC71" s="81"/>
      <c r="CD71" s="81"/>
      <c r="CE71" s="81"/>
      <c r="CF71" s="81"/>
      <c r="CG71" s="81"/>
      <c r="CH71" s="81"/>
      <c r="CI71" s="81"/>
      <c r="CJ71" s="81"/>
      <c r="CK71" s="81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  <c r="DI71" s="81"/>
      <c r="DJ71" s="81"/>
      <c r="DK71" s="81"/>
      <c r="DL71" s="81"/>
      <c r="DM71" s="81"/>
      <c r="DN71" s="81"/>
      <c r="DO71" s="81"/>
      <c r="DP71" s="81"/>
      <c r="DQ71" s="81"/>
      <c r="DR71" s="81"/>
      <c r="DS71" s="81"/>
      <c r="DT71" s="81"/>
      <c r="DU71" s="81"/>
      <c r="DV71" s="81"/>
      <c r="DW71" s="81"/>
      <c r="DX71" s="81"/>
      <c r="DY71" s="81"/>
      <c r="DZ71" s="81"/>
      <c r="EA71" s="81"/>
      <c r="EB71" s="81"/>
      <c r="EC71" s="81"/>
      <c r="ED71" s="81"/>
      <c r="EE71" s="81"/>
      <c r="EF71" s="81"/>
      <c r="EG71" s="81"/>
      <c r="EH71" s="81"/>
      <c r="EI71" s="81"/>
    </row>
    <row r="72" ht="15.7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</row>
    <row r="73" ht="15.7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U73" s="81"/>
      <c r="BV73" s="81"/>
      <c r="BW73" s="81"/>
      <c r="BX73" s="81"/>
      <c r="BY73" s="81"/>
      <c r="BZ73" s="81"/>
      <c r="CA73" s="81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1"/>
      <c r="EC73" s="81"/>
      <c r="ED73" s="81"/>
      <c r="EE73" s="81"/>
      <c r="EF73" s="81"/>
      <c r="EG73" s="81"/>
      <c r="EH73" s="81"/>
      <c r="EI73" s="81"/>
    </row>
    <row r="74" ht="15.7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</row>
    <row r="75" ht="15.7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</row>
    <row r="76" ht="15.7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  <c r="DI76" s="81"/>
      <c r="DJ76" s="81"/>
      <c r="DK76" s="81"/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/>
      <c r="DW76" s="81"/>
      <c r="DX76" s="81"/>
      <c r="DY76" s="81"/>
      <c r="DZ76" s="81"/>
      <c r="EA76" s="81"/>
      <c r="EB76" s="81"/>
      <c r="EC76" s="81"/>
      <c r="ED76" s="81"/>
      <c r="EE76" s="81"/>
      <c r="EF76" s="81"/>
      <c r="EG76" s="81"/>
      <c r="EH76" s="81"/>
      <c r="EI76" s="81"/>
    </row>
    <row r="77" ht="15.7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  <c r="DI77" s="81"/>
      <c r="DJ77" s="81"/>
      <c r="DK77" s="81"/>
      <c r="DL77" s="81"/>
      <c r="DM77" s="81"/>
      <c r="DN77" s="81"/>
      <c r="DO77" s="81"/>
      <c r="DP77" s="81"/>
      <c r="DQ77" s="81"/>
      <c r="DR77" s="81"/>
      <c r="DS77" s="81"/>
      <c r="DT77" s="81"/>
      <c r="DU77" s="81"/>
      <c r="DV77" s="81"/>
      <c r="DW77" s="81"/>
      <c r="DX77" s="81"/>
      <c r="DY77" s="81"/>
      <c r="DZ77" s="81"/>
      <c r="EA77" s="81"/>
      <c r="EB77" s="81"/>
      <c r="EC77" s="81"/>
      <c r="ED77" s="81"/>
      <c r="EE77" s="81"/>
      <c r="EF77" s="81"/>
      <c r="EG77" s="81"/>
      <c r="EH77" s="81"/>
      <c r="EI77" s="81"/>
    </row>
    <row r="78" ht="15.7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</row>
    <row r="79" ht="15.7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81"/>
      <c r="DV79" s="81"/>
      <c r="DW79" s="81"/>
      <c r="DX79" s="81"/>
      <c r="DY79" s="81"/>
      <c r="DZ79" s="81"/>
      <c r="EA79" s="81"/>
      <c r="EB79" s="81"/>
      <c r="EC79" s="81"/>
      <c r="ED79" s="81"/>
      <c r="EE79" s="81"/>
      <c r="EF79" s="81"/>
      <c r="EG79" s="81"/>
      <c r="EH79" s="81"/>
      <c r="EI79" s="81"/>
    </row>
    <row r="80" ht="15.7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81"/>
      <c r="BU80" s="81"/>
      <c r="BV80" s="81"/>
      <c r="BW80" s="81"/>
      <c r="BX80" s="81"/>
      <c r="BY80" s="81"/>
      <c r="BZ80" s="81"/>
      <c r="CA80" s="81"/>
      <c r="CB80" s="81"/>
      <c r="CC80" s="81"/>
      <c r="CD80" s="81"/>
      <c r="CE80" s="81"/>
      <c r="CF80" s="81"/>
      <c r="CG80" s="81"/>
      <c r="CH80" s="81"/>
      <c r="CI80" s="81"/>
      <c r="CJ80" s="81"/>
      <c r="CK80" s="81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  <c r="DI80" s="81"/>
      <c r="DJ80" s="81"/>
      <c r="DK80" s="81"/>
      <c r="DL80" s="81"/>
      <c r="DM80" s="81"/>
      <c r="DN80" s="81"/>
      <c r="DO80" s="81"/>
      <c r="DP80" s="81"/>
      <c r="DQ80" s="81"/>
      <c r="DR80" s="81"/>
      <c r="DS80" s="81"/>
      <c r="DT80" s="81"/>
      <c r="DU80" s="81"/>
      <c r="DV80" s="81"/>
      <c r="DW80" s="81"/>
      <c r="DX80" s="81"/>
      <c r="DY80" s="81"/>
      <c r="DZ80" s="81"/>
      <c r="EA80" s="81"/>
      <c r="EB80" s="81"/>
      <c r="EC80" s="81"/>
      <c r="ED80" s="81"/>
      <c r="EE80" s="81"/>
      <c r="EF80" s="81"/>
      <c r="EG80" s="81"/>
      <c r="EH80" s="81"/>
      <c r="EI80" s="81"/>
    </row>
    <row r="81" ht="15.7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81"/>
      <c r="BU81" s="81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  <c r="DI81" s="81"/>
      <c r="DJ81" s="81"/>
      <c r="DK81" s="81"/>
      <c r="DL81" s="81"/>
      <c r="DM81" s="81"/>
      <c r="DN81" s="81"/>
      <c r="DO81" s="81"/>
      <c r="DP81" s="81"/>
      <c r="DQ81" s="81"/>
      <c r="DR81" s="81"/>
      <c r="DS81" s="81"/>
      <c r="DT81" s="81"/>
      <c r="DU81" s="81"/>
      <c r="DV81" s="81"/>
      <c r="DW81" s="81"/>
      <c r="DX81" s="81"/>
      <c r="DY81" s="81"/>
      <c r="DZ81" s="81"/>
      <c r="EA81" s="81"/>
      <c r="EB81" s="81"/>
      <c r="EC81" s="81"/>
      <c r="ED81" s="81"/>
      <c r="EE81" s="81"/>
      <c r="EF81" s="81"/>
      <c r="EG81" s="81"/>
      <c r="EH81" s="81"/>
      <c r="EI81" s="81"/>
    </row>
    <row r="82" ht="15.7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81"/>
      <c r="BU82" s="81"/>
      <c r="BV82" s="81"/>
      <c r="BW82" s="81"/>
      <c r="BX82" s="81"/>
      <c r="BY82" s="81"/>
      <c r="BZ82" s="81"/>
      <c r="CA82" s="81"/>
      <c r="CB82" s="81"/>
      <c r="CC82" s="81"/>
      <c r="CD82" s="81"/>
      <c r="CE82" s="81"/>
      <c r="CF82" s="81"/>
      <c r="CG82" s="81"/>
      <c r="CH82" s="81"/>
      <c r="CI82" s="81"/>
      <c r="CJ82" s="81"/>
      <c r="CK82" s="81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  <c r="DI82" s="81"/>
      <c r="DJ82" s="81"/>
      <c r="DK82" s="81"/>
      <c r="DL82" s="81"/>
      <c r="DM82" s="81"/>
      <c r="DN82" s="81"/>
      <c r="DO82" s="81"/>
      <c r="DP82" s="81"/>
      <c r="DQ82" s="81"/>
      <c r="DR82" s="81"/>
      <c r="DS82" s="81"/>
      <c r="DT82" s="81"/>
      <c r="DU82" s="81"/>
      <c r="DV82" s="81"/>
      <c r="DW82" s="81"/>
      <c r="DX82" s="81"/>
      <c r="DY82" s="81"/>
      <c r="DZ82" s="81"/>
      <c r="EA82" s="81"/>
      <c r="EB82" s="81"/>
      <c r="EC82" s="81"/>
      <c r="ED82" s="81"/>
      <c r="EE82" s="81"/>
      <c r="EF82" s="81"/>
      <c r="EG82" s="81"/>
      <c r="EH82" s="81"/>
      <c r="EI82" s="81"/>
    </row>
    <row r="83" ht="15.7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81"/>
      <c r="BU83" s="81"/>
      <c r="BV83" s="81"/>
      <c r="BW83" s="81"/>
      <c r="BX83" s="81"/>
      <c r="BY83" s="81"/>
      <c r="BZ83" s="81"/>
      <c r="CA83" s="81"/>
      <c r="CB83" s="81"/>
      <c r="CC83" s="81"/>
      <c r="CD83" s="81"/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  <c r="DI83" s="81"/>
      <c r="DJ83" s="81"/>
      <c r="DK83" s="81"/>
      <c r="DL83" s="81"/>
      <c r="DM83" s="81"/>
      <c r="DN83" s="81"/>
      <c r="DO83" s="81"/>
      <c r="DP83" s="81"/>
      <c r="DQ83" s="81"/>
      <c r="DR83" s="81"/>
      <c r="DS83" s="81"/>
      <c r="DT83" s="81"/>
      <c r="DU83" s="81"/>
      <c r="DV83" s="81"/>
      <c r="DW83" s="81"/>
      <c r="DX83" s="81"/>
      <c r="DY83" s="81"/>
      <c r="DZ83" s="81"/>
      <c r="EA83" s="81"/>
      <c r="EB83" s="81"/>
      <c r="EC83" s="81"/>
      <c r="ED83" s="81"/>
      <c r="EE83" s="81"/>
      <c r="EF83" s="81"/>
      <c r="EG83" s="81"/>
      <c r="EH83" s="81"/>
      <c r="EI83" s="81"/>
    </row>
    <row r="84" ht="15.7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81"/>
      <c r="BU84" s="81"/>
      <c r="BV84" s="81"/>
      <c r="BW84" s="81"/>
      <c r="BX84" s="81"/>
      <c r="BY84" s="81"/>
      <c r="BZ84" s="81"/>
      <c r="CA84" s="81"/>
      <c r="CB84" s="81"/>
      <c r="CC84" s="81"/>
      <c r="CD84" s="81"/>
      <c r="CE84" s="81"/>
      <c r="CF84" s="81"/>
      <c r="CG84" s="81"/>
      <c r="CH84" s="81"/>
      <c r="CI84" s="81"/>
      <c r="CJ84" s="81"/>
      <c r="CK84" s="81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  <c r="DI84" s="81"/>
      <c r="DJ84" s="81"/>
      <c r="DK84" s="81"/>
      <c r="DL84" s="81"/>
      <c r="DM84" s="81"/>
      <c r="DN84" s="81"/>
      <c r="DO84" s="81"/>
      <c r="DP84" s="81"/>
      <c r="DQ84" s="81"/>
      <c r="DR84" s="81"/>
      <c r="DS84" s="81"/>
      <c r="DT84" s="81"/>
      <c r="DU84" s="81"/>
      <c r="DV84" s="81"/>
      <c r="DW84" s="81"/>
      <c r="DX84" s="81"/>
      <c r="DY84" s="81"/>
      <c r="DZ84" s="81"/>
      <c r="EA84" s="81"/>
      <c r="EB84" s="81"/>
      <c r="EC84" s="81"/>
      <c r="ED84" s="81"/>
      <c r="EE84" s="81"/>
      <c r="EF84" s="81"/>
      <c r="EG84" s="81"/>
      <c r="EH84" s="81"/>
      <c r="EI84" s="81"/>
    </row>
    <row r="85" ht="15.7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81"/>
      <c r="BU85" s="81"/>
      <c r="BV85" s="81"/>
      <c r="BW85" s="81"/>
      <c r="BX85" s="81"/>
      <c r="BY85" s="81"/>
      <c r="BZ85" s="81"/>
      <c r="CA85" s="81"/>
      <c r="CB85" s="81"/>
      <c r="CC85" s="81"/>
      <c r="CD85" s="81"/>
      <c r="CE85" s="81"/>
      <c r="CF85" s="81"/>
      <c r="CG85" s="81"/>
      <c r="CH85" s="81"/>
      <c r="CI85" s="81"/>
      <c r="CJ85" s="81"/>
      <c r="CK85" s="81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  <c r="DI85" s="81"/>
      <c r="DJ85" s="81"/>
      <c r="DK85" s="81"/>
      <c r="DL85" s="81"/>
      <c r="DM85" s="81"/>
      <c r="DN85" s="81"/>
      <c r="DO85" s="81"/>
      <c r="DP85" s="81"/>
      <c r="DQ85" s="81"/>
      <c r="DR85" s="81"/>
      <c r="DS85" s="81"/>
      <c r="DT85" s="81"/>
      <c r="DU85" s="81"/>
      <c r="DV85" s="81"/>
      <c r="DW85" s="81"/>
      <c r="DX85" s="81"/>
      <c r="DY85" s="81"/>
      <c r="DZ85" s="81"/>
      <c r="EA85" s="81"/>
      <c r="EB85" s="81"/>
      <c r="EC85" s="81"/>
      <c r="ED85" s="81"/>
      <c r="EE85" s="81"/>
      <c r="EF85" s="81"/>
      <c r="EG85" s="81"/>
      <c r="EH85" s="81"/>
      <c r="EI85" s="81"/>
    </row>
    <row r="86" ht="15.7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81"/>
      <c r="DL86" s="81"/>
      <c r="DM86" s="81"/>
      <c r="DN86" s="81"/>
      <c r="DO86" s="81"/>
      <c r="DP86" s="81"/>
      <c r="DQ86" s="81"/>
      <c r="DR86" s="81"/>
      <c r="DS86" s="81"/>
      <c r="DT86" s="81"/>
      <c r="DU86" s="81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</row>
    <row r="87" ht="15.7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81"/>
      <c r="BU87" s="81"/>
      <c r="BV87" s="81"/>
      <c r="BW87" s="81"/>
      <c r="BX87" s="81"/>
      <c r="BY87" s="81"/>
      <c r="BZ87" s="81"/>
      <c r="CA87" s="81"/>
      <c r="CB87" s="81"/>
      <c r="CC87" s="81"/>
      <c r="CD87" s="81"/>
      <c r="CE87" s="81"/>
      <c r="CF87" s="81"/>
      <c r="CG87" s="81"/>
      <c r="CH87" s="81"/>
      <c r="CI87" s="81"/>
      <c r="CJ87" s="81"/>
      <c r="CK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  <c r="DI87" s="81"/>
      <c r="DJ87" s="81"/>
      <c r="DK87" s="81"/>
      <c r="DL87" s="81"/>
      <c r="DM87" s="81"/>
      <c r="DN87" s="81"/>
      <c r="DO87" s="81"/>
      <c r="DP87" s="81"/>
      <c r="DQ87" s="81"/>
      <c r="DR87" s="81"/>
      <c r="DS87" s="81"/>
      <c r="DT87" s="81"/>
      <c r="DU87" s="81"/>
      <c r="DV87" s="81"/>
      <c r="DW87" s="81"/>
      <c r="DX87" s="81"/>
      <c r="DY87" s="81"/>
      <c r="DZ87" s="81"/>
      <c r="EA87" s="81"/>
      <c r="EB87" s="81"/>
      <c r="EC87" s="81"/>
      <c r="ED87" s="81"/>
      <c r="EE87" s="81"/>
      <c r="EF87" s="81"/>
      <c r="EG87" s="81"/>
      <c r="EH87" s="81"/>
      <c r="EI87" s="81"/>
    </row>
    <row r="88" ht="15.7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81"/>
      <c r="BU88" s="81"/>
      <c r="BV88" s="81"/>
      <c r="BW88" s="81"/>
      <c r="BX88" s="81"/>
      <c r="BY88" s="81"/>
      <c r="BZ88" s="81"/>
      <c r="CA88" s="81"/>
      <c r="CB88" s="81"/>
      <c r="CC88" s="81"/>
      <c r="CD88" s="81"/>
      <c r="CE88" s="81"/>
      <c r="CF88" s="81"/>
      <c r="CG88" s="81"/>
      <c r="CH88" s="81"/>
      <c r="CI88" s="81"/>
      <c r="CJ88" s="81"/>
      <c r="CK88" s="81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  <c r="DI88" s="81"/>
      <c r="DJ88" s="81"/>
      <c r="DK88" s="81"/>
      <c r="DL88" s="81"/>
      <c r="DM88" s="81"/>
      <c r="DN88" s="81"/>
      <c r="DO88" s="81"/>
      <c r="DP88" s="81"/>
      <c r="DQ88" s="81"/>
      <c r="DR88" s="81"/>
      <c r="DS88" s="81"/>
      <c r="DT88" s="81"/>
      <c r="DU88" s="81"/>
      <c r="DV88" s="81"/>
      <c r="DW88" s="81"/>
      <c r="DX88" s="81"/>
      <c r="DY88" s="81"/>
      <c r="DZ88" s="81"/>
      <c r="EA88" s="81"/>
      <c r="EB88" s="81"/>
      <c r="EC88" s="81"/>
      <c r="ED88" s="81"/>
      <c r="EE88" s="81"/>
      <c r="EF88" s="81"/>
      <c r="EG88" s="81"/>
      <c r="EH88" s="81"/>
      <c r="EI88" s="81"/>
    </row>
    <row r="89" ht="15.7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81"/>
      <c r="BU89" s="81"/>
      <c r="BV89" s="81"/>
      <c r="BW89" s="81"/>
      <c r="BX89" s="81"/>
      <c r="BY89" s="81"/>
      <c r="BZ89" s="81"/>
      <c r="CA89" s="81"/>
      <c r="CB89" s="81"/>
      <c r="CC89" s="81"/>
      <c r="CD89" s="81"/>
      <c r="CE89" s="81"/>
      <c r="CF89" s="81"/>
      <c r="CG89" s="81"/>
      <c r="CH89" s="81"/>
      <c r="CI89" s="81"/>
      <c r="CJ89" s="81"/>
      <c r="CK89" s="81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  <c r="DI89" s="81"/>
      <c r="DJ89" s="81"/>
      <c r="DK89" s="81"/>
      <c r="DL89" s="81"/>
      <c r="DM89" s="81"/>
      <c r="DN89" s="81"/>
      <c r="DO89" s="81"/>
      <c r="DP89" s="81"/>
      <c r="DQ89" s="81"/>
      <c r="DR89" s="81"/>
      <c r="DS89" s="81"/>
      <c r="DT89" s="81"/>
      <c r="DU89" s="81"/>
      <c r="DV89" s="81"/>
      <c r="DW89" s="81"/>
      <c r="DX89" s="81"/>
      <c r="DY89" s="81"/>
      <c r="DZ89" s="81"/>
      <c r="EA89" s="81"/>
      <c r="EB89" s="81"/>
      <c r="EC89" s="81"/>
      <c r="ED89" s="81"/>
      <c r="EE89" s="81"/>
      <c r="EF89" s="81"/>
      <c r="EG89" s="81"/>
      <c r="EH89" s="81"/>
      <c r="EI89" s="81"/>
    </row>
    <row r="90" ht="15.7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81"/>
      <c r="BU90" s="81"/>
      <c r="BV90" s="81"/>
      <c r="BW90" s="81"/>
      <c r="BX90" s="81"/>
      <c r="BY90" s="81"/>
      <c r="BZ90" s="81"/>
      <c r="CA90" s="81"/>
      <c r="CB90" s="81"/>
      <c r="CC90" s="81"/>
      <c r="CD90" s="81"/>
      <c r="CE90" s="81"/>
      <c r="CF90" s="81"/>
      <c r="CG90" s="81"/>
      <c r="CH90" s="81"/>
      <c r="CI90" s="81"/>
      <c r="CJ90" s="81"/>
      <c r="CK90" s="81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81"/>
      <c r="DL90" s="81"/>
      <c r="DM90" s="81"/>
      <c r="DN90" s="81"/>
      <c r="DO90" s="81"/>
      <c r="DP90" s="81"/>
      <c r="DQ90" s="81"/>
      <c r="DR90" s="81"/>
      <c r="DS90" s="81"/>
      <c r="DT90" s="81"/>
      <c r="DU90" s="81"/>
      <c r="DV90" s="81"/>
      <c r="DW90" s="81"/>
      <c r="DX90" s="81"/>
      <c r="DY90" s="81"/>
      <c r="DZ90" s="81"/>
      <c r="EA90" s="81"/>
      <c r="EB90" s="81"/>
      <c r="EC90" s="81"/>
      <c r="ED90" s="81"/>
      <c r="EE90" s="81"/>
      <c r="EF90" s="81"/>
      <c r="EG90" s="81"/>
      <c r="EH90" s="81"/>
      <c r="EI90" s="81"/>
    </row>
    <row r="91" ht="15.7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  <c r="BN91" s="81"/>
      <c r="BO91" s="81"/>
      <c r="BP91" s="81"/>
      <c r="BQ91" s="81"/>
      <c r="BR91" s="81"/>
      <c r="BS91" s="81"/>
      <c r="BT91" s="81"/>
      <c r="BU91" s="81"/>
      <c r="BV91" s="81"/>
      <c r="BW91" s="81"/>
      <c r="BX91" s="81"/>
      <c r="BY91" s="81"/>
      <c r="BZ91" s="81"/>
      <c r="CA91" s="81"/>
      <c r="CB91" s="81"/>
      <c r="CC91" s="81"/>
      <c r="CD91" s="81"/>
      <c r="CE91" s="81"/>
      <c r="CF91" s="81"/>
      <c r="CG91" s="81"/>
      <c r="CH91" s="81"/>
      <c r="CI91" s="81"/>
      <c r="CJ91" s="81"/>
      <c r="CK91" s="81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  <c r="DI91" s="81"/>
      <c r="DJ91" s="81"/>
      <c r="DK91" s="81"/>
      <c r="DL91" s="81"/>
      <c r="DM91" s="81"/>
      <c r="DN91" s="81"/>
      <c r="DO91" s="81"/>
      <c r="DP91" s="81"/>
      <c r="DQ91" s="81"/>
      <c r="DR91" s="81"/>
      <c r="DS91" s="81"/>
      <c r="DT91" s="81"/>
      <c r="DU91" s="81"/>
      <c r="DV91" s="81"/>
      <c r="DW91" s="81"/>
      <c r="DX91" s="81"/>
      <c r="DY91" s="81"/>
      <c r="DZ91" s="81"/>
      <c r="EA91" s="81"/>
      <c r="EB91" s="81"/>
      <c r="EC91" s="81"/>
      <c r="ED91" s="81"/>
      <c r="EE91" s="81"/>
      <c r="EF91" s="81"/>
      <c r="EG91" s="81"/>
      <c r="EH91" s="81"/>
      <c r="EI91" s="81"/>
    </row>
    <row r="92" ht="15.7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81"/>
      <c r="DL92" s="81"/>
      <c r="DM92" s="81"/>
      <c r="DN92" s="81"/>
      <c r="DO92" s="81"/>
      <c r="DP92" s="81"/>
      <c r="DQ92" s="81"/>
      <c r="DR92" s="81"/>
      <c r="DS92" s="81"/>
      <c r="DT92" s="81"/>
      <c r="DU92" s="81"/>
      <c r="DV92" s="81"/>
      <c r="DW92" s="81"/>
      <c r="DX92" s="81"/>
      <c r="DY92" s="81"/>
      <c r="DZ92" s="81"/>
      <c r="EA92" s="81"/>
      <c r="EB92" s="81"/>
      <c r="EC92" s="81"/>
      <c r="ED92" s="81"/>
      <c r="EE92" s="81"/>
      <c r="EF92" s="81"/>
      <c r="EG92" s="81"/>
      <c r="EH92" s="81"/>
      <c r="EI92" s="81"/>
    </row>
    <row r="93" ht="15.7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1"/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1"/>
      <c r="DL93" s="81"/>
      <c r="DM93" s="81"/>
      <c r="DN93" s="81"/>
      <c r="DO93" s="81"/>
      <c r="DP93" s="81"/>
      <c r="DQ93" s="81"/>
      <c r="DR93" s="81"/>
      <c r="DS93" s="81"/>
      <c r="DT93" s="81"/>
      <c r="DU93" s="81"/>
      <c r="DV93" s="81"/>
      <c r="DW93" s="81"/>
      <c r="DX93" s="81"/>
      <c r="DY93" s="81"/>
      <c r="DZ93" s="81"/>
      <c r="EA93" s="81"/>
      <c r="EB93" s="81"/>
      <c r="EC93" s="81"/>
      <c r="ED93" s="81"/>
      <c r="EE93" s="81"/>
      <c r="EF93" s="81"/>
      <c r="EG93" s="81"/>
      <c r="EH93" s="81"/>
      <c r="EI93" s="81"/>
    </row>
    <row r="94" ht="15.7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</row>
    <row r="95" ht="15.7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/>
      <c r="BL95" s="81"/>
      <c r="BM95" s="81"/>
      <c r="BN95" s="81"/>
      <c r="BO95" s="81"/>
      <c r="BP95" s="81"/>
      <c r="BQ95" s="81"/>
      <c r="BR95" s="81"/>
      <c r="BS95" s="81"/>
      <c r="BT95" s="81"/>
      <c r="BU95" s="81"/>
      <c r="BV95" s="81"/>
      <c r="BW95" s="81"/>
      <c r="BX95" s="81"/>
      <c r="BY95" s="81"/>
      <c r="BZ95" s="81"/>
      <c r="CA95" s="81"/>
      <c r="CB95" s="81"/>
      <c r="CC95" s="81"/>
      <c r="CD95" s="81"/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81"/>
      <c r="DL95" s="81"/>
      <c r="DM95" s="81"/>
      <c r="DN95" s="81"/>
      <c r="DO95" s="81"/>
      <c r="DP95" s="81"/>
      <c r="DQ95" s="81"/>
      <c r="DR95" s="81"/>
      <c r="DS95" s="81"/>
      <c r="DT95" s="81"/>
      <c r="DU95" s="81"/>
      <c r="DV95" s="81"/>
      <c r="DW95" s="81"/>
      <c r="DX95" s="81"/>
      <c r="DY95" s="81"/>
      <c r="DZ95" s="81"/>
      <c r="EA95" s="81"/>
      <c r="EB95" s="81"/>
      <c r="EC95" s="81"/>
      <c r="ED95" s="81"/>
      <c r="EE95" s="81"/>
      <c r="EF95" s="81"/>
      <c r="EG95" s="81"/>
      <c r="EH95" s="81"/>
      <c r="EI95" s="81"/>
    </row>
    <row r="96" ht="15.7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1"/>
      <c r="BK96" s="81"/>
      <c r="BL96" s="81"/>
      <c r="BM96" s="81"/>
      <c r="BN96" s="81"/>
      <c r="BO96" s="81"/>
      <c r="BP96" s="81"/>
      <c r="BQ96" s="81"/>
      <c r="BR96" s="81"/>
      <c r="BS96" s="81"/>
      <c r="BT96" s="81"/>
      <c r="BU96" s="81"/>
      <c r="BV96" s="81"/>
      <c r="BW96" s="81"/>
      <c r="BX96" s="81"/>
      <c r="BY96" s="81"/>
      <c r="BZ96" s="81"/>
      <c r="CA96" s="81"/>
      <c r="CB96" s="81"/>
      <c r="CC96" s="81"/>
      <c r="CD96" s="81"/>
      <c r="CE96" s="81"/>
      <c r="CF96" s="81"/>
      <c r="CG96" s="81"/>
      <c r="CH96" s="81"/>
      <c r="CI96" s="81"/>
      <c r="CJ96" s="81"/>
      <c r="CK96" s="81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  <c r="DI96" s="81"/>
      <c r="DJ96" s="81"/>
      <c r="DK96" s="81"/>
      <c r="DL96" s="81"/>
      <c r="DM96" s="81"/>
      <c r="DN96" s="81"/>
      <c r="DO96" s="81"/>
      <c r="DP96" s="81"/>
      <c r="DQ96" s="81"/>
      <c r="DR96" s="81"/>
      <c r="DS96" s="81"/>
      <c r="DT96" s="81"/>
      <c r="DU96" s="81"/>
      <c r="DV96" s="81"/>
      <c r="DW96" s="81"/>
      <c r="DX96" s="81"/>
      <c r="DY96" s="81"/>
      <c r="DZ96" s="81"/>
      <c r="EA96" s="81"/>
      <c r="EB96" s="81"/>
      <c r="EC96" s="81"/>
      <c r="ED96" s="81"/>
      <c r="EE96" s="81"/>
      <c r="EF96" s="81"/>
      <c r="EG96" s="81"/>
      <c r="EH96" s="81"/>
      <c r="EI96" s="81"/>
    </row>
    <row r="97" ht="15.7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1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  <c r="BW97" s="81"/>
      <c r="BX97" s="81"/>
      <c r="BY97" s="81"/>
      <c r="BZ97" s="81"/>
      <c r="CA97" s="81"/>
      <c r="CB97" s="81"/>
      <c r="CC97" s="81"/>
      <c r="CD97" s="81"/>
      <c r="CE97" s="81"/>
      <c r="CF97" s="81"/>
      <c r="CG97" s="81"/>
      <c r="CH97" s="81"/>
      <c r="CI97" s="81"/>
      <c r="CJ97" s="81"/>
      <c r="CK97" s="81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81"/>
      <c r="DL97" s="81"/>
      <c r="DM97" s="81"/>
      <c r="DN97" s="81"/>
      <c r="DO97" s="81"/>
      <c r="DP97" s="81"/>
      <c r="DQ97" s="81"/>
      <c r="DR97" s="81"/>
      <c r="DS97" s="81"/>
      <c r="DT97" s="81"/>
      <c r="DU97" s="81"/>
      <c r="DV97" s="81"/>
      <c r="DW97" s="81"/>
      <c r="DX97" s="81"/>
      <c r="DY97" s="81"/>
      <c r="DZ97" s="81"/>
      <c r="EA97" s="81"/>
      <c r="EB97" s="81"/>
      <c r="EC97" s="81"/>
      <c r="ED97" s="81"/>
      <c r="EE97" s="81"/>
      <c r="EF97" s="81"/>
      <c r="EG97" s="81"/>
      <c r="EH97" s="81"/>
      <c r="EI97" s="81"/>
    </row>
    <row r="98" ht="15.7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  <c r="BN98" s="81"/>
      <c r="BO98" s="81"/>
      <c r="BP98" s="81"/>
      <c r="BQ98" s="81"/>
      <c r="BR98" s="81"/>
      <c r="BS98" s="81"/>
      <c r="BT98" s="81"/>
      <c r="BU98" s="81"/>
      <c r="BV98" s="81"/>
      <c r="BW98" s="81"/>
      <c r="BX98" s="81"/>
      <c r="BY98" s="81"/>
      <c r="BZ98" s="81"/>
      <c r="CA98" s="81"/>
      <c r="CB98" s="81"/>
      <c r="CC98" s="81"/>
      <c r="CD98" s="81"/>
      <c r="CE98" s="81"/>
      <c r="CF98" s="81"/>
      <c r="CG98" s="81"/>
      <c r="CH98" s="81"/>
      <c r="CI98" s="81"/>
      <c r="CJ98" s="81"/>
      <c r="CK98" s="81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  <c r="DI98" s="81"/>
      <c r="DJ98" s="81"/>
      <c r="DK98" s="81"/>
      <c r="DL98" s="81"/>
      <c r="DM98" s="81"/>
      <c r="DN98" s="81"/>
      <c r="DO98" s="81"/>
      <c r="DP98" s="81"/>
      <c r="DQ98" s="81"/>
      <c r="DR98" s="81"/>
      <c r="DS98" s="81"/>
      <c r="DT98" s="81"/>
      <c r="DU98" s="81"/>
      <c r="DV98" s="81"/>
      <c r="DW98" s="81"/>
      <c r="DX98" s="81"/>
      <c r="DY98" s="81"/>
      <c r="DZ98" s="81"/>
      <c r="EA98" s="81"/>
      <c r="EB98" s="81"/>
      <c r="EC98" s="81"/>
      <c r="ED98" s="81"/>
      <c r="EE98" s="81"/>
      <c r="EF98" s="81"/>
      <c r="EG98" s="81"/>
      <c r="EH98" s="81"/>
      <c r="EI98" s="81"/>
    </row>
    <row r="99" ht="15.7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T99" s="81"/>
      <c r="BU99" s="81"/>
      <c r="BV99" s="81"/>
      <c r="BW99" s="81"/>
      <c r="BX99" s="81"/>
      <c r="BY99" s="81"/>
      <c r="BZ99" s="81"/>
      <c r="CA99" s="81"/>
      <c r="CB99" s="81"/>
      <c r="CC99" s="81"/>
      <c r="CD99" s="81"/>
      <c r="CE99" s="81"/>
      <c r="CF99" s="81"/>
      <c r="CG99" s="81"/>
      <c r="CH99" s="81"/>
      <c r="CI99" s="81"/>
      <c r="CJ99" s="81"/>
      <c r="CK99" s="81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  <c r="DI99" s="81"/>
      <c r="DJ99" s="81"/>
      <c r="DK99" s="81"/>
      <c r="DL99" s="81"/>
      <c r="DM99" s="81"/>
      <c r="DN99" s="81"/>
      <c r="DO99" s="81"/>
      <c r="DP99" s="81"/>
      <c r="DQ99" s="81"/>
      <c r="DR99" s="81"/>
      <c r="DS99" s="81"/>
      <c r="DT99" s="81"/>
      <c r="DU99" s="81"/>
      <c r="DV99" s="81"/>
      <c r="DW99" s="81"/>
      <c r="DX99" s="81"/>
      <c r="DY99" s="81"/>
      <c r="DZ99" s="81"/>
      <c r="EA99" s="81"/>
      <c r="EB99" s="81"/>
      <c r="EC99" s="81"/>
      <c r="ED99" s="81"/>
      <c r="EE99" s="81"/>
      <c r="EF99" s="81"/>
      <c r="EG99" s="81"/>
      <c r="EH99" s="81"/>
      <c r="EI99" s="81"/>
    </row>
    <row r="100" ht="15.7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  <c r="BN100" s="81"/>
      <c r="BO100" s="81"/>
      <c r="BP100" s="81"/>
      <c r="BQ100" s="81"/>
      <c r="BR100" s="81"/>
      <c r="BS100" s="81"/>
      <c r="BT100" s="81"/>
      <c r="BU100" s="81"/>
      <c r="BV100" s="81"/>
      <c r="BW100" s="81"/>
      <c r="BX100" s="81"/>
      <c r="BY100" s="81"/>
      <c r="BZ100" s="81"/>
      <c r="CA100" s="81"/>
      <c r="CB100" s="81"/>
      <c r="CC100" s="81"/>
      <c r="CD100" s="81"/>
      <c r="CE100" s="81"/>
      <c r="CF100" s="81"/>
      <c r="CG100" s="81"/>
      <c r="CH100" s="81"/>
      <c r="CI100" s="81"/>
      <c r="CJ100" s="81"/>
      <c r="CK100" s="81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  <c r="DI100" s="81"/>
      <c r="DJ100" s="81"/>
      <c r="DK100" s="81"/>
      <c r="DL100" s="81"/>
      <c r="DM100" s="81"/>
      <c r="DN100" s="81"/>
      <c r="DO100" s="81"/>
      <c r="DP100" s="81"/>
      <c r="DQ100" s="81"/>
      <c r="DR100" s="81"/>
      <c r="DS100" s="81"/>
      <c r="DT100" s="81"/>
      <c r="DU100" s="81"/>
      <c r="DV100" s="81"/>
      <c r="DW100" s="81"/>
      <c r="DX100" s="81"/>
      <c r="DY100" s="81"/>
      <c r="DZ100" s="81"/>
      <c r="EA100" s="81"/>
      <c r="EB100" s="81"/>
      <c r="EC100" s="81"/>
      <c r="ED100" s="81"/>
      <c r="EE100" s="81"/>
      <c r="EF100" s="81"/>
      <c r="EG100" s="81"/>
      <c r="EH100" s="81"/>
      <c r="EI100" s="81"/>
    </row>
    <row r="101" ht="15.7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  <c r="DI101" s="81"/>
      <c r="DJ101" s="81"/>
      <c r="DK101" s="81"/>
      <c r="DL101" s="81"/>
      <c r="DM101" s="81"/>
      <c r="DN101" s="81"/>
      <c r="DO101" s="81"/>
      <c r="DP101" s="81"/>
      <c r="DQ101" s="81"/>
      <c r="DR101" s="81"/>
      <c r="DS101" s="81"/>
      <c r="DT101" s="81"/>
      <c r="DU101" s="81"/>
      <c r="DV101" s="81"/>
      <c r="DW101" s="81"/>
      <c r="DX101" s="81"/>
      <c r="DY101" s="81"/>
      <c r="DZ101" s="81"/>
      <c r="EA101" s="81"/>
      <c r="EB101" s="81"/>
      <c r="EC101" s="81"/>
      <c r="ED101" s="81"/>
      <c r="EE101" s="81"/>
      <c r="EF101" s="81"/>
      <c r="EG101" s="81"/>
      <c r="EH101" s="81"/>
      <c r="EI101" s="81"/>
    </row>
    <row r="102" ht="15.7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1"/>
      <c r="CE102" s="81"/>
      <c r="CF102" s="81"/>
      <c r="CG102" s="81"/>
      <c r="CH102" s="81"/>
      <c r="CI102" s="81"/>
      <c r="CJ102" s="81"/>
      <c r="CK102" s="81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  <c r="DI102" s="81"/>
      <c r="DJ102" s="81"/>
      <c r="DK102" s="81"/>
      <c r="DL102" s="81"/>
      <c r="DM102" s="81"/>
      <c r="DN102" s="81"/>
      <c r="DO102" s="81"/>
      <c r="DP102" s="81"/>
      <c r="DQ102" s="81"/>
      <c r="DR102" s="81"/>
      <c r="DS102" s="81"/>
      <c r="DT102" s="81"/>
      <c r="DU102" s="81"/>
      <c r="DV102" s="81"/>
      <c r="DW102" s="81"/>
      <c r="DX102" s="81"/>
      <c r="DY102" s="81"/>
      <c r="DZ102" s="81"/>
      <c r="EA102" s="81"/>
      <c r="EB102" s="81"/>
      <c r="EC102" s="81"/>
      <c r="ED102" s="81"/>
      <c r="EE102" s="81"/>
      <c r="EF102" s="81"/>
      <c r="EG102" s="81"/>
      <c r="EH102" s="81"/>
      <c r="EI102" s="81"/>
    </row>
    <row r="103" ht="15.7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  <c r="BH103" s="81"/>
      <c r="BI103" s="81"/>
      <c r="BJ103" s="81"/>
      <c r="BK103" s="81"/>
      <c r="BL103" s="81"/>
      <c r="BM103" s="81"/>
      <c r="BN103" s="81"/>
      <c r="BO103" s="81"/>
      <c r="BP103" s="81"/>
      <c r="BQ103" s="81"/>
      <c r="BR103" s="81"/>
      <c r="BS103" s="81"/>
      <c r="BT103" s="81"/>
      <c r="BU103" s="81"/>
      <c r="BV103" s="81"/>
      <c r="BW103" s="81"/>
      <c r="BX103" s="81"/>
      <c r="BY103" s="81"/>
      <c r="BZ103" s="81"/>
      <c r="CA103" s="81"/>
      <c r="CB103" s="81"/>
      <c r="CC103" s="81"/>
      <c r="CD103" s="81"/>
      <c r="CE103" s="81"/>
      <c r="CF103" s="81"/>
      <c r="CG103" s="81"/>
      <c r="CH103" s="81"/>
      <c r="CI103" s="81"/>
      <c r="CJ103" s="81"/>
      <c r="CK103" s="81"/>
      <c r="CL103" s="81"/>
      <c r="CM103" s="81"/>
      <c r="CN103" s="81"/>
      <c r="CO103" s="81"/>
      <c r="CP103" s="81"/>
      <c r="CQ103" s="81"/>
      <c r="CR103" s="81"/>
      <c r="CS103" s="81"/>
      <c r="CT103" s="81"/>
      <c r="CU103" s="81"/>
      <c r="CV103" s="81"/>
      <c r="CW103" s="81"/>
      <c r="CX103" s="81"/>
      <c r="CY103" s="81"/>
      <c r="CZ103" s="81"/>
      <c r="DA103" s="81"/>
      <c r="DB103" s="81"/>
      <c r="DC103" s="81"/>
      <c r="DD103" s="81"/>
      <c r="DE103" s="81"/>
      <c r="DF103" s="81"/>
      <c r="DG103" s="81"/>
      <c r="DH103" s="81"/>
      <c r="DI103" s="81"/>
      <c r="DJ103" s="81"/>
      <c r="DK103" s="81"/>
      <c r="DL103" s="81"/>
      <c r="DM103" s="81"/>
      <c r="DN103" s="81"/>
      <c r="DO103" s="81"/>
      <c r="DP103" s="81"/>
      <c r="DQ103" s="81"/>
      <c r="DR103" s="81"/>
      <c r="DS103" s="81"/>
      <c r="DT103" s="81"/>
      <c r="DU103" s="81"/>
      <c r="DV103" s="81"/>
      <c r="DW103" s="81"/>
      <c r="DX103" s="81"/>
      <c r="DY103" s="81"/>
      <c r="DZ103" s="81"/>
      <c r="EA103" s="81"/>
      <c r="EB103" s="81"/>
      <c r="EC103" s="81"/>
      <c r="ED103" s="81"/>
      <c r="EE103" s="81"/>
      <c r="EF103" s="81"/>
      <c r="EG103" s="81"/>
      <c r="EH103" s="81"/>
      <c r="EI103" s="81"/>
    </row>
    <row r="104" ht="15.7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1"/>
      <c r="CA104" s="81"/>
      <c r="CB104" s="81"/>
      <c r="CC104" s="81"/>
      <c r="CD104" s="81"/>
      <c r="CE104" s="81"/>
      <c r="CF104" s="81"/>
      <c r="CG104" s="81"/>
      <c r="CH104" s="81"/>
      <c r="CI104" s="81"/>
      <c r="CJ104" s="81"/>
      <c r="CK104" s="81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1"/>
      <c r="CX104" s="81"/>
      <c r="CY104" s="81"/>
      <c r="CZ104" s="81"/>
      <c r="DA104" s="81"/>
      <c r="DB104" s="81"/>
      <c r="DC104" s="81"/>
      <c r="DD104" s="81"/>
      <c r="DE104" s="81"/>
      <c r="DF104" s="81"/>
      <c r="DG104" s="81"/>
      <c r="DH104" s="81"/>
      <c r="DI104" s="81"/>
      <c r="DJ104" s="81"/>
      <c r="DK104" s="81"/>
      <c r="DL104" s="81"/>
      <c r="DM104" s="81"/>
      <c r="DN104" s="81"/>
      <c r="DO104" s="81"/>
      <c r="DP104" s="81"/>
      <c r="DQ104" s="81"/>
      <c r="DR104" s="81"/>
      <c r="DS104" s="81"/>
      <c r="DT104" s="81"/>
      <c r="DU104" s="81"/>
      <c r="DV104" s="81"/>
      <c r="DW104" s="81"/>
      <c r="DX104" s="81"/>
      <c r="DY104" s="81"/>
      <c r="DZ104" s="81"/>
      <c r="EA104" s="81"/>
      <c r="EB104" s="81"/>
      <c r="EC104" s="81"/>
      <c r="ED104" s="81"/>
      <c r="EE104" s="81"/>
      <c r="EF104" s="81"/>
      <c r="EG104" s="81"/>
      <c r="EH104" s="81"/>
      <c r="EI104" s="81"/>
    </row>
    <row r="105" ht="15.7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  <c r="BW105" s="81"/>
      <c r="BX105" s="81"/>
      <c r="BY105" s="81"/>
      <c r="BZ105" s="81"/>
      <c r="CA105" s="81"/>
      <c r="CB105" s="81"/>
      <c r="CC105" s="81"/>
      <c r="CD105" s="81"/>
      <c r="CE105" s="81"/>
      <c r="CF105" s="81"/>
      <c r="CG105" s="81"/>
      <c r="CH105" s="81"/>
      <c r="CI105" s="81"/>
      <c r="CJ105" s="81"/>
      <c r="CK105" s="81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1"/>
      <c r="CX105" s="81"/>
      <c r="CY105" s="81"/>
      <c r="CZ105" s="81"/>
      <c r="DA105" s="81"/>
      <c r="DB105" s="81"/>
      <c r="DC105" s="81"/>
      <c r="DD105" s="81"/>
      <c r="DE105" s="81"/>
      <c r="DF105" s="81"/>
      <c r="DG105" s="81"/>
      <c r="DH105" s="81"/>
      <c r="DI105" s="81"/>
      <c r="DJ105" s="81"/>
      <c r="DK105" s="81"/>
      <c r="DL105" s="81"/>
      <c r="DM105" s="81"/>
      <c r="DN105" s="81"/>
      <c r="DO105" s="81"/>
      <c r="DP105" s="81"/>
      <c r="DQ105" s="81"/>
      <c r="DR105" s="81"/>
      <c r="DS105" s="81"/>
      <c r="DT105" s="81"/>
      <c r="DU105" s="81"/>
      <c r="DV105" s="81"/>
      <c r="DW105" s="81"/>
      <c r="DX105" s="81"/>
      <c r="DY105" s="81"/>
      <c r="DZ105" s="81"/>
      <c r="EA105" s="81"/>
      <c r="EB105" s="81"/>
      <c r="EC105" s="81"/>
      <c r="ED105" s="81"/>
      <c r="EE105" s="81"/>
      <c r="EF105" s="81"/>
      <c r="EG105" s="81"/>
      <c r="EH105" s="81"/>
      <c r="EI105" s="81"/>
    </row>
    <row r="106" ht="15.7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  <c r="BW106" s="81"/>
      <c r="BX106" s="81"/>
      <c r="BY106" s="81"/>
      <c r="BZ106" s="81"/>
      <c r="CA106" s="81"/>
      <c r="CB106" s="81"/>
      <c r="CC106" s="81"/>
      <c r="CD106" s="81"/>
      <c r="CE106" s="81"/>
      <c r="CF106" s="81"/>
      <c r="CG106" s="81"/>
      <c r="CH106" s="81"/>
      <c r="CI106" s="81"/>
      <c r="CJ106" s="81"/>
      <c r="CK106" s="81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1"/>
      <c r="CX106" s="81"/>
      <c r="CY106" s="81"/>
      <c r="CZ106" s="81"/>
      <c r="DA106" s="81"/>
      <c r="DB106" s="81"/>
      <c r="DC106" s="81"/>
      <c r="DD106" s="81"/>
      <c r="DE106" s="81"/>
      <c r="DF106" s="81"/>
      <c r="DG106" s="81"/>
      <c r="DH106" s="81"/>
      <c r="DI106" s="81"/>
      <c r="DJ106" s="81"/>
      <c r="DK106" s="81"/>
      <c r="DL106" s="81"/>
      <c r="DM106" s="81"/>
      <c r="DN106" s="81"/>
      <c r="DO106" s="81"/>
      <c r="DP106" s="81"/>
      <c r="DQ106" s="81"/>
      <c r="DR106" s="81"/>
      <c r="DS106" s="81"/>
      <c r="DT106" s="81"/>
      <c r="DU106" s="81"/>
      <c r="DV106" s="81"/>
      <c r="DW106" s="81"/>
      <c r="DX106" s="81"/>
      <c r="DY106" s="81"/>
      <c r="DZ106" s="81"/>
      <c r="EA106" s="81"/>
      <c r="EB106" s="81"/>
      <c r="EC106" s="81"/>
      <c r="ED106" s="81"/>
      <c r="EE106" s="81"/>
      <c r="EF106" s="81"/>
      <c r="EG106" s="81"/>
      <c r="EH106" s="81"/>
      <c r="EI106" s="81"/>
    </row>
    <row r="107" ht="15.7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1"/>
      <c r="BY107" s="81"/>
      <c r="BZ107" s="81"/>
      <c r="CA107" s="81"/>
      <c r="CB107" s="81"/>
      <c r="CC107" s="81"/>
      <c r="CD107" s="81"/>
      <c r="CE107" s="81"/>
      <c r="CF107" s="81"/>
      <c r="CG107" s="81"/>
      <c r="CH107" s="81"/>
      <c r="CI107" s="81"/>
      <c r="CJ107" s="81"/>
      <c r="CK107" s="81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1"/>
      <c r="CX107" s="81"/>
      <c r="CY107" s="81"/>
      <c r="CZ107" s="81"/>
      <c r="DA107" s="81"/>
      <c r="DB107" s="81"/>
      <c r="DC107" s="81"/>
      <c r="DD107" s="81"/>
      <c r="DE107" s="81"/>
      <c r="DF107" s="81"/>
      <c r="DG107" s="81"/>
      <c r="DH107" s="81"/>
      <c r="DI107" s="81"/>
      <c r="DJ107" s="81"/>
      <c r="DK107" s="81"/>
      <c r="DL107" s="81"/>
      <c r="DM107" s="81"/>
      <c r="DN107" s="81"/>
      <c r="DO107" s="81"/>
      <c r="DP107" s="81"/>
      <c r="DQ107" s="81"/>
      <c r="DR107" s="81"/>
      <c r="DS107" s="81"/>
      <c r="DT107" s="81"/>
      <c r="DU107" s="81"/>
      <c r="DV107" s="81"/>
      <c r="DW107" s="81"/>
      <c r="DX107" s="81"/>
      <c r="DY107" s="81"/>
      <c r="DZ107" s="81"/>
      <c r="EA107" s="81"/>
      <c r="EB107" s="81"/>
      <c r="EC107" s="81"/>
      <c r="ED107" s="81"/>
      <c r="EE107" s="81"/>
      <c r="EF107" s="81"/>
      <c r="EG107" s="81"/>
      <c r="EH107" s="81"/>
      <c r="EI107" s="81"/>
    </row>
    <row r="108" ht="15.7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1"/>
      <c r="DE108" s="81"/>
      <c r="DF108" s="81"/>
      <c r="DG108" s="81"/>
      <c r="DH108" s="81"/>
      <c r="DI108" s="81"/>
      <c r="DJ108" s="81"/>
      <c r="DK108" s="81"/>
      <c r="DL108" s="81"/>
      <c r="DM108" s="81"/>
      <c r="DN108" s="81"/>
      <c r="DO108" s="81"/>
      <c r="DP108" s="81"/>
      <c r="DQ108" s="81"/>
      <c r="DR108" s="81"/>
      <c r="DS108" s="81"/>
      <c r="DT108" s="81"/>
      <c r="DU108" s="81"/>
      <c r="DV108" s="81"/>
      <c r="DW108" s="81"/>
      <c r="DX108" s="81"/>
      <c r="DY108" s="81"/>
      <c r="DZ108" s="81"/>
      <c r="EA108" s="81"/>
      <c r="EB108" s="81"/>
      <c r="EC108" s="81"/>
      <c r="ED108" s="81"/>
      <c r="EE108" s="81"/>
      <c r="EF108" s="81"/>
      <c r="EG108" s="81"/>
      <c r="EH108" s="81"/>
      <c r="EI108" s="81"/>
    </row>
    <row r="109" ht="15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1"/>
      <c r="CX109" s="81"/>
      <c r="CY109" s="81"/>
      <c r="CZ109" s="81"/>
      <c r="DA109" s="81"/>
      <c r="DB109" s="81"/>
      <c r="DC109" s="81"/>
      <c r="DD109" s="81"/>
      <c r="DE109" s="81"/>
      <c r="DF109" s="81"/>
      <c r="DG109" s="81"/>
      <c r="DH109" s="81"/>
      <c r="DI109" s="81"/>
      <c r="DJ109" s="81"/>
      <c r="DK109" s="81"/>
      <c r="DL109" s="81"/>
      <c r="DM109" s="81"/>
      <c r="DN109" s="81"/>
      <c r="DO109" s="81"/>
      <c r="DP109" s="81"/>
      <c r="DQ109" s="81"/>
      <c r="DR109" s="81"/>
      <c r="DS109" s="81"/>
      <c r="DT109" s="81"/>
      <c r="DU109" s="81"/>
      <c r="DV109" s="81"/>
      <c r="DW109" s="81"/>
      <c r="DX109" s="81"/>
      <c r="DY109" s="81"/>
      <c r="DZ109" s="81"/>
      <c r="EA109" s="81"/>
      <c r="EB109" s="81"/>
      <c r="EC109" s="81"/>
      <c r="ED109" s="81"/>
      <c r="EE109" s="81"/>
      <c r="EF109" s="81"/>
      <c r="EG109" s="81"/>
      <c r="EH109" s="81"/>
      <c r="EI109" s="81"/>
    </row>
    <row r="110" ht="15.7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1"/>
      <c r="CE110" s="81"/>
      <c r="CF110" s="81"/>
      <c r="CG110" s="81"/>
      <c r="CH110" s="81"/>
      <c r="CI110" s="81"/>
      <c r="CJ110" s="81"/>
      <c r="CK110" s="81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1"/>
      <c r="CX110" s="81"/>
      <c r="CY110" s="81"/>
      <c r="CZ110" s="81"/>
      <c r="DA110" s="81"/>
      <c r="DB110" s="81"/>
      <c r="DC110" s="81"/>
      <c r="DD110" s="81"/>
      <c r="DE110" s="81"/>
      <c r="DF110" s="81"/>
      <c r="DG110" s="81"/>
      <c r="DH110" s="81"/>
      <c r="DI110" s="81"/>
      <c r="DJ110" s="81"/>
      <c r="DK110" s="81"/>
      <c r="DL110" s="81"/>
      <c r="DM110" s="81"/>
      <c r="DN110" s="81"/>
      <c r="DO110" s="81"/>
      <c r="DP110" s="81"/>
      <c r="DQ110" s="81"/>
      <c r="DR110" s="81"/>
      <c r="DS110" s="81"/>
      <c r="DT110" s="81"/>
      <c r="DU110" s="81"/>
      <c r="DV110" s="81"/>
      <c r="DW110" s="81"/>
      <c r="DX110" s="81"/>
      <c r="DY110" s="81"/>
      <c r="DZ110" s="81"/>
      <c r="EA110" s="81"/>
      <c r="EB110" s="81"/>
      <c r="EC110" s="81"/>
      <c r="ED110" s="81"/>
      <c r="EE110" s="81"/>
      <c r="EF110" s="81"/>
      <c r="EG110" s="81"/>
      <c r="EH110" s="81"/>
      <c r="EI110" s="81"/>
    </row>
    <row r="111" ht="15.7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1"/>
      <c r="CE111" s="81"/>
      <c r="CF111" s="81"/>
      <c r="CG111" s="81"/>
      <c r="CH111" s="81"/>
      <c r="CI111" s="81"/>
      <c r="CJ111" s="81"/>
      <c r="CK111" s="81"/>
      <c r="CL111" s="81"/>
      <c r="CM111" s="81"/>
      <c r="CN111" s="81"/>
      <c r="CO111" s="81"/>
      <c r="CP111" s="81"/>
      <c r="CQ111" s="81"/>
      <c r="CR111" s="81"/>
      <c r="CS111" s="81"/>
      <c r="CT111" s="81"/>
      <c r="CU111" s="81"/>
      <c r="CV111" s="81"/>
      <c r="CW111" s="81"/>
      <c r="CX111" s="81"/>
      <c r="CY111" s="81"/>
      <c r="CZ111" s="81"/>
      <c r="DA111" s="81"/>
      <c r="DB111" s="81"/>
      <c r="DC111" s="81"/>
      <c r="DD111" s="81"/>
      <c r="DE111" s="81"/>
      <c r="DF111" s="81"/>
      <c r="DG111" s="81"/>
      <c r="DH111" s="81"/>
      <c r="DI111" s="81"/>
      <c r="DJ111" s="81"/>
      <c r="DK111" s="81"/>
      <c r="DL111" s="81"/>
      <c r="DM111" s="81"/>
      <c r="DN111" s="81"/>
      <c r="DO111" s="81"/>
      <c r="DP111" s="81"/>
      <c r="DQ111" s="81"/>
      <c r="DR111" s="81"/>
      <c r="DS111" s="81"/>
      <c r="DT111" s="81"/>
      <c r="DU111" s="81"/>
      <c r="DV111" s="81"/>
      <c r="DW111" s="81"/>
      <c r="DX111" s="81"/>
      <c r="DY111" s="81"/>
      <c r="DZ111" s="81"/>
      <c r="EA111" s="81"/>
      <c r="EB111" s="81"/>
      <c r="EC111" s="81"/>
      <c r="ED111" s="81"/>
      <c r="EE111" s="81"/>
      <c r="EF111" s="81"/>
      <c r="EG111" s="81"/>
      <c r="EH111" s="81"/>
      <c r="EI111" s="81"/>
    </row>
    <row r="112" ht="15.7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1"/>
      <c r="CE112" s="81"/>
      <c r="CF112" s="81"/>
      <c r="CG112" s="81"/>
      <c r="CH112" s="81"/>
      <c r="CI112" s="81"/>
      <c r="CJ112" s="81"/>
      <c r="CK112" s="81"/>
      <c r="CL112" s="81"/>
      <c r="CM112" s="81"/>
      <c r="CN112" s="81"/>
      <c r="CO112" s="81"/>
      <c r="CP112" s="81"/>
      <c r="CQ112" s="81"/>
      <c r="CR112" s="81"/>
      <c r="CS112" s="81"/>
      <c r="CT112" s="81"/>
      <c r="CU112" s="81"/>
      <c r="CV112" s="81"/>
      <c r="CW112" s="81"/>
      <c r="CX112" s="81"/>
      <c r="CY112" s="81"/>
      <c r="CZ112" s="81"/>
      <c r="DA112" s="81"/>
      <c r="DB112" s="81"/>
      <c r="DC112" s="81"/>
      <c r="DD112" s="81"/>
      <c r="DE112" s="81"/>
      <c r="DF112" s="81"/>
      <c r="DG112" s="81"/>
      <c r="DH112" s="81"/>
      <c r="DI112" s="81"/>
      <c r="DJ112" s="81"/>
      <c r="DK112" s="81"/>
      <c r="DL112" s="81"/>
      <c r="DM112" s="81"/>
      <c r="DN112" s="81"/>
      <c r="DO112" s="81"/>
      <c r="DP112" s="81"/>
      <c r="DQ112" s="81"/>
      <c r="DR112" s="81"/>
      <c r="DS112" s="81"/>
      <c r="DT112" s="81"/>
      <c r="DU112" s="81"/>
      <c r="DV112" s="81"/>
      <c r="DW112" s="81"/>
      <c r="DX112" s="81"/>
      <c r="DY112" s="81"/>
      <c r="DZ112" s="81"/>
      <c r="EA112" s="81"/>
      <c r="EB112" s="81"/>
      <c r="EC112" s="81"/>
      <c r="ED112" s="81"/>
      <c r="EE112" s="81"/>
      <c r="EF112" s="81"/>
      <c r="EG112" s="81"/>
      <c r="EH112" s="81"/>
      <c r="EI112" s="81"/>
    </row>
    <row r="113" ht="15.7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  <c r="BJ113" s="81"/>
      <c r="BK113" s="81"/>
      <c r="BL113" s="81"/>
      <c r="BM113" s="81"/>
      <c r="BN113" s="81"/>
      <c r="BO113" s="81"/>
      <c r="BP113" s="81"/>
      <c r="BQ113" s="81"/>
      <c r="BR113" s="81"/>
      <c r="BS113" s="81"/>
      <c r="BT113" s="81"/>
      <c r="BU113" s="81"/>
      <c r="BV113" s="81"/>
      <c r="BW113" s="81"/>
      <c r="BX113" s="81"/>
      <c r="BY113" s="81"/>
      <c r="BZ113" s="81"/>
      <c r="CA113" s="81"/>
      <c r="CB113" s="81"/>
      <c r="CC113" s="81"/>
      <c r="CD113" s="81"/>
      <c r="CE113" s="81"/>
      <c r="CF113" s="81"/>
      <c r="CG113" s="81"/>
      <c r="CH113" s="81"/>
      <c r="CI113" s="81"/>
      <c r="CJ113" s="81"/>
      <c r="CK113" s="81"/>
      <c r="CL113" s="81"/>
      <c r="CM113" s="81"/>
      <c r="CN113" s="81"/>
      <c r="CO113" s="81"/>
      <c r="CP113" s="81"/>
      <c r="CQ113" s="81"/>
      <c r="CR113" s="81"/>
      <c r="CS113" s="81"/>
      <c r="CT113" s="81"/>
      <c r="CU113" s="81"/>
      <c r="CV113" s="81"/>
      <c r="CW113" s="81"/>
      <c r="CX113" s="81"/>
      <c r="CY113" s="81"/>
      <c r="CZ113" s="81"/>
      <c r="DA113" s="81"/>
      <c r="DB113" s="81"/>
      <c r="DC113" s="81"/>
      <c r="DD113" s="81"/>
      <c r="DE113" s="81"/>
      <c r="DF113" s="81"/>
      <c r="DG113" s="81"/>
      <c r="DH113" s="81"/>
      <c r="DI113" s="81"/>
      <c r="DJ113" s="81"/>
      <c r="DK113" s="81"/>
      <c r="DL113" s="81"/>
      <c r="DM113" s="81"/>
      <c r="DN113" s="81"/>
      <c r="DO113" s="81"/>
      <c r="DP113" s="81"/>
      <c r="DQ113" s="81"/>
      <c r="DR113" s="81"/>
      <c r="DS113" s="81"/>
      <c r="DT113" s="81"/>
      <c r="DU113" s="81"/>
      <c r="DV113" s="81"/>
      <c r="DW113" s="81"/>
      <c r="DX113" s="81"/>
      <c r="DY113" s="81"/>
      <c r="DZ113" s="81"/>
      <c r="EA113" s="81"/>
      <c r="EB113" s="81"/>
      <c r="EC113" s="81"/>
      <c r="ED113" s="81"/>
      <c r="EE113" s="81"/>
      <c r="EF113" s="81"/>
      <c r="EG113" s="81"/>
      <c r="EH113" s="81"/>
      <c r="EI113" s="81"/>
    </row>
    <row r="114" ht="15.7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  <c r="BJ114" s="81"/>
      <c r="BK114" s="81"/>
      <c r="BL114" s="81"/>
      <c r="BM114" s="81"/>
      <c r="BN114" s="81"/>
      <c r="BO114" s="81"/>
      <c r="BP114" s="81"/>
      <c r="BQ114" s="81"/>
      <c r="BR114" s="81"/>
      <c r="BS114" s="81"/>
      <c r="BT114" s="81"/>
      <c r="BU114" s="81"/>
      <c r="BV114" s="81"/>
      <c r="BW114" s="81"/>
      <c r="BX114" s="81"/>
      <c r="BY114" s="81"/>
      <c r="BZ114" s="81"/>
      <c r="CA114" s="81"/>
      <c r="CB114" s="81"/>
      <c r="CC114" s="81"/>
      <c r="CD114" s="81"/>
      <c r="CE114" s="81"/>
      <c r="CF114" s="81"/>
      <c r="CG114" s="81"/>
      <c r="CH114" s="81"/>
      <c r="CI114" s="81"/>
      <c r="CJ114" s="81"/>
      <c r="CK114" s="81"/>
      <c r="CL114" s="81"/>
      <c r="CM114" s="81"/>
      <c r="CN114" s="81"/>
      <c r="CO114" s="81"/>
      <c r="CP114" s="81"/>
      <c r="CQ114" s="81"/>
      <c r="CR114" s="81"/>
      <c r="CS114" s="81"/>
      <c r="CT114" s="81"/>
      <c r="CU114" s="81"/>
      <c r="CV114" s="81"/>
      <c r="CW114" s="81"/>
      <c r="CX114" s="81"/>
      <c r="CY114" s="81"/>
      <c r="CZ114" s="81"/>
      <c r="DA114" s="81"/>
      <c r="DB114" s="81"/>
      <c r="DC114" s="81"/>
      <c r="DD114" s="81"/>
      <c r="DE114" s="81"/>
      <c r="DF114" s="81"/>
      <c r="DG114" s="81"/>
      <c r="DH114" s="81"/>
      <c r="DI114" s="81"/>
      <c r="DJ114" s="81"/>
      <c r="DK114" s="81"/>
      <c r="DL114" s="81"/>
      <c r="DM114" s="81"/>
      <c r="DN114" s="81"/>
      <c r="DO114" s="81"/>
      <c r="DP114" s="81"/>
      <c r="DQ114" s="81"/>
      <c r="DR114" s="81"/>
      <c r="DS114" s="81"/>
      <c r="DT114" s="81"/>
      <c r="DU114" s="81"/>
      <c r="DV114" s="81"/>
      <c r="DW114" s="81"/>
      <c r="DX114" s="81"/>
      <c r="DY114" s="81"/>
      <c r="DZ114" s="81"/>
      <c r="EA114" s="81"/>
      <c r="EB114" s="81"/>
      <c r="EC114" s="81"/>
      <c r="ED114" s="81"/>
      <c r="EE114" s="81"/>
      <c r="EF114" s="81"/>
      <c r="EG114" s="81"/>
      <c r="EH114" s="81"/>
      <c r="EI114" s="81"/>
    </row>
    <row r="115" ht="15.7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  <c r="BJ115" s="81"/>
      <c r="BK115" s="81"/>
      <c r="BL115" s="81"/>
      <c r="BM115" s="81"/>
      <c r="BN115" s="81"/>
      <c r="BO115" s="81"/>
      <c r="BP115" s="81"/>
      <c r="BQ115" s="81"/>
      <c r="BR115" s="81"/>
      <c r="BS115" s="81"/>
      <c r="BT115" s="81"/>
      <c r="BU115" s="81"/>
      <c r="BV115" s="81"/>
      <c r="BW115" s="81"/>
      <c r="BX115" s="81"/>
      <c r="BY115" s="81"/>
      <c r="BZ115" s="81"/>
      <c r="CA115" s="81"/>
      <c r="CB115" s="81"/>
      <c r="CC115" s="81"/>
      <c r="CD115" s="81"/>
      <c r="CE115" s="81"/>
      <c r="CF115" s="81"/>
      <c r="CG115" s="81"/>
      <c r="CH115" s="81"/>
      <c r="CI115" s="81"/>
      <c r="CJ115" s="81"/>
      <c r="CK115" s="81"/>
      <c r="CL115" s="81"/>
      <c r="CM115" s="81"/>
      <c r="CN115" s="81"/>
      <c r="CO115" s="81"/>
      <c r="CP115" s="81"/>
      <c r="CQ115" s="81"/>
      <c r="CR115" s="81"/>
      <c r="CS115" s="81"/>
      <c r="CT115" s="81"/>
      <c r="CU115" s="81"/>
      <c r="CV115" s="81"/>
      <c r="CW115" s="81"/>
      <c r="CX115" s="81"/>
      <c r="CY115" s="81"/>
      <c r="CZ115" s="81"/>
      <c r="DA115" s="81"/>
      <c r="DB115" s="81"/>
      <c r="DC115" s="81"/>
      <c r="DD115" s="81"/>
      <c r="DE115" s="81"/>
      <c r="DF115" s="81"/>
      <c r="DG115" s="81"/>
      <c r="DH115" s="81"/>
      <c r="DI115" s="81"/>
      <c r="DJ115" s="81"/>
      <c r="DK115" s="81"/>
      <c r="DL115" s="81"/>
      <c r="DM115" s="81"/>
      <c r="DN115" s="81"/>
      <c r="DO115" s="81"/>
      <c r="DP115" s="81"/>
      <c r="DQ115" s="81"/>
      <c r="DR115" s="81"/>
      <c r="DS115" s="81"/>
      <c r="DT115" s="81"/>
      <c r="DU115" s="81"/>
      <c r="DV115" s="81"/>
      <c r="DW115" s="81"/>
      <c r="DX115" s="81"/>
      <c r="DY115" s="81"/>
      <c r="DZ115" s="81"/>
      <c r="EA115" s="81"/>
      <c r="EB115" s="81"/>
      <c r="EC115" s="81"/>
      <c r="ED115" s="81"/>
      <c r="EE115" s="81"/>
      <c r="EF115" s="81"/>
      <c r="EG115" s="81"/>
      <c r="EH115" s="81"/>
      <c r="EI115" s="81"/>
    </row>
    <row r="116" ht="15.7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81"/>
      <c r="CR116" s="81"/>
      <c r="CS116" s="81"/>
      <c r="CT116" s="81"/>
      <c r="CU116" s="81"/>
      <c r="CV116" s="81"/>
      <c r="CW116" s="81"/>
      <c r="CX116" s="81"/>
      <c r="CY116" s="81"/>
      <c r="CZ116" s="81"/>
      <c r="DA116" s="81"/>
      <c r="DB116" s="81"/>
      <c r="DC116" s="81"/>
      <c r="DD116" s="81"/>
      <c r="DE116" s="81"/>
      <c r="DF116" s="81"/>
      <c r="DG116" s="81"/>
      <c r="DH116" s="81"/>
      <c r="DI116" s="81"/>
      <c r="DJ116" s="81"/>
      <c r="DK116" s="81"/>
      <c r="DL116" s="81"/>
      <c r="DM116" s="81"/>
      <c r="DN116" s="81"/>
      <c r="DO116" s="81"/>
      <c r="DP116" s="81"/>
      <c r="DQ116" s="81"/>
      <c r="DR116" s="81"/>
      <c r="DS116" s="81"/>
      <c r="DT116" s="81"/>
      <c r="DU116" s="81"/>
      <c r="DV116" s="81"/>
      <c r="DW116" s="81"/>
      <c r="DX116" s="81"/>
      <c r="DY116" s="81"/>
      <c r="DZ116" s="81"/>
      <c r="EA116" s="81"/>
      <c r="EB116" s="81"/>
      <c r="EC116" s="81"/>
      <c r="ED116" s="81"/>
      <c r="EE116" s="81"/>
      <c r="EF116" s="81"/>
      <c r="EG116" s="81"/>
      <c r="EH116" s="81"/>
      <c r="EI116" s="81"/>
    </row>
    <row r="117" ht="15.7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1"/>
      <c r="CX117" s="81"/>
      <c r="CY117" s="81"/>
      <c r="CZ117" s="81"/>
      <c r="DA117" s="81"/>
      <c r="DB117" s="81"/>
      <c r="DC117" s="81"/>
      <c r="DD117" s="81"/>
      <c r="DE117" s="81"/>
      <c r="DF117" s="81"/>
      <c r="DG117" s="81"/>
      <c r="DH117" s="81"/>
      <c r="DI117" s="81"/>
      <c r="DJ117" s="81"/>
      <c r="DK117" s="81"/>
      <c r="DL117" s="81"/>
      <c r="DM117" s="81"/>
      <c r="DN117" s="81"/>
      <c r="DO117" s="81"/>
      <c r="DP117" s="81"/>
      <c r="DQ117" s="81"/>
      <c r="DR117" s="81"/>
      <c r="DS117" s="81"/>
      <c r="DT117" s="81"/>
      <c r="DU117" s="81"/>
      <c r="DV117" s="81"/>
      <c r="DW117" s="81"/>
      <c r="DX117" s="81"/>
      <c r="DY117" s="81"/>
      <c r="DZ117" s="81"/>
      <c r="EA117" s="81"/>
      <c r="EB117" s="81"/>
      <c r="EC117" s="81"/>
      <c r="ED117" s="81"/>
      <c r="EE117" s="81"/>
      <c r="EF117" s="81"/>
      <c r="EG117" s="81"/>
      <c r="EH117" s="81"/>
      <c r="EI117" s="81"/>
    </row>
    <row r="118" ht="15.7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  <c r="CN118" s="81"/>
      <c r="CO118" s="81"/>
      <c r="CP118" s="81"/>
      <c r="CQ118" s="81"/>
      <c r="CR118" s="81"/>
      <c r="CS118" s="81"/>
      <c r="CT118" s="81"/>
      <c r="CU118" s="81"/>
      <c r="CV118" s="81"/>
      <c r="CW118" s="81"/>
      <c r="CX118" s="81"/>
      <c r="CY118" s="81"/>
      <c r="CZ118" s="81"/>
      <c r="DA118" s="81"/>
      <c r="DB118" s="81"/>
      <c r="DC118" s="81"/>
      <c r="DD118" s="81"/>
      <c r="DE118" s="81"/>
      <c r="DF118" s="81"/>
      <c r="DG118" s="81"/>
      <c r="DH118" s="81"/>
      <c r="DI118" s="81"/>
      <c r="DJ118" s="81"/>
      <c r="DK118" s="81"/>
      <c r="DL118" s="81"/>
      <c r="DM118" s="81"/>
      <c r="DN118" s="81"/>
      <c r="DO118" s="81"/>
      <c r="DP118" s="81"/>
      <c r="DQ118" s="81"/>
      <c r="DR118" s="81"/>
      <c r="DS118" s="81"/>
      <c r="DT118" s="81"/>
      <c r="DU118" s="81"/>
      <c r="DV118" s="81"/>
      <c r="DW118" s="81"/>
      <c r="DX118" s="81"/>
      <c r="DY118" s="81"/>
      <c r="DZ118" s="81"/>
      <c r="EA118" s="81"/>
      <c r="EB118" s="81"/>
      <c r="EC118" s="81"/>
      <c r="ED118" s="81"/>
      <c r="EE118" s="81"/>
      <c r="EF118" s="81"/>
      <c r="EG118" s="81"/>
      <c r="EH118" s="81"/>
      <c r="EI118" s="81"/>
    </row>
    <row r="119" ht="15.7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81"/>
      <c r="CR119" s="81"/>
      <c r="CS119" s="81"/>
      <c r="CT119" s="81"/>
      <c r="CU119" s="81"/>
      <c r="CV119" s="81"/>
      <c r="CW119" s="81"/>
      <c r="CX119" s="81"/>
      <c r="CY119" s="81"/>
      <c r="CZ119" s="81"/>
      <c r="DA119" s="81"/>
      <c r="DB119" s="81"/>
      <c r="DC119" s="81"/>
      <c r="DD119" s="81"/>
      <c r="DE119" s="81"/>
      <c r="DF119" s="81"/>
      <c r="DG119" s="81"/>
      <c r="DH119" s="81"/>
      <c r="DI119" s="81"/>
      <c r="DJ119" s="81"/>
      <c r="DK119" s="81"/>
      <c r="DL119" s="81"/>
      <c r="DM119" s="81"/>
      <c r="DN119" s="81"/>
      <c r="DO119" s="81"/>
      <c r="DP119" s="81"/>
      <c r="DQ119" s="81"/>
      <c r="DR119" s="81"/>
      <c r="DS119" s="81"/>
      <c r="DT119" s="81"/>
      <c r="DU119" s="81"/>
      <c r="DV119" s="81"/>
      <c r="DW119" s="81"/>
      <c r="DX119" s="81"/>
      <c r="DY119" s="81"/>
      <c r="DZ119" s="81"/>
      <c r="EA119" s="81"/>
      <c r="EB119" s="81"/>
      <c r="EC119" s="81"/>
      <c r="ED119" s="81"/>
      <c r="EE119" s="81"/>
      <c r="EF119" s="81"/>
      <c r="EG119" s="81"/>
      <c r="EH119" s="81"/>
      <c r="EI119" s="81"/>
    </row>
    <row r="120" ht="15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  <c r="CI120" s="81"/>
      <c r="CJ120" s="81"/>
      <c r="CK120" s="81"/>
      <c r="CL120" s="81"/>
      <c r="CM120" s="81"/>
      <c r="CN120" s="81"/>
      <c r="CO120" s="81"/>
      <c r="CP120" s="81"/>
      <c r="CQ120" s="81"/>
      <c r="CR120" s="81"/>
      <c r="CS120" s="81"/>
      <c r="CT120" s="81"/>
      <c r="CU120" s="81"/>
      <c r="CV120" s="81"/>
      <c r="CW120" s="81"/>
      <c r="CX120" s="81"/>
      <c r="CY120" s="81"/>
      <c r="CZ120" s="81"/>
      <c r="DA120" s="81"/>
      <c r="DB120" s="81"/>
      <c r="DC120" s="81"/>
      <c r="DD120" s="81"/>
      <c r="DE120" s="81"/>
      <c r="DF120" s="81"/>
      <c r="DG120" s="81"/>
      <c r="DH120" s="81"/>
      <c r="DI120" s="81"/>
      <c r="DJ120" s="81"/>
      <c r="DK120" s="81"/>
      <c r="DL120" s="81"/>
      <c r="DM120" s="81"/>
      <c r="DN120" s="81"/>
      <c r="DO120" s="81"/>
      <c r="DP120" s="81"/>
      <c r="DQ120" s="81"/>
      <c r="DR120" s="81"/>
      <c r="DS120" s="81"/>
      <c r="DT120" s="81"/>
      <c r="DU120" s="81"/>
      <c r="DV120" s="81"/>
      <c r="DW120" s="81"/>
      <c r="DX120" s="81"/>
      <c r="DY120" s="81"/>
      <c r="DZ120" s="81"/>
      <c r="EA120" s="81"/>
      <c r="EB120" s="81"/>
      <c r="EC120" s="81"/>
      <c r="ED120" s="81"/>
      <c r="EE120" s="81"/>
      <c r="EF120" s="81"/>
      <c r="EG120" s="81"/>
      <c r="EH120" s="81"/>
      <c r="EI120" s="81"/>
    </row>
    <row r="121" ht="15.7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  <c r="CN121" s="81"/>
      <c r="CO121" s="81"/>
      <c r="CP121" s="81"/>
      <c r="CQ121" s="81"/>
      <c r="CR121" s="81"/>
      <c r="CS121" s="81"/>
      <c r="CT121" s="81"/>
      <c r="CU121" s="81"/>
      <c r="CV121" s="81"/>
      <c r="CW121" s="81"/>
      <c r="CX121" s="81"/>
      <c r="CY121" s="81"/>
      <c r="CZ121" s="81"/>
      <c r="DA121" s="81"/>
      <c r="DB121" s="81"/>
      <c r="DC121" s="81"/>
      <c r="DD121" s="81"/>
      <c r="DE121" s="81"/>
      <c r="DF121" s="81"/>
      <c r="DG121" s="81"/>
      <c r="DH121" s="81"/>
      <c r="DI121" s="81"/>
      <c r="DJ121" s="81"/>
      <c r="DK121" s="81"/>
      <c r="DL121" s="81"/>
      <c r="DM121" s="81"/>
      <c r="DN121" s="81"/>
      <c r="DO121" s="81"/>
      <c r="DP121" s="81"/>
      <c r="DQ121" s="81"/>
      <c r="DR121" s="81"/>
      <c r="DS121" s="81"/>
      <c r="DT121" s="81"/>
      <c r="DU121" s="81"/>
      <c r="DV121" s="81"/>
      <c r="DW121" s="81"/>
      <c r="DX121" s="81"/>
      <c r="DY121" s="81"/>
      <c r="DZ121" s="81"/>
      <c r="EA121" s="81"/>
      <c r="EB121" s="81"/>
      <c r="EC121" s="81"/>
      <c r="ED121" s="81"/>
      <c r="EE121" s="81"/>
      <c r="EF121" s="81"/>
      <c r="EG121" s="81"/>
      <c r="EH121" s="81"/>
      <c r="EI121" s="81"/>
    </row>
    <row r="122" ht="15.7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  <c r="CI122" s="81"/>
      <c r="CJ122" s="81"/>
      <c r="CK122" s="81"/>
      <c r="CL122" s="81"/>
      <c r="CM122" s="81"/>
      <c r="CN122" s="81"/>
      <c r="CO122" s="81"/>
      <c r="CP122" s="81"/>
      <c r="CQ122" s="81"/>
      <c r="CR122" s="81"/>
      <c r="CS122" s="81"/>
      <c r="CT122" s="81"/>
      <c r="CU122" s="81"/>
      <c r="CV122" s="81"/>
      <c r="CW122" s="81"/>
      <c r="CX122" s="81"/>
      <c r="CY122" s="81"/>
      <c r="CZ122" s="81"/>
      <c r="DA122" s="81"/>
      <c r="DB122" s="81"/>
      <c r="DC122" s="81"/>
      <c r="DD122" s="81"/>
      <c r="DE122" s="81"/>
      <c r="DF122" s="81"/>
      <c r="DG122" s="81"/>
      <c r="DH122" s="81"/>
      <c r="DI122" s="81"/>
      <c r="DJ122" s="81"/>
      <c r="DK122" s="81"/>
      <c r="DL122" s="81"/>
      <c r="DM122" s="81"/>
      <c r="DN122" s="81"/>
      <c r="DO122" s="81"/>
      <c r="DP122" s="81"/>
      <c r="DQ122" s="81"/>
      <c r="DR122" s="81"/>
      <c r="DS122" s="81"/>
      <c r="DT122" s="81"/>
      <c r="DU122" s="81"/>
      <c r="DV122" s="81"/>
      <c r="DW122" s="81"/>
      <c r="DX122" s="81"/>
      <c r="DY122" s="81"/>
      <c r="DZ122" s="81"/>
      <c r="EA122" s="81"/>
      <c r="EB122" s="81"/>
      <c r="EC122" s="81"/>
      <c r="ED122" s="81"/>
      <c r="EE122" s="81"/>
      <c r="EF122" s="81"/>
      <c r="EG122" s="81"/>
      <c r="EH122" s="81"/>
      <c r="EI122" s="81"/>
    </row>
    <row r="123" ht="15.7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  <c r="CI123" s="81"/>
      <c r="CJ123" s="81"/>
      <c r="CK123" s="81"/>
      <c r="CL123" s="81"/>
      <c r="CM123" s="81"/>
      <c r="CN123" s="81"/>
      <c r="CO123" s="81"/>
      <c r="CP123" s="81"/>
      <c r="CQ123" s="81"/>
      <c r="CR123" s="81"/>
      <c r="CS123" s="81"/>
      <c r="CT123" s="81"/>
      <c r="CU123" s="81"/>
      <c r="CV123" s="81"/>
      <c r="CW123" s="81"/>
      <c r="CX123" s="81"/>
      <c r="CY123" s="81"/>
      <c r="CZ123" s="81"/>
      <c r="DA123" s="81"/>
      <c r="DB123" s="81"/>
      <c r="DC123" s="81"/>
      <c r="DD123" s="81"/>
      <c r="DE123" s="81"/>
      <c r="DF123" s="81"/>
      <c r="DG123" s="81"/>
      <c r="DH123" s="81"/>
      <c r="DI123" s="81"/>
      <c r="DJ123" s="81"/>
      <c r="DK123" s="81"/>
      <c r="DL123" s="81"/>
      <c r="DM123" s="81"/>
      <c r="DN123" s="81"/>
      <c r="DO123" s="81"/>
      <c r="DP123" s="81"/>
      <c r="DQ123" s="81"/>
      <c r="DR123" s="81"/>
      <c r="DS123" s="81"/>
      <c r="DT123" s="81"/>
      <c r="DU123" s="81"/>
      <c r="DV123" s="81"/>
      <c r="DW123" s="81"/>
      <c r="DX123" s="81"/>
      <c r="DY123" s="81"/>
      <c r="DZ123" s="81"/>
      <c r="EA123" s="81"/>
      <c r="EB123" s="81"/>
      <c r="EC123" s="81"/>
      <c r="ED123" s="81"/>
      <c r="EE123" s="81"/>
      <c r="EF123" s="81"/>
      <c r="EG123" s="81"/>
      <c r="EH123" s="81"/>
      <c r="EI123" s="81"/>
    </row>
    <row r="124" ht="15.7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  <c r="CI124" s="81"/>
      <c r="CJ124" s="81"/>
      <c r="CK124" s="81"/>
      <c r="CL124" s="81"/>
      <c r="CM124" s="81"/>
      <c r="CN124" s="81"/>
      <c r="CO124" s="81"/>
      <c r="CP124" s="81"/>
      <c r="CQ124" s="81"/>
      <c r="CR124" s="81"/>
      <c r="CS124" s="81"/>
      <c r="CT124" s="81"/>
      <c r="CU124" s="81"/>
      <c r="CV124" s="81"/>
      <c r="CW124" s="81"/>
      <c r="CX124" s="81"/>
      <c r="CY124" s="81"/>
      <c r="CZ124" s="81"/>
      <c r="DA124" s="81"/>
      <c r="DB124" s="81"/>
      <c r="DC124" s="81"/>
      <c r="DD124" s="81"/>
      <c r="DE124" s="81"/>
      <c r="DF124" s="81"/>
      <c r="DG124" s="81"/>
      <c r="DH124" s="81"/>
      <c r="DI124" s="81"/>
      <c r="DJ124" s="81"/>
      <c r="DK124" s="81"/>
      <c r="DL124" s="81"/>
      <c r="DM124" s="81"/>
      <c r="DN124" s="81"/>
      <c r="DO124" s="81"/>
      <c r="DP124" s="81"/>
      <c r="DQ124" s="81"/>
      <c r="DR124" s="81"/>
      <c r="DS124" s="81"/>
      <c r="DT124" s="81"/>
      <c r="DU124" s="81"/>
      <c r="DV124" s="81"/>
      <c r="DW124" s="81"/>
      <c r="DX124" s="81"/>
      <c r="DY124" s="81"/>
      <c r="DZ124" s="81"/>
      <c r="EA124" s="81"/>
      <c r="EB124" s="81"/>
      <c r="EC124" s="81"/>
      <c r="ED124" s="81"/>
      <c r="EE124" s="81"/>
      <c r="EF124" s="81"/>
      <c r="EG124" s="81"/>
      <c r="EH124" s="81"/>
      <c r="EI124" s="81"/>
    </row>
    <row r="125" ht="15.7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  <c r="CI125" s="81"/>
      <c r="CJ125" s="81"/>
      <c r="CK125" s="81"/>
      <c r="CL125" s="81"/>
      <c r="CM125" s="81"/>
      <c r="CN125" s="81"/>
      <c r="CO125" s="81"/>
      <c r="CP125" s="81"/>
      <c r="CQ125" s="81"/>
      <c r="CR125" s="81"/>
      <c r="CS125" s="81"/>
      <c r="CT125" s="81"/>
      <c r="CU125" s="81"/>
      <c r="CV125" s="81"/>
      <c r="CW125" s="81"/>
      <c r="CX125" s="81"/>
      <c r="CY125" s="81"/>
      <c r="CZ125" s="81"/>
      <c r="DA125" s="81"/>
      <c r="DB125" s="81"/>
      <c r="DC125" s="81"/>
      <c r="DD125" s="81"/>
      <c r="DE125" s="81"/>
      <c r="DF125" s="81"/>
      <c r="DG125" s="81"/>
      <c r="DH125" s="81"/>
      <c r="DI125" s="81"/>
      <c r="DJ125" s="81"/>
      <c r="DK125" s="81"/>
      <c r="DL125" s="81"/>
      <c r="DM125" s="81"/>
      <c r="DN125" s="81"/>
      <c r="DO125" s="81"/>
      <c r="DP125" s="81"/>
      <c r="DQ125" s="81"/>
      <c r="DR125" s="81"/>
      <c r="DS125" s="81"/>
      <c r="DT125" s="81"/>
      <c r="DU125" s="81"/>
      <c r="DV125" s="81"/>
      <c r="DW125" s="81"/>
      <c r="DX125" s="81"/>
      <c r="DY125" s="81"/>
      <c r="DZ125" s="81"/>
      <c r="EA125" s="81"/>
      <c r="EB125" s="81"/>
      <c r="EC125" s="81"/>
      <c r="ED125" s="81"/>
      <c r="EE125" s="81"/>
      <c r="EF125" s="81"/>
      <c r="EG125" s="81"/>
      <c r="EH125" s="81"/>
      <c r="EI125" s="81"/>
    </row>
    <row r="126" ht="15.7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  <c r="CN126" s="81"/>
      <c r="CO126" s="81"/>
      <c r="CP126" s="81"/>
      <c r="CQ126" s="81"/>
      <c r="CR126" s="81"/>
      <c r="CS126" s="81"/>
      <c r="CT126" s="81"/>
      <c r="CU126" s="81"/>
      <c r="CV126" s="81"/>
      <c r="CW126" s="81"/>
      <c r="CX126" s="81"/>
      <c r="CY126" s="81"/>
      <c r="CZ126" s="81"/>
      <c r="DA126" s="81"/>
      <c r="DB126" s="81"/>
      <c r="DC126" s="81"/>
      <c r="DD126" s="81"/>
      <c r="DE126" s="81"/>
      <c r="DF126" s="81"/>
      <c r="DG126" s="81"/>
      <c r="DH126" s="81"/>
      <c r="DI126" s="81"/>
      <c r="DJ126" s="81"/>
      <c r="DK126" s="81"/>
      <c r="DL126" s="81"/>
      <c r="DM126" s="81"/>
      <c r="DN126" s="81"/>
      <c r="DO126" s="81"/>
      <c r="DP126" s="81"/>
      <c r="DQ126" s="81"/>
      <c r="DR126" s="81"/>
      <c r="DS126" s="81"/>
      <c r="DT126" s="81"/>
      <c r="DU126" s="81"/>
      <c r="DV126" s="81"/>
      <c r="DW126" s="81"/>
      <c r="DX126" s="81"/>
      <c r="DY126" s="81"/>
      <c r="DZ126" s="81"/>
      <c r="EA126" s="81"/>
      <c r="EB126" s="81"/>
      <c r="EC126" s="81"/>
      <c r="ED126" s="81"/>
      <c r="EE126" s="81"/>
      <c r="EF126" s="81"/>
      <c r="EG126" s="81"/>
      <c r="EH126" s="81"/>
      <c r="EI126" s="81"/>
    </row>
    <row r="127" ht="15.7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  <c r="BW127" s="81"/>
      <c r="BX127" s="81"/>
      <c r="BY127" s="81"/>
      <c r="BZ127" s="81"/>
      <c r="CA127" s="81"/>
      <c r="CB127" s="81"/>
      <c r="CC127" s="81"/>
      <c r="CD127" s="81"/>
      <c r="CE127" s="81"/>
      <c r="CF127" s="81"/>
      <c r="CG127" s="81"/>
      <c r="CH127" s="81"/>
      <c r="CI127" s="81"/>
      <c r="CJ127" s="81"/>
      <c r="CK127" s="81"/>
      <c r="CL127" s="81"/>
      <c r="CM127" s="81"/>
      <c r="CN127" s="81"/>
      <c r="CO127" s="81"/>
      <c r="CP127" s="81"/>
      <c r="CQ127" s="81"/>
      <c r="CR127" s="81"/>
      <c r="CS127" s="81"/>
      <c r="CT127" s="81"/>
      <c r="CU127" s="81"/>
      <c r="CV127" s="81"/>
      <c r="CW127" s="81"/>
      <c r="CX127" s="81"/>
      <c r="CY127" s="81"/>
      <c r="CZ127" s="81"/>
      <c r="DA127" s="81"/>
      <c r="DB127" s="81"/>
      <c r="DC127" s="81"/>
      <c r="DD127" s="81"/>
      <c r="DE127" s="81"/>
      <c r="DF127" s="81"/>
      <c r="DG127" s="81"/>
      <c r="DH127" s="81"/>
      <c r="DI127" s="81"/>
      <c r="DJ127" s="81"/>
      <c r="DK127" s="81"/>
      <c r="DL127" s="81"/>
      <c r="DM127" s="81"/>
      <c r="DN127" s="81"/>
      <c r="DO127" s="81"/>
      <c r="DP127" s="81"/>
      <c r="DQ127" s="81"/>
      <c r="DR127" s="81"/>
      <c r="DS127" s="81"/>
      <c r="DT127" s="81"/>
      <c r="DU127" s="81"/>
      <c r="DV127" s="81"/>
      <c r="DW127" s="81"/>
      <c r="DX127" s="81"/>
      <c r="DY127" s="81"/>
      <c r="DZ127" s="81"/>
      <c r="EA127" s="81"/>
      <c r="EB127" s="81"/>
      <c r="EC127" s="81"/>
      <c r="ED127" s="81"/>
      <c r="EE127" s="81"/>
      <c r="EF127" s="81"/>
      <c r="EG127" s="81"/>
      <c r="EH127" s="81"/>
      <c r="EI127" s="81"/>
    </row>
    <row r="128" ht="15.7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  <c r="BW128" s="81"/>
      <c r="BX128" s="81"/>
      <c r="BY128" s="81"/>
      <c r="BZ128" s="81"/>
      <c r="CA128" s="81"/>
      <c r="CB128" s="81"/>
      <c r="CC128" s="81"/>
      <c r="CD128" s="81"/>
      <c r="CE128" s="81"/>
      <c r="CF128" s="81"/>
      <c r="CG128" s="81"/>
      <c r="CH128" s="81"/>
      <c r="CI128" s="81"/>
      <c r="CJ128" s="81"/>
      <c r="CK128" s="81"/>
      <c r="CL128" s="81"/>
      <c r="CM128" s="81"/>
      <c r="CN128" s="81"/>
      <c r="CO128" s="81"/>
      <c r="CP128" s="81"/>
      <c r="CQ128" s="81"/>
      <c r="CR128" s="81"/>
      <c r="CS128" s="81"/>
      <c r="CT128" s="81"/>
      <c r="CU128" s="81"/>
      <c r="CV128" s="81"/>
      <c r="CW128" s="81"/>
      <c r="CX128" s="81"/>
      <c r="CY128" s="81"/>
      <c r="CZ128" s="81"/>
      <c r="DA128" s="81"/>
      <c r="DB128" s="81"/>
      <c r="DC128" s="81"/>
      <c r="DD128" s="81"/>
      <c r="DE128" s="81"/>
      <c r="DF128" s="81"/>
      <c r="DG128" s="81"/>
      <c r="DH128" s="81"/>
      <c r="DI128" s="81"/>
      <c r="DJ128" s="81"/>
      <c r="DK128" s="81"/>
      <c r="DL128" s="81"/>
      <c r="DM128" s="81"/>
      <c r="DN128" s="81"/>
      <c r="DO128" s="81"/>
      <c r="DP128" s="81"/>
      <c r="DQ128" s="81"/>
      <c r="DR128" s="81"/>
      <c r="DS128" s="81"/>
      <c r="DT128" s="81"/>
      <c r="DU128" s="81"/>
      <c r="DV128" s="81"/>
      <c r="DW128" s="81"/>
      <c r="DX128" s="81"/>
      <c r="DY128" s="81"/>
      <c r="DZ128" s="81"/>
      <c r="EA128" s="81"/>
      <c r="EB128" s="81"/>
      <c r="EC128" s="81"/>
      <c r="ED128" s="81"/>
      <c r="EE128" s="81"/>
      <c r="EF128" s="81"/>
      <c r="EG128" s="81"/>
      <c r="EH128" s="81"/>
      <c r="EI128" s="81"/>
    </row>
    <row r="129" ht="15.7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  <c r="BW129" s="81"/>
      <c r="BX129" s="81"/>
      <c r="BY129" s="81"/>
      <c r="BZ129" s="81"/>
      <c r="CA129" s="81"/>
      <c r="CB129" s="81"/>
      <c r="CC129" s="81"/>
      <c r="CD129" s="81"/>
      <c r="CE129" s="81"/>
      <c r="CF129" s="81"/>
      <c r="CG129" s="81"/>
      <c r="CH129" s="81"/>
      <c r="CI129" s="81"/>
      <c r="CJ129" s="81"/>
      <c r="CK129" s="81"/>
      <c r="CL129" s="81"/>
      <c r="CM129" s="81"/>
      <c r="CN129" s="81"/>
      <c r="CO129" s="81"/>
      <c r="CP129" s="81"/>
      <c r="CQ129" s="81"/>
      <c r="CR129" s="81"/>
      <c r="CS129" s="81"/>
      <c r="CT129" s="81"/>
      <c r="CU129" s="81"/>
      <c r="CV129" s="81"/>
      <c r="CW129" s="81"/>
      <c r="CX129" s="81"/>
      <c r="CY129" s="81"/>
      <c r="CZ129" s="81"/>
      <c r="DA129" s="81"/>
      <c r="DB129" s="81"/>
      <c r="DC129" s="81"/>
      <c r="DD129" s="81"/>
      <c r="DE129" s="81"/>
      <c r="DF129" s="81"/>
      <c r="DG129" s="81"/>
      <c r="DH129" s="81"/>
      <c r="DI129" s="81"/>
      <c r="DJ129" s="81"/>
      <c r="DK129" s="81"/>
      <c r="DL129" s="81"/>
      <c r="DM129" s="81"/>
      <c r="DN129" s="81"/>
      <c r="DO129" s="81"/>
      <c r="DP129" s="81"/>
      <c r="DQ129" s="81"/>
      <c r="DR129" s="81"/>
      <c r="DS129" s="81"/>
      <c r="DT129" s="81"/>
      <c r="DU129" s="81"/>
      <c r="DV129" s="81"/>
      <c r="DW129" s="81"/>
      <c r="DX129" s="81"/>
      <c r="DY129" s="81"/>
      <c r="DZ129" s="81"/>
      <c r="EA129" s="81"/>
      <c r="EB129" s="81"/>
      <c r="EC129" s="81"/>
      <c r="ED129" s="81"/>
      <c r="EE129" s="81"/>
      <c r="EF129" s="81"/>
      <c r="EG129" s="81"/>
      <c r="EH129" s="81"/>
      <c r="EI129" s="81"/>
    </row>
    <row r="130" ht="15.7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  <c r="BW130" s="81"/>
      <c r="BX130" s="81"/>
      <c r="BY130" s="81"/>
      <c r="BZ130" s="81"/>
      <c r="CA130" s="81"/>
      <c r="CB130" s="81"/>
      <c r="CC130" s="81"/>
      <c r="CD130" s="81"/>
      <c r="CE130" s="81"/>
      <c r="CF130" s="81"/>
      <c r="CG130" s="81"/>
      <c r="CH130" s="81"/>
      <c r="CI130" s="81"/>
      <c r="CJ130" s="81"/>
      <c r="CK130" s="81"/>
      <c r="CL130" s="81"/>
      <c r="CM130" s="81"/>
      <c r="CN130" s="81"/>
      <c r="CO130" s="81"/>
      <c r="CP130" s="81"/>
      <c r="CQ130" s="81"/>
      <c r="CR130" s="81"/>
      <c r="CS130" s="81"/>
      <c r="CT130" s="81"/>
      <c r="CU130" s="81"/>
      <c r="CV130" s="81"/>
      <c r="CW130" s="81"/>
      <c r="CX130" s="81"/>
      <c r="CY130" s="81"/>
      <c r="CZ130" s="81"/>
      <c r="DA130" s="81"/>
      <c r="DB130" s="81"/>
      <c r="DC130" s="81"/>
      <c r="DD130" s="81"/>
      <c r="DE130" s="81"/>
      <c r="DF130" s="81"/>
      <c r="DG130" s="81"/>
      <c r="DH130" s="81"/>
      <c r="DI130" s="81"/>
      <c r="DJ130" s="81"/>
      <c r="DK130" s="81"/>
      <c r="DL130" s="81"/>
      <c r="DM130" s="81"/>
      <c r="DN130" s="81"/>
      <c r="DO130" s="81"/>
      <c r="DP130" s="81"/>
      <c r="DQ130" s="81"/>
      <c r="DR130" s="81"/>
      <c r="DS130" s="81"/>
      <c r="DT130" s="81"/>
      <c r="DU130" s="81"/>
      <c r="DV130" s="81"/>
      <c r="DW130" s="81"/>
      <c r="DX130" s="81"/>
      <c r="DY130" s="81"/>
      <c r="DZ130" s="81"/>
      <c r="EA130" s="81"/>
      <c r="EB130" s="81"/>
      <c r="EC130" s="81"/>
      <c r="ED130" s="81"/>
      <c r="EE130" s="81"/>
      <c r="EF130" s="81"/>
      <c r="EG130" s="81"/>
      <c r="EH130" s="81"/>
      <c r="EI130" s="81"/>
    </row>
    <row r="131" ht="15.7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  <c r="CN131" s="81"/>
      <c r="CO131" s="81"/>
      <c r="CP131" s="81"/>
      <c r="CQ131" s="81"/>
      <c r="CR131" s="81"/>
      <c r="CS131" s="81"/>
      <c r="CT131" s="81"/>
      <c r="CU131" s="81"/>
      <c r="CV131" s="81"/>
      <c r="CW131" s="81"/>
      <c r="CX131" s="81"/>
      <c r="CY131" s="81"/>
      <c r="CZ131" s="81"/>
      <c r="DA131" s="81"/>
      <c r="DB131" s="81"/>
      <c r="DC131" s="81"/>
      <c r="DD131" s="81"/>
      <c r="DE131" s="81"/>
      <c r="DF131" s="81"/>
      <c r="DG131" s="81"/>
      <c r="DH131" s="81"/>
      <c r="DI131" s="81"/>
      <c r="DJ131" s="81"/>
      <c r="DK131" s="81"/>
      <c r="DL131" s="81"/>
      <c r="DM131" s="81"/>
      <c r="DN131" s="81"/>
      <c r="DO131" s="81"/>
      <c r="DP131" s="81"/>
      <c r="DQ131" s="81"/>
      <c r="DR131" s="81"/>
      <c r="DS131" s="81"/>
      <c r="DT131" s="81"/>
      <c r="DU131" s="81"/>
      <c r="DV131" s="81"/>
      <c r="DW131" s="81"/>
      <c r="DX131" s="81"/>
      <c r="DY131" s="81"/>
      <c r="DZ131" s="81"/>
      <c r="EA131" s="81"/>
      <c r="EB131" s="81"/>
      <c r="EC131" s="81"/>
      <c r="ED131" s="81"/>
      <c r="EE131" s="81"/>
      <c r="EF131" s="81"/>
      <c r="EG131" s="81"/>
      <c r="EH131" s="81"/>
      <c r="EI131" s="81"/>
    </row>
    <row r="132" ht="15.7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  <c r="CN132" s="81"/>
      <c r="CO132" s="81"/>
      <c r="CP132" s="81"/>
      <c r="CQ132" s="81"/>
      <c r="CR132" s="81"/>
      <c r="CS132" s="81"/>
      <c r="CT132" s="81"/>
      <c r="CU132" s="81"/>
      <c r="CV132" s="81"/>
      <c r="CW132" s="81"/>
      <c r="CX132" s="81"/>
      <c r="CY132" s="81"/>
      <c r="CZ132" s="81"/>
      <c r="DA132" s="81"/>
      <c r="DB132" s="81"/>
      <c r="DC132" s="81"/>
      <c r="DD132" s="81"/>
      <c r="DE132" s="81"/>
      <c r="DF132" s="81"/>
      <c r="DG132" s="81"/>
      <c r="DH132" s="81"/>
      <c r="DI132" s="81"/>
      <c r="DJ132" s="81"/>
      <c r="DK132" s="81"/>
      <c r="DL132" s="81"/>
      <c r="DM132" s="81"/>
      <c r="DN132" s="81"/>
      <c r="DO132" s="81"/>
      <c r="DP132" s="81"/>
      <c r="DQ132" s="81"/>
      <c r="DR132" s="81"/>
      <c r="DS132" s="81"/>
      <c r="DT132" s="81"/>
      <c r="DU132" s="81"/>
      <c r="DV132" s="81"/>
      <c r="DW132" s="81"/>
      <c r="DX132" s="81"/>
      <c r="DY132" s="81"/>
      <c r="DZ132" s="81"/>
      <c r="EA132" s="81"/>
      <c r="EB132" s="81"/>
      <c r="EC132" s="81"/>
      <c r="ED132" s="81"/>
      <c r="EE132" s="81"/>
      <c r="EF132" s="81"/>
      <c r="EG132" s="81"/>
      <c r="EH132" s="81"/>
      <c r="EI132" s="81"/>
    </row>
    <row r="133" ht="15.7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  <c r="BW133" s="81"/>
      <c r="BX133" s="81"/>
      <c r="BY133" s="81"/>
      <c r="BZ133" s="81"/>
      <c r="CA133" s="81"/>
      <c r="CB133" s="81"/>
      <c r="CC133" s="81"/>
      <c r="CD133" s="81"/>
      <c r="CE133" s="81"/>
      <c r="CF133" s="81"/>
      <c r="CG133" s="81"/>
      <c r="CH133" s="81"/>
      <c r="CI133" s="81"/>
      <c r="CJ133" s="81"/>
      <c r="CK133" s="81"/>
      <c r="CL133" s="81"/>
      <c r="CM133" s="81"/>
      <c r="CN133" s="81"/>
      <c r="CO133" s="81"/>
      <c r="CP133" s="81"/>
      <c r="CQ133" s="81"/>
      <c r="CR133" s="81"/>
      <c r="CS133" s="81"/>
      <c r="CT133" s="81"/>
      <c r="CU133" s="81"/>
      <c r="CV133" s="81"/>
      <c r="CW133" s="81"/>
      <c r="CX133" s="81"/>
      <c r="CY133" s="81"/>
      <c r="CZ133" s="81"/>
      <c r="DA133" s="81"/>
      <c r="DB133" s="81"/>
      <c r="DC133" s="81"/>
      <c r="DD133" s="81"/>
      <c r="DE133" s="81"/>
      <c r="DF133" s="81"/>
      <c r="DG133" s="81"/>
      <c r="DH133" s="81"/>
      <c r="DI133" s="81"/>
      <c r="DJ133" s="81"/>
      <c r="DK133" s="81"/>
      <c r="DL133" s="81"/>
      <c r="DM133" s="81"/>
      <c r="DN133" s="81"/>
      <c r="DO133" s="81"/>
      <c r="DP133" s="81"/>
      <c r="DQ133" s="81"/>
      <c r="DR133" s="81"/>
      <c r="DS133" s="81"/>
      <c r="DT133" s="81"/>
      <c r="DU133" s="81"/>
      <c r="DV133" s="81"/>
      <c r="DW133" s="81"/>
      <c r="DX133" s="81"/>
      <c r="DY133" s="81"/>
      <c r="DZ133" s="81"/>
      <c r="EA133" s="81"/>
      <c r="EB133" s="81"/>
      <c r="EC133" s="81"/>
      <c r="ED133" s="81"/>
      <c r="EE133" s="81"/>
      <c r="EF133" s="81"/>
      <c r="EG133" s="81"/>
      <c r="EH133" s="81"/>
      <c r="EI133" s="81"/>
    </row>
    <row r="134" ht="15.7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1"/>
      <c r="CX134" s="81"/>
      <c r="CY134" s="81"/>
      <c r="CZ134" s="81"/>
      <c r="DA134" s="81"/>
      <c r="DB134" s="81"/>
      <c r="DC134" s="81"/>
      <c r="DD134" s="81"/>
      <c r="DE134" s="81"/>
      <c r="DF134" s="81"/>
      <c r="DG134" s="81"/>
      <c r="DH134" s="81"/>
      <c r="DI134" s="81"/>
      <c r="DJ134" s="81"/>
      <c r="DK134" s="81"/>
      <c r="DL134" s="81"/>
      <c r="DM134" s="81"/>
      <c r="DN134" s="81"/>
      <c r="DO134" s="81"/>
      <c r="DP134" s="81"/>
      <c r="DQ134" s="81"/>
      <c r="DR134" s="81"/>
      <c r="DS134" s="81"/>
      <c r="DT134" s="81"/>
      <c r="DU134" s="81"/>
      <c r="DV134" s="81"/>
      <c r="DW134" s="81"/>
      <c r="DX134" s="81"/>
      <c r="DY134" s="81"/>
      <c r="DZ134" s="81"/>
      <c r="EA134" s="81"/>
      <c r="EB134" s="81"/>
      <c r="EC134" s="81"/>
      <c r="ED134" s="81"/>
      <c r="EE134" s="81"/>
      <c r="EF134" s="81"/>
      <c r="EG134" s="81"/>
      <c r="EH134" s="81"/>
      <c r="EI134" s="81"/>
    </row>
    <row r="135" ht="15.7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  <c r="CN135" s="81"/>
      <c r="CO135" s="81"/>
      <c r="CP135" s="81"/>
      <c r="CQ135" s="81"/>
      <c r="CR135" s="81"/>
      <c r="CS135" s="81"/>
      <c r="CT135" s="81"/>
      <c r="CU135" s="81"/>
      <c r="CV135" s="81"/>
      <c r="CW135" s="81"/>
      <c r="CX135" s="81"/>
      <c r="CY135" s="81"/>
      <c r="CZ135" s="81"/>
      <c r="DA135" s="81"/>
      <c r="DB135" s="81"/>
      <c r="DC135" s="81"/>
      <c r="DD135" s="81"/>
      <c r="DE135" s="81"/>
      <c r="DF135" s="81"/>
      <c r="DG135" s="81"/>
      <c r="DH135" s="81"/>
      <c r="DI135" s="81"/>
      <c r="DJ135" s="81"/>
      <c r="DK135" s="81"/>
      <c r="DL135" s="81"/>
      <c r="DM135" s="81"/>
      <c r="DN135" s="81"/>
      <c r="DO135" s="81"/>
      <c r="DP135" s="81"/>
      <c r="DQ135" s="81"/>
      <c r="DR135" s="81"/>
      <c r="DS135" s="81"/>
      <c r="DT135" s="81"/>
      <c r="DU135" s="81"/>
      <c r="DV135" s="81"/>
      <c r="DW135" s="81"/>
      <c r="DX135" s="81"/>
      <c r="DY135" s="81"/>
      <c r="DZ135" s="81"/>
      <c r="EA135" s="81"/>
      <c r="EB135" s="81"/>
      <c r="EC135" s="81"/>
      <c r="ED135" s="81"/>
      <c r="EE135" s="81"/>
      <c r="EF135" s="81"/>
      <c r="EG135" s="81"/>
      <c r="EH135" s="81"/>
      <c r="EI135" s="81"/>
    </row>
    <row r="136" ht="15.7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  <c r="CI136" s="81"/>
      <c r="CJ136" s="81"/>
      <c r="CK136" s="81"/>
      <c r="CL136" s="81"/>
      <c r="CM136" s="81"/>
      <c r="CN136" s="81"/>
      <c r="CO136" s="81"/>
      <c r="CP136" s="81"/>
      <c r="CQ136" s="81"/>
      <c r="CR136" s="81"/>
      <c r="CS136" s="81"/>
      <c r="CT136" s="81"/>
      <c r="CU136" s="81"/>
      <c r="CV136" s="81"/>
      <c r="CW136" s="81"/>
      <c r="CX136" s="81"/>
      <c r="CY136" s="81"/>
      <c r="CZ136" s="81"/>
      <c r="DA136" s="81"/>
      <c r="DB136" s="81"/>
      <c r="DC136" s="81"/>
      <c r="DD136" s="81"/>
      <c r="DE136" s="81"/>
      <c r="DF136" s="81"/>
      <c r="DG136" s="81"/>
      <c r="DH136" s="81"/>
      <c r="DI136" s="81"/>
      <c r="DJ136" s="81"/>
      <c r="DK136" s="81"/>
      <c r="DL136" s="81"/>
      <c r="DM136" s="81"/>
      <c r="DN136" s="81"/>
      <c r="DO136" s="81"/>
      <c r="DP136" s="81"/>
      <c r="DQ136" s="81"/>
      <c r="DR136" s="81"/>
      <c r="DS136" s="81"/>
      <c r="DT136" s="81"/>
      <c r="DU136" s="81"/>
      <c r="DV136" s="81"/>
      <c r="DW136" s="81"/>
      <c r="DX136" s="81"/>
      <c r="DY136" s="81"/>
      <c r="DZ136" s="81"/>
      <c r="EA136" s="81"/>
      <c r="EB136" s="81"/>
      <c r="EC136" s="81"/>
      <c r="ED136" s="81"/>
      <c r="EE136" s="81"/>
      <c r="EF136" s="81"/>
      <c r="EG136" s="81"/>
      <c r="EH136" s="81"/>
      <c r="EI136" s="81"/>
    </row>
    <row r="137" ht="15.7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  <c r="CI137" s="81"/>
      <c r="CJ137" s="81"/>
      <c r="CK137" s="81"/>
      <c r="CL137" s="81"/>
      <c r="CM137" s="81"/>
      <c r="CN137" s="81"/>
      <c r="CO137" s="81"/>
      <c r="CP137" s="81"/>
      <c r="CQ137" s="81"/>
      <c r="CR137" s="81"/>
      <c r="CS137" s="81"/>
      <c r="CT137" s="81"/>
      <c r="CU137" s="81"/>
      <c r="CV137" s="81"/>
      <c r="CW137" s="81"/>
      <c r="CX137" s="81"/>
      <c r="CY137" s="81"/>
      <c r="CZ137" s="81"/>
      <c r="DA137" s="81"/>
      <c r="DB137" s="81"/>
      <c r="DC137" s="81"/>
      <c r="DD137" s="81"/>
      <c r="DE137" s="81"/>
      <c r="DF137" s="81"/>
      <c r="DG137" s="81"/>
      <c r="DH137" s="81"/>
      <c r="DI137" s="81"/>
      <c r="DJ137" s="81"/>
      <c r="DK137" s="81"/>
      <c r="DL137" s="81"/>
      <c r="DM137" s="81"/>
      <c r="DN137" s="81"/>
      <c r="DO137" s="81"/>
      <c r="DP137" s="81"/>
      <c r="DQ137" s="81"/>
      <c r="DR137" s="81"/>
      <c r="DS137" s="81"/>
      <c r="DT137" s="81"/>
      <c r="DU137" s="81"/>
      <c r="DV137" s="81"/>
      <c r="DW137" s="81"/>
      <c r="DX137" s="81"/>
      <c r="DY137" s="81"/>
      <c r="DZ137" s="81"/>
      <c r="EA137" s="81"/>
      <c r="EB137" s="81"/>
      <c r="EC137" s="81"/>
      <c r="ED137" s="81"/>
      <c r="EE137" s="81"/>
      <c r="EF137" s="81"/>
      <c r="EG137" s="81"/>
      <c r="EH137" s="81"/>
      <c r="EI137" s="81"/>
    </row>
    <row r="138" ht="15.7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1"/>
      <c r="CJ138" s="81"/>
      <c r="CK138" s="81"/>
      <c r="CL138" s="81"/>
      <c r="CM138" s="81"/>
      <c r="CN138" s="81"/>
      <c r="CO138" s="81"/>
      <c r="CP138" s="81"/>
      <c r="CQ138" s="81"/>
      <c r="CR138" s="81"/>
      <c r="CS138" s="81"/>
      <c r="CT138" s="81"/>
      <c r="CU138" s="81"/>
      <c r="CV138" s="81"/>
      <c r="CW138" s="81"/>
      <c r="CX138" s="81"/>
      <c r="CY138" s="81"/>
      <c r="CZ138" s="81"/>
      <c r="DA138" s="81"/>
      <c r="DB138" s="81"/>
      <c r="DC138" s="81"/>
      <c r="DD138" s="81"/>
      <c r="DE138" s="81"/>
      <c r="DF138" s="81"/>
      <c r="DG138" s="81"/>
      <c r="DH138" s="81"/>
      <c r="DI138" s="81"/>
      <c r="DJ138" s="81"/>
      <c r="DK138" s="81"/>
      <c r="DL138" s="81"/>
      <c r="DM138" s="81"/>
      <c r="DN138" s="81"/>
      <c r="DO138" s="81"/>
      <c r="DP138" s="81"/>
      <c r="DQ138" s="81"/>
      <c r="DR138" s="81"/>
      <c r="DS138" s="81"/>
      <c r="DT138" s="81"/>
      <c r="DU138" s="81"/>
      <c r="DV138" s="81"/>
      <c r="DW138" s="81"/>
      <c r="DX138" s="81"/>
      <c r="DY138" s="81"/>
      <c r="DZ138" s="81"/>
      <c r="EA138" s="81"/>
      <c r="EB138" s="81"/>
      <c r="EC138" s="81"/>
      <c r="ED138" s="81"/>
      <c r="EE138" s="81"/>
      <c r="EF138" s="81"/>
      <c r="EG138" s="81"/>
      <c r="EH138" s="81"/>
      <c r="EI138" s="81"/>
    </row>
    <row r="139" ht="15.7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  <c r="CI139" s="81"/>
      <c r="CJ139" s="81"/>
      <c r="CK139" s="81"/>
      <c r="CL139" s="81"/>
      <c r="CM139" s="81"/>
      <c r="CN139" s="81"/>
      <c r="CO139" s="81"/>
      <c r="CP139" s="81"/>
      <c r="CQ139" s="81"/>
      <c r="CR139" s="81"/>
      <c r="CS139" s="81"/>
      <c r="CT139" s="81"/>
      <c r="CU139" s="81"/>
      <c r="CV139" s="81"/>
      <c r="CW139" s="81"/>
      <c r="CX139" s="81"/>
      <c r="CY139" s="81"/>
      <c r="CZ139" s="81"/>
      <c r="DA139" s="81"/>
      <c r="DB139" s="81"/>
      <c r="DC139" s="81"/>
      <c r="DD139" s="81"/>
      <c r="DE139" s="81"/>
      <c r="DF139" s="81"/>
      <c r="DG139" s="81"/>
      <c r="DH139" s="81"/>
      <c r="DI139" s="81"/>
      <c r="DJ139" s="81"/>
      <c r="DK139" s="81"/>
      <c r="DL139" s="81"/>
      <c r="DM139" s="81"/>
      <c r="DN139" s="81"/>
      <c r="DO139" s="81"/>
      <c r="DP139" s="81"/>
      <c r="DQ139" s="81"/>
      <c r="DR139" s="81"/>
      <c r="DS139" s="81"/>
      <c r="DT139" s="81"/>
      <c r="DU139" s="81"/>
      <c r="DV139" s="81"/>
      <c r="DW139" s="81"/>
      <c r="DX139" s="81"/>
      <c r="DY139" s="81"/>
      <c r="DZ139" s="81"/>
      <c r="EA139" s="81"/>
      <c r="EB139" s="81"/>
      <c r="EC139" s="81"/>
      <c r="ED139" s="81"/>
      <c r="EE139" s="81"/>
      <c r="EF139" s="81"/>
      <c r="EG139" s="81"/>
      <c r="EH139" s="81"/>
      <c r="EI139" s="81"/>
    </row>
    <row r="140" ht="15.7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  <c r="CI140" s="81"/>
      <c r="CJ140" s="81"/>
      <c r="CK140" s="81"/>
      <c r="CL140" s="81"/>
      <c r="CM140" s="81"/>
      <c r="CN140" s="81"/>
      <c r="CO140" s="81"/>
      <c r="CP140" s="81"/>
      <c r="CQ140" s="81"/>
      <c r="CR140" s="81"/>
      <c r="CS140" s="81"/>
      <c r="CT140" s="81"/>
      <c r="CU140" s="81"/>
      <c r="CV140" s="81"/>
      <c r="CW140" s="81"/>
      <c r="CX140" s="81"/>
      <c r="CY140" s="81"/>
      <c r="CZ140" s="81"/>
      <c r="DA140" s="81"/>
      <c r="DB140" s="81"/>
      <c r="DC140" s="81"/>
      <c r="DD140" s="81"/>
      <c r="DE140" s="81"/>
      <c r="DF140" s="81"/>
      <c r="DG140" s="81"/>
      <c r="DH140" s="81"/>
      <c r="DI140" s="81"/>
      <c r="DJ140" s="81"/>
      <c r="DK140" s="81"/>
      <c r="DL140" s="81"/>
      <c r="DM140" s="81"/>
      <c r="DN140" s="81"/>
      <c r="DO140" s="81"/>
      <c r="DP140" s="81"/>
      <c r="DQ140" s="81"/>
      <c r="DR140" s="81"/>
      <c r="DS140" s="81"/>
      <c r="DT140" s="81"/>
      <c r="DU140" s="81"/>
      <c r="DV140" s="81"/>
      <c r="DW140" s="81"/>
      <c r="DX140" s="81"/>
      <c r="DY140" s="81"/>
      <c r="DZ140" s="81"/>
      <c r="EA140" s="81"/>
      <c r="EB140" s="81"/>
      <c r="EC140" s="81"/>
      <c r="ED140" s="81"/>
      <c r="EE140" s="81"/>
      <c r="EF140" s="81"/>
      <c r="EG140" s="81"/>
      <c r="EH140" s="81"/>
      <c r="EI140" s="81"/>
    </row>
    <row r="141" ht="15.7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  <c r="CN141" s="81"/>
      <c r="CO141" s="81"/>
      <c r="CP141" s="81"/>
      <c r="CQ141" s="81"/>
      <c r="CR141" s="81"/>
      <c r="CS141" s="81"/>
      <c r="CT141" s="81"/>
      <c r="CU141" s="81"/>
      <c r="CV141" s="81"/>
      <c r="CW141" s="81"/>
      <c r="CX141" s="81"/>
      <c r="CY141" s="81"/>
      <c r="CZ141" s="81"/>
      <c r="DA141" s="81"/>
      <c r="DB141" s="81"/>
      <c r="DC141" s="81"/>
      <c r="DD141" s="81"/>
      <c r="DE141" s="81"/>
      <c r="DF141" s="81"/>
      <c r="DG141" s="81"/>
      <c r="DH141" s="81"/>
      <c r="DI141" s="81"/>
      <c r="DJ141" s="81"/>
      <c r="DK141" s="81"/>
      <c r="DL141" s="81"/>
      <c r="DM141" s="81"/>
      <c r="DN141" s="81"/>
      <c r="DO141" s="81"/>
      <c r="DP141" s="81"/>
      <c r="DQ141" s="81"/>
      <c r="DR141" s="81"/>
      <c r="DS141" s="81"/>
      <c r="DT141" s="81"/>
      <c r="DU141" s="81"/>
      <c r="DV141" s="81"/>
      <c r="DW141" s="81"/>
      <c r="DX141" s="81"/>
      <c r="DY141" s="81"/>
      <c r="DZ141" s="81"/>
      <c r="EA141" s="81"/>
      <c r="EB141" s="81"/>
      <c r="EC141" s="81"/>
      <c r="ED141" s="81"/>
      <c r="EE141" s="81"/>
      <c r="EF141" s="81"/>
      <c r="EG141" s="81"/>
      <c r="EH141" s="81"/>
      <c r="EI141" s="81"/>
    </row>
    <row r="142" ht="15.7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  <c r="CN142" s="81"/>
      <c r="CO142" s="81"/>
      <c r="CP142" s="81"/>
      <c r="CQ142" s="81"/>
      <c r="CR142" s="81"/>
      <c r="CS142" s="81"/>
      <c r="CT142" s="81"/>
      <c r="CU142" s="81"/>
      <c r="CV142" s="81"/>
      <c r="CW142" s="81"/>
      <c r="CX142" s="81"/>
      <c r="CY142" s="81"/>
      <c r="CZ142" s="81"/>
      <c r="DA142" s="81"/>
      <c r="DB142" s="81"/>
      <c r="DC142" s="81"/>
      <c r="DD142" s="81"/>
      <c r="DE142" s="81"/>
      <c r="DF142" s="81"/>
      <c r="DG142" s="81"/>
      <c r="DH142" s="81"/>
      <c r="DI142" s="81"/>
      <c r="DJ142" s="81"/>
      <c r="DK142" s="81"/>
      <c r="DL142" s="81"/>
      <c r="DM142" s="81"/>
      <c r="DN142" s="81"/>
      <c r="DO142" s="81"/>
      <c r="DP142" s="81"/>
      <c r="DQ142" s="81"/>
      <c r="DR142" s="81"/>
      <c r="DS142" s="81"/>
      <c r="DT142" s="81"/>
      <c r="DU142" s="81"/>
      <c r="DV142" s="81"/>
      <c r="DW142" s="81"/>
      <c r="DX142" s="81"/>
      <c r="DY142" s="81"/>
      <c r="DZ142" s="81"/>
      <c r="EA142" s="81"/>
      <c r="EB142" s="81"/>
      <c r="EC142" s="81"/>
      <c r="ED142" s="81"/>
      <c r="EE142" s="81"/>
      <c r="EF142" s="81"/>
      <c r="EG142" s="81"/>
      <c r="EH142" s="81"/>
      <c r="EI142" s="81"/>
    </row>
    <row r="143" ht="15.7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  <c r="CI143" s="81"/>
      <c r="CJ143" s="81"/>
      <c r="CK143" s="81"/>
      <c r="CL143" s="81"/>
      <c r="CM143" s="81"/>
      <c r="CN143" s="81"/>
      <c r="CO143" s="81"/>
      <c r="CP143" s="81"/>
      <c r="CQ143" s="81"/>
      <c r="CR143" s="81"/>
      <c r="CS143" s="81"/>
      <c r="CT143" s="81"/>
      <c r="CU143" s="81"/>
      <c r="CV143" s="81"/>
      <c r="CW143" s="81"/>
      <c r="CX143" s="81"/>
      <c r="CY143" s="81"/>
      <c r="CZ143" s="81"/>
      <c r="DA143" s="81"/>
      <c r="DB143" s="81"/>
      <c r="DC143" s="81"/>
      <c r="DD143" s="81"/>
      <c r="DE143" s="81"/>
      <c r="DF143" s="81"/>
      <c r="DG143" s="81"/>
      <c r="DH143" s="81"/>
      <c r="DI143" s="81"/>
      <c r="DJ143" s="81"/>
      <c r="DK143" s="81"/>
      <c r="DL143" s="81"/>
      <c r="DM143" s="81"/>
      <c r="DN143" s="81"/>
      <c r="DO143" s="81"/>
      <c r="DP143" s="81"/>
      <c r="DQ143" s="81"/>
      <c r="DR143" s="81"/>
      <c r="DS143" s="81"/>
      <c r="DT143" s="81"/>
      <c r="DU143" s="81"/>
      <c r="DV143" s="81"/>
      <c r="DW143" s="81"/>
      <c r="DX143" s="81"/>
      <c r="DY143" s="81"/>
      <c r="DZ143" s="81"/>
      <c r="EA143" s="81"/>
      <c r="EB143" s="81"/>
      <c r="EC143" s="81"/>
      <c r="ED143" s="81"/>
      <c r="EE143" s="81"/>
      <c r="EF143" s="81"/>
      <c r="EG143" s="81"/>
      <c r="EH143" s="81"/>
      <c r="EI143" s="81"/>
    </row>
    <row r="144" ht="15.7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  <c r="CI144" s="81"/>
      <c r="CJ144" s="81"/>
      <c r="CK144" s="81"/>
      <c r="CL144" s="81"/>
      <c r="CM144" s="81"/>
      <c r="CN144" s="81"/>
      <c r="CO144" s="81"/>
      <c r="CP144" s="81"/>
      <c r="CQ144" s="81"/>
      <c r="CR144" s="81"/>
      <c r="CS144" s="81"/>
      <c r="CT144" s="81"/>
      <c r="CU144" s="81"/>
      <c r="CV144" s="81"/>
      <c r="CW144" s="81"/>
      <c r="CX144" s="81"/>
      <c r="CY144" s="81"/>
      <c r="CZ144" s="81"/>
      <c r="DA144" s="81"/>
      <c r="DB144" s="81"/>
      <c r="DC144" s="81"/>
      <c r="DD144" s="81"/>
      <c r="DE144" s="81"/>
      <c r="DF144" s="81"/>
      <c r="DG144" s="81"/>
      <c r="DH144" s="81"/>
      <c r="DI144" s="81"/>
      <c r="DJ144" s="81"/>
      <c r="DK144" s="81"/>
      <c r="DL144" s="81"/>
      <c r="DM144" s="81"/>
      <c r="DN144" s="81"/>
      <c r="DO144" s="81"/>
      <c r="DP144" s="81"/>
      <c r="DQ144" s="81"/>
      <c r="DR144" s="81"/>
      <c r="DS144" s="81"/>
      <c r="DT144" s="81"/>
      <c r="DU144" s="81"/>
      <c r="DV144" s="81"/>
      <c r="DW144" s="81"/>
      <c r="DX144" s="81"/>
      <c r="DY144" s="81"/>
      <c r="DZ144" s="81"/>
      <c r="EA144" s="81"/>
      <c r="EB144" s="81"/>
      <c r="EC144" s="81"/>
      <c r="ED144" s="81"/>
      <c r="EE144" s="81"/>
      <c r="EF144" s="81"/>
      <c r="EG144" s="81"/>
      <c r="EH144" s="81"/>
      <c r="EI144" s="81"/>
    </row>
    <row r="145" ht="15.7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  <c r="CI145" s="81"/>
      <c r="CJ145" s="81"/>
      <c r="CK145" s="81"/>
      <c r="CL145" s="81"/>
      <c r="CM145" s="81"/>
      <c r="CN145" s="81"/>
      <c r="CO145" s="81"/>
      <c r="CP145" s="81"/>
      <c r="CQ145" s="81"/>
      <c r="CR145" s="81"/>
      <c r="CS145" s="81"/>
      <c r="CT145" s="81"/>
      <c r="CU145" s="81"/>
      <c r="CV145" s="81"/>
      <c r="CW145" s="81"/>
      <c r="CX145" s="81"/>
      <c r="CY145" s="81"/>
      <c r="CZ145" s="81"/>
      <c r="DA145" s="81"/>
      <c r="DB145" s="81"/>
      <c r="DC145" s="81"/>
      <c r="DD145" s="81"/>
      <c r="DE145" s="81"/>
      <c r="DF145" s="81"/>
      <c r="DG145" s="81"/>
      <c r="DH145" s="81"/>
      <c r="DI145" s="81"/>
      <c r="DJ145" s="81"/>
      <c r="DK145" s="81"/>
      <c r="DL145" s="81"/>
      <c r="DM145" s="81"/>
      <c r="DN145" s="81"/>
      <c r="DO145" s="81"/>
      <c r="DP145" s="81"/>
      <c r="DQ145" s="81"/>
      <c r="DR145" s="81"/>
      <c r="DS145" s="81"/>
      <c r="DT145" s="81"/>
      <c r="DU145" s="81"/>
      <c r="DV145" s="81"/>
      <c r="DW145" s="81"/>
      <c r="DX145" s="81"/>
      <c r="DY145" s="81"/>
      <c r="DZ145" s="81"/>
      <c r="EA145" s="81"/>
      <c r="EB145" s="81"/>
      <c r="EC145" s="81"/>
      <c r="ED145" s="81"/>
      <c r="EE145" s="81"/>
      <c r="EF145" s="81"/>
      <c r="EG145" s="81"/>
      <c r="EH145" s="81"/>
      <c r="EI145" s="81"/>
    </row>
    <row r="146" ht="15.7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  <c r="CI146" s="81"/>
      <c r="CJ146" s="81"/>
      <c r="CK146" s="81"/>
      <c r="CL146" s="81"/>
      <c r="CM146" s="81"/>
      <c r="CN146" s="81"/>
      <c r="CO146" s="81"/>
      <c r="CP146" s="81"/>
      <c r="CQ146" s="81"/>
      <c r="CR146" s="81"/>
      <c r="CS146" s="81"/>
      <c r="CT146" s="81"/>
      <c r="CU146" s="81"/>
      <c r="CV146" s="81"/>
      <c r="CW146" s="81"/>
      <c r="CX146" s="81"/>
      <c r="CY146" s="81"/>
      <c r="CZ146" s="81"/>
      <c r="DA146" s="81"/>
      <c r="DB146" s="81"/>
      <c r="DC146" s="81"/>
      <c r="DD146" s="81"/>
      <c r="DE146" s="81"/>
      <c r="DF146" s="81"/>
      <c r="DG146" s="81"/>
      <c r="DH146" s="81"/>
      <c r="DI146" s="81"/>
      <c r="DJ146" s="81"/>
      <c r="DK146" s="81"/>
      <c r="DL146" s="81"/>
      <c r="DM146" s="81"/>
      <c r="DN146" s="81"/>
      <c r="DO146" s="81"/>
      <c r="DP146" s="81"/>
      <c r="DQ146" s="81"/>
      <c r="DR146" s="81"/>
      <c r="DS146" s="81"/>
      <c r="DT146" s="81"/>
      <c r="DU146" s="81"/>
      <c r="DV146" s="81"/>
      <c r="DW146" s="81"/>
      <c r="DX146" s="81"/>
      <c r="DY146" s="81"/>
      <c r="DZ146" s="81"/>
      <c r="EA146" s="81"/>
      <c r="EB146" s="81"/>
      <c r="EC146" s="81"/>
      <c r="ED146" s="81"/>
      <c r="EE146" s="81"/>
      <c r="EF146" s="81"/>
      <c r="EG146" s="81"/>
      <c r="EH146" s="81"/>
      <c r="EI146" s="81"/>
    </row>
    <row r="147" ht="15.7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  <c r="CN147" s="81"/>
      <c r="CO147" s="81"/>
      <c r="CP147" s="81"/>
      <c r="CQ147" s="81"/>
      <c r="CR147" s="81"/>
      <c r="CS147" s="81"/>
      <c r="CT147" s="81"/>
      <c r="CU147" s="81"/>
      <c r="CV147" s="81"/>
      <c r="CW147" s="81"/>
      <c r="CX147" s="81"/>
      <c r="CY147" s="81"/>
      <c r="CZ147" s="81"/>
      <c r="DA147" s="81"/>
      <c r="DB147" s="81"/>
      <c r="DC147" s="81"/>
      <c r="DD147" s="81"/>
      <c r="DE147" s="81"/>
      <c r="DF147" s="81"/>
      <c r="DG147" s="81"/>
      <c r="DH147" s="81"/>
      <c r="DI147" s="81"/>
      <c r="DJ147" s="81"/>
      <c r="DK147" s="81"/>
      <c r="DL147" s="81"/>
      <c r="DM147" s="81"/>
      <c r="DN147" s="81"/>
      <c r="DO147" s="81"/>
      <c r="DP147" s="81"/>
      <c r="DQ147" s="81"/>
      <c r="DR147" s="81"/>
      <c r="DS147" s="81"/>
      <c r="DT147" s="81"/>
      <c r="DU147" s="81"/>
      <c r="DV147" s="81"/>
      <c r="DW147" s="81"/>
      <c r="DX147" s="81"/>
      <c r="DY147" s="81"/>
      <c r="DZ147" s="81"/>
      <c r="EA147" s="81"/>
      <c r="EB147" s="81"/>
      <c r="EC147" s="81"/>
      <c r="ED147" s="81"/>
      <c r="EE147" s="81"/>
      <c r="EF147" s="81"/>
      <c r="EG147" s="81"/>
      <c r="EH147" s="81"/>
      <c r="EI147" s="81"/>
    </row>
    <row r="148" ht="15.7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  <c r="BK148" s="81"/>
      <c r="BL148" s="81"/>
      <c r="BM148" s="81"/>
      <c r="BN148" s="81"/>
      <c r="BO148" s="81"/>
      <c r="BP148" s="81"/>
      <c r="BQ148" s="81"/>
      <c r="BR148" s="81"/>
      <c r="BS148" s="8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  <c r="CI148" s="81"/>
      <c r="CJ148" s="81"/>
      <c r="CK148" s="81"/>
      <c r="CL148" s="81"/>
      <c r="CM148" s="81"/>
      <c r="CN148" s="81"/>
      <c r="CO148" s="81"/>
      <c r="CP148" s="81"/>
      <c r="CQ148" s="81"/>
      <c r="CR148" s="81"/>
      <c r="CS148" s="81"/>
      <c r="CT148" s="81"/>
      <c r="CU148" s="81"/>
      <c r="CV148" s="81"/>
      <c r="CW148" s="81"/>
      <c r="CX148" s="81"/>
      <c r="CY148" s="81"/>
      <c r="CZ148" s="81"/>
      <c r="DA148" s="81"/>
      <c r="DB148" s="81"/>
      <c r="DC148" s="81"/>
      <c r="DD148" s="81"/>
      <c r="DE148" s="81"/>
      <c r="DF148" s="81"/>
      <c r="DG148" s="81"/>
      <c r="DH148" s="81"/>
      <c r="DI148" s="81"/>
      <c r="DJ148" s="81"/>
      <c r="DK148" s="81"/>
      <c r="DL148" s="81"/>
      <c r="DM148" s="81"/>
      <c r="DN148" s="81"/>
      <c r="DO148" s="81"/>
      <c r="DP148" s="81"/>
      <c r="DQ148" s="81"/>
      <c r="DR148" s="81"/>
      <c r="DS148" s="81"/>
      <c r="DT148" s="81"/>
      <c r="DU148" s="81"/>
      <c r="DV148" s="81"/>
      <c r="DW148" s="81"/>
      <c r="DX148" s="81"/>
      <c r="DY148" s="81"/>
      <c r="DZ148" s="81"/>
      <c r="EA148" s="81"/>
      <c r="EB148" s="81"/>
      <c r="EC148" s="81"/>
      <c r="ED148" s="81"/>
      <c r="EE148" s="81"/>
      <c r="EF148" s="81"/>
      <c r="EG148" s="81"/>
      <c r="EH148" s="81"/>
      <c r="EI148" s="81"/>
    </row>
    <row r="149" ht="15.7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  <c r="BK149" s="81"/>
      <c r="BL149" s="81"/>
      <c r="BM149" s="81"/>
      <c r="BN149" s="81"/>
      <c r="BO149" s="81"/>
      <c r="BP149" s="81"/>
      <c r="BQ149" s="81"/>
      <c r="BR149" s="81"/>
      <c r="BS149" s="8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  <c r="CI149" s="81"/>
      <c r="CJ149" s="81"/>
      <c r="CK149" s="81"/>
      <c r="CL149" s="81"/>
      <c r="CM149" s="81"/>
      <c r="CN149" s="81"/>
      <c r="CO149" s="81"/>
      <c r="CP149" s="81"/>
      <c r="CQ149" s="81"/>
      <c r="CR149" s="81"/>
      <c r="CS149" s="81"/>
      <c r="CT149" s="81"/>
      <c r="CU149" s="81"/>
      <c r="CV149" s="81"/>
      <c r="CW149" s="81"/>
      <c r="CX149" s="81"/>
      <c r="CY149" s="81"/>
      <c r="CZ149" s="81"/>
      <c r="DA149" s="81"/>
      <c r="DB149" s="81"/>
      <c r="DC149" s="81"/>
      <c r="DD149" s="81"/>
      <c r="DE149" s="81"/>
      <c r="DF149" s="81"/>
      <c r="DG149" s="81"/>
      <c r="DH149" s="81"/>
      <c r="DI149" s="81"/>
      <c r="DJ149" s="81"/>
      <c r="DK149" s="81"/>
      <c r="DL149" s="81"/>
      <c r="DM149" s="81"/>
      <c r="DN149" s="81"/>
      <c r="DO149" s="81"/>
      <c r="DP149" s="81"/>
      <c r="DQ149" s="81"/>
      <c r="DR149" s="81"/>
      <c r="DS149" s="81"/>
      <c r="DT149" s="81"/>
      <c r="DU149" s="81"/>
      <c r="DV149" s="81"/>
      <c r="DW149" s="81"/>
      <c r="DX149" s="81"/>
      <c r="DY149" s="81"/>
      <c r="DZ149" s="81"/>
      <c r="EA149" s="81"/>
      <c r="EB149" s="81"/>
      <c r="EC149" s="81"/>
      <c r="ED149" s="81"/>
      <c r="EE149" s="81"/>
      <c r="EF149" s="81"/>
      <c r="EG149" s="81"/>
      <c r="EH149" s="81"/>
      <c r="EI149" s="81"/>
    </row>
    <row r="150" ht="15.7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81"/>
      <c r="CQ150" s="81"/>
      <c r="CR150" s="81"/>
      <c r="CS150" s="81"/>
      <c r="CT150" s="81"/>
      <c r="CU150" s="81"/>
      <c r="CV150" s="81"/>
      <c r="CW150" s="81"/>
      <c r="CX150" s="81"/>
      <c r="CY150" s="81"/>
      <c r="CZ150" s="81"/>
      <c r="DA150" s="81"/>
      <c r="DB150" s="81"/>
      <c r="DC150" s="81"/>
      <c r="DD150" s="81"/>
      <c r="DE150" s="81"/>
      <c r="DF150" s="81"/>
      <c r="DG150" s="81"/>
      <c r="DH150" s="81"/>
      <c r="DI150" s="81"/>
      <c r="DJ150" s="81"/>
      <c r="DK150" s="81"/>
      <c r="DL150" s="81"/>
      <c r="DM150" s="81"/>
      <c r="DN150" s="81"/>
      <c r="DO150" s="81"/>
      <c r="DP150" s="81"/>
      <c r="DQ150" s="81"/>
      <c r="DR150" s="81"/>
      <c r="DS150" s="81"/>
      <c r="DT150" s="81"/>
      <c r="DU150" s="81"/>
      <c r="DV150" s="81"/>
      <c r="DW150" s="81"/>
      <c r="DX150" s="81"/>
      <c r="DY150" s="81"/>
      <c r="DZ150" s="81"/>
      <c r="EA150" s="81"/>
      <c r="EB150" s="81"/>
      <c r="EC150" s="81"/>
      <c r="ED150" s="81"/>
      <c r="EE150" s="81"/>
      <c r="EF150" s="81"/>
      <c r="EG150" s="81"/>
      <c r="EH150" s="81"/>
      <c r="EI150" s="81"/>
    </row>
    <row r="151" ht="15.7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  <c r="BK151" s="81"/>
      <c r="BL151" s="81"/>
      <c r="BM151" s="81"/>
      <c r="BN151" s="81"/>
      <c r="BO151" s="81"/>
      <c r="BP151" s="81"/>
      <c r="BQ151" s="81"/>
      <c r="BR151" s="81"/>
      <c r="BS151" s="8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  <c r="CI151" s="81"/>
      <c r="CJ151" s="81"/>
      <c r="CK151" s="81"/>
      <c r="CL151" s="81"/>
      <c r="CM151" s="81"/>
      <c r="CN151" s="81"/>
      <c r="CO151" s="81"/>
      <c r="CP151" s="81"/>
      <c r="CQ151" s="81"/>
      <c r="CR151" s="81"/>
      <c r="CS151" s="81"/>
      <c r="CT151" s="81"/>
      <c r="CU151" s="81"/>
      <c r="CV151" s="81"/>
      <c r="CW151" s="81"/>
      <c r="CX151" s="81"/>
      <c r="CY151" s="81"/>
      <c r="CZ151" s="81"/>
      <c r="DA151" s="81"/>
      <c r="DB151" s="81"/>
      <c r="DC151" s="81"/>
      <c r="DD151" s="81"/>
      <c r="DE151" s="81"/>
      <c r="DF151" s="81"/>
      <c r="DG151" s="81"/>
      <c r="DH151" s="81"/>
      <c r="DI151" s="81"/>
      <c r="DJ151" s="81"/>
      <c r="DK151" s="81"/>
      <c r="DL151" s="81"/>
      <c r="DM151" s="81"/>
      <c r="DN151" s="81"/>
      <c r="DO151" s="81"/>
      <c r="DP151" s="81"/>
      <c r="DQ151" s="81"/>
      <c r="DR151" s="81"/>
      <c r="DS151" s="81"/>
      <c r="DT151" s="81"/>
      <c r="DU151" s="81"/>
      <c r="DV151" s="81"/>
      <c r="DW151" s="81"/>
      <c r="DX151" s="81"/>
      <c r="DY151" s="81"/>
      <c r="DZ151" s="81"/>
      <c r="EA151" s="81"/>
      <c r="EB151" s="81"/>
      <c r="EC151" s="81"/>
      <c r="ED151" s="81"/>
      <c r="EE151" s="81"/>
      <c r="EF151" s="81"/>
      <c r="EG151" s="81"/>
      <c r="EH151" s="81"/>
      <c r="EI151" s="81"/>
    </row>
    <row r="152" ht="15.7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  <c r="BK152" s="81"/>
      <c r="BL152" s="81"/>
      <c r="BM152" s="81"/>
      <c r="BN152" s="81"/>
      <c r="BO152" s="81"/>
      <c r="BP152" s="81"/>
      <c r="BQ152" s="81"/>
      <c r="BR152" s="81"/>
      <c r="BS152" s="8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  <c r="CI152" s="81"/>
      <c r="CJ152" s="81"/>
      <c r="CK152" s="81"/>
      <c r="CL152" s="81"/>
      <c r="CM152" s="81"/>
      <c r="CN152" s="81"/>
      <c r="CO152" s="81"/>
      <c r="CP152" s="81"/>
      <c r="CQ152" s="81"/>
      <c r="CR152" s="81"/>
      <c r="CS152" s="81"/>
      <c r="CT152" s="81"/>
      <c r="CU152" s="81"/>
      <c r="CV152" s="81"/>
      <c r="CW152" s="81"/>
      <c r="CX152" s="81"/>
      <c r="CY152" s="81"/>
      <c r="CZ152" s="81"/>
      <c r="DA152" s="81"/>
      <c r="DB152" s="81"/>
      <c r="DC152" s="81"/>
      <c r="DD152" s="81"/>
      <c r="DE152" s="81"/>
      <c r="DF152" s="81"/>
      <c r="DG152" s="81"/>
      <c r="DH152" s="81"/>
      <c r="DI152" s="81"/>
      <c r="DJ152" s="81"/>
      <c r="DK152" s="81"/>
      <c r="DL152" s="81"/>
      <c r="DM152" s="81"/>
      <c r="DN152" s="81"/>
      <c r="DO152" s="81"/>
      <c r="DP152" s="81"/>
      <c r="DQ152" s="81"/>
      <c r="DR152" s="81"/>
      <c r="DS152" s="81"/>
      <c r="DT152" s="81"/>
      <c r="DU152" s="81"/>
      <c r="DV152" s="81"/>
      <c r="DW152" s="81"/>
      <c r="DX152" s="81"/>
      <c r="DY152" s="81"/>
      <c r="DZ152" s="81"/>
      <c r="EA152" s="81"/>
      <c r="EB152" s="81"/>
      <c r="EC152" s="81"/>
      <c r="ED152" s="81"/>
      <c r="EE152" s="81"/>
      <c r="EF152" s="81"/>
      <c r="EG152" s="81"/>
      <c r="EH152" s="81"/>
      <c r="EI152" s="81"/>
    </row>
    <row r="153" ht="15.7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  <c r="CN153" s="81"/>
      <c r="CO153" s="81"/>
      <c r="CP153" s="81"/>
      <c r="CQ153" s="81"/>
      <c r="CR153" s="81"/>
      <c r="CS153" s="81"/>
      <c r="CT153" s="81"/>
      <c r="CU153" s="81"/>
      <c r="CV153" s="81"/>
      <c r="CW153" s="81"/>
      <c r="CX153" s="81"/>
      <c r="CY153" s="81"/>
      <c r="CZ153" s="81"/>
      <c r="DA153" s="81"/>
      <c r="DB153" s="81"/>
      <c r="DC153" s="81"/>
      <c r="DD153" s="81"/>
      <c r="DE153" s="81"/>
      <c r="DF153" s="81"/>
      <c r="DG153" s="81"/>
      <c r="DH153" s="81"/>
      <c r="DI153" s="81"/>
      <c r="DJ153" s="81"/>
      <c r="DK153" s="81"/>
      <c r="DL153" s="81"/>
      <c r="DM153" s="81"/>
      <c r="DN153" s="81"/>
      <c r="DO153" s="81"/>
      <c r="DP153" s="81"/>
      <c r="DQ153" s="81"/>
      <c r="DR153" s="81"/>
      <c r="DS153" s="81"/>
      <c r="DT153" s="81"/>
      <c r="DU153" s="81"/>
      <c r="DV153" s="81"/>
      <c r="DW153" s="81"/>
      <c r="DX153" s="81"/>
      <c r="DY153" s="81"/>
      <c r="DZ153" s="81"/>
      <c r="EA153" s="81"/>
      <c r="EB153" s="81"/>
      <c r="EC153" s="81"/>
      <c r="ED153" s="81"/>
      <c r="EE153" s="81"/>
      <c r="EF153" s="81"/>
      <c r="EG153" s="81"/>
      <c r="EH153" s="81"/>
      <c r="EI153" s="81"/>
    </row>
    <row r="154" ht="15.7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1"/>
      <c r="CX154" s="81"/>
      <c r="CY154" s="81"/>
      <c r="CZ154" s="81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1"/>
      <c r="DL154" s="81"/>
      <c r="DM154" s="81"/>
      <c r="DN154" s="81"/>
      <c r="DO154" s="81"/>
      <c r="DP154" s="81"/>
      <c r="DQ154" s="81"/>
      <c r="DR154" s="81"/>
      <c r="DS154" s="81"/>
      <c r="DT154" s="81"/>
      <c r="DU154" s="81"/>
      <c r="DV154" s="81"/>
      <c r="DW154" s="81"/>
      <c r="DX154" s="81"/>
      <c r="DY154" s="81"/>
      <c r="DZ154" s="81"/>
      <c r="EA154" s="81"/>
      <c r="EB154" s="81"/>
      <c r="EC154" s="81"/>
      <c r="ED154" s="81"/>
      <c r="EE154" s="81"/>
      <c r="EF154" s="81"/>
      <c r="EG154" s="81"/>
      <c r="EH154" s="81"/>
      <c r="EI154" s="81"/>
    </row>
    <row r="155" ht="15.7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  <c r="CN155" s="81"/>
      <c r="CO155" s="81"/>
      <c r="CP155" s="81"/>
      <c r="CQ155" s="81"/>
      <c r="CR155" s="81"/>
      <c r="CS155" s="81"/>
      <c r="CT155" s="81"/>
      <c r="CU155" s="81"/>
      <c r="CV155" s="81"/>
      <c r="CW155" s="81"/>
      <c r="CX155" s="81"/>
      <c r="CY155" s="81"/>
      <c r="CZ155" s="81"/>
      <c r="DA155" s="81"/>
      <c r="DB155" s="81"/>
      <c r="DC155" s="81"/>
      <c r="DD155" s="81"/>
      <c r="DE155" s="81"/>
      <c r="DF155" s="81"/>
      <c r="DG155" s="81"/>
      <c r="DH155" s="81"/>
      <c r="DI155" s="81"/>
      <c r="DJ155" s="81"/>
      <c r="DK155" s="81"/>
      <c r="DL155" s="81"/>
      <c r="DM155" s="81"/>
      <c r="DN155" s="81"/>
      <c r="DO155" s="81"/>
      <c r="DP155" s="81"/>
      <c r="DQ155" s="81"/>
      <c r="DR155" s="81"/>
      <c r="DS155" s="81"/>
      <c r="DT155" s="81"/>
      <c r="DU155" s="81"/>
      <c r="DV155" s="81"/>
      <c r="DW155" s="81"/>
      <c r="DX155" s="81"/>
      <c r="DY155" s="81"/>
      <c r="DZ155" s="81"/>
      <c r="EA155" s="81"/>
      <c r="EB155" s="81"/>
      <c r="EC155" s="81"/>
      <c r="ED155" s="81"/>
      <c r="EE155" s="81"/>
      <c r="EF155" s="81"/>
      <c r="EG155" s="81"/>
      <c r="EH155" s="81"/>
      <c r="EI155" s="81"/>
    </row>
    <row r="156" ht="15.7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  <c r="CN156" s="81"/>
      <c r="CO156" s="81"/>
      <c r="CP156" s="81"/>
      <c r="CQ156" s="81"/>
      <c r="CR156" s="81"/>
      <c r="CS156" s="81"/>
      <c r="CT156" s="81"/>
      <c r="CU156" s="81"/>
      <c r="CV156" s="81"/>
      <c r="CW156" s="81"/>
      <c r="CX156" s="81"/>
      <c r="CY156" s="81"/>
      <c r="CZ156" s="81"/>
      <c r="DA156" s="81"/>
      <c r="DB156" s="81"/>
      <c r="DC156" s="81"/>
      <c r="DD156" s="81"/>
      <c r="DE156" s="81"/>
      <c r="DF156" s="81"/>
      <c r="DG156" s="81"/>
      <c r="DH156" s="81"/>
      <c r="DI156" s="81"/>
      <c r="DJ156" s="81"/>
      <c r="DK156" s="81"/>
      <c r="DL156" s="81"/>
      <c r="DM156" s="81"/>
      <c r="DN156" s="81"/>
      <c r="DO156" s="81"/>
      <c r="DP156" s="81"/>
      <c r="DQ156" s="81"/>
      <c r="DR156" s="81"/>
      <c r="DS156" s="81"/>
      <c r="DT156" s="81"/>
      <c r="DU156" s="81"/>
      <c r="DV156" s="81"/>
      <c r="DW156" s="81"/>
      <c r="DX156" s="81"/>
      <c r="DY156" s="81"/>
      <c r="DZ156" s="81"/>
      <c r="EA156" s="81"/>
      <c r="EB156" s="81"/>
      <c r="EC156" s="81"/>
      <c r="ED156" s="81"/>
      <c r="EE156" s="81"/>
      <c r="EF156" s="81"/>
      <c r="EG156" s="81"/>
      <c r="EH156" s="81"/>
      <c r="EI156" s="81"/>
    </row>
    <row r="157" ht="15.7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  <c r="CN157" s="81"/>
      <c r="CO157" s="81"/>
      <c r="CP157" s="81"/>
      <c r="CQ157" s="81"/>
      <c r="CR157" s="81"/>
      <c r="CS157" s="81"/>
      <c r="CT157" s="81"/>
      <c r="CU157" s="81"/>
      <c r="CV157" s="81"/>
      <c r="CW157" s="81"/>
      <c r="CX157" s="81"/>
      <c r="CY157" s="81"/>
      <c r="CZ157" s="81"/>
      <c r="DA157" s="81"/>
      <c r="DB157" s="81"/>
      <c r="DC157" s="81"/>
      <c r="DD157" s="81"/>
      <c r="DE157" s="81"/>
      <c r="DF157" s="81"/>
      <c r="DG157" s="81"/>
      <c r="DH157" s="81"/>
      <c r="DI157" s="81"/>
      <c r="DJ157" s="81"/>
      <c r="DK157" s="81"/>
      <c r="DL157" s="81"/>
      <c r="DM157" s="81"/>
      <c r="DN157" s="81"/>
      <c r="DO157" s="81"/>
      <c r="DP157" s="81"/>
      <c r="DQ157" s="81"/>
      <c r="DR157" s="81"/>
      <c r="DS157" s="81"/>
      <c r="DT157" s="81"/>
      <c r="DU157" s="81"/>
      <c r="DV157" s="81"/>
      <c r="DW157" s="81"/>
      <c r="DX157" s="81"/>
      <c r="DY157" s="81"/>
      <c r="DZ157" s="81"/>
      <c r="EA157" s="81"/>
      <c r="EB157" s="81"/>
      <c r="EC157" s="81"/>
      <c r="ED157" s="81"/>
      <c r="EE157" s="81"/>
      <c r="EF157" s="81"/>
      <c r="EG157" s="81"/>
      <c r="EH157" s="81"/>
      <c r="EI157" s="81"/>
    </row>
    <row r="158" ht="15.7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  <c r="CW158" s="81"/>
      <c r="CX158" s="81"/>
      <c r="CY158" s="81"/>
      <c r="CZ158" s="81"/>
      <c r="DA158" s="81"/>
      <c r="DB158" s="81"/>
      <c r="DC158" s="81"/>
      <c r="DD158" s="81"/>
      <c r="DE158" s="81"/>
      <c r="DF158" s="81"/>
      <c r="DG158" s="81"/>
      <c r="DH158" s="81"/>
      <c r="DI158" s="81"/>
      <c r="DJ158" s="81"/>
      <c r="DK158" s="81"/>
      <c r="DL158" s="81"/>
      <c r="DM158" s="81"/>
      <c r="DN158" s="81"/>
      <c r="DO158" s="81"/>
      <c r="DP158" s="81"/>
      <c r="DQ158" s="81"/>
      <c r="DR158" s="81"/>
      <c r="DS158" s="81"/>
      <c r="DT158" s="81"/>
      <c r="DU158" s="81"/>
      <c r="DV158" s="81"/>
      <c r="DW158" s="81"/>
      <c r="DX158" s="81"/>
      <c r="DY158" s="81"/>
      <c r="DZ158" s="81"/>
      <c r="EA158" s="81"/>
      <c r="EB158" s="81"/>
      <c r="EC158" s="81"/>
      <c r="ED158" s="81"/>
      <c r="EE158" s="81"/>
      <c r="EF158" s="81"/>
      <c r="EG158" s="81"/>
      <c r="EH158" s="81"/>
      <c r="EI158" s="81"/>
    </row>
    <row r="159" ht="15.7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1"/>
      <c r="CX159" s="81"/>
      <c r="CY159" s="81"/>
      <c r="CZ159" s="81"/>
      <c r="DA159" s="81"/>
      <c r="DB159" s="81"/>
      <c r="DC159" s="81"/>
      <c r="DD159" s="81"/>
      <c r="DE159" s="81"/>
      <c r="DF159" s="81"/>
      <c r="DG159" s="81"/>
      <c r="DH159" s="81"/>
      <c r="DI159" s="81"/>
      <c r="DJ159" s="81"/>
      <c r="DK159" s="81"/>
      <c r="DL159" s="81"/>
      <c r="DM159" s="81"/>
      <c r="DN159" s="81"/>
      <c r="DO159" s="81"/>
      <c r="DP159" s="81"/>
      <c r="DQ159" s="81"/>
      <c r="DR159" s="81"/>
      <c r="DS159" s="81"/>
      <c r="DT159" s="81"/>
      <c r="DU159" s="81"/>
      <c r="DV159" s="81"/>
      <c r="DW159" s="81"/>
      <c r="DX159" s="81"/>
      <c r="DY159" s="81"/>
      <c r="DZ159" s="81"/>
      <c r="EA159" s="81"/>
      <c r="EB159" s="81"/>
      <c r="EC159" s="81"/>
      <c r="ED159" s="81"/>
      <c r="EE159" s="81"/>
      <c r="EF159" s="81"/>
      <c r="EG159" s="81"/>
      <c r="EH159" s="81"/>
      <c r="EI159" s="81"/>
    </row>
    <row r="160" ht="15.7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  <c r="CN160" s="81"/>
      <c r="CO160" s="81"/>
      <c r="CP160" s="81"/>
      <c r="CQ160" s="81"/>
      <c r="CR160" s="81"/>
      <c r="CS160" s="81"/>
      <c r="CT160" s="81"/>
      <c r="CU160" s="81"/>
      <c r="CV160" s="81"/>
      <c r="CW160" s="81"/>
      <c r="CX160" s="81"/>
      <c r="CY160" s="81"/>
      <c r="CZ160" s="81"/>
      <c r="DA160" s="81"/>
      <c r="DB160" s="81"/>
      <c r="DC160" s="81"/>
      <c r="DD160" s="81"/>
      <c r="DE160" s="81"/>
      <c r="DF160" s="81"/>
      <c r="DG160" s="81"/>
      <c r="DH160" s="81"/>
      <c r="DI160" s="81"/>
      <c r="DJ160" s="81"/>
      <c r="DK160" s="81"/>
      <c r="DL160" s="81"/>
      <c r="DM160" s="81"/>
      <c r="DN160" s="81"/>
      <c r="DO160" s="81"/>
      <c r="DP160" s="81"/>
      <c r="DQ160" s="81"/>
      <c r="DR160" s="81"/>
      <c r="DS160" s="81"/>
      <c r="DT160" s="81"/>
      <c r="DU160" s="81"/>
      <c r="DV160" s="81"/>
      <c r="DW160" s="81"/>
      <c r="DX160" s="81"/>
      <c r="DY160" s="81"/>
      <c r="DZ160" s="81"/>
      <c r="EA160" s="81"/>
      <c r="EB160" s="81"/>
      <c r="EC160" s="81"/>
      <c r="ED160" s="81"/>
      <c r="EE160" s="81"/>
      <c r="EF160" s="81"/>
      <c r="EG160" s="81"/>
      <c r="EH160" s="81"/>
      <c r="EI160" s="81"/>
    </row>
    <row r="161" ht="15.7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  <c r="BS161" s="8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  <c r="CI161" s="81"/>
      <c r="CJ161" s="81"/>
      <c r="CK161" s="81"/>
      <c r="CL161" s="81"/>
      <c r="CM161" s="81"/>
      <c r="CN161" s="81"/>
      <c r="CO161" s="81"/>
      <c r="CP161" s="81"/>
      <c r="CQ161" s="81"/>
      <c r="CR161" s="81"/>
      <c r="CS161" s="81"/>
      <c r="CT161" s="81"/>
      <c r="CU161" s="81"/>
      <c r="CV161" s="81"/>
      <c r="CW161" s="81"/>
      <c r="CX161" s="81"/>
      <c r="CY161" s="81"/>
      <c r="CZ161" s="81"/>
      <c r="DA161" s="81"/>
      <c r="DB161" s="81"/>
      <c r="DC161" s="81"/>
      <c r="DD161" s="81"/>
      <c r="DE161" s="81"/>
      <c r="DF161" s="81"/>
      <c r="DG161" s="81"/>
      <c r="DH161" s="81"/>
      <c r="DI161" s="81"/>
      <c r="DJ161" s="81"/>
      <c r="DK161" s="81"/>
      <c r="DL161" s="81"/>
      <c r="DM161" s="81"/>
      <c r="DN161" s="81"/>
      <c r="DO161" s="81"/>
      <c r="DP161" s="81"/>
      <c r="DQ161" s="81"/>
      <c r="DR161" s="81"/>
      <c r="DS161" s="81"/>
      <c r="DT161" s="81"/>
      <c r="DU161" s="81"/>
      <c r="DV161" s="81"/>
      <c r="DW161" s="81"/>
      <c r="DX161" s="81"/>
      <c r="DY161" s="81"/>
      <c r="DZ161" s="81"/>
      <c r="EA161" s="81"/>
      <c r="EB161" s="81"/>
      <c r="EC161" s="81"/>
      <c r="ED161" s="81"/>
      <c r="EE161" s="81"/>
      <c r="EF161" s="81"/>
      <c r="EG161" s="81"/>
      <c r="EH161" s="81"/>
      <c r="EI161" s="81"/>
    </row>
    <row r="162" ht="15.7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  <c r="CW162" s="81"/>
      <c r="CX162" s="81"/>
      <c r="CY162" s="81"/>
      <c r="CZ162" s="81"/>
      <c r="DA162" s="81"/>
      <c r="DB162" s="81"/>
      <c r="DC162" s="81"/>
      <c r="DD162" s="81"/>
      <c r="DE162" s="81"/>
      <c r="DF162" s="81"/>
      <c r="DG162" s="81"/>
      <c r="DH162" s="81"/>
      <c r="DI162" s="81"/>
      <c r="DJ162" s="81"/>
      <c r="DK162" s="81"/>
      <c r="DL162" s="81"/>
      <c r="DM162" s="81"/>
      <c r="DN162" s="81"/>
      <c r="DO162" s="81"/>
      <c r="DP162" s="81"/>
      <c r="DQ162" s="81"/>
      <c r="DR162" s="81"/>
      <c r="DS162" s="81"/>
      <c r="DT162" s="81"/>
      <c r="DU162" s="81"/>
      <c r="DV162" s="81"/>
      <c r="DW162" s="81"/>
      <c r="DX162" s="81"/>
      <c r="DY162" s="81"/>
      <c r="DZ162" s="81"/>
      <c r="EA162" s="81"/>
      <c r="EB162" s="81"/>
      <c r="EC162" s="81"/>
      <c r="ED162" s="81"/>
      <c r="EE162" s="81"/>
      <c r="EF162" s="81"/>
      <c r="EG162" s="81"/>
      <c r="EH162" s="81"/>
      <c r="EI162" s="81"/>
    </row>
    <row r="163" ht="15.7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  <c r="CN163" s="81"/>
      <c r="CO163" s="81"/>
      <c r="CP163" s="81"/>
      <c r="CQ163" s="81"/>
      <c r="CR163" s="81"/>
      <c r="CS163" s="81"/>
      <c r="CT163" s="81"/>
      <c r="CU163" s="81"/>
      <c r="CV163" s="81"/>
      <c r="CW163" s="81"/>
      <c r="CX163" s="81"/>
      <c r="CY163" s="81"/>
      <c r="CZ163" s="81"/>
      <c r="DA163" s="81"/>
      <c r="DB163" s="81"/>
      <c r="DC163" s="81"/>
      <c r="DD163" s="81"/>
      <c r="DE163" s="81"/>
      <c r="DF163" s="81"/>
      <c r="DG163" s="81"/>
      <c r="DH163" s="81"/>
      <c r="DI163" s="81"/>
      <c r="DJ163" s="81"/>
      <c r="DK163" s="81"/>
      <c r="DL163" s="81"/>
      <c r="DM163" s="81"/>
      <c r="DN163" s="81"/>
      <c r="DO163" s="81"/>
      <c r="DP163" s="81"/>
      <c r="DQ163" s="81"/>
      <c r="DR163" s="81"/>
      <c r="DS163" s="81"/>
      <c r="DT163" s="81"/>
      <c r="DU163" s="81"/>
      <c r="DV163" s="81"/>
      <c r="DW163" s="81"/>
      <c r="DX163" s="81"/>
      <c r="DY163" s="81"/>
      <c r="DZ163" s="81"/>
      <c r="EA163" s="81"/>
      <c r="EB163" s="81"/>
      <c r="EC163" s="81"/>
      <c r="ED163" s="81"/>
      <c r="EE163" s="81"/>
      <c r="EF163" s="81"/>
      <c r="EG163" s="81"/>
      <c r="EH163" s="81"/>
      <c r="EI163" s="81"/>
    </row>
    <row r="164" ht="15.7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  <c r="CN164" s="81"/>
      <c r="CO164" s="81"/>
      <c r="CP164" s="81"/>
      <c r="CQ164" s="81"/>
      <c r="CR164" s="81"/>
      <c r="CS164" s="81"/>
      <c r="CT164" s="81"/>
      <c r="CU164" s="81"/>
      <c r="CV164" s="81"/>
      <c r="CW164" s="81"/>
      <c r="CX164" s="81"/>
      <c r="CY164" s="81"/>
      <c r="CZ164" s="81"/>
      <c r="DA164" s="81"/>
      <c r="DB164" s="81"/>
      <c r="DC164" s="81"/>
      <c r="DD164" s="81"/>
      <c r="DE164" s="81"/>
      <c r="DF164" s="81"/>
      <c r="DG164" s="81"/>
      <c r="DH164" s="81"/>
      <c r="DI164" s="81"/>
      <c r="DJ164" s="81"/>
      <c r="DK164" s="81"/>
      <c r="DL164" s="81"/>
      <c r="DM164" s="81"/>
      <c r="DN164" s="81"/>
      <c r="DO164" s="81"/>
      <c r="DP164" s="81"/>
      <c r="DQ164" s="81"/>
      <c r="DR164" s="81"/>
      <c r="DS164" s="81"/>
      <c r="DT164" s="81"/>
      <c r="DU164" s="81"/>
      <c r="DV164" s="81"/>
      <c r="DW164" s="81"/>
      <c r="DX164" s="81"/>
      <c r="DY164" s="81"/>
      <c r="DZ164" s="81"/>
      <c r="EA164" s="81"/>
      <c r="EB164" s="81"/>
      <c r="EC164" s="81"/>
      <c r="ED164" s="81"/>
      <c r="EE164" s="81"/>
      <c r="EF164" s="81"/>
      <c r="EG164" s="81"/>
      <c r="EH164" s="81"/>
      <c r="EI164" s="81"/>
    </row>
    <row r="165" ht="15.7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  <c r="CN165" s="81"/>
      <c r="CO165" s="81"/>
      <c r="CP165" s="81"/>
      <c r="CQ165" s="81"/>
      <c r="CR165" s="81"/>
      <c r="CS165" s="81"/>
      <c r="CT165" s="81"/>
      <c r="CU165" s="81"/>
      <c r="CV165" s="81"/>
      <c r="CW165" s="81"/>
      <c r="CX165" s="81"/>
      <c r="CY165" s="81"/>
      <c r="CZ165" s="81"/>
      <c r="DA165" s="81"/>
      <c r="DB165" s="81"/>
      <c r="DC165" s="81"/>
      <c r="DD165" s="81"/>
      <c r="DE165" s="81"/>
      <c r="DF165" s="81"/>
      <c r="DG165" s="81"/>
      <c r="DH165" s="81"/>
      <c r="DI165" s="81"/>
      <c r="DJ165" s="81"/>
      <c r="DK165" s="81"/>
      <c r="DL165" s="81"/>
      <c r="DM165" s="81"/>
      <c r="DN165" s="81"/>
      <c r="DO165" s="81"/>
      <c r="DP165" s="81"/>
      <c r="DQ165" s="81"/>
      <c r="DR165" s="81"/>
      <c r="DS165" s="81"/>
      <c r="DT165" s="81"/>
      <c r="DU165" s="81"/>
      <c r="DV165" s="81"/>
      <c r="DW165" s="81"/>
      <c r="DX165" s="81"/>
      <c r="DY165" s="81"/>
      <c r="DZ165" s="81"/>
      <c r="EA165" s="81"/>
      <c r="EB165" s="81"/>
      <c r="EC165" s="81"/>
      <c r="ED165" s="81"/>
      <c r="EE165" s="81"/>
      <c r="EF165" s="81"/>
      <c r="EG165" s="81"/>
      <c r="EH165" s="81"/>
      <c r="EI165" s="81"/>
    </row>
  </sheetData>
  <mergeCells count="47">
    <mergeCell ref="A5:A6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CQ5:CS5"/>
    <mergeCell ref="CT5:CV5"/>
    <mergeCell ref="CW5:CY5"/>
    <mergeCell ref="DU5:DW5"/>
    <mergeCell ref="DX5:DZ5"/>
    <mergeCell ref="EA5:EC5"/>
    <mergeCell ref="ED5:EF5"/>
    <mergeCell ref="EG5:EI5"/>
    <mergeCell ref="CZ5:DB5"/>
    <mergeCell ref="DC5:DE5"/>
    <mergeCell ref="DF5:DH5"/>
    <mergeCell ref="DI5:DK5"/>
    <mergeCell ref="DL5:DN5"/>
    <mergeCell ref="DO5:DQ5"/>
    <mergeCell ref="DR5:DT5"/>
  </mergeCells>
  <conditionalFormatting sqref="J7:J145">
    <cfRule type="cellIs" dxfId="0" priority="1" operator="greaterThan">
      <formula>0</formula>
    </cfRule>
  </conditionalFormatting>
  <conditionalFormatting sqref="J7:J145">
    <cfRule type="cellIs" dxfId="1" priority="2" operator="lessThan">
      <formula>0</formula>
    </cfRule>
  </conditionalFormatting>
  <conditionalFormatting sqref="M7:M145">
    <cfRule type="cellIs" dxfId="0" priority="3" operator="greaterThan">
      <formula>0</formula>
    </cfRule>
  </conditionalFormatting>
  <conditionalFormatting sqref="M7:M145">
    <cfRule type="cellIs" dxfId="1" priority="4" operator="lessThan">
      <formula>0</formula>
    </cfRule>
  </conditionalFormatting>
  <conditionalFormatting sqref="P7:P145">
    <cfRule type="cellIs" dxfId="0" priority="5" operator="greaterThan">
      <formula>0</formula>
    </cfRule>
  </conditionalFormatting>
  <conditionalFormatting sqref="P7:P145">
    <cfRule type="cellIs" dxfId="1" priority="6" operator="lessThan">
      <formula>0</formula>
    </cfRule>
  </conditionalFormatting>
  <conditionalFormatting sqref="S7:S145">
    <cfRule type="cellIs" dxfId="0" priority="7" operator="greaterThan">
      <formula>0</formula>
    </cfRule>
  </conditionalFormatting>
  <conditionalFormatting sqref="S7:S145">
    <cfRule type="cellIs" dxfId="1" priority="8" operator="lessThan">
      <formula>0</formula>
    </cfRule>
  </conditionalFormatting>
  <conditionalFormatting sqref="V7:V145">
    <cfRule type="cellIs" dxfId="0" priority="9" operator="greaterThan">
      <formula>0</formula>
    </cfRule>
  </conditionalFormatting>
  <conditionalFormatting sqref="V7:V145">
    <cfRule type="cellIs" dxfId="1" priority="10" operator="lessThan">
      <formula>0</formula>
    </cfRule>
  </conditionalFormatting>
  <conditionalFormatting sqref="Y7:Y145">
    <cfRule type="cellIs" dxfId="0" priority="11" operator="greaterThan">
      <formula>0</formula>
    </cfRule>
  </conditionalFormatting>
  <conditionalFormatting sqref="Y7:Y145">
    <cfRule type="cellIs" dxfId="1" priority="12" operator="lessThan">
      <formula>0</formula>
    </cfRule>
  </conditionalFormatting>
  <dataValidations>
    <dataValidation type="list" allowBlank="1" sqref="B3">
      <formula1>"1-9,10-19,20-39,40-99,100+"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8.86"/>
    <col customWidth="1" min="2" max="2" width="42.0"/>
    <col customWidth="1" min="3" max="7" width="34.29"/>
    <col customWidth="1" min="8" max="8" width="8.71"/>
    <col customWidth="1" min="9" max="9" width="4.0"/>
    <col customWidth="1" min="10" max="43" width="8.71"/>
  </cols>
  <sheetData>
    <row r="1">
      <c r="A1" s="98" t="s">
        <v>136</v>
      </c>
    </row>
    <row r="3">
      <c r="A3" s="99" t="s">
        <v>137</v>
      </c>
      <c r="B3" s="99" t="s">
        <v>3</v>
      </c>
      <c r="C3" s="100" t="s">
        <v>138</v>
      </c>
      <c r="D3" s="100" t="s">
        <v>127</v>
      </c>
      <c r="E3" s="100" t="s">
        <v>139</v>
      </c>
      <c r="F3" s="100" t="s">
        <v>140</v>
      </c>
      <c r="G3" s="100" t="s">
        <v>141</v>
      </c>
    </row>
    <row r="4">
      <c r="A4" s="101"/>
      <c r="B4" s="102"/>
      <c r="C4" s="103" t="s">
        <v>142</v>
      </c>
      <c r="D4" s="103" t="s">
        <v>143</v>
      </c>
      <c r="E4" s="103" t="s">
        <v>144</v>
      </c>
      <c r="F4" s="103" t="s">
        <v>145</v>
      </c>
      <c r="G4" s="103" t="s">
        <v>146</v>
      </c>
    </row>
    <row r="5">
      <c r="A5" s="9" t="s">
        <v>147</v>
      </c>
      <c r="B5" s="104"/>
      <c r="C5" s="104"/>
      <c r="D5" s="104"/>
      <c r="E5" s="104"/>
      <c r="F5" s="104"/>
      <c r="G5" s="104"/>
    </row>
    <row r="6">
      <c r="A6" s="105"/>
      <c r="B6" s="106" t="s">
        <v>148</v>
      </c>
      <c r="C6" s="107">
        <v>2.0</v>
      </c>
      <c r="D6" s="107">
        <v>6.0</v>
      </c>
      <c r="E6" s="107">
        <v>11.0</v>
      </c>
      <c r="F6" s="107">
        <v>28.0</v>
      </c>
      <c r="G6" s="107">
        <v>80.0</v>
      </c>
      <c r="I6" s="108"/>
    </row>
    <row r="7">
      <c r="A7" s="105"/>
      <c r="B7" s="106" t="s">
        <v>149</v>
      </c>
      <c r="C7" s="107">
        <v>5.0</v>
      </c>
      <c r="D7" s="107">
        <v>13.0</v>
      </c>
      <c r="E7" s="107">
        <v>26.0</v>
      </c>
      <c r="F7" s="107">
        <v>60.0</v>
      </c>
      <c r="G7" s="107">
        <v>175.0</v>
      </c>
    </row>
    <row r="8">
      <c r="A8" s="105"/>
      <c r="B8" s="106" t="s">
        <v>150</v>
      </c>
      <c r="C8" s="110">
        <v>10.0</v>
      </c>
      <c r="D8" s="110">
        <v>26.0</v>
      </c>
      <c r="E8" s="110">
        <v>42.0</v>
      </c>
      <c r="F8" s="110">
        <v>100.0</v>
      </c>
      <c r="G8" s="110">
        <v>280.0</v>
      </c>
    </row>
    <row r="9">
      <c r="A9" s="9" t="s">
        <v>151</v>
      </c>
      <c r="B9" s="104"/>
      <c r="C9" s="104"/>
      <c r="D9" s="104"/>
      <c r="E9" s="104"/>
      <c r="F9" s="104"/>
      <c r="G9" s="104"/>
    </row>
    <row r="10">
      <c r="A10" s="105"/>
      <c r="B10" s="106" t="s">
        <v>152</v>
      </c>
      <c r="C10" s="111">
        <v>0.0</v>
      </c>
      <c r="D10" s="112">
        <v>10.0</v>
      </c>
      <c r="E10" s="112">
        <v>15.0</v>
      </c>
      <c r="F10" s="112">
        <v>60.0</v>
      </c>
      <c r="G10" s="112">
        <v>125.0</v>
      </c>
      <c r="I10" s="108"/>
    </row>
    <row r="11">
      <c r="A11" s="105"/>
      <c r="B11" s="106" t="s">
        <v>153</v>
      </c>
      <c r="C11" s="113">
        <v>10.0</v>
      </c>
      <c r="D11" s="113">
        <v>35.0</v>
      </c>
      <c r="E11" s="113">
        <v>75.0</v>
      </c>
      <c r="F11" s="113">
        <v>160.0</v>
      </c>
      <c r="G11" s="113">
        <v>350.0</v>
      </c>
    </row>
    <row r="12">
      <c r="A12" s="105"/>
      <c r="B12" s="106" t="s">
        <v>154</v>
      </c>
      <c r="C12" s="114">
        <v>15.0</v>
      </c>
      <c r="D12" s="114">
        <v>70.0</v>
      </c>
      <c r="E12" s="114">
        <v>140.0</v>
      </c>
      <c r="F12" s="114">
        <v>300.0</v>
      </c>
      <c r="G12" s="114">
        <v>500.0</v>
      </c>
    </row>
    <row r="13">
      <c r="A13" s="105"/>
      <c r="B13" s="116" t="s">
        <v>155</v>
      </c>
      <c r="C13" s="111">
        <v>0.0</v>
      </c>
      <c r="D13" s="112">
        <v>10.0</v>
      </c>
      <c r="E13" s="112">
        <v>15.0</v>
      </c>
      <c r="F13" s="112">
        <v>60.0</v>
      </c>
      <c r="G13" s="112">
        <v>125.0</v>
      </c>
    </row>
    <row r="14">
      <c r="A14" s="105"/>
      <c r="B14" s="116" t="s">
        <v>157</v>
      </c>
      <c r="C14" s="113">
        <v>10.0</v>
      </c>
      <c r="D14" s="113">
        <v>35.0</v>
      </c>
      <c r="E14" s="113">
        <v>75.0</v>
      </c>
      <c r="F14" s="113">
        <v>160.0</v>
      </c>
      <c r="G14" s="113">
        <v>350.0</v>
      </c>
    </row>
    <row r="15">
      <c r="A15" s="105"/>
      <c r="B15" s="116" t="s">
        <v>159</v>
      </c>
      <c r="C15" s="114">
        <v>15.0</v>
      </c>
      <c r="D15" s="114">
        <v>70.0</v>
      </c>
      <c r="E15" s="114">
        <v>140.0</v>
      </c>
      <c r="F15" s="114">
        <v>300.0</v>
      </c>
      <c r="G15" s="114">
        <v>500.0</v>
      </c>
    </row>
    <row r="16">
      <c r="A16" s="117"/>
      <c r="B16" s="118" t="s">
        <v>160</v>
      </c>
      <c r="C16" s="122">
        <f t="shared" ref="C16:G16" si="1">if(C13-C10&gt;0, "+"&amp;C13-C10, C13-C10)</f>
        <v>0</v>
      </c>
      <c r="D16" s="122">
        <f t="shared" si="1"/>
        <v>0</v>
      </c>
      <c r="E16" s="122">
        <f t="shared" si="1"/>
        <v>0</v>
      </c>
      <c r="F16" s="125">
        <f t="shared" si="1"/>
        <v>0</v>
      </c>
      <c r="G16" s="125">
        <f t="shared" si="1"/>
        <v>0</v>
      </c>
    </row>
    <row r="17">
      <c r="A17" s="117"/>
      <c r="B17" s="118" t="s">
        <v>162</v>
      </c>
      <c r="C17" s="42">
        <f t="shared" ref="C17:G17" si="2">if(C14-C11&gt;0, "+"&amp;C14-C11, C14-C11)</f>
        <v>0</v>
      </c>
      <c r="D17" s="42">
        <f t="shared" si="2"/>
        <v>0</v>
      </c>
      <c r="E17" s="42">
        <f t="shared" si="2"/>
        <v>0</v>
      </c>
      <c r="F17" s="42">
        <f t="shared" si="2"/>
        <v>0</v>
      </c>
      <c r="G17" s="42">
        <f t="shared" si="2"/>
        <v>0</v>
      </c>
    </row>
    <row r="18">
      <c r="A18" s="117"/>
      <c r="B18" s="118" t="s">
        <v>173</v>
      </c>
      <c r="C18" s="42">
        <f t="shared" ref="C18:G18" si="3">if(C15-C12&gt;0, "+"&amp;C15-C12, C15-C12)</f>
        <v>0</v>
      </c>
      <c r="D18" s="42">
        <f t="shared" si="3"/>
        <v>0</v>
      </c>
      <c r="E18" s="42">
        <f t="shared" si="3"/>
        <v>0</v>
      </c>
      <c r="F18" s="42">
        <f t="shared" si="3"/>
        <v>0</v>
      </c>
      <c r="G18" s="42">
        <f t="shared" si="3"/>
        <v>0</v>
      </c>
    </row>
    <row r="19">
      <c r="A19" s="73" t="s">
        <v>174</v>
      </c>
      <c r="B19" s="104"/>
      <c r="C19" s="104"/>
      <c r="D19" s="104"/>
      <c r="E19" s="104"/>
      <c r="F19" s="104"/>
      <c r="G19" s="104"/>
    </row>
    <row r="20">
      <c r="A20" s="105"/>
      <c r="B20" s="130" t="s">
        <v>175</v>
      </c>
      <c r="C20" s="131">
        <v>0.0</v>
      </c>
      <c r="D20" s="131">
        <v>0.0</v>
      </c>
      <c r="E20" s="131">
        <v>0.0</v>
      </c>
      <c r="F20" s="131">
        <v>0.0</v>
      </c>
      <c r="G20" s="131">
        <v>0.0</v>
      </c>
      <c r="I20" s="108"/>
    </row>
    <row r="21">
      <c r="A21" s="105"/>
      <c r="B21" s="130" t="s">
        <v>176</v>
      </c>
      <c r="C21" s="131">
        <v>0.0</v>
      </c>
      <c r="D21" s="131">
        <v>0.0</v>
      </c>
      <c r="E21" s="131">
        <v>0.0</v>
      </c>
      <c r="F21" s="131">
        <v>0.0</v>
      </c>
      <c r="G21" s="131">
        <v>0.0</v>
      </c>
    </row>
    <row r="22">
      <c r="A22" s="105"/>
      <c r="B22" s="130" t="s">
        <v>177</v>
      </c>
      <c r="C22" s="132">
        <v>0.0</v>
      </c>
      <c r="D22" s="132">
        <v>0.0</v>
      </c>
      <c r="E22" s="132">
        <v>0.0</v>
      </c>
      <c r="F22" s="132">
        <v>0.0</v>
      </c>
      <c r="G22" s="132">
        <v>0.0</v>
      </c>
    </row>
    <row r="23">
      <c r="A23" s="105"/>
      <c r="B23" s="130" t="s">
        <v>178</v>
      </c>
      <c r="C23" s="112">
        <v>1.0</v>
      </c>
      <c r="D23" s="112">
        <v>1.0</v>
      </c>
      <c r="E23" s="112">
        <v>1.0</v>
      </c>
      <c r="F23" s="112">
        <v>1.0</v>
      </c>
      <c r="G23" s="112">
        <v>1.0</v>
      </c>
    </row>
    <row r="24">
      <c r="A24" s="105"/>
      <c r="B24" s="130" t="s">
        <v>179</v>
      </c>
      <c r="C24" s="131">
        <v>0.0</v>
      </c>
      <c r="D24" s="131">
        <v>0.0</v>
      </c>
      <c r="E24" s="131">
        <v>0.0</v>
      </c>
      <c r="F24" s="131">
        <v>0.0</v>
      </c>
      <c r="G24" s="131">
        <v>0.0</v>
      </c>
    </row>
    <row r="25">
      <c r="A25" s="105"/>
      <c r="B25" s="130" t="s">
        <v>180</v>
      </c>
      <c r="C25" s="133">
        <v>0.0</v>
      </c>
      <c r="D25" s="133">
        <v>0.0</v>
      </c>
      <c r="E25" s="133">
        <v>0.0</v>
      </c>
      <c r="F25" s="133">
        <v>0.0</v>
      </c>
      <c r="G25" s="133">
        <v>0.0</v>
      </c>
    </row>
    <row r="26">
      <c r="A26" s="105"/>
      <c r="B26" s="130" t="s">
        <v>181</v>
      </c>
      <c r="C26" s="131">
        <v>0.0</v>
      </c>
      <c r="D26" s="131">
        <v>0.0</v>
      </c>
      <c r="E26" s="131">
        <v>0.0</v>
      </c>
      <c r="F26" s="131">
        <v>0.0</v>
      </c>
      <c r="G26" s="131">
        <v>0.0</v>
      </c>
    </row>
    <row r="27">
      <c r="A27" s="105"/>
      <c r="B27" s="130" t="s">
        <v>182</v>
      </c>
      <c r="C27" s="131">
        <v>1.0</v>
      </c>
      <c r="D27" s="131">
        <v>1.0</v>
      </c>
      <c r="E27" s="131">
        <v>1.0</v>
      </c>
      <c r="F27" s="131">
        <v>0.0</v>
      </c>
      <c r="G27" s="131">
        <v>0.0</v>
      </c>
    </row>
    <row r="28">
      <c r="A28" s="105"/>
      <c r="B28" s="130" t="s">
        <v>183</v>
      </c>
      <c r="C28" s="132">
        <v>0.0</v>
      </c>
      <c r="D28" s="132">
        <v>0.0</v>
      </c>
      <c r="E28" s="132">
        <v>0.0</v>
      </c>
      <c r="F28" s="132">
        <v>0.0</v>
      </c>
      <c r="G28" s="132">
        <v>0.0</v>
      </c>
    </row>
    <row r="29">
      <c r="A29" s="105"/>
      <c r="B29" s="116" t="s">
        <v>184</v>
      </c>
      <c r="C29" s="112">
        <v>0.0</v>
      </c>
      <c r="D29" s="112">
        <v>0.0</v>
      </c>
      <c r="E29" s="112">
        <v>0.0</v>
      </c>
      <c r="F29" s="112">
        <v>1.0</v>
      </c>
      <c r="G29" s="112">
        <v>1.0</v>
      </c>
    </row>
    <row r="30">
      <c r="A30" s="105"/>
      <c r="B30" s="116" t="s">
        <v>185</v>
      </c>
      <c r="C30" s="131">
        <v>0.0</v>
      </c>
      <c r="D30" s="131">
        <v>0.0</v>
      </c>
      <c r="E30" s="131">
        <v>0.0</v>
      </c>
      <c r="F30" s="131">
        <v>1.0</v>
      </c>
      <c r="G30" s="131">
        <v>1.0</v>
      </c>
    </row>
    <row r="31">
      <c r="A31" s="105"/>
      <c r="B31" s="116" t="s">
        <v>186</v>
      </c>
      <c r="C31" s="133">
        <v>0.0</v>
      </c>
      <c r="D31" s="133">
        <v>0.0</v>
      </c>
      <c r="E31" s="133">
        <v>0.0</v>
      </c>
      <c r="F31" s="133">
        <v>0.0</v>
      </c>
      <c r="G31" s="133">
        <v>0.0</v>
      </c>
    </row>
    <row r="32">
      <c r="A32" s="105"/>
      <c r="B32" s="116" t="s">
        <v>187</v>
      </c>
      <c r="C32" s="131">
        <v>1.0</v>
      </c>
      <c r="D32" s="131">
        <v>1.0</v>
      </c>
      <c r="E32" s="131">
        <v>1.0</v>
      </c>
      <c r="F32" s="131">
        <v>1.0</v>
      </c>
      <c r="G32" s="131">
        <v>1.0</v>
      </c>
    </row>
    <row r="33">
      <c r="A33" s="105"/>
      <c r="B33" s="116" t="s">
        <v>188</v>
      </c>
      <c r="C33" s="131">
        <v>0.0</v>
      </c>
      <c r="D33" s="131">
        <v>0.0</v>
      </c>
      <c r="E33" s="131">
        <v>0.0</v>
      </c>
      <c r="F33" s="131">
        <v>0.0</v>
      </c>
      <c r="G33" s="131">
        <v>0.0</v>
      </c>
    </row>
    <row r="34">
      <c r="A34" s="105"/>
      <c r="B34" s="116" t="s">
        <v>189</v>
      </c>
      <c r="C34" s="133">
        <v>0.0</v>
      </c>
      <c r="D34" s="133">
        <v>0.0</v>
      </c>
      <c r="E34" s="133">
        <v>0.0</v>
      </c>
      <c r="F34" s="133">
        <v>1.0</v>
      </c>
      <c r="G34" s="133">
        <v>1.0</v>
      </c>
    </row>
    <row r="35">
      <c r="A35" s="105"/>
      <c r="B35" s="116" t="s">
        <v>190</v>
      </c>
      <c r="C35" s="131">
        <v>0.0</v>
      </c>
      <c r="D35" s="131">
        <v>0.0</v>
      </c>
      <c r="E35" s="131">
        <v>0.0</v>
      </c>
      <c r="F35" s="131">
        <v>0.0</v>
      </c>
      <c r="G35" s="131">
        <v>0.0</v>
      </c>
    </row>
    <row r="36">
      <c r="A36" s="105"/>
      <c r="B36" s="116" t="s">
        <v>191</v>
      </c>
      <c r="C36" s="131">
        <v>0.0</v>
      </c>
      <c r="D36" s="131">
        <v>0.0</v>
      </c>
      <c r="E36" s="131">
        <v>0.0</v>
      </c>
      <c r="F36" s="131">
        <v>0.0</v>
      </c>
      <c r="G36" s="131">
        <v>0.0</v>
      </c>
    </row>
    <row r="37">
      <c r="A37" s="105"/>
      <c r="B37" s="116" t="s">
        <v>192</v>
      </c>
      <c r="C37" s="131">
        <v>1.0</v>
      </c>
      <c r="D37" s="131">
        <v>1.0</v>
      </c>
      <c r="E37" s="131">
        <v>1.0</v>
      </c>
      <c r="F37" s="131">
        <v>0.0</v>
      </c>
      <c r="G37" s="131">
        <v>0.0</v>
      </c>
    </row>
    <row r="38">
      <c r="A38" s="117"/>
      <c r="B38" s="118" t="s">
        <v>193</v>
      </c>
      <c r="C38" s="134">
        <f t="shared" ref="C38:G38" si="4">C29-C20</f>
        <v>0</v>
      </c>
      <c r="D38" s="134">
        <f t="shared" si="4"/>
        <v>0</v>
      </c>
      <c r="E38" s="134">
        <f t="shared" si="4"/>
        <v>0</v>
      </c>
      <c r="F38" s="134">
        <f t="shared" si="4"/>
        <v>1</v>
      </c>
      <c r="G38" s="134">
        <f t="shared" si="4"/>
        <v>1</v>
      </c>
    </row>
    <row r="39">
      <c r="A39" s="117"/>
      <c r="B39" s="118" t="s">
        <v>194</v>
      </c>
      <c r="C39" s="134">
        <f t="shared" ref="C39:G39" si="5">C30-C21</f>
        <v>0</v>
      </c>
      <c r="D39" s="134">
        <f t="shared" si="5"/>
        <v>0</v>
      </c>
      <c r="E39" s="134">
        <f t="shared" si="5"/>
        <v>0</v>
      </c>
      <c r="F39" s="134">
        <f t="shared" si="5"/>
        <v>1</v>
      </c>
      <c r="G39" s="134">
        <f t="shared" si="5"/>
        <v>1</v>
      </c>
    </row>
    <row r="40">
      <c r="A40" s="117"/>
      <c r="B40" s="118" t="s">
        <v>196</v>
      </c>
      <c r="C40" s="134">
        <f t="shared" ref="C40:G40" si="6">C31-C22</f>
        <v>0</v>
      </c>
      <c r="D40" s="134">
        <f t="shared" si="6"/>
        <v>0</v>
      </c>
      <c r="E40" s="134">
        <f t="shared" si="6"/>
        <v>0</v>
      </c>
      <c r="F40" s="134">
        <f t="shared" si="6"/>
        <v>0</v>
      </c>
      <c r="G40" s="134">
        <f t="shared" si="6"/>
        <v>0</v>
      </c>
    </row>
    <row r="41">
      <c r="A41" s="117"/>
      <c r="B41" s="118" t="s">
        <v>197</v>
      </c>
      <c r="C41" s="134">
        <f t="shared" ref="C41:G41" si="7">C32-C23</f>
        <v>0</v>
      </c>
      <c r="D41" s="134">
        <f t="shared" si="7"/>
        <v>0</v>
      </c>
      <c r="E41" s="134">
        <f t="shared" si="7"/>
        <v>0</v>
      </c>
      <c r="F41" s="134">
        <f t="shared" si="7"/>
        <v>0</v>
      </c>
      <c r="G41" s="134">
        <f t="shared" si="7"/>
        <v>0</v>
      </c>
    </row>
    <row r="42">
      <c r="A42" s="117"/>
      <c r="B42" s="118" t="s">
        <v>198</v>
      </c>
      <c r="C42" s="134">
        <f t="shared" ref="C42:G42" si="8">C33-C24</f>
        <v>0</v>
      </c>
      <c r="D42" s="134">
        <f t="shared" si="8"/>
        <v>0</v>
      </c>
      <c r="E42" s="134">
        <f t="shared" si="8"/>
        <v>0</v>
      </c>
      <c r="F42" s="134">
        <f t="shared" si="8"/>
        <v>0</v>
      </c>
      <c r="G42" s="134">
        <f t="shared" si="8"/>
        <v>0</v>
      </c>
    </row>
    <row r="43">
      <c r="A43" s="117"/>
      <c r="B43" s="118" t="s">
        <v>199</v>
      </c>
      <c r="C43" s="134">
        <f t="shared" ref="C43:G43" si="9">C34-C25</f>
        <v>0</v>
      </c>
      <c r="D43" s="134">
        <f t="shared" si="9"/>
        <v>0</v>
      </c>
      <c r="E43" s="134">
        <f t="shared" si="9"/>
        <v>0</v>
      </c>
      <c r="F43" s="134">
        <f t="shared" si="9"/>
        <v>1</v>
      </c>
      <c r="G43" s="134">
        <f t="shared" si="9"/>
        <v>1</v>
      </c>
    </row>
    <row r="44">
      <c r="A44" s="117"/>
      <c r="B44" s="118" t="s">
        <v>200</v>
      </c>
      <c r="C44" s="134">
        <f t="shared" ref="C44:G44" si="10">C35-C26</f>
        <v>0</v>
      </c>
      <c r="D44" s="134">
        <f t="shared" si="10"/>
        <v>0</v>
      </c>
      <c r="E44" s="134">
        <f t="shared" si="10"/>
        <v>0</v>
      </c>
      <c r="F44" s="134">
        <f t="shared" si="10"/>
        <v>0</v>
      </c>
      <c r="G44" s="134">
        <f t="shared" si="10"/>
        <v>0</v>
      </c>
    </row>
    <row r="45">
      <c r="A45" s="117"/>
      <c r="B45" s="118" t="s">
        <v>202</v>
      </c>
      <c r="C45" s="134">
        <f t="shared" ref="C45:G45" si="11">C36-C27</f>
        <v>-1</v>
      </c>
      <c r="D45" s="134">
        <f t="shared" si="11"/>
        <v>-1</v>
      </c>
      <c r="E45" s="134">
        <f t="shared" si="11"/>
        <v>-1</v>
      </c>
      <c r="F45" s="134">
        <f t="shared" si="11"/>
        <v>0</v>
      </c>
      <c r="G45" s="134">
        <f t="shared" si="11"/>
        <v>0</v>
      </c>
    </row>
    <row r="46">
      <c r="A46" s="117"/>
      <c r="B46" s="118" t="s">
        <v>203</v>
      </c>
      <c r="C46" s="134">
        <f t="shared" ref="C46:G46" si="12">C37-C28</f>
        <v>1</v>
      </c>
      <c r="D46" s="134">
        <f t="shared" si="12"/>
        <v>1</v>
      </c>
      <c r="E46" s="134">
        <f t="shared" si="12"/>
        <v>1</v>
      </c>
      <c r="F46" s="134">
        <f t="shared" si="12"/>
        <v>0</v>
      </c>
      <c r="G46" s="134">
        <f t="shared" si="12"/>
        <v>0</v>
      </c>
    </row>
    <row r="47">
      <c r="A47" s="73" t="s">
        <v>204</v>
      </c>
      <c r="B47" s="104"/>
      <c r="C47" s="140"/>
      <c r="D47" s="140"/>
      <c r="E47" s="140"/>
      <c r="F47" s="140"/>
      <c r="G47" s="140"/>
    </row>
    <row r="48">
      <c r="A48" s="16"/>
      <c r="B48" s="16" t="s">
        <v>205</v>
      </c>
      <c r="C48" s="42">
        <f>IFERROR(SUMPRODUCT((Raw_Data_Daily!$B$2:$B$9999="Variant")*(Raw_Data_Daily!$C$2:$C$9999=C$4)*Raw_Data_Daily!$D$2:$D$9999*Raw_Data_Daily!$AI$2:$AI$9999)/SUMIFS(Raw_Data_Daily!$D:$D, Raw_Data_Daily!$B:$B, "Variant", Raw_Data_Daily!$C:$C, C$4),"")</f>
        <v>74.51022193</v>
      </c>
      <c r="D48" s="42">
        <f>IFERROR(SUMPRODUCT((Raw_Data_Daily!$B$2:$B$9999="Variant")*(Raw_Data_Daily!$C$2:$C$9999=D$4)*Raw_Data_Daily!$D$2:$D$9999*Raw_Data_Daily!$AI$2:$AI$9999)/SUMIFS(Raw_Data_Daily!$D:$D, Raw_Data_Daily!$B:$B, "Variant", Raw_Data_Daily!$C:$C, D$4),"")</f>
        <v>64.57329758</v>
      </c>
      <c r="E48" s="42">
        <f>IFERROR(SUMPRODUCT((Raw_Data_Daily!$B$2:$B$9999="Variant")*(Raw_Data_Daily!$C$2:$C$9999=E$4)*Raw_Data_Daily!$D$2:$D$9999*Raw_Data_Daily!$AI$2:$AI$9999)/SUMIFS(Raw_Data_Daily!$D:$D, Raw_Data_Daily!$B:$B, "Variant", Raw_Data_Daily!$C:$C, E$4),"")</f>
        <v>58.97673938</v>
      </c>
      <c r="F48" s="42">
        <f>IFERROR(SUMPRODUCT((Raw_Data_Daily!$B$2:$B$9999="Variant")*(Raw_Data_Daily!$C$2:$C$9999=F$4)*Raw_Data_Daily!$D$2:$D$9999*Raw_Data_Daily!$AI$2:$AI$9999)/SUMIFS(Raw_Data_Daily!$D:$D, Raw_Data_Daily!$B:$B, "Variant", Raw_Data_Daily!$C:$C, F$4),"")</f>
        <v>42.66101186</v>
      </c>
      <c r="G48" s="42">
        <f>IFERROR(SUMPRODUCT((Raw_Data_Daily!$B$2:$B$9999="Variant")*(Raw_Data_Daily!$C$2:$C$9999=G$4)*Raw_Data_Daily!$D$2:$D$9999*Raw_Data_Daily!$AI$2:$AI$9999)/SUMIFS(Raw_Data_Daily!$D:$D, Raw_Data_Daily!$B:$B, "Variant", Raw_Data_Daily!$C:$C, G$4),"")</f>
        <v>23.20030353</v>
      </c>
      <c r="I48" s="108"/>
    </row>
    <row r="49" ht="15.75" customHeight="1">
      <c r="A49" s="16"/>
      <c r="B49" s="16" t="s">
        <v>207</v>
      </c>
      <c r="C49" s="42">
        <f>IFERROR(SUMPRODUCT((Raw_Data_Daily!$B$2:$B$9999="Variant")*(Raw_Data_Daily!$C$2:$C$9999=C$4)*Raw_Data_Daily!$D$2:$D$9999*Raw_Data_Daily!$AJ$2:$AJ$9999)/SUMIFS(Raw_Data_Daily!$D:$D, Raw_Data_Daily!$B:$B, "Variant", Raw_Data_Daily!$C:$C, C$4),"")</f>
        <v>34.20185068</v>
      </c>
      <c r="D49" s="42">
        <f>IFERROR(SUMPRODUCT((Raw_Data_Daily!$B$2:$B$9999="Variant")*(Raw_Data_Daily!$C$2:$C$9999=D$4)*Raw_Data_Daily!$D$2:$D$9999*Raw_Data_Daily!$AJ$2:$AJ$9999)/SUMIFS(Raw_Data_Daily!$D:$D, Raw_Data_Daily!$B:$B, "Variant", Raw_Data_Daily!$C:$C, D$4),"")</f>
        <v>26.32199386</v>
      </c>
      <c r="E49" s="42">
        <f>IFERROR(SUMPRODUCT((Raw_Data_Daily!$B$2:$B$9999="Variant")*(Raw_Data_Daily!$C$2:$C$9999=E$4)*Raw_Data_Daily!$D$2:$D$9999*Raw_Data_Daily!$AJ$2:$AJ$9999)/SUMIFS(Raw_Data_Daily!$D:$D, Raw_Data_Daily!$B:$B, "Variant", Raw_Data_Daily!$C:$C, E$4),"")</f>
        <v>20.58348188</v>
      </c>
      <c r="F49" s="42">
        <f>IFERROR(SUMPRODUCT((Raw_Data_Daily!$B$2:$B$9999="Variant")*(Raw_Data_Daily!$C$2:$C$9999=F$4)*Raw_Data_Daily!$D$2:$D$9999*Raw_Data_Daily!$AJ$2:$AJ$9999)/SUMIFS(Raw_Data_Daily!$D:$D, Raw_Data_Daily!$B:$B, "Variant", Raw_Data_Daily!$C:$C, F$4),"")</f>
        <v>11.77848595</v>
      </c>
      <c r="G49" s="42">
        <f>IFERROR(SUMPRODUCT((Raw_Data_Daily!$B$2:$B$9999="Variant")*(Raw_Data_Daily!$C$2:$C$9999=G$4)*Raw_Data_Daily!$D$2:$D$9999*Raw_Data_Daily!$AJ$2:$AJ$9999)/SUMIFS(Raw_Data_Daily!$D:$D, Raw_Data_Daily!$B:$B, "Variant", Raw_Data_Daily!$C:$C, G$4),"")</f>
        <v>3.952399168</v>
      </c>
    </row>
    <row r="50" ht="15.75" customHeight="1">
      <c r="A50" s="16"/>
      <c r="B50" s="16" t="s">
        <v>209</v>
      </c>
      <c r="C50" s="42">
        <f>IFERROR(SUMPRODUCT((Raw_Data_Daily!$B$2:$B$9999="Variant")*(Raw_Data_Daily!$C$2:$C$9999=C$4)*Raw_Data_Daily!$D$2:$D$9999*Raw_Data_Daily!$AK$2:$AK$9999)/SUMIFS(Raw_Data_Daily!$D:$D, Raw_Data_Daily!$B:$B, "Variant", Raw_Data_Daily!$C:$C, C$4),"")</f>
        <v>7.179875919</v>
      </c>
      <c r="D50" s="42">
        <f>IFERROR(SUMPRODUCT((Raw_Data_Daily!$B$2:$B$9999="Variant")*(Raw_Data_Daily!$C$2:$C$9999=D$4)*Raw_Data_Daily!$D$2:$D$9999*Raw_Data_Daily!$AK$2:$AK$9999)/SUMIFS(Raw_Data_Daily!$D:$D, Raw_Data_Daily!$B:$B, "Variant", Raw_Data_Daily!$C:$C, D$4),"")</f>
        <v>3.641373551</v>
      </c>
      <c r="E50" s="42">
        <f>IFERROR(SUMPRODUCT((Raw_Data_Daily!$B$2:$B$9999="Variant")*(Raw_Data_Daily!$C$2:$C$9999=E$4)*Raw_Data_Daily!$D$2:$D$9999*Raw_Data_Daily!$AK$2:$AK$9999)/SUMIFS(Raw_Data_Daily!$D:$D, Raw_Data_Daily!$B:$B, "Variant", Raw_Data_Daily!$C:$C, E$4),"")</f>
        <v>4.987590912</v>
      </c>
      <c r="F50" s="42">
        <f>IFERROR(SUMPRODUCT((Raw_Data_Daily!$B$2:$B$9999="Variant")*(Raw_Data_Daily!$C$2:$C$9999=F$4)*Raw_Data_Daily!$D$2:$D$9999*Raw_Data_Daily!$AK$2:$AK$9999)/SUMIFS(Raw_Data_Daily!$D:$D, Raw_Data_Daily!$B:$B, "Variant", Raw_Data_Daily!$C:$C, F$4),"")</f>
        <v>2.406073485</v>
      </c>
      <c r="G50" s="42">
        <f>IFERROR(SUMPRODUCT((Raw_Data_Daily!$B$2:$B$9999="Variant")*(Raw_Data_Daily!$C$2:$C$9999=G$4)*Raw_Data_Daily!$D$2:$D$9999*Raw_Data_Daily!$AK$2:$AK$9999)/SUMIFS(Raw_Data_Daily!$D:$D, Raw_Data_Daily!$B:$B, "Variant", Raw_Data_Daily!$C:$C, G$4),"")</f>
        <v>0.4158170478</v>
      </c>
    </row>
    <row r="51" ht="15.75" customHeight="1">
      <c r="A51" s="16"/>
      <c r="B51" s="16" t="s">
        <v>210</v>
      </c>
      <c r="C51" s="42">
        <f>IFERROR(SUMPRODUCT((Raw_Data_Daily!$B$2:$B$9999="Variant")*(Raw_Data_Daily!$C$2:$C$9999=C$4)*Raw_Data_Daily!$D$2:$D$9999*Raw_Data_Daily!$AF$2:$AF$9999)/SUMIFS(Raw_Data_Daily!$D:$D, Raw_Data_Daily!$B:$B, "Variant", Raw_Data_Daily!$C:$C, C$4),"")</f>
        <v>3</v>
      </c>
      <c r="D51" s="42">
        <f>IFERROR(SUMPRODUCT((Raw_Data_Daily!$B$2:$B$9999="Variant")*(Raw_Data_Daily!$C$2:$C$9999=D$4)*Raw_Data_Daily!$D$2:$D$9999*Raw_Data_Daily!$AF$2:$AF$9999)/SUMIFS(Raw_Data_Daily!$D:$D, Raw_Data_Daily!$B:$B, "Variant", Raw_Data_Daily!$C:$C, D$4),"")</f>
        <v>8.285148657</v>
      </c>
      <c r="E51" s="42">
        <f>IFERROR(SUMPRODUCT((Raw_Data_Daily!$B$2:$B$9999="Variant")*(Raw_Data_Daily!$C$2:$C$9999=E$4)*Raw_Data_Daily!$D$2:$D$9999*Raw_Data_Daily!$AF$2:$AF$9999)/SUMIFS(Raw_Data_Daily!$D:$D, Raw_Data_Daily!$B:$B, "Variant", Raw_Data_Daily!$C:$C, E$4),"")</f>
        <v>13.1522814</v>
      </c>
      <c r="F51" s="42">
        <f>IFERROR(SUMPRODUCT((Raw_Data_Daily!$B$2:$B$9999="Variant")*(Raw_Data_Daily!$C$2:$C$9999=F$4)*Raw_Data_Daily!$D$2:$D$9999*Raw_Data_Daily!$AF$2:$AF$9999)/SUMIFS(Raw_Data_Daily!$D:$D, Raw_Data_Daily!$B:$B, "Variant", Raw_Data_Daily!$C:$C, F$4),"")</f>
        <v>23.43359825</v>
      </c>
      <c r="G51" s="42">
        <f>IFERROR(SUMPRODUCT((Raw_Data_Daily!$B$2:$B$9999="Variant")*(Raw_Data_Daily!$C$2:$C$9999=G$4)*Raw_Data_Daily!$D$2:$D$9999*Raw_Data_Daily!$AF$2:$AF$9999)/SUMIFS(Raw_Data_Daily!$D:$D, Raw_Data_Daily!$B:$B, "Variant", Raw_Data_Daily!$C:$C, G$4),"")</f>
        <v>42.28274428</v>
      </c>
    </row>
    <row r="52" ht="15.75" customHeight="1">
      <c r="A52" s="16"/>
      <c r="B52" s="16" t="s">
        <v>212</v>
      </c>
      <c r="C52" s="42">
        <f>IFERROR(SUMPRODUCT((Raw_Data_Daily!$B$2:$B$9999="Variant")*(Raw_Data_Daily!$C$2:$C$9999=C$4)*Raw_Data_Daily!$D$2:$D$9999*Raw_Data_Daily!$AG$2:$AG$9999)/SUMIFS(Raw_Data_Daily!$D:$D, Raw_Data_Daily!$B:$B, "Variant", Raw_Data_Daily!$C:$C, C$4),"")</f>
        <v>5.493604473</v>
      </c>
      <c r="D52" s="42">
        <f>IFERROR(SUMPRODUCT((Raw_Data_Daily!$B$2:$B$9999="Variant")*(Raw_Data_Daily!$C$2:$C$9999=D$4)*Raw_Data_Daily!$D$2:$D$9999*Raw_Data_Daily!$AG$2:$AG$9999)/SUMIFS(Raw_Data_Daily!$D:$D, Raw_Data_Daily!$B:$B, "Variant", Raw_Data_Daily!$C:$C, D$4),"")</f>
        <v>13</v>
      </c>
      <c r="E52" s="42">
        <f>IFERROR(SUMPRODUCT((Raw_Data_Daily!$B$2:$B$9999="Variant")*(Raw_Data_Daily!$C$2:$C$9999=E$4)*Raw_Data_Daily!$D$2:$D$9999*Raw_Data_Daily!$AG$2:$AG$9999)/SUMIFS(Raw_Data_Daily!$D:$D, Raw_Data_Daily!$B:$B, "Variant", Raw_Data_Daily!$C:$C, E$4),"")</f>
        <v>23.15697565</v>
      </c>
      <c r="F52" s="42">
        <f>IFERROR(SUMPRODUCT((Raw_Data_Daily!$B$2:$B$9999="Variant")*(Raw_Data_Daily!$C$2:$C$9999=F$4)*Raw_Data_Daily!$D$2:$D$9999*Raw_Data_Daily!$AG$2:$AG$9999)/SUMIFS(Raw_Data_Daily!$D:$D, Raw_Data_Daily!$B:$B, "Variant", Raw_Data_Daily!$C:$C, F$4),"")</f>
        <v>41.92328956</v>
      </c>
      <c r="G52" s="42">
        <f>IFERROR(SUMPRODUCT((Raw_Data_Daily!$B$2:$B$9999="Variant")*(Raw_Data_Daily!$C$2:$C$9999=G$4)*Raw_Data_Daily!$D$2:$D$9999*Raw_Data_Daily!$AG$2:$AG$9999)/SUMIFS(Raw_Data_Daily!$D:$D, Raw_Data_Daily!$B:$B, "Variant", Raw_Data_Daily!$C:$C, G$4),"")</f>
        <v>74.79334719</v>
      </c>
    </row>
    <row r="53" ht="15.75" customHeight="1">
      <c r="A53" s="16"/>
      <c r="B53" s="16" t="s">
        <v>214</v>
      </c>
      <c r="C53" s="42">
        <f>IFERROR(SUMPRODUCT((Raw_Data_Daily!$B$2:$B$9999="Variant")*(Raw_Data_Daily!$C$2:$C$9999=C$4)*Raw_Data_Daily!$D$2:$D$9999*Raw_Data_Daily!$AH$2:$AH$9999)/SUMIFS(Raw_Data_Daily!$D:$D, Raw_Data_Daily!$B:$B, "Variant", Raw_Data_Daily!$C:$C, C$4),"")</f>
        <v>8.636546415</v>
      </c>
      <c r="D53" s="42">
        <f>IFERROR(SUMPRODUCT((Raw_Data_Daily!$B$2:$B$9999="Variant")*(Raw_Data_Daily!$C$2:$C$9999=D$4)*Raw_Data_Daily!$D$2:$D$9999*Raw_Data_Daily!$AH$2:$AH$9999)/SUMIFS(Raw_Data_Daily!$D:$D, Raw_Data_Daily!$B:$B, "Variant", Raw_Data_Daily!$C:$C, D$4),"")</f>
        <v>18.63928683</v>
      </c>
      <c r="E53" s="42">
        <f>IFERROR(SUMPRODUCT((Raw_Data_Daily!$B$2:$B$9999="Variant")*(Raw_Data_Daily!$C$2:$C$9999=E$4)*Raw_Data_Daily!$D$2:$D$9999*Raw_Data_Daily!$AH$2:$AH$9999)/SUMIFS(Raw_Data_Daily!$D:$D, Raw_Data_Daily!$B:$B, "Variant", Raw_Data_Daily!$C:$C, E$4),"")</f>
        <v>34.01455217</v>
      </c>
      <c r="F53" s="42">
        <f>IFERROR(SUMPRODUCT((Raw_Data_Daily!$B$2:$B$9999="Variant")*(Raw_Data_Daily!$C$2:$C$9999=F$4)*Raw_Data_Daily!$D$2:$D$9999*Raw_Data_Daily!$AH$2:$AH$9999)/SUMIFS(Raw_Data_Daily!$D:$D, Raw_Data_Daily!$B:$B, "Variant", Raw_Data_Daily!$C:$C, F$4),"")</f>
        <v>63.11915457</v>
      </c>
      <c r="G53" s="42">
        <f>IFERROR(SUMPRODUCT((Raw_Data_Daily!$B$2:$B$9999="Variant")*(Raw_Data_Daily!$C$2:$C$9999=G$4)*Raw_Data_Daily!$D$2:$D$9999*Raw_Data_Daily!$AH$2:$AH$9999)/SUMIFS(Raw_Data_Daily!$D:$D, Raw_Data_Daily!$B:$B, "Variant", Raw_Data_Daily!$C:$C, G$4),"")</f>
        <v>118.0972973</v>
      </c>
    </row>
    <row r="54" ht="15.75" customHeight="1">
      <c r="A54" s="9" t="s">
        <v>216</v>
      </c>
      <c r="B54" s="104"/>
      <c r="C54" s="104"/>
      <c r="D54" s="104"/>
      <c r="E54" s="104"/>
      <c r="F54" s="104"/>
      <c r="G54" s="104"/>
    </row>
    <row r="55" ht="15.75" customHeight="1">
      <c r="A55" s="16"/>
      <c r="B55" s="70" t="s">
        <v>217</v>
      </c>
      <c r="C55" s="144">
        <f t="shared" ref="C55:G55" si="13">SUMPRODUCT(C48:C50/100,C10:C12)</f>
        <v>4.497166456</v>
      </c>
      <c r="D55" s="144">
        <f t="shared" si="13"/>
        <v>18.21898909</v>
      </c>
      <c r="E55" s="144">
        <f t="shared" si="13"/>
        <v>31.26674959</v>
      </c>
      <c r="F55" s="144">
        <f t="shared" si="13"/>
        <v>51.66040509</v>
      </c>
      <c r="G55" s="144">
        <f t="shared" si="13"/>
        <v>44.91286175</v>
      </c>
    </row>
    <row r="56" ht="15.75" customHeight="1">
      <c r="A56" s="16"/>
      <c r="B56" s="70" t="s">
        <v>218</v>
      </c>
      <c r="C56" s="144">
        <f t="shared" ref="C56:G56" si="14">SUMPRODUCT(C48:C50/100,C13:C15)</f>
        <v>4.497166456</v>
      </c>
      <c r="D56" s="144">
        <f t="shared" si="14"/>
        <v>18.21898909</v>
      </c>
      <c r="E56" s="144">
        <f t="shared" si="14"/>
        <v>31.26674959</v>
      </c>
      <c r="F56" s="144">
        <f t="shared" si="14"/>
        <v>51.66040509</v>
      </c>
      <c r="G56" s="144">
        <f t="shared" si="14"/>
        <v>44.91286175</v>
      </c>
    </row>
    <row r="57" ht="15.75" customHeight="1">
      <c r="A57" s="16"/>
      <c r="B57" s="74" t="s">
        <v>219</v>
      </c>
      <c r="C57" s="145">
        <f t="shared" ref="C57:G57" si="15">if(C56-C55&gt;0, "+"&amp;mround(C56-C55, 0.01), C56-C55)</f>
        <v>0</v>
      </c>
      <c r="D57" s="145">
        <f t="shared" si="15"/>
        <v>0</v>
      </c>
      <c r="E57" s="145">
        <f t="shared" si="15"/>
        <v>0</v>
      </c>
      <c r="F57" s="145">
        <f t="shared" si="15"/>
        <v>0</v>
      </c>
      <c r="G57" s="145">
        <f t="shared" si="15"/>
        <v>0</v>
      </c>
    </row>
    <row r="58" ht="15.75" customHeight="1">
      <c r="A58" s="16"/>
      <c r="B58" s="16" t="s">
        <v>220</v>
      </c>
      <c r="C58" s="146">
        <f t="shared" ref="C58:G58" si="16">IFERROR(C56/C55-1,"")</f>
        <v>0</v>
      </c>
      <c r="D58" s="146">
        <f t="shared" si="16"/>
        <v>0</v>
      </c>
      <c r="E58" s="146">
        <f t="shared" si="16"/>
        <v>0</v>
      </c>
      <c r="F58" s="146">
        <f t="shared" si="16"/>
        <v>0</v>
      </c>
      <c r="G58" s="146">
        <f t="shared" si="16"/>
        <v>0</v>
      </c>
    </row>
    <row r="59" ht="15.75" customHeight="1">
      <c r="A59" s="73" t="s">
        <v>221</v>
      </c>
      <c r="B59" s="104"/>
      <c r="C59" s="104"/>
      <c r="D59" s="104"/>
      <c r="E59" s="104"/>
      <c r="F59" s="104"/>
      <c r="G59" s="104"/>
    </row>
    <row r="60" ht="15.75" customHeight="1">
      <c r="A60" s="16"/>
      <c r="B60" s="70" t="s">
        <v>222</v>
      </c>
      <c r="C60" s="144">
        <f t="shared" ref="C60:G60" si="17">(C$48/100*C20)+(C$49/100*C23)+(C$50/100*C26)</f>
        <v>0.3420185068</v>
      </c>
      <c r="D60" s="144">
        <f t="shared" si="17"/>
        <v>0.2632199386</v>
      </c>
      <c r="E60" s="144">
        <f t="shared" si="17"/>
        <v>0.2058348188</v>
      </c>
      <c r="F60" s="144">
        <f t="shared" si="17"/>
        <v>0.1177848595</v>
      </c>
      <c r="G60" s="144">
        <f t="shared" si="17"/>
        <v>0.03952399168</v>
      </c>
    </row>
    <row r="61" ht="15.75" customHeight="1">
      <c r="A61" s="16"/>
      <c r="B61" s="70" t="s">
        <v>226</v>
      </c>
      <c r="C61" s="144">
        <f t="shared" ref="C61:G61" si="18">(C$48/100*C29)+(C$49/100*C32)+(C$50/100*C35)</f>
        <v>0.3420185068</v>
      </c>
      <c r="D61" s="144">
        <f t="shared" si="18"/>
        <v>0.2632199386</v>
      </c>
      <c r="E61" s="144">
        <f t="shared" si="18"/>
        <v>0.2058348188</v>
      </c>
      <c r="F61" s="144">
        <f t="shared" si="18"/>
        <v>0.5443949781</v>
      </c>
      <c r="G61" s="144">
        <f t="shared" si="18"/>
        <v>0.271527027</v>
      </c>
    </row>
    <row r="62" ht="15.75" customHeight="1">
      <c r="A62" s="16"/>
      <c r="B62" s="74" t="s">
        <v>228</v>
      </c>
      <c r="C62" s="145">
        <f t="shared" ref="C62:G62" si="19">C61-C60</f>
        <v>0</v>
      </c>
      <c r="D62" s="145">
        <f t="shared" si="19"/>
        <v>0</v>
      </c>
      <c r="E62" s="145">
        <f t="shared" si="19"/>
        <v>0</v>
      </c>
      <c r="F62" s="145">
        <f t="shared" si="19"/>
        <v>0.4266101186</v>
      </c>
      <c r="G62" s="145">
        <f t="shared" si="19"/>
        <v>0.2320030353</v>
      </c>
    </row>
    <row r="63" ht="15.75" customHeight="1">
      <c r="A63" s="16"/>
      <c r="B63" s="70" t="s">
        <v>229</v>
      </c>
      <c r="C63" s="146">
        <f t="shared" ref="C63:G63" si="20">IFERROR(C61/C60-1,"")</f>
        <v>0</v>
      </c>
      <c r="D63" s="146">
        <f t="shared" si="20"/>
        <v>0</v>
      </c>
      <c r="E63" s="146">
        <f t="shared" si="20"/>
        <v>0</v>
      </c>
      <c r="F63" s="146">
        <f t="shared" si="20"/>
        <v>3.621943606</v>
      </c>
      <c r="G63" s="146">
        <f t="shared" si="20"/>
        <v>5.869929262</v>
      </c>
    </row>
    <row r="64" ht="15.75" customHeight="1">
      <c r="A64" s="16"/>
      <c r="B64" s="156" t="s">
        <v>230</v>
      </c>
      <c r="C64" s="157">
        <f t="shared" ref="C64:G64" si="21">(C$48/100*C21)+(C$49/100*C24)+(C$50/100*C27)</f>
        <v>0.07179875919</v>
      </c>
      <c r="D64" s="157">
        <f t="shared" si="21"/>
        <v>0.03641373551</v>
      </c>
      <c r="E64" s="157">
        <f t="shared" si="21"/>
        <v>0.04987590912</v>
      </c>
      <c r="F64" s="157">
        <f t="shared" si="21"/>
        <v>0</v>
      </c>
      <c r="G64" s="157">
        <f t="shared" si="21"/>
        <v>0</v>
      </c>
    </row>
    <row r="65" ht="15.75" customHeight="1">
      <c r="A65" s="16"/>
      <c r="B65" s="70" t="s">
        <v>231</v>
      </c>
      <c r="C65" s="144">
        <f t="shared" ref="C65:G65" si="22">(C$48/100*C30)+(C$49/100*C33)+(C$50/100*C36)</f>
        <v>0</v>
      </c>
      <c r="D65" s="144">
        <f t="shared" si="22"/>
        <v>0</v>
      </c>
      <c r="E65" s="144">
        <f t="shared" si="22"/>
        <v>0</v>
      </c>
      <c r="F65" s="144">
        <f t="shared" si="22"/>
        <v>0.4266101186</v>
      </c>
      <c r="G65" s="144">
        <f t="shared" si="22"/>
        <v>0.2320030353</v>
      </c>
    </row>
    <row r="66" ht="15.75" customHeight="1">
      <c r="A66" s="16"/>
      <c r="B66" s="74" t="s">
        <v>232</v>
      </c>
      <c r="C66" s="145">
        <f t="shared" ref="C66:G66" si="23">C65-C64</f>
        <v>-0.07179875919</v>
      </c>
      <c r="D66" s="145">
        <f t="shared" si="23"/>
        <v>-0.03641373551</v>
      </c>
      <c r="E66" s="145">
        <f t="shared" si="23"/>
        <v>-0.04987590912</v>
      </c>
      <c r="F66" s="145">
        <f t="shared" si="23"/>
        <v>0.4266101186</v>
      </c>
      <c r="G66" s="145">
        <f t="shared" si="23"/>
        <v>0.2320030353</v>
      </c>
    </row>
    <row r="67" ht="15.75" customHeight="1">
      <c r="A67" s="16"/>
      <c r="B67" s="158" t="s">
        <v>233</v>
      </c>
      <c r="C67" s="146">
        <f t="shared" ref="C67:G67" si="24">IF(C64=0, IF(C65&gt;0, 1, 0), C65/C64-1)</f>
        <v>-1</v>
      </c>
      <c r="D67" s="146">
        <f t="shared" si="24"/>
        <v>-1</v>
      </c>
      <c r="E67" s="146">
        <f t="shared" si="24"/>
        <v>-1</v>
      </c>
      <c r="F67" s="146">
        <f t="shared" si="24"/>
        <v>1</v>
      </c>
      <c r="G67" s="146">
        <f t="shared" si="24"/>
        <v>1</v>
      </c>
    </row>
    <row r="68" ht="15.75" customHeight="1">
      <c r="A68" s="16"/>
      <c r="B68" s="156" t="s">
        <v>234</v>
      </c>
      <c r="C68" s="157">
        <f t="shared" ref="C68:G68" si="25">(C$48/100*C22)+(C$49/100*C25)+(C$50/100*C28)</f>
        <v>0</v>
      </c>
      <c r="D68" s="157">
        <f t="shared" si="25"/>
        <v>0</v>
      </c>
      <c r="E68" s="157">
        <f t="shared" si="25"/>
        <v>0</v>
      </c>
      <c r="F68" s="157">
        <f t="shared" si="25"/>
        <v>0</v>
      </c>
      <c r="G68" s="157">
        <f t="shared" si="25"/>
        <v>0</v>
      </c>
    </row>
    <row r="69" ht="15.75" customHeight="1">
      <c r="A69" s="16"/>
      <c r="B69" s="70" t="s">
        <v>235</v>
      </c>
      <c r="C69" s="144">
        <f t="shared" ref="C69:G69" si="26">(C$48/100*C31)+(C$49/100*C34)+(C$50/100*C37)</f>
        <v>0.07179875919</v>
      </c>
      <c r="D69" s="144">
        <f t="shared" si="26"/>
        <v>0.03641373551</v>
      </c>
      <c r="E69" s="144">
        <f t="shared" si="26"/>
        <v>0.04987590912</v>
      </c>
      <c r="F69" s="144">
        <f t="shared" si="26"/>
        <v>0.1177848595</v>
      </c>
      <c r="G69" s="144">
        <f t="shared" si="26"/>
        <v>0.03952399168</v>
      </c>
    </row>
    <row r="70" ht="15.75" customHeight="1">
      <c r="A70" s="16"/>
      <c r="B70" s="74" t="s">
        <v>236</v>
      </c>
      <c r="C70" s="145">
        <f t="shared" ref="C70:G70" si="27">C69-C68</f>
        <v>0.07179875919</v>
      </c>
      <c r="D70" s="145">
        <f t="shared" si="27"/>
        <v>0.03641373551</v>
      </c>
      <c r="E70" s="145">
        <f t="shared" si="27"/>
        <v>0.04987590912</v>
      </c>
      <c r="F70" s="145">
        <f t="shared" si="27"/>
        <v>0.1177848595</v>
      </c>
      <c r="G70" s="145">
        <f t="shared" si="27"/>
        <v>0.03952399168</v>
      </c>
    </row>
    <row r="71" ht="15.75" customHeight="1">
      <c r="A71" s="16"/>
      <c r="B71" s="70" t="s">
        <v>237</v>
      </c>
      <c r="C71" s="146">
        <f t="shared" ref="C71:G71" si="28">IF(C68=0, IF(C69&gt;0, 1, 0), C69/C68-1)</f>
        <v>1</v>
      </c>
      <c r="D71" s="146">
        <f t="shared" si="28"/>
        <v>1</v>
      </c>
      <c r="E71" s="146">
        <f t="shared" si="28"/>
        <v>1</v>
      </c>
      <c r="F71" s="146">
        <f t="shared" si="28"/>
        <v>1</v>
      </c>
      <c r="G71" s="146">
        <f t="shared" si="28"/>
        <v>1</v>
      </c>
    </row>
    <row r="72" ht="15.75" customHeight="1">
      <c r="A72" s="73" t="s">
        <v>238</v>
      </c>
      <c r="B72" s="104"/>
      <c r="C72" s="104"/>
      <c r="D72" s="104"/>
      <c r="E72" s="104"/>
      <c r="F72" s="104"/>
      <c r="G72" s="104"/>
    </row>
    <row r="73" ht="15.75" customHeight="1">
      <c r="A73" s="16"/>
      <c r="B73" s="16" t="s">
        <v>4</v>
      </c>
      <c r="C73" s="144">
        <f>LET(
  gain, Raw_Data_Daily!$Q$2:$Q$9999,
  players, Raw_Data_Daily!$D$2:$D$9999,
  group, Raw_Data_Daily!$B$2:$B$9999,
  segment, Raw_Data_Daily!$C$2:$C$9999,
  IFERROR(SUMPRODUCT(gain, players, --(group="Control"), --(segment=C$4)) / SUMPRODUCT(players, --(group="Control"), --(segment=C$4)), 0)
)</f>
        <v>46.35863488</v>
      </c>
      <c r="D73" s="144">
        <f>LET(
  gain, Raw_Data_Daily!$Q$2:$Q$9999,
  players, Raw_Data_Daily!$D$2:$D$9999,
  group, Raw_Data_Daily!$B$2:$B$9999,
  segment, Raw_Data_Daily!$C$2:$C$9999,
  IFERROR(SUMPRODUCT(gain, players, --(group="Control"), --(segment=D$4)) / SUMPRODUCT(players, --(group="Control"), --(segment=D$4)), 0)
)</f>
        <v>98.26141137</v>
      </c>
      <c r="E73" s="144">
        <f>LET(
  gain, Raw_Data_Daily!$Q$2:$Q$9999,
  players, Raw_Data_Daily!$D$2:$D$9999,
  group, Raw_Data_Daily!$B$2:$B$9999,
  segment, Raw_Data_Daily!$C$2:$C$9999,
  IFERROR(SUMPRODUCT(gain, players, --(group="Control"), --(segment=E$4)) / SUMPRODUCT(players, --(group="Control"), --(segment=E$4)), 0)
)</f>
        <v>168.459865</v>
      </c>
      <c r="F73" s="144">
        <f>LET(
  gain, Raw_Data_Daily!$Q$2:$Q$9999,
  players, Raw_Data_Daily!$D$2:$D$9999,
  group, Raw_Data_Daily!$B$2:$B$9999,
  segment, Raw_Data_Daily!$C$2:$C$9999,
  IFERROR(SUMPRODUCT(gain, players, --(group="Control"), --(segment=F$4)) / SUMPRODUCT(players, --(group="Control"), --(segment=F$4)), 0)
)</f>
        <v>312.7207428</v>
      </c>
      <c r="G73" s="144">
        <f>LET(
  gain, Raw_Data_Daily!$Q$2:$Q$9999,
  players, Raw_Data_Daily!$D$2:$D$9999,
  group, Raw_Data_Daily!$B$2:$B$9999,
  segment, Raw_Data_Daily!$C$2:$C$9999,
  IFERROR(SUMPRODUCT(gain, players, --(group="Control"), --(segment=G$4)) / SUMPRODUCT(players, --(group="Control"), --(segment=G$4)), 0)
)</f>
        <v>592.9608645</v>
      </c>
    </row>
    <row r="74" ht="15.75" customHeight="1">
      <c r="A74" s="16"/>
      <c r="B74" s="16" t="s">
        <v>240</v>
      </c>
      <c r="C74" s="144">
        <f>LET(
  gain, Raw_Data_Daily!$Q$2:$Q$9999,
  players, Raw_Data_Daily!$D$2:$D$9999,
  group, Raw_Data_Daily!$B$2:$B$9999,
  segment, Raw_Data_Daily!$C$2:$C$9999,
  IFERROR(SUMPRODUCT(gain, players, --(group="Variant"), --(segment=C$4)) / SUMPRODUCT(players, --(group="Variant"), --(segment=C$4)), 0)
)</f>
        <v>44.96964882</v>
      </c>
      <c r="D74" s="144">
        <f>LET(
  gain, Raw_Data_Daily!$Q$2:$Q$9999,
  players, Raw_Data_Daily!$D$2:$D$9999,
  group, Raw_Data_Daily!$B$2:$B$9999,
  segment, Raw_Data_Daily!$C$2:$C$9999,
  IFERROR(SUMPRODUCT(gain, players, --(group="Variant"), --(segment=D$4)) / SUMPRODUCT(players, --(group="Variant"), --(segment=D$4)), 0)
)</f>
        <v>94.93157872</v>
      </c>
      <c r="E74" s="144">
        <f>LET(
  gain, Raw_Data_Daily!$Q$2:$Q$9999,
  players, Raw_Data_Daily!$D$2:$D$9999,
  group, Raw_Data_Daily!$B$2:$B$9999,
  segment, Raw_Data_Daily!$C$2:$C$9999,
  IFERROR(SUMPRODUCT(gain, players, --(group="Variant"), --(segment=E$4)) / SUMPRODUCT(players, --(group="Variant"), --(segment=E$4)), 0)
)</f>
        <v>172.8712806</v>
      </c>
      <c r="F74" s="144">
        <f>LET(
  gain, Raw_Data_Daily!$Q$2:$Q$9999,
  players, Raw_Data_Daily!$D$2:$D$9999,
  group, Raw_Data_Daily!$B$2:$B$9999,
  segment, Raw_Data_Daily!$C$2:$C$9999,
  IFERROR(SUMPRODUCT(gain, players, --(group="Variant"), --(segment=F$4)) / SUMPRODUCT(players, --(group="Variant"), --(segment=F$4)), 0)
)</f>
        <v>339.1089075</v>
      </c>
      <c r="G74" s="144">
        <f>LET(
  gain, Raw_Data_Daily!$Q$2:$Q$9999,
  players, Raw_Data_Daily!$D$2:$D$9999,
  group, Raw_Data_Daily!$B$2:$B$9999,
  segment, Raw_Data_Daily!$C$2:$C$9999,
  IFERROR(SUMPRODUCT(gain, players, --(group="Variant"), --(segment=G$4)) / SUMPRODUCT(players, --(group="Variant"), --(segment=G$4)), 0)
)</f>
        <v>602.1949106</v>
      </c>
    </row>
    <row r="75" ht="15.75" customHeight="1">
      <c r="A75" s="16"/>
      <c r="B75" s="58" t="s">
        <v>241</v>
      </c>
      <c r="C75" s="145">
        <f t="shared" ref="C75:G75" si="29">C74+C57</f>
        <v>44.96964882</v>
      </c>
      <c r="D75" s="145">
        <f t="shared" si="29"/>
        <v>94.93157872</v>
      </c>
      <c r="E75" s="145">
        <f t="shared" si="29"/>
        <v>172.8712806</v>
      </c>
      <c r="F75" s="145">
        <f t="shared" si="29"/>
        <v>339.1089075</v>
      </c>
      <c r="G75" s="145">
        <f t="shared" si="29"/>
        <v>602.1949106</v>
      </c>
    </row>
    <row r="76" ht="15.75" customHeight="1">
      <c r="A76" s="16"/>
      <c r="B76" s="70" t="s">
        <v>242</v>
      </c>
      <c r="C76" s="146">
        <f t="shared" ref="C76:G76" si="30">IFERROR(C74/C73-1,"")</f>
        <v>-0.02996175504</v>
      </c>
      <c r="D76" s="146">
        <f t="shared" si="30"/>
        <v>-0.03388749054</v>
      </c>
      <c r="E76" s="146">
        <f t="shared" si="30"/>
        <v>0.02618674515</v>
      </c>
      <c r="F76" s="146">
        <f t="shared" si="30"/>
        <v>0.08438252117</v>
      </c>
      <c r="G76" s="146">
        <f t="shared" si="30"/>
        <v>0.01557277492</v>
      </c>
    </row>
    <row r="77" ht="15.75" customHeight="1">
      <c r="A77" s="159"/>
      <c r="B77" s="160" t="s">
        <v>243</v>
      </c>
      <c r="C77" s="162">
        <f t="shared" ref="C77:G77" si="31">IFERROR(C75/C73-1,"")</f>
        <v>-0.02996175504</v>
      </c>
      <c r="D77" s="162">
        <f t="shared" si="31"/>
        <v>-0.03388749054</v>
      </c>
      <c r="E77" s="162">
        <f t="shared" si="31"/>
        <v>0.02618674515</v>
      </c>
      <c r="F77" s="162">
        <f t="shared" si="31"/>
        <v>0.08438252117</v>
      </c>
      <c r="G77" s="162">
        <f t="shared" si="31"/>
        <v>0.01557277492</v>
      </c>
    </row>
    <row r="78" ht="15.75" customHeight="1">
      <c r="A78" s="164"/>
    </row>
    <row r="79" ht="15.75" customHeight="1">
      <c r="A79" s="165"/>
      <c r="B79" s="156" t="s">
        <v>4</v>
      </c>
      <c r="C79" s="157">
        <f>LET(
  gain, Raw_Data_Daily!$BO$2:$BO$9999,
  players, Raw_Data_Daily!$D$2:$D$9999,
  group, Raw_Data_Daily!$B$2:$B$9999,
  segment, Raw_Data_Daily!$C$2:$C$9999,
  IFERROR(SUMPRODUCT(gain, players, --(group="Control"), --(segment=C$4)) / SUMPRODUCT(players, --(group="Control"), --(segment=C$4)), 0)
)</f>
        <v>0.8323750584</v>
      </c>
      <c r="D79" s="157">
        <f>LET(
  gain, Raw_Data_Daily!$BO$2:$BO$9999,
  players, Raw_Data_Daily!$D$2:$D$9999,
  group, Raw_Data_Daily!$B$2:$B$9999,
  segment, Raw_Data_Daily!$C$2:$C$9999,
  IFERROR(SUMPRODUCT(gain, players, --(group="Control"), --(segment=D$4)) / SUMPRODUCT(players, --(group="Control"), --(segment=D$4)), 0)
)</f>
        <v>1.579392343</v>
      </c>
      <c r="E79" s="157">
        <f>LET(
  gain, Raw_Data_Daily!$BO$2:$BO$9999,
  players, Raw_Data_Daily!$D$2:$D$9999,
  group, Raw_Data_Daily!$B$2:$B$9999,
  segment, Raw_Data_Daily!$C$2:$C$9999,
  IFERROR(SUMPRODUCT(gain, players, --(group="Control"), --(segment=E$4)) / SUMPRODUCT(players, --(group="Control"), --(segment=E$4)), 0)
)</f>
        <v>2.248582464</v>
      </c>
      <c r="F79" s="157">
        <f>LET(
  gain, Raw_Data_Daily!$BO$2:$BO$9999,
  players, Raw_Data_Daily!$D$2:$D$9999,
  group, Raw_Data_Daily!$B$2:$B$9999,
  segment, Raw_Data_Daily!$C$2:$C$9999,
  IFERROR(SUMPRODUCT(gain, players, --(group="Control"), --(segment=F$4)) / SUMPRODUCT(players, --(group="Control"), --(segment=F$4)), 0)
)</f>
        <v>3.420928294</v>
      </c>
      <c r="G79" s="157">
        <f>LET(
  gain, Raw_Data_Daily!$BO$2:$BO$9999,
  players, Raw_Data_Daily!$D$2:$D$9999,
  group, Raw_Data_Daily!$B$2:$B$9999,
  segment, Raw_Data_Daily!$C$2:$C$9999,
  IFERROR(SUMPRODUCT(gain, players, --(group="Control"), --(segment=G$4)) / SUMPRODUCT(players, --(group="Control"), --(segment=G$4)), 0)
)</f>
        <v>6.869744948</v>
      </c>
    </row>
    <row r="80" ht="15.75" customHeight="1">
      <c r="A80" s="16"/>
      <c r="B80" s="16" t="s">
        <v>240</v>
      </c>
      <c r="C80" s="144">
        <f>LET(
  gain, Raw_Data_Daily!$BO$2:$BO$9999,
  players, Raw_Data_Daily!$D$2:$D$9999,
  group, Raw_Data_Daily!$B$2:$B$9999,
  segment, Raw_Data_Daily!$C$2:$C$9999,
  IFERROR(SUMPRODUCT(gain, players, --(group="Variant"), --(segment=C$4)) / SUMPRODUCT(players, --(group="Variant"), --(segment=C$4)), 0)
)</f>
        <v>1.08145288</v>
      </c>
      <c r="D80" s="144">
        <f>LET(
  gain, Raw_Data_Daily!$BO$2:$BO$9999,
  players, Raw_Data_Daily!$D$2:$D$9999,
  group, Raw_Data_Daily!$B$2:$B$9999,
  segment, Raw_Data_Daily!$C$2:$C$9999,
  IFERROR(SUMPRODUCT(gain, players, --(group="Variant"), --(segment=D$4)) / SUMPRODUCT(players, --(group="Variant"), --(segment=D$4)), 0)
)</f>
        <v>1.800934732</v>
      </c>
      <c r="E80" s="144">
        <f>LET(
  gain, Raw_Data_Daily!$BO$2:$BO$9999,
  players, Raw_Data_Daily!$D$2:$D$9999,
  group, Raw_Data_Daily!$B$2:$B$9999,
  segment, Raw_Data_Daily!$C$2:$C$9999,
  IFERROR(SUMPRODUCT(gain, players, --(group="Variant"), --(segment=E$4)) / SUMPRODUCT(players, --(group="Variant"), --(segment=E$4)), 0)
)</f>
        <v>2.32974448</v>
      </c>
      <c r="F80" s="144">
        <f>LET(
  gain, Raw_Data_Daily!$BO$2:$BO$9999,
  players, Raw_Data_Daily!$D$2:$D$9999,
  group, Raw_Data_Daily!$B$2:$B$9999,
  segment, Raw_Data_Daily!$C$2:$C$9999,
  IFERROR(SUMPRODUCT(gain, players, --(group="Variant"), --(segment=F$4)) / SUMPRODUCT(players, --(group="Variant"), --(segment=F$4)), 0)
)</f>
        <v>3.129570853</v>
      </c>
      <c r="G80" s="144">
        <f>LET(
  gain, Raw_Data_Daily!$BO$2:$BO$9999,
  players, Raw_Data_Daily!$D$2:$D$9999,
  group, Raw_Data_Daily!$B$2:$B$9999,
  segment, Raw_Data_Daily!$C$2:$C$9999,
  IFERROR(SUMPRODUCT(gain, players, --(group="Variant"), --(segment=G$4)) / SUMPRODUCT(players, --(group="Variant"), --(segment=G$4)), 0)
)</f>
        <v>5.079436466</v>
      </c>
    </row>
    <row r="81" ht="15.75" customHeight="1">
      <c r="A81" s="16"/>
      <c r="B81" s="58" t="s">
        <v>241</v>
      </c>
      <c r="C81" s="145">
        <f t="shared" ref="C81:G81" si="32">C80+C62</f>
        <v>1.08145288</v>
      </c>
      <c r="D81" s="145">
        <f t="shared" si="32"/>
        <v>1.800934732</v>
      </c>
      <c r="E81" s="145">
        <f t="shared" si="32"/>
        <v>2.32974448</v>
      </c>
      <c r="F81" s="145">
        <f t="shared" si="32"/>
        <v>3.556180972</v>
      </c>
      <c r="G81" s="145">
        <f t="shared" si="32"/>
        <v>5.311439501</v>
      </c>
    </row>
    <row r="82" ht="15.75" customHeight="1">
      <c r="A82" s="16"/>
      <c r="B82" s="70" t="s">
        <v>250</v>
      </c>
      <c r="C82" s="166">
        <f t="shared" ref="C82:G82" si="33">IFERROR(C80/C79-1,"")</f>
        <v>0.2992374879</v>
      </c>
      <c r="D82" s="166">
        <f t="shared" si="33"/>
        <v>0.1402706489</v>
      </c>
      <c r="E82" s="166">
        <f t="shared" si="33"/>
        <v>0.03609474715</v>
      </c>
      <c r="F82" s="166">
        <f t="shared" si="33"/>
        <v>-0.08516911643</v>
      </c>
      <c r="G82" s="166">
        <f t="shared" si="33"/>
        <v>-0.2606077075</v>
      </c>
    </row>
    <row r="83" ht="15.75" customHeight="1">
      <c r="A83" s="16"/>
      <c r="B83" s="74" t="s">
        <v>251</v>
      </c>
      <c r="C83" s="167">
        <f t="shared" ref="C83:G83" si="34">IFERROR(C81/C79-1,"")</f>
        <v>0.2992374879</v>
      </c>
      <c r="D83" s="167">
        <f t="shared" si="34"/>
        <v>0.1402706489</v>
      </c>
      <c r="E83" s="167">
        <f t="shared" si="34"/>
        <v>0.03609474715</v>
      </c>
      <c r="F83" s="167">
        <f t="shared" si="34"/>
        <v>0.0395368353</v>
      </c>
      <c r="G83" s="167">
        <f t="shared" si="34"/>
        <v>-0.2268359973</v>
      </c>
    </row>
    <row r="84" ht="15.75" customHeight="1">
      <c r="A84" s="16"/>
      <c r="B84" s="156" t="s">
        <v>4</v>
      </c>
      <c r="C84" s="157">
        <f>LET(gain, Raw_Data_Daily!$BS$2:$BS$9999, players, Raw_Data_Daily!$D$2:$D$9999, group, Raw_Data_Daily!$B$2:$B$9999, segment, Raw_Data_Daily!$C$2:$C$9999, IFERROR(SUMPRODUCT(gain, players, --(group="Control"), --(segment=C$4)) / SUMPRODUCT(players, --(group="Control"), --(segment=C$4)), 0))</f>
        <v>0.8448537424</v>
      </c>
      <c r="D84" s="157">
        <f>LET(gain, Raw_Data_Daily!$BS$2:$BS$9999, players, Raw_Data_Daily!$D$2:$D$9999, group, Raw_Data_Daily!$B$2:$B$9999, segment, Raw_Data_Daily!$C$2:$C$9999, IFERROR(SUMPRODUCT(gain, players, --(group="Control"), --(segment=D$4)) / SUMPRODUCT(players, --(group="Control"), --(segment=D$4)), 0))</f>
        <v>1.563498965</v>
      </c>
      <c r="E84" s="157">
        <f>LET(gain, Raw_Data_Daily!$BS$2:$BS$9999, players, Raw_Data_Daily!$D$2:$D$9999, group, Raw_Data_Daily!$B$2:$B$9999, segment, Raw_Data_Daily!$C$2:$C$9999, IFERROR(SUMPRODUCT(gain, players, --(group="Control"), --(segment=E$4)) / SUMPRODUCT(players, --(group="Control"), --(segment=E$4)), 0))</f>
        <v>2.350108104</v>
      </c>
      <c r="F84" s="157">
        <f>LET(gain, Raw_Data_Daily!$BS$2:$BS$9999, players, Raw_Data_Daily!$D$2:$D$9999, group, Raw_Data_Daily!$B$2:$B$9999, segment, Raw_Data_Daily!$C$2:$C$9999, IFERROR(SUMPRODUCT(gain, players, --(group="Control"), --(segment=F$4)) / SUMPRODUCT(players, --(group="Control"), --(segment=F$4)), 0))</f>
        <v>3.573487428</v>
      </c>
      <c r="G84" s="157">
        <f>LET(gain, Raw_Data_Daily!$BS$2:$BS$9999, players, Raw_Data_Daily!$D$2:$D$9999, group, Raw_Data_Daily!$B$2:$B$9999, segment, Raw_Data_Daily!$C$2:$C$9999, IFERROR(SUMPRODUCT(gain, players, --(group="Control"), --(segment=G$4)) / SUMPRODUCT(players, --(group="Control"), --(segment=G$4)), 0))</f>
        <v>7.285957784</v>
      </c>
    </row>
    <row r="85" ht="15.75" customHeight="1">
      <c r="A85" s="16"/>
      <c r="B85" s="16" t="s">
        <v>240</v>
      </c>
      <c r="C85" s="144">
        <f>LET(gain, Raw_Data_Daily!$BS$2:$BS$9999, players, Raw_Data_Daily!$D$2:$D$9999, group, Raw_Data_Daily!$B$2:$B$9999, segment, Raw_Data_Daily!$C$2:$C$9999, IFERROR(SUMPRODUCT(gain, players, --(group="Variant"), --(segment=C$4)) / SUMPRODUCT(players, --(group="Variant"), --(segment=C$4)), 0))</f>
        <v>0.9914429056</v>
      </c>
      <c r="D85" s="144">
        <f>LET(gain, Raw_Data_Daily!$BS$2:$BS$9999, players, Raw_Data_Daily!$D$2:$D$9999, group, Raw_Data_Daily!$B$2:$B$9999, segment, Raw_Data_Daily!$C$2:$C$9999, IFERROR(SUMPRODUCT(gain, players, --(group="Variant"), --(segment=D$4)) / SUMPRODUCT(players, --(group="Variant"), --(segment=D$4)), 0))</f>
        <v>1.76462719</v>
      </c>
      <c r="E85" s="144">
        <f>LET(gain, Raw_Data_Daily!$BS$2:$BS$9999, players, Raw_Data_Daily!$D$2:$D$9999, group, Raw_Data_Daily!$B$2:$B$9999, segment, Raw_Data_Daily!$C$2:$C$9999, IFERROR(SUMPRODUCT(gain, players, --(group="Variant"), --(segment=E$4)) / SUMPRODUCT(players, --(group="Variant"), --(segment=E$4)), 0))</f>
        <v>2.421017932</v>
      </c>
      <c r="F85" s="144">
        <f>LET(gain, Raw_Data_Daily!$BS$2:$BS$9999, players, Raw_Data_Daily!$D$2:$D$9999, group, Raw_Data_Daily!$B$2:$B$9999, segment, Raw_Data_Daily!$C$2:$C$9999, IFERROR(SUMPRODUCT(gain, players, --(group="Variant"), --(segment=F$4)) / SUMPRODUCT(players, --(group="Variant"), --(segment=F$4)), 0))</f>
        <v>3.331421262</v>
      </c>
      <c r="G85" s="144">
        <f>LET(gain, Raw_Data_Daily!$BS$2:$BS$9999, players, Raw_Data_Daily!$D$2:$D$9999, group, Raw_Data_Daily!$B$2:$B$9999, segment, Raw_Data_Daily!$C$2:$C$9999, IFERROR(SUMPRODUCT(gain, players, --(group="Variant"), --(segment=G$4)) / SUMPRODUCT(players, --(group="Variant"), --(segment=G$4)), 0))</f>
        <v>5.513944241</v>
      </c>
    </row>
    <row r="86" ht="15.75" customHeight="1">
      <c r="A86" s="16"/>
      <c r="B86" s="58" t="s">
        <v>241</v>
      </c>
      <c r="C86" s="145">
        <f t="shared" ref="C86:G86" si="35">C85+C66</f>
        <v>0.9196441464</v>
      </c>
      <c r="D86" s="145">
        <f t="shared" si="35"/>
        <v>1.728213455</v>
      </c>
      <c r="E86" s="145">
        <f t="shared" si="35"/>
        <v>2.371142023</v>
      </c>
      <c r="F86" s="145">
        <f t="shared" si="35"/>
        <v>3.758031381</v>
      </c>
      <c r="G86" s="145">
        <f t="shared" si="35"/>
        <v>5.745947277</v>
      </c>
    </row>
    <row r="87" ht="15.75" customHeight="1">
      <c r="A87" s="16"/>
      <c r="B87" s="70" t="s">
        <v>254</v>
      </c>
      <c r="C87" s="166">
        <f t="shared" ref="C87:G87" si="36">IFERROR(C85/C84-1,"")</f>
        <v>0.1735083315</v>
      </c>
      <c r="D87" s="166">
        <f t="shared" si="36"/>
        <v>0.1286398196</v>
      </c>
      <c r="E87" s="166">
        <f t="shared" si="36"/>
        <v>0.0301730069</v>
      </c>
      <c r="F87" s="166">
        <f t="shared" si="36"/>
        <v>-0.06773947596</v>
      </c>
      <c r="G87" s="166">
        <f t="shared" si="36"/>
        <v>-0.2432094168</v>
      </c>
    </row>
    <row r="88" ht="15.75" customHeight="1">
      <c r="A88" s="16"/>
      <c r="B88" s="74" t="s">
        <v>255</v>
      </c>
      <c r="C88" s="167">
        <f t="shared" ref="C88:G88" si="37">IFERROR(C86/C84-1,"")</f>
        <v>0.08852467621</v>
      </c>
      <c r="D88" s="167">
        <f t="shared" si="37"/>
        <v>0.105349919</v>
      </c>
      <c r="E88" s="167">
        <f t="shared" si="37"/>
        <v>0.008950192067</v>
      </c>
      <c r="F88" s="167">
        <f t="shared" si="37"/>
        <v>0.05164253593</v>
      </c>
      <c r="G88" s="167">
        <f t="shared" si="37"/>
        <v>-0.2113669271</v>
      </c>
    </row>
    <row r="89" ht="15.75" customHeight="1">
      <c r="A89" s="16"/>
      <c r="B89" s="156" t="s">
        <v>4</v>
      </c>
      <c r="C89" s="157">
        <f>LET(gain, Raw_Data_Daily!$BW$2:$BW$9999, players, Raw_Data_Daily!$D$2:$D$9999, group, Raw_Data_Daily!$B$2:$B$9999, segment, Raw_Data_Daily!$C$2:$C$9999, IFERROR(SUMPRODUCT(gain, players, --(group="Control"), --(segment=C$4)) / SUMPRODUCT(players, --(group="Control"), --(segment=C$4)), 0))</f>
        <v>0.3991151937</v>
      </c>
      <c r="D89" s="157">
        <f>LET(gain, Raw_Data_Daily!$BW$2:$BW$9999, players, Raw_Data_Daily!$D$2:$D$9999, group, Raw_Data_Daily!$B$2:$B$9999, segment, Raw_Data_Daily!$C$2:$C$9999, IFERROR(SUMPRODUCT(gain, players, --(group="Control"), --(segment=D$4)) / SUMPRODUCT(players, --(group="Control"), --(segment=D$4)), 0))</f>
        <v>0.8755020014</v>
      </c>
      <c r="E89" s="157">
        <f>LET(gain, Raw_Data_Daily!$BW$2:$BW$9999, players, Raw_Data_Daily!$D$2:$D$9999, group, Raw_Data_Daily!$B$2:$B$9999, segment, Raw_Data_Daily!$C$2:$C$9999, IFERROR(SUMPRODUCT(gain, players, --(group="Control"), --(segment=E$4)) / SUMPRODUCT(players, --(group="Control"), --(segment=E$4)), 0))</f>
        <v>1.546975179</v>
      </c>
      <c r="F89" s="157">
        <f>LET(gain, Raw_Data_Daily!$BW$2:$BW$9999, players, Raw_Data_Daily!$D$2:$D$9999, group, Raw_Data_Daily!$B$2:$B$9999, segment, Raw_Data_Daily!$C$2:$C$9999, IFERROR(SUMPRODUCT(gain, players, --(group="Control"), --(segment=F$4)) / SUMPRODUCT(players, --(group="Control"), --(segment=F$4)), 0))</f>
        <v>2.729720915</v>
      </c>
      <c r="G89" s="157">
        <f>LET(gain, Raw_Data_Daily!$BW$2:$BW$9999, players, Raw_Data_Daily!$D$2:$D$9999, group, Raw_Data_Daily!$B$2:$B$9999, segment, Raw_Data_Daily!$C$2:$C$9999, IFERROR(SUMPRODUCT(gain, players, --(group="Control"), --(segment=G$4)) / SUMPRODUCT(players, --(group="Control"), --(segment=G$4)), 0))</f>
        <v>5.64745</v>
      </c>
    </row>
    <row r="90" ht="15.75" customHeight="1">
      <c r="A90" s="16"/>
      <c r="B90" s="16" t="s">
        <v>240</v>
      </c>
      <c r="C90" s="144">
        <f>LET(gain, Raw_Data_Daily!$BW$2:$BW$9999, players, Raw_Data_Daily!$D$2:$D$9999, group, Raw_Data_Daily!$B$2:$B$9999, segment, Raw_Data_Daily!$C$2:$C$9999, IFERROR(SUMPRODUCT(gain, players, --(group="Variant"), --(segment=C$4)) / SUMPRODUCT(players, --(group="Variant"), --(segment=C$4)), 0))</f>
        <v>0.3138424498</v>
      </c>
      <c r="D90" s="144">
        <f>LET(gain, Raw_Data_Daily!$BW$2:$BW$9999, players, Raw_Data_Daily!$D$2:$D$9999, group, Raw_Data_Daily!$B$2:$B$9999, segment, Raw_Data_Daily!$C$2:$C$9999, IFERROR(SUMPRODUCT(gain, players, --(group="Variant"), --(segment=D$4)) / SUMPRODUCT(players, --(group="Variant"), --(segment=D$4)), 0))</f>
        <v>0.7306796967</v>
      </c>
      <c r="E90" s="144">
        <f>LET(gain, Raw_Data_Daily!$BW$2:$BW$9999, players, Raw_Data_Daily!$D$2:$D$9999, group, Raw_Data_Daily!$B$2:$B$9999, segment, Raw_Data_Daily!$C$2:$C$9999, IFERROR(SUMPRODUCT(gain, players, --(group="Variant"), --(segment=E$4)) / SUMPRODUCT(players, --(group="Variant"), --(segment=E$4)), 0))</f>
        <v>1.412214549</v>
      </c>
      <c r="F90" s="144">
        <f>LET(gain, Raw_Data_Daily!$BW$2:$BW$9999, players, Raw_Data_Daily!$D$2:$D$9999, group, Raw_Data_Daily!$B$2:$B$9999, segment, Raw_Data_Daily!$C$2:$C$9999, IFERROR(SUMPRODUCT(gain, players, --(group="Variant"), --(segment=F$4)) / SUMPRODUCT(players, --(group="Variant"), --(segment=F$4)), 0))</f>
        <v>2.488533996</v>
      </c>
      <c r="G90" s="144">
        <f>LET(gain, Raw_Data_Daily!$BW$2:$BW$9999, players, Raw_Data_Daily!$D$2:$D$9999, group, Raw_Data_Daily!$B$2:$B$9999, segment, Raw_Data_Daily!$C$2:$C$9999, IFERROR(SUMPRODUCT(gain, players, --(group="Variant"), --(segment=G$4)) / SUMPRODUCT(players, --(group="Variant"), --(segment=G$4)), 0))</f>
        <v>4.695633805</v>
      </c>
    </row>
    <row r="91" ht="15.75" customHeight="1">
      <c r="A91" s="16"/>
      <c r="B91" s="58" t="s">
        <v>241</v>
      </c>
      <c r="C91" s="145">
        <f t="shared" ref="C91:G91" si="38">C90+C70</f>
        <v>0.385641209</v>
      </c>
      <c r="D91" s="145">
        <f t="shared" si="38"/>
        <v>0.7670934322</v>
      </c>
      <c r="E91" s="145">
        <f t="shared" si="38"/>
        <v>1.462090458</v>
      </c>
      <c r="F91" s="145">
        <f t="shared" si="38"/>
        <v>2.606318855</v>
      </c>
      <c r="G91" s="145">
        <f t="shared" si="38"/>
        <v>4.735157796</v>
      </c>
    </row>
    <row r="92" ht="15.75" customHeight="1">
      <c r="A92" s="16"/>
      <c r="B92" s="70" t="s">
        <v>256</v>
      </c>
      <c r="C92" s="166">
        <f t="shared" ref="C92:G92" si="39">IFERROR(C90/C89-1,"")</f>
        <v>-0.2136544668</v>
      </c>
      <c r="D92" s="166">
        <f t="shared" si="39"/>
        <v>-0.1654163034</v>
      </c>
      <c r="E92" s="166">
        <f t="shared" si="39"/>
        <v>-0.08711234152</v>
      </c>
      <c r="F92" s="166">
        <f t="shared" si="39"/>
        <v>-0.08835588938</v>
      </c>
      <c r="G92" s="166">
        <f t="shared" si="39"/>
        <v>-0.1685391098</v>
      </c>
    </row>
    <row r="93" ht="15.75" customHeight="1">
      <c r="A93" s="16"/>
      <c r="B93" s="74" t="s">
        <v>257</v>
      </c>
      <c r="C93" s="167">
        <f t="shared" ref="C93:G93" si="40">IFERROR(C91/C89-1,"")</f>
        <v>-0.03375963862</v>
      </c>
      <c r="D93" s="167">
        <f t="shared" si="40"/>
        <v>-0.1238244676</v>
      </c>
      <c r="E93" s="167">
        <f t="shared" si="40"/>
        <v>-0.05487141756</v>
      </c>
      <c r="F93" s="167">
        <f t="shared" si="40"/>
        <v>-0.04520684113</v>
      </c>
      <c r="G93" s="167">
        <f t="shared" si="40"/>
        <v>-0.1615405544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conditionalFormatting sqref="C63:G63 C67:G67 C71:G71 C76:G76 C82:G82 C87:G87 C92:G92">
    <cfRule type="cellIs" dxfId="2" priority="1" operator="greaterThan">
      <formula>0</formula>
    </cfRule>
  </conditionalFormatting>
  <conditionalFormatting sqref="C63:G63 C67:G67 C71:G71 C76:G76 C82:G82 C87:G87 C92:G92">
    <cfRule type="cellIs" dxfId="3" priority="2" operator="lessThan">
      <formula>0</formula>
    </cfRule>
  </conditionalFormatting>
  <conditionalFormatting sqref="C58:G58 C63:G63 C67:G67 C71:G71">
    <cfRule type="cellIs" dxfId="2" priority="3" operator="greaterThan">
      <formula>0</formula>
    </cfRule>
  </conditionalFormatting>
  <conditionalFormatting sqref="C20:G37">
    <cfRule type="cellIs" dxfId="4" priority="4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7.43"/>
    <col customWidth="1" min="2" max="16" width="12.0"/>
    <col customWidth="1" min="17" max="55" width="8.71"/>
  </cols>
  <sheetData>
    <row r="1">
      <c r="A1" s="98" t="s">
        <v>156</v>
      </c>
    </row>
    <row r="3" ht="15.75" customHeight="1">
      <c r="A3" s="73" t="s">
        <v>158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</row>
    <row r="4" ht="15.75" customHeight="1">
      <c r="A4" s="120" t="s">
        <v>161</v>
      </c>
      <c r="B4" s="120"/>
      <c r="C4" s="123"/>
      <c r="D4" s="123"/>
      <c r="E4" s="123"/>
      <c r="F4" s="123"/>
      <c r="G4" s="123"/>
      <c r="H4" s="124"/>
      <c r="I4" s="124"/>
      <c r="J4" s="124"/>
      <c r="K4" s="124"/>
      <c r="L4" s="124"/>
      <c r="M4" s="124"/>
      <c r="N4" s="124"/>
      <c r="O4" s="124"/>
      <c r="P4" s="124"/>
    </row>
    <row r="5" ht="15.75" customHeight="1">
      <c r="A5" s="126" t="s">
        <v>163</v>
      </c>
      <c r="B5" s="126" t="s">
        <v>164</v>
      </c>
      <c r="C5" s="127" t="s">
        <v>165</v>
      </c>
      <c r="D5" s="127" t="s">
        <v>166</v>
      </c>
      <c r="E5" s="127" t="s">
        <v>115</v>
      </c>
      <c r="F5" s="127" t="s">
        <v>79</v>
      </c>
      <c r="G5" s="127" t="s">
        <v>85</v>
      </c>
      <c r="H5" s="128" t="s">
        <v>91</v>
      </c>
      <c r="I5" s="128" t="s">
        <v>97</v>
      </c>
      <c r="J5" s="128" t="s">
        <v>103</v>
      </c>
      <c r="K5" s="128" t="s">
        <v>167</v>
      </c>
      <c r="L5" s="128" t="s">
        <v>168</v>
      </c>
      <c r="M5" s="128" t="s">
        <v>169</v>
      </c>
      <c r="N5" s="128" t="s">
        <v>170</v>
      </c>
      <c r="O5" s="128" t="s">
        <v>171</v>
      </c>
      <c r="P5" s="128" t="s">
        <v>172</v>
      </c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</row>
    <row r="6" ht="15.75" customHeight="1">
      <c r="A6" s="72">
        <v>1.0</v>
      </c>
      <c r="B6" s="72">
        <v>10.0</v>
      </c>
      <c r="C6" s="72">
        <v>1.0</v>
      </c>
      <c r="D6" s="72">
        <v>10.0</v>
      </c>
      <c r="E6" s="72">
        <v>0.0</v>
      </c>
      <c r="F6" s="72">
        <v>0.0</v>
      </c>
      <c r="G6" s="72">
        <v>0.0</v>
      </c>
      <c r="H6" s="72">
        <v>0.0</v>
      </c>
      <c r="I6" s="72">
        <v>0.0</v>
      </c>
      <c r="J6" s="72">
        <v>0.0</v>
      </c>
      <c r="K6" s="72">
        <v>0.0</v>
      </c>
      <c r="L6" s="72">
        <v>15.0</v>
      </c>
      <c r="M6" s="72">
        <v>0.0</v>
      </c>
      <c r="N6" s="72">
        <v>0.0</v>
      </c>
      <c r="O6" s="72">
        <v>0.0</v>
      </c>
      <c r="P6" s="72">
        <v>62.55</v>
      </c>
    </row>
    <row r="7" ht="15.75" customHeight="1">
      <c r="A7" s="72">
        <v>2.0</v>
      </c>
      <c r="B7" s="72">
        <v>10.0</v>
      </c>
      <c r="C7" s="72">
        <v>1.0</v>
      </c>
      <c r="D7" s="72">
        <v>0.0</v>
      </c>
      <c r="E7" s="72">
        <v>0.0</v>
      </c>
      <c r="F7" s="72">
        <v>1.0</v>
      </c>
      <c r="G7" s="72">
        <v>0.0</v>
      </c>
      <c r="H7" s="72">
        <v>0.0</v>
      </c>
      <c r="I7" s="72">
        <v>0.0</v>
      </c>
      <c r="J7" s="72">
        <v>0.0</v>
      </c>
      <c r="K7" s="72">
        <v>0.0</v>
      </c>
      <c r="L7" s="72">
        <v>15.0</v>
      </c>
      <c r="M7" s="72">
        <v>0.0</v>
      </c>
      <c r="N7" s="72">
        <v>0.0</v>
      </c>
      <c r="O7" s="72">
        <v>0.0</v>
      </c>
      <c r="P7" s="72">
        <v>95.55</v>
      </c>
    </row>
    <row r="8" ht="15.75" customHeight="1">
      <c r="A8" s="72">
        <v>3.0</v>
      </c>
      <c r="B8" s="72">
        <v>10.0</v>
      </c>
      <c r="C8" s="72">
        <v>2.0</v>
      </c>
      <c r="D8" s="72">
        <v>10.0</v>
      </c>
      <c r="E8" s="72">
        <v>0.0</v>
      </c>
      <c r="F8" s="72">
        <v>0.0</v>
      </c>
      <c r="G8" s="72">
        <v>0.0</v>
      </c>
      <c r="H8" s="72">
        <v>0.0</v>
      </c>
      <c r="I8" s="72">
        <v>0.0</v>
      </c>
      <c r="J8" s="72">
        <v>0.0</v>
      </c>
      <c r="K8" s="72">
        <v>0.0</v>
      </c>
      <c r="L8" s="72">
        <v>15.0</v>
      </c>
      <c r="M8" s="72">
        <v>0.0</v>
      </c>
      <c r="N8" s="72">
        <v>0.0</v>
      </c>
      <c r="O8" s="72">
        <v>0.0</v>
      </c>
      <c r="P8" s="72">
        <v>62.55</v>
      </c>
    </row>
    <row r="9" ht="15.75" customHeight="1">
      <c r="A9" s="72">
        <v>4.0</v>
      </c>
      <c r="B9" s="72">
        <v>10.0</v>
      </c>
      <c r="C9" s="72">
        <v>2.0</v>
      </c>
      <c r="D9" s="72">
        <v>0.0</v>
      </c>
      <c r="E9" s="72">
        <v>0.0</v>
      </c>
      <c r="F9" s="72">
        <v>0.0</v>
      </c>
      <c r="G9" s="72">
        <v>0.0</v>
      </c>
      <c r="H9" s="72">
        <v>0.0</v>
      </c>
      <c r="I9" s="72">
        <v>1.0</v>
      </c>
      <c r="J9" s="72">
        <v>0.0</v>
      </c>
      <c r="K9" s="72">
        <v>0.0</v>
      </c>
      <c r="L9" s="72">
        <v>15.0</v>
      </c>
      <c r="M9" s="72">
        <v>0.0</v>
      </c>
      <c r="N9" s="72">
        <v>0.0</v>
      </c>
      <c r="O9" s="72">
        <v>0.0</v>
      </c>
      <c r="P9" s="72">
        <v>229.55</v>
      </c>
    </row>
    <row r="10" ht="15.75" customHeight="1">
      <c r="A10" s="72">
        <v>5.0</v>
      </c>
      <c r="B10" s="72">
        <v>10.0</v>
      </c>
      <c r="C10" s="72">
        <v>2.0</v>
      </c>
      <c r="D10" s="72">
        <v>0.0</v>
      </c>
      <c r="E10" s="72">
        <v>0.0</v>
      </c>
      <c r="F10" s="72">
        <v>0.0</v>
      </c>
      <c r="G10" s="72">
        <v>1.0</v>
      </c>
      <c r="H10" s="72">
        <v>0.0</v>
      </c>
      <c r="I10" s="72">
        <v>0.0</v>
      </c>
      <c r="J10" s="72">
        <v>0.0</v>
      </c>
      <c r="K10" s="72">
        <v>0.0</v>
      </c>
      <c r="L10" s="72">
        <v>15.0</v>
      </c>
      <c r="M10" s="72">
        <v>0.0</v>
      </c>
      <c r="N10" s="72">
        <v>0.0</v>
      </c>
      <c r="O10" s="72">
        <v>0.0</v>
      </c>
      <c r="P10" s="72">
        <v>112.55</v>
      </c>
    </row>
    <row r="11" ht="15.75" customHeight="1">
      <c r="A11" s="72">
        <v>6.0</v>
      </c>
      <c r="B11" s="72">
        <v>10.0</v>
      </c>
      <c r="C11" s="72">
        <v>3.0</v>
      </c>
      <c r="D11" s="72">
        <v>0.0</v>
      </c>
      <c r="E11" s="72">
        <v>0.0</v>
      </c>
      <c r="F11" s="72">
        <v>0.0</v>
      </c>
      <c r="G11" s="72">
        <v>0.0</v>
      </c>
      <c r="H11" s="72">
        <v>0.0</v>
      </c>
      <c r="I11" s="72">
        <v>0.0</v>
      </c>
      <c r="J11" s="72">
        <v>1.0</v>
      </c>
      <c r="K11" s="72">
        <v>0.0</v>
      </c>
      <c r="L11" s="72">
        <v>20.0</v>
      </c>
      <c r="M11" s="72">
        <v>0.0</v>
      </c>
      <c r="N11" s="72">
        <v>0.0</v>
      </c>
      <c r="O11" s="72">
        <v>0.0</v>
      </c>
      <c r="P11" s="72">
        <v>150.4</v>
      </c>
    </row>
    <row r="12" ht="15.75" customHeight="1">
      <c r="A12" s="72">
        <v>7.0</v>
      </c>
      <c r="B12" s="72">
        <v>10.0</v>
      </c>
      <c r="C12" s="72">
        <v>3.0</v>
      </c>
      <c r="D12" s="72">
        <v>10.0</v>
      </c>
      <c r="E12" s="72">
        <v>0.0</v>
      </c>
      <c r="F12" s="72">
        <v>0.0</v>
      </c>
      <c r="G12" s="72">
        <v>0.0</v>
      </c>
      <c r="H12" s="72">
        <v>0.0</v>
      </c>
      <c r="I12" s="72">
        <v>0.0</v>
      </c>
      <c r="J12" s="72">
        <v>0.0</v>
      </c>
      <c r="K12" s="72">
        <v>0.0</v>
      </c>
      <c r="L12" s="72">
        <v>20.0</v>
      </c>
      <c r="M12" s="72">
        <v>0.0</v>
      </c>
      <c r="N12" s="72">
        <v>0.0</v>
      </c>
      <c r="O12" s="72">
        <v>0.0</v>
      </c>
      <c r="P12" s="72">
        <v>83.4</v>
      </c>
    </row>
    <row r="13" ht="15.75" customHeight="1">
      <c r="A13" s="72">
        <v>8.0</v>
      </c>
      <c r="B13" s="72">
        <v>10.0</v>
      </c>
      <c r="C13" s="72">
        <v>3.0</v>
      </c>
      <c r="D13" s="72">
        <v>0.0</v>
      </c>
      <c r="E13" s="72">
        <v>0.0</v>
      </c>
      <c r="F13" s="72">
        <v>0.0</v>
      </c>
      <c r="G13" s="72">
        <v>0.0</v>
      </c>
      <c r="H13" s="72">
        <v>1.0</v>
      </c>
      <c r="I13" s="72">
        <v>0.0</v>
      </c>
      <c r="J13" s="72">
        <v>0.0</v>
      </c>
      <c r="K13" s="72">
        <v>0.0</v>
      </c>
      <c r="L13" s="72">
        <v>30.0</v>
      </c>
      <c r="M13" s="72">
        <v>0.0</v>
      </c>
      <c r="N13" s="72">
        <v>0.0</v>
      </c>
      <c r="O13" s="72">
        <v>0.0</v>
      </c>
      <c r="P13" s="72">
        <v>192.1</v>
      </c>
    </row>
    <row r="14" ht="15.75" customHeight="1">
      <c r="A14" s="72">
        <v>9.0</v>
      </c>
      <c r="B14" s="72">
        <v>10.0</v>
      </c>
      <c r="C14" s="72">
        <v>3.0</v>
      </c>
      <c r="D14" s="72">
        <v>10.0</v>
      </c>
      <c r="E14" s="72">
        <v>0.0</v>
      </c>
      <c r="F14" s="72">
        <v>0.0</v>
      </c>
      <c r="G14" s="72">
        <v>0.0</v>
      </c>
      <c r="H14" s="72">
        <v>0.0</v>
      </c>
      <c r="I14" s="72">
        <v>0.0</v>
      </c>
      <c r="J14" s="72">
        <v>0.0</v>
      </c>
      <c r="K14" s="72">
        <v>0.0</v>
      </c>
      <c r="L14" s="72">
        <v>60.0</v>
      </c>
      <c r="M14" s="72">
        <v>0.0</v>
      </c>
      <c r="N14" s="72">
        <v>0.0</v>
      </c>
      <c r="O14" s="72">
        <v>0.0</v>
      </c>
      <c r="P14" s="72">
        <v>250.2</v>
      </c>
    </row>
    <row r="15" ht="15.75" customHeight="1">
      <c r="A15" s="72">
        <v>10.0</v>
      </c>
      <c r="B15" s="72">
        <v>10.0</v>
      </c>
      <c r="C15" s="72">
        <v>4.0</v>
      </c>
      <c r="D15" s="72">
        <v>20.0</v>
      </c>
      <c r="E15" s="72">
        <v>0.0</v>
      </c>
      <c r="F15" s="72">
        <v>0.0</v>
      </c>
      <c r="G15" s="72">
        <v>0.0</v>
      </c>
      <c r="H15" s="72">
        <v>0.0</v>
      </c>
      <c r="I15" s="72">
        <v>0.0</v>
      </c>
      <c r="J15" s="72">
        <v>0.0</v>
      </c>
      <c r="K15" s="72">
        <v>0.0</v>
      </c>
      <c r="L15" s="72">
        <v>60.0</v>
      </c>
      <c r="M15" s="72">
        <v>0.0</v>
      </c>
      <c r="N15" s="72">
        <v>0.0</v>
      </c>
      <c r="O15" s="72">
        <v>0.0</v>
      </c>
      <c r="P15" s="72">
        <v>250.2</v>
      </c>
    </row>
    <row r="16" ht="15.75" customHeight="1">
      <c r="A16" s="135" t="s">
        <v>195</v>
      </c>
      <c r="B16" s="72">
        <v>100.0</v>
      </c>
      <c r="D16" s="72">
        <f t="shared" ref="D16:O16" si="1">sum(D6:D15)</f>
        <v>60</v>
      </c>
      <c r="E16" s="72">
        <f t="shared" si="1"/>
        <v>0</v>
      </c>
      <c r="F16" s="72">
        <f t="shared" si="1"/>
        <v>1</v>
      </c>
      <c r="G16" s="72">
        <f t="shared" si="1"/>
        <v>1</v>
      </c>
      <c r="H16" s="72">
        <f t="shared" si="1"/>
        <v>1</v>
      </c>
      <c r="I16" s="72">
        <f t="shared" si="1"/>
        <v>1</v>
      </c>
      <c r="J16" s="72">
        <f t="shared" si="1"/>
        <v>1</v>
      </c>
      <c r="K16" s="72">
        <f t="shared" si="1"/>
        <v>0</v>
      </c>
      <c r="L16" s="72">
        <f t="shared" si="1"/>
        <v>265</v>
      </c>
      <c r="M16" s="72">
        <f t="shared" si="1"/>
        <v>0</v>
      </c>
      <c r="N16" s="72">
        <f t="shared" si="1"/>
        <v>0</v>
      </c>
      <c r="O16" s="72">
        <f t="shared" si="1"/>
        <v>0</v>
      </c>
      <c r="P16" s="72">
        <v>1489.05</v>
      </c>
    </row>
    <row r="17" ht="15.75" customHeight="1">
      <c r="A17" s="137" t="s">
        <v>201</v>
      </c>
      <c r="B17" s="138"/>
      <c r="C17" s="138"/>
      <c r="D17" s="138">
        <f t="shared" ref="D17:O17" si="2">D16/$B16</f>
        <v>0.6</v>
      </c>
      <c r="E17" s="138">
        <f t="shared" si="2"/>
        <v>0</v>
      </c>
      <c r="F17" s="138">
        <f t="shared" si="2"/>
        <v>0.01</v>
      </c>
      <c r="G17" s="138">
        <f t="shared" si="2"/>
        <v>0.01</v>
      </c>
      <c r="H17" s="138">
        <f t="shared" si="2"/>
        <v>0.01</v>
      </c>
      <c r="I17" s="138">
        <f t="shared" si="2"/>
        <v>0.01</v>
      </c>
      <c r="J17" s="138">
        <f t="shared" si="2"/>
        <v>0.01</v>
      </c>
      <c r="K17" s="138">
        <f t="shared" si="2"/>
        <v>0</v>
      </c>
      <c r="L17" s="138">
        <f t="shared" si="2"/>
        <v>2.65</v>
      </c>
      <c r="M17" s="138">
        <f t="shared" si="2"/>
        <v>0</v>
      </c>
      <c r="N17" s="138">
        <f t="shared" si="2"/>
        <v>0</v>
      </c>
      <c r="O17" s="138">
        <f t="shared" si="2"/>
        <v>0</v>
      </c>
      <c r="P17" s="138">
        <v>14.8905</v>
      </c>
    </row>
    <row r="18" ht="15.75" customHeight="1"/>
    <row r="19" ht="15.75" customHeight="1">
      <c r="A19" s="141" t="s">
        <v>206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</row>
    <row r="20" ht="15.75" customHeight="1">
      <c r="A20" s="128" t="s">
        <v>163</v>
      </c>
      <c r="B20" s="128" t="s">
        <v>164</v>
      </c>
      <c r="C20" s="128" t="s">
        <v>165</v>
      </c>
      <c r="D20" s="128" t="s">
        <v>166</v>
      </c>
      <c r="E20" s="128" t="s">
        <v>115</v>
      </c>
      <c r="F20" s="128" t="s">
        <v>79</v>
      </c>
      <c r="G20" s="128" t="s">
        <v>85</v>
      </c>
      <c r="H20" s="128" t="s">
        <v>91</v>
      </c>
      <c r="I20" s="128" t="s">
        <v>97</v>
      </c>
      <c r="J20" s="128" t="s">
        <v>103</v>
      </c>
      <c r="K20" s="128" t="s">
        <v>167</v>
      </c>
      <c r="L20" s="128" t="s">
        <v>168</v>
      </c>
      <c r="M20" s="128" t="s">
        <v>169</v>
      </c>
      <c r="N20" s="128" t="s">
        <v>170</v>
      </c>
      <c r="O20" s="128" t="s">
        <v>171</v>
      </c>
      <c r="P20" s="128" t="s">
        <v>172</v>
      </c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9"/>
      <c r="AX20" s="129"/>
      <c r="AY20" s="129"/>
      <c r="AZ20" s="129"/>
      <c r="BA20" s="129"/>
      <c r="BB20" s="129"/>
      <c r="BC20" s="129"/>
    </row>
    <row r="21" ht="15.75" customHeight="1">
      <c r="A21" s="72">
        <v>1.0</v>
      </c>
      <c r="B21" s="72">
        <v>10.0</v>
      </c>
      <c r="C21" s="72">
        <v>1.0</v>
      </c>
      <c r="D21" s="72">
        <v>10.0</v>
      </c>
      <c r="E21" s="72">
        <v>0.0</v>
      </c>
      <c r="F21" s="72">
        <v>0.0</v>
      </c>
      <c r="G21" s="72">
        <v>0.0</v>
      </c>
      <c r="H21" s="72">
        <v>0.0</v>
      </c>
      <c r="I21" s="72">
        <v>0.0</v>
      </c>
      <c r="J21" s="72">
        <v>0.0</v>
      </c>
      <c r="K21" s="72">
        <v>0.0</v>
      </c>
      <c r="L21" s="72">
        <v>15.0</v>
      </c>
      <c r="M21" s="72">
        <v>0.0</v>
      </c>
      <c r="N21" s="72">
        <v>0.0</v>
      </c>
      <c r="O21" s="72">
        <v>0.0</v>
      </c>
      <c r="P21" s="72">
        <v>62.55</v>
      </c>
    </row>
    <row r="22" ht="15.75" customHeight="1">
      <c r="A22" s="72">
        <v>2.0</v>
      </c>
      <c r="B22" s="72">
        <v>10.0</v>
      </c>
      <c r="C22" s="72">
        <v>1.0</v>
      </c>
      <c r="D22" s="72">
        <v>0.0</v>
      </c>
      <c r="E22" s="72">
        <v>0.0</v>
      </c>
      <c r="F22" s="72">
        <v>1.0</v>
      </c>
      <c r="G22" s="72">
        <v>0.0</v>
      </c>
      <c r="H22" s="72">
        <v>0.0</v>
      </c>
      <c r="I22" s="72">
        <v>0.0</v>
      </c>
      <c r="J22" s="72">
        <v>0.0</v>
      </c>
      <c r="K22" s="72">
        <v>0.0</v>
      </c>
      <c r="L22" s="72">
        <v>15.0</v>
      </c>
      <c r="M22" s="72">
        <v>0.0</v>
      </c>
      <c r="N22" s="72">
        <v>0.0</v>
      </c>
      <c r="O22" s="72">
        <v>0.0</v>
      </c>
      <c r="P22" s="72">
        <v>95.55</v>
      </c>
    </row>
    <row r="23" ht="15.75" customHeight="1">
      <c r="A23" s="72">
        <v>3.0</v>
      </c>
      <c r="B23" s="72">
        <v>10.0</v>
      </c>
      <c r="C23" s="72">
        <v>2.0</v>
      </c>
      <c r="D23" s="72">
        <v>10.0</v>
      </c>
      <c r="E23" s="72">
        <v>0.0</v>
      </c>
      <c r="F23" s="72">
        <v>0.0</v>
      </c>
      <c r="G23" s="72">
        <v>0.0</v>
      </c>
      <c r="H23" s="72">
        <v>0.0</v>
      </c>
      <c r="I23" s="72">
        <v>0.0</v>
      </c>
      <c r="J23" s="72">
        <v>0.0</v>
      </c>
      <c r="K23" s="72">
        <v>0.0</v>
      </c>
      <c r="L23" s="72">
        <v>15.0</v>
      </c>
      <c r="M23" s="72">
        <v>0.0</v>
      </c>
      <c r="N23" s="72">
        <v>0.0</v>
      </c>
      <c r="O23" s="72">
        <v>0.0</v>
      </c>
      <c r="P23" s="72">
        <v>62.55</v>
      </c>
    </row>
    <row r="24" ht="15.75" customHeight="1">
      <c r="A24" s="72">
        <v>4.0</v>
      </c>
      <c r="B24" s="72">
        <v>10.0</v>
      </c>
      <c r="C24" s="72">
        <v>2.0</v>
      </c>
      <c r="D24" s="72">
        <v>0.0</v>
      </c>
      <c r="E24" s="72">
        <v>0.0</v>
      </c>
      <c r="F24" s="72">
        <v>0.0</v>
      </c>
      <c r="G24" s="72">
        <v>0.0</v>
      </c>
      <c r="H24" s="72">
        <v>0.0</v>
      </c>
      <c r="I24" s="72">
        <v>1.0</v>
      </c>
      <c r="J24" s="72">
        <v>0.0</v>
      </c>
      <c r="K24" s="72">
        <v>0.0</v>
      </c>
      <c r="L24" s="72">
        <v>15.0</v>
      </c>
      <c r="M24" s="72">
        <v>0.0</v>
      </c>
      <c r="N24" s="72">
        <v>0.0</v>
      </c>
      <c r="O24" s="72">
        <v>0.0</v>
      </c>
      <c r="P24" s="72">
        <v>229.55</v>
      </c>
    </row>
    <row r="25" ht="15.75" customHeight="1">
      <c r="A25" s="72">
        <v>5.0</v>
      </c>
      <c r="B25" s="72">
        <v>10.0</v>
      </c>
      <c r="C25" s="72">
        <v>2.0</v>
      </c>
      <c r="D25" s="72">
        <v>0.0</v>
      </c>
      <c r="E25" s="72">
        <v>0.0</v>
      </c>
      <c r="F25" s="72">
        <v>0.0</v>
      </c>
      <c r="G25" s="72">
        <v>1.0</v>
      </c>
      <c r="H25" s="72">
        <v>0.0</v>
      </c>
      <c r="I25" s="72">
        <v>0.0</v>
      </c>
      <c r="J25" s="72">
        <v>0.0</v>
      </c>
      <c r="K25" s="72">
        <v>0.0</v>
      </c>
      <c r="L25" s="72">
        <v>15.0</v>
      </c>
      <c r="M25" s="72">
        <v>0.0</v>
      </c>
      <c r="N25" s="72">
        <v>0.0</v>
      </c>
      <c r="O25" s="72">
        <v>0.0</v>
      </c>
      <c r="P25" s="72">
        <v>112.55</v>
      </c>
    </row>
    <row r="26" ht="15.75" customHeight="1">
      <c r="A26" s="72">
        <v>6.0</v>
      </c>
      <c r="B26" s="72">
        <v>10.0</v>
      </c>
      <c r="C26" s="72">
        <v>3.0</v>
      </c>
      <c r="D26" s="72">
        <v>0.0</v>
      </c>
      <c r="E26" s="72">
        <v>0.0</v>
      </c>
      <c r="F26" s="72">
        <v>0.0</v>
      </c>
      <c r="G26" s="72">
        <v>0.0</v>
      </c>
      <c r="H26" s="72">
        <v>0.0</v>
      </c>
      <c r="I26" s="72">
        <v>0.0</v>
      </c>
      <c r="J26" s="72">
        <v>1.0</v>
      </c>
      <c r="K26" s="72">
        <v>0.0</v>
      </c>
      <c r="L26" s="72">
        <v>20.0</v>
      </c>
      <c r="M26" s="72">
        <v>0.0</v>
      </c>
      <c r="N26" s="72">
        <v>0.0</v>
      </c>
      <c r="O26" s="72">
        <v>0.0</v>
      </c>
      <c r="P26" s="72">
        <v>150.4</v>
      </c>
    </row>
    <row r="27" ht="15.75" customHeight="1">
      <c r="A27" s="72">
        <v>7.0</v>
      </c>
      <c r="B27" s="72">
        <v>10.0</v>
      </c>
      <c r="C27" s="72">
        <v>3.0</v>
      </c>
      <c r="D27" s="72">
        <v>10.0</v>
      </c>
      <c r="E27" s="72">
        <v>0.0</v>
      </c>
      <c r="F27" s="72">
        <v>0.0</v>
      </c>
      <c r="G27" s="72">
        <v>0.0</v>
      </c>
      <c r="H27" s="72">
        <v>0.0</v>
      </c>
      <c r="I27" s="72">
        <v>0.0</v>
      </c>
      <c r="J27" s="72">
        <v>0.0</v>
      </c>
      <c r="K27" s="72">
        <v>0.0</v>
      </c>
      <c r="L27" s="72">
        <v>20.0</v>
      </c>
      <c r="M27" s="72">
        <v>0.0</v>
      </c>
      <c r="N27" s="72">
        <v>0.0</v>
      </c>
      <c r="O27" s="72">
        <v>0.0</v>
      </c>
      <c r="P27" s="72">
        <v>83.4</v>
      </c>
    </row>
    <row r="28" ht="15.75" customHeight="1">
      <c r="A28" s="72">
        <v>8.0</v>
      </c>
      <c r="B28" s="72">
        <v>10.0</v>
      </c>
      <c r="C28" s="72">
        <v>3.0</v>
      </c>
      <c r="D28" s="72">
        <v>0.0</v>
      </c>
      <c r="E28" s="72">
        <v>0.0</v>
      </c>
      <c r="F28" s="72">
        <v>0.0</v>
      </c>
      <c r="G28" s="72">
        <v>0.0</v>
      </c>
      <c r="H28" s="72">
        <v>1.0</v>
      </c>
      <c r="I28" s="72">
        <v>0.0</v>
      </c>
      <c r="J28" s="72">
        <v>0.0</v>
      </c>
      <c r="K28" s="72">
        <v>0.0</v>
      </c>
      <c r="L28" s="72">
        <v>30.0</v>
      </c>
      <c r="M28" s="72">
        <v>0.0</v>
      </c>
      <c r="N28" s="72">
        <v>0.0</v>
      </c>
      <c r="O28" s="72">
        <v>0.0</v>
      </c>
      <c r="P28" s="72">
        <v>192.1</v>
      </c>
    </row>
    <row r="29" ht="15.75" customHeight="1">
      <c r="A29" s="72">
        <v>9.0</v>
      </c>
      <c r="B29" s="72">
        <v>10.0</v>
      </c>
      <c r="C29" s="72">
        <v>3.0</v>
      </c>
      <c r="D29" s="72">
        <v>10.0</v>
      </c>
      <c r="E29" s="72">
        <v>0.0</v>
      </c>
      <c r="F29" s="72">
        <v>0.0</v>
      </c>
      <c r="G29" s="72">
        <v>0.0</v>
      </c>
      <c r="H29" s="72">
        <v>0.0</v>
      </c>
      <c r="I29" s="72">
        <v>0.0</v>
      </c>
      <c r="J29" s="72">
        <v>0.0</v>
      </c>
      <c r="K29" s="72">
        <v>0.0</v>
      </c>
      <c r="L29" s="72">
        <v>60.0</v>
      </c>
      <c r="M29" s="72">
        <v>0.0</v>
      </c>
      <c r="N29" s="72">
        <v>0.0</v>
      </c>
      <c r="O29" s="72">
        <v>0.0</v>
      </c>
      <c r="P29" s="72">
        <v>250.2</v>
      </c>
    </row>
    <row r="30" ht="15.75" customHeight="1">
      <c r="A30" s="72">
        <v>10.0</v>
      </c>
      <c r="B30" s="72">
        <v>10.0</v>
      </c>
      <c r="C30" s="72">
        <v>4.0</v>
      </c>
      <c r="D30" s="72">
        <v>20.0</v>
      </c>
      <c r="E30" s="72">
        <v>0.0</v>
      </c>
      <c r="F30" s="72">
        <v>0.0</v>
      </c>
      <c r="G30" s="72">
        <v>0.0</v>
      </c>
      <c r="H30" s="72">
        <v>0.0</v>
      </c>
      <c r="I30" s="72">
        <v>0.0</v>
      </c>
      <c r="J30" s="72">
        <v>0.0</v>
      </c>
      <c r="K30" s="72">
        <v>0.0</v>
      </c>
      <c r="L30" s="72">
        <v>60.0</v>
      </c>
      <c r="M30" s="72">
        <v>0.0</v>
      </c>
      <c r="N30" s="72">
        <v>0.0</v>
      </c>
      <c r="O30" s="72">
        <v>0.0</v>
      </c>
      <c r="P30" s="72">
        <v>250.2</v>
      </c>
    </row>
    <row r="31" ht="15.75" customHeight="1">
      <c r="A31" s="135" t="s">
        <v>195</v>
      </c>
      <c r="B31" s="72">
        <v>100.0</v>
      </c>
      <c r="D31" s="72">
        <f t="shared" ref="D31:O31" si="3">sum(D21:D30)</f>
        <v>60</v>
      </c>
      <c r="E31" s="72">
        <f t="shared" si="3"/>
        <v>0</v>
      </c>
      <c r="F31" s="72">
        <f t="shared" si="3"/>
        <v>1</v>
      </c>
      <c r="G31" s="72">
        <f t="shared" si="3"/>
        <v>1</v>
      </c>
      <c r="H31" s="72">
        <f t="shared" si="3"/>
        <v>1</v>
      </c>
      <c r="I31" s="72">
        <f t="shared" si="3"/>
        <v>1</v>
      </c>
      <c r="J31" s="72">
        <f t="shared" si="3"/>
        <v>1</v>
      </c>
      <c r="K31" s="72">
        <f t="shared" si="3"/>
        <v>0</v>
      </c>
      <c r="L31" s="72">
        <f t="shared" si="3"/>
        <v>265</v>
      </c>
      <c r="M31" s="72">
        <f t="shared" si="3"/>
        <v>0</v>
      </c>
      <c r="N31" s="72">
        <f t="shared" si="3"/>
        <v>0</v>
      </c>
      <c r="O31" s="72">
        <f t="shared" si="3"/>
        <v>0</v>
      </c>
      <c r="P31" s="72">
        <v>1489.05</v>
      </c>
    </row>
    <row r="32" ht="15.75" customHeight="1">
      <c r="A32" s="137" t="s">
        <v>201</v>
      </c>
      <c r="B32" s="138"/>
      <c r="C32" s="138"/>
      <c r="D32" s="138">
        <f t="shared" ref="D32:O32" si="4">D31/$B31</f>
        <v>0.6</v>
      </c>
      <c r="E32" s="138">
        <f t="shared" si="4"/>
        <v>0</v>
      </c>
      <c r="F32" s="138">
        <f t="shared" si="4"/>
        <v>0.01</v>
      </c>
      <c r="G32" s="138">
        <f t="shared" si="4"/>
        <v>0.01</v>
      </c>
      <c r="H32" s="138">
        <f t="shared" si="4"/>
        <v>0.01</v>
      </c>
      <c r="I32" s="138">
        <f t="shared" si="4"/>
        <v>0.01</v>
      </c>
      <c r="J32" s="138">
        <f t="shared" si="4"/>
        <v>0.01</v>
      </c>
      <c r="K32" s="138">
        <f t="shared" si="4"/>
        <v>0</v>
      </c>
      <c r="L32" s="138">
        <f t="shared" si="4"/>
        <v>2.65</v>
      </c>
      <c r="M32" s="138">
        <f t="shared" si="4"/>
        <v>0</v>
      </c>
      <c r="N32" s="138">
        <f t="shared" si="4"/>
        <v>0</v>
      </c>
      <c r="O32" s="138">
        <f t="shared" si="4"/>
        <v>0</v>
      </c>
      <c r="P32" s="138">
        <v>14.8905</v>
      </c>
    </row>
    <row r="33" ht="15.75" customHeight="1"/>
    <row r="34" ht="15.75" customHeight="1">
      <c r="A34" s="141" t="s">
        <v>208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</row>
    <row r="35" ht="15.75" customHeight="1">
      <c r="A35" s="128" t="s">
        <v>163</v>
      </c>
      <c r="B35" s="128" t="s">
        <v>164</v>
      </c>
      <c r="C35" s="128" t="s">
        <v>165</v>
      </c>
      <c r="D35" s="128" t="s">
        <v>166</v>
      </c>
      <c r="E35" s="128" t="s">
        <v>115</v>
      </c>
      <c r="F35" s="128" t="s">
        <v>79</v>
      </c>
      <c r="G35" s="128" t="s">
        <v>85</v>
      </c>
      <c r="H35" s="128" t="s">
        <v>91</v>
      </c>
      <c r="I35" s="128" t="s">
        <v>97</v>
      </c>
      <c r="J35" s="128" t="s">
        <v>103</v>
      </c>
      <c r="K35" s="128" t="s">
        <v>167</v>
      </c>
      <c r="L35" s="128" t="s">
        <v>168</v>
      </c>
      <c r="M35" s="128" t="s">
        <v>169</v>
      </c>
      <c r="N35" s="128" t="s">
        <v>170</v>
      </c>
      <c r="O35" s="128" t="s">
        <v>171</v>
      </c>
      <c r="P35" s="128" t="s">
        <v>172</v>
      </c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</row>
    <row r="36" ht="15.75" customHeight="1">
      <c r="A36" s="72">
        <v>1.0</v>
      </c>
      <c r="B36" s="72">
        <v>10.0</v>
      </c>
      <c r="C36" s="72">
        <v>1.0</v>
      </c>
      <c r="D36" s="72">
        <v>10.0</v>
      </c>
      <c r="E36" s="72">
        <v>0.0</v>
      </c>
      <c r="F36" s="72">
        <v>0.0</v>
      </c>
      <c r="G36" s="72">
        <v>0.0</v>
      </c>
      <c r="H36" s="72">
        <v>0.0</v>
      </c>
      <c r="I36" s="72">
        <v>0.0</v>
      </c>
      <c r="J36" s="72">
        <v>0.0</v>
      </c>
      <c r="K36" s="72">
        <v>0.0</v>
      </c>
      <c r="L36" s="72">
        <v>15.0</v>
      </c>
      <c r="M36" s="72">
        <v>0.0</v>
      </c>
      <c r="N36" s="72">
        <v>0.0</v>
      </c>
      <c r="O36" s="72">
        <v>0.0</v>
      </c>
      <c r="P36" s="72">
        <v>62.55</v>
      </c>
    </row>
    <row r="37" ht="15.75" customHeight="1">
      <c r="A37" s="72">
        <v>2.0</v>
      </c>
      <c r="B37" s="72">
        <v>10.0</v>
      </c>
      <c r="C37" s="72">
        <v>1.0</v>
      </c>
      <c r="D37" s="72">
        <v>0.0</v>
      </c>
      <c r="E37" s="72">
        <v>0.0</v>
      </c>
      <c r="F37" s="72">
        <v>1.0</v>
      </c>
      <c r="G37" s="72">
        <v>0.0</v>
      </c>
      <c r="H37" s="72">
        <v>0.0</v>
      </c>
      <c r="I37" s="72">
        <v>0.0</v>
      </c>
      <c r="J37" s="72">
        <v>0.0</v>
      </c>
      <c r="K37" s="72">
        <v>0.0</v>
      </c>
      <c r="L37" s="72">
        <v>15.0</v>
      </c>
      <c r="M37" s="72">
        <v>0.0</v>
      </c>
      <c r="N37" s="72">
        <v>0.0</v>
      </c>
      <c r="O37" s="72">
        <v>0.0</v>
      </c>
      <c r="P37" s="72">
        <v>95.55</v>
      </c>
    </row>
    <row r="38" ht="15.75" customHeight="1">
      <c r="A38" s="72">
        <v>3.0</v>
      </c>
      <c r="B38" s="72">
        <v>10.0</v>
      </c>
      <c r="C38" s="72">
        <v>2.0</v>
      </c>
      <c r="D38" s="72">
        <v>10.0</v>
      </c>
      <c r="E38" s="72">
        <v>0.0</v>
      </c>
      <c r="F38" s="72">
        <v>0.0</v>
      </c>
      <c r="G38" s="72">
        <v>0.0</v>
      </c>
      <c r="H38" s="72">
        <v>0.0</v>
      </c>
      <c r="I38" s="72">
        <v>0.0</v>
      </c>
      <c r="J38" s="72">
        <v>0.0</v>
      </c>
      <c r="K38" s="72">
        <v>0.0</v>
      </c>
      <c r="L38" s="72">
        <v>15.0</v>
      </c>
      <c r="M38" s="72">
        <v>0.0</v>
      </c>
      <c r="N38" s="72">
        <v>0.0</v>
      </c>
      <c r="O38" s="72">
        <v>0.0</v>
      </c>
      <c r="P38" s="72">
        <v>62.55</v>
      </c>
    </row>
    <row r="39" ht="15.75" customHeight="1">
      <c r="A39" s="72">
        <v>4.0</v>
      </c>
      <c r="B39" s="72">
        <v>10.0</v>
      </c>
      <c r="C39" s="72">
        <v>2.0</v>
      </c>
      <c r="D39" s="72">
        <v>0.0</v>
      </c>
      <c r="E39" s="72">
        <v>0.0</v>
      </c>
      <c r="F39" s="72">
        <v>0.0</v>
      </c>
      <c r="G39" s="72">
        <v>0.0</v>
      </c>
      <c r="H39" s="72">
        <v>0.0</v>
      </c>
      <c r="I39" s="72">
        <v>1.0</v>
      </c>
      <c r="J39" s="72">
        <v>0.0</v>
      </c>
      <c r="K39" s="72">
        <v>0.0</v>
      </c>
      <c r="L39" s="72">
        <v>15.0</v>
      </c>
      <c r="M39" s="72">
        <v>0.0</v>
      </c>
      <c r="N39" s="72">
        <v>0.0</v>
      </c>
      <c r="O39" s="72">
        <v>0.0</v>
      </c>
      <c r="P39" s="72">
        <v>229.55</v>
      </c>
    </row>
    <row r="40" ht="15.75" customHeight="1">
      <c r="A40" s="72">
        <v>5.0</v>
      </c>
      <c r="B40" s="72">
        <v>10.0</v>
      </c>
      <c r="C40" s="72">
        <v>2.0</v>
      </c>
      <c r="D40" s="72">
        <v>0.0</v>
      </c>
      <c r="E40" s="72">
        <v>0.0</v>
      </c>
      <c r="F40" s="72">
        <v>0.0</v>
      </c>
      <c r="G40" s="72">
        <v>1.0</v>
      </c>
      <c r="H40" s="72">
        <v>0.0</v>
      </c>
      <c r="I40" s="72">
        <v>0.0</v>
      </c>
      <c r="J40" s="72">
        <v>0.0</v>
      </c>
      <c r="K40" s="72">
        <v>0.0</v>
      </c>
      <c r="L40" s="72">
        <v>15.0</v>
      </c>
      <c r="M40" s="72">
        <v>0.0</v>
      </c>
      <c r="N40" s="72">
        <v>0.0</v>
      </c>
      <c r="O40" s="72">
        <v>0.0</v>
      </c>
      <c r="P40" s="72">
        <v>112.55</v>
      </c>
    </row>
    <row r="41" ht="15.75" customHeight="1">
      <c r="A41" s="72">
        <v>6.0</v>
      </c>
      <c r="B41" s="72">
        <v>10.0</v>
      </c>
      <c r="C41" s="72">
        <v>3.0</v>
      </c>
      <c r="D41" s="72">
        <v>0.0</v>
      </c>
      <c r="E41" s="72">
        <v>0.0</v>
      </c>
      <c r="F41" s="72">
        <v>0.0</v>
      </c>
      <c r="G41" s="72">
        <v>0.0</v>
      </c>
      <c r="H41" s="72">
        <v>0.0</v>
      </c>
      <c r="I41" s="72">
        <v>0.0</v>
      </c>
      <c r="J41" s="72">
        <v>1.0</v>
      </c>
      <c r="K41" s="72">
        <v>0.0</v>
      </c>
      <c r="L41" s="72">
        <v>20.0</v>
      </c>
      <c r="M41" s="72">
        <v>0.0</v>
      </c>
      <c r="N41" s="72">
        <v>0.0</v>
      </c>
      <c r="O41" s="72">
        <v>0.0</v>
      </c>
      <c r="P41" s="72">
        <v>150.4</v>
      </c>
    </row>
    <row r="42" ht="15.75" customHeight="1">
      <c r="A42" s="72">
        <v>7.0</v>
      </c>
      <c r="B42" s="72">
        <v>10.0</v>
      </c>
      <c r="C42" s="72">
        <v>3.0</v>
      </c>
      <c r="D42" s="72">
        <v>10.0</v>
      </c>
      <c r="E42" s="72">
        <v>0.0</v>
      </c>
      <c r="F42" s="72">
        <v>0.0</v>
      </c>
      <c r="G42" s="72">
        <v>0.0</v>
      </c>
      <c r="H42" s="72">
        <v>0.0</v>
      </c>
      <c r="I42" s="72">
        <v>0.0</v>
      </c>
      <c r="J42" s="72">
        <v>0.0</v>
      </c>
      <c r="K42" s="72">
        <v>0.0</v>
      </c>
      <c r="L42" s="72">
        <v>20.0</v>
      </c>
      <c r="M42" s="72">
        <v>0.0</v>
      </c>
      <c r="N42" s="72">
        <v>0.0</v>
      </c>
      <c r="O42" s="72">
        <v>0.0</v>
      </c>
      <c r="P42" s="72">
        <v>83.4</v>
      </c>
    </row>
    <row r="43" ht="15.75" customHeight="1">
      <c r="A43" s="72">
        <v>8.0</v>
      </c>
      <c r="B43" s="72">
        <v>10.0</v>
      </c>
      <c r="C43" s="72">
        <v>3.0</v>
      </c>
      <c r="D43" s="72">
        <v>0.0</v>
      </c>
      <c r="E43" s="72">
        <v>0.0</v>
      </c>
      <c r="F43" s="72">
        <v>0.0</v>
      </c>
      <c r="G43" s="72">
        <v>0.0</v>
      </c>
      <c r="H43" s="72">
        <v>1.0</v>
      </c>
      <c r="I43" s="72">
        <v>0.0</v>
      </c>
      <c r="J43" s="72">
        <v>0.0</v>
      </c>
      <c r="K43" s="72">
        <v>0.0</v>
      </c>
      <c r="L43" s="72">
        <v>30.0</v>
      </c>
      <c r="M43" s="72">
        <v>0.0</v>
      </c>
      <c r="N43" s="72">
        <v>0.0</v>
      </c>
      <c r="O43" s="72">
        <v>0.0</v>
      </c>
      <c r="P43" s="72">
        <v>192.1</v>
      </c>
    </row>
    <row r="44" ht="15.75" customHeight="1">
      <c r="A44" s="72">
        <v>9.0</v>
      </c>
      <c r="B44" s="72">
        <v>10.0</v>
      </c>
      <c r="C44" s="72">
        <v>3.0</v>
      </c>
      <c r="D44" s="72">
        <v>10.0</v>
      </c>
      <c r="E44" s="72">
        <v>0.0</v>
      </c>
      <c r="F44" s="72">
        <v>0.0</v>
      </c>
      <c r="G44" s="72">
        <v>0.0</v>
      </c>
      <c r="H44" s="72">
        <v>0.0</v>
      </c>
      <c r="I44" s="72">
        <v>0.0</v>
      </c>
      <c r="J44" s="72">
        <v>0.0</v>
      </c>
      <c r="K44" s="72">
        <v>0.0</v>
      </c>
      <c r="L44" s="72">
        <v>60.0</v>
      </c>
      <c r="M44" s="72">
        <v>0.0</v>
      </c>
      <c r="N44" s="72">
        <v>0.0</v>
      </c>
      <c r="O44" s="72">
        <v>0.0</v>
      </c>
      <c r="P44" s="72">
        <v>250.2</v>
      </c>
    </row>
    <row r="45" ht="15.75" customHeight="1">
      <c r="A45" s="72">
        <v>10.0</v>
      </c>
      <c r="B45" s="72">
        <v>10.0</v>
      </c>
      <c r="C45" s="72">
        <v>4.0</v>
      </c>
      <c r="D45" s="72">
        <v>20.0</v>
      </c>
      <c r="E45" s="72">
        <v>0.0</v>
      </c>
      <c r="F45" s="72">
        <v>0.0</v>
      </c>
      <c r="G45" s="72">
        <v>0.0</v>
      </c>
      <c r="H45" s="72">
        <v>0.0</v>
      </c>
      <c r="I45" s="72">
        <v>0.0</v>
      </c>
      <c r="J45" s="72">
        <v>0.0</v>
      </c>
      <c r="K45" s="72">
        <v>0.0</v>
      </c>
      <c r="L45" s="72">
        <v>60.0</v>
      </c>
      <c r="M45" s="72">
        <v>0.0</v>
      </c>
      <c r="N45" s="72">
        <v>0.0</v>
      </c>
      <c r="O45" s="72">
        <v>0.0</v>
      </c>
      <c r="P45" s="72">
        <v>250.2</v>
      </c>
    </row>
    <row r="46" ht="15.75" customHeight="1">
      <c r="A46" s="135" t="s">
        <v>195</v>
      </c>
      <c r="B46" s="72">
        <v>100.0</v>
      </c>
      <c r="D46" s="72">
        <f t="shared" ref="D46:O46" si="5">sum(D36:D45)</f>
        <v>60</v>
      </c>
      <c r="E46" s="72">
        <f t="shared" si="5"/>
        <v>0</v>
      </c>
      <c r="F46" s="72">
        <f t="shared" si="5"/>
        <v>1</v>
      </c>
      <c r="G46" s="72">
        <f t="shared" si="5"/>
        <v>1</v>
      </c>
      <c r="H46" s="72">
        <f t="shared" si="5"/>
        <v>1</v>
      </c>
      <c r="I46" s="72">
        <f t="shared" si="5"/>
        <v>1</v>
      </c>
      <c r="J46" s="72">
        <f t="shared" si="5"/>
        <v>1</v>
      </c>
      <c r="K46" s="72">
        <f t="shared" si="5"/>
        <v>0</v>
      </c>
      <c r="L46" s="72">
        <f t="shared" si="5"/>
        <v>265</v>
      </c>
      <c r="M46" s="72">
        <f t="shared" si="5"/>
        <v>0</v>
      </c>
      <c r="N46" s="72">
        <f t="shared" si="5"/>
        <v>0</v>
      </c>
      <c r="O46" s="72">
        <f t="shared" si="5"/>
        <v>0</v>
      </c>
      <c r="P46" s="72">
        <v>1489.05</v>
      </c>
    </row>
    <row r="47" ht="15.75" customHeight="1">
      <c r="A47" s="137" t="s">
        <v>201</v>
      </c>
      <c r="B47" s="138"/>
      <c r="C47" s="138"/>
      <c r="D47" s="138">
        <f t="shared" ref="D47:O47" si="6">D46/$B46</f>
        <v>0.6</v>
      </c>
      <c r="E47" s="138">
        <f t="shared" si="6"/>
        <v>0</v>
      </c>
      <c r="F47" s="138">
        <f t="shared" si="6"/>
        <v>0.01</v>
      </c>
      <c r="G47" s="138">
        <f t="shared" si="6"/>
        <v>0.01</v>
      </c>
      <c r="H47" s="138">
        <f t="shared" si="6"/>
        <v>0.01</v>
      </c>
      <c r="I47" s="138">
        <f t="shared" si="6"/>
        <v>0.01</v>
      </c>
      <c r="J47" s="138">
        <f t="shared" si="6"/>
        <v>0.01</v>
      </c>
      <c r="K47" s="138">
        <f t="shared" si="6"/>
        <v>0</v>
      </c>
      <c r="L47" s="138">
        <f t="shared" si="6"/>
        <v>2.65</v>
      </c>
      <c r="M47" s="138">
        <f t="shared" si="6"/>
        <v>0</v>
      </c>
      <c r="N47" s="138">
        <f t="shared" si="6"/>
        <v>0</v>
      </c>
      <c r="O47" s="138">
        <f t="shared" si="6"/>
        <v>0</v>
      </c>
      <c r="P47" s="138">
        <v>14.8905</v>
      </c>
    </row>
    <row r="48" ht="15.75" customHeight="1"/>
    <row r="49" ht="15.75" customHeight="1">
      <c r="A49" s="141" t="s">
        <v>211</v>
      </c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</row>
    <row r="50" ht="15.75" customHeight="1">
      <c r="A50" s="128" t="s">
        <v>163</v>
      </c>
      <c r="B50" s="128" t="s">
        <v>164</v>
      </c>
      <c r="C50" s="128" t="s">
        <v>165</v>
      </c>
      <c r="D50" s="128" t="s">
        <v>166</v>
      </c>
      <c r="E50" s="128" t="s">
        <v>115</v>
      </c>
      <c r="F50" s="128" t="s">
        <v>79</v>
      </c>
      <c r="G50" s="128" t="s">
        <v>85</v>
      </c>
      <c r="H50" s="128" t="s">
        <v>91</v>
      </c>
      <c r="I50" s="128" t="s">
        <v>97</v>
      </c>
      <c r="J50" s="128" t="s">
        <v>103</v>
      </c>
      <c r="K50" s="128" t="s">
        <v>167</v>
      </c>
      <c r="L50" s="128" t="s">
        <v>168</v>
      </c>
      <c r="M50" s="128" t="s">
        <v>169</v>
      </c>
      <c r="N50" s="128" t="s">
        <v>170</v>
      </c>
      <c r="O50" s="128" t="s">
        <v>171</v>
      </c>
      <c r="P50" s="128" t="s">
        <v>172</v>
      </c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</row>
    <row r="51" ht="15.75" customHeight="1">
      <c r="A51" s="72">
        <v>1.0</v>
      </c>
      <c r="B51" s="72">
        <v>10.0</v>
      </c>
      <c r="C51" s="72">
        <v>1.0</v>
      </c>
      <c r="D51" s="72">
        <v>10.0</v>
      </c>
      <c r="E51" s="72">
        <v>0.0</v>
      </c>
      <c r="F51" s="72">
        <v>0.0</v>
      </c>
      <c r="G51" s="72">
        <v>0.0</v>
      </c>
      <c r="H51" s="72">
        <v>0.0</v>
      </c>
      <c r="I51" s="72">
        <v>0.0</v>
      </c>
      <c r="J51" s="72">
        <v>0.0</v>
      </c>
      <c r="K51" s="72">
        <v>0.0</v>
      </c>
      <c r="L51" s="72">
        <v>15.0</v>
      </c>
      <c r="M51" s="72">
        <v>0.0</v>
      </c>
      <c r="N51" s="72">
        <v>0.0</v>
      </c>
      <c r="O51" s="72">
        <v>0.0</v>
      </c>
      <c r="P51" s="72">
        <v>62.55</v>
      </c>
    </row>
    <row r="52" ht="15.75" customHeight="1">
      <c r="A52" s="72">
        <v>2.0</v>
      </c>
      <c r="B52" s="72">
        <v>10.0</v>
      </c>
      <c r="C52" s="72">
        <v>1.0</v>
      </c>
      <c r="D52" s="72">
        <v>0.0</v>
      </c>
      <c r="E52" s="72">
        <v>0.0</v>
      </c>
      <c r="F52" s="72">
        <v>1.0</v>
      </c>
      <c r="G52" s="72">
        <v>0.0</v>
      </c>
      <c r="H52" s="72">
        <v>0.0</v>
      </c>
      <c r="I52" s="72">
        <v>0.0</v>
      </c>
      <c r="J52" s="72">
        <v>0.0</v>
      </c>
      <c r="K52" s="72">
        <v>0.0</v>
      </c>
      <c r="L52" s="72">
        <v>15.0</v>
      </c>
      <c r="M52" s="72">
        <v>0.0</v>
      </c>
      <c r="N52" s="72">
        <v>0.0</v>
      </c>
      <c r="O52" s="72">
        <v>0.0</v>
      </c>
      <c r="P52" s="72">
        <v>95.55</v>
      </c>
    </row>
    <row r="53" ht="15.75" customHeight="1">
      <c r="A53" s="72">
        <v>3.0</v>
      </c>
      <c r="B53" s="72">
        <v>10.0</v>
      </c>
      <c r="C53" s="72">
        <v>2.0</v>
      </c>
      <c r="D53" s="72">
        <v>10.0</v>
      </c>
      <c r="E53" s="72">
        <v>0.0</v>
      </c>
      <c r="F53" s="72">
        <v>0.0</v>
      </c>
      <c r="G53" s="72">
        <v>0.0</v>
      </c>
      <c r="H53" s="72">
        <v>0.0</v>
      </c>
      <c r="I53" s="72">
        <v>0.0</v>
      </c>
      <c r="J53" s="72">
        <v>0.0</v>
      </c>
      <c r="K53" s="72">
        <v>0.0</v>
      </c>
      <c r="L53" s="72">
        <v>15.0</v>
      </c>
      <c r="M53" s="72">
        <v>0.0</v>
      </c>
      <c r="N53" s="72">
        <v>0.0</v>
      </c>
      <c r="O53" s="72">
        <v>0.0</v>
      </c>
      <c r="P53" s="72">
        <v>62.55</v>
      </c>
    </row>
    <row r="54" ht="15.75" customHeight="1">
      <c r="A54" s="72">
        <v>4.0</v>
      </c>
      <c r="B54" s="72">
        <v>10.0</v>
      </c>
      <c r="C54" s="72">
        <v>2.0</v>
      </c>
      <c r="D54" s="72">
        <v>0.0</v>
      </c>
      <c r="E54" s="72">
        <v>0.0</v>
      </c>
      <c r="F54" s="72">
        <v>0.0</v>
      </c>
      <c r="G54" s="72">
        <v>0.0</v>
      </c>
      <c r="H54" s="72">
        <v>0.0</v>
      </c>
      <c r="I54" s="72">
        <v>1.0</v>
      </c>
      <c r="J54" s="72">
        <v>0.0</v>
      </c>
      <c r="K54" s="72">
        <v>0.0</v>
      </c>
      <c r="L54" s="72">
        <v>15.0</v>
      </c>
      <c r="M54" s="72">
        <v>0.0</v>
      </c>
      <c r="N54" s="72">
        <v>0.0</v>
      </c>
      <c r="O54" s="72">
        <v>0.0</v>
      </c>
      <c r="P54" s="72">
        <v>229.55</v>
      </c>
    </row>
    <row r="55" ht="15.75" customHeight="1">
      <c r="A55" s="72">
        <v>5.0</v>
      </c>
      <c r="B55" s="72">
        <v>10.0</v>
      </c>
      <c r="C55" s="72">
        <v>2.0</v>
      </c>
      <c r="D55" s="72">
        <v>0.0</v>
      </c>
      <c r="E55" s="72">
        <v>0.0</v>
      </c>
      <c r="F55" s="72">
        <v>0.0</v>
      </c>
      <c r="G55" s="72">
        <v>1.0</v>
      </c>
      <c r="H55" s="72">
        <v>0.0</v>
      </c>
      <c r="I55" s="72">
        <v>0.0</v>
      </c>
      <c r="J55" s="72">
        <v>0.0</v>
      </c>
      <c r="K55" s="72">
        <v>0.0</v>
      </c>
      <c r="L55" s="72">
        <v>15.0</v>
      </c>
      <c r="M55" s="72">
        <v>0.0</v>
      </c>
      <c r="N55" s="72">
        <v>0.0</v>
      </c>
      <c r="O55" s="72">
        <v>0.0</v>
      </c>
      <c r="P55" s="72">
        <v>112.55</v>
      </c>
    </row>
    <row r="56" ht="15.75" customHeight="1">
      <c r="A56" s="72">
        <v>6.0</v>
      </c>
      <c r="B56" s="72">
        <v>10.0</v>
      </c>
      <c r="C56" s="72">
        <v>3.0</v>
      </c>
      <c r="D56" s="72">
        <v>0.0</v>
      </c>
      <c r="E56" s="72">
        <v>0.0</v>
      </c>
      <c r="F56" s="72">
        <v>0.0</v>
      </c>
      <c r="G56" s="72">
        <v>0.0</v>
      </c>
      <c r="H56" s="72">
        <v>0.0</v>
      </c>
      <c r="I56" s="72">
        <v>0.0</v>
      </c>
      <c r="J56" s="72">
        <v>1.0</v>
      </c>
      <c r="K56" s="72">
        <v>0.0</v>
      </c>
      <c r="L56" s="72">
        <v>20.0</v>
      </c>
      <c r="M56" s="72">
        <v>0.0</v>
      </c>
      <c r="N56" s="72">
        <v>0.0</v>
      </c>
      <c r="O56" s="72">
        <v>0.0</v>
      </c>
      <c r="P56" s="72">
        <v>150.4</v>
      </c>
    </row>
    <row r="57" ht="15.75" customHeight="1">
      <c r="A57" s="72">
        <v>7.0</v>
      </c>
      <c r="B57" s="72">
        <v>10.0</v>
      </c>
      <c r="C57" s="72">
        <v>3.0</v>
      </c>
      <c r="D57" s="72">
        <v>10.0</v>
      </c>
      <c r="E57" s="72">
        <v>0.0</v>
      </c>
      <c r="F57" s="72">
        <v>0.0</v>
      </c>
      <c r="G57" s="72">
        <v>0.0</v>
      </c>
      <c r="H57" s="72">
        <v>0.0</v>
      </c>
      <c r="I57" s="72">
        <v>0.0</v>
      </c>
      <c r="J57" s="72">
        <v>0.0</v>
      </c>
      <c r="K57" s="72">
        <v>0.0</v>
      </c>
      <c r="L57" s="72">
        <v>20.0</v>
      </c>
      <c r="M57" s="72">
        <v>0.0</v>
      </c>
      <c r="N57" s="72">
        <v>0.0</v>
      </c>
      <c r="O57" s="72">
        <v>0.0</v>
      </c>
      <c r="P57" s="72">
        <v>83.4</v>
      </c>
    </row>
    <row r="58" ht="15.75" customHeight="1">
      <c r="A58" s="72">
        <v>8.0</v>
      </c>
      <c r="B58" s="72">
        <v>10.0</v>
      </c>
      <c r="C58" s="72">
        <v>3.0</v>
      </c>
      <c r="D58" s="72">
        <v>0.0</v>
      </c>
      <c r="E58" s="72">
        <v>0.0</v>
      </c>
      <c r="F58" s="72">
        <v>0.0</v>
      </c>
      <c r="G58" s="72">
        <v>0.0</v>
      </c>
      <c r="H58" s="72">
        <v>1.0</v>
      </c>
      <c r="I58" s="72">
        <v>0.0</v>
      </c>
      <c r="J58" s="72">
        <v>0.0</v>
      </c>
      <c r="K58" s="72">
        <v>0.0</v>
      </c>
      <c r="L58" s="72">
        <v>30.0</v>
      </c>
      <c r="M58" s="72">
        <v>0.0</v>
      </c>
      <c r="N58" s="72">
        <v>0.0</v>
      </c>
      <c r="O58" s="72">
        <v>0.0</v>
      </c>
      <c r="P58" s="72">
        <v>192.1</v>
      </c>
    </row>
    <row r="59" ht="15.75" customHeight="1">
      <c r="A59" s="72">
        <v>9.0</v>
      </c>
      <c r="B59" s="72">
        <v>10.0</v>
      </c>
      <c r="C59" s="72">
        <v>3.0</v>
      </c>
      <c r="D59" s="72">
        <v>10.0</v>
      </c>
      <c r="E59" s="72">
        <v>0.0</v>
      </c>
      <c r="F59" s="72">
        <v>0.0</v>
      </c>
      <c r="G59" s="72">
        <v>0.0</v>
      </c>
      <c r="H59" s="72">
        <v>0.0</v>
      </c>
      <c r="I59" s="72">
        <v>0.0</v>
      </c>
      <c r="J59" s="72">
        <v>0.0</v>
      </c>
      <c r="K59" s="72">
        <v>0.0</v>
      </c>
      <c r="L59" s="72">
        <v>60.0</v>
      </c>
      <c r="M59" s="72">
        <v>0.0</v>
      </c>
      <c r="N59" s="72">
        <v>0.0</v>
      </c>
      <c r="O59" s="72">
        <v>0.0</v>
      </c>
      <c r="P59" s="72">
        <v>250.2</v>
      </c>
    </row>
    <row r="60" ht="15.75" customHeight="1">
      <c r="A60" s="72">
        <v>10.0</v>
      </c>
      <c r="B60" s="72">
        <v>10.0</v>
      </c>
      <c r="C60" s="72">
        <v>4.0</v>
      </c>
      <c r="D60" s="72">
        <v>20.0</v>
      </c>
      <c r="E60" s="72">
        <v>0.0</v>
      </c>
      <c r="F60" s="72">
        <v>0.0</v>
      </c>
      <c r="G60" s="72">
        <v>0.0</v>
      </c>
      <c r="H60" s="72">
        <v>0.0</v>
      </c>
      <c r="I60" s="72">
        <v>0.0</v>
      </c>
      <c r="J60" s="72">
        <v>0.0</v>
      </c>
      <c r="K60" s="72">
        <v>0.0</v>
      </c>
      <c r="L60" s="72">
        <v>60.0</v>
      </c>
      <c r="M60" s="72">
        <v>0.0</v>
      </c>
      <c r="N60" s="72">
        <v>0.0</v>
      </c>
      <c r="O60" s="72">
        <v>0.0</v>
      </c>
      <c r="P60" s="72">
        <v>250.2</v>
      </c>
    </row>
    <row r="61" ht="15.75" customHeight="1">
      <c r="A61" s="135" t="s">
        <v>195</v>
      </c>
      <c r="B61" s="72">
        <v>100.0</v>
      </c>
      <c r="D61" s="72">
        <f t="shared" ref="D61:O61" si="7">sum(D51:D60)</f>
        <v>60</v>
      </c>
      <c r="E61" s="72">
        <f t="shared" si="7"/>
        <v>0</v>
      </c>
      <c r="F61" s="72">
        <f t="shared" si="7"/>
        <v>1</v>
      </c>
      <c r="G61" s="72">
        <f t="shared" si="7"/>
        <v>1</v>
      </c>
      <c r="H61" s="72">
        <f t="shared" si="7"/>
        <v>1</v>
      </c>
      <c r="I61" s="72">
        <f t="shared" si="7"/>
        <v>1</v>
      </c>
      <c r="J61" s="72">
        <f t="shared" si="7"/>
        <v>1</v>
      </c>
      <c r="K61" s="72">
        <f t="shared" si="7"/>
        <v>0</v>
      </c>
      <c r="L61" s="72">
        <f t="shared" si="7"/>
        <v>265</v>
      </c>
      <c r="M61" s="72">
        <f t="shared" si="7"/>
        <v>0</v>
      </c>
      <c r="N61" s="72">
        <f t="shared" si="7"/>
        <v>0</v>
      </c>
      <c r="O61" s="72">
        <f t="shared" si="7"/>
        <v>0</v>
      </c>
      <c r="P61" s="72">
        <v>1489.05</v>
      </c>
    </row>
    <row r="62" ht="15.75" customHeight="1">
      <c r="A62" s="137" t="s">
        <v>201</v>
      </c>
      <c r="B62" s="138"/>
      <c r="C62" s="138"/>
      <c r="D62" s="138">
        <f t="shared" ref="D62:O62" si="8">D61/$B61</f>
        <v>0.6</v>
      </c>
      <c r="E62" s="138">
        <f t="shared" si="8"/>
        <v>0</v>
      </c>
      <c r="F62" s="138">
        <f t="shared" si="8"/>
        <v>0.01</v>
      </c>
      <c r="G62" s="138">
        <f t="shared" si="8"/>
        <v>0.01</v>
      </c>
      <c r="H62" s="138">
        <f t="shared" si="8"/>
        <v>0.01</v>
      </c>
      <c r="I62" s="138">
        <f t="shared" si="8"/>
        <v>0.01</v>
      </c>
      <c r="J62" s="138">
        <f t="shared" si="8"/>
        <v>0.01</v>
      </c>
      <c r="K62" s="138">
        <f t="shared" si="8"/>
        <v>0</v>
      </c>
      <c r="L62" s="138">
        <f t="shared" si="8"/>
        <v>2.65</v>
      </c>
      <c r="M62" s="138">
        <f t="shared" si="8"/>
        <v>0</v>
      </c>
      <c r="N62" s="138">
        <f t="shared" si="8"/>
        <v>0</v>
      </c>
      <c r="O62" s="138">
        <f t="shared" si="8"/>
        <v>0</v>
      </c>
      <c r="P62" s="138">
        <v>14.8905</v>
      </c>
    </row>
    <row r="63" ht="15.75" customHeight="1"/>
    <row r="64" ht="15.75" customHeight="1">
      <c r="A64" s="141" t="s">
        <v>215</v>
      </c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</row>
    <row r="65" ht="15.75" customHeight="1">
      <c r="A65" s="128" t="s">
        <v>163</v>
      </c>
      <c r="B65" s="128" t="s">
        <v>164</v>
      </c>
      <c r="C65" s="128" t="s">
        <v>165</v>
      </c>
      <c r="D65" s="128" t="s">
        <v>166</v>
      </c>
      <c r="E65" s="128" t="s">
        <v>115</v>
      </c>
      <c r="F65" s="128" t="s">
        <v>79</v>
      </c>
      <c r="G65" s="128" t="s">
        <v>85</v>
      </c>
      <c r="H65" s="128" t="s">
        <v>91</v>
      </c>
      <c r="I65" s="128" t="s">
        <v>97</v>
      </c>
      <c r="J65" s="128" t="s">
        <v>103</v>
      </c>
      <c r="K65" s="128" t="s">
        <v>167</v>
      </c>
      <c r="L65" s="128" t="s">
        <v>168</v>
      </c>
      <c r="M65" s="128" t="s">
        <v>169</v>
      </c>
      <c r="N65" s="128" t="s">
        <v>170</v>
      </c>
      <c r="O65" s="128" t="s">
        <v>171</v>
      </c>
      <c r="P65" s="128" t="s">
        <v>172</v>
      </c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29"/>
      <c r="AN65" s="129"/>
      <c r="AO65" s="129"/>
      <c r="AP65" s="129"/>
      <c r="AQ65" s="129"/>
      <c r="AR65" s="129"/>
      <c r="AS65" s="129"/>
      <c r="AT65" s="129"/>
      <c r="AU65" s="129"/>
      <c r="AV65" s="129"/>
      <c r="AW65" s="129"/>
      <c r="AX65" s="129"/>
      <c r="AY65" s="129"/>
      <c r="AZ65" s="129"/>
      <c r="BA65" s="129"/>
      <c r="BB65" s="129"/>
      <c r="BC65" s="129"/>
    </row>
    <row r="66" ht="15.75" customHeight="1">
      <c r="A66" s="72">
        <v>1.0</v>
      </c>
      <c r="B66" s="72">
        <v>10.0</v>
      </c>
      <c r="C66" s="72">
        <v>1.0</v>
      </c>
      <c r="D66" s="72">
        <v>10.0</v>
      </c>
      <c r="E66" s="72">
        <v>0.0</v>
      </c>
      <c r="F66" s="72">
        <v>0.0</v>
      </c>
      <c r="G66" s="72">
        <v>0.0</v>
      </c>
      <c r="H66" s="72">
        <v>0.0</v>
      </c>
      <c r="I66" s="72">
        <v>0.0</v>
      </c>
      <c r="J66" s="72">
        <v>0.0</v>
      </c>
      <c r="K66" s="72">
        <v>0.0</v>
      </c>
      <c r="L66" s="72">
        <v>15.0</v>
      </c>
      <c r="M66" s="72">
        <v>0.0</v>
      </c>
      <c r="N66" s="72">
        <v>0.0</v>
      </c>
      <c r="O66" s="72">
        <v>0.0</v>
      </c>
      <c r="P66" s="72">
        <v>62.55</v>
      </c>
    </row>
    <row r="67" ht="15.75" customHeight="1">
      <c r="A67" s="72">
        <v>2.0</v>
      </c>
      <c r="B67" s="72">
        <v>10.0</v>
      </c>
      <c r="C67" s="72">
        <v>1.0</v>
      </c>
      <c r="D67" s="72">
        <v>0.0</v>
      </c>
      <c r="E67" s="72">
        <v>0.0</v>
      </c>
      <c r="F67" s="72">
        <v>1.0</v>
      </c>
      <c r="G67" s="72">
        <v>0.0</v>
      </c>
      <c r="H67" s="72">
        <v>0.0</v>
      </c>
      <c r="I67" s="72">
        <v>0.0</v>
      </c>
      <c r="J67" s="72">
        <v>0.0</v>
      </c>
      <c r="K67" s="72">
        <v>0.0</v>
      </c>
      <c r="L67" s="72">
        <v>15.0</v>
      </c>
      <c r="M67" s="72">
        <v>0.0</v>
      </c>
      <c r="N67" s="72">
        <v>0.0</v>
      </c>
      <c r="O67" s="72">
        <v>0.0</v>
      </c>
      <c r="P67" s="72">
        <v>95.55</v>
      </c>
    </row>
    <row r="68" ht="15.75" customHeight="1">
      <c r="A68" s="72">
        <v>3.0</v>
      </c>
      <c r="B68" s="72">
        <v>10.0</v>
      </c>
      <c r="C68" s="72">
        <v>2.0</v>
      </c>
      <c r="D68" s="72">
        <v>10.0</v>
      </c>
      <c r="E68" s="72">
        <v>0.0</v>
      </c>
      <c r="F68" s="72">
        <v>0.0</v>
      </c>
      <c r="G68" s="72">
        <v>0.0</v>
      </c>
      <c r="H68" s="72">
        <v>0.0</v>
      </c>
      <c r="I68" s="72">
        <v>0.0</v>
      </c>
      <c r="J68" s="72">
        <v>0.0</v>
      </c>
      <c r="K68" s="72">
        <v>0.0</v>
      </c>
      <c r="L68" s="72">
        <v>15.0</v>
      </c>
      <c r="M68" s="72">
        <v>0.0</v>
      </c>
      <c r="N68" s="72">
        <v>0.0</v>
      </c>
      <c r="O68" s="72">
        <v>0.0</v>
      </c>
      <c r="P68" s="72">
        <v>62.55</v>
      </c>
    </row>
    <row r="69" ht="15.75" customHeight="1">
      <c r="A69" s="72">
        <v>4.0</v>
      </c>
      <c r="B69" s="72">
        <v>10.0</v>
      </c>
      <c r="C69" s="72">
        <v>2.0</v>
      </c>
      <c r="D69" s="72">
        <v>0.0</v>
      </c>
      <c r="E69" s="72">
        <v>0.0</v>
      </c>
      <c r="F69" s="72">
        <v>0.0</v>
      </c>
      <c r="G69" s="72">
        <v>0.0</v>
      </c>
      <c r="H69" s="72">
        <v>0.0</v>
      </c>
      <c r="I69" s="72">
        <v>1.0</v>
      </c>
      <c r="J69" s="72">
        <v>0.0</v>
      </c>
      <c r="K69" s="72">
        <v>0.0</v>
      </c>
      <c r="L69" s="72">
        <v>15.0</v>
      </c>
      <c r="M69" s="72">
        <v>0.0</v>
      </c>
      <c r="N69" s="72">
        <v>0.0</v>
      </c>
      <c r="O69" s="72">
        <v>0.0</v>
      </c>
      <c r="P69" s="72">
        <v>229.55</v>
      </c>
    </row>
    <row r="70" ht="15.75" customHeight="1">
      <c r="A70" s="72">
        <v>5.0</v>
      </c>
      <c r="B70" s="72">
        <v>10.0</v>
      </c>
      <c r="C70" s="72">
        <v>2.0</v>
      </c>
      <c r="D70" s="72">
        <v>0.0</v>
      </c>
      <c r="E70" s="72">
        <v>0.0</v>
      </c>
      <c r="F70" s="72">
        <v>0.0</v>
      </c>
      <c r="G70" s="72">
        <v>1.0</v>
      </c>
      <c r="H70" s="72">
        <v>0.0</v>
      </c>
      <c r="I70" s="72">
        <v>0.0</v>
      </c>
      <c r="J70" s="72">
        <v>0.0</v>
      </c>
      <c r="K70" s="72">
        <v>0.0</v>
      </c>
      <c r="L70" s="72">
        <v>15.0</v>
      </c>
      <c r="M70" s="72">
        <v>0.0</v>
      </c>
      <c r="N70" s="72">
        <v>0.0</v>
      </c>
      <c r="O70" s="72">
        <v>0.0</v>
      </c>
      <c r="P70" s="72">
        <v>112.55</v>
      </c>
    </row>
    <row r="71" ht="15.75" customHeight="1">
      <c r="A71" s="72">
        <v>6.0</v>
      </c>
      <c r="B71" s="72">
        <v>10.0</v>
      </c>
      <c r="C71" s="72">
        <v>3.0</v>
      </c>
      <c r="D71" s="72">
        <v>0.0</v>
      </c>
      <c r="E71" s="72">
        <v>0.0</v>
      </c>
      <c r="F71" s="72">
        <v>0.0</v>
      </c>
      <c r="G71" s="72">
        <v>0.0</v>
      </c>
      <c r="H71" s="72">
        <v>0.0</v>
      </c>
      <c r="I71" s="72">
        <v>0.0</v>
      </c>
      <c r="J71" s="72">
        <v>1.0</v>
      </c>
      <c r="K71" s="72">
        <v>0.0</v>
      </c>
      <c r="L71" s="72">
        <v>20.0</v>
      </c>
      <c r="M71" s="72">
        <v>0.0</v>
      </c>
      <c r="N71" s="72">
        <v>0.0</v>
      </c>
      <c r="O71" s="72">
        <v>0.0</v>
      </c>
      <c r="P71" s="72">
        <v>150.4</v>
      </c>
    </row>
    <row r="72" ht="15.75" customHeight="1">
      <c r="A72" s="72">
        <v>7.0</v>
      </c>
      <c r="B72" s="72">
        <v>10.0</v>
      </c>
      <c r="C72" s="72">
        <v>3.0</v>
      </c>
      <c r="D72" s="72">
        <v>10.0</v>
      </c>
      <c r="E72" s="72">
        <v>0.0</v>
      </c>
      <c r="F72" s="72">
        <v>0.0</v>
      </c>
      <c r="G72" s="72">
        <v>0.0</v>
      </c>
      <c r="H72" s="72">
        <v>0.0</v>
      </c>
      <c r="I72" s="72">
        <v>0.0</v>
      </c>
      <c r="J72" s="72">
        <v>0.0</v>
      </c>
      <c r="K72" s="72">
        <v>0.0</v>
      </c>
      <c r="L72" s="72">
        <v>20.0</v>
      </c>
      <c r="M72" s="72">
        <v>0.0</v>
      </c>
      <c r="N72" s="72">
        <v>0.0</v>
      </c>
      <c r="O72" s="72">
        <v>0.0</v>
      </c>
      <c r="P72" s="72">
        <v>83.4</v>
      </c>
    </row>
    <row r="73" ht="15.75" customHeight="1">
      <c r="A73" s="72">
        <v>8.0</v>
      </c>
      <c r="B73" s="72">
        <v>10.0</v>
      </c>
      <c r="C73" s="72">
        <v>3.0</v>
      </c>
      <c r="D73" s="72">
        <v>0.0</v>
      </c>
      <c r="E73" s="72">
        <v>0.0</v>
      </c>
      <c r="F73" s="72">
        <v>0.0</v>
      </c>
      <c r="G73" s="72">
        <v>0.0</v>
      </c>
      <c r="H73" s="72">
        <v>1.0</v>
      </c>
      <c r="I73" s="72">
        <v>0.0</v>
      </c>
      <c r="J73" s="72">
        <v>0.0</v>
      </c>
      <c r="K73" s="72">
        <v>0.0</v>
      </c>
      <c r="L73" s="72">
        <v>30.0</v>
      </c>
      <c r="M73" s="72">
        <v>0.0</v>
      </c>
      <c r="N73" s="72">
        <v>0.0</v>
      </c>
      <c r="O73" s="72">
        <v>0.0</v>
      </c>
      <c r="P73" s="72">
        <v>192.1</v>
      </c>
    </row>
    <row r="74" ht="15.75" customHeight="1">
      <c r="A74" s="72">
        <v>9.0</v>
      </c>
      <c r="B74" s="72">
        <v>10.0</v>
      </c>
      <c r="C74" s="72">
        <v>3.0</v>
      </c>
      <c r="D74" s="72">
        <v>10.0</v>
      </c>
      <c r="E74" s="72">
        <v>0.0</v>
      </c>
      <c r="F74" s="72">
        <v>0.0</v>
      </c>
      <c r="G74" s="72">
        <v>0.0</v>
      </c>
      <c r="H74" s="72">
        <v>0.0</v>
      </c>
      <c r="I74" s="72">
        <v>0.0</v>
      </c>
      <c r="J74" s="72">
        <v>0.0</v>
      </c>
      <c r="K74" s="72">
        <v>0.0</v>
      </c>
      <c r="L74" s="72">
        <v>60.0</v>
      </c>
      <c r="M74" s="72">
        <v>0.0</v>
      </c>
      <c r="N74" s="72">
        <v>0.0</v>
      </c>
      <c r="O74" s="72">
        <v>0.0</v>
      </c>
      <c r="P74" s="72">
        <v>250.2</v>
      </c>
    </row>
    <row r="75" ht="15.75" customHeight="1">
      <c r="A75" s="72">
        <v>10.0</v>
      </c>
      <c r="B75" s="72">
        <v>10.0</v>
      </c>
      <c r="C75" s="72">
        <v>4.0</v>
      </c>
      <c r="D75" s="72">
        <v>20.0</v>
      </c>
      <c r="E75" s="72">
        <v>0.0</v>
      </c>
      <c r="F75" s="72">
        <v>0.0</v>
      </c>
      <c r="G75" s="72">
        <v>0.0</v>
      </c>
      <c r="H75" s="72">
        <v>0.0</v>
      </c>
      <c r="I75" s="72">
        <v>0.0</v>
      </c>
      <c r="J75" s="72">
        <v>0.0</v>
      </c>
      <c r="K75" s="72">
        <v>0.0</v>
      </c>
      <c r="L75" s="72">
        <v>60.0</v>
      </c>
      <c r="M75" s="72">
        <v>0.0</v>
      </c>
      <c r="N75" s="72">
        <v>0.0</v>
      </c>
      <c r="O75" s="72">
        <v>0.0</v>
      </c>
      <c r="P75" s="72">
        <v>250.2</v>
      </c>
    </row>
    <row r="76" ht="15.75" customHeight="1">
      <c r="A76" s="135" t="s">
        <v>195</v>
      </c>
      <c r="B76" s="72">
        <v>100.0</v>
      </c>
      <c r="D76" s="72">
        <f t="shared" ref="D76:O76" si="9">sum(D66:D75)</f>
        <v>60</v>
      </c>
      <c r="E76" s="72">
        <f t="shared" si="9"/>
        <v>0</v>
      </c>
      <c r="F76" s="72">
        <f t="shared" si="9"/>
        <v>1</v>
      </c>
      <c r="G76" s="72">
        <f t="shared" si="9"/>
        <v>1</v>
      </c>
      <c r="H76" s="72">
        <f t="shared" si="9"/>
        <v>1</v>
      </c>
      <c r="I76" s="72">
        <f t="shared" si="9"/>
        <v>1</v>
      </c>
      <c r="J76" s="72">
        <f t="shared" si="9"/>
        <v>1</v>
      </c>
      <c r="K76" s="72">
        <f t="shared" si="9"/>
        <v>0</v>
      </c>
      <c r="L76" s="72">
        <f t="shared" si="9"/>
        <v>265</v>
      </c>
      <c r="M76" s="72">
        <f t="shared" si="9"/>
        <v>0</v>
      </c>
      <c r="N76" s="72">
        <f t="shared" si="9"/>
        <v>0</v>
      </c>
      <c r="O76" s="72">
        <f t="shared" si="9"/>
        <v>0</v>
      </c>
      <c r="P76" s="72">
        <v>1489.05</v>
      </c>
    </row>
    <row r="77" ht="15.75" customHeight="1">
      <c r="A77" s="137" t="s">
        <v>201</v>
      </c>
      <c r="B77" s="138"/>
      <c r="C77" s="138"/>
      <c r="D77" s="138">
        <f t="shared" ref="D77:O77" si="10">D76/$B76</f>
        <v>0.6</v>
      </c>
      <c r="E77" s="138">
        <f t="shared" si="10"/>
        <v>0</v>
      </c>
      <c r="F77" s="138">
        <f t="shared" si="10"/>
        <v>0.01</v>
      </c>
      <c r="G77" s="138">
        <f t="shared" si="10"/>
        <v>0.01</v>
      </c>
      <c r="H77" s="138">
        <f t="shared" si="10"/>
        <v>0.01</v>
      </c>
      <c r="I77" s="138">
        <f t="shared" si="10"/>
        <v>0.01</v>
      </c>
      <c r="J77" s="138">
        <f t="shared" si="10"/>
        <v>0.01</v>
      </c>
      <c r="K77" s="138">
        <f t="shared" si="10"/>
        <v>0</v>
      </c>
      <c r="L77" s="138">
        <f t="shared" si="10"/>
        <v>2.65</v>
      </c>
      <c r="M77" s="138">
        <f t="shared" si="10"/>
        <v>0</v>
      </c>
      <c r="N77" s="138">
        <f t="shared" si="10"/>
        <v>0</v>
      </c>
      <c r="O77" s="138">
        <f t="shared" si="10"/>
        <v>0</v>
      </c>
      <c r="P77" s="138">
        <v>14.8905</v>
      </c>
    </row>
    <row r="78" ht="15.75" customHeight="1"/>
    <row r="79" ht="15.75" customHeight="1">
      <c r="A79" s="73" t="s">
        <v>223</v>
      </c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</row>
    <row r="80" ht="15.75" customHeight="1">
      <c r="A80" s="120" t="s">
        <v>161</v>
      </c>
      <c r="B80" s="120"/>
      <c r="C80" s="123"/>
      <c r="D80" s="123"/>
      <c r="E80" s="123"/>
      <c r="F80" s="123"/>
      <c r="G80" s="123"/>
      <c r="H80" s="147"/>
      <c r="I80" s="147"/>
      <c r="J80" s="124"/>
      <c r="K80" s="124"/>
      <c r="L80" s="124"/>
      <c r="M80" s="124"/>
      <c r="N80" s="124"/>
      <c r="O80" s="124"/>
      <c r="P80" s="124"/>
    </row>
    <row r="81" ht="15.75" customHeight="1">
      <c r="A81" s="126" t="s">
        <v>163</v>
      </c>
      <c r="B81" s="126" t="s">
        <v>164</v>
      </c>
      <c r="C81" s="127" t="s">
        <v>165</v>
      </c>
      <c r="D81" s="127" t="s">
        <v>166</v>
      </c>
      <c r="E81" s="127" t="s">
        <v>115</v>
      </c>
      <c r="F81" s="127" t="s">
        <v>79</v>
      </c>
      <c r="G81" s="127" t="s">
        <v>85</v>
      </c>
      <c r="H81" s="148" t="s">
        <v>91</v>
      </c>
      <c r="I81" s="148" t="s">
        <v>97</v>
      </c>
      <c r="J81" s="128" t="s">
        <v>103</v>
      </c>
      <c r="K81" s="128" t="s">
        <v>167</v>
      </c>
      <c r="L81" s="128" t="s">
        <v>168</v>
      </c>
      <c r="M81" s="128" t="s">
        <v>169</v>
      </c>
      <c r="N81" s="128" t="s">
        <v>170</v>
      </c>
      <c r="O81" s="128" t="s">
        <v>171</v>
      </c>
      <c r="P81" s="128" t="s">
        <v>172</v>
      </c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  <c r="AC81" s="129"/>
      <c r="AD81" s="129"/>
      <c r="AE81" s="129"/>
      <c r="AF81" s="129"/>
      <c r="AG81" s="129"/>
      <c r="AH81" s="129"/>
      <c r="AI81" s="129"/>
      <c r="AJ81" s="129"/>
      <c r="AK81" s="129"/>
      <c r="AL81" s="129"/>
      <c r="AM81" s="129"/>
      <c r="AN81" s="129"/>
      <c r="AO81" s="129"/>
      <c r="AP81" s="129"/>
      <c r="AQ81" s="129"/>
      <c r="AR81" s="129"/>
      <c r="AS81" s="129"/>
      <c r="AT81" s="129"/>
      <c r="AU81" s="129"/>
      <c r="AV81" s="129"/>
      <c r="AW81" s="129"/>
      <c r="AX81" s="129"/>
      <c r="AY81" s="129"/>
      <c r="AZ81" s="129"/>
      <c r="BA81" s="129"/>
      <c r="BB81" s="129"/>
      <c r="BC81" s="129"/>
    </row>
    <row r="82" ht="15.75" customHeight="1">
      <c r="A82" s="72">
        <v>1.0</v>
      </c>
      <c r="B82" s="72">
        <v>10.0</v>
      </c>
      <c r="C82" s="72">
        <v>1.0</v>
      </c>
      <c r="D82" s="72">
        <v>10.0</v>
      </c>
      <c r="E82" s="72">
        <v>0.0</v>
      </c>
      <c r="F82" s="72">
        <v>0.0</v>
      </c>
      <c r="G82" s="72">
        <v>0.0</v>
      </c>
      <c r="H82" s="149">
        <v>0.0</v>
      </c>
      <c r="I82" s="149">
        <v>0.0</v>
      </c>
      <c r="J82" s="72">
        <v>0.0</v>
      </c>
      <c r="K82" s="72">
        <v>0.0</v>
      </c>
      <c r="L82" s="72">
        <v>15.0</v>
      </c>
      <c r="M82" s="72">
        <v>0.0</v>
      </c>
      <c r="N82" s="72">
        <v>0.0</v>
      </c>
      <c r="O82" s="72">
        <v>0.0</v>
      </c>
      <c r="P82" s="72">
        <v>62.55</v>
      </c>
    </row>
    <row r="83" ht="15.75" customHeight="1">
      <c r="A83" s="72">
        <v>2.0</v>
      </c>
      <c r="B83" s="72">
        <v>10.0</v>
      </c>
      <c r="C83" s="72">
        <v>1.0</v>
      </c>
      <c r="D83" s="72">
        <v>0.0</v>
      </c>
      <c r="E83" s="72">
        <v>0.0</v>
      </c>
      <c r="F83" s="72">
        <v>1.0</v>
      </c>
      <c r="G83" s="72">
        <v>0.0</v>
      </c>
      <c r="H83" s="149">
        <v>0.0</v>
      </c>
      <c r="I83" s="149">
        <v>0.0</v>
      </c>
      <c r="J83" s="72">
        <v>0.0</v>
      </c>
      <c r="K83" s="72">
        <v>0.0</v>
      </c>
      <c r="L83" s="72">
        <v>15.0</v>
      </c>
      <c r="M83" s="72">
        <v>0.0</v>
      </c>
      <c r="N83" s="72">
        <v>0.0</v>
      </c>
      <c r="O83" s="72">
        <v>0.0</v>
      </c>
      <c r="P83" s="72">
        <v>95.55</v>
      </c>
    </row>
    <row r="84" ht="15.75" customHeight="1">
      <c r="A84" s="72">
        <v>3.0</v>
      </c>
      <c r="B84" s="72">
        <v>10.0</v>
      </c>
      <c r="C84" s="72">
        <v>2.0</v>
      </c>
      <c r="D84" s="72">
        <v>10.0</v>
      </c>
      <c r="E84" s="72">
        <v>0.0</v>
      </c>
      <c r="F84" s="72">
        <v>0.0</v>
      </c>
      <c r="G84" s="72">
        <v>0.0</v>
      </c>
      <c r="H84" s="149">
        <v>0.0</v>
      </c>
      <c r="I84" s="149">
        <v>0.0</v>
      </c>
      <c r="J84" s="72">
        <v>0.0</v>
      </c>
      <c r="K84" s="72">
        <v>0.0</v>
      </c>
      <c r="L84" s="72">
        <v>15.0</v>
      </c>
      <c r="M84" s="72">
        <v>0.0</v>
      </c>
      <c r="N84" s="72">
        <v>0.0</v>
      </c>
      <c r="O84" s="72">
        <v>0.0</v>
      </c>
      <c r="P84" s="72">
        <v>62.55</v>
      </c>
    </row>
    <row r="85" ht="15.75" customHeight="1">
      <c r="A85" s="72">
        <v>4.0</v>
      </c>
      <c r="B85" s="72">
        <v>10.0</v>
      </c>
      <c r="C85" s="72">
        <v>2.0</v>
      </c>
      <c r="D85" s="72">
        <v>0.0</v>
      </c>
      <c r="E85" s="72">
        <v>0.0</v>
      </c>
      <c r="F85" s="72">
        <v>0.0</v>
      </c>
      <c r="G85" s="72">
        <v>0.0</v>
      </c>
      <c r="H85" s="152">
        <v>0.0</v>
      </c>
      <c r="I85" s="152">
        <v>1.0</v>
      </c>
      <c r="J85" s="72">
        <v>0.0</v>
      </c>
      <c r="K85" s="72">
        <v>0.0</v>
      </c>
      <c r="L85" s="72">
        <v>15.0</v>
      </c>
      <c r="M85" s="72">
        <v>0.0</v>
      </c>
      <c r="N85" s="72">
        <v>0.0</v>
      </c>
      <c r="O85" s="72">
        <v>0.0</v>
      </c>
      <c r="P85" s="72">
        <v>229.55</v>
      </c>
    </row>
    <row r="86" ht="15.75" customHeight="1">
      <c r="A86" s="72">
        <v>5.0</v>
      </c>
      <c r="B86" s="72">
        <v>10.0</v>
      </c>
      <c r="C86" s="72">
        <v>2.0</v>
      </c>
      <c r="D86" s="72">
        <v>0.0</v>
      </c>
      <c r="E86" s="72">
        <v>0.0</v>
      </c>
      <c r="F86" s="72">
        <v>0.0</v>
      </c>
      <c r="G86" s="72">
        <v>1.0</v>
      </c>
      <c r="H86" s="149">
        <v>0.0</v>
      </c>
      <c r="I86" s="149">
        <v>0.0</v>
      </c>
      <c r="J86" s="72">
        <v>0.0</v>
      </c>
      <c r="K86" s="72">
        <v>0.0</v>
      </c>
      <c r="L86" s="72">
        <v>15.0</v>
      </c>
      <c r="M86" s="72">
        <v>0.0</v>
      </c>
      <c r="N86" s="72">
        <v>0.0</v>
      </c>
      <c r="O86" s="72">
        <v>0.0</v>
      </c>
      <c r="P86" s="72">
        <v>112.55</v>
      </c>
    </row>
    <row r="87" ht="15.75" customHeight="1">
      <c r="A87" s="72">
        <v>6.0</v>
      </c>
      <c r="B87" s="72">
        <v>10.0</v>
      </c>
      <c r="C87" s="72">
        <v>3.0</v>
      </c>
      <c r="D87" s="72">
        <v>0.0</v>
      </c>
      <c r="E87" s="72">
        <v>0.0</v>
      </c>
      <c r="F87" s="72">
        <v>0.0</v>
      </c>
      <c r="G87" s="72">
        <v>0.0</v>
      </c>
      <c r="H87" s="149">
        <v>0.0</v>
      </c>
      <c r="I87" s="149">
        <v>0.0</v>
      </c>
      <c r="J87" s="72">
        <v>1.0</v>
      </c>
      <c r="K87" s="135">
        <v>1.0</v>
      </c>
      <c r="L87" s="72">
        <v>20.0</v>
      </c>
      <c r="M87" s="72">
        <v>0.0</v>
      </c>
      <c r="N87" s="72">
        <v>0.0</v>
      </c>
      <c r="O87" s="72">
        <v>0.0</v>
      </c>
      <c r="P87" s="72">
        <v>150.4</v>
      </c>
    </row>
    <row r="88" ht="15.75" customHeight="1">
      <c r="A88" s="72">
        <v>7.0</v>
      </c>
      <c r="B88" s="72">
        <v>10.0</v>
      </c>
      <c r="C88" s="72">
        <v>3.0</v>
      </c>
      <c r="D88" s="72">
        <v>10.0</v>
      </c>
      <c r="E88" s="72">
        <v>0.0</v>
      </c>
      <c r="F88" s="72">
        <v>0.0</v>
      </c>
      <c r="G88" s="72">
        <v>0.0</v>
      </c>
      <c r="H88" s="149">
        <v>0.0</v>
      </c>
      <c r="I88" s="149">
        <v>0.0</v>
      </c>
      <c r="J88" s="72">
        <v>0.0</v>
      </c>
      <c r="K88" s="72">
        <v>0.0</v>
      </c>
      <c r="L88" s="72">
        <v>20.0</v>
      </c>
      <c r="M88" s="72">
        <v>0.0</v>
      </c>
      <c r="N88" s="72">
        <v>0.0</v>
      </c>
      <c r="O88" s="72">
        <v>0.0</v>
      </c>
      <c r="P88" s="72">
        <v>83.4</v>
      </c>
    </row>
    <row r="89" ht="15.75" customHeight="1">
      <c r="A89" s="72">
        <v>8.0</v>
      </c>
      <c r="B89" s="72">
        <v>10.0</v>
      </c>
      <c r="C89" s="72">
        <v>3.0</v>
      </c>
      <c r="D89" s="72">
        <v>0.0</v>
      </c>
      <c r="E89" s="72">
        <v>0.0</v>
      </c>
      <c r="F89" s="72">
        <v>0.0</v>
      </c>
      <c r="G89" s="72">
        <v>0.0</v>
      </c>
      <c r="H89" s="149">
        <v>1.0</v>
      </c>
      <c r="I89" s="149">
        <v>0.0</v>
      </c>
      <c r="J89" s="72">
        <v>0.0</v>
      </c>
      <c r="K89" s="72">
        <v>0.0</v>
      </c>
      <c r="L89" s="72">
        <v>30.0</v>
      </c>
      <c r="M89" s="72">
        <v>0.0</v>
      </c>
      <c r="N89" s="72">
        <v>0.0</v>
      </c>
      <c r="O89" s="72">
        <v>0.0</v>
      </c>
      <c r="P89" s="72">
        <v>192.1</v>
      </c>
    </row>
    <row r="90" ht="15.75" customHeight="1">
      <c r="A90" s="72">
        <v>9.0</v>
      </c>
      <c r="B90" s="72">
        <v>10.0</v>
      </c>
      <c r="C90" s="72">
        <v>3.0</v>
      </c>
      <c r="D90" s="72">
        <v>10.0</v>
      </c>
      <c r="E90" s="72">
        <v>0.0</v>
      </c>
      <c r="F90" s="72">
        <v>0.0</v>
      </c>
      <c r="G90" s="72">
        <v>0.0</v>
      </c>
      <c r="H90" s="149">
        <v>0.0</v>
      </c>
      <c r="I90" s="149">
        <v>0.0</v>
      </c>
      <c r="J90" s="72">
        <v>0.0</v>
      </c>
      <c r="K90" s="72">
        <v>0.0</v>
      </c>
      <c r="L90" s="72">
        <v>60.0</v>
      </c>
      <c r="M90" s="72">
        <v>0.0</v>
      </c>
      <c r="N90" s="72">
        <v>0.0</v>
      </c>
      <c r="O90" s="72">
        <v>0.0</v>
      </c>
      <c r="P90" s="72">
        <v>250.2</v>
      </c>
    </row>
    <row r="91" ht="15.75" customHeight="1">
      <c r="A91" s="72">
        <v>10.0</v>
      </c>
      <c r="B91" s="72">
        <v>10.0</v>
      </c>
      <c r="C91" s="72">
        <v>4.0</v>
      </c>
      <c r="D91" s="72">
        <v>20.0</v>
      </c>
      <c r="E91" s="72">
        <v>0.0</v>
      </c>
      <c r="F91" s="72">
        <v>0.0</v>
      </c>
      <c r="G91" s="72">
        <v>0.0</v>
      </c>
      <c r="H91" s="152">
        <v>1.0</v>
      </c>
      <c r="I91" s="152">
        <v>0.0</v>
      </c>
      <c r="J91" s="72">
        <v>0.0</v>
      </c>
      <c r="K91" s="72">
        <v>0.0</v>
      </c>
      <c r="L91" s="72">
        <v>60.0</v>
      </c>
      <c r="M91" s="72">
        <v>0.0</v>
      </c>
      <c r="N91" s="72">
        <v>0.0</v>
      </c>
      <c r="O91" s="72">
        <v>0.0</v>
      </c>
      <c r="P91" s="72">
        <v>250.2</v>
      </c>
    </row>
    <row r="92" ht="15.75" customHeight="1">
      <c r="A92" s="135" t="s">
        <v>195</v>
      </c>
      <c r="B92" s="72">
        <v>100.0</v>
      </c>
      <c r="D92" s="72">
        <f t="shared" ref="D92:O92" si="11">sum(D82:D91)</f>
        <v>60</v>
      </c>
      <c r="E92" s="72">
        <f t="shared" si="11"/>
        <v>0</v>
      </c>
      <c r="F92" s="72">
        <f t="shared" si="11"/>
        <v>1</v>
      </c>
      <c r="G92" s="72">
        <f t="shared" si="11"/>
        <v>1</v>
      </c>
      <c r="H92" s="72">
        <f t="shared" si="11"/>
        <v>2</v>
      </c>
      <c r="I92" s="72">
        <f t="shared" si="11"/>
        <v>1</v>
      </c>
      <c r="J92" s="72">
        <f t="shared" si="11"/>
        <v>1</v>
      </c>
      <c r="K92" s="72">
        <f t="shared" si="11"/>
        <v>1</v>
      </c>
      <c r="L92" s="72">
        <f t="shared" si="11"/>
        <v>265</v>
      </c>
      <c r="M92" s="72">
        <f t="shared" si="11"/>
        <v>0</v>
      </c>
      <c r="N92" s="72">
        <f t="shared" si="11"/>
        <v>0</v>
      </c>
      <c r="O92" s="72">
        <f t="shared" si="11"/>
        <v>0</v>
      </c>
      <c r="P92" s="72">
        <v>1489.05</v>
      </c>
    </row>
    <row r="93" ht="15.75" customHeight="1">
      <c r="A93" s="137" t="s">
        <v>201</v>
      </c>
      <c r="B93" s="138"/>
      <c r="C93" s="138"/>
      <c r="D93" s="138">
        <f t="shared" ref="D93:O93" si="12">D92/$B92</f>
        <v>0.6</v>
      </c>
      <c r="E93" s="138">
        <f t="shared" si="12"/>
        <v>0</v>
      </c>
      <c r="F93" s="138">
        <f t="shared" si="12"/>
        <v>0.01</v>
      </c>
      <c r="G93" s="138">
        <f t="shared" si="12"/>
        <v>0.01</v>
      </c>
      <c r="H93" s="138">
        <f t="shared" si="12"/>
        <v>0.02</v>
      </c>
      <c r="I93" s="138">
        <f t="shared" si="12"/>
        <v>0.01</v>
      </c>
      <c r="J93" s="138">
        <f t="shared" si="12"/>
        <v>0.01</v>
      </c>
      <c r="K93" s="138">
        <f t="shared" si="12"/>
        <v>0.01</v>
      </c>
      <c r="L93" s="138">
        <f t="shared" si="12"/>
        <v>2.65</v>
      </c>
      <c r="M93" s="138">
        <f t="shared" si="12"/>
        <v>0</v>
      </c>
      <c r="N93" s="138">
        <f t="shared" si="12"/>
        <v>0</v>
      </c>
      <c r="O93" s="138">
        <f t="shared" si="12"/>
        <v>0</v>
      </c>
      <c r="P93" s="155">
        <v>14.8905</v>
      </c>
    </row>
    <row r="94" ht="15.75" customHeight="1">
      <c r="H94" s="81"/>
      <c r="I94" s="81"/>
    </row>
    <row r="95" ht="15.75" customHeight="1">
      <c r="A95" s="141" t="s">
        <v>206</v>
      </c>
      <c r="B95" s="124"/>
      <c r="C95" s="124"/>
      <c r="D95" s="124"/>
      <c r="E95" s="124"/>
      <c r="F95" s="124"/>
      <c r="G95" s="124"/>
      <c r="H95" s="147"/>
      <c r="I95" s="147"/>
      <c r="J95" s="124"/>
      <c r="K95" s="124"/>
      <c r="L95" s="124"/>
      <c r="M95" s="124"/>
      <c r="N95" s="124"/>
      <c r="O95" s="124"/>
      <c r="P95" s="124"/>
    </row>
    <row r="96" ht="15.75" customHeight="1">
      <c r="A96" s="128" t="s">
        <v>163</v>
      </c>
      <c r="B96" s="128" t="s">
        <v>164</v>
      </c>
      <c r="C96" s="128" t="s">
        <v>165</v>
      </c>
      <c r="D96" s="128" t="s">
        <v>166</v>
      </c>
      <c r="E96" s="128" t="s">
        <v>115</v>
      </c>
      <c r="F96" s="128" t="s">
        <v>79</v>
      </c>
      <c r="G96" s="128" t="s">
        <v>85</v>
      </c>
      <c r="H96" s="148" t="s">
        <v>91</v>
      </c>
      <c r="I96" s="148" t="s">
        <v>97</v>
      </c>
      <c r="J96" s="128" t="s">
        <v>103</v>
      </c>
      <c r="K96" s="128" t="s">
        <v>167</v>
      </c>
      <c r="L96" s="128" t="s">
        <v>168</v>
      </c>
      <c r="M96" s="128" t="s">
        <v>169</v>
      </c>
      <c r="N96" s="128" t="s">
        <v>170</v>
      </c>
      <c r="O96" s="128" t="s">
        <v>171</v>
      </c>
      <c r="P96" s="128" t="s">
        <v>172</v>
      </c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  <c r="AE96" s="129"/>
      <c r="AF96" s="129"/>
      <c r="AG96" s="129"/>
      <c r="AH96" s="129"/>
      <c r="AI96" s="129"/>
      <c r="AJ96" s="129"/>
      <c r="AK96" s="129"/>
      <c r="AL96" s="129"/>
      <c r="AM96" s="129"/>
      <c r="AN96" s="129"/>
      <c r="AO96" s="129"/>
      <c r="AP96" s="129"/>
      <c r="AQ96" s="129"/>
      <c r="AR96" s="129"/>
      <c r="AS96" s="129"/>
      <c r="AT96" s="129"/>
      <c r="AU96" s="129"/>
      <c r="AV96" s="129"/>
      <c r="AW96" s="129"/>
      <c r="AX96" s="129"/>
      <c r="AY96" s="129"/>
      <c r="AZ96" s="129"/>
      <c r="BA96" s="129"/>
      <c r="BB96" s="129"/>
      <c r="BC96" s="129"/>
    </row>
    <row r="97" ht="15.75" customHeight="1">
      <c r="A97" s="72">
        <v>1.0</v>
      </c>
      <c r="B97" s="72">
        <v>10.0</v>
      </c>
      <c r="C97" s="72">
        <v>1.0</v>
      </c>
      <c r="D97" s="72">
        <v>10.0</v>
      </c>
      <c r="E97" s="72">
        <v>0.0</v>
      </c>
      <c r="F97" s="72">
        <v>0.0</v>
      </c>
      <c r="G97" s="72">
        <v>0.0</v>
      </c>
      <c r="H97" s="149">
        <v>0.0</v>
      </c>
      <c r="I97" s="149">
        <v>0.0</v>
      </c>
      <c r="J97" s="72">
        <v>0.0</v>
      </c>
      <c r="K97" s="72">
        <v>0.0</v>
      </c>
      <c r="L97" s="72">
        <v>15.0</v>
      </c>
      <c r="M97" s="72">
        <v>0.0</v>
      </c>
      <c r="N97" s="72">
        <v>0.0</v>
      </c>
      <c r="O97" s="72">
        <v>0.0</v>
      </c>
      <c r="P97" s="72">
        <v>62.55</v>
      </c>
    </row>
    <row r="98" ht="15.75" customHeight="1">
      <c r="A98" s="72">
        <v>2.0</v>
      </c>
      <c r="B98" s="72">
        <v>10.0</v>
      </c>
      <c r="C98" s="72">
        <v>1.0</v>
      </c>
      <c r="D98" s="72">
        <v>0.0</v>
      </c>
      <c r="E98" s="72">
        <v>0.0</v>
      </c>
      <c r="F98" s="72">
        <v>1.0</v>
      </c>
      <c r="G98" s="72">
        <v>0.0</v>
      </c>
      <c r="H98" s="149">
        <v>0.0</v>
      </c>
      <c r="I98" s="149">
        <v>0.0</v>
      </c>
      <c r="J98" s="72">
        <v>0.0</v>
      </c>
      <c r="K98" s="72">
        <v>0.0</v>
      </c>
      <c r="L98" s="72">
        <v>15.0</v>
      </c>
      <c r="M98" s="72">
        <v>0.0</v>
      </c>
      <c r="N98" s="72">
        <v>0.0</v>
      </c>
      <c r="O98" s="72">
        <v>0.0</v>
      </c>
      <c r="P98" s="72">
        <v>95.55</v>
      </c>
    </row>
    <row r="99" ht="15.75" customHeight="1">
      <c r="A99" s="72">
        <v>3.0</v>
      </c>
      <c r="B99" s="72">
        <v>10.0</v>
      </c>
      <c r="C99" s="72">
        <v>2.0</v>
      </c>
      <c r="D99" s="72">
        <v>10.0</v>
      </c>
      <c r="E99" s="72">
        <v>0.0</v>
      </c>
      <c r="F99" s="72">
        <v>0.0</v>
      </c>
      <c r="G99" s="72">
        <v>0.0</v>
      </c>
      <c r="H99" s="149">
        <v>0.0</v>
      </c>
      <c r="I99" s="149">
        <v>0.0</v>
      </c>
      <c r="J99" s="72">
        <v>0.0</v>
      </c>
      <c r="K99" s="72">
        <v>0.0</v>
      </c>
      <c r="L99" s="72">
        <v>15.0</v>
      </c>
      <c r="M99" s="72">
        <v>0.0</v>
      </c>
      <c r="N99" s="72">
        <v>0.0</v>
      </c>
      <c r="O99" s="72">
        <v>0.0</v>
      </c>
      <c r="P99" s="72">
        <v>62.55</v>
      </c>
    </row>
    <row r="100" ht="15.75" customHeight="1">
      <c r="A100" s="72">
        <v>4.0</v>
      </c>
      <c r="B100" s="72">
        <v>10.0</v>
      </c>
      <c r="C100" s="72">
        <v>2.0</v>
      </c>
      <c r="D100" s="72">
        <v>0.0</v>
      </c>
      <c r="E100" s="72">
        <v>0.0</v>
      </c>
      <c r="F100" s="72">
        <v>0.0</v>
      </c>
      <c r="G100" s="72">
        <v>0.0</v>
      </c>
      <c r="H100" s="152">
        <v>0.0</v>
      </c>
      <c r="I100" s="152">
        <v>1.0</v>
      </c>
      <c r="J100" s="72">
        <v>0.0</v>
      </c>
      <c r="K100" s="72">
        <v>0.0</v>
      </c>
      <c r="L100" s="72">
        <v>15.0</v>
      </c>
      <c r="M100" s="72">
        <v>0.0</v>
      </c>
      <c r="N100" s="72">
        <v>0.0</v>
      </c>
      <c r="O100" s="72">
        <v>0.0</v>
      </c>
      <c r="P100" s="72">
        <v>229.55</v>
      </c>
    </row>
    <row r="101" ht="15.75" customHeight="1">
      <c r="A101" s="72">
        <v>5.0</v>
      </c>
      <c r="B101" s="72">
        <v>10.0</v>
      </c>
      <c r="C101" s="72">
        <v>2.0</v>
      </c>
      <c r="D101" s="72">
        <v>0.0</v>
      </c>
      <c r="E101" s="72">
        <v>0.0</v>
      </c>
      <c r="F101" s="72">
        <v>0.0</v>
      </c>
      <c r="G101" s="72">
        <v>1.0</v>
      </c>
      <c r="H101" s="149">
        <v>0.0</v>
      </c>
      <c r="I101" s="149">
        <v>0.0</v>
      </c>
      <c r="J101" s="72">
        <v>0.0</v>
      </c>
      <c r="K101" s="72">
        <v>0.0</v>
      </c>
      <c r="L101" s="72">
        <v>15.0</v>
      </c>
      <c r="M101" s="72">
        <v>0.0</v>
      </c>
      <c r="N101" s="72">
        <v>0.0</v>
      </c>
      <c r="O101" s="72">
        <v>0.0</v>
      </c>
      <c r="P101" s="72">
        <v>112.55</v>
      </c>
    </row>
    <row r="102" ht="15.75" customHeight="1">
      <c r="A102" s="72">
        <v>6.0</v>
      </c>
      <c r="B102" s="72">
        <v>10.0</v>
      </c>
      <c r="C102" s="72">
        <v>3.0</v>
      </c>
      <c r="D102" s="72">
        <v>0.0</v>
      </c>
      <c r="E102" s="72">
        <v>0.0</v>
      </c>
      <c r="F102" s="72">
        <v>0.0</v>
      </c>
      <c r="G102" s="72">
        <v>0.0</v>
      </c>
      <c r="H102" s="149">
        <v>0.0</v>
      </c>
      <c r="I102" s="149">
        <v>0.0</v>
      </c>
      <c r="J102" s="72">
        <v>1.0</v>
      </c>
      <c r="K102" s="135">
        <v>1.0</v>
      </c>
      <c r="L102" s="72">
        <v>20.0</v>
      </c>
      <c r="M102" s="72">
        <v>0.0</v>
      </c>
      <c r="N102" s="72">
        <v>0.0</v>
      </c>
      <c r="O102" s="72">
        <v>0.0</v>
      </c>
      <c r="P102" s="72">
        <v>150.4</v>
      </c>
    </row>
    <row r="103" ht="15.75" customHeight="1">
      <c r="A103" s="72">
        <v>7.0</v>
      </c>
      <c r="B103" s="72">
        <v>10.0</v>
      </c>
      <c r="C103" s="72">
        <v>3.0</v>
      </c>
      <c r="D103" s="72">
        <v>10.0</v>
      </c>
      <c r="E103" s="72">
        <v>0.0</v>
      </c>
      <c r="F103" s="72">
        <v>0.0</v>
      </c>
      <c r="G103" s="72">
        <v>0.0</v>
      </c>
      <c r="H103" s="149">
        <v>0.0</v>
      </c>
      <c r="I103" s="149">
        <v>0.0</v>
      </c>
      <c r="J103" s="72">
        <v>0.0</v>
      </c>
      <c r="K103" s="72">
        <v>0.0</v>
      </c>
      <c r="L103" s="72">
        <v>20.0</v>
      </c>
      <c r="M103" s="72">
        <v>0.0</v>
      </c>
      <c r="N103" s="72">
        <v>0.0</v>
      </c>
      <c r="O103" s="72">
        <v>0.0</v>
      </c>
      <c r="P103" s="72">
        <v>83.4</v>
      </c>
    </row>
    <row r="104" ht="15.75" customHeight="1">
      <c r="A104" s="72">
        <v>8.0</v>
      </c>
      <c r="B104" s="72">
        <v>10.0</v>
      </c>
      <c r="C104" s="72">
        <v>3.0</v>
      </c>
      <c r="D104" s="72">
        <v>0.0</v>
      </c>
      <c r="E104" s="72">
        <v>0.0</v>
      </c>
      <c r="F104" s="72">
        <v>0.0</v>
      </c>
      <c r="G104" s="72">
        <v>0.0</v>
      </c>
      <c r="H104" s="149">
        <v>1.0</v>
      </c>
      <c r="I104" s="149">
        <v>0.0</v>
      </c>
      <c r="J104" s="72">
        <v>0.0</v>
      </c>
      <c r="K104" s="72">
        <v>0.0</v>
      </c>
      <c r="L104" s="72">
        <v>30.0</v>
      </c>
      <c r="M104" s="72">
        <v>0.0</v>
      </c>
      <c r="N104" s="72">
        <v>0.0</v>
      </c>
      <c r="O104" s="72">
        <v>0.0</v>
      </c>
      <c r="P104" s="72">
        <v>192.1</v>
      </c>
    </row>
    <row r="105" ht="15.75" customHeight="1">
      <c r="A105" s="72">
        <v>9.0</v>
      </c>
      <c r="B105" s="72">
        <v>10.0</v>
      </c>
      <c r="C105" s="72">
        <v>3.0</v>
      </c>
      <c r="D105" s="72">
        <v>10.0</v>
      </c>
      <c r="E105" s="72">
        <v>0.0</v>
      </c>
      <c r="F105" s="72">
        <v>0.0</v>
      </c>
      <c r="G105" s="72">
        <v>0.0</v>
      </c>
      <c r="H105" s="149">
        <v>0.0</v>
      </c>
      <c r="I105" s="149">
        <v>0.0</v>
      </c>
      <c r="J105" s="72">
        <v>0.0</v>
      </c>
      <c r="K105" s="72">
        <v>0.0</v>
      </c>
      <c r="L105" s="72">
        <v>60.0</v>
      </c>
      <c r="M105" s="72">
        <v>0.0</v>
      </c>
      <c r="N105" s="72">
        <v>0.0</v>
      </c>
      <c r="O105" s="72">
        <v>0.0</v>
      </c>
      <c r="P105" s="72">
        <v>250.2</v>
      </c>
    </row>
    <row r="106" ht="15.75" customHeight="1">
      <c r="A106" s="72">
        <v>10.0</v>
      </c>
      <c r="B106" s="72">
        <v>10.0</v>
      </c>
      <c r="C106" s="72">
        <v>4.0</v>
      </c>
      <c r="D106" s="72">
        <v>20.0</v>
      </c>
      <c r="E106" s="72">
        <v>0.0</v>
      </c>
      <c r="F106" s="72">
        <v>0.0</v>
      </c>
      <c r="G106" s="72">
        <v>0.0</v>
      </c>
      <c r="H106" s="152">
        <v>1.0</v>
      </c>
      <c r="I106" s="152">
        <v>0.0</v>
      </c>
      <c r="J106" s="72">
        <v>0.0</v>
      </c>
      <c r="K106" s="72">
        <v>0.0</v>
      </c>
      <c r="L106" s="72">
        <v>60.0</v>
      </c>
      <c r="M106" s="72">
        <v>0.0</v>
      </c>
      <c r="N106" s="72">
        <v>0.0</v>
      </c>
      <c r="O106" s="72">
        <v>0.0</v>
      </c>
      <c r="P106" s="72">
        <v>250.2</v>
      </c>
    </row>
    <row r="107" ht="15.75" customHeight="1">
      <c r="A107" s="135" t="s">
        <v>195</v>
      </c>
      <c r="B107" s="72">
        <v>100.0</v>
      </c>
      <c r="D107" s="72">
        <f t="shared" ref="D107:O107" si="13">sum(D97:D106)</f>
        <v>60</v>
      </c>
      <c r="E107" s="72">
        <f t="shared" si="13"/>
        <v>0</v>
      </c>
      <c r="F107" s="72">
        <f t="shared" si="13"/>
        <v>1</v>
      </c>
      <c r="G107" s="72">
        <f t="shared" si="13"/>
        <v>1</v>
      </c>
      <c r="H107" s="72">
        <f t="shared" si="13"/>
        <v>2</v>
      </c>
      <c r="I107" s="72">
        <f t="shared" si="13"/>
        <v>1</v>
      </c>
      <c r="J107" s="72">
        <f t="shared" si="13"/>
        <v>1</v>
      </c>
      <c r="K107" s="72">
        <f t="shared" si="13"/>
        <v>1</v>
      </c>
      <c r="L107" s="72">
        <f t="shared" si="13"/>
        <v>265</v>
      </c>
      <c r="M107" s="72">
        <f t="shared" si="13"/>
        <v>0</v>
      </c>
      <c r="N107" s="72">
        <f t="shared" si="13"/>
        <v>0</v>
      </c>
      <c r="O107" s="72">
        <f t="shared" si="13"/>
        <v>0</v>
      </c>
      <c r="P107" s="72">
        <v>1489.05</v>
      </c>
    </row>
    <row r="108" ht="15.75" customHeight="1">
      <c r="A108" s="137" t="s">
        <v>201</v>
      </c>
      <c r="B108" s="138"/>
      <c r="C108" s="138"/>
      <c r="D108" s="138">
        <f t="shared" ref="D108:O108" si="14">D107/$B107</f>
        <v>0.6</v>
      </c>
      <c r="E108" s="138">
        <f t="shared" si="14"/>
        <v>0</v>
      </c>
      <c r="F108" s="138">
        <f t="shared" si="14"/>
        <v>0.01</v>
      </c>
      <c r="G108" s="138">
        <f t="shared" si="14"/>
        <v>0.01</v>
      </c>
      <c r="H108" s="138">
        <f t="shared" si="14"/>
        <v>0.02</v>
      </c>
      <c r="I108" s="138">
        <f t="shared" si="14"/>
        <v>0.01</v>
      </c>
      <c r="J108" s="138">
        <f t="shared" si="14"/>
        <v>0.01</v>
      </c>
      <c r="K108" s="138">
        <f t="shared" si="14"/>
        <v>0.01</v>
      </c>
      <c r="L108" s="138">
        <f t="shared" si="14"/>
        <v>2.65</v>
      </c>
      <c r="M108" s="138">
        <f t="shared" si="14"/>
        <v>0</v>
      </c>
      <c r="N108" s="138">
        <f t="shared" si="14"/>
        <v>0</v>
      </c>
      <c r="O108" s="138">
        <f t="shared" si="14"/>
        <v>0</v>
      </c>
      <c r="P108" s="138">
        <v>14.8905</v>
      </c>
    </row>
    <row r="109" ht="15.75" customHeight="1">
      <c r="H109" s="81"/>
      <c r="I109" s="81"/>
    </row>
    <row r="110" ht="15.75" customHeight="1">
      <c r="A110" s="141" t="s">
        <v>208</v>
      </c>
      <c r="B110" s="124"/>
      <c r="C110" s="124"/>
      <c r="D110" s="124"/>
      <c r="E110" s="124"/>
      <c r="F110" s="124"/>
      <c r="G110" s="124"/>
      <c r="H110" s="147"/>
      <c r="I110" s="147"/>
      <c r="J110" s="124"/>
      <c r="K110" s="124"/>
      <c r="L110" s="124"/>
      <c r="M110" s="124"/>
      <c r="N110" s="124"/>
      <c r="O110" s="124"/>
      <c r="P110" s="124"/>
    </row>
    <row r="111" ht="15.75" customHeight="1">
      <c r="A111" s="128" t="s">
        <v>163</v>
      </c>
      <c r="B111" s="128" t="s">
        <v>164</v>
      </c>
      <c r="C111" s="128" t="s">
        <v>165</v>
      </c>
      <c r="D111" s="128" t="s">
        <v>166</v>
      </c>
      <c r="E111" s="128" t="s">
        <v>115</v>
      </c>
      <c r="F111" s="128" t="s">
        <v>79</v>
      </c>
      <c r="G111" s="128" t="s">
        <v>85</v>
      </c>
      <c r="H111" s="148" t="s">
        <v>91</v>
      </c>
      <c r="I111" s="148" t="s">
        <v>97</v>
      </c>
      <c r="J111" s="128" t="s">
        <v>103</v>
      </c>
      <c r="K111" s="128" t="s">
        <v>167</v>
      </c>
      <c r="L111" s="128" t="s">
        <v>168</v>
      </c>
      <c r="M111" s="128" t="s">
        <v>169</v>
      </c>
      <c r="N111" s="128" t="s">
        <v>170</v>
      </c>
      <c r="O111" s="128" t="s">
        <v>171</v>
      </c>
      <c r="P111" s="128" t="s">
        <v>172</v>
      </c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129"/>
      <c r="AI111" s="129"/>
      <c r="AJ111" s="129"/>
      <c r="AK111" s="129"/>
      <c r="AL111" s="129"/>
      <c r="AM111" s="129"/>
      <c r="AN111" s="129"/>
      <c r="AO111" s="129"/>
      <c r="AP111" s="129"/>
      <c r="AQ111" s="129"/>
      <c r="AR111" s="129"/>
      <c r="AS111" s="129"/>
      <c r="AT111" s="129"/>
      <c r="AU111" s="129"/>
      <c r="AV111" s="129"/>
      <c r="AW111" s="129"/>
      <c r="AX111" s="129"/>
      <c r="AY111" s="129"/>
      <c r="AZ111" s="129"/>
      <c r="BA111" s="129"/>
      <c r="BB111" s="129"/>
      <c r="BC111" s="129"/>
    </row>
    <row r="112" ht="15.75" customHeight="1">
      <c r="A112" s="72">
        <v>1.0</v>
      </c>
      <c r="B112" s="72">
        <v>10.0</v>
      </c>
      <c r="C112" s="72">
        <v>1.0</v>
      </c>
      <c r="D112" s="72">
        <v>10.0</v>
      </c>
      <c r="E112" s="72">
        <v>0.0</v>
      </c>
      <c r="F112" s="72">
        <v>0.0</v>
      </c>
      <c r="G112" s="72">
        <v>0.0</v>
      </c>
      <c r="H112" s="149">
        <v>0.0</v>
      </c>
      <c r="I112" s="149">
        <v>0.0</v>
      </c>
      <c r="J112" s="72">
        <v>0.0</v>
      </c>
      <c r="K112" s="72">
        <v>0.0</v>
      </c>
      <c r="L112" s="72">
        <v>15.0</v>
      </c>
      <c r="M112" s="72">
        <v>0.0</v>
      </c>
      <c r="N112" s="72">
        <v>0.0</v>
      </c>
      <c r="O112" s="72">
        <v>0.0</v>
      </c>
      <c r="P112" s="72">
        <v>62.55</v>
      </c>
    </row>
    <row r="113" ht="15.75" customHeight="1">
      <c r="A113" s="72">
        <v>2.0</v>
      </c>
      <c r="B113" s="72">
        <v>10.0</v>
      </c>
      <c r="C113" s="72">
        <v>1.0</v>
      </c>
      <c r="D113" s="72">
        <v>0.0</v>
      </c>
      <c r="E113" s="72">
        <v>0.0</v>
      </c>
      <c r="F113" s="72">
        <v>1.0</v>
      </c>
      <c r="G113" s="72">
        <v>0.0</v>
      </c>
      <c r="H113" s="149">
        <v>0.0</v>
      </c>
      <c r="I113" s="149">
        <v>0.0</v>
      </c>
      <c r="J113" s="72">
        <v>0.0</v>
      </c>
      <c r="K113" s="72">
        <v>0.0</v>
      </c>
      <c r="L113" s="72">
        <v>15.0</v>
      </c>
      <c r="M113" s="72">
        <v>0.0</v>
      </c>
      <c r="N113" s="72">
        <v>0.0</v>
      </c>
      <c r="O113" s="72">
        <v>0.0</v>
      </c>
      <c r="P113" s="72">
        <v>95.55</v>
      </c>
    </row>
    <row r="114" ht="15.75" customHeight="1">
      <c r="A114" s="72">
        <v>3.0</v>
      </c>
      <c r="B114" s="72">
        <v>10.0</v>
      </c>
      <c r="C114" s="72">
        <v>2.0</v>
      </c>
      <c r="D114" s="72">
        <v>10.0</v>
      </c>
      <c r="E114" s="72">
        <v>0.0</v>
      </c>
      <c r="F114" s="72">
        <v>0.0</v>
      </c>
      <c r="G114" s="72">
        <v>0.0</v>
      </c>
      <c r="H114" s="149">
        <v>0.0</v>
      </c>
      <c r="I114" s="149">
        <v>0.0</v>
      </c>
      <c r="J114" s="72">
        <v>0.0</v>
      </c>
      <c r="K114" s="72">
        <v>0.0</v>
      </c>
      <c r="L114" s="72">
        <v>15.0</v>
      </c>
      <c r="M114" s="72">
        <v>0.0</v>
      </c>
      <c r="N114" s="72">
        <v>0.0</v>
      </c>
      <c r="O114" s="72">
        <v>0.0</v>
      </c>
      <c r="P114" s="72">
        <v>62.55</v>
      </c>
    </row>
    <row r="115" ht="15.75" customHeight="1">
      <c r="A115" s="72">
        <v>4.0</v>
      </c>
      <c r="B115" s="72">
        <v>10.0</v>
      </c>
      <c r="C115" s="72">
        <v>2.0</v>
      </c>
      <c r="D115" s="72">
        <v>0.0</v>
      </c>
      <c r="E115" s="72">
        <v>0.0</v>
      </c>
      <c r="F115" s="72">
        <v>0.0</v>
      </c>
      <c r="G115" s="72">
        <v>0.0</v>
      </c>
      <c r="H115" s="152">
        <v>0.0</v>
      </c>
      <c r="I115" s="152">
        <v>1.0</v>
      </c>
      <c r="J115" s="72">
        <v>0.0</v>
      </c>
      <c r="K115" s="72">
        <v>0.0</v>
      </c>
      <c r="L115" s="72">
        <v>15.0</v>
      </c>
      <c r="M115" s="72">
        <v>0.0</v>
      </c>
      <c r="N115" s="72">
        <v>0.0</v>
      </c>
      <c r="O115" s="72">
        <v>0.0</v>
      </c>
      <c r="P115" s="72">
        <v>229.55</v>
      </c>
    </row>
    <row r="116" ht="15.75" customHeight="1">
      <c r="A116" s="72">
        <v>5.0</v>
      </c>
      <c r="B116" s="72">
        <v>10.0</v>
      </c>
      <c r="C116" s="72">
        <v>2.0</v>
      </c>
      <c r="D116" s="72">
        <v>0.0</v>
      </c>
      <c r="E116" s="72">
        <v>0.0</v>
      </c>
      <c r="F116" s="72">
        <v>0.0</v>
      </c>
      <c r="G116" s="72">
        <v>1.0</v>
      </c>
      <c r="H116" s="149">
        <v>0.0</v>
      </c>
      <c r="I116" s="149">
        <v>0.0</v>
      </c>
      <c r="J116" s="72">
        <v>0.0</v>
      </c>
      <c r="K116" s="72">
        <v>0.0</v>
      </c>
      <c r="L116" s="72">
        <v>15.0</v>
      </c>
      <c r="M116" s="72">
        <v>0.0</v>
      </c>
      <c r="N116" s="72">
        <v>0.0</v>
      </c>
      <c r="O116" s="72">
        <v>0.0</v>
      </c>
      <c r="P116" s="72">
        <v>112.55</v>
      </c>
    </row>
    <row r="117" ht="15.75" customHeight="1">
      <c r="A117" s="72">
        <v>6.0</v>
      </c>
      <c r="B117" s="72">
        <v>10.0</v>
      </c>
      <c r="C117" s="72">
        <v>3.0</v>
      </c>
      <c r="D117" s="72">
        <v>0.0</v>
      </c>
      <c r="E117" s="72">
        <v>0.0</v>
      </c>
      <c r="F117" s="72">
        <v>0.0</v>
      </c>
      <c r="G117" s="72">
        <v>0.0</v>
      </c>
      <c r="H117" s="149">
        <v>0.0</v>
      </c>
      <c r="I117" s="149">
        <v>0.0</v>
      </c>
      <c r="J117" s="72">
        <v>1.0</v>
      </c>
      <c r="K117" s="135">
        <v>1.0</v>
      </c>
      <c r="L117" s="72">
        <v>20.0</v>
      </c>
      <c r="M117" s="72">
        <v>0.0</v>
      </c>
      <c r="N117" s="72">
        <v>0.0</v>
      </c>
      <c r="O117" s="72">
        <v>0.0</v>
      </c>
      <c r="P117" s="72">
        <v>150.4</v>
      </c>
    </row>
    <row r="118" ht="15.75" customHeight="1">
      <c r="A118" s="72">
        <v>7.0</v>
      </c>
      <c r="B118" s="72">
        <v>10.0</v>
      </c>
      <c r="C118" s="72">
        <v>3.0</v>
      </c>
      <c r="D118" s="72">
        <v>10.0</v>
      </c>
      <c r="E118" s="72">
        <v>0.0</v>
      </c>
      <c r="F118" s="72">
        <v>0.0</v>
      </c>
      <c r="G118" s="72">
        <v>0.0</v>
      </c>
      <c r="H118" s="149">
        <v>0.0</v>
      </c>
      <c r="I118" s="149">
        <v>0.0</v>
      </c>
      <c r="J118" s="72">
        <v>0.0</v>
      </c>
      <c r="K118" s="72">
        <v>0.0</v>
      </c>
      <c r="L118" s="72">
        <v>20.0</v>
      </c>
      <c r="M118" s="72">
        <v>0.0</v>
      </c>
      <c r="N118" s="72">
        <v>0.0</v>
      </c>
      <c r="O118" s="72">
        <v>0.0</v>
      </c>
      <c r="P118" s="72">
        <v>83.4</v>
      </c>
    </row>
    <row r="119" ht="15.75" customHeight="1">
      <c r="A119" s="72">
        <v>8.0</v>
      </c>
      <c r="B119" s="72">
        <v>10.0</v>
      </c>
      <c r="C119" s="72">
        <v>3.0</v>
      </c>
      <c r="D119" s="72">
        <v>0.0</v>
      </c>
      <c r="E119" s="72">
        <v>0.0</v>
      </c>
      <c r="F119" s="72">
        <v>0.0</v>
      </c>
      <c r="G119" s="72">
        <v>0.0</v>
      </c>
      <c r="H119" s="149">
        <v>1.0</v>
      </c>
      <c r="I119" s="149">
        <v>0.0</v>
      </c>
      <c r="J119" s="72">
        <v>0.0</v>
      </c>
      <c r="K119" s="72">
        <v>0.0</v>
      </c>
      <c r="L119" s="72">
        <v>30.0</v>
      </c>
      <c r="M119" s="72">
        <v>0.0</v>
      </c>
      <c r="N119" s="72">
        <v>0.0</v>
      </c>
      <c r="O119" s="72">
        <v>0.0</v>
      </c>
      <c r="P119" s="72">
        <v>192.1</v>
      </c>
    </row>
    <row r="120" ht="15.75" customHeight="1">
      <c r="A120" s="72">
        <v>9.0</v>
      </c>
      <c r="B120" s="72">
        <v>10.0</v>
      </c>
      <c r="C120" s="72">
        <v>3.0</v>
      </c>
      <c r="D120" s="72">
        <v>10.0</v>
      </c>
      <c r="E120" s="72">
        <v>0.0</v>
      </c>
      <c r="F120" s="72">
        <v>0.0</v>
      </c>
      <c r="G120" s="72">
        <v>0.0</v>
      </c>
      <c r="H120" s="149">
        <v>0.0</v>
      </c>
      <c r="I120" s="149">
        <v>0.0</v>
      </c>
      <c r="J120" s="72">
        <v>0.0</v>
      </c>
      <c r="K120" s="72">
        <v>0.0</v>
      </c>
      <c r="L120" s="72">
        <v>60.0</v>
      </c>
      <c r="M120" s="72">
        <v>0.0</v>
      </c>
      <c r="N120" s="72">
        <v>0.0</v>
      </c>
      <c r="O120" s="72">
        <v>0.0</v>
      </c>
      <c r="P120" s="72">
        <v>250.2</v>
      </c>
    </row>
    <row r="121" ht="15.75" customHeight="1">
      <c r="A121" s="72">
        <v>10.0</v>
      </c>
      <c r="B121" s="72">
        <v>10.0</v>
      </c>
      <c r="C121" s="72">
        <v>4.0</v>
      </c>
      <c r="D121" s="72">
        <v>20.0</v>
      </c>
      <c r="E121" s="72">
        <v>0.0</v>
      </c>
      <c r="F121" s="72">
        <v>0.0</v>
      </c>
      <c r="G121" s="72">
        <v>0.0</v>
      </c>
      <c r="H121" s="152">
        <v>1.0</v>
      </c>
      <c r="I121" s="152">
        <v>0.0</v>
      </c>
      <c r="J121" s="72">
        <v>0.0</v>
      </c>
      <c r="K121" s="72">
        <v>0.0</v>
      </c>
      <c r="L121" s="72">
        <v>60.0</v>
      </c>
      <c r="M121" s="72">
        <v>0.0</v>
      </c>
      <c r="N121" s="72">
        <v>0.0</v>
      </c>
      <c r="O121" s="72">
        <v>0.0</v>
      </c>
      <c r="P121" s="72">
        <v>250.2</v>
      </c>
    </row>
    <row r="122" ht="15.75" customHeight="1">
      <c r="A122" s="135" t="s">
        <v>195</v>
      </c>
      <c r="B122" s="72">
        <v>100.0</v>
      </c>
      <c r="D122" s="72">
        <f t="shared" ref="D122:O122" si="15">sum(D112:D121)</f>
        <v>60</v>
      </c>
      <c r="E122" s="72">
        <f t="shared" si="15"/>
        <v>0</v>
      </c>
      <c r="F122" s="72">
        <f t="shared" si="15"/>
        <v>1</v>
      </c>
      <c r="G122" s="72">
        <f t="shared" si="15"/>
        <v>1</v>
      </c>
      <c r="H122" s="72">
        <f t="shared" si="15"/>
        <v>2</v>
      </c>
      <c r="I122" s="72">
        <f t="shared" si="15"/>
        <v>1</v>
      </c>
      <c r="J122" s="72">
        <f t="shared" si="15"/>
        <v>1</v>
      </c>
      <c r="K122" s="72">
        <f t="shared" si="15"/>
        <v>1</v>
      </c>
      <c r="L122" s="72">
        <f t="shared" si="15"/>
        <v>265</v>
      </c>
      <c r="M122" s="72">
        <f t="shared" si="15"/>
        <v>0</v>
      </c>
      <c r="N122" s="72">
        <f t="shared" si="15"/>
        <v>0</v>
      </c>
      <c r="O122" s="72">
        <f t="shared" si="15"/>
        <v>0</v>
      </c>
      <c r="P122" s="72">
        <v>1489.05</v>
      </c>
    </row>
    <row r="123" ht="15.75" customHeight="1">
      <c r="A123" s="137" t="s">
        <v>201</v>
      </c>
      <c r="B123" s="138"/>
      <c r="C123" s="138"/>
      <c r="D123" s="138">
        <f t="shared" ref="D123:O123" si="16">D122/$B122</f>
        <v>0.6</v>
      </c>
      <c r="E123" s="138">
        <f t="shared" si="16"/>
        <v>0</v>
      </c>
      <c r="F123" s="138">
        <f t="shared" si="16"/>
        <v>0.01</v>
      </c>
      <c r="G123" s="138">
        <f t="shared" si="16"/>
        <v>0.01</v>
      </c>
      <c r="H123" s="138">
        <f t="shared" si="16"/>
        <v>0.02</v>
      </c>
      <c r="I123" s="138">
        <f t="shared" si="16"/>
        <v>0.01</v>
      </c>
      <c r="J123" s="138">
        <f t="shared" si="16"/>
        <v>0.01</v>
      </c>
      <c r="K123" s="138">
        <f t="shared" si="16"/>
        <v>0.01</v>
      </c>
      <c r="L123" s="138">
        <f t="shared" si="16"/>
        <v>2.65</v>
      </c>
      <c r="M123" s="138">
        <f t="shared" si="16"/>
        <v>0</v>
      </c>
      <c r="N123" s="138">
        <f t="shared" si="16"/>
        <v>0</v>
      </c>
      <c r="O123" s="138">
        <f t="shared" si="16"/>
        <v>0</v>
      </c>
      <c r="P123" s="138">
        <v>14.8905</v>
      </c>
    </row>
    <row r="124" ht="15.75" customHeight="1">
      <c r="H124" s="81"/>
      <c r="I124" s="81"/>
    </row>
    <row r="125" ht="15.75" customHeight="1">
      <c r="A125" s="141" t="s">
        <v>211</v>
      </c>
      <c r="B125" s="124"/>
      <c r="C125" s="124"/>
      <c r="D125" s="124"/>
      <c r="E125" s="124"/>
      <c r="F125" s="124"/>
      <c r="G125" s="124"/>
      <c r="H125" s="147"/>
      <c r="I125" s="147"/>
      <c r="J125" s="124"/>
      <c r="K125" s="124"/>
      <c r="L125" s="124"/>
      <c r="M125" s="124"/>
      <c r="N125" s="124"/>
      <c r="O125" s="124"/>
      <c r="P125" s="124"/>
    </row>
    <row r="126" ht="15.75" customHeight="1">
      <c r="A126" s="128" t="s">
        <v>163</v>
      </c>
      <c r="B126" s="128" t="s">
        <v>164</v>
      </c>
      <c r="C126" s="128" t="s">
        <v>165</v>
      </c>
      <c r="D126" s="128" t="s">
        <v>166</v>
      </c>
      <c r="E126" s="128" t="s">
        <v>115</v>
      </c>
      <c r="F126" s="128" t="s">
        <v>79</v>
      </c>
      <c r="G126" s="128" t="s">
        <v>85</v>
      </c>
      <c r="H126" s="148" t="s">
        <v>91</v>
      </c>
      <c r="I126" s="148" t="s">
        <v>97</v>
      </c>
      <c r="J126" s="128" t="s">
        <v>103</v>
      </c>
      <c r="K126" s="128" t="s">
        <v>167</v>
      </c>
      <c r="L126" s="128" t="s">
        <v>168</v>
      </c>
      <c r="M126" s="128" t="s">
        <v>169</v>
      </c>
      <c r="N126" s="128" t="s">
        <v>170</v>
      </c>
      <c r="O126" s="128" t="s">
        <v>171</v>
      </c>
      <c r="P126" s="128" t="s">
        <v>172</v>
      </c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</row>
    <row r="127" ht="15.75" customHeight="1">
      <c r="A127" s="72">
        <v>1.0</v>
      </c>
      <c r="B127" s="72">
        <v>10.0</v>
      </c>
      <c r="C127" s="72">
        <v>1.0</v>
      </c>
      <c r="D127" s="72">
        <v>10.0</v>
      </c>
      <c r="E127" s="72">
        <v>0.0</v>
      </c>
      <c r="F127" s="72">
        <v>0.0</v>
      </c>
      <c r="G127" s="72">
        <v>0.0</v>
      </c>
      <c r="H127" s="149">
        <v>0.0</v>
      </c>
      <c r="I127" s="149">
        <v>0.0</v>
      </c>
      <c r="J127" s="72">
        <v>0.0</v>
      </c>
      <c r="K127" s="72">
        <v>0.0</v>
      </c>
      <c r="L127" s="72">
        <v>15.0</v>
      </c>
      <c r="M127" s="72">
        <v>0.0</v>
      </c>
      <c r="N127" s="72">
        <v>0.0</v>
      </c>
      <c r="O127" s="72">
        <v>0.0</v>
      </c>
      <c r="P127" s="72">
        <v>62.55</v>
      </c>
    </row>
    <row r="128" ht="15.75" customHeight="1">
      <c r="A128" s="72">
        <v>2.0</v>
      </c>
      <c r="B128" s="72">
        <v>10.0</v>
      </c>
      <c r="C128" s="72">
        <v>1.0</v>
      </c>
      <c r="D128" s="72">
        <v>0.0</v>
      </c>
      <c r="E128" s="72">
        <v>0.0</v>
      </c>
      <c r="F128" s="72">
        <v>1.0</v>
      </c>
      <c r="G128" s="72">
        <v>0.0</v>
      </c>
      <c r="H128" s="149">
        <v>0.0</v>
      </c>
      <c r="I128" s="149">
        <v>0.0</v>
      </c>
      <c r="J128" s="72">
        <v>0.0</v>
      </c>
      <c r="K128" s="72">
        <v>0.0</v>
      </c>
      <c r="L128" s="72">
        <v>15.0</v>
      </c>
      <c r="M128" s="72">
        <v>0.0</v>
      </c>
      <c r="N128" s="72">
        <v>0.0</v>
      </c>
      <c r="O128" s="72">
        <v>0.0</v>
      </c>
      <c r="P128" s="72">
        <v>95.55</v>
      </c>
    </row>
    <row r="129" ht="15.75" customHeight="1">
      <c r="A129" s="72">
        <v>3.0</v>
      </c>
      <c r="B129" s="72">
        <v>10.0</v>
      </c>
      <c r="C129" s="72">
        <v>2.0</v>
      </c>
      <c r="D129" s="72">
        <v>10.0</v>
      </c>
      <c r="E129" s="72">
        <v>0.0</v>
      </c>
      <c r="F129" s="72">
        <v>0.0</v>
      </c>
      <c r="G129" s="72">
        <v>0.0</v>
      </c>
      <c r="H129" s="149">
        <v>0.0</v>
      </c>
      <c r="I129" s="149">
        <v>0.0</v>
      </c>
      <c r="J129" s="72">
        <v>0.0</v>
      </c>
      <c r="K129" s="72">
        <v>0.0</v>
      </c>
      <c r="L129" s="72">
        <v>15.0</v>
      </c>
      <c r="M129" s="72">
        <v>0.0</v>
      </c>
      <c r="N129" s="72">
        <v>0.0</v>
      </c>
      <c r="O129" s="72">
        <v>0.0</v>
      </c>
      <c r="P129" s="72">
        <v>62.55</v>
      </c>
    </row>
    <row r="130" ht="15.75" customHeight="1">
      <c r="A130" s="72">
        <v>4.0</v>
      </c>
      <c r="B130" s="72">
        <v>10.0</v>
      </c>
      <c r="C130" s="72">
        <v>2.0</v>
      </c>
      <c r="D130" s="72">
        <v>0.0</v>
      </c>
      <c r="E130" s="72">
        <v>0.0</v>
      </c>
      <c r="F130" s="72">
        <v>0.0</v>
      </c>
      <c r="G130" s="72">
        <v>0.0</v>
      </c>
      <c r="H130" s="152">
        <v>0.0</v>
      </c>
      <c r="I130" s="152">
        <v>1.0</v>
      </c>
      <c r="J130" s="72">
        <v>0.0</v>
      </c>
      <c r="K130" s="72">
        <v>0.0</v>
      </c>
      <c r="L130" s="72">
        <v>15.0</v>
      </c>
      <c r="M130" s="72">
        <v>0.0</v>
      </c>
      <c r="N130" s="72">
        <v>0.0</v>
      </c>
      <c r="O130" s="72">
        <v>0.0</v>
      </c>
      <c r="P130" s="72">
        <v>229.55</v>
      </c>
    </row>
    <row r="131" ht="15.75" customHeight="1">
      <c r="A131" s="72">
        <v>5.0</v>
      </c>
      <c r="B131" s="72">
        <v>10.0</v>
      </c>
      <c r="C131" s="72">
        <v>2.0</v>
      </c>
      <c r="D131" s="72">
        <v>0.0</v>
      </c>
      <c r="E131" s="72">
        <v>0.0</v>
      </c>
      <c r="F131" s="72">
        <v>0.0</v>
      </c>
      <c r="G131" s="72">
        <v>1.0</v>
      </c>
      <c r="H131" s="149">
        <v>0.0</v>
      </c>
      <c r="I131" s="149">
        <v>0.0</v>
      </c>
      <c r="J131" s="72">
        <v>0.0</v>
      </c>
      <c r="K131" s="72">
        <v>0.0</v>
      </c>
      <c r="L131" s="72">
        <v>15.0</v>
      </c>
      <c r="M131" s="72">
        <v>0.0</v>
      </c>
      <c r="N131" s="72">
        <v>0.0</v>
      </c>
      <c r="O131" s="72">
        <v>0.0</v>
      </c>
      <c r="P131" s="72">
        <v>112.55</v>
      </c>
    </row>
    <row r="132" ht="15.75" customHeight="1">
      <c r="A132" s="72">
        <v>6.0</v>
      </c>
      <c r="B132" s="72">
        <v>10.0</v>
      </c>
      <c r="C132" s="72">
        <v>3.0</v>
      </c>
      <c r="D132" s="72">
        <v>0.0</v>
      </c>
      <c r="E132" s="72">
        <v>0.0</v>
      </c>
      <c r="F132" s="72">
        <v>0.0</v>
      </c>
      <c r="G132" s="72">
        <v>0.0</v>
      </c>
      <c r="H132" s="149">
        <v>0.0</v>
      </c>
      <c r="I132" s="149">
        <v>0.0</v>
      </c>
      <c r="J132" s="72">
        <v>1.0</v>
      </c>
      <c r="K132" s="135">
        <v>1.0</v>
      </c>
      <c r="L132" s="72">
        <v>20.0</v>
      </c>
      <c r="M132" s="72">
        <v>0.0</v>
      </c>
      <c r="N132" s="72">
        <v>0.0</v>
      </c>
      <c r="O132" s="72">
        <v>0.0</v>
      </c>
      <c r="P132" s="72">
        <v>150.4</v>
      </c>
    </row>
    <row r="133" ht="15.75" customHeight="1">
      <c r="A133" s="72">
        <v>7.0</v>
      </c>
      <c r="B133" s="72">
        <v>10.0</v>
      </c>
      <c r="C133" s="72">
        <v>3.0</v>
      </c>
      <c r="D133" s="72">
        <v>10.0</v>
      </c>
      <c r="E133" s="72">
        <v>0.0</v>
      </c>
      <c r="F133" s="72">
        <v>0.0</v>
      </c>
      <c r="G133" s="72">
        <v>0.0</v>
      </c>
      <c r="H133" s="149">
        <v>0.0</v>
      </c>
      <c r="I133" s="149">
        <v>0.0</v>
      </c>
      <c r="J133" s="72">
        <v>0.0</v>
      </c>
      <c r="K133" s="72">
        <v>0.0</v>
      </c>
      <c r="L133" s="72">
        <v>20.0</v>
      </c>
      <c r="M133" s="72">
        <v>0.0</v>
      </c>
      <c r="N133" s="72">
        <v>0.0</v>
      </c>
      <c r="O133" s="72">
        <v>0.0</v>
      </c>
      <c r="P133" s="72">
        <v>83.4</v>
      </c>
    </row>
    <row r="134" ht="15.75" customHeight="1">
      <c r="A134" s="72">
        <v>8.0</v>
      </c>
      <c r="B134" s="72">
        <v>10.0</v>
      </c>
      <c r="C134" s="72">
        <v>3.0</v>
      </c>
      <c r="D134" s="72">
        <v>0.0</v>
      </c>
      <c r="E134" s="72">
        <v>0.0</v>
      </c>
      <c r="F134" s="72">
        <v>0.0</v>
      </c>
      <c r="G134" s="72">
        <v>0.0</v>
      </c>
      <c r="H134" s="149">
        <v>1.0</v>
      </c>
      <c r="I134" s="149">
        <v>0.0</v>
      </c>
      <c r="J134" s="72">
        <v>0.0</v>
      </c>
      <c r="K134" s="72">
        <v>0.0</v>
      </c>
      <c r="L134" s="72">
        <v>30.0</v>
      </c>
      <c r="M134" s="72">
        <v>0.0</v>
      </c>
      <c r="N134" s="72">
        <v>0.0</v>
      </c>
      <c r="O134" s="72">
        <v>0.0</v>
      </c>
      <c r="P134" s="72">
        <v>192.1</v>
      </c>
    </row>
    <row r="135" ht="15.75" customHeight="1">
      <c r="A135" s="72">
        <v>9.0</v>
      </c>
      <c r="B135" s="72">
        <v>10.0</v>
      </c>
      <c r="C135" s="72">
        <v>3.0</v>
      </c>
      <c r="D135" s="72">
        <v>10.0</v>
      </c>
      <c r="E135" s="72">
        <v>0.0</v>
      </c>
      <c r="F135" s="72">
        <v>0.0</v>
      </c>
      <c r="G135" s="72">
        <v>0.0</v>
      </c>
      <c r="H135" s="149">
        <v>0.0</v>
      </c>
      <c r="I135" s="149">
        <v>0.0</v>
      </c>
      <c r="J135" s="72">
        <v>0.0</v>
      </c>
      <c r="K135" s="72">
        <v>0.0</v>
      </c>
      <c r="L135" s="72">
        <v>60.0</v>
      </c>
      <c r="M135" s="72">
        <v>0.0</v>
      </c>
      <c r="N135" s="72">
        <v>0.0</v>
      </c>
      <c r="O135" s="72">
        <v>0.0</v>
      </c>
      <c r="P135" s="72">
        <v>250.2</v>
      </c>
    </row>
    <row r="136" ht="15.75" customHeight="1">
      <c r="A136" s="72">
        <v>10.0</v>
      </c>
      <c r="B136" s="72">
        <v>10.0</v>
      </c>
      <c r="C136" s="72">
        <v>4.0</v>
      </c>
      <c r="D136" s="72">
        <v>20.0</v>
      </c>
      <c r="E136" s="72">
        <v>0.0</v>
      </c>
      <c r="F136" s="72">
        <v>0.0</v>
      </c>
      <c r="G136" s="72">
        <v>0.0</v>
      </c>
      <c r="H136" s="152">
        <v>1.0</v>
      </c>
      <c r="I136" s="152">
        <v>0.0</v>
      </c>
      <c r="J136" s="72">
        <v>0.0</v>
      </c>
      <c r="K136" s="72">
        <v>0.0</v>
      </c>
      <c r="L136" s="72">
        <v>60.0</v>
      </c>
      <c r="M136" s="72">
        <v>0.0</v>
      </c>
      <c r="N136" s="72">
        <v>0.0</v>
      </c>
      <c r="O136" s="72">
        <v>0.0</v>
      </c>
      <c r="P136" s="72">
        <v>250.2</v>
      </c>
    </row>
    <row r="137" ht="15.75" customHeight="1">
      <c r="A137" s="135" t="s">
        <v>195</v>
      </c>
      <c r="B137" s="72">
        <v>100.0</v>
      </c>
      <c r="D137" s="72">
        <f t="shared" ref="D137:O137" si="17">sum(D127:D136)</f>
        <v>60</v>
      </c>
      <c r="E137" s="72">
        <f t="shared" si="17"/>
        <v>0</v>
      </c>
      <c r="F137" s="72">
        <f t="shared" si="17"/>
        <v>1</v>
      </c>
      <c r="G137" s="72">
        <f t="shared" si="17"/>
        <v>1</v>
      </c>
      <c r="H137" s="72">
        <f t="shared" si="17"/>
        <v>2</v>
      </c>
      <c r="I137" s="72">
        <f t="shared" si="17"/>
        <v>1</v>
      </c>
      <c r="J137" s="72">
        <f t="shared" si="17"/>
        <v>1</v>
      </c>
      <c r="K137" s="72">
        <f t="shared" si="17"/>
        <v>1</v>
      </c>
      <c r="L137" s="72">
        <f t="shared" si="17"/>
        <v>265</v>
      </c>
      <c r="M137" s="72">
        <f t="shared" si="17"/>
        <v>0</v>
      </c>
      <c r="N137" s="72">
        <f t="shared" si="17"/>
        <v>0</v>
      </c>
      <c r="O137" s="72">
        <f t="shared" si="17"/>
        <v>0</v>
      </c>
      <c r="P137" s="72">
        <v>1489.05</v>
      </c>
    </row>
    <row r="138" ht="15.75" customHeight="1">
      <c r="A138" s="137" t="s">
        <v>201</v>
      </c>
      <c r="B138" s="138"/>
      <c r="C138" s="138"/>
      <c r="D138" s="138">
        <f t="shared" ref="D138:O138" si="18">D137/$B137</f>
        <v>0.6</v>
      </c>
      <c r="E138" s="138">
        <f t="shared" si="18"/>
        <v>0</v>
      </c>
      <c r="F138" s="138">
        <f t="shared" si="18"/>
        <v>0.01</v>
      </c>
      <c r="G138" s="138">
        <f t="shared" si="18"/>
        <v>0.01</v>
      </c>
      <c r="H138" s="138">
        <f t="shared" si="18"/>
        <v>0.02</v>
      </c>
      <c r="I138" s="138">
        <f t="shared" si="18"/>
        <v>0.01</v>
      </c>
      <c r="J138" s="138">
        <f t="shared" si="18"/>
        <v>0.01</v>
      </c>
      <c r="K138" s="138">
        <f t="shared" si="18"/>
        <v>0.01</v>
      </c>
      <c r="L138" s="138">
        <f t="shared" si="18"/>
        <v>2.65</v>
      </c>
      <c r="M138" s="138">
        <f t="shared" si="18"/>
        <v>0</v>
      </c>
      <c r="N138" s="138">
        <f t="shared" si="18"/>
        <v>0</v>
      </c>
      <c r="O138" s="138">
        <f t="shared" si="18"/>
        <v>0</v>
      </c>
      <c r="P138" s="138">
        <v>14.8905</v>
      </c>
    </row>
    <row r="139" ht="15.75" customHeight="1">
      <c r="H139" s="81"/>
      <c r="I139" s="81"/>
    </row>
    <row r="140" ht="15.75" customHeight="1">
      <c r="A140" s="141" t="s">
        <v>215</v>
      </c>
      <c r="B140" s="124"/>
      <c r="C140" s="124"/>
      <c r="D140" s="124"/>
      <c r="E140" s="124"/>
      <c r="F140" s="124"/>
      <c r="G140" s="124"/>
      <c r="H140" s="147"/>
      <c r="I140" s="147"/>
      <c r="J140" s="124"/>
      <c r="K140" s="124"/>
      <c r="L140" s="124"/>
      <c r="M140" s="124"/>
      <c r="N140" s="124"/>
      <c r="O140" s="124"/>
      <c r="P140" s="124"/>
    </row>
    <row r="141" ht="15.75" customHeight="1">
      <c r="A141" s="128" t="s">
        <v>163</v>
      </c>
      <c r="B141" s="128" t="s">
        <v>164</v>
      </c>
      <c r="C141" s="128" t="s">
        <v>165</v>
      </c>
      <c r="D141" s="128" t="s">
        <v>166</v>
      </c>
      <c r="E141" s="128" t="s">
        <v>115</v>
      </c>
      <c r="F141" s="128" t="s">
        <v>79</v>
      </c>
      <c r="G141" s="128" t="s">
        <v>85</v>
      </c>
      <c r="H141" s="148" t="s">
        <v>91</v>
      </c>
      <c r="I141" s="148" t="s">
        <v>97</v>
      </c>
      <c r="J141" s="128" t="s">
        <v>103</v>
      </c>
      <c r="K141" s="128" t="s">
        <v>167</v>
      </c>
      <c r="L141" s="128" t="s">
        <v>168</v>
      </c>
      <c r="M141" s="128" t="s">
        <v>169</v>
      </c>
      <c r="N141" s="128" t="s">
        <v>170</v>
      </c>
      <c r="O141" s="128" t="s">
        <v>171</v>
      </c>
      <c r="P141" s="128" t="s">
        <v>172</v>
      </c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29"/>
      <c r="AH141" s="129"/>
      <c r="AI141" s="129"/>
      <c r="AJ141" s="129"/>
      <c r="AK141" s="129"/>
      <c r="AL141" s="129"/>
      <c r="AM141" s="129"/>
      <c r="AN141" s="129"/>
      <c r="AO141" s="129"/>
      <c r="AP141" s="129"/>
      <c r="AQ141" s="129"/>
      <c r="AR141" s="129"/>
      <c r="AS141" s="129"/>
      <c r="AT141" s="129"/>
      <c r="AU141" s="129"/>
      <c r="AV141" s="129"/>
      <c r="AW141" s="129"/>
      <c r="AX141" s="129"/>
      <c r="AY141" s="129"/>
      <c r="AZ141" s="129"/>
      <c r="BA141" s="129"/>
      <c r="BB141" s="129"/>
      <c r="BC141" s="129"/>
    </row>
    <row r="142" ht="15.75" customHeight="1">
      <c r="A142" s="72">
        <v>1.0</v>
      </c>
      <c r="B142" s="72">
        <v>10.0</v>
      </c>
      <c r="C142" s="72">
        <v>1.0</v>
      </c>
      <c r="D142" s="72">
        <v>10.0</v>
      </c>
      <c r="E142" s="72">
        <v>0.0</v>
      </c>
      <c r="F142" s="72">
        <v>0.0</v>
      </c>
      <c r="G142" s="72">
        <v>0.0</v>
      </c>
      <c r="H142" s="149">
        <v>0.0</v>
      </c>
      <c r="I142" s="149">
        <v>0.0</v>
      </c>
      <c r="J142" s="72">
        <v>0.0</v>
      </c>
      <c r="K142" s="72">
        <v>0.0</v>
      </c>
      <c r="L142" s="72">
        <v>15.0</v>
      </c>
      <c r="M142" s="72">
        <v>0.0</v>
      </c>
      <c r="N142" s="72">
        <v>0.0</v>
      </c>
      <c r="O142" s="72">
        <v>0.0</v>
      </c>
      <c r="P142" s="72">
        <v>62.55</v>
      </c>
    </row>
    <row r="143" ht="15.75" customHeight="1">
      <c r="A143" s="72">
        <v>2.0</v>
      </c>
      <c r="B143" s="72">
        <v>10.0</v>
      </c>
      <c r="C143" s="72">
        <v>1.0</v>
      </c>
      <c r="D143" s="72">
        <v>0.0</v>
      </c>
      <c r="E143" s="72">
        <v>0.0</v>
      </c>
      <c r="F143" s="72">
        <v>1.0</v>
      </c>
      <c r="G143" s="72">
        <v>0.0</v>
      </c>
      <c r="H143" s="149">
        <v>0.0</v>
      </c>
      <c r="I143" s="149">
        <v>0.0</v>
      </c>
      <c r="J143" s="72">
        <v>0.0</v>
      </c>
      <c r="K143" s="72">
        <v>0.0</v>
      </c>
      <c r="L143" s="72">
        <v>15.0</v>
      </c>
      <c r="M143" s="72">
        <v>0.0</v>
      </c>
      <c r="N143" s="72">
        <v>0.0</v>
      </c>
      <c r="O143" s="72">
        <v>0.0</v>
      </c>
      <c r="P143" s="72">
        <v>95.55</v>
      </c>
    </row>
    <row r="144" ht="15.75" customHeight="1">
      <c r="A144" s="72">
        <v>3.0</v>
      </c>
      <c r="B144" s="72">
        <v>10.0</v>
      </c>
      <c r="C144" s="72">
        <v>2.0</v>
      </c>
      <c r="D144" s="72">
        <v>10.0</v>
      </c>
      <c r="E144" s="72">
        <v>0.0</v>
      </c>
      <c r="F144" s="72">
        <v>0.0</v>
      </c>
      <c r="G144" s="72">
        <v>0.0</v>
      </c>
      <c r="H144" s="149">
        <v>0.0</v>
      </c>
      <c r="I144" s="149">
        <v>0.0</v>
      </c>
      <c r="J144" s="72">
        <v>0.0</v>
      </c>
      <c r="K144" s="72">
        <v>0.0</v>
      </c>
      <c r="L144" s="72">
        <v>15.0</v>
      </c>
      <c r="M144" s="72">
        <v>0.0</v>
      </c>
      <c r="N144" s="72">
        <v>0.0</v>
      </c>
      <c r="O144" s="72">
        <v>0.0</v>
      </c>
      <c r="P144" s="72">
        <v>62.55</v>
      </c>
    </row>
    <row r="145" ht="15.75" customHeight="1">
      <c r="A145" s="72">
        <v>4.0</v>
      </c>
      <c r="B145" s="72">
        <v>10.0</v>
      </c>
      <c r="C145" s="72">
        <v>2.0</v>
      </c>
      <c r="D145" s="72">
        <v>0.0</v>
      </c>
      <c r="E145" s="72">
        <v>0.0</v>
      </c>
      <c r="F145" s="72">
        <v>0.0</v>
      </c>
      <c r="G145" s="72">
        <v>0.0</v>
      </c>
      <c r="H145" s="152">
        <v>0.0</v>
      </c>
      <c r="I145" s="152">
        <v>1.0</v>
      </c>
      <c r="J145" s="72">
        <v>0.0</v>
      </c>
      <c r="K145" s="72">
        <v>0.0</v>
      </c>
      <c r="L145" s="72">
        <v>15.0</v>
      </c>
      <c r="M145" s="72">
        <v>0.0</v>
      </c>
      <c r="N145" s="72">
        <v>0.0</v>
      </c>
      <c r="O145" s="72">
        <v>0.0</v>
      </c>
      <c r="P145" s="72">
        <v>229.55</v>
      </c>
    </row>
    <row r="146" ht="15.75" customHeight="1">
      <c r="A146" s="72">
        <v>5.0</v>
      </c>
      <c r="B146" s="72">
        <v>10.0</v>
      </c>
      <c r="C146" s="72">
        <v>2.0</v>
      </c>
      <c r="D146" s="72">
        <v>0.0</v>
      </c>
      <c r="E146" s="72">
        <v>0.0</v>
      </c>
      <c r="F146" s="72">
        <v>0.0</v>
      </c>
      <c r="G146" s="72">
        <v>1.0</v>
      </c>
      <c r="H146" s="149">
        <v>0.0</v>
      </c>
      <c r="I146" s="149">
        <v>0.0</v>
      </c>
      <c r="J146" s="72">
        <v>0.0</v>
      </c>
      <c r="K146" s="72">
        <v>0.0</v>
      </c>
      <c r="L146" s="72">
        <v>15.0</v>
      </c>
      <c r="M146" s="72">
        <v>0.0</v>
      </c>
      <c r="N146" s="72">
        <v>0.0</v>
      </c>
      <c r="O146" s="72">
        <v>0.0</v>
      </c>
      <c r="P146" s="72">
        <v>112.55</v>
      </c>
    </row>
    <row r="147" ht="15.75" customHeight="1">
      <c r="A147" s="72">
        <v>6.0</v>
      </c>
      <c r="B147" s="72">
        <v>10.0</v>
      </c>
      <c r="C147" s="72">
        <v>3.0</v>
      </c>
      <c r="D147" s="72">
        <v>0.0</v>
      </c>
      <c r="E147" s="72">
        <v>0.0</v>
      </c>
      <c r="F147" s="72">
        <v>0.0</v>
      </c>
      <c r="G147" s="72">
        <v>0.0</v>
      </c>
      <c r="H147" s="149">
        <v>0.0</v>
      </c>
      <c r="I147" s="149">
        <v>0.0</v>
      </c>
      <c r="J147" s="72">
        <v>1.0</v>
      </c>
      <c r="K147" s="135">
        <v>1.0</v>
      </c>
      <c r="L147" s="72">
        <v>20.0</v>
      </c>
      <c r="M147" s="72">
        <v>0.0</v>
      </c>
      <c r="N147" s="72">
        <v>0.0</v>
      </c>
      <c r="O147" s="72">
        <v>0.0</v>
      </c>
      <c r="P147" s="72">
        <v>150.4</v>
      </c>
    </row>
    <row r="148" ht="15.75" customHeight="1">
      <c r="A148" s="72">
        <v>7.0</v>
      </c>
      <c r="B148" s="72">
        <v>10.0</v>
      </c>
      <c r="C148" s="72">
        <v>3.0</v>
      </c>
      <c r="D148" s="72">
        <v>10.0</v>
      </c>
      <c r="E148" s="72">
        <v>0.0</v>
      </c>
      <c r="F148" s="72">
        <v>0.0</v>
      </c>
      <c r="G148" s="72">
        <v>0.0</v>
      </c>
      <c r="H148" s="149">
        <v>0.0</v>
      </c>
      <c r="I148" s="149">
        <v>0.0</v>
      </c>
      <c r="J148" s="72">
        <v>0.0</v>
      </c>
      <c r="K148" s="72">
        <v>0.0</v>
      </c>
      <c r="L148" s="72">
        <v>20.0</v>
      </c>
      <c r="M148" s="72">
        <v>0.0</v>
      </c>
      <c r="N148" s="72">
        <v>0.0</v>
      </c>
      <c r="O148" s="72">
        <v>0.0</v>
      </c>
      <c r="P148" s="72">
        <v>83.4</v>
      </c>
    </row>
    <row r="149" ht="15.75" customHeight="1">
      <c r="A149" s="72">
        <v>8.0</v>
      </c>
      <c r="B149" s="72">
        <v>10.0</v>
      </c>
      <c r="C149" s="72">
        <v>3.0</v>
      </c>
      <c r="D149" s="72">
        <v>0.0</v>
      </c>
      <c r="E149" s="72">
        <v>0.0</v>
      </c>
      <c r="F149" s="72">
        <v>0.0</v>
      </c>
      <c r="G149" s="72">
        <v>0.0</v>
      </c>
      <c r="H149" s="149">
        <v>1.0</v>
      </c>
      <c r="I149" s="149">
        <v>0.0</v>
      </c>
      <c r="J149" s="72">
        <v>0.0</v>
      </c>
      <c r="K149" s="72">
        <v>0.0</v>
      </c>
      <c r="L149" s="72">
        <v>30.0</v>
      </c>
      <c r="M149" s="72">
        <v>0.0</v>
      </c>
      <c r="N149" s="72">
        <v>0.0</v>
      </c>
      <c r="O149" s="72">
        <v>0.0</v>
      </c>
      <c r="P149" s="72">
        <v>192.1</v>
      </c>
    </row>
    <row r="150" ht="15.75" customHeight="1">
      <c r="A150" s="72">
        <v>9.0</v>
      </c>
      <c r="B150" s="72">
        <v>10.0</v>
      </c>
      <c r="C150" s="72">
        <v>3.0</v>
      </c>
      <c r="D150" s="72">
        <v>10.0</v>
      </c>
      <c r="E150" s="72">
        <v>0.0</v>
      </c>
      <c r="F150" s="72">
        <v>0.0</v>
      </c>
      <c r="G150" s="72">
        <v>0.0</v>
      </c>
      <c r="H150" s="149">
        <v>0.0</v>
      </c>
      <c r="I150" s="149">
        <v>0.0</v>
      </c>
      <c r="J150" s="72">
        <v>0.0</v>
      </c>
      <c r="K150" s="72">
        <v>0.0</v>
      </c>
      <c r="L150" s="72">
        <v>60.0</v>
      </c>
      <c r="M150" s="72">
        <v>0.0</v>
      </c>
      <c r="N150" s="72">
        <v>0.0</v>
      </c>
      <c r="O150" s="72">
        <v>0.0</v>
      </c>
      <c r="P150" s="72">
        <v>250.2</v>
      </c>
    </row>
    <row r="151" ht="15.75" customHeight="1">
      <c r="A151" s="72">
        <v>10.0</v>
      </c>
      <c r="B151" s="72">
        <v>10.0</v>
      </c>
      <c r="C151" s="72">
        <v>4.0</v>
      </c>
      <c r="D151" s="72">
        <v>20.0</v>
      </c>
      <c r="E151" s="72">
        <v>0.0</v>
      </c>
      <c r="F151" s="72">
        <v>0.0</v>
      </c>
      <c r="G151" s="72">
        <v>0.0</v>
      </c>
      <c r="H151" s="152">
        <v>1.0</v>
      </c>
      <c r="I151" s="152">
        <v>0.0</v>
      </c>
      <c r="J151" s="72">
        <v>0.0</v>
      </c>
      <c r="K151" s="72">
        <v>0.0</v>
      </c>
      <c r="L151" s="72">
        <v>60.0</v>
      </c>
      <c r="M151" s="72">
        <v>0.0</v>
      </c>
      <c r="N151" s="72">
        <v>0.0</v>
      </c>
      <c r="O151" s="72">
        <v>0.0</v>
      </c>
      <c r="P151" s="72">
        <v>250.2</v>
      </c>
    </row>
    <row r="152" ht="15.75" customHeight="1">
      <c r="A152" s="135" t="s">
        <v>195</v>
      </c>
      <c r="B152" s="72">
        <v>100.0</v>
      </c>
      <c r="D152" s="72">
        <f t="shared" ref="D152:O152" si="19">sum(D142:D151)</f>
        <v>60</v>
      </c>
      <c r="E152" s="72">
        <f t="shared" si="19"/>
        <v>0</v>
      </c>
      <c r="F152" s="72">
        <f t="shared" si="19"/>
        <v>1</v>
      </c>
      <c r="G152" s="72">
        <f t="shared" si="19"/>
        <v>1</v>
      </c>
      <c r="H152" s="72">
        <f t="shared" si="19"/>
        <v>2</v>
      </c>
      <c r="I152" s="72">
        <f t="shared" si="19"/>
        <v>1</v>
      </c>
      <c r="J152" s="72">
        <f t="shared" si="19"/>
        <v>1</v>
      </c>
      <c r="K152" s="72">
        <f t="shared" si="19"/>
        <v>1</v>
      </c>
      <c r="L152" s="72">
        <f t="shared" si="19"/>
        <v>265</v>
      </c>
      <c r="M152" s="72">
        <f t="shared" si="19"/>
        <v>0</v>
      </c>
      <c r="N152" s="72">
        <f t="shared" si="19"/>
        <v>0</v>
      </c>
      <c r="O152" s="72">
        <f t="shared" si="19"/>
        <v>0</v>
      </c>
      <c r="P152" s="72">
        <v>1489.05</v>
      </c>
    </row>
    <row r="153" ht="15.75" customHeight="1">
      <c r="A153" s="137" t="s">
        <v>201</v>
      </c>
      <c r="B153" s="138"/>
      <c r="C153" s="138"/>
      <c r="D153" s="138">
        <f t="shared" ref="D153:O153" si="20">D152/$B152</f>
        <v>0.6</v>
      </c>
      <c r="E153" s="138">
        <f t="shared" si="20"/>
        <v>0</v>
      </c>
      <c r="F153" s="138">
        <f t="shared" si="20"/>
        <v>0.01</v>
      </c>
      <c r="G153" s="138">
        <f t="shared" si="20"/>
        <v>0.01</v>
      </c>
      <c r="H153" s="138">
        <f t="shared" si="20"/>
        <v>0.02</v>
      </c>
      <c r="I153" s="138">
        <f t="shared" si="20"/>
        <v>0.01</v>
      </c>
      <c r="J153" s="138">
        <f t="shared" si="20"/>
        <v>0.01</v>
      </c>
      <c r="K153" s="138">
        <f t="shared" si="20"/>
        <v>0.01</v>
      </c>
      <c r="L153" s="138">
        <f t="shared" si="20"/>
        <v>2.65</v>
      </c>
      <c r="M153" s="138">
        <f t="shared" si="20"/>
        <v>0</v>
      </c>
      <c r="N153" s="138">
        <f t="shared" si="20"/>
        <v>0</v>
      </c>
      <c r="O153" s="138">
        <f t="shared" si="20"/>
        <v>0</v>
      </c>
      <c r="P153" s="138">
        <v>14.8905</v>
      </c>
    </row>
    <row r="154" ht="15.75" customHeight="1"/>
    <row r="155" ht="15.75" customHeight="1">
      <c r="A155" s="73" t="s">
        <v>238</v>
      </c>
      <c r="B155" s="163" t="s">
        <v>245</v>
      </c>
      <c r="C155" s="163" t="s">
        <v>127</v>
      </c>
      <c r="D155" s="163" t="s">
        <v>139</v>
      </c>
      <c r="E155" s="163" t="s">
        <v>140</v>
      </c>
      <c r="F155" s="163" t="s">
        <v>141</v>
      </c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</row>
    <row r="156" ht="15.75" customHeight="1">
      <c r="A156" s="70" t="s">
        <v>246</v>
      </c>
      <c r="B156" s="144">
        <f>LET(
  gain, Raw_Data_Daily!$Q$2:$Q$9999,
  players, Raw_Data_Daily!$D$2:$D$9999,
  group, Raw_Data_Daily!$B$2:$B$9999,
  segment, Raw_Data_Daily!$C$2:$C$9999,
  IFERROR(SUMPRODUCT(gain, players, --(group="Control"), --(segment="B. 1-9")) / SUMPRODUCT(players, --(group="Control"), --(segment="B. 1-9")), 0)
)</f>
        <v>46.35863488</v>
      </c>
      <c r="C156" s="144">
        <f>LET(
  gain, Raw_Data_Daily!$Q$2:$Q$9999,
  players, Raw_Data_Daily!$D$2:$D$9999,
  group, Raw_Data_Daily!$B$2:$B$9999,
  segment, Raw_Data_Daily!$C$2:$C$9999,
  IFERROR(SUMPRODUCT(gain, players, --(group="Control"), --(segment="C. 10-19")) / SUMPRODUCT(players, --(group="Control"), --(segment="C. 10-19")), 0)
)</f>
        <v>98.26141137</v>
      </c>
      <c r="D156" s="144">
        <f>LET(
  gain, Raw_Data_Daily!$Q$2:$Q$9999,
  players, Raw_Data_Daily!$D$2:$D$9999,
  group, Raw_Data_Daily!$B$2:$B$9999,
  segment, Raw_Data_Daily!$C$2:$C$9999,
  IFERROR(SUMPRODUCT(gain, players, --(group="Control"), --(segment="D. 20-39")) / SUMPRODUCT(players, --(group="Control"), --(segment="D. 20-39")), 0)
)</f>
        <v>168.459865</v>
      </c>
      <c r="E156" s="144">
        <f>LET(
  gain, Raw_Data_Daily!$Q$2:$Q$9999,
  players, Raw_Data_Daily!$D$2:$D$9999,
  group, Raw_Data_Daily!$B$2:$B$9999,
  segment, Raw_Data_Daily!$C$2:$C$9999,
  IFERROR(SUMPRODUCT(gain, players, --(group="Control"), --(segment="E. 40-99")) / SUMPRODUCT(players, --(group="Control"), --(segment="E. 40-99")), 0)
)</f>
        <v>312.7207428</v>
      </c>
      <c r="F156" s="144">
        <f>LET(
  gain, Raw_Data_Daily!$Q$2:$Q$9999,
  players, Raw_Data_Daily!$D$2:$D$9999,
  group, Raw_Data_Daily!$B$2:$B$9999,
  segment, Raw_Data_Daily!$C$2:$C$9999,
  IFERROR(SUMPRODUCT(gain, players, --(group="Control"), --(segment="F. 100+")) / SUMPRODUCT(players, --(group="Control"), --(segment="F. 100+")), 0)
)</f>
        <v>592.9608645</v>
      </c>
    </row>
    <row r="157" ht="15.75" customHeight="1">
      <c r="A157" s="70" t="s">
        <v>247</v>
      </c>
      <c r="B157" s="144">
        <f>LET(
  gain, Raw_Data_Daily!$Q$2:$Q$9999,
  players, Raw_Data_Daily!$D$2:$D$9999,
  group, Raw_Data_Daily!$B$2:$B$9999,
  segment, Raw_Data_Daily!$C$2:$C$9999,
  IFERROR(SUMPRODUCT(gain, players, --(group="Variant"), --(segment="B. 1-9")) / SUMPRODUCT(players, --(group="Variant"), --(segment="B. 1-9")), 0)
)</f>
        <v>44.96964882</v>
      </c>
      <c r="C157" s="144">
        <f>LET(
  gain, Raw_Data_Daily!$Q$2:$Q$9999,
  players, Raw_Data_Daily!$D$2:$D$9999,
  group, Raw_Data_Daily!$B$2:$B$9999,
  segment, Raw_Data_Daily!$C$2:$C$9999,
  IFERROR(SUMPRODUCT(gain, players, --(group="Variant"), --(segment="C. 10-19")) / SUMPRODUCT(players, --(group="Variant"), --(segment="C. 10-19")), 0)
)</f>
        <v>94.93157872</v>
      </c>
      <c r="D157" s="144">
        <f>LET(
  gain, Raw_Data_Daily!$Q$2:$Q$9999,
  players, Raw_Data_Daily!$D$2:$D$9999,
  group, Raw_Data_Daily!$B$2:$B$9999,
  segment, Raw_Data_Daily!$C$2:$C$9999,
  IFERROR(SUMPRODUCT(gain, players, --(group="Variant"), --(segment="D. 20-39")) / SUMPRODUCT(players, --(group="Variant"), --(segment="D. 20-39")), 0)
)</f>
        <v>172.8712806</v>
      </c>
      <c r="E157" s="144">
        <f>LET(
  gain, Raw_Data_Daily!$Q$2:$Q$9999,
  players, Raw_Data_Daily!$D$2:$D$9999,
  group, Raw_Data_Daily!$B$2:$B$9999,
  segment, Raw_Data_Daily!$C$2:$C$9999,
  IFERROR(SUMPRODUCT(gain, players, --(group="Variant"), --(segment="E. 40-99")) / SUMPRODUCT(players, --(group="Variant"), --(segment="E. 40-99")), 0)
)</f>
        <v>339.1089075</v>
      </c>
      <c r="F157" s="144">
        <f>LET(
  gain, Raw_Data_Daily!$Q$2:$Q$9999,
  players, Raw_Data_Daily!$D$2:$D$9999,
  group, Raw_Data_Daily!$B$2:$B$9999,
  segment, Raw_Data_Daily!$C$2:$C$9999,
  IFERROR(SUMPRODUCT(gain, players, --(group="Variant"), --(segment="F. 100+")) / SUMPRODUCT(players, --(group="Variant"), --(segment="F. 100+")), 0)
)</f>
        <v>602.1949106</v>
      </c>
    </row>
    <row r="158" ht="15.75" customHeight="1">
      <c r="A158" s="74" t="s">
        <v>249</v>
      </c>
      <c r="B158" s="144">
        <f>LET(group, Raw_Data_Daily!$B$2:$B$9999, segment, Raw_Data_Daily!$C$2:$C$9999, players, Raw_Data_Daily!$D$2:$D$9999, levels, Raw_Data_Daily!$L$2:$L$9999, avg_levels, IFERROR(SUMPRODUCT(--(group="Variant"), --((segment="A. 0")+(segment="B. 1-9")), players, levels) / SUMPRODUCT(--(group="Variant"), --((segment="A. 0")+(segment="B. 1-9")), players), 0), B157+($D$93-$D$17)*avg_levels)</f>
        <v>44.96964882</v>
      </c>
      <c r="C158" s="144">
        <f>LET(group, Raw_Data_Daily!$B$2:$B$9999, segment, Raw_Data_Daily!$C$2:$C$9999, players, Raw_Data_Daily!$D$2:$D$9999, levels, Raw_Data_Daily!$L$2:$L$9999, avg_levels, IFERROR(SUMPRODUCT(--(group="Variant"), --(segment="C. 10-19"), players, levels) / SUMPRODUCT(--(group="Variant"), --(segment="C. 10-19"), players), 0), C157+($D$108-$D$32)*avg_levels)</f>
        <v>94.93157872</v>
      </c>
      <c r="D158" s="144">
        <f>LET(group, Raw_Data_Daily!$B$2:$B$9999, segment, Raw_Data_Daily!$C$2:$C$9999, players, Raw_Data_Daily!$D$2:$D$9999, levels, Raw_Data_Daily!$L$2:$L$9999, avg_levels, IFERROR(SUMPRODUCT(--(group="Variant"), --(segment="D. 20-39"), players, levels) / SUMPRODUCT(--(group="Variant"), --(segment="D. 20-39"), players), 0), D157+($D$123-$D$47)*avg_levels)</f>
        <v>172.8712806</v>
      </c>
      <c r="E158" s="144">
        <f>LET(group, Raw_Data_Daily!$B$2:$B$9999, segment, Raw_Data_Daily!$C$2:$C$9999, players, Raw_Data_Daily!$D$2:$D$9999, levels, Raw_Data_Daily!$L$2:$L$9999, avg_levels, IFERROR(SUMPRODUCT(--(group="Variant"), --(segment="E. 40-99"), players, levels) / SUMPRODUCT(--(group="Variant"), --(segment="E. 40-99"), players), 0), E157+($D$138-$D$62)*avg_levels)</f>
        <v>339.1089075</v>
      </c>
      <c r="F158" s="144">
        <f>LET(group, Raw_Data_Daily!$B$2:$B$9999, segment, Raw_Data_Daily!$C$2:$C$9999, players, Raw_Data_Daily!$D$2:$D$9999, levels, Raw_Data_Daily!$L$2:$L$9999, avg_levels, IFERROR(SUMPRODUCT(--(group="Variant"), --(segment="F. 100+"), players, levels) / SUMPRODUCT(--(group="Variant"), --(segment="F. 100+"), players), 0), F157+($D$153-$D$77)*avg_levels)</f>
        <v>602.1949106</v>
      </c>
    </row>
    <row r="159" ht="15.75" customHeight="1">
      <c r="A159" s="70" t="s">
        <v>242</v>
      </c>
      <c r="B159" s="146">
        <f t="shared" ref="B159:F159" si="21">IFERROR(B157/B156-1,"")</f>
        <v>-0.02996175504</v>
      </c>
      <c r="C159" s="146">
        <f t="shared" si="21"/>
        <v>-0.03388749054</v>
      </c>
      <c r="D159" s="146">
        <f t="shared" si="21"/>
        <v>0.02618674515</v>
      </c>
      <c r="E159" s="146">
        <f t="shared" si="21"/>
        <v>0.08438252117</v>
      </c>
      <c r="F159" s="146">
        <f t="shared" si="21"/>
        <v>0.01557277492</v>
      </c>
    </row>
    <row r="160" ht="15.75" customHeight="1">
      <c r="A160" s="58" t="s">
        <v>243</v>
      </c>
      <c r="B160" s="170">
        <f t="shared" ref="B160:F160" si="22">IFERROR(B158/B156-1,"")</f>
        <v>-0.02996175504</v>
      </c>
      <c r="C160" s="170">
        <f t="shared" si="22"/>
        <v>-0.03388749054</v>
      </c>
      <c r="D160" s="170">
        <f t="shared" si="22"/>
        <v>0.02618674515</v>
      </c>
      <c r="E160" s="170">
        <f t="shared" si="22"/>
        <v>0.08438252117</v>
      </c>
      <c r="F160" s="170">
        <f t="shared" si="22"/>
        <v>0.01557277492</v>
      </c>
    </row>
    <row r="161" ht="15.75" customHeight="1">
      <c r="B161" s="171"/>
      <c r="C161" s="171"/>
      <c r="D161" s="171"/>
      <c r="E161" s="171"/>
      <c r="F161" s="171"/>
    </row>
    <row r="162" ht="15.75" customHeight="1">
      <c r="A162" s="172" t="s">
        <v>253</v>
      </c>
      <c r="B162" s="171"/>
      <c r="C162" s="171"/>
      <c r="D162" s="171"/>
      <c r="E162" s="171"/>
      <c r="F162" s="171"/>
    </row>
    <row r="163" ht="15.75" customHeight="1">
      <c r="A163" s="70" t="s">
        <v>4</v>
      </c>
      <c r="B163" s="144">
        <f>LET(
  gain, Raw_Data_Daily!$BO$2:$BO$9999,
  players, Raw_Data_Daily!$D$2:$D$9999,
  group, Raw_Data_Daily!$B$2:$B$9999,
  segment, Raw_Data_Daily!$C$2:$C$9999,
  IFERROR(SUMPRODUCT(gain, players, --(group="Control"), --(segment="B. 1-9")) / SUMPRODUCT(players, --(group="Control"), --(segment="B. 1-9")), 0)
)</f>
        <v>0.8323750584</v>
      </c>
      <c r="C163" s="144">
        <f>LET(
  gain, Raw_Data_Daily!$BO$2:$BO$9999,
  players, Raw_Data_Daily!$D$2:$D$9999,
  group, Raw_Data_Daily!$B$2:$B$9999,
  segment, Raw_Data_Daily!$C$2:$C$9999,
  IFERROR(SUMPRODUCT(gain, players, --(group="Control"), --(segment="C. 10-19")) / SUMPRODUCT(players, --(group="Control"), --(segment="C. 10-19")), 0)
)</f>
        <v>1.579392343</v>
      </c>
      <c r="D163" s="144">
        <f>LET(
  gain, Raw_Data_Daily!$BO$2:$BO$9999,
  players, Raw_Data_Daily!$D$2:$D$9999,
  group, Raw_Data_Daily!$B$2:$B$9999,
  segment, Raw_Data_Daily!$C$2:$C$9999,
  IFERROR(SUMPRODUCT(gain, players, --(group="Control"), --(segment="D. 20-39")) / SUMPRODUCT(players, --(group="Control"), --(segment="D. 20-39")), 0)
)</f>
        <v>2.248582464</v>
      </c>
      <c r="E163" s="144">
        <f>LET(
  gain, Raw_Data_Daily!$BO$2:$BO$9999,
  players, Raw_Data_Daily!$D$2:$D$9999,
  group, Raw_Data_Daily!$B$2:$B$9999,
  segment, Raw_Data_Daily!$C$2:$C$9999,
  IFERROR(SUMPRODUCT(gain, players, --(group="Control"), --(segment="E. 40-99")) / SUMPRODUCT(players, --(group="Control"), --(segment="E. 40-99")), 0)
)</f>
        <v>3.420928294</v>
      </c>
      <c r="F163" s="144">
        <f>LET(
  gain, Raw_Data_Daily!$BO$2:$BO$9999,
  players, Raw_Data_Daily!$D$2:$D$9999,
  group, Raw_Data_Daily!$B$2:$B$9999,
  segment, Raw_Data_Daily!$C$2:$C$9999,
  IFERROR(SUMPRODUCT(gain, players, --(group="Control"), --(segment="F. 100+")) / SUMPRODUCT(players, --(group="Control"), --(segment="F. 100+")), 0)
)</f>
        <v>6.869744948</v>
      </c>
    </row>
    <row r="164" ht="15.75" customHeight="1">
      <c r="A164" s="16" t="s">
        <v>240</v>
      </c>
      <c r="B164" s="144">
        <f>LET(
  gain, Raw_Data_Daily!$BO$2:$BO$9999,
  players, Raw_Data_Daily!$D$2:$D$9999,
  group, Raw_Data_Daily!$B$2:$B$9999,
  segment, Raw_Data_Daily!$C$2:$C$9999,
  IFERROR(SUMPRODUCT(gain, players, --(group="Variant"), --(segment="B. 1-9")) / SUMPRODUCT(players, --(group="Variant"), --(segment="B. 1-9")), 0)
)</f>
        <v>1.08145288</v>
      </c>
      <c r="C164" s="144">
        <f>LET(
  gain, Raw_Data_Daily!$BO$2:$BO$9999,
  players, Raw_Data_Daily!$D$2:$D$9999,
  group, Raw_Data_Daily!$B$2:$B$9999,
  segment, Raw_Data_Daily!$C$2:$C$9999,
  IFERROR(SUMPRODUCT(gain, players, --(group="Variant"), --(segment="C. 10-19")) / SUMPRODUCT(players, --(group="Variant"), --(segment="C. 10-19")), 0)
)</f>
        <v>1.800934732</v>
      </c>
      <c r="D164" s="144">
        <f>LET(
  gain, Raw_Data_Daily!$BO$2:$BO$9999,
  players, Raw_Data_Daily!$D$2:$D$9999,
  group, Raw_Data_Daily!$B$2:$B$9999,
  segment, Raw_Data_Daily!$C$2:$C$9999,
  IFERROR(SUMPRODUCT(gain, players, --(group="Variant"), --(segment="D. 20-39")) / SUMPRODUCT(players, --(group="Variant"), --(segment="D. 20-39")), 0)
)</f>
        <v>2.32974448</v>
      </c>
      <c r="E164" s="144">
        <f>LET(
  gain, Raw_Data_Daily!$BO$2:$BO$9999,
  players, Raw_Data_Daily!$D$2:$D$9999,
  group, Raw_Data_Daily!$B$2:$B$9999,
  segment, Raw_Data_Daily!$C$2:$C$9999,
  IFERROR(SUMPRODUCT(gain, players, --(group="Variant"), --(segment="E. 40-99")) / SUMPRODUCT(players, --(group="Variant"), --(segment="E. 40-99")), 0)
)</f>
        <v>3.129570853</v>
      </c>
      <c r="F164" s="144">
        <f>LET(
  gain, Raw_Data_Daily!$BO$2:$BO$9999,
  players, Raw_Data_Daily!$D$2:$D$9999,
  group, Raw_Data_Daily!$B$2:$B$9999,
  segment, Raw_Data_Daily!$C$2:$C$9999,
  IFERROR(SUMPRODUCT(gain, players, --(group="Variant"), --(segment="F. 100+")) / SUMPRODUCT(players, --(group="Variant"), --(segment="F. 100+")), 0)
)</f>
        <v>5.079436466</v>
      </c>
    </row>
    <row r="165" ht="15.75" customHeight="1">
      <c r="A165" s="58" t="s">
        <v>241</v>
      </c>
      <c r="B165" s="144">
        <f>LET(group, Raw_Data_Daily!$B$2:$B$9999, segment, Raw_Data_Daily!$C$2:$C$9999, players, Raw_Data_Daily!$D$2:$D$9999, levels, Raw_Data_Daily!$L$2:$L$9999, avg_levels, IFERROR(SUMPRODUCT(--(group="Variant"), --((segment="A. 0")+(segment="B. 1-9")), players, levels) / SUMPRODUCT(--(group="Variant"), --((segment="A. 0")+(segment="B. 1-9")), players), 0), B164+($F$93-$F$17)*avg_levels)</f>
        <v>1.08145288</v>
      </c>
      <c r="C165" s="144">
        <f>LET(group, Raw_Data_Daily!$B$2:$B$9999, segment, Raw_Data_Daily!$C$2:$C$9999, players, Raw_Data_Daily!$D$2:$D$9999, levels, Raw_Data_Daily!$L$2:$L$9999, avg_levels, IFERROR(SUMPRODUCT(--(group="Variant"), --(segment="C. 10-19"), players, levels) / SUMPRODUCT(--(group="Variant"), --(segment="C. 10-19"), players), 0), C164+($F$108-$F$32)*avg_levels)</f>
        <v>1.800934732</v>
      </c>
      <c r="D165" s="144">
        <f>LET(group, Raw_Data_Daily!$B$2:$B$9999, segment, Raw_Data_Daily!$C$2:$C$9999, players, Raw_Data_Daily!$D$2:$D$9999, levels, Raw_Data_Daily!$L$2:$L$9999, avg_levels, IFERROR(SUMPRODUCT(--(group="Variant"), --(segment="D. 20-39"), players, levels) / SUMPRODUCT(--(group="Variant"), --(segment="D. 20-39"), players), 0), D164+($F$123-$F$47)*avg_levels)</f>
        <v>2.32974448</v>
      </c>
      <c r="E165" s="144">
        <f>LET(group, Raw_Data_Daily!$B$2:$B$9999, segment, Raw_Data_Daily!$C$2:$C$9999, players, Raw_Data_Daily!$D$2:$D$9999, levels, Raw_Data_Daily!$L$2:$L$9999, avg_levels, IFERROR(SUMPRODUCT(--(group="Variant"), --(segment="E. 40-99"), players, levels) / SUMPRODUCT(--(group="Variant"), --(segment="E. 40-99"), players), 0), E164+($F$138-$F$62)*avg_levels)</f>
        <v>3.129570853</v>
      </c>
      <c r="F165" s="144">
        <f>LET(group, Raw_Data_Daily!$B$2:$B$9999, segment, Raw_Data_Daily!$C$2:$C$9999, players, Raw_Data_Daily!$D$2:$D$9999, levels, Raw_Data_Daily!$L$2:$L$9999, avg_levels, IFERROR(SUMPRODUCT(--(group="Variant"), --(segment="F. 100+"), players, levels) / SUMPRODUCT(--(group="Variant"), --(segment="F. 100+"), players), 0), F164+($F$153-$F$77)*avg_levels)</f>
        <v>5.079436466</v>
      </c>
    </row>
    <row r="166" ht="15.75" customHeight="1">
      <c r="A166" s="70" t="s">
        <v>250</v>
      </c>
      <c r="B166" s="146">
        <f t="shared" ref="B166:F166" si="23">IFERROR(B164/B163-1,"")</f>
        <v>0.2992374879</v>
      </c>
      <c r="C166" s="146">
        <f t="shared" si="23"/>
        <v>0.1402706489</v>
      </c>
      <c r="D166" s="146">
        <f t="shared" si="23"/>
        <v>0.03609474715</v>
      </c>
      <c r="E166" s="146">
        <f t="shared" si="23"/>
        <v>-0.08516911643</v>
      </c>
      <c r="F166" s="146">
        <f t="shared" si="23"/>
        <v>-0.2606077075</v>
      </c>
    </row>
    <row r="167" ht="15.75" customHeight="1">
      <c r="A167" s="74" t="s">
        <v>251</v>
      </c>
      <c r="B167" s="170">
        <f t="shared" ref="B167:F167" si="24">IFERROR(B165/B163-1,"")</f>
        <v>0.2992374879</v>
      </c>
      <c r="C167" s="170">
        <f t="shared" si="24"/>
        <v>0.1402706489</v>
      </c>
      <c r="D167" s="170">
        <f t="shared" si="24"/>
        <v>0.03609474715</v>
      </c>
      <c r="E167" s="170">
        <f t="shared" si="24"/>
        <v>-0.08516911643</v>
      </c>
      <c r="F167" s="170">
        <f t="shared" si="24"/>
        <v>-0.2606077075</v>
      </c>
    </row>
    <row r="168" ht="15.75" customHeight="1">
      <c r="A168" s="16" t="s">
        <v>4</v>
      </c>
      <c r="B168" s="144">
        <f>LET(
  gain, Raw_Data_Daily!$BS$2:$BS$9999,
  players, Raw_Data_Daily!$D$2:$D$9999,
  group, Raw_Data_Daily!$B$2:$B$9999,
  segment, Raw_Data_Daily!$C$2:$C$9999,
  IFERROR(SUMPRODUCT(gain, players, --(group="Control"), --(segment="B. 1-9")) / SUMPRODUCT(players, --(group="Control"), --(segment="B. 1-9")), 0)
)</f>
        <v>0.8448537424</v>
      </c>
      <c r="C168" s="144">
        <f>LET(
  gain, Raw_Data_Daily!$BS$2:$BS$9999,
  players, Raw_Data_Daily!$D$2:$D$9999,
  group, Raw_Data_Daily!$B$2:$B$9999,
  segment, Raw_Data_Daily!$C$2:$C$9999,
  IFERROR(SUMPRODUCT(gain, players, --(group="Control"), --(segment="C. 10-19")) / SUMPRODUCT(players, --(group="Control"), --(segment="C. 10-19")), 0)
)</f>
        <v>1.563498965</v>
      </c>
      <c r="D168" s="144">
        <f>LET(
  gain, Raw_Data_Daily!$BS$2:$BS$9999,
  players, Raw_Data_Daily!$D$2:$D$9999,
  group, Raw_Data_Daily!$B$2:$B$9999,
  segment, Raw_Data_Daily!$C$2:$C$9999,
  IFERROR(SUMPRODUCT(gain, players, --(group="Control"), --(segment="D. 20-39")) / SUMPRODUCT(players, --(group="Control"), --(segment="D. 20-39")), 0)
)</f>
        <v>2.350108104</v>
      </c>
      <c r="E168" s="144">
        <f>LET(
  gain, Raw_Data_Daily!$BS$2:$BS$9999,
  players, Raw_Data_Daily!$D$2:$D$9999,
  group, Raw_Data_Daily!$B$2:$B$9999,
  segment, Raw_Data_Daily!$C$2:$C$9999,
  IFERROR(SUMPRODUCT(gain, players, --(group="Control"), --(segment="E. 40-99")) / SUMPRODUCT(players, --(group="Control"), --(segment="E. 40-99")), 0)
)</f>
        <v>3.573487428</v>
      </c>
      <c r="F168" s="144">
        <f>LET(
  gain, Raw_Data_Daily!$BS$2:$BS$9999,
  players, Raw_Data_Daily!$D$2:$D$9999,
  group, Raw_Data_Daily!$B$2:$B$9999,
  segment, Raw_Data_Daily!$C$2:$C$9999,
  IFERROR(SUMPRODUCT(gain, players, --(group="Control"), --(segment="F. 100+")) / SUMPRODUCT(players, --(group="Control"), --(segment="F. 100+")), 0)
)</f>
        <v>7.285957784</v>
      </c>
    </row>
    <row r="169" ht="15.75" customHeight="1">
      <c r="A169" s="16" t="s">
        <v>240</v>
      </c>
      <c r="B169" s="144">
        <f>LET(
  gain, Raw_Data_Daily!$BS$2:$BS$9999,
  players, Raw_Data_Daily!$D$2:$D$9999,
  group, Raw_Data_Daily!$B$2:$B$9999,
  segment, Raw_Data_Daily!$C$2:$C$9999,
  IFERROR(SUMPRODUCT(gain, players, --(group="Variant"), --(segment="B. 1-9")) / SUMPRODUCT(players, --(group="Variant"), --(segment="B. 1-9")), 0)
)</f>
        <v>0.9914429056</v>
      </c>
      <c r="C169" s="144">
        <f>LET(
  gain, Raw_Data_Daily!$BS$2:$BS$9999,
  players, Raw_Data_Daily!$D$2:$D$9999,
  group, Raw_Data_Daily!$B$2:$B$9999,
  segment, Raw_Data_Daily!$C$2:$C$9999,
  IFERROR(SUMPRODUCT(gain, players, --(group="Variant"), --(segment="C. 10-19")) / SUMPRODUCT(players, --(group="Variant"), --(segment="C. 10-19")), 0)
)</f>
        <v>1.76462719</v>
      </c>
      <c r="D169" s="144">
        <f>LET(
  gain, Raw_Data_Daily!$BS$2:$BS$9999,
  players, Raw_Data_Daily!$D$2:$D$9999,
  group, Raw_Data_Daily!$B$2:$B$9999,
  segment, Raw_Data_Daily!$C$2:$C$9999,
  IFERROR(SUMPRODUCT(gain, players, --(group="Variant"), --(segment="D. 20-39")) / SUMPRODUCT(players, --(group="Variant"), --(segment="D. 20-39")), 0)
)</f>
        <v>2.421017932</v>
      </c>
      <c r="E169" s="144">
        <f>LET(
  gain, Raw_Data_Daily!$BS$2:$BS$9999,
  players, Raw_Data_Daily!$D$2:$D$9999,
  group, Raw_Data_Daily!$B$2:$B$9999,
  segment, Raw_Data_Daily!$C$2:$C$9999,
  IFERROR(SUMPRODUCT(gain, players, --(group="Variant"), --(segment="E. 40-99")) / SUMPRODUCT(players, --(group="Variant"), --(segment="E. 40-99")), 0)
)</f>
        <v>3.331421262</v>
      </c>
      <c r="F169" s="144">
        <f>LET(
  gain, Raw_Data_Daily!$BS$2:$BS$9999,
  players, Raw_Data_Daily!$D$2:$D$9999,
  group, Raw_Data_Daily!$B$2:$B$9999,
  segment, Raw_Data_Daily!$C$2:$C$9999,
  IFERROR(SUMPRODUCT(gain, players, --(group="Variant"), --(segment="F. 100+")) / SUMPRODUCT(players, --(group="Variant"), --(segment="F. 100+")), 0)
)</f>
        <v>5.513944241</v>
      </c>
    </row>
    <row r="170" ht="15.75" customHeight="1">
      <c r="A170" s="58" t="s">
        <v>241</v>
      </c>
      <c r="B170" s="144">
        <f>LET(group, Raw_Data_Daily!$B$2:$B$9999, segment, Raw_Data_Daily!$C$2:$C$9999, players, Raw_Data_Daily!$D$2:$D$9999, levels, Raw_Data_Daily!$L$2:$L$9999, avg_levels, IFERROR(SUMPRODUCT(--(group="Variant"), --((segment="A. 0")+(segment="B. 1-9")), players, levels) / SUMPRODUCT(--(group="Variant"), --((segment="A. 0")+(segment="B. 1-9")), players), 0), B169+($G$93-$G$17)*avg_levels)</f>
        <v>0.9914429056</v>
      </c>
      <c r="C170" s="144">
        <f>LET(group, Raw_Data_Daily!$B$2:$B$9999, segment, Raw_Data_Daily!$C$2:$C$9999, players, Raw_Data_Daily!$D$2:$D$9999, levels, Raw_Data_Daily!$L$2:$L$9999, avg_levels, IFERROR(SUMPRODUCT(--(group="Variant"), --(segment="C. 10-19"), players, levels) / SUMPRODUCT(--(group="Variant"), --(segment="C. 10-19"), players), 0), C169+($G$108-$G$32)*avg_levels)</f>
        <v>1.76462719</v>
      </c>
      <c r="D170" s="144">
        <f>LET(group, Raw_Data_Daily!$B$2:$B$9999, segment, Raw_Data_Daily!$C$2:$C$9999, players, Raw_Data_Daily!$D$2:$D$9999, levels, Raw_Data_Daily!$L$2:$L$9999, avg_levels, IFERROR(SUMPRODUCT(--(group="Variant"), --(segment="D. 20-39"), players, levels) / SUMPRODUCT(--(group="Variant"), --(segment="D. 20-39"), players), 0), D169+($G$123-$G$47)*avg_levels)</f>
        <v>2.421017932</v>
      </c>
      <c r="E170" s="144">
        <f>LET(group, Raw_Data_Daily!$B$2:$B$9999, segment, Raw_Data_Daily!$C$2:$C$9999, players, Raw_Data_Daily!$D$2:$D$9999, levels, Raw_Data_Daily!$L$2:$L$9999, avg_levels, IFERROR(SUMPRODUCT(--(group="Variant"), --(segment="E. 40-99"), players, levels) / SUMPRODUCT(--(group="Variant"), --(segment="E. 40-99"), players), 0), E169+($G$138-$G$62)*avg_levels)</f>
        <v>3.331421262</v>
      </c>
      <c r="F170" s="144">
        <f>LET(group, Raw_Data_Daily!$B$2:$B$9999, segment, Raw_Data_Daily!$C$2:$C$9999, players, Raw_Data_Daily!$D$2:$D$9999, levels, Raw_Data_Daily!$L$2:$L$9999, avg_levels, IFERROR(SUMPRODUCT(--(group="Variant"), --(segment="F. 100+"), players, levels) / SUMPRODUCT(--(group="Variant"), --(segment="F. 100+"), players), 0), F169+($G$153-$G$77)*avg_levels)</f>
        <v>5.513944241</v>
      </c>
    </row>
    <row r="171" ht="15.75" customHeight="1">
      <c r="A171" s="70" t="s">
        <v>254</v>
      </c>
      <c r="B171" s="146">
        <f t="shared" ref="B171:F171" si="25">IFERROR(B169/B168-1,"")</f>
        <v>0.1735083315</v>
      </c>
      <c r="C171" s="146">
        <f t="shared" si="25"/>
        <v>0.1286398196</v>
      </c>
      <c r="D171" s="146">
        <f t="shared" si="25"/>
        <v>0.0301730069</v>
      </c>
      <c r="E171" s="146">
        <f t="shared" si="25"/>
        <v>-0.06773947596</v>
      </c>
      <c r="F171" s="146">
        <f t="shared" si="25"/>
        <v>-0.2432094168</v>
      </c>
    </row>
    <row r="172" ht="15.75" customHeight="1">
      <c r="A172" s="74" t="s">
        <v>255</v>
      </c>
      <c r="B172" s="170">
        <f t="shared" ref="B172:F172" si="26">IFERROR(B170/B168-1,"")</f>
        <v>0.1735083315</v>
      </c>
      <c r="C172" s="170">
        <f t="shared" si="26"/>
        <v>0.1286398196</v>
      </c>
      <c r="D172" s="170">
        <f t="shared" si="26"/>
        <v>0.0301730069</v>
      </c>
      <c r="E172" s="170">
        <f t="shared" si="26"/>
        <v>-0.06773947596</v>
      </c>
      <c r="F172" s="170">
        <f t="shared" si="26"/>
        <v>-0.2432094168</v>
      </c>
    </row>
    <row r="173" ht="15.75" customHeight="1">
      <c r="A173" s="16" t="s">
        <v>4</v>
      </c>
      <c r="B173" s="144">
        <f>LET(
  gain, Raw_Data_Daily!$BW$2:$BW$9999,
  players, Raw_Data_Daily!$D$2:$D$9999,
  group, Raw_Data_Daily!$B$2:$B$9999,
  segment, Raw_Data_Daily!$C$2:$C$9999,
  IFERROR(SUMPRODUCT(gain, players, --(group="Control"), --(segment="B. 1-9")) / SUMPRODUCT(players, --(group="Control"), --(segment="B. 1-9")), 0)
)</f>
        <v>0.3991151937</v>
      </c>
      <c r="C173" s="144">
        <f>LET(
  gain, Raw_Data_Daily!$BW$2:$BW$9999,
  players, Raw_Data_Daily!$D$2:$D$9999,
  group, Raw_Data_Daily!$B$2:$B$9999,
  segment, Raw_Data_Daily!$C$2:$C$9999,
  IFERROR(SUMPRODUCT(gain, players, --(group="Control"), --(segment="C. 10-19")) / SUMPRODUCT(players, --(group="Control"), --(segment="C. 10-19")), 0)
)</f>
        <v>0.8755020014</v>
      </c>
      <c r="D173" s="144">
        <f>LET(
  gain, Raw_Data_Daily!$BW$2:$BW$9999,
  players, Raw_Data_Daily!$D$2:$D$9999,
  group, Raw_Data_Daily!$B$2:$B$9999,
  segment, Raw_Data_Daily!$C$2:$C$9999,
  IFERROR(SUMPRODUCT(gain, players, --(group="Control"), --(segment="D. 20-39")) / SUMPRODUCT(players, --(group="Control"), --(segment="D. 20-39")), 0)
)</f>
        <v>1.546975179</v>
      </c>
      <c r="E173" s="144">
        <f>LET(
  gain, Raw_Data_Daily!$BW$2:$BW$9999,
  players, Raw_Data_Daily!$D$2:$D$9999,
  group, Raw_Data_Daily!$B$2:$B$9999,
  segment, Raw_Data_Daily!$C$2:$C$9999,
  IFERROR(SUMPRODUCT(gain, players, --(group="Control"), --(segment="E. 40-99")) / SUMPRODUCT(players, --(group="Control"), --(segment="E. 40-99")), 0)
)</f>
        <v>2.729720915</v>
      </c>
      <c r="F173" s="144">
        <f>LET(
  gain, Raw_Data_Daily!$BW$2:$BW$9999,
  players, Raw_Data_Daily!$D$2:$D$9999,
  group, Raw_Data_Daily!$B$2:$B$9999,
  segment, Raw_Data_Daily!$C$2:$C$9999,
  IFERROR(SUMPRODUCT(gain, players, --(group="Control"), --(segment="F. 100+")) / SUMPRODUCT(players, --(group="Control"), --(segment="F. 100+")), 0)
)</f>
        <v>5.64745</v>
      </c>
    </row>
    <row r="174" ht="15.75" customHeight="1">
      <c r="A174" s="16" t="s">
        <v>240</v>
      </c>
      <c r="B174" s="144">
        <f>LET(
  gain, Raw_Data_Daily!$BW$2:$BW$9999,
  players, Raw_Data_Daily!$D$2:$D$9999,
  group, Raw_Data_Daily!$B$2:$B$9999,
  segment, Raw_Data_Daily!$C$2:$C$9999,
  IFERROR(SUMPRODUCT(gain, players, --(group="Variant"), --(segment="B. 1-9")) / SUMPRODUCT(players, --(group="Variant"), --(segment="B. 1-9")), 0)
)</f>
        <v>0.3138424498</v>
      </c>
      <c r="C174" s="144">
        <f>LET(
  gain, Raw_Data_Daily!$BW$2:$BW$9999,
  players, Raw_Data_Daily!$D$2:$D$9999,
  group, Raw_Data_Daily!$B$2:$B$9999,
  segment, Raw_Data_Daily!$C$2:$C$9999,
  IFERROR(SUMPRODUCT(gain, players, --(group="Variant"), --(segment="C. 10-19")) / SUMPRODUCT(players, --(group="Variant"), --(segment="C. 10-19")), 0)
)</f>
        <v>0.7306796967</v>
      </c>
      <c r="D174" s="144">
        <f>LET(
  gain, Raw_Data_Daily!$BW$2:$BW$9999,
  players, Raw_Data_Daily!$D$2:$D$9999,
  group, Raw_Data_Daily!$B$2:$B$9999,
  segment, Raw_Data_Daily!$C$2:$C$9999,
  IFERROR(SUMPRODUCT(gain, players, --(group="Variant"), --(segment="D. 20-39")) / SUMPRODUCT(players, --(group="Variant"), --(segment="D. 20-39")), 0)
)</f>
        <v>1.412214549</v>
      </c>
      <c r="E174" s="144">
        <f>LET(
  gain, Raw_Data_Daily!$BW$2:$BW$9999,
  players, Raw_Data_Daily!$D$2:$D$9999,
  group, Raw_Data_Daily!$B$2:$B$9999,
  segment, Raw_Data_Daily!$C$2:$C$9999,
  IFERROR(SUMPRODUCT(gain, players, --(group="Variant"), --(segment="E. 40-99")) / SUMPRODUCT(players, --(group="Variant"), --(segment="E. 40-99")), 0)
)</f>
        <v>2.488533996</v>
      </c>
      <c r="F174" s="144">
        <f>LET(
  gain, Raw_Data_Daily!$BW$2:$BW$9999,
  players, Raw_Data_Daily!$D$2:$D$9999,
  group, Raw_Data_Daily!$B$2:$B$9999,
  segment, Raw_Data_Daily!$C$2:$C$9999,
  IFERROR(SUMPRODUCT(gain, players, --(group="Variant"), --(segment="F. 100+")) / SUMPRODUCT(players, --(group="Variant"), --(segment="F. 100+")), 0)
)</f>
        <v>4.695633805</v>
      </c>
    </row>
    <row r="175" ht="15.75" customHeight="1">
      <c r="A175" s="58" t="s">
        <v>241</v>
      </c>
      <c r="B175" s="144">
        <f>LET(group, Raw_Data_Daily!$B$2:$B$9999, segment, Raw_Data_Daily!$C$2:$C$9999, players, Raw_Data_Daily!$D$2:$D$9999, levels, Raw_Data_Daily!$L$2:$L$9999, avg_levels, IFERROR(SUMPRODUCT(--(group="Variant"), --((segment="A. 0")+(segment="B. 1-9")), players, levels) / SUMPRODUCT(--(group="Variant"), --((segment="A. 0")+(segment="B. 1-9")), players), 0), B174+($H$93-$H$17)*avg_levels)</f>
        <v>0.3715837656</v>
      </c>
      <c r="C175" s="144">
        <f>LET(group, Raw_Data_Daily!$B$2:$B$9999, segment, Raw_Data_Daily!$C$2:$C$9999, players, Raw_Data_Daily!$D$2:$D$9999, levels, Raw_Data_Daily!$L$2:$L$9999, avg_levels, IFERROR(SUMPRODUCT(--(group="Variant"), --(segment="C. 10-19"), players, levels) / SUMPRODUCT(--(group="Variant"), --(segment="C. 10-19"), players), 0), C174+($H$108-$H$32)*avg_levels)</f>
        <v>0.868822391</v>
      </c>
      <c r="D175" s="144">
        <f>LET(group, Raw_Data_Daily!$B$2:$B$9999, segment, Raw_Data_Daily!$C$2:$C$9999, players, Raw_Data_Daily!$D$2:$D$9999, levels, Raw_Data_Daily!$L$2:$L$9999, avg_levels, IFERROR(SUMPRODUCT(--(group="Variant"), --(segment="D. 20-39"), players, levels) / SUMPRODUCT(--(group="Variant"), --(segment="D. 20-39"), players), 0), D174+($H$123-$H$47)*avg_levels)</f>
        <v>1.676724157</v>
      </c>
      <c r="E175" s="144">
        <f>LET(group, Raw_Data_Daily!$B$2:$B$9999, segment, Raw_Data_Daily!$C$2:$C$9999, players, Raw_Data_Daily!$D$2:$D$9999, levels, Raw_Data_Daily!$L$2:$L$9999, avg_levels, IFERROR(SUMPRODUCT(--(group="Variant"), --(segment="E. 40-99"), players, levels) / SUMPRODUCT(--(group="Variant"), --(segment="E. 40-99"), players), 0), E174+($H$138-$H$62)*avg_levels)</f>
        <v>3.030831082</v>
      </c>
      <c r="F175" s="144">
        <f>LET(group, Raw_Data_Daily!$B$2:$B$9999, segment, Raw_Data_Daily!$C$2:$C$9999, players, Raw_Data_Daily!$D$2:$D$9999, levels, Raw_Data_Daily!$L$2:$L$9999, avg_levels, IFERROR(SUMPRODUCT(--(group="Variant"), --(segment="F. 100+"), players, levels) / SUMPRODUCT(--(group="Variant"), --(segment="F. 100+"), players), 0), F174+($H$153-$H$77)*avg_levels)</f>
        <v>5.934384241</v>
      </c>
    </row>
    <row r="176" ht="15.75" customHeight="1">
      <c r="A176" s="70" t="s">
        <v>256</v>
      </c>
      <c r="B176" s="146">
        <f t="shared" ref="B176:F176" si="27">IFERROR(B174/B173-1,"")</f>
        <v>-0.2136544668</v>
      </c>
      <c r="C176" s="146">
        <f t="shared" si="27"/>
        <v>-0.1654163034</v>
      </c>
      <c r="D176" s="146">
        <f t="shared" si="27"/>
        <v>-0.08711234152</v>
      </c>
      <c r="E176" s="146">
        <f t="shared" si="27"/>
        <v>-0.08835588938</v>
      </c>
      <c r="F176" s="146">
        <f t="shared" si="27"/>
        <v>-0.1685391098</v>
      </c>
    </row>
    <row r="177" ht="15.75" customHeight="1">
      <c r="A177" s="74" t="s">
        <v>257</v>
      </c>
      <c r="B177" s="162">
        <f t="shared" ref="B177:F177" si="28">IFERROR(B175/B173-1,"")</f>
        <v>-0.06898115762</v>
      </c>
      <c r="C177" s="162">
        <f t="shared" si="28"/>
        <v>-0.007629463268</v>
      </c>
      <c r="D177" s="162">
        <f t="shared" si="28"/>
        <v>0.08387269503</v>
      </c>
      <c r="E177" s="162">
        <f t="shared" si="28"/>
        <v>0.1103080411</v>
      </c>
      <c r="F177" s="162">
        <f t="shared" si="28"/>
        <v>0.05080775238</v>
      </c>
    </row>
    <row r="178" ht="15.75" customHeight="1">
      <c r="B178" s="171"/>
      <c r="C178" s="171"/>
      <c r="D178" s="171"/>
      <c r="E178" s="171"/>
      <c r="F178" s="171"/>
    </row>
    <row r="179" ht="15.75" customHeight="1">
      <c r="A179" s="202" t="s">
        <v>268</v>
      </c>
      <c r="B179" s="171"/>
      <c r="C179" s="171"/>
      <c r="D179" s="171"/>
      <c r="E179" s="171"/>
      <c r="F179" s="171"/>
    </row>
    <row r="180" ht="15.75" customHeight="1">
      <c r="A180" s="70" t="s">
        <v>4</v>
      </c>
      <c r="B180" s="144">
        <f>LET(
  gain, Raw_Data_Daily!$CE$2:$CE$9999,
  players, Raw_Data_Daily!$D$2:$D$9999,
  group, Raw_Data_Daily!$B$2:$B$9999,
  segment, Raw_Data_Daily!$C$2:$C$9999,
  IFERROR(SUMPRODUCT(gain, players, --(group="Control"), --(segment="B. 1-9")) / SUMPRODUCT(players, --(group="Control"), --(segment="B. 1-9")), 0)
)</f>
        <v>0.5313805043</v>
      </c>
      <c r="C180" s="144">
        <f>LET(
  gain, Raw_Data_Daily!$CE$2:$CE$9999,
  players, Raw_Data_Daily!$D$2:$D$9999,
  group, Raw_Data_Daily!$B$2:$B$9999,
  segment, Raw_Data_Daily!$C$2:$C$9999,
  IFERROR(SUMPRODUCT(gain, players, --(group="Control"), --(segment="C. 10-19")) / SUMPRODUCT(players, --(group="Control"), --(segment="C. 10-19")), 0)
)</f>
        <v>1.03248066</v>
      </c>
      <c r="D180" s="144">
        <f>LET(
  gain, Raw_Data_Daily!$CE$2:$CE$9999,
  players, Raw_Data_Daily!$D$2:$D$9999,
  group, Raw_Data_Daily!$B$2:$B$9999,
  segment, Raw_Data_Daily!$C$2:$C$9999,
  IFERROR(SUMPRODUCT(gain, players, --(group="Control"), --(segment="D. 20-39")) / SUMPRODUCT(players, --(group="Control"), --(segment="D. 20-39")), 0)
)</f>
        <v>1.483454035</v>
      </c>
      <c r="E180" s="144">
        <f>LET(
  gain, Raw_Data_Daily!$CE$2:$CE$9999,
  players, Raw_Data_Daily!$D$2:$D$9999,
  group, Raw_Data_Daily!$B$2:$B$9999,
  segment, Raw_Data_Daily!$C$2:$C$9999,
  IFERROR(SUMPRODUCT(gain, players, --(group="Control"), --(segment="E. 40-99")) / SUMPRODUCT(players, --(group="Control"), --(segment="E. 40-99")), 0)
)</f>
        <v>2.348577151</v>
      </c>
      <c r="F180" s="144">
        <f>LET(
  gain, Raw_Data_Daily!$CE$2:$CE$9999,
  players, Raw_Data_Daily!$D$2:$D$9999,
  group, Raw_Data_Daily!$B$2:$B$9999,
  segment, Raw_Data_Daily!$C$2:$C$9999,
  IFERROR(SUMPRODUCT(gain, players, --(group="Control"), --(segment="F. 100+")) / SUMPRODUCT(players, --(group="Control"), --(segment="F. 100+")), 0)
)</f>
        <v>4.459220284</v>
      </c>
    </row>
    <row r="181" ht="15.75" customHeight="1">
      <c r="A181" s="16" t="s">
        <v>240</v>
      </c>
      <c r="B181" s="144">
        <f>LET(
  gain, Raw_Data_Daily!$CE$2:$CE$9999,
  players, Raw_Data_Daily!$D$2:$D$9999,
  group, Raw_Data_Daily!$B$2:$B$9999,
  segment, Raw_Data_Daily!$C$2:$C$9999,
  IFERROR(SUMPRODUCT(gain, players, --(group="Variant"), --(segment="B. 1-9")) / SUMPRODUCT(players, --(group="Variant"), --(segment="B. 1-9")), 0)
)</f>
        <v>0.4763263614</v>
      </c>
      <c r="C181" s="144">
        <f>LET(
  gain, Raw_Data_Daily!$CE$2:$CE$9999,
  players, Raw_Data_Daily!$D$2:$D$9999,
  group, Raw_Data_Daily!$B$2:$B$9999,
  segment, Raw_Data_Daily!$C$2:$C$9999,
  IFERROR(SUMPRODUCT(gain, players, --(group="Variant"), --(segment="C. 10-19")) / SUMPRODUCT(players, --(group="Variant"), --(segment="C. 10-19")), 0)
)</f>
        <v>0.904771226</v>
      </c>
      <c r="D181" s="144">
        <f>LET(
  gain, Raw_Data_Daily!$CE$2:$CE$9999,
  players, Raw_Data_Daily!$D$2:$D$9999,
  group, Raw_Data_Daily!$B$2:$B$9999,
  segment, Raw_Data_Daily!$C$2:$C$9999,
  IFERROR(SUMPRODUCT(gain, players, --(group="Variant"), --(segment="D. 20-39")) / SUMPRODUCT(players, --(group="Variant"), --(segment="D. 20-39")), 0)
)</f>
        <v>1.23686069</v>
      </c>
      <c r="E181" s="144">
        <f>LET(
  gain, Raw_Data_Daily!$CE$2:$CE$9999,
  players, Raw_Data_Daily!$D$2:$D$9999,
  group, Raw_Data_Daily!$B$2:$B$9999,
  segment, Raw_Data_Daily!$C$2:$C$9999,
  IFERROR(SUMPRODUCT(gain, players, --(group="Variant"), --(segment="E. 40-99")) / SUMPRODUCT(players, --(group="Variant"), --(segment="E. 40-99")), 0)
)</f>
        <v>1.868755321</v>
      </c>
      <c r="F181" s="144">
        <f>LET(
  gain, Raw_Data_Daily!$CE$2:$CE$9999,
  players, Raw_Data_Daily!$D$2:$D$9999,
  group, Raw_Data_Daily!$B$2:$B$9999,
  segment, Raw_Data_Daily!$C$2:$C$9999,
  IFERROR(SUMPRODUCT(gain, players, --(group="Variant"), --(segment="F. 100+")) / SUMPRODUCT(players, --(group="Variant"), --(segment="F. 100+")), 0)
)</f>
        <v>3.179216507</v>
      </c>
    </row>
    <row r="182" ht="15.75" customHeight="1">
      <c r="A182" s="58" t="s">
        <v>241</v>
      </c>
      <c r="B182" s="144">
        <f>LET(group, Raw_Data_Daily!$B$2:$B$9999, segment, Raw_Data_Daily!$C$2:$C$9999, players, Raw_Data_Daily!$D$2:$D$9999, levels, Raw_Data_Daily!$L$2:$L$9999, avg_levels, IFERROR(SUMPRODUCT(--(group="Variant"), --((segment="A. 0")+(segment="B. 1-9")), players, levels) / SUMPRODUCT(--(group="Variant"), --((segment="A. 0")+(segment="B. 1-9")), players), 0), B181+($I$93-$I$17)*avg_levels)</f>
        <v>0.4763263614</v>
      </c>
      <c r="C182" s="144">
        <f>LET(group, Raw_Data_Daily!$B$2:$B$9999, segment, Raw_Data_Daily!$C$2:$C$9999, players, Raw_Data_Daily!$D$2:$D$9999, levels, Raw_Data_Daily!$L$2:$L$9999, avg_levels, IFERROR(SUMPRODUCT(--(group="Variant"), --(segment="C. 10-19"), players, levels) / SUMPRODUCT(--(group="Variant"), --(segment="C. 10-19"), players), 0), C181+($I$108-$I$32)*avg_levels)</f>
        <v>0.904771226</v>
      </c>
      <c r="D182" s="144">
        <f>LET(group, Raw_Data_Daily!$B$2:$B$9999, segment, Raw_Data_Daily!$C$2:$C$9999, players, Raw_Data_Daily!$D$2:$D$9999, levels, Raw_Data_Daily!$L$2:$L$9999, avg_levels, IFERROR(SUMPRODUCT(--(group="Variant"), --(segment="D. 20-39"), players, levels) / SUMPRODUCT(--(group="Variant"), --(segment="D. 20-39"), players), 0), D181+($I$123-$I$47)*avg_levels)</f>
        <v>1.23686069</v>
      </c>
      <c r="E182" s="144">
        <f>LET(group, Raw_Data_Daily!$B$2:$B$9999, segment, Raw_Data_Daily!$C$2:$C$9999, players, Raw_Data_Daily!$D$2:$D$9999, levels, Raw_Data_Daily!$L$2:$L$9999, avg_levels, IFERROR(SUMPRODUCT(--(group="Variant"), --(segment="E. 40-99"), players, levels) / SUMPRODUCT(--(group="Variant"), --(segment="E. 40-99"), players), 0), E181+($I$138-$I$62)*avg_levels)</f>
        <v>1.868755321</v>
      </c>
      <c r="F182" s="144">
        <f>LET(group, Raw_Data_Daily!$B$2:$B$9999, segment, Raw_Data_Daily!$C$2:$C$9999, players, Raw_Data_Daily!$D$2:$D$9999, levels, Raw_Data_Daily!$L$2:$L$9999, avg_levels, IFERROR(SUMPRODUCT(--(group="Variant"), --(segment="F. 100+"), players, levels) / SUMPRODUCT(--(group="Variant"), --(segment="F. 100+"), players), 0), F181+($I$153-$I$77)*avg_levels)</f>
        <v>3.179216507</v>
      </c>
    </row>
    <row r="183" ht="15.75" customHeight="1">
      <c r="A183" s="70" t="s">
        <v>269</v>
      </c>
      <c r="B183" s="146">
        <f t="shared" ref="B183:F183" si="29">IFERROR(B181/B180-1,"")</f>
        <v>-0.1036058765</v>
      </c>
      <c r="C183" s="146">
        <f t="shared" si="29"/>
        <v>-0.1236918414</v>
      </c>
      <c r="D183" s="146">
        <f t="shared" si="29"/>
        <v>-0.1662291778</v>
      </c>
      <c r="E183" s="146">
        <f t="shared" si="29"/>
        <v>-0.2043032011</v>
      </c>
      <c r="F183" s="146">
        <f t="shared" si="29"/>
        <v>-0.2870465452</v>
      </c>
    </row>
    <row r="184" ht="15.75" customHeight="1">
      <c r="A184" s="74" t="s">
        <v>270</v>
      </c>
      <c r="B184" s="170">
        <f t="shared" ref="B184:F184" si="30">IFERROR(B182/B180-1,"")</f>
        <v>-0.1036058765</v>
      </c>
      <c r="C184" s="170">
        <f t="shared" si="30"/>
        <v>-0.1236918414</v>
      </c>
      <c r="D184" s="170">
        <f t="shared" si="30"/>
        <v>-0.1662291778</v>
      </c>
      <c r="E184" s="170">
        <f t="shared" si="30"/>
        <v>-0.2043032011</v>
      </c>
      <c r="F184" s="170">
        <f t="shared" si="30"/>
        <v>-0.2870465452</v>
      </c>
    </row>
    <row r="185" ht="15.75" customHeight="1">
      <c r="A185" s="16" t="s">
        <v>4</v>
      </c>
      <c r="B185" s="144">
        <f>LET(
  gain, Raw_Data_Daily!$CI$2:$CI$9999,
  players, Raw_Data_Daily!$D$2:$D$9999,
  group, Raw_Data_Daily!$B$2:$B$9999,
  segment, Raw_Data_Daily!$C$2:$C$9999,
  IFERROR(SUMPRODUCT(gain, players, --(group="Control"), --(segment="B. 1-9")) / SUMPRODUCT(players, --(group="Control"), --(segment="B. 1-9")), 0)
)</f>
        <v>0.4251427107</v>
      </c>
      <c r="C185" s="144">
        <f>LET(
  gain, Raw_Data_Daily!$CI$2:$CI$9999,
  players, Raw_Data_Daily!$D$2:$D$9999,
  group, Raw_Data_Daily!$B$2:$B$9999,
  segment, Raw_Data_Daily!$C$2:$C$9999,
  IFERROR(SUMPRODUCT(gain, players, --(group="Control"), --(segment="C. 10-19")) / SUMPRODUCT(players, --(group="Control"), --(segment="C. 10-19")), 0)
)</f>
        <v>0.9499224535</v>
      </c>
      <c r="D185" s="144">
        <f>LET(
  gain, Raw_Data_Daily!$CI$2:$CI$9999,
  players, Raw_Data_Daily!$D$2:$D$9999,
  group, Raw_Data_Daily!$B$2:$B$9999,
  segment, Raw_Data_Daily!$C$2:$C$9999,
  IFERROR(SUMPRODUCT(gain, players, --(group="Control"), --(segment="D. 20-39")) / SUMPRODUCT(players, --(group="Control"), --(segment="D. 20-39")), 0)
)</f>
        <v>1.595695343</v>
      </c>
      <c r="E185" s="144">
        <f>LET(
  gain, Raw_Data_Daily!$CI$2:$CI$9999,
  players, Raw_Data_Daily!$D$2:$D$9999,
  group, Raw_Data_Daily!$B$2:$B$9999,
  segment, Raw_Data_Daily!$C$2:$C$9999,
  IFERROR(SUMPRODUCT(gain, players, --(group="Control"), --(segment="E. 40-99")) / SUMPRODUCT(players, --(group="Control"), --(segment="E. 40-99")), 0)
)</f>
        <v>2.841135886</v>
      </c>
      <c r="F185" s="144">
        <f>LET(
  gain, Raw_Data_Daily!$CI$2:$CI$9999,
  players, Raw_Data_Daily!$D$2:$D$9999,
  group, Raw_Data_Daily!$B$2:$B$9999,
  segment, Raw_Data_Daily!$C$2:$C$9999,
  IFERROR(SUMPRODUCT(gain, players, --(group="Control"), --(segment="F. 100+")) / SUMPRODUCT(players, --(group="Control"), --(segment="F. 100+")), 0)
)</f>
        <v>5.685269573</v>
      </c>
    </row>
    <row r="186" ht="15.75" customHeight="1">
      <c r="A186" s="16" t="s">
        <v>240</v>
      </c>
      <c r="B186" s="144">
        <f>LET(
  gain, Raw_Data_Daily!$CI$2:$CI$9999,
  players, Raw_Data_Daily!$D$2:$D$9999,
  group, Raw_Data_Daily!$B$2:$B$9999,
  segment, Raw_Data_Daily!$C$2:$C$9999,
  IFERROR(SUMPRODUCT(gain, players, --(group="Variant"), --(segment="B. 1-9")) / SUMPRODUCT(players, --(group="Variant"), --(segment="B. 1-9")), 0)
)</f>
        <v>0.3907586359</v>
      </c>
      <c r="C186" s="144">
        <f>LET(
  gain, Raw_Data_Daily!$CI$2:$CI$9999,
  players, Raw_Data_Daily!$D$2:$D$9999,
  group, Raw_Data_Daily!$B$2:$B$9999,
  segment, Raw_Data_Daily!$C$2:$C$9999,
  IFERROR(SUMPRODUCT(gain, players, --(group="Variant"), --(segment="C. 10-19")) / SUMPRODUCT(players, --(group="Variant"), --(segment="C. 10-19")), 0)
)</f>
        <v>0.9102358338</v>
      </c>
      <c r="D186" s="144">
        <f>LET(
  gain, Raw_Data_Daily!$CI$2:$CI$9999,
  players, Raw_Data_Daily!$D$2:$D$9999,
  group, Raw_Data_Daily!$B$2:$B$9999,
  segment, Raw_Data_Daily!$C$2:$C$9999,
  IFERROR(SUMPRODUCT(gain, players, --(group="Variant"), --(segment="D. 20-39")) / SUMPRODUCT(players, --(group="Variant"), --(segment="D. 20-39")), 0)
)</f>
        <v>1.550140489</v>
      </c>
      <c r="E186" s="144">
        <f>LET(
  gain, Raw_Data_Daily!$CI$2:$CI$9999,
  players, Raw_Data_Daily!$D$2:$D$9999,
  group, Raw_Data_Daily!$B$2:$B$9999,
  segment, Raw_Data_Daily!$C$2:$C$9999,
  IFERROR(SUMPRODUCT(gain, players, --(group="Variant"), --(segment="E. 40-99")) / SUMPRODUCT(players, --(group="Variant"), --(segment="E. 40-99")), 0)
)</f>
        <v>2.714930454</v>
      </c>
      <c r="F186" s="144">
        <f>LET(
  gain, Raw_Data_Daily!$CI$2:$CI$9999,
  players, Raw_Data_Daily!$D$2:$D$9999,
  group, Raw_Data_Daily!$B$2:$B$9999,
  segment, Raw_Data_Daily!$C$2:$C$9999,
  IFERROR(SUMPRODUCT(gain, players, --(group="Variant"), --(segment="F. 100+")) / SUMPRODUCT(players, --(group="Variant"), --(segment="F. 100+")), 0)
)</f>
        <v>4.9567842</v>
      </c>
    </row>
    <row r="187" ht="15.75" customHeight="1">
      <c r="A187" s="58" t="s">
        <v>241</v>
      </c>
      <c r="B187" s="144">
        <f>LET(group, Raw_Data_Daily!$B$2:$B$9999, segment, Raw_Data_Daily!$C$2:$C$9999, players, Raw_Data_Daily!$D$2:$D$9999, levels, Raw_Data_Daily!$L$2:$L$9999, avg_levels, IFERROR(SUMPRODUCT(--(group="Variant"), --((segment="A. 0")+(segment="B. 1-9")), players, levels) / SUMPRODUCT(--(group="Variant"), --((segment="A. 0")+(segment="B. 1-9")), players), 0), B186+($J$93-$J$17)*avg_levels)</f>
        <v>0.3907586359</v>
      </c>
      <c r="C187" s="144">
        <f>LET(group, Raw_Data_Daily!$B$2:$B$9999, segment, Raw_Data_Daily!$C$2:$C$9999, players, Raw_Data_Daily!$D$2:$D$9999, levels, Raw_Data_Daily!$L$2:$L$9999, avg_levels, IFERROR(SUMPRODUCT(--(group="Variant"), --(segment="C. 10-19"), players, levels) / SUMPRODUCT(--(group="Variant"), --(segment="C. 10-19"), players), 0), C186+($J$108-$J$32)*avg_levels)</f>
        <v>0.9102358338</v>
      </c>
      <c r="D187" s="144">
        <f>LET(group, Raw_Data_Daily!$B$2:$B$9999, segment, Raw_Data_Daily!$C$2:$C$9999, players, Raw_Data_Daily!$D$2:$D$9999, levels, Raw_Data_Daily!$L$2:$L$9999, avg_levels, IFERROR(SUMPRODUCT(--(group="Variant"), --(segment="D. 20-39"), players, levels) / SUMPRODUCT(--(group="Variant"), --(segment="D. 20-39"), players), 0), D186+($J$123-$J$47)*avg_levels)</f>
        <v>1.550140489</v>
      </c>
      <c r="E187" s="144">
        <f>LET(group, Raw_Data_Daily!$B$2:$B$9999, segment, Raw_Data_Daily!$C$2:$C$9999, players, Raw_Data_Daily!$D$2:$D$9999, levels, Raw_Data_Daily!$L$2:$L$9999, avg_levels, IFERROR(SUMPRODUCT(--(group="Variant"), --(segment="E. 40-99"), players, levels) / SUMPRODUCT(--(group="Variant"), --(segment="E. 40-99"), players), 0), E186+($J$138-$J$62)*avg_levels)</f>
        <v>2.714930454</v>
      </c>
      <c r="F187" s="144">
        <f>LET(group, Raw_Data_Daily!$B$2:$B$9999, segment, Raw_Data_Daily!$C$2:$C$9999, players, Raw_Data_Daily!$D$2:$D$9999, levels, Raw_Data_Daily!$L$2:$L$9999, avg_levels, IFERROR(SUMPRODUCT(--(group="Variant"), --(segment="F. 100+"), players, levels) / SUMPRODUCT(--(group="Variant"), --(segment="F. 100+"), players), 0), F186+($J$153-$J$77)*avg_levels)</f>
        <v>4.9567842</v>
      </c>
    </row>
    <row r="188" ht="15.75" customHeight="1">
      <c r="A188" s="70" t="s">
        <v>273</v>
      </c>
      <c r="B188" s="146">
        <f t="shared" ref="B188:F188" si="31">IFERROR(B186/B185-1,"")</f>
        <v>-0.08087654792</v>
      </c>
      <c r="C188" s="146">
        <f t="shared" si="31"/>
        <v>-0.0417787995</v>
      </c>
      <c r="D188" s="146">
        <f t="shared" si="31"/>
        <v>-0.02854859089</v>
      </c>
      <c r="E188" s="146">
        <f t="shared" si="31"/>
        <v>-0.04442076596</v>
      </c>
      <c r="F188" s="146">
        <f t="shared" si="31"/>
        <v>-0.1281355905</v>
      </c>
    </row>
    <row r="189" ht="15.75" customHeight="1">
      <c r="A189" s="74" t="s">
        <v>275</v>
      </c>
      <c r="B189" s="170">
        <f t="shared" ref="B189:F189" si="32">IFERROR(B187/B185-1,"")</f>
        <v>-0.08087654792</v>
      </c>
      <c r="C189" s="170">
        <f t="shared" si="32"/>
        <v>-0.0417787995</v>
      </c>
      <c r="D189" s="170">
        <f t="shared" si="32"/>
        <v>-0.02854859089</v>
      </c>
      <c r="E189" s="170">
        <f t="shared" si="32"/>
        <v>-0.04442076596</v>
      </c>
      <c r="F189" s="170">
        <f t="shared" si="32"/>
        <v>-0.1281355905</v>
      </c>
    </row>
    <row r="190" ht="15.75" customHeight="1">
      <c r="A190" s="16" t="s">
        <v>4</v>
      </c>
      <c r="B190" s="144">
        <f>LET(
  gain, Raw_Data_Daily!$CA$2:$CA$9999,
  players, Raw_Data_Daily!$D$2:$D$9999,
  group, Raw_Data_Daily!$B$2:$B$9999,
  segment, Raw_Data_Daily!$C$2:$C$9999,
  IFERROR(SUMPRODUCT(gain, players, --(group="Control"), --(segment="B. 1-9")) / SUMPRODUCT(players, --(group="Control"), --(segment="B. 1-9")), 0)
)</f>
        <v>0.2375563676</v>
      </c>
      <c r="C190" s="144">
        <f>LET(
  gain, Raw_Data_Daily!$CA$2:$CA$9999,
  players, Raw_Data_Daily!$D$2:$D$9999,
  group, Raw_Data_Daily!$B$2:$B$9999,
  segment, Raw_Data_Daily!$C$2:$C$9999,
  IFERROR(SUMPRODUCT(gain, players, --(group="Control"), --(segment="C. 10-19")) / SUMPRODUCT(players, --(group="Control"), --(segment="C. 10-19")), 0)
)</f>
        <v>0.5187709391</v>
      </c>
      <c r="D190" s="144">
        <f>LET(
  gain, Raw_Data_Daily!$CA$2:$CA$9999,
  players, Raw_Data_Daily!$D$2:$D$9999,
  group, Raw_Data_Daily!$B$2:$B$9999,
  segment, Raw_Data_Daily!$C$2:$C$9999,
  IFERROR(SUMPRODUCT(gain, players, --(group="Control"), --(segment="D. 20-39")) / SUMPRODUCT(players, --(group="Control"), --(segment="D. 20-39")), 0)
)</f>
        <v>0.9151657845</v>
      </c>
      <c r="E190" s="144">
        <f>LET(
  gain, Raw_Data_Daily!$CA$2:$CA$9999,
  players, Raw_Data_Daily!$D$2:$D$9999,
  group, Raw_Data_Daily!$B$2:$B$9999,
  segment, Raw_Data_Daily!$C$2:$C$9999,
  IFERROR(SUMPRODUCT(gain, players, --(group="Control"), --(segment="E. 40-99")) / SUMPRODUCT(players, --(group="Control"), --(segment="E. 40-99")), 0)
)</f>
        <v>1.873018521</v>
      </c>
      <c r="F190" s="144">
        <f>LET(
  gain, Raw_Data_Daily!$CA$2:$CA$9999,
  players, Raw_Data_Daily!$D$2:$D$9999,
  group, Raw_Data_Daily!$B$2:$B$9999,
  segment, Raw_Data_Daily!$C$2:$C$9999,
  IFERROR(SUMPRODUCT(gain, players, --(group="Control"), --(segment="F. 100+")) / SUMPRODUCT(players, --(group="Control"), --(segment="F. 100+")), 0)
)</f>
        <v>4.054254379</v>
      </c>
    </row>
    <row r="191" ht="15.75" customHeight="1">
      <c r="A191" s="16" t="s">
        <v>240</v>
      </c>
      <c r="B191" s="144">
        <f>LET(
  gain, Raw_Data_Daily!$CA$2:$CA$9999,
  players, Raw_Data_Daily!$D$2:$D$9999,
  group, Raw_Data_Daily!$B$2:$B$9999,
  segment, Raw_Data_Daily!$C$2:$C$9999,
  IFERROR(SUMPRODUCT(gain, players, --(group="Variant"), --(segment="B. 1-9")) / SUMPRODUCT(players, --(group="Variant"), --(segment="B. 1-9")), 0)
)</f>
        <v>0.167096852</v>
      </c>
      <c r="C191" s="144">
        <f>LET(
  gain, Raw_Data_Daily!$CA$2:$CA$9999,
  players, Raw_Data_Daily!$D$2:$D$9999,
  group, Raw_Data_Daily!$B$2:$B$9999,
  segment, Raw_Data_Daily!$C$2:$C$9999,
  IFERROR(SUMPRODUCT(gain, players, --(group="Variant"), --(segment="C. 10-19")) / SUMPRODUCT(players, --(group="Variant"), --(segment="C. 10-19")), 0)
)</f>
        <v>0.4201651549</v>
      </c>
      <c r="D191" s="144">
        <f>LET(
  gain, Raw_Data_Daily!$CA$2:$CA$9999,
  players, Raw_Data_Daily!$D$2:$D$9999,
  group, Raw_Data_Daily!$B$2:$B$9999,
  segment, Raw_Data_Daily!$C$2:$C$9999,
  IFERROR(SUMPRODUCT(gain, players, --(group="Variant"), --(segment="D. 20-39")) / SUMPRODUCT(players, --(group="Variant"), --(segment="D. 20-39")), 0)
)</f>
        <v>0.7466441729</v>
      </c>
      <c r="E191" s="144">
        <f>LET(
  gain, Raw_Data_Daily!$CA$2:$CA$9999,
  players, Raw_Data_Daily!$D$2:$D$9999,
  group, Raw_Data_Daily!$B$2:$B$9999,
  segment, Raw_Data_Daily!$C$2:$C$9999,
  IFERROR(SUMPRODUCT(gain, players, --(group="Variant"), --(segment="E. 40-99")) / SUMPRODUCT(players, --(group="Variant"), --(segment="E. 40-99")), 0)
)</f>
        <v>1.359013136</v>
      </c>
      <c r="F191" s="144">
        <f>LET(
  gain, Raw_Data_Daily!$CA$2:$CA$9999,
  players, Raw_Data_Daily!$D$2:$D$9999,
  group, Raw_Data_Daily!$B$2:$B$9999,
  segment, Raw_Data_Daily!$C$2:$C$9999,
  IFERROR(SUMPRODUCT(gain, players, --(group="Variant"), --(segment="F. 100+")) / SUMPRODUCT(players, --(group="Variant"), --(segment="F. 100+")), 0)
)</f>
        <v>2.636609896</v>
      </c>
    </row>
    <row r="192" ht="15.75" customHeight="1">
      <c r="A192" s="58" t="s">
        <v>241</v>
      </c>
      <c r="B192" s="144">
        <f>LET(group, Raw_Data_Daily!$B$2:$B$9999, segment, Raw_Data_Daily!$C$2:$C$9999, players, Raw_Data_Daily!$D$2:$D$9999, levels, Raw_Data_Daily!$L$2:$L$9999, avg_levels, IFERROR(SUMPRODUCT(--(group="Variant"), --((segment="A. 0")+(segment="B. 1-9")), players, levels) / SUMPRODUCT(--(group="Variant"), --((segment="A. 0")+(segment="B. 1-9")), players), 0), B191+($K$93-$K$17)*avg_levels)</f>
        <v>0.2248381678</v>
      </c>
      <c r="C192" s="144">
        <f>LET(group, Raw_Data_Daily!$B$2:$B$9999, segment, Raw_Data_Daily!$C$2:$C$9999, players, Raw_Data_Daily!$D$2:$D$9999, levels, Raw_Data_Daily!$L$2:$L$9999, avg_levels, IFERROR(SUMPRODUCT(--(group="Variant"), --(segment="C. 10-19"), players, levels) / SUMPRODUCT(--(group="Variant"), --(segment="C. 10-19"), players), 0), C191+($K$108-$K$32)*avg_levels)</f>
        <v>0.5583078492</v>
      </c>
      <c r="D192" s="144">
        <f>LET(group, Raw_Data_Daily!$B$2:$B$9999, segment, Raw_Data_Daily!$C$2:$C$9999, players, Raw_Data_Daily!$D$2:$D$9999, levels, Raw_Data_Daily!$L$2:$L$9999, avg_levels, IFERROR(SUMPRODUCT(--(group="Variant"), --(segment="D. 20-39"), players, levels) / SUMPRODUCT(--(group="Variant"), --(segment="D. 20-39"), players), 0), D191+($K$123-$K$47)*avg_levels)</f>
        <v>1.01115378</v>
      </c>
      <c r="E192" s="144">
        <f>LET(group, Raw_Data_Daily!$B$2:$B$9999, segment, Raw_Data_Daily!$C$2:$C$9999, players, Raw_Data_Daily!$D$2:$D$9999, levels, Raw_Data_Daily!$L$2:$L$9999, avg_levels, IFERROR(SUMPRODUCT(--(group="Variant"), --(segment="E. 40-99"), players, levels) / SUMPRODUCT(--(group="Variant"), --(segment="E. 40-99"), players), 0), E191+($K$138-$K$62)*avg_levels)</f>
        <v>1.901310222</v>
      </c>
      <c r="F192" s="144">
        <f>LET(group, Raw_Data_Daily!$B$2:$B$9999, segment, Raw_Data_Daily!$C$2:$C$9999, players, Raw_Data_Daily!$D$2:$D$9999, levels, Raw_Data_Daily!$L$2:$L$9999, avg_levels, IFERROR(SUMPRODUCT(--(group="Variant"), --(segment="F. 100+"), players, levels) / SUMPRODUCT(--(group="Variant"), --(segment="F. 100+"), players), 0), F191+($K$153-$K$77)*avg_levels)</f>
        <v>3.875360333</v>
      </c>
    </row>
    <row r="193" ht="15.75" customHeight="1">
      <c r="A193" s="70" t="s">
        <v>276</v>
      </c>
      <c r="B193" s="146">
        <f t="shared" ref="B193:F193" si="33">IFERROR(B191/B190-1,"")</f>
        <v>-0.29660125</v>
      </c>
      <c r="C193" s="146">
        <f t="shared" si="33"/>
        <v>-0.1900757672</v>
      </c>
      <c r="D193" s="146">
        <f t="shared" si="33"/>
        <v>-0.1841432607</v>
      </c>
      <c r="E193" s="146">
        <f t="shared" si="33"/>
        <v>-0.2744262157</v>
      </c>
      <c r="F193" s="146">
        <f t="shared" si="33"/>
        <v>-0.3496683608</v>
      </c>
    </row>
    <row r="194" ht="15.75" customHeight="1">
      <c r="A194" s="74" t="s">
        <v>277</v>
      </c>
      <c r="B194" s="170">
        <f t="shared" ref="B194:F194" si="34">IFERROR(B192/B190-1,"")</f>
        <v>-0.05353760836</v>
      </c>
      <c r="C194" s="170">
        <f t="shared" si="34"/>
        <v>0.07621265396</v>
      </c>
      <c r="D194" s="170">
        <f t="shared" si="34"/>
        <v>0.1048859098</v>
      </c>
      <c r="E194" s="170">
        <f t="shared" si="34"/>
        <v>0.01510487004</v>
      </c>
      <c r="F194" s="170">
        <f t="shared" si="34"/>
        <v>-0.04412501767</v>
      </c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</sheetData>
  <conditionalFormatting sqref="A79:O153">
    <cfRule type="expression" dxfId="5" priority="1" stopIfTrue="1">
      <formula>A79&lt;&gt;A3</formula>
    </cfRule>
  </conditionalFormatting>
  <conditionalFormatting sqref="C4:G4 C80:G80 B159:F159 B166:F166 B171:F171 B176:F176 B183:F183 B188:F188 B193:F193">
    <cfRule type="cellIs" dxfId="2" priority="2" operator="greaterThan">
      <formula>0</formula>
    </cfRule>
  </conditionalFormatting>
  <conditionalFormatting sqref="C4:G4 C80:G80 B159:F159 B166:F166 B171:F171 B176:F176 B183:F183 B188:F188 B193:F193">
    <cfRule type="cellIs" dxfId="3" priority="3" operator="less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22" width="6.29"/>
    <col customWidth="1" min="23" max="23" width="119.71"/>
    <col customWidth="1" min="24" max="24" width="6.29"/>
  </cols>
  <sheetData>
    <row r="4">
      <c r="B4" s="175" t="s">
        <v>258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</row>
    <row r="5">
      <c r="B5" s="177" t="s">
        <v>259</v>
      </c>
      <c r="C5" s="178" t="s">
        <v>260</v>
      </c>
      <c r="D5" s="178" t="s">
        <v>261</v>
      </c>
      <c r="E5" s="178" t="s">
        <v>262</v>
      </c>
      <c r="F5" s="179" t="s">
        <v>263</v>
      </c>
      <c r="G5" s="180" t="s">
        <v>115</v>
      </c>
      <c r="H5" s="180" t="s">
        <v>264</v>
      </c>
      <c r="I5" s="180" t="s">
        <v>79</v>
      </c>
      <c r="J5" s="180" t="s">
        <v>85</v>
      </c>
      <c r="K5" s="180" t="s">
        <v>91</v>
      </c>
      <c r="L5" s="180" t="s">
        <v>97</v>
      </c>
      <c r="M5" s="180" t="s">
        <v>103</v>
      </c>
      <c r="N5" s="180" t="s">
        <v>167</v>
      </c>
      <c r="O5" s="180" t="s">
        <v>168</v>
      </c>
      <c r="P5" s="180" t="s">
        <v>169</v>
      </c>
      <c r="Q5" s="180" t="s">
        <v>170</v>
      </c>
      <c r="R5" s="180" t="s">
        <v>171</v>
      </c>
      <c r="S5" s="180" t="s">
        <v>265</v>
      </c>
      <c r="T5" s="180" t="s">
        <v>266</v>
      </c>
    </row>
    <row r="6">
      <c r="B6" s="181">
        <v>1.0</v>
      </c>
      <c r="C6" s="181">
        <v>160.0</v>
      </c>
      <c r="D6" s="181">
        <v>160.0</v>
      </c>
      <c r="E6" s="182" t="b">
        <f>IFERROR(__xludf.DUMMYFUNCTION("if(countif($F6:$T6, ""&lt;&gt;0"")&lt;1, ""NO REWARD!"", if(counta(filter($F6:$T6, $F6:$T6&lt;&gt;0))&gt;1, TRUE, FALSE))"),FALSE)</f>
        <v>0</v>
      </c>
      <c r="F6" s="183">
        <v>0.0</v>
      </c>
      <c r="G6" s="184">
        <v>0.0</v>
      </c>
      <c r="H6" s="184">
        <v>0.0</v>
      </c>
      <c r="I6" s="185">
        <v>1.0</v>
      </c>
      <c r="J6" s="184">
        <v>0.0</v>
      </c>
      <c r="K6" s="184">
        <v>0.0</v>
      </c>
      <c r="L6" s="184">
        <v>0.0</v>
      </c>
      <c r="M6" s="184">
        <v>0.0</v>
      </c>
      <c r="N6" s="184">
        <v>0.0</v>
      </c>
      <c r="O6" s="184">
        <v>0.0</v>
      </c>
      <c r="P6" s="184">
        <v>0.0</v>
      </c>
      <c r="Q6" s="184">
        <v>0.0</v>
      </c>
      <c r="R6" s="184">
        <v>0.0</v>
      </c>
      <c r="S6" s="184">
        <v>0.0</v>
      </c>
      <c r="T6" s="184">
        <v>0.0</v>
      </c>
    </row>
    <row r="7">
      <c r="B7" s="186">
        <v>2.0</v>
      </c>
      <c r="C7" s="186">
        <v>300.0</v>
      </c>
      <c r="D7" s="186">
        <v>460.0</v>
      </c>
      <c r="E7" s="187" t="b">
        <f>IFERROR(__xludf.DUMMYFUNCTION("if(countif($F7:$T7, ""&lt;&gt;0"")&lt;1, ""NO REWARD!"", if(counta(filter($F7:$T7, $F7:$T7&lt;&gt;0))&gt;1, TRUE, FALSE))"),FALSE)</f>
        <v>0</v>
      </c>
      <c r="F7" s="188">
        <v>10.0</v>
      </c>
      <c r="G7" s="184">
        <v>0.0</v>
      </c>
      <c r="H7" s="184">
        <v>0.0</v>
      </c>
      <c r="I7" s="184">
        <v>0.0</v>
      </c>
      <c r="J7" s="184">
        <v>0.0</v>
      </c>
      <c r="K7" s="184">
        <v>0.0</v>
      </c>
      <c r="L7" s="184">
        <v>0.0</v>
      </c>
      <c r="M7" s="184">
        <v>0.0</v>
      </c>
      <c r="N7" s="184">
        <v>0.0</v>
      </c>
      <c r="O7" s="184">
        <v>0.0</v>
      </c>
      <c r="P7" s="184">
        <v>0.0</v>
      </c>
      <c r="Q7" s="184">
        <v>0.0</v>
      </c>
      <c r="R7" s="184">
        <v>0.0</v>
      </c>
      <c r="S7" s="184">
        <v>0.0</v>
      </c>
      <c r="T7" s="184">
        <v>0.0</v>
      </c>
    </row>
    <row r="8">
      <c r="B8" s="181">
        <v>3.0</v>
      </c>
      <c r="C8" s="181">
        <v>1000.0</v>
      </c>
      <c r="D8" s="181">
        <v>1460.0</v>
      </c>
      <c r="E8" s="189" t="b">
        <f>IFERROR(__xludf.DUMMYFUNCTION("if(countif($F8:$T8, ""&lt;&gt;0"")&lt;1, ""NO REWARD!"", if(counta(filter($F8:$T8, $F8:$T8&lt;&gt;0))&gt;1, TRUE, FALSE))"),FALSE)</f>
        <v>0</v>
      </c>
      <c r="F8" s="183">
        <v>0.0</v>
      </c>
      <c r="G8" s="184">
        <v>0.0</v>
      </c>
      <c r="H8" s="184">
        <v>0.0</v>
      </c>
      <c r="I8" s="184">
        <v>0.0</v>
      </c>
      <c r="J8" s="184">
        <v>0.0</v>
      </c>
      <c r="K8" s="184">
        <v>0.0</v>
      </c>
      <c r="L8" s="184">
        <v>0.0</v>
      </c>
      <c r="M8" s="184">
        <v>0.0</v>
      </c>
      <c r="N8" s="184">
        <v>0.0</v>
      </c>
      <c r="O8" s="185">
        <v>10.0</v>
      </c>
      <c r="P8" s="184">
        <v>0.0</v>
      </c>
      <c r="Q8" s="184">
        <v>0.0</v>
      </c>
      <c r="R8" s="184">
        <v>0.0</v>
      </c>
      <c r="S8" s="184">
        <v>0.0</v>
      </c>
      <c r="T8" s="184">
        <v>0.0</v>
      </c>
    </row>
    <row r="9">
      <c r="B9" s="186">
        <v>4.0</v>
      </c>
      <c r="C9" s="186">
        <v>250.0</v>
      </c>
      <c r="D9" s="186">
        <v>1710.0</v>
      </c>
      <c r="E9" s="187" t="b">
        <f>IFERROR(__xludf.DUMMYFUNCTION("if(countif($F9:$T9, ""&lt;&gt;0"")&lt;1, ""NO REWARD!"", if(counta(filter($F9:$T9, $F9:$T9&lt;&gt;0))&gt;1, TRUE, FALSE))"),FALSE)</f>
        <v>0</v>
      </c>
      <c r="F9" s="183">
        <v>0.0</v>
      </c>
      <c r="G9" s="185">
        <v>10.0</v>
      </c>
      <c r="H9" s="184">
        <v>0.0</v>
      </c>
      <c r="I9" s="184">
        <v>0.0</v>
      </c>
      <c r="J9" s="184">
        <v>0.0</v>
      </c>
      <c r="K9" s="184">
        <v>0.0</v>
      </c>
      <c r="L9" s="184">
        <v>0.0</v>
      </c>
      <c r="M9" s="184">
        <v>0.0</v>
      </c>
      <c r="N9" s="184">
        <v>0.0</v>
      </c>
      <c r="O9" s="184">
        <v>0.0</v>
      </c>
      <c r="P9" s="184">
        <v>0.0</v>
      </c>
      <c r="Q9" s="184">
        <v>0.0</v>
      </c>
      <c r="R9" s="184">
        <v>0.0</v>
      </c>
      <c r="S9" s="184">
        <v>0.0</v>
      </c>
      <c r="T9" s="184">
        <v>0.0</v>
      </c>
    </row>
    <row r="10">
      <c r="B10" s="181">
        <v>5.0</v>
      </c>
      <c r="C10" s="181">
        <v>500.0</v>
      </c>
      <c r="D10" s="181">
        <v>2210.0</v>
      </c>
      <c r="E10" s="189" t="b">
        <f>IFERROR(__xludf.DUMMYFUNCTION("if(countif($F10:$T10, ""&lt;&gt;0"")&lt;1, ""NO REWARD!"", if(counta(filter($F10:$T10, $F10:$T10&lt;&gt;0))&gt;1, TRUE, FALSE))"),FALSE)</f>
        <v>0</v>
      </c>
      <c r="F10" s="183">
        <v>0.0</v>
      </c>
      <c r="G10" s="184">
        <v>0.0</v>
      </c>
      <c r="H10" s="184">
        <v>0.0</v>
      </c>
      <c r="I10" s="184">
        <v>0.0</v>
      </c>
      <c r="J10" s="185">
        <v>1.0</v>
      </c>
      <c r="K10" s="184">
        <v>0.0</v>
      </c>
      <c r="L10" s="184">
        <v>0.0</v>
      </c>
      <c r="M10" s="184">
        <v>0.0</v>
      </c>
      <c r="N10" s="184">
        <v>0.0</v>
      </c>
      <c r="O10" s="184">
        <v>0.0</v>
      </c>
      <c r="P10" s="184">
        <v>0.0</v>
      </c>
      <c r="Q10" s="184">
        <v>0.0</v>
      </c>
      <c r="R10" s="184">
        <v>0.0</v>
      </c>
      <c r="S10" s="184">
        <v>0.0</v>
      </c>
      <c r="T10" s="184">
        <v>0.0</v>
      </c>
    </row>
    <row r="11">
      <c r="B11" s="186">
        <v>6.0</v>
      </c>
      <c r="C11" s="186">
        <v>1600.0</v>
      </c>
      <c r="D11" s="186">
        <v>3810.0</v>
      </c>
      <c r="E11" s="182" t="b">
        <f>IFERROR(__xludf.DUMMYFUNCTION("if(countif($F11:$T11, ""&lt;&gt;0"")&lt;1, ""NO REWARD!"", if(counta(filter($F11:$T11, $F11:$T11&lt;&gt;0))&gt;1, TRUE, FALSE))"),TRUE)</f>
        <v>1</v>
      </c>
      <c r="F11" s="183">
        <v>0.0</v>
      </c>
      <c r="G11" s="184">
        <v>0.0</v>
      </c>
      <c r="H11" s="185">
        <v>10.0</v>
      </c>
      <c r="I11" s="184">
        <v>0.0</v>
      </c>
      <c r="J11" s="184">
        <v>0.0</v>
      </c>
      <c r="K11" s="184">
        <v>0.0</v>
      </c>
      <c r="L11" s="185">
        <v>0.0</v>
      </c>
      <c r="M11" s="184">
        <v>0.0</v>
      </c>
      <c r="N11" s="184">
        <v>0.0</v>
      </c>
      <c r="O11" s="190">
        <v>15.0</v>
      </c>
      <c r="P11" s="184">
        <v>0.0</v>
      </c>
      <c r="Q11" s="184">
        <v>0.0</v>
      </c>
      <c r="R11" s="184">
        <v>0.0</v>
      </c>
      <c r="S11" s="184">
        <v>0.0</v>
      </c>
      <c r="T11" s="184">
        <v>0.0</v>
      </c>
    </row>
    <row r="12">
      <c r="B12" s="181">
        <v>7.0</v>
      </c>
      <c r="C12" s="181">
        <v>500.0</v>
      </c>
      <c r="D12" s="181">
        <v>4310.0</v>
      </c>
      <c r="E12" s="189" t="b">
        <f>IFERROR(__xludf.DUMMYFUNCTION("if(countif($F12:$T12, ""&lt;&gt;0"")&lt;1, ""NO REWARD!"", if(counta(filter($F12:$T12, $F12:$T12&lt;&gt;0))&gt;1, TRUE, FALSE))"),FALSE)</f>
        <v>0</v>
      </c>
      <c r="F12" s="183">
        <v>0.0</v>
      </c>
      <c r="G12" s="185">
        <v>30.0</v>
      </c>
      <c r="H12" s="184">
        <v>0.0</v>
      </c>
      <c r="I12" s="184">
        <v>0.0</v>
      </c>
      <c r="J12" s="184">
        <v>0.0</v>
      </c>
      <c r="K12" s="184">
        <v>0.0</v>
      </c>
      <c r="L12" s="184">
        <v>0.0</v>
      </c>
      <c r="M12" s="184">
        <v>0.0</v>
      </c>
      <c r="N12" s="184">
        <v>0.0</v>
      </c>
      <c r="O12" s="184">
        <v>0.0</v>
      </c>
      <c r="P12" s="184">
        <v>0.0</v>
      </c>
      <c r="Q12" s="184">
        <v>0.0</v>
      </c>
      <c r="R12" s="184">
        <v>0.0</v>
      </c>
      <c r="S12" s="184">
        <v>0.0</v>
      </c>
      <c r="T12" s="184">
        <v>0.0</v>
      </c>
    </row>
    <row r="13">
      <c r="B13" s="186">
        <v>8.0</v>
      </c>
      <c r="C13" s="186">
        <v>1000.0</v>
      </c>
      <c r="D13" s="186">
        <v>5310.0</v>
      </c>
      <c r="E13" s="187" t="b">
        <f>IFERROR(__xludf.DUMMYFUNCTION("if(countif($F13:$T13, ""&lt;&gt;0"")&lt;1, ""NO REWARD!"", if(counta(filter($F13:$T13, $F13:$T13&lt;&gt;0))&gt;1, TRUE, FALSE))"),FALSE)</f>
        <v>0</v>
      </c>
      <c r="F13" s="183">
        <v>0.0</v>
      </c>
      <c r="G13" s="184">
        <v>0.0</v>
      </c>
      <c r="H13" s="184">
        <v>0.0</v>
      </c>
      <c r="I13" s="184">
        <v>0.0</v>
      </c>
      <c r="J13" s="190">
        <v>1.0</v>
      </c>
      <c r="K13" s="184">
        <v>0.0</v>
      </c>
      <c r="L13" s="185">
        <v>0.0</v>
      </c>
      <c r="M13" s="184">
        <v>0.0</v>
      </c>
      <c r="N13" s="184">
        <v>0.0</v>
      </c>
      <c r="O13" s="184">
        <v>0.0</v>
      </c>
      <c r="P13" s="184">
        <v>0.0</v>
      </c>
      <c r="Q13" s="184">
        <v>0.0</v>
      </c>
      <c r="R13" s="184">
        <v>0.0</v>
      </c>
      <c r="S13" s="184">
        <v>0.0</v>
      </c>
      <c r="T13" s="184">
        <v>0.0</v>
      </c>
    </row>
    <row r="14">
      <c r="B14" s="181">
        <v>9.0</v>
      </c>
      <c r="C14" s="181">
        <v>3300.0</v>
      </c>
      <c r="D14" s="181">
        <v>8610.0</v>
      </c>
      <c r="E14" s="189" t="b">
        <f>IFERROR(__xludf.DUMMYFUNCTION("if(countif($F14:$T14, ""&lt;&gt;0"")&lt;1, ""NO REWARD!"", if(counta(filter($F14:$T14, $F14:$T14&lt;&gt;0))&gt;1, TRUE, FALSE))"),FALSE)</f>
        <v>0</v>
      </c>
      <c r="F14" s="188">
        <v>20.0</v>
      </c>
      <c r="G14" s="184">
        <v>0.0</v>
      </c>
      <c r="H14" s="184">
        <v>0.0</v>
      </c>
      <c r="I14" s="184">
        <v>0.0</v>
      </c>
      <c r="J14" s="184">
        <v>0.0</v>
      </c>
      <c r="K14" s="184">
        <v>0.0</v>
      </c>
      <c r="L14" s="184">
        <v>0.0</v>
      </c>
      <c r="M14" s="184">
        <v>0.0</v>
      </c>
      <c r="N14" s="184">
        <v>0.0</v>
      </c>
      <c r="O14" s="184">
        <v>0.0</v>
      </c>
      <c r="P14" s="184">
        <v>0.0</v>
      </c>
      <c r="Q14" s="184">
        <v>0.0</v>
      </c>
      <c r="R14" s="184">
        <v>0.0</v>
      </c>
      <c r="S14" s="184">
        <v>0.0</v>
      </c>
      <c r="T14" s="184">
        <v>0.0</v>
      </c>
    </row>
    <row r="15">
      <c r="B15" s="186">
        <v>10.0</v>
      </c>
      <c r="C15" s="186">
        <v>1100.0</v>
      </c>
      <c r="D15" s="186">
        <v>9710.0</v>
      </c>
      <c r="E15" s="187" t="b">
        <f>IFERROR(__xludf.DUMMYFUNCTION("if(countif($F15:$T15, ""&lt;&gt;0"")&lt;1, ""NO REWARD!"", if(counta(filter($F15:$T15, $F15:$T15&lt;&gt;0))&gt;1, TRUE, FALSE))"),FALSE)</f>
        <v>0</v>
      </c>
      <c r="F15" s="183">
        <v>0.0</v>
      </c>
      <c r="G15" s="185">
        <v>50.0</v>
      </c>
      <c r="H15" s="184">
        <v>0.0</v>
      </c>
      <c r="I15" s="184">
        <v>0.0</v>
      </c>
      <c r="J15" s="184">
        <v>0.0</v>
      </c>
      <c r="K15" s="184">
        <v>0.0</v>
      </c>
      <c r="L15" s="184">
        <v>0.0</v>
      </c>
      <c r="M15" s="184">
        <v>0.0</v>
      </c>
      <c r="N15" s="184">
        <v>0.0</v>
      </c>
      <c r="O15" s="184">
        <v>0.0</v>
      </c>
      <c r="P15" s="184">
        <v>0.0</v>
      </c>
      <c r="Q15" s="184">
        <v>0.0</v>
      </c>
      <c r="R15" s="184">
        <v>0.0</v>
      </c>
      <c r="S15" s="184">
        <v>0.0</v>
      </c>
      <c r="T15" s="184">
        <v>0.0</v>
      </c>
    </row>
    <row r="16">
      <c r="B16" s="181">
        <v>11.0</v>
      </c>
      <c r="C16" s="181">
        <v>2200.0</v>
      </c>
      <c r="D16" s="181">
        <v>11910.0</v>
      </c>
      <c r="E16" s="189" t="b">
        <f>IFERROR(__xludf.DUMMYFUNCTION("if(countif($F16:$T16, ""&lt;&gt;0"")&lt;1, ""NO REWARD!"", if(counta(filter($F16:$T16, $F16:$T16&lt;&gt;0))&gt;1, TRUE, FALSE))"),FALSE)</f>
        <v>0</v>
      </c>
      <c r="F16" s="183">
        <v>0.0</v>
      </c>
      <c r="G16" s="184">
        <v>0.0</v>
      </c>
      <c r="H16" s="184">
        <v>0.0</v>
      </c>
      <c r="I16" s="184">
        <v>0.0</v>
      </c>
      <c r="J16" s="184">
        <v>0.0</v>
      </c>
      <c r="K16" s="184">
        <v>0.0</v>
      </c>
      <c r="L16" s="184">
        <v>0.0</v>
      </c>
      <c r="M16" s="185">
        <v>1.0</v>
      </c>
      <c r="N16" s="184">
        <v>0.0</v>
      </c>
      <c r="O16" s="184">
        <v>0.0</v>
      </c>
      <c r="P16" s="184">
        <v>0.0</v>
      </c>
      <c r="Q16" s="184">
        <v>0.0</v>
      </c>
      <c r="R16" s="184">
        <v>0.0</v>
      </c>
      <c r="S16" s="184">
        <v>0.0</v>
      </c>
      <c r="T16" s="184">
        <v>0.0</v>
      </c>
    </row>
    <row r="17">
      <c r="B17" s="186">
        <v>12.0</v>
      </c>
      <c r="C17" s="186">
        <v>6500.0</v>
      </c>
      <c r="D17" s="186">
        <v>18410.0</v>
      </c>
      <c r="E17" s="182" t="b">
        <f>IFERROR(__xludf.DUMMYFUNCTION("if(countif($F17:$T17, ""&lt;&gt;0"")&lt;1, ""NO REWARD!"", if(counta(filter($F17:$T17, $F17:$T17&lt;&gt;0))&gt;1, TRUE, FALSE))"),TRUE)</f>
        <v>1</v>
      </c>
      <c r="F17" s="183">
        <v>0.0</v>
      </c>
      <c r="G17" s="184">
        <v>0.0</v>
      </c>
      <c r="H17" s="184">
        <v>0.0</v>
      </c>
      <c r="I17" s="184">
        <v>0.0</v>
      </c>
      <c r="J17" s="184">
        <v>0.0</v>
      </c>
      <c r="K17" s="184">
        <v>0.0</v>
      </c>
      <c r="L17" s="184">
        <v>0.0</v>
      </c>
      <c r="M17" s="184">
        <v>0.0</v>
      </c>
      <c r="N17" s="185">
        <v>1.0</v>
      </c>
      <c r="O17" s="185">
        <v>30.0</v>
      </c>
      <c r="P17" s="184">
        <v>0.0</v>
      </c>
      <c r="Q17" s="184">
        <v>0.0</v>
      </c>
      <c r="R17" s="184">
        <v>0.0</v>
      </c>
      <c r="S17" s="184">
        <v>0.0</v>
      </c>
      <c r="T17" s="184">
        <v>0.0</v>
      </c>
    </row>
    <row r="18">
      <c r="B18" s="181">
        <v>13.0</v>
      </c>
      <c r="C18" s="181">
        <v>2200.0</v>
      </c>
      <c r="D18" s="181">
        <v>20610.0</v>
      </c>
      <c r="E18" s="189" t="b">
        <f>IFERROR(__xludf.DUMMYFUNCTION("if(countif($F18:$T18, ""&lt;&gt;0"")&lt;1, ""NO REWARD!"", if(counta(filter($F18:$T18, $F18:$T18&lt;&gt;0))&gt;1, TRUE, FALSE))"),FALSE)</f>
        <v>0</v>
      </c>
      <c r="F18" s="183">
        <v>0.0</v>
      </c>
      <c r="G18" s="184">
        <v>0.0</v>
      </c>
      <c r="H18" s="184">
        <v>0.0</v>
      </c>
      <c r="I18" s="184">
        <v>0.0</v>
      </c>
      <c r="J18" s="184">
        <v>0.0</v>
      </c>
      <c r="K18" s="190">
        <v>1.0</v>
      </c>
      <c r="L18" s="184">
        <v>0.0</v>
      </c>
      <c r="M18" s="184">
        <v>0.0</v>
      </c>
      <c r="N18" s="184">
        <v>0.0</v>
      </c>
      <c r="O18" s="184">
        <v>0.0</v>
      </c>
      <c r="P18" s="191">
        <v>0.0</v>
      </c>
      <c r="Q18" s="184">
        <v>0.0</v>
      </c>
      <c r="R18" s="184">
        <v>0.0</v>
      </c>
      <c r="S18" s="184">
        <v>0.0</v>
      </c>
      <c r="T18" s="184">
        <v>0.0</v>
      </c>
    </row>
    <row r="19">
      <c r="B19" s="186">
        <v>14.0</v>
      </c>
      <c r="C19" s="186">
        <v>4400.0</v>
      </c>
      <c r="D19" s="186">
        <v>25010.0</v>
      </c>
      <c r="E19" s="187" t="b">
        <f>IFERROR(__xludf.DUMMYFUNCTION("if(countif($F19:$T19, ""&lt;&gt;0"")&lt;1, ""NO REWARD!"", if(counta(filter($F19:$T19, $F19:$T19&lt;&gt;0))&gt;1, TRUE, FALSE))"),FALSE)</f>
        <v>0</v>
      </c>
      <c r="F19" s="183">
        <v>0.0</v>
      </c>
      <c r="G19" s="185">
        <v>0.0</v>
      </c>
      <c r="H19" s="184">
        <v>0.0</v>
      </c>
      <c r="I19" s="184">
        <v>0.0</v>
      </c>
      <c r="J19" s="184">
        <v>0.0</v>
      </c>
      <c r="K19" s="184">
        <v>0.0</v>
      </c>
      <c r="L19" s="184">
        <v>0.0</v>
      </c>
      <c r="M19" s="184">
        <v>0.0</v>
      </c>
      <c r="N19" s="184">
        <v>0.0</v>
      </c>
      <c r="O19" s="184">
        <v>0.0</v>
      </c>
      <c r="P19" s="192">
        <v>10.0</v>
      </c>
      <c r="Q19" s="184">
        <v>0.0</v>
      </c>
      <c r="R19" s="184">
        <v>0.0</v>
      </c>
      <c r="S19" s="184">
        <v>0.0</v>
      </c>
      <c r="T19" s="184">
        <v>0.0</v>
      </c>
    </row>
    <row r="20">
      <c r="B20" s="181">
        <v>15.0</v>
      </c>
      <c r="C20" s="181">
        <v>13250.0</v>
      </c>
      <c r="D20" s="181">
        <v>38260.0</v>
      </c>
      <c r="E20" s="189" t="b">
        <f>IFERROR(__xludf.DUMMYFUNCTION("if(countif($F20:$T20, ""&lt;&gt;0"")&lt;1, ""NO REWARD!"", if(counta(filter($F20:$T20, $F20:$T20&lt;&gt;0))&gt;1, TRUE, FALSE))"),FALSE)</f>
        <v>0</v>
      </c>
      <c r="F20" s="183">
        <v>0.0</v>
      </c>
      <c r="G20" s="190">
        <v>75.0</v>
      </c>
      <c r="H20" s="184">
        <v>0.0</v>
      </c>
      <c r="I20" s="184">
        <v>0.0</v>
      </c>
      <c r="J20" s="184">
        <v>0.0</v>
      </c>
      <c r="K20" s="185">
        <v>0.0</v>
      </c>
      <c r="L20" s="184">
        <v>0.0</v>
      </c>
      <c r="M20" s="184">
        <v>0.0</v>
      </c>
      <c r="N20" s="184">
        <v>0.0</v>
      </c>
      <c r="O20" s="184">
        <v>0.0</v>
      </c>
      <c r="P20" s="193">
        <v>0.0</v>
      </c>
      <c r="Q20" s="184">
        <v>0.0</v>
      </c>
      <c r="R20" s="184">
        <v>0.0</v>
      </c>
      <c r="S20" s="184">
        <v>0.0</v>
      </c>
      <c r="T20" s="184">
        <v>0.0</v>
      </c>
    </row>
    <row r="21">
      <c r="B21" s="186">
        <v>16.0</v>
      </c>
      <c r="C21" s="186">
        <v>3300.0</v>
      </c>
      <c r="D21" s="186">
        <v>41560.0</v>
      </c>
      <c r="E21" s="182" t="b">
        <f>IFERROR(__xludf.DUMMYFUNCTION("if(countif($F21:$T21, ""&lt;&gt;0"")&lt;1, ""NO REWARD!"", if(counta(filter($F21:$T21, $F21:$T21&lt;&gt;0))&gt;1, TRUE, FALSE))"),TRUE)</f>
        <v>1</v>
      </c>
      <c r="F21" s="194">
        <v>50.0</v>
      </c>
      <c r="G21" s="184">
        <v>0.0</v>
      </c>
      <c r="H21" s="184">
        <v>0.0</v>
      </c>
      <c r="I21" s="184">
        <v>0.0</v>
      </c>
      <c r="J21" s="184">
        <v>0.0</v>
      </c>
      <c r="K21" s="190">
        <v>1.0</v>
      </c>
      <c r="L21" s="185">
        <v>0.0</v>
      </c>
      <c r="M21" s="184">
        <v>0.0</v>
      </c>
      <c r="N21" s="184">
        <v>0.0</v>
      </c>
      <c r="O21" s="184">
        <v>0.0</v>
      </c>
      <c r="P21" s="193">
        <v>0.0</v>
      </c>
      <c r="Q21" s="184">
        <v>0.0</v>
      </c>
      <c r="R21" s="184">
        <v>0.0</v>
      </c>
      <c r="S21" s="184">
        <v>0.0</v>
      </c>
      <c r="T21" s="184">
        <v>0.0</v>
      </c>
    </row>
    <row r="22">
      <c r="B22" s="181">
        <v>17.0</v>
      </c>
      <c r="C22" s="181">
        <v>6500.0</v>
      </c>
      <c r="D22" s="181">
        <v>48060.0</v>
      </c>
      <c r="E22" s="189" t="b">
        <f>IFERROR(__xludf.DUMMYFUNCTION("if(countif($F22:$T22, ""&lt;&gt;0"")&lt;1, ""NO REWARD!"", if(counta(filter($F22:$T22, $F22:$T22&lt;&gt;0))&gt;1, TRUE, FALSE))"),FALSE)</f>
        <v>0</v>
      </c>
      <c r="F22" s="183">
        <v>0.0</v>
      </c>
      <c r="G22" s="185">
        <v>125.0</v>
      </c>
      <c r="H22" s="184">
        <v>0.0</v>
      </c>
      <c r="I22" s="184">
        <v>0.0</v>
      </c>
      <c r="J22" s="184">
        <v>0.0</v>
      </c>
      <c r="K22" s="184">
        <v>0.0</v>
      </c>
      <c r="L22" s="184">
        <v>0.0</v>
      </c>
      <c r="M22" s="184">
        <v>0.0</v>
      </c>
      <c r="N22" s="184">
        <v>0.0</v>
      </c>
      <c r="O22" s="184">
        <v>0.0</v>
      </c>
      <c r="P22" s="193">
        <v>0.0</v>
      </c>
      <c r="Q22" s="184">
        <v>0.0</v>
      </c>
      <c r="R22" s="184">
        <v>0.0</v>
      </c>
      <c r="S22" s="184">
        <v>0.0</v>
      </c>
      <c r="T22" s="184">
        <v>0.0</v>
      </c>
    </row>
    <row r="23">
      <c r="B23" s="186">
        <v>18.0</v>
      </c>
      <c r="C23" s="186">
        <v>19750.0</v>
      </c>
      <c r="D23" s="186">
        <v>67810.0</v>
      </c>
      <c r="E23" s="187" t="b">
        <f>IFERROR(__xludf.DUMMYFUNCTION("if(countif($F23:$T23, ""&lt;&gt;0"")&lt;1, ""NO REWARD!"", if(counta(filter($F23:$T23, $F23:$T23&lt;&gt;0))&gt;1, TRUE, FALSE))"),FALSE)</f>
        <v>0</v>
      </c>
      <c r="F23" s="188">
        <v>0.0</v>
      </c>
      <c r="G23" s="184">
        <v>0.0</v>
      </c>
      <c r="H23" s="184">
        <v>0.0</v>
      </c>
      <c r="I23" s="190">
        <v>2.0</v>
      </c>
      <c r="J23" s="184">
        <v>0.0</v>
      </c>
      <c r="K23" s="184">
        <v>0.0</v>
      </c>
      <c r="L23" s="184">
        <v>0.0</v>
      </c>
      <c r="M23" s="185">
        <v>0.0</v>
      </c>
      <c r="N23" s="184">
        <v>0.0</v>
      </c>
      <c r="O23" s="184">
        <v>0.0</v>
      </c>
      <c r="P23" s="193">
        <v>0.0</v>
      </c>
      <c r="Q23" s="184">
        <v>0.0</v>
      </c>
      <c r="R23" s="184">
        <v>0.0</v>
      </c>
      <c r="S23" s="184">
        <v>0.0</v>
      </c>
      <c r="T23" s="184">
        <v>0.0</v>
      </c>
    </row>
    <row r="24">
      <c r="B24" s="181">
        <v>19.0</v>
      </c>
      <c r="C24" s="181">
        <v>4200.0</v>
      </c>
      <c r="D24" s="181">
        <v>72010.0</v>
      </c>
      <c r="E24" s="189" t="b">
        <f>IFERROR(__xludf.DUMMYFUNCTION("if(countif($F24:$T24, ""&lt;&gt;0"")&lt;1, ""NO REWARD!"", if(counta(filter($F24:$T24, $F24:$T24&lt;&gt;0))&gt;1, TRUE, FALSE))"),FALSE)</f>
        <v>0</v>
      </c>
      <c r="F24" s="183">
        <v>0.0</v>
      </c>
      <c r="G24" s="184">
        <v>0.0</v>
      </c>
      <c r="H24" s="185">
        <v>20.0</v>
      </c>
      <c r="I24" s="184">
        <v>0.0</v>
      </c>
      <c r="J24" s="184">
        <v>0.0</v>
      </c>
      <c r="K24" s="184">
        <v>0.0</v>
      </c>
      <c r="L24" s="184">
        <v>0.0</v>
      </c>
      <c r="M24" s="184">
        <v>0.0</v>
      </c>
      <c r="N24" s="184">
        <v>0.0</v>
      </c>
      <c r="O24" s="184">
        <v>0.0</v>
      </c>
      <c r="P24" s="193">
        <v>0.0</v>
      </c>
      <c r="Q24" s="184">
        <v>0.0</v>
      </c>
      <c r="R24" s="184">
        <v>0.0</v>
      </c>
      <c r="S24" s="184">
        <v>0.0</v>
      </c>
      <c r="T24" s="184">
        <v>0.0</v>
      </c>
    </row>
    <row r="25">
      <c r="B25" s="186">
        <v>20.0</v>
      </c>
      <c r="C25" s="186">
        <v>8250.0</v>
      </c>
      <c r="D25" s="186">
        <v>80260.0</v>
      </c>
      <c r="E25" s="182" t="b">
        <f>IFERROR(__xludf.DUMMYFUNCTION("if(countif($F25:$T25, ""&lt;&gt;0"")&lt;1, ""NO REWARD!"", if(counta(filter($F25:$T25, $F25:$T25&lt;&gt;0))&gt;1, TRUE, FALSE))"),TRUE)</f>
        <v>1</v>
      </c>
      <c r="F25" s="194">
        <v>150.0</v>
      </c>
      <c r="G25" s="184">
        <v>0.0</v>
      </c>
      <c r="H25" s="184">
        <v>0.0</v>
      </c>
      <c r="I25" s="185">
        <v>0.0</v>
      </c>
      <c r="J25" s="184">
        <v>0.0</v>
      </c>
      <c r="K25" s="184">
        <v>0.0</v>
      </c>
      <c r="L25" s="184">
        <v>0.0</v>
      </c>
      <c r="M25" s="190">
        <v>1.0</v>
      </c>
      <c r="N25" s="184">
        <v>0.0</v>
      </c>
      <c r="O25" s="184">
        <v>0.0</v>
      </c>
      <c r="P25" s="193">
        <v>0.0</v>
      </c>
      <c r="Q25" s="184">
        <v>0.0</v>
      </c>
      <c r="R25" s="184">
        <v>0.0</v>
      </c>
      <c r="S25" s="184">
        <v>0.0</v>
      </c>
      <c r="T25" s="184">
        <v>0.0</v>
      </c>
    </row>
    <row r="26">
      <c r="B26" s="181">
        <v>21.0</v>
      </c>
      <c r="C26" s="181">
        <v>22000.0</v>
      </c>
      <c r="D26" s="181">
        <v>102260.0</v>
      </c>
      <c r="E26" s="189" t="b">
        <f>IFERROR(__xludf.DUMMYFUNCTION("if(countif($F26:$T26, ""&lt;&gt;0"")&lt;1, ""NO REWARD!"", if(counta(filter($F26:$T26, $F26:$T26&lt;&gt;0))&gt;1, TRUE, FALSE))"),FALSE)</f>
        <v>0</v>
      </c>
      <c r="F26" s="183">
        <v>0.0</v>
      </c>
      <c r="G26" s="185">
        <v>200.0</v>
      </c>
      <c r="H26" s="184">
        <v>0.0</v>
      </c>
      <c r="I26" s="184">
        <v>0.0</v>
      </c>
      <c r="J26" s="184">
        <v>0.0</v>
      </c>
      <c r="K26" s="184">
        <v>0.0</v>
      </c>
      <c r="L26" s="184">
        <v>0.0</v>
      </c>
      <c r="M26" s="184">
        <v>0.0</v>
      </c>
      <c r="N26" s="184">
        <v>0.0</v>
      </c>
      <c r="O26" s="184">
        <v>0.0</v>
      </c>
      <c r="P26" s="193">
        <v>0.0</v>
      </c>
      <c r="Q26" s="184">
        <v>0.0</v>
      </c>
      <c r="R26" s="184">
        <v>0.0</v>
      </c>
      <c r="S26" s="184">
        <v>0.0</v>
      </c>
      <c r="T26" s="184">
        <v>0.0</v>
      </c>
    </row>
    <row r="27">
      <c r="B27" s="186">
        <v>22.0</v>
      </c>
      <c r="C27" s="186">
        <v>6000.0</v>
      </c>
      <c r="D27" s="186">
        <v>108260.0</v>
      </c>
      <c r="E27" s="187" t="b">
        <f>IFERROR(__xludf.DUMMYFUNCTION("if(countif($F27:$T27, ""&lt;&gt;0"")&lt;1, ""NO REWARD!"", if(counta(filter($F27:$T27, $F27:$T27&lt;&gt;0))&gt;1, TRUE, FALSE))"),FALSE)</f>
        <v>0</v>
      </c>
      <c r="F27" s="183">
        <v>0.0</v>
      </c>
      <c r="G27" s="184">
        <v>0.0</v>
      </c>
      <c r="H27" s="184">
        <v>0.0</v>
      </c>
      <c r="I27" s="184">
        <v>0.0</v>
      </c>
      <c r="J27" s="184">
        <v>0.0</v>
      </c>
      <c r="K27" s="184">
        <v>0.0</v>
      </c>
      <c r="L27" s="184">
        <v>0.0</v>
      </c>
      <c r="M27" s="184">
        <v>0.0</v>
      </c>
      <c r="N27" s="184">
        <v>0.0</v>
      </c>
      <c r="O27" s="184">
        <v>0.0</v>
      </c>
      <c r="P27" s="193">
        <v>0.0</v>
      </c>
      <c r="Q27" s="185">
        <v>10.0</v>
      </c>
      <c r="R27" s="184">
        <v>0.0</v>
      </c>
      <c r="S27" s="184">
        <v>0.0</v>
      </c>
      <c r="T27" s="184">
        <v>0.0</v>
      </c>
    </row>
    <row r="28">
      <c r="B28" s="181">
        <v>23.0</v>
      </c>
      <c r="C28" s="181">
        <v>10500.0</v>
      </c>
      <c r="D28" s="181">
        <v>118760.0</v>
      </c>
      <c r="E28" s="189" t="b">
        <f>IFERROR(__xludf.DUMMYFUNCTION("if(countif($F28:$T28, ""&lt;&gt;0"")&lt;1, ""NO REWARD!"", if(counta(filter($F28:$T28, $F28:$T28&lt;&gt;0))&gt;1, TRUE, FALSE))"),FALSE)</f>
        <v>0</v>
      </c>
      <c r="F28" s="183">
        <v>0.0</v>
      </c>
      <c r="G28" s="184">
        <v>0.0</v>
      </c>
      <c r="H28" s="184">
        <v>0.0</v>
      </c>
      <c r="I28" s="184">
        <v>0.0</v>
      </c>
      <c r="J28" s="185">
        <v>2.0</v>
      </c>
      <c r="K28" s="184">
        <v>0.0</v>
      </c>
      <c r="L28" s="184">
        <v>0.0</v>
      </c>
      <c r="M28" s="184">
        <v>0.0</v>
      </c>
      <c r="N28" s="184">
        <v>0.0</v>
      </c>
      <c r="O28" s="184">
        <v>0.0</v>
      </c>
      <c r="P28" s="184">
        <v>0.0</v>
      </c>
      <c r="Q28" s="184">
        <v>0.0</v>
      </c>
      <c r="R28" s="184">
        <v>0.0</v>
      </c>
      <c r="S28" s="184">
        <v>0.0</v>
      </c>
      <c r="T28" s="184">
        <v>0.0</v>
      </c>
    </row>
    <row r="29">
      <c r="B29" s="186">
        <v>24.0</v>
      </c>
      <c r="C29" s="186">
        <v>33000.0</v>
      </c>
      <c r="D29" s="186">
        <v>151760.0</v>
      </c>
      <c r="E29" s="182" t="b">
        <f>IFERROR(__xludf.DUMMYFUNCTION("if(countif($F29:$T29, ""&lt;&gt;0"")&lt;1, ""NO REWARD!"", if(counta(filter($F29:$T29, $F29:$T29&lt;&gt;0))&gt;1, TRUE, FALSE))"),TRUE)</f>
        <v>1</v>
      </c>
      <c r="F29" s="188">
        <v>350.0</v>
      </c>
      <c r="G29" s="185">
        <v>350.0</v>
      </c>
      <c r="H29" s="184">
        <v>0.0</v>
      </c>
      <c r="I29" s="184">
        <v>0.0</v>
      </c>
      <c r="J29" s="184">
        <v>0.0</v>
      </c>
      <c r="K29" s="184">
        <v>0.0</v>
      </c>
      <c r="L29" s="184">
        <v>0.0</v>
      </c>
      <c r="M29" s="185">
        <v>1.0</v>
      </c>
      <c r="N29" s="185">
        <v>1.0</v>
      </c>
      <c r="O29" s="184">
        <v>0.0</v>
      </c>
      <c r="P29" s="184">
        <v>0.0</v>
      </c>
      <c r="Q29" s="184">
        <v>0.0</v>
      </c>
      <c r="R29" s="184">
        <v>0.0</v>
      </c>
      <c r="S29" s="184">
        <v>0.0</v>
      </c>
      <c r="T29" s="184">
        <v>0.0</v>
      </c>
    </row>
    <row r="30">
      <c r="B30" s="181">
        <v>25.0</v>
      </c>
      <c r="C30" s="181">
        <v>8750.0</v>
      </c>
      <c r="D30" s="181">
        <v>160510.0</v>
      </c>
      <c r="E30" s="189" t="b">
        <f>IFERROR(__xludf.DUMMYFUNCTION("if(countif($F30:$T30, ""&lt;&gt;0"")&lt;1, ""NO REWARD!"", if(counta(filter($F30:$T30, $F30:$T30&lt;&gt;0))&gt;1, TRUE, FALSE))"),FALSE)</f>
        <v>0</v>
      </c>
      <c r="F30" s="183">
        <v>0.0</v>
      </c>
      <c r="G30" s="184">
        <v>0.0</v>
      </c>
      <c r="H30" s="184">
        <v>0.0</v>
      </c>
      <c r="I30" s="184">
        <v>0.0</v>
      </c>
      <c r="J30" s="184">
        <v>0.0</v>
      </c>
      <c r="K30" s="184">
        <v>0.0</v>
      </c>
      <c r="L30" s="184">
        <v>0.0</v>
      </c>
      <c r="M30" s="184">
        <v>0.0</v>
      </c>
      <c r="N30" s="184">
        <v>0.0</v>
      </c>
      <c r="O30" s="185">
        <v>60.0</v>
      </c>
      <c r="P30" s="184">
        <v>0.0</v>
      </c>
      <c r="Q30" s="184">
        <v>0.0</v>
      </c>
      <c r="R30" s="184">
        <v>0.0</v>
      </c>
      <c r="S30" s="184">
        <v>0.0</v>
      </c>
      <c r="T30" s="184">
        <v>0.0</v>
      </c>
    </row>
    <row r="31">
      <c r="B31" s="186">
        <v>26.0</v>
      </c>
      <c r="C31" s="186">
        <v>14250.0</v>
      </c>
      <c r="D31" s="186">
        <v>174760.0</v>
      </c>
      <c r="E31" s="187" t="b">
        <f>IFERROR(__xludf.DUMMYFUNCTION("if(countif($F31:$T31, ""&lt;&gt;0"")&lt;1, ""NO REWARD!"", if(counta(filter($F31:$T31, $F31:$T31&lt;&gt;0))&gt;1, TRUE, FALSE))"),FALSE)</f>
        <v>0</v>
      </c>
      <c r="F31" s="183">
        <v>0.0</v>
      </c>
      <c r="G31" s="184">
        <v>0.0</v>
      </c>
      <c r="H31" s="184">
        <v>0.0</v>
      </c>
      <c r="I31" s="184">
        <v>0.0</v>
      </c>
      <c r="J31" s="184">
        <v>0.0</v>
      </c>
      <c r="K31" s="185">
        <v>2.0</v>
      </c>
      <c r="L31" s="184">
        <v>0.0</v>
      </c>
      <c r="M31" s="184">
        <v>0.0</v>
      </c>
      <c r="N31" s="184">
        <v>0.0</v>
      </c>
      <c r="O31" s="184">
        <v>0.0</v>
      </c>
      <c r="P31" s="184">
        <v>0.0</v>
      </c>
      <c r="Q31" s="184">
        <v>0.0</v>
      </c>
      <c r="R31" s="184">
        <v>0.0</v>
      </c>
      <c r="S31" s="184">
        <v>0.0</v>
      </c>
      <c r="T31" s="184">
        <v>0.0</v>
      </c>
    </row>
    <row r="32">
      <c r="B32" s="181">
        <v>27.0</v>
      </c>
      <c r="C32" s="181">
        <v>44000.0</v>
      </c>
      <c r="D32" s="181">
        <v>218760.0</v>
      </c>
      <c r="E32" s="189" t="b">
        <f>IFERROR(__xludf.DUMMYFUNCTION("if(countif($F32:$T32, ""&lt;&gt;0"")&lt;1, ""NO REWARD!"", if(counta(filter($F32:$T32, $F32:$T32&lt;&gt;0))&gt;1, TRUE, FALSE))"),FALSE)</f>
        <v>0</v>
      </c>
      <c r="F32" s="183">
        <v>0.0</v>
      </c>
      <c r="G32" s="185">
        <v>600.0</v>
      </c>
      <c r="H32" s="184">
        <v>0.0</v>
      </c>
      <c r="I32" s="184">
        <v>0.0</v>
      </c>
      <c r="J32" s="184">
        <v>0.0</v>
      </c>
      <c r="K32" s="184">
        <v>0.0</v>
      </c>
      <c r="L32" s="184">
        <v>0.0</v>
      </c>
      <c r="M32" s="184">
        <v>0.0</v>
      </c>
      <c r="N32" s="184">
        <v>0.0</v>
      </c>
      <c r="O32" s="184">
        <v>0.0</v>
      </c>
      <c r="P32" s="184">
        <v>0.0</v>
      </c>
      <c r="Q32" s="184">
        <v>0.0</v>
      </c>
      <c r="R32" s="184">
        <v>0.0</v>
      </c>
      <c r="S32" s="184">
        <v>0.0</v>
      </c>
      <c r="T32" s="184">
        <v>0.0</v>
      </c>
    </row>
    <row r="33">
      <c r="B33" s="186">
        <v>28.0</v>
      </c>
      <c r="C33" s="186">
        <v>16500.0</v>
      </c>
      <c r="D33" s="186">
        <v>235260.0</v>
      </c>
      <c r="E33" s="187" t="b">
        <f>IFERROR(__xludf.DUMMYFUNCTION("if(countif($F33:$T33, ""&lt;&gt;0"")&lt;1, ""NO REWARD!"", if(counta(filter($F33:$T33, $F33:$T33&lt;&gt;0))&gt;1, TRUE, FALSE))"),FALSE)</f>
        <v>0</v>
      </c>
      <c r="F33" s="183">
        <v>0.0</v>
      </c>
      <c r="G33" s="184">
        <v>0.0</v>
      </c>
      <c r="H33" s="184">
        <v>0.0</v>
      </c>
      <c r="I33" s="184">
        <v>0.0</v>
      </c>
      <c r="J33" s="184">
        <v>0.0</v>
      </c>
      <c r="K33" s="184">
        <v>0.0</v>
      </c>
      <c r="L33" s="184">
        <v>0.0</v>
      </c>
      <c r="M33" s="184">
        <v>0.0</v>
      </c>
      <c r="N33" s="184">
        <v>0.0</v>
      </c>
      <c r="O33" s="185">
        <v>60.0</v>
      </c>
      <c r="P33" s="184">
        <v>0.0</v>
      </c>
      <c r="Q33" s="184">
        <v>0.0</v>
      </c>
      <c r="R33" s="184">
        <v>0.0</v>
      </c>
      <c r="S33" s="184">
        <v>0.0</v>
      </c>
      <c r="T33" s="184">
        <v>0.0</v>
      </c>
    </row>
    <row r="34">
      <c r="B34" s="181">
        <v>29.0</v>
      </c>
      <c r="C34" s="181">
        <v>34000.0</v>
      </c>
      <c r="D34" s="181">
        <v>269260.0</v>
      </c>
      <c r="E34" s="189" t="b">
        <f>IFERROR(__xludf.DUMMYFUNCTION("if(countif($F34:$T34, ""&lt;&gt;0"")&lt;1, ""NO REWARD!"", if(counta(filter($F34:$T34, $F34:$T34&lt;&gt;0))&gt;1, TRUE, FALSE))"),FALSE)</f>
        <v>0</v>
      </c>
      <c r="F34" s="183">
        <v>0.0</v>
      </c>
      <c r="G34" s="184">
        <v>0.0</v>
      </c>
      <c r="H34" s="184">
        <v>0.0</v>
      </c>
      <c r="I34" s="184">
        <v>0.0</v>
      </c>
      <c r="J34" s="184">
        <v>0.0</v>
      </c>
      <c r="K34" s="185">
        <v>3.0</v>
      </c>
      <c r="L34" s="184">
        <v>0.0</v>
      </c>
      <c r="M34" s="184">
        <v>0.0</v>
      </c>
      <c r="N34" s="184">
        <v>0.0</v>
      </c>
      <c r="O34" s="184">
        <v>0.0</v>
      </c>
      <c r="P34" s="184">
        <v>0.0</v>
      </c>
      <c r="Q34" s="184">
        <v>0.0</v>
      </c>
      <c r="R34" s="184">
        <v>0.0</v>
      </c>
      <c r="S34" s="184">
        <v>0.0</v>
      </c>
      <c r="T34" s="184">
        <v>0.0</v>
      </c>
    </row>
    <row r="35">
      <c r="B35" s="186">
        <v>30.0</v>
      </c>
      <c r="C35" s="186">
        <v>83000.0</v>
      </c>
      <c r="D35" s="186">
        <v>352260.0</v>
      </c>
      <c r="E35" s="182" t="b">
        <f>IFERROR(__xludf.DUMMYFUNCTION("if(countif($F35:$T35, ""&lt;&gt;0"")&lt;1, ""NO REWARD!"", if(counta(filter($F35:$T35, $F35:$T35&lt;&gt;0))&gt;1, TRUE, FALSE))"),TRUE)</f>
        <v>1</v>
      </c>
      <c r="F35" s="188">
        <v>600.0</v>
      </c>
      <c r="G35" s="184">
        <v>0.0</v>
      </c>
      <c r="H35" s="184">
        <v>0.0</v>
      </c>
      <c r="I35" s="184">
        <v>0.0</v>
      </c>
      <c r="J35" s="184">
        <v>0.0</v>
      </c>
      <c r="K35" s="184">
        <v>0.0</v>
      </c>
      <c r="L35" s="185">
        <v>3.0</v>
      </c>
      <c r="M35" s="185">
        <v>3.0</v>
      </c>
      <c r="N35" s="185">
        <v>3.0</v>
      </c>
      <c r="O35" s="184">
        <v>0.0</v>
      </c>
      <c r="P35" s="184">
        <v>0.0</v>
      </c>
      <c r="Q35" s="184">
        <v>0.0</v>
      </c>
      <c r="R35" s="184">
        <v>0.0</v>
      </c>
      <c r="S35" s="184">
        <v>0.0</v>
      </c>
      <c r="T35" s="184">
        <v>0.0</v>
      </c>
    </row>
    <row r="38">
      <c r="B38" s="196" t="s">
        <v>267</v>
      </c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</row>
    <row r="39">
      <c r="B39" s="177" t="s">
        <v>259</v>
      </c>
      <c r="C39" s="178" t="s">
        <v>260</v>
      </c>
      <c r="D39" s="178" t="s">
        <v>261</v>
      </c>
      <c r="E39" s="178" t="s">
        <v>262</v>
      </c>
      <c r="F39" s="179" t="s">
        <v>263</v>
      </c>
      <c r="G39" s="180" t="s">
        <v>115</v>
      </c>
      <c r="H39" s="180" t="s">
        <v>264</v>
      </c>
      <c r="I39" s="180" t="s">
        <v>79</v>
      </c>
      <c r="J39" s="180" t="s">
        <v>85</v>
      </c>
      <c r="K39" s="180" t="s">
        <v>91</v>
      </c>
      <c r="L39" s="180" t="s">
        <v>97</v>
      </c>
      <c r="M39" s="180" t="s">
        <v>103</v>
      </c>
      <c r="N39" s="180" t="s">
        <v>167</v>
      </c>
      <c r="O39" s="180" t="s">
        <v>168</v>
      </c>
      <c r="P39" s="180" t="s">
        <v>169</v>
      </c>
      <c r="Q39" s="180" t="s">
        <v>170</v>
      </c>
      <c r="R39" s="180" t="s">
        <v>171</v>
      </c>
      <c r="S39" s="180" t="s">
        <v>265</v>
      </c>
      <c r="T39" s="180" t="s">
        <v>266</v>
      </c>
    </row>
    <row r="40">
      <c r="B40" s="181">
        <v>1.0</v>
      </c>
      <c r="C40" s="181">
        <v>150.0</v>
      </c>
      <c r="D40" s="181">
        <f>C40</f>
        <v>150</v>
      </c>
      <c r="E40" s="182" t="b">
        <f>IFERROR(__xludf.DUMMYFUNCTION("if(countif($F40:$T40, ""&lt;&gt;0"")&lt;1, ""NO REWARD!"", if(counta(filter($F40:$T40, $F40:$T40&lt;&gt;0))&gt;1, TRUE, FALSE))"),FALSE)</f>
        <v>0</v>
      </c>
      <c r="F40" s="198">
        <v>0.0</v>
      </c>
      <c r="G40" s="199">
        <v>0.0</v>
      </c>
      <c r="H40" s="199">
        <v>0.0</v>
      </c>
      <c r="I40" s="200">
        <v>1.0</v>
      </c>
      <c r="J40" s="199">
        <v>0.0</v>
      </c>
      <c r="K40" s="199">
        <v>0.0</v>
      </c>
      <c r="L40" s="199">
        <v>0.0</v>
      </c>
      <c r="M40" s="199">
        <v>0.0</v>
      </c>
      <c r="N40" s="199">
        <v>0.0</v>
      </c>
      <c r="O40" s="199">
        <v>0.0</v>
      </c>
      <c r="P40" s="199">
        <v>0.0</v>
      </c>
      <c r="Q40" s="199">
        <v>0.0</v>
      </c>
      <c r="R40" s="199">
        <v>0.0</v>
      </c>
      <c r="S40" s="199">
        <v>0.0</v>
      </c>
      <c r="T40" s="199">
        <v>0.0</v>
      </c>
    </row>
    <row r="41">
      <c r="B41" s="186">
        <v>2.0</v>
      </c>
      <c r="C41" s="186">
        <v>410.0</v>
      </c>
      <c r="D41" s="186">
        <f t="shared" ref="D41:D69" si="1">C41+D40</f>
        <v>560</v>
      </c>
      <c r="E41" s="187" t="b">
        <f>IFERROR(__xludf.DUMMYFUNCTION("if(countif($F41:$T41, ""&lt;&gt;0"")&lt;1, ""NO REWARD!"", if(counta(filter($F41:$T41, $F41:$T41&lt;&gt;0))&gt;1, TRUE, FALSE))"),FALSE)</f>
        <v>0</v>
      </c>
      <c r="F41" s="201">
        <v>10.0</v>
      </c>
      <c r="G41" s="199">
        <v>0.0</v>
      </c>
      <c r="H41" s="199">
        <v>0.0</v>
      </c>
      <c r="I41" s="199">
        <v>0.0</v>
      </c>
      <c r="J41" s="199">
        <v>0.0</v>
      </c>
      <c r="K41" s="199">
        <v>0.0</v>
      </c>
      <c r="L41" s="199">
        <v>0.0</v>
      </c>
      <c r="M41" s="199">
        <v>0.0</v>
      </c>
      <c r="N41" s="199">
        <v>0.0</v>
      </c>
      <c r="O41" s="199">
        <v>0.0</v>
      </c>
      <c r="P41" s="199">
        <v>0.0</v>
      </c>
      <c r="Q41" s="199">
        <v>0.0</v>
      </c>
      <c r="R41" s="199">
        <v>0.0</v>
      </c>
      <c r="S41" s="199">
        <v>0.0</v>
      </c>
      <c r="T41" s="199">
        <v>0.0</v>
      </c>
    </row>
    <row r="42">
      <c r="B42" s="181">
        <v>3.0</v>
      </c>
      <c r="C42" s="181">
        <v>1420.0</v>
      </c>
      <c r="D42" s="181">
        <f t="shared" si="1"/>
        <v>1980</v>
      </c>
      <c r="E42" s="189" t="b">
        <f>IFERROR(__xludf.DUMMYFUNCTION("if(countif($F42:$T42, ""&lt;&gt;0"")&lt;1, ""NO REWARD!"", if(counta(filter($F42:$T42, $F42:$T42&lt;&gt;0))&gt;1, TRUE, FALSE))"),FALSE)</f>
        <v>0</v>
      </c>
      <c r="F42" s="198">
        <v>0.0</v>
      </c>
      <c r="G42" s="199">
        <v>0.0</v>
      </c>
      <c r="H42" s="199">
        <v>0.0</v>
      </c>
      <c r="I42" s="199">
        <v>0.0</v>
      </c>
      <c r="J42" s="199">
        <v>0.0</v>
      </c>
      <c r="K42" s="199">
        <v>0.0</v>
      </c>
      <c r="L42" s="199">
        <v>0.0</v>
      </c>
      <c r="M42" s="199">
        <v>0.0</v>
      </c>
      <c r="N42" s="199">
        <v>0.0</v>
      </c>
      <c r="O42" s="200">
        <v>10.0</v>
      </c>
      <c r="P42" s="199">
        <v>0.0</v>
      </c>
      <c r="Q42" s="199">
        <v>0.0</v>
      </c>
      <c r="R42" s="199">
        <v>0.0</v>
      </c>
      <c r="S42" s="199">
        <v>0.0</v>
      </c>
      <c r="T42" s="199">
        <v>0.0</v>
      </c>
    </row>
    <row r="43">
      <c r="B43" s="186">
        <v>4.0</v>
      </c>
      <c r="C43" s="186">
        <v>600.0</v>
      </c>
      <c r="D43" s="186">
        <f t="shared" si="1"/>
        <v>2580</v>
      </c>
      <c r="E43" s="187" t="b">
        <f>IFERROR(__xludf.DUMMYFUNCTION("if(countif($F43:$T43, ""&lt;&gt;0"")&lt;1, ""NO REWARD!"", if(counta(filter($F43:$T43, $F43:$T43&lt;&gt;0))&gt;1, TRUE, FALSE))"),FALSE)</f>
        <v>0</v>
      </c>
      <c r="F43" s="198">
        <v>0.0</v>
      </c>
      <c r="G43" s="200">
        <v>10.0</v>
      </c>
      <c r="H43" s="199">
        <v>0.0</v>
      </c>
      <c r="I43" s="199">
        <v>0.0</v>
      </c>
      <c r="J43" s="199">
        <v>0.0</v>
      </c>
      <c r="K43" s="199">
        <v>0.0</v>
      </c>
      <c r="L43" s="199">
        <v>0.0</v>
      </c>
      <c r="M43" s="199">
        <v>0.0</v>
      </c>
      <c r="N43" s="199">
        <v>0.0</v>
      </c>
      <c r="O43" s="199">
        <v>0.0</v>
      </c>
      <c r="P43" s="199">
        <v>0.0</v>
      </c>
      <c r="Q43" s="199">
        <v>0.0</v>
      </c>
      <c r="R43" s="199">
        <v>0.0</v>
      </c>
      <c r="S43" s="199">
        <v>0.0</v>
      </c>
      <c r="T43" s="199">
        <v>0.0</v>
      </c>
    </row>
    <row r="44">
      <c r="B44" s="181">
        <v>5.0</v>
      </c>
      <c r="C44" s="181">
        <v>890.0</v>
      </c>
      <c r="D44" s="181">
        <f t="shared" si="1"/>
        <v>3470</v>
      </c>
      <c r="E44" s="189" t="b">
        <f>IFERROR(__xludf.DUMMYFUNCTION("if(countif($F44:$T44, ""&lt;&gt;0"")&lt;1, ""NO REWARD!"", if(counta(filter($F44:$T44, $F44:$T44&lt;&gt;0))&gt;1, TRUE, FALSE))"),FALSE)</f>
        <v>0</v>
      </c>
      <c r="F44" s="198">
        <v>0.0</v>
      </c>
      <c r="G44" s="199">
        <v>0.0</v>
      </c>
      <c r="H44" s="199">
        <v>0.0</v>
      </c>
      <c r="I44" s="199">
        <v>0.0</v>
      </c>
      <c r="J44" s="200">
        <v>1.0</v>
      </c>
      <c r="K44" s="199">
        <v>0.0</v>
      </c>
      <c r="L44" s="199">
        <v>0.0</v>
      </c>
      <c r="M44" s="199">
        <v>0.0</v>
      </c>
      <c r="N44" s="199">
        <v>0.0</v>
      </c>
      <c r="O44" s="199">
        <v>0.0</v>
      </c>
      <c r="P44" s="199">
        <v>0.0</v>
      </c>
      <c r="Q44" s="199">
        <v>0.0</v>
      </c>
      <c r="R44" s="199">
        <v>0.0</v>
      </c>
      <c r="S44" s="199">
        <v>0.0</v>
      </c>
      <c r="T44" s="199">
        <v>0.0</v>
      </c>
    </row>
    <row r="45">
      <c r="B45" s="186">
        <v>6.0</v>
      </c>
      <c r="C45" s="186">
        <v>2460.0</v>
      </c>
      <c r="D45" s="186">
        <f t="shared" si="1"/>
        <v>5930</v>
      </c>
      <c r="E45" s="182" t="b">
        <f>IFERROR(__xludf.DUMMYFUNCTION("if(countif($F45:$T45, ""&lt;&gt;0"")&lt;1, ""NO REWARD!"", if(counta(filter($F45:$T45, $F45:$T45&lt;&gt;0))&gt;1, TRUE, FALSE))"),TRUE)</f>
        <v>1</v>
      </c>
      <c r="F45" s="198">
        <v>0.0</v>
      </c>
      <c r="G45" s="199">
        <v>0.0</v>
      </c>
      <c r="H45" s="200">
        <v>10.0</v>
      </c>
      <c r="I45" s="199">
        <v>0.0</v>
      </c>
      <c r="J45" s="199">
        <v>0.0</v>
      </c>
      <c r="K45" s="199">
        <v>0.0</v>
      </c>
      <c r="L45" s="199">
        <v>0.0</v>
      </c>
      <c r="M45" s="199">
        <v>0.0</v>
      </c>
      <c r="N45" s="199">
        <v>0.0</v>
      </c>
      <c r="O45" s="200">
        <v>15.0</v>
      </c>
      <c r="P45" s="199">
        <v>0.0</v>
      </c>
      <c r="Q45" s="199">
        <v>0.0</v>
      </c>
      <c r="R45" s="199">
        <v>0.0</v>
      </c>
      <c r="S45" s="199">
        <v>0.0</v>
      </c>
      <c r="T45" s="199">
        <v>0.0</v>
      </c>
    </row>
    <row r="46">
      <c r="B46" s="181">
        <v>7.0</v>
      </c>
      <c r="C46" s="181">
        <v>920.0</v>
      </c>
      <c r="D46" s="181">
        <f t="shared" si="1"/>
        <v>6850</v>
      </c>
      <c r="E46" s="189" t="b">
        <f>IFERROR(__xludf.DUMMYFUNCTION("if(countif($F46:$T46, ""&lt;&gt;0"")&lt;1, ""NO REWARD!"", if(counta(filter($F46:$T46, $F46:$T46&lt;&gt;0))&gt;1, TRUE, FALSE))"),FALSE)</f>
        <v>0</v>
      </c>
      <c r="F46" s="198">
        <v>0.0</v>
      </c>
      <c r="G46" s="200">
        <v>30.0</v>
      </c>
      <c r="H46" s="199">
        <v>0.0</v>
      </c>
      <c r="I46" s="199">
        <v>0.0</v>
      </c>
      <c r="J46" s="199">
        <v>0.0</v>
      </c>
      <c r="K46" s="199">
        <v>0.0</v>
      </c>
      <c r="L46" s="199">
        <v>0.0</v>
      </c>
      <c r="M46" s="199">
        <v>0.0</v>
      </c>
      <c r="N46" s="199">
        <v>0.0</v>
      </c>
      <c r="O46" s="199">
        <v>0.0</v>
      </c>
      <c r="P46" s="199">
        <v>0.0</v>
      </c>
      <c r="Q46" s="199">
        <v>0.0</v>
      </c>
      <c r="R46" s="199">
        <v>0.0</v>
      </c>
      <c r="S46" s="199">
        <v>0.0</v>
      </c>
      <c r="T46" s="199">
        <v>0.0</v>
      </c>
    </row>
    <row r="47">
      <c r="B47" s="186">
        <v>8.0</v>
      </c>
      <c r="C47" s="186">
        <v>1280.0</v>
      </c>
      <c r="D47" s="186">
        <f t="shared" si="1"/>
        <v>8130</v>
      </c>
      <c r="E47" s="187" t="b">
        <f>IFERROR(__xludf.DUMMYFUNCTION("if(countif($F47:$T47, ""&lt;&gt;0"")&lt;1, ""NO REWARD!"", if(counta(filter($F47:$T47, $F47:$T47&lt;&gt;0))&gt;1, TRUE, FALSE))"),FALSE)</f>
        <v>0</v>
      </c>
      <c r="F47" s="198">
        <v>0.0</v>
      </c>
      <c r="G47" s="199">
        <v>0.0</v>
      </c>
      <c r="H47" s="199">
        <v>0.0</v>
      </c>
      <c r="I47" s="199">
        <v>0.0</v>
      </c>
      <c r="J47" s="200">
        <v>1.0</v>
      </c>
      <c r="K47" s="199">
        <v>0.0</v>
      </c>
      <c r="L47" s="199">
        <v>0.0</v>
      </c>
      <c r="M47" s="199">
        <v>0.0</v>
      </c>
      <c r="N47" s="199">
        <v>0.0</v>
      </c>
      <c r="O47" s="199">
        <v>0.0</v>
      </c>
      <c r="P47" s="199">
        <v>0.0</v>
      </c>
      <c r="Q47" s="199">
        <v>0.0</v>
      </c>
      <c r="R47" s="199">
        <v>0.0</v>
      </c>
      <c r="S47" s="199">
        <v>0.0</v>
      </c>
      <c r="T47" s="199">
        <v>0.0</v>
      </c>
    </row>
    <row r="48">
      <c r="B48" s="181">
        <v>9.0</v>
      </c>
      <c r="C48" s="181">
        <v>3340.0</v>
      </c>
      <c r="D48" s="181">
        <f t="shared" si="1"/>
        <v>11470</v>
      </c>
      <c r="E48" s="189" t="b">
        <f>IFERROR(__xludf.DUMMYFUNCTION("if(countif($F48:$T48, ""&lt;&gt;0"")&lt;1, ""NO REWARD!"", if(counta(filter($F48:$T48, $F48:$T48&lt;&gt;0))&gt;1, TRUE, FALSE))"),FALSE)</f>
        <v>0</v>
      </c>
      <c r="F48" s="201">
        <v>20.0</v>
      </c>
      <c r="G48" s="199">
        <v>0.0</v>
      </c>
      <c r="H48" s="199">
        <v>0.0</v>
      </c>
      <c r="I48" s="199">
        <v>0.0</v>
      </c>
      <c r="J48" s="199">
        <v>0.0</v>
      </c>
      <c r="K48" s="199">
        <v>0.0</v>
      </c>
      <c r="L48" s="199">
        <v>0.0</v>
      </c>
      <c r="M48" s="199">
        <v>0.0</v>
      </c>
      <c r="N48" s="199">
        <v>0.0</v>
      </c>
      <c r="O48" s="199">
        <v>0.0</v>
      </c>
      <c r="P48" s="199">
        <v>0.0</v>
      </c>
      <c r="Q48" s="199">
        <v>0.0</v>
      </c>
      <c r="R48" s="199">
        <v>0.0</v>
      </c>
      <c r="S48" s="199">
        <v>0.0</v>
      </c>
      <c r="T48" s="199">
        <v>0.0</v>
      </c>
    </row>
    <row r="49">
      <c r="B49" s="186">
        <v>10.0</v>
      </c>
      <c r="C49" s="186">
        <v>1200.0</v>
      </c>
      <c r="D49" s="186">
        <f t="shared" si="1"/>
        <v>12670</v>
      </c>
      <c r="E49" s="187" t="b">
        <f>IFERROR(__xludf.DUMMYFUNCTION("if(countif($F49:$T49, ""&lt;&gt;0"")&lt;1, ""NO REWARD!"", if(counta(filter($F49:$T49, $F49:$T49&lt;&gt;0))&gt;1, TRUE, FALSE))"),FALSE)</f>
        <v>0</v>
      </c>
      <c r="F49" s="198">
        <v>0.0</v>
      </c>
      <c r="G49" s="200">
        <v>50.0</v>
      </c>
      <c r="H49" s="199">
        <v>0.0</v>
      </c>
      <c r="I49" s="199">
        <v>0.0</v>
      </c>
      <c r="J49" s="199">
        <v>0.0</v>
      </c>
      <c r="K49" s="199">
        <v>0.0</v>
      </c>
      <c r="L49" s="199">
        <v>0.0</v>
      </c>
      <c r="M49" s="199">
        <v>0.0</v>
      </c>
      <c r="N49" s="199">
        <v>0.0</v>
      </c>
      <c r="O49" s="199">
        <v>0.0</v>
      </c>
      <c r="P49" s="199">
        <v>0.0</v>
      </c>
      <c r="Q49" s="199">
        <v>0.0</v>
      </c>
      <c r="R49" s="199">
        <v>0.0</v>
      </c>
      <c r="S49" s="199">
        <v>0.0</v>
      </c>
      <c r="T49" s="199">
        <v>0.0</v>
      </c>
    </row>
    <row r="50">
      <c r="B50" s="181">
        <v>11.0</v>
      </c>
      <c r="C50" s="181">
        <v>1610.0</v>
      </c>
      <c r="D50" s="181">
        <f t="shared" si="1"/>
        <v>14280</v>
      </c>
      <c r="E50" s="189" t="b">
        <f>IFERROR(__xludf.DUMMYFUNCTION("if(countif($F50:$T50, ""&lt;&gt;0"")&lt;1, ""NO REWARD!"", if(counta(filter($F50:$T50, $F50:$T50&lt;&gt;0))&gt;1, TRUE, FALSE))"),FALSE)</f>
        <v>0</v>
      </c>
      <c r="F50" s="198">
        <v>0.0</v>
      </c>
      <c r="G50" s="199">
        <v>0.0</v>
      </c>
      <c r="H50" s="199">
        <v>0.0</v>
      </c>
      <c r="I50" s="199">
        <v>0.0</v>
      </c>
      <c r="J50" s="199">
        <v>0.0</v>
      </c>
      <c r="K50" s="199">
        <v>0.0</v>
      </c>
      <c r="L50" s="199">
        <v>0.0</v>
      </c>
      <c r="M50" s="200">
        <v>1.0</v>
      </c>
      <c r="N50" s="199">
        <v>0.0</v>
      </c>
      <c r="O50" s="199">
        <v>0.0</v>
      </c>
      <c r="P50" s="199">
        <v>0.0</v>
      </c>
      <c r="Q50" s="199">
        <v>0.0</v>
      </c>
      <c r="R50" s="199">
        <v>0.0</v>
      </c>
      <c r="S50" s="199">
        <v>0.0</v>
      </c>
      <c r="T50" s="199">
        <v>0.0</v>
      </c>
    </row>
    <row r="51">
      <c r="B51" s="186">
        <v>12.0</v>
      </c>
      <c r="C51" s="186">
        <v>4130.0</v>
      </c>
      <c r="D51" s="186">
        <f t="shared" si="1"/>
        <v>18410</v>
      </c>
      <c r="E51" s="182" t="b">
        <f>IFERROR(__xludf.DUMMYFUNCTION("if(countif($F51:$T51, ""&lt;&gt;0"")&lt;1, ""NO REWARD!"", if(counta(filter($F51:$T51, $F51:$T51&lt;&gt;0))&gt;1, TRUE, FALSE))"),TRUE)</f>
        <v>1</v>
      </c>
      <c r="F51" s="198">
        <v>0.0</v>
      </c>
      <c r="G51" s="199">
        <v>0.0</v>
      </c>
      <c r="H51" s="199">
        <v>0.0</v>
      </c>
      <c r="I51" s="199">
        <v>0.0</v>
      </c>
      <c r="J51" s="199">
        <v>0.0</v>
      </c>
      <c r="K51" s="199">
        <v>0.0</v>
      </c>
      <c r="L51" s="199">
        <v>0.0</v>
      </c>
      <c r="M51" s="199">
        <v>0.0</v>
      </c>
      <c r="N51" s="200">
        <v>1.0</v>
      </c>
      <c r="O51" s="200">
        <v>30.0</v>
      </c>
      <c r="P51" s="199">
        <v>0.0</v>
      </c>
      <c r="Q51" s="199">
        <v>0.0</v>
      </c>
      <c r="R51" s="199">
        <v>0.0</v>
      </c>
      <c r="S51" s="199">
        <v>0.0</v>
      </c>
      <c r="T51" s="199">
        <v>0.0</v>
      </c>
    </row>
    <row r="52">
      <c r="B52" s="181">
        <v>13.0</v>
      </c>
      <c r="C52" s="181">
        <v>4640.0</v>
      </c>
      <c r="D52" s="181">
        <f t="shared" si="1"/>
        <v>23050</v>
      </c>
      <c r="E52" s="189" t="b">
        <f>IFERROR(__xludf.DUMMYFUNCTION("if(countif($F52:$T52, ""&lt;&gt;0"")&lt;1, ""NO REWARD!"", if(counta(filter($F52:$T52, $F52:$T52&lt;&gt;0))&gt;1, TRUE, FALSE))"),FALSE)</f>
        <v>0</v>
      </c>
      <c r="F52" s="198">
        <v>0.0</v>
      </c>
      <c r="G52" s="199">
        <v>0.0</v>
      </c>
      <c r="H52" s="199">
        <v>0.0</v>
      </c>
      <c r="I52" s="199">
        <v>0.0</v>
      </c>
      <c r="J52" s="199">
        <v>0.0</v>
      </c>
      <c r="K52" s="200">
        <v>1.0</v>
      </c>
      <c r="L52" s="199">
        <v>0.0</v>
      </c>
      <c r="M52" s="199">
        <v>0.0</v>
      </c>
      <c r="N52" s="199">
        <v>0.0</v>
      </c>
      <c r="O52" s="199">
        <v>0.0</v>
      </c>
      <c r="P52" s="203">
        <v>0.0</v>
      </c>
      <c r="Q52" s="199">
        <v>0.0</v>
      </c>
      <c r="R52" s="199">
        <v>0.0</v>
      </c>
      <c r="S52" s="199">
        <v>0.0</v>
      </c>
      <c r="T52" s="199">
        <v>0.0</v>
      </c>
    </row>
    <row r="53">
      <c r="B53" s="186">
        <v>14.0</v>
      </c>
      <c r="C53" s="186">
        <v>6500.0</v>
      </c>
      <c r="D53" s="186">
        <f t="shared" si="1"/>
        <v>29550</v>
      </c>
      <c r="E53" s="187" t="b">
        <f>IFERROR(__xludf.DUMMYFUNCTION("if(countif($F53:$T53, ""&lt;&gt;0"")&lt;1, ""NO REWARD!"", if(counta(filter($F53:$T53, $F53:$T53&lt;&gt;0))&gt;1, TRUE, FALSE))"),FALSE)</f>
        <v>0</v>
      </c>
      <c r="F53" s="198">
        <v>0.0</v>
      </c>
      <c r="G53" s="199">
        <v>0.0</v>
      </c>
      <c r="H53" s="199">
        <v>0.0</v>
      </c>
      <c r="I53" s="199">
        <v>0.0</v>
      </c>
      <c r="J53" s="199">
        <v>0.0</v>
      </c>
      <c r="K53" s="199">
        <v>0.0</v>
      </c>
      <c r="L53" s="199">
        <v>0.0</v>
      </c>
      <c r="M53" s="199">
        <v>0.0</v>
      </c>
      <c r="N53" s="199">
        <v>0.0</v>
      </c>
      <c r="O53" s="199">
        <v>0.0</v>
      </c>
      <c r="P53" s="191">
        <v>10.0</v>
      </c>
      <c r="Q53" s="199">
        <v>0.0</v>
      </c>
      <c r="R53" s="199">
        <v>0.0</v>
      </c>
      <c r="S53" s="199">
        <v>0.0</v>
      </c>
      <c r="T53" s="199">
        <v>0.0</v>
      </c>
    </row>
    <row r="54">
      <c r="B54" s="181">
        <v>15.0</v>
      </c>
      <c r="C54" s="181">
        <v>17370.0</v>
      </c>
      <c r="D54" s="181">
        <f t="shared" si="1"/>
        <v>46920</v>
      </c>
      <c r="E54" s="189" t="b">
        <f>IFERROR(__xludf.DUMMYFUNCTION("if(countif($F54:$T54, ""&lt;&gt;0"")&lt;1, ""NO REWARD!"", if(counta(filter($F54:$T54, $F54:$T54&lt;&gt;0))&gt;1, TRUE, FALSE))"),FALSE)</f>
        <v>0</v>
      </c>
      <c r="F54" s="198">
        <v>0.0</v>
      </c>
      <c r="G54" s="200">
        <v>75.0</v>
      </c>
      <c r="H54" s="199">
        <v>0.0</v>
      </c>
      <c r="I54" s="199">
        <v>0.0</v>
      </c>
      <c r="J54" s="199">
        <v>0.0</v>
      </c>
      <c r="K54" s="199">
        <v>0.0</v>
      </c>
      <c r="L54" s="199">
        <v>0.0</v>
      </c>
      <c r="M54" s="199">
        <v>0.0</v>
      </c>
      <c r="N54" s="199">
        <v>0.0</v>
      </c>
      <c r="O54" s="199">
        <v>0.0</v>
      </c>
      <c r="P54" s="203">
        <v>0.0</v>
      </c>
      <c r="Q54" s="199">
        <v>0.0</v>
      </c>
      <c r="R54" s="199">
        <v>0.0</v>
      </c>
      <c r="S54" s="199">
        <v>0.0</v>
      </c>
      <c r="T54" s="199">
        <v>0.0</v>
      </c>
    </row>
    <row r="55">
      <c r="B55" s="186">
        <v>16.0</v>
      </c>
      <c r="C55" s="186">
        <v>6400.0</v>
      </c>
      <c r="D55" s="186">
        <f t="shared" si="1"/>
        <v>53320</v>
      </c>
      <c r="E55" s="182" t="b">
        <f>IFERROR(__xludf.DUMMYFUNCTION("if(countif($F55:$T55, ""&lt;&gt;0"")&lt;1, ""NO REWARD!"", if(counta(filter($F55:$T55, $F55:$T55&lt;&gt;0))&gt;1, TRUE, FALSE))"),TRUE)</f>
        <v>1</v>
      </c>
      <c r="F55" s="201">
        <v>50.0</v>
      </c>
      <c r="G55" s="199">
        <v>0.0</v>
      </c>
      <c r="H55" s="199">
        <v>0.0</v>
      </c>
      <c r="I55" s="199">
        <v>0.0</v>
      </c>
      <c r="J55" s="199">
        <v>0.0</v>
      </c>
      <c r="K55" s="200">
        <v>1.0</v>
      </c>
      <c r="L55" s="199">
        <v>0.0</v>
      </c>
      <c r="M55" s="199">
        <v>0.0</v>
      </c>
      <c r="N55" s="199">
        <v>0.0</v>
      </c>
      <c r="O55" s="199">
        <v>0.0</v>
      </c>
      <c r="P55" s="203">
        <v>0.0</v>
      </c>
      <c r="Q55" s="199">
        <v>0.0</v>
      </c>
      <c r="R55" s="199">
        <v>0.0</v>
      </c>
      <c r="S55" s="199">
        <v>0.0</v>
      </c>
      <c r="T55" s="199">
        <v>0.0</v>
      </c>
    </row>
    <row r="56">
      <c r="B56" s="181">
        <v>17.0</v>
      </c>
      <c r="C56" s="181">
        <v>8790.0</v>
      </c>
      <c r="D56" s="181">
        <f t="shared" si="1"/>
        <v>62110</v>
      </c>
      <c r="E56" s="189" t="b">
        <f>IFERROR(__xludf.DUMMYFUNCTION("if(countif($F56:$T56, ""&lt;&gt;0"")&lt;1, ""NO REWARD!"", if(counta(filter($F56:$T56, $F56:$T56&lt;&gt;0))&gt;1, TRUE, FALSE))"),FALSE)</f>
        <v>0</v>
      </c>
      <c r="F56" s="198">
        <v>0.0</v>
      </c>
      <c r="G56" s="200">
        <v>125.0</v>
      </c>
      <c r="H56" s="199">
        <v>0.0</v>
      </c>
      <c r="I56" s="199">
        <v>0.0</v>
      </c>
      <c r="J56" s="199">
        <v>0.0</v>
      </c>
      <c r="K56" s="199">
        <v>0.0</v>
      </c>
      <c r="L56" s="199">
        <v>0.0</v>
      </c>
      <c r="M56" s="199">
        <v>0.0</v>
      </c>
      <c r="N56" s="199">
        <v>0.0</v>
      </c>
      <c r="O56" s="199">
        <v>0.0</v>
      </c>
      <c r="P56" s="203">
        <v>0.0</v>
      </c>
      <c r="Q56" s="199">
        <v>0.0</v>
      </c>
      <c r="R56" s="199">
        <v>0.0</v>
      </c>
      <c r="S56" s="199">
        <v>0.0</v>
      </c>
      <c r="T56" s="199">
        <v>0.0</v>
      </c>
    </row>
    <row r="57">
      <c r="B57" s="186">
        <v>18.0</v>
      </c>
      <c r="C57" s="186">
        <v>23030.0</v>
      </c>
      <c r="D57" s="186">
        <f t="shared" si="1"/>
        <v>85140</v>
      </c>
      <c r="E57" s="187" t="b">
        <f>IFERROR(__xludf.DUMMYFUNCTION("if(countif($F57:$T57, ""&lt;&gt;0"")&lt;1, ""NO REWARD!"", if(counta(filter($F57:$T57, $F57:$T57&lt;&gt;0))&gt;1, TRUE, FALSE))"),FALSE)</f>
        <v>0</v>
      </c>
      <c r="F57" s="198">
        <v>0.0</v>
      </c>
      <c r="G57" s="199">
        <v>0.0</v>
      </c>
      <c r="H57" s="199">
        <v>0.0</v>
      </c>
      <c r="I57" s="200">
        <v>2.0</v>
      </c>
      <c r="J57" s="199">
        <v>0.0</v>
      </c>
      <c r="K57" s="199">
        <v>0.0</v>
      </c>
      <c r="L57" s="199">
        <v>0.0</v>
      </c>
      <c r="M57" s="199">
        <v>0.0</v>
      </c>
      <c r="N57" s="199">
        <v>0.0</v>
      </c>
      <c r="O57" s="199">
        <v>0.0</v>
      </c>
      <c r="P57" s="203">
        <v>0.0</v>
      </c>
      <c r="Q57" s="199">
        <v>0.0</v>
      </c>
      <c r="R57" s="199">
        <v>0.0</v>
      </c>
      <c r="S57" s="199">
        <v>0.0</v>
      </c>
      <c r="T57" s="199">
        <v>0.0</v>
      </c>
    </row>
    <row r="58">
      <c r="B58" s="181">
        <v>19.0</v>
      </c>
      <c r="C58" s="181">
        <v>8350.0</v>
      </c>
      <c r="D58" s="181">
        <f t="shared" si="1"/>
        <v>93490</v>
      </c>
      <c r="E58" s="189" t="b">
        <f>IFERROR(__xludf.DUMMYFUNCTION("if(countif($F58:$T58, ""&lt;&gt;0"")&lt;1, ""NO REWARD!"", if(counta(filter($F58:$T58, $F58:$T58&lt;&gt;0))&gt;1, TRUE, FALSE))"),FALSE)</f>
        <v>0</v>
      </c>
      <c r="F58" s="198">
        <v>0.0</v>
      </c>
      <c r="G58" s="199">
        <v>0.0</v>
      </c>
      <c r="H58" s="200">
        <v>20.0</v>
      </c>
      <c r="I58" s="199">
        <v>0.0</v>
      </c>
      <c r="J58" s="199">
        <v>0.0</v>
      </c>
      <c r="K58" s="199">
        <v>0.0</v>
      </c>
      <c r="L58" s="199">
        <v>0.0</v>
      </c>
      <c r="M58" s="199">
        <v>0.0</v>
      </c>
      <c r="N58" s="199">
        <v>0.0</v>
      </c>
      <c r="O58" s="199">
        <v>0.0</v>
      </c>
      <c r="P58" s="203">
        <v>0.0</v>
      </c>
      <c r="Q58" s="199">
        <v>0.0</v>
      </c>
      <c r="R58" s="199">
        <v>0.0</v>
      </c>
      <c r="S58" s="199">
        <v>0.0</v>
      </c>
      <c r="T58" s="199">
        <v>0.0</v>
      </c>
    </row>
    <row r="59">
      <c r="B59" s="186">
        <v>20.0</v>
      </c>
      <c r="C59" s="186">
        <v>11290.0</v>
      </c>
      <c r="D59" s="186">
        <f t="shared" si="1"/>
        <v>104780</v>
      </c>
      <c r="E59" s="182" t="b">
        <f>IFERROR(__xludf.DUMMYFUNCTION("if(countif($F59:$T59, ""&lt;&gt;0"")&lt;1, ""NO REWARD!"", if(counta(filter($F59:$T59, $F59:$T59&lt;&gt;0))&gt;1, TRUE, FALSE))"),TRUE)</f>
        <v>1</v>
      </c>
      <c r="F59" s="201">
        <v>150.0</v>
      </c>
      <c r="G59" s="199">
        <v>0.0</v>
      </c>
      <c r="H59" s="199">
        <v>0.0</v>
      </c>
      <c r="I59" s="199">
        <v>0.0</v>
      </c>
      <c r="J59" s="199">
        <v>0.0</v>
      </c>
      <c r="K59" s="199">
        <v>0.0</v>
      </c>
      <c r="L59" s="199">
        <v>0.0</v>
      </c>
      <c r="M59" s="200">
        <v>1.0</v>
      </c>
      <c r="N59" s="199">
        <v>0.0</v>
      </c>
      <c r="O59" s="199">
        <v>0.0</v>
      </c>
      <c r="P59" s="203">
        <v>0.0</v>
      </c>
      <c r="Q59" s="199">
        <v>0.0</v>
      </c>
      <c r="R59" s="199">
        <v>0.0</v>
      </c>
      <c r="S59" s="199">
        <v>0.0</v>
      </c>
      <c r="T59" s="199">
        <v>0.0</v>
      </c>
    </row>
    <row r="60">
      <c r="B60" s="181">
        <v>21.0</v>
      </c>
      <c r="C60" s="181">
        <v>29200.0</v>
      </c>
      <c r="D60" s="181">
        <f t="shared" si="1"/>
        <v>133980</v>
      </c>
      <c r="E60" s="189" t="b">
        <f>IFERROR(__xludf.DUMMYFUNCTION("if(countif($F60:$T60, ""&lt;&gt;0"")&lt;1, ""NO REWARD!"", if(counta(filter($F60:$T60, $F60:$T60&lt;&gt;0))&gt;1, TRUE, FALSE))"),FALSE)</f>
        <v>0</v>
      </c>
      <c r="F60" s="198">
        <v>0.0</v>
      </c>
      <c r="G60" s="200">
        <v>200.0</v>
      </c>
      <c r="H60" s="199">
        <v>0.0</v>
      </c>
      <c r="I60" s="199">
        <v>0.0</v>
      </c>
      <c r="J60" s="199">
        <v>0.0</v>
      </c>
      <c r="K60" s="199">
        <v>0.0</v>
      </c>
      <c r="L60" s="199">
        <v>0.0</v>
      </c>
      <c r="M60" s="199">
        <v>0.0</v>
      </c>
      <c r="N60" s="199">
        <v>0.0</v>
      </c>
      <c r="O60" s="199">
        <v>0.0</v>
      </c>
      <c r="P60" s="203">
        <v>0.0</v>
      </c>
      <c r="Q60" s="199">
        <v>0.0</v>
      </c>
      <c r="R60" s="199">
        <v>0.0</v>
      </c>
      <c r="S60" s="199">
        <v>0.0</v>
      </c>
      <c r="T60" s="199">
        <v>0.0</v>
      </c>
    </row>
    <row r="61">
      <c r="B61" s="186">
        <v>22.0</v>
      </c>
      <c r="C61" s="186">
        <v>10460.0</v>
      </c>
      <c r="D61" s="186">
        <f t="shared" si="1"/>
        <v>144440</v>
      </c>
      <c r="E61" s="187" t="b">
        <f>IFERROR(__xludf.DUMMYFUNCTION("if(countif($F61:$T61, ""&lt;&gt;0"")&lt;1, ""NO REWARD!"", if(counta(filter($F61:$T61, $F61:$T61&lt;&gt;0))&gt;1, TRUE, FALSE))"),FALSE)</f>
        <v>0</v>
      </c>
      <c r="F61" s="198">
        <v>0.0</v>
      </c>
      <c r="G61" s="199">
        <v>0.0</v>
      </c>
      <c r="H61" s="199">
        <v>0.0</v>
      </c>
      <c r="I61" s="199">
        <v>0.0</v>
      </c>
      <c r="J61" s="199">
        <v>0.0</v>
      </c>
      <c r="K61" s="199">
        <v>0.0</v>
      </c>
      <c r="L61" s="199">
        <v>0.0</v>
      </c>
      <c r="M61" s="199">
        <v>0.0</v>
      </c>
      <c r="N61" s="199">
        <v>0.0</v>
      </c>
      <c r="O61" s="199">
        <v>0.0</v>
      </c>
      <c r="P61" s="203">
        <v>0.0</v>
      </c>
      <c r="Q61" s="200">
        <v>10.0</v>
      </c>
      <c r="R61" s="199">
        <v>0.0</v>
      </c>
      <c r="S61" s="199">
        <v>0.0</v>
      </c>
      <c r="T61" s="199">
        <v>0.0</v>
      </c>
    </row>
    <row r="62">
      <c r="B62" s="181">
        <v>23.0</v>
      </c>
      <c r="C62" s="181">
        <v>13990.0</v>
      </c>
      <c r="D62" s="181">
        <f t="shared" si="1"/>
        <v>158430</v>
      </c>
      <c r="E62" s="189" t="b">
        <f>IFERROR(__xludf.DUMMYFUNCTION("if(countif($F62:$T62, ""&lt;&gt;0"")&lt;1, ""NO REWARD!"", if(counta(filter($F62:$T62, $F62:$T62&lt;&gt;0))&gt;1, TRUE, FALSE))"),FALSE)</f>
        <v>0</v>
      </c>
      <c r="F62" s="198">
        <v>0.0</v>
      </c>
      <c r="G62" s="199">
        <v>0.0</v>
      </c>
      <c r="H62" s="199">
        <v>0.0</v>
      </c>
      <c r="I62" s="199">
        <v>0.0</v>
      </c>
      <c r="J62" s="200">
        <v>2.0</v>
      </c>
      <c r="K62" s="199">
        <v>0.0</v>
      </c>
      <c r="L62" s="199">
        <v>0.0</v>
      </c>
      <c r="M62" s="199">
        <v>0.0</v>
      </c>
      <c r="N62" s="199">
        <v>0.0</v>
      </c>
      <c r="O62" s="199">
        <v>0.0</v>
      </c>
      <c r="P62" s="199">
        <v>0.0</v>
      </c>
      <c r="Q62" s="199">
        <v>0.0</v>
      </c>
      <c r="R62" s="199">
        <v>0.0</v>
      </c>
      <c r="S62" s="199">
        <v>0.0</v>
      </c>
      <c r="T62" s="199">
        <v>0.0</v>
      </c>
    </row>
    <row r="63">
      <c r="B63" s="186">
        <v>24.0</v>
      </c>
      <c r="C63" s="186">
        <v>35840.0</v>
      </c>
      <c r="D63" s="186">
        <f t="shared" si="1"/>
        <v>194270</v>
      </c>
      <c r="E63" s="182" t="b">
        <f>IFERROR(__xludf.DUMMYFUNCTION("if(countif($F63:$T63, ""&lt;&gt;0"")&lt;1, ""NO REWARD!"", if(counta(filter($F63:$T63, $F63:$T63&lt;&gt;0))&gt;1, TRUE, FALSE))"),TRUE)</f>
        <v>1</v>
      </c>
      <c r="F63" s="201">
        <v>350.0</v>
      </c>
      <c r="G63" s="200">
        <v>350.0</v>
      </c>
      <c r="H63" s="199">
        <v>0.0</v>
      </c>
      <c r="I63" s="199">
        <v>0.0</v>
      </c>
      <c r="J63" s="199">
        <v>0.0</v>
      </c>
      <c r="K63" s="199">
        <v>0.0</v>
      </c>
      <c r="L63" s="199">
        <v>0.0</v>
      </c>
      <c r="M63" s="200">
        <v>1.0</v>
      </c>
      <c r="N63" s="200">
        <v>1.0</v>
      </c>
      <c r="O63" s="199">
        <v>0.0</v>
      </c>
      <c r="P63" s="199">
        <v>0.0</v>
      </c>
      <c r="Q63" s="199">
        <v>0.0</v>
      </c>
      <c r="R63" s="199">
        <v>0.0</v>
      </c>
      <c r="S63" s="199">
        <v>0.0</v>
      </c>
      <c r="T63" s="199">
        <v>0.0</v>
      </c>
    </row>
    <row r="64">
      <c r="B64" s="181">
        <v>25.0</v>
      </c>
      <c r="C64" s="181">
        <v>12720.0</v>
      </c>
      <c r="D64" s="181">
        <f t="shared" si="1"/>
        <v>206990</v>
      </c>
      <c r="E64" s="189" t="b">
        <f>IFERROR(__xludf.DUMMYFUNCTION("if(countif($F64:$T64, ""&lt;&gt;0"")&lt;1, ""NO REWARD!"", if(counta(filter($F64:$T64, $F64:$T64&lt;&gt;0))&gt;1, TRUE, FALSE))"),FALSE)</f>
        <v>0</v>
      </c>
      <c r="F64" s="198">
        <v>0.0</v>
      </c>
      <c r="G64" s="199">
        <v>0.0</v>
      </c>
      <c r="H64" s="199">
        <v>0.0</v>
      </c>
      <c r="I64" s="199">
        <v>0.0</v>
      </c>
      <c r="J64" s="199">
        <v>0.0</v>
      </c>
      <c r="K64" s="199">
        <v>0.0</v>
      </c>
      <c r="L64" s="199">
        <v>0.0</v>
      </c>
      <c r="M64" s="199">
        <v>0.0</v>
      </c>
      <c r="N64" s="199">
        <v>0.0</v>
      </c>
      <c r="O64" s="200">
        <v>60.0</v>
      </c>
      <c r="P64" s="199">
        <v>0.0</v>
      </c>
      <c r="Q64" s="199">
        <v>0.0</v>
      </c>
      <c r="R64" s="199">
        <v>0.0</v>
      </c>
      <c r="S64" s="199">
        <v>0.0</v>
      </c>
      <c r="T64" s="199">
        <v>0.0</v>
      </c>
    </row>
    <row r="65">
      <c r="B65" s="186">
        <v>26.0</v>
      </c>
      <c r="C65" s="186">
        <v>16880.0</v>
      </c>
      <c r="D65" s="186">
        <f t="shared" si="1"/>
        <v>223870</v>
      </c>
      <c r="E65" s="187" t="b">
        <f>IFERROR(__xludf.DUMMYFUNCTION("if(countif($F65:$T65, ""&lt;&gt;0"")&lt;1, ""NO REWARD!"", if(counta(filter($F65:$T65, $F65:$T65&lt;&gt;0))&gt;1, TRUE, FALSE))"),FALSE)</f>
        <v>0</v>
      </c>
      <c r="F65" s="198">
        <v>0.0</v>
      </c>
      <c r="G65" s="199">
        <v>0.0</v>
      </c>
      <c r="H65" s="199">
        <v>0.0</v>
      </c>
      <c r="I65" s="199">
        <v>0.0</v>
      </c>
      <c r="J65" s="199">
        <v>0.0</v>
      </c>
      <c r="K65" s="200">
        <v>2.0</v>
      </c>
      <c r="L65" s="199">
        <v>0.0</v>
      </c>
      <c r="M65" s="199">
        <v>0.0</v>
      </c>
      <c r="N65" s="199">
        <v>0.0</v>
      </c>
      <c r="O65" s="199">
        <v>0.0</v>
      </c>
      <c r="P65" s="199">
        <v>0.0</v>
      </c>
      <c r="Q65" s="199">
        <v>0.0</v>
      </c>
      <c r="R65" s="199">
        <v>0.0</v>
      </c>
      <c r="S65" s="199">
        <v>0.0</v>
      </c>
      <c r="T65" s="199">
        <v>0.0</v>
      </c>
    </row>
    <row r="66">
      <c r="B66" s="181">
        <v>27.0</v>
      </c>
      <c r="C66" s="181">
        <v>42920.0</v>
      </c>
      <c r="D66" s="181">
        <f t="shared" si="1"/>
        <v>266790</v>
      </c>
      <c r="E66" s="189" t="b">
        <f>IFERROR(__xludf.DUMMYFUNCTION("if(countif($F66:$T66, ""&lt;&gt;0"")&lt;1, ""NO REWARD!"", if(counta(filter($F66:$T66, $F66:$T66&lt;&gt;0))&gt;1, TRUE, FALSE))"),FALSE)</f>
        <v>0</v>
      </c>
      <c r="F66" s="198">
        <v>0.0</v>
      </c>
      <c r="G66" s="200">
        <v>600.0</v>
      </c>
      <c r="H66" s="199">
        <v>0.0</v>
      </c>
      <c r="I66" s="199">
        <v>0.0</v>
      </c>
      <c r="J66" s="199">
        <v>0.0</v>
      </c>
      <c r="K66" s="199">
        <v>0.0</v>
      </c>
      <c r="L66" s="199">
        <v>0.0</v>
      </c>
      <c r="M66" s="199">
        <v>0.0</v>
      </c>
      <c r="N66" s="199">
        <v>0.0</v>
      </c>
      <c r="O66" s="199">
        <v>0.0</v>
      </c>
      <c r="P66" s="199">
        <v>0.0</v>
      </c>
      <c r="Q66" s="199">
        <v>0.0</v>
      </c>
      <c r="R66" s="199">
        <v>0.0</v>
      </c>
      <c r="S66" s="199">
        <v>0.0</v>
      </c>
      <c r="T66" s="199">
        <v>0.0</v>
      </c>
    </row>
    <row r="67">
      <c r="B67" s="186">
        <v>28.0</v>
      </c>
      <c r="C67" s="186">
        <v>15120.0</v>
      </c>
      <c r="D67" s="186">
        <f t="shared" si="1"/>
        <v>281910</v>
      </c>
      <c r="E67" s="187" t="b">
        <f>IFERROR(__xludf.DUMMYFUNCTION("if(countif($F67:$T67, ""&lt;&gt;0"")&lt;1, ""NO REWARD!"", if(counta(filter($F67:$T67, $F67:$T67&lt;&gt;0))&gt;1, TRUE, FALSE))"),FALSE)</f>
        <v>0</v>
      </c>
      <c r="F67" s="198">
        <v>0.0</v>
      </c>
      <c r="G67" s="199">
        <v>0.0</v>
      </c>
      <c r="H67" s="199">
        <v>0.0</v>
      </c>
      <c r="I67" s="199">
        <v>0.0</v>
      </c>
      <c r="J67" s="199">
        <v>0.0</v>
      </c>
      <c r="K67" s="199">
        <v>0.0</v>
      </c>
      <c r="L67" s="199">
        <v>0.0</v>
      </c>
      <c r="M67" s="199">
        <v>0.0</v>
      </c>
      <c r="N67" s="199">
        <v>0.0</v>
      </c>
      <c r="O67" s="200">
        <v>60.0</v>
      </c>
      <c r="P67" s="199">
        <v>0.0</v>
      </c>
      <c r="Q67" s="199">
        <v>0.0</v>
      </c>
      <c r="R67" s="199">
        <v>0.0</v>
      </c>
      <c r="S67" s="199">
        <v>0.0</v>
      </c>
      <c r="T67" s="199">
        <v>0.0</v>
      </c>
    </row>
    <row r="68">
      <c r="B68" s="181">
        <v>29.0</v>
      </c>
      <c r="C68" s="181">
        <v>19940.0</v>
      </c>
      <c r="D68" s="181">
        <f t="shared" si="1"/>
        <v>301850</v>
      </c>
      <c r="E68" s="189" t="b">
        <f>IFERROR(__xludf.DUMMYFUNCTION("if(countif($F68:$T68, ""&lt;&gt;0"")&lt;1, ""NO REWARD!"", if(counta(filter($F68:$T68, $F68:$T68&lt;&gt;0))&gt;1, TRUE, FALSE))"),FALSE)</f>
        <v>0</v>
      </c>
      <c r="F68" s="198">
        <v>0.0</v>
      </c>
      <c r="G68" s="199">
        <v>0.0</v>
      </c>
      <c r="H68" s="199">
        <v>0.0</v>
      </c>
      <c r="I68" s="199">
        <v>0.0</v>
      </c>
      <c r="J68" s="199">
        <v>0.0</v>
      </c>
      <c r="K68" s="200">
        <v>3.0</v>
      </c>
      <c r="L68" s="199">
        <v>0.0</v>
      </c>
      <c r="M68" s="199">
        <v>0.0</v>
      </c>
      <c r="N68" s="199">
        <v>0.0</v>
      </c>
      <c r="O68" s="199">
        <v>0.0</v>
      </c>
      <c r="P68" s="199">
        <v>0.0</v>
      </c>
      <c r="Q68" s="199">
        <v>0.0</v>
      </c>
      <c r="R68" s="199">
        <v>0.0</v>
      </c>
      <c r="S68" s="199">
        <v>0.0</v>
      </c>
      <c r="T68" s="199">
        <v>0.0</v>
      </c>
    </row>
    <row r="69">
      <c r="B69" s="186">
        <v>30.0</v>
      </c>
      <c r="C69" s="186">
        <v>50410.0</v>
      </c>
      <c r="D69" s="186">
        <f t="shared" si="1"/>
        <v>352260</v>
      </c>
      <c r="E69" s="182" t="b">
        <f>IFERROR(__xludf.DUMMYFUNCTION("if(countif($F69:$T69, ""&lt;&gt;0"")&lt;1, ""NO REWARD!"", if(counta(filter($F69:$T69, $F69:$T69&lt;&gt;0))&gt;1, TRUE, FALSE))"),TRUE)</f>
        <v>1</v>
      </c>
      <c r="F69" s="201">
        <v>600.0</v>
      </c>
      <c r="G69" s="199">
        <v>0.0</v>
      </c>
      <c r="H69" s="199">
        <v>0.0</v>
      </c>
      <c r="I69" s="199">
        <v>0.0</v>
      </c>
      <c r="J69" s="199">
        <v>0.0</v>
      </c>
      <c r="K69" s="199">
        <v>0.0</v>
      </c>
      <c r="L69" s="200">
        <v>3.0</v>
      </c>
      <c r="M69" s="200">
        <v>3.0</v>
      </c>
      <c r="N69" s="200">
        <v>3.0</v>
      </c>
      <c r="O69" s="199">
        <v>0.0</v>
      </c>
      <c r="P69" s="199">
        <v>0.0</v>
      </c>
      <c r="Q69" s="199">
        <v>0.0</v>
      </c>
      <c r="R69" s="199">
        <v>0.0</v>
      </c>
      <c r="S69" s="199">
        <v>0.0</v>
      </c>
      <c r="T69" s="199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8.14"/>
    <col customWidth="1" min="3" max="7" width="10.86"/>
  </cols>
  <sheetData>
    <row r="1">
      <c r="A1" s="98" t="s">
        <v>271</v>
      </c>
    </row>
    <row r="3">
      <c r="C3" s="143" t="s">
        <v>272</v>
      </c>
    </row>
    <row r="4">
      <c r="B4" s="204"/>
      <c r="C4" s="100" t="s">
        <v>142</v>
      </c>
      <c r="D4" s="100" t="s">
        <v>143</v>
      </c>
      <c r="E4" s="100" t="s">
        <v>144</v>
      </c>
      <c r="F4" s="100" t="s">
        <v>145</v>
      </c>
      <c r="G4" s="100" t="s">
        <v>146</v>
      </c>
    </row>
    <row r="5">
      <c r="B5" s="151" t="s">
        <v>274</v>
      </c>
      <c r="C5" s="205">
        <f>LET(
  gain, Raw_Data_Daily!$Q$2:$Q$9999,
  players, Raw_Data_Daily!$D$2:$D$9999,
  group, Raw_Data_Daily!$B$2:$B$9999,
  segment, Raw_Data_Daily!$C$2:$C$9999,
  IFERROR(SUMPRODUCT(gain, players, --(group="Control"), --(segment=C$4)) / SUMPRODUCT(players, --(group="Control"), --(segment=C$4)), 0)
)</f>
        <v>46.35863488</v>
      </c>
      <c r="D5" s="205">
        <f>LET(
  gain, Raw_Data_Daily!$Q$2:$Q$9999,
  players, Raw_Data_Daily!$D$2:$D$9999,
  group, Raw_Data_Daily!$B$2:$B$9999,
  segment, Raw_Data_Daily!$C$2:$C$9999,
  IFERROR(SUMPRODUCT(gain, players, --(group="Control"), --(segment=D$4)) / SUMPRODUCT(players, --(group="Control"), --(segment=D$4)), 0)
)</f>
        <v>98.26141137</v>
      </c>
      <c r="E5" s="205">
        <f>LET(
  gain, Raw_Data_Daily!$Q$2:$Q$9999,
  players, Raw_Data_Daily!$D$2:$D$9999,
  group, Raw_Data_Daily!$B$2:$B$9999,
  segment, Raw_Data_Daily!$C$2:$C$9999,
  IFERROR(SUMPRODUCT(gain, players, --(group="Control"), --(segment=E$4)) / SUMPRODUCT(players, --(group="Control"), --(segment=E$4)), 0)
)</f>
        <v>168.459865</v>
      </c>
      <c r="F5" s="205">
        <f>LET(
  gain, Raw_Data_Daily!$Q$2:$Q$9999,
  players, Raw_Data_Daily!$D$2:$D$9999,
  group, Raw_Data_Daily!$B$2:$B$9999,
  segment, Raw_Data_Daily!$C$2:$C$9999,
  IFERROR(SUMPRODUCT(gain, players, --(group="Control"), --(segment=F$4)) / SUMPRODUCT(players, --(group="Control"), --(segment=F$4)), 0)
)</f>
        <v>312.7207428</v>
      </c>
      <c r="G5" s="205">
        <f>LET(
  gain, Raw_Data_Daily!$Q$2:$Q$9999,
  players, Raw_Data_Daily!$D$2:$D$9999,
  group, Raw_Data_Daily!$B$2:$B$9999,
  segment, Raw_Data_Daily!$C$2:$C$9999,
  IFERROR(SUMPRODUCT(gain, players, --(group="Control"), --(segment=G$4)) / SUMPRODUCT(players, --(group="Control"), --(segment=G$4)), 0)
)</f>
        <v>592.9608645</v>
      </c>
    </row>
    <row r="6">
      <c r="B6" s="204" t="s">
        <v>79</v>
      </c>
      <c r="C6" s="205">
        <f>LET(
  gain, Raw_Data_Daily!$BO$2:$BO$9999,
  players, Raw_Data_Daily!$D$2:$D$9999,
  group, Raw_Data_Daily!$B$2:$B$9999,
  segment, Raw_Data_Daily!$C$2:$C$9999,
  IFERROR(SUMPRODUCT(gain, players, --(group="Control"), --(segment=C$4)) / SUMPRODUCT(players, --(group="Control"), --(segment=C$4)), 0)
)</f>
        <v>0.8323750584</v>
      </c>
      <c r="D6" s="205">
        <f>LET(
  gain, Raw_Data_Daily!$BO$2:$BO$9999,
  players, Raw_Data_Daily!$D$2:$D$9999,
  group, Raw_Data_Daily!$B$2:$B$9999,
  segment, Raw_Data_Daily!$C$2:$C$9999,
  IFERROR(SUMPRODUCT(gain, players, --(group="Control"), --(segment=D$4)) / SUMPRODUCT(players, --(group="Control"), --(segment=D$4)), 0)
)</f>
        <v>1.579392343</v>
      </c>
      <c r="E6" s="205">
        <f>LET(
  gain, Raw_Data_Daily!$BO$2:$BO$9999,
  players, Raw_Data_Daily!$D$2:$D$9999,
  group, Raw_Data_Daily!$B$2:$B$9999,
  segment, Raw_Data_Daily!$C$2:$C$9999,
  IFERROR(SUMPRODUCT(gain, players, --(group="Control"), --(segment=E$4)) / SUMPRODUCT(players, --(group="Control"), --(segment=E$4)), 0)
)</f>
        <v>2.248582464</v>
      </c>
      <c r="F6" s="205">
        <f>LET(
  gain, Raw_Data_Daily!$BO$2:$BO$9999,
  players, Raw_Data_Daily!$D$2:$D$9999,
  group, Raw_Data_Daily!$B$2:$B$9999,
  segment, Raw_Data_Daily!$C$2:$C$9999,
  IFERROR(SUMPRODUCT(gain, players, --(group="Control"), --(segment=F$4)) / SUMPRODUCT(players, --(group="Control"), --(segment=F$4)), 0)
)</f>
        <v>3.420928294</v>
      </c>
      <c r="G6" s="205">
        <f>LET(
  gain, Raw_Data_Daily!$BO$2:$BO$9999,
  players, Raw_Data_Daily!$D$2:$D$9999,
  group, Raw_Data_Daily!$B$2:$B$9999,
  segment, Raw_Data_Daily!$C$2:$C$9999,
  IFERROR(SUMPRODUCT(gain, players, --(group="Control"), --(segment=G$4)) / SUMPRODUCT(players, --(group="Control"), --(segment=G$4)), 0)
)</f>
        <v>6.869744948</v>
      </c>
    </row>
    <row r="7">
      <c r="B7" s="204" t="s">
        <v>85</v>
      </c>
      <c r="C7" s="205">
        <f>LET(
  gain, Raw_Data_Daily!$BS$2:$BS$9999,
  players, Raw_Data_Daily!$D$2:$D$9999,
  group, Raw_Data_Daily!$B$2:$B$9999,
  segment, Raw_Data_Daily!$C$2:$C$9999,
  IFERROR(SUMPRODUCT(gain, players, --(group="Control"), --(segment=C$4)) / SUMPRODUCT(players, --(group="Control"), --(segment=C$4)), 0)
)</f>
        <v>0.8448537424</v>
      </c>
      <c r="D7" s="205">
        <f>LET(
  gain, Raw_Data_Daily!$BS$2:$BS$9999,
  players, Raw_Data_Daily!$D$2:$D$9999,
  group, Raw_Data_Daily!$B$2:$B$9999,
  segment, Raw_Data_Daily!$C$2:$C$9999,
  IFERROR(SUMPRODUCT(gain, players, --(group="Control"), --(segment=D$4)) / SUMPRODUCT(players, --(group="Control"), --(segment=D$4)), 0)
)</f>
        <v>1.563498965</v>
      </c>
      <c r="E7" s="205">
        <f>LET(
  gain, Raw_Data_Daily!$BS$2:$BS$9999,
  players, Raw_Data_Daily!$D$2:$D$9999,
  group, Raw_Data_Daily!$B$2:$B$9999,
  segment, Raw_Data_Daily!$C$2:$C$9999,
  IFERROR(SUMPRODUCT(gain, players, --(group="Control"), --(segment=E$4)) / SUMPRODUCT(players, --(group="Control"), --(segment=E$4)), 0)
)</f>
        <v>2.350108104</v>
      </c>
      <c r="F7" s="205">
        <f>LET(
  gain, Raw_Data_Daily!$BS$2:$BS$9999,
  players, Raw_Data_Daily!$D$2:$D$9999,
  group, Raw_Data_Daily!$B$2:$B$9999,
  segment, Raw_Data_Daily!$C$2:$C$9999,
  IFERROR(SUMPRODUCT(gain, players, --(group="Control"), --(segment=F$4)) / SUMPRODUCT(players, --(group="Control"), --(segment=F$4)), 0)
)</f>
        <v>3.573487428</v>
      </c>
      <c r="G7" s="205">
        <f>LET(
  gain, Raw_Data_Daily!$BS$2:$BS$9999,
  players, Raw_Data_Daily!$D$2:$D$9999,
  group, Raw_Data_Daily!$B$2:$B$9999,
  segment, Raw_Data_Daily!$C$2:$C$9999,
  IFERROR(SUMPRODUCT(gain, players, --(group="Control"), --(segment=G$4)) / SUMPRODUCT(players, --(group="Control"), --(segment=G$4)), 0)
)</f>
        <v>7.285957784</v>
      </c>
    </row>
    <row r="8">
      <c r="B8" s="204" t="s">
        <v>91</v>
      </c>
      <c r="C8" s="205">
        <f>LET(
  gain, Raw_Data_Daily!$BW$2:$BW$9999,
  players, Raw_Data_Daily!$D$2:$D$9999,
  group, Raw_Data_Daily!$B$2:$B$9999,
  segment, Raw_Data_Daily!$C$2:$C$9999,
  IFERROR(SUMPRODUCT(gain, players, --(group="Control"), --(segment=C$4)) / SUMPRODUCT(players, --(group="Control"), --(segment=C$4)), 0)
)</f>
        <v>0.3991151937</v>
      </c>
      <c r="D8" s="205">
        <f>LET(
  gain, Raw_Data_Daily!$BW$2:$BW$9999,
  players, Raw_Data_Daily!$D$2:$D$9999,
  group, Raw_Data_Daily!$B$2:$B$9999,
  segment, Raw_Data_Daily!$C$2:$C$9999,
  IFERROR(SUMPRODUCT(gain, players, --(group="Control"), --(segment=D$4)) / SUMPRODUCT(players, --(group="Control"), --(segment=D$4)), 0)
)</f>
        <v>0.8755020014</v>
      </c>
      <c r="E8" s="205">
        <f>LET(
  gain, Raw_Data_Daily!$BW$2:$BW$9999,
  players, Raw_Data_Daily!$D$2:$D$9999,
  group, Raw_Data_Daily!$B$2:$B$9999,
  segment, Raw_Data_Daily!$C$2:$C$9999,
  IFERROR(SUMPRODUCT(gain, players, --(group="Control"), --(segment=E$4)) / SUMPRODUCT(players, --(group="Control"), --(segment=E$4)), 0)
)</f>
        <v>1.546975179</v>
      </c>
      <c r="F8" s="205">
        <f>LET(
  gain, Raw_Data_Daily!$BW$2:$BW$9999,
  players, Raw_Data_Daily!$D$2:$D$9999,
  group, Raw_Data_Daily!$B$2:$B$9999,
  segment, Raw_Data_Daily!$C$2:$C$9999,
  IFERROR(SUMPRODUCT(gain, players, --(group="Control"), --(segment=F$4)) / SUMPRODUCT(players, --(group="Control"), --(segment=F$4)), 0)
)</f>
        <v>2.729720915</v>
      </c>
      <c r="G8" s="205">
        <f>LET(
  gain, Raw_Data_Daily!$BW$2:$BW$9999,
  players, Raw_Data_Daily!$D$2:$D$9999,
  group, Raw_Data_Daily!$B$2:$B$9999,
  segment, Raw_Data_Daily!$C$2:$C$9999,
  IFERROR(SUMPRODUCT(gain, players, --(group="Control"), --(segment=G$4)) / SUMPRODUCT(players, --(group="Control"), --(segment=G$4)), 0)
)</f>
        <v>5.64745</v>
      </c>
    </row>
    <row r="9">
      <c r="B9" s="204"/>
      <c r="C9" s="171"/>
      <c r="D9" s="171"/>
      <c r="E9" s="171"/>
      <c r="F9" s="171"/>
      <c r="G9" s="171"/>
    </row>
    <row r="10">
      <c r="B10" s="204"/>
      <c r="C10" s="171"/>
      <c r="D10" s="171"/>
      <c r="E10" s="171"/>
      <c r="F10" s="171"/>
      <c r="G10" s="171"/>
    </row>
    <row r="11">
      <c r="B11" s="204"/>
      <c r="C11" s="206" t="s">
        <v>278</v>
      </c>
      <c r="D11" s="171"/>
      <c r="E11" s="171"/>
      <c r="F11" s="171"/>
      <c r="G11" s="171"/>
    </row>
    <row r="12">
      <c r="B12" s="151" t="s">
        <v>274</v>
      </c>
      <c r="C12" s="205">
        <f>LET(
  gain, Raw_Data_Daily!$Q$2:$Q$9999,
  players, Raw_Data_Daily!$D$2:$D$9999,
  group, Raw_Data_Daily!$B$2:$B$9999,
  segment, Raw_Data_Daily!$C$2:$C$9999,
  IFERROR(SUMPRODUCT(gain, players, --(group="Variant"), --(segment=C$4)) / SUMPRODUCT(players, --(group="Variant"), --(segment=C$4)), 0)
)</f>
        <v>44.96964882</v>
      </c>
      <c r="D12" s="205">
        <f>LET(
  gain, Raw_Data_Daily!$Q$2:$Q$9999,
  players, Raw_Data_Daily!$D$2:$D$9999,
  group, Raw_Data_Daily!$B$2:$B$9999,
  segment, Raw_Data_Daily!$C$2:$C$9999,
  IFERROR(SUMPRODUCT(gain, players, --(group="Variant"), --(segment=D$4)) / SUMPRODUCT(players, --(group="Variant"), --(segment=D$4)), 0)
)</f>
        <v>94.93157872</v>
      </c>
      <c r="E12" s="205">
        <f>LET(
  gain, Raw_Data_Daily!$Q$2:$Q$9999,
  players, Raw_Data_Daily!$D$2:$D$9999,
  group, Raw_Data_Daily!$B$2:$B$9999,
  segment, Raw_Data_Daily!$C$2:$C$9999,
  IFERROR(SUMPRODUCT(gain, players, --(group="Variant"), --(segment=E$4)) / SUMPRODUCT(players, --(group="Variant"), --(segment=E$4)), 0)
)</f>
        <v>172.8712806</v>
      </c>
      <c r="F12" s="205">
        <f>LET(
  gain, Raw_Data_Daily!$Q$2:$Q$9999,
  players, Raw_Data_Daily!$D$2:$D$9999,
  group, Raw_Data_Daily!$B$2:$B$9999,
  segment, Raw_Data_Daily!$C$2:$C$9999,
  IFERROR(SUMPRODUCT(gain, players, --(group="Variant"), --(segment=F$4)) / SUMPRODUCT(players, --(group="Variant"), --(segment=F$4)), 0)
)</f>
        <v>339.1089075</v>
      </c>
      <c r="G12" s="205">
        <f>LET(
  gain, Raw_Data_Daily!$Q$2:$Q$9999,
  players, Raw_Data_Daily!$D$2:$D$9999,
  group, Raw_Data_Daily!$B$2:$B$9999,
  segment, Raw_Data_Daily!$C$2:$C$9999,
  IFERROR(SUMPRODUCT(gain, players, --(group="Variant"), --(segment=G$4)) / SUMPRODUCT(players, --(group="Variant"), --(segment=G$4)), 0)
)</f>
        <v>602.1949106</v>
      </c>
    </row>
    <row r="13">
      <c r="B13" s="204" t="s">
        <v>79</v>
      </c>
      <c r="C13" s="205">
        <f>LET(
  gain, Raw_Data_Daily!$BO$2:$BO$9999,
  players, Raw_Data_Daily!$D$2:$D$9999,
  group, Raw_Data_Daily!$B$2:$B$9999,
  segment, Raw_Data_Daily!$C$2:$C$9999,
  IFERROR(SUMPRODUCT(gain, players, --(group="Variant"), --(segment=C$4)) / SUMPRODUCT(players, --(group="Variant"), --(segment=C$4)), 0)
)</f>
        <v>1.08145288</v>
      </c>
      <c r="D13" s="205">
        <f>LET(
  gain, Raw_Data_Daily!$BO$2:$BO$9999,
  players, Raw_Data_Daily!$D$2:$D$9999,
  group, Raw_Data_Daily!$B$2:$B$9999,
  segment, Raw_Data_Daily!$C$2:$C$9999,
  IFERROR(SUMPRODUCT(gain, players, --(group="Variant"), --(segment=D$4)) / SUMPRODUCT(players, --(group="Variant"), --(segment=D$4)), 0)
)</f>
        <v>1.800934732</v>
      </c>
      <c r="E13" s="205">
        <f>LET(
  gain, Raw_Data_Daily!$BO$2:$BO$9999,
  players, Raw_Data_Daily!$D$2:$D$9999,
  group, Raw_Data_Daily!$B$2:$B$9999,
  segment, Raw_Data_Daily!$C$2:$C$9999,
  IFERROR(SUMPRODUCT(gain, players, --(group="Variant"), --(segment=E$4)) / SUMPRODUCT(players, --(group="Variant"), --(segment=E$4)), 0)
)</f>
        <v>2.32974448</v>
      </c>
      <c r="F13" s="205">
        <f>LET(
  gain, Raw_Data_Daily!$BO$2:$BO$9999,
  players, Raw_Data_Daily!$D$2:$D$9999,
  group, Raw_Data_Daily!$B$2:$B$9999,
  segment, Raw_Data_Daily!$C$2:$C$9999,
  IFERROR(SUMPRODUCT(gain, players, --(group="Variant"), --(segment=F$4)) / SUMPRODUCT(players, --(group="Variant"), --(segment=F$4)), 0)
)</f>
        <v>3.129570853</v>
      </c>
      <c r="G13" s="205">
        <f>LET(
  gain, Raw_Data_Daily!$BO$2:$BO$9999,
  players, Raw_Data_Daily!$D$2:$D$9999,
  group, Raw_Data_Daily!$B$2:$B$9999,
  segment, Raw_Data_Daily!$C$2:$C$9999,
  IFERROR(SUMPRODUCT(gain, players, --(group="Variant"), --(segment=G$4)) / SUMPRODUCT(players, --(group="Variant"), --(segment=G$4)), 0)
)</f>
        <v>5.079436466</v>
      </c>
    </row>
    <row r="14">
      <c r="B14" s="204" t="s">
        <v>85</v>
      </c>
      <c r="C14" s="205">
        <f>LET(
  gain, Raw_Data_Daily!$BS$2:$BS$9999,
  players, Raw_Data_Daily!$D$2:$D$9999,
  group, Raw_Data_Daily!$B$2:$B$9999,
  segment, Raw_Data_Daily!$C$2:$C$9999,
  IFERROR(SUMPRODUCT(gain, players, --(group="Variant"), --(segment=C$4)) / SUMPRODUCT(players, --(group="Variant"), --(segment=C$4)), 0)
)</f>
        <v>0.9914429056</v>
      </c>
      <c r="D14" s="205">
        <f>LET(
  gain, Raw_Data_Daily!$BS$2:$BS$9999,
  players, Raw_Data_Daily!$D$2:$D$9999,
  group, Raw_Data_Daily!$B$2:$B$9999,
  segment, Raw_Data_Daily!$C$2:$C$9999,
  IFERROR(SUMPRODUCT(gain, players, --(group="Variant"), --(segment=D$4)) / SUMPRODUCT(players, --(group="Variant"), --(segment=D$4)), 0)
)</f>
        <v>1.76462719</v>
      </c>
      <c r="E14" s="205">
        <f>LET(
  gain, Raw_Data_Daily!$BS$2:$BS$9999,
  players, Raw_Data_Daily!$D$2:$D$9999,
  group, Raw_Data_Daily!$B$2:$B$9999,
  segment, Raw_Data_Daily!$C$2:$C$9999,
  IFERROR(SUMPRODUCT(gain, players, --(group="Variant"), --(segment=E$4)) / SUMPRODUCT(players, --(group="Variant"), --(segment=E$4)), 0)
)</f>
        <v>2.421017932</v>
      </c>
      <c r="F14" s="205">
        <f>LET(
  gain, Raw_Data_Daily!$BS$2:$BS$9999,
  players, Raw_Data_Daily!$D$2:$D$9999,
  group, Raw_Data_Daily!$B$2:$B$9999,
  segment, Raw_Data_Daily!$C$2:$C$9999,
  IFERROR(SUMPRODUCT(gain, players, --(group="Variant"), --(segment=F$4)) / SUMPRODUCT(players, --(group="Variant"), --(segment=F$4)), 0)
)</f>
        <v>3.331421262</v>
      </c>
      <c r="G14" s="205">
        <f>LET(
  gain, Raw_Data_Daily!$BS$2:$BS$9999,
  players, Raw_Data_Daily!$D$2:$D$9999,
  group, Raw_Data_Daily!$B$2:$B$9999,
  segment, Raw_Data_Daily!$C$2:$C$9999,
  IFERROR(SUMPRODUCT(gain, players, --(group="Variant"), --(segment=G$4)) / SUMPRODUCT(players, --(group="Variant"), --(segment=G$4)), 0)
)</f>
        <v>5.513944241</v>
      </c>
    </row>
    <row r="15">
      <c r="B15" s="204" t="s">
        <v>91</v>
      </c>
      <c r="C15" s="205">
        <f>LET(
  gain, Raw_Data_Daily!$BW$2:$BW$9999,
  players, Raw_Data_Daily!$D$2:$D$9999,
  group, Raw_Data_Daily!$B$2:$B$9999,
  segment, Raw_Data_Daily!$C$2:$C$9999,
  IFERROR(SUMPRODUCT(gain, players, --(group="Variant"), --(segment=C$4)) / SUMPRODUCT(players, --(group="Variant"), --(segment=C$4)), 0)
)</f>
        <v>0.3138424498</v>
      </c>
      <c r="D15" s="205">
        <f>LET(
  gain, Raw_Data_Daily!$BW$2:$BW$9999,
  players, Raw_Data_Daily!$D$2:$D$9999,
  group, Raw_Data_Daily!$B$2:$B$9999,
  segment, Raw_Data_Daily!$C$2:$C$9999,
  IFERROR(SUMPRODUCT(gain, players, --(group="Variant"), --(segment=D$4)) / SUMPRODUCT(players, --(group="Variant"), --(segment=D$4)), 0)
)</f>
        <v>0.7306796967</v>
      </c>
      <c r="E15" s="205">
        <f>LET(
  gain, Raw_Data_Daily!$BW$2:$BW$9999,
  players, Raw_Data_Daily!$D$2:$D$9999,
  group, Raw_Data_Daily!$B$2:$B$9999,
  segment, Raw_Data_Daily!$C$2:$C$9999,
  IFERROR(SUMPRODUCT(gain, players, --(group="Variant"), --(segment=E$4)) / SUMPRODUCT(players, --(group="Variant"), --(segment=E$4)), 0)
)</f>
        <v>1.412214549</v>
      </c>
      <c r="F15" s="205">
        <f>LET(
  gain, Raw_Data_Daily!$BW$2:$BW$9999,
  players, Raw_Data_Daily!$D$2:$D$9999,
  group, Raw_Data_Daily!$B$2:$B$9999,
  segment, Raw_Data_Daily!$C$2:$C$9999,
  IFERROR(SUMPRODUCT(gain, players, --(group="Variant"), --(segment=F$4)) / SUMPRODUCT(players, --(group="Variant"), --(segment=F$4)), 0)
)</f>
        <v>2.488533996</v>
      </c>
      <c r="G15" s="205">
        <f>LET(
  gain, Raw_Data_Daily!$BW$2:$BW$9999,
  players, Raw_Data_Daily!$D$2:$D$9999,
  group, Raw_Data_Daily!$B$2:$B$9999,
  segment, Raw_Data_Daily!$C$2:$C$9999,
  IFERROR(SUMPRODUCT(gain, players, --(group="Variant"), --(segment=G$4)) / SUMPRODUCT(players, --(group="Variant"), --(segment=G$4)), 0)
)</f>
        <v>4.695633805</v>
      </c>
    </row>
    <row r="16">
      <c r="B16" s="204"/>
      <c r="C16" s="171"/>
      <c r="D16" s="171"/>
      <c r="E16" s="171"/>
      <c r="F16" s="171"/>
      <c r="G16" s="171"/>
    </row>
    <row r="17">
      <c r="B17" s="204"/>
      <c r="C17" s="171"/>
      <c r="D17" s="171"/>
      <c r="E17" s="171"/>
      <c r="F17" s="171"/>
      <c r="G17" s="171"/>
    </row>
    <row r="18">
      <c r="B18" s="204"/>
      <c r="C18" s="206" t="s">
        <v>279</v>
      </c>
      <c r="D18" s="171"/>
      <c r="E18" s="171"/>
      <c r="F18" s="171"/>
      <c r="G18" s="171"/>
    </row>
    <row r="19">
      <c r="B19" s="151" t="s">
        <v>274</v>
      </c>
      <c r="C19" s="205">
        <f>LET(
  gain, Raw_Data_Daily!$Q$2:$Q$9999,
  players, Raw_Data_Daily!$D$2:$D$9999,
  group, Raw_Data_Daily!$B$2:$B$9999,
  segment, Raw_Data_Daily!$C$2:$C$9999,
  ns_change, NS_Config_Change_Est!C57,
  saga_change, (Saga_Config_Change_Est!B158-Saga_Config_Change_Est!B157),
  IFERROR(SUMPRODUCT(gain, players, --(group="Variant"), --(segment=C$4)) / SUMPRODUCT(players, --(group="Variant"), --(segment=C$4)), 0) + (ns_change*0.42) + saga_change
)</f>
        <v>44.96964882</v>
      </c>
      <c r="D19" s="205">
        <f>LET(
  gain, Raw_Data_Daily!$Q$2:$Q$9999,
  players, Raw_Data_Daily!$D$2:$D$9999,
  group, Raw_Data_Daily!$B$2:$B$9999,
  segment, Raw_Data_Daily!$C$2:$C$9999,
  ns_change, NS_Config_Change_Est!D57,
  saga_change, (Saga_Config_Change_Est!C158-Saga_Config_Change_Est!C157),
  IFERROR(SUMPRODUCT(gain, players, --(group="Variant"), --(segment=D$4)) / SUMPRODUCT(players, --(group="Variant"), --(segment=D$4)), 0) + (ns_change*0.42) + saga_change
)</f>
        <v>94.93157872</v>
      </c>
      <c r="E19" s="205">
        <f>LET(
  gain, Raw_Data_Daily!$Q$2:$Q$9999,
  players, Raw_Data_Daily!$D$2:$D$9999,
  group, Raw_Data_Daily!$B$2:$B$9999,
  segment, Raw_Data_Daily!$C$2:$C$9999,
  ns_change, NS_Config_Change_Est!E57,
  saga_change, (Saga_Config_Change_Est!D158-Saga_Config_Change_Est!D157),
  IFERROR(SUMPRODUCT(gain, players, --(group="Variant"), --(segment=E$4)) / SUMPRODUCT(players, --(group="Variant"), --(segment=E$4)), 0) + (ns_change*0.42) + saga_change
)</f>
        <v>172.8712806</v>
      </c>
      <c r="F19" s="205">
        <f>LET(
  gain, Raw_Data_Daily!$Q$2:$Q$9999,
  players, Raw_Data_Daily!$D$2:$D$9999,
  group, Raw_Data_Daily!$B$2:$B$9999,
  segment, Raw_Data_Daily!$C$2:$C$9999,
  ns_change, NS_Config_Change_Est!F57,
  saga_change, (Saga_Config_Change_Est!E158-Saga_Config_Change_Est!E157),
  IFERROR(SUMPRODUCT(gain, players, --(group="Variant"), --(segment=F$4)) / SUMPRODUCT(players, --(group="Variant"), --(segment=F$4)), 0) + (ns_change*0.42) + saga_change
)</f>
        <v>339.1089075</v>
      </c>
      <c r="G19" s="205">
        <f>LET(
  gain, Raw_Data_Daily!$Q$2:$Q$9999,
  players, Raw_Data_Daily!$D$2:$D$9999,
  group, Raw_Data_Daily!$B$2:$B$9999,
  segment, Raw_Data_Daily!$C$2:$C$9999,
  ns_change, NS_Config_Change_Est!G57,
  saga_change, (Saga_Config_Change_Est!F158-Saga_Config_Change_Est!F157),
  IFERROR(SUMPRODUCT(gain, players, --(group="Variant"), --(segment=G$4)) / SUMPRODUCT(players, --(group="Variant"), --(segment=G$4)), 0) + (ns_change*0.42) + saga_change
)</f>
        <v>602.1949106</v>
      </c>
    </row>
    <row r="20">
      <c r="B20" s="204" t="s">
        <v>79</v>
      </c>
      <c r="C20" s="205">
        <f>LET(
  gain, Raw_Data_Daily!$BO$2:$BO$9999,
  players, Raw_Data_Daily!$D$2:$D$9999,
  group, Raw_Data_Daily!$B$2:$B$9999,
  segment, Raw_Data_Daily!$C$2:$C$9999,
  ns_change, NS_Config_Change_Est!C62,
  saga_change, (Saga_Config_Change_Est!B165-Saga_Config_Change_Est!B164),
  IFERROR(SUMPRODUCT(gain, players, --(group="Variant"), --(segment=C$4)) / SUMPRODUCT(players, --(group="Variant"), --(segment=C$4)), 0) + (ns_change*0.42) + saga_change
)</f>
        <v>1.08145288</v>
      </c>
      <c r="D20" s="205">
        <f>LET(
  gain, Raw_Data_Daily!$BO$2:$BO$9999,
  players, Raw_Data_Daily!$D$2:$D$9999,
  group, Raw_Data_Daily!$B$2:$B$9999,
  segment, Raw_Data_Daily!$C$2:$C$9999,
  ns_change, NS_Config_Change_Est!D62,
  saga_change, (Saga_Config_Change_Est!C165-Saga_Config_Change_Est!C164),
  IFERROR(SUMPRODUCT(gain, players, --(group="Variant"), --(segment=D$4)) / SUMPRODUCT(players, --(group="Variant"), --(segment=D$4)), 0) + (ns_change*0.42) + saga_change
)</f>
        <v>1.800934732</v>
      </c>
      <c r="E20" s="205">
        <f>LET(
  gain, Raw_Data_Daily!$BO$2:$BO$9999,
  players, Raw_Data_Daily!$D$2:$D$9999,
  group, Raw_Data_Daily!$B$2:$B$9999,
  segment, Raw_Data_Daily!$C$2:$C$9999,
  ns_change, NS_Config_Change_Est!E62,
  saga_change, (Saga_Config_Change_Est!D165-Saga_Config_Change_Est!D164),
  IFERROR(SUMPRODUCT(gain, players, --(group="Variant"), --(segment=E$4)) / SUMPRODUCT(players, --(group="Variant"), --(segment=E$4)), 0) + (ns_change*0.42) + saga_change
)</f>
        <v>2.32974448</v>
      </c>
      <c r="F20" s="205">
        <f>LET(
  gain, Raw_Data_Daily!$BO$2:$BO$9999,
  players, Raw_Data_Daily!$D$2:$D$9999,
  group, Raw_Data_Daily!$B$2:$B$9999,
  segment, Raw_Data_Daily!$C$2:$C$9999,
  ns_change, NS_Config_Change_Est!F62,
  saga_change, (Saga_Config_Change_Est!E165-Saga_Config_Change_Est!E164),
  IFERROR(SUMPRODUCT(gain, players, --(group="Variant"), --(segment=F$4)) / SUMPRODUCT(players, --(group="Variant"), --(segment=F$4)), 0) + (ns_change*0.42) + saga_change
)</f>
        <v>3.308747103</v>
      </c>
      <c r="G20" s="205">
        <f>LET(
  gain, Raw_Data_Daily!$BO$2:$BO$9999,
  players, Raw_Data_Daily!$D$2:$D$9999,
  group, Raw_Data_Daily!$B$2:$B$9999,
  segment, Raw_Data_Daily!$C$2:$C$9999,
  ns_change, NS_Config_Change_Est!G62,
  saga_change, (Saga_Config_Change_Est!F165-Saga_Config_Change_Est!F164),
  IFERROR(SUMPRODUCT(gain, players, --(group="Variant"), --(segment=G$4)) / SUMPRODUCT(players, --(group="Variant"), --(segment=G$4)), 0) + (ns_change*0.42) + saga_change
)</f>
        <v>5.176877741</v>
      </c>
    </row>
    <row r="21">
      <c r="B21" s="204" t="s">
        <v>85</v>
      </c>
      <c r="C21" s="205">
        <f>LET(
  gain, Raw_Data_Daily!$BS$2:$BS$9999,
  players, Raw_Data_Daily!$D$2:$D$9999,
  group, Raw_Data_Daily!$B$2:$B$9999,
  segment, Raw_Data_Daily!$C$2:$C$9999,
  ns_change, NS_Config_Change_Est!C66,
  saga_change, (Saga_Config_Change_Est!B170-Saga_Config_Change_Est!B169),
  IFERROR(SUMPRODUCT(gain, players, --(group="Variant"), --(segment=C$4)) / SUMPRODUCT(players, --(group="Variant"), --(segment=C$4)), 0) + (ns_change*0.42) + saga_change
)</f>
        <v>0.9612874267</v>
      </c>
      <c r="D21" s="205">
        <f>LET(
  gain, Raw_Data_Daily!$BS$2:$BS$9999,
  players, Raw_Data_Daily!$D$2:$D$9999,
  group, Raw_Data_Daily!$B$2:$B$9999,
  segment, Raw_Data_Daily!$C$2:$C$9999,
  ns_change, NS_Config_Change_Est!D66,
  saga_change, (Saga_Config_Change_Est!C170-Saga_Config_Change_Est!C169),
  IFERROR(SUMPRODUCT(gain, players, --(group="Variant"), --(segment=D$4)) / SUMPRODUCT(players, --(group="Variant"), --(segment=D$4)), 0) + (ns_change*0.42) + saga_change
)</f>
        <v>1.749333421</v>
      </c>
      <c r="E21" s="205">
        <f>LET(
  gain, Raw_Data_Daily!$BS$2:$BS$9999,
  players, Raw_Data_Daily!$D$2:$D$9999,
  group, Raw_Data_Daily!$B$2:$B$9999,
  segment, Raw_Data_Daily!$C$2:$C$9999,
  ns_change, NS_Config_Change_Est!E66,
  saga_change, (Saga_Config_Change_Est!D170-Saga_Config_Change_Est!D169),
  IFERROR(SUMPRODUCT(gain, players, --(group="Variant"), --(segment=E$4)) / SUMPRODUCT(players, --(group="Variant"), --(segment=E$4)), 0) + (ns_change*0.42) + saga_change
)</f>
        <v>2.40007005</v>
      </c>
      <c r="F21" s="205">
        <f>LET(
  gain, Raw_Data_Daily!$BS$2:$BS$9999,
  players, Raw_Data_Daily!$D$2:$D$9999,
  group, Raw_Data_Daily!$B$2:$B$9999,
  segment, Raw_Data_Daily!$C$2:$C$9999,
  ns_change, NS_Config_Change_Est!F66,
  saga_change, (Saga_Config_Change_Est!E170-Saga_Config_Change_Est!E169),
  IFERROR(SUMPRODUCT(gain, players, --(group="Variant"), --(segment=F$4)) / SUMPRODUCT(players, --(group="Variant"), --(segment=F$4)), 0) + (ns_change*0.42) + saga_change
)</f>
        <v>3.510597512</v>
      </c>
      <c r="G21" s="205">
        <f>LET(
  gain, Raw_Data_Daily!$BS$2:$BS$9999,
  players, Raw_Data_Daily!$D$2:$D$9999,
  group, Raw_Data_Daily!$B$2:$B$9999,
  segment, Raw_Data_Daily!$C$2:$C$9999,
  ns_change, NS_Config_Change_Est!G66,
  saga_change, (Saga_Config_Change_Est!F170-Saga_Config_Change_Est!F169),
  IFERROR(SUMPRODUCT(gain, players, --(group="Variant"), --(segment=G$4)) / SUMPRODUCT(players, --(group="Variant"), --(segment=G$4)), 0) + (ns_change*0.42) + saga_change
)</f>
        <v>5.611385516</v>
      </c>
    </row>
    <row r="22">
      <c r="B22" s="204" t="s">
        <v>91</v>
      </c>
      <c r="C22" s="205">
        <f>LET(
  gain, Raw_Data_Daily!$BW$2:$BW$9999,
  players, Raw_Data_Daily!$D$2:$D$9999,
  group, Raw_Data_Daily!$B$2:$B$9999,
  segment, Raw_Data_Daily!$C$2:$C$9999,
  ns_change, NS_Config_Change_Est!C70,
  saga_change, (Saga_Config_Change_Est!B175-Saga_Config_Change_Est!B174),
  IFERROR(SUMPRODUCT(gain, players, --(group="Variant"), --(segment=C$4)) / SUMPRODUCT(players, --(group="Variant"), --(segment=C$4)), 0) + (ns_change*0.42) + saga_change
)</f>
        <v>0.4017392445</v>
      </c>
      <c r="D22" s="205">
        <f>LET(
  gain, Raw_Data_Daily!$BW$2:$BW$9999,
  players, Raw_Data_Daily!$D$2:$D$9999,
  group, Raw_Data_Daily!$B$2:$B$9999,
  segment, Raw_Data_Daily!$C$2:$C$9999,
  ns_change, NS_Config_Change_Est!D70,
  saga_change, (Saga_Config_Change_Est!C175-Saga_Config_Change_Est!C174),
  IFERROR(SUMPRODUCT(gain, players, --(group="Variant"), --(segment=D$4)) / SUMPRODUCT(players, --(group="Variant"), --(segment=D$4)), 0) + (ns_change*0.42) + saga_change
)</f>
        <v>0.8841161599</v>
      </c>
      <c r="E22" s="205">
        <f>LET(
  gain, Raw_Data_Daily!$BW$2:$BW$9999,
  players, Raw_Data_Daily!$D$2:$D$9999,
  group, Raw_Data_Daily!$B$2:$B$9999,
  segment, Raw_Data_Daily!$C$2:$C$9999,
  ns_change, NS_Config_Change_Est!E70,
  saga_change, (Saga_Config_Change_Est!D175-Saga_Config_Change_Est!D174),
  IFERROR(SUMPRODUCT(gain, players, --(group="Variant"), --(segment=E$4)) / SUMPRODUCT(players, --(group="Variant"), --(segment=E$4)), 0) + (ns_change*0.42) + saga_change
)</f>
        <v>1.697672038</v>
      </c>
      <c r="F22" s="205">
        <f>LET(
  gain, Raw_Data_Daily!$BW$2:$BW$9999,
  players, Raw_Data_Daily!$D$2:$D$9999,
  group, Raw_Data_Daily!$B$2:$B$9999,
  segment, Raw_Data_Daily!$C$2:$C$9999,
  ns_change, NS_Config_Change_Est!F70,
  saga_change, (Saga_Config_Change_Est!E175-Saga_Config_Change_Est!E174),
  IFERROR(SUMPRODUCT(gain, players, --(group="Variant"), --(segment=F$4)) / SUMPRODUCT(players, --(group="Variant"), --(segment=F$4)), 0) + (ns_change*0.42) + saga_change
)</f>
        <v>3.080300723</v>
      </c>
      <c r="G22" s="205">
        <f>LET(
  gain, Raw_Data_Daily!$BW$2:$BW$9999,
  players, Raw_Data_Daily!$D$2:$D$9999,
  group, Raw_Data_Daily!$B$2:$B$9999,
  segment, Raw_Data_Daily!$C$2:$C$9999,
  ns_change, NS_Config_Change_Est!G70,
  saga_change, (Saga_Config_Change_Est!F175-Saga_Config_Change_Est!F174),
  IFERROR(SUMPRODUCT(gain, players, --(group="Variant"), --(segment=G$4)) / SUMPRODUCT(players, --(group="Variant"), --(segment=G$4)), 0) + (ns_change*0.42) + saga_change
)</f>
        <v>5.950984318</v>
      </c>
    </row>
    <row r="23">
      <c r="B23" s="204"/>
    </row>
    <row r="24">
      <c r="B24" s="204"/>
    </row>
    <row r="25">
      <c r="B25" s="204"/>
      <c r="C25" s="143" t="s">
        <v>399</v>
      </c>
    </row>
    <row r="26">
      <c r="B26" s="151" t="s">
        <v>274</v>
      </c>
      <c r="C26" s="212">
        <f t="shared" ref="C26:G26" si="1">IFERROR(C12/C5-1, "")</f>
        <v>-0.02996175504</v>
      </c>
      <c r="D26" s="212">
        <f t="shared" si="1"/>
        <v>-0.03388749054</v>
      </c>
      <c r="E26" s="212">
        <f t="shared" si="1"/>
        <v>0.02618674515</v>
      </c>
      <c r="F26" s="212">
        <f t="shared" si="1"/>
        <v>0.08438252117</v>
      </c>
      <c r="G26" s="212">
        <f t="shared" si="1"/>
        <v>0.01557277492</v>
      </c>
    </row>
    <row r="27">
      <c r="B27" s="204" t="s">
        <v>79</v>
      </c>
      <c r="C27" s="212">
        <f t="shared" ref="C27:G27" si="2">IFERROR(C13/C6-1, "")</f>
        <v>0.2992374879</v>
      </c>
      <c r="D27" s="212">
        <f t="shared" si="2"/>
        <v>0.1402706489</v>
      </c>
      <c r="E27" s="212">
        <f t="shared" si="2"/>
        <v>0.03609474715</v>
      </c>
      <c r="F27" s="212">
        <f t="shared" si="2"/>
        <v>-0.08516911643</v>
      </c>
      <c r="G27" s="212">
        <f t="shared" si="2"/>
        <v>-0.2606077075</v>
      </c>
    </row>
    <row r="28">
      <c r="B28" s="204" t="s">
        <v>85</v>
      </c>
      <c r="C28" s="212">
        <f t="shared" ref="C28:G28" si="3">IFERROR(C14/C7-1, "")</f>
        <v>0.1735083315</v>
      </c>
      <c r="D28" s="212">
        <f t="shared" si="3"/>
        <v>0.1286398196</v>
      </c>
      <c r="E28" s="212">
        <f t="shared" si="3"/>
        <v>0.0301730069</v>
      </c>
      <c r="F28" s="212">
        <f t="shared" si="3"/>
        <v>-0.06773947596</v>
      </c>
      <c r="G28" s="212">
        <f t="shared" si="3"/>
        <v>-0.2432094168</v>
      </c>
    </row>
    <row r="29">
      <c r="B29" s="204" t="s">
        <v>91</v>
      </c>
      <c r="C29" s="212">
        <f t="shared" ref="C29:G29" si="4">IFERROR(C15/C8-1, "")</f>
        <v>-0.2136544668</v>
      </c>
      <c r="D29" s="212">
        <f t="shared" si="4"/>
        <v>-0.1654163034</v>
      </c>
      <c r="E29" s="212">
        <f t="shared" si="4"/>
        <v>-0.08711234152</v>
      </c>
      <c r="F29" s="212">
        <f t="shared" si="4"/>
        <v>-0.08835588938</v>
      </c>
      <c r="G29" s="212">
        <f t="shared" si="4"/>
        <v>-0.1685391098</v>
      </c>
    </row>
    <row r="32">
      <c r="B32" s="204"/>
      <c r="C32" s="143" t="s">
        <v>400</v>
      </c>
    </row>
    <row r="33">
      <c r="B33" s="151" t="s">
        <v>274</v>
      </c>
      <c r="C33" s="212">
        <f t="shared" ref="C33:G33" si="5">IFERROR(C19/C5-1, "")</f>
        <v>-0.02996175504</v>
      </c>
      <c r="D33" s="212">
        <f t="shared" si="5"/>
        <v>-0.03388749054</v>
      </c>
      <c r="E33" s="212">
        <f t="shared" si="5"/>
        <v>0.02618674515</v>
      </c>
      <c r="F33" s="212">
        <f t="shared" si="5"/>
        <v>0.08438252117</v>
      </c>
      <c r="G33" s="212">
        <f t="shared" si="5"/>
        <v>0.01557277492</v>
      </c>
    </row>
    <row r="34">
      <c r="B34" s="204" t="s">
        <v>79</v>
      </c>
      <c r="C34" s="212">
        <f t="shared" ref="C34:G34" si="6">IFERROR(C20/C6-1, "")</f>
        <v>0.2992374879</v>
      </c>
      <c r="D34" s="212">
        <f t="shared" si="6"/>
        <v>0.1402706489</v>
      </c>
      <c r="E34" s="212">
        <f t="shared" si="6"/>
        <v>0.03609474715</v>
      </c>
      <c r="F34" s="212">
        <f t="shared" si="6"/>
        <v>-0.0327926167</v>
      </c>
      <c r="G34" s="212">
        <f t="shared" si="6"/>
        <v>-0.2464235892</v>
      </c>
    </row>
    <row r="35">
      <c r="B35" s="204" t="s">
        <v>85</v>
      </c>
      <c r="C35" s="212">
        <f t="shared" ref="C35:G35" si="7">IFERROR(C21/C7-1, "")</f>
        <v>0.1378151963</v>
      </c>
      <c r="D35" s="212">
        <f t="shared" si="7"/>
        <v>0.1188580614</v>
      </c>
      <c r="E35" s="212">
        <f t="shared" si="7"/>
        <v>0.02125942467</v>
      </c>
      <c r="F35" s="212">
        <f t="shared" si="7"/>
        <v>-0.01759903096</v>
      </c>
      <c r="G35" s="212">
        <f t="shared" si="7"/>
        <v>-0.2298355711</v>
      </c>
    </row>
    <row r="36">
      <c r="B36" s="204" t="s">
        <v>91</v>
      </c>
      <c r="C36" s="212">
        <f t="shared" ref="C36:G36" si="8">IFERROR(C22/C8-1, "")</f>
        <v>0.00657467021</v>
      </c>
      <c r="D36" s="212">
        <f t="shared" si="8"/>
        <v>0.009839107782</v>
      </c>
      <c r="E36" s="212">
        <f t="shared" si="8"/>
        <v>0.09741388309</v>
      </c>
      <c r="F36" s="212">
        <f t="shared" si="8"/>
        <v>0.1284306413</v>
      </c>
      <c r="G36" s="212">
        <f t="shared" si="8"/>
        <v>0.05374714564</v>
      </c>
    </row>
  </sheetData>
  <conditionalFormatting sqref="C33:G36">
    <cfRule type="expression" dxfId="6" priority="1" stopIfTrue="1">
      <formula>AND(C33&gt;0.03, C33&lt;&gt;C26)</formula>
    </cfRule>
  </conditionalFormatting>
  <conditionalFormatting sqref="C33:G36">
    <cfRule type="expression" dxfId="7" priority="2" stopIfTrue="1">
      <formula>AND(C33&gt;0.03, C33=C26)</formula>
    </cfRule>
  </conditionalFormatting>
  <conditionalFormatting sqref="C33:G36">
    <cfRule type="expression" dxfId="8" priority="3" stopIfTrue="1">
      <formula>AND(C33&lt;-0.03, C33&lt;&gt;C26)</formula>
    </cfRule>
  </conditionalFormatting>
  <conditionalFormatting sqref="C33:G36">
    <cfRule type="expression" dxfId="9" priority="4" stopIfTrue="1">
      <formula>AND(C33&lt;-0.03, C33=C26)</formula>
    </cfRule>
  </conditionalFormatting>
  <conditionalFormatting sqref="C33:G36">
    <cfRule type="expression" dxfId="10" priority="5" stopIfTrue="1">
      <formula>AND(C33&gt;=-0.03, C33&lt;=0.03, C33&lt;&gt;C26)</formula>
    </cfRule>
  </conditionalFormatting>
  <conditionalFormatting sqref="C33:G36">
    <cfRule type="expression" dxfId="11" priority="6" stopIfTrue="1">
      <formula>AND(C33&gt;=-0.03, C33&lt;=0.03, C33=C26)</formula>
    </cfRule>
  </conditionalFormatting>
  <conditionalFormatting sqref="C26:G31">
    <cfRule type="cellIs" dxfId="12" priority="7" stopIfTrue="1" operator="greaterThan">
      <formula>0.03</formula>
    </cfRule>
  </conditionalFormatting>
  <conditionalFormatting sqref="C26:G31">
    <cfRule type="cellIs" dxfId="13" priority="8" stopIfTrue="1" operator="lessThan">
      <formula>-0.03</formula>
    </cfRule>
  </conditionalFormatting>
  <conditionalFormatting sqref="C26:G31">
    <cfRule type="cellIs" dxfId="14" priority="9" stopIfTrue="1" operator="between">
      <formula>-0.03</formula>
      <formula>0.03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5.29"/>
    <col customWidth="1" min="2" max="2" width="12.0"/>
    <col customWidth="1" min="3" max="3" width="22.0"/>
    <col customWidth="1" min="4" max="5" width="12.0"/>
    <col customWidth="1" min="6" max="6" width="15.0"/>
    <col customWidth="1" min="7" max="7" width="12.0"/>
    <col customWidth="1" min="8" max="8" width="16.0"/>
    <col customWidth="1" min="9" max="9" width="12.0"/>
    <col customWidth="1" min="10" max="10" width="21.0"/>
    <col customWidth="1" min="11" max="11" width="20.0"/>
    <col customWidth="1" min="12" max="12" width="21.0"/>
    <col customWidth="1" min="13" max="16" width="12.0"/>
    <col customWidth="1" min="17" max="17" width="19.0"/>
    <col customWidth="1" min="18" max="18" width="22.0"/>
    <col customWidth="1" min="19" max="21" width="18.0"/>
    <col customWidth="1" min="22" max="22" width="14.0"/>
    <col customWidth="1" min="23" max="24" width="22.0"/>
    <col customWidth="1" min="25" max="27" width="16.0"/>
    <col customWidth="1" min="28" max="29" width="22.0"/>
    <col customWidth="1" min="30" max="34" width="18.0"/>
    <col customWidth="1" min="35" max="37" width="22.0"/>
    <col customWidth="1" min="38" max="38" width="15.0"/>
    <col customWidth="1" min="39" max="39" width="12.0"/>
  </cols>
  <sheetData>
    <row r="1">
      <c r="A1" s="207" t="s">
        <v>280</v>
      </c>
      <c r="B1" s="207" t="s">
        <v>281</v>
      </c>
      <c r="C1" s="207" t="s">
        <v>282</v>
      </c>
      <c r="D1" s="207" t="s">
        <v>283</v>
      </c>
      <c r="E1" s="207" t="s">
        <v>284</v>
      </c>
      <c r="F1" s="207" t="s">
        <v>285</v>
      </c>
      <c r="G1" s="207" t="s">
        <v>286</v>
      </c>
      <c r="H1" s="207" t="s">
        <v>287</v>
      </c>
      <c r="I1" s="207" t="s">
        <v>288</v>
      </c>
      <c r="J1" s="207" t="s">
        <v>289</v>
      </c>
      <c r="K1" s="207" t="s">
        <v>290</v>
      </c>
      <c r="L1" s="207" t="s">
        <v>291</v>
      </c>
      <c r="M1" s="207" t="s">
        <v>292</v>
      </c>
      <c r="N1" s="207" t="s">
        <v>293</v>
      </c>
      <c r="O1" s="207" t="s">
        <v>294</v>
      </c>
      <c r="P1" s="207" t="s">
        <v>295</v>
      </c>
      <c r="Q1" s="207" t="s">
        <v>296</v>
      </c>
      <c r="R1" s="207" t="s">
        <v>297</v>
      </c>
      <c r="S1" s="207" t="s">
        <v>298</v>
      </c>
      <c r="T1" s="207" t="s">
        <v>299</v>
      </c>
      <c r="U1" s="207" t="s">
        <v>300</v>
      </c>
      <c r="V1" s="207" t="s">
        <v>301</v>
      </c>
      <c r="W1" s="207" t="s">
        <v>302</v>
      </c>
      <c r="X1" s="207" t="s">
        <v>303</v>
      </c>
      <c r="Y1" s="207" t="s">
        <v>304</v>
      </c>
      <c r="Z1" s="207" t="s">
        <v>305</v>
      </c>
      <c r="AA1" s="207" t="s">
        <v>306</v>
      </c>
      <c r="AB1" s="207" t="s">
        <v>307</v>
      </c>
      <c r="AC1" s="207" t="s">
        <v>308</v>
      </c>
      <c r="AD1" s="207" t="s">
        <v>309</v>
      </c>
      <c r="AE1" s="207" t="s">
        <v>310</v>
      </c>
      <c r="AF1" s="207" t="s">
        <v>311</v>
      </c>
      <c r="AG1" s="207" t="s">
        <v>312</v>
      </c>
      <c r="AH1" s="207" t="s">
        <v>313</v>
      </c>
      <c r="AI1" s="207" t="s">
        <v>314</v>
      </c>
      <c r="AJ1" s="207" t="s">
        <v>315</v>
      </c>
      <c r="AK1" s="207" t="s">
        <v>316</v>
      </c>
      <c r="AL1" s="207" t="s">
        <v>317</v>
      </c>
      <c r="AM1" s="207" t="s">
        <v>318</v>
      </c>
      <c r="AN1" s="207" t="s">
        <v>319</v>
      </c>
      <c r="AO1" s="207" t="s">
        <v>320</v>
      </c>
      <c r="AP1" s="207" t="s">
        <v>321</v>
      </c>
      <c r="AQ1" s="207" t="s">
        <v>322</v>
      </c>
      <c r="AR1" s="207" t="s">
        <v>323</v>
      </c>
      <c r="AS1" s="207" t="s">
        <v>324</v>
      </c>
      <c r="AT1" s="207" t="s">
        <v>325</v>
      </c>
      <c r="AU1" s="207" t="s">
        <v>326</v>
      </c>
      <c r="AV1" s="208" t="s">
        <v>327</v>
      </c>
      <c r="AW1" s="208" t="s">
        <v>328</v>
      </c>
      <c r="AX1" s="208" t="s">
        <v>329</v>
      </c>
      <c r="AY1" s="208" t="s">
        <v>330</v>
      </c>
      <c r="AZ1" s="208" t="s">
        <v>331</v>
      </c>
      <c r="BA1" s="208" t="s">
        <v>332</v>
      </c>
      <c r="BB1" s="208" t="s">
        <v>333</v>
      </c>
      <c r="BC1" s="208" t="s">
        <v>334</v>
      </c>
      <c r="BD1" s="208" t="s">
        <v>335</v>
      </c>
      <c r="BE1" s="208" t="s">
        <v>336</v>
      </c>
      <c r="BF1" s="208" t="s">
        <v>337</v>
      </c>
      <c r="BG1" s="208" t="s">
        <v>338</v>
      </c>
      <c r="BH1" s="208" t="s">
        <v>339</v>
      </c>
      <c r="BI1" s="208" t="s">
        <v>340</v>
      </c>
      <c r="BJ1" s="208" t="s">
        <v>341</v>
      </c>
      <c r="BK1" s="208" t="s">
        <v>342</v>
      </c>
      <c r="BL1" s="208" t="s">
        <v>343</v>
      </c>
      <c r="BM1" s="208" t="s">
        <v>344</v>
      </c>
      <c r="BN1" s="208" t="s">
        <v>345</v>
      </c>
      <c r="BO1" s="208" t="s">
        <v>346</v>
      </c>
      <c r="BP1" s="208" t="s">
        <v>347</v>
      </c>
      <c r="BQ1" s="208" t="s">
        <v>348</v>
      </c>
      <c r="BR1" s="208" t="s">
        <v>349</v>
      </c>
      <c r="BS1" s="208" t="s">
        <v>350</v>
      </c>
      <c r="BT1" s="208" t="s">
        <v>351</v>
      </c>
      <c r="BU1" s="208" t="s">
        <v>352</v>
      </c>
      <c r="BV1" s="208" t="s">
        <v>353</v>
      </c>
      <c r="BW1" s="208" t="s">
        <v>354</v>
      </c>
      <c r="BX1" s="208" t="s">
        <v>355</v>
      </c>
      <c r="BY1" s="208" t="s">
        <v>356</v>
      </c>
      <c r="BZ1" s="208" t="s">
        <v>357</v>
      </c>
      <c r="CA1" s="208" t="s">
        <v>358</v>
      </c>
      <c r="CB1" s="208" t="s">
        <v>359</v>
      </c>
      <c r="CC1" s="208" t="s">
        <v>360</v>
      </c>
      <c r="CD1" s="208" t="s">
        <v>361</v>
      </c>
      <c r="CE1" s="208" t="s">
        <v>362</v>
      </c>
      <c r="CF1" s="208" t="s">
        <v>363</v>
      </c>
      <c r="CG1" s="208" t="s">
        <v>364</v>
      </c>
      <c r="CH1" s="208" t="s">
        <v>365</v>
      </c>
      <c r="CI1" s="208" t="s">
        <v>366</v>
      </c>
      <c r="CJ1" s="208" t="s">
        <v>367</v>
      </c>
      <c r="CK1" s="208" t="s">
        <v>368</v>
      </c>
      <c r="CL1" s="208" t="s">
        <v>369</v>
      </c>
      <c r="CM1" s="208" t="s">
        <v>370</v>
      </c>
      <c r="CN1" s="208" t="s">
        <v>371</v>
      </c>
      <c r="CO1" s="208" t="s">
        <v>372</v>
      </c>
      <c r="CP1" s="208" t="s">
        <v>373</v>
      </c>
      <c r="CQ1" s="208" t="s">
        <v>374</v>
      </c>
      <c r="CR1" s="208" t="s">
        <v>375</v>
      </c>
      <c r="CS1" s="208" t="s">
        <v>376</v>
      </c>
      <c r="CT1" s="208" t="s">
        <v>377</v>
      </c>
      <c r="CU1" s="208" t="s">
        <v>378</v>
      </c>
      <c r="CV1" s="208" t="s">
        <v>379</v>
      </c>
      <c r="CW1" s="208" t="s">
        <v>380</v>
      </c>
      <c r="CX1" s="208" t="s">
        <v>381</v>
      </c>
      <c r="CY1" s="208" t="s">
        <v>382</v>
      </c>
      <c r="CZ1" s="208" t="s">
        <v>383</v>
      </c>
      <c r="DA1" s="208" t="s">
        <v>384</v>
      </c>
      <c r="DB1" s="208" t="s">
        <v>385</v>
      </c>
      <c r="DC1" s="208" t="s">
        <v>386</v>
      </c>
      <c r="DD1" s="208" t="s">
        <v>387</v>
      </c>
      <c r="DE1" s="208" t="s">
        <v>388</v>
      </c>
      <c r="DF1" s="208" t="s">
        <v>389</v>
      </c>
      <c r="DG1" s="208" t="s">
        <v>390</v>
      </c>
      <c r="DH1" s="208" t="s">
        <v>391</v>
      </c>
      <c r="DI1" s="208" t="s">
        <v>392</v>
      </c>
      <c r="DJ1" s="208" t="s">
        <v>393</v>
      </c>
      <c r="DK1" s="208" t="s">
        <v>394</v>
      </c>
      <c r="DL1" s="208" t="s">
        <v>395</v>
      </c>
      <c r="DM1" s="208" t="s">
        <v>396</v>
      </c>
      <c r="DN1" s="208" t="s">
        <v>397</v>
      </c>
    </row>
    <row r="2">
      <c r="A2" s="209">
        <v>46255.0</v>
      </c>
      <c r="B2" s="210" t="s">
        <v>4</v>
      </c>
      <c r="C2" s="210" t="s">
        <v>398</v>
      </c>
      <c r="D2" s="210">
        <v>5163.0</v>
      </c>
      <c r="E2" s="210">
        <v>19.37</v>
      </c>
      <c r="F2" s="210">
        <v>656.44</v>
      </c>
      <c r="G2" s="210">
        <v>0.1271</v>
      </c>
      <c r="H2" s="210">
        <v>1.43</v>
      </c>
      <c r="I2" s="210">
        <v>8.8708</v>
      </c>
      <c r="J2" s="210">
        <v>22.53</v>
      </c>
      <c r="K2" s="210">
        <v>12.28</v>
      </c>
      <c r="L2" s="210">
        <v>8.83</v>
      </c>
      <c r="M2" s="210">
        <v>0.7194</v>
      </c>
      <c r="N2" s="210">
        <v>0.4082</v>
      </c>
      <c r="O2" s="210">
        <v>0.2113</v>
      </c>
      <c r="P2" s="210">
        <v>1.3901</v>
      </c>
      <c r="Q2" s="210">
        <v>73.61</v>
      </c>
      <c r="R2" s="210">
        <v>73.5</v>
      </c>
      <c r="S2" s="210">
        <v>0.11</v>
      </c>
      <c r="T2" s="210">
        <v>11.99</v>
      </c>
      <c r="U2" s="210">
        <v>61.62</v>
      </c>
      <c r="V2" s="210">
        <v>52.93</v>
      </c>
      <c r="W2" s="210">
        <v>4.3116</v>
      </c>
      <c r="X2" s="210">
        <v>16.29</v>
      </c>
      <c r="Y2" s="210">
        <v>203.0</v>
      </c>
      <c r="Z2" s="210">
        <v>600.0</v>
      </c>
      <c r="AA2" s="210">
        <v>3674.0</v>
      </c>
      <c r="AB2" s="210">
        <v>50.5129</v>
      </c>
      <c r="AC2" s="210">
        <v>0.4967</v>
      </c>
      <c r="AD2" s="211"/>
      <c r="AE2" s="211"/>
      <c r="AF2" s="211"/>
      <c r="AG2" s="211"/>
      <c r="AH2" s="211"/>
      <c r="AI2" s="210">
        <v>0.0</v>
      </c>
      <c r="AJ2" s="210">
        <v>0.0</v>
      </c>
      <c r="AK2" s="210">
        <v>0.0</v>
      </c>
      <c r="AL2" s="210">
        <v>0.5247</v>
      </c>
      <c r="AM2" s="211"/>
      <c r="AQ2" s="135">
        <v>3.0506</v>
      </c>
      <c r="AR2" s="135">
        <v>0.1433</v>
      </c>
      <c r="AS2" s="135">
        <v>2.9072</v>
      </c>
      <c r="AT2" s="135">
        <v>1.8175</v>
      </c>
      <c r="AU2" s="135">
        <v>0.148</v>
      </c>
      <c r="AV2" s="135">
        <v>5163.0</v>
      </c>
      <c r="AW2" s="135">
        <v>0.0</v>
      </c>
      <c r="AX2" s="135">
        <v>11.25</v>
      </c>
      <c r="AY2" s="135">
        <v>47.27</v>
      </c>
      <c r="AZ2" s="135">
        <v>2.94</v>
      </c>
      <c r="BA2" s="135">
        <v>11.99</v>
      </c>
      <c r="BB2" s="135">
        <v>0.16</v>
      </c>
      <c r="BD2" s="135">
        <v>28096.0</v>
      </c>
      <c r="BE2" s="135">
        <v>1.774</v>
      </c>
      <c r="BF2" s="135">
        <v>0.0628</v>
      </c>
      <c r="BG2" s="135">
        <v>1.7112</v>
      </c>
      <c r="BH2" s="135">
        <v>0.9456</v>
      </c>
      <c r="BI2" s="135">
        <v>0.077</v>
      </c>
      <c r="BJ2" s="135">
        <v>1.2766</v>
      </c>
      <c r="BK2" s="135">
        <v>0.0806</v>
      </c>
      <c r="BL2" s="135">
        <v>1.196</v>
      </c>
      <c r="BM2" s="135">
        <v>0.872</v>
      </c>
      <c r="BN2" s="135">
        <v>0.071</v>
      </c>
      <c r="BO2" s="135">
        <v>0.6248</v>
      </c>
      <c r="BP2" s="135">
        <v>0.0213</v>
      </c>
      <c r="BQ2" s="135">
        <v>0.6035</v>
      </c>
      <c r="BR2" s="135">
        <v>0.3523</v>
      </c>
      <c r="BS2" s="135">
        <v>0.712</v>
      </c>
      <c r="BT2" s="135">
        <v>0.0196</v>
      </c>
      <c r="BU2" s="135">
        <v>0.6924</v>
      </c>
      <c r="BV2" s="135">
        <v>0.3494</v>
      </c>
      <c r="BW2" s="135">
        <v>0.4371</v>
      </c>
      <c r="BX2" s="135">
        <v>0.0219</v>
      </c>
      <c r="BY2" s="135">
        <v>0.4153</v>
      </c>
      <c r="BZ2" s="135">
        <v>0.2439</v>
      </c>
      <c r="CA2" s="135">
        <v>0.215</v>
      </c>
      <c r="CB2" s="135">
        <v>0.0227</v>
      </c>
      <c r="CC2" s="135">
        <v>0.1923</v>
      </c>
      <c r="CD2" s="135">
        <v>0.1801</v>
      </c>
      <c r="CE2" s="135">
        <v>0.6403</v>
      </c>
      <c r="CF2" s="135">
        <v>0.031</v>
      </c>
      <c r="CG2" s="135">
        <v>0.6093</v>
      </c>
      <c r="CH2" s="135">
        <v>0.3765</v>
      </c>
      <c r="CI2" s="135">
        <v>0.4213</v>
      </c>
      <c r="CJ2" s="135">
        <v>0.0269</v>
      </c>
      <c r="CK2" s="135">
        <v>0.3943</v>
      </c>
      <c r="CL2" s="135">
        <v>0.3153</v>
      </c>
      <c r="CM2" s="135">
        <v>485.48</v>
      </c>
      <c r="CN2" s="135">
        <v>28.28</v>
      </c>
      <c r="CO2" s="135">
        <v>1716.8</v>
      </c>
      <c r="CP2" s="135">
        <v>473.1</v>
      </c>
      <c r="CQ2" s="135">
        <v>0.0</v>
      </c>
      <c r="CR2" s="135">
        <v>10.18</v>
      </c>
      <c r="CS2" s="135">
        <v>2.2</v>
      </c>
      <c r="CT2" s="135">
        <v>0.0</v>
      </c>
      <c r="CU2" s="135">
        <v>0.0</v>
      </c>
      <c r="CV2" s="135">
        <v>0.0</v>
      </c>
      <c r="CW2" s="135">
        <v>73.61</v>
      </c>
      <c r="CX2" s="135">
        <v>0.0</v>
      </c>
      <c r="CY2" s="135">
        <v>0.0</v>
      </c>
      <c r="CZ2" s="135">
        <v>50.03</v>
      </c>
      <c r="DA2" s="135">
        <v>2.21</v>
      </c>
      <c r="DB2" s="135">
        <v>47.83</v>
      </c>
      <c r="DC2" s="135">
        <v>42.44</v>
      </c>
      <c r="DD2" s="135">
        <v>0.94</v>
      </c>
      <c r="DE2" s="135">
        <v>41.5</v>
      </c>
      <c r="DF2" s="135">
        <v>3.64</v>
      </c>
      <c r="DG2" s="135">
        <v>0.42</v>
      </c>
      <c r="DH2" s="135">
        <v>3.22</v>
      </c>
      <c r="DI2" s="135">
        <v>2.74</v>
      </c>
      <c r="DJ2" s="135">
        <v>0.42</v>
      </c>
      <c r="DK2" s="135">
        <v>2.32</v>
      </c>
      <c r="DL2" s="135">
        <v>1.21</v>
      </c>
      <c r="DM2" s="135">
        <v>0.42</v>
      </c>
      <c r="DN2" s="135">
        <v>0.79</v>
      </c>
    </row>
    <row r="3">
      <c r="A3" s="209">
        <v>46255.0</v>
      </c>
      <c r="B3" s="210" t="s">
        <v>4</v>
      </c>
      <c r="C3" s="210" t="s">
        <v>142</v>
      </c>
      <c r="D3" s="210">
        <v>7671.0</v>
      </c>
      <c r="E3" s="210">
        <v>28.78</v>
      </c>
      <c r="F3" s="210">
        <v>219.24</v>
      </c>
      <c r="G3" s="210">
        <v>0.0286</v>
      </c>
      <c r="H3" s="210">
        <v>1.02</v>
      </c>
      <c r="I3" s="210">
        <v>2.8108</v>
      </c>
      <c r="J3" s="210">
        <v>21.56</v>
      </c>
      <c r="K3" s="210">
        <v>11.31</v>
      </c>
      <c r="L3" s="210">
        <v>5.54</v>
      </c>
      <c r="M3" s="210">
        <v>0.4894</v>
      </c>
      <c r="N3" s="210">
        <v>0.6149</v>
      </c>
      <c r="O3" s="210">
        <v>0.3566</v>
      </c>
      <c r="P3" s="210">
        <v>2.0434</v>
      </c>
      <c r="Q3" s="210">
        <v>59.53</v>
      </c>
      <c r="R3" s="210">
        <v>54.88</v>
      </c>
      <c r="S3" s="210">
        <v>4.65</v>
      </c>
      <c r="T3" s="210">
        <v>2.3</v>
      </c>
      <c r="U3" s="210">
        <v>57.23</v>
      </c>
      <c r="V3" s="210">
        <v>44.82</v>
      </c>
      <c r="W3" s="210">
        <v>3.9622</v>
      </c>
      <c r="X3" s="210">
        <v>3.87</v>
      </c>
      <c r="Y3" s="210">
        <v>203.0</v>
      </c>
      <c r="Z3" s="210">
        <v>372.0</v>
      </c>
      <c r="AA3" s="210">
        <v>1267.0</v>
      </c>
      <c r="AB3" s="210">
        <v>49.798</v>
      </c>
      <c r="AC3" s="210">
        <v>0.5914</v>
      </c>
      <c r="AD3" s="210">
        <v>4.27</v>
      </c>
      <c r="AE3" s="210">
        <v>2.0</v>
      </c>
      <c r="AF3" s="210">
        <v>3.0</v>
      </c>
      <c r="AG3" s="210">
        <v>6.0</v>
      </c>
      <c r="AH3" s="210">
        <v>9.0</v>
      </c>
      <c r="AI3" s="210">
        <v>76.86</v>
      </c>
      <c r="AJ3" s="210">
        <v>36.68</v>
      </c>
      <c r="AK3" s="210">
        <v>8.1</v>
      </c>
      <c r="AL3" s="210">
        <v>0.5119</v>
      </c>
      <c r="AM3" s="211"/>
      <c r="AQ3" s="135">
        <v>4.3721</v>
      </c>
      <c r="AR3" s="135">
        <v>0.0498</v>
      </c>
      <c r="AS3" s="135">
        <v>4.3223</v>
      </c>
      <c r="AT3" s="135">
        <v>2.8046</v>
      </c>
      <c r="AU3" s="135">
        <v>0.2479</v>
      </c>
      <c r="AV3" s="135">
        <v>7671.0</v>
      </c>
      <c r="AW3" s="135">
        <v>0.0</v>
      </c>
      <c r="AX3" s="135">
        <v>21.47</v>
      </c>
      <c r="AY3" s="135">
        <v>33.5</v>
      </c>
      <c r="AZ3" s="135">
        <v>1.84</v>
      </c>
      <c r="BA3" s="135">
        <v>2.3</v>
      </c>
      <c r="BB3" s="135">
        <v>0.42</v>
      </c>
      <c r="BC3" s="135">
        <v>17.0</v>
      </c>
      <c r="BD3" s="135">
        <v>18909.0</v>
      </c>
      <c r="BE3" s="135">
        <v>3.0374</v>
      </c>
      <c r="BF3" s="135">
        <v>0.0372</v>
      </c>
      <c r="BG3" s="135">
        <v>3.0003</v>
      </c>
      <c r="BH3" s="135">
        <v>1.6759</v>
      </c>
      <c r="BI3" s="135">
        <v>0.1481</v>
      </c>
      <c r="BJ3" s="135">
        <v>1.3346</v>
      </c>
      <c r="BK3" s="135">
        <v>0.0126</v>
      </c>
      <c r="BL3" s="135">
        <v>1.322</v>
      </c>
      <c r="BM3" s="135">
        <v>1.1287</v>
      </c>
      <c r="BN3" s="135">
        <v>0.0998</v>
      </c>
      <c r="BO3" s="135">
        <v>1.0893</v>
      </c>
      <c r="BP3" s="135">
        <v>0.0117</v>
      </c>
      <c r="BQ3" s="135">
        <v>1.0776</v>
      </c>
      <c r="BR3" s="135">
        <v>0.6399</v>
      </c>
      <c r="BS3" s="135">
        <v>1.3651</v>
      </c>
      <c r="BT3" s="135">
        <v>0.0098</v>
      </c>
      <c r="BU3" s="135">
        <v>1.3554</v>
      </c>
      <c r="BV3" s="135">
        <v>0.6561</v>
      </c>
      <c r="BW3" s="135">
        <v>0.583</v>
      </c>
      <c r="BX3" s="135">
        <v>0.0156</v>
      </c>
      <c r="BY3" s="135">
        <v>0.5673</v>
      </c>
      <c r="BZ3" s="135">
        <v>0.3799</v>
      </c>
      <c r="CA3" s="135">
        <v>0.2267</v>
      </c>
      <c r="CB3" s="135">
        <v>0.0023</v>
      </c>
      <c r="CC3" s="135">
        <v>0.2244</v>
      </c>
      <c r="CD3" s="135">
        <v>0.2083</v>
      </c>
      <c r="CE3" s="135">
        <v>0.6274</v>
      </c>
      <c r="CF3" s="135">
        <v>0.0053</v>
      </c>
      <c r="CG3" s="135">
        <v>0.6221</v>
      </c>
      <c r="CH3" s="135">
        <v>0.4943</v>
      </c>
      <c r="CI3" s="135">
        <v>0.4805</v>
      </c>
      <c r="CJ3" s="135">
        <v>0.005</v>
      </c>
      <c r="CK3" s="135">
        <v>0.4756</v>
      </c>
      <c r="CL3" s="135">
        <v>0.426</v>
      </c>
      <c r="CM3" s="135">
        <v>222.89</v>
      </c>
      <c r="CN3" s="135">
        <v>70.99</v>
      </c>
      <c r="CO3" s="135">
        <v>313.95</v>
      </c>
      <c r="CP3" s="135">
        <v>208.41</v>
      </c>
      <c r="CQ3" s="135">
        <v>0.0</v>
      </c>
      <c r="CR3" s="135">
        <v>12.67</v>
      </c>
      <c r="CS3" s="135">
        <v>1.82</v>
      </c>
      <c r="CT3" s="135">
        <v>0.0</v>
      </c>
      <c r="CU3" s="135">
        <v>0.0</v>
      </c>
      <c r="CV3" s="135">
        <v>0.0</v>
      </c>
      <c r="CW3" s="135">
        <v>59.53</v>
      </c>
      <c r="CX3" s="135">
        <v>0.0</v>
      </c>
      <c r="CY3" s="135">
        <v>0.0</v>
      </c>
      <c r="CZ3" s="135">
        <v>89.85</v>
      </c>
      <c r="DA3" s="135">
        <v>0.32</v>
      </c>
      <c r="DB3" s="135">
        <v>89.53</v>
      </c>
      <c r="DC3" s="135">
        <v>79.24</v>
      </c>
      <c r="DD3" s="135">
        <v>0.08</v>
      </c>
      <c r="DE3" s="135">
        <v>79.15</v>
      </c>
      <c r="DF3" s="135">
        <v>5.6</v>
      </c>
      <c r="DG3" s="135">
        <v>0.08</v>
      </c>
      <c r="DH3" s="135">
        <v>5.52</v>
      </c>
      <c r="DI3" s="135">
        <v>4.64</v>
      </c>
      <c r="DJ3" s="135">
        <v>0.08</v>
      </c>
      <c r="DK3" s="135">
        <v>4.57</v>
      </c>
      <c r="DL3" s="135">
        <v>0.37</v>
      </c>
      <c r="DM3" s="135">
        <v>0.08</v>
      </c>
      <c r="DN3" s="135">
        <v>0.29</v>
      </c>
    </row>
    <row r="4">
      <c r="A4" s="209">
        <v>46255.0</v>
      </c>
      <c r="B4" s="210" t="s">
        <v>4</v>
      </c>
      <c r="C4" s="210" t="s">
        <v>143</v>
      </c>
      <c r="D4" s="210">
        <v>5908.0</v>
      </c>
      <c r="E4" s="210">
        <v>22.17</v>
      </c>
      <c r="F4" s="210">
        <v>458.35</v>
      </c>
      <c r="G4" s="210">
        <v>0.0776</v>
      </c>
      <c r="H4" s="210">
        <v>2.0</v>
      </c>
      <c r="I4" s="210">
        <v>3.8843</v>
      </c>
      <c r="J4" s="210">
        <v>43.66</v>
      </c>
      <c r="K4" s="210">
        <v>24.06</v>
      </c>
      <c r="L4" s="210">
        <v>14.43</v>
      </c>
      <c r="M4" s="210">
        <v>0.5996</v>
      </c>
      <c r="N4" s="210">
        <v>0.523</v>
      </c>
      <c r="O4" s="210">
        <v>0.3104</v>
      </c>
      <c r="P4" s="210">
        <v>1.6678</v>
      </c>
      <c r="Q4" s="210">
        <v>119.14</v>
      </c>
      <c r="R4" s="210">
        <v>106.03</v>
      </c>
      <c r="S4" s="210">
        <v>13.11</v>
      </c>
      <c r="T4" s="210">
        <v>6.65</v>
      </c>
      <c r="U4" s="210">
        <v>112.49</v>
      </c>
      <c r="V4" s="210">
        <v>102.1</v>
      </c>
      <c r="W4" s="210">
        <v>4.2437</v>
      </c>
      <c r="X4" s="210">
        <v>5.58</v>
      </c>
      <c r="Y4" s="210">
        <v>237.0</v>
      </c>
      <c r="Z4" s="210">
        <v>436.0</v>
      </c>
      <c r="AA4" s="210">
        <v>1330.0</v>
      </c>
      <c r="AB4" s="210">
        <v>51.8984</v>
      </c>
      <c r="AC4" s="210">
        <v>0.6792</v>
      </c>
      <c r="AD4" s="210">
        <v>10.08</v>
      </c>
      <c r="AE4" s="210">
        <v>5.0</v>
      </c>
      <c r="AF4" s="210">
        <v>9.0</v>
      </c>
      <c r="AG4" s="210">
        <v>14.0</v>
      </c>
      <c r="AH4" s="210">
        <v>19.0</v>
      </c>
      <c r="AI4" s="210">
        <v>69.57</v>
      </c>
      <c r="AJ4" s="210">
        <v>29.21</v>
      </c>
      <c r="AK4" s="210">
        <v>4.01</v>
      </c>
      <c r="AL4" s="210">
        <v>0.3549</v>
      </c>
      <c r="AM4" s="211"/>
      <c r="AQ4" s="135">
        <v>8.2552</v>
      </c>
      <c r="AR4" s="135">
        <v>0.1264</v>
      </c>
      <c r="AS4" s="135">
        <v>8.1288</v>
      </c>
      <c r="AT4" s="135">
        <v>5.9931</v>
      </c>
      <c r="AU4" s="135">
        <v>0.2491</v>
      </c>
      <c r="AV4" s="135">
        <v>5908.0</v>
      </c>
      <c r="AW4" s="135">
        <v>0.0</v>
      </c>
      <c r="AX4" s="135">
        <v>42.79</v>
      </c>
      <c r="AY4" s="135">
        <v>66.07</v>
      </c>
      <c r="AZ4" s="135">
        <v>2.56</v>
      </c>
      <c r="BA4" s="135">
        <v>6.65</v>
      </c>
      <c r="BB4" s="135">
        <v>1.07</v>
      </c>
      <c r="BC4" s="135">
        <v>35.0</v>
      </c>
      <c r="BD4" s="135">
        <v>19353.0</v>
      </c>
      <c r="BE4" s="135">
        <v>5.6105</v>
      </c>
      <c r="BF4" s="135">
        <v>0.0873</v>
      </c>
      <c r="BG4" s="135">
        <v>5.5232</v>
      </c>
      <c r="BH4" s="135">
        <v>3.5203</v>
      </c>
      <c r="BI4" s="135">
        <v>0.1463</v>
      </c>
      <c r="BJ4" s="135">
        <v>2.6447</v>
      </c>
      <c r="BK4" s="135">
        <v>0.0391</v>
      </c>
      <c r="BL4" s="135">
        <v>2.6056</v>
      </c>
      <c r="BM4" s="135">
        <v>2.4727</v>
      </c>
      <c r="BN4" s="135">
        <v>0.1028</v>
      </c>
      <c r="BO4" s="135">
        <v>2.1982</v>
      </c>
      <c r="BP4" s="135">
        <v>0.0222</v>
      </c>
      <c r="BQ4" s="135">
        <v>2.176</v>
      </c>
      <c r="BR4" s="135">
        <v>1.39</v>
      </c>
      <c r="BS4" s="135">
        <v>2.2493</v>
      </c>
      <c r="BT4" s="135">
        <v>0.0196</v>
      </c>
      <c r="BU4" s="135">
        <v>2.2297</v>
      </c>
      <c r="BV4" s="135">
        <v>1.3072</v>
      </c>
      <c r="BW4" s="135">
        <v>1.163</v>
      </c>
      <c r="BX4" s="135">
        <v>0.0455</v>
      </c>
      <c r="BY4" s="135">
        <v>1.1175</v>
      </c>
      <c r="BZ4" s="135">
        <v>0.8231</v>
      </c>
      <c r="CA4" s="135">
        <v>0.5</v>
      </c>
      <c r="CB4" s="135">
        <v>0.0091</v>
      </c>
      <c r="CC4" s="135">
        <v>0.4909</v>
      </c>
      <c r="CD4" s="135">
        <v>0.4844</v>
      </c>
      <c r="CE4" s="135">
        <v>1.1686</v>
      </c>
      <c r="CF4" s="135">
        <v>0.0173</v>
      </c>
      <c r="CG4" s="135">
        <v>1.1513</v>
      </c>
      <c r="CH4" s="135">
        <v>1.0317</v>
      </c>
      <c r="CI4" s="135">
        <v>0.9761</v>
      </c>
      <c r="CJ4" s="135">
        <v>0.0127</v>
      </c>
      <c r="CK4" s="135">
        <v>0.9634</v>
      </c>
      <c r="CL4" s="135">
        <v>0.9567</v>
      </c>
      <c r="CM4" s="135">
        <v>542.08</v>
      </c>
      <c r="CN4" s="135">
        <v>87.07</v>
      </c>
      <c r="CO4" s="135">
        <v>622.59</v>
      </c>
      <c r="CP4" s="135">
        <v>515.25</v>
      </c>
      <c r="CQ4" s="135">
        <v>0.0</v>
      </c>
      <c r="CR4" s="135">
        <v>19.56</v>
      </c>
      <c r="CS4" s="135">
        <v>7.27</v>
      </c>
      <c r="CT4" s="135">
        <v>0.0</v>
      </c>
      <c r="CU4" s="135">
        <v>0.0</v>
      </c>
      <c r="CV4" s="135">
        <v>0.0</v>
      </c>
      <c r="CW4" s="135">
        <v>119.14</v>
      </c>
      <c r="CX4" s="135">
        <v>0.0</v>
      </c>
      <c r="CY4" s="135">
        <v>0.0</v>
      </c>
      <c r="CZ4" s="135">
        <v>162.16</v>
      </c>
      <c r="DA4" s="135">
        <v>1.43</v>
      </c>
      <c r="DB4" s="135">
        <v>160.72</v>
      </c>
      <c r="DC4" s="135">
        <v>144.97</v>
      </c>
      <c r="DD4" s="135">
        <v>0.44</v>
      </c>
      <c r="DE4" s="135">
        <v>144.53</v>
      </c>
      <c r="DF4" s="135">
        <v>8.14</v>
      </c>
      <c r="DG4" s="135">
        <v>0.33</v>
      </c>
      <c r="DH4" s="135">
        <v>7.81</v>
      </c>
      <c r="DI4" s="135">
        <v>7.28</v>
      </c>
      <c r="DJ4" s="135">
        <v>0.33</v>
      </c>
      <c r="DK4" s="135">
        <v>6.95</v>
      </c>
      <c r="DL4" s="135">
        <v>1.77</v>
      </c>
      <c r="DM4" s="135">
        <v>0.33</v>
      </c>
      <c r="DN4" s="135">
        <v>1.44</v>
      </c>
    </row>
    <row r="5">
      <c r="A5" s="209">
        <v>46255.0</v>
      </c>
      <c r="B5" s="210" t="s">
        <v>4</v>
      </c>
      <c r="C5" s="210" t="s">
        <v>144</v>
      </c>
      <c r="D5" s="210">
        <v>4821.0</v>
      </c>
      <c r="E5" s="210">
        <v>18.09</v>
      </c>
      <c r="F5" s="210">
        <v>736.68</v>
      </c>
      <c r="G5" s="210">
        <v>0.1528</v>
      </c>
      <c r="H5" s="210">
        <v>3.07</v>
      </c>
      <c r="I5" s="210">
        <v>4.9776</v>
      </c>
      <c r="J5" s="210">
        <v>67.11</v>
      </c>
      <c r="K5" s="210">
        <v>38.43</v>
      </c>
      <c r="L5" s="210">
        <v>26.11</v>
      </c>
      <c r="M5" s="210">
        <v>0.6793</v>
      </c>
      <c r="N5" s="210">
        <v>0.4532</v>
      </c>
      <c r="O5" s="210">
        <v>0.2812</v>
      </c>
      <c r="P5" s="210">
        <v>1.4721</v>
      </c>
      <c r="Q5" s="210">
        <v>184.1</v>
      </c>
      <c r="R5" s="210">
        <v>160.25</v>
      </c>
      <c r="S5" s="210">
        <v>23.85</v>
      </c>
      <c r="T5" s="210">
        <v>11.17</v>
      </c>
      <c r="U5" s="210">
        <v>172.93</v>
      </c>
      <c r="V5" s="210">
        <v>181.46</v>
      </c>
      <c r="W5" s="210">
        <v>4.7216</v>
      </c>
      <c r="X5" s="210">
        <v>6.07</v>
      </c>
      <c r="Y5" s="210">
        <v>274.0</v>
      </c>
      <c r="Z5" s="210">
        <v>543.0</v>
      </c>
      <c r="AA5" s="210">
        <v>1454.0</v>
      </c>
      <c r="AB5" s="210">
        <v>53.6518</v>
      </c>
      <c r="AC5" s="210">
        <v>0.7547</v>
      </c>
      <c r="AD5" s="210">
        <v>16.91</v>
      </c>
      <c r="AE5" s="210">
        <v>8.0</v>
      </c>
      <c r="AF5" s="210">
        <v>14.0</v>
      </c>
      <c r="AG5" s="210">
        <v>23.0</v>
      </c>
      <c r="AH5" s="210">
        <v>33.0</v>
      </c>
      <c r="AI5" s="210">
        <v>61.19</v>
      </c>
      <c r="AJ5" s="210">
        <v>20.56</v>
      </c>
      <c r="AK5" s="210">
        <v>4.83</v>
      </c>
      <c r="AL5" s="210">
        <v>0.2728</v>
      </c>
      <c r="AM5" s="211"/>
      <c r="AQ5" s="135">
        <v>12.3746</v>
      </c>
      <c r="AR5" s="135">
        <v>0.3095</v>
      </c>
      <c r="AS5" s="135">
        <v>12.0651</v>
      </c>
      <c r="AT5" s="135">
        <v>9.4572</v>
      </c>
      <c r="AU5" s="135">
        <v>0.2461</v>
      </c>
      <c r="AV5" s="135">
        <v>4821.0</v>
      </c>
      <c r="AW5" s="135">
        <v>0.0</v>
      </c>
      <c r="AX5" s="135">
        <v>69.01</v>
      </c>
      <c r="AY5" s="135">
        <v>99.5</v>
      </c>
      <c r="AZ5" s="135">
        <v>2.48</v>
      </c>
      <c r="BA5" s="135">
        <v>11.17</v>
      </c>
      <c r="BB5" s="135">
        <v>1.95</v>
      </c>
      <c r="BC5" s="135">
        <v>60.0</v>
      </c>
      <c r="BD5" s="135">
        <v>17932.0</v>
      </c>
      <c r="BE5" s="135">
        <v>8.2823</v>
      </c>
      <c r="BF5" s="135">
        <v>0.2259</v>
      </c>
      <c r="BG5" s="135">
        <v>8.0564</v>
      </c>
      <c r="BH5" s="135">
        <v>5.3626</v>
      </c>
      <c r="BI5" s="135">
        <v>0.1395</v>
      </c>
      <c r="BJ5" s="135">
        <v>4.0923</v>
      </c>
      <c r="BK5" s="135">
        <v>0.0836</v>
      </c>
      <c r="BL5" s="135">
        <v>4.0087</v>
      </c>
      <c r="BM5" s="135">
        <v>4.0946</v>
      </c>
      <c r="BN5" s="135">
        <v>0.1065</v>
      </c>
      <c r="BO5" s="135">
        <v>3.3008</v>
      </c>
      <c r="BP5" s="135">
        <v>0.073</v>
      </c>
      <c r="BQ5" s="135">
        <v>3.2278</v>
      </c>
      <c r="BR5" s="135">
        <v>2.0967</v>
      </c>
      <c r="BS5" s="135">
        <v>3.0342</v>
      </c>
      <c r="BT5" s="135">
        <v>0.0693</v>
      </c>
      <c r="BU5" s="135">
        <v>2.9649</v>
      </c>
      <c r="BV5" s="135">
        <v>1.9419</v>
      </c>
      <c r="BW5" s="135">
        <v>1.9473</v>
      </c>
      <c r="BX5" s="135">
        <v>0.0836</v>
      </c>
      <c r="BY5" s="135">
        <v>1.8637</v>
      </c>
      <c r="BZ5" s="135">
        <v>1.324</v>
      </c>
      <c r="CA5" s="135">
        <v>0.8708</v>
      </c>
      <c r="CB5" s="135">
        <v>0.0241</v>
      </c>
      <c r="CC5" s="135">
        <v>0.8467</v>
      </c>
      <c r="CD5" s="135">
        <v>0.989</v>
      </c>
      <c r="CE5" s="135">
        <v>1.6376</v>
      </c>
      <c r="CF5" s="135">
        <v>0.0357</v>
      </c>
      <c r="CG5" s="135">
        <v>1.6019</v>
      </c>
      <c r="CH5" s="135">
        <v>1.5287</v>
      </c>
      <c r="CI5" s="135">
        <v>1.5839</v>
      </c>
      <c r="CJ5" s="135">
        <v>0.0239</v>
      </c>
      <c r="CK5" s="135">
        <v>1.56</v>
      </c>
      <c r="CL5" s="135">
        <v>1.5769</v>
      </c>
      <c r="CM5" s="135">
        <v>1058.56</v>
      </c>
      <c r="CN5" s="135">
        <v>95.02</v>
      </c>
      <c r="CO5" s="135">
        <v>1114.01</v>
      </c>
      <c r="CP5" s="135">
        <v>1020.91</v>
      </c>
      <c r="CQ5" s="135">
        <v>0.0</v>
      </c>
      <c r="CR5" s="135">
        <v>25.91</v>
      </c>
      <c r="CS5" s="135">
        <v>11.74</v>
      </c>
      <c r="CT5" s="135">
        <v>0.0</v>
      </c>
      <c r="CU5" s="135">
        <v>0.0</v>
      </c>
      <c r="CV5" s="135">
        <v>0.0</v>
      </c>
      <c r="CW5" s="135">
        <v>184.1</v>
      </c>
      <c r="CX5" s="135">
        <v>0.0</v>
      </c>
      <c r="CY5" s="135">
        <v>0.0</v>
      </c>
      <c r="CZ5" s="135">
        <v>234.83</v>
      </c>
      <c r="DA5" s="135">
        <v>1.85</v>
      </c>
      <c r="DB5" s="135">
        <v>232.98</v>
      </c>
      <c r="DC5" s="135">
        <v>214.19</v>
      </c>
      <c r="DD5" s="135">
        <v>0.57</v>
      </c>
      <c r="DE5" s="135">
        <v>213.62</v>
      </c>
      <c r="DF5" s="135">
        <v>10.01</v>
      </c>
      <c r="DG5" s="135">
        <v>0.43</v>
      </c>
      <c r="DH5" s="135">
        <v>9.58</v>
      </c>
      <c r="DI5" s="135">
        <v>7.28</v>
      </c>
      <c r="DJ5" s="135">
        <v>0.43</v>
      </c>
      <c r="DK5" s="135">
        <v>6.85</v>
      </c>
      <c r="DL5" s="135">
        <v>3.36</v>
      </c>
      <c r="DM5" s="135">
        <v>0.43</v>
      </c>
      <c r="DN5" s="135">
        <v>2.93</v>
      </c>
    </row>
    <row r="6">
      <c r="A6" s="209">
        <v>46255.0</v>
      </c>
      <c r="B6" s="210" t="s">
        <v>4</v>
      </c>
      <c r="C6" s="210" t="s">
        <v>145</v>
      </c>
      <c r="D6" s="210">
        <v>2713.0</v>
      </c>
      <c r="E6" s="210">
        <v>10.18</v>
      </c>
      <c r="F6" s="210">
        <v>932.43</v>
      </c>
      <c r="G6" s="210">
        <v>0.3437</v>
      </c>
      <c r="H6" s="210">
        <v>5.12</v>
      </c>
      <c r="I6" s="210">
        <v>6.7081</v>
      </c>
      <c r="J6" s="210">
        <v>121.21</v>
      </c>
      <c r="K6" s="210">
        <v>73.3</v>
      </c>
      <c r="L6" s="210">
        <v>53.85</v>
      </c>
      <c r="M6" s="210">
        <v>0.7348</v>
      </c>
      <c r="N6" s="210">
        <v>0.4007</v>
      </c>
      <c r="O6" s="210">
        <v>0.2546</v>
      </c>
      <c r="P6" s="210">
        <v>1.361</v>
      </c>
      <c r="Q6" s="210">
        <v>316.44</v>
      </c>
      <c r="R6" s="210">
        <v>269.27</v>
      </c>
      <c r="S6" s="210">
        <v>47.17</v>
      </c>
      <c r="T6" s="210">
        <v>29.95</v>
      </c>
      <c r="U6" s="210">
        <v>286.49</v>
      </c>
      <c r="V6" s="210">
        <v>333.08</v>
      </c>
      <c r="W6" s="210">
        <v>4.5444</v>
      </c>
      <c r="X6" s="210">
        <v>9.46</v>
      </c>
      <c r="Y6" s="210">
        <v>332.0</v>
      </c>
      <c r="Z6" s="210">
        <v>739.0</v>
      </c>
      <c r="AA6" s="210">
        <v>1895.0</v>
      </c>
      <c r="AB6" s="210">
        <v>55.6083</v>
      </c>
      <c r="AC6" s="210">
        <v>0.7993</v>
      </c>
      <c r="AD6" s="210">
        <v>30.5</v>
      </c>
      <c r="AE6" s="210">
        <v>13.0</v>
      </c>
      <c r="AF6" s="210">
        <v>23.0</v>
      </c>
      <c r="AG6" s="210">
        <v>42.0</v>
      </c>
      <c r="AH6" s="210">
        <v>62.0</v>
      </c>
      <c r="AI6" s="210">
        <v>42.87</v>
      </c>
      <c r="AJ6" s="210">
        <v>11.21</v>
      </c>
      <c r="AK6" s="210">
        <v>2.32</v>
      </c>
      <c r="AL6" s="210">
        <v>0.1902</v>
      </c>
      <c r="AM6" s="211"/>
      <c r="AQ6" s="135">
        <v>20.5617</v>
      </c>
      <c r="AR6" s="135">
        <v>0.4497</v>
      </c>
      <c r="AS6" s="135">
        <v>20.1121</v>
      </c>
      <c r="AT6" s="135">
        <v>17.4585</v>
      </c>
      <c r="AU6" s="135">
        <v>0.2382</v>
      </c>
      <c r="AV6" s="135">
        <v>2713.0</v>
      </c>
      <c r="AW6" s="135">
        <v>0.0</v>
      </c>
      <c r="AX6" s="135">
        <v>122.49</v>
      </c>
      <c r="AY6" s="135">
        <v>154.97</v>
      </c>
      <c r="AZ6" s="135">
        <v>3.79</v>
      </c>
      <c r="BA6" s="135">
        <v>29.95</v>
      </c>
      <c r="BB6" s="135">
        <v>5.25</v>
      </c>
      <c r="BC6" s="135">
        <v>123.0</v>
      </c>
      <c r="BD6" s="135">
        <v>16148.0</v>
      </c>
      <c r="BE6" s="135">
        <v>12.9731</v>
      </c>
      <c r="BF6" s="135">
        <v>0.2046</v>
      </c>
      <c r="BG6" s="135">
        <v>12.7685</v>
      </c>
      <c r="BH6" s="135">
        <v>9.7755</v>
      </c>
      <c r="BI6" s="135">
        <v>0.1334</v>
      </c>
      <c r="BJ6" s="135">
        <v>7.5886</v>
      </c>
      <c r="BK6" s="135">
        <v>0.2451</v>
      </c>
      <c r="BL6" s="135">
        <v>7.3435</v>
      </c>
      <c r="BM6" s="135">
        <v>7.683</v>
      </c>
      <c r="BN6" s="135">
        <v>0.1048</v>
      </c>
      <c r="BO6" s="135">
        <v>4.6797</v>
      </c>
      <c r="BP6" s="135">
        <v>0.0638</v>
      </c>
      <c r="BQ6" s="135">
        <v>4.6159</v>
      </c>
      <c r="BR6" s="135">
        <v>3.4969</v>
      </c>
      <c r="BS6" s="135">
        <v>4.7154</v>
      </c>
      <c r="BT6" s="135">
        <v>0.0682</v>
      </c>
      <c r="BU6" s="135">
        <v>4.6473</v>
      </c>
      <c r="BV6" s="135">
        <v>3.5809</v>
      </c>
      <c r="BW6" s="135">
        <v>3.578</v>
      </c>
      <c r="BX6" s="135">
        <v>0.0726</v>
      </c>
      <c r="BY6" s="135">
        <v>3.5053</v>
      </c>
      <c r="BZ6" s="135">
        <v>2.6978</v>
      </c>
      <c r="CA6" s="135">
        <v>1.7589</v>
      </c>
      <c r="CB6" s="135">
        <v>0.0693</v>
      </c>
      <c r="CC6" s="135">
        <v>1.6896</v>
      </c>
      <c r="CD6" s="135">
        <v>1.9617</v>
      </c>
      <c r="CE6" s="135">
        <v>2.8312</v>
      </c>
      <c r="CF6" s="135">
        <v>0.0951</v>
      </c>
      <c r="CG6" s="135">
        <v>2.7361</v>
      </c>
      <c r="CH6" s="135">
        <v>2.6498</v>
      </c>
      <c r="CI6" s="135">
        <v>2.9985</v>
      </c>
      <c r="CJ6" s="135">
        <v>0.0807</v>
      </c>
      <c r="CK6" s="135">
        <v>2.9178</v>
      </c>
      <c r="CL6" s="135">
        <v>3.0715</v>
      </c>
      <c r="CM6" s="135">
        <v>2280.23</v>
      </c>
      <c r="CN6" s="135">
        <v>98.6</v>
      </c>
      <c r="CO6" s="135">
        <v>2312.62</v>
      </c>
      <c r="CP6" s="135">
        <v>2231.84</v>
      </c>
      <c r="CQ6" s="135">
        <v>0.0</v>
      </c>
      <c r="CR6" s="135">
        <v>32.92</v>
      </c>
      <c r="CS6" s="135">
        <v>15.47</v>
      </c>
      <c r="CT6" s="135">
        <v>0.0</v>
      </c>
      <c r="CU6" s="135">
        <v>0.0</v>
      </c>
      <c r="CV6" s="135">
        <v>0.0</v>
      </c>
      <c r="CW6" s="135">
        <v>316.44</v>
      </c>
      <c r="CX6" s="135">
        <v>0.0</v>
      </c>
      <c r="CY6" s="135">
        <v>0.0</v>
      </c>
      <c r="CZ6" s="135">
        <v>359.94</v>
      </c>
      <c r="DA6" s="135">
        <v>3.91</v>
      </c>
      <c r="DB6" s="135">
        <v>356.03</v>
      </c>
      <c r="DC6" s="135">
        <v>334.46</v>
      </c>
      <c r="DD6" s="135">
        <v>1.72</v>
      </c>
      <c r="DE6" s="135">
        <v>332.73</v>
      </c>
      <c r="DF6" s="135">
        <v>13.21</v>
      </c>
      <c r="DG6" s="135">
        <v>0.73</v>
      </c>
      <c r="DH6" s="135">
        <v>12.48</v>
      </c>
      <c r="DI6" s="135">
        <v>8.76</v>
      </c>
      <c r="DJ6" s="135">
        <v>0.73</v>
      </c>
      <c r="DK6" s="135">
        <v>8.03</v>
      </c>
      <c r="DL6" s="135">
        <v>3.51</v>
      </c>
      <c r="DM6" s="135">
        <v>0.73</v>
      </c>
      <c r="DN6" s="135">
        <v>2.78</v>
      </c>
    </row>
    <row r="7">
      <c r="A7" s="209">
        <v>46255.0</v>
      </c>
      <c r="B7" s="210" t="s">
        <v>4</v>
      </c>
      <c r="C7" s="210" t="s">
        <v>146</v>
      </c>
      <c r="D7" s="210">
        <v>377.0</v>
      </c>
      <c r="E7" s="210">
        <v>1.41</v>
      </c>
      <c r="F7" s="210">
        <v>348.5</v>
      </c>
      <c r="G7" s="210">
        <v>0.9244</v>
      </c>
      <c r="H7" s="210">
        <v>9.02</v>
      </c>
      <c r="I7" s="210">
        <v>10.25</v>
      </c>
      <c r="J7" s="210">
        <v>240.33</v>
      </c>
      <c r="K7" s="210">
        <v>157.28</v>
      </c>
      <c r="L7" s="210">
        <v>123.87</v>
      </c>
      <c r="M7" s="210">
        <v>0.7876</v>
      </c>
      <c r="N7" s="210">
        <v>0.3298</v>
      </c>
      <c r="O7" s="210">
        <v>0.2147</v>
      </c>
      <c r="P7" s="210">
        <v>1.2697</v>
      </c>
      <c r="Q7" s="210">
        <v>561.49</v>
      </c>
      <c r="R7" s="210">
        <v>446.01</v>
      </c>
      <c r="S7" s="210">
        <v>115.48</v>
      </c>
      <c r="T7" s="210">
        <v>67.64</v>
      </c>
      <c r="U7" s="210">
        <v>493.85</v>
      </c>
      <c r="V7" s="210">
        <v>605.7</v>
      </c>
      <c r="W7" s="210">
        <v>3.8511</v>
      </c>
      <c r="X7" s="210">
        <v>12.05</v>
      </c>
      <c r="Y7" s="210">
        <v>390.0</v>
      </c>
      <c r="Z7" s="210">
        <v>946.0</v>
      </c>
      <c r="AA7" s="210">
        <v>2224.0</v>
      </c>
      <c r="AB7" s="210">
        <v>57.0946</v>
      </c>
      <c r="AC7" s="210">
        <v>0.8184</v>
      </c>
      <c r="AD7" s="210">
        <v>57.59</v>
      </c>
      <c r="AE7" s="210">
        <v>22.0</v>
      </c>
      <c r="AF7" s="210">
        <v>41.0</v>
      </c>
      <c r="AG7" s="210">
        <v>77.0</v>
      </c>
      <c r="AH7" s="210">
        <v>126.0</v>
      </c>
      <c r="AI7" s="210">
        <v>24.14</v>
      </c>
      <c r="AJ7" s="210">
        <v>3.45</v>
      </c>
      <c r="AK7" s="210">
        <v>1.06</v>
      </c>
      <c r="AL7" s="210">
        <v>0.1141</v>
      </c>
      <c r="AM7" s="211"/>
      <c r="AQ7" s="135">
        <v>37.5013</v>
      </c>
      <c r="AR7" s="135">
        <v>0.9549</v>
      </c>
      <c r="AS7" s="135">
        <v>36.5464</v>
      </c>
      <c r="AT7" s="135">
        <v>33.2626</v>
      </c>
      <c r="AU7" s="135">
        <v>0.2115</v>
      </c>
      <c r="AV7" s="135">
        <v>377.0</v>
      </c>
      <c r="AW7" s="135">
        <v>0.0</v>
      </c>
      <c r="AX7" s="135">
        <v>265.99</v>
      </c>
      <c r="AY7" s="135">
        <v>204.06</v>
      </c>
      <c r="AZ7" s="135">
        <v>7.49</v>
      </c>
      <c r="BA7" s="135">
        <v>67.64</v>
      </c>
      <c r="BB7" s="135">
        <v>16.31</v>
      </c>
      <c r="BC7" s="135">
        <v>280.0</v>
      </c>
      <c r="BD7" s="135">
        <v>19780.0</v>
      </c>
      <c r="BE7" s="135">
        <v>22.183</v>
      </c>
      <c r="BF7" s="135">
        <v>0.3342</v>
      </c>
      <c r="BG7" s="135">
        <v>21.8488</v>
      </c>
      <c r="BH7" s="135">
        <v>18.3554</v>
      </c>
      <c r="BI7" s="135">
        <v>0.1167</v>
      </c>
      <c r="BJ7" s="135">
        <v>15.3183</v>
      </c>
      <c r="BK7" s="135">
        <v>0.6207</v>
      </c>
      <c r="BL7" s="135">
        <v>14.6976</v>
      </c>
      <c r="BM7" s="135">
        <v>14.9072</v>
      </c>
      <c r="BN7" s="135">
        <v>0.0948</v>
      </c>
      <c r="BO7" s="135">
        <v>7.7639</v>
      </c>
      <c r="BP7" s="135">
        <v>0.1088</v>
      </c>
      <c r="BQ7" s="135">
        <v>7.6552</v>
      </c>
      <c r="BR7" s="135">
        <v>6.3793</v>
      </c>
      <c r="BS7" s="135">
        <v>7.9019</v>
      </c>
      <c r="BT7" s="135">
        <v>0.1088</v>
      </c>
      <c r="BU7" s="135">
        <v>7.7931</v>
      </c>
      <c r="BV7" s="135">
        <v>6.6021</v>
      </c>
      <c r="BW7" s="135">
        <v>6.5172</v>
      </c>
      <c r="BX7" s="135">
        <v>0.1167</v>
      </c>
      <c r="BY7" s="135">
        <v>6.4005</v>
      </c>
      <c r="BZ7" s="135">
        <v>5.374</v>
      </c>
      <c r="CA7" s="135">
        <v>4.0027</v>
      </c>
      <c r="CB7" s="135">
        <v>0.1565</v>
      </c>
      <c r="CC7" s="135">
        <v>3.8462</v>
      </c>
      <c r="CD7" s="135">
        <v>4.3077</v>
      </c>
      <c r="CE7" s="135">
        <v>5.2706</v>
      </c>
      <c r="CF7" s="135">
        <v>0.2679</v>
      </c>
      <c r="CG7" s="135">
        <v>5.0027</v>
      </c>
      <c r="CH7" s="135">
        <v>4.9894</v>
      </c>
      <c r="CI7" s="135">
        <v>6.0451</v>
      </c>
      <c r="CJ7" s="135">
        <v>0.1963</v>
      </c>
      <c r="CK7" s="135">
        <v>5.8488</v>
      </c>
      <c r="CL7" s="135">
        <v>5.6101</v>
      </c>
      <c r="CM7" s="135">
        <v>4917.26</v>
      </c>
      <c r="CN7" s="135">
        <v>100.0</v>
      </c>
      <c r="CO7" s="135">
        <v>4917.26</v>
      </c>
      <c r="CP7" s="135">
        <v>4858.08</v>
      </c>
      <c r="CQ7" s="135">
        <v>0.0</v>
      </c>
      <c r="CR7" s="135">
        <v>43.77</v>
      </c>
      <c r="CS7" s="135">
        <v>15.41</v>
      </c>
      <c r="CT7" s="135">
        <v>0.0</v>
      </c>
      <c r="CU7" s="135">
        <v>0.0</v>
      </c>
      <c r="CV7" s="135">
        <v>0.0</v>
      </c>
      <c r="CW7" s="135">
        <v>561.49</v>
      </c>
      <c r="CX7" s="135">
        <v>0.0</v>
      </c>
      <c r="CY7" s="135">
        <v>0.0</v>
      </c>
      <c r="CZ7" s="135">
        <v>614.64</v>
      </c>
      <c r="DA7" s="135">
        <v>12.14</v>
      </c>
      <c r="DB7" s="135">
        <v>602.51</v>
      </c>
      <c r="DC7" s="135">
        <v>582.97</v>
      </c>
      <c r="DD7" s="135">
        <v>4.81</v>
      </c>
      <c r="DE7" s="135">
        <v>578.16</v>
      </c>
      <c r="DF7" s="135">
        <v>15.9</v>
      </c>
      <c r="DG7" s="135">
        <v>2.44</v>
      </c>
      <c r="DH7" s="135">
        <v>13.46</v>
      </c>
      <c r="DI7" s="135">
        <v>11.94</v>
      </c>
      <c r="DJ7" s="135">
        <v>2.44</v>
      </c>
      <c r="DK7" s="135">
        <v>9.5</v>
      </c>
      <c r="DL7" s="135">
        <v>3.83</v>
      </c>
      <c r="DM7" s="135">
        <v>2.44</v>
      </c>
      <c r="DN7" s="135">
        <v>1.39</v>
      </c>
    </row>
    <row r="8">
      <c r="A8" s="209">
        <v>46255.0</v>
      </c>
      <c r="B8" s="210" t="s">
        <v>5</v>
      </c>
      <c r="C8" s="210" t="s">
        <v>398</v>
      </c>
      <c r="D8" s="210">
        <v>5281.0</v>
      </c>
      <c r="E8" s="210">
        <v>20.18</v>
      </c>
      <c r="F8" s="210">
        <v>428.59</v>
      </c>
      <c r="G8" s="210">
        <v>0.0812</v>
      </c>
      <c r="H8" s="210">
        <v>1.12</v>
      </c>
      <c r="I8" s="210">
        <v>7.2642</v>
      </c>
      <c r="J8" s="210">
        <v>23.66</v>
      </c>
      <c r="K8" s="210">
        <v>12.75</v>
      </c>
      <c r="L8" s="210">
        <v>9.53</v>
      </c>
      <c r="M8" s="210">
        <v>0.7477</v>
      </c>
      <c r="N8" s="210">
        <v>0.383</v>
      </c>
      <c r="O8" s="210">
        <v>0.2023</v>
      </c>
      <c r="P8" s="210">
        <v>1.3375</v>
      </c>
      <c r="Q8" s="210">
        <v>87.47</v>
      </c>
      <c r="R8" s="210">
        <v>87.4</v>
      </c>
      <c r="S8" s="210">
        <v>0.07</v>
      </c>
      <c r="T8" s="210">
        <v>6.57</v>
      </c>
      <c r="U8" s="210">
        <v>80.9</v>
      </c>
      <c r="V8" s="210">
        <v>57.82</v>
      </c>
      <c r="W8" s="210">
        <v>4.5366</v>
      </c>
      <c r="X8" s="210">
        <v>7.51</v>
      </c>
      <c r="Y8" s="210">
        <v>200.0</v>
      </c>
      <c r="Z8" s="210">
        <v>472.0</v>
      </c>
      <c r="AA8" s="210">
        <v>3132.0</v>
      </c>
      <c r="AB8" s="210">
        <v>50.0315</v>
      </c>
      <c r="AC8" s="210">
        <v>0.4836</v>
      </c>
      <c r="AD8" s="211"/>
      <c r="AE8" s="211"/>
      <c r="AF8" s="211"/>
      <c r="AG8" s="211"/>
      <c r="AH8" s="211"/>
      <c r="AI8" s="210">
        <v>0.0</v>
      </c>
      <c r="AJ8" s="210">
        <v>0.0</v>
      </c>
      <c r="AK8" s="210">
        <v>0.0</v>
      </c>
      <c r="AL8" s="210">
        <v>0.5296</v>
      </c>
      <c r="AM8" s="210">
        <v>11.49</v>
      </c>
      <c r="AN8" s="135">
        <v>11.49</v>
      </c>
      <c r="AO8" s="135">
        <v>7.4</v>
      </c>
      <c r="AP8" s="135">
        <v>4.13</v>
      </c>
      <c r="AQ8" s="135">
        <v>3.0943</v>
      </c>
      <c r="AR8" s="135">
        <v>0.0723</v>
      </c>
      <c r="AS8" s="135">
        <v>3.022</v>
      </c>
      <c r="AT8" s="135">
        <v>1.9351</v>
      </c>
      <c r="AU8" s="135">
        <v>0.1518</v>
      </c>
      <c r="AV8" s="135">
        <v>5281.0</v>
      </c>
      <c r="AW8" s="135">
        <v>0.0</v>
      </c>
      <c r="AX8" s="135">
        <v>9.5</v>
      </c>
      <c r="AY8" s="135">
        <v>68.17</v>
      </c>
      <c r="AZ8" s="135">
        <v>3.04</v>
      </c>
      <c r="BA8" s="135">
        <v>6.57</v>
      </c>
      <c r="BB8" s="135">
        <v>0.19</v>
      </c>
      <c r="BD8" s="135">
        <v>27377.0</v>
      </c>
      <c r="BE8" s="135">
        <v>1.6637</v>
      </c>
      <c r="BF8" s="135">
        <v>0.0329</v>
      </c>
      <c r="BG8" s="135">
        <v>1.6308</v>
      </c>
      <c r="BH8" s="135">
        <v>0.9597</v>
      </c>
      <c r="BI8" s="135">
        <v>0.0753</v>
      </c>
      <c r="BJ8" s="135">
        <v>1.4306</v>
      </c>
      <c r="BK8" s="135">
        <v>0.0394</v>
      </c>
      <c r="BL8" s="135">
        <v>1.3912</v>
      </c>
      <c r="BM8" s="135">
        <v>0.9754</v>
      </c>
      <c r="BN8" s="135">
        <v>0.0765</v>
      </c>
      <c r="BO8" s="135">
        <v>0.6226</v>
      </c>
      <c r="BP8" s="135">
        <v>0.0116</v>
      </c>
      <c r="BQ8" s="135">
        <v>0.6111</v>
      </c>
      <c r="BR8" s="135">
        <v>0.3533</v>
      </c>
      <c r="BS8" s="135">
        <v>0.6345</v>
      </c>
      <c r="BT8" s="135">
        <v>0.0116</v>
      </c>
      <c r="BU8" s="135">
        <v>0.623</v>
      </c>
      <c r="BV8" s="135">
        <v>0.3677</v>
      </c>
      <c r="BW8" s="135">
        <v>0.4066</v>
      </c>
      <c r="BX8" s="135">
        <v>0.0098</v>
      </c>
      <c r="BY8" s="135">
        <v>0.3967</v>
      </c>
      <c r="BZ8" s="135">
        <v>0.2386</v>
      </c>
      <c r="CA8" s="135">
        <v>0.2876</v>
      </c>
      <c r="CB8" s="135">
        <v>0.0106</v>
      </c>
      <c r="CC8" s="135">
        <v>0.277</v>
      </c>
      <c r="CD8" s="135">
        <v>0.1956</v>
      </c>
      <c r="CE8" s="135">
        <v>0.6414</v>
      </c>
      <c r="CF8" s="135">
        <v>0.015</v>
      </c>
      <c r="CG8" s="135">
        <v>0.6264</v>
      </c>
      <c r="CH8" s="135">
        <v>0.3959</v>
      </c>
      <c r="CI8" s="135">
        <v>0.5016</v>
      </c>
      <c r="CJ8" s="135">
        <v>0.0138</v>
      </c>
      <c r="CK8" s="135">
        <v>0.4878</v>
      </c>
      <c r="CL8" s="135">
        <v>0.3838</v>
      </c>
      <c r="CM8" s="135">
        <v>463.23</v>
      </c>
      <c r="CN8" s="135">
        <v>27.76</v>
      </c>
      <c r="CO8" s="135">
        <v>1668.71</v>
      </c>
      <c r="CP8" s="135">
        <v>447.16</v>
      </c>
      <c r="CQ8" s="135">
        <v>1.21</v>
      </c>
      <c r="CR8" s="135">
        <v>9.01</v>
      </c>
      <c r="CS8" s="135">
        <v>5.85</v>
      </c>
      <c r="CT8" s="135">
        <v>0.0</v>
      </c>
      <c r="CU8" s="135">
        <v>923.0</v>
      </c>
      <c r="CV8" s="135">
        <v>0.01</v>
      </c>
      <c r="CW8" s="135">
        <v>87.47</v>
      </c>
      <c r="CX8" s="135">
        <v>0.0</v>
      </c>
      <c r="CY8" s="135">
        <v>1.21</v>
      </c>
      <c r="CZ8" s="135">
        <v>45.0</v>
      </c>
      <c r="DA8" s="135">
        <v>0.71</v>
      </c>
      <c r="DB8" s="135">
        <v>44.29</v>
      </c>
      <c r="DC8" s="135">
        <v>38.29</v>
      </c>
      <c r="DD8" s="135">
        <v>0.38</v>
      </c>
      <c r="DE8" s="135">
        <v>37.9</v>
      </c>
      <c r="DF8" s="135">
        <v>3.35</v>
      </c>
      <c r="DG8" s="135">
        <v>0.11</v>
      </c>
      <c r="DH8" s="135">
        <v>3.24</v>
      </c>
      <c r="DI8" s="135">
        <v>2.44</v>
      </c>
      <c r="DJ8" s="135">
        <v>0.11</v>
      </c>
      <c r="DK8" s="135">
        <v>2.33</v>
      </c>
      <c r="DL8" s="135">
        <v>0.93</v>
      </c>
      <c r="DM8" s="135">
        <v>0.11</v>
      </c>
      <c r="DN8" s="135">
        <v>0.82</v>
      </c>
    </row>
    <row r="9">
      <c r="A9" s="209">
        <v>46255.0</v>
      </c>
      <c r="B9" s="210" t="s">
        <v>5</v>
      </c>
      <c r="C9" s="210" t="s">
        <v>142</v>
      </c>
      <c r="D9" s="210">
        <v>7465.0</v>
      </c>
      <c r="E9" s="210">
        <v>28.52</v>
      </c>
      <c r="F9" s="210">
        <v>216.62</v>
      </c>
      <c r="G9" s="210">
        <v>0.029</v>
      </c>
      <c r="H9" s="210">
        <v>0.99</v>
      </c>
      <c r="I9" s="210">
        <v>2.9273</v>
      </c>
      <c r="J9" s="210">
        <v>21.01</v>
      </c>
      <c r="K9" s="210">
        <v>10.5</v>
      </c>
      <c r="L9" s="210">
        <v>5.28</v>
      </c>
      <c r="M9" s="210">
        <v>0.5029</v>
      </c>
      <c r="N9" s="210">
        <v>0.6044</v>
      </c>
      <c r="O9" s="210">
        <v>0.3486</v>
      </c>
      <c r="P9" s="210">
        <v>1.9883</v>
      </c>
      <c r="Q9" s="210">
        <v>56.18</v>
      </c>
      <c r="R9" s="210">
        <v>52.56</v>
      </c>
      <c r="S9" s="210">
        <v>3.62</v>
      </c>
      <c r="T9" s="210">
        <v>3.09</v>
      </c>
      <c r="U9" s="210">
        <v>53.09</v>
      </c>
      <c r="V9" s="210">
        <v>43.37</v>
      </c>
      <c r="W9" s="210">
        <v>4.1285</v>
      </c>
      <c r="X9" s="210">
        <v>5.5</v>
      </c>
      <c r="Y9" s="210">
        <v>200.0</v>
      </c>
      <c r="Z9" s="210">
        <v>344.0</v>
      </c>
      <c r="AA9" s="210">
        <v>1196.0</v>
      </c>
      <c r="AB9" s="210">
        <v>50.124</v>
      </c>
      <c r="AC9" s="210">
        <v>0.6016</v>
      </c>
      <c r="AD9" s="210">
        <v>4.14</v>
      </c>
      <c r="AE9" s="210">
        <v>2.0</v>
      </c>
      <c r="AF9" s="210">
        <v>3.0</v>
      </c>
      <c r="AG9" s="210">
        <v>5.0</v>
      </c>
      <c r="AH9" s="210">
        <v>9.0</v>
      </c>
      <c r="AI9" s="210">
        <v>74.94</v>
      </c>
      <c r="AJ9" s="210">
        <v>35.04</v>
      </c>
      <c r="AK9" s="210">
        <v>7.54</v>
      </c>
      <c r="AL9" s="210">
        <v>0.5013</v>
      </c>
      <c r="AM9" s="210">
        <v>39.73</v>
      </c>
      <c r="AN9" s="135">
        <v>39.73</v>
      </c>
      <c r="AO9" s="135">
        <v>19.99</v>
      </c>
      <c r="AP9" s="135">
        <v>6.76</v>
      </c>
      <c r="AQ9" s="135">
        <v>3.9808</v>
      </c>
      <c r="AR9" s="135">
        <v>0.0658</v>
      </c>
      <c r="AS9" s="135">
        <v>3.9151</v>
      </c>
      <c r="AT9" s="135">
        <v>2.7594</v>
      </c>
      <c r="AU9" s="135">
        <v>0.2627</v>
      </c>
      <c r="AV9" s="135">
        <v>7465.0</v>
      </c>
      <c r="AW9" s="135">
        <v>0.0</v>
      </c>
      <c r="AX9" s="135">
        <v>17.48</v>
      </c>
      <c r="AY9" s="135">
        <v>33.43</v>
      </c>
      <c r="AZ9" s="135">
        <v>1.79</v>
      </c>
      <c r="BA9" s="135">
        <v>3.09</v>
      </c>
      <c r="BB9" s="135">
        <v>0.4</v>
      </c>
      <c r="BC9" s="135">
        <v>17.0</v>
      </c>
      <c r="BD9" s="135">
        <v>18086.0</v>
      </c>
      <c r="BE9" s="135">
        <v>2.7129</v>
      </c>
      <c r="BF9" s="135">
        <v>0.041</v>
      </c>
      <c r="BG9" s="135">
        <v>2.6719</v>
      </c>
      <c r="BH9" s="135">
        <v>1.6446</v>
      </c>
      <c r="BI9" s="135">
        <v>0.1566</v>
      </c>
      <c r="BJ9" s="135">
        <v>1.2679</v>
      </c>
      <c r="BK9" s="135">
        <v>0.0248</v>
      </c>
      <c r="BL9" s="135">
        <v>1.2431</v>
      </c>
      <c r="BM9" s="135">
        <v>1.1148</v>
      </c>
      <c r="BN9" s="135">
        <v>0.1061</v>
      </c>
      <c r="BO9" s="135">
        <v>1.0758</v>
      </c>
      <c r="BP9" s="135">
        <v>0.0161</v>
      </c>
      <c r="BQ9" s="135">
        <v>1.0597</v>
      </c>
      <c r="BR9" s="135">
        <v>0.653</v>
      </c>
      <c r="BS9" s="135">
        <v>1.1353</v>
      </c>
      <c r="BT9" s="135">
        <v>0.0109</v>
      </c>
      <c r="BU9" s="135">
        <v>1.1244</v>
      </c>
      <c r="BV9" s="135">
        <v>0.6505</v>
      </c>
      <c r="BW9" s="135">
        <v>0.5018</v>
      </c>
      <c r="BX9" s="135">
        <v>0.0141</v>
      </c>
      <c r="BY9" s="135">
        <v>0.4877</v>
      </c>
      <c r="BZ9" s="135">
        <v>0.3411</v>
      </c>
      <c r="CA9" s="135">
        <v>0.1628</v>
      </c>
      <c r="CB9" s="135">
        <v>0.0072</v>
      </c>
      <c r="CC9" s="135">
        <v>0.1555</v>
      </c>
      <c r="CD9" s="135">
        <v>0.1622</v>
      </c>
      <c r="CE9" s="135">
        <v>0.6697</v>
      </c>
      <c r="CF9" s="135">
        <v>0.0086</v>
      </c>
      <c r="CG9" s="135">
        <v>0.6611</v>
      </c>
      <c r="CH9" s="135">
        <v>0.5683</v>
      </c>
      <c r="CI9" s="135">
        <v>0.4355</v>
      </c>
      <c r="CJ9" s="135">
        <v>0.009</v>
      </c>
      <c r="CK9" s="135">
        <v>0.4265</v>
      </c>
      <c r="CL9" s="135">
        <v>0.3843</v>
      </c>
      <c r="CM9" s="135">
        <v>213.54</v>
      </c>
      <c r="CN9" s="135">
        <v>71.69</v>
      </c>
      <c r="CO9" s="135">
        <v>297.84</v>
      </c>
      <c r="CP9" s="135">
        <v>197.55</v>
      </c>
      <c r="CQ9" s="135">
        <v>1.24</v>
      </c>
      <c r="CR9" s="135">
        <v>12.28</v>
      </c>
      <c r="CS9" s="135">
        <v>2.47</v>
      </c>
      <c r="CT9" s="135">
        <v>0.0</v>
      </c>
      <c r="CU9" s="135">
        <v>814.0</v>
      </c>
      <c r="CV9" s="135">
        <v>0.03</v>
      </c>
      <c r="CW9" s="135">
        <v>56.21</v>
      </c>
      <c r="CX9" s="135">
        <v>0.05</v>
      </c>
      <c r="CY9" s="135">
        <v>1.3</v>
      </c>
      <c r="CZ9" s="135">
        <v>84.41</v>
      </c>
      <c r="DA9" s="135">
        <v>0.64</v>
      </c>
      <c r="DB9" s="135">
        <v>83.77</v>
      </c>
      <c r="DC9" s="135">
        <v>76.88</v>
      </c>
      <c r="DD9" s="135">
        <v>0.32</v>
      </c>
      <c r="DE9" s="135">
        <v>76.56</v>
      </c>
      <c r="DF9" s="135">
        <v>3.82</v>
      </c>
      <c r="DG9" s="135">
        <v>0.11</v>
      </c>
      <c r="DH9" s="135">
        <v>3.71</v>
      </c>
      <c r="DI9" s="135">
        <v>3.26</v>
      </c>
      <c r="DJ9" s="135">
        <v>0.11</v>
      </c>
      <c r="DK9" s="135">
        <v>3.15</v>
      </c>
      <c r="DL9" s="135">
        <v>0.45</v>
      </c>
      <c r="DM9" s="135">
        <v>0.11</v>
      </c>
      <c r="DN9" s="135">
        <v>0.35</v>
      </c>
    </row>
    <row r="10">
      <c r="A10" s="209">
        <v>46255.0</v>
      </c>
      <c r="B10" s="210" t="s">
        <v>5</v>
      </c>
      <c r="C10" s="210" t="s">
        <v>143</v>
      </c>
      <c r="D10" s="210">
        <v>5801.0</v>
      </c>
      <c r="E10" s="210">
        <v>22.16</v>
      </c>
      <c r="F10" s="210">
        <v>259.57</v>
      </c>
      <c r="G10" s="210">
        <v>0.0447</v>
      </c>
      <c r="H10" s="210">
        <v>1.78</v>
      </c>
      <c r="I10" s="210">
        <v>2.5201</v>
      </c>
      <c r="J10" s="210">
        <v>42.78</v>
      </c>
      <c r="K10" s="210">
        <v>22.67</v>
      </c>
      <c r="L10" s="210">
        <v>13.66</v>
      </c>
      <c r="M10" s="210">
        <v>0.6026</v>
      </c>
      <c r="N10" s="210">
        <v>0.5242</v>
      </c>
      <c r="O10" s="210">
        <v>0.3148</v>
      </c>
      <c r="P10" s="210">
        <v>1.6595</v>
      </c>
      <c r="Q10" s="210">
        <v>108.05</v>
      </c>
      <c r="R10" s="210">
        <v>97.51</v>
      </c>
      <c r="S10" s="210">
        <v>10.54</v>
      </c>
      <c r="T10" s="210">
        <v>3.4</v>
      </c>
      <c r="U10" s="210">
        <v>104.64</v>
      </c>
      <c r="V10" s="210">
        <v>95.38</v>
      </c>
      <c r="W10" s="210">
        <v>4.2065</v>
      </c>
      <c r="X10" s="210">
        <v>3.15</v>
      </c>
      <c r="Y10" s="210">
        <v>226.0</v>
      </c>
      <c r="Z10" s="210">
        <v>384.0</v>
      </c>
      <c r="AA10" s="210">
        <v>1132.0</v>
      </c>
      <c r="AB10" s="210">
        <v>52.0481</v>
      </c>
      <c r="AC10" s="210">
        <v>0.6792</v>
      </c>
      <c r="AD10" s="210">
        <v>9.75</v>
      </c>
      <c r="AE10" s="210">
        <v>4.0</v>
      </c>
      <c r="AF10" s="210">
        <v>9.0</v>
      </c>
      <c r="AG10" s="210">
        <v>13.0</v>
      </c>
      <c r="AH10" s="210">
        <v>19.0</v>
      </c>
      <c r="AI10" s="210">
        <v>66.01</v>
      </c>
      <c r="AJ10" s="210">
        <v>27.58</v>
      </c>
      <c r="AK10" s="210">
        <v>4.14</v>
      </c>
      <c r="AL10" s="210">
        <v>0.3546</v>
      </c>
      <c r="AM10" s="210">
        <v>47.78</v>
      </c>
      <c r="AN10" s="135">
        <v>47.78</v>
      </c>
      <c r="AO10" s="135">
        <v>28.62</v>
      </c>
      <c r="AP10" s="135">
        <v>13.58</v>
      </c>
      <c r="AQ10" s="135">
        <v>7.2867</v>
      </c>
      <c r="AR10" s="135">
        <v>0.0867</v>
      </c>
      <c r="AS10" s="135">
        <v>7.2</v>
      </c>
      <c r="AT10" s="135">
        <v>5.7083</v>
      </c>
      <c r="AU10" s="135">
        <v>0.2518</v>
      </c>
      <c r="AV10" s="135">
        <v>5801.0</v>
      </c>
      <c r="AW10" s="135">
        <v>0.0</v>
      </c>
      <c r="AX10" s="135">
        <v>36.52</v>
      </c>
      <c r="AY10" s="135">
        <v>64.5</v>
      </c>
      <c r="AZ10" s="135">
        <v>2.47</v>
      </c>
      <c r="BA10" s="135">
        <v>3.4</v>
      </c>
      <c r="BB10" s="135">
        <v>1.15</v>
      </c>
      <c r="BC10" s="135">
        <v>35.0</v>
      </c>
      <c r="BD10" s="135">
        <v>16872.0</v>
      </c>
      <c r="BE10" s="135">
        <v>4.6497</v>
      </c>
      <c r="BF10" s="135">
        <v>0.0631</v>
      </c>
      <c r="BG10" s="135">
        <v>4.5866</v>
      </c>
      <c r="BH10" s="135">
        <v>3.2365</v>
      </c>
      <c r="BI10" s="135">
        <v>0.1427</v>
      </c>
      <c r="BJ10" s="135">
        <v>2.637</v>
      </c>
      <c r="BK10" s="135">
        <v>0.0236</v>
      </c>
      <c r="BL10" s="135">
        <v>2.6133</v>
      </c>
      <c r="BM10" s="135">
        <v>2.4718</v>
      </c>
      <c r="BN10" s="135">
        <v>0.109</v>
      </c>
      <c r="BO10" s="135">
        <v>1.7249</v>
      </c>
      <c r="BP10" s="135">
        <v>0.0319</v>
      </c>
      <c r="BQ10" s="135">
        <v>1.693</v>
      </c>
      <c r="BR10" s="135">
        <v>1.2157</v>
      </c>
      <c r="BS10" s="135">
        <v>1.9207</v>
      </c>
      <c r="BT10" s="135">
        <v>0.0143</v>
      </c>
      <c r="BU10" s="135">
        <v>1.9064</v>
      </c>
      <c r="BV10" s="135">
        <v>1.2884</v>
      </c>
      <c r="BW10" s="135">
        <v>1.0041</v>
      </c>
      <c r="BX10" s="135">
        <v>0.0169</v>
      </c>
      <c r="BY10" s="135">
        <v>0.9872</v>
      </c>
      <c r="BZ10" s="135">
        <v>0.7325</v>
      </c>
      <c r="CA10" s="135">
        <v>0.4123</v>
      </c>
      <c r="CB10" s="135">
        <v>0.0038</v>
      </c>
      <c r="CC10" s="135">
        <v>0.4086</v>
      </c>
      <c r="CD10" s="135">
        <v>0.4251</v>
      </c>
      <c r="CE10" s="135">
        <v>1.2803</v>
      </c>
      <c r="CF10" s="135">
        <v>0.0122</v>
      </c>
      <c r="CG10" s="135">
        <v>1.2681</v>
      </c>
      <c r="CH10" s="135">
        <v>1.1686</v>
      </c>
      <c r="CI10" s="135">
        <v>0.9443</v>
      </c>
      <c r="CJ10" s="135">
        <v>0.0076</v>
      </c>
      <c r="CK10" s="135">
        <v>0.9367</v>
      </c>
      <c r="CL10" s="135">
        <v>0.8781</v>
      </c>
      <c r="CM10" s="135">
        <v>510.84</v>
      </c>
      <c r="CN10" s="135">
        <v>87.31</v>
      </c>
      <c r="CO10" s="135">
        <v>585.07</v>
      </c>
      <c r="CP10" s="135">
        <v>478.56</v>
      </c>
      <c r="CQ10" s="135">
        <v>2.46</v>
      </c>
      <c r="CR10" s="135">
        <v>19.22</v>
      </c>
      <c r="CS10" s="135">
        <v>10.6</v>
      </c>
      <c r="CT10" s="135">
        <v>0.0</v>
      </c>
      <c r="CU10" s="135">
        <v>1292.0</v>
      </c>
      <c r="CV10" s="135">
        <v>0.03</v>
      </c>
      <c r="CW10" s="135">
        <v>108.08</v>
      </c>
      <c r="CX10" s="135">
        <v>0.16</v>
      </c>
      <c r="CY10" s="135">
        <v>2.61</v>
      </c>
      <c r="CZ10" s="135">
        <v>138.72</v>
      </c>
      <c r="DA10" s="135">
        <v>1.1</v>
      </c>
      <c r="DB10" s="135">
        <v>137.63</v>
      </c>
      <c r="DC10" s="135">
        <v>126.45</v>
      </c>
      <c r="DD10" s="135">
        <v>0.28</v>
      </c>
      <c r="DE10" s="135">
        <v>126.17</v>
      </c>
      <c r="DF10" s="135">
        <v>6.97</v>
      </c>
      <c r="DG10" s="135">
        <v>0.27</v>
      </c>
      <c r="DH10" s="135">
        <v>6.7</v>
      </c>
      <c r="DI10" s="135">
        <v>4.58</v>
      </c>
      <c r="DJ10" s="135">
        <v>0.27</v>
      </c>
      <c r="DK10" s="135">
        <v>4.3</v>
      </c>
      <c r="DL10" s="135">
        <v>0.73</v>
      </c>
      <c r="DM10" s="135">
        <v>0.27</v>
      </c>
      <c r="DN10" s="135">
        <v>0.46</v>
      </c>
    </row>
    <row r="11">
      <c r="A11" s="209">
        <v>46255.0</v>
      </c>
      <c r="B11" s="210" t="s">
        <v>5</v>
      </c>
      <c r="C11" s="210" t="s">
        <v>144</v>
      </c>
      <c r="D11" s="210">
        <v>4742.0</v>
      </c>
      <c r="E11" s="210">
        <v>18.12</v>
      </c>
      <c r="F11" s="210">
        <v>538.13</v>
      </c>
      <c r="G11" s="210">
        <v>0.1135</v>
      </c>
      <c r="H11" s="210">
        <v>2.72</v>
      </c>
      <c r="I11" s="210">
        <v>4.1716</v>
      </c>
      <c r="J11" s="210">
        <v>67.88</v>
      </c>
      <c r="K11" s="210">
        <v>38.02</v>
      </c>
      <c r="L11" s="210">
        <v>25.91</v>
      </c>
      <c r="M11" s="210">
        <v>0.6815</v>
      </c>
      <c r="N11" s="210">
        <v>0.4572</v>
      </c>
      <c r="O11" s="210">
        <v>0.2889</v>
      </c>
      <c r="P11" s="210">
        <v>1.4674</v>
      </c>
      <c r="Q11" s="210">
        <v>200.23</v>
      </c>
      <c r="R11" s="210">
        <v>180.39</v>
      </c>
      <c r="S11" s="210">
        <v>19.84</v>
      </c>
      <c r="T11" s="210">
        <v>8.4</v>
      </c>
      <c r="U11" s="210">
        <v>191.83</v>
      </c>
      <c r="V11" s="210">
        <v>181.23</v>
      </c>
      <c r="W11" s="210">
        <v>4.7671</v>
      </c>
      <c r="X11" s="210">
        <v>4.2</v>
      </c>
      <c r="Y11" s="210">
        <v>274.0</v>
      </c>
      <c r="Z11" s="210">
        <v>497.0</v>
      </c>
      <c r="AA11" s="210">
        <v>1208.0</v>
      </c>
      <c r="AB11" s="210">
        <v>53.4995</v>
      </c>
      <c r="AC11" s="210">
        <v>0.7319</v>
      </c>
      <c r="AD11" s="210">
        <v>16.99</v>
      </c>
      <c r="AE11" s="210">
        <v>7.0</v>
      </c>
      <c r="AF11" s="210">
        <v>13.0</v>
      </c>
      <c r="AG11" s="210">
        <v>24.0</v>
      </c>
      <c r="AH11" s="210">
        <v>35.0</v>
      </c>
      <c r="AI11" s="210">
        <v>59.34</v>
      </c>
      <c r="AJ11" s="210">
        <v>21.49</v>
      </c>
      <c r="AK11" s="210">
        <v>5.5</v>
      </c>
      <c r="AL11" s="210">
        <v>0.2727</v>
      </c>
      <c r="AM11" s="210">
        <v>48.44</v>
      </c>
      <c r="AN11" s="135">
        <v>48.44</v>
      </c>
      <c r="AO11" s="135">
        <v>27.79</v>
      </c>
      <c r="AP11" s="135">
        <v>14.02</v>
      </c>
      <c r="AQ11" s="135">
        <v>10.6183</v>
      </c>
      <c r="AR11" s="135">
        <v>0.1653</v>
      </c>
      <c r="AS11" s="135">
        <v>10.453</v>
      </c>
      <c r="AT11" s="135">
        <v>8.2583</v>
      </c>
      <c r="AU11" s="135">
        <v>0.2172</v>
      </c>
      <c r="AV11" s="135">
        <v>4742.0</v>
      </c>
      <c r="AW11" s="135">
        <v>0.0</v>
      </c>
      <c r="AX11" s="135">
        <v>61.0</v>
      </c>
      <c r="AY11" s="135">
        <v>125.83</v>
      </c>
      <c r="AZ11" s="135">
        <v>2.98</v>
      </c>
      <c r="BA11" s="135">
        <v>8.4</v>
      </c>
      <c r="BB11" s="135">
        <v>2.02</v>
      </c>
      <c r="BC11" s="135">
        <v>62.0</v>
      </c>
      <c r="BD11" s="135">
        <v>14326.0</v>
      </c>
      <c r="BE11" s="135">
        <v>6.4713</v>
      </c>
      <c r="BF11" s="135">
        <v>0.0943</v>
      </c>
      <c r="BG11" s="135">
        <v>6.3771</v>
      </c>
      <c r="BH11" s="135">
        <v>4.3458</v>
      </c>
      <c r="BI11" s="135">
        <v>0.1143</v>
      </c>
      <c r="BJ11" s="135">
        <v>4.147</v>
      </c>
      <c r="BK11" s="135">
        <v>0.0711</v>
      </c>
      <c r="BL11" s="135">
        <v>4.0759</v>
      </c>
      <c r="BM11" s="135">
        <v>3.9125</v>
      </c>
      <c r="BN11" s="135">
        <v>0.1029</v>
      </c>
      <c r="BO11" s="135">
        <v>2.3414</v>
      </c>
      <c r="BP11" s="135">
        <v>0.0211</v>
      </c>
      <c r="BQ11" s="135">
        <v>2.3203</v>
      </c>
      <c r="BR11" s="135">
        <v>1.6135</v>
      </c>
      <c r="BS11" s="135">
        <v>2.5784</v>
      </c>
      <c r="BT11" s="135">
        <v>0.028</v>
      </c>
      <c r="BU11" s="135">
        <v>2.5504</v>
      </c>
      <c r="BV11" s="135">
        <v>1.6719</v>
      </c>
      <c r="BW11" s="135">
        <v>1.5515</v>
      </c>
      <c r="BX11" s="135">
        <v>0.0451</v>
      </c>
      <c r="BY11" s="135">
        <v>1.5063</v>
      </c>
      <c r="BZ11" s="135">
        <v>1.0605</v>
      </c>
      <c r="CA11" s="135">
        <v>0.6499</v>
      </c>
      <c r="CB11" s="135">
        <v>0.0167</v>
      </c>
      <c r="CC11" s="135">
        <v>0.6333</v>
      </c>
      <c r="CD11" s="135">
        <v>0.6729</v>
      </c>
      <c r="CE11" s="135">
        <v>1.6963</v>
      </c>
      <c r="CF11" s="135">
        <v>0.031</v>
      </c>
      <c r="CG11" s="135">
        <v>1.6653</v>
      </c>
      <c r="CH11" s="135">
        <v>1.6672</v>
      </c>
      <c r="CI11" s="135">
        <v>1.8007</v>
      </c>
      <c r="CJ11" s="135">
        <v>0.0234</v>
      </c>
      <c r="CK11" s="135">
        <v>1.7773</v>
      </c>
      <c r="CL11" s="135">
        <v>1.5723</v>
      </c>
      <c r="CM11" s="135">
        <v>983.29</v>
      </c>
      <c r="CN11" s="135">
        <v>94.69</v>
      </c>
      <c r="CO11" s="135">
        <v>1038.47</v>
      </c>
      <c r="CP11" s="135">
        <v>936.2</v>
      </c>
      <c r="CQ11" s="135">
        <v>2.85</v>
      </c>
      <c r="CR11" s="135">
        <v>24.81</v>
      </c>
      <c r="CS11" s="135">
        <v>19.42</v>
      </c>
      <c r="CT11" s="135">
        <v>0.0</v>
      </c>
      <c r="CU11" s="135">
        <v>1758.0</v>
      </c>
      <c r="CV11" s="135">
        <v>0.05</v>
      </c>
      <c r="CW11" s="135">
        <v>200.28</v>
      </c>
      <c r="CX11" s="135">
        <v>0.12</v>
      </c>
      <c r="CY11" s="135">
        <v>2.97</v>
      </c>
      <c r="CZ11" s="135">
        <v>197.34</v>
      </c>
      <c r="DA11" s="135">
        <v>1.01</v>
      </c>
      <c r="DB11" s="135">
        <v>196.33</v>
      </c>
      <c r="DC11" s="135">
        <v>178.68</v>
      </c>
      <c r="DD11" s="135">
        <v>0.32</v>
      </c>
      <c r="DE11" s="135">
        <v>178.37</v>
      </c>
      <c r="DF11" s="135">
        <v>10.13</v>
      </c>
      <c r="DG11" s="135">
        <v>0.23</v>
      </c>
      <c r="DH11" s="135">
        <v>9.9</v>
      </c>
      <c r="DI11" s="135">
        <v>7.47</v>
      </c>
      <c r="DJ11" s="135">
        <v>0.23</v>
      </c>
      <c r="DK11" s="135">
        <v>7.24</v>
      </c>
      <c r="DL11" s="135">
        <v>1.06</v>
      </c>
      <c r="DM11" s="135">
        <v>0.23</v>
      </c>
      <c r="DN11" s="135">
        <v>0.83</v>
      </c>
    </row>
    <row r="12">
      <c r="A12" s="209">
        <v>46255.0</v>
      </c>
      <c r="B12" s="210" t="s">
        <v>5</v>
      </c>
      <c r="C12" s="210" t="s">
        <v>145</v>
      </c>
      <c r="D12" s="210">
        <v>2532.0</v>
      </c>
      <c r="E12" s="210">
        <v>9.67</v>
      </c>
      <c r="F12" s="210">
        <v>1048.39</v>
      </c>
      <c r="G12" s="210">
        <v>0.4141</v>
      </c>
      <c r="H12" s="210">
        <v>5.06</v>
      </c>
      <c r="I12" s="210">
        <v>8.1905</v>
      </c>
      <c r="J12" s="210">
        <v>120.28</v>
      </c>
      <c r="K12" s="210">
        <v>73.75</v>
      </c>
      <c r="L12" s="210">
        <v>54.77</v>
      </c>
      <c r="M12" s="210">
        <v>0.7427</v>
      </c>
      <c r="N12" s="210">
        <v>0.3916</v>
      </c>
      <c r="O12" s="210">
        <v>0.2484</v>
      </c>
      <c r="P12" s="210">
        <v>1.3465</v>
      </c>
      <c r="Q12" s="210">
        <v>400.28</v>
      </c>
      <c r="R12" s="210">
        <v>358.81</v>
      </c>
      <c r="S12" s="210">
        <v>41.47</v>
      </c>
      <c r="T12" s="210">
        <v>33.89</v>
      </c>
      <c r="U12" s="210">
        <v>366.4</v>
      </c>
      <c r="V12" s="210">
        <v>383.79</v>
      </c>
      <c r="W12" s="210">
        <v>5.2038</v>
      </c>
      <c r="X12" s="210">
        <v>8.47</v>
      </c>
      <c r="Y12" s="210">
        <v>361.0</v>
      </c>
      <c r="Z12" s="210">
        <v>618.0</v>
      </c>
      <c r="AA12" s="210">
        <v>1538.0</v>
      </c>
      <c r="AB12" s="210">
        <v>55.2464</v>
      </c>
      <c r="AC12" s="210">
        <v>0.7659</v>
      </c>
      <c r="AD12" s="210">
        <v>31.46</v>
      </c>
      <c r="AE12" s="210">
        <v>13.0</v>
      </c>
      <c r="AF12" s="210">
        <v>25.0</v>
      </c>
      <c r="AG12" s="210">
        <v>44.0</v>
      </c>
      <c r="AH12" s="210">
        <v>66.0</v>
      </c>
      <c r="AI12" s="210">
        <v>45.77</v>
      </c>
      <c r="AJ12" s="210">
        <v>12.8</v>
      </c>
      <c r="AK12" s="210">
        <v>1.94</v>
      </c>
      <c r="AL12" s="210">
        <v>0.1714</v>
      </c>
      <c r="AM12" s="210">
        <v>46.96</v>
      </c>
      <c r="AN12" s="135">
        <v>46.96</v>
      </c>
      <c r="AO12" s="135">
        <v>27.92</v>
      </c>
      <c r="AP12" s="135">
        <v>15.17</v>
      </c>
      <c r="AQ12" s="135">
        <v>15.6639</v>
      </c>
      <c r="AR12" s="135">
        <v>0.6627</v>
      </c>
      <c r="AS12" s="135">
        <v>15.0012</v>
      </c>
      <c r="AT12" s="135">
        <v>14.0363</v>
      </c>
      <c r="AU12" s="135">
        <v>0.1903</v>
      </c>
      <c r="AV12" s="135">
        <v>2532.0</v>
      </c>
      <c r="AW12" s="135">
        <v>0.0</v>
      </c>
      <c r="AX12" s="135">
        <v>117.71</v>
      </c>
      <c r="AY12" s="135">
        <v>238.9</v>
      </c>
      <c r="AZ12" s="135">
        <v>4.08</v>
      </c>
      <c r="BA12" s="135">
        <v>33.89</v>
      </c>
      <c r="BB12" s="135">
        <v>5.71</v>
      </c>
      <c r="BC12" s="135">
        <v>109.0</v>
      </c>
      <c r="BD12" s="135">
        <v>13563.0</v>
      </c>
      <c r="BE12" s="135">
        <v>9.519</v>
      </c>
      <c r="BF12" s="135">
        <v>0.3945</v>
      </c>
      <c r="BG12" s="135">
        <v>9.1244</v>
      </c>
      <c r="BH12" s="135">
        <v>7.4096</v>
      </c>
      <c r="BI12" s="135">
        <v>0.1005</v>
      </c>
      <c r="BJ12" s="135">
        <v>6.1449</v>
      </c>
      <c r="BK12" s="135">
        <v>0.2682</v>
      </c>
      <c r="BL12" s="135">
        <v>5.8768</v>
      </c>
      <c r="BM12" s="135">
        <v>6.6268</v>
      </c>
      <c r="BN12" s="135">
        <v>0.0899</v>
      </c>
      <c r="BO12" s="135">
        <v>3.1971</v>
      </c>
      <c r="BP12" s="135">
        <v>0.1074</v>
      </c>
      <c r="BQ12" s="135">
        <v>3.0897</v>
      </c>
      <c r="BR12" s="135">
        <v>2.5932</v>
      </c>
      <c r="BS12" s="135">
        <v>3.8373</v>
      </c>
      <c r="BT12" s="135">
        <v>0.1205</v>
      </c>
      <c r="BU12" s="135">
        <v>3.7168</v>
      </c>
      <c r="BV12" s="135">
        <v>2.9036</v>
      </c>
      <c r="BW12" s="135">
        <v>2.4846</v>
      </c>
      <c r="BX12" s="135">
        <v>0.1667</v>
      </c>
      <c r="BY12" s="135">
        <v>2.3179</v>
      </c>
      <c r="BZ12" s="135">
        <v>1.9127</v>
      </c>
      <c r="CA12" s="135">
        <v>1.1228</v>
      </c>
      <c r="CB12" s="135">
        <v>0.0727</v>
      </c>
      <c r="CC12" s="135">
        <v>1.0502</v>
      </c>
      <c r="CD12" s="135">
        <v>1.2654</v>
      </c>
      <c r="CE12" s="135">
        <v>2.1453</v>
      </c>
      <c r="CF12" s="135">
        <v>0.1114</v>
      </c>
      <c r="CG12" s="135">
        <v>2.034</v>
      </c>
      <c r="CH12" s="135">
        <v>2.2524</v>
      </c>
      <c r="CI12" s="135">
        <v>2.8768</v>
      </c>
      <c r="CJ12" s="135">
        <v>0.0841</v>
      </c>
      <c r="CK12" s="135">
        <v>2.7927</v>
      </c>
      <c r="CL12" s="135">
        <v>3.109</v>
      </c>
      <c r="CM12" s="135">
        <v>2068.56</v>
      </c>
      <c r="CN12" s="135">
        <v>98.93</v>
      </c>
      <c r="CO12" s="135">
        <v>2090.86</v>
      </c>
      <c r="CP12" s="135">
        <v>1998.57</v>
      </c>
      <c r="CQ12" s="135">
        <v>6.27</v>
      </c>
      <c r="CR12" s="135">
        <v>33.21</v>
      </c>
      <c r="CS12" s="135">
        <v>30.51</v>
      </c>
      <c r="CT12" s="135">
        <v>0.0</v>
      </c>
      <c r="CU12" s="135">
        <v>1445.0</v>
      </c>
      <c r="CV12" s="135">
        <v>0.13</v>
      </c>
      <c r="CW12" s="135">
        <v>400.41</v>
      </c>
      <c r="CX12" s="135">
        <v>0.11</v>
      </c>
      <c r="CY12" s="135">
        <v>6.38</v>
      </c>
      <c r="CZ12" s="135">
        <v>334.2</v>
      </c>
      <c r="DA12" s="135">
        <v>4.67</v>
      </c>
      <c r="DB12" s="135">
        <v>329.53</v>
      </c>
      <c r="DC12" s="135">
        <v>302.66</v>
      </c>
      <c r="DD12" s="135">
        <v>1.88</v>
      </c>
      <c r="DE12" s="135">
        <v>300.79</v>
      </c>
      <c r="DF12" s="135">
        <v>15.54</v>
      </c>
      <c r="DG12" s="135">
        <v>0.93</v>
      </c>
      <c r="DH12" s="135">
        <v>14.6</v>
      </c>
      <c r="DI12" s="135">
        <v>12.08</v>
      </c>
      <c r="DJ12" s="135">
        <v>0.93</v>
      </c>
      <c r="DK12" s="135">
        <v>11.15</v>
      </c>
      <c r="DL12" s="135">
        <v>3.92</v>
      </c>
      <c r="DM12" s="135">
        <v>0.93</v>
      </c>
      <c r="DN12" s="135">
        <v>2.99</v>
      </c>
    </row>
    <row r="13">
      <c r="A13" s="209">
        <v>46255.0</v>
      </c>
      <c r="B13" s="210" t="s">
        <v>5</v>
      </c>
      <c r="C13" s="210" t="s">
        <v>146</v>
      </c>
      <c r="D13" s="210">
        <v>353.0</v>
      </c>
      <c r="E13" s="210">
        <v>1.35</v>
      </c>
      <c r="F13" s="210">
        <v>226.08</v>
      </c>
      <c r="G13" s="210">
        <v>0.6405</v>
      </c>
      <c r="H13" s="210">
        <v>7.65</v>
      </c>
      <c r="I13" s="210">
        <v>8.3733</v>
      </c>
      <c r="J13" s="210">
        <v>247.46</v>
      </c>
      <c r="K13" s="210">
        <v>163.97</v>
      </c>
      <c r="L13" s="210">
        <v>125.99</v>
      </c>
      <c r="M13" s="210">
        <v>0.7684</v>
      </c>
      <c r="N13" s="210">
        <v>0.3354</v>
      </c>
      <c r="O13" s="210">
        <v>0.2066</v>
      </c>
      <c r="P13" s="210">
        <v>1.3015</v>
      </c>
      <c r="Q13" s="210">
        <v>716.19</v>
      </c>
      <c r="R13" s="210">
        <v>619.83</v>
      </c>
      <c r="S13" s="210">
        <v>96.36</v>
      </c>
      <c r="T13" s="210">
        <v>67.28</v>
      </c>
      <c r="U13" s="210">
        <v>648.91</v>
      </c>
      <c r="V13" s="210">
        <v>691.22</v>
      </c>
      <c r="W13" s="210">
        <v>4.2156</v>
      </c>
      <c r="X13" s="210">
        <v>9.39</v>
      </c>
      <c r="Y13" s="210">
        <v>467.0</v>
      </c>
      <c r="Z13" s="210">
        <v>743.0</v>
      </c>
      <c r="AA13" s="210">
        <v>1397.0</v>
      </c>
      <c r="AB13" s="210">
        <v>58.1207</v>
      </c>
      <c r="AC13" s="210">
        <v>0.7933</v>
      </c>
      <c r="AD13" s="210">
        <v>60.86</v>
      </c>
      <c r="AE13" s="210">
        <v>26.0</v>
      </c>
      <c r="AF13" s="210">
        <v>46.0</v>
      </c>
      <c r="AG13" s="210">
        <v>80.0</v>
      </c>
      <c r="AH13" s="210">
        <v>124.0</v>
      </c>
      <c r="AI13" s="210">
        <v>25.5</v>
      </c>
      <c r="AJ13" s="210">
        <v>4.82</v>
      </c>
      <c r="AK13" s="210">
        <v>0.57</v>
      </c>
      <c r="AL13" s="210">
        <v>0.1161</v>
      </c>
      <c r="AM13" s="210">
        <v>51.27</v>
      </c>
      <c r="AN13" s="135">
        <v>51.27</v>
      </c>
      <c r="AO13" s="135">
        <v>39.38</v>
      </c>
      <c r="AP13" s="135">
        <v>33.43</v>
      </c>
      <c r="AQ13" s="135">
        <v>25.6714</v>
      </c>
      <c r="AR13" s="135">
        <v>0.8017</v>
      </c>
      <c r="AS13" s="135">
        <v>24.8697</v>
      </c>
      <c r="AT13" s="135">
        <v>26.1955</v>
      </c>
      <c r="AU13" s="135">
        <v>0.1598</v>
      </c>
      <c r="AV13" s="135">
        <v>353.0</v>
      </c>
      <c r="AW13" s="135">
        <v>0.0</v>
      </c>
      <c r="AX13" s="135">
        <v>254.75</v>
      </c>
      <c r="AY13" s="135">
        <v>375.98</v>
      </c>
      <c r="AZ13" s="135">
        <v>6.97</v>
      </c>
      <c r="BA13" s="135">
        <v>66.43</v>
      </c>
      <c r="BB13" s="135">
        <v>12.07</v>
      </c>
      <c r="BC13" s="135">
        <v>241.0</v>
      </c>
      <c r="BD13" s="135">
        <v>7991.0</v>
      </c>
      <c r="BE13" s="135">
        <v>14.0595</v>
      </c>
      <c r="BF13" s="135">
        <v>0.3059</v>
      </c>
      <c r="BG13" s="135">
        <v>13.7535</v>
      </c>
      <c r="BH13" s="135">
        <v>11.711</v>
      </c>
      <c r="BI13" s="135">
        <v>0.0714</v>
      </c>
      <c r="BJ13" s="135">
        <v>11.6119</v>
      </c>
      <c r="BK13" s="135">
        <v>0.4958</v>
      </c>
      <c r="BL13" s="135">
        <v>11.1161</v>
      </c>
      <c r="BM13" s="135">
        <v>14.4844</v>
      </c>
      <c r="BN13" s="135">
        <v>0.0883</v>
      </c>
      <c r="BO13" s="135">
        <v>4.8244</v>
      </c>
      <c r="BP13" s="135">
        <v>0.0907</v>
      </c>
      <c r="BQ13" s="135">
        <v>4.7337</v>
      </c>
      <c r="BR13" s="135">
        <v>3.9518</v>
      </c>
      <c r="BS13" s="135">
        <v>5.4363</v>
      </c>
      <c r="BT13" s="135">
        <v>0.1076</v>
      </c>
      <c r="BU13" s="135">
        <v>5.3286</v>
      </c>
      <c r="BV13" s="135">
        <v>4.3824</v>
      </c>
      <c r="BW13" s="135">
        <v>3.7989</v>
      </c>
      <c r="BX13" s="135">
        <v>0.1076</v>
      </c>
      <c r="BY13" s="135">
        <v>3.6912</v>
      </c>
      <c r="BZ13" s="135">
        <v>3.3768</v>
      </c>
      <c r="CA13" s="135">
        <v>2.6601</v>
      </c>
      <c r="CB13" s="135">
        <v>0.1303</v>
      </c>
      <c r="CC13" s="135">
        <v>2.5297</v>
      </c>
      <c r="CD13" s="135">
        <v>5.2323</v>
      </c>
      <c r="CE13" s="135">
        <v>3.8499</v>
      </c>
      <c r="CF13" s="135">
        <v>0.2295</v>
      </c>
      <c r="CG13" s="135">
        <v>3.6204</v>
      </c>
      <c r="CH13" s="135">
        <v>4.051</v>
      </c>
      <c r="CI13" s="135">
        <v>5.102</v>
      </c>
      <c r="CJ13" s="135">
        <v>0.136</v>
      </c>
      <c r="CK13" s="135">
        <v>4.966</v>
      </c>
      <c r="CL13" s="135">
        <v>5.2011</v>
      </c>
      <c r="CM13" s="135">
        <v>4372.82</v>
      </c>
      <c r="CN13" s="135">
        <v>99.43</v>
      </c>
      <c r="CO13" s="135">
        <v>4397.73</v>
      </c>
      <c r="CP13" s="135">
        <v>4280.82</v>
      </c>
      <c r="CQ13" s="135">
        <v>9.35</v>
      </c>
      <c r="CR13" s="135">
        <v>43.85</v>
      </c>
      <c r="CS13" s="135">
        <v>38.8</v>
      </c>
      <c r="CT13" s="135">
        <v>0.0</v>
      </c>
      <c r="CU13" s="135">
        <v>243.0</v>
      </c>
      <c r="CV13" s="135">
        <v>74.16</v>
      </c>
      <c r="CW13" s="135">
        <v>790.35</v>
      </c>
      <c r="CX13" s="135">
        <v>0.85</v>
      </c>
      <c r="CY13" s="135">
        <v>10.2</v>
      </c>
      <c r="CZ13" s="135">
        <v>644.59</v>
      </c>
      <c r="DA13" s="135">
        <v>10.27</v>
      </c>
      <c r="DB13" s="135">
        <v>634.32</v>
      </c>
      <c r="DC13" s="135">
        <v>592.59</v>
      </c>
      <c r="DD13" s="135">
        <v>3.13</v>
      </c>
      <c r="DE13" s="135">
        <v>589.46</v>
      </c>
      <c r="DF13" s="135">
        <v>24.41</v>
      </c>
      <c r="DG13" s="135">
        <v>2.38</v>
      </c>
      <c r="DH13" s="135">
        <v>22.03</v>
      </c>
      <c r="DI13" s="135">
        <v>17.29</v>
      </c>
      <c r="DJ13" s="135">
        <v>2.38</v>
      </c>
      <c r="DK13" s="135">
        <v>14.92</v>
      </c>
      <c r="DL13" s="135">
        <v>10.3</v>
      </c>
      <c r="DM13" s="135">
        <v>2.38</v>
      </c>
      <c r="DN13" s="135">
        <v>7.92</v>
      </c>
    </row>
    <row r="14">
      <c r="A14" s="209">
        <v>46256.0</v>
      </c>
      <c r="B14" s="210" t="s">
        <v>4</v>
      </c>
      <c r="C14" s="210" t="s">
        <v>398</v>
      </c>
      <c r="D14" s="210">
        <v>5864.0</v>
      </c>
      <c r="E14" s="210">
        <v>22.07</v>
      </c>
      <c r="F14" s="210">
        <v>423.96</v>
      </c>
      <c r="G14" s="210">
        <v>0.0723</v>
      </c>
      <c r="H14" s="210">
        <v>1.28</v>
      </c>
      <c r="I14" s="210">
        <v>5.6528</v>
      </c>
      <c r="J14" s="210">
        <v>21.31</v>
      </c>
      <c r="K14" s="210">
        <v>11.54</v>
      </c>
      <c r="L14" s="210">
        <v>7.7</v>
      </c>
      <c r="M14" s="210">
        <v>0.6674</v>
      </c>
      <c r="N14" s="210">
        <v>0.4528</v>
      </c>
      <c r="O14" s="210">
        <v>0.2184</v>
      </c>
      <c r="P14" s="210">
        <v>1.4984</v>
      </c>
      <c r="Q14" s="210">
        <v>61.97</v>
      </c>
      <c r="R14" s="210">
        <v>61.83</v>
      </c>
      <c r="S14" s="210">
        <v>0.14</v>
      </c>
      <c r="T14" s="210">
        <v>5.73</v>
      </c>
      <c r="U14" s="210">
        <v>56.24</v>
      </c>
      <c r="V14" s="210">
        <v>45.47</v>
      </c>
      <c r="W14" s="210">
        <v>3.9403</v>
      </c>
      <c r="X14" s="210">
        <v>9.25</v>
      </c>
      <c r="Y14" s="210">
        <v>200.0</v>
      </c>
      <c r="Z14" s="210">
        <v>462.0</v>
      </c>
      <c r="AA14" s="210">
        <v>2912.0</v>
      </c>
      <c r="AB14" s="210">
        <v>50.1498</v>
      </c>
      <c r="AC14" s="210">
        <v>0.4771</v>
      </c>
      <c r="AD14" s="211"/>
      <c r="AE14" s="211"/>
      <c r="AF14" s="211"/>
      <c r="AG14" s="211"/>
      <c r="AH14" s="211"/>
      <c r="AI14" s="210">
        <v>0.0</v>
      </c>
      <c r="AJ14" s="210">
        <v>0.0</v>
      </c>
      <c r="AK14" s="210">
        <v>0.0</v>
      </c>
      <c r="AL14" s="210">
        <v>0.5217</v>
      </c>
      <c r="AM14" s="211"/>
      <c r="AQ14" s="135">
        <v>1.9998</v>
      </c>
      <c r="AR14" s="135">
        <v>0.0641</v>
      </c>
      <c r="AS14" s="135">
        <v>1.9357</v>
      </c>
      <c r="AT14" s="135">
        <v>1.5281</v>
      </c>
      <c r="AU14" s="135">
        <v>0.1324</v>
      </c>
      <c r="AV14" s="135">
        <v>5864.0</v>
      </c>
      <c r="AW14" s="135">
        <v>0.0</v>
      </c>
      <c r="AX14" s="135">
        <v>11.79</v>
      </c>
      <c r="AY14" s="135">
        <v>41.29</v>
      </c>
      <c r="AZ14" s="135">
        <v>2.96</v>
      </c>
      <c r="BA14" s="135">
        <v>5.73</v>
      </c>
      <c r="BB14" s="135">
        <v>0.2</v>
      </c>
      <c r="BD14" s="135">
        <v>27488.0</v>
      </c>
      <c r="BE14" s="135">
        <v>0.9642</v>
      </c>
      <c r="BF14" s="135">
        <v>0.0246</v>
      </c>
      <c r="BG14" s="135">
        <v>0.9396</v>
      </c>
      <c r="BH14" s="135">
        <v>0.7485</v>
      </c>
      <c r="BI14" s="135">
        <v>0.0649</v>
      </c>
      <c r="BJ14" s="135">
        <v>1.0356</v>
      </c>
      <c r="BK14" s="135">
        <v>0.0396</v>
      </c>
      <c r="BL14" s="135">
        <v>0.9961</v>
      </c>
      <c r="BM14" s="135">
        <v>0.7797</v>
      </c>
      <c r="BN14" s="135">
        <v>0.0676</v>
      </c>
      <c r="BO14" s="135">
        <v>0.3464</v>
      </c>
      <c r="BP14" s="135">
        <v>0.0084</v>
      </c>
      <c r="BQ14" s="135">
        <v>0.338</v>
      </c>
      <c r="BR14" s="135">
        <v>0.2858</v>
      </c>
      <c r="BS14" s="135">
        <v>0.3828</v>
      </c>
      <c r="BT14" s="135">
        <v>0.0078</v>
      </c>
      <c r="BU14" s="135">
        <v>0.375</v>
      </c>
      <c r="BV14" s="135">
        <v>0.2763</v>
      </c>
      <c r="BW14" s="135">
        <v>0.235</v>
      </c>
      <c r="BX14" s="135">
        <v>0.0084</v>
      </c>
      <c r="BY14" s="135">
        <v>0.2266</v>
      </c>
      <c r="BZ14" s="135">
        <v>0.1864</v>
      </c>
      <c r="CA14" s="135">
        <v>0.2162</v>
      </c>
      <c r="CB14" s="135">
        <v>0.0092</v>
      </c>
      <c r="CC14" s="135">
        <v>0.207</v>
      </c>
      <c r="CD14" s="135">
        <v>0.1874</v>
      </c>
      <c r="CE14" s="135">
        <v>0.4345</v>
      </c>
      <c r="CF14" s="135">
        <v>0.0188</v>
      </c>
      <c r="CG14" s="135">
        <v>0.4158</v>
      </c>
      <c r="CH14" s="135">
        <v>0.316</v>
      </c>
      <c r="CI14" s="135">
        <v>0.3849</v>
      </c>
      <c r="CJ14" s="135">
        <v>0.0116</v>
      </c>
      <c r="CK14" s="135">
        <v>0.3733</v>
      </c>
      <c r="CL14" s="135">
        <v>0.2763</v>
      </c>
      <c r="CM14" s="135">
        <v>130.11</v>
      </c>
      <c r="CN14" s="135">
        <v>21.33</v>
      </c>
      <c r="CO14" s="135">
        <v>609.89</v>
      </c>
      <c r="CP14" s="135">
        <v>121.05</v>
      </c>
      <c r="CQ14" s="135">
        <v>0.0</v>
      </c>
      <c r="CR14" s="135">
        <v>3.51</v>
      </c>
      <c r="CS14" s="135">
        <v>5.55</v>
      </c>
      <c r="CT14" s="135">
        <v>0.0</v>
      </c>
      <c r="CU14" s="135">
        <v>0.0</v>
      </c>
      <c r="CV14" s="135">
        <v>0.0</v>
      </c>
      <c r="CW14" s="135">
        <v>61.97</v>
      </c>
      <c r="CX14" s="135">
        <v>0.0</v>
      </c>
      <c r="CY14" s="135">
        <v>0.0</v>
      </c>
      <c r="CZ14" s="135">
        <v>32.52</v>
      </c>
      <c r="DA14" s="135">
        <v>1.35</v>
      </c>
      <c r="DB14" s="135">
        <v>31.17</v>
      </c>
      <c r="DC14" s="135">
        <v>27.21</v>
      </c>
      <c r="DD14" s="135">
        <v>0.38</v>
      </c>
      <c r="DE14" s="135">
        <v>26.83</v>
      </c>
      <c r="DF14" s="135">
        <v>2.61</v>
      </c>
      <c r="DG14" s="135">
        <v>0.32</v>
      </c>
      <c r="DH14" s="135">
        <v>2.29</v>
      </c>
      <c r="DI14" s="135">
        <v>1.98</v>
      </c>
      <c r="DJ14" s="135">
        <v>0.32</v>
      </c>
      <c r="DK14" s="135">
        <v>1.66</v>
      </c>
      <c r="DL14" s="135">
        <v>0.72</v>
      </c>
      <c r="DM14" s="135">
        <v>0.32</v>
      </c>
      <c r="DN14" s="135">
        <v>0.39</v>
      </c>
    </row>
    <row r="15">
      <c r="A15" s="209">
        <v>46256.0</v>
      </c>
      <c r="B15" s="210" t="s">
        <v>4</v>
      </c>
      <c r="C15" s="210" t="s">
        <v>142</v>
      </c>
      <c r="D15" s="210">
        <v>7218.0</v>
      </c>
      <c r="E15" s="210">
        <v>27.17</v>
      </c>
      <c r="F15" s="210">
        <v>132.56</v>
      </c>
      <c r="G15" s="210">
        <v>0.0184</v>
      </c>
      <c r="H15" s="210">
        <v>0.8</v>
      </c>
      <c r="I15" s="210">
        <v>2.2855</v>
      </c>
      <c r="J15" s="210">
        <v>20.33</v>
      </c>
      <c r="K15" s="210">
        <v>10.65</v>
      </c>
      <c r="L15" s="210">
        <v>5.28</v>
      </c>
      <c r="M15" s="210">
        <v>0.4957</v>
      </c>
      <c r="N15" s="210">
        <v>0.6104</v>
      </c>
      <c r="O15" s="210">
        <v>0.3617</v>
      </c>
      <c r="P15" s="210">
        <v>2.0172</v>
      </c>
      <c r="Q15" s="210">
        <v>45.29</v>
      </c>
      <c r="R15" s="210">
        <v>40.89</v>
      </c>
      <c r="S15" s="210">
        <v>4.4</v>
      </c>
      <c r="T15" s="210">
        <v>1.69</v>
      </c>
      <c r="U15" s="210">
        <v>43.6</v>
      </c>
      <c r="V15" s="210">
        <v>44.15</v>
      </c>
      <c r="W15" s="210">
        <v>4.1446</v>
      </c>
      <c r="X15" s="210">
        <v>3.73</v>
      </c>
      <c r="Y15" s="210">
        <v>203.0</v>
      </c>
      <c r="Z15" s="210">
        <v>358.0</v>
      </c>
      <c r="AA15" s="210">
        <v>1218.0</v>
      </c>
      <c r="AB15" s="210">
        <v>49.9697</v>
      </c>
      <c r="AC15" s="210">
        <v>0.604</v>
      </c>
      <c r="AD15" s="210">
        <v>4.15</v>
      </c>
      <c r="AE15" s="210">
        <v>1.0</v>
      </c>
      <c r="AF15" s="210">
        <v>3.0</v>
      </c>
      <c r="AG15" s="210">
        <v>6.0</v>
      </c>
      <c r="AH15" s="210">
        <v>9.0</v>
      </c>
      <c r="AI15" s="210">
        <v>74.81</v>
      </c>
      <c r="AJ15" s="210">
        <v>35.38</v>
      </c>
      <c r="AK15" s="210">
        <v>7.02</v>
      </c>
      <c r="AL15" s="210">
        <v>0.5115</v>
      </c>
      <c r="AM15" s="211"/>
      <c r="AQ15" s="135">
        <v>3.459</v>
      </c>
      <c r="AR15" s="135">
        <v>0.0493</v>
      </c>
      <c r="AS15" s="135">
        <v>3.4097</v>
      </c>
      <c r="AT15" s="135">
        <v>2.6708</v>
      </c>
      <c r="AU15" s="135">
        <v>0.2507</v>
      </c>
      <c r="AV15" s="135">
        <v>7218.0</v>
      </c>
      <c r="AW15" s="135">
        <v>0.0</v>
      </c>
      <c r="AX15" s="135">
        <v>22.0</v>
      </c>
      <c r="AY15" s="135">
        <v>19.35</v>
      </c>
      <c r="AZ15" s="135">
        <v>1.88</v>
      </c>
      <c r="BA15" s="135">
        <v>1.69</v>
      </c>
      <c r="BB15" s="135">
        <v>0.37</v>
      </c>
      <c r="BC15" s="135">
        <v>17.0</v>
      </c>
      <c r="BD15" s="135">
        <v>17150.0</v>
      </c>
      <c r="BE15" s="135">
        <v>2.3781</v>
      </c>
      <c r="BF15" s="135">
        <v>0.0341</v>
      </c>
      <c r="BG15" s="135">
        <v>2.344</v>
      </c>
      <c r="BH15" s="135">
        <v>1.6083</v>
      </c>
      <c r="BI15" s="135">
        <v>0.151</v>
      </c>
      <c r="BJ15" s="135">
        <v>1.0809</v>
      </c>
      <c r="BK15" s="135">
        <v>0.0152</v>
      </c>
      <c r="BL15" s="135">
        <v>1.0657</v>
      </c>
      <c r="BM15" s="135">
        <v>1.0625</v>
      </c>
      <c r="BN15" s="135">
        <v>0.0997</v>
      </c>
      <c r="BO15" s="135">
        <v>0.9486</v>
      </c>
      <c r="BP15" s="135">
        <v>0.0125</v>
      </c>
      <c r="BQ15" s="135">
        <v>0.9361</v>
      </c>
      <c r="BR15" s="135">
        <v>0.6491</v>
      </c>
      <c r="BS15" s="135">
        <v>0.9953</v>
      </c>
      <c r="BT15" s="135">
        <v>0.0079</v>
      </c>
      <c r="BU15" s="135">
        <v>0.9874</v>
      </c>
      <c r="BV15" s="135">
        <v>0.6167</v>
      </c>
      <c r="BW15" s="135">
        <v>0.4342</v>
      </c>
      <c r="BX15" s="135">
        <v>0.0137</v>
      </c>
      <c r="BY15" s="135">
        <v>0.4205</v>
      </c>
      <c r="BZ15" s="135">
        <v>0.3426</v>
      </c>
      <c r="CA15" s="135">
        <v>0.1732</v>
      </c>
      <c r="CB15" s="135">
        <v>0.0021</v>
      </c>
      <c r="CC15" s="135">
        <v>0.1711</v>
      </c>
      <c r="CD15" s="135">
        <v>0.1987</v>
      </c>
      <c r="CE15" s="135">
        <v>0.5184</v>
      </c>
      <c r="CF15" s="135">
        <v>0.0068</v>
      </c>
      <c r="CG15" s="135">
        <v>0.5116</v>
      </c>
      <c r="CH15" s="135">
        <v>0.4778</v>
      </c>
      <c r="CI15" s="135">
        <v>0.3893</v>
      </c>
      <c r="CJ15" s="135">
        <v>0.0064</v>
      </c>
      <c r="CK15" s="135">
        <v>0.3829</v>
      </c>
      <c r="CL15" s="135">
        <v>0.386</v>
      </c>
      <c r="CM15" s="135">
        <v>157.46</v>
      </c>
      <c r="CN15" s="135">
        <v>71.24</v>
      </c>
      <c r="CO15" s="135">
        <v>221.04</v>
      </c>
      <c r="CP15" s="135">
        <v>147.79</v>
      </c>
      <c r="CQ15" s="135">
        <v>0.0</v>
      </c>
      <c r="CR15" s="135">
        <v>7.02</v>
      </c>
      <c r="CS15" s="135">
        <v>2.66</v>
      </c>
      <c r="CT15" s="135">
        <v>0.0</v>
      </c>
      <c r="CU15" s="135">
        <v>0.0</v>
      </c>
      <c r="CV15" s="135">
        <v>0.0</v>
      </c>
      <c r="CW15" s="135">
        <v>45.29</v>
      </c>
      <c r="CX15" s="135">
        <v>0.0</v>
      </c>
      <c r="CY15" s="135">
        <v>0.0</v>
      </c>
      <c r="CZ15" s="135">
        <v>66.06</v>
      </c>
      <c r="DA15" s="135">
        <v>0.24</v>
      </c>
      <c r="DB15" s="135">
        <v>65.83</v>
      </c>
      <c r="DC15" s="135">
        <v>58.56</v>
      </c>
      <c r="DD15" s="135">
        <v>0.06</v>
      </c>
      <c r="DE15" s="135">
        <v>58.5</v>
      </c>
      <c r="DF15" s="135">
        <v>3.83</v>
      </c>
      <c r="DG15" s="135">
        <v>0.06</v>
      </c>
      <c r="DH15" s="135">
        <v>3.77</v>
      </c>
      <c r="DI15" s="135">
        <v>3.28</v>
      </c>
      <c r="DJ15" s="135">
        <v>0.06</v>
      </c>
      <c r="DK15" s="135">
        <v>3.22</v>
      </c>
      <c r="DL15" s="135">
        <v>0.39</v>
      </c>
      <c r="DM15" s="135">
        <v>0.06</v>
      </c>
      <c r="DN15" s="135">
        <v>0.34</v>
      </c>
    </row>
    <row r="16">
      <c r="A16" s="209">
        <v>46256.0</v>
      </c>
      <c r="B16" s="210" t="s">
        <v>4</v>
      </c>
      <c r="C16" s="210" t="s">
        <v>143</v>
      </c>
      <c r="D16" s="210">
        <v>5749.0</v>
      </c>
      <c r="E16" s="210">
        <v>21.64</v>
      </c>
      <c r="F16" s="210">
        <v>469.87</v>
      </c>
      <c r="G16" s="210">
        <v>0.0817</v>
      </c>
      <c r="H16" s="210">
        <v>2.17</v>
      </c>
      <c r="I16" s="210">
        <v>3.759</v>
      </c>
      <c r="J16" s="210">
        <v>40.51</v>
      </c>
      <c r="K16" s="210">
        <v>22.4</v>
      </c>
      <c r="L16" s="210">
        <v>13.46</v>
      </c>
      <c r="M16" s="210">
        <v>0.6008</v>
      </c>
      <c r="N16" s="210">
        <v>0.5231</v>
      </c>
      <c r="O16" s="210">
        <v>0.3137</v>
      </c>
      <c r="P16" s="210">
        <v>1.6645</v>
      </c>
      <c r="Q16" s="210">
        <v>96.4</v>
      </c>
      <c r="R16" s="210">
        <v>83.76</v>
      </c>
      <c r="S16" s="210">
        <v>12.64</v>
      </c>
      <c r="T16" s="210">
        <v>6.27</v>
      </c>
      <c r="U16" s="210">
        <v>90.13</v>
      </c>
      <c r="V16" s="210">
        <v>97.22</v>
      </c>
      <c r="W16" s="210">
        <v>4.3395</v>
      </c>
      <c r="X16" s="210">
        <v>6.5</v>
      </c>
      <c r="Y16" s="210">
        <v>233.0</v>
      </c>
      <c r="Z16" s="210">
        <v>462.0</v>
      </c>
      <c r="AA16" s="210">
        <v>1389.0</v>
      </c>
      <c r="AB16" s="210">
        <v>51.9013</v>
      </c>
      <c r="AC16" s="210">
        <v>0.6919</v>
      </c>
      <c r="AD16" s="210">
        <v>9.63</v>
      </c>
      <c r="AE16" s="210">
        <v>4.0</v>
      </c>
      <c r="AF16" s="210">
        <v>8.0</v>
      </c>
      <c r="AG16" s="210">
        <v>13.0</v>
      </c>
      <c r="AH16" s="210">
        <v>19.0</v>
      </c>
      <c r="AI16" s="210">
        <v>67.04</v>
      </c>
      <c r="AJ16" s="210">
        <v>26.74</v>
      </c>
      <c r="AK16" s="210">
        <v>3.44</v>
      </c>
      <c r="AL16" s="210">
        <v>0.3663</v>
      </c>
      <c r="AM16" s="211"/>
      <c r="AQ16" s="135">
        <v>6.6676</v>
      </c>
      <c r="AR16" s="135">
        <v>0.1567</v>
      </c>
      <c r="AS16" s="135">
        <v>6.5109</v>
      </c>
      <c r="AT16" s="135">
        <v>5.7326</v>
      </c>
      <c r="AU16" s="135">
        <v>0.2559</v>
      </c>
      <c r="AV16" s="135">
        <v>5749.0</v>
      </c>
      <c r="AW16" s="135">
        <v>0.0</v>
      </c>
      <c r="AX16" s="135">
        <v>42.99</v>
      </c>
      <c r="AY16" s="135">
        <v>43.58</v>
      </c>
      <c r="AZ16" s="135">
        <v>2.44</v>
      </c>
      <c r="BA16" s="135">
        <v>6.27</v>
      </c>
      <c r="BB16" s="135">
        <v>1.11</v>
      </c>
      <c r="BC16" s="135">
        <v>34.0</v>
      </c>
      <c r="BD16" s="135">
        <v>19997.0</v>
      </c>
      <c r="BE16" s="135">
        <v>4.2759</v>
      </c>
      <c r="BF16" s="135">
        <v>0.1054</v>
      </c>
      <c r="BG16" s="135">
        <v>4.1705</v>
      </c>
      <c r="BH16" s="135">
        <v>3.3415</v>
      </c>
      <c r="BI16" s="135">
        <v>0.1492</v>
      </c>
      <c r="BJ16" s="135">
        <v>2.3917</v>
      </c>
      <c r="BK16" s="135">
        <v>0.0513</v>
      </c>
      <c r="BL16" s="135">
        <v>2.3404</v>
      </c>
      <c r="BM16" s="135">
        <v>2.3912</v>
      </c>
      <c r="BN16" s="135">
        <v>0.1067</v>
      </c>
      <c r="BO16" s="135">
        <v>1.7447</v>
      </c>
      <c r="BP16" s="135">
        <v>0.0341</v>
      </c>
      <c r="BQ16" s="135">
        <v>1.7106</v>
      </c>
      <c r="BR16" s="135">
        <v>1.3251</v>
      </c>
      <c r="BS16" s="135">
        <v>1.6608</v>
      </c>
      <c r="BT16" s="135">
        <v>0.0231</v>
      </c>
      <c r="BU16" s="135">
        <v>1.6377</v>
      </c>
      <c r="BV16" s="135">
        <v>1.2513</v>
      </c>
      <c r="BW16" s="135">
        <v>0.8704</v>
      </c>
      <c r="BX16" s="135">
        <v>0.0482</v>
      </c>
      <c r="BY16" s="135">
        <v>0.8222</v>
      </c>
      <c r="BZ16" s="135">
        <v>0.765</v>
      </c>
      <c r="CA16" s="135">
        <v>0.43</v>
      </c>
      <c r="CB16" s="135">
        <v>0.0123</v>
      </c>
      <c r="CC16" s="135">
        <v>0.4176</v>
      </c>
      <c r="CD16" s="135">
        <v>0.4907</v>
      </c>
      <c r="CE16" s="135">
        <v>1.0442</v>
      </c>
      <c r="CF16" s="135">
        <v>0.021</v>
      </c>
      <c r="CG16" s="135">
        <v>1.0231</v>
      </c>
      <c r="CH16" s="135">
        <v>0.9803</v>
      </c>
      <c r="CI16" s="135">
        <v>0.9176</v>
      </c>
      <c r="CJ16" s="135">
        <v>0.0179</v>
      </c>
      <c r="CK16" s="135">
        <v>0.8996</v>
      </c>
      <c r="CL16" s="135">
        <v>0.9202</v>
      </c>
      <c r="CM16" s="135">
        <v>265.05</v>
      </c>
      <c r="CN16" s="135">
        <v>87.56</v>
      </c>
      <c r="CO16" s="135">
        <v>302.7</v>
      </c>
      <c r="CP16" s="135">
        <v>245.72</v>
      </c>
      <c r="CQ16" s="135">
        <v>0.0</v>
      </c>
      <c r="CR16" s="135">
        <v>8.74</v>
      </c>
      <c r="CS16" s="135">
        <v>10.59</v>
      </c>
      <c r="CT16" s="135">
        <v>0.0</v>
      </c>
      <c r="CU16" s="135">
        <v>0.0</v>
      </c>
      <c r="CV16" s="135">
        <v>0.0</v>
      </c>
      <c r="CW16" s="135">
        <v>96.4</v>
      </c>
      <c r="CX16" s="135">
        <v>0.0</v>
      </c>
      <c r="CY16" s="135">
        <v>0.0</v>
      </c>
      <c r="CZ16" s="135">
        <v>112.3</v>
      </c>
      <c r="DA16" s="135">
        <v>2.0</v>
      </c>
      <c r="DB16" s="135">
        <v>110.31</v>
      </c>
      <c r="DC16" s="135">
        <v>101.16</v>
      </c>
      <c r="DD16" s="135">
        <v>0.65</v>
      </c>
      <c r="DE16" s="135">
        <v>100.51</v>
      </c>
      <c r="DF16" s="135">
        <v>5.42</v>
      </c>
      <c r="DG16" s="135">
        <v>0.45</v>
      </c>
      <c r="DH16" s="135">
        <v>4.97</v>
      </c>
      <c r="DI16" s="135">
        <v>4.66</v>
      </c>
      <c r="DJ16" s="135">
        <v>0.45</v>
      </c>
      <c r="DK16" s="135">
        <v>4.21</v>
      </c>
      <c r="DL16" s="135">
        <v>1.06</v>
      </c>
      <c r="DM16" s="135">
        <v>0.45</v>
      </c>
      <c r="DN16" s="135">
        <v>0.61</v>
      </c>
    </row>
    <row r="17">
      <c r="A17" s="209">
        <v>46256.0</v>
      </c>
      <c r="B17" s="210" t="s">
        <v>4</v>
      </c>
      <c r="C17" s="210" t="s">
        <v>144</v>
      </c>
      <c r="D17" s="210">
        <v>4654.0</v>
      </c>
      <c r="E17" s="210">
        <v>17.52</v>
      </c>
      <c r="F17" s="210">
        <v>777.52</v>
      </c>
      <c r="G17" s="210">
        <v>0.1671</v>
      </c>
      <c r="H17" s="210">
        <v>3.35</v>
      </c>
      <c r="I17" s="210">
        <v>4.9841</v>
      </c>
      <c r="J17" s="210">
        <v>65.91</v>
      </c>
      <c r="K17" s="210">
        <v>37.7</v>
      </c>
      <c r="L17" s="210">
        <v>25.89</v>
      </c>
      <c r="M17" s="210">
        <v>0.6867</v>
      </c>
      <c r="N17" s="210">
        <v>0.452</v>
      </c>
      <c r="O17" s="210">
        <v>0.2859</v>
      </c>
      <c r="P17" s="210">
        <v>1.4562</v>
      </c>
      <c r="Q17" s="210">
        <v>168.28</v>
      </c>
      <c r="R17" s="210">
        <v>144.81</v>
      </c>
      <c r="S17" s="210">
        <v>23.47</v>
      </c>
      <c r="T17" s="210">
        <v>12.86</v>
      </c>
      <c r="U17" s="210">
        <v>155.42</v>
      </c>
      <c r="V17" s="210">
        <v>174.22</v>
      </c>
      <c r="W17" s="210">
        <v>4.6209</v>
      </c>
      <c r="X17" s="210">
        <v>7.64</v>
      </c>
      <c r="Y17" s="210">
        <v>262.0</v>
      </c>
      <c r="Z17" s="210">
        <v>520.0</v>
      </c>
      <c r="AA17" s="210">
        <v>1445.0</v>
      </c>
      <c r="AB17" s="210">
        <v>53.798</v>
      </c>
      <c r="AC17" s="210">
        <v>0.7558</v>
      </c>
      <c r="AD17" s="210">
        <v>16.85</v>
      </c>
      <c r="AE17" s="210">
        <v>7.0</v>
      </c>
      <c r="AF17" s="210">
        <v>13.0</v>
      </c>
      <c r="AG17" s="210">
        <v>23.0</v>
      </c>
      <c r="AH17" s="210">
        <v>34.0</v>
      </c>
      <c r="AI17" s="210">
        <v>59.67</v>
      </c>
      <c r="AJ17" s="210">
        <v>20.63</v>
      </c>
      <c r="AK17" s="210">
        <v>5.31</v>
      </c>
      <c r="AL17" s="210">
        <v>0.2613</v>
      </c>
      <c r="AM17" s="211"/>
      <c r="AQ17" s="135">
        <v>10.4648</v>
      </c>
      <c r="AR17" s="135">
        <v>0.2374</v>
      </c>
      <c r="AS17" s="135">
        <v>10.2273</v>
      </c>
      <c r="AT17" s="135">
        <v>9.4083</v>
      </c>
      <c r="AU17" s="135">
        <v>0.2495</v>
      </c>
      <c r="AV17" s="135">
        <v>4654.0</v>
      </c>
      <c r="AW17" s="135">
        <v>0.0</v>
      </c>
      <c r="AX17" s="135">
        <v>68.72</v>
      </c>
      <c r="AY17" s="135">
        <v>82.18</v>
      </c>
      <c r="AZ17" s="135">
        <v>2.62</v>
      </c>
      <c r="BA17" s="135">
        <v>12.86</v>
      </c>
      <c r="BB17" s="135">
        <v>1.91</v>
      </c>
      <c r="BC17" s="135">
        <v>64.0</v>
      </c>
      <c r="BD17" s="135">
        <v>17382.0</v>
      </c>
      <c r="BE17" s="135">
        <v>6.4405</v>
      </c>
      <c r="BF17" s="135">
        <v>0.1521</v>
      </c>
      <c r="BG17" s="135">
        <v>6.2884</v>
      </c>
      <c r="BH17" s="135">
        <v>5.173</v>
      </c>
      <c r="BI17" s="135">
        <v>0.1372</v>
      </c>
      <c r="BJ17" s="135">
        <v>4.0243</v>
      </c>
      <c r="BK17" s="135">
        <v>0.0853</v>
      </c>
      <c r="BL17" s="135">
        <v>3.939</v>
      </c>
      <c r="BM17" s="135">
        <v>4.2353</v>
      </c>
      <c r="BN17" s="135">
        <v>0.1123</v>
      </c>
      <c r="BO17" s="135">
        <v>2.4592</v>
      </c>
      <c r="BP17" s="135">
        <v>0.0464</v>
      </c>
      <c r="BQ17" s="135">
        <v>2.4128</v>
      </c>
      <c r="BR17" s="135">
        <v>1.9693</v>
      </c>
      <c r="BS17" s="135">
        <v>2.3926</v>
      </c>
      <c r="BT17" s="135">
        <v>0.0503</v>
      </c>
      <c r="BU17" s="135">
        <v>2.3423</v>
      </c>
      <c r="BV17" s="135">
        <v>1.9014</v>
      </c>
      <c r="BW17" s="135">
        <v>1.5887</v>
      </c>
      <c r="BX17" s="135">
        <v>0.0554</v>
      </c>
      <c r="BY17" s="135">
        <v>1.5333</v>
      </c>
      <c r="BZ17" s="135">
        <v>1.3023</v>
      </c>
      <c r="CA17" s="135">
        <v>0.8326</v>
      </c>
      <c r="CB17" s="135">
        <v>0.023</v>
      </c>
      <c r="CC17" s="135">
        <v>0.8096</v>
      </c>
      <c r="CD17" s="135">
        <v>1.0608</v>
      </c>
      <c r="CE17" s="135">
        <v>1.474</v>
      </c>
      <c r="CF17" s="135">
        <v>0.0344</v>
      </c>
      <c r="CG17" s="135">
        <v>1.4396</v>
      </c>
      <c r="CH17" s="135">
        <v>1.4774</v>
      </c>
      <c r="CI17" s="135">
        <v>1.7177</v>
      </c>
      <c r="CJ17" s="135">
        <v>0.0279</v>
      </c>
      <c r="CK17" s="135">
        <v>1.6897</v>
      </c>
      <c r="CL17" s="135">
        <v>1.697</v>
      </c>
      <c r="CM17" s="135">
        <v>472.17</v>
      </c>
      <c r="CN17" s="135">
        <v>95.02</v>
      </c>
      <c r="CO17" s="135">
        <v>496.95</v>
      </c>
      <c r="CP17" s="135">
        <v>443.85</v>
      </c>
      <c r="CQ17" s="135">
        <v>0.0</v>
      </c>
      <c r="CR17" s="135">
        <v>9.13</v>
      </c>
      <c r="CS17" s="135">
        <v>19.19</v>
      </c>
      <c r="CT17" s="135">
        <v>0.0</v>
      </c>
      <c r="CU17" s="135">
        <v>0.0</v>
      </c>
      <c r="CV17" s="135">
        <v>0.0</v>
      </c>
      <c r="CW17" s="135">
        <v>168.28</v>
      </c>
      <c r="CX17" s="135">
        <v>0.0</v>
      </c>
      <c r="CY17" s="135">
        <v>0.0</v>
      </c>
      <c r="CZ17" s="135">
        <v>168.06</v>
      </c>
      <c r="DA17" s="135">
        <v>2.62</v>
      </c>
      <c r="DB17" s="135">
        <v>165.43</v>
      </c>
      <c r="DC17" s="135">
        <v>155.09</v>
      </c>
      <c r="DD17" s="135">
        <v>0.86</v>
      </c>
      <c r="DE17" s="135">
        <v>154.24</v>
      </c>
      <c r="DF17" s="135">
        <v>6.52</v>
      </c>
      <c r="DG17" s="135">
        <v>0.59</v>
      </c>
      <c r="DH17" s="135">
        <v>5.93</v>
      </c>
      <c r="DI17" s="135">
        <v>4.77</v>
      </c>
      <c r="DJ17" s="135">
        <v>0.59</v>
      </c>
      <c r="DK17" s="135">
        <v>4.18</v>
      </c>
      <c r="DL17" s="135">
        <v>1.67</v>
      </c>
      <c r="DM17" s="135">
        <v>0.59</v>
      </c>
      <c r="DN17" s="135">
        <v>1.08</v>
      </c>
    </row>
    <row r="18">
      <c r="A18" s="209">
        <v>46256.0</v>
      </c>
      <c r="B18" s="210" t="s">
        <v>4</v>
      </c>
      <c r="C18" s="210" t="s">
        <v>145</v>
      </c>
      <c r="D18" s="210">
        <v>2699.0</v>
      </c>
      <c r="E18" s="210">
        <v>10.16</v>
      </c>
      <c r="F18" s="210">
        <v>1025.3</v>
      </c>
      <c r="G18" s="210">
        <v>0.3799</v>
      </c>
      <c r="H18" s="210">
        <v>6.04</v>
      </c>
      <c r="I18" s="210">
        <v>6.2902</v>
      </c>
      <c r="J18" s="210">
        <v>116.4</v>
      </c>
      <c r="K18" s="210">
        <v>71.11</v>
      </c>
      <c r="L18" s="210">
        <v>53.14</v>
      </c>
      <c r="M18" s="210">
        <v>0.7473</v>
      </c>
      <c r="N18" s="210">
        <v>0.3873</v>
      </c>
      <c r="O18" s="210">
        <v>0.2495</v>
      </c>
      <c r="P18" s="210">
        <v>1.3382</v>
      </c>
      <c r="Q18" s="210">
        <v>333.54</v>
      </c>
      <c r="R18" s="210">
        <v>285.36</v>
      </c>
      <c r="S18" s="210">
        <v>48.17</v>
      </c>
      <c r="T18" s="210">
        <v>34.83</v>
      </c>
      <c r="U18" s="210">
        <v>298.71</v>
      </c>
      <c r="V18" s="210">
        <v>339.51</v>
      </c>
      <c r="W18" s="210">
        <v>4.7748</v>
      </c>
      <c r="X18" s="210">
        <v>10.44</v>
      </c>
      <c r="Y18" s="210">
        <v>324.0</v>
      </c>
      <c r="Z18" s="210">
        <v>709.0</v>
      </c>
      <c r="AA18" s="210">
        <v>1847.0</v>
      </c>
      <c r="AB18" s="210">
        <v>55.6715</v>
      </c>
      <c r="AC18" s="210">
        <v>0.7927</v>
      </c>
      <c r="AD18" s="210">
        <v>31.05</v>
      </c>
      <c r="AE18" s="210">
        <v>12.0</v>
      </c>
      <c r="AF18" s="210">
        <v>23.0</v>
      </c>
      <c r="AG18" s="210">
        <v>42.0</v>
      </c>
      <c r="AH18" s="210">
        <v>64.0</v>
      </c>
      <c r="AI18" s="210">
        <v>42.98</v>
      </c>
      <c r="AJ18" s="210">
        <v>11.97</v>
      </c>
      <c r="AK18" s="210">
        <v>2.85</v>
      </c>
      <c r="AL18" s="210">
        <v>0.1834</v>
      </c>
      <c r="AM18" s="211"/>
      <c r="AQ18" s="135">
        <v>17.515</v>
      </c>
      <c r="AR18" s="135">
        <v>0.4661</v>
      </c>
      <c r="AS18" s="135">
        <v>17.0489</v>
      </c>
      <c r="AT18" s="135">
        <v>16.9077</v>
      </c>
      <c r="AU18" s="135">
        <v>0.2378</v>
      </c>
      <c r="AV18" s="135">
        <v>2699.0</v>
      </c>
      <c r="AW18" s="135">
        <v>0.0</v>
      </c>
      <c r="AX18" s="135">
        <v>122.55</v>
      </c>
      <c r="AY18" s="135">
        <v>167.26</v>
      </c>
      <c r="AZ18" s="135">
        <v>3.89</v>
      </c>
      <c r="BA18" s="135">
        <v>34.83</v>
      </c>
      <c r="BB18" s="135">
        <v>5.0</v>
      </c>
      <c r="BC18" s="135">
        <v>136.0</v>
      </c>
      <c r="BD18" s="135">
        <v>16008.0</v>
      </c>
      <c r="BE18" s="135">
        <v>9.8114</v>
      </c>
      <c r="BF18" s="135">
        <v>0.2223</v>
      </c>
      <c r="BG18" s="135">
        <v>9.5891</v>
      </c>
      <c r="BH18" s="135">
        <v>8.801</v>
      </c>
      <c r="BI18" s="135">
        <v>0.1238</v>
      </c>
      <c r="BJ18" s="135">
        <v>7.7036</v>
      </c>
      <c r="BK18" s="135">
        <v>0.2438</v>
      </c>
      <c r="BL18" s="135">
        <v>7.4598</v>
      </c>
      <c r="BM18" s="135">
        <v>8.1067</v>
      </c>
      <c r="BN18" s="135">
        <v>0.114</v>
      </c>
      <c r="BO18" s="135">
        <v>3.4183</v>
      </c>
      <c r="BP18" s="135">
        <v>0.0685</v>
      </c>
      <c r="BQ18" s="135">
        <v>3.3498</v>
      </c>
      <c r="BR18" s="135">
        <v>3.0789</v>
      </c>
      <c r="BS18" s="135">
        <v>3.595</v>
      </c>
      <c r="BT18" s="135">
        <v>0.0752</v>
      </c>
      <c r="BU18" s="135">
        <v>3.5198</v>
      </c>
      <c r="BV18" s="135">
        <v>3.2486</v>
      </c>
      <c r="BW18" s="135">
        <v>2.7981</v>
      </c>
      <c r="BX18" s="135">
        <v>0.0785</v>
      </c>
      <c r="BY18" s="135">
        <v>2.7195</v>
      </c>
      <c r="BZ18" s="135">
        <v>2.4735</v>
      </c>
      <c r="CA18" s="135">
        <v>2.0089</v>
      </c>
      <c r="CB18" s="135">
        <v>0.0782</v>
      </c>
      <c r="CC18" s="135">
        <v>1.9307</v>
      </c>
      <c r="CD18" s="135">
        <v>2.5031</v>
      </c>
      <c r="CE18" s="135">
        <v>2.5191</v>
      </c>
      <c r="CF18" s="135">
        <v>0.09</v>
      </c>
      <c r="CG18" s="135">
        <v>2.429</v>
      </c>
      <c r="CH18" s="135">
        <v>2.5461</v>
      </c>
      <c r="CI18" s="135">
        <v>3.1756</v>
      </c>
      <c r="CJ18" s="135">
        <v>0.0756</v>
      </c>
      <c r="CK18" s="135">
        <v>3.1</v>
      </c>
      <c r="CL18" s="135">
        <v>3.0574</v>
      </c>
      <c r="CM18" s="135">
        <v>798.18</v>
      </c>
      <c r="CN18" s="135">
        <v>98.78</v>
      </c>
      <c r="CO18" s="135">
        <v>808.06</v>
      </c>
      <c r="CP18" s="135">
        <v>756.45</v>
      </c>
      <c r="CQ18" s="135">
        <v>0.0</v>
      </c>
      <c r="CR18" s="135">
        <v>9.72</v>
      </c>
      <c r="CS18" s="135">
        <v>32.0</v>
      </c>
      <c r="CT18" s="135">
        <v>0.0</v>
      </c>
      <c r="CU18" s="135">
        <v>0.0</v>
      </c>
      <c r="CV18" s="135">
        <v>0.0</v>
      </c>
      <c r="CW18" s="135">
        <v>333.54</v>
      </c>
      <c r="CX18" s="135">
        <v>0.0</v>
      </c>
      <c r="CY18" s="135">
        <v>0.0</v>
      </c>
      <c r="CZ18" s="135">
        <v>287.58</v>
      </c>
      <c r="DA18" s="135">
        <v>7.87</v>
      </c>
      <c r="DB18" s="135">
        <v>279.71</v>
      </c>
      <c r="DC18" s="135">
        <v>264.18</v>
      </c>
      <c r="DD18" s="135">
        <v>2.63</v>
      </c>
      <c r="DE18" s="135">
        <v>261.56</v>
      </c>
      <c r="DF18" s="135">
        <v>12.0</v>
      </c>
      <c r="DG18" s="135">
        <v>1.75</v>
      </c>
      <c r="DH18" s="135">
        <v>10.25</v>
      </c>
      <c r="DI18" s="135">
        <v>8.32</v>
      </c>
      <c r="DJ18" s="135">
        <v>1.75</v>
      </c>
      <c r="DK18" s="135">
        <v>6.57</v>
      </c>
      <c r="DL18" s="135">
        <v>3.08</v>
      </c>
      <c r="DM18" s="135">
        <v>1.75</v>
      </c>
      <c r="DN18" s="135">
        <v>1.33</v>
      </c>
    </row>
    <row r="19">
      <c r="A19" s="209">
        <v>46256.0</v>
      </c>
      <c r="B19" s="210" t="s">
        <v>4</v>
      </c>
      <c r="C19" s="210" t="s">
        <v>146</v>
      </c>
      <c r="D19" s="210">
        <v>383.0</v>
      </c>
      <c r="E19" s="210">
        <v>1.44</v>
      </c>
      <c r="F19" s="210">
        <v>306.3</v>
      </c>
      <c r="G19" s="210">
        <v>0.7997</v>
      </c>
      <c r="H19" s="210">
        <v>8.09</v>
      </c>
      <c r="I19" s="210">
        <v>9.8806</v>
      </c>
      <c r="J19" s="210">
        <v>245.11</v>
      </c>
      <c r="K19" s="210">
        <v>164.67</v>
      </c>
      <c r="L19" s="210">
        <v>129.78</v>
      </c>
      <c r="M19" s="210">
        <v>0.7881</v>
      </c>
      <c r="N19" s="210">
        <v>0.322</v>
      </c>
      <c r="O19" s="210">
        <v>0.2086</v>
      </c>
      <c r="P19" s="210">
        <v>1.2688</v>
      </c>
      <c r="Q19" s="210">
        <v>600.0</v>
      </c>
      <c r="R19" s="210">
        <v>472.75</v>
      </c>
      <c r="S19" s="210">
        <v>127.25</v>
      </c>
      <c r="T19" s="210">
        <v>56.53</v>
      </c>
      <c r="U19" s="210">
        <v>543.47</v>
      </c>
      <c r="V19" s="210">
        <v>662.4</v>
      </c>
      <c r="W19" s="210">
        <v>4.0226</v>
      </c>
      <c r="X19" s="210">
        <v>9.42</v>
      </c>
      <c r="Y19" s="210">
        <v>391.0</v>
      </c>
      <c r="Z19" s="210">
        <v>849.0</v>
      </c>
      <c r="AA19" s="210">
        <v>2287.0</v>
      </c>
      <c r="AB19" s="210">
        <v>57.6422</v>
      </c>
      <c r="AC19" s="210">
        <v>0.819</v>
      </c>
      <c r="AD19" s="210">
        <v>53.91</v>
      </c>
      <c r="AE19" s="210">
        <v>23.0</v>
      </c>
      <c r="AF19" s="210">
        <v>40.0</v>
      </c>
      <c r="AG19" s="210">
        <v>67.0</v>
      </c>
      <c r="AH19" s="210">
        <v>111.0</v>
      </c>
      <c r="AI19" s="210">
        <v>19.84</v>
      </c>
      <c r="AJ19" s="210">
        <v>4.18</v>
      </c>
      <c r="AK19" s="210">
        <v>0.0</v>
      </c>
      <c r="AL19" s="210">
        <v>0.1175</v>
      </c>
      <c r="AM19" s="211"/>
      <c r="AQ19" s="135">
        <v>34.799</v>
      </c>
      <c r="AR19" s="135">
        <v>1.7755</v>
      </c>
      <c r="AS19" s="135">
        <v>33.0235</v>
      </c>
      <c r="AT19" s="135">
        <v>31.7441</v>
      </c>
      <c r="AU19" s="135">
        <v>0.1928</v>
      </c>
      <c r="AV19" s="135">
        <v>383.0</v>
      </c>
      <c r="AW19" s="135">
        <v>0.0</v>
      </c>
      <c r="AX19" s="135">
        <v>286.98</v>
      </c>
      <c r="AY19" s="135">
        <v>235.18</v>
      </c>
      <c r="AZ19" s="135">
        <v>7.52</v>
      </c>
      <c r="BA19" s="135">
        <v>56.53</v>
      </c>
      <c r="BB19" s="135">
        <v>13.79</v>
      </c>
      <c r="BC19" s="135">
        <v>242.0</v>
      </c>
      <c r="BD19" s="135">
        <v>16244.0</v>
      </c>
      <c r="BE19" s="135">
        <v>20.0601</v>
      </c>
      <c r="BF19" s="135">
        <v>1.3629</v>
      </c>
      <c r="BG19" s="135">
        <v>18.6971</v>
      </c>
      <c r="BH19" s="135">
        <v>17.4073</v>
      </c>
      <c r="BI19" s="135">
        <v>0.1057</v>
      </c>
      <c r="BJ19" s="135">
        <v>14.7389</v>
      </c>
      <c r="BK19" s="135">
        <v>0.4125</v>
      </c>
      <c r="BL19" s="135">
        <v>14.3264</v>
      </c>
      <c r="BM19" s="135">
        <v>14.3368</v>
      </c>
      <c r="BN19" s="135">
        <v>0.0871</v>
      </c>
      <c r="BO19" s="135">
        <v>6.7911</v>
      </c>
      <c r="BP19" s="135">
        <v>0.3185</v>
      </c>
      <c r="BQ19" s="135">
        <v>6.4726</v>
      </c>
      <c r="BR19" s="135">
        <v>6.1462</v>
      </c>
      <c r="BS19" s="135">
        <v>7.4204</v>
      </c>
      <c r="BT19" s="135">
        <v>0.4439</v>
      </c>
      <c r="BU19" s="135">
        <v>6.9765</v>
      </c>
      <c r="BV19" s="135">
        <v>6.3368</v>
      </c>
      <c r="BW19" s="135">
        <v>5.8486</v>
      </c>
      <c r="BX19" s="135">
        <v>0.6005</v>
      </c>
      <c r="BY19" s="135">
        <v>5.248</v>
      </c>
      <c r="BZ19" s="135">
        <v>4.9243</v>
      </c>
      <c r="CA19" s="135">
        <v>4.3551</v>
      </c>
      <c r="CB19" s="135">
        <v>0.1097</v>
      </c>
      <c r="CC19" s="135">
        <v>4.2454</v>
      </c>
      <c r="CD19" s="135">
        <v>4.2715</v>
      </c>
      <c r="CE19" s="135">
        <v>4.4883</v>
      </c>
      <c r="CF19" s="135">
        <v>0.1671</v>
      </c>
      <c r="CG19" s="135">
        <v>4.3211</v>
      </c>
      <c r="CH19" s="135">
        <v>4.4804</v>
      </c>
      <c r="CI19" s="135">
        <v>5.8956</v>
      </c>
      <c r="CJ19" s="135">
        <v>0.1358</v>
      </c>
      <c r="CK19" s="135">
        <v>5.7598</v>
      </c>
      <c r="CL19" s="135">
        <v>5.5849</v>
      </c>
      <c r="CM19" s="135">
        <v>1745.51</v>
      </c>
      <c r="CN19" s="135">
        <v>99.22</v>
      </c>
      <c r="CO19" s="135">
        <v>1759.29</v>
      </c>
      <c r="CP19" s="135">
        <v>1692.13</v>
      </c>
      <c r="CQ19" s="135">
        <v>0.0</v>
      </c>
      <c r="CR19" s="135">
        <v>11.33</v>
      </c>
      <c r="CS19" s="135">
        <v>42.05</v>
      </c>
      <c r="CT19" s="135">
        <v>0.0</v>
      </c>
      <c r="CU19" s="135">
        <v>0.0</v>
      </c>
      <c r="CV19" s="135">
        <v>0.0</v>
      </c>
      <c r="CW19" s="135">
        <v>600.0</v>
      </c>
      <c r="CX19" s="135">
        <v>0.0</v>
      </c>
      <c r="CY19" s="135">
        <v>0.0</v>
      </c>
      <c r="CZ19" s="135">
        <v>538.38</v>
      </c>
      <c r="DA19" s="135">
        <v>6.62</v>
      </c>
      <c r="DB19" s="135">
        <v>531.76</v>
      </c>
      <c r="DC19" s="135">
        <v>510.72</v>
      </c>
      <c r="DD19" s="135">
        <v>2.39</v>
      </c>
      <c r="DE19" s="135">
        <v>508.33</v>
      </c>
      <c r="DF19" s="135">
        <v>13.22</v>
      </c>
      <c r="DG19" s="135">
        <v>1.41</v>
      </c>
      <c r="DH19" s="135">
        <v>11.81</v>
      </c>
      <c r="DI19" s="135">
        <v>12.1</v>
      </c>
      <c r="DJ19" s="135">
        <v>1.41</v>
      </c>
      <c r="DK19" s="135">
        <v>10.69</v>
      </c>
      <c r="DL19" s="135">
        <v>2.34</v>
      </c>
      <c r="DM19" s="135">
        <v>1.41</v>
      </c>
      <c r="DN19" s="135">
        <v>0.93</v>
      </c>
    </row>
    <row r="20" ht="15.75" customHeight="1">
      <c r="A20" s="209">
        <v>46256.0</v>
      </c>
      <c r="B20" s="210" t="s">
        <v>5</v>
      </c>
      <c r="C20" s="210" t="s">
        <v>398</v>
      </c>
      <c r="D20" s="210">
        <v>5808.0</v>
      </c>
      <c r="E20" s="210">
        <v>22.25</v>
      </c>
      <c r="F20" s="210">
        <v>551.59</v>
      </c>
      <c r="G20" s="210">
        <v>0.095</v>
      </c>
      <c r="H20" s="210">
        <v>1.38</v>
      </c>
      <c r="I20" s="210">
        <v>6.8949</v>
      </c>
      <c r="J20" s="210">
        <v>21.45</v>
      </c>
      <c r="K20" s="210">
        <v>11.42</v>
      </c>
      <c r="L20" s="210">
        <v>7.9</v>
      </c>
      <c r="M20" s="210">
        <v>0.6916</v>
      </c>
      <c r="N20" s="210">
        <v>0.4315</v>
      </c>
      <c r="O20" s="210">
        <v>0.2126</v>
      </c>
      <c r="P20" s="210">
        <v>1.446</v>
      </c>
      <c r="Q20" s="210">
        <v>61.74</v>
      </c>
      <c r="R20" s="210">
        <v>61.7</v>
      </c>
      <c r="S20" s="210">
        <v>0.04</v>
      </c>
      <c r="T20" s="210">
        <v>9.18</v>
      </c>
      <c r="U20" s="210">
        <v>52.56</v>
      </c>
      <c r="V20" s="210">
        <v>47.44</v>
      </c>
      <c r="W20" s="210">
        <v>4.1543</v>
      </c>
      <c r="X20" s="210">
        <v>14.86</v>
      </c>
      <c r="Y20" s="210">
        <v>200.0</v>
      </c>
      <c r="Z20" s="210">
        <v>418.0</v>
      </c>
      <c r="AA20" s="210">
        <v>2429.0</v>
      </c>
      <c r="AB20" s="210">
        <v>49.6807</v>
      </c>
      <c r="AC20" s="210">
        <v>0.4852</v>
      </c>
      <c r="AD20" s="211"/>
      <c r="AE20" s="211"/>
      <c r="AF20" s="211"/>
      <c r="AG20" s="211"/>
      <c r="AH20" s="211"/>
      <c r="AI20" s="210">
        <v>0.0</v>
      </c>
      <c r="AJ20" s="210">
        <v>0.0</v>
      </c>
      <c r="AK20" s="210">
        <v>0.0</v>
      </c>
      <c r="AL20" s="210">
        <v>0.5262</v>
      </c>
      <c r="AM20" s="210">
        <v>9.47</v>
      </c>
      <c r="AN20" s="135">
        <v>9.47</v>
      </c>
      <c r="AO20" s="135">
        <v>5.91</v>
      </c>
      <c r="AP20" s="135">
        <v>3.43</v>
      </c>
      <c r="AQ20" s="135">
        <v>1.8617</v>
      </c>
      <c r="AR20" s="135">
        <v>0.1042</v>
      </c>
      <c r="AS20" s="135">
        <v>1.7576</v>
      </c>
      <c r="AT20" s="135">
        <v>1.454</v>
      </c>
      <c r="AU20" s="135">
        <v>0.1273</v>
      </c>
      <c r="AV20" s="135">
        <v>5808.0</v>
      </c>
      <c r="AW20" s="135">
        <v>0.0</v>
      </c>
      <c r="AX20" s="135">
        <v>9.87</v>
      </c>
      <c r="AY20" s="135">
        <v>39.84</v>
      </c>
      <c r="AZ20" s="135">
        <v>2.68</v>
      </c>
      <c r="BA20" s="135">
        <v>9.18</v>
      </c>
      <c r="BB20" s="135">
        <v>0.17</v>
      </c>
      <c r="BD20" s="135">
        <v>25363.0</v>
      </c>
      <c r="BE20" s="135">
        <v>0.9535</v>
      </c>
      <c r="BF20" s="135">
        <v>0.0434</v>
      </c>
      <c r="BG20" s="135">
        <v>0.9101</v>
      </c>
      <c r="BH20" s="135">
        <v>0.72</v>
      </c>
      <c r="BI20" s="135">
        <v>0.063</v>
      </c>
      <c r="BJ20" s="135">
        <v>0.9082</v>
      </c>
      <c r="BK20" s="135">
        <v>0.0608</v>
      </c>
      <c r="BL20" s="135">
        <v>0.8475</v>
      </c>
      <c r="BM20" s="135">
        <v>0.734</v>
      </c>
      <c r="BN20" s="135">
        <v>0.0643</v>
      </c>
      <c r="BO20" s="135">
        <v>0.3729</v>
      </c>
      <c r="BP20" s="135">
        <v>0.0152</v>
      </c>
      <c r="BQ20" s="135">
        <v>0.3578</v>
      </c>
      <c r="BR20" s="135">
        <v>0.2793</v>
      </c>
      <c r="BS20" s="135">
        <v>0.3571</v>
      </c>
      <c r="BT20" s="135">
        <v>0.0136</v>
      </c>
      <c r="BU20" s="135">
        <v>0.3435</v>
      </c>
      <c r="BV20" s="135">
        <v>0.2746</v>
      </c>
      <c r="BW20" s="135">
        <v>0.2235</v>
      </c>
      <c r="BX20" s="135">
        <v>0.0146</v>
      </c>
      <c r="BY20" s="135">
        <v>0.2088</v>
      </c>
      <c r="BZ20" s="135">
        <v>0.1662</v>
      </c>
      <c r="CA20" s="135">
        <v>0.1985</v>
      </c>
      <c r="CB20" s="135">
        <v>0.016</v>
      </c>
      <c r="CC20" s="135">
        <v>0.1825</v>
      </c>
      <c r="CD20" s="135">
        <v>0.1732</v>
      </c>
      <c r="CE20" s="135">
        <v>0.4036</v>
      </c>
      <c r="CF20" s="135">
        <v>0.026</v>
      </c>
      <c r="CG20" s="135">
        <v>0.3776</v>
      </c>
      <c r="CH20" s="135">
        <v>0.3037</v>
      </c>
      <c r="CI20" s="135">
        <v>0.3061</v>
      </c>
      <c r="CJ20" s="135">
        <v>0.0188</v>
      </c>
      <c r="CK20" s="135">
        <v>0.2874</v>
      </c>
      <c r="CL20" s="135">
        <v>0.2571</v>
      </c>
      <c r="CM20" s="135">
        <v>107.53</v>
      </c>
      <c r="CN20" s="135">
        <v>20.2</v>
      </c>
      <c r="CO20" s="135">
        <v>532.41</v>
      </c>
      <c r="CP20" s="135">
        <v>97.94</v>
      </c>
      <c r="CQ20" s="135">
        <v>0.01</v>
      </c>
      <c r="CR20" s="135">
        <v>3.46</v>
      </c>
      <c r="CS20" s="135">
        <v>6.11</v>
      </c>
      <c r="CT20" s="135">
        <v>0.0</v>
      </c>
      <c r="CU20" s="135">
        <v>1031.0</v>
      </c>
      <c r="CV20" s="135">
        <v>0.0</v>
      </c>
      <c r="CW20" s="135">
        <v>61.74</v>
      </c>
      <c r="CX20" s="135">
        <v>0.0</v>
      </c>
      <c r="CY20" s="135">
        <v>0.01</v>
      </c>
      <c r="CZ20" s="135">
        <v>36.66</v>
      </c>
      <c r="DA20" s="135">
        <v>1.94</v>
      </c>
      <c r="DB20" s="135">
        <v>34.71</v>
      </c>
      <c r="DC20" s="135">
        <v>30.23</v>
      </c>
      <c r="DD20" s="135">
        <v>0.82</v>
      </c>
      <c r="DE20" s="135">
        <v>29.42</v>
      </c>
      <c r="DF20" s="135">
        <v>2.93</v>
      </c>
      <c r="DG20" s="135">
        <v>0.38</v>
      </c>
      <c r="DH20" s="135">
        <v>2.56</v>
      </c>
      <c r="DI20" s="135">
        <v>2.16</v>
      </c>
      <c r="DJ20" s="135">
        <v>0.38</v>
      </c>
      <c r="DK20" s="135">
        <v>1.78</v>
      </c>
      <c r="DL20" s="135">
        <v>1.34</v>
      </c>
      <c r="DM20" s="135">
        <v>0.38</v>
      </c>
      <c r="DN20" s="135">
        <v>0.96</v>
      </c>
    </row>
    <row r="21" ht="15.75" customHeight="1">
      <c r="A21" s="209">
        <v>46256.0</v>
      </c>
      <c r="B21" s="210" t="s">
        <v>5</v>
      </c>
      <c r="C21" s="210" t="s">
        <v>142</v>
      </c>
      <c r="D21" s="210">
        <v>7221.0</v>
      </c>
      <c r="E21" s="210">
        <v>27.66</v>
      </c>
      <c r="F21" s="210">
        <v>126.87</v>
      </c>
      <c r="G21" s="210">
        <v>0.0176</v>
      </c>
      <c r="H21" s="210">
        <v>0.73</v>
      </c>
      <c r="I21" s="210">
        <v>2.3938</v>
      </c>
      <c r="J21" s="210">
        <v>20.14</v>
      </c>
      <c r="K21" s="210">
        <v>10.3</v>
      </c>
      <c r="L21" s="210">
        <v>5.19</v>
      </c>
      <c r="M21" s="210">
        <v>0.5042</v>
      </c>
      <c r="N21" s="210">
        <v>0.6003</v>
      </c>
      <c r="O21" s="210">
        <v>0.3512</v>
      </c>
      <c r="P21" s="210">
        <v>1.9834</v>
      </c>
      <c r="Q21" s="210">
        <v>39.18</v>
      </c>
      <c r="R21" s="210">
        <v>35.65</v>
      </c>
      <c r="S21" s="210">
        <v>3.53</v>
      </c>
      <c r="T21" s="210">
        <v>1.29</v>
      </c>
      <c r="U21" s="210">
        <v>37.89</v>
      </c>
      <c r="V21" s="210">
        <v>40.16</v>
      </c>
      <c r="W21" s="210">
        <v>3.9009</v>
      </c>
      <c r="X21" s="210">
        <v>3.29</v>
      </c>
      <c r="Y21" s="210">
        <v>200.0</v>
      </c>
      <c r="Z21" s="210">
        <v>337.0</v>
      </c>
      <c r="AA21" s="210">
        <v>1116.0</v>
      </c>
      <c r="AB21" s="210">
        <v>50.125</v>
      </c>
      <c r="AC21" s="210">
        <v>0.613</v>
      </c>
      <c r="AD21" s="210">
        <v>4.1</v>
      </c>
      <c r="AE21" s="210">
        <v>1.0</v>
      </c>
      <c r="AF21" s="210">
        <v>3.0</v>
      </c>
      <c r="AG21" s="210">
        <v>6.0</v>
      </c>
      <c r="AH21" s="210">
        <v>9.0</v>
      </c>
      <c r="AI21" s="210">
        <v>74.48</v>
      </c>
      <c r="AJ21" s="210">
        <v>34.64</v>
      </c>
      <c r="AK21" s="210">
        <v>7.13</v>
      </c>
      <c r="AL21" s="210">
        <v>0.5124</v>
      </c>
      <c r="AM21" s="210">
        <v>38.71</v>
      </c>
      <c r="AN21" s="135">
        <v>38.71</v>
      </c>
      <c r="AO21" s="135">
        <v>19.01</v>
      </c>
      <c r="AP21" s="135">
        <v>6.55</v>
      </c>
      <c r="AQ21" s="135">
        <v>2.8964</v>
      </c>
      <c r="AR21" s="135">
        <v>0.041</v>
      </c>
      <c r="AS21" s="135">
        <v>2.8554</v>
      </c>
      <c r="AT21" s="135">
        <v>2.5506</v>
      </c>
      <c r="AU21" s="135">
        <v>0.2477</v>
      </c>
      <c r="AV21" s="135">
        <v>7221.0</v>
      </c>
      <c r="AW21" s="135">
        <v>0.0</v>
      </c>
      <c r="AX21" s="135">
        <v>18.43</v>
      </c>
      <c r="AY21" s="135">
        <v>17.46</v>
      </c>
      <c r="AZ21" s="135">
        <v>1.67</v>
      </c>
      <c r="BA21" s="135">
        <v>1.29</v>
      </c>
      <c r="BB21" s="135">
        <v>0.34</v>
      </c>
      <c r="BC21" s="135">
        <v>17.0</v>
      </c>
      <c r="BD21" s="135">
        <v>17693.0</v>
      </c>
      <c r="BE21" s="135">
        <v>2.0523</v>
      </c>
      <c r="BF21" s="135">
        <v>0.0278</v>
      </c>
      <c r="BG21" s="135">
        <v>2.0245</v>
      </c>
      <c r="BH21" s="135">
        <v>1.5264</v>
      </c>
      <c r="BI21" s="135">
        <v>0.1483</v>
      </c>
      <c r="BJ21" s="135">
        <v>0.8441</v>
      </c>
      <c r="BK21" s="135">
        <v>0.0132</v>
      </c>
      <c r="BL21" s="135">
        <v>0.8309</v>
      </c>
      <c r="BM21" s="135">
        <v>1.0242</v>
      </c>
      <c r="BN21" s="135">
        <v>0.0995</v>
      </c>
      <c r="BO21" s="135">
        <v>0.8101</v>
      </c>
      <c r="BP21" s="135">
        <v>0.0116</v>
      </c>
      <c r="BQ21" s="135">
        <v>0.7985</v>
      </c>
      <c r="BR21" s="135">
        <v>0.6096</v>
      </c>
      <c r="BS21" s="135">
        <v>0.9011</v>
      </c>
      <c r="BT21" s="135">
        <v>0.0054</v>
      </c>
      <c r="BU21" s="135">
        <v>0.8957</v>
      </c>
      <c r="BV21" s="135">
        <v>0.6128</v>
      </c>
      <c r="BW21" s="135">
        <v>0.3411</v>
      </c>
      <c r="BX21" s="135">
        <v>0.0108</v>
      </c>
      <c r="BY21" s="135">
        <v>0.3303</v>
      </c>
      <c r="BZ21" s="135">
        <v>0.304</v>
      </c>
      <c r="CA21" s="135">
        <v>0.1054</v>
      </c>
      <c r="CB21" s="135">
        <v>0.0024</v>
      </c>
      <c r="CC21" s="135">
        <v>0.103</v>
      </c>
      <c r="CD21" s="135">
        <v>0.1501</v>
      </c>
      <c r="CE21" s="135">
        <v>0.4236</v>
      </c>
      <c r="CF21" s="135">
        <v>0.0046</v>
      </c>
      <c r="CG21" s="135">
        <v>0.4191</v>
      </c>
      <c r="CH21" s="135">
        <v>0.5118</v>
      </c>
      <c r="CI21" s="135">
        <v>0.3151</v>
      </c>
      <c r="CJ21" s="135">
        <v>0.0062</v>
      </c>
      <c r="CK21" s="135">
        <v>0.3088</v>
      </c>
      <c r="CL21" s="135">
        <v>0.3623</v>
      </c>
      <c r="CM21" s="135">
        <v>131.81</v>
      </c>
      <c r="CN21" s="135">
        <v>71.2</v>
      </c>
      <c r="CO21" s="135">
        <v>185.14</v>
      </c>
      <c r="CP21" s="135">
        <v>121.46</v>
      </c>
      <c r="CQ21" s="135">
        <v>0.12</v>
      </c>
      <c r="CR21" s="135">
        <v>7.1</v>
      </c>
      <c r="CS21" s="135">
        <v>3.14</v>
      </c>
      <c r="CT21" s="135">
        <v>0.0</v>
      </c>
      <c r="CU21" s="135">
        <v>787.0</v>
      </c>
      <c r="CV21" s="135">
        <v>0.0</v>
      </c>
      <c r="CW21" s="135">
        <v>39.18</v>
      </c>
      <c r="CX21" s="135">
        <v>0.0</v>
      </c>
      <c r="CY21" s="135">
        <v>0.12</v>
      </c>
      <c r="CZ21" s="135">
        <v>74.45</v>
      </c>
      <c r="DA21" s="135">
        <v>0.33</v>
      </c>
      <c r="DB21" s="135">
        <v>74.12</v>
      </c>
      <c r="DC21" s="135">
        <v>66.96</v>
      </c>
      <c r="DD21" s="135">
        <v>0.09</v>
      </c>
      <c r="DE21" s="135">
        <v>66.87</v>
      </c>
      <c r="DF21" s="135">
        <v>3.87</v>
      </c>
      <c r="DG21" s="135">
        <v>0.08</v>
      </c>
      <c r="DH21" s="135">
        <v>3.79</v>
      </c>
      <c r="DI21" s="135">
        <v>3.18</v>
      </c>
      <c r="DJ21" s="135">
        <v>0.08</v>
      </c>
      <c r="DK21" s="135">
        <v>3.1</v>
      </c>
      <c r="DL21" s="135">
        <v>0.44</v>
      </c>
      <c r="DM21" s="135">
        <v>0.08</v>
      </c>
      <c r="DN21" s="135">
        <v>0.36</v>
      </c>
    </row>
    <row r="22" ht="15.75" customHeight="1">
      <c r="A22" s="209">
        <v>46256.0</v>
      </c>
      <c r="B22" s="210" t="s">
        <v>5</v>
      </c>
      <c r="C22" s="210" t="s">
        <v>143</v>
      </c>
      <c r="D22" s="210">
        <v>5681.0</v>
      </c>
      <c r="E22" s="210">
        <v>21.76</v>
      </c>
      <c r="F22" s="210">
        <v>425.61</v>
      </c>
      <c r="G22" s="210">
        <v>0.0749</v>
      </c>
      <c r="H22" s="210">
        <v>2.53</v>
      </c>
      <c r="I22" s="210">
        <v>2.9556</v>
      </c>
      <c r="J22" s="210">
        <v>41.37</v>
      </c>
      <c r="K22" s="210">
        <v>22.66</v>
      </c>
      <c r="L22" s="210">
        <v>13.26</v>
      </c>
      <c r="M22" s="210">
        <v>0.5851</v>
      </c>
      <c r="N22" s="210">
        <v>0.5344</v>
      </c>
      <c r="O22" s="210">
        <v>0.3154</v>
      </c>
      <c r="P22" s="210">
        <v>1.7092</v>
      </c>
      <c r="Q22" s="210">
        <v>85.68</v>
      </c>
      <c r="R22" s="210">
        <v>75.38</v>
      </c>
      <c r="S22" s="210">
        <v>10.3</v>
      </c>
      <c r="T22" s="210">
        <v>6.25</v>
      </c>
      <c r="U22" s="210">
        <v>79.43</v>
      </c>
      <c r="V22" s="210">
        <v>90.86</v>
      </c>
      <c r="W22" s="210">
        <v>4.0093</v>
      </c>
      <c r="X22" s="210">
        <v>7.29</v>
      </c>
      <c r="Y22" s="210">
        <v>215.0</v>
      </c>
      <c r="Z22" s="210">
        <v>391.0</v>
      </c>
      <c r="AA22" s="210">
        <v>1265.0</v>
      </c>
      <c r="AB22" s="210">
        <v>51.919</v>
      </c>
      <c r="AC22" s="210">
        <v>0.6865</v>
      </c>
      <c r="AD22" s="210">
        <v>9.53</v>
      </c>
      <c r="AE22" s="210">
        <v>4.0</v>
      </c>
      <c r="AF22" s="210">
        <v>8.0</v>
      </c>
      <c r="AG22" s="210">
        <v>13.0</v>
      </c>
      <c r="AH22" s="210">
        <v>19.0</v>
      </c>
      <c r="AI22" s="210">
        <v>65.96</v>
      </c>
      <c r="AJ22" s="210">
        <v>25.96</v>
      </c>
      <c r="AK22" s="210">
        <v>3.85</v>
      </c>
      <c r="AL22" s="210">
        <v>0.3513</v>
      </c>
      <c r="AM22" s="210">
        <v>48.21</v>
      </c>
      <c r="AN22" s="135">
        <v>48.21</v>
      </c>
      <c r="AO22" s="135">
        <v>28.32</v>
      </c>
      <c r="AP22" s="135">
        <v>13.06</v>
      </c>
      <c r="AQ22" s="135">
        <v>5.1086</v>
      </c>
      <c r="AR22" s="135">
        <v>0.1195</v>
      </c>
      <c r="AS22" s="135">
        <v>4.9891</v>
      </c>
      <c r="AT22" s="135">
        <v>5.1204</v>
      </c>
      <c r="AU22" s="135">
        <v>0.226</v>
      </c>
      <c r="AV22" s="135">
        <v>5681.0</v>
      </c>
      <c r="AW22" s="135">
        <v>0.0</v>
      </c>
      <c r="AX22" s="135">
        <v>36.91</v>
      </c>
      <c r="AY22" s="135">
        <v>38.91</v>
      </c>
      <c r="AZ22" s="135">
        <v>2.45</v>
      </c>
      <c r="BA22" s="135">
        <v>6.25</v>
      </c>
      <c r="BB22" s="135">
        <v>1.15</v>
      </c>
      <c r="BC22" s="135">
        <v>34.0</v>
      </c>
      <c r="BD22" s="135">
        <v>16867.0</v>
      </c>
      <c r="BE22" s="135">
        <v>3.3961</v>
      </c>
      <c r="BF22" s="135">
        <v>0.0729</v>
      </c>
      <c r="BG22" s="135">
        <v>3.3232</v>
      </c>
      <c r="BH22" s="135">
        <v>3.003</v>
      </c>
      <c r="BI22" s="135">
        <v>0.1325</v>
      </c>
      <c r="BJ22" s="135">
        <v>1.7126</v>
      </c>
      <c r="BK22" s="135">
        <v>0.0466</v>
      </c>
      <c r="BL22" s="135">
        <v>1.6659</v>
      </c>
      <c r="BM22" s="135">
        <v>2.1174</v>
      </c>
      <c r="BN22" s="135">
        <v>0.0934</v>
      </c>
      <c r="BO22" s="135">
        <v>1.3684</v>
      </c>
      <c r="BP22" s="135">
        <v>0.032</v>
      </c>
      <c r="BQ22" s="135">
        <v>1.3364</v>
      </c>
      <c r="BR22" s="135">
        <v>1.1996</v>
      </c>
      <c r="BS22" s="135">
        <v>1.4056</v>
      </c>
      <c r="BT22" s="135">
        <v>0.0162</v>
      </c>
      <c r="BU22" s="135">
        <v>1.3894</v>
      </c>
      <c r="BV22" s="135">
        <v>1.1641</v>
      </c>
      <c r="BW22" s="135">
        <v>0.6221</v>
      </c>
      <c r="BX22" s="135">
        <v>0.0246</v>
      </c>
      <c r="BY22" s="135">
        <v>0.5974</v>
      </c>
      <c r="BZ22" s="135">
        <v>0.6393</v>
      </c>
      <c r="CA22" s="135">
        <v>0.2352</v>
      </c>
      <c r="CB22" s="135">
        <v>0.0107</v>
      </c>
      <c r="CC22" s="135">
        <v>0.2244</v>
      </c>
      <c r="CD22" s="135">
        <v>0.3536</v>
      </c>
      <c r="CE22" s="135">
        <v>0.7928</v>
      </c>
      <c r="CF22" s="135">
        <v>0.0201</v>
      </c>
      <c r="CG22" s="135">
        <v>0.7728</v>
      </c>
      <c r="CH22" s="135">
        <v>0.9798</v>
      </c>
      <c r="CI22" s="135">
        <v>0.6846</v>
      </c>
      <c r="CJ22" s="135">
        <v>0.0158</v>
      </c>
      <c r="CK22" s="135">
        <v>0.6687</v>
      </c>
      <c r="CL22" s="135">
        <v>0.784</v>
      </c>
      <c r="CM22" s="135">
        <v>231.4</v>
      </c>
      <c r="CN22" s="135">
        <v>87.47</v>
      </c>
      <c r="CO22" s="135">
        <v>264.56</v>
      </c>
      <c r="CP22" s="135">
        <v>208.45</v>
      </c>
      <c r="CQ22" s="135">
        <v>0.41</v>
      </c>
      <c r="CR22" s="135">
        <v>8.7</v>
      </c>
      <c r="CS22" s="135">
        <v>13.84</v>
      </c>
      <c r="CT22" s="135">
        <v>0.0</v>
      </c>
      <c r="CU22" s="135">
        <v>1260.0</v>
      </c>
      <c r="CV22" s="135">
        <v>0.01</v>
      </c>
      <c r="CW22" s="135">
        <v>85.69</v>
      </c>
      <c r="CX22" s="135">
        <v>0.03</v>
      </c>
      <c r="CY22" s="135">
        <v>0.45</v>
      </c>
      <c r="CZ22" s="135">
        <v>122.18</v>
      </c>
      <c r="DA22" s="135">
        <v>1.7</v>
      </c>
      <c r="DB22" s="135">
        <v>120.48</v>
      </c>
      <c r="DC22" s="135">
        <v>109.76</v>
      </c>
      <c r="DD22" s="135">
        <v>0.48</v>
      </c>
      <c r="DE22" s="135">
        <v>109.28</v>
      </c>
      <c r="DF22" s="135">
        <v>6.17</v>
      </c>
      <c r="DG22" s="135">
        <v>0.4</v>
      </c>
      <c r="DH22" s="135">
        <v>5.77</v>
      </c>
      <c r="DI22" s="135">
        <v>5.18</v>
      </c>
      <c r="DJ22" s="135">
        <v>0.4</v>
      </c>
      <c r="DK22" s="135">
        <v>4.77</v>
      </c>
      <c r="DL22" s="135">
        <v>1.07</v>
      </c>
      <c r="DM22" s="135">
        <v>0.4</v>
      </c>
      <c r="DN22" s="135">
        <v>0.66</v>
      </c>
    </row>
    <row r="23" ht="15.75" customHeight="1">
      <c r="A23" s="209">
        <v>46256.0</v>
      </c>
      <c r="B23" s="210" t="s">
        <v>5</v>
      </c>
      <c r="C23" s="210" t="s">
        <v>144</v>
      </c>
      <c r="D23" s="210">
        <v>4592.0</v>
      </c>
      <c r="E23" s="210">
        <v>17.59</v>
      </c>
      <c r="F23" s="210">
        <v>722.68</v>
      </c>
      <c r="G23" s="210">
        <v>0.1574</v>
      </c>
      <c r="H23" s="210">
        <v>3.03</v>
      </c>
      <c r="I23" s="210">
        <v>5.1991</v>
      </c>
      <c r="J23" s="210">
        <v>65.67</v>
      </c>
      <c r="K23" s="210">
        <v>37.93</v>
      </c>
      <c r="L23" s="210">
        <v>25.12</v>
      </c>
      <c r="M23" s="210">
        <v>0.6622</v>
      </c>
      <c r="N23" s="210">
        <v>0.4673</v>
      </c>
      <c r="O23" s="210">
        <v>0.2868</v>
      </c>
      <c r="P23" s="210">
        <v>1.5101</v>
      </c>
      <c r="Q23" s="210">
        <v>153.75</v>
      </c>
      <c r="R23" s="210">
        <v>134.71</v>
      </c>
      <c r="S23" s="210">
        <v>19.04</v>
      </c>
      <c r="T23" s="210">
        <v>11.77</v>
      </c>
      <c r="U23" s="210">
        <v>141.98</v>
      </c>
      <c r="V23" s="210">
        <v>165.07</v>
      </c>
      <c r="W23" s="210">
        <v>4.3514</v>
      </c>
      <c r="X23" s="210">
        <v>7.66</v>
      </c>
      <c r="Y23" s="210">
        <v>247.0</v>
      </c>
      <c r="Z23" s="210">
        <v>476.0</v>
      </c>
      <c r="AA23" s="210">
        <v>1221.0</v>
      </c>
      <c r="AB23" s="210">
        <v>53.4581</v>
      </c>
      <c r="AC23" s="210">
        <v>0.7393</v>
      </c>
      <c r="AD23" s="210">
        <v>16.21</v>
      </c>
      <c r="AE23" s="210">
        <v>7.0</v>
      </c>
      <c r="AF23" s="210">
        <v>13.0</v>
      </c>
      <c r="AG23" s="210">
        <v>22.0</v>
      </c>
      <c r="AH23" s="210">
        <v>33.0</v>
      </c>
      <c r="AI23" s="210">
        <v>56.84</v>
      </c>
      <c r="AJ23" s="210">
        <v>19.34</v>
      </c>
      <c r="AK23" s="210">
        <v>5.05</v>
      </c>
      <c r="AL23" s="210">
        <v>0.279</v>
      </c>
      <c r="AM23" s="210">
        <v>46.41</v>
      </c>
      <c r="AN23" s="135">
        <v>46.41</v>
      </c>
      <c r="AO23" s="135">
        <v>25.04</v>
      </c>
      <c r="AP23" s="135">
        <v>12.91</v>
      </c>
      <c r="AQ23" s="135">
        <v>7.2698</v>
      </c>
      <c r="AR23" s="135">
        <v>0.1784</v>
      </c>
      <c r="AS23" s="135">
        <v>7.0915</v>
      </c>
      <c r="AT23" s="135">
        <v>7.471</v>
      </c>
      <c r="AU23" s="135">
        <v>0.1969</v>
      </c>
      <c r="AV23" s="135">
        <v>4592.0</v>
      </c>
      <c r="AW23" s="135">
        <v>0.0</v>
      </c>
      <c r="AX23" s="135">
        <v>60.52</v>
      </c>
      <c r="AY23" s="135">
        <v>76.74</v>
      </c>
      <c r="AZ23" s="135">
        <v>2.62</v>
      </c>
      <c r="BA23" s="135">
        <v>11.77</v>
      </c>
      <c r="BB23" s="135">
        <v>2.1</v>
      </c>
      <c r="BC23" s="135">
        <v>63.0</v>
      </c>
      <c r="BD23" s="135">
        <v>14390.0</v>
      </c>
      <c r="BE23" s="135">
        <v>4.6572</v>
      </c>
      <c r="BF23" s="135">
        <v>0.0843</v>
      </c>
      <c r="BG23" s="135">
        <v>4.573</v>
      </c>
      <c r="BH23" s="135">
        <v>4.1093</v>
      </c>
      <c r="BI23" s="135">
        <v>0.1083</v>
      </c>
      <c r="BJ23" s="135">
        <v>2.6126</v>
      </c>
      <c r="BK23" s="135">
        <v>0.0941</v>
      </c>
      <c r="BL23" s="135">
        <v>2.5185</v>
      </c>
      <c r="BM23" s="135">
        <v>3.3617</v>
      </c>
      <c r="BN23" s="135">
        <v>0.0886</v>
      </c>
      <c r="BO23" s="135">
        <v>1.8179</v>
      </c>
      <c r="BP23" s="135">
        <v>0.0314</v>
      </c>
      <c r="BQ23" s="135">
        <v>1.7866</v>
      </c>
      <c r="BR23" s="135">
        <v>1.5939</v>
      </c>
      <c r="BS23" s="135">
        <v>1.833</v>
      </c>
      <c r="BT23" s="135">
        <v>0.0268</v>
      </c>
      <c r="BU23" s="135">
        <v>1.8062</v>
      </c>
      <c r="BV23" s="135">
        <v>1.5749</v>
      </c>
      <c r="BW23" s="135">
        <v>1.0063</v>
      </c>
      <c r="BX23" s="135">
        <v>0.0261</v>
      </c>
      <c r="BY23" s="135">
        <v>0.9802</v>
      </c>
      <c r="BZ23" s="135">
        <v>0.9405</v>
      </c>
      <c r="CA23" s="135">
        <v>0.4157</v>
      </c>
      <c r="CB23" s="135">
        <v>0.0253</v>
      </c>
      <c r="CC23" s="135">
        <v>0.3905</v>
      </c>
      <c r="CD23" s="135">
        <v>0.5791</v>
      </c>
      <c r="CE23" s="135">
        <v>1.0348</v>
      </c>
      <c r="CF23" s="135">
        <v>0.0403</v>
      </c>
      <c r="CG23" s="135">
        <v>0.9946</v>
      </c>
      <c r="CH23" s="135">
        <v>1.3855</v>
      </c>
      <c r="CI23" s="135">
        <v>1.162</v>
      </c>
      <c r="CJ23" s="135">
        <v>0.0285</v>
      </c>
      <c r="CK23" s="135">
        <v>1.1335</v>
      </c>
      <c r="CL23" s="135">
        <v>1.3972</v>
      </c>
      <c r="CM23" s="135">
        <v>383.19</v>
      </c>
      <c r="CN23" s="135">
        <v>94.69</v>
      </c>
      <c r="CO23" s="135">
        <v>404.69</v>
      </c>
      <c r="CP23" s="135">
        <v>349.84</v>
      </c>
      <c r="CQ23" s="135">
        <v>0.26</v>
      </c>
      <c r="CR23" s="135">
        <v>8.61</v>
      </c>
      <c r="CS23" s="135">
        <v>24.47</v>
      </c>
      <c r="CT23" s="135">
        <v>0.0</v>
      </c>
      <c r="CU23" s="135">
        <v>1690.0</v>
      </c>
      <c r="CV23" s="135">
        <v>0.01</v>
      </c>
      <c r="CW23" s="135">
        <v>153.75</v>
      </c>
      <c r="CX23" s="135">
        <v>0.01</v>
      </c>
      <c r="CY23" s="135">
        <v>0.27</v>
      </c>
      <c r="CZ23" s="135">
        <v>174.87</v>
      </c>
      <c r="DA23" s="135">
        <v>1.62</v>
      </c>
      <c r="DB23" s="135">
        <v>173.25</v>
      </c>
      <c r="DC23" s="135">
        <v>158.8</v>
      </c>
      <c r="DD23" s="135">
        <v>0.68</v>
      </c>
      <c r="DE23" s="135">
        <v>158.12</v>
      </c>
      <c r="DF23" s="135">
        <v>7.39</v>
      </c>
      <c r="DG23" s="135">
        <v>0.31</v>
      </c>
      <c r="DH23" s="135">
        <v>7.07</v>
      </c>
      <c r="DI23" s="135">
        <v>6.44</v>
      </c>
      <c r="DJ23" s="135">
        <v>0.31</v>
      </c>
      <c r="DK23" s="135">
        <v>6.13</v>
      </c>
      <c r="DL23" s="135">
        <v>2.24</v>
      </c>
      <c r="DM23" s="135">
        <v>0.31</v>
      </c>
      <c r="DN23" s="135">
        <v>1.92</v>
      </c>
    </row>
    <row r="24" ht="15.75" customHeight="1">
      <c r="A24" s="209">
        <v>46256.0</v>
      </c>
      <c r="B24" s="210" t="s">
        <v>5</v>
      </c>
      <c r="C24" s="210" t="s">
        <v>145</v>
      </c>
      <c r="D24" s="210">
        <v>2467.0</v>
      </c>
      <c r="E24" s="210">
        <v>9.45</v>
      </c>
      <c r="F24" s="210">
        <v>921.76</v>
      </c>
      <c r="G24" s="210">
        <v>0.3736</v>
      </c>
      <c r="H24" s="210">
        <v>5.11</v>
      </c>
      <c r="I24" s="210">
        <v>7.3156</v>
      </c>
      <c r="J24" s="210">
        <v>117.81</v>
      </c>
      <c r="K24" s="210">
        <v>72.49</v>
      </c>
      <c r="L24" s="210">
        <v>52.7</v>
      </c>
      <c r="M24" s="210">
        <v>0.7271</v>
      </c>
      <c r="N24" s="210">
        <v>0.4039</v>
      </c>
      <c r="O24" s="210">
        <v>0.2528</v>
      </c>
      <c r="P24" s="210">
        <v>1.3754</v>
      </c>
      <c r="Q24" s="210">
        <v>306.19</v>
      </c>
      <c r="R24" s="210">
        <v>266.47</v>
      </c>
      <c r="S24" s="210">
        <v>39.72</v>
      </c>
      <c r="T24" s="210">
        <v>34.27</v>
      </c>
      <c r="U24" s="210">
        <v>271.91</v>
      </c>
      <c r="V24" s="210">
        <v>331.03</v>
      </c>
      <c r="W24" s="210">
        <v>4.5668</v>
      </c>
      <c r="X24" s="210">
        <v>11.19</v>
      </c>
      <c r="Y24" s="210">
        <v>297.0</v>
      </c>
      <c r="Z24" s="210">
        <v>568.0</v>
      </c>
      <c r="AA24" s="210">
        <v>1501.0</v>
      </c>
      <c r="AB24" s="210">
        <v>55.4037</v>
      </c>
      <c r="AC24" s="210">
        <v>0.7882</v>
      </c>
      <c r="AD24" s="210">
        <v>29.39</v>
      </c>
      <c r="AE24" s="210">
        <v>11.0</v>
      </c>
      <c r="AF24" s="210">
        <v>21.0</v>
      </c>
      <c r="AG24" s="210">
        <v>40.0</v>
      </c>
      <c r="AH24" s="210">
        <v>62.0</v>
      </c>
      <c r="AI24" s="210">
        <v>39.4</v>
      </c>
      <c r="AJ24" s="210">
        <v>11.31</v>
      </c>
      <c r="AK24" s="210">
        <v>2.51</v>
      </c>
      <c r="AL24" s="210">
        <v>0.1816</v>
      </c>
      <c r="AM24" s="210">
        <v>43.62</v>
      </c>
      <c r="AN24" s="135">
        <v>43.62</v>
      </c>
      <c r="AO24" s="135">
        <v>25.17</v>
      </c>
      <c r="AP24" s="135">
        <v>15.36</v>
      </c>
      <c r="AQ24" s="135">
        <v>11.1698</v>
      </c>
      <c r="AR24" s="135">
        <v>0.5626</v>
      </c>
      <c r="AS24" s="135">
        <v>10.6072</v>
      </c>
      <c r="AT24" s="135">
        <v>12.3944</v>
      </c>
      <c r="AU24" s="135">
        <v>0.171</v>
      </c>
      <c r="AV24" s="135">
        <v>2467.0</v>
      </c>
      <c r="AW24" s="135">
        <v>0.0</v>
      </c>
      <c r="AX24" s="135">
        <v>111.9</v>
      </c>
      <c r="AY24" s="135">
        <v>150.5</v>
      </c>
      <c r="AZ24" s="135">
        <v>3.98</v>
      </c>
      <c r="BA24" s="135">
        <v>34.27</v>
      </c>
      <c r="BB24" s="135">
        <v>5.53</v>
      </c>
      <c r="BC24" s="135">
        <v>122.0</v>
      </c>
      <c r="BD24" s="135">
        <v>14086.0</v>
      </c>
      <c r="BE24" s="135">
        <v>6.5942</v>
      </c>
      <c r="BF24" s="135">
        <v>0.3064</v>
      </c>
      <c r="BG24" s="135">
        <v>6.2878</v>
      </c>
      <c r="BH24" s="135">
        <v>6.4386</v>
      </c>
      <c r="BI24" s="135">
        <v>0.0888</v>
      </c>
      <c r="BJ24" s="135">
        <v>4.5756</v>
      </c>
      <c r="BK24" s="135">
        <v>0.2562</v>
      </c>
      <c r="BL24" s="135">
        <v>4.3194</v>
      </c>
      <c r="BM24" s="135">
        <v>5.9558</v>
      </c>
      <c r="BN24" s="135">
        <v>0.0822</v>
      </c>
      <c r="BO24" s="135">
        <v>2.304</v>
      </c>
      <c r="BP24" s="135">
        <v>0.0782</v>
      </c>
      <c r="BQ24" s="135">
        <v>2.2258</v>
      </c>
      <c r="BR24" s="135">
        <v>2.3251</v>
      </c>
      <c r="BS24" s="135">
        <v>2.5107</v>
      </c>
      <c r="BT24" s="135">
        <v>0.0855</v>
      </c>
      <c r="BU24" s="135">
        <v>2.4252</v>
      </c>
      <c r="BV24" s="135">
        <v>2.4414</v>
      </c>
      <c r="BW24" s="135">
        <v>1.7795</v>
      </c>
      <c r="BX24" s="135">
        <v>0.1427</v>
      </c>
      <c r="BY24" s="135">
        <v>1.6368</v>
      </c>
      <c r="BZ24" s="135">
        <v>1.6721</v>
      </c>
      <c r="CA24" s="135">
        <v>0.8918</v>
      </c>
      <c r="CB24" s="135">
        <v>0.0653</v>
      </c>
      <c r="CC24" s="135">
        <v>0.8265</v>
      </c>
      <c r="CD24" s="135">
        <v>1.1475</v>
      </c>
      <c r="CE24" s="135">
        <v>1.6348</v>
      </c>
      <c r="CF24" s="135">
        <v>0.1058</v>
      </c>
      <c r="CG24" s="135">
        <v>1.529</v>
      </c>
      <c r="CH24" s="135">
        <v>1.9433</v>
      </c>
      <c r="CI24" s="135">
        <v>2.049</v>
      </c>
      <c r="CJ24" s="135">
        <v>0.0851</v>
      </c>
      <c r="CK24" s="135">
        <v>1.9639</v>
      </c>
      <c r="CL24" s="135">
        <v>2.865</v>
      </c>
      <c r="CM24" s="135">
        <v>686.62</v>
      </c>
      <c r="CN24" s="135">
        <v>98.7</v>
      </c>
      <c r="CO24" s="135">
        <v>695.64</v>
      </c>
      <c r="CP24" s="135">
        <v>640.9</v>
      </c>
      <c r="CQ24" s="135">
        <v>0.18</v>
      </c>
      <c r="CR24" s="135">
        <v>10.27</v>
      </c>
      <c r="CS24" s="135">
        <v>35.27</v>
      </c>
      <c r="CT24" s="135">
        <v>0.0</v>
      </c>
      <c r="CU24" s="135">
        <v>1465.0</v>
      </c>
      <c r="CV24" s="135">
        <v>0.0</v>
      </c>
      <c r="CW24" s="135">
        <v>306.19</v>
      </c>
      <c r="CX24" s="135">
        <v>0.0</v>
      </c>
      <c r="CY24" s="135">
        <v>0.18</v>
      </c>
      <c r="CZ24" s="135">
        <v>305.01</v>
      </c>
      <c r="DA24" s="135">
        <v>2.79</v>
      </c>
      <c r="DB24" s="135">
        <v>302.22</v>
      </c>
      <c r="DC24" s="135">
        <v>278.55</v>
      </c>
      <c r="DD24" s="135">
        <v>1.4</v>
      </c>
      <c r="DE24" s="135">
        <v>277.15</v>
      </c>
      <c r="DF24" s="135">
        <v>13.19</v>
      </c>
      <c r="DG24" s="135">
        <v>0.46</v>
      </c>
      <c r="DH24" s="135">
        <v>12.73</v>
      </c>
      <c r="DI24" s="135">
        <v>8.24</v>
      </c>
      <c r="DJ24" s="135">
        <v>0.46</v>
      </c>
      <c r="DK24" s="135">
        <v>7.78</v>
      </c>
      <c r="DL24" s="135">
        <v>5.03</v>
      </c>
      <c r="DM24" s="135">
        <v>0.46</v>
      </c>
      <c r="DN24" s="135">
        <v>4.57</v>
      </c>
    </row>
    <row r="25" ht="15.75" customHeight="1">
      <c r="A25" s="209">
        <v>46256.0</v>
      </c>
      <c r="B25" s="210" t="s">
        <v>5</v>
      </c>
      <c r="C25" s="210" t="s">
        <v>146</v>
      </c>
      <c r="D25" s="210">
        <v>340.0</v>
      </c>
      <c r="E25" s="210">
        <v>1.3</v>
      </c>
      <c r="F25" s="210">
        <v>196.34</v>
      </c>
      <c r="G25" s="210">
        <v>0.5775</v>
      </c>
      <c r="H25" s="210">
        <v>6.47</v>
      </c>
      <c r="I25" s="210">
        <v>8.9245</v>
      </c>
      <c r="J25" s="210">
        <v>237.47</v>
      </c>
      <c r="K25" s="210">
        <v>161.0</v>
      </c>
      <c r="L25" s="210">
        <v>122.42</v>
      </c>
      <c r="M25" s="210">
        <v>0.7604</v>
      </c>
      <c r="N25" s="210">
        <v>0.3453</v>
      </c>
      <c r="O25" s="210">
        <v>0.2121</v>
      </c>
      <c r="P25" s="210">
        <v>1.3151</v>
      </c>
      <c r="Q25" s="210">
        <v>573.77</v>
      </c>
      <c r="R25" s="210">
        <v>479.9</v>
      </c>
      <c r="S25" s="210">
        <v>93.87</v>
      </c>
      <c r="T25" s="210">
        <v>64.56</v>
      </c>
      <c r="U25" s="210">
        <v>509.21</v>
      </c>
      <c r="V25" s="210">
        <v>593.82</v>
      </c>
      <c r="W25" s="210">
        <v>3.6884</v>
      </c>
      <c r="X25" s="210">
        <v>11.25</v>
      </c>
      <c r="Y25" s="210">
        <v>356.0</v>
      </c>
      <c r="Z25" s="210">
        <v>692.0</v>
      </c>
      <c r="AA25" s="210">
        <v>1304.0</v>
      </c>
      <c r="AB25" s="210">
        <v>57.7722</v>
      </c>
      <c r="AC25" s="210">
        <v>0.8</v>
      </c>
      <c r="AD25" s="210">
        <v>54.67</v>
      </c>
      <c r="AE25" s="210">
        <v>22.0</v>
      </c>
      <c r="AF25" s="210">
        <v>39.0</v>
      </c>
      <c r="AG25" s="210">
        <v>72.0</v>
      </c>
      <c r="AH25" s="210">
        <v>114.0</v>
      </c>
      <c r="AI25" s="210">
        <v>22.35</v>
      </c>
      <c r="AJ25" s="210">
        <v>3.24</v>
      </c>
      <c r="AK25" s="210">
        <v>0.0</v>
      </c>
      <c r="AL25" s="210">
        <v>0.0853</v>
      </c>
      <c r="AM25" s="210">
        <v>50.88</v>
      </c>
      <c r="AN25" s="135">
        <v>50.88</v>
      </c>
      <c r="AO25" s="135">
        <v>38.24</v>
      </c>
      <c r="AP25" s="135">
        <v>32.65</v>
      </c>
      <c r="AQ25" s="135">
        <v>19.85</v>
      </c>
      <c r="AR25" s="135">
        <v>0.9206</v>
      </c>
      <c r="AS25" s="135">
        <v>18.9294</v>
      </c>
      <c r="AT25" s="135">
        <v>22.7</v>
      </c>
      <c r="AU25" s="135">
        <v>0.141</v>
      </c>
      <c r="AV25" s="135">
        <v>340.0</v>
      </c>
      <c r="AW25" s="135">
        <v>0.0</v>
      </c>
      <c r="AX25" s="135">
        <v>242.09</v>
      </c>
      <c r="AY25" s="135">
        <v>247.76</v>
      </c>
      <c r="AZ25" s="135">
        <v>7.19</v>
      </c>
      <c r="BA25" s="135">
        <v>64.56</v>
      </c>
      <c r="BB25" s="135">
        <v>12.16</v>
      </c>
      <c r="BC25" s="135">
        <v>209.0</v>
      </c>
      <c r="BD25" s="135">
        <v>10404.0</v>
      </c>
      <c r="BE25" s="135">
        <v>10.7059</v>
      </c>
      <c r="BF25" s="135">
        <v>0.4147</v>
      </c>
      <c r="BG25" s="135">
        <v>10.2912</v>
      </c>
      <c r="BH25" s="135">
        <v>10.9529</v>
      </c>
      <c r="BI25" s="135">
        <v>0.068</v>
      </c>
      <c r="BJ25" s="135">
        <v>9.1441</v>
      </c>
      <c r="BK25" s="135">
        <v>0.5059</v>
      </c>
      <c r="BL25" s="135">
        <v>8.6382</v>
      </c>
      <c r="BM25" s="135">
        <v>11.7471</v>
      </c>
      <c r="BN25" s="135">
        <v>0.073</v>
      </c>
      <c r="BO25" s="135">
        <v>3.5971</v>
      </c>
      <c r="BP25" s="135">
        <v>0.1559</v>
      </c>
      <c r="BQ25" s="135">
        <v>3.4412</v>
      </c>
      <c r="BR25" s="135">
        <v>3.7676</v>
      </c>
      <c r="BS25" s="135">
        <v>3.8647</v>
      </c>
      <c r="BT25" s="135">
        <v>0.1206</v>
      </c>
      <c r="BU25" s="135">
        <v>3.7441</v>
      </c>
      <c r="BV25" s="135">
        <v>3.9471</v>
      </c>
      <c r="BW25" s="135">
        <v>3.2441</v>
      </c>
      <c r="BX25" s="135">
        <v>0.1382</v>
      </c>
      <c r="BY25" s="135">
        <v>3.1059</v>
      </c>
      <c r="BZ25" s="135">
        <v>3.2382</v>
      </c>
      <c r="CA25" s="135">
        <v>2.2912</v>
      </c>
      <c r="CB25" s="135">
        <v>0.1412</v>
      </c>
      <c r="CC25" s="135">
        <v>2.15</v>
      </c>
      <c r="CD25" s="135">
        <v>4.2265</v>
      </c>
      <c r="CE25" s="135">
        <v>2.9559</v>
      </c>
      <c r="CF25" s="135">
        <v>0.2</v>
      </c>
      <c r="CG25" s="135">
        <v>2.7559</v>
      </c>
      <c r="CH25" s="135">
        <v>3.3294</v>
      </c>
      <c r="CI25" s="135">
        <v>3.8971</v>
      </c>
      <c r="CJ25" s="135">
        <v>0.1647</v>
      </c>
      <c r="CK25" s="135">
        <v>3.7324</v>
      </c>
      <c r="CL25" s="135">
        <v>4.1912</v>
      </c>
      <c r="CM25" s="135">
        <v>1308.44</v>
      </c>
      <c r="CN25" s="135">
        <v>100.0</v>
      </c>
      <c r="CO25" s="135">
        <v>1308.44</v>
      </c>
      <c r="CP25" s="135">
        <v>1252.35</v>
      </c>
      <c r="CQ25" s="135">
        <v>0.0</v>
      </c>
      <c r="CR25" s="135">
        <v>11.41</v>
      </c>
      <c r="CS25" s="135">
        <v>44.68</v>
      </c>
      <c r="CT25" s="135">
        <v>0.0</v>
      </c>
      <c r="CU25" s="135">
        <v>255.0</v>
      </c>
      <c r="CV25" s="135">
        <v>0.0</v>
      </c>
      <c r="CW25" s="135">
        <v>573.77</v>
      </c>
      <c r="CX25" s="135">
        <v>0.0</v>
      </c>
      <c r="CY25" s="135">
        <v>0.0</v>
      </c>
      <c r="CZ25" s="135">
        <v>599.96</v>
      </c>
      <c r="DA25" s="135">
        <v>2.38</v>
      </c>
      <c r="DB25" s="135">
        <v>597.57</v>
      </c>
      <c r="DC25" s="135">
        <v>557.25</v>
      </c>
      <c r="DD25" s="135">
        <v>1.32</v>
      </c>
      <c r="DE25" s="135">
        <v>555.93</v>
      </c>
      <c r="DF25" s="135">
        <v>16.06</v>
      </c>
      <c r="DG25" s="135">
        <v>0.35</v>
      </c>
      <c r="DH25" s="135">
        <v>15.71</v>
      </c>
      <c r="DI25" s="135">
        <v>14.59</v>
      </c>
      <c r="DJ25" s="135">
        <v>0.35</v>
      </c>
      <c r="DK25" s="135">
        <v>14.24</v>
      </c>
      <c r="DL25" s="135">
        <v>12.06</v>
      </c>
      <c r="DM25" s="135">
        <v>0.35</v>
      </c>
      <c r="DN25" s="135">
        <v>11.71</v>
      </c>
    </row>
    <row r="26" ht="15.75" customHeight="1">
      <c r="A26" s="209">
        <v>46257.0</v>
      </c>
      <c r="B26" s="210" t="s">
        <v>4</v>
      </c>
      <c r="C26" s="210" t="s">
        <v>398</v>
      </c>
      <c r="D26" s="210">
        <v>5623.0</v>
      </c>
      <c r="E26" s="210">
        <v>21.1</v>
      </c>
      <c r="F26" s="210">
        <v>520.15</v>
      </c>
      <c r="G26" s="210">
        <v>0.0925</v>
      </c>
      <c r="H26" s="210">
        <v>1.6</v>
      </c>
      <c r="I26" s="210">
        <v>5.7794</v>
      </c>
      <c r="J26" s="210">
        <v>22.62</v>
      </c>
      <c r="K26" s="210">
        <v>12.49</v>
      </c>
      <c r="L26" s="210">
        <v>8.19</v>
      </c>
      <c r="M26" s="210">
        <v>0.6552</v>
      </c>
      <c r="N26" s="210">
        <v>0.4595</v>
      </c>
      <c r="O26" s="210">
        <v>0.2145</v>
      </c>
      <c r="P26" s="210">
        <v>1.5262</v>
      </c>
      <c r="Q26" s="210">
        <v>45.88</v>
      </c>
      <c r="R26" s="210">
        <v>45.8</v>
      </c>
      <c r="S26" s="210">
        <v>0.08</v>
      </c>
      <c r="T26" s="210">
        <v>7.91</v>
      </c>
      <c r="U26" s="210">
        <v>37.97</v>
      </c>
      <c r="V26" s="210">
        <v>43.95</v>
      </c>
      <c r="W26" s="210">
        <v>3.5182</v>
      </c>
      <c r="X26" s="210">
        <v>17.25</v>
      </c>
      <c r="Y26" s="210">
        <v>200.0</v>
      </c>
      <c r="Z26" s="210">
        <v>485.0</v>
      </c>
      <c r="AA26" s="210">
        <v>3316.0</v>
      </c>
      <c r="AB26" s="210">
        <v>49.9924</v>
      </c>
      <c r="AC26" s="210">
        <v>0.4705</v>
      </c>
      <c r="AD26" s="211"/>
      <c r="AE26" s="211"/>
      <c r="AF26" s="211"/>
      <c r="AG26" s="211"/>
      <c r="AH26" s="211"/>
      <c r="AI26" s="210">
        <v>0.0</v>
      </c>
      <c r="AJ26" s="210">
        <v>0.0</v>
      </c>
      <c r="AK26" s="210">
        <v>0.0</v>
      </c>
      <c r="AL26" s="210">
        <v>0.5042</v>
      </c>
      <c r="AM26" s="211"/>
      <c r="AQ26" s="135">
        <v>1.6441</v>
      </c>
      <c r="AR26" s="135">
        <v>0.0797</v>
      </c>
      <c r="AS26" s="135">
        <v>1.5645</v>
      </c>
      <c r="AT26" s="135">
        <v>1.5632</v>
      </c>
      <c r="AU26" s="135">
        <v>0.1251</v>
      </c>
      <c r="AV26" s="135">
        <v>5623.0</v>
      </c>
      <c r="AW26" s="135">
        <v>0.0</v>
      </c>
      <c r="AX26" s="135">
        <v>12.43</v>
      </c>
      <c r="AY26" s="135">
        <v>22.56</v>
      </c>
      <c r="AZ26" s="135">
        <v>2.81</v>
      </c>
      <c r="BA26" s="135">
        <v>7.91</v>
      </c>
      <c r="BB26" s="135">
        <v>0.18</v>
      </c>
      <c r="BD26" s="135">
        <v>29168.0</v>
      </c>
      <c r="BE26" s="135">
        <v>0.8407</v>
      </c>
      <c r="BF26" s="135">
        <v>0.032</v>
      </c>
      <c r="BG26" s="135">
        <v>0.8086</v>
      </c>
      <c r="BH26" s="135">
        <v>0.8184</v>
      </c>
      <c r="BI26" s="135">
        <v>0.0655</v>
      </c>
      <c r="BJ26" s="135">
        <v>0.8035</v>
      </c>
      <c r="BK26" s="135">
        <v>0.0477</v>
      </c>
      <c r="BL26" s="135">
        <v>0.7558</v>
      </c>
      <c r="BM26" s="135">
        <v>0.7448</v>
      </c>
      <c r="BN26" s="135">
        <v>0.0596</v>
      </c>
      <c r="BO26" s="135">
        <v>0.3073</v>
      </c>
      <c r="BP26" s="135">
        <v>0.013</v>
      </c>
      <c r="BQ26" s="135">
        <v>0.2943</v>
      </c>
      <c r="BR26" s="135">
        <v>0.316</v>
      </c>
      <c r="BS26" s="135">
        <v>0.3222</v>
      </c>
      <c r="BT26" s="135">
        <v>0.0098</v>
      </c>
      <c r="BU26" s="135">
        <v>0.3125</v>
      </c>
      <c r="BV26" s="135">
        <v>0.2988</v>
      </c>
      <c r="BW26" s="135">
        <v>0.2111</v>
      </c>
      <c r="BX26" s="135">
        <v>0.0092</v>
      </c>
      <c r="BY26" s="135">
        <v>0.2018</v>
      </c>
      <c r="BZ26" s="135">
        <v>0.2036</v>
      </c>
      <c r="CA26" s="135">
        <v>0.1334</v>
      </c>
      <c r="CB26" s="135">
        <v>0.0123</v>
      </c>
      <c r="CC26" s="135">
        <v>0.1211</v>
      </c>
      <c r="CD26" s="135">
        <v>0.1581</v>
      </c>
      <c r="CE26" s="135">
        <v>0.4012</v>
      </c>
      <c r="CF26" s="135">
        <v>0.0185</v>
      </c>
      <c r="CG26" s="135">
        <v>0.3827</v>
      </c>
      <c r="CH26" s="135">
        <v>0.3222</v>
      </c>
      <c r="CI26" s="135">
        <v>0.2689</v>
      </c>
      <c r="CJ26" s="135">
        <v>0.0169</v>
      </c>
      <c r="CK26" s="135">
        <v>0.252</v>
      </c>
      <c r="CL26" s="135">
        <v>0.2644</v>
      </c>
      <c r="CM26" s="135">
        <v>117.0</v>
      </c>
      <c r="CN26" s="135">
        <v>20.83</v>
      </c>
      <c r="CO26" s="135">
        <v>561.81</v>
      </c>
      <c r="CP26" s="135">
        <v>112.13</v>
      </c>
      <c r="CQ26" s="135">
        <v>0.0</v>
      </c>
      <c r="CR26" s="135">
        <v>2.43</v>
      </c>
      <c r="CS26" s="135">
        <v>2.45</v>
      </c>
      <c r="CT26" s="135">
        <v>0.0</v>
      </c>
      <c r="CU26" s="135">
        <v>0.0</v>
      </c>
      <c r="CV26" s="135">
        <v>0.0</v>
      </c>
      <c r="CW26" s="135">
        <v>45.88</v>
      </c>
      <c r="CX26" s="135">
        <v>0.0</v>
      </c>
      <c r="CY26" s="135">
        <v>0.0</v>
      </c>
      <c r="CZ26" s="135">
        <v>44.31</v>
      </c>
      <c r="DA26" s="135">
        <v>2.12</v>
      </c>
      <c r="DB26" s="135">
        <v>42.19</v>
      </c>
      <c r="DC26" s="135">
        <v>38.55</v>
      </c>
      <c r="DD26" s="135">
        <v>0.65</v>
      </c>
      <c r="DE26" s="135">
        <v>37.9</v>
      </c>
      <c r="DF26" s="135">
        <v>2.58</v>
      </c>
      <c r="DG26" s="135">
        <v>0.49</v>
      </c>
      <c r="DH26" s="135">
        <v>2.08</v>
      </c>
      <c r="DI26" s="135">
        <v>2.19</v>
      </c>
      <c r="DJ26" s="135">
        <v>0.49</v>
      </c>
      <c r="DK26" s="135">
        <v>1.7</v>
      </c>
      <c r="DL26" s="135">
        <v>0.99</v>
      </c>
      <c r="DM26" s="135">
        <v>0.49</v>
      </c>
      <c r="DN26" s="135">
        <v>0.5</v>
      </c>
    </row>
    <row r="27" ht="15.75" customHeight="1">
      <c r="A27" s="209">
        <v>46257.0</v>
      </c>
      <c r="B27" s="210" t="s">
        <v>4</v>
      </c>
      <c r="C27" s="210" t="s">
        <v>142</v>
      </c>
      <c r="D27" s="210">
        <v>7549.0</v>
      </c>
      <c r="E27" s="210">
        <v>28.33</v>
      </c>
      <c r="F27" s="210">
        <v>149.74</v>
      </c>
      <c r="G27" s="210">
        <v>0.0198</v>
      </c>
      <c r="H27" s="210">
        <v>0.7</v>
      </c>
      <c r="I27" s="210">
        <v>2.8253</v>
      </c>
      <c r="J27" s="210">
        <v>20.03</v>
      </c>
      <c r="K27" s="210">
        <v>10.74</v>
      </c>
      <c r="L27" s="210">
        <v>5.13</v>
      </c>
      <c r="M27" s="210">
        <v>0.4776</v>
      </c>
      <c r="N27" s="210">
        <v>0.6221</v>
      </c>
      <c r="O27" s="210">
        <v>0.3591</v>
      </c>
      <c r="P27" s="210">
        <v>2.0937</v>
      </c>
      <c r="Q27" s="210">
        <v>37.55</v>
      </c>
      <c r="R27" s="210">
        <v>33.36</v>
      </c>
      <c r="S27" s="210">
        <v>4.19</v>
      </c>
      <c r="T27" s="210">
        <v>1.46</v>
      </c>
      <c r="U27" s="210">
        <v>36.09</v>
      </c>
      <c r="V27" s="210">
        <v>38.77</v>
      </c>
      <c r="W27" s="210">
        <v>3.6096</v>
      </c>
      <c r="X27" s="210">
        <v>3.9</v>
      </c>
      <c r="Y27" s="210">
        <v>200.0</v>
      </c>
      <c r="Z27" s="210">
        <v>339.0</v>
      </c>
      <c r="AA27" s="210">
        <v>1174.0</v>
      </c>
      <c r="AB27" s="210">
        <v>50.0101</v>
      </c>
      <c r="AC27" s="210">
        <v>0.603</v>
      </c>
      <c r="AD27" s="210">
        <v>4.01</v>
      </c>
      <c r="AE27" s="210">
        <v>1.0</v>
      </c>
      <c r="AF27" s="210">
        <v>3.0</v>
      </c>
      <c r="AG27" s="210">
        <v>5.0</v>
      </c>
      <c r="AH27" s="210">
        <v>8.0</v>
      </c>
      <c r="AI27" s="210">
        <v>74.69</v>
      </c>
      <c r="AJ27" s="210">
        <v>34.56</v>
      </c>
      <c r="AK27" s="210">
        <v>6.09</v>
      </c>
      <c r="AL27" s="210">
        <v>0.5361</v>
      </c>
      <c r="AM27" s="211"/>
      <c r="AQ27" s="135">
        <v>2.7726</v>
      </c>
      <c r="AR27" s="135">
        <v>0.0354</v>
      </c>
      <c r="AS27" s="135">
        <v>2.7372</v>
      </c>
      <c r="AT27" s="135">
        <v>2.4019</v>
      </c>
      <c r="AU27" s="135">
        <v>0.2236</v>
      </c>
      <c r="AV27" s="135">
        <v>7549.0</v>
      </c>
      <c r="AW27" s="135">
        <v>0.0</v>
      </c>
      <c r="AX27" s="135">
        <v>21.4</v>
      </c>
      <c r="AY27" s="135">
        <v>12.5</v>
      </c>
      <c r="AZ27" s="135">
        <v>1.8</v>
      </c>
      <c r="BA27" s="135">
        <v>1.46</v>
      </c>
      <c r="BB27" s="135">
        <v>0.38</v>
      </c>
      <c r="BC27" s="135">
        <v>16.0</v>
      </c>
      <c r="BD27" s="135">
        <v>17548.0</v>
      </c>
      <c r="BE27" s="135">
        <v>1.9101</v>
      </c>
      <c r="BF27" s="135">
        <v>0.0207</v>
      </c>
      <c r="BG27" s="135">
        <v>1.8894</v>
      </c>
      <c r="BH27" s="135">
        <v>1.4692</v>
      </c>
      <c r="BI27" s="135">
        <v>0.1368</v>
      </c>
      <c r="BJ27" s="135">
        <v>0.8625</v>
      </c>
      <c r="BK27" s="135">
        <v>0.0147</v>
      </c>
      <c r="BL27" s="135">
        <v>0.8478</v>
      </c>
      <c r="BM27" s="135">
        <v>0.9327</v>
      </c>
      <c r="BN27" s="135">
        <v>0.0868</v>
      </c>
      <c r="BO27" s="135">
        <v>0.7755</v>
      </c>
      <c r="BP27" s="135">
        <v>0.0079</v>
      </c>
      <c r="BQ27" s="135">
        <v>0.7675</v>
      </c>
      <c r="BR27" s="135">
        <v>0.5903</v>
      </c>
      <c r="BS27" s="135">
        <v>0.7948</v>
      </c>
      <c r="BT27" s="135">
        <v>0.0036</v>
      </c>
      <c r="BU27" s="135">
        <v>0.7912</v>
      </c>
      <c r="BV27" s="135">
        <v>0.5655</v>
      </c>
      <c r="BW27" s="135">
        <v>0.3398</v>
      </c>
      <c r="BX27" s="135">
        <v>0.0091</v>
      </c>
      <c r="BY27" s="135">
        <v>0.3306</v>
      </c>
      <c r="BZ27" s="135">
        <v>0.3134</v>
      </c>
      <c r="CA27" s="135">
        <v>0.155</v>
      </c>
      <c r="CB27" s="135">
        <v>0.0041</v>
      </c>
      <c r="CC27" s="135">
        <v>0.1509</v>
      </c>
      <c r="CD27" s="135">
        <v>0.1735</v>
      </c>
      <c r="CE27" s="135">
        <v>0.3914</v>
      </c>
      <c r="CF27" s="135">
        <v>0.0045</v>
      </c>
      <c r="CG27" s="135">
        <v>0.3869</v>
      </c>
      <c r="CH27" s="135">
        <v>0.4163</v>
      </c>
      <c r="CI27" s="135">
        <v>0.3161</v>
      </c>
      <c r="CJ27" s="135">
        <v>0.0061</v>
      </c>
      <c r="CK27" s="135">
        <v>0.31</v>
      </c>
      <c r="CL27" s="135">
        <v>0.3428</v>
      </c>
      <c r="CM27" s="135">
        <v>115.1</v>
      </c>
      <c r="CN27" s="135">
        <v>69.12</v>
      </c>
      <c r="CO27" s="135">
        <v>166.52</v>
      </c>
      <c r="CP27" s="135">
        <v>109.22</v>
      </c>
      <c r="CQ27" s="135">
        <v>0.0</v>
      </c>
      <c r="CR27" s="135">
        <v>4.2</v>
      </c>
      <c r="CS27" s="135">
        <v>1.68</v>
      </c>
      <c r="CT27" s="135">
        <v>0.0</v>
      </c>
      <c r="CU27" s="135">
        <v>0.0</v>
      </c>
      <c r="CV27" s="135">
        <v>0.0</v>
      </c>
      <c r="CW27" s="135">
        <v>37.55</v>
      </c>
      <c r="CX27" s="135">
        <v>0.0</v>
      </c>
      <c r="CY27" s="135">
        <v>0.0</v>
      </c>
      <c r="CZ27" s="135">
        <v>77.94</v>
      </c>
      <c r="DA27" s="135">
        <v>0.48</v>
      </c>
      <c r="DB27" s="135">
        <v>77.46</v>
      </c>
      <c r="DC27" s="135">
        <v>71.75</v>
      </c>
      <c r="DD27" s="135">
        <v>0.13</v>
      </c>
      <c r="DE27" s="135">
        <v>71.61</v>
      </c>
      <c r="DF27" s="135">
        <v>3.18</v>
      </c>
      <c r="DG27" s="135">
        <v>0.12</v>
      </c>
      <c r="DH27" s="135">
        <v>3.07</v>
      </c>
      <c r="DI27" s="135">
        <v>2.54</v>
      </c>
      <c r="DJ27" s="135">
        <v>0.12</v>
      </c>
      <c r="DK27" s="135">
        <v>2.42</v>
      </c>
      <c r="DL27" s="135">
        <v>0.47</v>
      </c>
      <c r="DM27" s="135">
        <v>0.12</v>
      </c>
      <c r="DN27" s="135">
        <v>0.36</v>
      </c>
    </row>
    <row r="28" ht="15.75" customHeight="1">
      <c r="A28" s="209">
        <v>46257.0</v>
      </c>
      <c r="B28" s="210" t="s">
        <v>4</v>
      </c>
      <c r="C28" s="210" t="s">
        <v>143</v>
      </c>
      <c r="D28" s="210">
        <v>5642.0</v>
      </c>
      <c r="E28" s="210">
        <v>21.18</v>
      </c>
      <c r="F28" s="210">
        <v>428.41</v>
      </c>
      <c r="G28" s="210">
        <v>0.0759</v>
      </c>
      <c r="H28" s="210">
        <v>2.04</v>
      </c>
      <c r="I28" s="210">
        <v>3.7253</v>
      </c>
      <c r="J28" s="210">
        <v>43.32</v>
      </c>
      <c r="K28" s="210">
        <v>23.99</v>
      </c>
      <c r="L28" s="210">
        <v>13.58</v>
      </c>
      <c r="M28" s="210">
        <v>0.5661</v>
      </c>
      <c r="N28" s="210">
        <v>0.5525</v>
      </c>
      <c r="O28" s="210">
        <v>0.3269</v>
      </c>
      <c r="P28" s="210">
        <v>1.7663</v>
      </c>
      <c r="Q28" s="210">
        <v>82.0</v>
      </c>
      <c r="R28" s="210">
        <v>69.5</v>
      </c>
      <c r="S28" s="210">
        <v>12.5</v>
      </c>
      <c r="T28" s="210">
        <v>6.59</v>
      </c>
      <c r="U28" s="210">
        <v>75.4</v>
      </c>
      <c r="V28" s="210">
        <v>95.25</v>
      </c>
      <c r="W28" s="210">
        <v>3.9701</v>
      </c>
      <c r="X28" s="210">
        <v>8.04</v>
      </c>
      <c r="Y28" s="210">
        <v>216.0</v>
      </c>
      <c r="Z28" s="210">
        <v>427.0</v>
      </c>
      <c r="AA28" s="210">
        <v>1324.0</v>
      </c>
      <c r="AB28" s="210">
        <v>51.8852</v>
      </c>
      <c r="AC28" s="210">
        <v>0.6875</v>
      </c>
      <c r="AD28" s="210">
        <v>9.54</v>
      </c>
      <c r="AE28" s="210">
        <v>4.0</v>
      </c>
      <c r="AF28" s="210">
        <v>8.0</v>
      </c>
      <c r="AG28" s="210">
        <v>13.0</v>
      </c>
      <c r="AH28" s="210">
        <v>18.0</v>
      </c>
      <c r="AI28" s="210">
        <v>67.0</v>
      </c>
      <c r="AJ28" s="210">
        <v>26.27</v>
      </c>
      <c r="AK28" s="210">
        <v>3.31</v>
      </c>
      <c r="AL28" s="210">
        <v>0.3726</v>
      </c>
      <c r="AM28" s="211"/>
      <c r="AQ28" s="135">
        <v>5.9284</v>
      </c>
      <c r="AR28" s="135">
        <v>0.1932</v>
      </c>
      <c r="AS28" s="135">
        <v>5.7352</v>
      </c>
      <c r="AT28" s="135">
        <v>5.5987</v>
      </c>
      <c r="AU28" s="135">
        <v>0.2334</v>
      </c>
      <c r="AV28" s="135">
        <v>5642.0</v>
      </c>
      <c r="AW28" s="135">
        <v>0.0</v>
      </c>
      <c r="AX28" s="135">
        <v>42.25</v>
      </c>
      <c r="AY28" s="135">
        <v>29.13</v>
      </c>
      <c r="AZ28" s="135">
        <v>2.68</v>
      </c>
      <c r="BA28" s="135">
        <v>6.59</v>
      </c>
      <c r="BB28" s="135">
        <v>1.34</v>
      </c>
      <c r="BC28" s="135">
        <v>34.0</v>
      </c>
      <c r="BD28" s="135">
        <v>18613.0</v>
      </c>
      <c r="BE28" s="135">
        <v>3.9022</v>
      </c>
      <c r="BF28" s="135">
        <v>0.1313</v>
      </c>
      <c r="BG28" s="135">
        <v>3.7708</v>
      </c>
      <c r="BH28" s="135">
        <v>3.3366</v>
      </c>
      <c r="BI28" s="135">
        <v>0.1391</v>
      </c>
      <c r="BJ28" s="135">
        <v>2.0262</v>
      </c>
      <c r="BK28" s="135">
        <v>0.0619</v>
      </c>
      <c r="BL28" s="135">
        <v>1.9644</v>
      </c>
      <c r="BM28" s="135">
        <v>2.2621</v>
      </c>
      <c r="BN28" s="135">
        <v>0.0943</v>
      </c>
      <c r="BO28" s="135">
        <v>1.5984</v>
      </c>
      <c r="BP28" s="135">
        <v>0.0445</v>
      </c>
      <c r="BQ28" s="135">
        <v>1.5539</v>
      </c>
      <c r="BR28" s="135">
        <v>1.3453</v>
      </c>
      <c r="BS28" s="135">
        <v>1.4791</v>
      </c>
      <c r="BT28" s="135">
        <v>0.0339</v>
      </c>
      <c r="BU28" s="135">
        <v>1.4452</v>
      </c>
      <c r="BV28" s="135">
        <v>1.2387</v>
      </c>
      <c r="BW28" s="135">
        <v>0.8247</v>
      </c>
      <c r="BX28" s="135">
        <v>0.053</v>
      </c>
      <c r="BY28" s="135">
        <v>0.7717</v>
      </c>
      <c r="BZ28" s="135">
        <v>0.7526</v>
      </c>
      <c r="CA28" s="135">
        <v>0.3901</v>
      </c>
      <c r="CB28" s="135">
        <v>0.0161</v>
      </c>
      <c r="CC28" s="135">
        <v>0.374</v>
      </c>
      <c r="CD28" s="135">
        <v>0.4525</v>
      </c>
      <c r="CE28" s="135">
        <v>0.7948</v>
      </c>
      <c r="CF28" s="135">
        <v>0.0229</v>
      </c>
      <c r="CG28" s="135">
        <v>0.7719</v>
      </c>
      <c r="CH28" s="135">
        <v>0.8869</v>
      </c>
      <c r="CI28" s="135">
        <v>0.8414</v>
      </c>
      <c r="CJ28" s="135">
        <v>0.0229</v>
      </c>
      <c r="CK28" s="135">
        <v>0.8185</v>
      </c>
      <c r="CL28" s="135">
        <v>0.9227</v>
      </c>
      <c r="CM28" s="135">
        <v>220.33</v>
      </c>
      <c r="CN28" s="135">
        <v>87.43</v>
      </c>
      <c r="CO28" s="135">
        <v>252.0</v>
      </c>
      <c r="CP28" s="135">
        <v>207.9</v>
      </c>
      <c r="CQ28" s="135">
        <v>0.0</v>
      </c>
      <c r="CR28" s="135">
        <v>5.22</v>
      </c>
      <c r="CS28" s="135">
        <v>7.21</v>
      </c>
      <c r="CT28" s="135">
        <v>0.0</v>
      </c>
      <c r="CU28" s="135">
        <v>0.0</v>
      </c>
      <c r="CV28" s="135">
        <v>0.0</v>
      </c>
      <c r="CW28" s="135">
        <v>82.0</v>
      </c>
      <c r="CX28" s="135">
        <v>0.0</v>
      </c>
      <c r="CY28" s="135">
        <v>0.0</v>
      </c>
      <c r="CZ28" s="135">
        <v>134.06</v>
      </c>
      <c r="DA28" s="135">
        <v>1.55</v>
      </c>
      <c r="DB28" s="135">
        <v>132.51</v>
      </c>
      <c r="DC28" s="135">
        <v>125.72</v>
      </c>
      <c r="DD28" s="135">
        <v>0.65</v>
      </c>
      <c r="DE28" s="135">
        <v>125.07</v>
      </c>
      <c r="DF28" s="135">
        <v>4.0</v>
      </c>
      <c r="DG28" s="135">
        <v>0.3</v>
      </c>
      <c r="DH28" s="135">
        <v>3.7</v>
      </c>
      <c r="DI28" s="135">
        <v>3.29</v>
      </c>
      <c r="DJ28" s="135">
        <v>0.3</v>
      </c>
      <c r="DK28" s="135">
        <v>2.99</v>
      </c>
      <c r="DL28" s="135">
        <v>1.05</v>
      </c>
      <c r="DM28" s="135">
        <v>0.3</v>
      </c>
      <c r="DN28" s="135">
        <v>0.75</v>
      </c>
    </row>
    <row r="29" ht="15.75" customHeight="1">
      <c r="A29" s="209">
        <v>46257.0</v>
      </c>
      <c r="B29" s="210" t="s">
        <v>4</v>
      </c>
      <c r="C29" s="210" t="s">
        <v>144</v>
      </c>
      <c r="D29" s="210">
        <v>4742.0</v>
      </c>
      <c r="E29" s="210">
        <v>17.8</v>
      </c>
      <c r="F29" s="210">
        <v>720.39</v>
      </c>
      <c r="G29" s="210">
        <v>0.1519</v>
      </c>
      <c r="H29" s="210">
        <v>3.46</v>
      </c>
      <c r="I29" s="210">
        <v>4.3926</v>
      </c>
      <c r="J29" s="210">
        <v>67.72</v>
      </c>
      <c r="K29" s="210">
        <v>39.2</v>
      </c>
      <c r="L29" s="210">
        <v>26.23</v>
      </c>
      <c r="M29" s="210">
        <v>0.669</v>
      </c>
      <c r="N29" s="210">
        <v>0.4615</v>
      </c>
      <c r="O29" s="210">
        <v>0.2832</v>
      </c>
      <c r="P29" s="210">
        <v>1.4947</v>
      </c>
      <c r="Q29" s="210">
        <v>139.05</v>
      </c>
      <c r="R29" s="210">
        <v>115.18</v>
      </c>
      <c r="S29" s="210">
        <v>23.88</v>
      </c>
      <c r="T29" s="210">
        <v>11.71</v>
      </c>
      <c r="U29" s="210">
        <v>127.34</v>
      </c>
      <c r="V29" s="210">
        <v>152.61</v>
      </c>
      <c r="W29" s="210">
        <v>3.8933</v>
      </c>
      <c r="X29" s="210">
        <v>8.42</v>
      </c>
      <c r="Y29" s="210">
        <v>239.0</v>
      </c>
      <c r="Z29" s="210">
        <v>495.0</v>
      </c>
      <c r="AA29" s="210">
        <v>1318.0</v>
      </c>
      <c r="AB29" s="210">
        <v>53.6866</v>
      </c>
      <c r="AC29" s="210">
        <v>0.7537</v>
      </c>
      <c r="AD29" s="210">
        <v>16.65</v>
      </c>
      <c r="AE29" s="210">
        <v>7.0</v>
      </c>
      <c r="AF29" s="210">
        <v>13.0</v>
      </c>
      <c r="AG29" s="210">
        <v>23.0</v>
      </c>
      <c r="AH29" s="210">
        <v>34.0</v>
      </c>
      <c r="AI29" s="210">
        <v>58.69</v>
      </c>
      <c r="AJ29" s="210">
        <v>20.67</v>
      </c>
      <c r="AK29" s="210">
        <v>4.83</v>
      </c>
      <c r="AL29" s="210">
        <v>0.2847</v>
      </c>
      <c r="AM29" s="211"/>
      <c r="AQ29" s="135">
        <v>9.4975</v>
      </c>
      <c r="AR29" s="135">
        <v>0.151</v>
      </c>
      <c r="AS29" s="135">
        <v>9.3465</v>
      </c>
      <c r="AT29" s="135">
        <v>9.445</v>
      </c>
      <c r="AU29" s="135">
        <v>0.2409</v>
      </c>
      <c r="AV29" s="135">
        <v>4742.0</v>
      </c>
      <c r="AW29" s="135">
        <v>0.0</v>
      </c>
      <c r="AX29" s="135">
        <v>68.44</v>
      </c>
      <c r="AY29" s="135">
        <v>53.95</v>
      </c>
      <c r="AZ29" s="135">
        <v>2.65</v>
      </c>
      <c r="BA29" s="135">
        <v>11.71</v>
      </c>
      <c r="BB29" s="135">
        <v>2.3</v>
      </c>
      <c r="BC29" s="135">
        <v>65.0</v>
      </c>
      <c r="BD29" s="135">
        <v>16783.0</v>
      </c>
      <c r="BE29" s="135">
        <v>6.0093</v>
      </c>
      <c r="BF29" s="135">
        <v>0.0658</v>
      </c>
      <c r="BG29" s="135">
        <v>5.9435</v>
      </c>
      <c r="BH29" s="135">
        <v>5.241</v>
      </c>
      <c r="BI29" s="135">
        <v>0.1337</v>
      </c>
      <c r="BJ29" s="135">
        <v>3.4882</v>
      </c>
      <c r="BK29" s="135">
        <v>0.0852</v>
      </c>
      <c r="BL29" s="135">
        <v>3.403</v>
      </c>
      <c r="BM29" s="135">
        <v>4.2039</v>
      </c>
      <c r="BN29" s="135">
        <v>0.1072</v>
      </c>
      <c r="BO29" s="135">
        <v>2.2254</v>
      </c>
      <c r="BP29" s="135">
        <v>0.0232</v>
      </c>
      <c r="BQ29" s="135">
        <v>2.2022</v>
      </c>
      <c r="BR29" s="135">
        <v>1.9639</v>
      </c>
      <c r="BS29" s="135">
        <v>2.2356</v>
      </c>
      <c r="BT29" s="135">
        <v>0.0188</v>
      </c>
      <c r="BU29" s="135">
        <v>2.2168</v>
      </c>
      <c r="BV29" s="135">
        <v>1.9224</v>
      </c>
      <c r="BW29" s="135">
        <v>1.5483</v>
      </c>
      <c r="BX29" s="135">
        <v>0.0238</v>
      </c>
      <c r="BY29" s="135">
        <v>1.5245</v>
      </c>
      <c r="BZ29" s="135">
        <v>1.3547</v>
      </c>
      <c r="CA29" s="135">
        <v>0.7704</v>
      </c>
      <c r="CB29" s="135">
        <v>0.02</v>
      </c>
      <c r="CC29" s="135">
        <v>0.7503</v>
      </c>
      <c r="CD29" s="135">
        <v>1.1272</v>
      </c>
      <c r="CE29" s="135">
        <v>1.3047</v>
      </c>
      <c r="CF29" s="135">
        <v>0.0335</v>
      </c>
      <c r="CG29" s="135">
        <v>1.2712</v>
      </c>
      <c r="CH29" s="135">
        <v>1.4785</v>
      </c>
      <c r="CI29" s="135">
        <v>1.4131</v>
      </c>
      <c r="CJ29" s="135">
        <v>0.0316</v>
      </c>
      <c r="CK29" s="135">
        <v>1.3815</v>
      </c>
      <c r="CL29" s="135">
        <v>1.5983</v>
      </c>
      <c r="CM29" s="135">
        <v>379.44</v>
      </c>
      <c r="CN29" s="135">
        <v>95.34</v>
      </c>
      <c r="CO29" s="135">
        <v>397.99</v>
      </c>
      <c r="CP29" s="135">
        <v>362.39</v>
      </c>
      <c r="CQ29" s="135">
        <v>0.0</v>
      </c>
      <c r="CR29" s="135">
        <v>5.27</v>
      </c>
      <c r="CS29" s="135">
        <v>11.78</v>
      </c>
      <c r="CT29" s="135">
        <v>0.0</v>
      </c>
      <c r="CU29" s="135">
        <v>0.0</v>
      </c>
      <c r="CV29" s="135">
        <v>0.0</v>
      </c>
      <c r="CW29" s="135">
        <v>139.05</v>
      </c>
      <c r="CX29" s="135">
        <v>0.0</v>
      </c>
      <c r="CY29" s="135">
        <v>0.0</v>
      </c>
      <c r="CZ29" s="135">
        <v>193.05</v>
      </c>
      <c r="DA29" s="135">
        <v>2.52</v>
      </c>
      <c r="DB29" s="135">
        <v>190.53</v>
      </c>
      <c r="DC29" s="135">
        <v>180.51</v>
      </c>
      <c r="DD29" s="135">
        <v>0.7</v>
      </c>
      <c r="DE29" s="135">
        <v>179.81</v>
      </c>
      <c r="DF29" s="135">
        <v>6.56</v>
      </c>
      <c r="DG29" s="135">
        <v>0.61</v>
      </c>
      <c r="DH29" s="135">
        <v>5.95</v>
      </c>
      <c r="DI29" s="135">
        <v>4.58</v>
      </c>
      <c r="DJ29" s="135">
        <v>0.61</v>
      </c>
      <c r="DK29" s="135">
        <v>3.97</v>
      </c>
      <c r="DL29" s="135">
        <v>1.4</v>
      </c>
      <c r="DM29" s="135">
        <v>0.61</v>
      </c>
      <c r="DN29" s="135">
        <v>0.8</v>
      </c>
    </row>
    <row r="30" ht="15.75" customHeight="1">
      <c r="A30" s="209">
        <v>46257.0</v>
      </c>
      <c r="B30" s="210" t="s">
        <v>4</v>
      </c>
      <c r="C30" s="210" t="s">
        <v>145</v>
      </c>
      <c r="D30" s="210">
        <v>2704.0</v>
      </c>
      <c r="E30" s="210">
        <v>10.15</v>
      </c>
      <c r="F30" s="210">
        <v>1128.41</v>
      </c>
      <c r="G30" s="210">
        <v>0.4173</v>
      </c>
      <c r="H30" s="210">
        <v>5.95</v>
      </c>
      <c r="I30" s="210">
        <v>7.0088</v>
      </c>
      <c r="J30" s="210">
        <v>120.12</v>
      </c>
      <c r="K30" s="210">
        <v>73.67</v>
      </c>
      <c r="L30" s="210">
        <v>53.51</v>
      </c>
      <c r="M30" s="210">
        <v>0.7264</v>
      </c>
      <c r="N30" s="210">
        <v>0.4014</v>
      </c>
      <c r="O30" s="210">
        <v>0.2491</v>
      </c>
      <c r="P30" s="210">
        <v>1.3767</v>
      </c>
      <c r="Q30" s="210">
        <v>265.24</v>
      </c>
      <c r="R30" s="210">
        <v>217.11</v>
      </c>
      <c r="S30" s="210">
        <v>48.13</v>
      </c>
      <c r="T30" s="210">
        <v>40.33</v>
      </c>
      <c r="U30" s="210">
        <v>224.91</v>
      </c>
      <c r="V30" s="210">
        <v>297.45</v>
      </c>
      <c r="W30" s="210">
        <v>4.0376</v>
      </c>
      <c r="X30" s="210">
        <v>15.21</v>
      </c>
      <c r="Y30" s="210">
        <v>276.0</v>
      </c>
      <c r="Z30" s="210">
        <v>623.0</v>
      </c>
      <c r="AA30" s="210">
        <v>1753.0</v>
      </c>
      <c r="AB30" s="210">
        <v>55.5979</v>
      </c>
      <c r="AC30" s="210">
        <v>0.7925</v>
      </c>
      <c r="AD30" s="210">
        <v>29.79</v>
      </c>
      <c r="AE30" s="210">
        <v>12.0</v>
      </c>
      <c r="AF30" s="210">
        <v>22.0</v>
      </c>
      <c r="AG30" s="210">
        <v>41.0</v>
      </c>
      <c r="AH30" s="210">
        <v>62.0</v>
      </c>
      <c r="AI30" s="210">
        <v>40.38</v>
      </c>
      <c r="AJ30" s="210">
        <v>10.95</v>
      </c>
      <c r="AK30" s="210">
        <v>2.55</v>
      </c>
      <c r="AL30" s="210">
        <v>0.1775</v>
      </c>
      <c r="AM30" s="211"/>
      <c r="AQ30" s="135">
        <v>16.1342</v>
      </c>
      <c r="AR30" s="135">
        <v>0.4704</v>
      </c>
      <c r="AS30" s="135">
        <v>15.6638</v>
      </c>
      <c r="AT30" s="135">
        <v>17.0618</v>
      </c>
      <c r="AU30" s="135">
        <v>0.2316</v>
      </c>
      <c r="AV30" s="135">
        <v>2704.0</v>
      </c>
      <c r="AW30" s="135">
        <v>0.0</v>
      </c>
      <c r="AX30" s="135">
        <v>123.17</v>
      </c>
      <c r="AY30" s="135">
        <v>92.66</v>
      </c>
      <c r="AZ30" s="135">
        <v>4.09</v>
      </c>
      <c r="BA30" s="135">
        <v>40.33</v>
      </c>
      <c r="BB30" s="135">
        <v>4.98</v>
      </c>
      <c r="BC30" s="135">
        <v>122.0</v>
      </c>
      <c r="BD30" s="135">
        <v>15074.0</v>
      </c>
      <c r="BE30" s="135">
        <v>9.5192</v>
      </c>
      <c r="BF30" s="135">
        <v>0.2041</v>
      </c>
      <c r="BG30" s="135">
        <v>9.3151</v>
      </c>
      <c r="BH30" s="135">
        <v>8.7811</v>
      </c>
      <c r="BI30" s="135">
        <v>0.1192</v>
      </c>
      <c r="BJ30" s="135">
        <v>6.615</v>
      </c>
      <c r="BK30" s="135">
        <v>0.2663</v>
      </c>
      <c r="BL30" s="135">
        <v>6.3487</v>
      </c>
      <c r="BM30" s="135">
        <v>8.2807</v>
      </c>
      <c r="BN30" s="135">
        <v>0.1124</v>
      </c>
      <c r="BO30" s="135">
        <v>3.3728</v>
      </c>
      <c r="BP30" s="135">
        <v>0.0677</v>
      </c>
      <c r="BQ30" s="135">
        <v>3.3051</v>
      </c>
      <c r="BR30" s="135">
        <v>3.1165</v>
      </c>
      <c r="BS30" s="135">
        <v>3.4667</v>
      </c>
      <c r="BT30" s="135">
        <v>0.0677</v>
      </c>
      <c r="BU30" s="135">
        <v>3.399</v>
      </c>
      <c r="BV30" s="135">
        <v>3.2234</v>
      </c>
      <c r="BW30" s="135">
        <v>2.6797</v>
      </c>
      <c r="BX30" s="135">
        <v>0.0688</v>
      </c>
      <c r="BY30" s="135">
        <v>2.6109</v>
      </c>
      <c r="BZ30" s="135">
        <v>2.4412</v>
      </c>
      <c r="CA30" s="135">
        <v>1.7396</v>
      </c>
      <c r="CB30" s="135">
        <v>0.0806</v>
      </c>
      <c r="CC30" s="135">
        <v>1.659</v>
      </c>
      <c r="CD30" s="135">
        <v>2.6391</v>
      </c>
      <c r="CE30" s="135">
        <v>2.307</v>
      </c>
      <c r="CF30" s="135">
        <v>0.0995</v>
      </c>
      <c r="CG30" s="135">
        <v>2.2075</v>
      </c>
      <c r="CH30" s="135">
        <v>2.4786</v>
      </c>
      <c r="CI30" s="135">
        <v>2.5684</v>
      </c>
      <c r="CJ30" s="135">
        <v>0.0862</v>
      </c>
      <c r="CK30" s="135">
        <v>2.4822</v>
      </c>
      <c r="CL30" s="135">
        <v>3.1631</v>
      </c>
      <c r="CM30" s="135">
        <v>711.4</v>
      </c>
      <c r="CN30" s="135">
        <v>98.85</v>
      </c>
      <c r="CO30" s="135">
        <v>719.65</v>
      </c>
      <c r="CP30" s="135">
        <v>688.63</v>
      </c>
      <c r="CQ30" s="135">
        <v>0.0</v>
      </c>
      <c r="CR30" s="135">
        <v>7.57</v>
      </c>
      <c r="CS30" s="135">
        <v>15.2</v>
      </c>
      <c r="CT30" s="135">
        <v>0.0</v>
      </c>
      <c r="CU30" s="135">
        <v>0.0</v>
      </c>
      <c r="CV30" s="135">
        <v>0.0</v>
      </c>
      <c r="CW30" s="135">
        <v>265.24</v>
      </c>
      <c r="CX30" s="135">
        <v>0.0</v>
      </c>
      <c r="CY30" s="135">
        <v>0.0</v>
      </c>
      <c r="CZ30" s="135">
        <v>315.11</v>
      </c>
      <c r="DA30" s="135">
        <v>6.59</v>
      </c>
      <c r="DB30" s="135">
        <v>308.52</v>
      </c>
      <c r="DC30" s="135">
        <v>295.08</v>
      </c>
      <c r="DD30" s="135">
        <v>2.57</v>
      </c>
      <c r="DE30" s="135">
        <v>292.51</v>
      </c>
      <c r="DF30" s="135">
        <v>9.65</v>
      </c>
      <c r="DG30" s="135">
        <v>1.34</v>
      </c>
      <c r="DH30" s="135">
        <v>8.31</v>
      </c>
      <c r="DI30" s="135">
        <v>8.03</v>
      </c>
      <c r="DJ30" s="135">
        <v>1.34</v>
      </c>
      <c r="DK30" s="135">
        <v>6.69</v>
      </c>
      <c r="DL30" s="135">
        <v>2.35</v>
      </c>
      <c r="DM30" s="135">
        <v>1.34</v>
      </c>
      <c r="DN30" s="135">
        <v>1.01</v>
      </c>
    </row>
    <row r="31" ht="15.75" customHeight="1">
      <c r="A31" s="209">
        <v>46257.0</v>
      </c>
      <c r="B31" s="210" t="s">
        <v>4</v>
      </c>
      <c r="C31" s="210" t="s">
        <v>146</v>
      </c>
      <c r="D31" s="210">
        <v>383.0</v>
      </c>
      <c r="E31" s="210">
        <v>1.44</v>
      </c>
      <c r="F31" s="210">
        <v>527.16</v>
      </c>
      <c r="G31" s="210">
        <v>1.3764</v>
      </c>
      <c r="H31" s="210">
        <v>8.62</v>
      </c>
      <c r="I31" s="210">
        <v>15.9745</v>
      </c>
      <c r="J31" s="210">
        <v>258.8</v>
      </c>
      <c r="K31" s="210">
        <v>172.08</v>
      </c>
      <c r="L31" s="210">
        <v>131.34</v>
      </c>
      <c r="M31" s="210">
        <v>0.7633</v>
      </c>
      <c r="N31" s="210">
        <v>0.338</v>
      </c>
      <c r="O31" s="210">
        <v>0.2083</v>
      </c>
      <c r="P31" s="210">
        <v>1.3102</v>
      </c>
      <c r="Q31" s="210">
        <v>525.2</v>
      </c>
      <c r="R31" s="210">
        <v>397.64</v>
      </c>
      <c r="S31" s="210">
        <v>127.56</v>
      </c>
      <c r="T31" s="210">
        <v>113.58</v>
      </c>
      <c r="U31" s="210">
        <v>411.63</v>
      </c>
      <c r="V31" s="210">
        <v>577.94</v>
      </c>
      <c r="W31" s="210">
        <v>3.3585</v>
      </c>
      <c r="X31" s="210">
        <v>21.63</v>
      </c>
      <c r="Y31" s="210">
        <v>334.0</v>
      </c>
      <c r="Z31" s="210">
        <v>813.0</v>
      </c>
      <c r="AA31" s="210">
        <v>2033.0</v>
      </c>
      <c r="AB31" s="210">
        <v>56.6883</v>
      </c>
      <c r="AC31" s="210">
        <v>0.8097</v>
      </c>
      <c r="AD31" s="210">
        <v>53.7</v>
      </c>
      <c r="AE31" s="210">
        <v>21.0</v>
      </c>
      <c r="AF31" s="210">
        <v>37.0</v>
      </c>
      <c r="AG31" s="210">
        <v>69.0</v>
      </c>
      <c r="AH31" s="210">
        <v>119.0</v>
      </c>
      <c r="AI31" s="210">
        <v>20.89</v>
      </c>
      <c r="AJ31" s="210">
        <v>3.39</v>
      </c>
      <c r="AK31" s="210">
        <v>0.52</v>
      </c>
      <c r="AL31" s="210">
        <v>0.0966</v>
      </c>
      <c r="AM31" s="211"/>
      <c r="AQ31" s="135">
        <v>33.1462</v>
      </c>
      <c r="AR31" s="135">
        <v>1.7076</v>
      </c>
      <c r="AS31" s="135">
        <v>31.4386</v>
      </c>
      <c r="AT31" s="135">
        <v>30.7624</v>
      </c>
      <c r="AU31" s="135">
        <v>0.1788</v>
      </c>
      <c r="AV31" s="135">
        <v>383.0</v>
      </c>
      <c r="AW31" s="135">
        <v>0.0</v>
      </c>
      <c r="AX31" s="135">
        <v>295.14</v>
      </c>
      <c r="AY31" s="135">
        <v>99.7</v>
      </c>
      <c r="AZ31" s="135">
        <v>7.32</v>
      </c>
      <c r="BA31" s="135">
        <v>113.58</v>
      </c>
      <c r="BB31" s="135">
        <v>9.46</v>
      </c>
      <c r="BC31" s="135">
        <v>239.0</v>
      </c>
      <c r="BD31" s="135">
        <v>18780.0</v>
      </c>
      <c r="BE31" s="135">
        <v>19.5901</v>
      </c>
      <c r="BF31" s="135">
        <v>0.893</v>
      </c>
      <c r="BG31" s="135">
        <v>18.6971</v>
      </c>
      <c r="BH31" s="135">
        <v>17.0757</v>
      </c>
      <c r="BI31" s="135">
        <v>0.0992</v>
      </c>
      <c r="BJ31" s="135">
        <v>13.5561</v>
      </c>
      <c r="BK31" s="135">
        <v>0.8146</v>
      </c>
      <c r="BL31" s="135">
        <v>12.7415</v>
      </c>
      <c r="BM31" s="135">
        <v>13.6867</v>
      </c>
      <c r="BN31" s="135">
        <v>0.0795</v>
      </c>
      <c r="BO31" s="135">
        <v>6.8616</v>
      </c>
      <c r="BP31" s="135">
        <v>0.2898</v>
      </c>
      <c r="BQ31" s="135">
        <v>6.5718</v>
      </c>
      <c r="BR31" s="135">
        <v>5.9791</v>
      </c>
      <c r="BS31" s="135">
        <v>7.2454</v>
      </c>
      <c r="BT31" s="135">
        <v>0.2977</v>
      </c>
      <c r="BU31" s="135">
        <v>6.9478</v>
      </c>
      <c r="BV31" s="135">
        <v>6.1488</v>
      </c>
      <c r="BW31" s="135">
        <v>5.483</v>
      </c>
      <c r="BX31" s="135">
        <v>0.3055</v>
      </c>
      <c r="BY31" s="135">
        <v>5.1775</v>
      </c>
      <c r="BZ31" s="135">
        <v>4.9478</v>
      </c>
      <c r="CA31" s="135">
        <v>3.7206</v>
      </c>
      <c r="CB31" s="135">
        <v>0.2533</v>
      </c>
      <c r="CC31" s="135">
        <v>3.4674</v>
      </c>
      <c r="CD31" s="135">
        <v>4.0757</v>
      </c>
      <c r="CE31" s="135">
        <v>4.5326</v>
      </c>
      <c r="CF31" s="135">
        <v>0.2846</v>
      </c>
      <c r="CG31" s="135">
        <v>4.248</v>
      </c>
      <c r="CH31" s="135">
        <v>4.483</v>
      </c>
      <c r="CI31" s="135">
        <v>5.3029</v>
      </c>
      <c r="CJ31" s="135">
        <v>0.2768</v>
      </c>
      <c r="CK31" s="135">
        <v>5.0261</v>
      </c>
      <c r="CL31" s="135">
        <v>5.1279</v>
      </c>
      <c r="CM31" s="135">
        <v>1591.69</v>
      </c>
      <c r="CN31" s="135">
        <v>100.0</v>
      </c>
      <c r="CO31" s="135">
        <v>1591.69</v>
      </c>
      <c r="CP31" s="135">
        <v>1566.02</v>
      </c>
      <c r="CQ31" s="135">
        <v>0.0</v>
      </c>
      <c r="CR31" s="135">
        <v>10.55</v>
      </c>
      <c r="CS31" s="135">
        <v>15.13</v>
      </c>
      <c r="CT31" s="135">
        <v>0.0</v>
      </c>
      <c r="CU31" s="135">
        <v>0.0</v>
      </c>
      <c r="CV31" s="135">
        <v>0.0</v>
      </c>
      <c r="CW31" s="135">
        <v>525.2</v>
      </c>
      <c r="CX31" s="135">
        <v>0.0</v>
      </c>
      <c r="CY31" s="135">
        <v>0.0</v>
      </c>
      <c r="CZ31" s="135">
        <v>575.84</v>
      </c>
      <c r="DA31" s="135">
        <v>9.58</v>
      </c>
      <c r="DB31" s="135">
        <v>566.25</v>
      </c>
      <c r="DC31" s="135">
        <v>556.8</v>
      </c>
      <c r="DD31" s="135">
        <v>7.39</v>
      </c>
      <c r="DE31" s="135">
        <v>549.41</v>
      </c>
      <c r="DF31" s="135">
        <v>8.94</v>
      </c>
      <c r="DG31" s="135">
        <v>0.73</v>
      </c>
      <c r="DH31" s="135">
        <v>8.21</v>
      </c>
      <c r="DI31" s="135">
        <v>8.13</v>
      </c>
      <c r="DJ31" s="135">
        <v>0.73</v>
      </c>
      <c r="DK31" s="135">
        <v>7.4</v>
      </c>
      <c r="DL31" s="135">
        <v>1.96</v>
      </c>
      <c r="DM31" s="135">
        <v>0.73</v>
      </c>
      <c r="DN31" s="135">
        <v>1.23</v>
      </c>
    </row>
    <row r="32" ht="15.75" customHeight="1">
      <c r="A32" s="209">
        <v>46257.0</v>
      </c>
      <c r="B32" s="210" t="s">
        <v>5</v>
      </c>
      <c r="C32" s="210" t="s">
        <v>398</v>
      </c>
      <c r="D32" s="210">
        <v>5733.0</v>
      </c>
      <c r="E32" s="210">
        <v>21.83</v>
      </c>
      <c r="F32" s="210">
        <v>543.28</v>
      </c>
      <c r="G32" s="210">
        <v>0.0948</v>
      </c>
      <c r="H32" s="210">
        <v>1.36</v>
      </c>
      <c r="I32" s="210">
        <v>6.9651</v>
      </c>
      <c r="J32" s="210">
        <v>22.71</v>
      </c>
      <c r="K32" s="210">
        <v>12.45</v>
      </c>
      <c r="L32" s="210">
        <v>8.45</v>
      </c>
      <c r="M32" s="210">
        <v>0.6785</v>
      </c>
      <c r="N32" s="210">
        <v>0.4419</v>
      </c>
      <c r="O32" s="210">
        <v>0.2136</v>
      </c>
      <c r="P32" s="210">
        <v>1.4739</v>
      </c>
      <c r="Q32" s="210">
        <v>61.32</v>
      </c>
      <c r="R32" s="210">
        <v>61.25</v>
      </c>
      <c r="S32" s="210">
        <v>0.07</v>
      </c>
      <c r="T32" s="210">
        <v>8.34</v>
      </c>
      <c r="U32" s="210">
        <v>52.98</v>
      </c>
      <c r="V32" s="210">
        <v>52.55</v>
      </c>
      <c r="W32" s="210">
        <v>4.2198</v>
      </c>
      <c r="X32" s="210">
        <v>13.6</v>
      </c>
      <c r="Y32" s="210">
        <v>200.0</v>
      </c>
      <c r="Z32" s="210">
        <v>404.0</v>
      </c>
      <c r="AA32" s="210">
        <v>2742.0</v>
      </c>
      <c r="AB32" s="210">
        <v>49.6639</v>
      </c>
      <c r="AC32" s="210">
        <v>0.4693</v>
      </c>
      <c r="AD32" s="211"/>
      <c r="AE32" s="211"/>
      <c r="AF32" s="211"/>
      <c r="AG32" s="211"/>
      <c r="AH32" s="211"/>
      <c r="AI32" s="210">
        <v>0.0</v>
      </c>
      <c r="AJ32" s="210">
        <v>0.0</v>
      </c>
      <c r="AK32" s="210">
        <v>0.0</v>
      </c>
      <c r="AL32" s="210">
        <v>0.5067</v>
      </c>
      <c r="AM32" s="210">
        <v>10.36</v>
      </c>
      <c r="AN32" s="135">
        <v>10.36</v>
      </c>
      <c r="AO32" s="135">
        <v>6.68</v>
      </c>
      <c r="AP32" s="135">
        <v>4.05</v>
      </c>
      <c r="AQ32" s="135">
        <v>1.6579</v>
      </c>
      <c r="AR32" s="135">
        <v>0.0637</v>
      </c>
      <c r="AS32" s="135">
        <v>1.5943</v>
      </c>
      <c r="AT32" s="135">
        <v>1.6703</v>
      </c>
      <c r="AU32" s="135">
        <v>0.1341</v>
      </c>
      <c r="AV32" s="135">
        <v>5733.0</v>
      </c>
      <c r="AW32" s="135">
        <v>0.0</v>
      </c>
      <c r="AX32" s="135">
        <v>10.23</v>
      </c>
      <c r="AY32" s="135">
        <v>39.52</v>
      </c>
      <c r="AZ32" s="135">
        <v>3.07</v>
      </c>
      <c r="BA32" s="135">
        <v>8.34</v>
      </c>
      <c r="BB32" s="135">
        <v>0.16</v>
      </c>
      <c r="BD32" s="135">
        <v>26982.0</v>
      </c>
      <c r="BE32" s="135">
        <v>0.7971</v>
      </c>
      <c r="BF32" s="135">
        <v>0.0256</v>
      </c>
      <c r="BG32" s="135">
        <v>0.7715</v>
      </c>
      <c r="BH32" s="135">
        <v>0.831</v>
      </c>
      <c r="BI32" s="135">
        <v>0.0667</v>
      </c>
      <c r="BJ32" s="135">
        <v>0.8608</v>
      </c>
      <c r="BK32" s="135">
        <v>0.038</v>
      </c>
      <c r="BL32" s="135">
        <v>0.8228</v>
      </c>
      <c r="BM32" s="135">
        <v>0.8394</v>
      </c>
      <c r="BN32" s="135">
        <v>0.0674</v>
      </c>
      <c r="BO32" s="135">
        <v>0.3246</v>
      </c>
      <c r="BP32" s="135">
        <v>0.0089</v>
      </c>
      <c r="BQ32" s="135">
        <v>0.3157</v>
      </c>
      <c r="BR32" s="135">
        <v>0.3328</v>
      </c>
      <c r="BS32" s="135">
        <v>0.2805</v>
      </c>
      <c r="BT32" s="135">
        <v>0.0084</v>
      </c>
      <c r="BU32" s="135">
        <v>0.2721</v>
      </c>
      <c r="BV32" s="135">
        <v>0.2906</v>
      </c>
      <c r="BW32" s="135">
        <v>0.192</v>
      </c>
      <c r="BX32" s="135">
        <v>0.0084</v>
      </c>
      <c r="BY32" s="135">
        <v>0.1837</v>
      </c>
      <c r="BZ32" s="135">
        <v>0.2076</v>
      </c>
      <c r="CA32" s="135">
        <v>0.2009</v>
      </c>
      <c r="CB32" s="135">
        <v>0.0091</v>
      </c>
      <c r="CC32" s="135">
        <v>0.1919</v>
      </c>
      <c r="CD32" s="135">
        <v>0.22</v>
      </c>
      <c r="CE32" s="135">
        <v>0.3748</v>
      </c>
      <c r="CF32" s="135">
        <v>0.015</v>
      </c>
      <c r="CG32" s="135">
        <v>0.3598</v>
      </c>
      <c r="CH32" s="135">
        <v>0.3124</v>
      </c>
      <c r="CI32" s="135">
        <v>0.285</v>
      </c>
      <c r="CJ32" s="135">
        <v>0.014</v>
      </c>
      <c r="CK32" s="135">
        <v>0.2711</v>
      </c>
      <c r="CL32" s="135">
        <v>0.307</v>
      </c>
      <c r="CM32" s="135">
        <v>106.96</v>
      </c>
      <c r="CN32" s="135">
        <v>19.29</v>
      </c>
      <c r="CO32" s="135">
        <v>554.44</v>
      </c>
      <c r="CP32" s="135">
        <v>98.22</v>
      </c>
      <c r="CQ32" s="135">
        <v>0.01</v>
      </c>
      <c r="CR32" s="135">
        <v>2.02</v>
      </c>
      <c r="CS32" s="135">
        <v>6.71</v>
      </c>
      <c r="CT32" s="135">
        <v>0.0</v>
      </c>
      <c r="CU32" s="135">
        <v>1075.0</v>
      </c>
      <c r="CV32" s="135">
        <v>0.0</v>
      </c>
      <c r="CW32" s="135">
        <v>61.32</v>
      </c>
      <c r="CX32" s="135">
        <v>0.0</v>
      </c>
      <c r="CY32" s="135">
        <v>0.01</v>
      </c>
      <c r="CZ32" s="135">
        <v>36.31</v>
      </c>
      <c r="DA32" s="135">
        <v>1.98</v>
      </c>
      <c r="DB32" s="135">
        <v>34.33</v>
      </c>
      <c r="DC32" s="135">
        <v>29.82</v>
      </c>
      <c r="DD32" s="135">
        <v>0.64</v>
      </c>
      <c r="DE32" s="135">
        <v>29.18</v>
      </c>
      <c r="DF32" s="135">
        <v>2.69</v>
      </c>
      <c r="DG32" s="135">
        <v>0.45</v>
      </c>
      <c r="DH32" s="135">
        <v>2.24</v>
      </c>
      <c r="DI32" s="135">
        <v>2.25</v>
      </c>
      <c r="DJ32" s="135">
        <v>0.45</v>
      </c>
      <c r="DK32" s="135">
        <v>1.8</v>
      </c>
      <c r="DL32" s="135">
        <v>1.55</v>
      </c>
      <c r="DM32" s="135">
        <v>0.45</v>
      </c>
      <c r="DN32" s="135">
        <v>1.1</v>
      </c>
    </row>
    <row r="33" ht="15.75" customHeight="1">
      <c r="A33" s="209">
        <v>46257.0</v>
      </c>
      <c r="B33" s="210" t="s">
        <v>5</v>
      </c>
      <c r="C33" s="210" t="s">
        <v>142</v>
      </c>
      <c r="D33" s="210">
        <v>7386.0</v>
      </c>
      <c r="E33" s="210">
        <v>28.12</v>
      </c>
      <c r="F33" s="210">
        <v>98.54</v>
      </c>
      <c r="G33" s="210">
        <v>0.0133</v>
      </c>
      <c r="H33" s="210">
        <v>0.64</v>
      </c>
      <c r="I33" s="210">
        <v>2.0966</v>
      </c>
      <c r="J33" s="210">
        <v>18.89</v>
      </c>
      <c r="K33" s="210">
        <v>10.06</v>
      </c>
      <c r="L33" s="210">
        <v>4.98</v>
      </c>
      <c r="M33" s="210">
        <v>0.4946</v>
      </c>
      <c r="N33" s="210">
        <v>0.6062</v>
      </c>
      <c r="O33" s="210">
        <v>0.3454</v>
      </c>
      <c r="P33" s="210">
        <v>2.022</v>
      </c>
      <c r="Q33" s="210">
        <v>34.7</v>
      </c>
      <c r="R33" s="210">
        <v>31.25</v>
      </c>
      <c r="S33" s="210">
        <v>3.44</v>
      </c>
      <c r="T33" s="210">
        <v>1.18</v>
      </c>
      <c r="U33" s="210">
        <v>33.52</v>
      </c>
      <c r="V33" s="210">
        <v>36.49</v>
      </c>
      <c r="W33" s="210">
        <v>3.6276</v>
      </c>
      <c r="X33" s="210">
        <v>3.39</v>
      </c>
      <c r="Y33" s="210">
        <v>200.0</v>
      </c>
      <c r="Z33" s="210">
        <v>324.0</v>
      </c>
      <c r="AA33" s="210">
        <v>1113.0</v>
      </c>
      <c r="AB33" s="210">
        <v>50.1055</v>
      </c>
      <c r="AC33" s="210">
        <v>0.6138</v>
      </c>
      <c r="AD33" s="210">
        <v>3.99</v>
      </c>
      <c r="AE33" s="210">
        <v>1.0</v>
      </c>
      <c r="AF33" s="210">
        <v>3.0</v>
      </c>
      <c r="AG33" s="210">
        <v>5.0</v>
      </c>
      <c r="AH33" s="210">
        <v>8.0</v>
      </c>
      <c r="AI33" s="210">
        <v>74.72</v>
      </c>
      <c r="AJ33" s="210">
        <v>34.29</v>
      </c>
      <c r="AK33" s="210">
        <v>5.89</v>
      </c>
      <c r="AL33" s="210">
        <v>0.547</v>
      </c>
      <c r="AM33" s="210">
        <v>37.34</v>
      </c>
      <c r="AN33" s="135">
        <v>37.34</v>
      </c>
      <c r="AO33" s="135">
        <v>18.55</v>
      </c>
      <c r="AP33" s="135">
        <v>5.33</v>
      </c>
      <c r="AQ33" s="135">
        <v>2.3563</v>
      </c>
      <c r="AR33" s="135">
        <v>0.0361</v>
      </c>
      <c r="AS33" s="135">
        <v>2.3202</v>
      </c>
      <c r="AT33" s="135">
        <v>2.2612</v>
      </c>
      <c r="AU33" s="135">
        <v>0.2248</v>
      </c>
      <c r="AV33" s="135">
        <v>7386.0</v>
      </c>
      <c r="AW33" s="135">
        <v>0.0</v>
      </c>
      <c r="AX33" s="135">
        <v>18.54</v>
      </c>
      <c r="AY33" s="135">
        <v>12.72</v>
      </c>
      <c r="AZ33" s="135">
        <v>1.7</v>
      </c>
      <c r="BA33" s="135">
        <v>1.18</v>
      </c>
      <c r="BB33" s="135">
        <v>0.55</v>
      </c>
      <c r="BC33" s="135">
        <v>16.0</v>
      </c>
      <c r="BD33" s="135">
        <v>16946.0</v>
      </c>
      <c r="BE33" s="135">
        <v>1.6679</v>
      </c>
      <c r="BF33" s="135">
        <v>0.0236</v>
      </c>
      <c r="BG33" s="135">
        <v>1.6443</v>
      </c>
      <c r="BH33" s="135">
        <v>1.3558</v>
      </c>
      <c r="BI33" s="135">
        <v>0.1348</v>
      </c>
      <c r="BJ33" s="135">
        <v>0.6885</v>
      </c>
      <c r="BK33" s="135">
        <v>0.0126</v>
      </c>
      <c r="BL33" s="135">
        <v>0.6759</v>
      </c>
      <c r="BM33" s="135">
        <v>0.9054</v>
      </c>
      <c r="BN33" s="135">
        <v>0.09</v>
      </c>
      <c r="BO33" s="135">
        <v>0.6902</v>
      </c>
      <c r="BP33" s="135">
        <v>0.0131</v>
      </c>
      <c r="BQ33" s="135">
        <v>0.6771</v>
      </c>
      <c r="BR33" s="135">
        <v>0.5554</v>
      </c>
      <c r="BS33" s="135">
        <v>0.7147</v>
      </c>
      <c r="BT33" s="135">
        <v>0.0042</v>
      </c>
      <c r="BU33" s="135">
        <v>0.7105</v>
      </c>
      <c r="BV33" s="135">
        <v>0.5366</v>
      </c>
      <c r="BW33" s="135">
        <v>0.2629</v>
      </c>
      <c r="BX33" s="135">
        <v>0.0062</v>
      </c>
      <c r="BY33" s="135">
        <v>0.2567</v>
      </c>
      <c r="BZ33" s="135">
        <v>0.2639</v>
      </c>
      <c r="CA33" s="135">
        <v>0.0845</v>
      </c>
      <c r="CB33" s="135">
        <v>0.0016</v>
      </c>
      <c r="CC33" s="135">
        <v>0.0829</v>
      </c>
      <c r="CD33" s="135">
        <v>0.1336</v>
      </c>
      <c r="CE33" s="135">
        <v>0.3413</v>
      </c>
      <c r="CF33" s="135">
        <v>0.0049</v>
      </c>
      <c r="CG33" s="135">
        <v>0.3364</v>
      </c>
      <c r="CH33" s="135">
        <v>0.4494</v>
      </c>
      <c r="CI33" s="135">
        <v>0.2627</v>
      </c>
      <c r="CJ33" s="135">
        <v>0.0061</v>
      </c>
      <c r="CK33" s="135">
        <v>0.2566</v>
      </c>
      <c r="CL33" s="135">
        <v>0.3224</v>
      </c>
      <c r="CM33" s="135">
        <v>98.86</v>
      </c>
      <c r="CN33" s="135">
        <v>69.0</v>
      </c>
      <c r="CO33" s="135">
        <v>143.29</v>
      </c>
      <c r="CP33" s="135">
        <v>91.57</v>
      </c>
      <c r="CQ33" s="135">
        <v>0.1</v>
      </c>
      <c r="CR33" s="135">
        <v>4.26</v>
      </c>
      <c r="CS33" s="135">
        <v>2.93</v>
      </c>
      <c r="CT33" s="135">
        <v>0.0</v>
      </c>
      <c r="CU33" s="135">
        <v>732.0</v>
      </c>
      <c r="CV33" s="135">
        <v>0.0</v>
      </c>
      <c r="CW33" s="135">
        <v>34.7</v>
      </c>
      <c r="CX33" s="135">
        <v>0.0</v>
      </c>
      <c r="CY33" s="135">
        <v>0.1</v>
      </c>
      <c r="CZ33" s="135">
        <v>68.62</v>
      </c>
      <c r="DA33" s="135">
        <v>0.21</v>
      </c>
      <c r="DB33" s="135">
        <v>68.41</v>
      </c>
      <c r="DC33" s="135">
        <v>61.72</v>
      </c>
      <c r="DD33" s="135">
        <v>0.05</v>
      </c>
      <c r="DE33" s="135">
        <v>61.67</v>
      </c>
      <c r="DF33" s="135">
        <v>3.57</v>
      </c>
      <c r="DG33" s="135">
        <v>0.05</v>
      </c>
      <c r="DH33" s="135">
        <v>3.52</v>
      </c>
      <c r="DI33" s="135">
        <v>2.89</v>
      </c>
      <c r="DJ33" s="135">
        <v>0.05</v>
      </c>
      <c r="DK33" s="135">
        <v>2.84</v>
      </c>
      <c r="DL33" s="135">
        <v>0.43</v>
      </c>
      <c r="DM33" s="135">
        <v>0.05</v>
      </c>
      <c r="DN33" s="135">
        <v>0.38</v>
      </c>
    </row>
    <row r="34" ht="15.75" customHeight="1">
      <c r="A34" s="209">
        <v>46257.0</v>
      </c>
      <c r="B34" s="210" t="s">
        <v>5</v>
      </c>
      <c r="C34" s="210" t="s">
        <v>143</v>
      </c>
      <c r="D34" s="210">
        <v>5770.0</v>
      </c>
      <c r="E34" s="210">
        <v>21.97</v>
      </c>
      <c r="F34" s="210">
        <v>441.61</v>
      </c>
      <c r="G34" s="210">
        <v>0.0765</v>
      </c>
      <c r="H34" s="210">
        <v>2.48</v>
      </c>
      <c r="I34" s="210">
        <v>3.0882</v>
      </c>
      <c r="J34" s="210">
        <v>40.15</v>
      </c>
      <c r="K34" s="210">
        <v>22.25</v>
      </c>
      <c r="L34" s="210">
        <v>12.96</v>
      </c>
      <c r="M34" s="210">
        <v>0.5823</v>
      </c>
      <c r="N34" s="210">
        <v>0.5357</v>
      </c>
      <c r="O34" s="210">
        <v>0.3142</v>
      </c>
      <c r="P34" s="210">
        <v>1.7174</v>
      </c>
      <c r="Q34" s="210">
        <v>78.45</v>
      </c>
      <c r="R34" s="210">
        <v>68.45</v>
      </c>
      <c r="S34" s="210">
        <v>10.01</v>
      </c>
      <c r="T34" s="210">
        <v>5.94</v>
      </c>
      <c r="U34" s="210">
        <v>72.52</v>
      </c>
      <c r="V34" s="210">
        <v>85.58</v>
      </c>
      <c r="W34" s="210">
        <v>3.8455</v>
      </c>
      <c r="X34" s="210">
        <v>7.57</v>
      </c>
      <c r="Y34" s="210">
        <v>209.0</v>
      </c>
      <c r="Z34" s="210">
        <v>372.0</v>
      </c>
      <c r="AA34" s="210">
        <v>1081.0</v>
      </c>
      <c r="AB34" s="210">
        <v>51.792</v>
      </c>
      <c r="AC34" s="210">
        <v>0.6803</v>
      </c>
      <c r="AD34" s="210">
        <v>9.39</v>
      </c>
      <c r="AE34" s="210">
        <v>4.0</v>
      </c>
      <c r="AF34" s="210">
        <v>8.0</v>
      </c>
      <c r="AG34" s="210">
        <v>13.0</v>
      </c>
      <c r="AH34" s="210">
        <v>18.0</v>
      </c>
      <c r="AI34" s="210">
        <v>64.96</v>
      </c>
      <c r="AJ34" s="210">
        <v>25.94</v>
      </c>
      <c r="AK34" s="210">
        <v>3.22</v>
      </c>
      <c r="AL34" s="210">
        <v>0.3712</v>
      </c>
      <c r="AM34" s="210">
        <v>46.41</v>
      </c>
      <c r="AN34" s="135">
        <v>46.41</v>
      </c>
      <c r="AO34" s="135">
        <v>27.04</v>
      </c>
      <c r="AP34" s="135">
        <v>13.26</v>
      </c>
      <c r="AQ34" s="135">
        <v>4.4075</v>
      </c>
      <c r="AR34" s="135">
        <v>0.1199</v>
      </c>
      <c r="AS34" s="135">
        <v>4.2875</v>
      </c>
      <c r="AT34" s="135">
        <v>4.7756</v>
      </c>
      <c r="AU34" s="135">
        <v>0.2146</v>
      </c>
      <c r="AV34" s="135">
        <v>5770.0</v>
      </c>
      <c r="AW34" s="135">
        <v>0.0</v>
      </c>
      <c r="AX34" s="135">
        <v>35.75</v>
      </c>
      <c r="AY34" s="135">
        <v>33.03</v>
      </c>
      <c r="AZ34" s="135">
        <v>2.55</v>
      </c>
      <c r="BA34" s="135">
        <v>5.94</v>
      </c>
      <c r="BB34" s="135">
        <v>1.18</v>
      </c>
      <c r="BC34" s="135">
        <v>34.0</v>
      </c>
      <c r="BD34" s="135">
        <v>17943.0</v>
      </c>
      <c r="BE34" s="135">
        <v>2.8853</v>
      </c>
      <c r="BF34" s="135">
        <v>0.079</v>
      </c>
      <c r="BG34" s="135">
        <v>2.8062</v>
      </c>
      <c r="BH34" s="135">
        <v>2.8251</v>
      </c>
      <c r="BI34" s="135">
        <v>0.1269</v>
      </c>
      <c r="BJ34" s="135">
        <v>1.5222</v>
      </c>
      <c r="BK34" s="135">
        <v>0.0409</v>
      </c>
      <c r="BL34" s="135">
        <v>1.4813</v>
      </c>
      <c r="BM34" s="135">
        <v>1.9504</v>
      </c>
      <c r="BN34" s="135">
        <v>0.0876</v>
      </c>
      <c r="BO34" s="135">
        <v>1.2003</v>
      </c>
      <c r="BP34" s="135">
        <v>0.031</v>
      </c>
      <c r="BQ34" s="135">
        <v>1.1693</v>
      </c>
      <c r="BR34" s="135">
        <v>1.1456</v>
      </c>
      <c r="BS34" s="135">
        <v>1.1712</v>
      </c>
      <c r="BT34" s="135">
        <v>0.0191</v>
      </c>
      <c r="BU34" s="135">
        <v>1.1522</v>
      </c>
      <c r="BV34" s="135">
        <v>1.0775</v>
      </c>
      <c r="BW34" s="135">
        <v>0.5137</v>
      </c>
      <c r="BX34" s="135">
        <v>0.0289</v>
      </c>
      <c r="BY34" s="135">
        <v>0.4847</v>
      </c>
      <c r="BZ34" s="135">
        <v>0.6021</v>
      </c>
      <c r="CA34" s="135">
        <v>0.2003</v>
      </c>
      <c r="CB34" s="135">
        <v>0.0099</v>
      </c>
      <c r="CC34" s="135">
        <v>0.1905</v>
      </c>
      <c r="CD34" s="135">
        <v>0.3043</v>
      </c>
      <c r="CE34" s="135">
        <v>0.6905</v>
      </c>
      <c r="CF34" s="135">
        <v>0.0173</v>
      </c>
      <c r="CG34" s="135">
        <v>0.6731</v>
      </c>
      <c r="CH34" s="135">
        <v>0.8988</v>
      </c>
      <c r="CI34" s="135">
        <v>0.6314</v>
      </c>
      <c r="CJ34" s="135">
        <v>0.0137</v>
      </c>
      <c r="CK34" s="135">
        <v>0.6177</v>
      </c>
      <c r="CL34" s="135">
        <v>0.7473</v>
      </c>
      <c r="CM34" s="135">
        <v>181.17</v>
      </c>
      <c r="CN34" s="135">
        <v>86.2</v>
      </c>
      <c r="CO34" s="135">
        <v>210.17</v>
      </c>
      <c r="CP34" s="135">
        <v>161.24</v>
      </c>
      <c r="CQ34" s="135">
        <v>0.24</v>
      </c>
      <c r="CR34" s="135">
        <v>5.16</v>
      </c>
      <c r="CS34" s="135">
        <v>14.53</v>
      </c>
      <c r="CT34" s="135">
        <v>0.0</v>
      </c>
      <c r="CU34" s="135">
        <v>1248.0</v>
      </c>
      <c r="CV34" s="135">
        <v>0.01</v>
      </c>
      <c r="CW34" s="135">
        <v>78.46</v>
      </c>
      <c r="CX34" s="135">
        <v>0.01</v>
      </c>
      <c r="CY34" s="135">
        <v>0.25</v>
      </c>
      <c r="CZ34" s="135">
        <v>113.13</v>
      </c>
      <c r="DA34" s="135">
        <v>1.42</v>
      </c>
      <c r="DB34" s="135">
        <v>111.72</v>
      </c>
      <c r="DC34" s="135">
        <v>102.37</v>
      </c>
      <c r="DD34" s="135">
        <v>0.39</v>
      </c>
      <c r="DE34" s="135">
        <v>101.98</v>
      </c>
      <c r="DF34" s="135">
        <v>5.14</v>
      </c>
      <c r="DG34" s="135">
        <v>0.34</v>
      </c>
      <c r="DH34" s="135">
        <v>4.8</v>
      </c>
      <c r="DI34" s="135">
        <v>4.61</v>
      </c>
      <c r="DJ34" s="135">
        <v>0.34</v>
      </c>
      <c r="DK34" s="135">
        <v>4.26</v>
      </c>
      <c r="DL34" s="135">
        <v>1.01</v>
      </c>
      <c r="DM34" s="135">
        <v>0.34</v>
      </c>
      <c r="DN34" s="135">
        <v>0.67</v>
      </c>
    </row>
    <row r="35" ht="15.75" customHeight="1">
      <c r="A35" s="209">
        <v>46257.0</v>
      </c>
      <c r="B35" s="210" t="s">
        <v>5</v>
      </c>
      <c r="C35" s="210" t="s">
        <v>144</v>
      </c>
      <c r="D35" s="210">
        <v>4551.0</v>
      </c>
      <c r="E35" s="210">
        <v>17.33</v>
      </c>
      <c r="F35" s="210">
        <v>579.68</v>
      </c>
      <c r="G35" s="210">
        <v>0.1274</v>
      </c>
      <c r="H35" s="210">
        <v>3.03</v>
      </c>
      <c r="I35" s="210">
        <v>4.2006</v>
      </c>
      <c r="J35" s="210">
        <v>66.65</v>
      </c>
      <c r="K35" s="210">
        <v>39.23</v>
      </c>
      <c r="L35" s="210">
        <v>25.69</v>
      </c>
      <c r="M35" s="210">
        <v>0.6549</v>
      </c>
      <c r="N35" s="210">
        <v>0.4738</v>
      </c>
      <c r="O35" s="210">
        <v>0.2869</v>
      </c>
      <c r="P35" s="210">
        <v>1.527</v>
      </c>
      <c r="Q35" s="210">
        <v>146.82</v>
      </c>
      <c r="R35" s="210">
        <v>127.37</v>
      </c>
      <c r="S35" s="210">
        <v>19.45</v>
      </c>
      <c r="T35" s="210">
        <v>10.1</v>
      </c>
      <c r="U35" s="210">
        <v>136.73</v>
      </c>
      <c r="V35" s="210">
        <v>154.34</v>
      </c>
      <c r="W35" s="210">
        <v>3.9343</v>
      </c>
      <c r="X35" s="210">
        <v>6.88</v>
      </c>
      <c r="Y35" s="210">
        <v>236.0</v>
      </c>
      <c r="Z35" s="210">
        <v>462.0</v>
      </c>
      <c r="AA35" s="210">
        <v>1331.0</v>
      </c>
      <c r="AB35" s="210">
        <v>53.3721</v>
      </c>
      <c r="AC35" s="210">
        <v>0.7363</v>
      </c>
      <c r="AD35" s="210">
        <v>16.42</v>
      </c>
      <c r="AE35" s="210">
        <v>7.0</v>
      </c>
      <c r="AF35" s="210">
        <v>13.0</v>
      </c>
      <c r="AG35" s="210">
        <v>23.0</v>
      </c>
      <c r="AH35" s="210">
        <v>33.0</v>
      </c>
      <c r="AI35" s="210">
        <v>58.73</v>
      </c>
      <c r="AJ35" s="210">
        <v>20.08</v>
      </c>
      <c r="AK35" s="210">
        <v>4.57</v>
      </c>
      <c r="AL35" s="210">
        <v>0.2797</v>
      </c>
      <c r="AM35" s="210">
        <v>47.0</v>
      </c>
      <c r="AN35" s="135">
        <v>47.0</v>
      </c>
      <c r="AO35" s="135">
        <v>26.48</v>
      </c>
      <c r="AP35" s="135">
        <v>13.43</v>
      </c>
      <c r="AQ35" s="135">
        <v>6.793</v>
      </c>
      <c r="AR35" s="135">
        <v>0.1622</v>
      </c>
      <c r="AS35" s="135">
        <v>6.6309</v>
      </c>
      <c r="AT35" s="135">
        <v>7.2202</v>
      </c>
      <c r="AU35" s="135">
        <v>0.1841</v>
      </c>
      <c r="AV35" s="135">
        <v>4551.0</v>
      </c>
      <c r="AW35" s="135">
        <v>0.0</v>
      </c>
      <c r="AX35" s="135">
        <v>61.35</v>
      </c>
      <c r="AY35" s="135">
        <v>70.53</v>
      </c>
      <c r="AZ35" s="135">
        <v>2.78</v>
      </c>
      <c r="BA35" s="135">
        <v>10.1</v>
      </c>
      <c r="BB35" s="135">
        <v>2.07</v>
      </c>
      <c r="BC35" s="135">
        <v>60.0</v>
      </c>
      <c r="BD35" s="135">
        <v>15847.0</v>
      </c>
      <c r="BE35" s="135">
        <v>4.3883</v>
      </c>
      <c r="BF35" s="135">
        <v>0.0883</v>
      </c>
      <c r="BG35" s="135">
        <v>4.2999</v>
      </c>
      <c r="BH35" s="135">
        <v>4.0712</v>
      </c>
      <c r="BI35" s="135">
        <v>0.1038</v>
      </c>
      <c r="BJ35" s="135">
        <v>2.4047</v>
      </c>
      <c r="BK35" s="135">
        <v>0.0738</v>
      </c>
      <c r="BL35" s="135">
        <v>2.3309</v>
      </c>
      <c r="BM35" s="135">
        <v>3.149</v>
      </c>
      <c r="BN35" s="135">
        <v>0.0803</v>
      </c>
      <c r="BO35" s="135">
        <v>1.7267</v>
      </c>
      <c r="BP35" s="135">
        <v>0.0297</v>
      </c>
      <c r="BQ35" s="135">
        <v>1.697</v>
      </c>
      <c r="BR35" s="135">
        <v>1.5922</v>
      </c>
      <c r="BS35" s="135">
        <v>1.7139</v>
      </c>
      <c r="BT35" s="135">
        <v>0.0277</v>
      </c>
      <c r="BU35" s="135">
        <v>1.6862</v>
      </c>
      <c r="BV35" s="135">
        <v>1.5465</v>
      </c>
      <c r="BW35" s="135">
        <v>0.9477</v>
      </c>
      <c r="BX35" s="135">
        <v>0.031</v>
      </c>
      <c r="BY35" s="135">
        <v>0.9167</v>
      </c>
      <c r="BZ35" s="135">
        <v>0.9325</v>
      </c>
      <c r="CA35" s="135">
        <v>0.3751</v>
      </c>
      <c r="CB35" s="135">
        <v>0.0165</v>
      </c>
      <c r="CC35" s="135">
        <v>0.3586</v>
      </c>
      <c r="CD35" s="135">
        <v>0.6038</v>
      </c>
      <c r="CE35" s="135">
        <v>0.9679</v>
      </c>
      <c r="CF35" s="135">
        <v>0.031</v>
      </c>
      <c r="CG35" s="135">
        <v>0.9369</v>
      </c>
      <c r="CH35" s="135">
        <v>1.2127</v>
      </c>
      <c r="CI35" s="135">
        <v>1.0617</v>
      </c>
      <c r="CJ35" s="135">
        <v>0.0264</v>
      </c>
      <c r="CK35" s="135">
        <v>1.0354</v>
      </c>
      <c r="CL35" s="135">
        <v>1.3325</v>
      </c>
      <c r="CM35" s="135">
        <v>327.27</v>
      </c>
      <c r="CN35" s="135">
        <v>95.43</v>
      </c>
      <c r="CO35" s="135">
        <v>342.95</v>
      </c>
      <c r="CP35" s="135">
        <v>295.96</v>
      </c>
      <c r="CQ35" s="135">
        <v>0.15</v>
      </c>
      <c r="CR35" s="135">
        <v>5.45</v>
      </c>
      <c r="CS35" s="135">
        <v>25.72</v>
      </c>
      <c r="CT35" s="135">
        <v>0.0</v>
      </c>
      <c r="CU35" s="135">
        <v>1773.0</v>
      </c>
      <c r="CV35" s="135">
        <v>0.0</v>
      </c>
      <c r="CW35" s="135">
        <v>146.82</v>
      </c>
      <c r="CX35" s="135">
        <v>0.0</v>
      </c>
      <c r="CY35" s="135">
        <v>0.15</v>
      </c>
      <c r="CZ35" s="135">
        <v>173.9</v>
      </c>
      <c r="DA35" s="135">
        <v>2.14</v>
      </c>
      <c r="DB35" s="135">
        <v>171.76</v>
      </c>
      <c r="DC35" s="135">
        <v>157.85</v>
      </c>
      <c r="DD35" s="135">
        <v>0.67</v>
      </c>
      <c r="DE35" s="135">
        <v>157.18</v>
      </c>
      <c r="DF35" s="135">
        <v>7.43</v>
      </c>
      <c r="DG35" s="135">
        <v>0.49</v>
      </c>
      <c r="DH35" s="135">
        <v>6.94</v>
      </c>
      <c r="DI35" s="135">
        <v>5.97</v>
      </c>
      <c r="DJ35" s="135">
        <v>0.49</v>
      </c>
      <c r="DK35" s="135">
        <v>5.47</v>
      </c>
      <c r="DL35" s="135">
        <v>2.66</v>
      </c>
      <c r="DM35" s="135">
        <v>0.49</v>
      </c>
      <c r="DN35" s="135">
        <v>2.16</v>
      </c>
    </row>
    <row r="36" ht="15.75" customHeight="1">
      <c r="A36" s="209">
        <v>46257.0</v>
      </c>
      <c r="B36" s="210" t="s">
        <v>5</v>
      </c>
      <c r="C36" s="210" t="s">
        <v>145</v>
      </c>
      <c r="D36" s="210">
        <v>2483.0</v>
      </c>
      <c r="E36" s="210">
        <v>9.45</v>
      </c>
      <c r="F36" s="210">
        <v>948.29</v>
      </c>
      <c r="G36" s="210">
        <v>0.3819</v>
      </c>
      <c r="H36" s="210">
        <v>5.8</v>
      </c>
      <c r="I36" s="210">
        <v>6.5853</v>
      </c>
      <c r="J36" s="210">
        <v>116.12</v>
      </c>
      <c r="K36" s="210">
        <v>71.67</v>
      </c>
      <c r="L36" s="210">
        <v>52.25</v>
      </c>
      <c r="M36" s="210">
        <v>0.729</v>
      </c>
      <c r="N36" s="210">
        <v>0.4024</v>
      </c>
      <c r="O36" s="210">
        <v>0.2503</v>
      </c>
      <c r="P36" s="210">
        <v>1.3717</v>
      </c>
      <c r="Q36" s="210">
        <v>294.55</v>
      </c>
      <c r="R36" s="210">
        <v>255.02</v>
      </c>
      <c r="S36" s="210">
        <v>39.53</v>
      </c>
      <c r="T36" s="210">
        <v>31.72</v>
      </c>
      <c r="U36" s="210">
        <v>262.84</v>
      </c>
      <c r="V36" s="210">
        <v>316.75</v>
      </c>
      <c r="W36" s="210">
        <v>4.4198</v>
      </c>
      <c r="X36" s="210">
        <v>10.77</v>
      </c>
      <c r="Y36" s="210">
        <v>272.0</v>
      </c>
      <c r="Z36" s="210">
        <v>530.0</v>
      </c>
      <c r="AA36" s="210">
        <v>1340.0</v>
      </c>
      <c r="AB36" s="210">
        <v>55.4758</v>
      </c>
      <c r="AC36" s="210">
        <v>0.7782</v>
      </c>
      <c r="AD36" s="210">
        <v>30.01</v>
      </c>
      <c r="AE36" s="210">
        <v>12.0</v>
      </c>
      <c r="AF36" s="210">
        <v>22.0</v>
      </c>
      <c r="AG36" s="210">
        <v>41.0</v>
      </c>
      <c r="AH36" s="210">
        <v>62.0</v>
      </c>
      <c r="AI36" s="210">
        <v>40.31</v>
      </c>
      <c r="AJ36" s="210">
        <v>11.52</v>
      </c>
      <c r="AK36" s="210">
        <v>2.94</v>
      </c>
      <c r="AL36" s="210">
        <v>0.1881</v>
      </c>
      <c r="AM36" s="210">
        <v>42.73</v>
      </c>
      <c r="AN36" s="135">
        <v>42.73</v>
      </c>
      <c r="AO36" s="135">
        <v>24.97</v>
      </c>
      <c r="AP36" s="135">
        <v>15.1</v>
      </c>
      <c r="AQ36" s="135">
        <v>10.8832</v>
      </c>
      <c r="AR36" s="135">
        <v>0.5304</v>
      </c>
      <c r="AS36" s="135">
        <v>10.3528</v>
      </c>
      <c r="AT36" s="135">
        <v>11.5723</v>
      </c>
      <c r="AU36" s="135">
        <v>0.1615</v>
      </c>
      <c r="AV36" s="135">
        <v>2483.0</v>
      </c>
      <c r="AW36" s="135">
        <v>0.0</v>
      </c>
      <c r="AX36" s="135">
        <v>111.08</v>
      </c>
      <c r="AY36" s="135">
        <v>141.72</v>
      </c>
      <c r="AZ36" s="135">
        <v>3.94</v>
      </c>
      <c r="BA36" s="135">
        <v>31.72</v>
      </c>
      <c r="BB36" s="135">
        <v>6.1</v>
      </c>
      <c r="BC36" s="135">
        <v>122.0</v>
      </c>
      <c r="BD36" s="135">
        <v>11843.0</v>
      </c>
      <c r="BE36" s="135">
        <v>6.2517</v>
      </c>
      <c r="BF36" s="135">
        <v>0.3057</v>
      </c>
      <c r="BG36" s="135">
        <v>5.946</v>
      </c>
      <c r="BH36" s="135">
        <v>5.9106</v>
      </c>
      <c r="BI36" s="135">
        <v>0.0825</v>
      </c>
      <c r="BJ36" s="135">
        <v>4.6315</v>
      </c>
      <c r="BK36" s="135">
        <v>0.2247</v>
      </c>
      <c r="BL36" s="135">
        <v>4.4068</v>
      </c>
      <c r="BM36" s="135">
        <v>5.6617</v>
      </c>
      <c r="BN36" s="135">
        <v>0.079</v>
      </c>
      <c r="BO36" s="135">
        <v>2.124</v>
      </c>
      <c r="BP36" s="135">
        <v>0.0971</v>
      </c>
      <c r="BQ36" s="135">
        <v>2.027</v>
      </c>
      <c r="BR36" s="135">
        <v>2.1164</v>
      </c>
      <c r="BS36" s="135">
        <v>2.3721</v>
      </c>
      <c r="BT36" s="135">
        <v>0.1043</v>
      </c>
      <c r="BU36" s="135">
        <v>2.2678</v>
      </c>
      <c r="BV36" s="135">
        <v>2.2002</v>
      </c>
      <c r="BW36" s="135">
        <v>1.7555</v>
      </c>
      <c r="BX36" s="135">
        <v>0.1043</v>
      </c>
      <c r="BY36" s="135">
        <v>1.6512</v>
      </c>
      <c r="BZ36" s="135">
        <v>1.594</v>
      </c>
      <c r="CA36" s="135">
        <v>0.9275</v>
      </c>
      <c r="CB36" s="135">
        <v>0.06</v>
      </c>
      <c r="CC36" s="135">
        <v>0.8675</v>
      </c>
      <c r="CD36" s="135">
        <v>1.2412</v>
      </c>
      <c r="CE36" s="135">
        <v>1.6424</v>
      </c>
      <c r="CF36" s="135">
        <v>0.0914</v>
      </c>
      <c r="CG36" s="135">
        <v>1.5509</v>
      </c>
      <c r="CH36" s="135">
        <v>1.8627</v>
      </c>
      <c r="CI36" s="135">
        <v>2.0616</v>
      </c>
      <c r="CJ36" s="135">
        <v>0.0733</v>
      </c>
      <c r="CK36" s="135">
        <v>1.9883</v>
      </c>
      <c r="CL36" s="135">
        <v>2.5578</v>
      </c>
      <c r="CM36" s="135">
        <v>606.97</v>
      </c>
      <c r="CN36" s="135">
        <v>98.83</v>
      </c>
      <c r="CO36" s="135">
        <v>614.15</v>
      </c>
      <c r="CP36" s="135">
        <v>563.2</v>
      </c>
      <c r="CQ36" s="135">
        <v>0.33</v>
      </c>
      <c r="CR36" s="135">
        <v>7.37</v>
      </c>
      <c r="CS36" s="135">
        <v>36.07</v>
      </c>
      <c r="CT36" s="135">
        <v>0.0</v>
      </c>
      <c r="CU36" s="135">
        <v>1562.0</v>
      </c>
      <c r="CV36" s="135">
        <v>0.0</v>
      </c>
      <c r="CW36" s="135">
        <v>294.55</v>
      </c>
      <c r="CX36" s="135">
        <v>0.0</v>
      </c>
      <c r="CY36" s="135">
        <v>0.33</v>
      </c>
      <c r="CZ36" s="135">
        <v>300.79</v>
      </c>
      <c r="DA36" s="135">
        <v>5.29</v>
      </c>
      <c r="DB36" s="135">
        <v>295.5</v>
      </c>
      <c r="DC36" s="135">
        <v>272.73</v>
      </c>
      <c r="DD36" s="135">
        <v>1.64</v>
      </c>
      <c r="DE36" s="135">
        <v>271.09</v>
      </c>
      <c r="DF36" s="135">
        <v>12.41</v>
      </c>
      <c r="DG36" s="135">
        <v>1.22</v>
      </c>
      <c r="DH36" s="135">
        <v>11.2</v>
      </c>
      <c r="DI36" s="135">
        <v>9.92</v>
      </c>
      <c r="DJ36" s="135">
        <v>1.22</v>
      </c>
      <c r="DK36" s="135">
        <v>8.71</v>
      </c>
      <c r="DL36" s="135">
        <v>5.72</v>
      </c>
      <c r="DM36" s="135">
        <v>1.22</v>
      </c>
      <c r="DN36" s="135">
        <v>4.51</v>
      </c>
    </row>
    <row r="37" ht="15.75" customHeight="1">
      <c r="A37" s="209">
        <v>46257.0</v>
      </c>
      <c r="B37" s="210" t="s">
        <v>5</v>
      </c>
      <c r="C37" s="210" t="s">
        <v>146</v>
      </c>
      <c r="D37" s="210">
        <v>340.0</v>
      </c>
      <c r="E37" s="210">
        <v>1.29</v>
      </c>
      <c r="F37" s="210">
        <v>155.76</v>
      </c>
      <c r="G37" s="210">
        <v>0.4581</v>
      </c>
      <c r="H37" s="210">
        <v>6.76</v>
      </c>
      <c r="I37" s="210">
        <v>6.7722</v>
      </c>
      <c r="J37" s="210">
        <v>230.87</v>
      </c>
      <c r="K37" s="210">
        <v>154.85</v>
      </c>
      <c r="L37" s="210">
        <v>119.66</v>
      </c>
      <c r="M37" s="210">
        <v>0.7727</v>
      </c>
      <c r="N37" s="210">
        <v>0.3321</v>
      </c>
      <c r="O37" s="210">
        <v>0.2043</v>
      </c>
      <c r="P37" s="210">
        <v>1.2941</v>
      </c>
      <c r="Q37" s="210">
        <v>507.25</v>
      </c>
      <c r="R37" s="210">
        <v>416.53</v>
      </c>
      <c r="S37" s="210">
        <v>90.72</v>
      </c>
      <c r="T37" s="210">
        <v>44.26</v>
      </c>
      <c r="U37" s="210">
        <v>462.99</v>
      </c>
      <c r="V37" s="210">
        <v>610.29</v>
      </c>
      <c r="W37" s="210">
        <v>3.9412</v>
      </c>
      <c r="X37" s="210">
        <v>8.73</v>
      </c>
      <c r="Y37" s="210">
        <v>333.0</v>
      </c>
      <c r="Z37" s="210">
        <v>697.0</v>
      </c>
      <c r="AA37" s="210">
        <v>1486.0</v>
      </c>
      <c r="AB37" s="210">
        <v>58.3475</v>
      </c>
      <c r="AC37" s="210">
        <v>0.7972</v>
      </c>
      <c r="AD37" s="210">
        <v>56.14</v>
      </c>
      <c r="AE37" s="210">
        <v>22.0</v>
      </c>
      <c r="AF37" s="210">
        <v>41.0</v>
      </c>
      <c r="AG37" s="210">
        <v>76.0</v>
      </c>
      <c r="AH37" s="210">
        <v>123.0</v>
      </c>
      <c r="AI37" s="210">
        <v>23.82</v>
      </c>
      <c r="AJ37" s="210">
        <v>4.41</v>
      </c>
      <c r="AK37" s="210">
        <v>0.59</v>
      </c>
      <c r="AL37" s="210">
        <v>0.1118</v>
      </c>
      <c r="AM37" s="210">
        <v>47.35</v>
      </c>
      <c r="AN37" s="135">
        <v>47.35</v>
      </c>
      <c r="AO37" s="135">
        <v>37.06</v>
      </c>
      <c r="AP37" s="135">
        <v>32.06</v>
      </c>
      <c r="AQ37" s="135">
        <v>19.75</v>
      </c>
      <c r="AR37" s="135">
        <v>1.9235</v>
      </c>
      <c r="AS37" s="135">
        <v>17.8265</v>
      </c>
      <c r="AT37" s="135">
        <v>23.6353</v>
      </c>
      <c r="AU37" s="135">
        <v>0.1526</v>
      </c>
      <c r="AV37" s="135">
        <v>340.0</v>
      </c>
      <c r="AW37" s="135">
        <v>0.0</v>
      </c>
      <c r="AX37" s="135">
        <v>241.18</v>
      </c>
      <c r="AY37" s="135">
        <v>203.97</v>
      </c>
      <c r="AZ37" s="135">
        <v>6.74</v>
      </c>
      <c r="BA37" s="135">
        <v>44.26</v>
      </c>
      <c r="BB37" s="135">
        <v>11.1</v>
      </c>
      <c r="BC37" s="135">
        <v>222.0</v>
      </c>
      <c r="BD37" s="135">
        <v>9816.0</v>
      </c>
      <c r="BE37" s="135">
        <v>11.4941</v>
      </c>
      <c r="BF37" s="135">
        <v>1.6059</v>
      </c>
      <c r="BG37" s="135">
        <v>9.8882</v>
      </c>
      <c r="BH37" s="135">
        <v>11.0147</v>
      </c>
      <c r="BI37" s="135">
        <v>0.0711</v>
      </c>
      <c r="BJ37" s="135">
        <v>8.2559</v>
      </c>
      <c r="BK37" s="135">
        <v>0.3176</v>
      </c>
      <c r="BL37" s="135">
        <v>7.9382</v>
      </c>
      <c r="BM37" s="135">
        <v>12.6206</v>
      </c>
      <c r="BN37" s="135">
        <v>0.0815</v>
      </c>
      <c r="BO37" s="135">
        <v>3.7324</v>
      </c>
      <c r="BP37" s="135">
        <v>0.4412</v>
      </c>
      <c r="BQ37" s="135">
        <v>3.2912</v>
      </c>
      <c r="BR37" s="135">
        <v>3.5971</v>
      </c>
      <c r="BS37" s="135">
        <v>4.2559</v>
      </c>
      <c r="BT37" s="135">
        <v>0.5294</v>
      </c>
      <c r="BU37" s="135">
        <v>3.7265</v>
      </c>
      <c r="BV37" s="135">
        <v>4.1029</v>
      </c>
      <c r="BW37" s="135">
        <v>3.5059</v>
      </c>
      <c r="BX37" s="135">
        <v>0.6353</v>
      </c>
      <c r="BY37" s="135">
        <v>2.8706</v>
      </c>
      <c r="BZ37" s="135">
        <v>3.3147</v>
      </c>
      <c r="CA37" s="135">
        <v>1.8441</v>
      </c>
      <c r="CB37" s="135">
        <v>0.0824</v>
      </c>
      <c r="CC37" s="135">
        <v>1.7618</v>
      </c>
      <c r="CD37" s="135">
        <v>4.8971</v>
      </c>
      <c r="CE37" s="135">
        <v>2.5294</v>
      </c>
      <c r="CF37" s="135">
        <v>0.1088</v>
      </c>
      <c r="CG37" s="135">
        <v>2.4206</v>
      </c>
      <c r="CH37" s="135">
        <v>3.3235</v>
      </c>
      <c r="CI37" s="135">
        <v>3.8824</v>
      </c>
      <c r="CJ37" s="135">
        <v>0.1265</v>
      </c>
      <c r="CK37" s="135">
        <v>3.7559</v>
      </c>
      <c r="CL37" s="135">
        <v>4.4</v>
      </c>
      <c r="CM37" s="135">
        <v>1202.46</v>
      </c>
      <c r="CN37" s="135">
        <v>99.71</v>
      </c>
      <c r="CO37" s="135">
        <v>1206.01</v>
      </c>
      <c r="CP37" s="135">
        <v>1149.34</v>
      </c>
      <c r="CQ37" s="135">
        <v>0.0</v>
      </c>
      <c r="CR37" s="135">
        <v>9.29</v>
      </c>
      <c r="CS37" s="135">
        <v>43.82</v>
      </c>
      <c r="CT37" s="135">
        <v>0.0</v>
      </c>
      <c r="CU37" s="135">
        <v>254.0</v>
      </c>
      <c r="CV37" s="135">
        <v>0.0</v>
      </c>
      <c r="CW37" s="135">
        <v>507.25</v>
      </c>
      <c r="CX37" s="135">
        <v>0.0</v>
      </c>
      <c r="CY37" s="135">
        <v>0.0</v>
      </c>
      <c r="CZ37" s="135">
        <v>550.93</v>
      </c>
      <c r="DA37" s="135">
        <v>8.18</v>
      </c>
      <c r="DB37" s="135">
        <v>542.75</v>
      </c>
      <c r="DC37" s="135">
        <v>517.5</v>
      </c>
      <c r="DD37" s="135">
        <v>3.24</v>
      </c>
      <c r="DE37" s="135">
        <v>514.26</v>
      </c>
      <c r="DF37" s="135">
        <v>13.19</v>
      </c>
      <c r="DG37" s="135">
        <v>1.65</v>
      </c>
      <c r="DH37" s="135">
        <v>11.54</v>
      </c>
      <c r="DI37" s="135">
        <v>11.96</v>
      </c>
      <c r="DJ37" s="135">
        <v>1.65</v>
      </c>
      <c r="DK37" s="135">
        <v>10.31</v>
      </c>
      <c r="DL37" s="135">
        <v>8.28</v>
      </c>
      <c r="DM37" s="135">
        <v>1.65</v>
      </c>
      <c r="DN37" s="135">
        <v>6.63</v>
      </c>
    </row>
    <row r="38" ht="15.75" customHeight="1">
      <c r="A38" s="209">
        <v>46258.0</v>
      </c>
      <c r="B38" s="210" t="s">
        <v>4</v>
      </c>
      <c r="C38" s="210" t="s">
        <v>398</v>
      </c>
      <c r="D38" s="210">
        <v>4582.0</v>
      </c>
      <c r="E38" s="210">
        <v>17.59</v>
      </c>
      <c r="F38" s="210">
        <v>2.64</v>
      </c>
      <c r="G38" s="210">
        <v>6.0E-4</v>
      </c>
      <c r="H38" s="210">
        <v>0.04</v>
      </c>
      <c r="I38" s="210">
        <v>1.32</v>
      </c>
      <c r="J38" s="210">
        <v>4.2</v>
      </c>
      <c r="K38" s="210">
        <v>1.63</v>
      </c>
      <c r="L38" s="210">
        <v>0.14</v>
      </c>
      <c r="M38" s="210">
        <v>0.0867</v>
      </c>
      <c r="N38" s="210">
        <v>0.9296</v>
      </c>
      <c r="O38" s="210">
        <v>0.6049</v>
      </c>
      <c r="P38" s="210">
        <v>11.5324</v>
      </c>
      <c r="Q38" s="210">
        <v>23.15</v>
      </c>
      <c r="R38" s="210">
        <v>23.03</v>
      </c>
      <c r="S38" s="210">
        <v>0.12</v>
      </c>
      <c r="T38" s="210">
        <v>0.04</v>
      </c>
      <c r="U38" s="210">
        <v>23.11</v>
      </c>
      <c r="V38" s="210">
        <v>3.36</v>
      </c>
      <c r="W38" s="210">
        <v>2.0608</v>
      </c>
      <c r="X38" s="210">
        <v>0.19</v>
      </c>
      <c r="Y38" s="210">
        <v>200.0</v>
      </c>
      <c r="Z38" s="210">
        <v>449.0</v>
      </c>
      <c r="AA38" s="210">
        <v>3309.0</v>
      </c>
      <c r="AB38" s="210">
        <v>50.1091</v>
      </c>
      <c r="AC38" s="210">
        <v>0.5886</v>
      </c>
      <c r="AD38" s="211"/>
      <c r="AE38" s="211"/>
      <c r="AF38" s="211"/>
      <c r="AG38" s="211"/>
      <c r="AH38" s="211"/>
      <c r="AI38" s="210">
        <v>0.0</v>
      </c>
      <c r="AJ38" s="210">
        <v>0.0</v>
      </c>
      <c r="AK38" s="210">
        <v>0.0</v>
      </c>
      <c r="AL38" s="210">
        <v>0.579</v>
      </c>
      <c r="AM38" s="211"/>
      <c r="AQ38" s="135">
        <v>1.201</v>
      </c>
      <c r="AR38" s="135">
        <v>0.0105</v>
      </c>
      <c r="AS38" s="135">
        <v>1.1905</v>
      </c>
      <c r="AT38" s="135">
        <v>0.3241</v>
      </c>
      <c r="AU38" s="135">
        <v>0.1987</v>
      </c>
      <c r="AV38" s="135">
        <v>4582.0</v>
      </c>
      <c r="AW38" s="135">
        <v>0.0</v>
      </c>
      <c r="AX38" s="135">
        <v>8.02</v>
      </c>
      <c r="AY38" s="135">
        <v>13.99</v>
      </c>
      <c r="AZ38" s="135">
        <v>0.98</v>
      </c>
      <c r="BA38" s="135">
        <v>0.04</v>
      </c>
      <c r="BB38" s="135">
        <v>0.13</v>
      </c>
      <c r="BD38" s="135">
        <v>26935.0</v>
      </c>
      <c r="BE38" s="135">
        <v>0.514</v>
      </c>
      <c r="BF38" s="135">
        <v>0.0052</v>
      </c>
      <c r="BG38" s="135">
        <v>0.5087</v>
      </c>
      <c r="BH38" s="135">
        <v>0.2058</v>
      </c>
      <c r="BI38" s="135">
        <v>0.1262</v>
      </c>
      <c r="BJ38" s="135">
        <v>0.687</v>
      </c>
      <c r="BK38" s="135">
        <v>0.0052</v>
      </c>
      <c r="BL38" s="135">
        <v>0.6818</v>
      </c>
      <c r="BM38" s="135">
        <v>0.1183</v>
      </c>
      <c r="BN38" s="135">
        <v>0.0725</v>
      </c>
      <c r="BO38" s="135">
        <v>0.1753</v>
      </c>
      <c r="BP38" s="135">
        <v>0.0013</v>
      </c>
      <c r="BQ38" s="135">
        <v>0.1739</v>
      </c>
      <c r="BR38" s="135">
        <v>0.0823</v>
      </c>
      <c r="BS38" s="135">
        <v>0.1982</v>
      </c>
      <c r="BT38" s="135">
        <v>0.002</v>
      </c>
      <c r="BU38" s="135">
        <v>0.1962</v>
      </c>
      <c r="BV38" s="135">
        <v>0.0816</v>
      </c>
      <c r="BW38" s="135">
        <v>0.1405</v>
      </c>
      <c r="BX38" s="135">
        <v>0.002</v>
      </c>
      <c r="BY38" s="135">
        <v>0.1386</v>
      </c>
      <c r="BZ38" s="135">
        <v>0.0419</v>
      </c>
      <c r="CA38" s="135">
        <v>0.1656</v>
      </c>
      <c r="CB38" s="135">
        <v>0.0013</v>
      </c>
      <c r="CC38" s="135">
        <v>0.1643</v>
      </c>
      <c r="CD38" s="135">
        <v>0.0216</v>
      </c>
      <c r="CE38" s="135">
        <v>0.2756</v>
      </c>
      <c r="CF38" s="135">
        <v>0.0026</v>
      </c>
      <c r="CG38" s="135">
        <v>0.273</v>
      </c>
      <c r="CH38" s="135">
        <v>0.0515</v>
      </c>
      <c r="CI38" s="135">
        <v>0.2457</v>
      </c>
      <c r="CJ38" s="135">
        <v>0.0013</v>
      </c>
      <c r="CK38" s="135">
        <v>0.2444</v>
      </c>
      <c r="CL38" s="135">
        <v>0.0452</v>
      </c>
      <c r="CM38" s="135">
        <v>8.28</v>
      </c>
      <c r="CN38" s="135">
        <v>5.39</v>
      </c>
      <c r="CO38" s="135">
        <v>153.67</v>
      </c>
      <c r="CP38" s="135">
        <v>6.39</v>
      </c>
      <c r="CQ38" s="135">
        <v>0.0</v>
      </c>
      <c r="CR38" s="135">
        <v>1.17</v>
      </c>
      <c r="CS38" s="135">
        <v>0.73</v>
      </c>
      <c r="CT38" s="135">
        <v>0.0</v>
      </c>
      <c r="CU38" s="135">
        <v>0.0</v>
      </c>
      <c r="CV38" s="135">
        <v>0.0</v>
      </c>
      <c r="CW38" s="135">
        <v>23.15</v>
      </c>
      <c r="CX38" s="135">
        <v>0.0</v>
      </c>
      <c r="CY38" s="135">
        <v>0.0</v>
      </c>
      <c r="CZ38" s="135">
        <v>23.14</v>
      </c>
      <c r="DA38" s="135">
        <v>0.02</v>
      </c>
      <c r="DB38" s="135">
        <v>23.13</v>
      </c>
      <c r="DC38" s="135">
        <v>21.36</v>
      </c>
      <c r="DD38" s="135">
        <v>0.0</v>
      </c>
      <c r="DE38" s="135">
        <v>21.35</v>
      </c>
      <c r="DF38" s="135">
        <v>0.89</v>
      </c>
      <c r="DG38" s="135">
        <v>0.0</v>
      </c>
      <c r="DH38" s="135">
        <v>0.89</v>
      </c>
      <c r="DI38" s="135">
        <v>0.74</v>
      </c>
      <c r="DJ38" s="135">
        <v>0.0</v>
      </c>
      <c r="DK38" s="135">
        <v>0.73</v>
      </c>
      <c r="DL38" s="135">
        <v>0.16</v>
      </c>
      <c r="DM38" s="135">
        <v>0.0</v>
      </c>
      <c r="DN38" s="135">
        <v>0.16</v>
      </c>
    </row>
    <row r="39" ht="15.75" customHeight="1">
      <c r="A39" s="209">
        <v>46258.0</v>
      </c>
      <c r="B39" s="210" t="s">
        <v>4</v>
      </c>
      <c r="C39" s="210" t="s">
        <v>142</v>
      </c>
      <c r="D39" s="210">
        <v>7361.0</v>
      </c>
      <c r="E39" s="210">
        <v>28.25</v>
      </c>
      <c r="F39" s="210">
        <v>97.97</v>
      </c>
      <c r="G39" s="210">
        <v>0.0133</v>
      </c>
      <c r="H39" s="210">
        <v>0.65</v>
      </c>
      <c r="I39" s="210">
        <v>2.041</v>
      </c>
      <c r="J39" s="210">
        <v>21.43</v>
      </c>
      <c r="K39" s="210">
        <v>11.23</v>
      </c>
      <c r="L39" s="210">
        <v>5.22</v>
      </c>
      <c r="M39" s="210">
        <v>0.4644</v>
      </c>
      <c r="N39" s="210">
        <v>0.6426</v>
      </c>
      <c r="O39" s="210">
        <v>0.3862</v>
      </c>
      <c r="P39" s="210">
        <v>2.1533</v>
      </c>
      <c r="Q39" s="210">
        <v>56.36</v>
      </c>
      <c r="R39" s="210">
        <v>52.27</v>
      </c>
      <c r="S39" s="210">
        <v>4.09</v>
      </c>
      <c r="T39" s="210">
        <v>1.3</v>
      </c>
      <c r="U39" s="210">
        <v>55.06</v>
      </c>
      <c r="V39" s="210">
        <v>46.0</v>
      </c>
      <c r="W39" s="210">
        <v>4.096</v>
      </c>
      <c r="X39" s="210">
        <v>2.3</v>
      </c>
      <c r="Y39" s="210">
        <v>201.0</v>
      </c>
      <c r="Z39" s="210">
        <v>362.0</v>
      </c>
      <c r="AA39" s="210">
        <v>1275.0</v>
      </c>
      <c r="AB39" s="210">
        <v>49.9085</v>
      </c>
      <c r="AC39" s="210">
        <v>0.5839</v>
      </c>
      <c r="AD39" s="210">
        <v>4.01</v>
      </c>
      <c r="AE39" s="210">
        <v>1.0</v>
      </c>
      <c r="AF39" s="210">
        <v>3.0</v>
      </c>
      <c r="AG39" s="210">
        <v>5.0</v>
      </c>
      <c r="AH39" s="210">
        <v>8.0</v>
      </c>
      <c r="AI39" s="210">
        <v>74.66</v>
      </c>
      <c r="AJ39" s="210">
        <v>33.95</v>
      </c>
      <c r="AK39" s="210">
        <v>6.44</v>
      </c>
      <c r="AL39" s="210">
        <v>0.4896</v>
      </c>
      <c r="AM39" s="211"/>
      <c r="AQ39" s="135">
        <v>3.5828</v>
      </c>
      <c r="AR39" s="135">
        <v>0.0333</v>
      </c>
      <c r="AS39" s="135">
        <v>3.5495</v>
      </c>
      <c r="AT39" s="135">
        <v>2.6801</v>
      </c>
      <c r="AU39" s="135">
        <v>0.2386</v>
      </c>
      <c r="AV39" s="135">
        <v>7361.0</v>
      </c>
      <c r="AW39" s="135">
        <v>0.0</v>
      </c>
      <c r="AX39" s="135">
        <v>21.23</v>
      </c>
      <c r="AY39" s="135">
        <v>31.29</v>
      </c>
      <c r="AZ39" s="135">
        <v>2.01</v>
      </c>
      <c r="BA39" s="135">
        <v>1.3</v>
      </c>
      <c r="BB39" s="135">
        <v>0.53</v>
      </c>
      <c r="BC39" s="135">
        <v>17.0</v>
      </c>
      <c r="BD39" s="135">
        <v>18185.0</v>
      </c>
      <c r="BE39" s="135">
        <v>2.055</v>
      </c>
      <c r="BF39" s="135">
        <v>0.0196</v>
      </c>
      <c r="BG39" s="135">
        <v>2.0355</v>
      </c>
      <c r="BH39" s="135">
        <v>1.5009</v>
      </c>
      <c r="BI39" s="135">
        <v>0.1336</v>
      </c>
      <c r="BJ39" s="135">
        <v>1.5278</v>
      </c>
      <c r="BK39" s="135">
        <v>0.0137</v>
      </c>
      <c r="BL39" s="135">
        <v>1.5141</v>
      </c>
      <c r="BM39" s="135">
        <v>1.1792</v>
      </c>
      <c r="BN39" s="135">
        <v>0.105</v>
      </c>
      <c r="BO39" s="135">
        <v>0.8387</v>
      </c>
      <c r="BP39" s="135">
        <v>0.0079</v>
      </c>
      <c r="BQ39" s="135">
        <v>0.8309</v>
      </c>
      <c r="BR39" s="135">
        <v>0.6165</v>
      </c>
      <c r="BS39" s="135">
        <v>0.7783</v>
      </c>
      <c r="BT39" s="135">
        <v>0.0042</v>
      </c>
      <c r="BU39" s="135">
        <v>0.7741</v>
      </c>
      <c r="BV39" s="135">
        <v>0.5482</v>
      </c>
      <c r="BW39" s="135">
        <v>0.438</v>
      </c>
      <c r="BX39" s="135">
        <v>0.0075</v>
      </c>
      <c r="BY39" s="135">
        <v>0.4305</v>
      </c>
      <c r="BZ39" s="135">
        <v>0.3362</v>
      </c>
      <c r="CA39" s="135">
        <v>0.4217</v>
      </c>
      <c r="CB39" s="135">
        <v>0.0023</v>
      </c>
      <c r="CC39" s="135">
        <v>0.4194</v>
      </c>
      <c r="CD39" s="135">
        <v>0.2786</v>
      </c>
      <c r="CE39" s="135">
        <v>0.584</v>
      </c>
      <c r="CF39" s="135">
        <v>0.0057</v>
      </c>
      <c r="CG39" s="135">
        <v>0.5783</v>
      </c>
      <c r="CH39" s="135">
        <v>0.4711</v>
      </c>
      <c r="CI39" s="135">
        <v>0.5221</v>
      </c>
      <c r="CJ39" s="135">
        <v>0.0057</v>
      </c>
      <c r="CK39" s="135">
        <v>0.5164</v>
      </c>
      <c r="CL39" s="135">
        <v>0.4294</v>
      </c>
      <c r="CM39" s="135">
        <v>102.15</v>
      </c>
      <c r="CN39" s="135">
        <v>72.86</v>
      </c>
      <c r="CO39" s="135">
        <v>140.2</v>
      </c>
      <c r="CP39" s="135">
        <v>98.1</v>
      </c>
      <c r="CQ39" s="135">
        <v>0.0</v>
      </c>
      <c r="CR39" s="135">
        <v>3.14</v>
      </c>
      <c r="CS39" s="135">
        <v>0.91</v>
      </c>
      <c r="CT39" s="135">
        <v>0.0</v>
      </c>
      <c r="CU39" s="135">
        <v>0.0</v>
      </c>
      <c r="CV39" s="135">
        <v>0.0</v>
      </c>
      <c r="CW39" s="135">
        <v>56.36</v>
      </c>
      <c r="CX39" s="135">
        <v>0.0</v>
      </c>
      <c r="CY39" s="135">
        <v>0.0</v>
      </c>
      <c r="CZ39" s="135">
        <v>80.87</v>
      </c>
      <c r="DA39" s="135">
        <v>0.42</v>
      </c>
      <c r="DB39" s="135">
        <v>80.44</v>
      </c>
      <c r="DC39" s="135">
        <v>75.74</v>
      </c>
      <c r="DD39" s="135">
        <v>0.11</v>
      </c>
      <c r="DE39" s="135">
        <v>75.63</v>
      </c>
      <c r="DF39" s="135">
        <v>2.65</v>
      </c>
      <c r="DG39" s="135">
        <v>0.11</v>
      </c>
      <c r="DH39" s="135">
        <v>2.55</v>
      </c>
      <c r="DI39" s="135">
        <v>2.04</v>
      </c>
      <c r="DJ39" s="135">
        <v>0.11</v>
      </c>
      <c r="DK39" s="135">
        <v>1.94</v>
      </c>
      <c r="DL39" s="135">
        <v>0.44</v>
      </c>
      <c r="DM39" s="135">
        <v>0.11</v>
      </c>
      <c r="DN39" s="135">
        <v>0.33</v>
      </c>
    </row>
    <row r="40" ht="15.75" customHeight="1">
      <c r="A40" s="209">
        <v>46258.0</v>
      </c>
      <c r="B40" s="210" t="s">
        <v>4</v>
      </c>
      <c r="C40" s="210" t="s">
        <v>143</v>
      </c>
      <c r="D40" s="210">
        <v>5969.0</v>
      </c>
      <c r="E40" s="210">
        <v>22.91</v>
      </c>
      <c r="F40" s="210">
        <v>419.77</v>
      </c>
      <c r="G40" s="210">
        <v>0.0703</v>
      </c>
      <c r="H40" s="210">
        <v>2.06</v>
      </c>
      <c r="I40" s="210">
        <v>3.4128</v>
      </c>
      <c r="J40" s="210">
        <v>45.33</v>
      </c>
      <c r="K40" s="210">
        <v>24.2</v>
      </c>
      <c r="L40" s="210">
        <v>13.94</v>
      </c>
      <c r="M40" s="210">
        <v>0.5761</v>
      </c>
      <c r="N40" s="210">
        <v>0.5566</v>
      </c>
      <c r="O40" s="210">
        <v>0.3434</v>
      </c>
      <c r="P40" s="210">
        <v>1.7357</v>
      </c>
      <c r="Q40" s="210">
        <v>114.24</v>
      </c>
      <c r="R40" s="210">
        <v>102.19</v>
      </c>
      <c r="S40" s="210">
        <v>12.05</v>
      </c>
      <c r="T40" s="210">
        <v>5.44</v>
      </c>
      <c r="U40" s="210">
        <v>108.81</v>
      </c>
      <c r="V40" s="210">
        <v>112.72</v>
      </c>
      <c r="W40" s="210">
        <v>4.6582</v>
      </c>
      <c r="X40" s="210">
        <v>4.76</v>
      </c>
      <c r="Y40" s="210">
        <v>230.0</v>
      </c>
      <c r="Z40" s="210">
        <v>451.0</v>
      </c>
      <c r="AA40" s="210">
        <v>1442.0</v>
      </c>
      <c r="AB40" s="210">
        <v>51.6845</v>
      </c>
      <c r="AC40" s="210">
        <v>0.6367</v>
      </c>
      <c r="AD40" s="210">
        <v>9.59</v>
      </c>
      <c r="AE40" s="210">
        <v>4.0</v>
      </c>
      <c r="AF40" s="210">
        <v>8.0</v>
      </c>
      <c r="AG40" s="210">
        <v>13.0</v>
      </c>
      <c r="AH40" s="210">
        <v>19.0</v>
      </c>
      <c r="AI40" s="210">
        <v>65.81</v>
      </c>
      <c r="AJ40" s="210">
        <v>26.89</v>
      </c>
      <c r="AK40" s="210">
        <v>3.65</v>
      </c>
      <c r="AL40" s="210">
        <v>0.3225</v>
      </c>
      <c r="AM40" s="211"/>
      <c r="AQ40" s="135">
        <v>7.6137</v>
      </c>
      <c r="AR40" s="135">
        <v>0.2024</v>
      </c>
      <c r="AS40" s="135">
        <v>7.4113</v>
      </c>
      <c r="AT40" s="135">
        <v>6.0023</v>
      </c>
      <c r="AU40" s="135">
        <v>0.2481</v>
      </c>
      <c r="AV40" s="135">
        <v>5969.0</v>
      </c>
      <c r="AW40" s="135">
        <v>0.0</v>
      </c>
      <c r="AX40" s="135">
        <v>42.1</v>
      </c>
      <c r="AY40" s="135">
        <v>62.75</v>
      </c>
      <c r="AZ40" s="135">
        <v>3.04</v>
      </c>
      <c r="BA40" s="135">
        <v>5.44</v>
      </c>
      <c r="BB40" s="135">
        <v>0.92</v>
      </c>
      <c r="BC40" s="135">
        <v>35.0</v>
      </c>
      <c r="BD40" s="135">
        <v>21064.0</v>
      </c>
      <c r="BE40" s="135">
        <v>4.3419</v>
      </c>
      <c r="BF40" s="135">
        <v>0.1659</v>
      </c>
      <c r="BG40" s="135">
        <v>4.1761</v>
      </c>
      <c r="BH40" s="135">
        <v>3.2997</v>
      </c>
      <c r="BI40" s="135">
        <v>0.1364</v>
      </c>
      <c r="BJ40" s="135">
        <v>3.2717</v>
      </c>
      <c r="BK40" s="135">
        <v>0.0365</v>
      </c>
      <c r="BL40" s="135">
        <v>3.2352</v>
      </c>
      <c r="BM40" s="135">
        <v>2.7026</v>
      </c>
      <c r="BN40" s="135">
        <v>0.1117</v>
      </c>
      <c r="BO40" s="135">
        <v>1.6492</v>
      </c>
      <c r="BP40" s="135">
        <v>0.0471</v>
      </c>
      <c r="BQ40" s="135">
        <v>1.6021</v>
      </c>
      <c r="BR40" s="135">
        <v>1.2756</v>
      </c>
      <c r="BS40" s="135">
        <v>1.6385</v>
      </c>
      <c r="BT40" s="135">
        <v>0.0446</v>
      </c>
      <c r="BU40" s="135">
        <v>1.5939</v>
      </c>
      <c r="BV40" s="135">
        <v>1.2108</v>
      </c>
      <c r="BW40" s="135">
        <v>1.0543</v>
      </c>
      <c r="BX40" s="135">
        <v>0.0742</v>
      </c>
      <c r="BY40" s="135">
        <v>0.9801</v>
      </c>
      <c r="BZ40" s="135">
        <v>0.8134</v>
      </c>
      <c r="CA40" s="135">
        <v>0.8048</v>
      </c>
      <c r="CB40" s="135">
        <v>0.0094</v>
      </c>
      <c r="CC40" s="135">
        <v>0.7954</v>
      </c>
      <c r="CD40" s="135">
        <v>0.6365</v>
      </c>
      <c r="CE40" s="135">
        <v>1.2389</v>
      </c>
      <c r="CF40" s="135">
        <v>0.0151</v>
      </c>
      <c r="CG40" s="135">
        <v>1.2238</v>
      </c>
      <c r="CH40" s="135">
        <v>1.0601</v>
      </c>
      <c r="CI40" s="135">
        <v>1.228</v>
      </c>
      <c r="CJ40" s="135">
        <v>0.0121</v>
      </c>
      <c r="CK40" s="135">
        <v>1.2159</v>
      </c>
      <c r="CL40" s="135">
        <v>1.006</v>
      </c>
      <c r="CM40" s="135">
        <v>189.44</v>
      </c>
      <c r="CN40" s="135">
        <v>88.59</v>
      </c>
      <c r="CO40" s="135">
        <v>213.84</v>
      </c>
      <c r="CP40" s="135">
        <v>182.65</v>
      </c>
      <c r="CQ40" s="135">
        <v>0.01</v>
      </c>
      <c r="CR40" s="135">
        <v>3.69</v>
      </c>
      <c r="CS40" s="135">
        <v>3.1</v>
      </c>
      <c r="CT40" s="135">
        <v>0.0</v>
      </c>
      <c r="CU40" s="135">
        <v>0.0</v>
      </c>
      <c r="CV40" s="135">
        <v>0.0</v>
      </c>
      <c r="CW40" s="135">
        <v>114.24</v>
      </c>
      <c r="CX40" s="135">
        <v>0.0</v>
      </c>
      <c r="CY40" s="135">
        <v>0.01</v>
      </c>
      <c r="CZ40" s="135">
        <v>139.26</v>
      </c>
      <c r="DA40" s="135">
        <v>1.41</v>
      </c>
      <c r="DB40" s="135">
        <v>137.85</v>
      </c>
      <c r="DC40" s="135">
        <v>131.94</v>
      </c>
      <c r="DD40" s="135">
        <v>0.4</v>
      </c>
      <c r="DE40" s="135">
        <v>131.55</v>
      </c>
      <c r="DF40" s="135">
        <v>3.67</v>
      </c>
      <c r="DG40" s="135">
        <v>0.34</v>
      </c>
      <c r="DH40" s="135">
        <v>3.33</v>
      </c>
      <c r="DI40" s="135">
        <v>2.72</v>
      </c>
      <c r="DJ40" s="135">
        <v>0.34</v>
      </c>
      <c r="DK40" s="135">
        <v>2.38</v>
      </c>
      <c r="DL40" s="135">
        <v>0.92</v>
      </c>
      <c r="DM40" s="135">
        <v>0.34</v>
      </c>
      <c r="DN40" s="135">
        <v>0.59</v>
      </c>
    </row>
    <row r="41" ht="15.75" customHeight="1">
      <c r="A41" s="209">
        <v>46258.0</v>
      </c>
      <c r="B41" s="210" t="s">
        <v>4</v>
      </c>
      <c r="C41" s="210" t="s">
        <v>144</v>
      </c>
      <c r="D41" s="210">
        <v>4889.0</v>
      </c>
      <c r="E41" s="210">
        <v>18.77</v>
      </c>
      <c r="F41" s="210">
        <v>819.31</v>
      </c>
      <c r="G41" s="210">
        <v>0.1676</v>
      </c>
      <c r="H41" s="210">
        <v>3.21</v>
      </c>
      <c r="I41" s="210">
        <v>5.2185</v>
      </c>
      <c r="J41" s="210">
        <v>71.56</v>
      </c>
      <c r="K41" s="210">
        <v>39.84</v>
      </c>
      <c r="L41" s="210">
        <v>26.57</v>
      </c>
      <c r="M41" s="210">
        <v>0.6669</v>
      </c>
      <c r="N41" s="210">
        <v>0.4793</v>
      </c>
      <c r="O41" s="210">
        <v>0.3063</v>
      </c>
      <c r="P41" s="210">
        <v>1.4995</v>
      </c>
      <c r="Q41" s="210">
        <v>193.58</v>
      </c>
      <c r="R41" s="210">
        <v>170.68</v>
      </c>
      <c r="S41" s="210">
        <v>22.9</v>
      </c>
      <c r="T41" s="210">
        <v>12.03</v>
      </c>
      <c r="U41" s="210">
        <v>181.56</v>
      </c>
      <c r="V41" s="210">
        <v>191.54</v>
      </c>
      <c r="W41" s="210">
        <v>4.8078</v>
      </c>
      <c r="X41" s="210">
        <v>6.21</v>
      </c>
      <c r="Y41" s="210">
        <v>264.0</v>
      </c>
      <c r="Z41" s="210">
        <v>498.0</v>
      </c>
      <c r="AA41" s="210">
        <v>1412.0</v>
      </c>
      <c r="AB41" s="210">
        <v>53.3662</v>
      </c>
      <c r="AC41" s="210">
        <v>0.7054</v>
      </c>
      <c r="AD41" s="210">
        <v>16.69</v>
      </c>
      <c r="AE41" s="210">
        <v>7.0</v>
      </c>
      <c r="AF41" s="210">
        <v>13.0</v>
      </c>
      <c r="AG41" s="210">
        <v>23.0</v>
      </c>
      <c r="AH41" s="210">
        <v>34.0</v>
      </c>
      <c r="AI41" s="210">
        <v>59.58</v>
      </c>
      <c r="AJ41" s="210">
        <v>19.7</v>
      </c>
      <c r="AK41" s="210">
        <v>4.64</v>
      </c>
      <c r="AL41" s="210">
        <v>0.2387</v>
      </c>
      <c r="AM41" s="211"/>
      <c r="AQ41" s="135">
        <v>11.398</v>
      </c>
      <c r="AR41" s="135">
        <v>0.2547</v>
      </c>
      <c r="AS41" s="135">
        <v>11.1434</v>
      </c>
      <c r="AT41" s="135">
        <v>9.7709</v>
      </c>
      <c r="AU41" s="135">
        <v>0.2453</v>
      </c>
      <c r="AV41" s="135">
        <v>4889.0</v>
      </c>
      <c r="AW41" s="135">
        <v>0.0</v>
      </c>
      <c r="AX41" s="135">
        <v>69.11</v>
      </c>
      <c r="AY41" s="135">
        <v>106.55</v>
      </c>
      <c r="AZ41" s="135">
        <v>3.33</v>
      </c>
      <c r="BA41" s="135">
        <v>12.03</v>
      </c>
      <c r="BB41" s="135">
        <v>2.57</v>
      </c>
      <c r="BC41" s="135">
        <v>59.0</v>
      </c>
      <c r="BD41" s="135">
        <v>18968.0</v>
      </c>
      <c r="BE41" s="135">
        <v>6.3862</v>
      </c>
      <c r="BF41" s="135">
        <v>0.1755</v>
      </c>
      <c r="BG41" s="135">
        <v>6.2107</v>
      </c>
      <c r="BH41" s="135">
        <v>5.1336</v>
      </c>
      <c r="BI41" s="135">
        <v>0.1289</v>
      </c>
      <c r="BJ41" s="135">
        <v>5.0119</v>
      </c>
      <c r="BK41" s="135">
        <v>0.0792</v>
      </c>
      <c r="BL41" s="135">
        <v>4.9327</v>
      </c>
      <c r="BM41" s="135">
        <v>4.6373</v>
      </c>
      <c r="BN41" s="135">
        <v>0.1164</v>
      </c>
      <c r="BO41" s="135">
        <v>2.1188</v>
      </c>
      <c r="BP41" s="135">
        <v>0.0532</v>
      </c>
      <c r="BQ41" s="135">
        <v>2.0657</v>
      </c>
      <c r="BR41" s="135">
        <v>1.7785</v>
      </c>
      <c r="BS41" s="135">
        <v>2.5459</v>
      </c>
      <c r="BT41" s="135">
        <v>0.0569</v>
      </c>
      <c r="BU41" s="135">
        <v>2.4891</v>
      </c>
      <c r="BV41" s="135">
        <v>1.9771</v>
      </c>
      <c r="BW41" s="135">
        <v>1.7214</v>
      </c>
      <c r="BX41" s="135">
        <v>0.0655</v>
      </c>
      <c r="BY41" s="135">
        <v>1.656</v>
      </c>
      <c r="BZ41" s="135">
        <v>1.378</v>
      </c>
      <c r="CA41" s="135">
        <v>1.2837</v>
      </c>
      <c r="CB41" s="135">
        <v>0.0194</v>
      </c>
      <c r="CC41" s="135">
        <v>1.2643</v>
      </c>
      <c r="CD41" s="135">
        <v>1.2324</v>
      </c>
      <c r="CE41" s="135">
        <v>1.7687</v>
      </c>
      <c r="CF41" s="135">
        <v>0.0317</v>
      </c>
      <c r="CG41" s="135">
        <v>1.737</v>
      </c>
      <c r="CH41" s="135">
        <v>1.6384</v>
      </c>
      <c r="CI41" s="135">
        <v>1.9595</v>
      </c>
      <c r="CJ41" s="135">
        <v>0.028</v>
      </c>
      <c r="CK41" s="135">
        <v>1.9315</v>
      </c>
      <c r="CL41" s="135">
        <v>1.7666</v>
      </c>
      <c r="CM41" s="135">
        <v>349.71</v>
      </c>
      <c r="CN41" s="135">
        <v>95.93</v>
      </c>
      <c r="CO41" s="135">
        <v>364.54</v>
      </c>
      <c r="CP41" s="135">
        <v>340.78</v>
      </c>
      <c r="CQ41" s="135">
        <v>0.0</v>
      </c>
      <c r="CR41" s="135">
        <v>3.78</v>
      </c>
      <c r="CS41" s="135">
        <v>5.15</v>
      </c>
      <c r="CT41" s="135">
        <v>0.0</v>
      </c>
      <c r="CU41" s="135">
        <v>0.0</v>
      </c>
      <c r="CV41" s="135">
        <v>0.0</v>
      </c>
      <c r="CW41" s="135">
        <v>193.58</v>
      </c>
      <c r="CX41" s="135">
        <v>0.0</v>
      </c>
      <c r="CY41" s="135">
        <v>0.0</v>
      </c>
      <c r="CZ41" s="135">
        <v>200.72</v>
      </c>
      <c r="DA41" s="135">
        <v>3.28</v>
      </c>
      <c r="DB41" s="135">
        <v>197.44</v>
      </c>
      <c r="DC41" s="135">
        <v>188.76</v>
      </c>
      <c r="DD41" s="135">
        <v>0.88</v>
      </c>
      <c r="DE41" s="135">
        <v>187.88</v>
      </c>
      <c r="DF41" s="135">
        <v>6.63</v>
      </c>
      <c r="DG41" s="135">
        <v>0.8</v>
      </c>
      <c r="DH41" s="135">
        <v>5.83</v>
      </c>
      <c r="DI41" s="135">
        <v>3.84</v>
      </c>
      <c r="DJ41" s="135">
        <v>0.8</v>
      </c>
      <c r="DK41" s="135">
        <v>3.04</v>
      </c>
      <c r="DL41" s="135">
        <v>1.49</v>
      </c>
      <c r="DM41" s="135">
        <v>0.8</v>
      </c>
      <c r="DN41" s="135">
        <v>0.69</v>
      </c>
    </row>
    <row r="42" ht="15.75" customHeight="1">
      <c r="A42" s="209">
        <v>46258.0</v>
      </c>
      <c r="B42" s="210" t="s">
        <v>4</v>
      </c>
      <c r="C42" s="210" t="s">
        <v>145</v>
      </c>
      <c r="D42" s="210">
        <v>2866.0</v>
      </c>
      <c r="E42" s="210">
        <v>11.0</v>
      </c>
      <c r="F42" s="210">
        <v>1241.73</v>
      </c>
      <c r="G42" s="210">
        <v>0.4333</v>
      </c>
      <c r="H42" s="210">
        <v>5.79</v>
      </c>
      <c r="I42" s="210">
        <v>7.4803</v>
      </c>
      <c r="J42" s="210">
        <v>124.55</v>
      </c>
      <c r="K42" s="210">
        <v>73.19</v>
      </c>
      <c r="L42" s="210">
        <v>54.5</v>
      </c>
      <c r="M42" s="210">
        <v>0.7446</v>
      </c>
      <c r="N42" s="210">
        <v>0.3995</v>
      </c>
      <c r="O42" s="210">
        <v>0.2614</v>
      </c>
      <c r="P42" s="210">
        <v>1.343</v>
      </c>
      <c r="Q42" s="210">
        <v>372.77</v>
      </c>
      <c r="R42" s="210">
        <v>327.02</v>
      </c>
      <c r="S42" s="210">
        <v>45.75</v>
      </c>
      <c r="T42" s="210">
        <v>42.64</v>
      </c>
      <c r="U42" s="210">
        <v>330.13</v>
      </c>
      <c r="V42" s="210">
        <v>362.75</v>
      </c>
      <c r="W42" s="210">
        <v>4.9563</v>
      </c>
      <c r="X42" s="210">
        <v>11.44</v>
      </c>
      <c r="Y42" s="210">
        <v>342.0</v>
      </c>
      <c r="Z42" s="210">
        <v>696.0</v>
      </c>
      <c r="AA42" s="210">
        <v>1999.0</v>
      </c>
      <c r="AB42" s="210">
        <v>55.4527</v>
      </c>
      <c r="AC42" s="210">
        <v>0.7524</v>
      </c>
      <c r="AD42" s="210">
        <v>30.4</v>
      </c>
      <c r="AE42" s="210">
        <v>13.0</v>
      </c>
      <c r="AF42" s="210">
        <v>24.0</v>
      </c>
      <c r="AG42" s="210">
        <v>41.0</v>
      </c>
      <c r="AH42" s="210">
        <v>62.0</v>
      </c>
      <c r="AI42" s="210">
        <v>42.99</v>
      </c>
      <c r="AJ42" s="210">
        <v>10.82</v>
      </c>
      <c r="AK42" s="210">
        <v>2.06</v>
      </c>
      <c r="AL42" s="210">
        <v>0.1588</v>
      </c>
      <c r="AM42" s="211"/>
      <c r="AQ42" s="135">
        <v>18.1301</v>
      </c>
      <c r="AR42" s="135">
        <v>0.4878</v>
      </c>
      <c r="AS42" s="135">
        <v>17.6424</v>
      </c>
      <c r="AT42" s="135">
        <v>17.0363</v>
      </c>
      <c r="AU42" s="135">
        <v>0.2328</v>
      </c>
      <c r="AV42" s="135">
        <v>2866.0</v>
      </c>
      <c r="AW42" s="135">
        <v>0.0</v>
      </c>
      <c r="AX42" s="135">
        <v>122.34</v>
      </c>
      <c r="AY42" s="135">
        <v>198.0</v>
      </c>
      <c r="AZ42" s="135">
        <v>4.69</v>
      </c>
      <c r="BA42" s="135">
        <v>42.64</v>
      </c>
      <c r="BB42" s="135">
        <v>5.09</v>
      </c>
      <c r="BC42" s="135">
        <v>115.0</v>
      </c>
      <c r="BD42" s="135">
        <v>19489.0</v>
      </c>
      <c r="BE42" s="135">
        <v>9.8824</v>
      </c>
      <c r="BF42" s="135">
        <v>0.2135</v>
      </c>
      <c r="BG42" s="135">
        <v>9.6689</v>
      </c>
      <c r="BH42" s="135">
        <v>8.2073</v>
      </c>
      <c r="BI42" s="135">
        <v>0.1121</v>
      </c>
      <c r="BJ42" s="135">
        <v>8.2477</v>
      </c>
      <c r="BK42" s="135">
        <v>0.2742</v>
      </c>
      <c r="BL42" s="135">
        <v>7.9735</v>
      </c>
      <c r="BM42" s="135">
        <v>8.829</v>
      </c>
      <c r="BN42" s="135">
        <v>0.1206</v>
      </c>
      <c r="BO42" s="135">
        <v>3.2237</v>
      </c>
      <c r="BP42" s="135">
        <v>0.0649</v>
      </c>
      <c r="BQ42" s="135">
        <v>3.1588</v>
      </c>
      <c r="BR42" s="135">
        <v>2.8144</v>
      </c>
      <c r="BS42" s="135">
        <v>3.8011</v>
      </c>
      <c r="BT42" s="135">
        <v>0.0659</v>
      </c>
      <c r="BU42" s="135">
        <v>3.7352</v>
      </c>
      <c r="BV42" s="135">
        <v>3.0928</v>
      </c>
      <c r="BW42" s="135">
        <v>2.8576</v>
      </c>
      <c r="BX42" s="135">
        <v>0.0827</v>
      </c>
      <c r="BY42" s="135">
        <v>2.7749</v>
      </c>
      <c r="BZ42" s="135">
        <v>2.3001</v>
      </c>
      <c r="CA42" s="135">
        <v>2.4435</v>
      </c>
      <c r="CB42" s="135">
        <v>0.0764</v>
      </c>
      <c r="CC42" s="135">
        <v>2.3671</v>
      </c>
      <c r="CD42" s="135">
        <v>2.6699</v>
      </c>
      <c r="CE42" s="135">
        <v>2.5691</v>
      </c>
      <c r="CF42" s="135">
        <v>0.1078</v>
      </c>
      <c r="CG42" s="135">
        <v>2.4613</v>
      </c>
      <c r="CH42" s="135">
        <v>2.6001</v>
      </c>
      <c r="CI42" s="135">
        <v>3.2352</v>
      </c>
      <c r="CJ42" s="135">
        <v>0.09</v>
      </c>
      <c r="CK42" s="135">
        <v>3.1452</v>
      </c>
      <c r="CL42" s="135">
        <v>3.559</v>
      </c>
      <c r="CM42" s="135">
        <v>716.96</v>
      </c>
      <c r="CN42" s="135">
        <v>99.06</v>
      </c>
      <c r="CO42" s="135">
        <v>723.78</v>
      </c>
      <c r="CP42" s="135">
        <v>702.89</v>
      </c>
      <c r="CQ42" s="135">
        <v>0.0</v>
      </c>
      <c r="CR42" s="135">
        <v>5.51</v>
      </c>
      <c r="CS42" s="135">
        <v>8.56</v>
      </c>
      <c r="CT42" s="135">
        <v>0.0</v>
      </c>
      <c r="CU42" s="135">
        <v>0.0</v>
      </c>
      <c r="CV42" s="135">
        <v>0.0</v>
      </c>
      <c r="CW42" s="135">
        <v>372.77</v>
      </c>
      <c r="CX42" s="135">
        <v>0.0</v>
      </c>
      <c r="CY42" s="135">
        <v>0.0</v>
      </c>
      <c r="CZ42" s="135">
        <v>322.33</v>
      </c>
      <c r="DA42" s="135">
        <v>5.44</v>
      </c>
      <c r="DB42" s="135">
        <v>316.88</v>
      </c>
      <c r="DC42" s="135">
        <v>304.17</v>
      </c>
      <c r="DD42" s="135">
        <v>2.41</v>
      </c>
      <c r="DE42" s="135">
        <v>301.76</v>
      </c>
      <c r="DF42" s="135">
        <v>9.98</v>
      </c>
      <c r="DG42" s="135">
        <v>1.01</v>
      </c>
      <c r="DH42" s="135">
        <v>8.97</v>
      </c>
      <c r="DI42" s="135">
        <v>6.12</v>
      </c>
      <c r="DJ42" s="135">
        <v>1.01</v>
      </c>
      <c r="DK42" s="135">
        <v>5.11</v>
      </c>
      <c r="DL42" s="135">
        <v>2.05</v>
      </c>
      <c r="DM42" s="135">
        <v>1.01</v>
      </c>
      <c r="DN42" s="135">
        <v>1.04</v>
      </c>
    </row>
    <row r="43" ht="15.75" customHeight="1">
      <c r="A43" s="209">
        <v>46258.0</v>
      </c>
      <c r="B43" s="210" t="s">
        <v>4</v>
      </c>
      <c r="C43" s="210" t="s">
        <v>146</v>
      </c>
      <c r="D43" s="210">
        <v>386.0</v>
      </c>
      <c r="E43" s="210">
        <v>1.48</v>
      </c>
      <c r="F43" s="210">
        <v>341.95</v>
      </c>
      <c r="G43" s="210">
        <v>0.8859</v>
      </c>
      <c r="H43" s="210">
        <v>7.25</v>
      </c>
      <c r="I43" s="210">
        <v>12.2125</v>
      </c>
      <c r="J43" s="210">
        <v>243.49</v>
      </c>
      <c r="K43" s="210">
        <v>158.6</v>
      </c>
      <c r="L43" s="210">
        <v>125.1</v>
      </c>
      <c r="M43" s="210">
        <v>0.7888</v>
      </c>
      <c r="N43" s="210">
        <v>0.3267</v>
      </c>
      <c r="O43" s="210">
        <v>0.2118</v>
      </c>
      <c r="P43" s="210">
        <v>1.2678</v>
      </c>
      <c r="Q43" s="210">
        <v>636.7</v>
      </c>
      <c r="R43" s="210">
        <v>520.76</v>
      </c>
      <c r="S43" s="210">
        <v>115.95</v>
      </c>
      <c r="T43" s="210">
        <v>69.69</v>
      </c>
      <c r="U43" s="210">
        <v>567.02</v>
      </c>
      <c r="V43" s="210">
        <v>592.1</v>
      </c>
      <c r="W43" s="210">
        <v>3.7333</v>
      </c>
      <c r="X43" s="210">
        <v>10.95</v>
      </c>
      <c r="Y43" s="210">
        <v>420.0</v>
      </c>
      <c r="Z43" s="210">
        <v>844.0</v>
      </c>
      <c r="AA43" s="210">
        <v>1789.0</v>
      </c>
      <c r="AB43" s="210">
        <v>57.5507</v>
      </c>
      <c r="AC43" s="210">
        <v>0.7967</v>
      </c>
      <c r="AD43" s="210">
        <v>54.81</v>
      </c>
      <c r="AE43" s="210">
        <v>23.0</v>
      </c>
      <c r="AF43" s="210">
        <v>43.0</v>
      </c>
      <c r="AG43" s="210">
        <v>70.0</v>
      </c>
      <c r="AH43" s="210">
        <v>110.0</v>
      </c>
      <c r="AI43" s="210">
        <v>19.17</v>
      </c>
      <c r="AJ43" s="210">
        <v>3.11</v>
      </c>
      <c r="AK43" s="210">
        <v>0.52</v>
      </c>
      <c r="AL43" s="210">
        <v>0.0725</v>
      </c>
      <c r="AM43" s="211"/>
      <c r="AQ43" s="135">
        <v>33.4637</v>
      </c>
      <c r="AR43" s="135">
        <v>0.7202</v>
      </c>
      <c r="AS43" s="135">
        <v>32.7435</v>
      </c>
      <c r="AT43" s="135">
        <v>33.487</v>
      </c>
      <c r="AU43" s="135">
        <v>0.2111</v>
      </c>
      <c r="AV43" s="135">
        <v>386.0</v>
      </c>
      <c r="AW43" s="135">
        <v>0.0</v>
      </c>
      <c r="AX43" s="135">
        <v>262.19</v>
      </c>
      <c r="AY43" s="135">
        <v>283.34</v>
      </c>
      <c r="AZ43" s="135">
        <v>7.25</v>
      </c>
      <c r="BA43" s="135">
        <v>69.69</v>
      </c>
      <c r="BB43" s="135">
        <v>14.23</v>
      </c>
      <c r="BC43" s="135">
        <v>246.0</v>
      </c>
      <c r="BD43" s="135">
        <v>16249.0</v>
      </c>
      <c r="BE43" s="135">
        <v>19.1451</v>
      </c>
      <c r="BF43" s="135">
        <v>0.3109</v>
      </c>
      <c r="BG43" s="135">
        <v>18.8342</v>
      </c>
      <c r="BH43" s="135">
        <v>15.7565</v>
      </c>
      <c r="BI43" s="135">
        <v>0.0993</v>
      </c>
      <c r="BJ43" s="135">
        <v>14.3187</v>
      </c>
      <c r="BK43" s="135">
        <v>0.4093</v>
      </c>
      <c r="BL43" s="135">
        <v>13.9093</v>
      </c>
      <c r="BM43" s="135">
        <v>17.7306</v>
      </c>
      <c r="BN43" s="135">
        <v>0.1118</v>
      </c>
      <c r="BO43" s="135">
        <v>6.513</v>
      </c>
      <c r="BP43" s="135">
        <v>0.0959</v>
      </c>
      <c r="BQ43" s="135">
        <v>6.4171</v>
      </c>
      <c r="BR43" s="135">
        <v>5.3756</v>
      </c>
      <c r="BS43" s="135">
        <v>7.0959</v>
      </c>
      <c r="BT43" s="135">
        <v>0.0959</v>
      </c>
      <c r="BU43" s="135">
        <v>7.0</v>
      </c>
      <c r="BV43" s="135">
        <v>5.7409</v>
      </c>
      <c r="BW43" s="135">
        <v>5.5363</v>
      </c>
      <c r="BX43" s="135">
        <v>0.1192</v>
      </c>
      <c r="BY43" s="135">
        <v>5.4171</v>
      </c>
      <c r="BZ43" s="135">
        <v>4.6399</v>
      </c>
      <c r="CA43" s="135">
        <v>4.6632</v>
      </c>
      <c r="CB43" s="135">
        <v>0.1218</v>
      </c>
      <c r="CC43" s="135">
        <v>4.5415</v>
      </c>
      <c r="CD43" s="135">
        <v>4.9793</v>
      </c>
      <c r="CE43" s="135">
        <v>4.0622</v>
      </c>
      <c r="CF43" s="135">
        <v>0.1632</v>
      </c>
      <c r="CG43" s="135">
        <v>3.899</v>
      </c>
      <c r="CH43" s="135">
        <v>3.9611</v>
      </c>
      <c r="CI43" s="135">
        <v>5.5933</v>
      </c>
      <c r="CJ43" s="135">
        <v>0.1244</v>
      </c>
      <c r="CK43" s="135">
        <v>5.4689</v>
      </c>
      <c r="CL43" s="135">
        <v>8.7902</v>
      </c>
      <c r="CM43" s="135">
        <v>1478.88</v>
      </c>
      <c r="CN43" s="135">
        <v>99.74</v>
      </c>
      <c r="CO43" s="135">
        <v>1482.72</v>
      </c>
      <c r="CP43" s="135">
        <v>1460.47</v>
      </c>
      <c r="CQ43" s="135">
        <v>0.0</v>
      </c>
      <c r="CR43" s="135">
        <v>8.91</v>
      </c>
      <c r="CS43" s="135">
        <v>9.49</v>
      </c>
      <c r="CT43" s="135">
        <v>0.0</v>
      </c>
      <c r="CU43" s="135">
        <v>0.0</v>
      </c>
      <c r="CV43" s="135">
        <v>0.0</v>
      </c>
      <c r="CW43" s="135">
        <v>636.7</v>
      </c>
      <c r="CX43" s="135">
        <v>0.0</v>
      </c>
      <c r="CY43" s="135">
        <v>0.0</v>
      </c>
      <c r="CZ43" s="135">
        <v>606.93</v>
      </c>
      <c r="DA43" s="135">
        <v>8.98</v>
      </c>
      <c r="DB43" s="135">
        <v>597.95</v>
      </c>
      <c r="DC43" s="135">
        <v>576.28</v>
      </c>
      <c r="DD43" s="135">
        <v>4.16</v>
      </c>
      <c r="DE43" s="135">
        <v>572.12</v>
      </c>
      <c r="DF43" s="135">
        <v>15.56</v>
      </c>
      <c r="DG43" s="135">
        <v>1.61</v>
      </c>
      <c r="DH43" s="135">
        <v>13.95</v>
      </c>
      <c r="DI43" s="135">
        <v>10.08</v>
      </c>
      <c r="DJ43" s="135">
        <v>1.61</v>
      </c>
      <c r="DK43" s="135">
        <v>8.47</v>
      </c>
      <c r="DL43" s="135">
        <v>5.01</v>
      </c>
      <c r="DM43" s="135">
        <v>1.61</v>
      </c>
      <c r="DN43" s="135">
        <v>3.41</v>
      </c>
    </row>
    <row r="44" ht="15.75" customHeight="1">
      <c r="A44" s="209">
        <v>46258.0</v>
      </c>
      <c r="B44" s="210" t="s">
        <v>5</v>
      </c>
      <c r="C44" s="210" t="s">
        <v>398</v>
      </c>
      <c r="D44" s="210">
        <v>4440.0</v>
      </c>
      <c r="E44" s="210">
        <v>17.29</v>
      </c>
      <c r="F44" s="210">
        <v>17.68</v>
      </c>
      <c r="G44" s="210">
        <v>0.004</v>
      </c>
      <c r="H44" s="210">
        <v>0.11</v>
      </c>
      <c r="I44" s="210">
        <v>3.536</v>
      </c>
      <c r="J44" s="210">
        <v>4.23</v>
      </c>
      <c r="K44" s="210">
        <v>1.68</v>
      </c>
      <c r="L44" s="210">
        <v>0.22</v>
      </c>
      <c r="M44" s="210">
        <v>0.1336</v>
      </c>
      <c r="N44" s="210">
        <v>0.8891</v>
      </c>
      <c r="O44" s="210">
        <v>0.4941</v>
      </c>
      <c r="P44" s="210">
        <v>7.4869</v>
      </c>
      <c r="Q44" s="210">
        <v>22.35</v>
      </c>
      <c r="R44" s="210">
        <v>22.28</v>
      </c>
      <c r="S44" s="210">
        <v>0.07</v>
      </c>
      <c r="T44" s="210">
        <v>0.55</v>
      </c>
      <c r="U44" s="210">
        <v>21.8</v>
      </c>
      <c r="V44" s="210">
        <v>4.79</v>
      </c>
      <c r="W44" s="210">
        <v>2.8554</v>
      </c>
      <c r="X44" s="210">
        <v>2.47</v>
      </c>
      <c r="Y44" s="210">
        <v>200.0</v>
      </c>
      <c r="Z44" s="210">
        <v>370.0</v>
      </c>
      <c r="AA44" s="210">
        <v>2284.0</v>
      </c>
      <c r="AB44" s="210">
        <v>49.6809</v>
      </c>
      <c r="AC44" s="210">
        <v>0.5641</v>
      </c>
      <c r="AD44" s="211"/>
      <c r="AE44" s="211"/>
      <c r="AF44" s="211"/>
      <c r="AG44" s="211"/>
      <c r="AH44" s="211"/>
      <c r="AI44" s="210">
        <v>0.0</v>
      </c>
      <c r="AJ44" s="210">
        <v>0.0</v>
      </c>
      <c r="AK44" s="210">
        <v>0.0</v>
      </c>
      <c r="AL44" s="210">
        <v>0.6016</v>
      </c>
      <c r="AM44" s="210">
        <v>0.54</v>
      </c>
      <c r="AN44" s="135">
        <v>0.54</v>
      </c>
      <c r="AO44" s="135">
        <v>0.38</v>
      </c>
      <c r="AP44" s="135">
        <v>0.09</v>
      </c>
      <c r="AQ44" s="135">
        <v>1.1662</v>
      </c>
      <c r="AR44" s="135">
        <v>0.0185</v>
      </c>
      <c r="AS44" s="135">
        <v>1.1477</v>
      </c>
      <c r="AT44" s="135">
        <v>0.3518</v>
      </c>
      <c r="AU44" s="135">
        <v>0.2099</v>
      </c>
      <c r="AV44" s="135">
        <v>4440.0</v>
      </c>
      <c r="AW44" s="135">
        <v>0.0</v>
      </c>
      <c r="AX44" s="135">
        <v>6.68</v>
      </c>
      <c r="AY44" s="135">
        <v>14.08</v>
      </c>
      <c r="AZ44" s="135">
        <v>0.86</v>
      </c>
      <c r="BA44" s="135">
        <v>0.55</v>
      </c>
      <c r="BB44" s="135">
        <v>0.17</v>
      </c>
      <c r="BD44" s="135">
        <v>23976.0</v>
      </c>
      <c r="BE44" s="135">
        <v>0.5707</v>
      </c>
      <c r="BF44" s="135">
        <v>0.0068</v>
      </c>
      <c r="BG44" s="135">
        <v>0.564</v>
      </c>
      <c r="BH44" s="135">
        <v>0.2194</v>
      </c>
      <c r="BI44" s="135">
        <v>0.1309</v>
      </c>
      <c r="BJ44" s="135">
        <v>0.5955</v>
      </c>
      <c r="BK44" s="135">
        <v>0.0117</v>
      </c>
      <c r="BL44" s="135">
        <v>0.5838</v>
      </c>
      <c r="BM44" s="135">
        <v>0.1324</v>
      </c>
      <c r="BN44" s="135">
        <v>0.079</v>
      </c>
      <c r="BO44" s="135">
        <v>0.1651</v>
      </c>
      <c r="BP44" s="135">
        <v>0.0036</v>
      </c>
      <c r="BQ44" s="135">
        <v>0.1615</v>
      </c>
      <c r="BR44" s="135">
        <v>0.089</v>
      </c>
      <c r="BS44" s="135">
        <v>0.2768</v>
      </c>
      <c r="BT44" s="135">
        <v>0.0016</v>
      </c>
      <c r="BU44" s="135">
        <v>0.2752</v>
      </c>
      <c r="BV44" s="135">
        <v>0.0896</v>
      </c>
      <c r="BW44" s="135">
        <v>0.1288</v>
      </c>
      <c r="BX44" s="135">
        <v>0.0016</v>
      </c>
      <c r="BY44" s="135">
        <v>0.1273</v>
      </c>
      <c r="BZ44" s="135">
        <v>0.0408</v>
      </c>
      <c r="CA44" s="135">
        <v>0.1633</v>
      </c>
      <c r="CB44" s="135">
        <v>0.0011</v>
      </c>
      <c r="CC44" s="135">
        <v>0.1622</v>
      </c>
      <c r="CD44" s="135">
        <v>0.0241</v>
      </c>
      <c r="CE44" s="135">
        <v>0.232</v>
      </c>
      <c r="CF44" s="135">
        <v>0.007</v>
      </c>
      <c r="CG44" s="135">
        <v>0.225</v>
      </c>
      <c r="CH44" s="135">
        <v>0.0592</v>
      </c>
      <c r="CI44" s="135">
        <v>0.2002</v>
      </c>
      <c r="CJ44" s="135">
        <v>0.0036</v>
      </c>
      <c r="CK44" s="135">
        <v>0.1966</v>
      </c>
      <c r="CL44" s="135">
        <v>0.0491</v>
      </c>
      <c r="CM44" s="135">
        <v>8.72</v>
      </c>
      <c r="CN44" s="135">
        <v>8.02</v>
      </c>
      <c r="CO44" s="135">
        <v>108.73</v>
      </c>
      <c r="CP44" s="135">
        <v>4.36</v>
      </c>
      <c r="CQ44" s="135">
        <v>0.34</v>
      </c>
      <c r="CR44" s="135">
        <v>1.15</v>
      </c>
      <c r="CS44" s="135">
        <v>2.87</v>
      </c>
      <c r="CT44" s="135">
        <v>0.0</v>
      </c>
      <c r="CU44" s="135">
        <v>227.0</v>
      </c>
      <c r="CV44" s="135">
        <v>0.06</v>
      </c>
      <c r="CW44" s="135">
        <v>22.4</v>
      </c>
      <c r="CX44" s="135">
        <v>0.01</v>
      </c>
      <c r="CY44" s="135">
        <v>0.35</v>
      </c>
      <c r="CZ44" s="135">
        <v>20.93</v>
      </c>
      <c r="DA44" s="135">
        <v>0.06</v>
      </c>
      <c r="DB44" s="135">
        <v>20.87</v>
      </c>
      <c r="DC44" s="135">
        <v>18.11</v>
      </c>
      <c r="DD44" s="135">
        <v>0.02</v>
      </c>
      <c r="DE44" s="135">
        <v>18.09</v>
      </c>
      <c r="DF44" s="135">
        <v>1.51</v>
      </c>
      <c r="DG44" s="135">
        <v>0.01</v>
      </c>
      <c r="DH44" s="135">
        <v>1.5</v>
      </c>
      <c r="DI44" s="135">
        <v>1.09</v>
      </c>
      <c r="DJ44" s="135">
        <v>0.01</v>
      </c>
      <c r="DK44" s="135">
        <v>1.07</v>
      </c>
      <c r="DL44" s="135">
        <v>0.22</v>
      </c>
      <c r="DM44" s="135">
        <v>0.01</v>
      </c>
      <c r="DN44" s="135">
        <v>0.21</v>
      </c>
    </row>
    <row r="45" ht="15.75" customHeight="1">
      <c r="A45" s="209">
        <v>46258.0</v>
      </c>
      <c r="B45" s="210" t="s">
        <v>5</v>
      </c>
      <c r="C45" s="210" t="s">
        <v>142</v>
      </c>
      <c r="D45" s="210">
        <v>7324.0</v>
      </c>
      <c r="E45" s="210">
        <v>28.51</v>
      </c>
      <c r="F45" s="210">
        <v>82.15</v>
      </c>
      <c r="G45" s="210">
        <v>0.0112</v>
      </c>
      <c r="H45" s="210">
        <v>0.6</v>
      </c>
      <c r="I45" s="210">
        <v>1.867</v>
      </c>
      <c r="J45" s="210">
        <v>20.9</v>
      </c>
      <c r="K45" s="210">
        <v>10.76</v>
      </c>
      <c r="L45" s="210">
        <v>5.27</v>
      </c>
      <c r="M45" s="210">
        <v>0.49</v>
      </c>
      <c r="N45" s="210">
        <v>0.6185</v>
      </c>
      <c r="O45" s="210">
        <v>0.365</v>
      </c>
      <c r="P45" s="210">
        <v>2.0409</v>
      </c>
      <c r="Q45" s="210">
        <v>57.43</v>
      </c>
      <c r="R45" s="210">
        <v>53.78</v>
      </c>
      <c r="S45" s="210">
        <v>3.65</v>
      </c>
      <c r="T45" s="210">
        <v>0.95</v>
      </c>
      <c r="U45" s="210">
        <v>56.48</v>
      </c>
      <c r="V45" s="210">
        <v>45.19</v>
      </c>
      <c r="W45" s="210">
        <v>4.2016</v>
      </c>
      <c r="X45" s="210">
        <v>1.65</v>
      </c>
      <c r="Y45" s="210">
        <v>201.0</v>
      </c>
      <c r="Z45" s="210">
        <v>321.0</v>
      </c>
      <c r="AA45" s="210">
        <v>1232.0</v>
      </c>
      <c r="AB45" s="210">
        <v>49.959</v>
      </c>
      <c r="AC45" s="210">
        <v>0.5965</v>
      </c>
      <c r="AD45" s="210">
        <v>4.17</v>
      </c>
      <c r="AE45" s="210">
        <v>2.0</v>
      </c>
      <c r="AF45" s="210">
        <v>3.0</v>
      </c>
      <c r="AG45" s="210">
        <v>6.0</v>
      </c>
      <c r="AH45" s="210">
        <v>9.0</v>
      </c>
      <c r="AI45" s="210">
        <v>75.64</v>
      </c>
      <c r="AJ45" s="210">
        <v>35.6</v>
      </c>
      <c r="AK45" s="210">
        <v>7.54</v>
      </c>
      <c r="AL45" s="210">
        <v>0.4846</v>
      </c>
      <c r="AM45" s="210">
        <v>36.06</v>
      </c>
      <c r="AN45" s="135">
        <v>36.06</v>
      </c>
      <c r="AO45" s="135">
        <v>18.49</v>
      </c>
      <c r="AP45" s="135">
        <v>6.12</v>
      </c>
      <c r="AQ45" s="135">
        <v>4.2885</v>
      </c>
      <c r="AR45" s="135">
        <v>0.0302</v>
      </c>
      <c r="AS45" s="135">
        <v>4.2583</v>
      </c>
      <c r="AT45" s="135">
        <v>2.7649</v>
      </c>
      <c r="AU45" s="135">
        <v>0.257</v>
      </c>
      <c r="AV45" s="135">
        <v>7324.0</v>
      </c>
      <c r="AW45" s="135">
        <v>0.0</v>
      </c>
      <c r="AX45" s="135">
        <v>18.17</v>
      </c>
      <c r="AY45" s="135">
        <v>36.18</v>
      </c>
      <c r="AZ45" s="135">
        <v>1.73</v>
      </c>
      <c r="BA45" s="135">
        <v>0.95</v>
      </c>
      <c r="BB45" s="135">
        <v>0.41</v>
      </c>
      <c r="BC45" s="135">
        <v>17.0</v>
      </c>
      <c r="BD45" s="135">
        <v>19012.0</v>
      </c>
      <c r="BE45" s="135">
        <v>3.0274</v>
      </c>
      <c r="BF45" s="135">
        <v>0.0168</v>
      </c>
      <c r="BG45" s="135">
        <v>3.0106</v>
      </c>
      <c r="BH45" s="135">
        <v>1.6636</v>
      </c>
      <c r="BI45" s="135">
        <v>0.1547</v>
      </c>
      <c r="BJ45" s="135">
        <v>1.2611</v>
      </c>
      <c r="BK45" s="135">
        <v>0.0134</v>
      </c>
      <c r="BL45" s="135">
        <v>1.2477</v>
      </c>
      <c r="BM45" s="135">
        <v>1.1013</v>
      </c>
      <c r="BN45" s="135">
        <v>0.1024</v>
      </c>
      <c r="BO45" s="135">
        <v>1.4257</v>
      </c>
      <c r="BP45" s="135">
        <v>0.0079</v>
      </c>
      <c r="BQ45" s="135">
        <v>1.4178</v>
      </c>
      <c r="BR45" s="135">
        <v>0.744</v>
      </c>
      <c r="BS45" s="135">
        <v>1.2495</v>
      </c>
      <c r="BT45" s="135">
        <v>0.0018</v>
      </c>
      <c r="BU45" s="135">
        <v>1.2477</v>
      </c>
      <c r="BV45" s="135">
        <v>0.6353</v>
      </c>
      <c r="BW45" s="135">
        <v>0.3523</v>
      </c>
      <c r="BX45" s="135">
        <v>0.0071</v>
      </c>
      <c r="BY45" s="135">
        <v>0.3452</v>
      </c>
      <c r="BZ45" s="135">
        <v>0.2843</v>
      </c>
      <c r="CA45" s="135">
        <v>0.343</v>
      </c>
      <c r="CB45" s="135">
        <v>0.0023</v>
      </c>
      <c r="CC45" s="135">
        <v>0.3407</v>
      </c>
      <c r="CD45" s="135">
        <v>0.2436</v>
      </c>
      <c r="CE45" s="135">
        <v>0.4668</v>
      </c>
      <c r="CF45" s="135">
        <v>0.0066</v>
      </c>
      <c r="CG45" s="135">
        <v>0.4603</v>
      </c>
      <c r="CH45" s="135">
        <v>0.472</v>
      </c>
      <c r="CI45" s="135">
        <v>0.4513</v>
      </c>
      <c r="CJ45" s="135">
        <v>0.0045</v>
      </c>
      <c r="CK45" s="135">
        <v>0.4468</v>
      </c>
      <c r="CL45" s="135">
        <v>0.3857</v>
      </c>
      <c r="CM45" s="135">
        <v>94.94</v>
      </c>
      <c r="CN45" s="135">
        <v>71.53</v>
      </c>
      <c r="CO45" s="135">
        <v>132.72</v>
      </c>
      <c r="CP45" s="135">
        <v>80.7</v>
      </c>
      <c r="CQ45" s="135">
        <v>8.61</v>
      </c>
      <c r="CR45" s="135">
        <v>2.99</v>
      </c>
      <c r="CS45" s="135">
        <v>2.63</v>
      </c>
      <c r="CT45" s="135">
        <v>0.0</v>
      </c>
      <c r="CU45" s="135">
        <v>952.0</v>
      </c>
      <c r="CV45" s="135">
        <v>0.97</v>
      </c>
      <c r="CW45" s="135">
        <v>58.4</v>
      </c>
      <c r="CX45" s="135">
        <v>0.83</v>
      </c>
      <c r="CY45" s="135">
        <v>9.44</v>
      </c>
      <c r="CZ45" s="135">
        <v>81.83</v>
      </c>
      <c r="DA45" s="135">
        <v>0.27</v>
      </c>
      <c r="DB45" s="135">
        <v>81.55</v>
      </c>
      <c r="DC45" s="135">
        <v>74.42</v>
      </c>
      <c r="DD45" s="135">
        <v>0.08</v>
      </c>
      <c r="DE45" s="135">
        <v>74.35</v>
      </c>
      <c r="DF45" s="135">
        <v>4.12</v>
      </c>
      <c r="DG45" s="135">
        <v>0.07</v>
      </c>
      <c r="DH45" s="135">
        <v>4.05</v>
      </c>
      <c r="DI45" s="135">
        <v>2.91</v>
      </c>
      <c r="DJ45" s="135">
        <v>0.07</v>
      </c>
      <c r="DK45" s="135">
        <v>2.84</v>
      </c>
      <c r="DL45" s="135">
        <v>0.38</v>
      </c>
      <c r="DM45" s="135">
        <v>0.07</v>
      </c>
      <c r="DN45" s="135">
        <v>0.31</v>
      </c>
    </row>
    <row r="46" ht="15.75" customHeight="1">
      <c r="A46" s="209">
        <v>46258.0</v>
      </c>
      <c r="B46" s="210" t="s">
        <v>5</v>
      </c>
      <c r="C46" s="210" t="s">
        <v>143</v>
      </c>
      <c r="D46" s="210">
        <v>6082.0</v>
      </c>
      <c r="E46" s="210">
        <v>23.68</v>
      </c>
      <c r="F46" s="210">
        <v>395.02</v>
      </c>
      <c r="G46" s="210">
        <v>0.0649</v>
      </c>
      <c r="H46" s="210">
        <v>2.27</v>
      </c>
      <c r="I46" s="210">
        <v>2.8625</v>
      </c>
      <c r="J46" s="210">
        <v>47.2</v>
      </c>
      <c r="K46" s="210">
        <v>25.34</v>
      </c>
      <c r="L46" s="210">
        <v>14.46</v>
      </c>
      <c r="M46" s="210">
        <v>0.5707</v>
      </c>
      <c r="N46" s="210">
        <v>0.5551</v>
      </c>
      <c r="O46" s="210">
        <v>0.3314</v>
      </c>
      <c r="P46" s="210">
        <v>1.7521</v>
      </c>
      <c r="Q46" s="210">
        <v>121.61</v>
      </c>
      <c r="R46" s="210">
        <v>110.9</v>
      </c>
      <c r="S46" s="210">
        <v>10.72</v>
      </c>
      <c r="T46" s="210">
        <v>5.75</v>
      </c>
      <c r="U46" s="210">
        <v>115.87</v>
      </c>
      <c r="V46" s="210">
        <v>106.44</v>
      </c>
      <c r="W46" s="210">
        <v>4.2004</v>
      </c>
      <c r="X46" s="210">
        <v>4.73</v>
      </c>
      <c r="Y46" s="210">
        <v>219.0</v>
      </c>
      <c r="Z46" s="210">
        <v>393.0</v>
      </c>
      <c r="AA46" s="210">
        <v>1204.0</v>
      </c>
      <c r="AB46" s="210">
        <v>51.5181</v>
      </c>
      <c r="AC46" s="210">
        <v>0.6412</v>
      </c>
      <c r="AD46" s="210">
        <v>9.87</v>
      </c>
      <c r="AE46" s="210">
        <v>5.0</v>
      </c>
      <c r="AF46" s="210">
        <v>9.0</v>
      </c>
      <c r="AG46" s="210">
        <v>13.0</v>
      </c>
      <c r="AH46" s="210">
        <v>19.0</v>
      </c>
      <c r="AI46" s="210">
        <v>67.26</v>
      </c>
      <c r="AJ46" s="210">
        <v>28.07</v>
      </c>
      <c r="AK46" s="210">
        <v>3.98</v>
      </c>
      <c r="AL46" s="210">
        <v>0.316</v>
      </c>
      <c r="AM46" s="210">
        <v>46.25</v>
      </c>
      <c r="AN46" s="135">
        <v>46.25</v>
      </c>
      <c r="AO46" s="135">
        <v>27.36</v>
      </c>
      <c r="AP46" s="135">
        <v>13.04</v>
      </c>
      <c r="AQ46" s="135">
        <v>8.6457</v>
      </c>
      <c r="AR46" s="135">
        <v>0.0965</v>
      </c>
      <c r="AS46" s="135">
        <v>8.5492</v>
      </c>
      <c r="AT46" s="135">
        <v>5.9781</v>
      </c>
      <c r="AU46" s="135">
        <v>0.2359</v>
      </c>
      <c r="AV46" s="135">
        <v>6082.0</v>
      </c>
      <c r="AW46" s="135">
        <v>0.0</v>
      </c>
      <c r="AX46" s="135">
        <v>38.39</v>
      </c>
      <c r="AY46" s="135">
        <v>73.44</v>
      </c>
      <c r="AZ46" s="135">
        <v>2.78</v>
      </c>
      <c r="BA46" s="135">
        <v>5.75</v>
      </c>
      <c r="BB46" s="135">
        <v>1.25</v>
      </c>
      <c r="BC46" s="135">
        <v>36.0</v>
      </c>
      <c r="BD46" s="135">
        <v>18807.0</v>
      </c>
      <c r="BE46" s="135">
        <v>6.0053</v>
      </c>
      <c r="BF46" s="135">
        <v>0.0587</v>
      </c>
      <c r="BG46" s="135">
        <v>5.9466</v>
      </c>
      <c r="BH46" s="135">
        <v>3.5355</v>
      </c>
      <c r="BI46" s="135">
        <v>0.1395</v>
      </c>
      <c r="BJ46" s="135">
        <v>2.6404</v>
      </c>
      <c r="BK46" s="135">
        <v>0.0378</v>
      </c>
      <c r="BL46" s="135">
        <v>2.6026</v>
      </c>
      <c r="BM46" s="135">
        <v>2.4426</v>
      </c>
      <c r="BN46" s="135">
        <v>0.0964</v>
      </c>
      <c r="BO46" s="135">
        <v>2.7435</v>
      </c>
      <c r="BP46" s="135">
        <v>0.0255</v>
      </c>
      <c r="BQ46" s="135">
        <v>2.718</v>
      </c>
      <c r="BR46" s="135">
        <v>1.5597</v>
      </c>
      <c r="BS46" s="135">
        <v>2.5301</v>
      </c>
      <c r="BT46" s="135">
        <v>0.0136</v>
      </c>
      <c r="BU46" s="135">
        <v>2.5164</v>
      </c>
      <c r="BV46" s="135">
        <v>1.3579</v>
      </c>
      <c r="BW46" s="135">
        <v>0.7317</v>
      </c>
      <c r="BX46" s="135">
        <v>0.0196</v>
      </c>
      <c r="BY46" s="135">
        <v>0.7121</v>
      </c>
      <c r="BZ46" s="135">
        <v>0.6179</v>
      </c>
      <c r="CA46" s="135">
        <v>0.6562</v>
      </c>
      <c r="CB46" s="135">
        <v>0.0089</v>
      </c>
      <c r="CC46" s="135">
        <v>0.6473</v>
      </c>
      <c r="CD46" s="135">
        <v>0.5623</v>
      </c>
      <c r="CE46" s="135">
        <v>0.9078</v>
      </c>
      <c r="CF46" s="135">
        <v>0.0169</v>
      </c>
      <c r="CG46" s="135">
        <v>0.8908</v>
      </c>
      <c r="CH46" s="135">
        <v>0.9467</v>
      </c>
      <c r="CI46" s="135">
        <v>1.0765</v>
      </c>
      <c r="CJ46" s="135">
        <v>0.012</v>
      </c>
      <c r="CK46" s="135">
        <v>1.0645</v>
      </c>
      <c r="CL46" s="135">
        <v>0.9336</v>
      </c>
      <c r="CM46" s="135">
        <v>205.12</v>
      </c>
      <c r="CN46" s="135">
        <v>89.38</v>
      </c>
      <c r="CO46" s="135">
        <v>229.49</v>
      </c>
      <c r="CP46" s="135">
        <v>155.91</v>
      </c>
      <c r="CQ46" s="135">
        <v>34.07</v>
      </c>
      <c r="CR46" s="135">
        <v>3.37</v>
      </c>
      <c r="CS46" s="135">
        <v>11.76</v>
      </c>
      <c r="CT46" s="135">
        <v>0.0</v>
      </c>
      <c r="CU46" s="135">
        <v>1699.0</v>
      </c>
      <c r="CV46" s="135">
        <v>4.05</v>
      </c>
      <c r="CW46" s="135">
        <v>125.66</v>
      </c>
      <c r="CX46" s="135">
        <v>3.69</v>
      </c>
      <c r="CY46" s="135">
        <v>37.77</v>
      </c>
      <c r="CZ46" s="135">
        <v>159.28</v>
      </c>
      <c r="DA46" s="135">
        <v>1.38</v>
      </c>
      <c r="DB46" s="135">
        <v>157.9</v>
      </c>
      <c r="DC46" s="135">
        <v>145.75</v>
      </c>
      <c r="DD46" s="135">
        <v>0.36</v>
      </c>
      <c r="DE46" s="135">
        <v>145.39</v>
      </c>
      <c r="DF46" s="135">
        <v>6.78</v>
      </c>
      <c r="DG46" s="135">
        <v>0.34</v>
      </c>
      <c r="DH46" s="135">
        <v>6.44</v>
      </c>
      <c r="DI46" s="135">
        <v>5.5</v>
      </c>
      <c r="DJ46" s="135">
        <v>0.34</v>
      </c>
      <c r="DK46" s="135">
        <v>5.16</v>
      </c>
      <c r="DL46" s="135">
        <v>1.25</v>
      </c>
      <c r="DM46" s="135">
        <v>0.34</v>
      </c>
      <c r="DN46" s="135">
        <v>0.9</v>
      </c>
    </row>
    <row r="47" ht="15.75" customHeight="1">
      <c r="A47" s="209">
        <v>46258.0</v>
      </c>
      <c r="B47" s="210" t="s">
        <v>5</v>
      </c>
      <c r="C47" s="210" t="s">
        <v>144</v>
      </c>
      <c r="D47" s="210">
        <v>4866.0</v>
      </c>
      <c r="E47" s="210">
        <v>18.94</v>
      </c>
      <c r="F47" s="210">
        <v>829.94</v>
      </c>
      <c r="G47" s="210">
        <v>0.1706</v>
      </c>
      <c r="H47" s="210">
        <v>3.53</v>
      </c>
      <c r="I47" s="210">
        <v>4.8252</v>
      </c>
      <c r="J47" s="210">
        <v>77.04</v>
      </c>
      <c r="K47" s="210">
        <v>43.2</v>
      </c>
      <c r="L47" s="210">
        <v>28.24</v>
      </c>
      <c r="M47" s="210">
        <v>0.6536</v>
      </c>
      <c r="N47" s="210">
        <v>0.4864</v>
      </c>
      <c r="O47" s="210">
        <v>0.3012</v>
      </c>
      <c r="P47" s="210">
        <v>1.5299</v>
      </c>
      <c r="Q47" s="210">
        <v>214.92</v>
      </c>
      <c r="R47" s="210">
        <v>194.25</v>
      </c>
      <c r="S47" s="210">
        <v>20.67</v>
      </c>
      <c r="T47" s="210">
        <v>12.52</v>
      </c>
      <c r="U47" s="210">
        <v>202.4</v>
      </c>
      <c r="V47" s="210">
        <v>198.07</v>
      </c>
      <c r="W47" s="210">
        <v>4.5853</v>
      </c>
      <c r="X47" s="210">
        <v>5.82</v>
      </c>
      <c r="Y47" s="210">
        <v>261.0</v>
      </c>
      <c r="Z47" s="210">
        <v>506.0</v>
      </c>
      <c r="AA47" s="210">
        <v>1331.0</v>
      </c>
      <c r="AB47" s="210">
        <v>53.1181</v>
      </c>
      <c r="AC47" s="210">
        <v>0.685</v>
      </c>
      <c r="AD47" s="210">
        <v>17.42</v>
      </c>
      <c r="AE47" s="210">
        <v>8.0</v>
      </c>
      <c r="AF47" s="210">
        <v>14.0</v>
      </c>
      <c r="AG47" s="210">
        <v>24.0</v>
      </c>
      <c r="AH47" s="210">
        <v>35.0</v>
      </c>
      <c r="AI47" s="210">
        <v>61.18</v>
      </c>
      <c r="AJ47" s="210">
        <v>22.46</v>
      </c>
      <c r="AK47" s="210">
        <v>5.43</v>
      </c>
      <c r="AL47" s="210">
        <v>0.2345</v>
      </c>
      <c r="AM47" s="210">
        <v>47.35</v>
      </c>
      <c r="AN47" s="135">
        <v>47.35</v>
      </c>
      <c r="AO47" s="135">
        <v>25.11</v>
      </c>
      <c r="AP47" s="135">
        <v>12.31</v>
      </c>
      <c r="AQ47" s="135">
        <v>13.1885</v>
      </c>
      <c r="AR47" s="135">
        <v>0.1835</v>
      </c>
      <c r="AS47" s="135">
        <v>13.0049</v>
      </c>
      <c r="AT47" s="135">
        <v>9.1967</v>
      </c>
      <c r="AU47" s="135">
        <v>0.2129</v>
      </c>
      <c r="AV47" s="135">
        <v>4866.0</v>
      </c>
      <c r="AW47" s="135">
        <v>0.0</v>
      </c>
      <c r="AX47" s="135">
        <v>65.68</v>
      </c>
      <c r="AY47" s="135">
        <v>131.53</v>
      </c>
      <c r="AZ47" s="135">
        <v>3.4</v>
      </c>
      <c r="BA47" s="135">
        <v>12.52</v>
      </c>
      <c r="BB47" s="135">
        <v>1.8</v>
      </c>
      <c r="BC47" s="135">
        <v>62.0</v>
      </c>
      <c r="BD47" s="135">
        <v>16354.0</v>
      </c>
      <c r="BE47" s="135">
        <v>8.9141</v>
      </c>
      <c r="BF47" s="135">
        <v>0.103</v>
      </c>
      <c r="BG47" s="135">
        <v>8.8111</v>
      </c>
      <c r="BH47" s="135">
        <v>5.3327</v>
      </c>
      <c r="BI47" s="135">
        <v>0.1235</v>
      </c>
      <c r="BJ47" s="135">
        <v>4.2744</v>
      </c>
      <c r="BK47" s="135">
        <v>0.0806</v>
      </c>
      <c r="BL47" s="135">
        <v>4.1938</v>
      </c>
      <c r="BM47" s="135">
        <v>3.864</v>
      </c>
      <c r="BN47" s="135">
        <v>0.0895</v>
      </c>
      <c r="BO47" s="135">
        <v>3.6885</v>
      </c>
      <c r="BP47" s="135">
        <v>0.0331</v>
      </c>
      <c r="BQ47" s="135">
        <v>3.6554</v>
      </c>
      <c r="BR47" s="135">
        <v>2.1469</v>
      </c>
      <c r="BS47" s="135">
        <v>3.6206</v>
      </c>
      <c r="BT47" s="135">
        <v>0.0312</v>
      </c>
      <c r="BU47" s="135">
        <v>3.5894</v>
      </c>
      <c r="BV47" s="135">
        <v>2.0756</v>
      </c>
      <c r="BW47" s="135">
        <v>1.605</v>
      </c>
      <c r="BX47" s="135">
        <v>0.0386</v>
      </c>
      <c r="BY47" s="135">
        <v>1.5664</v>
      </c>
      <c r="BZ47" s="135">
        <v>1.1102</v>
      </c>
      <c r="CA47" s="135">
        <v>1.1726</v>
      </c>
      <c r="CB47" s="135">
        <v>0.0212</v>
      </c>
      <c r="CC47" s="135">
        <v>1.1515</v>
      </c>
      <c r="CD47" s="135">
        <v>0.9704</v>
      </c>
      <c r="CE47" s="135">
        <v>1.2606</v>
      </c>
      <c r="CF47" s="135">
        <v>0.0294</v>
      </c>
      <c r="CG47" s="135">
        <v>1.2312</v>
      </c>
      <c r="CH47" s="135">
        <v>1.3711</v>
      </c>
      <c r="CI47" s="135">
        <v>1.8411</v>
      </c>
      <c r="CJ47" s="135">
        <v>0.03</v>
      </c>
      <c r="CK47" s="135">
        <v>1.8111</v>
      </c>
      <c r="CL47" s="135">
        <v>1.5224</v>
      </c>
      <c r="CM47" s="135">
        <v>380.08</v>
      </c>
      <c r="CN47" s="135">
        <v>95.64</v>
      </c>
      <c r="CO47" s="135">
        <v>397.39</v>
      </c>
      <c r="CP47" s="135">
        <v>286.53</v>
      </c>
      <c r="CQ47" s="135">
        <v>64.47</v>
      </c>
      <c r="CR47" s="135">
        <v>3.58</v>
      </c>
      <c r="CS47" s="135">
        <v>25.5</v>
      </c>
      <c r="CT47" s="135">
        <v>0.0</v>
      </c>
      <c r="CU47" s="135">
        <v>2334.0</v>
      </c>
      <c r="CV47" s="135">
        <v>10.99</v>
      </c>
      <c r="CW47" s="135">
        <v>225.91</v>
      </c>
      <c r="CX47" s="135">
        <v>8.47</v>
      </c>
      <c r="CY47" s="135">
        <v>72.94</v>
      </c>
      <c r="CZ47" s="135">
        <v>253.65</v>
      </c>
      <c r="DA47" s="135">
        <v>3.39</v>
      </c>
      <c r="DB47" s="135">
        <v>250.25</v>
      </c>
      <c r="DC47" s="135">
        <v>233.44</v>
      </c>
      <c r="DD47" s="135">
        <v>1.11</v>
      </c>
      <c r="DE47" s="135">
        <v>232.33</v>
      </c>
      <c r="DF47" s="135">
        <v>10.26</v>
      </c>
      <c r="DG47" s="135">
        <v>0.76</v>
      </c>
      <c r="DH47" s="135">
        <v>9.5</v>
      </c>
      <c r="DI47" s="135">
        <v>6.66</v>
      </c>
      <c r="DJ47" s="135">
        <v>0.76</v>
      </c>
      <c r="DK47" s="135">
        <v>5.9</v>
      </c>
      <c r="DL47" s="135">
        <v>3.29</v>
      </c>
      <c r="DM47" s="135">
        <v>0.76</v>
      </c>
      <c r="DN47" s="135">
        <v>2.53</v>
      </c>
    </row>
    <row r="48" ht="15.75" customHeight="1">
      <c r="A48" s="209">
        <v>46258.0</v>
      </c>
      <c r="B48" s="210" t="s">
        <v>5</v>
      </c>
      <c r="C48" s="210" t="s">
        <v>145</v>
      </c>
      <c r="D48" s="210">
        <v>2619.0</v>
      </c>
      <c r="E48" s="210">
        <v>10.2</v>
      </c>
      <c r="F48" s="210">
        <v>942.34</v>
      </c>
      <c r="G48" s="210">
        <v>0.3598</v>
      </c>
      <c r="H48" s="210">
        <v>5.35</v>
      </c>
      <c r="I48" s="210">
        <v>6.731</v>
      </c>
      <c r="J48" s="210">
        <v>131.17</v>
      </c>
      <c r="K48" s="210">
        <v>78.8</v>
      </c>
      <c r="L48" s="210">
        <v>57.55</v>
      </c>
      <c r="M48" s="210">
        <v>0.7303</v>
      </c>
      <c r="N48" s="210">
        <v>0.4082</v>
      </c>
      <c r="O48" s="210">
        <v>0.2601</v>
      </c>
      <c r="P48" s="210">
        <v>1.3693</v>
      </c>
      <c r="Q48" s="210">
        <v>388.69</v>
      </c>
      <c r="R48" s="210">
        <v>346.83</v>
      </c>
      <c r="S48" s="210">
        <v>41.86</v>
      </c>
      <c r="T48" s="210">
        <v>36.45</v>
      </c>
      <c r="U48" s="210">
        <v>352.24</v>
      </c>
      <c r="V48" s="210">
        <v>386.92</v>
      </c>
      <c r="W48" s="210">
        <v>4.9103</v>
      </c>
      <c r="X48" s="210">
        <v>9.38</v>
      </c>
      <c r="Y48" s="210">
        <v>324.0</v>
      </c>
      <c r="Z48" s="210">
        <v>582.0</v>
      </c>
      <c r="AA48" s="210">
        <v>1565.0</v>
      </c>
      <c r="AB48" s="210">
        <v>55.0177</v>
      </c>
      <c r="AC48" s="210">
        <v>0.7314</v>
      </c>
      <c r="AD48" s="210">
        <v>30.39</v>
      </c>
      <c r="AE48" s="210">
        <v>13.0</v>
      </c>
      <c r="AF48" s="210">
        <v>24.0</v>
      </c>
      <c r="AG48" s="210">
        <v>41.0</v>
      </c>
      <c r="AH48" s="210">
        <v>60.0</v>
      </c>
      <c r="AI48" s="210">
        <v>43.68</v>
      </c>
      <c r="AJ48" s="210">
        <v>10.61</v>
      </c>
      <c r="AK48" s="210">
        <v>1.91</v>
      </c>
      <c r="AL48" s="210">
        <v>0.1485</v>
      </c>
      <c r="AM48" s="210">
        <v>46.51</v>
      </c>
      <c r="AN48" s="135">
        <v>46.51</v>
      </c>
      <c r="AO48" s="135">
        <v>25.62</v>
      </c>
      <c r="AP48" s="135">
        <v>14.55</v>
      </c>
      <c r="AQ48" s="135">
        <v>20.5762</v>
      </c>
      <c r="AR48" s="135">
        <v>0.7606</v>
      </c>
      <c r="AS48" s="135">
        <v>19.8156</v>
      </c>
      <c r="AT48" s="135">
        <v>15.1233</v>
      </c>
      <c r="AU48" s="135">
        <v>0.1919</v>
      </c>
      <c r="AV48" s="135">
        <v>2619.0</v>
      </c>
      <c r="AW48" s="135">
        <v>0.0</v>
      </c>
      <c r="AX48" s="135">
        <v>117.55</v>
      </c>
      <c r="AY48" s="135">
        <v>225.45</v>
      </c>
      <c r="AZ48" s="135">
        <v>4.47</v>
      </c>
      <c r="BA48" s="135">
        <v>36.45</v>
      </c>
      <c r="BB48" s="135">
        <v>4.77</v>
      </c>
      <c r="BC48" s="135">
        <v>113.0</v>
      </c>
      <c r="BD48" s="135">
        <v>17256.0</v>
      </c>
      <c r="BE48" s="135">
        <v>12.9843</v>
      </c>
      <c r="BF48" s="135">
        <v>0.5212</v>
      </c>
      <c r="BG48" s="135">
        <v>12.4632</v>
      </c>
      <c r="BH48" s="135">
        <v>8.2409</v>
      </c>
      <c r="BI48" s="135">
        <v>0.1046</v>
      </c>
      <c r="BJ48" s="135">
        <v>7.5918</v>
      </c>
      <c r="BK48" s="135">
        <v>0.2394</v>
      </c>
      <c r="BL48" s="135">
        <v>7.3524</v>
      </c>
      <c r="BM48" s="135">
        <v>6.8824</v>
      </c>
      <c r="BN48" s="135">
        <v>0.0873</v>
      </c>
      <c r="BO48" s="135">
        <v>4.7579</v>
      </c>
      <c r="BP48" s="135">
        <v>0.1527</v>
      </c>
      <c r="BQ48" s="135">
        <v>4.6052</v>
      </c>
      <c r="BR48" s="135">
        <v>3.0172</v>
      </c>
      <c r="BS48" s="135">
        <v>4.9076</v>
      </c>
      <c r="BT48" s="135">
        <v>0.1619</v>
      </c>
      <c r="BU48" s="135">
        <v>4.7457</v>
      </c>
      <c r="BV48" s="135">
        <v>3.068</v>
      </c>
      <c r="BW48" s="135">
        <v>3.3188</v>
      </c>
      <c r="BX48" s="135">
        <v>0.2066</v>
      </c>
      <c r="BY48" s="135">
        <v>3.1123</v>
      </c>
      <c r="BZ48" s="135">
        <v>2.1558</v>
      </c>
      <c r="CA48" s="135">
        <v>2.2539</v>
      </c>
      <c r="CB48" s="135">
        <v>0.0687</v>
      </c>
      <c r="CC48" s="135">
        <v>2.1852</v>
      </c>
      <c r="CD48" s="135">
        <v>1.9175</v>
      </c>
      <c r="CE48" s="135">
        <v>2.0034</v>
      </c>
      <c r="CF48" s="135">
        <v>0.0928</v>
      </c>
      <c r="CG48" s="135">
        <v>1.9107</v>
      </c>
      <c r="CH48" s="135">
        <v>2.055</v>
      </c>
      <c r="CI48" s="135">
        <v>3.3345</v>
      </c>
      <c r="CJ48" s="135">
        <v>0.0779</v>
      </c>
      <c r="CK48" s="135">
        <v>3.2566</v>
      </c>
      <c r="CL48" s="135">
        <v>2.9099</v>
      </c>
      <c r="CM48" s="135">
        <v>742.97</v>
      </c>
      <c r="CN48" s="135">
        <v>99.35</v>
      </c>
      <c r="CO48" s="135">
        <v>747.82</v>
      </c>
      <c r="CP48" s="135">
        <v>565.83</v>
      </c>
      <c r="CQ48" s="135">
        <v>123.31</v>
      </c>
      <c r="CR48" s="135">
        <v>4.76</v>
      </c>
      <c r="CS48" s="135">
        <v>49.06</v>
      </c>
      <c r="CT48" s="135">
        <v>0.0</v>
      </c>
      <c r="CU48" s="135">
        <v>1961.0</v>
      </c>
      <c r="CV48" s="135">
        <v>30.52</v>
      </c>
      <c r="CW48" s="135">
        <v>419.21</v>
      </c>
      <c r="CX48" s="135">
        <v>17.18</v>
      </c>
      <c r="CY48" s="135">
        <v>140.49</v>
      </c>
      <c r="CZ48" s="135">
        <v>405.82</v>
      </c>
      <c r="DA48" s="135">
        <v>4.43</v>
      </c>
      <c r="DB48" s="135">
        <v>401.38</v>
      </c>
      <c r="DC48" s="135">
        <v>378.4</v>
      </c>
      <c r="DD48" s="135">
        <v>2.4</v>
      </c>
      <c r="DE48" s="135">
        <v>376.0</v>
      </c>
      <c r="DF48" s="135">
        <v>16.32</v>
      </c>
      <c r="DG48" s="135">
        <v>0.68</v>
      </c>
      <c r="DH48" s="135">
        <v>15.64</v>
      </c>
      <c r="DI48" s="135">
        <v>7.34</v>
      </c>
      <c r="DJ48" s="135">
        <v>0.68</v>
      </c>
      <c r="DK48" s="135">
        <v>6.66</v>
      </c>
      <c r="DL48" s="135">
        <v>3.75</v>
      </c>
      <c r="DM48" s="135">
        <v>0.68</v>
      </c>
      <c r="DN48" s="135">
        <v>3.07</v>
      </c>
    </row>
    <row r="49" ht="15.75" customHeight="1">
      <c r="A49" s="209">
        <v>46258.0</v>
      </c>
      <c r="B49" s="210" t="s">
        <v>5</v>
      </c>
      <c r="C49" s="210" t="s">
        <v>146</v>
      </c>
      <c r="D49" s="210">
        <v>355.0</v>
      </c>
      <c r="E49" s="210">
        <v>1.38</v>
      </c>
      <c r="F49" s="210">
        <v>96.02</v>
      </c>
      <c r="G49" s="210">
        <v>0.2705</v>
      </c>
      <c r="H49" s="210">
        <v>4.79</v>
      </c>
      <c r="I49" s="210">
        <v>5.6482</v>
      </c>
      <c r="J49" s="210">
        <v>250.16</v>
      </c>
      <c r="K49" s="210">
        <v>164.82</v>
      </c>
      <c r="L49" s="210">
        <v>125.6</v>
      </c>
      <c r="M49" s="210">
        <v>0.762</v>
      </c>
      <c r="N49" s="210">
        <v>0.3483</v>
      </c>
      <c r="O49" s="210">
        <v>0.2177</v>
      </c>
      <c r="P49" s="210">
        <v>1.3123</v>
      </c>
      <c r="Q49" s="210">
        <v>648.02</v>
      </c>
      <c r="R49" s="210">
        <v>552.88</v>
      </c>
      <c r="S49" s="210">
        <v>95.14</v>
      </c>
      <c r="T49" s="210">
        <v>34.23</v>
      </c>
      <c r="U49" s="210">
        <v>613.8</v>
      </c>
      <c r="V49" s="210">
        <v>633.8</v>
      </c>
      <c r="W49" s="210">
        <v>3.8454</v>
      </c>
      <c r="X49" s="210">
        <v>5.28</v>
      </c>
      <c r="Y49" s="210">
        <v>399.0</v>
      </c>
      <c r="Z49" s="210">
        <v>662.0</v>
      </c>
      <c r="AA49" s="210">
        <v>1602.0</v>
      </c>
      <c r="AB49" s="210">
        <v>58.0815</v>
      </c>
      <c r="AC49" s="210">
        <v>0.7739</v>
      </c>
      <c r="AD49" s="210">
        <v>54.34</v>
      </c>
      <c r="AE49" s="210">
        <v>20.0</v>
      </c>
      <c r="AF49" s="210">
        <v>41.0</v>
      </c>
      <c r="AG49" s="210">
        <v>72.0</v>
      </c>
      <c r="AH49" s="210">
        <v>113.0</v>
      </c>
      <c r="AI49" s="210">
        <v>21.97</v>
      </c>
      <c r="AJ49" s="210">
        <v>3.1</v>
      </c>
      <c r="AK49" s="210">
        <v>0.0</v>
      </c>
      <c r="AL49" s="210">
        <v>0.1042</v>
      </c>
      <c r="AM49" s="210">
        <v>47.32</v>
      </c>
      <c r="AN49" s="135">
        <v>47.32</v>
      </c>
      <c r="AO49" s="135">
        <v>34.93</v>
      </c>
      <c r="AP49" s="135">
        <v>29.3</v>
      </c>
      <c r="AQ49" s="135">
        <v>32.9042</v>
      </c>
      <c r="AR49" s="135">
        <v>0.493</v>
      </c>
      <c r="AS49" s="135">
        <v>32.4113</v>
      </c>
      <c r="AT49" s="135">
        <v>26.2282</v>
      </c>
      <c r="AU49" s="135">
        <v>0.1591</v>
      </c>
      <c r="AV49" s="135">
        <v>355.0</v>
      </c>
      <c r="AW49" s="135">
        <v>0.0</v>
      </c>
      <c r="AX49" s="135">
        <v>238.66</v>
      </c>
      <c r="AY49" s="135">
        <v>356.12</v>
      </c>
      <c r="AZ49" s="135">
        <v>6.86</v>
      </c>
      <c r="BA49" s="135">
        <v>34.23</v>
      </c>
      <c r="BB49" s="135">
        <v>12.16</v>
      </c>
      <c r="BC49" s="135">
        <v>206.0</v>
      </c>
      <c r="BD49" s="135">
        <v>7929.0</v>
      </c>
      <c r="BE49" s="135">
        <v>19.6676</v>
      </c>
      <c r="BF49" s="135">
        <v>0.1521</v>
      </c>
      <c r="BG49" s="135">
        <v>19.5155</v>
      </c>
      <c r="BH49" s="135">
        <v>13.9042</v>
      </c>
      <c r="BI49" s="135">
        <v>0.0844</v>
      </c>
      <c r="BJ49" s="135">
        <v>13.2366</v>
      </c>
      <c r="BK49" s="135">
        <v>0.3408</v>
      </c>
      <c r="BL49" s="135">
        <v>12.8958</v>
      </c>
      <c r="BM49" s="135">
        <v>12.3239</v>
      </c>
      <c r="BN49" s="135">
        <v>0.0748</v>
      </c>
      <c r="BO49" s="135">
        <v>6.6732</v>
      </c>
      <c r="BP49" s="135">
        <v>0.0479</v>
      </c>
      <c r="BQ49" s="135">
        <v>6.6254</v>
      </c>
      <c r="BR49" s="135">
        <v>4.8225</v>
      </c>
      <c r="BS49" s="135">
        <v>7.0282</v>
      </c>
      <c r="BT49" s="135">
        <v>0.0479</v>
      </c>
      <c r="BU49" s="135">
        <v>6.9803</v>
      </c>
      <c r="BV49" s="135">
        <v>5.0479</v>
      </c>
      <c r="BW49" s="135">
        <v>5.9662</v>
      </c>
      <c r="BX49" s="135">
        <v>0.0563</v>
      </c>
      <c r="BY49" s="135">
        <v>5.9099</v>
      </c>
      <c r="BZ49" s="135">
        <v>4.0338</v>
      </c>
      <c r="CA49" s="135">
        <v>3.831</v>
      </c>
      <c r="CB49" s="135">
        <v>0.0732</v>
      </c>
      <c r="CC49" s="135">
        <v>3.7577</v>
      </c>
      <c r="CD49" s="135">
        <v>3.4986</v>
      </c>
      <c r="CE49" s="135">
        <v>3.1775</v>
      </c>
      <c r="CF49" s="135">
        <v>0.1465</v>
      </c>
      <c r="CG49" s="135">
        <v>3.031</v>
      </c>
      <c r="CH49" s="135">
        <v>3.2704</v>
      </c>
      <c r="CI49" s="135">
        <v>6.2282</v>
      </c>
      <c r="CJ49" s="135">
        <v>0.1211</v>
      </c>
      <c r="CK49" s="135">
        <v>6.107</v>
      </c>
      <c r="CL49" s="135">
        <v>5.5549</v>
      </c>
      <c r="CM49" s="135">
        <v>1531.72</v>
      </c>
      <c r="CN49" s="135">
        <v>100.0</v>
      </c>
      <c r="CO49" s="135">
        <v>1531.72</v>
      </c>
      <c r="CP49" s="135">
        <v>1170.74</v>
      </c>
      <c r="CQ49" s="135">
        <v>264.78</v>
      </c>
      <c r="CR49" s="135">
        <v>6.99</v>
      </c>
      <c r="CS49" s="135">
        <v>89.22</v>
      </c>
      <c r="CT49" s="135">
        <v>0.0</v>
      </c>
      <c r="CU49" s="135">
        <v>315.0</v>
      </c>
      <c r="CV49" s="135">
        <v>83.7</v>
      </c>
      <c r="CW49" s="135">
        <v>731.72</v>
      </c>
      <c r="CX49" s="135">
        <v>33.42</v>
      </c>
      <c r="CY49" s="135">
        <v>298.2</v>
      </c>
      <c r="CZ49" s="135">
        <v>698.85</v>
      </c>
      <c r="DA49" s="135">
        <v>3.51</v>
      </c>
      <c r="DB49" s="135">
        <v>695.34</v>
      </c>
      <c r="DC49" s="135">
        <v>665.87</v>
      </c>
      <c r="DD49" s="135">
        <v>2.49</v>
      </c>
      <c r="DE49" s="135">
        <v>663.38</v>
      </c>
      <c r="DF49" s="135">
        <v>22.21</v>
      </c>
      <c r="DG49" s="135">
        <v>0.34</v>
      </c>
      <c r="DH49" s="135">
        <v>21.87</v>
      </c>
      <c r="DI49" s="135">
        <v>9.45</v>
      </c>
      <c r="DJ49" s="135">
        <v>0.34</v>
      </c>
      <c r="DK49" s="135">
        <v>9.11</v>
      </c>
      <c r="DL49" s="135">
        <v>1.31</v>
      </c>
      <c r="DM49" s="135">
        <v>0.34</v>
      </c>
      <c r="DN49" s="135">
        <v>0.97</v>
      </c>
    </row>
    <row r="50" ht="15.75" customHeight="1">
      <c r="A50" s="209">
        <v>46259.0</v>
      </c>
      <c r="B50" s="210" t="s">
        <v>4</v>
      </c>
      <c r="C50" s="210" t="s">
        <v>398</v>
      </c>
      <c r="D50" s="210">
        <v>7331.0</v>
      </c>
      <c r="E50" s="210">
        <v>19.24</v>
      </c>
      <c r="F50" s="210">
        <v>597.0</v>
      </c>
      <c r="G50" s="210">
        <v>0.0814</v>
      </c>
      <c r="H50" s="210">
        <v>0.76</v>
      </c>
      <c r="I50" s="210">
        <v>10.6607</v>
      </c>
      <c r="J50" s="210">
        <v>13.41</v>
      </c>
      <c r="K50" s="210">
        <v>7.06</v>
      </c>
      <c r="L50" s="210">
        <v>4.29</v>
      </c>
      <c r="M50" s="210">
        <v>0.6075</v>
      </c>
      <c r="N50" s="210">
        <v>0.4969</v>
      </c>
      <c r="O50" s="210">
        <v>0.2189</v>
      </c>
      <c r="P50" s="210">
        <v>1.6462</v>
      </c>
      <c r="Q50" s="210">
        <v>43.83</v>
      </c>
      <c r="R50" s="210">
        <v>43.74</v>
      </c>
      <c r="S50" s="210">
        <v>0.09</v>
      </c>
      <c r="T50" s="210">
        <v>5.51</v>
      </c>
      <c r="U50" s="210">
        <v>38.32</v>
      </c>
      <c r="V50" s="210">
        <v>29.05</v>
      </c>
      <c r="W50" s="210">
        <v>4.1141</v>
      </c>
      <c r="X50" s="210">
        <v>12.57</v>
      </c>
      <c r="Y50" s="210">
        <v>209.0</v>
      </c>
      <c r="Z50" s="210">
        <v>791.0</v>
      </c>
      <c r="AA50" s="210">
        <v>6801.0</v>
      </c>
      <c r="AB50" s="210">
        <v>49.9879</v>
      </c>
      <c r="AC50" s="210">
        <v>0.5295</v>
      </c>
      <c r="AD50" s="211"/>
      <c r="AE50" s="211"/>
      <c r="AF50" s="211"/>
      <c r="AG50" s="211"/>
      <c r="AH50" s="211"/>
      <c r="AI50" s="210">
        <v>0.0</v>
      </c>
      <c r="AJ50" s="210">
        <v>0.0</v>
      </c>
      <c r="AK50" s="210">
        <v>0.0</v>
      </c>
      <c r="AL50" s="210">
        <v>0.4743</v>
      </c>
      <c r="AQ50" s="135">
        <v>1.2496</v>
      </c>
      <c r="AR50" s="135">
        <v>0.0914</v>
      </c>
      <c r="AS50" s="135">
        <v>1.1582</v>
      </c>
      <c r="AT50" s="135">
        <v>0.9374</v>
      </c>
      <c r="AU50" s="135">
        <v>0.1328</v>
      </c>
      <c r="AV50" s="135">
        <v>7331.0</v>
      </c>
      <c r="AW50" s="135">
        <v>0.0</v>
      </c>
      <c r="AX50" s="135">
        <v>10.02</v>
      </c>
      <c r="AY50" s="135">
        <v>25.92</v>
      </c>
      <c r="AZ50" s="135">
        <v>2.18</v>
      </c>
      <c r="BA50" s="135">
        <v>5.51</v>
      </c>
      <c r="BB50" s="135">
        <v>0.21</v>
      </c>
      <c r="BD50" s="135">
        <v>31365.0</v>
      </c>
      <c r="BE50" s="135">
        <v>0.4421</v>
      </c>
      <c r="BF50" s="135">
        <v>0.0467</v>
      </c>
      <c r="BG50" s="135">
        <v>0.3954</v>
      </c>
      <c r="BH50" s="135">
        <v>0.4739</v>
      </c>
      <c r="BI50" s="135">
        <v>0.0671</v>
      </c>
      <c r="BJ50" s="135">
        <v>0.8075</v>
      </c>
      <c r="BK50" s="135">
        <v>0.0447</v>
      </c>
      <c r="BL50" s="135">
        <v>0.7628</v>
      </c>
      <c r="BM50" s="135">
        <v>0.4635</v>
      </c>
      <c r="BN50" s="135">
        <v>0.0656</v>
      </c>
      <c r="BO50" s="135">
        <v>0.1604</v>
      </c>
      <c r="BP50" s="135">
        <v>0.0153</v>
      </c>
      <c r="BQ50" s="135">
        <v>0.1451</v>
      </c>
      <c r="BR50" s="135">
        <v>0.1881</v>
      </c>
      <c r="BS50" s="135">
        <v>0.1644</v>
      </c>
      <c r="BT50" s="135">
        <v>0.0157</v>
      </c>
      <c r="BU50" s="135">
        <v>0.1487</v>
      </c>
      <c r="BV50" s="135">
        <v>0.169</v>
      </c>
      <c r="BW50" s="135">
        <v>0.1173</v>
      </c>
      <c r="BX50" s="135">
        <v>0.0157</v>
      </c>
      <c r="BY50" s="135">
        <v>0.1016</v>
      </c>
      <c r="BZ50" s="135">
        <v>0.1168</v>
      </c>
      <c r="CA50" s="135">
        <v>0.1649</v>
      </c>
      <c r="CB50" s="135">
        <v>0.0116</v>
      </c>
      <c r="CC50" s="135">
        <v>0.1533</v>
      </c>
      <c r="CD50" s="135">
        <v>0.1266</v>
      </c>
      <c r="CE50" s="135">
        <v>0.3485</v>
      </c>
      <c r="CF50" s="135">
        <v>0.0196</v>
      </c>
      <c r="CG50" s="135">
        <v>0.3289</v>
      </c>
      <c r="CH50" s="135">
        <v>0.1651</v>
      </c>
      <c r="CI50" s="135">
        <v>0.2941</v>
      </c>
      <c r="CJ50" s="135">
        <v>0.0135</v>
      </c>
      <c r="CK50" s="135">
        <v>0.2806</v>
      </c>
      <c r="CL50" s="135">
        <v>0.1719</v>
      </c>
      <c r="CM50" s="135">
        <v>61.37</v>
      </c>
      <c r="CN50" s="135">
        <v>8.68</v>
      </c>
      <c r="CO50" s="135">
        <v>707.36</v>
      </c>
      <c r="CP50" s="135">
        <v>57.65</v>
      </c>
      <c r="CQ50" s="135">
        <v>0.0</v>
      </c>
      <c r="CR50" s="135">
        <v>1.07</v>
      </c>
      <c r="CS50" s="135">
        <v>2.64</v>
      </c>
      <c r="CT50" s="135">
        <v>0.0</v>
      </c>
      <c r="CU50" s="135">
        <v>0.0</v>
      </c>
      <c r="CV50" s="135">
        <v>0.0</v>
      </c>
      <c r="CW50" s="135">
        <v>43.83</v>
      </c>
      <c r="CX50" s="135">
        <v>0.0</v>
      </c>
      <c r="CY50" s="135">
        <v>0.0</v>
      </c>
      <c r="CZ50" s="135">
        <v>23.36</v>
      </c>
      <c r="DA50" s="135">
        <v>0.86</v>
      </c>
      <c r="DB50" s="135">
        <v>22.5</v>
      </c>
      <c r="DC50" s="135">
        <v>20.21</v>
      </c>
      <c r="DD50" s="135">
        <v>0.43</v>
      </c>
      <c r="DE50" s="135">
        <v>19.78</v>
      </c>
      <c r="DF50" s="135">
        <v>1.34</v>
      </c>
      <c r="DG50" s="135">
        <v>0.14</v>
      </c>
      <c r="DH50" s="135">
        <v>1.2</v>
      </c>
      <c r="DI50" s="135">
        <v>1.19</v>
      </c>
      <c r="DJ50" s="135">
        <v>0.14</v>
      </c>
      <c r="DK50" s="135">
        <v>1.04</v>
      </c>
      <c r="DL50" s="135">
        <v>0.63</v>
      </c>
      <c r="DM50" s="135">
        <v>0.14</v>
      </c>
      <c r="DN50" s="135">
        <v>0.48</v>
      </c>
    </row>
    <row r="51" ht="15.75" customHeight="1">
      <c r="A51" s="209">
        <v>46259.0</v>
      </c>
      <c r="B51" s="210" t="s">
        <v>4</v>
      </c>
      <c r="C51" s="210" t="s">
        <v>142</v>
      </c>
      <c r="D51" s="210">
        <v>10900.0</v>
      </c>
      <c r="E51" s="210">
        <v>28.6</v>
      </c>
      <c r="F51" s="210">
        <v>386.96</v>
      </c>
      <c r="G51" s="210">
        <v>0.0355</v>
      </c>
      <c r="H51" s="210">
        <v>1.28</v>
      </c>
      <c r="I51" s="210">
        <v>2.764</v>
      </c>
      <c r="J51" s="210">
        <v>23.75</v>
      </c>
      <c r="K51" s="210">
        <v>12.1</v>
      </c>
      <c r="L51" s="210">
        <v>5.28</v>
      </c>
      <c r="M51" s="210">
        <v>0.4364</v>
      </c>
      <c r="N51" s="210">
        <v>0.6764</v>
      </c>
      <c r="O51" s="210">
        <v>0.4223</v>
      </c>
      <c r="P51" s="210">
        <v>2.2917</v>
      </c>
      <c r="Q51" s="210">
        <v>43.76</v>
      </c>
      <c r="R51" s="210">
        <v>39.42</v>
      </c>
      <c r="S51" s="210">
        <v>4.35</v>
      </c>
      <c r="T51" s="210">
        <v>2.44</v>
      </c>
      <c r="U51" s="210">
        <v>41.32</v>
      </c>
      <c r="V51" s="210">
        <v>49.12</v>
      </c>
      <c r="W51" s="210">
        <v>4.0578</v>
      </c>
      <c r="X51" s="210">
        <v>5.58</v>
      </c>
      <c r="Y51" s="210">
        <v>194.0</v>
      </c>
      <c r="Z51" s="210">
        <v>404.0</v>
      </c>
      <c r="AA51" s="210">
        <v>1755.0</v>
      </c>
      <c r="AB51" s="210">
        <v>49.7822</v>
      </c>
      <c r="AC51" s="210">
        <v>0.5618</v>
      </c>
      <c r="AD51" s="210">
        <v>4.07</v>
      </c>
      <c r="AE51" s="210">
        <v>2.0</v>
      </c>
      <c r="AF51" s="210">
        <v>3.0</v>
      </c>
      <c r="AG51" s="210">
        <v>6.0</v>
      </c>
      <c r="AH51" s="210">
        <v>9.0</v>
      </c>
      <c r="AI51" s="210">
        <v>74.61</v>
      </c>
      <c r="AJ51" s="210">
        <v>33.45</v>
      </c>
      <c r="AK51" s="210">
        <v>7.38</v>
      </c>
      <c r="AL51" s="210">
        <v>0.4127</v>
      </c>
      <c r="AQ51" s="135">
        <v>3.0845</v>
      </c>
      <c r="AR51" s="135">
        <v>0.0487</v>
      </c>
      <c r="AS51" s="135">
        <v>3.0358</v>
      </c>
      <c r="AT51" s="135">
        <v>2.9164</v>
      </c>
      <c r="AU51" s="135">
        <v>0.2409</v>
      </c>
      <c r="AV51" s="135">
        <v>10900.0</v>
      </c>
      <c r="AW51" s="135">
        <v>0.0</v>
      </c>
      <c r="AX51" s="135">
        <v>20.74</v>
      </c>
      <c r="AY51" s="135">
        <v>17.38</v>
      </c>
      <c r="AZ51" s="135">
        <v>2.7</v>
      </c>
      <c r="BA51" s="135">
        <v>2.44</v>
      </c>
      <c r="BB51" s="135">
        <v>0.5</v>
      </c>
      <c r="BC51" s="135">
        <v>17.0</v>
      </c>
      <c r="BD51" s="135">
        <v>22901.0</v>
      </c>
      <c r="BE51" s="135">
        <v>1.7983</v>
      </c>
      <c r="BF51" s="135">
        <v>0.0261</v>
      </c>
      <c r="BG51" s="135">
        <v>1.7721</v>
      </c>
      <c r="BH51" s="135">
        <v>1.584</v>
      </c>
      <c r="BI51" s="135">
        <v>0.1309</v>
      </c>
      <c r="BJ51" s="135">
        <v>1.2862</v>
      </c>
      <c r="BK51" s="135">
        <v>0.0226</v>
      </c>
      <c r="BL51" s="135">
        <v>1.2637</v>
      </c>
      <c r="BM51" s="135">
        <v>1.3324</v>
      </c>
      <c r="BN51" s="135">
        <v>0.1101</v>
      </c>
      <c r="BO51" s="135">
        <v>0.7508</v>
      </c>
      <c r="BP51" s="135">
        <v>0.0095</v>
      </c>
      <c r="BQ51" s="135">
        <v>0.7413</v>
      </c>
      <c r="BR51" s="135">
        <v>0.6538</v>
      </c>
      <c r="BS51" s="135">
        <v>0.6923</v>
      </c>
      <c r="BT51" s="135">
        <v>0.0068</v>
      </c>
      <c r="BU51" s="135">
        <v>0.6855</v>
      </c>
      <c r="BV51" s="135">
        <v>0.5952</v>
      </c>
      <c r="BW51" s="135">
        <v>0.3551</v>
      </c>
      <c r="BX51" s="135">
        <v>0.0098</v>
      </c>
      <c r="BY51" s="135">
        <v>0.3453</v>
      </c>
      <c r="BZ51" s="135">
        <v>0.335</v>
      </c>
      <c r="CA51" s="135">
        <v>0.2541</v>
      </c>
      <c r="CB51" s="135">
        <v>0.0051</v>
      </c>
      <c r="CC51" s="135">
        <v>0.249</v>
      </c>
      <c r="CD51" s="135">
        <v>0.2774</v>
      </c>
      <c r="CE51" s="135">
        <v>0.5907</v>
      </c>
      <c r="CF51" s="135">
        <v>0.0084</v>
      </c>
      <c r="CG51" s="135">
        <v>0.5823</v>
      </c>
      <c r="CH51" s="135">
        <v>0.5829</v>
      </c>
      <c r="CI51" s="135">
        <v>0.4414</v>
      </c>
      <c r="CJ51" s="135">
        <v>0.009</v>
      </c>
      <c r="CK51" s="135">
        <v>0.4324</v>
      </c>
      <c r="CL51" s="135">
        <v>0.472</v>
      </c>
      <c r="CM51" s="135">
        <v>95.71</v>
      </c>
      <c r="CN51" s="135">
        <v>80.72</v>
      </c>
      <c r="CO51" s="135">
        <v>118.57</v>
      </c>
      <c r="CP51" s="135">
        <v>89.99</v>
      </c>
      <c r="CQ51" s="135">
        <v>0.0</v>
      </c>
      <c r="CR51" s="135">
        <v>3.0</v>
      </c>
      <c r="CS51" s="135">
        <v>2.71</v>
      </c>
      <c r="CT51" s="135">
        <v>0.0</v>
      </c>
      <c r="CU51" s="135">
        <v>0.0</v>
      </c>
      <c r="CV51" s="135">
        <v>0.0</v>
      </c>
      <c r="CW51" s="135">
        <v>43.76</v>
      </c>
      <c r="CX51" s="135">
        <v>0.0</v>
      </c>
      <c r="CY51" s="135">
        <v>0.0</v>
      </c>
      <c r="CZ51" s="135">
        <v>57.8</v>
      </c>
      <c r="DA51" s="135">
        <v>0.8</v>
      </c>
      <c r="DB51" s="135">
        <v>56.99</v>
      </c>
      <c r="DC51" s="135">
        <v>52.31</v>
      </c>
      <c r="DD51" s="135">
        <v>0.23</v>
      </c>
      <c r="DE51" s="135">
        <v>52.08</v>
      </c>
      <c r="DF51" s="135">
        <v>2.71</v>
      </c>
      <c r="DG51" s="135">
        <v>0.19</v>
      </c>
      <c r="DH51" s="135">
        <v>2.52</v>
      </c>
      <c r="DI51" s="135">
        <v>2.22</v>
      </c>
      <c r="DJ51" s="135">
        <v>0.19</v>
      </c>
      <c r="DK51" s="135">
        <v>2.03</v>
      </c>
      <c r="DL51" s="135">
        <v>0.55</v>
      </c>
      <c r="DM51" s="135">
        <v>0.19</v>
      </c>
      <c r="DN51" s="135">
        <v>0.36</v>
      </c>
    </row>
    <row r="52" ht="15.75" customHeight="1">
      <c r="A52" s="209">
        <v>46259.0</v>
      </c>
      <c r="B52" s="210" t="s">
        <v>4</v>
      </c>
      <c r="C52" s="210" t="s">
        <v>143</v>
      </c>
      <c r="D52" s="210">
        <v>8893.0</v>
      </c>
      <c r="E52" s="210">
        <v>23.34</v>
      </c>
      <c r="F52" s="210">
        <v>1023.4</v>
      </c>
      <c r="G52" s="210">
        <v>0.1151</v>
      </c>
      <c r="H52" s="210">
        <v>3.52</v>
      </c>
      <c r="I52" s="210">
        <v>3.2696</v>
      </c>
      <c r="J52" s="210">
        <v>46.08</v>
      </c>
      <c r="K52" s="210">
        <v>24.24</v>
      </c>
      <c r="L52" s="210">
        <v>13.75</v>
      </c>
      <c r="M52" s="210">
        <v>0.567</v>
      </c>
      <c r="N52" s="210">
        <v>0.5699</v>
      </c>
      <c r="O52" s="210">
        <v>0.348</v>
      </c>
      <c r="P52" s="210">
        <v>1.7637</v>
      </c>
      <c r="Q52" s="210">
        <v>99.5</v>
      </c>
      <c r="R52" s="210">
        <v>88.14</v>
      </c>
      <c r="S52" s="210">
        <v>11.37</v>
      </c>
      <c r="T52" s="210">
        <v>8.35</v>
      </c>
      <c r="U52" s="210">
        <v>91.16</v>
      </c>
      <c r="V52" s="210">
        <v>104.93</v>
      </c>
      <c r="W52" s="210">
        <v>4.3281</v>
      </c>
      <c r="X52" s="210">
        <v>8.39</v>
      </c>
      <c r="Y52" s="210">
        <v>221.0</v>
      </c>
      <c r="Z52" s="210">
        <v>464.0</v>
      </c>
      <c r="AA52" s="210">
        <v>1953.0</v>
      </c>
      <c r="AB52" s="210">
        <v>51.8081</v>
      </c>
      <c r="AC52" s="210">
        <v>0.6222</v>
      </c>
      <c r="AD52" s="210">
        <v>9.4</v>
      </c>
      <c r="AE52" s="210">
        <v>4.0</v>
      </c>
      <c r="AF52" s="210">
        <v>8.0</v>
      </c>
      <c r="AG52" s="210">
        <v>13.0</v>
      </c>
      <c r="AH52" s="210">
        <v>19.0</v>
      </c>
      <c r="AI52" s="210">
        <v>63.04</v>
      </c>
      <c r="AJ52" s="210">
        <v>26.64</v>
      </c>
      <c r="AK52" s="210">
        <v>3.79</v>
      </c>
      <c r="AL52" s="210">
        <v>0.2791</v>
      </c>
      <c r="AQ52" s="135">
        <v>6.1265</v>
      </c>
      <c r="AR52" s="135">
        <v>0.1196</v>
      </c>
      <c r="AS52" s="135">
        <v>6.0069</v>
      </c>
      <c r="AT52" s="135">
        <v>5.8781</v>
      </c>
      <c r="AU52" s="135">
        <v>0.2425</v>
      </c>
      <c r="AV52" s="135">
        <v>8893.0</v>
      </c>
      <c r="AW52" s="135">
        <v>0.0</v>
      </c>
      <c r="AX52" s="135">
        <v>37.13</v>
      </c>
      <c r="AY52" s="135">
        <v>48.7</v>
      </c>
      <c r="AZ52" s="135">
        <v>3.87</v>
      </c>
      <c r="BA52" s="135">
        <v>8.35</v>
      </c>
      <c r="BB52" s="135">
        <v>1.46</v>
      </c>
      <c r="BC52" s="135">
        <v>34.0</v>
      </c>
      <c r="BD52" s="135">
        <v>22649.0</v>
      </c>
      <c r="BE52" s="135">
        <v>3.4396</v>
      </c>
      <c r="BF52" s="135">
        <v>0.0594</v>
      </c>
      <c r="BG52" s="135">
        <v>3.3802</v>
      </c>
      <c r="BH52" s="135">
        <v>3.1851</v>
      </c>
      <c r="BI52" s="135">
        <v>0.1314</v>
      </c>
      <c r="BJ52" s="135">
        <v>2.6869</v>
      </c>
      <c r="BK52" s="135">
        <v>0.0603</v>
      </c>
      <c r="BL52" s="135">
        <v>2.6267</v>
      </c>
      <c r="BM52" s="135">
        <v>2.693</v>
      </c>
      <c r="BN52" s="135">
        <v>0.1111</v>
      </c>
      <c r="BO52" s="135">
        <v>1.3283</v>
      </c>
      <c r="BP52" s="135">
        <v>0.0204</v>
      </c>
      <c r="BQ52" s="135">
        <v>1.308</v>
      </c>
      <c r="BR52" s="135">
        <v>1.2374</v>
      </c>
      <c r="BS52" s="135">
        <v>1.3619</v>
      </c>
      <c r="BT52" s="135">
        <v>0.0163</v>
      </c>
      <c r="BU52" s="135">
        <v>1.3456</v>
      </c>
      <c r="BV52" s="135">
        <v>1.2084</v>
      </c>
      <c r="BW52" s="135">
        <v>0.7494</v>
      </c>
      <c r="BX52" s="135">
        <v>0.0227</v>
      </c>
      <c r="BY52" s="135">
        <v>0.7266</v>
      </c>
      <c r="BZ52" s="135">
        <v>0.7393</v>
      </c>
      <c r="CA52" s="135">
        <v>0.5431</v>
      </c>
      <c r="CB52" s="135">
        <v>0.0156</v>
      </c>
      <c r="CC52" s="135">
        <v>0.5275</v>
      </c>
      <c r="CD52" s="135">
        <v>0.5752</v>
      </c>
      <c r="CE52" s="135">
        <v>1.1265</v>
      </c>
      <c r="CF52" s="135">
        <v>0.0232</v>
      </c>
      <c r="CG52" s="135">
        <v>1.1033</v>
      </c>
      <c r="CH52" s="135">
        <v>1.1046</v>
      </c>
      <c r="CI52" s="135">
        <v>1.0173</v>
      </c>
      <c r="CJ52" s="135">
        <v>0.0215</v>
      </c>
      <c r="CK52" s="135">
        <v>0.9958</v>
      </c>
      <c r="CL52" s="135">
        <v>1.0133</v>
      </c>
      <c r="CM52" s="135">
        <v>198.64</v>
      </c>
      <c r="CN52" s="135">
        <v>91.79</v>
      </c>
      <c r="CO52" s="135">
        <v>216.4</v>
      </c>
      <c r="CP52" s="135">
        <v>182.68</v>
      </c>
      <c r="CQ52" s="135">
        <v>0.0</v>
      </c>
      <c r="CR52" s="135">
        <v>3.46</v>
      </c>
      <c r="CS52" s="135">
        <v>12.5</v>
      </c>
      <c r="CT52" s="135">
        <v>0.0</v>
      </c>
      <c r="CU52" s="135">
        <v>0.0</v>
      </c>
      <c r="CV52" s="135">
        <v>0.0</v>
      </c>
      <c r="CW52" s="135">
        <v>99.5</v>
      </c>
      <c r="CX52" s="135">
        <v>0.0</v>
      </c>
      <c r="CY52" s="135">
        <v>0.0</v>
      </c>
      <c r="CZ52" s="135">
        <v>95.95</v>
      </c>
      <c r="DA52" s="135">
        <v>2.38</v>
      </c>
      <c r="DB52" s="135">
        <v>93.57</v>
      </c>
      <c r="DC52" s="135">
        <v>88.0</v>
      </c>
      <c r="DD52" s="135">
        <v>0.69</v>
      </c>
      <c r="DE52" s="135">
        <v>87.31</v>
      </c>
      <c r="DF52" s="135">
        <v>3.74</v>
      </c>
      <c r="DG52" s="135">
        <v>0.56</v>
      </c>
      <c r="DH52" s="135">
        <v>3.17</v>
      </c>
      <c r="DI52" s="135">
        <v>3.13</v>
      </c>
      <c r="DJ52" s="135">
        <v>0.56</v>
      </c>
      <c r="DK52" s="135">
        <v>2.57</v>
      </c>
      <c r="DL52" s="135">
        <v>1.09</v>
      </c>
      <c r="DM52" s="135">
        <v>0.56</v>
      </c>
      <c r="DN52" s="135">
        <v>0.53</v>
      </c>
    </row>
    <row r="53" ht="15.75" customHeight="1">
      <c r="A53" s="209">
        <v>46259.0</v>
      </c>
      <c r="B53" s="210" t="s">
        <v>4</v>
      </c>
      <c r="C53" s="210" t="s">
        <v>144</v>
      </c>
      <c r="D53" s="210">
        <v>6759.0</v>
      </c>
      <c r="E53" s="210">
        <v>17.74</v>
      </c>
      <c r="F53" s="210">
        <v>2046.21</v>
      </c>
      <c r="G53" s="210">
        <v>0.3027</v>
      </c>
      <c r="H53" s="210">
        <v>5.1</v>
      </c>
      <c r="I53" s="210">
        <v>5.931</v>
      </c>
      <c r="J53" s="210">
        <v>70.43</v>
      </c>
      <c r="K53" s="210">
        <v>39.78</v>
      </c>
      <c r="L53" s="210">
        <v>26.87</v>
      </c>
      <c r="M53" s="210">
        <v>0.6754</v>
      </c>
      <c r="N53" s="210">
        <v>0.4653</v>
      </c>
      <c r="O53" s="210">
        <v>0.2897</v>
      </c>
      <c r="P53" s="210">
        <v>1.4806</v>
      </c>
      <c r="Q53" s="210">
        <v>187.61</v>
      </c>
      <c r="R53" s="210">
        <v>164.89</v>
      </c>
      <c r="S53" s="210">
        <v>22.72</v>
      </c>
      <c r="T53" s="210">
        <v>21.73</v>
      </c>
      <c r="U53" s="210">
        <v>165.88</v>
      </c>
      <c r="V53" s="210">
        <v>190.09</v>
      </c>
      <c r="W53" s="210">
        <v>4.7787</v>
      </c>
      <c r="X53" s="210">
        <v>11.58</v>
      </c>
      <c r="Y53" s="210">
        <v>265.0</v>
      </c>
      <c r="Z53" s="210">
        <v>525.0</v>
      </c>
      <c r="AA53" s="210">
        <v>1712.0</v>
      </c>
      <c r="AB53" s="210">
        <v>53.872</v>
      </c>
      <c r="AC53" s="210">
        <v>0.7102</v>
      </c>
      <c r="AD53" s="210">
        <v>16.64</v>
      </c>
      <c r="AE53" s="210">
        <v>7.0</v>
      </c>
      <c r="AF53" s="210">
        <v>13.0</v>
      </c>
      <c r="AG53" s="210">
        <v>24.0</v>
      </c>
      <c r="AH53" s="210">
        <v>34.0</v>
      </c>
      <c r="AI53" s="210">
        <v>58.26</v>
      </c>
      <c r="AJ53" s="210">
        <v>21.32</v>
      </c>
      <c r="AK53" s="210">
        <v>4.96</v>
      </c>
      <c r="AL53" s="210">
        <v>0.2274</v>
      </c>
      <c r="AQ53" s="135">
        <v>9.5479</v>
      </c>
      <c r="AR53" s="135">
        <v>0.3163</v>
      </c>
      <c r="AS53" s="135">
        <v>9.2315</v>
      </c>
      <c r="AT53" s="135">
        <v>9.3006</v>
      </c>
      <c r="AU53" s="135">
        <v>0.2338</v>
      </c>
      <c r="AV53" s="135">
        <v>6759.0</v>
      </c>
      <c r="AW53" s="135">
        <v>0.0</v>
      </c>
      <c r="AX53" s="135">
        <v>62.81</v>
      </c>
      <c r="AY53" s="135">
        <v>96.74</v>
      </c>
      <c r="AZ53" s="135">
        <v>3.8</v>
      </c>
      <c r="BA53" s="135">
        <v>21.73</v>
      </c>
      <c r="BB53" s="135">
        <v>2.53</v>
      </c>
      <c r="BC53" s="135">
        <v>60.0</v>
      </c>
      <c r="BD53" s="135">
        <v>20229.0</v>
      </c>
      <c r="BE53" s="135">
        <v>5.3395</v>
      </c>
      <c r="BF53" s="135">
        <v>0.1549</v>
      </c>
      <c r="BG53" s="135">
        <v>5.1846</v>
      </c>
      <c r="BH53" s="135">
        <v>4.9362</v>
      </c>
      <c r="BI53" s="135">
        <v>0.1241</v>
      </c>
      <c r="BJ53" s="135">
        <v>4.2083</v>
      </c>
      <c r="BK53" s="135">
        <v>0.1614</v>
      </c>
      <c r="BL53" s="135">
        <v>4.0469</v>
      </c>
      <c r="BM53" s="135">
        <v>4.3644</v>
      </c>
      <c r="BN53" s="135">
        <v>0.1097</v>
      </c>
      <c r="BO53" s="135">
        <v>1.8692</v>
      </c>
      <c r="BP53" s="135">
        <v>0.045</v>
      </c>
      <c r="BQ53" s="135">
        <v>1.8242</v>
      </c>
      <c r="BR53" s="135">
        <v>1.7605</v>
      </c>
      <c r="BS53" s="135">
        <v>2.1398</v>
      </c>
      <c r="BT53" s="135">
        <v>0.0481</v>
      </c>
      <c r="BU53" s="135">
        <v>2.0917</v>
      </c>
      <c r="BV53" s="135">
        <v>1.9084</v>
      </c>
      <c r="BW53" s="135">
        <v>1.3305</v>
      </c>
      <c r="BX53" s="135">
        <v>0.0618</v>
      </c>
      <c r="BY53" s="135">
        <v>1.2687</v>
      </c>
      <c r="BZ53" s="135">
        <v>1.2673</v>
      </c>
      <c r="CA53" s="135">
        <v>0.9783</v>
      </c>
      <c r="CB53" s="135">
        <v>0.046</v>
      </c>
      <c r="CC53" s="135">
        <v>0.9322</v>
      </c>
      <c r="CD53" s="135">
        <v>1.0772</v>
      </c>
      <c r="CE53" s="135">
        <v>1.5235</v>
      </c>
      <c r="CF53" s="135">
        <v>0.0604</v>
      </c>
      <c r="CG53" s="135">
        <v>1.4631</v>
      </c>
      <c r="CH53" s="135">
        <v>1.5516</v>
      </c>
      <c r="CI53" s="135">
        <v>1.7066</v>
      </c>
      <c r="CJ53" s="135">
        <v>0.055</v>
      </c>
      <c r="CK53" s="135">
        <v>1.6516</v>
      </c>
      <c r="CL53" s="135">
        <v>1.7356</v>
      </c>
      <c r="CM53" s="135">
        <v>367.73</v>
      </c>
      <c r="CN53" s="135">
        <v>96.58</v>
      </c>
      <c r="CO53" s="135">
        <v>380.74</v>
      </c>
      <c r="CP53" s="135">
        <v>341.29</v>
      </c>
      <c r="CQ53" s="135">
        <v>0.0</v>
      </c>
      <c r="CR53" s="135">
        <v>4.61</v>
      </c>
      <c r="CS53" s="135">
        <v>21.83</v>
      </c>
      <c r="CT53" s="135">
        <v>0.0</v>
      </c>
      <c r="CU53" s="135">
        <v>0.0</v>
      </c>
      <c r="CV53" s="135">
        <v>0.0</v>
      </c>
      <c r="CW53" s="135">
        <v>187.61</v>
      </c>
      <c r="CX53" s="135">
        <v>0.0</v>
      </c>
      <c r="CY53" s="135">
        <v>0.0</v>
      </c>
      <c r="CZ53" s="135">
        <v>156.38</v>
      </c>
      <c r="DA53" s="135">
        <v>4.64</v>
      </c>
      <c r="DB53" s="135">
        <v>151.75</v>
      </c>
      <c r="DC53" s="135">
        <v>143.18</v>
      </c>
      <c r="DD53" s="135">
        <v>1.81</v>
      </c>
      <c r="DE53" s="135">
        <v>141.37</v>
      </c>
      <c r="DF53" s="135">
        <v>7.13</v>
      </c>
      <c r="DG53" s="135">
        <v>0.94</v>
      </c>
      <c r="DH53" s="135">
        <v>6.19</v>
      </c>
      <c r="DI53" s="135">
        <v>4.27</v>
      </c>
      <c r="DJ53" s="135">
        <v>0.94</v>
      </c>
      <c r="DK53" s="135">
        <v>3.33</v>
      </c>
      <c r="DL53" s="135">
        <v>1.8</v>
      </c>
      <c r="DM53" s="135">
        <v>0.94</v>
      </c>
      <c r="DN53" s="135">
        <v>0.86</v>
      </c>
    </row>
    <row r="54" ht="15.75" customHeight="1">
      <c r="A54" s="209">
        <v>46259.0</v>
      </c>
      <c r="B54" s="210" t="s">
        <v>4</v>
      </c>
      <c r="C54" s="210" t="s">
        <v>145</v>
      </c>
      <c r="D54" s="210">
        <v>3652.0</v>
      </c>
      <c r="E54" s="210">
        <v>9.58</v>
      </c>
      <c r="F54" s="210">
        <v>2085.49</v>
      </c>
      <c r="G54" s="210">
        <v>0.5711</v>
      </c>
      <c r="H54" s="210">
        <v>6.96</v>
      </c>
      <c r="I54" s="210">
        <v>8.2106</v>
      </c>
      <c r="J54" s="210">
        <v>120.1</v>
      </c>
      <c r="K54" s="210">
        <v>71.99</v>
      </c>
      <c r="L54" s="210">
        <v>52.99</v>
      </c>
      <c r="M54" s="210">
        <v>0.736</v>
      </c>
      <c r="N54" s="210">
        <v>0.3924</v>
      </c>
      <c r="O54" s="210">
        <v>0.2442</v>
      </c>
      <c r="P54" s="210">
        <v>1.3587</v>
      </c>
      <c r="Q54" s="210">
        <v>347.13</v>
      </c>
      <c r="R54" s="210">
        <v>299.81</v>
      </c>
      <c r="S54" s="210">
        <v>47.32</v>
      </c>
      <c r="T54" s="210">
        <v>40.21</v>
      </c>
      <c r="U54" s="210">
        <v>306.92</v>
      </c>
      <c r="V54" s="210">
        <v>343.07</v>
      </c>
      <c r="W54" s="210">
        <v>4.7652</v>
      </c>
      <c r="X54" s="210">
        <v>11.58</v>
      </c>
      <c r="Y54" s="210">
        <v>334.0</v>
      </c>
      <c r="Z54" s="210">
        <v>657.0</v>
      </c>
      <c r="AA54" s="210">
        <v>1883.0</v>
      </c>
      <c r="AB54" s="210">
        <v>55.7756</v>
      </c>
      <c r="AC54" s="210">
        <v>0.7774</v>
      </c>
      <c r="AD54" s="210">
        <v>31.4</v>
      </c>
      <c r="AE54" s="210">
        <v>12.0</v>
      </c>
      <c r="AF54" s="210">
        <v>24.0</v>
      </c>
      <c r="AG54" s="210">
        <v>43.0</v>
      </c>
      <c r="AH54" s="210">
        <v>66.0</v>
      </c>
      <c r="AI54" s="210">
        <v>44.36</v>
      </c>
      <c r="AJ54" s="210">
        <v>13.25</v>
      </c>
      <c r="AK54" s="210">
        <v>2.66</v>
      </c>
      <c r="AL54" s="210">
        <v>0.1703</v>
      </c>
      <c r="AQ54" s="135">
        <v>15.5361</v>
      </c>
      <c r="AR54" s="135">
        <v>0.5764</v>
      </c>
      <c r="AS54" s="135">
        <v>14.9597</v>
      </c>
      <c r="AT54" s="135">
        <v>15.17</v>
      </c>
      <c r="AU54" s="135">
        <v>0.2107</v>
      </c>
      <c r="AV54" s="135">
        <v>3652.0</v>
      </c>
      <c r="AW54" s="135">
        <v>0.0</v>
      </c>
      <c r="AX54" s="135">
        <v>118.77</v>
      </c>
      <c r="AY54" s="135">
        <v>177.62</v>
      </c>
      <c r="AZ54" s="135">
        <v>4.74</v>
      </c>
      <c r="BA54" s="135">
        <v>40.18</v>
      </c>
      <c r="BB54" s="135">
        <v>5.81</v>
      </c>
      <c r="BC54" s="135">
        <v>127.0</v>
      </c>
      <c r="BD54" s="135">
        <v>19730.0</v>
      </c>
      <c r="BE54" s="135">
        <v>8.6199</v>
      </c>
      <c r="BF54" s="135">
        <v>0.2522</v>
      </c>
      <c r="BG54" s="135">
        <v>8.3677</v>
      </c>
      <c r="BH54" s="135">
        <v>7.779</v>
      </c>
      <c r="BI54" s="135">
        <v>0.108</v>
      </c>
      <c r="BJ54" s="135">
        <v>6.9162</v>
      </c>
      <c r="BK54" s="135">
        <v>0.3242</v>
      </c>
      <c r="BL54" s="135">
        <v>6.592</v>
      </c>
      <c r="BM54" s="135">
        <v>7.391</v>
      </c>
      <c r="BN54" s="135">
        <v>0.1027</v>
      </c>
      <c r="BO54" s="135">
        <v>3.0983</v>
      </c>
      <c r="BP54" s="135">
        <v>0.0775</v>
      </c>
      <c r="BQ54" s="135">
        <v>3.0208</v>
      </c>
      <c r="BR54" s="135">
        <v>2.7886</v>
      </c>
      <c r="BS54" s="135">
        <v>3.172</v>
      </c>
      <c r="BT54" s="135">
        <v>0.0816</v>
      </c>
      <c r="BU54" s="135">
        <v>3.0904</v>
      </c>
      <c r="BV54" s="135">
        <v>2.8349</v>
      </c>
      <c r="BW54" s="135">
        <v>2.3497</v>
      </c>
      <c r="BX54" s="135">
        <v>0.0931</v>
      </c>
      <c r="BY54" s="135">
        <v>2.2566</v>
      </c>
      <c r="BZ54" s="135">
        <v>2.1555</v>
      </c>
      <c r="CA54" s="135">
        <v>1.9028</v>
      </c>
      <c r="CB54" s="135">
        <v>0.0868</v>
      </c>
      <c r="CC54" s="135">
        <v>1.816</v>
      </c>
      <c r="CD54" s="135">
        <v>2.1227</v>
      </c>
      <c r="CE54" s="135">
        <v>2.1098</v>
      </c>
      <c r="CF54" s="135">
        <v>0.1331</v>
      </c>
      <c r="CG54" s="135">
        <v>1.9767</v>
      </c>
      <c r="CH54" s="135">
        <v>2.1969</v>
      </c>
      <c r="CI54" s="135">
        <v>2.9036</v>
      </c>
      <c r="CJ54" s="135">
        <v>0.1043</v>
      </c>
      <c r="CK54" s="135">
        <v>2.7993</v>
      </c>
      <c r="CL54" s="135">
        <v>3.0715</v>
      </c>
      <c r="CM54" s="135">
        <v>673.15</v>
      </c>
      <c r="CN54" s="135">
        <v>99.07</v>
      </c>
      <c r="CO54" s="135">
        <v>679.48</v>
      </c>
      <c r="CP54" s="135">
        <v>634.76</v>
      </c>
      <c r="CQ54" s="135">
        <v>0.0</v>
      </c>
      <c r="CR54" s="135">
        <v>6.5</v>
      </c>
      <c r="CS54" s="135">
        <v>31.9</v>
      </c>
      <c r="CT54" s="135">
        <v>0.0</v>
      </c>
      <c r="CU54" s="135">
        <v>0.0</v>
      </c>
      <c r="CV54" s="135">
        <v>0.0</v>
      </c>
      <c r="CW54" s="135">
        <v>347.13</v>
      </c>
      <c r="CX54" s="135">
        <v>0.0</v>
      </c>
      <c r="CY54" s="135">
        <v>0.0</v>
      </c>
      <c r="CZ54" s="135">
        <v>277.14</v>
      </c>
      <c r="DA54" s="135">
        <v>6.66</v>
      </c>
      <c r="DB54" s="135">
        <v>270.48</v>
      </c>
      <c r="DC54" s="135">
        <v>255.8</v>
      </c>
      <c r="DD54" s="135">
        <v>2.79</v>
      </c>
      <c r="DE54" s="135">
        <v>253.02</v>
      </c>
      <c r="DF54" s="135">
        <v>10.25</v>
      </c>
      <c r="DG54" s="135">
        <v>1.29</v>
      </c>
      <c r="DH54" s="135">
        <v>8.96</v>
      </c>
      <c r="DI54" s="135">
        <v>7.6</v>
      </c>
      <c r="DJ54" s="135">
        <v>1.29</v>
      </c>
      <c r="DK54" s="135">
        <v>6.31</v>
      </c>
      <c r="DL54" s="135">
        <v>3.49</v>
      </c>
      <c r="DM54" s="135">
        <v>1.29</v>
      </c>
      <c r="DN54" s="135">
        <v>2.19</v>
      </c>
    </row>
    <row r="55" ht="15.75" customHeight="1">
      <c r="A55" s="209">
        <v>46259.0</v>
      </c>
      <c r="B55" s="210" t="s">
        <v>4</v>
      </c>
      <c r="C55" s="210" t="s">
        <v>146</v>
      </c>
      <c r="D55" s="210">
        <v>575.0</v>
      </c>
      <c r="E55" s="210">
        <v>1.51</v>
      </c>
      <c r="F55" s="210">
        <v>711.51</v>
      </c>
      <c r="G55" s="210">
        <v>1.2374</v>
      </c>
      <c r="H55" s="210">
        <v>9.74</v>
      </c>
      <c r="I55" s="210">
        <v>12.7055</v>
      </c>
      <c r="J55" s="210">
        <v>250.44</v>
      </c>
      <c r="K55" s="210">
        <v>166.15</v>
      </c>
      <c r="L55" s="210">
        <v>130.32</v>
      </c>
      <c r="M55" s="210">
        <v>0.7844</v>
      </c>
      <c r="N55" s="210">
        <v>0.3165</v>
      </c>
      <c r="O55" s="210">
        <v>0.1943</v>
      </c>
      <c r="P55" s="210">
        <v>1.2749</v>
      </c>
      <c r="Q55" s="210">
        <v>672.5</v>
      </c>
      <c r="R55" s="210">
        <v>544.93</v>
      </c>
      <c r="S55" s="210">
        <v>127.57</v>
      </c>
      <c r="T55" s="210">
        <v>84.17</v>
      </c>
      <c r="U55" s="210">
        <v>588.32</v>
      </c>
      <c r="V55" s="210">
        <v>673.04</v>
      </c>
      <c r="W55" s="210">
        <v>4.0509</v>
      </c>
      <c r="X55" s="210">
        <v>12.52</v>
      </c>
      <c r="Y55" s="210">
        <v>452.0</v>
      </c>
      <c r="Z55" s="210">
        <v>1011.0</v>
      </c>
      <c r="AA55" s="210">
        <v>2246.0</v>
      </c>
      <c r="AB55" s="210">
        <v>57.7198</v>
      </c>
      <c r="AC55" s="210">
        <v>0.8023</v>
      </c>
      <c r="AD55" s="210">
        <v>62.04</v>
      </c>
      <c r="AE55" s="210">
        <v>26.0</v>
      </c>
      <c r="AF55" s="210">
        <v>45.0</v>
      </c>
      <c r="AG55" s="210">
        <v>82.0</v>
      </c>
      <c r="AH55" s="210">
        <v>139.0</v>
      </c>
      <c r="AI55" s="210">
        <v>25.74</v>
      </c>
      <c r="AJ55" s="210">
        <v>5.91</v>
      </c>
      <c r="AK55" s="210">
        <v>0.35</v>
      </c>
      <c r="AL55" s="210">
        <v>0.0922</v>
      </c>
      <c r="AQ55" s="135">
        <v>33.1322</v>
      </c>
      <c r="AR55" s="135">
        <v>0.9861</v>
      </c>
      <c r="AS55" s="135">
        <v>32.1461</v>
      </c>
      <c r="AT55" s="135">
        <v>32.8609</v>
      </c>
      <c r="AU55" s="135">
        <v>0.1978</v>
      </c>
      <c r="AV55" s="135">
        <v>575.0</v>
      </c>
      <c r="AW55" s="135">
        <v>0.0</v>
      </c>
      <c r="AX55" s="135">
        <v>291.84</v>
      </c>
      <c r="AY55" s="135">
        <v>274.65</v>
      </c>
      <c r="AZ55" s="135">
        <v>7.17</v>
      </c>
      <c r="BA55" s="135">
        <v>84.17</v>
      </c>
      <c r="BB55" s="135">
        <v>14.66</v>
      </c>
      <c r="BC55" s="135">
        <v>230.0</v>
      </c>
      <c r="BD55" s="135">
        <v>19545.0</v>
      </c>
      <c r="BE55" s="135">
        <v>18.88</v>
      </c>
      <c r="BF55" s="135">
        <v>0.3809</v>
      </c>
      <c r="BG55" s="135">
        <v>18.4991</v>
      </c>
      <c r="BH55" s="135">
        <v>15.7652</v>
      </c>
      <c r="BI55" s="135">
        <v>0.0949</v>
      </c>
      <c r="BJ55" s="135">
        <v>14.2522</v>
      </c>
      <c r="BK55" s="135">
        <v>0.6052</v>
      </c>
      <c r="BL55" s="135">
        <v>13.647</v>
      </c>
      <c r="BM55" s="135">
        <v>17.0957</v>
      </c>
      <c r="BN55" s="135">
        <v>0.1029</v>
      </c>
      <c r="BO55" s="135">
        <v>6.6643</v>
      </c>
      <c r="BP55" s="135">
        <v>0.127</v>
      </c>
      <c r="BQ55" s="135">
        <v>6.5374</v>
      </c>
      <c r="BR55" s="135">
        <v>5.5826</v>
      </c>
      <c r="BS55" s="135">
        <v>7.0383</v>
      </c>
      <c r="BT55" s="135">
        <v>0.127</v>
      </c>
      <c r="BU55" s="135">
        <v>6.9113</v>
      </c>
      <c r="BV55" s="135">
        <v>5.7096</v>
      </c>
      <c r="BW55" s="135">
        <v>5.1774</v>
      </c>
      <c r="BX55" s="135">
        <v>0.127</v>
      </c>
      <c r="BY55" s="135">
        <v>5.0504</v>
      </c>
      <c r="BZ55" s="135">
        <v>4.473</v>
      </c>
      <c r="CA55" s="135">
        <v>4.1617</v>
      </c>
      <c r="CB55" s="135">
        <v>0.1617</v>
      </c>
      <c r="CC55" s="135">
        <v>4.0</v>
      </c>
      <c r="CD55" s="135">
        <v>4.3878</v>
      </c>
      <c r="CE55" s="135">
        <v>4.1687</v>
      </c>
      <c r="CF55" s="135">
        <v>0.2348</v>
      </c>
      <c r="CG55" s="135">
        <v>3.9339</v>
      </c>
      <c r="CH55" s="135">
        <v>4.3148</v>
      </c>
      <c r="CI55" s="135">
        <v>5.9217</v>
      </c>
      <c r="CJ55" s="135">
        <v>0.2087</v>
      </c>
      <c r="CK55" s="135">
        <v>5.713</v>
      </c>
      <c r="CL55" s="135">
        <v>8.393</v>
      </c>
      <c r="CM55" s="135">
        <v>1567.08</v>
      </c>
      <c r="CN55" s="135">
        <v>99.65</v>
      </c>
      <c r="CO55" s="135">
        <v>1572.55</v>
      </c>
      <c r="CP55" s="135">
        <v>1512.29</v>
      </c>
      <c r="CQ55" s="135">
        <v>0.0</v>
      </c>
      <c r="CR55" s="135">
        <v>11.06</v>
      </c>
      <c r="CS55" s="135">
        <v>43.73</v>
      </c>
      <c r="CT55" s="135">
        <v>0.0</v>
      </c>
      <c r="CU55" s="135">
        <v>0.0</v>
      </c>
      <c r="CV55" s="135">
        <v>0.0</v>
      </c>
      <c r="CW55" s="135">
        <v>672.5</v>
      </c>
      <c r="CX55" s="135">
        <v>0.0</v>
      </c>
      <c r="CY55" s="135">
        <v>0.0</v>
      </c>
      <c r="CZ55" s="135">
        <v>590.89</v>
      </c>
      <c r="DA55" s="135">
        <v>9.97</v>
      </c>
      <c r="DB55" s="135">
        <v>580.93</v>
      </c>
      <c r="DC55" s="135">
        <v>559.29</v>
      </c>
      <c r="DD55" s="135">
        <v>4.96</v>
      </c>
      <c r="DE55" s="135">
        <v>554.34</v>
      </c>
      <c r="DF55" s="135">
        <v>13.11</v>
      </c>
      <c r="DG55" s="135">
        <v>1.67</v>
      </c>
      <c r="DH55" s="135">
        <v>11.44</v>
      </c>
      <c r="DI55" s="135">
        <v>11.12</v>
      </c>
      <c r="DJ55" s="135">
        <v>1.67</v>
      </c>
      <c r="DK55" s="135">
        <v>9.45</v>
      </c>
      <c r="DL55" s="135">
        <v>7.37</v>
      </c>
      <c r="DM55" s="135">
        <v>1.67</v>
      </c>
      <c r="DN55" s="135">
        <v>5.7</v>
      </c>
    </row>
    <row r="56" ht="15.75" customHeight="1">
      <c r="A56" s="209">
        <v>46259.0</v>
      </c>
      <c r="B56" s="210" t="s">
        <v>5</v>
      </c>
      <c r="C56" s="210" t="s">
        <v>398</v>
      </c>
      <c r="D56" s="210">
        <v>7162.0</v>
      </c>
      <c r="E56" s="210">
        <v>18.69</v>
      </c>
      <c r="F56" s="210">
        <v>808.7</v>
      </c>
      <c r="G56" s="210">
        <v>0.1129</v>
      </c>
      <c r="H56" s="210">
        <v>0.64</v>
      </c>
      <c r="I56" s="210">
        <v>17.5804</v>
      </c>
      <c r="J56" s="210">
        <v>14.79</v>
      </c>
      <c r="K56" s="210">
        <v>7.72</v>
      </c>
      <c r="L56" s="210">
        <v>4.69</v>
      </c>
      <c r="M56" s="210">
        <v>0.6079</v>
      </c>
      <c r="N56" s="210">
        <v>0.5075</v>
      </c>
      <c r="O56" s="210">
        <v>0.2327</v>
      </c>
      <c r="P56" s="210">
        <v>1.645</v>
      </c>
      <c r="Q56" s="210">
        <v>40.71</v>
      </c>
      <c r="R56" s="210">
        <v>40.63</v>
      </c>
      <c r="S56" s="210">
        <v>0.08</v>
      </c>
      <c r="T56" s="210">
        <v>7.78</v>
      </c>
      <c r="U56" s="210">
        <v>32.92</v>
      </c>
      <c r="V56" s="210">
        <v>31.73</v>
      </c>
      <c r="W56" s="210">
        <v>4.1086</v>
      </c>
      <c r="X56" s="210">
        <v>19.12</v>
      </c>
      <c r="Y56" s="210">
        <v>198.0</v>
      </c>
      <c r="Z56" s="210">
        <v>675.0</v>
      </c>
      <c r="AA56" s="210">
        <v>6114.0</v>
      </c>
      <c r="AB56" s="210">
        <v>49.7016</v>
      </c>
      <c r="AC56" s="210">
        <v>0.5259</v>
      </c>
      <c r="AD56" s="211"/>
      <c r="AE56" s="211"/>
      <c r="AF56" s="211"/>
      <c r="AG56" s="211"/>
      <c r="AH56" s="211"/>
      <c r="AI56" s="210">
        <v>0.0</v>
      </c>
      <c r="AJ56" s="210">
        <v>0.0</v>
      </c>
      <c r="AK56" s="210">
        <v>0.0</v>
      </c>
      <c r="AL56" s="210">
        <v>0.4816</v>
      </c>
      <c r="AM56" s="135">
        <v>3.34</v>
      </c>
      <c r="AN56" s="135">
        <v>3.34</v>
      </c>
      <c r="AO56" s="135">
        <v>2.11</v>
      </c>
      <c r="AP56" s="135">
        <v>1.23</v>
      </c>
      <c r="AQ56" s="135">
        <v>1.5225</v>
      </c>
      <c r="AR56" s="135">
        <v>0.1064</v>
      </c>
      <c r="AS56" s="135">
        <v>1.4161</v>
      </c>
      <c r="AT56" s="135">
        <v>1.0702</v>
      </c>
      <c r="AU56" s="135">
        <v>0.1386</v>
      </c>
      <c r="AV56" s="135">
        <v>7162.0</v>
      </c>
      <c r="AW56" s="135">
        <v>0.0</v>
      </c>
      <c r="AX56" s="135">
        <v>8.59</v>
      </c>
      <c r="AY56" s="135">
        <v>22.01</v>
      </c>
      <c r="AZ56" s="135">
        <v>2.09</v>
      </c>
      <c r="BA56" s="135">
        <v>7.78</v>
      </c>
      <c r="BB56" s="135">
        <v>0.23</v>
      </c>
      <c r="BD56" s="135">
        <v>29912.0</v>
      </c>
      <c r="BE56" s="135">
        <v>0.7235</v>
      </c>
      <c r="BF56" s="135">
        <v>0.0436</v>
      </c>
      <c r="BG56" s="135">
        <v>0.68</v>
      </c>
      <c r="BH56" s="135">
        <v>0.5785</v>
      </c>
      <c r="BI56" s="135">
        <v>0.0749</v>
      </c>
      <c r="BJ56" s="135">
        <v>0.7989</v>
      </c>
      <c r="BK56" s="135">
        <v>0.0628</v>
      </c>
      <c r="BL56" s="135">
        <v>0.7361</v>
      </c>
      <c r="BM56" s="135">
        <v>0.4918</v>
      </c>
      <c r="BN56" s="135">
        <v>0.0637</v>
      </c>
      <c r="BO56" s="135">
        <v>0.2635</v>
      </c>
      <c r="BP56" s="135">
        <v>0.0141</v>
      </c>
      <c r="BQ56" s="135">
        <v>0.2494</v>
      </c>
      <c r="BR56" s="135">
        <v>0.2275</v>
      </c>
      <c r="BS56" s="135">
        <v>0.2805</v>
      </c>
      <c r="BT56" s="135">
        <v>0.0149</v>
      </c>
      <c r="BU56" s="135">
        <v>0.2656</v>
      </c>
      <c r="BV56" s="135">
        <v>0.211</v>
      </c>
      <c r="BW56" s="135">
        <v>0.1796</v>
      </c>
      <c r="BX56" s="135">
        <v>0.0145</v>
      </c>
      <c r="BY56" s="135">
        <v>0.165</v>
      </c>
      <c r="BZ56" s="135">
        <v>0.14</v>
      </c>
      <c r="CA56" s="135">
        <v>0.1602</v>
      </c>
      <c r="CB56" s="135">
        <v>0.0161</v>
      </c>
      <c r="CC56" s="135">
        <v>0.1441</v>
      </c>
      <c r="CD56" s="135">
        <v>0.1167</v>
      </c>
      <c r="CE56" s="135">
        <v>0.346</v>
      </c>
      <c r="CF56" s="135">
        <v>0.0261</v>
      </c>
      <c r="CG56" s="135">
        <v>0.3199</v>
      </c>
      <c r="CH56" s="135">
        <v>0.1783</v>
      </c>
      <c r="CI56" s="135">
        <v>0.2928</v>
      </c>
      <c r="CJ56" s="135">
        <v>0.0207</v>
      </c>
      <c r="CK56" s="135">
        <v>0.2721</v>
      </c>
      <c r="CL56" s="135">
        <v>0.1967</v>
      </c>
      <c r="CM56" s="135">
        <v>65.99</v>
      </c>
      <c r="CN56" s="135">
        <v>10.4</v>
      </c>
      <c r="CO56" s="135">
        <v>634.39</v>
      </c>
      <c r="CP56" s="135">
        <v>53.18</v>
      </c>
      <c r="CQ56" s="135">
        <v>9.92</v>
      </c>
      <c r="CR56" s="135">
        <v>1.42</v>
      </c>
      <c r="CS56" s="135">
        <v>1.46</v>
      </c>
      <c r="CT56" s="135">
        <v>0.0</v>
      </c>
      <c r="CU56" s="135">
        <v>685.0</v>
      </c>
      <c r="CV56" s="135">
        <v>3.63</v>
      </c>
      <c r="CW56" s="135">
        <v>44.33</v>
      </c>
      <c r="CX56" s="135">
        <v>1.27</v>
      </c>
      <c r="CY56" s="135">
        <v>11.19</v>
      </c>
      <c r="CZ56" s="135">
        <v>33.43</v>
      </c>
      <c r="DA56" s="135">
        <v>0.75</v>
      </c>
      <c r="DB56" s="135">
        <v>32.67</v>
      </c>
      <c r="DC56" s="135">
        <v>30.2</v>
      </c>
      <c r="DD56" s="135">
        <v>0.59</v>
      </c>
      <c r="DE56" s="135">
        <v>29.61</v>
      </c>
      <c r="DF56" s="135">
        <v>1.58</v>
      </c>
      <c r="DG56" s="135">
        <v>0.06</v>
      </c>
      <c r="DH56" s="135">
        <v>1.52</v>
      </c>
      <c r="DI56" s="135">
        <v>1.29</v>
      </c>
      <c r="DJ56" s="135">
        <v>0.06</v>
      </c>
      <c r="DK56" s="135">
        <v>1.23</v>
      </c>
      <c r="DL56" s="135">
        <v>0.36</v>
      </c>
      <c r="DM56" s="135">
        <v>0.06</v>
      </c>
      <c r="DN56" s="135">
        <v>0.31</v>
      </c>
    </row>
    <row r="57" ht="15.75" customHeight="1">
      <c r="A57" s="209">
        <v>46259.0</v>
      </c>
      <c r="B57" s="210" t="s">
        <v>5</v>
      </c>
      <c r="C57" s="210" t="s">
        <v>142</v>
      </c>
      <c r="D57" s="210">
        <v>11233.0</v>
      </c>
      <c r="E57" s="210">
        <v>29.31</v>
      </c>
      <c r="F57" s="210">
        <v>323.29</v>
      </c>
      <c r="G57" s="210">
        <v>0.0288</v>
      </c>
      <c r="H57" s="210">
        <v>1.27</v>
      </c>
      <c r="I57" s="210">
        <v>2.2608</v>
      </c>
      <c r="J57" s="210">
        <v>25.33</v>
      </c>
      <c r="K57" s="210">
        <v>12.88</v>
      </c>
      <c r="L57" s="210">
        <v>5.33</v>
      </c>
      <c r="M57" s="210">
        <v>0.4136</v>
      </c>
      <c r="N57" s="210">
        <v>0.6902</v>
      </c>
      <c r="O57" s="210">
        <v>0.412</v>
      </c>
      <c r="P57" s="210">
        <v>2.4176</v>
      </c>
      <c r="Q57" s="210">
        <v>43.73</v>
      </c>
      <c r="R57" s="210">
        <v>39.79</v>
      </c>
      <c r="S57" s="210">
        <v>3.94</v>
      </c>
      <c r="T57" s="210">
        <v>2.22</v>
      </c>
      <c r="U57" s="210">
        <v>41.51</v>
      </c>
      <c r="V57" s="210">
        <v>48.18</v>
      </c>
      <c r="W57" s="210">
        <v>3.7424</v>
      </c>
      <c r="X57" s="210">
        <v>5.07</v>
      </c>
      <c r="Y57" s="210">
        <v>197.0</v>
      </c>
      <c r="Z57" s="210">
        <v>400.0</v>
      </c>
      <c r="AA57" s="210">
        <v>1866.0</v>
      </c>
      <c r="AB57" s="210">
        <v>49.7508</v>
      </c>
      <c r="AC57" s="210">
        <v>0.57</v>
      </c>
      <c r="AD57" s="210">
        <v>4.11</v>
      </c>
      <c r="AE57" s="210">
        <v>1.0</v>
      </c>
      <c r="AF57" s="210">
        <v>3.0</v>
      </c>
      <c r="AG57" s="210">
        <v>6.0</v>
      </c>
      <c r="AH57" s="210">
        <v>9.0</v>
      </c>
      <c r="AI57" s="210">
        <v>74.34</v>
      </c>
      <c r="AJ57" s="210">
        <v>34.14</v>
      </c>
      <c r="AK57" s="210">
        <v>7.72</v>
      </c>
      <c r="AL57" s="210">
        <v>0.4153</v>
      </c>
      <c r="AM57" s="135">
        <v>29.38</v>
      </c>
      <c r="AN57" s="135">
        <v>29.38</v>
      </c>
      <c r="AO57" s="135">
        <v>14.36</v>
      </c>
      <c r="AP57" s="135">
        <v>4.43</v>
      </c>
      <c r="AQ57" s="135">
        <v>3.5279</v>
      </c>
      <c r="AR57" s="135">
        <v>0.0355</v>
      </c>
      <c r="AS57" s="135">
        <v>3.4924</v>
      </c>
      <c r="AT57" s="135">
        <v>2.99</v>
      </c>
      <c r="AU57" s="135">
        <v>0.2322</v>
      </c>
      <c r="AV57" s="135">
        <v>11233.0</v>
      </c>
      <c r="AW57" s="135">
        <v>0.0</v>
      </c>
      <c r="AX57" s="135">
        <v>18.47</v>
      </c>
      <c r="AY57" s="135">
        <v>19.88</v>
      </c>
      <c r="AZ57" s="135">
        <v>2.52</v>
      </c>
      <c r="BA57" s="135">
        <v>2.22</v>
      </c>
      <c r="BB57" s="135">
        <v>0.65</v>
      </c>
      <c r="BC57" s="135">
        <v>18.0</v>
      </c>
      <c r="BD57" s="135">
        <v>21994.0</v>
      </c>
      <c r="BE57" s="135">
        <v>2.4895</v>
      </c>
      <c r="BF57" s="135">
        <v>0.0216</v>
      </c>
      <c r="BG57" s="135">
        <v>2.4679</v>
      </c>
      <c r="BH57" s="135">
        <v>1.7776</v>
      </c>
      <c r="BI57" s="135">
        <v>0.1381</v>
      </c>
      <c r="BJ57" s="135">
        <v>1.0384</v>
      </c>
      <c r="BK57" s="135">
        <v>0.0139</v>
      </c>
      <c r="BL57" s="135">
        <v>1.0245</v>
      </c>
      <c r="BM57" s="135">
        <v>1.2124</v>
      </c>
      <c r="BN57" s="135">
        <v>0.0942</v>
      </c>
      <c r="BO57" s="135">
        <v>1.2282</v>
      </c>
      <c r="BP57" s="135">
        <v>0.0094</v>
      </c>
      <c r="BQ57" s="135">
        <v>1.2187</v>
      </c>
      <c r="BR57" s="135">
        <v>0.8042</v>
      </c>
      <c r="BS57" s="135">
        <v>1.007</v>
      </c>
      <c r="BT57" s="135">
        <v>0.006</v>
      </c>
      <c r="BU57" s="135">
        <v>1.0011</v>
      </c>
      <c r="BV57" s="135">
        <v>0.6873</v>
      </c>
      <c r="BW57" s="135">
        <v>0.2543</v>
      </c>
      <c r="BX57" s="135">
        <v>0.0062</v>
      </c>
      <c r="BY57" s="135">
        <v>0.2481</v>
      </c>
      <c r="BZ57" s="135">
        <v>0.286</v>
      </c>
      <c r="CA57" s="135">
        <v>0.1707</v>
      </c>
      <c r="CB57" s="135">
        <v>0.0028</v>
      </c>
      <c r="CC57" s="135">
        <v>0.1679</v>
      </c>
      <c r="CD57" s="135">
        <v>0.2251</v>
      </c>
      <c r="CE57" s="135">
        <v>0.4436</v>
      </c>
      <c r="CF57" s="135">
        <v>0.0061</v>
      </c>
      <c r="CG57" s="135">
        <v>0.4376</v>
      </c>
      <c r="CH57" s="135">
        <v>0.5355</v>
      </c>
      <c r="CI57" s="135">
        <v>0.424</v>
      </c>
      <c r="CJ57" s="135">
        <v>0.005</v>
      </c>
      <c r="CK57" s="135">
        <v>0.419</v>
      </c>
      <c r="CL57" s="135">
        <v>0.4519</v>
      </c>
      <c r="CM57" s="135">
        <v>88.84</v>
      </c>
      <c r="CN57" s="135">
        <v>79.88</v>
      </c>
      <c r="CO57" s="135">
        <v>111.22</v>
      </c>
      <c r="CP57" s="135">
        <v>73.9</v>
      </c>
      <c r="CQ57" s="135">
        <v>11.3</v>
      </c>
      <c r="CR57" s="135">
        <v>2.47</v>
      </c>
      <c r="CS57" s="135">
        <v>1.17</v>
      </c>
      <c r="CT57" s="135">
        <v>0.0</v>
      </c>
      <c r="CU57" s="135">
        <v>1408.0</v>
      </c>
      <c r="CV57" s="135">
        <v>1.03</v>
      </c>
      <c r="CW57" s="135">
        <v>44.76</v>
      </c>
      <c r="CX57" s="135">
        <v>1.23</v>
      </c>
      <c r="CY57" s="135">
        <v>12.53</v>
      </c>
      <c r="CZ57" s="135">
        <v>82.38</v>
      </c>
      <c r="DA57" s="135">
        <v>0.73</v>
      </c>
      <c r="DB57" s="135">
        <v>81.65</v>
      </c>
      <c r="DC57" s="135">
        <v>76.91</v>
      </c>
      <c r="DD57" s="135">
        <v>0.2</v>
      </c>
      <c r="DE57" s="135">
        <v>76.72</v>
      </c>
      <c r="DF57" s="135">
        <v>2.67</v>
      </c>
      <c r="DG57" s="135">
        <v>0.18</v>
      </c>
      <c r="DH57" s="135">
        <v>2.49</v>
      </c>
      <c r="DI57" s="135">
        <v>2.16</v>
      </c>
      <c r="DJ57" s="135">
        <v>0.18</v>
      </c>
      <c r="DK57" s="135">
        <v>1.98</v>
      </c>
      <c r="DL57" s="135">
        <v>0.64</v>
      </c>
      <c r="DM57" s="135">
        <v>0.18</v>
      </c>
      <c r="DN57" s="135">
        <v>0.46</v>
      </c>
    </row>
    <row r="58" ht="15.75" customHeight="1">
      <c r="A58" s="209">
        <v>46259.0</v>
      </c>
      <c r="B58" s="210" t="s">
        <v>5</v>
      </c>
      <c r="C58" s="210" t="s">
        <v>143</v>
      </c>
      <c r="D58" s="210">
        <v>9077.0</v>
      </c>
      <c r="E58" s="210">
        <v>23.69</v>
      </c>
      <c r="F58" s="210">
        <v>1185.72</v>
      </c>
      <c r="G58" s="210">
        <v>0.1306</v>
      </c>
      <c r="H58" s="210">
        <v>3.76</v>
      </c>
      <c r="I58" s="210">
        <v>3.4772</v>
      </c>
      <c r="J58" s="210">
        <v>51.36</v>
      </c>
      <c r="K58" s="210">
        <v>27.36</v>
      </c>
      <c r="L58" s="210">
        <v>14.15</v>
      </c>
      <c r="M58" s="210">
        <v>0.5171</v>
      </c>
      <c r="N58" s="210">
        <v>0.6043</v>
      </c>
      <c r="O58" s="210">
        <v>0.3536</v>
      </c>
      <c r="P58" s="210">
        <v>1.9338</v>
      </c>
      <c r="Q58" s="210">
        <v>90.91</v>
      </c>
      <c r="R58" s="210">
        <v>80.54</v>
      </c>
      <c r="S58" s="210">
        <v>10.37</v>
      </c>
      <c r="T58" s="210">
        <v>9.39</v>
      </c>
      <c r="U58" s="210">
        <v>81.52</v>
      </c>
      <c r="V58" s="210">
        <v>100.99</v>
      </c>
      <c r="W58" s="210">
        <v>3.6917</v>
      </c>
      <c r="X58" s="210">
        <v>10.33</v>
      </c>
      <c r="Y58" s="210">
        <v>207.0</v>
      </c>
      <c r="Z58" s="210">
        <v>410.0</v>
      </c>
      <c r="AA58" s="210">
        <v>1486.0</v>
      </c>
      <c r="AB58" s="210">
        <v>51.3709</v>
      </c>
      <c r="AC58" s="210">
        <v>0.6155</v>
      </c>
      <c r="AD58" s="210">
        <v>9.35</v>
      </c>
      <c r="AE58" s="210">
        <v>4.0</v>
      </c>
      <c r="AF58" s="210">
        <v>8.0</v>
      </c>
      <c r="AG58" s="210">
        <v>13.0</v>
      </c>
      <c r="AH58" s="210">
        <v>19.0</v>
      </c>
      <c r="AI58" s="210">
        <v>63.52</v>
      </c>
      <c r="AJ58" s="210">
        <v>25.91</v>
      </c>
      <c r="AK58" s="210">
        <v>3.51</v>
      </c>
      <c r="AL58" s="210">
        <v>0.2745</v>
      </c>
      <c r="AM58" s="135">
        <v>36.22</v>
      </c>
      <c r="AN58" s="135">
        <v>36.22</v>
      </c>
      <c r="AO58" s="135">
        <v>20.59</v>
      </c>
      <c r="AP58" s="135">
        <v>9.32</v>
      </c>
      <c r="AQ58" s="135">
        <v>6.7889</v>
      </c>
      <c r="AR58" s="135">
        <v>0.1238</v>
      </c>
      <c r="AS58" s="135">
        <v>6.6651</v>
      </c>
      <c r="AT58" s="135">
        <v>6.0889</v>
      </c>
      <c r="AU58" s="135">
        <v>0.2226</v>
      </c>
      <c r="AV58" s="135">
        <v>9077.0</v>
      </c>
      <c r="AW58" s="135">
        <v>0.0</v>
      </c>
      <c r="AX58" s="135">
        <v>34.81</v>
      </c>
      <c r="AY58" s="135">
        <v>42.01</v>
      </c>
      <c r="AZ58" s="135">
        <v>3.63</v>
      </c>
      <c r="BA58" s="135">
        <v>9.39</v>
      </c>
      <c r="BB58" s="135">
        <v>1.07</v>
      </c>
      <c r="BC58" s="135">
        <v>34.0</v>
      </c>
      <c r="BD58" s="135">
        <v>20859.0</v>
      </c>
      <c r="BE58" s="135">
        <v>4.587</v>
      </c>
      <c r="BF58" s="135">
        <v>0.0592</v>
      </c>
      <c r="BG58" s="135">
        <v>4.5278</v>
      </c>
      <c r="BH58" s="135">
        <v>3.6123</v>
      </c>
      <c r="BI58" s="135">
        <v>0.1321</v>
      </c>
      <c r="BJ58" s="135">
        <v>2.2019</v>
      </c>
      <c r="BK58" s="135">
        <v>0.0647</v>
      </c>
      <c r="BL58" s="135">
        <v>2.1373</v>
      </c>
      <c r="BM58" s="135">
        <v>2.4766</v>
      </c>
      <c r="BN58" s="135">
        <v>0.0905</v>
      </c>
      <c r="BO58" s="135">
        <v>2.0198</v>
      </c>
      <c r="BP58" s="135">
        <v>0.0238</v>
      </c>
      <c r="BQ58" s="135">
        <v>1.996</v>
      </c>
      <c r="BR58" s="135">
        <v>1.5365</v>
      </c>
      <c r="BS58" s="135">
        <v>1.8872</v>
      </c>
      <c r="BT58" s="135">
        <v>0.0155</v>
      </c>
      <c r="BU58" s="135">
        <v>1.8717</v>
      </c>
      <c r="BV58" s="135">
        <v>1.4006</v>
      </c>
      <c r="BW58" s="135">
        <v>0.68</v>
      </c>
      <c r="BX58" s="135">
        <v>0.0198</v>
      </c>
      <c r="BY58" s="135">
        <v>0.6601</v>
      </c>
      <c r="BZ58" s="135">
        <v>0.6752</v>
      </c>
      <c r="CA58" s="135">
        <v>0.426</v>
      </c>
      <c r="CB58" s="135">
        <v>0.0161</v>
      </c>
      <c r="CC58" s="135">
        <v>0.4099</v>
      </c>
      <c r="CD58" s="135">
        <v>0.5283</v>
      </c>
      <c r="CE58" s="135">
        <v>0.7938</v>
      </c>
      <c r="CF58" s="135">
        <v>0.0268</v>
      </c>
      <c r="CG58" s="135">
        <v>0.767</v>
      </c>
      <c r="CH58" s="135">
        <v>0.9696</v>
      </c>
      <c r="CI58" s="135">
        <v>0.9822</v>
      </c>
      <c r="CJ58" s="135">
        <v>0.0218</v>
      </c>
      <c r="CK58" s="135">
        <v>0.9603</v>
      </c>
      <c r="CL58" s="135">
        <v>0.9787</v>
      </c>
      <c r="CM58" s="135">
        <v>197.14</v>
      </c>
      <c r="CN58" s="135">
        <v>91.42</v>
      </c>
      <c r="CO58" s="135">
        <v>215.65</v>
      </c>
      <c r="CP58" s="135">
        <v>157.61</v>
      </c>
      <c r="CQ58" s="135">
        <v>32.35</v>
      </c>
      <c r="CR58" s="135">
        <v>3.15</v>
      </c>
      <c r="CS58" s="135">
        <v>4.04</v>
      </c>
      <c r="CT58" s="135">
        <v>0.0</v>
      </c>
      <c r="CU58" s="135">
        <v>2273.0</v>
      </c>
      <c r="CV58" s="135">
        <v>3.04</v>
      </c>
      <c r="CW58" s="135">
        <v>93.95</v>
      </c>
      <c r="CX58" s="135">
        <v>3.94</v>
      </c>
      <c r="CY58" s="135">
        <v>36.29</v>
      </c>
      <c r="CZ58" s="135">
        <v>145.67</v>
      </c>
      <c r="DA58" s="135">
        <v>2.62</v>
      </c>
      <c r="DB58" s="135">
        <v>143.05</v>
      </c>
      <c r="DC58" s="135">
        <v>136.58</v>
      </c>
      <c r="DD58" s="135">
        <v>0.79</v>
      </c>
      <c r="DE58" s="135">
        <v>135.8</v>
      </c>
      <c r="DF58" s="135">
        <v>4.55</v>
      </c>
      <c r="DG58" s="135">
        <v>0.61</v>
      </c>
      <c r="DH58" s="135">
        <v>3.94</v>
      </c>
      <c r="DI58" s="135">
        <v>3.32</v>
      </c>
      <c r="DJ58" s="135">
        <v>0.61</v>
      </c>
      <c r="DK58" s="135">
        <v>2.71</v>
      </c>
      <c r="DL58" s="135">
        <v>1.22</v>
      </c>
      <c r="DM58" s="135">
        <v>0.61</v>
      </c>
      <c r="DN58" s="135">
        <v>0.61</v>
      </c>
    </row>
    <row r="59" ht="15.75" customHeight="1">
      <c r="A59" s="209">
        <v>46259.0</v>
      </c>
      <c r="B59" s="210" t="s">
        <v>5</v>
      </c>
      <c r="C59" s="210" t="s">
        <v>144</v>
      </c>
      <c r="D59" s="210">
        <v>6692.0</v>
      </c>
      <c r="E59" s="210">
        <v>17.46</v>
      </c>
      <c r="F59" s="210">
        <v>1748.49</v>
      </c>
      <c r="G59" s="210">
        <v>0.2613</v>
      </c>
      <c r="H59" s="210">
        <v>5.05</v>
      </c>
      <c r="I59" s="210">
        <v>5.173</v>
      </c>
      <c r="J59" s="210">
        <v>77.66</v>
      </c>
      <c r="K59" s="210">
        <v>43.33</v>
      </c>
      <c r="L59" s="210">
        <v>27.51</v>
      </c>
      <c r="M59" s="210">
        <v>0.6349</v>
      </c>
      <c r="N59" s="210">
        <v>0.4959</v>
      </c>
      <c r="O59" s="210">
        <v>0.2914</v>
      </c>
      <c r="P59" s="210">
        <v>1.5751</v>
      </c>
      <c r="Q59" s="210">
        <v>159.44</v>
      </c>
      <c r="R59" s="210">
        <v>139.26</v>
      </c>
      <c r="S59" s="210">
        <v>20.18</v>
      </c>
      <c r="T59" s="210">
        <v>17.09</v>
      </c>
      <c r="U59" s="210">
        <v>142.36</v>
      </c>
      <c r="V59" s="210">
        <v>185.39</v>
      </c>
      <c r="W59" s="210">
        <v>4.2785</v>
      </c>
      <c r="X59" s="210">
        <v>10.72</v>
      </c>
      <c r="Y59" s="210">
        <v>241.0</v>
      </c>
      <c r="Z59" s="210">
        <v>483.0</v>
      </c>
      <c r="AA59" s="210">
        <v>1473.0</v>
      </c>
      <c r="AB59" s="210">
        <v>53.5843</v>
      </c>
      <c r="AC59" s="210">
        <v>0.6934</v>
      </c>
      <c r="AD59" s="210">
        <v>16.45</v>
      </c>
      <c r="AE59" s="210">
        <v>7.0</v>
      </c>
      <c r="AF59" s="210">
        <v>13.0</v>
      </c>
      <c r="AG59" s="210">
        <v>23.0</v>
      </c>
      <c r="AH59" s="210">
        <v>34.0</v>
      </c>
      <c r="AI59" s="210">
        <v>58.32</v>
      </c>
      <c r="AJ59" s="210">
        <v>20.34</v>
      </c>
      <c r="AK59" s="210">
        <v>4.6</v>
      </c>
      <c r="AL59" s="210">
        <v>0.2255</v>
      </c>
      <c r="AM59" s="135">
        <v>39.27</v>
      </c>
      <c r="AN59" s="135">
        <v>39.27</v>
      </c>
      <c r="AO59" s="135">
        <v>20.68</v>
      </c>
      <c r="AP59" s="135">
        <v>9.71</v>
      </c>
      <c r="AQ59" s="135">
        <v>10.1266</v>
      </c>
      <c r="AR59" s="135">
        <v>0.3084</v>
      </c>
      <c r="AS59" s="135">
        <v>9.8181</v>
      </c>
      <c r="AT59" s="135">
        <v>9.2887</v>
      </c>
      <c r="AU59" s="135">
        <v>0.2144</v>
      </c>
      <c r="AV59" s="135">
        <v>6692.0</v>
      </c>
      <c r="AW59" s="135">
        <v>0.0</v>
      </c>
      <c r="AX59" s="135">
        <v>58.29</v>
      </c>
      <c r="AY59" s="135">
        <v>77.4</v>
      </c>
      <c r="AZ59" s="135">
        <v>4.19</v>
      </c>
      <c r="BA59" s="135">
        <v>17.09</v>
      </c>
      <c r="BB59" s="135">
        <v>2.48</v>
      </c>
      <c r="BC59" s="135">
        <v>60.0</v>
      </c>
      <c r="BD59" s="135">
        <v>17812.0</v>
      </c>
      <c r="BE59" s="135">
        <v>6.59</v>
      </c>
      <c r="BF59" s="135">
        <v>0.1914</v>
      </c>
      <c r="BG59" s="135">
        <v>6.3985</v>
      </c>
      <c r="BH59" s="135">
        <v>5.3352</v>
      </c>
      <c r="BI59" s="135">
        <v>0.1231</v>
      </c>
      <c r="BJ59" s="135">
        <v>3.5366</v>
      </c>
      <c r="BK59" s="135">
        <v>0.117</v>
      </c>
      <c r="BL59" s="135">
        <v>3.4196</v>
      </c>
      <c r="BM59" s="135">
        <v>3.9535</v>
      </c>
      <c r="BN59" s="135">
        <v>0.0912</v>
      </c>
      <c r="BO59" s="135">
        <v>2.4316</v>
      </c>
      <c r="BP59" s="135">
        <v>0.0566</v>
      </c>
      <c r="BQ59" s="135">
        <v>2.3749</v>
      </c>
      <c r="BR59" s="135">
        <v>1.9993</v>
      </c>
      <c r="BS59" s="135">
        <v>2.6142</v>
      </c>
      <c r="BT59" s="135">
        <v>0.0647</v>
      </c>
      <c r="BU59" s="135">
        <v>2.5495</v>
      </c>
      <c r="BV59" s="135">
        <v>2.0541</v>
      </c>
      <c r="BW59" s="135">
        <v>1.5442</v>
      </c>
      <c r="BX59" s="135">
        <v>0.0701</v>
      </c>
      <c r="BY59" s="135">
        <v>1.4741</v>
      </c>
      <c r="BZ59" s="135">
        <v>1.2818</v>
      </c>
      <c r="CA59" s="135">
        <v>0.8586</v>
      </c>
      <c r="CB59" s="135">
        <v>0.0312</v>
      </c>
      <c r="CC59" s="135">
        <v>0.8274</v>
      </c>
      <c r="CD59" s="135">
        <v>0.9481</v>
      </c>
      <c r="CE59" s="135">
        <v>1.0847</v>
      </c>
      <c r="CF59" s="135">
        <v>0.0478</v>
      </c>
      <c r="CG59" s="135">
        <v>1.0369</v>
      </c>
      <c r="CH59" s="135">
        <v>1.3352</v>
      </c>
      <c r="CI59" s="135">
        <v>1.5932</v>
      </c>
      <c r="CJ59" s="135">
        <v>0.038</v>
      </c>
      <c r="CK59" s="135">
        <v>1.5553</v>
      </c>
      <c r="CL59" s="135">
        <v>1.6702</v>
      </c>
      <c r="CM59" s="135">
        <v>349.48</v>
      </c>
      <c r="CN59" s="135">
        <v>96.0</v>
      </c>
      <c r="CO59" s="135">
        <v>364.06</v>
      </c>
      <c r="CP59" s="135">
        <v>281.41</v>
      </c>
      <c r="CQ59" s="135">
        <v>56.32</v>
      </c>
      <c r="CR59" s="135">
        <v>4.08</v>
      </c>
      <c r="CS59" s="135">
        <v>7.67</v>
      </c>
      <c r="CT59" s="135">
        <v>0.0</v>
      </c>
      <c r="CU59" s="135">
        <v>3036.0</v>
      </c>
      <c r="CV59" s="135">
        <v>8.88</v>
      </c>
      <c r="CW59" s="135">
        <v>168.33</v>
      </c>
      <c r="CX59" s="135">
        <v>7.87</v>
      </c>
      <c r="CY59" s="135">
        <v>64.18</v>
      </c>
      <c r="CZ59" s="135">
        <v>222.0</v>
      </c>
      <c r="DA59" s="135">
        <v>4.63</v>
      </c>
      <c r="DB59" s="135">
        <v>217.37</v>
      </c>
      <c r="DC59" s="135">
        <v>206.06</v>
      </c>
      <c r="DD59" s="135">
        <v>1.41</v>
      </c>
      <c r="DE59" s="135">
        <v>204.65</v>
      </c>
      <c r="DF59" s="135">
        <v>9.36</v>
      </c>
      <c r="DG59" s="135">
        <v>1.08</v>
      </c>
      <c r="DH59" s="135">
        <v>8.28</v>
      </c>
      <c r="DI59" s="135">
        <v>4.55</v>
      </c>
      <c r="DJ59" s="135">
        <v>1.08</v>
      </c>
      <c r="DK59" s="135">
        <v>3.47</v>
      </c>
      <c r="DL59" s="135">
        <v>2.04</v>
      </c>
      <c r="DM59" s="135">
        <v>1.08</v>
      </c>
      <c r="DN59" s="135">
        <v>0.97</v>
      </c>
    </row>
    <row r="60" ht="15.75" customHeight="1">
      <c r="A60" s="209">
        <v>46259.0</v>
      </c>
      <c r="B60" s="210" t="s">
        <v>5</v>
      </c>
      <c r="C60" s="210" t="s">
        <v>145</v>
      </c>
      <c r="D60" s="210">
        <v>3640.0</v>
      </c>
      <c r="E60" s="210">
        <v>9.5</v>
      </c>
      <c r="F60" s="210">
        <v>2527.34</v>
      </c>
      <c r="G60" s="210">
        <v>0.6943</v>
      </c>
      <c r="H60" s="210">
        <v>7.61</v>
      </c>
      <c r="I60" s="210">
        <v>9.124</v>
      </c>
      <c r="J60" s="210">
        <v>124.95</v>
      </c>
      <c r="K60" s="210">
        <v>75.07</v>
      </c>
      <c r="L60" s="210">
        <v>54.24</v>
      </c>
      <c r="M60" s="210">
        <v>0.7226</v>
      </c>
      <c r="N60" s="210">
        <v>0.404</v>
      </c>
      <c r="O60" s="210">
        <v>0.246</v>
      </c>
      <c r="P60" s="210">
        <v>1.3839</v>
      </c>
      <c r="Q60" s="210">
        <v>309.18</v>
      </c>
      <c r="R60" s="210">
        <v>267.8</v>
      </c>
      <c r="S60" s="210">
        <v>41.38</v>
      </c>
      <c r="T60" s="210">
        <v>47.36</v>
      </c>
      <c r="U60" s="210">
        <v>261.82</v>
      </c>
      <c r="V60" s="210">
        <v>354.53</v>
      </c>
      <c r="W60" s="210">
        <v>4.7228</v>
      </c>
      <c r="X60" s="210">
        <v>15.32</v>
      </c>
      <c r="Y60" s="210">
        <v>319.0</v>
      </c>
      <c r="Z60" s="210">
        <v>617.0</v>
      </c>
      <c r="AA60" s="210">
        <v>1684.0</v>
      </c>
      <c r="AB60" s="210">
        <v>55.8235</v>
      </c>
      <c r="AC60" s="210">
        <v>0.7808</v>
      </c>
      <c r="AD60" s="210">
        <v>31.35</v>
      </c>
      <c r="AE60" s="210">
        <v>13.0</v>
      </c>
      <c r="AF60" s="210">
        <v>24.0</v>
      </c>
      <c r="AG60" s="210">
        <v>43.0</v>
      </c>
      <c r="AH60" s="210">
        <v>65.0</v>
      </c>
      <c r="AI60" s="210">
        <v>43.6</v>
      </c>
      <c r="AJ60" s="210">
        <v>12.61</v>
      </c>
      <c r="AK60" s="210">
        <v>2.36</v>
      </c>
      <c r="AL60" s="210">
        <v>0.1547</v>
      </c>
      <c r="AM60" s="135">
        <v>38.19</v>
      </c>
      <c r="AN60" s="135">
        <v>38.19</v>
      </c>
      <c r="AO60" s="135">
        <v>21.32</v>
      </c>
      <c r="AP60" s="135">
        <v>12.99</v>
      </c>
      <c r="AQ60" s="135">
        <v>15.7258</v>
      </c>
      <c r="AR60" s="135">
        <v>0.7223</v>
      </c>
      <c r="AS60" s="135">
        <v>15.0036</v>
      </c>
      <c r="AT60" s="135">
        <v>14.2843</v>
      </c>
      <c r="AU60" s="135">
        <v>0.1903</v>
      </c>
      <c r="AV60" s="135">
        <v>3640.0</v>
      </c>
      <c r="AW60" s="135">
        <v>0.0</v>
      </c>
      <c r="AX60" s="135">
        <v>110.88</v>
      </c>
      <c r="AY60" s="135">
        <v>141.27</v>
      </c>
      <c r="AZ60" s="135">
        <v>4.36</v>
      </c>
      <c r="BA60" s="135">
        <v>47.36</v>
      </c>
      <c r="BB60" s="135">
        <v>5.31</v>
      </c>
      <c r="BC60" s="135">
        <v>123.0</v>
      </c>
      <c r="BD60" s="135">
        <v>18658.0</v>
      </c>
      <c r="BE60" s="135">
        <v>9.7409</v>
      </c>
      <c r="BF60" s="135">
        <v>0.4212</v>
      </c>
      <c r="BG60" s="135">
        <v>9.3198</v>
      </c>
      <c r="BH60" s="135">
        <v>7.797</v>
      </c>
      <c r="BI60" s="135">
        <v>0.1039</v>
      </c>
      <c r="BJ60" s="135">
        <v>5.9849</v>
      </c>
      <c r="BK60" s="135">
        <v>0.3011</v>
      </c>
      <c r="BL60" s="135">
        <v>5.6838</v>
      </c>
      <c r="BM60" s="135">
        <v>6.4874</v>
      </c>
      <c r="BN60" s="135">
        <v>0.0864</v>
      </c>
      <c r="BO60" s="135">
        <v>3.4437</v>
      </c>
      <c r="BP60" s="135">
        <v>0.1374</v>
      </c>
      <c r="BQ60" s="135">
        <v>3.3063</v>
      </c>
      <c r="BR60" s="135">
        <v>2.8288</v>
      </c>
      <c r="BS60" s="135">
        <v>3.55</v>
      </c>
      <c r="BT60" s="135">
        <v>0.1398</v>
      </c>
      <c r="BU60" s="135">
        <v>3.4102</v>
      </c>
      <c r="BV60" s="135">
        <v>2.8544</v>
      </c>
      <c r="BW60" s="135">
        <v>2.7473</v>
      </c>
      <c r="BX60" s="135">
        <v>0.144</v>
      </c>
      <c r="BY60" s="135">
        <v>2.6033</v>
      </c>
      <c r="BZ60" s="135">
        <v>2.1137</v>
      </c>
      <c r="CA60" s="135">
        <v>1.3769</v>
      </c>
      <c r="CB60" s="135">
        <v>0.089</v>
      </c>
      <c r="CC60" s="135">
        <v>1.2879</v>
      </c>
      <c r="CD60" s="135">
        <v>1.7305</v>
      </c>
      <c r="CE60" s="135">
        <v>1.7511</v>
      </c>
      <c r="CF60" s="135">
        <v>0.1118</v>
      </c>
      <c r="CG60" s="135">
        <v>1.6393</v>
      </c>
      <c r="CH60" s="135">
        <v>1.9975</v>
      </c>
      <c r="CI60" s="135">
        <v>2.8569</v>
      </c>
      <c r="CJ60" s="135">
        <v>0.1003</v>
      </c>
      <c r="CK60" s="135">
        <v>2.7566</v>
      </c>
      <c r="CL60" s="135">
        <v>2.7593</v>
      </c>
      <c r="CM60" s="135">
        <v>655.82</v>
      </c>
      <c r="CN60" s="135">
        <v>98.98</v>
      </c>
      <c r="CO60" s="135">
        <v>662.55</v>
      </c>
      <c r="CP60" s="135">
        <v>528.44</v>
      </c>
      <c r="CQ60" s="135">
        <v>108.37</v>
      </c>
      <c r="CR60" s="135">
        <v>6.52</v>
      </c>
      <c r="CS60" s="135">
        <v>12.48</v>
      </c>
      <c r="CT60" s="135">
        <v>0.0</v>
      </c>
      <c r="CU60" s="135">
        <v>2595.0</v>
      </c>
      <c r="CV60" s="135">
        <v>32.52</v>
      </c>
      <c r="CW60" s="135">
        <v>341.7</v>
      </c>
      <c r="CX60" s="135">
        <v>16.19</v>
      </c>
      <c r="CY60" s="135">
        <v>124.56</v>
      </c>
      <c r="CZ60" s="135">
        <v>357.61</v>
      </c>
      <c r="DA60" s="135">
        <v>6.28</v>
      </c>
      <c r="DB60" s="135">
        <v>351.33</v>
      </c>
      <c r="DC60" s="135">
        <v>333.28</v>
      </c>
      <c r="DD60" s="135">
        <v>2.35</v>
      </c>
      <c r="DE60" s="135">
        <v>330.92</v>
      </c>
      <c r="DF60" s="135">
        <v>13.84</v>
      </c>
      <c r="DG60" s="135">
        <v>1.31</v>
      </c>
      <c r="DH60" s="135">
        <v>12.53</v>
      </c>
      <c r="DI60" s="135">
        <v>7.8</v>
      </c>
      <c r="DJ60" s="135">
        <v>1.31</v>
      </c>
      <c r="DK60" s="135">
        <v>6.5</v>
      </c>
      <c r="DL60" s="135">
        <v>2.69</v>
      </c>
      <c r="DM60" s="135">
        <v>1.31</v>
      </c>
      <c r="DN60" s="135">
        <v>1.38</v>
      </c>
    </row>
    <row r="61" ht="15.75" customHeight="1">
      <c r="A61" s="209">
        <v>46259.0</v>
      </c>
      <c r="B61" s="210" t="s">
        <v>5</v>
      </c>
      <c r="C61" s="210" t="s">
        <v>146</v>
      </c>
      <c r="D61" s="210">
        <v>517.0</v>
      </c>
      <c r="E61" s="210">
        <v>1.35</v>
      </c>
      <c r="F61" s="210">
        <v>426.57</v>
      </c>
      <c r="G61" s="210">
        <v>0.8251</v>
      </c>
      <c r="H61" s="210">
        <v>8.7</v>
      </c>
      <c r="I61" s="210">
        <v>9.4793</v>
      </c>
      <c r="J61" s="210">
        <v>242.58</v>
      </c>
      <c r="K61" s="210">
        <v>159.93</v>
      </c>
      <c r="L61" s="210">
        <v>122.93</v>
      </c>
      <c r="M61" s="210">
        <v>0.7686</v>
      </c>
      <c r="N61" s="210">
        <v>0.3315</v>
      </c>
      <c r="O61" s="210">
        <v>0.1965</v>
      </c>
      <c r="P61" s="210">
        <v>1.301</v>
      </c>
      <c r="Q61" s="210">
        <v>525.87</v>
      </c>
      <c r="R61" s="210">
        <v>427.9</v>
      </c>
      <c r="S61" s="210">
        <v>97.97</v>
      </c>
      <c r="T61" s="210">
        <v>59.94</v>
      </c>
      <c r="U61" s="210">
        <v>465.92</v>
      </c>
      <c r="V61" s="210">
        <v>627.27</v>
      </c>
      <c r="W61" s="210">
        <v>3.9221</v>
      </c>
      <c r="X61" s="210">
        <v>11.4</v>
      </c>
      <c r="Y61" s="210">
        <v>435.0</v>
      </c>
      <c r="Z61" s="210">
        <v>742.0</v>
      </c>
      <c r="AA61" s="210">
        <v>1472.0</v>
      </c>
      <c r="AB61" s="210">
        <v>58.4459</v>
      </c>
      <c r="AC61" s="210">
        <v>0.8119</v>
      </c>
      <c r="AD61" s="210">
        <v>56.7</v>
      </c>
      <c r="AE61" s="210">
        <v>24.0</v>
      </c>
      <c r="AF61" s="210">
        <v>41.0</v>
      </c>
      <c r="AG61" s="210">
        <v>74.0</v>
      </c>
      <c r="AH61" s="210">
        <v>121.0</v>
      </c>
      <c r="AI61" s="210">
        <v>22.24</v>
      </c>
      <c r="AJ61" s="210">
        <v>3.68</v>
      </c>
      <c r="AK61" s="210">
        <v>0.19</v>
      </c>
      <c r="AL61" s="210">
        <v>0.0948</v>
      </c>
      <c r="AM61" s="135">
        <v>41.59</v>
      </c>
      <c r="AN61" s="135">
        <v>41.59</v>
      </c>
      <c r="AO61" s="135">
        <v>29.59</v>
      </c>
      <c r="AP61" s="135">
        <v>24.95</v>
      </c>
      <c r="AQ61" s="135">
        <v>27.0522</v>
      </c>
      <c r="AR61" s="135">
        <v>0.766</v>
      </c>
      <c r="AS61" s="135">
        <v>26.2863</v>
      </c>
      <c r="AT61" s="135">
        <v>26.6789</v>
      </c>
      <c r="AU61" s="135">
        <v>0.1668</v>
      </c>
      <c r="AV61" s="135">
        <v>517.0</v>
      </c>
      <c r="AW61" s="135">
        <v>0.0</v>
      </c>
      <c r="AX61" s="135">
        <v>245.78</v>
      </c>
      <c r="AY61" s="135">
        <v>202.28</v>
      </c>
      <c r="AZ61" s="135">
        <v>7.13</v>
      </c>
      <c r="BA61" s="135">
        <v>59.86</v>
      </c>
      <c r="BB61" s="135">
        <v>10.81</v>
      </c>
      <c r="BC61" s="135">
        <v>246.0</v>
      </c>
      <c r="BD61" s="135">
        <v>11115.0</v>
      </c>
      <c r="BE61" s="135">
        <v>16.4623</v>
      </c>
      <c r="BF61" s="135">
        <v>0.3308</v>
      </c>
      <c r="BG61" s="135">
        <v>16.1315</v>
      </c>
      <c r="BH61" s="135">
        <v>14.8008</v>
      </c>
      <c r="BI61" s="135">
        <v>0.0925</v>
      </c>
      <c r="BJ61" s="135">
        <v>10.5899</v>
      </c>
      <c r="BK61" s="135">
        <v>0.4352</v>
      </c>
      <c r="BL61" s="135">
        <v>10.1547</v>
      </c>
      <c r="BM61" s="135">
        <v>11.8781</v>
      </c>
      <c r="BN61" s="135">
        <v>0.0743</v>
      </c>
      <c r="BO61" s="135">
        <v>5.7215</v>
      </c>
      <c r="BP61" s="135">
        <v>0.0986</v>
      </c>
      <c r="BQ61" s="135">
        <v>5.6228</v>
      </c>
      <c r="BR61" s="135">
        <v>5.118</v>
      </c>
      <c r="BS61" s="135">
        <v>5.971</v>
      </c>
      <c r="BT61" s="135">
        <v>0.0986</v>
      </c>
      <c r="BU61" s="135">
        <v>5.8723</v>
      </c>
      <c r="BV61" s="135">
        <v>5.2998</v>
      </c>
      <c r="BW61" s="135">
        <v>4.7698</v>
      </c>
      <c r="BX61" s="135">
        <v>0.1335</v>
      </c>
      <c r="BY61" s="135">
        <v>4.6364</v>
      </c>
      <c r="BZ61" s="135">
        <v>4.383</v>
      </c>
      <c r="CA61" s="135">
        <v>2.3985</v>
      </c>
      <c r="CB61" s="135">
        <v>0.1141</v>
      </c>
      <c r="CC61" s="135">
        <v>2.2843</v>
      </c>
      <c r="CD61" s="135">
        <v>2.9478</v>
      </c>
      <c r="CE61" s="135">
        <v>2.9845</v>
      </c>
      <c r="CF61" s="135">
        <v>0.1896</v>
      </c>
      <c r="CG61" s="135">
        <v>2.795</v>
      </c>
      <c r="CH61" s="135">
        <v>3.3404</v>
      </c>
      <c r="CI61" s="135">
        <v>5.207</v>
      </c>
      <c r="CJ61" s="135">
        <v>0.1315</v>
      </c>
      <c r="CK61" s="135">
        <v>5.0754</v>
      </c>
      <c r="CL61" s="135">
        <v>5.5899</v>
      </c>
      <c r="CM61" s="135">
        <v>1454.18</v>
      </c>
      <c r="CN61" s="135">
        <v>99.61</v>
      </c>
      <c r="CO61" s="135">
        <v>1459.83</v>
      </c>
      <c r="CP61" s="135">
        <v>1181.04</v>
      </c>
      <c r="CQ61" s="135">
        <v>245.95</v>
      </c>
      <c r="CR61" s="135">
        <v>10.99</v>
      </c>
      <c r="CS61" s="135">
        <v>16.21</v>
      </c>
      <c r="CT61" s="135">
        <v>0.0</v>
      </c>
      <c r="CU61" s="135">
        <v>457.0</v>
      </c>
      <c r="CV61" s="135">
        <v>105.0</v>
      </c>
      <c r="CW61" s="135">
        <v>630.86</v>
      </c>
      <c r="CX61" s="135">
        <v>33.45</v>
      </c>
      <c r="CY61" s="135">
        <v>279.4</v>
      </c>
      <c r="CZ61" s="135">
        <v>667.21</v>
      </c>
      <c r="DA61" s="135">
        <v>14.65</v>
      </c>
      <c r="DB61" s="135">
        <v>652.56</v>
      </c>
      <c r="DC61" s="135">
        <v>627.7</v>
      </c>
      <c r="DD61" s="135">
        <v>4.9</v>
      </c>
      <c r="DE61" s="135">
        <v>622.79</v>
      </c>
      <c r="DF61" s="135">
        <v>18.52</v>
      </c>
      <c r="DG61" s="135">
        <v>3.25</v>
      </c>
      <c r="DH61" s="135">
        <v>15.27</v>
      </c>
      <c r="DI61" s="135">
        <v>15.09</v>
      </c>
      <c r="DJ61" s="135">
        <v>3.25</v>
      </c>
      <c r="DK61" s="135">
        <v>11.84</v>
      </c>
      <c r="DL61" s="135">
        <v>5.91</v>
      </c>
      <c r="DM61" s="135">
        <v>3.25</v>
      </c>
      <c r="DN61" s="135">
        <v>2.66</v>
      </c>
    </row>
    <row r="62" ht="15.75" customHeight="1">
      <c r="A62" s="214">
        <v>46260.0</v>
      </c>
      <c r="B62" s="135" t="s">
        <v>4</v>
      </c>
      <c r="C62" s="135" t="s">
        <v>398</v>
      </c>
      <c r="D62" s="135">
        <v>8656.0</v>
      </c>
      <c r="E62" s="135">
        <v>21.74</v>
      </c>
      <c r="F62" s="135">
        <v>1221.94</v>
      </c>
      <c r="G62" s="135">
        <v>0.1412</v>
      </c>
      <c r="H62" s="135">
        <v>1.32</v>
      </c>
      <c r="I62" s="135">
        <v>10.7188</v>
      </c>
      <c r="J62" s="135">
        <v>18.28</v>
      </c>
      <c r="K62" s="135">
        <v>9.71</v>
      </c>
      <c r="L62" s="135">
        <v>5.9</v>
      </c>
      <c r="M62" s="135">
        <v>0.6071</v>
      </c>
      <c r="N62" s="135">
        <v>0.5023</v>
      </c>
      <c r="O62" s="135">
        <v>0.225</v>
      </c>
      <c r="P62" s="135">
        <v>1.6472</v>
      </c>
      <c r="Q62" s="135">
        <v>39.89</v>
      </c>
      <c r="R62" s="135">
        <v>39.8</v>
      </c>
      <c r="S62" s="135">
        <v>0.09</v>
      </c>
      <c r="T62" s="135">
        <v>9.33</v>
      </c>
      <c r="U62" s="135">
        <v>30.56</v>
      </c>
      <c r="V62" s="135">
        <v>33.94</v>
      </c>
      <c r="W62" s="135">
        <v>3.4947</v>
      </c>
      <c r="X62" s="135">
        <v>23.4</v>
      </c>
      <c r="Y62" s="135">
        <v>203.0</v>
      </c>
      <c r="Z62" s="135">
        <v>865.0</v>
      </c>
      <c r="AA62" s="135">
        <v>7858.0</v>
      </c>
      <c r="AB62" s="135">
        <v>50.29</v>
      </c>
      <c r="AC62" s="135">
        <v>0.5068</v>
      </c>
      <c r="AI62" s="135">
        <v>0.0</v>
      </c>
      <c r="AJ62" s="135">
        <v>0.0</v>
      </c>
      <c r="AK62" s="135">
        <v>0.0</v>
      </c>
      <c r="AQ62" s="135">
        <v>1.242</v>
      </c>
      <c r="AR62" s="135">
        <v>0.1411</v>
      </c>
      <c r="AS62" s="135">
        <v>1.101</v>
      </c>
      <c r="AT62" s="135">
        <v>1.2034</v>
      </c>
      <c r="AU62" s="135">
        <v>0.1239</v>
      </c>
      <c r="AV62" s="135">
        <v>8656.0</v>
      </c>
      <c r="AW62" s="135">
        <v>0.0</v>
      </c>
      <c r="AX62" s="135">
        <v>10.88</v>
      </c>
      <c r="AY62" s="135">
        <v>16.66</v>
      </c>
      <c r="AZ62" s="135">
        <v>2.81</v>
      </c>
      <c r="BA62" s="135">
        <v>9.33</v>
      </c>
      <c r="BB62" s="135">
        <v>0.21</v>
      </c>
      <c r="BD62" s="135">
        <v>32140.0</v>
      </c>
      <c r="BE62" s="135">
        <v>0.5104</v>
      </c>
      <c r="BF62" s="135">
        <v>0.0624</v>
      </c>
      <c r="BG62" s="135">
        <v>0.448</v>
      </c>
      <c r="BH62" s="135">
        <v>0.6109</v>
      </c>
      <c r="BI62" s="135">
        <v>0.0629</v>
      </c>
      <c r="BJ62" s="135">
        <v>0.7316</v>
      </c>
      <c r="BK62" s="135">
        <v>0.0787</v>
      </c>
      <c r="BL62" s="135">
        <v>0.653</v>
      </c>
      <c r="BM62" s="135">
        <v>0.5925</v>
      </c>
      <c r="BN62" s="135">
        <v>0.061</v>
      </c>
      <c r="BO62" s="135">
        <v>0.1965</v>
      </c>
      <c r="BP62" s="135">
        <v>0.0211</v>
      </c>
      <c r="BQ62" s="135">
        <v>0.1754</v>
      </c>
      <c r="BR62" s="135">
        <v>0.2424</v>
      </c>
      <c r="BS62" s="135">
        <v>0.1831</v>
      </c>
      <c r="BT62" s="135">
        <v>0.0201</v>
      </c>
      <c r="BU62" s="135">
        <v>0.163</v>
      </c>
      <c r="BV62" s="135">
        <v>0.2194</v>
      </c>
      <c r="BW62" s="135">
        <v>0.1308</v>
      </c>
      <c r="BX62" s="135">
        <v>0.0211</v>
      </c>
      <c r="BY62" s="135">
        <v>0.1096</v>
      </c>
      <c r="BZ62" s="135">
        <v>0.1491</v>
      </c>
      <c r="CA62" s="135">
        <v>0.111</v>
      </c>
      <c r="CB62" s="135">
        <v>0.021</v>
      </c>
      <c r="CC62" s="135">
        <v>0.09</v>
      </c>
      <c r="CD62" s="135">
        <v>0.1264</v>
      </c>
      <c r="CE62" s="135">
        <v>0.3529</v>
      </c>
      <c r="CF62" s="135">
        <v>0.0318</v>
      </c>
      <c r="CG62" s="135">
        <v>0.3212</v>
      </c>
      <c r="CH62" s="135">
        <v>0.2285</v>
      </c>
      <c r="CI62" s="135">
        <v>0.2677</v>
      </c>
      <c r="CJ62" s="135">
        <v>0.0259</v>
      </c>
      <c r="CK62" s="135">
        <v>0.2418</v>
      </c>
      <c r="CL62" s="135">
        <v>0.2376</v>
      </c>
      <c r="CM62" s="135">
        <v>81.53</v>
      </c>
      <c r="CN62" s="135">
        <v>12.88</v>
      </c>
      <c r="CO62" s="135">
        <v>632.9</v>
      </c>
      <c r="CP62" s="135">
        <v>78.5</v>
      </c>
      <c r="CQ62" s="135">
        <v>0.0</v>
      </c>
      <c r="CR62" s="135">
        <v>1.06</v>
      </c>
      <c r="CS62" s="135">
        <v>1.96</v>
      </c>
      <c r="CT62" s="135">
        <v>0.0</v>
      </c>
      <c r="CU62" s="135">
        <v>0.0</v>
      </c>
      <c r="CV62" s="135">
        <v>0.0</v>
      </c>
      <c r="CW62" s="135">
        <v>39.89</v>
      </c>
      <c r="CX62" s="135">
        <v>0.0</v>
      </c>
      <c r="CY62" s="135">
        <v>0.0</v>
      </c>
      <c r="CZ62" s="135">
        <v>38.96</v>
      </c>
      <c r="DA62" s="135">
        <v>1.5</v>
      </c>
      <c r="DB62" s="135">
        <v>37.46</v>
      </c>
      <c r="DC62" s="135">
        <v>35.25</v>
      </c>
      <c r="DD62" s="135">
        <v>0.8</v>
      </c>
      <c r="DE62" s="135">
        <v>34.45</v>
      </c>
      <c r="DF62" s="135">
        <v>1.65</v>
      </c>
      <c r="DG62" s="135">
        <v>0.23</v>
      </c>
      <c r="DH62" s="135">
        <v>1.41</v>
      </c>
      <c r="DI62" s="135">
        <v>1.26</v>
      </c>
      <c r="DJ62" s="135">
        <v>0.23</v>
      </c>
      <c r="DK62" s="135">
        <v>1.03</v>
      </c>
      <c r="DL62" s="135">
        <v>0.8</v>
      </c>
      <c r="DM62" s="135">
        <v>0.23</v>
      </c>
      <c r="DN62" s="135">
        <v>0.57</v>
      </c>
    </row>
    <row r="63" ht="15.75" customHeight="1">
      <c r="A63" s="214">
        <v>46260.0</v>
      </c>
      <c r="B63" s="135" t="s">
        <v>4</v>
      </c>
      <c r="C63" s="135" t="s">
        <v>142</v>
      </c>
      <c r="D63" s="135">
        <v>11487.0</v>
      </c>
      <c r="E63" s="135">
        <v>28.86</v>
      </c>
      <c r="F63" s="135">
        <v>497.03</v>
      </c>
      <c r="G63" s="135">
        <v>0.0433</v>
      </c>
      <c r="H63" s="135">
        <v>1.44</v>
      </c>
      <c r="I63" s="135">
        <v>3.0123</v>
      </c>
      <c r="J63" s="135">
        <v>25.38</v>
      </c>
      <c r="K63" s="135">
        <v>12.94</v>
      </c>
      <c r="L63" s="135">
        <v>5.19</v>
      </c>
      <c r="M63" s="135">
        <v>0.4012</v>
      </c>
      <c r="N63" s="135">
        <v>0.7047</v>
      </c>
      <c r="O63" s="135">
        <v>0.4358</v>
      </c>
      <c r="P63" s="135">
        <v>2.4923</v>
      </c>
      <c r="Q63" s="135">
        <v>40.08</v>
      </c>
      <c r="R63" s="135">
        <v>35.85</v>
      </c>
      <c r="S63" s="135">
        <v>4.24</v>
      </c>
      <c r="T63" s="135">
        <v>3.1</v>
      </c>
      <c r="U63" s="135">
        <v>36.98</v>
      </c>
      <c r="V63" s="135">
        <v>45.12</v>
      </c>
      <c r="W63" s="135">
        <v>3.4861</v>
      </c>
      <c r="X63" s="135">
        <v>7.74</v>
      </c>
      <c r="Y63" s="135">
        <v>193.0</v>
      </c>
      <c r="Z63" s="135">
        <v>435.0</v>
      </c>
      <c r="AA63" s="135">
        <v>2039.0</v>
      </c>
      <c r="AB63" s="135">
        <v>49.8609</v>
      </c>
      <c r="AC63" s="135">
        <v>0.5657</v>
      </c>
      <c r="AD63" s="135">
        <v>3.92</v>
      </c>
      <c r="AE63" s="135">
        <v>1.0</v>
      </c>
      <c r="AF63" s="135">
        <v>3.0</v>
      </c>
      <c r="AG63" s="135">
        <v>5.0</v>
      </c>
      <c r="AH63" s="135">
        <v>8.0</v>
      </c>
      <c r="AI63" s="135">
        <v>73.58</v>
      </c>
      <c r="AJ63" s="135">
        <v>32.1</v>
      </c>
      <c r="AK63" s="135">
        <v>6.62</v>
      </c>
      <c r="AQ63" s="135">
        <v>2.7199</v>
      </c>
      <c r="AR63" s="135">
        <v>0.0532</v>
      </c>
      <c r="AS63" s="135">
        <v>2.6667</v>
      </c>
      <c r="AT63" s="135">
        <v>2.7873</v>
      </c>
      <c r="AU63" s="135">
        <v>0.2154</v>
      </c>
      <c r="AV63" s="135">
        <v>11487.0</v>
      </c>
      <c r="AW63" s="135">
        <v>0.0</v>
      </c>
      <c r="AX63" s="135">
        <v>20.94</v>
      </c>
      <c r="AY63" s="135">
        <v>12.81</v>
      </c>
      <c r="AZ63" s="135">
        <v>2.68</v>
      </c>
      <c r="BA63" s="135">
        <v>3.1</v>
      </c>
      <c r="BB63" s="135">
        <v>0.55</v>
      </c>
      <c r="BC63" s="135">
        <v>17.0</v>
      </c>
      <c r="BD63" s="135">
        <v>23472.0</v>
      </c>
      <c r="BE63" s="135">
        <v>1.6318</v>
      </c>
      <c r="BF63" s="135">
        <v>0.0321</v>
      </c>
      <c r="BG63" s="135">
        <v>1.5997</v>
      </c>
      <c r="BH63" s="135">
        <v>1.5627</v>
      </c>
      <c r="BI63" s="135">
        <v>0.1207</v>
      </c>
      <c r="BJ63" s="135">
        <v>1.088</v>
      </c>
      <c r="BK63" s="135">
        <v>0.0211</v>
      </c>
      <c r="BL63" s="135">
        <v>1.0669</v>
      </c>
      <c r="BM63" s="135">
        <v>1.2246</v>
      </c>
      <c r="BN63" s="135">
        <v>0.0946</v>
      </c>
      <c r="BO63" s="135">
        <v>0.6985</v>
      </c>
      <c r="BP63" s="135">
        <v>0.012</v>
      </c>
      <c r="BQ63" s="135">
        <v>0.6865</v>
      </c>
      <c r="BR63" s="135">
        <v>0.6498</v>
      </c>
      <c r="BS63" s="135">
        <v>0.6232</v>
      </c>
      <c r="BT63" s="135">
        <v>0.0076</v>
      </c>
      <c r="BU63" s="135">
        <v>0.6157</v>
      </c>
      <c r="BV63" s="135">
        <v>0.5871</v>
      </c>
      <c r="BW63" s="135">
        <v>0.3101</v>
      </c>
      <c r="BX63" s="135">
        <v>0.0125</v>
      </c>
      <c r="BY63" s="135">
        <v>0.2976</v>
      </c>
      <c r="BZ63" s="135">
        <v>0.3258</v>
      </c>
      <c r="CA63" s="135">
        <v>0.2058</v>
      </c>
      <c r="CB63" s="135">
        <v>0.0057</v>
      </c>
      <c r="CC63" s="135">
        <v>0.2001</v>
      </c>
      <c r="CD63" s="135">
        <v>0.2485</v>
      </c>
      <c r="CE63" s="135">
        <v>0.4774</v>
      </c>
      <c r="CF63" s="135">
        <v>0.009</v>
      </c>
      <c r="CG63" s="135">
        <v>0.4684</v>
      </c>
      <c r="CH63" s="135">
        <v>0.5307</v>
      </c>
      <c r="CI63" s="135">
        <v>0.4048</v>
      </c>
      <c r="CJ63" s="135">
        <v>0.0064</v>
      </c>
      <c r="CK63" s="135">
        <v>0.3985</v>
      </c>
      <c r="CL63" s="135">
        <v>0.4454</v>
      </c>
      <c r="CM63" s="135">
        <v>86.91</v>
      </c>
      <c r="CN63" s="135">
        <v>83.58</v>
      </c>
      <c r="CO63" s="135">
        <v>103.99</v>
      </c>
      <c r="CP63" s="135">
        <v>81.94</v>
      </c>
      <c r="CQ63" s="135">
        <v>0.0</v>
      </c>
      <c r="CR63" s="135">
        <v>2.58</v>
      </c>
      <c r="CS63" s="135">
        <v>2.39</v>
      </c>
      <c r="CT63" s="135">
        <v>0.0</v>
      </c>
      <c r="CU63" s="135">
        <v>0.0</v>
      </c>
      <c r="CV63" s="135">
        <v>0.0</v>
      </c>
      <c r="CW63" s="135">
        <v>40.08</v>
      </c>
      <c r="CX63" s="135">
        <v>0.0</v>
      </c>
      <c r="CY63" s="135">
        <v>0.0</v>
      </c>
      <c r="CZ63" s="135">
        <v>94.36</v>
      </c>
      <c r="DA63" s="135">
        <v>0.64</v>
      </c>
      <c r="DB63" s="135">
        <v>93.72</v>
      </c>
      <c r="DC63" s="135">
        <v>89.41</v>
      </c>
      <c r="DD63" s="135">
        <v>0.2</v>
      </c>
      <c r="DE63" s="135">
        <v>89.21</v>
      </c>
      <c r="DF63" s="135">
        <v>2.39</v>
      </c>
      <c r="DG63" s="135">
        <v>0.15</v>
      </c>
      <c r="DH63" s="135">
        <v>2.25</v>
      </c>
      <c r="DI63" s="135">
        <v>1.98</v>
      </c>
      <c r="DJ63" s="135">
        <v>0.15</v>
      </c>
      <c r="DK63" s="135">
        <v>1.84</v>
      </c>
      <c r="DL63" s="135">
        <v>0.58</v>
      </c>
      <c r="DM63" s="135">
        <v>0.15</v>
      </c>
      <c r="DN63" s="135">
        <v>0.43</v>
      </c>
    </row>
    <row r="64" ht="15.75" customHeight="1">
      <c r="A64" s="214">
        <v>46260.0</v>
      </c>
      <c r="B64" s="135" t="s">
        <v>4</v>
      </c>
      <c r="C64" s="135" t="s">
        <v>143</v>
      </c>
      <c r="D64" s="135">
        <v>9111.0</v>
      </c>
      <c r="E64" s="135">
        <v>22.89</v>
      </c>
      <c r="F64" s="135">
        <v>1252.77</v>
      </c>
      <c r="G64" s="135">
        <v>0.1375</v>
      </c>
      <c r="H64" s="135">
        <v>3.72</v>
      </c>
      <c r="I64" s="135">
        <v>3.6955</v>
      </c>
      <c r="J64" s="135">
        <v>48.96</v>
      </c>
      <c r="K64" s="135">
        <v>26.27</v>
      </c>
      <c r="L64" s="135">
        <v>13.83</v>
      </c>
      <c r="M64" s="135">
        <v>0.5264</v>
      </c>
      <c r="N64" s="135">
        <v>0.5984</v>
      </c>
      <c r="O64" s="135">
        <v>0.3501</v>
      </c>
      <c r="P64" s="135">
        <v>1.8998</v>
      </c>
      <c r="Q64" s="135">
        <v>84.29</v>
      </c>
      <c r="R64" s="135">
        <v>72.73</v>
      </c>
      <c r="S64" s="135">
        <v>11.57</v>
      </c>
      <c r="T64" s="135">
        <v>9.98</v>
      </c>
      <c r="U64" s="135">
        <v>74.32</v>
      </c>
      <c r="V64" s="135">
        <v>97.65</v>
      </c>
      <c r="W64" s="135">
        <v>3.7176</v>
      </c>
      <c r="X64" s="135">
        <v>11.84</v>
      </c>
      <c r="Y64" s="135">
        <v>201.0</v>
      </c>
      <c r="Z64" s="135">
        <v>458.0</v>
      </c>
      <c r="AA64" s="135">
        <v>1802.0</v>
      </c>
      <c r="AB64" s="135">
        <v>51.9427</v>
      </c>
      <c r="AC64" s="135">
        <v>0.6346</v>
      </c>
      <c r="AD64" s="135">
        <v>8.87</v>
      </c>
      <c r="AE64" s="135">
        <v>4.0</v>
      </c>
      <c r="AF64" s="135">
        <v>7.0</v>
      </c>
      <c r="AG64" s="135">
        <v>12.0</v>
      </c>
      <c r="AH64" s="135">
        <v>18.0</v>
      </c>
      <c r="AI64" s="135">
        <v>60.65</v>
      </c>
      <c r="AJ64" s="135">
        <v>23.97</v>
      </c>
      <c r="AK64" s="135">
        <v>3.04</v>
      </c>
      <c r="AQ64" s="135">
        <v>5.3334</v>
      </c>
      <c r="AR64" s="135">
        <v>0.1391</v>
      </c>
      <c r="AS64" s="135">
        <v>5.1944</v>
      </c>
      <c r="AT64" s="135">
        <v>5.5473</v>
      </c>
      <c r="AU64" s="135">
        <v>0.2112</v>
      </c>
      <c r="AV64" s="135">
        <v>9111.0</v>
      </c>
      <c r="AW64" s="135">
        <v>0.0</v>
      </c>
      <c r="AX64" s="135">
        <v>37.63</v>
      </c>
      <c r="AY64" s="135">
        <v>31.73</v>
      </c>
      <c r="AZ64" s="135">
        <v>3.59</v>
      </c>
      <c r="BA64" s="135">
        <v>9.98</v>
      </c>
      <c r="BB64" s="135">
        <v>1.36</v>
      </c>
      <c r="BC64" s="135">
        <v>32.0</v>
      </c>
      <c r="BD64" s="135">
        <v>22786.0</v>
      </c>
      <c r="BE64" s="135">
        <v>3.2484</v>
      </c>
      <c r="BF64" s="135">
        <v>0.0767</v>
      </c>
      <c r="BG64" s="135">
        <v>3.1717</v>
      </c>
      <c r="BH64" s="135">
        <v>3.0909</v>
      </c>
      <c r="BI64" s="135">
        <v>0.1177</v>
      </c>
      <c r="BJ64" s="135">
        <v>2.0851</v>
      </c>
      <c r="BK64" s="135">
        <v>0.0623</v>
      </c>
      <c r="BL64" s="135">
        <v>2.0227</v>
      </c>
      <c r="BM64" s="135">
        <v>2.4564</v>
      </c>
      <c r="BN64" s="135">
        <v>0.0935</v>
      </c>
      <c r="BO64" s="135">
        <v>1.2614</v>
      </c>
      <c r="BP64" s="135">
        <v>0.0255</v>
      </c>
      <c r="BQ64" s="135">
        <v>1.236</v>
      </c>
      <c r="BR64" s="135">
        <v>1.1944</v>
      </c>
      <c r="BS64" s="135">
        <v>1.2573</v>
      </c>
      <c r="BT64" s="135">
        <v>0.0232</v>
      </c>
      <c r="BU64" s="135">
        <v>1.2341</v>
      </c>
      <c r="BV64" s="135">
        <v>1.1818</v>
      </c>
      <c r="BW64" s="135">
        <v>0.7297</v>
      </c>
      <c r="BX64" s="135">
        <v>0.0281</v>
      </c>
      <c r="BY64" s="135">
        <v>0.7016</v>
      </c>
      <c r="BZ64" s="135">
        <v>0.7147</v>
      </c>
      <c r="CA64" s="135">
        <v>0.4555</v>
      </c>
      <c r="CB64" s="135">
        <v>0.0165</v>
      </c>
      <c r="CC64" s="135">
        <v>0.439</v>
      </c>
      <c r="CD64" s="135">
        <v>0.543</v>
      </c>
      <c r="CE64" s="135">
        <v>0.857</v>
      </c>
      <c r="CF64" s="135">
        <v>0.0243</v>
      </c>
      <c r="CG64" s="135">
        <v>0.8327</v>
      </c>
      <c r="CH64" s="135">
        <v>0.9833</v>
      </c>
      <c r="CI64" s="135">
        <v>0.7726</v>
      </c>
      <c r="CJ64" s="135">
        <v>0.0216</v>
      </c>
      <c r="CK64" s="135">
        <v>0.751</v>
      </c>
      <c r="CL64" s="135">
        <v>0.9301</v>
      </c>
      <c r="CM64" s="135">
        <v>194.3</v>
      </c>
      <c r="CN64" s="135">
        <v>92.94</v>
      </c>
      <c r="CO64" s="135">
        <v>209.05</v>
      </c>
      <c r="CP64" s="135">
        <v>183.03</v>
      </c>
      <c r="CQ64" s="135">
        <v>0.0</v>
      </c>
      <c r="CR64" s="135">
        <v>3.1</v>
      </c>
      <c r="CS64" s="135">
        <v>8.17</v>
      </c>
      <c r="CT64" s="135">
        <v>0.0</v>
      </c>
      <c r="CU64" s="135">
        <v>0.0</v>
      </c>
      <c r="CV64" s="135">
        <v>0.0</v>
      </c>
      <c r="CW64" s="135">
        <v>84.29</v>
      </c>
      <c r="CX64" s="135">
        <v>0.0</v>
      </c>
      <c r="CY64" s="135">
        <v>0.0</v>
      </c>
      <c r="CZ64" s="135">
        <v>144.91</v>
      </c>
      <c r="DA64" s="135">
        <v>2.34</v>
      </c>
      <c r="DB64" s="135">
        <v>142.57</v>
      </c>
      <c r="DC64" s="135">
        <v>136.81</v>
      </c>
      <c r="DD64" s="135">
        <v>0.67</v>
      </c>
      <c r="DE64" s="135">
        <v>136.14</v>
      </c>
      <c r="DF64" s="135">
        <v>3.98</v>
      </c>
      <c r="DG64" s="135">
        <v>0.56</v>
      </c>
      <c r="DH64" s="135">
        <v>3.43</v>
      </c>
      <c r="DI64" s="135">
        <v>3.0</v>
      </c>
      <c r="DJ64" s="135">
        <v>0.56</v>
      </c>
      <c r="DK64" s="135">
        <v>2.44</v>
      </c>
      <c r="DL64" s="135">
        <v>1.12</v>
      </c>
      <c r="DM64" s="135">
        <v>0.56</v>
      </c>
      <c r="DN64" s="135">
        <v>0.56</v>
      </c>
    </row>
    <row r="65" ht="15.75" customHeight="1">
      <c r="A65" s="214">
        <v>46260.0</v>
      </c>
      <c r="B65" s="135" t="s">
        <v>4</v>
      </c>
      <c r="C65" s="135" t="s">
        <v>144</v>
      </c>
      <c r="D65" s="135">
        <v>6366.0</v>
      </c>
      <c r="E65" s="135">
        <v>15.99</v>
      </c>
      <c r="F65" s="135">
        <v>1815.13</v>
      </c>
      <c r="G65" s="135">
        <v>0.2851</v>
      </c>
      <c r="H65" s="135">
        <v>5.25</v>
      </c>
      <c r="I65" s="135">
        <v>5.4345</v>
      </c>
      <c r="J65" s="135">
        <v>68.97</v>
      </c>
      <c r="K65" s="135">
        <v>39.04</v>
      </c>
      <c r="L65" s="135">
        <v>24.79</v>
      </c>
      <c r="M65" s="135">
        <v>0.6351</v>
      </c>
      <c r="N65" s="135">
        <v>0.4946</v>
      </c>
      <c r="O65" s="135">
        <v>0.293</v>
      </c>
      <c r="P65" s="135">
        <v>1.5745</v>
      </c>
      <c r="Q65" s="135">
        <v>139.03</v>
      </c>
      <c r="R65" s="135">
        <v>117.04</v>
      </c>
      <c r="S65" s="135">
        <v>21.99</v>
      </c>
      <c r="T65" s="135">
        <v>19.82</v>
      </c>
      <c r="U65" s="135">
        <v>119.2</v>
      </c>
      <c r="V65" s="135">
        <v>163.35</v>
      </c>
      <c r="W65" s="135">
        <v>4.1847</v>
      </c>
      <c r="X65" s="135">
        <v>14.26</v>
      </c>
      <c r="Y65" s="135">
        <v>226.0</v>
      </c>
      <c r="Z65" s="135">
        <v>490.0</v>
      </c>
      <c r="AA65" s="135">
        <v>1575.0</v>
      </c>
      <c r="AB65" s="135">
        <v>53.8982</v>
      </c>
      <c r="AC65" s="135">
        <v>0.7406</v>
      </c>
      <c r="AD65" s="135">
        <v>16.22</v>
      </c>
      <c r="AE65" s="135">
        <v>6.0</v>
      </c>
      <c r="AF65" s="135">
        <v>13.0</v>
      </c>
      <c r="AG65" s="135">
        <v>22.0</v>
      </c>
      <c r="AH65" s="135">
        <v>34.0</v>
      </c>
      <c r="AI65" s="135">
        <v>56.96</v>
      </c>
      <c r="AJ65" s="135">
        <v>20.06</v>
      </c>
      <c r="AK65" s="135">
        <v>4.93</v>
      </c>
      <c r="AQ65" s="135">
        <v>8.3512</v>
      </c>
      <c r="AR65" s="135">
        <v>0.298</v>
      </c>
      <c r="AS65" s="135">
        <v>8.0533</v>
      </c>
      <c r="AT65" s="135">
        <v>8.6159</v>
      </c>
      <c r="AU65" s="135">
        <v>0.2207</v>
      </c>
      <c r="AV65" s="135">
        <v>6366.0</v>
      </c>
      <c r="AW65" s="135">
        <v>0.0</v>
      </c>
      <c r="AX65" s="135">
        <v>60.82</v>
      </c>
      <c r="AY65" s="135">
        <v>52.63</v>
      </c>
      <c r="AZ65" s="135">
        <v>3.35</v>
      </c>
      <c r="BA65" s="135">
        <v>19.82</v>
      </c>
      <c r="BB65" s="135">
        <v>2.4</v>
      </c>
      <c r="BC65" s="135">
        <v>63.0</v>
      </c>
      <c r="BD65" s="135">
        <v>19903.0</v>
      </c>
      <c r="BE65" s="135">
        <v>5.0848</v>
      </c>
      <c r="BF65" s="135">
        <v>0.1447</v>
      </c>
      <c r="BG65" s="135">
        <v>4.9402</v>
      </c>
      <c r="BH65" s="135">
        <v>4.806</v>
      </c>
      <c r="BI65" s="135">
        <v>0.1231</v>
      </c>
      <c r="BJ65" s="135">
        <v>3.2664</v>
      </c>
      <c r="BK65" s="135">
        <v>0.1533</v>
      </c>
      <c r="BL65" s="135">
        <v>3.1131</v>
      </c>
      <c r="BM65" s="135">
        <v>3.8099</v>
      </c>
      <c r="BN65" s="135">
        <v>0.0976</v>
      </c>
      <c r="BO65" s="135">
        <v>1.8175</v>
      </c>
      <c r="BP65" s="135">
        <v>0.043</v>
      </c>
      <c r="BQ65" s="135">
        <v>1.7744</v>
      </c>
      <c r="BR65" s="135">
        <v>1.7339</v>
      </c>
      <c r="BS65" s="135">
        <v>1.9592</v>
      </c>
      <c r="BT65" s="135">
        <v>0.0421</v>
      </c>
      <c r="BU65" s="135">
        <v>1.9171</v>
      </c>
      <c r="BV65" s="135">
        <v>1.8341</v>
      </c>
      <c r="BW65" s="135">
        <v>1.3082</v>
      </c>
      <c r="BX65" s="135">
        <v>0.0595</v>
      </c>
      <c r="BY65" s="135">
        <v>1.2487</v>
      </c>
      <c r="BZ65" s="135">
        <v>1.238</v>
      </c>
      <c r="CA65" s="135">
        <v>0.7669</v>
      </c>
      <c r="CB65" s="135">
        <v>0.043</v>
      </c>
      <c r="CC65" s="135">
        <v>0.7238</v>
      </c>
      <c r="CD65" s="135">
        <v>0.9227</v>
      </c>
      <c r="CE65" s="135">
        <v>1.2452</v>
      </c>
      <c r="CF65" s="135">
        <v>0.0561</v>
      </c>
      <c r="CG65" s="135">
        <v>1.1891</v>
      </c>
      <c r="CH65" s="135">
        <v>1.3968</v>
      </c>
      <c r="CI65" s="135">
        <v>1.2543</v>
      </c>
      <c r="CJ65" s="135">
        <v>0.0542</v>
      </c>
      <c r="CK65" s="135">
        <v>1.2001</v>
      </c>
      <c r="CL65" s="135">
        <v>1.4904</v>
      </c>
      <c r="CM65" s="135">
        <v>324.43</v>
      </c>
      <c r="CN65" s="135">
        <v>96.98</v>
      </c>
      <c r="CO65" s="135">
        <v>334.52</v>
      </c>
      <c r="CP65" s="135">
        <v>307.75</v>
      </c>
      <c r="CQ65" s="135">
        <v>0.0</v>
      </c>
      <c r="CR65" s="135">
        <v>3.89</v>
      </c>
      <c r="CS65" s="135">
        <v>12.79</v>
      </c>
      <c r="CT65" s="135">
        <v>0.0</v>
      </c>
      <c r="CU65" s="135">
        <v>0.0</v>
      </c>
      <c r="CV65" s="135">
        <v>0.0</v>
      </c>
      <c r="CW65" s="135">
        <v>139.03</v>
      </c>
      <c r="CX65" s="135">
        <v>0.0</v>
      </c>
      <c r="CY65" s="135">
        <v>0.0</v>
      </c>
      <c r="CZ65" s="135">
        <v>202.9</v>
      </c>
      <c r="DA65" s="135">
        <v>4.66</v>
      </c>
      <c r="DB65" s="135">
        <v>198.24</v>
      </c>
      <c r="DC65" s="135">
        <v>189.6</v>
      </c>
      <c r="DD65" s="135">
        <v>1.5</v>
      </c>
      <c r="DE65" s="135">
        <v>188.09</v>
      </c>
      <c r="DF65" s="135">
        <v>6.8</v>
      </c>
      <c r="DG65" s="135">
        <v>1.05</v>
      </c>
      <c r="DH65" s="135">
        <v>5.75</v>
      </c>
      <c r="DI65" s="135">
        <v>4.69</v>
      </c>
      <c r="DJ65" s="135">
        <v>1.05</v>
      </c>
      <c r="DK65" s="135">
        <v>3.63</v>
      </c>
      <c r="DL65" s="135">
        <v>1.81</v>
      </c>
      <c r="DM65" s="135">
        <v>1.05</v>
      </c>
      <c r="DN65" s="135">
        <v>0.76</v>
      </c>
    </row>
    <row r="66" ht="15.75" customHeight="1">
      <c r="A66" s="214">
        <v>46260.0</v>
      </c>
      <c r="B66" s="135" t="s">
        <v>4</v>
      </c>
      <c r="C66" s="135" t="s">
        <v>145</v>
      </c>
      <c r="D66" s="135">
        <v>3621.0</v>
      </c>
      <c r="E66" s="135">
        <v>9.1</v>
      </c>
      <c r="F66" s="135">
        <v>2121.57</v>
      </c>
      <c r="G66" s="135">
        <v>0.5859</v>
      </c>
      <c r="H66" s="135">
        <v>7.82</v>
      </c>
      <c r="I66" s="135">
        <v>7.4967</v>
      </c>
      <c r="J66" s="135">
        <v>120.67</v>
      </c>
      <c r="K66" s="135">
        <v>72.11</v>
      </c>
      <c r="L66" s="135">
        <v>51.39</v>
      </c>
      <c r="M66" s="135">
        <v>0.7126</v>
      </c>
      <c r="N66" s="135">
        <v>0.4106</v>
      </c>
      <c r="O66" s="135">
        <v>0.2481</v>
      </c>
      <c r="P66" s="135">
        <v>1.4033</v>
      </c>
      <c r="Q66" s="135">
        <v>247.64</v>
      </c>
      <c r="R66" s="135">
        <v>202.02</v>
      </c>
      <c r="S66" s="135">
        <v>45.63</v>
      </c>
      <c r="T66" s="135">
        <v>42.0</v>
      </c>
      <c r="U66" s="135">
        <v>205.64</v>
      </c>
      <c r="V66" s="135">
        <v>287.2</v>
      </c>
      <c r="W66" s="135">
        <v>3.9829</v>
      </c>
      <c r="X66" s="135">
        <v>16.96</v>
      </c>
      <c r="Y66" s="135">
        <v>271.0</v>
      </c>
      <c r="Z66" s="135">
        <v>627.0</v>
      </c>
      <c r="AA66" s="135">
        <v>1957.0</v>
      </c>
      <c r="AB66" s="135">
        <v>55.9842</v>
      </c>
      <c r="AC66" s="135">
        <v>0.7817</v>
      </c>
      <c r="AD66" s="135">
        <v>29.82</v>
      </c>
      <c r="AE66" s="135">
        <v>11.0</v>
      </c>
      <c r="AF66" s="135">
        <v>22.0</v>
      </c>
      <c r="AG66" s="135">
        <v>41.0</v>
      </c>
      <c r="AH66" s="135">
        <v>64.0</v>
      </c>
      <c r="AI66" s="135">
        <v>40.54</v>
      </c>
      <c r="AJ66" s="135">
        <v>11.88</v>
      </c>
      <c r="AK66" s="135">
        <v>2.43</v>
      </c>
      <c r="AQ66" s="135">
        <v>14.1014</v>
      </c>
      <c r="AR66" s="135">
        <v>0.5128</v>
      </c>
      <c r="AS66" s="135">
        <v>13.5885</v>
      </c>
      <c r="AT66" s="135">
        <v>14.8859</v>
      </c>
      <c r="AU66" s="135">
        <v>0.2064</v>
      </c>
      <c r="AV66" s="135">
        <v>3621.0</v>
      </c>
      <c r="AW66" s="135">
        <v>0.0</v>
      </c>
      <c r="AX66" s="135">
        <v>112.9</v>
      </c>
      <c r="AY66" s="135">
        <v>82.98</v>
      </c>
      <c r="AZ66" s="135">
        <v>4.74</v>
      </c>
      <c r="BA66" s="135">
        <v>42.0</v>
      </c>
      <c r="BB66" s="135">
        <v>5.01</v>
      </c>
      <c r="BC66" s="135">
        <v>122.0</v>
      </c>
      <c r="BD66" s="135">
        <v>20002.0</v>
      </c>
      <c r="BE66" s="135">
        <v>8.3662</v>
      </c>
      <c r="BF66" s="135">
        <v>0.2237</v>
      </c>
      <c r="BG66" s="135">
        <v>8.1425</v>
      </c>
      <c r="BH66" s="135">
        <v>7.821</v>
      </c>
      <c r="BI66" s="135">
        <v>0.1085</v>
      </c>
      <c r="BJ66" s="135">
        <v>5.7352</v>
      </c>
      <c r="BK66" s="135">
        <v>0.2891</v>
      </c>
      <c r="BL66" s="135">
        <v>5.446</v>
      </c>
      <c r="BM66" s="135">
        <v>7.0649</v>
      </c>
      <c r="BN66" s="135">
        <v>0.098</v>
      </c>
      <c r="BO66" s="135">
        <v>2.9972</v>
      </c>
      <c r="BP66" s="135">
        <v>0.074</v>
      </c>
      <c r="BQ66" s="135">
        <v>2.9232</v>
      </c>
      <c r="BR66" s="135">
        <v>2.7998</v>
      </c>
      <c r="BS66" s="135">
        <v>3.0064</v>
      </c>
      <c r="BT66" s="135">
        <v>0.0732</v>
      </c>
      <c r="BU66" s="135">
        <v>2.9332</v>
      </c>
      <c r="BV66" s="135">
        <v>2.8307</v>
      </c>
      <c r="BW66" s="135">
        <v>2.3626</v>
      </c>
      <c r="BX66" s="135">
        <v>0.0765</v>
      </c>
      <c r="BY66" s="135">
        <v>2.2861</v>
      </c>
      <c r="BZ66" s="135">
        <v>2.1906</v>
      </c>
      <c r="CA66" s="135">
        <v>1.4753</v>
      </c>
      <c r="CB66" s="135">
        <v>0.0823</v>
      </c>
      <c r="CC66" s="135">
        <v>1.393</v>
      </c>
      <c r="CD66" s="135">
        <v>2.1011</v>
      </c>
      <c r="CE66" s="135">
        <v>1.9572</v>
      </c>
      <c r="CF66" s="135">
        <v>0.1121</v>
      </c>
      <c r="CG66" s="135">
        <v>1.8451</v>
      </c>
      <c r="CH66" s="135">
        <v>2.156</v>
      </c>
      <c r="CI66" s="135">
        <v>2.3027</v>
      </c>
      <c r="CJ66" s="135">
        <v>0.0947</v>
      </c>
      <c r="CK66" s="135">
        <v>2.208</v>
      </c>
      <c r="CL66" s="135">
        <v>2.8078</v>
      </c>
      <c r="CM66" s="135">
        <v>633.62</v>
      </c>
      <c r="CN66" s="135">
        <v>99.12</v>
      </c>
      <c r="CO66" s="135">
        <v>639.27</v>
      </c>
      <c r="CP66" s="135">
        <v>611.46</v>
      </c>
      <c r="CQ66" s="135">
        <v>0.0</v>
      </c>
      <c r="CR66" s="135">
        <v>5.13</v>
      </c>
      <c r="CS66" s="135">
        <v>17.03</v>
      </c>
      <c r="CT66" s="135">
        <v>0.0</v>
      </c>
      <c r="CU66" s="135">
        <v>0.0</v>
      </c>
      <c r="CV66" s="135">
        <v>0.0</v>
      </c>
      <c r="CW66" s="135">
        <v>247.64</v>
      </c>
      <c r="CX66" s="135">
        <v>0.0</v>
      </c>
      <c r="CY66" s="135">
        <v>0.0</v>
      </c>
      <c r="CZ66" s="135">
        <v>320.0</v>
      </c>
      <c r="DA66" s="135">
        <v>6.4</v>
      </c>
      <c r="DB66" s="135">
        <v>313.6</v>
      </c>
      <c r="DC66" s="135">
        <v>301.05</v>
      </c>
      <c r="DD66" s="135">
        <v>2.41</v>
      </c>
      <c r="DE66" s="135">
        <v>298.64</v>
      </c>
      <c r="DF66" s="135">
        <v>8.07</v>
      </c>
      <c r="DG66" s="135">
        <v>1.33</v>
      </c>
      <c r="DH66" s="135">
        <v>6.74</v>
      </c>
      <c r="DI66" s="135">
        <v>6.91</v>
      </c>
      <c r="DJ66" s="135">
        <v>1.33</v>
      </c>
      <c r="DK66" s="135">
        <v>5.58</v>
      </c>
      <c r="DL66" s="135">
        <v>3.97</v>
      </c>
      <c r="DM66" s="135">
        <v>1.33</v>
      </c>
      <c r="DN66" s="135">
        <v>2.64</v>
      </c>
    </row>
    <row r="67" ht="15.75" customHeight="1">
      <c r="A67" s="214">
        <v>46260.0</v>
      </c>
      <c r="B67" s="135" t="s">
        <v>4</v>
      </c>
      <c r="C67" s="135" t="s">
        <v>146</v>
      </c>
      <c r="D67" s="135">
        <v>568.0</v>
      </c>
      <c r="E67" s="135">
        <v>1.43</v>
      </c>
      <c r="F67" s="135">
        <v>896.39</v>
      </c>
      <c r="G67" s="135">
        <v>1.5782</v>
      </c>
      <c r="H67" s="135">
        <v>12.32</v>
      </c>
      <c r="I67" s="135">
        <v>12.8056</v>
      </c>
      <c r="J67" s="135">
        <v>247.4</v>
      </c>
      <c r="K67" s="135">
        <v>167.21</v>
      </c>
      <c r="L67" s="135">
        <v>128.85</v>
      </c>
      <c r="M67" s="135">
        <v>0.7706</v>
      </c>
      <c r="N67" s="135">
        <v>0.3226</v>
      </c>
      <c r="O67" s="135">
        <v>0.1918</v>
      </c>
      <c r="P67" s="135">
        <v>1.2977</v>
      </c>
      <c r="Q67" s="135">
        <v>544.55</v>
      </c>
      <c r="R67" s="135">
        <v>421.92</v>
      </c>
      <c r="S67" s="135">
        <v>122.62</v>
      </c>
      <c r="T67" s="135">
        <v>113.56</v>
      </c>
      <c r="U67" s="135">
        <v>430.99</v>
      </c>
      <c r="V67" s="135">
        <v>583.01</v>
      </c>
      <c r="W67" s="135">
        <v>3.4867</v>
      </c>
      <c r="X67" s="135">
        <v>20.85</v>
      </c>
      <c r="Y67" s="135">
        <v>385.0</v>
      </c>
      <c r="Z67" s="135">
        <v>929.0</v>
      </c>
      <c r="AA67" s="135">
        <v>2197.0</v>
      </c>
      <c r="AB67" s="135">
        <v>58.1736</v>
      </c>
      <c r="AC67" s="135">
        <v>0.8282</v>
      </c>
      <c r="AD67" s="135">
        <v>61.03</v>
      </c>
      <c r="AE67" s="135">
        <v>22.0</v>
      </c>
      <c r="AF67" s="135">
        <v>40.0</v>
      </c>
      <c r="AG67" s="135">
        <v>81.0</v>
      </c>
      <c r="AH67" s="135">
        <v>139.0</v>
      </c>
      <c r="AI67" s="135">
        <v>25.53</v>
      </c>
      <c r="AJ67" s="135">
        <v>7.04</v>
      </c>
      <c r="AK67" s="135">
        <v>1.41</v>
      </c>
      <c r="AQ67" s="135">
        <v>32.9648</v>
      </c>
      <c r="AR67" s="135">
        <v>1.588</v>
      </c>
      <c r="AS67" s="135">
        <v>31.3768</v>
      </c>
      <c r="AT67" s="135">
        <v>34.3046</v>
      </c>
      <c r="AU67" s="135">
        <v>0.2052</v>
      </c>
      <c r="AV67" s="135">
        <v>568.0</v>
      </c>
      <c r="AW67" s="135">
        <v>0.0</v>
      </c>
      <c r="AX67" s="135">
        <v>280.48</v>
      </c>
      <c r="AY67" s="135">
        <v>128.84</v>
      </c>
      <c r="AZ67" s="135">
        <v>7.29</v>
      </c>
      <c r="BA67" s="135">
        <v>113.56</v>
      </c>
      <c r="BB67" s="135">
        <v>14.38</v>
      </c>
      <c r="BC67" s="135">
        <v>285.0</v>
      </c>
      <c r="BD67" s="135">
        <v>21485.0</v>
      </c>
      <c r="BE67" s="135">
        <v>19.5757</v>
      </c>
      <c r="BF67" s="135">
        <v>0.7025</v>
      </c>
      <c r="BG67" s="135">
        <v>18.8732</v>
      </c>
      <c r="BH67" s="135">
        <v>16.7606</v>
      </c>
      <c r="BI67" s="135">
        <v>0.1002</v>
      </c>
      <c r="BJ67" s="135">
        <v>13.3891</v>
      </c>
      <c r="BK67" s="135">
        <v>0.8856</v>
      </c>
      <c r="BL67" s="135">
        <v>12.5035</v>
      </c>
      <c r="BM67" s="135">
        <v>17.544</v>
      </c>
      <c r="BN67" s="135">
        <v>0.1049</v>
      </c>
      <c r="BO67" s="135">
        <v>6.7852</v>
      </c>
      <c r="BP67" s="135">
        <v>0.2324</v>
      </c>
      <c r="BQ67" s="135">
        <v>6.5528</v>
      </c>
      <c r="BR67" s="135">
        <v>5.912</v>
      </c>
      <c r="BS67" s="135">
        <v>7.1937</v>
      </c>
      <c r="BT67" s="135">
        <v>0.2324</v>
      </c>
      <c r="BU67" s="135">
        <v>6.9613</v>
      </c>
      <c r="BV67" s="135">
        <v>6.0863</v>
      </c>
      <c r="BW67" s="135">
        <v>5.5968</v>
      </c>
      <c r="BX67" s="135">
        <v>0.2377</v>
      </c>
      <c r="BY67" s="135">
        <v>5.3592</v>
      </c>
      <c r="BZ67" s="135">
        <v>4.7623</v>
      </c>
      <c r="CA67" s="135">
        <v>3.588</v>
      </c>
      <c r="CB67" s="135">
        <v>0.2658</v>
      </c>
      <c r="CC67" s="135">
        <v>3.3222</v>
      </c>
      <c r="CD67" s="135">
        <v>4.2782</v>
      </c>
      <c r="CE67" s="135">
        <v>4.4155</v>
      </c>
      <c r="CF67" s="135">
        <v>0.3257</v>
      </c>
      <c r="CG67" s="135">
        <v>4.0898</v>
      </c>
      <c r="CH67" s="135">
        <v>4.8996</v>
      </c>
      <c r="CI67" s="135">
        <v>5.3856</v>
      </c>
      <c r="CJ67" s="135">
        <v>0.294</v>
      </c>
      <c r="CK67" s="135">
        <v>5.0915</v>
      </c>
      <c r="CL67" s="135">
        <v>8.3662</v>
      </c>
      <c r="CM67" s="135">
        <v>1517.38</v>
      </c>
      <c r="CN67" s="135">
        <v>100.0</v>
      </c>
      <c r="CO67" s="135">
        <v>1517.38</v>
      </c>
      <c r="CP67" s="135">
        <v>1483.79</v>
      </c>
      <c r="CQ67" s="135">
        <v>0.0</v>
      </c>
      <c r="CR67" s="135">
        <v>14.05</v>
      </c>
      <c r="CS67" s="135">
        <v>19.54</v>
      </c>
      <c r="CT67" s="135">
        <v>0.0</v>
      </c>
      <c r="CU67" s="135">
        <v>0.0</v>
      </c>
      <c r="CV67" s="135">
        <v>0.0</v>
      </c>
      <c r="CW67" s="135">
        <v>544.55</v>
      </c>
      <c r="CX67" s="135">
        <v>0.0</v>
      </c>
      <c r="CY67" s="135">
        <v>0.0</v>
      </c>
      <c r="CZ67" s="135">
        <v>624.6</v>
      </c>
      <c r="DA67" s="135">
        <v>10.07</v>
      </c>
      <c r="DB67" s="135">
        <v>614.52</v>
      </c>
      <c r="DC67" s="135">
        <v>601.61</v>
      </c>
      <c r="DD67" s="135">
        <v>7.32</v>
      </c>
      <c r="DE67" s="135">
        <v>594.29</v>
      </c>
      <c r="DF67" s="135">
        <v>10.2</v>
      </c>
      <c r="DG67" s="135">
        <v>0.92</v>
      </c>
      <c r="DH67" s="135">
        <v>9.29</v>
      </c>
      <c r="DI67" s="135">
        <v>7.83</v>
      </c>
      <c r="DJ67" s="135">
        <v>0.92</v>
      </c>
      <c r="DK67" s="135">
        <v>6.92</v>
      </c>
      <c r="DL67" s="135">
        <v>4.95</v>
      </c>
      <c r="DM67" s="135">
        <v>0.92</v>
      </c>
      <c r="DN67" s="135">
        <v>4.03</v>
      </c>
    </row>
    <row r="68" ht="15.75" customHeight="1">
      <c r="A68" s="214">
        <v>46260.0</v>
      </c>
      <c r="B68" s="135" t="s">
        <v>5</v>
      </c>
      <c r="C68" s="135" t="s">
        <v>398</v>
      </c>
      <c r="D68" s="135">
        <v>8468.0</v>
      </c>
      <c r="E68" s="135">
        <v>21.19</v>
      </c>
      <c r="F68" s="135">
        <v>1592.13</v>
      </c>
      <c r="G68" s="135">
        <v>0.188</v>
      </c>
      <c r="H68" s="135">
        <v>1.31</v>
      </c>
      <c r="I68" s="135">
        <v>14.3435</v>
      </c>
      <c r="J68" s="135">
        <v>21.65</v>
      </c>
      <c r="K68" s="135">
        <v>11.53</v>
      </c>
      <c r="L68" s="135">
        <v>7.47</v>
      </c>
      <c r="M68" s="135">
        <v>0.6477</v>
      </c>
      <c r="N68" s="135">
        <v>0.4803</v>
      </c>
      <c r="O68" s="135">
        <v>0.2351</v>
      </c>
      <c r="P68" s="135">
        <v>1.5439</v>
      </c>
      <c r="Q68" s="135">
        <v>60.53</v>
      </c>
      <c r="R68" s="135">
        <v>60.43</v>
      </c>
      <c r="S68" s="135">
        <v>0.1</v>
      </c>
      <c r="T68" s="135">
        <v>12.09</v>
      </c>
      <c r="U68" s="135">
        <v>48.44</v>
      </c>
      <c r="V68" s="135">
        <v>51.61</v>
      </c>
      <c r="W68" s="135">
        <v>4.4769</v>
      </c>
      <c r="X68" s="135">
        <v>19.97</v>
      </c>
      <c r="Y68" s="135">
        <v>204.0</v>
      </c>
      <c r="Z68" s="135">
        <v>882.0</v>
      </c>
      <c r="AA68" s="135">
        <v>8199.0</v>
      </c>
      <c r="AB68" s="135">
        <v>49.8374</v>
      </c>
      <c r="AC68" s="135">
        <v>0.4916</v>
      </c>
      <c r="AI68" s="135">
        <v>0.0</v>
      </c>
      <c r="AJ68" s="135">
        <v>0.0</v>
      </c>
      <c r="AK68" s="135">
        <v>0.0</v>
      </c>
      <c r="AM68" s="135">
        <v>6.8</v>
      </c>
      <c r="AN68" s="135">
        <v>6.8</v>
      </c>
      <c r="AO68" s="135">
        <v>4.1</v>
      </c>
      <c r="AP68" s="135">
        <v>2.13</v>
      </c>
      <c r="AQ68" s="135">
        <v>1.9956</v>
      </c>
      <c r="AR68" s="135">
        <v>0.1543</v>
      </c>
      <c r="AS68" s="135">
        <v>1.8413</v>
      </c>
      <c r="AT68" s="135">
        <v>1.6071</v>
      </c>
      <c r="AU68" s="135">
        <v>0.1394</v>
      </c>
      <c r="AV68" s="135">
        <v>8468.0</v>
      </c>
      <c r="AW68" s="135">
        <v>0.0</v>
      </c>
      <c r="AX68" s="135">
        <v>9.92</v>
      </c>
      <c r="AY68" s="135">
        <v>35.08</v>
      </c>
      <c r="AZ68" s="135">
        <v>3.24</v>
      </c>
      <c r="BA68" s="135">
        <v>12.09</v>
      </c>
      <c r="BB68" s="135">
        <v>0.2</v>
      </c>
      <c r="BD68" s="135">
        <v>30648.0</v>
      </c>
      <c r="BE68" s="135">
        <v>0.8654</v>
      </c>
      <c r="BF68" s="135">
        <v>0.0652</v>
      </c>
      <c r="BG68" s="135">
        <v>0.8002</v>
      </c>
      <c r="BH68" s="135">
        <v>0.8092</v>
      </c>
      <c r="BI68" s="135">
        <v>0.0702</v>
      </c>
      <c r="BJ68" s="135">
        <v>1.1303</v>
      </c>
      <c r="BK68" s="135">
        <v>0.0892</v>
      </c>
      <c r="BL68" s="135">
        <v>1.0411</v>
      </c>
      <c r="BM68" s="135">
        <v>0.7979</v>
      </c>
      <c r="BN68" s="135">
        <v>0.0692</v>
      </c>
      <c r="BO68" s="135">
        <v>0.3261</v>
      </c>
      <c r="BP68" s="135">
        <v>0.0224</v>
      </c>
      <c r="BQ68" s="135">
        <v>0.3036</v>
      </c>
      <c r="BR68" s="135">
        <v>0.3162</v>
      </c>
      <c r="BS68" s="135">
        <v>0.2977</v>
      </c>
      <c r="BT68" s="135">
        <v>0.021</v>
      </c>
      <c r="BU68" s="135">
        <v>0.2767</v>
      </c>
      <c r="BV68" s="135">
        <v>0.274</v>
      </c>
      <c r="BW68" s="135">
        <v>0.2416</v>
      </c>
      <c r="BX68" s="135">
        <v>0.0217</v>
      </c>
      <c r="BY68" s="135">
        <v>0.2199</v>
      </c>
      <c r="BZ68" s="135">
        <v>0.2189</v>
      </c>
      <c r="CA68" s="135">
        <v>0.1913</v>
      </c>
      <c r="CB68" s="135">
        <v>0.0239</v>
      </c>
      <c r="CC68" s="135">
        <v>0.1675</v>
      </c>
      <c r="CD68" s="135">
        <v>0.1757</v>
      </c>
      <c r="CE68" s="135">
        <v>0.4828</v>
      </c>
      <c r="CF68" s="135">
        <v>0.0357</v>
      </c>
      <c r="CG68" s="135">
        <v>0.4471</v>
      </c>
      <c r="CH68" s="135">
        <v>0.294</v>
      </c>
      <c r="CI68" s="135">
        <v>0.4562</v>
      </c>
      <c r="CJ68" s="135">
        <v>0.0296</v>
      </c>
      <c r="CK68" s="135">
        <v>0.4265</v>
      </c>
      <c r="CL68" s="135">
        <v>0.3282</v>
      </c>
      <c r="CM68" s="135">
        <v>100.17</v>
      </c>
      <c r="CN68" s="135">
        <v>15.6</v>
      </c>
      <c r="CO68" s="135">
        <v>642.15</v>
      </c>
      <c r="CP68" s="135">
        <v>78.35</v>
      </c>
      <c r="CQ68" s="135">
        <v>19.19</v>
      </c>
      <c r="CR68" s="135">
        <v>1.48</v>
      </c>
      <c r="CS68" s="135">
        <v>1.16</v>
      </c>
      <c r="CT68" s="135">
        <v>0.0</v>
      </c>
      <c r="CU68" s="135">
        <v>1217.0</v>
      </c>
      <c r="CV68" s="135">
        <v>8.19</v>
      </c>
      <c r="CW68" s="135">
        <v>68.72</v>
      </c>
      <c r="CX68" s="135">
        <v>2.75</v>
      </c>
      <c r="CY68" s="135">
        <v>21.94</v>
      </c>
      <c r="CZ68" s="135">
        <v>43.08</v>
      </c>
      <c r="DA68" s="135">
        <v>1.33</v>
      </c>
      <c r="DB68" s="135">
        <v>41.75</v>
      </c>
      <c r="DC68" s="135">
        <v>38.83</v>
      </c>
      <c r="DD68" s="135">
        <v>0.76</v>
      </c>
      <c r="DE68" s="135">
        <v>38.07</v>
      </c>
      <c r="DF68" s="135">
        <v>1.82</v>
      </c>
      <c r="DG68" s="135">
        <v>0.19</v>
      </c>
      <c r="DH68" s="135">
        <v>1.63</v>
      </c>
      <c r="DI68" s="135">
        <v>1.79</v>
      </c>
      <c r="DJ68" s="135">
        <v>0.19</v>
      </c>
      <c r="DK68" s="135">
        <v>1.6</v>
      </c>
      <c r="DL68" s="135">
        <v>0.63</v>
      </c>
      <c r="DM68" s="135">
        <v>0.19</v>
      </c>
      <c r="DN68" s="135">
        <v>0.45</v>
      </c>
    </row>
    <row r="69" ht="15.75" customHeight="1">
      <c r="A69" s="214">
        <v>46260.0</v>
      </c>
      <c r="B69" s="135" t="s">
        <v>5</v>
      </c>
      <c r="C69" s="135" t="s">
        <v>142</v>
      </c>
      <c r="D69" s="135">
        <v>11595.0</v>
      </c>
      <c r="E69" s="135">
        <v>29.02</v>
      </c>
      <c r="F69" s="135">
        <v>513.37</v>
      </c>
      <c r="G69" s="135">
        <v>0.0443</v>
      </c>
      <c r="H69" s="135">
        <v>1.59</v>
      </c>
      <c r="I69" s="135">
        <v>2.7901</v>
      </c>
      <c r="J69" s="135">
        <v>24.76</v>
      </c>
      <c r="K69" s="135">
        <v>12.52</v>
      </c>
      <c r="L69" s="135">
        <v>5.17</v>
      </c>
      <c r="M69" s="135">
        <v>0.4131</v>
      </c>
      <c r="N69" s="135">
        <v>0.6926</v>
      </c>
      <c r="O69" s="135">
        <v>0.4206</v>
      </c>
      <c r="P69" s="135">
        <v>2.4209</v>
      </c>
      <c r="Q69" s="135">
        <v>41.23</v>
      </c>
      <c r="R69" s="135">
        <v>37.71</v>
      </c>
      <c r="S69" s="135">
        <v>3.53</v>
      </c>
      <c r="T69" s="135">
        <v>3.22</v>
      </c>
      <c r="U69" s="135">
        <v>38.01</v>
      </c>
      <c r="V69" s="135">
        <v>45.74</v>
      </c>
      <c r="W69" s="135">
        <v>3.6536</v>
      </c>
      <c r="X69" s="135">
        <v>7.8</v>
      </c>
      <c r="Y69" s="135">
        <v>199.0</v>
      </c>
      <c r="Z69" s="135">
        <v>429.0</v>
      </c>
      <c r="AA69" s="135">
        <v>1897.0</v>
      </c>
      <c r="AB69" s="135">
        <v>49.8723</v>
      </c>
      <c r="AC69" s="135">
        <v>0.5742</v>
      </c>
      <c r="AD69" s="135">
        <v>3.97</v>
      </c>
      <c r="AE69" s="135">
        <v>1.0</v>
      </c>
      <c r="AF69" s="135">
        <v>3.0</v>
      </c>
      <c r="AG69" s="135">
        <v>5.0</v>
      </c>
      <c r="AH69" s="135">
        <v>8.0</v>
      </c>
      <c r="AI69" s="135">
        <v>73.57</v>
      </c>
      <c r="AJ69" s="135">
        <v>32.51</v>
      </c>
      <c r="AK69" s="135">
        <v>7.05</v>
      </c>
      <c r="AM69" s="135">
        <v>37.47</v>
      </c>
      <c r="AN69" s="135">
        <v>37.47</v>
      </c>
      <c r="AO69" s="135">
        <v>17.03</v>
      </c>
      <c r="AP69" s="135">
        <v>4.81</v>
      </c>
      <c r="AQ69" s="135">
        <v>3.4135</v>
      </c>
      <c r="AR69" s="135">
        <v>0.0464</v>
      </c>
      <c r="AS69" s="135">
        <v>3.3671</v>
      </c>
      <c r="AT69" s="135">
        <v>2.9778</v>
      </c>
      <c r="AU69" s="135">
        <v>0.2379</v>
      </c>
      <c r="AV69" s="135">
        <v>11595.0</v>
      </c>
      <c r="AW69" s="135">
        <v>0.0</v>
      </c>
      <c r="AX69" s="135">
        <v>18.72</v>
      </c>
      <c r="AY69" s="135">
        <v>16.14</v>
      </c>
      <c r="AZ69" s="135">
        <v>2.64</v>
      </c>
      <c r="BA69" s="135">
        <v>3.21</v>
      </c>
      <c r="BB69" s="135">
        <v>0.52</v>
      </c>
      <c r="BC69" s="135">
        <v>17.0</v>
      </c>
      <c r="BD69" s="135">
        <v>22425.0</v>
      </c>
      <c r="BE69" s="135">
        <v>2.3386</v>
      </c>
      <c r="BF69" s="135">
        <v>0.0248</v>
      </c>
      <c r="BG69" s="135">
        <v>2.3138</v>
      </c>
      <c r="BH69" s="135">
        <v>1.7771</v>
      </c>
      <c r="BI69" s="135">
        <v>0.142</v>
      </c>
      <c r="BJ69" s="135">
        <v>1.0749</v>
      </c>
      <c r="BK69" s="135">
        <v>0.0216</v>
      </c>
      <c r="BL69" s="135">
        <v>1.0533</v>
      </c>
      <c r="BM69" s="135">
        <v>1.2007</v>
      </c>
      <c r="BN69" s="135">
        <v>0.0959</v>
      </c>
      <c r="BO69" s="135">
        <v>1.1437</v>
      </c>
      <c r="BP69" s="135">
        <v>0.009</v>
      </c>
      <c r="BQ69" s="135">
        <v>1.1347</v>
      </c>
      <c r="BR69" s="135">
        <v>0.7981</v>
      </c>
      <c r="BS69" s="135">
        <v>0.9533</v>
      </c>
      <c r="BT69" s="135">
        <v>0.0072</v>
      </c>
      <c r="BU69" s="135">
        <v>0.9461</v>
      </c>
      <c r="BV69" s="135">
        <v>0.6983</v>
      </c>
      <c r="BW69" s="135">
        <v>0.2417</v>
      </c>
      <c r="BX69" s="135">
        <v>0.0087</v>
      </c>
      <c r="BY69" s="135">
        <v>0.2329</v>
      </c>
      <c r="BZ69" s="135">
        <v>0.2807</v>
      </c>
      <c r="CA69" s="135">
        <v>0.1463</v>
      </c>
      <c r="CB69" s="135">
        <v>0.0046</v>
      </c>
      <c r="CC69" s="135">
        <v>0.1417</v>
      </c>
      <c r="CD69" s="135">
        <v>0.2034</v>
      </c>
      <c r="CE69" s="135">
        <v>0.5084</v>
      </c>
      <c r="CF69" s="135">
        <v>0.0099</v>
      </c>
      <c r="CG69" s="135">
        <v>0.4985</v>
      </c>
      <c r="CH69" s="135">
        <v>0.5554</v>
      </c>
      <c r="CI69" s="135">
        <v>0.4202</v>
      </c>
      <c r="CJ69" s="135">
        <v>0.0071</v>
      </c>
      <c r="CK69" s="135">
        <v>0.4131</v>
      </c>
      <c r="CL69" s="135">
        <v>0.4419</v>
      </c>
      <c r="CM69" s="135">
        <v>84.96</v>
      </c>
      <c r="CN69" s="135">
        <v>82.99</v>
      </c>
      <c r="CO69" s="135">
        <v>102.37</v>
      </c>
      <c r="CP69" s="135">
        <v>67.5</v>
      </c>
      <c r="CQ69" s="135">
        <v>14.13</v>
      </c>
      <c r="CR69" s="135">
        <v>2.3</v>
      </c>
      <c r="CS69" s="135">
        <v>1.03</v>
      </c>
      <c r="CT69" s="135">
        <v>0.0</v>
      </c>
      <c r="CU69" s="135">
        <v>1338.0</v>
      </c>
      <c r="CV69" s="135">
        <v>0.97</v>
      </c>
      <c r="CW69" s="135">
        <v>42.21</v>
      </c>
      <c r="CX69" s="135">
        <v>1.55</v>
      </c>
      <c r="CY69" s="135">
        <v>15.68</v>
      </c>
      <c r="CZ69" s="135">
        <v>86.78</v>
      </c>
      <c r="DA69" s="135">
        <v>1.19</v>
      </c>
      <c r="DB69" s="135">
        <v>85.59</v>
      </c>
      <c r="DC69" s="135">
        <v>81.35</v>
      </c>
      <c r="DD69" s="135">
        <v>0.32</v>
      </c>
      <c r="DE69" s="135">
        <v>81.03</v>
      </c>
      <c r="DF69" s="135">
        <v>2.63</v>
      </c>
      <c r="DG69" s="135">
        <v>0.29</v>
      </c>
      <c r="DH69" s="135">
        <v>2.34</v>
      </c>
      <c r="DI69" s="135">
        <v>2.12</v>
      </c>
      <c r="DJ69" s="135">
        <v>0.29</v>
      </c>
      <c r="DK69" s="135">
        <v>1.83</v>
      </c>
      <c r="DL69" s="135">
        <v>0.68</v>
      </c>
      <c r="DM69" s="135">
        <v>0.29</v>
      </c>
      <c r="DN69" s="135">
        <v>0.39</v>
      </c>
    </row>
    <row r="70" ht="15.75" customHeight="1">
      <c r="A70" s="214">
        <v>46260.0</v>
      </c>
      <c r="B70" s="135" t="s">
        <v>5</v>
      </c>
      <c r="C70" s="135" t="s">
        <v>143</v>
      </c>
      <c r="D70" s="135">
        <v>9262.0</v>
      </c>
      <c r="E70" s="135">
        <v>23.18</v>
      </c>
      <c r="F70" s="135">
        <v>1343.81</v>
      </c>
      <c r="G70" s="135">
        <v>0.1451</v>
      </c>
      <c r="H70" s="135">
        <v>3.45</v>
      </c>
      <c r="I70" s="135">
        <v>4.1994</v>
      </c>
      <c r="J70" s="135">
        <v>50.21</v>
      </c>
      <c r="K70" s="135">
        <v>26.61</v>
      </c>
      <c r="L70" s="135">
        <v>14.03</v>
      </c>
      <c r="M70" s="135">
        <v>0.5274</v>
      </c>
      <c r="N70" s="135">
        <v>0.5945</v>
      </c>
      <c r="O70" s="135">
        <v>0.3436</v>
      </c>
      <c r="P70" s="135">
        <v>1.896</v>
      </c>
      <c r="Q70" s="135">
        <v>89.08</v>
      </c>
      <c r="R70" s="135">
        <v>79.73</v>
      </c>
      <c r="S70" s="135">
        <v>9.35</v>
      </c>
      <c r="T70" s="135">
        <v>10.45</v>
      </c>
      <c r="U70" s="135">
        <v>78.62</v>
      </c>
      <c r="V70" s="135">
        <v>97.26</v>
      </c>
      <c r="W70" s="135">
        <v>3.6555</v>
      </c>
      <c r="X70" s="135">
        <v>11.73</v>
      </c>
      <c r="Y70" s="135">
        <v>200.0</v>
      </c>
      <c r="Z70" s="135">
        <v>408.0</v>
      </c>
      <c r="AA70" s="135">
        <v>1490.0</v>
      </c>
      <c r="AB70" s="135">
        <v>51.5889</v>
      </c>
      <c r="AC70" s="135">
        <v>0.6308</v>
      </c>
      <c r="AD70" s="135">
        <v>9.14</v>
      </c>
      <c r="AE70" s="135">
        <v>4.0</v>
      </c>
      <c r="AF70" s="135">
        <v>8.0</v>
      </c>
      <c r="AG70" s="135">
        <v>13.0</v>
      </c>
      <c r="AH70" s="135">
        <v>18.0</v>
      </c>
      <c r="AI70" s="135">
        <v>61.85</v>
      </c>
      <c r="AJ70" s="135">
        <v>25.25</v>
      </c>
      <c r="AK70" s="135">
        <v>3.37</v>
      </c>
      <c r="AM70" s="135">
        <v>44.05</v>
      </c>
      <c r="AN70" s="135">
        <v>44.05</v>
      </c>
      <c r="AO70" s="135">
        <v>24.36</v>
      </c>
      <c r="AP70" s="135">
        <v>10.26</v>
      </c>
      <c r="AQ70" s="135">
        <v>6.6134</v>
      </c>
      <c r="AR70" s="135">
        <v>0.1584</v>
      </c>
      <c r="AS70" s="135">
        <v>6.455</v>
      </c>
      <c r="AT70" s="135">
        <v>5.9628</v>
      </c>
      <c r="AU70" s="135">
        <v>0.2241</v>
      </c>
      <c r="AV70" s="135">
        <v>9262.0</v>
      </c>
      <c r="AW70" s="135">
        <v>0.0</v>
      </c>
      <c r="AX70" s="135">
        <v>33.32</v>
      </c>
      <c r="AY70" s="135">
        <v>40.65</v>
      </c>
      <c r="AZ70" s="135">
        <v>3.44</v>
      </c>
      <c r="BA70" s="135">
        <v>10.44</v>
      </c>
      <c r="BB70" s="135">
        <v>1.23</v>
      </c>
      <c r="BC70" s="135">
        <v>33.0</v>
      </c>
      <c r="BD70" s="135">
        <v>20449.0</v>
      </c>
      <c r="BE70" s="135">
        <v>4.0988</v>
      </c>
      <c r="BF70" s="135">
        <v>0.0858</v>
      </c>
      <c r="BG70" s="135">
        <v>4.013</v>
      </c>
      <c r="BH70" s="135">
        <v>3.3807</v>
      </c>
      <c r="BI70" s="135">
        <v>0.1271</v>
      </c>
      <c r="BJ70" s="135">
        <v>2.5146</v>
      </c>
      <c r="BK70" s="135">
        <v>0.0726</v>
      </c>
      <c r="BL70" s="135">
        <v>2.442</v>
      </c>
      <c r="BM70" s="135">
        <v>2.5821</v>
      </c>
      <c r="BN70" s="135">
        <v>0.097</v>
      </c>
      <c r="BO70" s="135">
        <v>1.6546</v>
      </c>
      <c r="BP70" s="135">
        <v>0.03</v>
      </c>
      <c r="BQ70" s="135">
        <v>1.6246</v>
      </c>
      <c r="BR70" s="135">
        <v>1.3818</v>
      </c>
      <c r="BS70" s="135">
        <v>1.634</v>
      </c>
      <c r="BT70" s="135">
        <v>0.0265</v>
      </c>
      <c r="BU70" s="135">
        <v>1.6075</v>
      </c>
      <c r="BV70" s="135">
        <v>1.3007</v>
      </c>
      <c r="BW70" s="135">
        <v>0.8102</v>
      </c>
      <c r="BX70" s="135">
        <v>0.0294</v>
      </c>
      <c r="BY70" s="135">
        <v>0.7808</v>
      </c>
      <c r="BZ70" s="135">
        <v>0.6982</v>
      </c>
      <c r="CA70" s="135">
        <v>0.5148</v>
      </c>
      <c r="CB70" s="135">
        <v>0.0201</v>
      </c>
      <c r="CC70" s="135">
        <v>0.4947</v>
      </c>
      <c r="CD70" s="135">
        <v>0.5669</v>
      </c>
      <c r="CE70" s="135">
        <v>0.9785</v>
      </c>
      <c r="CF70" s="135">
        <v>0.0292</v>
      </c>
      <c r="CG70" s="135">
        <v>0.9494</v>
      </c>
      <c r="CH70" s="135">
        <v>1.0051</v>
      </c>
      <c r="CI70" s="135">
        <v>1.0213</v>
      </c>
      <c r="CJ70" s="135">
        <v>0.0233</v>
      </c>
      <c r="CK70" s="135">
        <v>0.9979</v>
      </c>
      <c r="CL70" s="135">
        <v>1.01</v>
      </c>
      <c r="CM70" s="135">
        <v>176.69</v>
      </c>
      <c r="CN70" s="135">
        <v>92.69</v>
      </c>
      <c r="CO70" s="135">
        <v>190.63</v>
      </c>
      <c r="CP70" s="135">
        <v>138.92</v>
      </c>
      <c r="CQ70" s="135">
        <v>32.15</v>
      </c>
      <c r="CR70" s="135">
        <v>2.64</v>
      </c>
      <c r="CS70" s="135">
        <v>2.98</v>
      </c>
      <c r="CT70" s="135">
        <v>0.0</v>
      </c>
      <c r="CU70" s="135">
        <v>2135.0</v>
      </c>
      <c r="CV70" s="135">
        <v>3.35</v>
      </c>
      <c r="CW70" s="135">
        <v>92.43</v>
      </c>
      <c r="CX70" s="135">
        <v>4.93</v>
      </c>
      <c r="CY70" s="135">
        <v>37.08</v>
      </c>
      <c r="CZ70" s="135">
        <v>146.11</v>
      </c>
      <c r="DA70" s="135">
        <v>2.85</v>
      </c>
      <c r="DB70" s="135">
        <v>143.26</v>
      </c>
      <c r="DC70" s="135">
        <v>136.78</v>
      </c>
      <c r="DD70" s="135">
        <v>0.93</v>
      </c>
      <c r="DE70" s="135">
        <v>135.85</v>
      </c>
      <c r="DF70" s="135">
        <v>5.14</v>
      </c>
      <c r="DG70" s="135">
        <v>0.64</v>
      </c>
      <c r="DH70" s="135">
        <v>4.5</v>
      </c>
      <c r="DI70" s="135">
        <v>3.01</v>
      </c>
      <c r="DJ70" s="135">
        <v>0.64</v>
      </c>
      <c r="DK70" s="135">
        <v>2.37</v>
      </c>
      <c r="DL70" s="135">
        <v>1.18</v>
      </c>
      <c r="DM70" s="135">
        <v>0.64</v>
      </c>
      <c r="DN70" s="135">
        <v>0.54</v>
      </c>
    </row>
    <row r="71" ht="15.75" customHeight="1">
      <c r="A71" s="214">
        <v>46260.0</v>
      </c>
      <c r="B71" s="135" t="s">
        <v>5</v>
      </c>
      <c r="C71" s="135" t="s">
        <v>144</v>
      </c>
      <c r="D71" s="135">
        <v>6511.0</v>
      </c>
      <c r="E71" s="135">
        <v>16.29</v>
      </c>
      <c r="F71" s="135">
        <v>1800.46</v>
      </c>
      <c r="G71" s="135">
        <v>0.2765</v>
      </c>
      <c r="H71" s="135">
        <v>5.01</v>
      </c>
      <c r="I71" s="135">
        <v>5.5229</v>
      </c>
      <c r="J71" s="135">
        <v>72.75</v>
      </c>
      <c r="K71" s="135">
        <v>40.5</v>
      </c>
      <c r="L71" s="135">
        <v>25.89</v>
      </c>
      <c r="M71" s="135">
        <v>0.6393</v>
      </c>
      <c r="N71" s="135">
        <v>0.4915</v>
      </c>
      <c r="O71" s="135">
        <v>0.2919</v>
      </c>
      <c r="P71" s="135">
        <v>1.5643</v>
      </c>
      <c r="Q71" s="135">
        <v>167.02</v>
      </c>
      <c r="R71" s="135">
        <v>149.0</v>
      </c>
      <c r="S71" s="135">
        <v>18.01</v>
      </c>
      <c r="T71" s="135">
        <v>18.67</v>
      </c>
      <c r="U71" s="135">
        <v>148.35</v>
      </c>
      <c r="V71" s="135">
        <v>179.42</v>
      </c>
      <c r="W71" s="135">
        <v>4.4305</v>
      </c>
      <c r="X71" s="135">
        <v>11.18</v>
      </c>
      <c r="Y71" s="135">
        <v>242.0</v>
      </c>
      <c r="Z71" s="135">
        <v>487.0</v>
      </c>
      <c r="AA71" s="135">
        <v>1455.0</v>
      </c>
      <c r="AB71" s="135">
        <v>53.9405</v>
      </c>
      <c r="AC71" s="135">
        <v>0.728</v>
      </c>
      <c r="AD71" s="135">
        <v>16.57</v>
      </c>
      <c r="AE71" s="135">
        <v>7.0</v>
      </c>
      <c r="AF71" s="135">
        <v>13.0</v>
      </c>
      <c r="AG71" s="135">
        <v>23.0</v>
      </c>
      <c r="AH71" s="135">
        <v>34.0</v>
      </c>
      <c r="AI71" s="135">
        <v>59.42</v>
      </c>
      <c r="AJ71" s="135">
        <v>20.0</v>
      </c>
      <c r="AK71" s="135">
        <v>4.93</v>
      </c>
      <c r="AM71" s="135">
        <v>45.23</v>
      </c>
      <c r="AN71" s="135">
        <v>45.23</v>
      </c>
      <c r="AO71" s="135">
        <v>24.04</v>
      </c>
      <c r="AP71" s="135">
        <v>11.61</v>
      </c>
      <c r="AQ71" s="135">
        <v>9.7151</v>
      </c>
      <c r="AR71" s="135">
        <v>0.3339</v>
      </c>
      <c r="AS71" s="135">
        <v>9.3812</v>
      </c>
      <c r="AT71" s="135">
        <v>8.675</v>
      </c>
      <c r="AU71" s="135">
        <v>0.2142</v>
      </c>
      <c r="AV71" s="135">
        <v>6511.0</v>
      </c>
      <c r="AW71" s="135">
        <v>0.0</v>
      </c>
      <c r="AX71" s="135">
        <v>55.43</v>
      </c>
      <c r="AY71" s="135">
        <v>87.25</v>
      </c>
      <c r="AZ71" s="135">
        <v>3.29</v>
      </c>
      <c r="BA71" s="135">
        <v>18.67</v>
      </c>
      <c r="BB71" s="135">
        <v>2.38</v>
      </c>
      <c r="BC71" s="135">
        <v>61.0</v>
      </c>
      <c r="BD71" s="135">
        <v>16705.0</v>
      </c>
      <c r="BE71" s="135">
        <v>5.7458</v>
      </c>
      <c r="BF71" s="135">
        <v>0.1963</v>
      </c>
      <c r="BG71" s="135">
        <v>5.5495</v>
      </c>
      <c r="BH71" s="135">
        <v>4.8143</v>
      </c>
      <c r="BI71" s="135">
        <v>0.1189</v>
      </c>
      <c r="BJ71" s="135">
        <v>3.9693</v>
      </c>
      <c r="BK71" s="135">
        <v>0.1376</v>
      </c>
      <c r="BL71" s="135">
        <v>3.8317</v>
      </c>
      <c r="BM71" s="135">
        <v>3.8607</v>
      </c>
      <c r="BN71" s="135">
        <v>0.0953</v>
      </c>
      <c r="BO71" s="135">
        <v>1.9836</v>
      </c>
      <c r="BP71" s="135">
        <v>0.0642</v>
      </c>
      <c r="BQ71" s="135">
        <v>1.9194</v>
      </c>
      <c r="BR71" s="135">
        <v>1.7685</v>
      </c>
      <c r="BS71" s="135">
        <v>2.1203</v>
      </c>
      <c r="BT71" s="135">
        <v>0.0628</v>
      </c>
      <c r="BU71" s="135">
        <v>2.0574</v>
      </c>
      <c r="BV71" s="135">
        <v>1.7908</v>
      </c>
      <c r="BW71" s="135">
        <v>1.642</v>
      </c>
      <c r="BX71" s="135">
        <v>0.0693</v>
      </c>
      <c r="BY71" s="135">
        <v>1.5727</v>
      </c>
      <c r="BZ71" s="135">
        <v>1.255</v>
      </c>
      <c r="CA71" s="135">
        <v>0.8768</v>
      </c>
      <c r="CB71" s="135">
        <v>0.0379</v>
      </c>
      <c r="CC71" s="135">
        <v>0.8389</v>
      </c>
      <c r="CD71" s="135">
        <v>0.8753</v>
      </c>
      <c r="CE71" s="135">
        <v>1.3714</v>
      </c>
      <c r="CF71" s="135">
        <v>0.0524</v>
      </c>
      <c r="CG71" s="135">
        <v>1.319</v>
      </c>
      <c r="CH71" s="135">
        <v>1.3542</v>
      </c>
      <c r="CI71" s="135">
        <v>1.7211</v>
      </c>
      <c r="CJ71" s="135">
        <v>0.0473</v>
      </c>
      <c r="CK71" s="135">
        <v>1.6738</v>
      </c>
      <c r="CL71" s="135">
        <v>1.6312</v>
      </c>
      <c r="CM71" s="135">
        <v>315.75</v>
      </c>
      <c r="CN71" s="135">
        <v>96.31</v>
      </c>
      <c r="CO71" s="135">
        <v>327.83</v>
      </c>
      <c r="CP71" s="135">
        <v>250.28</v>
      </c>
      <c r="CQ71" s="135">
        <v>57.32</v>
      </c>
      <c r="CR71" s="135">
        <v>3.46</v>
      </c>
      <c r="CS71" s="135">
        <v>4.69</v>
      </c>
      <c r="CT71" s="135">
        <v>0.0</v>
      </c>
      <c r="CU71" s="135">
        <v>2801.0</v>
      </c>
      <c r="CV71" s="135">
        <v>11.39</v>
      </c>
      <c r="CW71" s="135">
        <v>178.41</v>
      </c>
      <c r="CX71" s="135">
        <v>9.42</v>
      </c>
      <c r="CY71" s="135">
        <v>66.75</v>
      </c>
      <c r="CZ71" s="135">
        <v>213.88</v>
      </c>
      <c r="DA71" s="135">
        <v>3.9</v>
      </c>
      <c r="DB71" s="135">
        <v>209.98</v>
      </c>
      <c r="DC71" s="135">
        <v>198.64</v>
      </c>
      <c r="DD71" s="135">
        <v>1.23</v>
      </c>
      <c r="DE71" s="135">
        <v>197.4</v>
      </c>
      <c r="DF71" s="135">
        <v>9.32</v>
      </c>
      <c r="DG71" s="135">
        <v>0.89</v>
      </c>
      <c r="DH71" s="135">
        <v>8.43</v>
      </c>
      <c r="DI71" s="135">
        <v>4.25</v>
      </c>
      <c r="DJ71" s="135">
        <v>0.89</v>
      </c>
      <c r="DK71" s="135">
        <v>3.36</v>
      </c>
      <c r="DL71" s="135">
        <v>1.68</v>
      </c>
      <c r="DM71" s="135">
        <v>0.89</v>
      </c>
      <c r="DN71" s="135">
        <v>0.79</v>
      </c>
    </row>
    <row r="72" ht="15.75" customHeight="1">
      <c r="A72" s="214">
        <v>46260.0</v>
      </c>
      <c r="B72" s="135" t="s">
        <v>5</v>
      </c>
      <c r="C72" s="135" t="s">
        <v>145</v>
      </c>
      <c r="D72" s="135">
        <v>3623.0</v>
      </c>
      <c r="E72" s="135">
        <v>9.07</v>
      </c>
      <c r="F72" s="135">
        <v>2381.18</v>
      </c>
      <c r="G72" s="135">
        <v>0.6572</v>
      </c>
      <c r="H72" s="135">
        <v>7.65</v>
      </c>
      <c r="I72" s="135">
        <v>8.5963</v>
      </c>
      <c r="J72" s="135">
        <v>124.19</v>
      </c>
      <c r="K72" s="135">
        <v>74.46</v>
      </c>
      <c r="L72" s="135">
        <v>53.84</v>
      </c>
      <c r="M72" s="135">
        <v>0.7231</v>
      </c>
      <c r="N72" s="135">
        <v>0.4055</v>
      </c>
      <c r="O72" s="135">
        <v>0.2497</v>
      </c>
      <c r="P72" s="135">
        <v>1.3829</v>
      </c>
      <c r="Q72" s="135">
        <v>343.54</v>
      </c>
      <c r="R72" s="135">
        <v>306.35</v>
      </c>
      <c r="S72" s="135">
        <v>37.19</v>
      </c>
      <c r="T72" s="135">
        <v>43.72</v>
      </c>
      <c r="U72" s="135">
        <v>299.82</v>
      </c>
      <c r="V72" s="135">
        <v>362.35</v>
      </c>
      <c r="W72" s="135">
        <v>4.8666</v>
      </c>
      <c r="X72" s="135">
        <v>12.73</v>
      </c>
      <c r="Y72" s="135">
        <v>344.0</v>
      </c>
      <c r="Z72" s="135">
        <v>638.0</v>
      </c>
      <c r="AA72" s="135">
        <v>1662.0</v>
      </c>
      <c r="AB72" s="135">
        <v>55.9545</v>
      </c>
      <c r="AC72" s="135">
        <v>0.7767</v>
      </c>
      <c r="AD72" s="135">
        <v>30.66</v>
      </c>
      <c r="AE72" s="135">
        <v>13.0</v>
      </c>
      <c r="AF72" s="135">
        <v>24.0</v>
      </c>
      <c r="AG72" s="135">
        <v>42.0</v>
      </c>
      <c r="AH72" s="135">
        <v>63.0</v>
      </c>
      <c r="AI72" s="135">
        <v>42.64</v>
      </c>
      <c r="AJ72" s="135">
        <v>11.57</v>
      </c>
      <c r="AK72" s="135">
        <v>2.7</v>
      </c>
      <c r="AM72" s="135">
        <v>42.12</v>
      </c>
      <c r="AN72" s="135">
        <v>42.12</v>
      </c>
      <c r="AO72" s="135">
        <v>23.21</v>
      </c>
      <c r="AP72" s="135">
        <v>14.33</v>
      </c>
      <c r="AQ72" s="135">
        <v>14.6889</v>
      </c>
      <c r="AR72" s="135">
        <v>0.4673</v>
      </c>
      <c r="AS72" s="135">
        <v>14.2216</v>
      </c>
      <c r="AT72" s="135">
        <v>13.4687</v>
      </c>
      <c r="AU72" s="135">
        <v>0.1809</v>
      </c>
      <c r="AV72" s="135">
        <v>3623.0</v>
      </c>
      <c r="AW72" s="135">
        <v>0.0</v>
      </c>
      <c r="AX72" s="135">
        <v>105.04</v>
      </c>
      <c r="AY72" s="135">
        <v>185.15</v>
      </c>
      <c r="AZ72" s="135">
        <v>4.18</v>
      </c>
      <c r="BA72" s="135">
        <v>43.71</v>
      </c>
      <c r="BB72" s="135">
        <v>5.45</v>
      </c>
      <c r="BC72" s="135">
        <v>122.0</v>
      </c>
      <c r="BD72" s="135">
        <v>16955.0</v>
      </c>
      <c r="BE72" s="135">
        <v>8.2926</v>
      </c>
      <c r="BF72" s="135">
        <v>0.1929</v>
      </c>
      <c r="BG72" s="135">
        <v>8.0996</v>
      </c>
      <c r="BH72" s="135">
        <v>7.0961</v>
      </c>
      <c r="BI72" s="135">
        <v>0.0953</v>
      </c>
      <c r="BJ72" s="135">
        <v>6.3964</v>
      </c>
      <c r="BK72" s="135">
        <v>0.2744</v>
      </c>
      <c r="BL72" s="135">
        <v>6.122</v>
      </c>
      <c r="BM72" s="135">
        <v>6.3726</v>
      </c>
      <c r="BN72" s="135">
        <v>0.0856</v>
      </c>
      <c r="BO72" s="135">
        <v>2.841</v>
      </c>
      <c r="BP72" s="135">
        <v>0.0632</v>
      </c>
      <c r="BQ72" s="135">
        <v>2.7778</v>
      </c>
      <c r="BR72" s="135">
        <v>2.5644</v>
      </c>
      <c r="BS72" s="135">
        <v>2.8352</v>
      </c>
      <c r="BT72" s="135">
        <v>0.064</v>
      </c>
      <c r="BU72" s="135">
        <v>2.7712</v>
      </c>
      <c r="BV72" s="135">
        <v>2.499</v>
      </c>
      <c r="BW72" s="135">
        <v>2.6163</v>
      </c>
      <c r="BX72" s="135">
        <v>0.0657</v>
      </c>
      <c r="BY72" s="135">
        <v>2.5506</v>
      </c>
      <c r="BZ72" s="135">
        <v>2.0326</v>
      </c>
      <c r="CA72" s="135">
        <v>1.4731</v>
      </c>
      <c r="CB72" s="135">
        <v>0.08</v>
      </c>
      <c r="CC72" s="135">
        <v>1.393</v>
      </c>
      <c r="CD72" s="135">
        <v>1.5719</v>
      </c>
      <c r="CE72" s="135">
        <v>2.0108</v>
      </c>
      <c r="CF72" s="135">
        <v>0.1071</v>
      </c>
      <c r="CG72" s="135">
        <v>1.9037</v>
      </c>
      <c r="CH72" s="135">
        <v>2.0293</v>
      </c>
      <c r="CI72" s="135">
        <v>2.9125</v>
      </c>
      <c r="CJ72" s="135">
        <v>0.0872</v>
      </c>
      <c r="CK72" s="135">
        <v>2.8253</v>
      </c>
      <c r="CL72" s="135">
        <v>2.7715</v>
      </c>
      <c r="CM72" s="135">
        <v>660.42</v>
      </c>
      <c r="CN72" s="135">
        <v>99.03</v>
      </c>
      <c r="CO72" s="135">
        <v>666.86</v>
      </c>
      <c r="CP72" s="135">
        <v>529.46</v>
      </c>
      <c r="CQ72" s="135">
        <v>118.78</v>
      </c>
      <c r="CR72" s="135">
        <v>5.23</v>
      </c>
      <c r="CS72" s="135">
        <v>6.95</v>
      </c>
      <c r="CT72" s="135">
        <v>0.0</v>
      </c>
      <c r="CU72" s="135">
        <v>2649.0</v>
      </c>
      <c r="CV72" s="135">
        <v>47.85</v>
      </c>
      <c r="CW72" s="135">
        <v>391.39</v>
      </c>
      <c r="CX72" s="135">
        <v>19.87</v>
      </c>
      <c r="CY72" s="135">
        <v>138.65</v>
      </c>
      <c r="CZ72" s="135">
        <v>343.5</v>
      </c>
      <c r="DA72" s="135">
        <v>6.57</v>
      </c>
      <c r="DB72" s="135">
        <v>336.93</v>
      </c>
      <c r="DC72" s="135">
        <v>320.58</v>
      </c>
      <c r="DD72" s="135">
        <v>2.31</v>
      </c>
      <c r="DE72" s="135">
        <v>318.27</v>
      </c>
      <c r="DF72" s="135">
        <v>11.53</v>
      </c>
      <c r="DG72" s="135">
        <v>1.42</v>
      </c>
      <c r="DH72" s="135">
        <v>10.11</v>
      </c>
      <c r="DI72" s="135">
        <v>8.65</v>
      </c>
      <c r="DJ72" s="135">
        <v>1.42</v>
      </c>
      <c r="DK72" s="135">
        <v>7.23</v>
      </c>
      <c r="DL72" s="135">
        <v>2.75</v>
      </c>
      <c r="DM72" s="135">
        <v>1.42</v>
      </c>
      <c r="DN72" s="135">
        <v>1.33</v>
      </c>
    </row>
    <row r="73" ht="15.75" customHeight="1">
      <c r="A73" s="214">
        <v>46260.0</v>
      </c>
      <c r="B73" s="135" t="s">
        <v>5</v>
      </c>
      <c r="C73" s="135" t="s">
        <v>146</v>
      </c>
      <c r="D73" s="135">
        <v>500.0</v>
      </c>
      <c r="E73" s="135">
        <v>1.25</v>
      </c>
      <c r="F73" s="135">
        <v>614.79</v>
      </c>
      <c r="G73" s="135">
        <v>1.2296</v>
      </c>
      <c r="H73" s="135">
        <v>10.6</v>
      </c>
      <c r="I73" s="135">
        <v>11.5998</v>
      </c>
      <c r="J73" s="135">
        <v>248.79</v>
      </c>
      <c r="K73" s="135">
        <v>163.74</v>
      </c>
      <c r="L73" s="135">
        <v>125.99</v>
      </c>
      <c r="M73" s="135">
        <v>0.7694</v>
      </c>
      <c r="N73" s="135">
        <v>0.3356</v>
      </c>
      <c r="O73" s="135">
        <v>0.2025</v>
      </c>
      <c r="P73" s="135">
        <v>1.2997</v>
      </c>
      <c r="Q73" s="135">
        <v>651.99</v>
      </c>
      <c r="R73" s="135">
        <v>562.6</v>
      </c>
      <c r="S73" s="135">
        <v>89.39</v>
      </c>
      <c r="T73" s="135">
        <v>99.6</v>
      </c>
      <c r="U73" s="135">
        <v>552.39</v>
      </c>
      <c r="V73" s="135">
        <v>812.7</v>
      </c>
      <c r="W73" s="135">
        <v>4.9632</v>
      </c>
      <c r="X73" s="135">
        <v>15.28</v>
      </c>
      <c r="Y73" s="135">
        <v>487.0</v>
      </c>
      <c r="Z73" s="135">
        <v>817.0</v>
      </c>
      <c r="AA73" s="135">
        <v>1632.0</v>
      </c>
      <c r="AB73" s="135">
        <v>58.3072</v>
      </c>
      <c r="AC73" s="135">
        <v>0.8009</v>
      </c>
      <c r="AD73" s="135">
        <v>58.03</v>
      </c>
      <c r="AE73" s="135">
        <v>24.0</v>
      </c>
      <c r="AF73" s="135">
        <v>45.0</v>
      </c>
      <c r="AG73" s="135">
        <v>75.0</v>
      </c>
      <c r="AH73" s="135">
        <v>114.0</v>
      </c>
      <c r="AI73" s="135">
        <v>23.6</v>
      </c>
      <c r="AJ73" s="135">
        <v>4.4</v>
      </c>
      <c r="AK73" s="135">
        <v>1.0</v>
      </c>
      <c r="AM73" s="135">
        <v>46.8</v>
      </c>
      <c r="AN73" s="135">
        <v>46.8</v>
      </c>
      <c r="AO73" s="135">
        <v>35.4</v>
      </c>
      <c r="AP73" s="135">
        <v>28.8</v>
      </c>
      <c r="AQ73" s="135">
        <v>28.97</v>
      </c>
      <c r="AR73" s="135">
        <v>3.486</v>
      </c>
      <c r="AS73" s="135">
        <v>25.484</v>
      </c>
      <c r="AT73" s="135">
        <v>27.138</v>
      </c>
      <c r="AU73" s="135">
        <v>0.1657</v>
      </c>
      <c r="AV73" s="135">
        <v>500.0</v>
      </c>
      <c r="AW73" s="135">
        <v>0.0</v>
      </c>
      <c r="AX73" s="135">
        <v>235.43</v>
      </c>
      <c r="AY73" s="135">
        <v>299.39</v>
      </c>
      <c r="AZ73" s="135">
        <v>6.99</v>
      </c>
      <c r="BA73" s="135">
        <v>99.6</v>
      </c>
      <c r="BB73" s="135">
        <v>10.58</v>
      </c>
      <c r="BC73" s="135">
        <v>280.0</v>
      </c>
      <c r="BD73" s="135">
        <v>14520.0</v>
      </c>
      <c r="BE73" s="135">
        <v>17.532</v>
      </c>
      <c r="BF73" s="135">
        <v>2.748</v>
      </c>
      <c r="BG73" s="135">
        <v>14.784</v>
      </c>
      <c r="BH73" s="135">
        <v>14.884</v>
      </c>
      <c r="BI73" s="135">
        <v>0.0909</v>
      </c>
      <c r="BJ73" s="135">
        <v>11.438</v>
      </c>
      <c r="BK73" s="135">
        <v>0.738</v>
      </c>
      <c r="BL73" s="135">
        <v>10.7</v>
      </c>
      <c r="BM73" s="135">
        <v>12.254</v>
      </c>
      <c r="BN73" s="135">
        <v>0.0748</v>
      </c>
      <c r="BO73" s="135">
        <v>5.388</v>
      </c>
      <c r="BP73" s="135">
        <v>0.82</v>
      </c>
      <c r="BQ73" s="135">
        <v>4.568</v>
      </c>
      <c r="BR73" s="135">
        <v>4.87</v>
      </c>
      <c r="BS73" s="135">
        <v>5.998</v>
      </c>
      <c r="BT73" s="135">
        <v>0.88</v>
      </c>
      <c r="BU73" s="135">
        <v>5.118</v>
      </c>
      <c r="BV73" s="135">
        <v>5.16</v>
      </c>
      <c r="BW73" s="135">
        <v>6.146</v>
      </c>
      <c r="BX73" s="135">
        <v>1.048</v>
      </c>
      <c r="BY73" s="135">
        <v>5.098</v>
      </c>
      <c r="BZ73" s="135">
        <v>4.854</v>
      </c>
      <c r="CA73" s="135">
        <v>2.792</v>
      </c>
      <c r="CB73" s="135">
        <v>0.188</v>
      </c>
      <c r="CC73" s="135">
        <v>2.604</v>
      </c>
      <c r="CD73" s="135">
        <v>3.338</v>
      </c>
      <c r="CE73" s="135">
        <v>3.502</v>
      </c>
      <c r="CF73" s="135">
        <v>0.272</v>
      </c>
      <c r="CG73" s="135">
        <v>3.23</v>
      </c>
      <c r="CH73" s="135">
        <v>3.496</v>
      </c>
      <c r="CI73" s="135">
        <v>5.144</v>
      </c>
      <c r="CJ73" s="135">
        <v>0.278</v>
      </c>
      <c r="CK73" s="135">
        <v>4.866</v>
      </c>
      <c r="CL73" s="135">
        <v>5.42</v>
      </c>
      <c r="CM73" s="135">
        <v>1469.12</v>
      </c>
      <c r="CN73" s="135">
        <v>100.0</v>
      </c>
      <c r="CO73" s="135">
        <v>1469.12</v>
      </c>
      <c r="CP73" s="135">
        <v>1127.95</v>
      </c>
      <c r="CQ73" s="135">
        <v>320.17</v>
      </c>
      <c r="CR73" s="135">
        <v>11.84</v>
      </c>
      <c r="CS73" s="135">
        <v>9.16</v>
      </c>
      <c r="CT73" s="135">
        <v>0.0</v>
      </c>
      <c r="CU73" s="135">
        <v>460.0</v>
      </c>
      <c r="CV73" s="135">
        <v>124.08</v>
      </c>
      <c r="CW73" s="135">
        <v>776.07</v>
      </c>
      <c r="CX73" s="135">
        <v>53.52</v>
      </c>
      <c r="CY73" s="135">
        <v>373.69</v>
      </c>
      <c r="CZ73" s="135">
        <v>655.28</v>
      </c>
      <c r="DA73" s="135">
        <v>6.03</v>
      </c>
      <c r="DB73" s="135">
        <v>649.25</v>
      </c>
      <c r="DC73" s="135">
        <v>630.33</v>
      </c>
      <c r="DD73" s="135">
        <v>4.47</v>
      </c>
      <c r="DE73" s="135">
        <v>625.86</v>
      </c>
      <c r="DF73" s="135">
        <v>12.16</v>
      </c>
      <c r="DG73" s="135">
        <v>0.52</v>
      </c>
      <c r="DH73" s="135">
        <v>11.64</v>
      </c>
      <c r="DI73" s="135">
        <v>10.93</v>
      </c>
      <c r="DJ73" s="135">
        <v>0.52</v>
      </c>
      <c r="DK73" s="135">
        <v>10.41</v>
      </c>
      <c r="DL73" s="135">
        <v>1.86</v>
      </c>
      <c r="DM73" s="135">
        <v>0.52</v>
      </c>
      <c r="DN73" s="135">
        <v>1.34</v>
      </c>
    </row>
    <row r="74" ht="15.75" customHeight="1">
      <c r="A74" s="214"/>
    </row>
    <row r="75" ht="15.75" customHeight="1">
      <c r="A75" s="214"/>
    </row>
    <row r="76" ht="15.75" customHeight="1">
      <c r="A76" s="214"/>
    </row>
    <row r="77" ht="15.75" customHeight="1">
      <c r="A77" s="214"/>
    </row>
    <row r="78" ht="15.75" customHeight="1">
      <c r="A78" s="214"/>
    </row>
    <row r="79" ht="15.75" customHeight="1">
      <c r="A79" s="214"/>
    </row>
    <row r="80" ht="15.75" customHeight="1">
      <c r="A80" s="214"/>
    </row>
    <row r="81" ht="15.75" customHeight="1">
      <c r="A81" s="214"/>
    </row>
    <row r="82" ht="15.75" customHeight="1">
      <c r="A82" s="214"/>
    </row>
    <row r="83" ht="15.75" customHeight="1">
      <c r="A83" s="214"/>
    </row>
    <row r="84" ht="15.75" customHeight="1">
      <c r="A84" s="214"/>
    </row>
    <row r="85" ht="15.75" customHeight="1">
      <c r="A85" s="214"/>
    </row>
    <row r="86" ht="15.75" customHeight="1">
      <c r="A86" s="214"/>
    </row>
    <row r="87" ht="15.75" customHeight="1">
      <c r="A87" s="214"/>
    </row>
    <row r="88" ht="15.75" customHeight="1">
      <c r="A88" s="214"/>
    </row>
    <row r="89" ht="15.75" customHeight="1">
      <c r="A89" s="214"/>
    </row>
    <row r="90" ht="15.75" customHeight="1">
      <c r="A90" s="214"/>
    </row>
    <row r="91" ht="15.75" customHeight="1">
      <c r="A91" s="214"/>
    </row>
    <row r="92" ht="15.75" customHeight="1">
      <c r="A92" s="214"/>
    </row>
    <row r="93" ht="15.75" customHeight="1">
      <c r="A93" s="214"/>
    </row>
    <row r="94" ht="15.75" customHeight="1">
      <c r="A94" s="214"/>
    </row>
    <row r="95" ht="15.75" customHeight="1">
      <c r="A95" s="214"/>
    </row>
    <row r="96" ht="15.75" customHeight="1">
      <c r="A96" s="214"/>
    </row>
    <row r="97" ht="15.75" customHeight="1">
      <c r="A97" s="214"/>
    </row>
    <row r="98" ht="15.75" customHeight="1">
      <c r="A98" s="214"/>
    </row>
    <row r="99" ht="15.75" customHeight="1">
      <c r="A99" s="214"/>
    </row>
    <row r="100" ht="15.75" customHeight="1">
      <c r="A100" s="214"/>
    </row>
    <row r="101" ht="15.75" customHeight="1">
      <c r="A101" s="214"/>
    </row>
    <row r="102" ht="15.75" customHeight="1">
      <c r="A102" s="214"/>
    </row>
    <row r="103" ht="15.75" customHeight="1">
      <c r="A103" s="214"/>
    </row>
    <row r="104" ht="15.75" customHeight="1">
      <c r="A104" s="214"/>
    </row>
    <row r="105" ht="15.75" customHeight="1">
      <c r="A105" s="214"/>
    </row>
    <row r="106" ht="15.75" customHeight="1">
      <c r="A106" s="214"/>
    </row>
    <row r="107" ht="15.75" customHeight="1">
      <c r="A107" s="214"/>
    </row>
    <row r="108" ht="15.75" customHeight="1">
      <c r="A108" s="214"/>
    </row>
    <row r="109" ht="15.75" customHeight="1">
      <c r="A109" s="214"/>
    </row>
    <row r="110" ht="15.75" customHeight="1">
      <c r="A110" s="214"/>
    </row>
    <row r="111" ht="15.75" customHeight="1">
      <c r="A111" s="214"/>
    </row>
    <row r="112" ht="15.75" customHeight="1">
      <c r="A112" s="214"/>
    </row>
    <row r="113" ht="15.75" customHeight="1">
      <c r="A113" s="214"/>
    </row>
    <row r="114" ht="15.75" customHeight="1">
      <c r="A114" s="214"/>
    </row>
    <row r="115" ht="15.75" customHeight="1">
      <c r="A115" s="214"/>
    </row>
    <row r="116" ht="15.75" customHeight="1">
      <c r="A116" s="214"/>
    </row>
    <row r="117" ht="15.75" customHeight="1">
      <c r="A117" s="214"/>
    </row>
    <row r="118" ht="15.75" customHeight="1">
      <c r="A118" s="214"/>
    </row>
    <row r="119" ht="15.75" customHeight="1">
      <c r="A119" s="214"/>
    </row>
    <row r="120" ht="15.75" customHeight="1">
      <c r="A120" s="214"/>
    </row>
    <row r="121" ht="15.75" customHeight="1">
      <c r="A121" s="214"/>
    </row>
    <row r="122" ht="15.75" customHeight="1">
      <c r="A122" s="214"/>
    </row>
    <row r="123" ht="15.75" customHeight="1">
      <c r="A123" s="214"/>
    </row>
    <row r="124" ht="15.75" customHeight="1">
      <c r="A124" s="214"/>
    </row>
    <row r="125" ht="15.75" customHeight="1">
      <c r="A125" s="214"/>
    </row>
    <row r="126" ht="15.75" customHeight="1">
      <c r="A126" s="214"/>
    </row>
    <row r="127" ht="15.75" customHeight="1">
      <c r="A127" s="214"/>
    </row>
    <row r="128" ht="15.75" customHeight="1">
      <c r="A128" s="214"/>
    </row>
    <row r="129" ht="15.75" customHeight="1">
      <c r="A129" s="214"/>
    </row>
    <row r="130" ht="15.75" customHeight="1">
      <c r="A130" s="214"/>
    </row>
    <row r="131" ht="15.75" customHeight="1">
      <c r="A131" s="214"/>
    </row>
    <row r="132" ht="15.75" customHeight="1">
      <c r="A132" s="214"/>
    </row>
    <row r="133" ht="15.75" customHeight="1">
      <c r="A133" s="214"/>
    </row>
    <row r="134" ht="15.75" customHeight="1">
      <c r="A134" s="214"/>
    </row>
    <row r="135" ht="15.75" customHeight="1">
      <c r="A135" s="214"/>
    </row>
    <row r="136" ht="15.75" customHeight="1">
      <c r="A136" s="214"/>
    </row>
    <row r="137" ht="15.75" customHeight="1">
      <c r="A137" s="214"/>
    </row>
    <row r="138" ht="15.75" customHeight="1">
      <c r="A138" s="214"/>
    </row>
    <row r="139" ht="15.75" customHeight="1">
      <c r="A139" s="214"/>
    </row>
    <row r="140" ht="15.75" customHeight="1">
      <c r="A140" s="214"/>
    </row>
    <row r="141" ht="15.75" customHeight="1">
      <c r="A141" s="214"/>
    </row>
    <row r="142" ht="15.75" customHeight="1">
      <c r="A142" s="214"/>
    </row>
    <row r="143" ht="15.75" customHeight="1">
      <c r="A143" s="214"/>
    </row>
    <row r="144" ht="15.75" customHeight="1">
      <c r="A144" s="214"/>
    </row>
    <row r="145" ht="15.75" customHeight="1">
      <c r="A145" s="214"/>
    </row>
    <row r="146" ht="15.75" customHeight="1">
      <c r="A146" s="214"/>
    </row>
    <row r="147" ht="15.75" customHeight="1">
      <c r="A147" s="214"/>
    </row>
    <row r="148" ht="15.75" customHeight="1">
      <c r="A148" s="214"/>
    </row>
    <row r="149" ht="15.75" customHeight="1">
      <c r="A149" s="214"/>
    </row>
    <row r="150" ht="15.75" customHeight="1">
      <c r="A150" s="214"/>
    </row>
    <row r="151" ht="15.75" customHeight="1">
      <c r="A151" s="214"/>
    </row>
    <row r="152" ht="15.75" customHeight="1">
      <c r="A152" s="214"/>
    </row>
    <row r="153" ht="15.75" customHeight="1">
      <c r="A153" s="214"/>
    </row>
    <row r="154" ht="15.75" customHeight="1">
      <c r="A154" s="214"/>
    </row>
    <row r="155" ht="15.75" customHeight="1">
      <c r="A155" s="214"/>
    </row>
    <row r="156" ht="15.75" customHeight="1">
      <c r="A156" s="214"/>
    </row>
    <row r="157" ht="15.75" customHeight="1">
      <c r="A157" s="214"/>
    </row>
    <row r="158" ht="15.75" customHeight="1">
      <c r="A158" s="214"/>
    </row>
    <row r="159" ht="15.75" customHeight="1">
      <c r="A159" s="214"/>
    </row>
    <row r="160" ht="15.75" customHeight="1">
      <c r="A160" s="214"/>
    </row>
    <row r="161" ht="15.75" customHeight="1">
      <c r="A161" s="214"/>
    </row>
    <row r="162" ht="15.75" customHeight="1">
      <c r="A162" s="214"/>
    </row>
    <row r="163" ht="15.75" customHeight="1">
      <c r="A163" s="214"/>
    </row>
    <row r="164" ht="15.75" customHeight="1">
      <c r="A164" s="214"/>
    </row>
    <row r="165" ht="15.75" customHeight="1">
      <c r="A165" s="214"/>
    </row>
    <row r="166" ht="15.75" customHeight="1">
      <c r="A166" s="214"/>
    </row>
    <row r="167" ht="15.75" customHeight="1">
      <c r="A167" s="214"/>
    </row>
    <row r="168" ht="15.75" customHeight="1">
      <c r="A168" s="214"/>
    </row>
    <row r="169" ht="15.75" customHeight="1">
      <c r="A169" s="214"/>
    </row>
    <row r="170" ht="15.75" customHeight="1">
      <c r="A170" s="214"/>
    </row>
    <row r="171" ht="15.75" customHeight="1">
      <c r="A171" s="214"/>
    </row>
    <row r="172" ht="15.75" customHeight="1">
      <c r="A172" s="214"/>
    </row>
    <row r="173" ht="15.75" customHeight="1">
      <c r="A173" s="214"/>
    </row>
    <row r="174" ht="15.75" customHeight="1">
      <c r="A174" s="214"/>
    </row>
    <row r="175" ht="15.75" customHeight="1">
      <c r="A175" s="214"/>
    </row>
    <row r="176" ht="15.75" customHeight="1">
      <c r="A176" s="214"/>
    </row>
    <row r="177" ht="15.75" customHeight="1">
      <c r="A177" s="214"/>
    </row>
    <row r="178" ht="15.75" customHeight="1">
      <c r="A178" s="214"/>
    </row>
    <row r="179" ht="15.75" customHeight="1">
      <c r="A179" s="214"/>
    </row>
    <row r="180" ht="15.75" customHeight="1">
      <c r="A180" s="214"/>
    </row>
    <row r="181" ht="15.75" customHeight="1">
      <c r="A181" s="214"/>
    </row>
    <row r="182" ht="15.75" customHeight="1">
      <c r="A182" s="214"/>
    </row>
    <row r="183" ht="15.75" customHeight="1">
      <c r="A183" s="214"/>
    </row>
    <row r="184" ht="15.75" customHeight="1">
      <c r="A184" s="214"/>
    </row>
    <row r="185" ht="15.75" customHeight="1">
      <c r="A185" s="214"/>
    </row>
    <row r="186" ht="15.75" customHeight="1">
      <c r="A186" s="214"/>
    </row>
    <row r="187" ht="15.75" customHeight="1">
      <c r="A187" s="214"/>
    </row>
    <row r="188" ht="15.75" customHeight="1">
      <c r="A188" s="214"/>
    </row>
    <row r="189" ht="15.75" customHeight="1">
      <c r="A189" s="214"/>
    </row>
    <row r="190" ht="15.75" customHeight="1">
      <c r="A190" s="214"/>
    </row>
    <row r="191" ht="15.75" customHeight="1">
      <c r="A191" s="214"/>
    </row>
    <row r="192" ht="15.75" customHeight="1">
      <c r="A192" s="214"/>
    </row>
    <row r="193" ht="15.75" customHeight="1">
      <c r="A193" s="214"/>
    </row>
    <row r="194" ht="15.75" customHeight="1">
      <c r="A194" s="214"/>
    </row>
    <row r="195" ht="15.75" customHeight="1">
      <c r="A195" s="214"/>
    </row>
    <row r="196" ht="15.75" customHeight="1">
      <c r="A196" s="214"/>
    </row>
    <row r="197" ht="15.75" customHeight="1">
      <c r="A197" s="214"/>
    </row>
    <row r="198" ht="15.75" customHeight="1">
      <c r="A198" s="214"/>
    </row>
    <row r="199" ht="15.75" customHeight="1">
      <c r="A199" s="214"/>
    </row>
    <row r="200" ht="15.75" customHeight="1">
      <c r="A200" s="214"/>
    </row>
    <row r="201" ht="15.75" customHeight="1">
      <c r="A201" s="214"/>
    </row>
    <row r="202" ht="15.75" customHeight="1">
      <c r="A202" s="214"/>
    </row>
    <row r="203" ht="15.75" customHeight="1">
      <c r="A203" s="214"/>
    </row>
    <row r="204" ht="15.75" customHeight="1">
      <c r="A204" s="214"/>
    </row>
    <row r="205" ht="15.75" customHeight="1">
      <c r="A205" s="214"/>
    </row>
    <row r="206" ht="15.75" customHeight="1">
      <c r="A206" s="214"/>
    </row>
    <row r="207" ht="15.75" customHeight="1">
      <c r="A207" s="214"/>
    </row>
    <row r="208" ht="15.75" customHeight="1">
      <c r="A208" s="214"/>
    </row>
    <row r="209" ht="15.75" customHeight="1">
      <c r="A209" s="214"/>
    </row>
    <row r="210" ht="15.75" customHeight="1">
      <c r="A210" s="214"/>
    </row>
    <row r="211" ht="15.75" customHeight="1">
      <c r="A211" s="214"/>
    </row>
    <row r="212" ht="15.75" customHeight="1">
      <c r="A212" s="214"/>
    </row>
    <row r="213" ht="15.75" customHeight="1">
      <c r="A213" s="214"/>
    </row>
    <row r="214" ht="15.75" customHeight="1">
      <c r="A214" s="214"/>
    </row>
    <row r="215" ht="15.75" customHeight="1">
      <c r="A215" s="214"/>
    </row>
    <row r="216" ht="15.75" customHeight="1">
      <c r="A216" s="214"/>
    </row>
    <row r="217" ht="15.75" customHeight="1">
      <c r="A217" s="214"/>
    </row>
    <row r="218" ht="15.75" customHeight="1">
      <c r="A218" s="214"/>
    </row>
    <row r="219" ht="15.75" customHeight="1">
      <c r="A219" s="214"/>
    </row>
    <row r="220" ht="15.75" customHeight="1">
      <c r="A220" s="214"/>
    </row>
    <row r="221" ht="15.75" customHeight="1">
      <c r="A221" s="214"/>
    </row>
    <row r="222" ht="15.75" customHeight="1">
      <c r="A222" s="214"/>
    </row>
    <row r="223" ht="15.75" customHeight="1">
      <c r="A223" s="214"/>
    </row>
    <row r="224" ht="15.75" customHeight="1">
      <c r="A224" s="214"/>
    </row>
    <row r="225" ht="15.75" customHeight="1">
      <c r="A225" s="214"/>
    </row>
    <row r="226" ht="15.75" customHeight="1">
      <c r="A226" s="214"/>
    </row>
    <row r="227" ht="15.75" customHeight="1">
      <c r="A227" s="214"/>
    </row>
    <row r="228" ht="15.75" customHeight="1">
      <c r="A228" s="214"/>
    </row>
    <row r="229" ht="15.75" customHeight="1">
      <c r="A229" s="214"/>
    </row>
    <row r="230" ht="15.75" customHeight="1">
      <c r="A230" s="214"/>
    </row>
    <row r="231" ht="15.75" customHeight="1">
      <c r="A231" s="214"/>
    </row>
    <row r="232" ht="15.75" customHeight="1">
      <c r="A232" s="214"/>
    </row>
    <row r="233" ht="15.75" customHeight="1">
      <c r="A233" s="214"/>
    </row>
    <row r="234" ht="15.75" customHeight="1">
      <c r="A234" s="214"/>
    </row>
    <row r="235" ht="15.75" customHeight="1">
      <c r="A235" s="214"/>
    </row>
    <row r="236" ht="15.75" customHeight="1">
      <c r="A236" s="214"/>
    </row>
    <row r="237" ht="15.75" customHeight="1">
      <c r="A237" s="214"/>
    </row>
    <row r="238" ht="15.75" customHeight="1">
      <c r="A238" s="214"/>
    </row>
    <row r="239" ht="15.75" customHeight="1">
      <c r="A239" s="214"/>
    </row>
    <row r="240" ht="15.75" customHeight="1">
      <c r="A240" s="214"/>
    </row>
    <row r="241" ht="15.75" customHeight="1">
      <c r="A241" s="214"/>
    </row>
    <row r="242" ht="15.75" customHeight="1">
      <c r="A242" s="214"/>
    </row>
    <row r="243" ht="15.75" customHeight="1">
      <c r="A243" s="214"/>
    </row>
    <row r="244" ht="15.75" customHeight="1">
      <c r="A244" s="214"/>
    </row>
    <row r="245" ht="15.75" customHeight="1">
      <c r="A245" s="214"/>
    </row>
    <row r="246" ht="15.75" customHeight="1">
      <c r="A246" s="214"/>
    </row>
    <row r="247" ht="15.75" customHeight="1">
      <c r="A247" s="214"/>
    </row>
    <row r="248" ht="15.75" customHeight="1">
      <c r="A248" s="214"/>
    </row>
    <row r="249" ht="15.75" customHeight="1">
      <c r="A249" s="214"/>
    </row>
    <row r="250" ht="15.75" customHeight="1">
      <c r="A250" s="214"/>
    </row>
    <row r="251" ht="15.75" customHeight="1">
      <c r="A251" s="214"/>
    </row>
    <row r="252" ht="15.75" customHeight="1">
      <c r="A252" s="214"/>
    </row>
    <row r="253" ht="15.75" customHeight="1">
      <c r="A253" s="214"/>
    </row>
    <row r="254" ht="15.75" customHeight="1">
      <c r="A254" s="214"/>
    </row>
    <row r="255" ht="15.75" customHeight="1">
      <c r="A255" s="214"/>
    </row>
    <row r="256" ht="15.75" customHeight="1">
      <c r="A256" s="214"/>
    </row>
    <row r="257" ht="15.75" customHeight="1">
      <c r="A257" s="214"/>
    </row>
    <row r="258" ht="15.75" customHeight="1">
      <c r="A258" s="214"/>
    </row>
    <row r="259" ht="15.75" customHeight="1">
      <c r="A259" s="214"/>
    </row>
    <row r="260" ht="15.75" customHeight="1">
      <c r="A260" s="214"/>
    </row>
    <row r="261" ht="15.75" customHeight="1">
      <c r="A261" s="214"/>
    </row>
    <row r="262" ht="15.75" customHeight="1">
      <c r="A262" s="214"/>
    </row>
    <row r="263" ht="15.75" customHeight="1">
      <c r="A263" s="214"/>
    </row>
    <row r="264" ht="15.75" customHeight="1">
      <c r="A264" s="214"/>
    </row>
    <row r="265" ht="15.75" customHeight="1">
      <c r="A265" s="214"/>
    </row>
    <row r="266" ht="15.75" customHeight="1">
      <c r="A266" s="214"/>
    </row>
    <row r="267" ht="15.75" customHeight="1">
      <c r="A267" s="214"/>
    </row>
    <row r="268" ht="15.75" customHeight="1">
      <c r="A268" s="214"/>
    </row>
    <row r="269" ht="15.75" customHeight="1">
      <c r="A269" s="214"/>
    </row>
    <row r="270" ht="15.75" customHeight="1">
      <c r="A270" s="214"/>
    </row>
    <row r="271" ht="15.75" customHeight="1">
      <c r="A271" s="214"/>
    </row>
    <row r="272" ht="15.75" customHeight="1">
      <c r="A272" s="214"/>
    </row>
    <row r="273" ht="15.75" customHeight="1">
      <c r="A273" s="214"/>
    </row>
    <row r="274" ht="15.75" customHeight="1">
      <c r="A274" s="214"/>
    </row>
    <row r="275" ht="15.75" customHeight="1">
      <c r="A275" s="214"/>
    </row>
    <row r="276" ht="15.75" customHeight="1">
      <c r="A276" s="214"/>
    </row>
    <row r="277" ht="15.75" customHeight="1">
      <c r="A277" s="214"/>
    </row>
    <row r="278" ht="15.75" customHeight="1">
      <c r="A278" s="214"/>
    </row>
    <row r="279" ht="15.75" customHeight="1">
      <c r="A279" s="214"/>
    </row>
    <row r="280" ht="15.75" customHeight="1">
      <c r="A280" s="214"/>
    </row>
    <row r="281" ht="15.75" customHeight="1">
      <c r="A281" s="214"/>
    </row>
    <row r="282" ht="15.75" customHeight="1">
      <c r="A282" s="214"/>
    </row>
    <row r="283" ht="15.75" customHeight="1">
      <c r="A283" s="214"/>
    </row>
    <row r="284" ht="15.75" customHeight="1">
      <c r="A284" s="214"/>
    </row>
    <row r="285" ht="15.75" customHeight="1">
      <c r="A285" s="214"/>
    </row>
    <row r="286" ht="15.75" customHeight="1">
      <c r="A286" s="214"/>
    </row>
    <row r="287" ht="15.75" customHeight="1">
      <c r="A287" s="214"/>
    </row>
    <row r="288" ht="15.75" customHeight="1">
      <c r="A288" s="214"/>
    </row>
    <row r="289" ht="15.75" customHeight="1">
      <c r="A289" s="214"/>
    </row>
    <row r="290" ht="15.75" customHeight="1">
      <c r="A290" s="214"/>
    </row>
    <row r="291" ht="15.75" customHeight="1">
      <c r="A291" s="214"/>
    </row>
    <row r="292" ht="15.75" customHeight="1">
      <c r="A292" s="214"/>
    </row>
    <row r="293" ht="15.75" customHeight="1">
      <c r="A293" s="214"/>
    </row>
    <row r="294" ht="15.75" customHeight="1">
      <c r="A294" s="214"/>
    </row>
    <row r="295" ht="15.75" customHeight="1">
      <c r="A295" s="214"/>
    </row>
    <row r="296" ht="15.75" customHeight="1">
      <c r="A296" s="214"/>
    </row>
    <row r="297" ht="15.75" customHeight="1">
      <c r="A297" s="214"/>
    </row>
    <row r="298" ht="15.75" customHeight="1">
      <c r="A298" s="214"/>
    </row>
    <row r="299" ht="15.75" customHeight="1">
      <c r="A299" s="214"/>
    </row>
    <row r="300" ht="15.75" customHeight="1">
      <c r="A300" s="214"/>
    </row>
    <row r="301" ht="15.75" customHeight="1">
      <c r="A301" s="214"/>
    </row>
    <row r="302" ht="15.75" customHeight="1">
      <c r="A302" s="214"/>
    </row>
    <row r="303" ht="15.75" customHeight="1">
      <c r="A303" s="214"/>
    </row>
    <row r="304" ht="15.75" customHeight="1">
      <c r="A304" s="214"/>
    </row>
    <row r="305" ht="15.75" customHeight="1">
      <c r="A305" s="214"/>
    </row>
    <row r="306" ht="15.75" customHeight="1">
      <c r="A306" s="214"/>
    </row>
    <row r="307" ht="15.75" customHeight="1">
      <c r="A307" s="214"/>
    </row>
    <row r="308" ht="15.75" customHeight="1">
      <c r="A308" s="214"/>
    </row>
    <row r="309" ht="15.75" customHeight="1">
      <c r="A309" s="214"/>
    </row>
    <row r="310" ht="15.75" customHeight="1">
      <c r="A310" s="214"/>
    </row>
    <row r="311" ht="15.75" customHeight="1">
      <c r="A311" s="214"/>
    </row>
    <row r="312" ht="15.75" customHeight="1">
      <c r="A312" s="214"/>
    </row>
    <row r="313" ht="15.75" customHeight="1">
      <c r="A313" s="214"/>
    </row>
    <row r="314" ht="15.75" customHeight="1">
      <c r="A314" s="214"/>
    </row>
    <row r="315" ht="15.75" customHeight="1">
      <c r="A315" s="214"/>
    </row>
    <row r="316" ht="15.75" customHeight="1">
      <c r="A316" s="214"/>
    </row>
    <row r="317" ht="15.75" customHeight="1">
      <c r="A317" s="214"/>
    </row>
    <row r="318" ht="15.75" customHeight="1">
      <c r="A318" s="214"/>
    </row>
    <row r="319" ht="15.75" customHeight="1">
      <c r="A319" s="214"/>
    </row>
    <row r="320" ht="15.75" customHeight="1">
      <c r="A320" s="214"/>
    </row>
    <row r="321" ht="15.75" customHeight="1">
      <c r="A321" s="214"/>
    </row>
    <row r="322" ht="15.75" customHeight="1">
      <c r="A322" s="214"/>
    </row>
    <row r="323" ht="15.75" customHeight="1">
      <c r="A323" s="214"/>
    </row>
    <row r="324" ht="15.75" customHeight="1">
      <c r="A324" s="214"/>
    </row>
    <row r="325" ht="15.75" customHeight="1">
      <c r="A325" s="214"/>
    </row>
    <row r="326" ht="15.75" customHeight="1">
      <c r="A326" s="214"/>
    </row>
    <row r="327" ht="15.75" customHeight="1">
      <c r="A327" s="214"/>
    </row>
    <row r="328" ht="15.75" customHeight="1">
      <c r="A328" s="214"/>
    </row>
    <row r="329" ht="15.75" customHeight="1">
      <c r="A329" s="214"/>
    </row>
    <row r="330" ht="15.75" customHeight="1">
      <c r="A330" s="214"/>
    </row>
    <row r="331" ht="15.75" customHeight="1">
      <c r="A331" s="214"/>
    </row>
    <row r="332" ht="15.75" customHeight="1">
      <c r="A332" s="214"/>
    </row>
    <row r="333" ht="15.75" customHeight="1">
      <c r="A333" s="214"/>
    </row>
    <row r="334" ht="15.75" customHeight="1">
      <c r="A334" s="214"/>
    </row>
    <row r="335" ht="15.75" customHeight="1">
      <c r="A335" s="214"/>
    </row>
    <row r="336" ht="15.75" customHeight="1">
      <c r="A336" s="214"/>
    </row>
    <row r="337" ht="15.75" customHeight="1">
      <c r="A337" s="214"/>
    </row>
    <row r="338" ht="15.75" customHeight="1">
      <c r="A338" s="214"/>
    </row>
    <row r="339" ht="15.75" customHeight="1">
      <c r="A339" s="214"/>
    </row>
    <row r="340" ht="15.75" customHeight="1">
      <c r="A340" s="214"/>
    </row>
    <row r="341" ht="15.75" customHeight="1">
      <c r="A341" s="214"/>
    </row>
    <row r="342" ht="15.75" customHeight="1">
      <c r="A342" s="214"/>
    </row>
    <row r="343" ht="15.75" customHeight="1">
      <c r="A343" s="214"/>
    </row>
    <row r="344" ht="15.75" customHeight="1">
      <c r="A344" s="214"/>
    </row>
    <row r="345" ht="15.75" customHeight="1">
      <c r="A345" s="214"/>
    </row>
    <row r="346" ht="15.75" customHeight="1">
      <c r="A346" s="214"/>
    </row>
    <row r="347" ht="15.75" customHeight="1">
      <c r="A347" s="214"/>
    </row>
    <row r="348" ht="15.75" customHeight="1">
      <c r="A348" s="214"/>
    </row>
    <row r="349" ht="15.75" customHeight="1">
      <c r="A349" s="214"/>
    </row>
    <row r="350" ht="15.75" customHeight="1">
      <c r="A350" s="214"/>
    </row>
    <row r="351" ht="15.75" customHeight="1">
      <c r="A351" s="214"/>
    </row>
    <row r="352" ht="15.75" customHeight="1">
      <c r="A352" s="214"/>
    </row>
    <row r="353" ht="15.75" customHeight="1">
      <c r="A353" s="214"/>
    </row>
    <row r="354" ht="15.75" customHeight="1">
      <c r="A354" s="214"/>
    </row>
    <row r="355" ht="15.75" customHeight="1">
      <c r="A355" s="214"/>
    </row>
    <row r="356" ht="15.75" customHeight="1">
      <c r="A356" s="214"/>
    </row>
    <row r="357" ht="15.75" customHeight="1">
      <c r="A357" s="214"/>
    </row>
    <row r="358" ht="15.75" customHeight="1">
      <c r="A358" s="214"/>
    </row>
    <row r="359" ht="15.75" customHeight="1">
      <c r="A359" s="214"/>
    </row>
    <row r="360" ht="15.75" customHeight="1">
      <c r="A360" s="214"/>
    </row>
    <row r="361" ht="15.75" customHeight="1">
      <c r="A361" s="214"/>
    </row>
    <row r="362" ht="15.75" customHeight="1">
      <c r="A362" s="214"/>
    </row>
    <row r="363" ht="15.75" customHeight="1">
      <c r="A363" s="214"/>
    </row>
    <row r="364" ht="15.75" customHeight="1">
      <c r="A364" s="214"/>
    </row>
    <row r="365" ht="15.75" customHeight="1">
      <c r="A365" s="214"/>
    </row>
    <row r="366" ht="15.75" customHeight="1">
      <c r="A366" s="214"/>
    </row>
    <row r="367" ht="15.75" customHeight="1">
      <c r="A367" s="214"/>
    </row>
    <row r="368" ht="15.75" customHeight="1">
      <c r="A368" s="214"/>
    </row>
    <row r="369" ht="15.75" customHeight="1">
      <c r="A369" s="214"/>
    </row>
    <row r="370" ht="15.75" customHeight="1">
      <c r="A370" s="214"/>
    </row>
    <row r="371" ht="15.75" customHeight="1">
      <c r="A371" s="214"/>
    </row>
    <row r="372" ht="15.75" customHeight="1">
      <c r="A372" s="214"/>
    </row>
    <row r="373" ht="15.75" customHeight="1">
      <c r="A373" s="214"/>
    </row>
    <row r="374" ht="15.75" customHeight="1">
      <c r="A374" s="214"/>
    </row>
    <row r="375" ht="15.75" customHeight="1">
      <c r="A375" s="214"/>
    </row>
    <row r="376" ht="15.75" customHeight="1">
      <c r="A376" s="214"/>
    </row>
    <row r="377" ht="15.75" customHeight="1">
      <c r="A377" s="214"/>
    </row>
    <row r="378" ht="15.75" customHeight="1">
      <c r="A378" s="214"/>
    </row>
    <row r="379" ht="15.75" customHeight="1">
      <c r="A379" s="214"/>
    </row>
    <row r="380" ht="15.75" customHeight="1">
      <c r="A380" s="214"/>
    </row>
    <row r="381" ht="15.75" customHeight="1">
      <c r="A381" s="214"/>
    </row>
    <row r="382" ht="15.75" customHeight="1">
      <c r="A382" s="214"/>
    </row>
    <row r="383" ht="15.75" customHeight="1">
      <c r="A383" s="214"/>
    </row>
    <row r="384" ht="15.75" customHeight="1">
      <c r="A384" s="214"/>
    </row>
    <row r="385" ht="15.75" customHeight="1">
      <c r="A385" s="214"/>
    </row>
    <row r="386" ht="15.75" customHeight="1">
      <c r="A386" s="214"/>
    </row>
    <row r="387" ht="15.75" customHeight="1">
      <c r="A387" s="214"/>
    </row>
    <row r="388" ht="15.75" customHeight="1">
      <c r="A388" s="214"/>
    </row>
    <row r="389" ht="15.75" customHeight="1">
      <c r="A389" s="214"/>
    </row>
    <row r="390" ht="15.75" customHeight="1">
      <c r="A390" s="214"/>
    </row>
    <row r="391" ht="15.75" customHeight="1">
      <c r="A391" s="214"/>
    </row>
    <row r="392" ht="15.75" customHeight="1">
      <c r="A392" s="214"/>
    </row>
    <row r="393" ht="15.75" customHeight="1">
      <c r="A393" s="214"/>
    </row>
    <row r="394" ht="15.75" customHeight="1">
      <c r="A394" s="214"/>
    </row>
    <row r="395" ht="15.75" customHeight="1">
      <c r="A395" s="214"/>
    </row>
    <row r="396" ht="15.75" customHeight="1">
      <c r="A396" s="214"/>
    </row>
    <row r="397" ht="15.75" customHeight="1">
      <c r="A397" s="214"/>
    </row>
    <row r="398" ht="15.75" customHeight="1">
      <c r="A398" s="214"/>
    </row>
    <row r="399" ht="15.75" customHeight="1">
      <c r="A399" s="214"/>
    </row>
    <row r="400" ht="15.75" customHeight="1">
      <c r="A400" s="214"/>
    </row>
    <row r="401" ht="15.75" customHeight="1">
      <c r="A401" s="214"/>
    </row>
    <row r="402" ht="15.75" customHeight="1">
      <c r="A402" s="214"/>
    </row>
    <row r="403" ht="15.75" customHeight="1">
      <c r="A403" s="214"/>
    </row>
    <row r="404" ht="15.75" customHeight="1">
      <c r="A404" s="214"/>
    </row>
    <row r="405" ht="15.75" customHeight="1">
      <c r="A405" s="214"/>
    </row>
    <row r="406" ht="15.75" customHeight="1">
      <c r="A406" s="214"/>
    </row>
    <row r="407" ht="15.75" customHeight="1">
      <c r="A407" s="214"/>
    </row>
    <row r="408" ht="15.75" customHeight="1">
      <c r="A408" s="214"/>
    </row>
    <row r="409" ht="15.75" customHeight="1">
      <c r="A409" s="214"/>
    </row>
    <row r="410" ht="15.75" customHeight="1">
      <c r="A410" s="214"/>
    </row>
    <row r="411" ht="15.75" customHeight="1">
      <c r="A411" s="214"/>
    </row>
    <row r="412" ht="15.75" customHeight="1">
      <c r="A412" s="214"/>
    </row>
    <row r="413" ht="15.75" customHeight="1">
      <c r="A413" s="214"/>
    </row>
    <row r="414" ht="15.75" customHeight="1">
      <c r="A414" s="214"/>
    </row>
    <row r="415" ht="15.75" customHeight="1">
      <c r="A415" s="214"/>
    </row>
    <row r="416" ht="15.75" customHeight="1">
      <c r="A416" s="214"/>
    </row>
    <row r="417" ht="15.75" customHeight="1">
      <c r="A417" s="214"/>
    </row>
    <row r="418" ht="15.75" customHeight="1">
      <c r="A418" s="214"/>
    </row>
    <row r="419" ht="15.75" customHeight="1">
      <c r="A419" s="214"/>
    </row>
    <row r="420" ht="15.75" customHeight="1">
      <c r="A420" s="214"/>
    </row>
    <row r="421" ht="15.75" customHeight="1">
      <c r="A421" s="214"/>
    </row>
    <row r="422" ht="15.75" customHeight="1">
      <c r="A422" s="214"/>
    </row>
    <row r="423" ht="15.75" customHeight="1">
      <c r="A423" s="214"/>
    </row>
    <row r="424" ht="15.75" customHeight="1">
      <c r="A424" s="214"/>
    </row>
    <row r="425" ht="15.75" customHeight="1">
      <c r="A425" s="214"/>
    </row>
    <row r="426" ht="15.75" customHeight="1">
      <c r="A426" s="214"/>
    </row>
    <row r="427" ht="15.75" customHeight="1">
      <c r="A427" s="214"/>
    </row>
    <row r="428" ht="15.75" customHeight="1">
      <c r="A428" s="214"/>
    </row>
    <row r="429" ht="15.75" customHeight="1">
      <c r="A429" s="214"/>
    </row>
    <row r="430" ht="15.75" customHeight="1">
      <c r="A430" s="214"/>
    </row>
    <row r="431" ht="15.75" customHeight="1">
      <c r="A431" s="214"/>
    </row>
    <row r="432" ht="15.75" customHeight="1">
      <c r="A432" s="214"/>
    </row>
    <row r="433" ht="15.75" customHeight="1">
      <c r="A433" s="214"/>
    </row>
    <row r="434" ht="15.75" customHeight="1">
      <c r="A434" s="214"/>
    </row>
    <row r="435" ht="15.75" customHeight="1">
      <c r="A435" s="214"/>
    </row>
    <row r="436" ht="15.75" customHeight="1">
      <c r="A436" s="214"/>
    </row>
    <row r="437" ht="15.75" customHeight="1">
      <c r="A437" s="214"/>
    </row>
    <row r="438" ht="15.75" customHeight="1">
      <c r="A438" s="214"/>
    </row>
    <row r="439" ht="15.75" customHeight="1">
      <c r="A439" s="214"/>
    </row>
    <row r="440" ht="15.75" customHeight="1">
      <c r="A440" s="214"/>
    </row>
    <row r="441" ht="15.75" customHeight="1">
      <c r="A441" s="214"/>
    </row>
    <row r="442" ht="15.75" customHeight="1">
      <c r="A442" s="214"/>
    </row>
    <row r="443" ht="15.75" customHeight="1">
      <c r="A443" s="214"/>
    </row>
    <row r="444" ht="15.75" customHeight="1">
      <c r="A444" s="214"/>
    </row>
    <row r="445" ht="15.75" customHeight="1">
      <c r="A445" s="214"/>
    </row>
    <row r="446" ht="15.75" customHeight="1">
      <c r="A446" s="214"/>
    </row>
    <row r="447" ht="15.75" customHeight="1">
      <c r="A447" s="214"/>
    </row>
    <row r="448" ht="15.75" customHeight="1">
      <c r="A448" s="214"/>
    </row>
    <row r="449" ht="15.75" customHeight="1">
      <c r="A449" s="214"/>
    </row>
    <row r="450" ht="15.75" customHeight="1">
      <c r="A450" s="214"/>
    </row>
    <row r="451" ht="15.75" customHeight="1">
      <c r="A451" s="214"/>
    </row>
    <row r="452" ht="15.75" customHeight="1">
      <c r="A452" s="214"/>
    </row>
    <row r="453" ht="15.75" customHeight="1">
      <c r="A453" s="214"/>
    </row>
    <row r="454" ht="15.75" customHeight="1">
      <c r="A454" s="214"/>
    </row>
    <row r="455" ht="15.75" customHeight="1">
      <c r="A455" s="214"/>
    </row>
    <row r="456" ht="15.75" customHeight="1">
      <c r="A456" s="214"/>
    </row>
    <row r="457" ht="15.75" customHeight="1">
      <c r="A457" s="214"/>
    </row>
    <row r="458" ht="15.75" customHeight="1">
      <c r="A458" s="214"/>
    </row>
    <row r="459" ht="15.75" customHeight="1">
      <c r="A459" s="214"/>
    </row>
    <row r="460" ht="15.75" customHeight="1">
      <c r="A460" s="214"/>
    </row>
    <row r="461" ht="15.75" customHeight="1">
      <c r="A461" s="214"/>
    </row>
    <row r="462" ht="15.75" customHeight="1">
      <c r="A462" s="214"/>
    </row>
    <row r="463" ht="15.75" customHeight="1">
      <c r="A463" s="214"/>
    </row>
    <row r="464" ht="15.75" customHeight="1">
      <c r="A464" s="214"/>
    </row>
    <row r="465" ht="15.75" customHeight="1">
      <c r="A465" s="214"/>
    </row>
    <row r="466" ht="15.75" customHeight="1">
      <c r="A466" s="214"/>
    </row>
    <row r="467" ht="15.75" customHeight="1">
      <c r="A467" s="214"/>
    </row>
    <row r="468" ht="15.75" customHeight="1">
      <c r="A468" s="214"/>
    </row>
    <row r="469" ht="15.75" customHeight="1">
      <c r="A469" s="214"/>
    </row>
    <row r="470" ht="15.75" customHeight="1">
      <c r="A470" s="214"/>
    </row>
    <row r="471" ht="15.75" customHeight="1">
      <c r="A471" s="214"/>
    </row>
    <row r="472" ht="15.75" customHeight="1">
      <c r="A472" s="214"/>
    </row>
    <row r="473" ht="15.75" customHeight="1">
      <c r="A473" s="214"/>
    </row>
    <row r="474" ht="15.75" customHeight="1">
      <c r="A474" s="214"/>
    </row>
    <row r="475" ht="15.75" customHeight="1">
      <c r="A475" s="214"/>
    </row>
    <row r="476" ht="15.75" customHeight="1">
      <c r="A476" s="214"/>
    </row>
    <row r="477" ht="15.75" customHeight="1">
      <c r="A477" s="214"/>
    </row>
    <row r="478" ht="15.75" customHeight="1">
      <c r="A478" s="214"/>
    </row>
    <row r="479" ht="15.75" customHeight="1">
      <c r="A479" s="214"/>
    </row>
    <row r="480" ht="15.75" customHeight="1">
      <c r="A480" s="214"/>
    </row>
    <row r="481" ht="15.75" customHeight="1">
      <c r="A481" s="214"/>
    </row>
    <row r="482" ht="15.75" customHeight="1">
      <c r="A482" s="214"/>
    </row>
    <row r="483" ht="15.75" customHeight="1">
      <c r="A483" s="214"/>
    </row>
    <row r="484" ht="15.75" customHeight="1">
      <c r="A484" s="214"/>
    </row>
    <row r="485" ht="15.75" customHeight="1">
      <c r="A485" s="214"/>
    </row>
    <row r="486" ht="15.75" customHeight="1">
      <c r="A486" s="214"/>
    </row>
    <row r="487" ht="15.75" customHeight="1">
      <c r="A487" s="214"/>
    </row>
    <row r="488" ht="15.75" customHeight="1">
      <c r="A488" s="214"/>
    </row>
    <row r="489" ht="15.75" customHeight="1">
      <c r="A489" s="214"/>
    </row>
    <row r="490" ht="15.75" customHeight="1">
      <c r="A490" s="214"/>
    </row>
    <row r="491" ht="15.75" customHeight="1">
      <c r="A491" s="214"/>
    </row>
    <row r="492" ht="15.75" customHeight="1">
      <c r="A492" s="214"/>
    </row>
    <row r="493" ht="15.75" customHeight="1">
      <c r="A493" s="214"/>
    </row>
    <row r="494" ht="15.75" customHeight="1">
      <c r="A494" s="214"/>
    </row>
    <row r="495" ht="15.75" customHeight="1">
      <c r="A495" s="214"/>
    </row>
    <row r="496" ht="15.75" customHeight="1">
      <c r="A496" s="214"/>
    </row>
    <row r="497" ht="15.75" customHeight="1">
      <c r="A497" s="214"/>
    </row>
    <row r="498" ht="15.75" customHeight="1">
      <c r="A498" s="214"/>
    </row>
    <row r="499" ht="15.75" customHeight="1">
      <c r="A499" s="214"/>
    </row>
    <row r="500" ht="15.75" customHeight="1">
      <c r="A500" s="214"/>
    </row>
    <row r="501" ht="15.75" customHeight="1">
      <c r="A501" s="214"/>
    </row>
    <row r="502" ht="15.75" customHeight="1">
      <c r="A502" s="214"/>
    </row>
    <row r="503" ht="15.75" customHeight="1">
      <c r="A503" s="214"/>
    </row>
    <row r="504" ht="15.75" customHeight="1">
      <c r="A504" s="214"/>
    </row>
    <row r="505" ht="15.75" customHeight="1">
      <c r="A505" s="214"/>
    </row>
    <row r="506" ht="15.75" customHeight="1">
      <c r="A506" s="214"/>
    </row>
    <row r="507" ht="15.75" customHeight="1">
      <c r="A507" s="214"/>
    </row>
    <row r="508" ht="15.75" customHeight="1">
      <c r="A508" s="214"/>
    </row>
    <row r="509" ht="15.75" customHeight="1">
      <c r="A509" s="214"/>
    </row>
    <row r="510" ht="15.75" customHeight="1">
      <c r="A510" s="214"/>
    </row>
    <row r="511" ht="15.75" customHeight="1">
      <c r="A511" s="214"/>
    </row>
    <row r="512" ht="15.75" customHeight="1">
      <c r="A512" s="214"/>
    </row>
    <row r="513" ht="15.75" customHeight="1">
      <c r="A513" s="214"/>
    </row>
    <row r="514" ht="15.75" customHeight="1">
      <c r="A514" s="214"/>
    </row>
    <row r="515" ht="15.75" customHeight="1">
      <c r="A515" s="214"/>
    </row>
    <row r="516" ht="15.75" customHeight="1">
      <c r="A516" s="214"/>
    </row>
    <row r="517" ht="15.75" customHeight="1">
      <c r="A517" s="214"/>
    </row>
    <row r="518" ht="15.75" customHeight="1">
      <c r="A518" s="214"/>
    </row>
    <row r="519" ht="15.75" customHeight="1">
      <c r="A519" s="214"/>
    </row>
    <row r="520" ht="15.75" customHeight="1">
      <c r="A520" s="214"/>
    </row>
    <row r="521" ht="15.75" customHeight="1">
      <c r="A521" s="214"/>
    </row>
    <row r="522" ht="15.75" customHeight="1">
      <c r="A522" s="214"/>
    </row>
    <row r="523" ht="15.75" customHeight="1">
      <c r="A523" s="214"/>
    </row>
    <row r="524" ht="15.75" customHeight="1">
      <c r="A524" s="214"/>
    </row>
    <row r="525" ht="15.75" customHeight="1">
      <c r="A525" s="214"/>
    </row>
    <row r="526" ht="15.75" customHeight="1">
      <c r="A526" s="214"/>
    </row>
    <row r="527" ht="15.75" customHeight="1">
      <c r="A527" s="214"/>
    </row>
    <row r="528" ht="15.75" customHeight="1">
      <c r="A528" s="214"/>
    </row>
    <row r="529" ht="15.75" customHeight="1">
      <c r="A529" s="214"/>
    </row>
    <row r="530" ht="15.75" customHeight="1">
      <c r="A530" s="214"/>
    </row>
    <row r="531" ht="15.75" customHeight="1">
      <c r="A531" s="214"/>
    </row>
    <row r="532" ht="15.75" customHeight="1">
      <c r="A532" s="214"/>
    </row>
    <row r="533" ht="15.75" customHeight="1">
      <c r="A533" s="214"/>
    </row>
    <row r="534" ht="15.75" customHeight="1">
      <c r="A534" s="214"/>
    </row>
    <row r="535" ht="15.75" customHeight="1">
      <c r="A535" s="214"/>
    </row>
    <row r="536" ht="15.75" customHeight="1">
      <c r="A536" s="214"/>
    </row>
    <row r="537" ht="15.75" customHeight="1">
      <c r="A537" s="214"/>
    </row>
    <row r="538" ht="15.75" customHeight="1">
      <c r="A538" s="214"/>
    </row>
    <row r="539" ht="15.75" customHeight="1">
      <c r="A539" s="214"/>
    </row>
    <row r="540" ht="15.75" customHeight="1">
      <c r="A540" s="214"/>
    </row>
    <row r="541" ht="15.75" customHeight="1">
      <c r="A541" s="214"/>
    </row>
    <row r="542" ht="15.75" customHeight="1">
      <c r="A542" s="214"/>
    </row>
    <row r="543" ht="15.75" customHeight="1">
      <c r="A543" s="214"/>
    </row>
    <row r="544" ht="15.75" customHeight="1">
      <c r="A544" s="214"/>
    </row>
    <row r="545" ht="15.75" customHeight="1">
      <c r="A545" s="214"/>
    </row>
    <row r="546" ht="15.75" customHeight="1">
      <c r="A546" s="214"/>
    </row>
    <row r="547" ht="15.75" customHeight="1">
      <c r="A547" s="214"/>
    </row>
    <row r="548" ht="15.75" customHeight="1">
      <c r="A548" s="214"/>
    </row>
    <row r="549" ht="15.75" customHeight="1">
      <c r="A549" s="214"/>
    </row>
    <row r="550" ht="15.75" customHeight="1">
      <c r="A550" s="214"/>
    </row>
    <row r="551" ht="15.75" customHeight="1">
      <c r="A551" s="214"/>
    </row>
    <row r="552" ht="15.75" customHeight="1">
      <c r="A552" s="214"/>
    </row>
    <row r="553" ht="15.75" customHeight="1">
      <c r="A553" s="214"/>
    </row>
    <row r="554" ht="15.75" customHeight="1">
      <c r="A554" s="214"/>
    </row>
    <row r="555" ht="15.75" customHeight="1">
      <c r="A555" s="214"/>
    </row>
    <row r="556" ht="15.75" customHeight="1">
      <c r="A556" s="214"/>
    </row>
    <row r="557" ht="15.75" customHeight="1">
      <c r="A557" s="214"/>
    </row>
    <row r="558" ht="15.75" customHeight="1">
      <c r="A558" s="214"/>
    </row>
    <row r="559" ht="15.75" customHeight="1">
      <c r="A559" s="214"/>
    </row>
    <row r="560" ht="15.75" customHeight="1">
      <c r="A560" s="214"/>
    </row>
    <row r="561" ht="15.75" customHeight="1">
      <c r="A561" s="214"/>
    </row>
    <row r="562" ht="15.75" customHeight="1">
      <c r="A562" s="214"/>
    </row>
    <row r="563" ht="15.75" customHeight="1">
      <c r="A563" s="214"/>
    </row>
    <row r="564" ht="15.75" customHeight="1">
      <c r="A564" s="214"/>
    </row>
    <row r="565" ht="15.75" customHeight="1">
      <c r="A565" s="214"/>
    </row>
    <row r="566" ht="15.75" customHeight="1">
      <c r="A566" s="214"/>
    </row>
    <row r="567" ht="15.75" customHeight="1">
      <c r="A567" s="214"/>
    </row>
    <row r="568" ht="15.75" customHeight="1">
      <c r="A568" s="214"/>
    </row>
    <row r="569" ht="15.75" customHeight="1">
      <c r="A569" s="214"/>
    </row>
    <row r="570" ht="15.75" customHeight="1">
      <c r="A570" s="214"/>
    </row>
    <row r="571" ht="15.75" customHeight="1">
      <c r="A571" s="214"/>
    </row>
    <row r="572" ht="15.75" customHeight="1">
      <c r="A572" s="214"/>
    </row>
    <row r="573" ht="15.75" customHeight="1">
      <c r="A573" s="214"/>
    </row>
    <row r="574" ht="15.75" customHeight="1">
      <c r="A574" s="214"/>
    </row>
    <row r="575" ht="15.75" customHeight="1">
      <c r="A575" s="214"/>
    </row>
    <row r="576" ht="15.75" customHeight="1">
      <c r="A576" s="214"/>
    </row>
    <row r="577" ht="15.75" customHeight="1">
      <c r="A577" s="214"/>
    </row>
    <row r="578" ht="15.75" customHeight="1">
      <c r="A578" s="214"/>
    </row>
    <row r="579" ht="15.75" customHeight="1">
      <c r="A579" s="214"/>
    </row>
    <row r="580" ht="15.75" customHeight="1">
      <c r="A580" s="214"/>
    </row>
    <row r="581" ht="15.75" customHeight="1">
      <c r="A581" s="214"/>
    </row>
    <row r="582" ht="15.75" customHeight="1">
      <c r="A582" s="214"/>
    </row>
    <row r="583" ht="15.75" customHeight="1">
      <c r="A583" s="214"/>
    </row>
    <row r="584" ht="15.75" customHeight="1">
      <c r="A584" s="214"/>
    </row>
    <row r="585" ht="15.75" customHeight="1">
      <c r="A585" s="214"/>
    </row>
    <row r="586" ht="15.75" customHeight="1">
      <c r="A586" s="214"/>
    </row>
    <row r="587" ht="15.75" customHeight="1">
      <c r="A587" s="214"/>
    </row>
    <row r="588" ht="15.75" customHeight="1">
      <c r="A588" s="214"/>
    </row>
    <row r="589" ht="15.75" customHeight="1">
      <c r="A589" s="214"/>
    </row>
    <row r="590" ht="15.75" customHeight="1">
      <c r="A590" s="214"/>
    </row>
    <row r="591" ht="15.75" customHeight="1">
      <c r="A591" s="214"/>
    </row>
    <row r="592" ht="15.75" customHeight="1">
      <c r="A592" s="214"/>
    </row>
    <row r="593" ht="15.75" customHeight="1">
      <c r="A593" s="214"/>
    </row>
    <row r="594" ht="15.75" customHeight="1">
      <c r="A594" s="214"/>
    </row>
    <row r="595" ht="15.75" customHeight="1">
      <c r="A595" s="214"/>
    </row>
    <row r="596" ht="15.75" customHeight="1">
      <c r="A596" s="214"/>
    </row>
    <row r="597" ht="15.75" customHeight="1">
      <c r="A597" s="214"/>
    </row>
    <row r="598" ht="15.75" customHeight="1">
      <c r="A598" s="214"/>
    </row>
    <row r="599" ht="15.75" customHeight="1">
      <c r="A599" s="214"/>
    </row>
    <row r="600" ht="15.75" customHeight="1">
      <c r="A600" s="214"/>
    </row>
    <row r="601" ht="15.75" customHeight="1">
      <c r="A601" s="214"/>
    </row>
    <row r="602" ht="15.75" customHeight="1">
      <c r="A602" s="214"/>
    </row>
    <row r="603" ht="15.75" customHeight="1">
      <c r="A603" s="214"/>
    </row>
    <row r="604" ht="15.75" customHeight="1">
      <c r="A604" s="214"/>
    </row>
    <row r="605" ht="15.75" customHeight="1">
      <c r="A605" s="214"/>
    </row>
    <row r="606" ht="15.75" customHeight="1">
      <c r="A606" s="214"/>
    </row>
    <row r="607" ht="15.75" customHeight="1">
      <c r="A607" s="214"/>
    </row>
    <row r="608" ht="15.75" customHeight="1">
      <c r="A608" s="214"/>
    </row>
    <row r="609" ht="15.75" customHeight="1">
      <c r="A609" s="214"/>
    </row>
    <row r="610" ht="15.75" customHeight="1">
      <c r="A610" s="214"/>
    </row>
    <row r="611" ht="15.75" customHeight="1">
      <c r="A611" s="214"/>
    </row>
    <row r="612" ht="15.75" customHeight="1">
      <c r="A612" s="214"/>
    </row>
    <row r="613" ht="15.75" customHeight="1">
      <c r="A613" s="214"/>
    </row>
    <row r="614" ht="15.75" customHeight="1">
      <c r="A614" s="214"/>
    </row>
    <row r="615" ht="15.75" customHeight="1">
      <c r="A615" s="214"/>
    </row>
    <row r="616" ht="15.75" customHeight="1">
      <c r="A616" s="214"/>
    </row>
    <row r="617" ht="15.75" customHeight="1">
      <c r="A617" s="214"/>
    </row>
    <row r="618" ht="15.75" customHeight="1">
      <c r="A618" s="214"/>
    </row>
    <row r="619" ht="15.75" customHeight="1">
      <c r="A619" s="214"/>
    </row>
    <row r="620" ht="15.75" customHeight="1">
      <c r="A620" s="214"/>
    </row>
    <row r="621" ht="15.75" customHeight="1">
      <c r="A621" s="214"/>
    </row>
    <row r="622" ht="15.75" customHeight="1">
      <c r="A622" s="214"/>
    </row>
    <row r="623" ht="15.75" customHeight="1">
      <c r="A623" s="214"/>
    </row>
    <row r="624" ht="15.75" customHeight="1">
      <c r="A624" s="214"/>
    </row>
    <row r="625" ht="15.75" customHeight="1">
      <c r="A625" s="214"/>
    </row>
    <row r="626" ht="15.75" customHeight="1">
      <c r="A626" s="214"/>
    </row>
    <row r="627" ht="15.75" customHeight="1">
      <c r="A627" s="214"/>
    </row>
    <row r="628" ht="15.75" customHeight="1">
      <c r="A628" s="214"/>
    </row>
    <row r="629" ht="15.75" customHeight="1">
      <c r="A629" s="214"/>
    </row>
    <row r="630" ht="15.75" customHeight="1">
      <c r="A630" s="214"/>
    </row>
    <row r="631" ht="15.75" customHeight="1">
      <c r="A631" s="214"/>
    </row>
    <row r="632" ht="15.75" customHeight="1">
      <c r="A632" s="214"/>
    </row>
    <row r="633" ht="15.75" customHeight="1">
      <c r="A633" s="214"/>
    </row>
    <row r="634" ht="15.75" customHeight="1">
      <c r="A634" s="214"/>
    </row>
    <row r="635" ht="15.75" customHeight="1">
      <c r="A635" s="214"/>
    </row>
    <row r="636" ht="15.75" customHeight="1">
      <c r="A636" s="214"/>
    </row>
    <row r="637" ht="15.75" customHeight="1">
      <c r="A637" s="214"/>
    </row>
    <row r="638" ht="15.75" customHeight="1">
      <c r="A638" s="214"/>
    </row>
    <row r="639" ht="15.75" customHeight="1">
      <c r="A639" s="214"/>
    </row>
    <row r="640" ht="15.75" customHeight="1">
      <c r="A640" s="214"/>
    </row>
    <row r="641" ht="15.75" customHeight="1">
      <c r="A641" s="214"/>
    </row>
    <row r="642" ht="15.75" customHeight="1">
      <c r="A642" s="214"/>
    </row>
    <row r="643" ht="15.75" customHeight="1">
      <c r="A643" s="214"/>
    </row>
    <row r="644" ht="15.75" customHeight="1">
      <c r="A644" s="214"/>
    </row>
    <row r="645" ht="15.75" customHeight="1">
      <c r="A645" s="214"/>
    </row>
    <row r="646" ht="15.75" customHeight="1">
      <c r="A646" s="214"/>
    </row>
    <row r="647" ht="15.75" customHeight="1">
      <c r="A647" s="214"/>
    </row>
    <row r="648" ht="15.75" customHeight="1">
      <c r="A648" s="214"/>
    </row>
    <row r="649" ht="15.75" customHeight="1">
      <c r="A649" s="214"/>
    </row>
    <row r="650" ht="15.75" customHeight="1">
      <c r="A650" s="214"/>
    </row>
    <row r="651" ht="15.75" customHeight="1">
      <c r="A651" s="214"/>
    </row>
    <row r="652" ht="15.75" customHeight="1">
      <c r="A652" s="214"/>
    </row>
    <row r="653" ht="15.75" customHeight="1">
      <c r="A653" s="214"/>
    </row>
    <row r="654" ht="15.75" customHeight="1">
      <c r="A654" s="214"/>
    </row>
    <row r="655" ht="15.75" customHeight="1">
      <c r="A655" s="214"/>
    </row>
    <row r="656" ht="15.75" customHeight="1">
      <c r="A656" s="214"/>
    </row>
    <row r="657" ht="15.75" customHeight="1">
      <c r="A657" s="214"/>
    </row>
    <row r="658" ht="15.75" customHeight="1">
      <c r="A658" s="214"/>
    </row>
    <row r="659" ht="15.75" customHeight="1">
      <c r="A659" s="214"/>
    </row>
    <row r="660" ht="15.75" customHeight="1">
      <c r="A660" s="214"/>
    </row>
    <row r="661" ht="15.75" customHeight="1">
      <c r="A661" s="214"/>
    </row>
    <row r="662" ht="15.75" customHeight="1">
      <c r="A662" s="214"/>
    </row>
    <row r="663" ht="15.75" customHeight="1">
      <c r="A663" s="214"/>
    </row>
    <row r="664" ht="15.75" customHeight="1">
      <c r="A664" s="214"/>
    </row>
    <row r="665" ht="15.75" customHeight="1">
      <c r="A665" s="214"/>
    </row>
    <row r="666" ht="15.75" customHeight="1">
      <c r="A666" s="214"/>
    </row>
    <row r="667" ht="15.75" customHeight="1">
      <c r="A667" s="214"/>
    </row>
    <row r="668" ht="15.75" customHeight="1">
      <c r="A668" s="214"/>
    </row>
    <row r="669" ht="15.75" customHeight="1">
      <c r="A669" s="214"/>
    </row>
    <row r="670" ht="15.75" customHeight="1">
      <c r="A670" s="214"/>
    </row>
    <row r="671" ht="15.75" customHeight="1">
      <c r="A671" s="214"/>
    </row>
    <row r="672" ht="15.75" customHeight="1">
      <c r="A672" s="214"/>
    </row>
    <row r="673" ht="15.75" customHeight="1">
      <c r="A673" s="214"/>
    </row>
    <row r="674" ht="15.75" customHeight="1">
      <c r="A674" s="214"/>
    </row>
    <row r="675" ht="15.75" customHeight="1">
      <c r="A675" s="214"/>
    </row>
    <row r="676" ht="15.75" customHeight="1">
      <c r="A676" s="214"/>
    </row>
    <row r="677" ht="15.75" customHeight="1">
      <c r="A677" s="214"/>
    </row>
    <row r="678" ht="15.75" customHeight="1">
      <c r="A678" s="214"/>
    </row>
    <row r="679" ht="15.75" customHeight="1">
      <c r="A679" s="214"/>
    </row>
    <row r="680" ht="15.75" customHeight="1">
      <c r="A680" s="214"/>
    </row>
    <row r="681" ht="15.75" customHeight="1">
      <c r="A681" s="214"/>
    </row>
    <row r="682" ht="15.75" customHeight="1">
      <c r="A682" s="214"/>
    </row>
    <row r="683" ht="15.75" customHeight="1">
      <c r="A683" s="214"/>
    </row>
    <row r="684" ht="15.75" customHeight="1">
      <c r="A684" s="214"/>
    </row>
    <row r="685" ht="15.75" customHeight="1">
      <c r="A685" s="214"/>
    </row>
    <row r="686" ht="15.75" customHeight="1">
      <c r="A686" s="214"/>
    </row>
    <row r="687" ht="15.75" customHeight="1">
      <c r="A687" s="214"/>
    </row>
    <row r="688" ht="15.75" customHeight="1">
      <c r="A688" s="214"/>
    </row>
    <row r="689" ht="15.75" customHeight="1">
      <c r="A689" s="214"/>
    </row>
    <row r="690" ht="15.75" customHeight="1">
      <c r="A690" s="214"/>
    </row>
    <row r="691" ht="15.75" customHeight="1">
      <c r="A691" s="214"/>
    </row>
    <row r="692" ht="15.75" customHeight="1">
      <c r="A692" s="214"/>
    </row>
    <row r="693" ht="15.75" customHeight="1">
      <c r="A693" s="214"/>
    </row>
    <row r="694" ht="15.75" customHeight="1">
      <c r="A694" s="214"/>
    </row>
    <row r="695" ht="15.75" customHeight="1">
      <c r="A695" s="214"/>
    </row>
    <row r="696" ht="15.75" customHeight="1">
      <c r="A696" s="214"/>
    </row>
    <row r="697" ht="15.75" customHeight="1">
      <c r="A697" s="214"/>
    </row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5" width="26.43"/>
  </cols>
  <sheetData>
    <row r="1">
      <c r="A1" s="213" t="s">
        <v>401</v>
      </c>
      <c r="B1" s="213" t="s">
        <v>402</v>
      </c>
      <c r="C1" s="213" t="s">
        <v>403</v>
      </c>
      <c r="D1" s="213" t="s">
        <v>404</v>
      </c>
      <c r="E1" s="213" t="s">
        <v>405</v>
      </c>
    </row>
    <row r="2">
      <c r="A2" s="135">
        <v>1.0</v>
      </c>
      <c r="B2" s="135">
        <v>2.8</v>
      </c>
      <c r="C2" s="135">
        <v>47171.0</v>
      </c>
      <c r="D2" s="135">
        <v>97.32</v>
      </c>
      <c r="E2" s="135">
        <v>1.0</v>
      </c>
    </row>
    <row r="3">
      <c r="A3" s="135">
        <v>2.0</v>
      </c>
      <c r="B3" s="135">
        <v>3.08</v>
      </c>
      <c r="C3" s="135">
        <v>46329.0</v>
      </c>
      <c r="D3" s="135">
        <v>95.59</v>
      </c>
      <c r="E3" s="135">
        <v>1.0</v>
      </c>
    </row>
    <row r="4">
      <c r="A4" s="135">
        <v>3.0</v>
      </c>
      <c r="B4" s="135">
        <v>5.0</v>
      </c>
      <c r="C4" s="135">
        <v>43037.0</v>
      </c>
      <c r="D4" s="135">
        <v>88.79</v>
      </c>
      <c r="E4" s="135">
        <v>3.0</v>
      </c>
    </row>
    <row r="5">
      <c r="A5" s="135">
        <v>4.0</v>
      </c>
      <c r="B5" s="135">
        <v>5.46</v>
      </c>
      <c r="C5" s="135">
        <v>42333.0</v>
      </c>
      <c r="D5" s="135">
        <v>87.34</v>
      </c>
      <c r="E5" s="135">
        <v>4.0</v>
      </c>
    </row>
    <row r="6">
      <c r="A6" s="135">
        <v>5.0</v>
      </c>
      <c r="B6" s="135">
        <v>6.38</v>
      </c>
      <c r="C6" s="135">
        <v>41077.0</v>
      </c>
      <c r="D6" s="135">
        <v>84.75</v>
      </c>
      <c r="E6" s="135">
        <v>5.0</v>
      </c>
    </row>
    <row r="7">
      <c r="A7" s="135">
        <v>6.0</v>
      </c>
      <c r="B7" s="135">
        <v>9.23</v>
      </c>
      <c r="C7" s="135">
        <v>37508.0</v>
      </c>
      <c r="D7" s="135">
        <v>77.39</v>
      </c>
      <c r="E7" s="135">
        <v>8.0</v>
      </c>
    </row>
    <row r="8">
      <c r="A8" s="135">
        <v>7.0</v>
      </c>
      <c r="B8" s="135">
        <v>10.15</v>
      </c>
      <c r="C8" s="135">
        <v>36624.0</v>
      </c>
      <c r="D8" s="135">
        <v>75.56</v>
      </c>
      <c r="E8" s="135">
        <v>9.0</v>
      </c>
    </row>
    <row r="9">
      <c r="A9" s="135">
        <v>8.0</v>
      </c>
      <c r="B9" s="135">
        <v>11.93</v>
      </c>
      <c r="C9" s="135">
        <v>34915.0</v>
      </c>
      <c r="D9" s="135">
        <v>72.04</v>
      </c>
      <c r="E9" s="135">
        <v>10.0</v>
      </c>
    </row>
    <row r="10">
      <c r="A10" s="135">
        <v>9.0</v>
      </c>
      <c r="B10" s="135">
        <v>17.71</v>
      </c>
      <c r="C10" s="135">
        <v>30039.0</v>
      </c>
      <c r="D10" s="135">
        <v>61.98</v>
      </c>
      <c r="E10" s="135">
        <v>16.0</v>
      </c>
    </row>
    <row r="11">
      <c r="A11" s="135">
        <v>10.0</v>
      </c>
      <c r="B11" s="135">
        <v>19.63</v>
      </c>
      <c r="C11" s="135">
        <v>28717.0</v>
      </c>
      <c r="D11" s="135">
        <v>59.25</v>
      </c>
      <c r="E11" s="135">
        <v>18.0</v>
      </c>
    </row>
    <row r="12">
      <c r="A12" s="135">
        <v>11.0</v>
      </c>
      <c r="B12" s="135">
        <v>23.46</v>
      </c>
      <c r="C12" s="135">
        <v>26282.0</v>
      </c>
      <c r="D12" s="135">
        <v>54.23</v>
      </c>
      <c r="E12" s="135">
        <v>22.0</v>
      </c>
    </row>
    <row r="13">
      <c r="A13" s="135">
        <v>12.0</v>
      </c>
      <c r="B13" s="135">
        <v>34.68</v>
      </c>
      <c r="C13" s="135">
        <v>20746.0</v>
      </c>
      <c r="D13" s="135">
        <v>42.8</v>
      </c>
      <c r="E13" s="135">
        <v>34.0</v>
      </c>
    </row>
    <row r="14">
      <c r="A14" s="135">
        <v>13.0</v>
      </c>
      <c r="B14" s="135">
        <v>38.41</v>
      </c>
      <c r="C14" s="135">
        <v>19290.0</v>
      </c>
      <c r="D14" s="135">
        <v>39.8</v>
      </c>
      <c r="E14" s="135">
        <v>37.0</v>
      </c>
    </row>
    <row r="15">
      <c r="A15" s="135">
        <v>14.0</v>
      </c>
      <c r="B15" s="135">
        <v>45.88</v>
      </c>
      <c r="C15" s="135">
        <v>16925.0</v>
      </c>
      <c r="D15" s="135">
        <v>34.92</v>
      </c>
      <c r="E15" s="135">
        <v>45.0</v>
      </c>
    </row>
    <row r="16">
      <c r="A16" s="135">
        <v>15.0</v>
      </c>
      <c r="B16" s="135">
        <v>66.52</v>
      </c>
      <c r="C16" s="135">
        <v>11543.0</v>
      </c>
      <c r="D16" s="135">
        <v>23.82</v>
      </c>
      <c r="E16" s="135">
        <v>68.0</v>
      </c>
    </row>
    <row r="17">
      <c r="A17" s="135">
        <v>16.0</v>
      </c>
      <c r="B17" s="135">
        <v>71.34</v>
      </c>
      <c r="C17" s="135">
        <v>10621.0</v>
      </c>
      <c r="D17" s="135">
        <v>21.91</v>
      </c>
      <c r="E17" s="135">
        <v>74.0</v>
      </c>
    </row>
    <row r="18">
      <c r="A18" s="135">
        <v>17.0</v>
      </c>
      <c r="B18" s="135">
        <v>80.47</v>
      </c>
      <c r="C18" s="135">
        <v>9082.0</v>
      </c>
      <c r="D18" s="135">
        <v>18.74</v>
      </c>
      <c r="E18" s="135">
        <v>85.0</v>
      </c>
    </row>
    <row r="19">
      <c r="A19" s="135">
        <v>18.0</v>
      </c>
      <c r="B19" s="135">
        <v>106.72</v>
      </c>
      <c r="C19" s="135">
        <v>5961.0</v>
      </c>
      <c r="D19" s="135">
        <v>12.3</v>
      </c>
      <c r="E19" s="135">
        <v>119.0</v>
      </c>
    </row>
    <row r="20">
      <c r="A20" s="135">
        <v>19.0</v>
      </c>
      <c r="B20" s="135">
        <v>111.66</v>
      </c>
      <c r="C20" s="135">
        <v>5471.0</v>
      </c>
      <c r="D20" s="135">
        <v>11.29</v>
      </c>
      <c r="E20" s="135">
        <v>125.0</v>
      </c>
    </row>
    <row r="21">
      <c r="A21" s="135">
        <v>20.0</v>
      </c>
      <c r="B21" s="135">
        <v>121.7</v>
      </c>
      <c r="C21" s="135">
        <v>4702.0</v>
      </c>
      <c r="D21" s="135">
        <v>9.7</v>
      </c>
      <c r="E21" s="135">
        <v>139.0</v>
      </c>
    </row>
    <row r="22">
      <c r="A22" s="135">
        <v>21.0</v>
      </c>
      <c r="B22" s="135">
        <v>146.99</v>
      </c>
      <c r="C22" s="135">
        <v>3106.0</v>
      </c>
      <c r="D22" s="135">
        <v>6.41</v>
      </c>
      <c r="E22" s="135">
        <v>176.0</v>
      </c>
    </row>
    <row r="23">
      <c r="A23" s="135">
        <v>22.0</v>
      </c>
      <c r="B23" s="135">
        <v>153.49</v>
      </c>
      <c r="C23" s="135">
        <v>2794.0</v>
      </c>
      <c r="D23" s="135">
        <v>5.76</v>
      </c>
      <c r="E23" s="135">
        <v>186.0</v>
      </c>
    </row>
    <row r="24">
      <c r="A24" s="135">
        <v>23.0</v>
      </c>
      <c r="B24" s="135">
        <v>163.69</v>
      </c>
      <c r="C24" s="135">
        <v>2391.0</v>
      </c>
      <c r="D24" s="135">
        <v>4.93</v>
      </c>
      <c r="E24" s="135">
        <v>202.0</v>
      </c>
    </row>
    <row r="25">
      <c r="A25" s="135">
        <v>24.0</v>
      </c>
      <c r="B25" s="135">
        <v>195.84</v>
      </c>
      <c r="C25" s="135">
        <v>1450.0</v>
      </c>
      <c r="D25" s="135">
        <v>2.99</v>
      </c>
      <c r="E25" s="135">
        <v>255.0</v>
      </c>
    </row>
    <row r="26">
      <c r="A26" s="135">
        <v>25.0</v>
      </c>
      <c r="B26" s="135">
        <v>203.74</v>
      </c>
      <c r="C26" s="135">
        <v>1292.0</v>
      </c>
      <c r="D26" s="135">
        <v>2.67</v>
      </c>
      <c r="E26" s="135">
        <v>268.0</v>
      </c>
    </row>
    <row r="27">
      <c r="A27" s="135">
        <v>26.0</v>
      </c>
      <c r="B27" s="135">
        <v>216.66</v>
      </c>
      <c r="C27" s="135">
        <v>1072.0</v>
      </c>
      <c r="D27" s="135">
        <v>2.21</v>
      </c>
      <c r="E27" s="135">
        <v>290.0</v>
      </c>
    </row>
    <row r="28">
      <c r="A28" s="135">
        <v>27.0</v>
      </c>
      <c r="B28" s="135">
        <v>245.04</v>
      </c>
      <c r="C28" s="135">
        <v>612.0</v>
      </c>
      <c r="D28" s="135">
        <v>1.26</v>
      </c>
      <c r="E28" s="135">
        <v>345.0</v>
      </c>
    </row>
    <row r="29">
      <c r="A29" s="135">
        <v>28.0</v>
      </c>
      <c r="B29" s="135">
        <v>261.15</v>
      </c>
      <c r="C29" s="135">
        <v>470.0</v>
      </c>
      <c r="D29" s="135">
        <v>0.97</v>
      </c>
      <c r="E29" s="135">
        <v>367.0</v>
      </c>
    </row>
    <row r="30">
      <c r="A30" s="135">
        <v>29.0</v>
      </c>
      <c r="B30" s="135">
        <v>290.31</v>
      </c>
      <c r="C30" s="135">
        <v>290.0</v>
      </c>
      <c r="D30" s="135">
        <v>0.6</v>
      </c>
      <c r="E30" s="135">
        <v>407.0</v>
      </c>
    </row>
    <row r="31">
      <c r="A31" s="135">
        <v>30.0</v>
      </c>
      <c r="B31" s="135">
        <v>298.1</v>
      </c>
      <c r="C31" s="135">
        <v>113.0</v>
      </c>
      <c r="D31" s="135">
        <v>0.23</v>
      </c>
      <c r="E31" s="135">
        <v>60.0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4.43" defaultRowHeight="15.0"/>
  <sheetData>
    <row r="1">
      <c r="A1" s="207" t="s">
        <v>281</v>
      </c>
      <c r="B1" s="207" t="s">
        <v>282</v>
      </c>
      <c r="C1" s="207" t="s">
        <v>406</v>
      </c>
      <c r="D1" s="207" t="s">
        <v>283</v>
      </c>
      <c r="E1" s="207" t="s">
        <v>284</v>
      </c>
      <c r="F1" s="207" t="s">
        <v>285</v>
      </c>
      <c r="G1" s="207" t="s">
        <v>286</v>
      </c>
      <c r="H1" s="207" t="s">
        <v>287</v>
      </c>
      <c r="I1" s="207" t="s">
        <v>288</v>
      </c>
      <c r="J1" s="207" t="s">
        <v>289</v>
      </c>
      <c r="K1" s="207" t="s">
        <v>290</v>
      </c>
      <c r="L1" s="207" t="s">
        <v>291</v>
      </c>
      <c r="M1" s="207" t="s">
        <v>292</v>
      </c>
      <c r="N1" s="207" t="s">
        <v>293</v>
      </c>
      <c r="O1" s="207" t="s">
        <v>294</v>
      </c>
      <c r="P1" s="207" t="s">
        <v>295</v>
      </c>
      <c r="Q1" s="207" t="s">
        <v>296</v>
      </c>
      <c r="R1" s="207" t="s">
        <v>297</v>
      </c>
      <c r="S1" s="207" t="s">
        <v>298</v>
      </c>
      <c r="T1" s="207" t="s">
        <v>299</v>
      </c>
      <c r="U1" s="207" t="s">
        <v>300</v>
      </c>
      <c r="V1" s="207" t="s">
        <v>301</v>
      </c>
      <c r="W1" s="207" t="s">
        <v>302</v>
      </c>
      <c r="X1" s="207" t="s">
        <v>303</v>
      </c>
      <c r="Y1" s="207" t="s">
        <v>304</v>
      </c>
      <c r="Z1" s="207" t="s">
        <v>305</v>
      </c>
      <c r="AA1" s="207" t="s">
        <v>306</v>
      </c>
      <c r="AB1" s="207" t="s">
        <v>307</v>
      </c>
      <c r="AC1" s="207" t="s">
        <v>308</v>
      </c>
      <c r="AD1" s="207" t="s">
        <v>309</v>
      </c>
      <c r="AE1" s="207" t="s">
        <v>310</v>
      </c>
      <c r="AF1" s="207" t="s">
        <v>311</v>
      </c>
      <c r="AG1" s="207" t="s">
        <v>312</v>
      </c>
      <c r="AH1" s="207" t="s">
        <v>313</v>
      </c>
      <c r="AI1" s="207" t="s">
        <v>314</v>
      </c>
      <c r="AJ1" s="207" t="s">
        <v>315</v>
      </c>
      <c r="AK1" s="207" t="s">
        <v>316</v>
      </c>
      <c r="AL1" s="207" t="s">
        <v>317</v>
      </c>
      <c r="AM1" s="207" t="s">
        <v>318</v>
      </c>
      <c r="AN1" s="207" t="s">
        <v>319</v>
      </c>
      <c r="AO1" s="207" t="s">
        <v>320</v>
      </c>
      <c r="AP1" s="207" t="s">
        <v>321</v>
      </c>
      <c r="AQ1" s="207" t="s">
        <v>322</v>
      </c>
      <c r="AR1" s="207" t="s">
        <v>323</v>
      </c>
      <c r="AS1" s="207" t="s">
        <v>324</v>
      </c>
      <c r="AT1" s="207" t="s">
        <v>325</v>
      </c>
      <c r="AU1" s="207" t="s">
        <v>326</v>
      </c>
      <c r="AV1" s="208" t="s">
        <v>327</v>
      </c>
      <c r="AW1" s="208" t="s">
        <v>328</v>
      </c>
      <c r="AX1" s="208" t="s">
        <v>329</v>
      </c>
      <c r="AY1" s="208" t="s">
        <v>330</v>
      </c>
      <c r="AZ1" s="208" t="s">
        <v>331</v>
      </c>
      <c r="BA1" s="208" t="s">
        <v>332</v>
      </c>
      <c r="BB1" s="208" t="s">
        <v>333</v>
      </c>
      <c r="BC1" s="208" t="s">
        <v>334</v>
      </c>
      <c r="BD1" s="208" t="s">
        <v>335</v>
      </c>
      <c r="BE1" s="208" t="s">
        <v>336</v>
      </c>
      <c r="BF1" s="208" t="s">
        <v>337</v>
      </c>
      <c r="BG1" s="208" t="s">
        <v>338</v>
      </c>
      <c r="BH1" s="208" t="s">
        <v>339</v>
      </c>
      <c r="BI1" s="208" t="s">
        <v>340</v>
      </c>
      <c r="BJ1" s="208" t="s">
        <v>341</v>
      </c>
      <c r="BK1" s="208" t="s">
        <v>342</v>
      </c>
      <c r="BL1" s="208" t="s">
        <v>343</v>
      </c>
      <c r="BM1" s="208" t="s">
        <v>344</v>
      </c>
      <c r="BN1" s="208" t="s">
        <v>345</v>
      </c>
      <c r="BO1" s="208" t="s">
        <v>346</v>
      </c>
      <c r="BP1" s="208" t="s">
        <v>347</v>
      </c>
      <c r="BQ1" s="208" t="s">
        <v>348</v>
      </c>
      <c r="BR1" s="208" t="s">
        <v>349</v>
      </c>
      <c r="BS1" s="208" t="s">
        <v>350</v>
      </c>
      <c r="BT1" s="208" t="s">
        <v>351</v>
      </c>
      <c r="BU1" s="208" t="s">
        <v>352</v>
      </c>
      <c r="BV1" s="208" t="s">
        <v>353</v>
      </c>
      <c r="BW1" s="208" t="s">
        <v>354</v>
      </c>
      <c r="BX1" s="208" t="s">
        <v>355</v>
      </c>
      <c r="BY1" s="208" t="s">
        <v>356</v>
      </c>
      <c r="BZ1" s="208" t="s">
        <v>357</v>
      </c>
      <c r="CA1" s="208" t="s">
        <v>358</v>
      </c>
      <c r="CB1" s="208" t="s">
        <v>359</v>
      </c>
      <c r="CC1" s="208" t="s">
        <v>360</v>
      </c>
      <c r="CD1" s="208" t="s">
        <v>361</v>
      </c>
      <c r="CE1" s="208" t="s">
        <v>362</v>
      </c>
      <c r="CF1" s="208" t="s">
        <v>363</v>
      </c>
      <c r="CG1" s="208" t="s">
        <v>364</v>
      </c>
      <c r="CH1" s="208" t="s">
        <v>365</v>
      </c>
      <c r="CI1" s="208" t="s">
        <v>366</v>
      </c>
      <c r="CJ1" s="208" t="s">
        <v>367</v>
      </c>
      <c r="CK1" s="208" t="s">
        <v>368</v>
      </c>
      <c r="CL1" s="208" t="s">
        <v>369</v>
      </c>
      <c r="CM1" s="208" t="s">
        <v>370</v>
      </c>
      <c r="CN1" s="208" t="s">
        <v>371</v>
      </c>
      <c r="CO1" s="208" t="s">
        <v>372</v>
      </c>
      <c r="CP1" s="208" t="s">
        <v>373</v>
      </c>
      <c r="CQ1" s="208" t="s">
        <v>374</v>
      </c>
      <c r="CR1" s="208" t="s">
        <v>375</v>
      </c>
      <c r="CS1" s="208" t="s">
        <v>376</v>
      </c>
      <c r="CT1" s="208" t="s">
        <v>377</v>
      </c>
      <c r="CU1" s="208" t="s">
        <v>378</v>
      </c>
      <c r="CV1" s="208" t="s">
        <v>379</v>
      </c>
      <c r="CW1" s="208" t="s">
        <v>380</v>
      </c>
      <c r="CX1" s="208" t="s">
        <v>381</v>
      </c>
      <c r="CY1" s="208" t="s">
        <v>382</v>
      </c>
      <c r="CZ1" s="208" t="s">
        <v>383</v>
      </c>
      <c r="DA1" s="208" t="s">
        <v>384</v>
      </c>
      <c r="DB1" s="208" t="s">
        <v>385</v>
      </c>
      <c r="DC1" s="208" t="s">
        <v>386</v>
      </c>
      <c r="DD1" s="208" t="s">
        <v>387</v>
      </c>
      <c r="DE1" s="208" t="s">
        <v>388</v>
      </c>
      <c r="DF1" s="208" t="s">
        <v>389</v>
      </c>
      <c r="DG1" s="208" t="s">
        <v>390</v>
      </c>
      <c r="DH1" s="208" t="s">
        <v>391</v>
      </c>
      <c r="DI1" s="208" t="s">
        <v>392</v>
      </c>
      <c r="DJ1" s="208" t="s">
        <v>393</v>
      </c>
      <c r="DK1" s="208" t="s">
        <v>394</v>
      </c>
      <c r="DL1" s="208" t="s">
        <v>395</v>
      </c>
      <c r="DM1" s="208" t="s">
        <v>396</v>
      </c>
      <c r="DN1" s="208" t="s">
        <v>397</v>
      </c>
      <c r="DO1" s="208" t="s">
        <v>407</v>
      </c>
      <c r="DP1" s="208" t="s">
        <v>408</v>
      </c>
      <c r="DQ1" s="208" t="s">
        <v>409</v>
      </c>
      <c r="DR1" s="208" t="s">
        <v>410</v>
      </c>
      <c r="DS1" s="208" t="s">
        <v>411</v>
      </c>
      <c r="DT1" s="208" t="s">
        <v>412</v>
      </c>
      <c r="DU1" s="208" t="s">
        <v>413</v>
      </c>
      <c r="DV1" s="208" t="s">
        <v>414</v>
      </c>
      <c r="DW1" s="208" t="s">
        <v>415</v>
      </c>
      <c r="DX1" s="208" t="s">
        <v>416</v>
      </c>
      <c r="DY1" s="208" t="s">
        <v>417</v>
      </c>
    </row>
    <row r="2">
      <c r="A2" s="210" t="s">
        <v>4</v>
      </c>
      <c r="B2" s="210" t="s">
        <v>398</v>
      </c>
      <c r="C2" s="210" t="b">
        <v>0</v>
      </c>
      <c r="D2" s="210">
        <v>27159.0</v>
      </c>
      <c r="E2" s="210">
        <v>20.25</v>
      </c>
      <c r="F2" s="210">
        <v>3422.13</v>
      </c>
      <c r="G2" s="210">
        <v>0.0919</v>
      </c>
      <c r="H2" s="210">
        <v>0.8</v>
      </c>
      <c r="I2" s="210">
        <v>15.7702</v>
      </c>
      <c r="J2" s="210">
        <v>17.31</v>
      </c>
      <c r="K2" s="210">
        <v>9.2581</v>
      </c>
      <c r="L2" s="210">
        <v>5.9098</v>
      </c>
      <c r="M2" s="210">
        <v>0.6383</v>
      </c>
      <c r="N2" s="210">
        <v>0.475</v>
      </c>
      <c r="O2" s="210">
        <v>0.2264</v>
      </c>
      <c r="P2" s="210">
        <v>1.5666</v>
      </c>
      <c r="Q2" s="210">
        <v>47.6666</v>
      </c>
      <c r="R2" s="210">
        <v>47.5638</v>
      </c>
      <c r="S2" s="210">
        <v>0.1028</v>
      </c>
      <c r="T2" s="210">
        <v>7.0212</v>
      </c>
      <c r="U2" s="210">
        <v>40.6454</v>
      </c>
      <c r="V2" s="210">
        <v>35.1753</v>
      </c>
      <c r="W2" s="210">
        <v>3.7994</v>
      </c>
      <c r="X2" s="210">
        <v>14.73</v>
      </c>
      <c r="Y2" s="210">
        <v>190.0</v>
      </c>
      <c r="Z2" s="210">
        <v>562.0</v>
      </c>
      <c r="AA2" s="210">
        <v>4873.0</v>
      </c>
      <c r="AB2" s="210">
        <v>50.1721</v>
      </c>
      <c r="AC2" s="210">
        <v>0.5098</v>
      </c>
      <c r="AD2" s="211"/>
      <c r="AE2" s="211"/>
      <c r="AF2" s="211"/>
      <c r="AG2" s="211"/>
      <c r="AH2" s="211"/>
      <c r="AI2" s="210">
        <v>0.0</v>
      </c>
      <c r="AJ2" s="210">
        <v>0.0</v>
      </c>
      <c r="AK2" s="210">
        <v>0.0</v>
      </c>
      <c r="AL2" s="210">
        <v>0.5158</v>
      </c>
      <c r="AM2" s="211"/>
      <c r="AQ2" s="135">
        <v>1.6695</v>
      </c>
      <c r="AR2" s="135">
        <v>0.0941</v>
      </c>
      <c r="AS2" s="135">
        <v>1.5754</v>
      </c>
      <c r="AT2" s="135">
        <v>1.2335</v>
      </c>
      <c r="AU2" s="135">
        <v>0.1332</v>
      </c>
      <c r="AV2" s="135">
        <v>27159.0</v>
      </c>
      <c r="AW2" s="135">
        <v>0.0</v>
      </c>
      <c r="AX2" s="135">
        <v>10.7874</v>
      </c>
      <c r="AY2" s="135">
        <v>27.1734</v>
      </c>
      <c r="AZ2" s="135">
        <v>2.5023</v>
      </c>
      <c r="BA2" s="135">
        <v>7.0212</v>
      </c>
      <c r="BB2" s="135">
        <v>0.1871</v>
      </c>
      <c r="BD2" s="135">
        <v>30160.0</v>
      </c>
      <c r="BE2" s="135">
        <v>0.7941</v>
      </c>
      <c r="BF2" s="135">
        <v>0.0418</v>
      </c>
      <c r="BG2" s="135">
        <v>0.7523</v>
      </c>
      <c r="BH2" s="135">
        <v>0.6335</v>
      </c>
      <c r="BI2" s="135">
        <v>0.0742</v>
      </c>
      <c r="BJ2" s="135">
        <v>0.8754</v>
      </c>
      <c r="BK2" s="135">
        <v>0.0524</v>
      </c>
      <c r="BL2" s="135">
        <v>0.8231</v>
      </c>
      <c r="BM2" s="135">
        <v>0.6</v>
      </c>
      <c r="BN2" s="135">
        <v>0.0655</v>
      </c>
      <c r="BO2" s="135">
        <v>0.2865</v>
      </c>
      <c r="BP2" s="135">
        <v>0.0143</v>
      </c>
      <c r="BQ2" s="135">
        <v>0.2722</v>
      </c>
      <c r="BR2" s="135">
        <v>0.2452</v>
      </c>
      <c r="BS2" s="135">
        <v>0.3071</v>
      </c>
      <c r="BT2" s="135">
        <v>0.0134</v>
      </c>
      <c r="BU2" s="135">
        <v>0.2937</v>
      </c>
      <c r="BV2" s="135">
        <v>0.2315</v>
      </c>
      <c r="BW2" s="135">
        <v>0.2004</v>
      </c>
      <c r="BX2" s="135">
        <v>0.014</v>
      </c>
      <c r="BY2" s="135">
        <v>0.1864</v>
      </c>
      <c r="BZ2" s="135">
        <v>0.1568</v>
      </c>
      <c r="CA2" s="135">
        <v>0.1627</v>
      </c>
      <c r="CB2" s="135">
        <v>0.0138</v>
      </c>
      <c r="CC2" s="135">
        <v>0.1489</v>
      </c>
      <c r="CD2" s="135">
        <v>0.1354</v>
      </c>
      <c r="CE2" s="135">
        <v>0.4025</v>
      </c>
      <c r="CF2" s="135">
        <v>0.0216</v>
      </c>
      <c r="CG2" s="135">
        <v>0.3809</v>
      </c>
      <c r="CH2" s="135">
        <v>0.2427</v>
      </c>
      <c r="CI2" s="135">
        <v>0.3101</v>
      </c>
      <c r="CJ2" s="135">
        <v>0.017</v>
      </c>
      <c r="CK2" s="135">
        <v>0.2932</v>
      </c>
      <c r="CL2" s="135">
        <v>0.2219</v>
      </c>
      <c r="CM2" s="135">
        <v>137.5898</v>
      </c>
      <c r="CN2" s="135">
        <v>15.8</v>
      </c>
      <c r="CO2" s="135">
        <v>870.86</v>
      </c>
      <c r="CP2" s="135">
        <v>132.0392</v>
      </c>
      <c r="CQ2" s="135">
        <v>0.0</v>
      </c>
      <c r="CR2" s="135">
        <v>2.9336</v>
      </c>
      <c r="CS2" s="135">
        <v>2.6155</v>
      </c>
      <c r="CT2" s="135">
        <v>0.0</v>
      </c>
      <c r="CV2" s="135">
        <v>0.0</v>
      </c>
      <c r="CW2" s="135">
        <v>47.6666</v>
      </c>
      <c r="CX2" s="135">
        <v>0.0</v>
      </c>
      <c r="CY2" s="135">
        <v>0.0</v>
      </c>
      <c r="CZ2" s="135">
        <v>35.2689</v>
      </c>
      <c r="DA2" s="135">
        <v>1.3603</v>
      </c>
      <c r="DB2" s="135">
        <v>33.9113</v>
      </c>
      <c r="DC2" s="135">
        <v>30.8068</v>
      </c>
      <c r="DD2" s="135">
        <v>0.5592</v>
      </c>
      <c r="DE2" s="135">
        <v>30.2464</v>
      </c>
      <c r="DF2" s="135">
        <v>2.0632</v>
      </c>
      <c r="DG2" s="135">
        <v>0.2638</v>
      </c>
      <c r="DH2" s="135">
        <v>1.7956</v>
      </c>
      <c r="DI2" s="135">
        <v>1.6414</v>
      </c>
      <c r="DJ2" s="135">
        <v>0.2638</v>
      </c>
      <c r="DK2" s="135">
        <v>1.3745</v>
      </c>
      <c r="DL2" s="135">
        <v>0.7607</v>
      </c>
      <c r="DM2" s="135">
        <v>0.2638</v>
      </c>
      <c r="DN2" s="135">
        <v>0.4934</v>
      </c>
      <c r="DO2" s="135">
        <v>37219.0</v>
      </c>
      <c r="DP2" s="214">
        <v>46255.0</v>
      </c>
      <c r="DQ2" s="214">
        <v>46260.0</v>
      </c>
      <c r="DR2" s="135">
        <v>6.0</v>
      </c>
      <c r="DS2" s="135">
        <v>217.0</v>
      </c>
      <c r="DT2" s="135">
        <v>0.126</v>
      </c>
      <c r="DU2" s="135">
        <v>193.0</v>
      </c>
      <c r="DV2" s="135">
        <v>199.0</v>
      </c>
      <c r="DW2" s="135">
        <v>0.0</v>
      </c>
      <c r="DX2" s="135">
        <v>65.32</v>
      </c>
      <c r="DY2" s="135">
        <v>188.55</v>
      </c>
    </row>
    <row r="3">
      <c r="A3" s="210" t="s">
        <v>4</v>
      </c>
      <c r="B3" s="210" t="s">
        <v>142</v>
      </c>
      <c r="C3" s="210" t="b">
        <v>0</v>
      </c>
      <c r="D3" s="210">
        <v>31949.0</v>
      </c>
      <c r="E3" s="210">
        <v>28.39</v>
      </c>
      <c r="F3" s="210">
        <v>1483.5</v>
      </c>
      <c r="G3" s="210">
        <v>0.0284</v>
      </c>
      <c r="H3" s="210">
        <v>1.42</v>
      </c>
      <c r="I3" s="210">
        <v>3.2604</v>
      </c>
      <c r="J3" s="210">
        <v>22.4485</v>
      </c>
      <c r="K3" s="210">
        <v>11.6488</v>
      </c>
      <c r="L3" s="210">
        <v>5.2682</v>
      </c>
      <c r="M3" s="210">
        <v>0.4523</v>
      </c>
      <c r="N3" s="210">
        <v>0.6544</v>
      </c>
      <c r="O3" s="210">
        <v>0.3952</v>
      </c>
      <c r="P3" s="210">
        <v>2.2111</v>
      </c>
      <c r="Q3" s="210">
        <v>46.3586</v>
      </c>
      <c r="R3" s="210">
        <v>42.0459</v>
      </c>
      <c r="S3" s="210">
        <v>4.317</v>
      </c>
      <c r="T3" s="210">
        <v>2.1584</v>
      </c>
      <c r="U3" s="210">
        <v>44.2002</v>
      </c>
      <c r="V3" s="210">
        <v>44.9828</v>
      </c>
      <c r="W3" s="210">
        <v>3.8616</v>
      </c>
      <c r="X3" s="210">
        <v>4.66</v>
      </c>
      <c r="Y3" s="210">
        <v>171.0</v>
      </c>
      <c r="Z3" s="210">
        <v>341.0</v>
      </c>
      <c r="AA3" s="210">
        <v>1318.0</v>
      </c>
      <c r="AB3" s="210">
        <v>49.8786</v>
      </c>
      <c r="AC3" s="210">
        <v>0.5819</v>
      </c>
      <c r="AD3" s="210">
        <v>4.0603</v>
      </c>
      <c r="AE3" s="210">
        <v>1.0</v>
      </c>
      <c r="AF3" s="210">
        <v>3.0</v>
      </c>
      <c r="AG3" s="210">
        <v>5.0</v>
      </c>
      <c r="AH3" s="210">
        <v>8.0</v>
      </c>
      <c r="AI3" s="210">
        <v>74.7603</v>
      </c>
      <c r="AJ3" s="210">
        <v>34.1257</v>
      </c>
      <c r="AK3" s="210">
        <v>6.9496</v>
      </c>
      <c r="AL3" s="210">
        <v>0.4857</v>
      </c>
      <c r="AM3" s="211"/>
      <c r="AQ3" s="135">
        <v>3.2705</v>
      </c>
      <c r="AR3" s="135">
        <v>0.0458</v>
      </c>
      <c r="AS3" s="135">
        <v>3.2246</v>
      </c>
      <c r="AT3" s="135">
        <v>2.7298</v>
      </c>
      <c r="AU3" s="135">
        <v>0.2343</v>
      </c>
      <c r="AV3" s="135">
        <v>31949.0</v>
      </c>
      <c r="AW3" s="135">
        <v>0.0</v>
      </c>
      <c r="AX3" s="135">
        <v>21.2302</v>
      </c>
      <c r="AY3" s="135">
        <v>20.2722</v>
      </c>
      <c r="AZ3" s="135">
        <v>2.2282</v>
      </c>
      <c r="BA3" s="135">
        <v>2.1584</v>
      </c>
      <c r="BB3" s="135">
        <v>0.4681</v>
      </c>
      <c r="BC3" s="135">
        <v>17.0</v>
      </c>
      <c r="BD3" s="135">
        <v>20489.0</v>
      </c>
      <c r="BE3" s="135">
        <v>2.0764</v>
      </c>
      <c r="BF3" s="135">
        <v>0.0285</v>
      </c>
      <c r="BG3" s="135">
        <v>2.0479</v>
      </c>
      <c r="BH3" s="135">
        <v>1.5679</v>
      </c>
      <c r="BI3" s="135">
        <v>0.1352</v>
      </c>
      <c r="BJ3" s="135">
        <v>1.1941</v>
      </c>
      <c r="BK3" s="135">
        <v>0.0174</v>
      </c>
      <c r="BL3" s="135">
        <v>1.1767</v>
      </c>
      <c r="BM3" s="135">
        <v>1.162</v>
      </c>
      <c r="BN3" s="135">
        <v>0.0996</v>
      </c>
      <c r="BO3" s="135">
        <v>0.8324</v>
      </c>
      <c r="BP3" s="135">
        <v>0.0103</v>
      </c>
      <c r="BQ3" s="135">
        <v>0.822</v>
      </c>
      <c r="BR3" s="135">
        <v>0.6358</v>
      </c>
      <c r="BS3" s="135">
        <v>0.8449</v>
      </c>
      <c r="BT3" s="135">
        <v>0.0067</v>
      </c>
      <c r="BU3" s="135">
        <v>0.8382</v>
      </c>
      <c r="BV3" s="135">
        <v>0.5944</v>
      </c>
      <c r="BW3" s="135">
        <v>0.3991</v>
      </c>
      <c r="BX3" s="135">
        <v>0.0114</v>
      </c>
      <c r="BY3" s="135">
        <v>0.3877</v>
      </c>
      <c r="BZ3" s="135">
        <v>0.3377</v>
      </c>
      <c r="CA3" s="135">
        <v>0.2376</v>
      </c>
      <c r="CB3" s="135">
        <v>0.0039</v>
      </c>
      <c r="CC3" s="135">
        <v>0.2337</v>
      </c>
      <c r="CD3" s="135">
        <v>0.2351</v>
      </c>
      <c r="CE3" s="135">
        <v>0.5314</v>
      </c>
      <c r="CF3" s="135">
        <v>0.0069</v>
      </c>
      <c r="CG3" s="135">
        <v>0.5245</v>
      </c>
      <c r="CH3" s="135">
        <v>0.504</v>
      </c>
      <c r="CI3" s="135">
        <v>0.4251</v>
      </c>
      <c r="CJ3" s="135">
        <v>0.0066</v>
      </c>
      <c r="CK3" s="135">
        <v>0.4186</v>
      </c>
      <c r="CL3" s="135">
        <v>0.4228</v>
      </c>
      <c r="CM3" s="135">
        <v>124.7217</v>
      </c>
      <c r="CN3" s="135">
        <v>75.82</v>
      </c>
      <c r="CO3" s="135">
        <v>164.49</v>
      </c>
      <c r="CP3" s="135">
        <v>117.5452</v>
      </c>
      <c r="CQ3" s="135">
        <v>0.0</v>
      </c>
      <c r="CR3" s="135">
        <v>5.0783</v>
      </c>
      <c r="CS3" s="135">
        <v>2.0989</v>
      </c>
      <c r="CT3" s="135">
        <v>0.0</v>
      </c>
      <c r="CV3" s="135">
        <v>0.0</v>
      </c>
      <c r="CW3" s="135">
        <v>46.3586</v>
      </c>
      <c r="CX3" s="135">
        <v>0.0</v>
      </c>
      <c r="CY3" s="135">
        <v>0.0</v>
      </c>
      <c r="CZ3" s="135">
        <v>77.8685</v>
      </c>
      <c r="DA3" s="135">
        <v>0.5169</v>
      </c>
      <c r="DB3" s="135">
        <v>77.3495</v>
      </c>
      <c r="DC3" s="135">
        <v>71.4163</v>
      </c>
      <c r="DD3" s="135">
        <v>0.1464</v>
      </c>
      <c r="DE3" s="135">
        <v>71.2669</v>
      </c>
      <c r="DF3" s="135">
        <v>3.2788</v>
      </c>
      <c r="DG3" s="135">
        <v>0.1256</v>
      </c>
      <c r="DH3" s="135">
        <v>3.1582</v>
      </c>
      <c r="DI3" s="135">
        <v>2.6904</v>
      </c>
      <c r="DJ3" s="135">
        <v>0.1256</v>
      </c>
      <c r="DK3" s="135">
        <v>2.5699</v>
      </c>
      <c r="DL3" s="135">
        <v>0.4809</v>
      </c>
      <c r="DM3" s="135">
        <v>0.1256</v>
      </c>
      <c r="DN3" s="135">
        <v>0.3581</v>
      </c>
      <c r="DO3" s="135">
        <v>52186.0</v>
      </c>
      <c r="DP3" s="214">
        <v>46255.0</v>
      </c>
      <c r="DQ3" s="214">
        <v>46260.0</v>
      </c>
      <c r="DR3" s="135">
        <v>6.0</v>
      </c>
      <c r="DS3" s="135">
        <v>455.0</v>
      </c>
      <c r="DT3" s="135">
        <v>0.0464</v>
      </c>
      <c r="DU3" s="135">
        <v>154.0</v>
      </c>
      <c r="DV3" s="135">
        <v>198.0</v>
      </c>
      <c r="DW3" s="135">
        <v>0.0</v>
      </c>
      <c r="DX3" s="135">
        <v>75.72</v>
      </c>
      <c r="DY3" s="135">
        <v>203.72</v>
      </c>
    </row>
    <row r="4">
      <c r="A4" s="210" t="s">
        <v>4</v>
      </c>
      <c r="B4" s="210" t="s">
        <v>143</v>
      </c>
      <c r="C4" s="210" t="b">
        <v>0</v>
      </c>
      <c r="D4" s="210">
        <v>22548.0</v>
      </c>
      <c r="E4" s="210">
        <v>22.45</v>
      </c>
      <c r="F4" s="210">
        <v>4052.57</v>
      </c>
      <c r="G4" s="210">
        <v>0.0982</v>
      </c>
      <c r="H4" s="210">
        <v>3.77</v>
      </c>
      <c r="I4" s="210">
        <v>4.7677</v>
      </c>
      <c r="J4" s="210">
        <v>45.1077</v>
      </c>
      <c r="K4" s="210">
        <v>24.3661</v>
      </c>
      <c r="L4" s="210">
        <v>13.8288</v>
      </c>
      <c r="M4" s="210">
        <v>0.5675</v>
      </c>
      <c r="N4" s="210">
        <v>0.5598</v>
      </c>
      <c r="O4" s="210">
        <v>0.3353</v>
      </c>
      <c r="P4" s="210">
        <v>1.762</v>
      </c>
      <c r="Q4" s="210">
        <v>98.2614</v>
      </c>
      <c r="R4" s="210">
        <v>86.1728</v>
      </c>
      <c r="S4" s="210">
        <v>12.093</v>
      </c>
      <c r="T4" s="210">
        <v>7.5153</v>
      </c>
      <c r="U4" s="210">
        <v>90.7506</v>
      </c>
      <c r="V4" s="210">
        <v>101.6472</v>
      </c>
      <c r="W4" s="210">
        <v>4.1717</v>
      </c>
      <c r="X4" s="210">
        <v>7.65</v>
      </c>
      <c r="Y4" s="210">
        <v>134.0</v>
      </c>
      <c r="Z4" s="210">
        <v>375.0</v>
      </c>
      <c r="AA4" s="210">
        <v>1446.0</v>
      </c>
      <c r="AB4" s="210">
        <v>51.8564</v>
      </c>
      <c r="AC4" s="210">
        <v>0.6538</v>
      </c>
      <c r="AD4" s="210">
        <v>9.4596</v>
      </c>
      <c r="AE4" s="210">
        <v>4.0</v>
      </c>
      <c r="AF4" s="210">
        <v>8.0</v>
      </c>
      <c r="AG4" s="210">
        <v>13.0</v>
      </c>
      <c r="AH4" s="210">
        <v>19.0</v>
      </c>
      <c r="AI4" s="210">
        <v>64.9463</v>
      </c>
      <c r="AJ4" s="210">
        <v>26.418</v>
      </c>
      <c r="AK4" s="210">
        <v>3.5213</v>
      </c>
      <c r="AL4" s="210">
        <v>0.3331</v>
      </c>
      <c r="AM4" s="211"/>
      <c r="AQ4" s="135">
        <v>6.5195</v>
      </c>
      <c r="AR4" s="135">
        <v>0.1521</v>
      </c>
      <c r="AS4" s="135">
        <v>6.3675</v>
      </c>
      <c r="AT4" s="135">
        <v>5.781</v>
      </c>
      <c r="AU4" s="135">
        <v>0.2373</v>
      </c>
      <c r="AV4" s="135">
        <v>22548.0</v>
      </c>
      <c r="AW4" s="135">
        <v>0.0</v>
      </c>
      <c r="AX4" s="135">
        <v>40.2856</v>
      </c>
      <c r="AY4" s="135">
        <v>46.0838</v>
      </c>
      <c r="AZ4" s="135">
        <v>3.1388</v>
      </c>
      <c r="BA4" s="135">
        <v>7.5153</v>
      </c>
      <c r="BB4" s="135">
        <v>1.2388</v>
      </c>
      <c r="BC4" s="135">
        <v>34.0</v>
      </c>
      <c r="BD4" s="135">
        <v>21276.0</v>
      </c>
      <c r="BE4" s="135">
        <v>4.0184</v>
      </c>
      <c r="BF4" s="135">
        <v>0.0989</v>
      </c>
      <c r="BG4" s="135">
        <v>3.9195</v>
      </c>
      <c r="BH4" s="135">
        <v>3.2714</v>
      </c>
      <c r="BI4" s="135">
        <v>0.1348</v>
      </c>
      <c r="BJ4" s="135">
        <v>2.5011</v>
      </c>
      <c r="BK4" s="135">
        <v>0.0532</v>
      </c>
      <c r="BL4" s="135">
        <v>2.4479</v>
      </c>
      <c r="BM4" s="135">
        <v>2.5097</v>
      </c>
      <c r="BN4" s="135">
        <v>0.1032</v>
      </c>
      <c r="BO4" s="135">
        <v>1.5794</v>
      </c>
      <c r="BP4" s="135">
        <v>0.0308</v>
      </c>
      <c r="BQ4" s="135">
        <v>1.5486</v>
      </c>
      <c r="BR4" s="135">
        <v>1.2822</v>
      </c>
      <c r="BS4" s="135">
        <v>1.5635</v>
      </c>
      <c r="BT4" s="135">
        <v>0.0257</v>
      </c>
      <c r="BU4" s="135">
        <v>1.5378</v>
      </c>
      <c r="BV4" s="135">
        <v>1.2271</v>
      </c>
      <c r="BW4" s="135">
        <v>0.8755</v>
      </c>
      <c r="BX4" s="135">
        <v>0.0423</v>
      </c>
      <c r="BY4" s="135">
        <v>0.8332</v>
      </c>
      <c r="BZ4" s="135">
        <v>0.762</v>
      </c>
      <c r="CA4" s="135">
        <v>0.5188</v>
      </c>
      <c r="CB4" s="135">
        <v>0.0136</v>
      </c>
      <c r="CC4" s="135">
        <v>0.5052</v>
      </c>
      <c r="CD4" s="135">
        <v>0.5354</v>
      </c>
      <c r="CE4" s="135">
        <v>1.0325</v>
      </c>
      <c r="CF4" s="135">
        <v>0.0211</v>
      </c>
      <c r="CG4" s="135">
        <v>1.0114</v>
      </c>
      <c r="CH4" s="135">
        <v>1.0139</v>
      </c>
      <c r="CI4" s="135">
        <v>0.9499</v>
      </c>
      <c r="CJ4" s="135">
        <v>0.0186</v>
      </c>
      <c r="CK4" s="135">
        <v>0.9313</v>
      </c>
      <c r="CL4" s="135">
        <v>0.9604</v>
      </c>
      <c r="CM4" s="135">
        <v>257.7298</v>
      </c>
      <c r="CN4" s="135">
        <v>89.72</v>
      </c>
      <c r="CO4" s="135">
        <v>287.26</v>
      </c>
      <c r="CP4" s="135">
        <v>242.5884</v>
      </c>
      <c r="CQ4" s="135">
        <v>0.0014</v>
      </c>
      <c r="CR4" s="135">
        <v>6.6946</v>
      </c>
      <c r="CS4" s="135">
        <v>8.4468</v>
      </c>
      <c r="CT4" s="135">
        <v>0.0</v>
      </c>
      <c r="CV4" s="135">
        <v>0.0</v>
      </c>
      <c r="CW4" s="135">
        <v>98.2614</v>
      </c>
      <c r="CX4" s="135">
        <v>0.0</v>
      </c>
      <c r="CY4" s="135">
        <v>0.0014</v>
      </c>
      <c r="CZ4" s="135">
        <v>129.987</v>
      </c>
      <c r="DA4" s="135">
        <v>1.9285</v>
      </c>
      <c r="DB4" s="135">
        <v>128.0584</v>
      </c>
      <c r="DC4" s="135">
        <v>120.2746</v>
      </c>
      <c r="DD4" s="135">
        <v>0.5968</v>
      </c>
      <c r="DE4" s="135">
        <v>119.6792</v>
      </c>
      <c r="DF4" s="135">
        <v>4.6823</v>
      </c>
      <c r="DG4" s="135">
        <v>0.4444</v>
      </c>
      <c r="DH4" s="135">
        <v>4.2379</v>
      </c>
      <c r="DI4" s="135">
        <v>3.8711</v>
      </c>
      <c r="DJ4" s="135">
        <v>0.4444</v>
      </c>
      <c r="DK4" s="135">
        <v>3.4267</v>
      </c>
      <c r="DL4" s="135">
        <v>1.1597</v>
      </c>
      <c r="DM4" s="135">
        <v>0.4444</v>
      </c>
      <c r="DN4" s="135">
        <v>0.7168</v>
      </c>
      <c r="DO4" s="135">
        <v>41272.0</v>
      </c>
      <c r="DP4" s="214">
        <v>46255.0</v>
      </c>
      <c r="DQ4" s="214">
        <v>46260.0</v>
      </c>
      <c r="DR4" s="135">
        <v>6.0</v>
      </c>
      <c r="DS4" s="135">
        <v>850.0</v>
      </c>
      <c r="DT4" s="135">
        <v>0.1797</v>
      </c>
      <c r="DU4" s="135">
        <v>80.0</v>
      </c>
      <c r="DV4" s="135">
        <v>219.0</v>
      </c>
      <c r="DW4" s="135">
        <v>0.0</v>
      </c>
      <c r="DX4" s="135">
        <v>179.86</v>
      </c>
      <c r="DY4" s="135">
        <v>471.75</v>
      </c>
    </row>
    <row r="5">
      <c r="A5" s="210" t="s">
        <v>4</v>
      </c>
      <c r="B5" s="210" t="s">
        <v>144</v>
      </c>
      <c r="C5" s="210" t="b">
        <v>0</v>
      </c>
      <c r="D5" s="210">
        <v>15658.0</v>
      </c>
      <c r="E5" s="210">
        <v>17.53</v>
      </c>
      <c r="F5" s="210">
        <v>6915.24</v>
      </c>
      <c r="G5" s="210">
        <v>0.2146</v>
      </c>
      <c r="H5" s="210">
        <v>5.91</v>
      </c>
      <c r="I5" s="210">
        <v>7.4759</v>
      </c>
      <c r="J5" s="210">
        <v>68.7651</v>
      </c>
      <c r="K5" s="210">
        <v>39.0553</v>
      </c>
      <c r="L5" s="210">
        <v>26.0643</v>
      </c>
      <c r="M5" s="210">
        <v>0.6674</v>
      </c>
      <c r="N5" s="210">
        <v>0.4691</v>
      </c>
      <c r="O5" s="210">
        <v>0.2902</v>
      </c>
      <c r="P5" s="210">
        <v>1.4984</v>
      </c>
      <c r="Q5" s="210">
        <v>168.4599</v>
      </c>
      <c r="R5" s="210">
        <v>145.4102</v>
      </c>
      <c r="S5" s="210">
        <v>23.0511</v>
      </c>
      <c r="T5" s="210">
        <v>15.5469</v>
      </c>
      <c r="U5" s="210">
        <v>152.9125</v>
      </c>
      <c r="V5" s="210">
        <v>175.9318</v>
      </c>
      <c r="W5" s="210">
        <v>4.5047</v>
      </c>
      <c r="X5" s="210">
        <v>9.23</v>
      </c>
      <c r="Y5" s="210">
        <v>123.0</v>
      </c>
      <c r="Z5" s="210">
        <v>399.0</v>
      </c>
      <c r="AA5" s="210">
        <v>1279.0</v>
      </c>
      <c r="AB5" s="210">
        <v>53.7296</v>
      </c>
      <c r="AC5" s="210">
        <v>0.7351</v>
      </c>
      <c r="AD5" s="210">
        <v>16.6392</v>
      </c>
      <c r="AE5" s="210">
        <v>7.0</v>
      </c>
      <c r="AF5" s="210">
        <v>13.0</v>
      </c>
      <c r="AG5" s="210">
        <v>23.0</v>
      </c>
      <c r="AH5" s="210">
        <v>34.0</v>
      </c>
      <c r="AI5" s="210">
        <v>58.9086</v>
      </c>
      <c r="AJ5" s="210">
        <v>20.5165</v>
      </c>
      <c r="AK5" s="210">
        <v>4.9175</v>
      </c>
      <c r="AL5" s="210">
        <v>0.2546</v>
      </c>
      <c r="AM5" s="211"/>
      <c r="AQ5" s="135">
        <v>10.14</v>
      </c>
      <c r="AR5" s="135">
        <v>0.2666</v>
      </c>
      <c r="AS5" s="135">
        <v>9.8733</v>
      </c>
      <c r="AT5" s="135">
        <v>9.2969</v>
      </c>
      <c r="AU5" s="135">
        <v>0.238</v>
      </c>
      <c r="AV5" s="135">
        <v>15658.0</v>
      </c>
      <c r="AW5" s="135">
        <v>0.0</v>
      </c>
      <c r="AX5" s="135">
        <v>65.9816</v>
      </c>
      <c r="AY5" s="135">
        <v>81.5307</v>
      </c>
      <c r="AZ5" s="135">
        <v>3.1028</v>
      </c>
      <c r="BA5" s="135">
        <v>15.5469</v>
      </c>
      <c r="BB5" s="135">
        <v>2.3003</v>
      </c>
      <c r="BC5" s="135">
        <v>61.0</v>
      </c>
      <c r="BD5" s="135">
        <v>17552.0</v>
      </c>
      <c r="BE5" s="135">
        <v>6.1457</v>
      </c>
      <c r="BF5" s="135">
        <v>0.1531</v>
      </c>
      <c r="BG5" s="135">
        <v>5.9926</v>
      </c>
      <c r="BH5" s="135">
        <v>5.0832</v>
      </c>
      <c r="BI5" s="135">
        <v>0.1302</v>
      </c>
      <c r="BJ5" s="135">
        <v>3.9943</v>
      </c>
      <c r="BK5" s="135">
        <v>0.1135</v>
      </c>
      <c r="BL5" s="135">
        <v>3.8808</v>
      </c>
      <c r="BM5" s="135">
        <v>4.2137</v>
      </c>
      <c r="BN5" s="135">
        <v>0.1079</v>
      </c>
      <c r="BO5" s="135">
        <v>2.2486</v>
      </c>
      <c r="BP5" s="135">
        <v>0.047</v>
      </c>
      <c r="BQ5" s="135">
        <v>2.2015</v>
      </c>
      <c r="BR5" s="135">
        <v>1.8683</v>
      </c>
      <c r="BS5" s="135">
        <v>2.3501</v>
      </c>
      <c r="BT5" s="135">
        <v>0.0474</v>
      </c>
      <c r="BU5" s="135">
        <v>2.3027</v>
      </c>
      <c r="BV5" s="135">
        <v>1.9102</v>
      </c>
      <c r="BW5" s="135">
        <v>1.547</v>
      </c>
      <c r="BX5" s="135">
        <v>0.0587</v>
      </c>
      <c r="BY5" s="135">
        <v>1.4883</v>
      </c>
      <c r="BZ5" s="135">
        <v>1.3047</v>
      </c>
      <c r="CA5" s="135">
        <v>0.9152</v>
      </c>
      <c r="CB5" s="135">
        <v>0.031</v>
      </c>
      <c r="CC5" s="135">
        <v>0.8842</v>
      </c>
      <c r="CD5" s="135">
        <v>1.062</v>
      </c>
      <c r="CE5" s="135">
        <v>1.4835</v>
      </c>
      <c r="CF5" s="135">
        <v>0.0438</v>
      </c>
      <c r="CG5" s="135">
        <v>1.4397</v>
      </c>
      <c r="CH5" s="135">
        <v>1.5093</v>
      </c>
      <c r="CI5" s="135">
        <v>1.5957</v>
      </c>
      <c r="CJ5" s="135">
        <v>0.0387</v>
      </c>
      <c r="CK5" s="135">
        <v>1.5569</v>
      </c>
      <c r="CL5" s="135">
        <v>1.6424</v>
      </c>
      <c r="CM5" s="135">
        <v>476.5798</v>
      </c>
      <c r="CN5" s="135">
        <v>95.92</v>
      </c>
      <c r="CO5" s="135">
        <v>496.85</v>
      </c>
      <c r="CP5" s="135">
        <v>454.1568</v>
      </c>
      <c r="CQ5" s="135">
        <v>0.0</v>
      </c>
      <c r="CR5" s="135">
        <v>8.2776</v>
      </c>
      <c r="CS5" s="135">
        <v>14.1453</v>
      </c>
      <c r="CT5" s="135">
        <v>0.0</v>
      </c>
      <c r="CV5" s="135">
        <v>0.0</v>
      </c>
      <c r="CW5" s="135">
        <v>168.4599</v>
      </c>
      <c r="CX5" s="135">
        <v>0.0</v>
      </c>
      <c r="CY5" s="135">
        <v>0.0</v>
      </c>
      <c r="CZ5" s="135">
        <v>191.1099</v>
      </c>
      <c r="DA5" s="135">
        <v>3.4168</v>
      </c>
      <c r="DB5" s="135">
        <v>187.6938</v>
      </c>
      <c r="DC5" s="135">
        <v>177.0957</v>
      </c>
      <c r="DD5" s="135">
        <v>1.1217</v>
      </c>
      <c r="DE5" s="135">
        <v>175.9734</v>
      </c>
      <c r="DF5" s="135">
        <v>7.2478</v>
      </c>
      <c r="DG5" s="135">
        <v>0.7651</v>
      </c>
      <c r="DH5" s="135">
        <v>6.4827</v>
      </c>
      <c r="DI5" s="135">
        <v>4.8558</v>
      </c>
      <c r="DJ5" s="135">
        <v>0.7651</v>
      </c>
      <c r="DK5" s="135">
        <v>4.0887</v>
      </c>
      <c r="DL5" s="135">
        <v>1.9107</v>
      </c>
      <c r="DM5" s="135">
        <v>0.7651</v>
      </c>
      <c r="DN5" s="135">
        <v>1.147</v>
      </c>
      <c r="DO5" s="135">
        <v>32231.0</v>
      </c>
      <c r="DP5" s="214">
        <v>46255.0</v>
      </c>
      <c r="DQ5" s="214">
        <v>46260.0</v>
      </c>
      <c r="DR5" s="135">
        <v>6.0</v>
      </c>
      <c r="DS5" s="135">
        <v>925.0</v>
      </c>
      <c r="DT5" s="135">
        <v>0.4416</v>
      </c>
      <c r="DU5" s="135">
        <v>65.0</v>
      </c>
      <c r="DV5" s="135">
        <v>257.0</v>
      </c>
      <c r="DW5" s="135">
        <v>0.0</v>
      </c>
      <c r="DX5" s="135">
        <v>346.76</v>
      </c>
      <c r="DY5" s="135">
        <v>981.01</v>
      </c>
    </row>
    <row r="6">
      <c r="A6" s="210" t="s">
        <v>4</v>
      </c>
      <c r="B6" s="210" t="s">
        <v>145</v>
      </c>
      <c r="C6" s="210" t="b">
        <v>0</v>
      </c>
      <c r="D6" s="210">
        <v>7577.0</v>
      </c>
      <c r="E6" s="210">
        <v>9.93</v>
      </c>
      <c r="F6" s="210">
        <v>8534.93</v>
      </c>
      <c r="G6" s="210">
        <v>0.4675</v>
      </c>
      <c r="H6" s="210">
        <v>9.19</v>
      </c>
      <c r="I6" s="210">
        <v>12.2628</v>
      </c>
      <c r="J6" s="210">
        <v>120.5326</v>
      </c>
      <c r="K6" s="210">
        <v>72.5156</v>
      </c>
      <c r="L6" s="210">
        <v>53.1367</v>
      </c>
      <c r="M6" s="210">
        <v>0.7328</v>
      </c>
      <c r="N6" s="210">
        <v>0.399</v>
      </c>
      <c r="O6" s="210">
        <v>0.2508</v>
      </c>
      <c r="P6" s="210">
        <v>1.3647</v>
      </c>
      <c r="Q6" s="210">
        <v>312.7207</v>
      </c>
      <c r="R6" s="210">
        <v>265.7596</v>
      </c>
      <c r="S6" s="210">
        <v>46.9617</v>
      </c>
      <c r="T6" s="210">
        <v>38.6441</v>
      </c>
      <c r="U6" s="210">
        <v>274.0766</v>
      </c>
      <c r="V6" s="210">
        <v>326.3091</v>
      </c>
      <c r="W6" s="210">
        <v>4.4998</v>
      </c>
      <c r="X6" s="210">
        <v>12.36</v>
      </c>
      <c r="Y6" s="210">
        <v>118.0</v>
      </c>
      <c r="Z6" s="210">
        <v>479.0</v>
      </c>
      <c r="AA6" s="210">
        <v>1624.0</v>
      </c>
      <c r="AB6" s="210">
        <v>55.6997</v>
      </c>
      <c r="AC6" s="210">
        <v>0.7821</v>
      </c>
      <c r="AD6" s="210">
        <v>30.5056</v>
      </c>
      <c r="AE6" s="210">
        <v>12.0</v>
      </c>
      <c r="AF6" s="210">
        <v>23.0</v>
      </c>
      <c r="AG6" s="210">
        <v>41.0</v>
      </c>
      <c r="AH6" s="210">
        <v>63.0</v>
      </c>
      <c r="AI6" s="210">
        <v>42.3722</v>
      </c>
      <c r="AJ6" s="210">
        <v>11.7636</v>
      </c>
      <c r="AK6" s="210">
        <v>2.4814</v>
      </c>
      <c r="AL6" s="210">
        <v>0.1755</v>
      </c>
      <c r="AM6" s="211"/>
      <c r="AQ6" s="135">
        <v>16.7868</v>
      </c>
      <c r="AR6" s="135">
        <v>0.499</v>
      </c>
      <c r="AS6" s="135">
        <v>16.2878</v>
      </c>
      <c r="AT6" s="135">
        <v>16.2839</v>
      </c>
      <c r="AU6" s="135">
        <v>0.2246</v>
      </c>
      <c r="AV6" s="135">
        <v>7577.0</v>
      </c>
      <c r="AW6" s="135">
        <v>0.0</v>
      </c>
      <c r="AX6" s="135">
        <v>119.9296</v>
      </c>
      <c r="AY6" s="135">
        <v>144.5647</v>
      </c>
      <c r="AZ6" s="135">
        <v>4.369</v>
      </c>
      <c r="BA6" s="135">
        <v>38.6381</v>
      </c>
      <c r="BB6" s="135">
        <v>5.2123</v>
      </c>
      <c r="BC6" s="135">
        <v>124.0</v>
      </c>
      <c r="BD6" s="135">
        <v>17695.0</v>
      </c>
      <c r="BE6" s="135">
        <v>9.7241</v>
      </c>
      <c r="BF6" s="135">
        <v>0.2219</v>
      </c>
      <c r="BG6" s="135">
        <v>9.5023</v>
      </c>
      <c r="BH6" s="135">
        <v>8.4508</v>
      </c>
      <c r="BI6" s="135">
        <v>0.1165</v>
      </c>
      <c r="BJ6" s="135">
        <v>7.0627</v>
      </c>
      <c r="BK6" s="135">
        <v>0.2772</v>
      </c>
      <c r="BL6" s="135">
        <v>6.7855</v>
      </c>
      <c r="BM6" s="135">
        <v>7.8331</v>
      </c>
      <c r="BN6" s="135">
        <v>0.108</v>
      </c>
      <c r="BO6" s="135">
        <v>3.4209</v>
      </c>
      <c r="BP6" s="135">
        <v>0.07</v>
      </c>
      <c r="BQ6" s="135">
        <v>3.3509</v>
      </c>
      <c r="BR6" s="135">
        <v>2.9916</v>
      </c>
      <c r="BS6" s="135">
        <v>3.5735</v>
      </c>
      <c r="BT6" s="135">
        <v>0.0725</v>
      </c>
      <c r="BU6" s="135">
        <v>3.501</v>
      </c>
      <c r="BV6" s="135">
        <v>3.1041</v>
      </c>
      <c r="BW6" s="135">
        <v>2.7297</v>
      </c>
      <c r="BX6" s="135">
        <v>0.0794</v>
      </c>
      <c r="BY6" s="135">
        <v>2.6503</v>
      </c>
      <c r="BZ6" s="135">
        <v>2.3551</v>
      </c>
      <c r="CA6" s="135">
        <v>1.873</v>
      </c>
      <c r="CB6" s="135">
        <v>0.0795</v>
      </c>
      <c r="CC6" s="135">
        <v>1.7935</v>
      </c>
      <c r="CD6" s="135">
        <v>2.3131</v>
      </c>
      <c r="CE6" s="135">
        <v>2.3486</v>
      </c>
      <c r="CF6" s="135">
        <v>0.108</v>
      </c>
      <c r="CG6" s="135">
        <v>2.2406</v>
      </c>
      <c r="CH6" s="135">
        <v>2.4128</v>
      </c>
      <c r="CI6" s="135">
        <v>2.8411</v>
      </c>
      <c r="CJ6" s="135">
        <v>0.0897</v>
      </c>
      <c r="CK6" s="135">
        <v>2.7514</v>
      </c>
      <c r="CL6" s="135">
        <v>3.1072</v>
      </c>
      <c r="CM6" s="135">
        <v>935.1776</v>
      </c>
      <c r="CN6" s="135">
        <v>98.93</v>
      </c>
      <c r="CO6" s="135">
        <v>945.26</v>
      </c>
      <c r="CP6" s="135">
        <v>904.1588</v>
      </c>
      <c r="CQ6" s="135">
        <v>0.0</v>
      </c>
      <c r="CR6" s="135">
        <v>10.6338</v>
      </c>
      <c r="CS6" s="135">
        <v>20.3854</v>
      </c>
      <c r="CT6" s="135">
        <v>0.0</v>
      </c>
      <c r="CV6" s="135">
        <v>0.0</v>
      </c>
      <c r="CW6" s="135">
        <v>312.7207</v>
      </c>
      <c r="CX6" s="135">
        <v>0.0</v>
      </c>
      <c r="CY6" s="135">
        <v>0.0</v>
      </c>
      <c r="CZ6" s="135">
        <v>312.2096</v>
      </c>
      <c r="DA6" s="135">
        <v>6.1767</v>
      </c>
      <c r="DB6" s="135">
        <v>306.0313</v>
      </c>
      <c r="DC6" s="135">
        <v>291.1171</v>
      </c>
      <c r="DD6" s="135">
        <v>2.4397</v>
      </c>
      <c r="DE6" s="135">
        <v>288.6794</v>
      </c>
      <c r="DF6" s="135">
        <v>10.385</v>
      </c>
      <c r="DG6" s="135">
        <v>1.2462</v>
      </c>
      <c r="DH6" s="135">
        <v>9.1388</v>
      </c>
      <c r="DI6" s="135">
        <v>7.5733</v>
      </c>
      <c r="DJ6" s="135">
        <v>1.2462</v>
      </c>
      <c r="DK6" s="135">
        <v>6.3272</v>
      </c>
      <c r="DL6" s="135">
        <v>3.1326</v>
      </c>
      <c r="DM6" s="135">
        <v>1.2462</v>
      </c>
      <c r="DN6" s="135">
        <v>1.8845</v>
      </c>
      <c r="DO6" s="135">
        <v>18255.0</v>
      </c>
      <c r="DP6" s="214">
        <v>46255.0</v>
      </c>
      <c r="DQ6" s="214">
        <v>46260.0</v>
      </c>
      <c r="DR6" s="135">
        <v>6.0</v>
      </c>
      <c r="DS6" s="135">
        <v>696.0</v>
      </c>
      <c r="DT6" s="135">
        <v>1.1264</v>
      </c>
      <c r="DU6" s="135">
        <v>49.0</v>
      </c>
      <c r="DV6" s="135">
        <v>318.0</v>
      </c>
      <c r="DW6" s="135">
        <v>0.0</v>
      </c>
      <c r="DX6" s="135">
        <v>753.43</v>
      </c>
      <c r="DY6" s="135">
        <v>2253.09</v>
      </c>
    </row>
    <row r="7">
      <c r="A7" s="210" t="s">
        <v>4</v>
      </c>
      <c r="B7" s="210" t="s">
        <v>146</v>
      </c>
      <c r="C7" s="210" t="b">
        <v>0</v>
      </c>
      <c r="D7" s="210">
        <v>1181.0</v>
      </c>
      <c r="E7" s="210">
        <v>1.45</v>
      </c>
      <c r="F7" s="210">
        <v>3131.81</v>
      </c>
      <c r="G7" s="210">
        <v>1.1721</v>
      </c>
      <c r="H7" s="210">
        <v>12.19</v>
      </c>
      <c r="I7" s="210">
        <v>21.7487</v>
      </c>
      <c r="J7" s="210">
        <v>247.7976</v>
      </c>
      <c r="K7" s="210">
        <v>164.671</v>
      </c>
      <c r="L7" s="210">
        <v>128.4122</v>
      </c>
      <c r="M7" s="210">
        <v>0.7798</v>
      </c>
      <c r="N7" s="210">
        <v>0.325</v>
      </c>
      <c r="O7" s="210">
        <v>0.2031</v>
      </c>
      <c r="P7" s="210">
        <v>1.2824</v>
      </c>
      <c r="Q7" s="210">
        <v>592.9609</v>
      </c>
      <c r="R7" s="210">
        <v>469.8742</v>
      </c>
      <c r="S7" s="210">
        <v>123.086</v>
      </c>
      <c r="T7" s="210">
        <v>86.2472</v>
      </c>
      <c r="U7" s="210">
        <v>506.7144</v>
      </c>
      <c r="V7" s="210">
        <v>617.5514</v>
      </c>
      <c r="W7" s="210">
        <v>3.7502</v>
      </c>
      <c r="X7" s="210">
        <v>14.55</v>
      </c>
      <c r="Y7" s="210">
        <v>114.0</v>
      </c>
      <c r="Z7" s="210">
        <v>557.0</v>
      </c>
      <c r="AA7" s="210">
        <v>1850.0</v>
      </c>
      <c r="AB7" s="210">
        <v>57.5447</v>
      </c>
      <c r="AC7" s="210">
        <v>0.8127</v>
      </c>
      <c r="AD7" s="210">
        <v>57.7938</v>
      </c>
      <c r="AE7" s="210">
        <v>23.0</v>
      </c>
      <c r="AF7" s="210">
        <v>41.0</v>
      </c>
      <c r="AG7" s="210">
        <v>75.0</v>
      </c>
      <c r="AH7" s="210">
        <v>126.0</v>
      </c>
      <c r="AI7" s="210">
        <v>22.9796</v>
      </c>
      <c r="AJ7" s="210">
        <v>4.7894</v>
      </c>
      <c r="AK7" s="210">
        <v>0.6743</v>
      </c>
      <c r="AL7" s="210">
        <v>0.0979</v>
      </c>
      <c r="AM7" s="211"/>
      <c r="AQ7" s="135">
        <v>34.0019</v>
      </c>
      <c r="AR7" s="135">
        <v>1.2878</v>
      </c>
      <c r="AS7" s="135">
        <v>32.7141</v>
      </c>
      <c r="AT7" s="135">
        <v>32.854</v>
      </c>
      <c r="AU7" s="135">
        <v>0.1995</v>
      </c>
      <c r="AV7" s="135">
        <v>1181.0</v>
      </c>
      <c r="AW7" s="135">
        <v>0.0</v>
      </c>
      <c r="AX7" s="135">
        <v>281.271</v>
      </c>
      <c r="AY7" s="135">
        <v>204.2155</v>
      </c>
      <c r="AZ7" s="135">
        <v>7.3239</v>
      </c>
      <c r="BA7" s="135">
        <v>86.2472</v>
      </c>
      <c r="BB7" s="135">
        <v>13.9011</v>
      </c>
      <c r="BC7" s="135">
        <v>250.0</v>
      </c>
      <c r="BD7" s="135">
        <v>17718.0</v>
      </c>
      <c r="BE7" s="135">
        <v>19.8032</v>
      </c>
      <c r="BF7" s="135">
        <v>0.6467</v>
      </c>
      <c r="BG7" s="135">
        <v>19.1564</v>
      </c>
      <c r="BH7" s="135">
        <v>16.7642</v>
      </c>
      <c r="BI7" s="135">
        <v>0.1019</v>
      </c>
      <c r="BJ7" s="135">
        <v>14.1987</v>
      </c>
      <c r="BK7" s="135">
        <v>0.6411</v>
      </c>
      <c r="BL7" s="135">
        <v>13.5576</v>
      </c>
      <c r="BM7" s="135">
        <v>16.0898</v>
      </c>
      <c r="BN7" s="135">
        <v>0.0978</v>
      </c>
      <c r="BO7" s="135">
        <v>6.8697</v>
      </c>
      <c r="BP7" s="135">
        <v>0.1931</v>
      </c>
      <c r="BQ7" s="135">
        <v>6.6767</v>
      </c>
      <c r="BR7" s="135">
        <v>5.8727</v>
      </c>
      <c r="BS7" s="135">
        <v>7.286</v>
      </c>
      <c r="BT7" s="135">
        <v>0.2122</v>
      </c>
      <c r="BU7" s="135">
        <v>7.0737</v>
      </c>
      <c r="BV7" s="135">
        <v>6.073</v>
      </c>
      <c r="BW7" s="135">
        <v>5.6474</v>
      </c>
      <c r="BX7" s="135">
        <v>0.2414</v>
      </c>
      <c r="BY7" s="135">
        <v>5.406</v>
      </c>
      <c r="BZ7" s="135">
        <v>4.8185</v>
      </c>
      <c r="CA7" s="135">
        <v>4.0543</v>
      </c>
      <c r="CB7" s="135">
        <v>0.183</v>
      </c>
      <c r="CC7" s="135">
        <v>3.8713</v>
      </c>
      <c r="CD7" s="135">
        <v>4.3772</v>
      </c>
      <c r="CE7" s="135">
        <v>4.4592</v>
      </c>
      <c r="CF7" s="135">
        <v>0.2459</v>
      </c>
      <c r="CG7" s="135">
        <v>4.2133</v>
      </c>
      <c r="CH7" s="135">
        <v>4.531</v>
      </c>
      <c r="CI7" s="135">
        <v>5.6853</v>
      </c>
      <c r="CJ7" s="135">
        <v>0.2122</v>
      </c>
      <c r="CK7" s="135">
        <v>5.473</v>
      </c>
      <c r="CL7" s="135">
        <v>7.1815</v>
      </c>
      <c r="CM7" s="135">
        <v>2045.5633</v>
      </c>
      <c r="CN7" s="135">
        <v>99.78</v>
      </c>
      <c r="CO7" s="135">
        <v>2050.17</v>
      </c>
      <c r="CP7" s="135">
        <v>2004.2921</v>
      </c>
      <c r="CQ7" s="135">
        <v>0.0</v>
      </c>
      <c r="CR7" s="135">
        <v>15.9658</v>
      </c>
      <c r="CS7" s="135">
        <v>25.3054</v>
      </c>
      <c r="CT7" s="135">
        <v>0.0</v>
      </c>
      <c r="CV7" s="135">
        <v>0.0</v>
      </c>
      <c r="CW7" s="135">
        <v>592.9609</v>
      </c>
      <c r="CX7" s="135">
        <v>0.0</v>
      </c>
      <c r="CY7" s="135">
        <v>0.0</v>
      </c>
      <c r="CZ7" s="135">
        <v>594.0401</v>
      </c>
      <c r="DA7" s="135">
        <v>9.6183</v>
      </c>
      <c r="DB7" s="135">
        <v>584.4217</v>
      </c>
      <c r="DC7" s="135">
        <v>566.7628</v>
      </c>
      <c r="DD7" s="135">
        <v>5.3049</v>
      </c>
      <c r="DE7" s="135">
        <v>561.4601</v>
      </c>
      <c r="DF7" s="135">
        <v>12.657</v>
      </c>
      <c r="DG7" s="135">
        <v>1.4385</v>
      </c>
      <c r="DH7" s="135">
        <v>11.2206</v>
      </c>
      <c r="DI7" s="135">
        <v>10.098</v>
      </c>
      <c r="DJ7" s="135">
        <v>1.4385</v>
      </c>
      <c r="DK7" s="135">
        <v>8.6616</v>
      </c>
      <c r="DL7" s="135">
        <v>4.5187</v>
      </c>
      <c r="DM7" s="135">
        <v>1.4385</v>
      </c>
      <c r="DN7" s="135">
        <v>3.0816</v>
      </c>
      <c r="DO7" s="135">
        <v>2672.0</v>
      </c>
      <c r="DP7" s="214">
        <v>46255.0</v>
      </c>
      <c r="DQ7" s="214">
        <v>46260.0</v>
      </c>
      <c r="DR7" s="135">
        <v>6.0</v>
      </c>
      <c r="DS7" s="135">
        <v>144.0</v>
      </c>
      <c r="DT7" s="135">
        <v>2.6518</v>
      </c>
      <c r="DU7" s="135">
        <v>31.0</v>
      </c>
      <c r="DV7" s="135">
        <v>401.0</v>
      </c>
      <c r="DW7" s="135">
        <v>0.0</v>
      </c>
      <c r="DX7" s="135">
        <v>1341.57</v>
      </c>
      <c r="DY7" s="135">
        <v>4628.07</v>
      </c>
    </row>
    <row r="8">
      <c r="A8" s="210" t="s">
        <v>5</v>
      </c>
      <c r="B8" s="210" t="s">
        <v>398</v>
      </c>
      <c r="C8" s="210" t="b">
        <v>0</v>
      </c>
      <c r="D8" s="210">
        <v>26906.0</v>
      </c>
      <c r="E8" s="210">
        <v>20.21</v>
      </c>
      <c r="F8" s="210">
        <v>3941.97</v>
      </c>
      <c r="G8" s="210">
        <v>0.1069</v>
      </c>
      <c r="H8" s="210">
        <v>0.77</v>
      </c>
      <c r="I8" s="210">
        <v>19.1358</v>
      </c>
      <c r="J8" s="210">
        <v>18.6427</v>
      </c>
      <c r="K8" s="210">
        <v>9.9052</v>
      </c>
      <c r="L8" s="210">
        <v>6.5726</v>
      </c>
      <c r="M8" s="210">
        <v>0.6636</v>
      </c>
      <c r="N8" s="210">
        <v>0.4585</v>
      </c>
      <c r="O8" s="210">
        <v>0.2257</v>
      </c>
      <c r="P8" s="210">
        <v>1.507</v>
      </c>
      <c r="Q8" s="210">
        <v>56.2569</v>
      </c>
      <c r="R8" s="210">
        <v>56.1828</v>
      </c>
      <c r="S8" s="210">
        <v>0.0741</v>
      </c>
      <c r="T8" s="210">
        <v>8.0334</v>
      </c>
      <c r="U8" s="210">
        <v>48.2216</v>
      </c>
      <c r="V8" s="210">
        <v>42.4943</v>
      </c>
      <c r="W8" s="210">
        <v>4.2901</v>
      </c>
      <c r="X8" s="210">
        <v>14.28</v>
      </c>
      <c r="Y8" s="210">
        <v>195.0</v>
      </c>
      <c r="Z8" s="210">
        <v>477.0</v>
      </c>
      <c r="AA8" s="210">
        <v>4480.0</v>
      </c>
      <c r="AB8" s="210">
        <v>49.7684</v>
      </c>
      <c r="AC8" s="210">
        <v>0.5014</v>
      </c>
      <c r="AD8" s="211"/>
      <c r="AE8" s="211"/>
      <c r="AF8" s="211"/>
      <c r="AG8" s="211"/>
      <c r="AH8" s="211"/>
      <c r="AI8" s="210">
        <v>0.0</v>
      </c>
      <c r="AJ8" s="210">
        <v>0.0</v>
      </c>
      <c r="AK8" s="210">
        <v>0.0</v>
      </c>
      <c r="AL8" s="210">
        <v>0.5234</v>
      </c>
      <c r="AM8" s="210">
        <v>7.0198</v>
      </c>
      <c r="AN8" s="135">
        <v>7.0198</v>
      </c>
      <c r="AO8" s="135">
        <v>4.4242</v>
      </c>
      <c r="AP8" s="135">
        <v>2.4991</v>
      </c>
      <c r="AQ8" s="135">
        <v>1.8877</v>
      </c>
      <c r="AR8" s="135">
        <v>0.095</v>
      </c>
      <c r="AS8" s="135">
        <v>1.7927</v>
      </c>
      <c r="AT8" s="135">
        <v>1.3845</v>
      </c>
      <c r="AU8" s="135">
        <v>0.1398</v>
      </c>
      <c r="AV8" s="135">
        <v>26906.0</v>
      </c>
      <c r="AW8" s="135">
        <v>0.0</v>
      </c>
      <c r="AX8" s="135">
        <v>9.252</v>
      </c>
      <c r="AY8" s="135">
        <v>36.1914</v>
      </c>
      <c r="AZ8" s="135">
        <v>2.5871</v>
      </c>
      <c r="BA8" s="135">
        <v>8.0334</v>
      </c>
      <c r="BB8" s="135">
        <v>0.1898</v>
      </c>
      <c r="BD8" s="135">
        <v>28292.0</v>
      </c>
      <c r="BE8" s="135">
        <v>0.9199</v>
      </c>
      <c r="BF8" s="135">
        <v>0.0398</v>
      </c>
      <c r="BG8" s="135">
        <v>0.8802</v>
      </c>
      <c r="BH8" s="135">
        <v>0.7043</v>
      </c>
      <c r="BI8" s="135">
        <v>0.0775</v>
      </c>
      <c r="BJ8" s="135">
        <v>0.9677</v>
      </c>
      <c r="BK8" s="135">
        <v>0.0552</v>
      </c>
      <c r="BL8" s="135">
        <v>0.9126</v>
      </c>
      <c r="BM8" s="135">
        <v>0.6802</v>
      </c>
      <c r="BN8" s="135">
        <v>0.0693</v>
      </c>
      <c r="BO8" s="135">
        <v>0.3441</v>
      </c>
      <c r="BP8" s="135">
        <v>0.0137</v>
      </c>
      <c r="BQ8" s="135">
        <v>0.3304</v>
      </c>
      <c r="BR8" s="135">
        <v>0.2737</v>
      </c>
      <c r="BS8" s="135">
        <v>0.3467</v>
      </c>
      <c r="BT8" s="135">
        <v>0.013</v>
      </c>
      <c r="BU8" s="135">
        <v>0.3337</v>
      </c>
      <c r="BV8" s="135">
        <v>0.2557</v>
      </c>
      <c r="BW8" s="135">
        <v>0.2291</v>
      </c>
      <c r="BX8" s="135">
        <v>0.013</v>
      </c>
      <c r="BY8" s="135">
        <v>0.216</v>
      </c>
      <c r="BZ8" s="135">
        <v>0.1749</v>
      </c>
      <c r="CA8" s="135">
        <v>0.1983</v>
      </c>
      <c r="CB8" s="135">
        <v>0.0142</v>
      </c>
      <c r="CC8" s="135">
        <v>0.1841</v>
      </c>
      <c r="CD8" s="135">
        <v>0.1553</v>
      </c>
      <c r="CE8" s="135">
        <v>0.4195</v>
      </c>
      <c r="CF8" s="135">
        <v>0.0227</v>
      </c>
      <c r="CG8" s="135">
        <v>0.3968</v>
      </c>
      <c r="CH8" s="135">
        <v>0.2623</v>
      </c>
      <c r="CI8" s="135">
        <v>0.3499</v>
      </c>
      <c r="CJ8" s="135">
        <v>0.0184</v>
      </c>
      <c r="CK8" s="135">
        <v>0.3316</v>
      </c>
      <c r="CL8" s="135">
        <v>0.2626</v>
      </c>
      <c r="CM8" s="135">
        <v>136.7134</v>
      </c>
      <c r="CN8" s="135">
        <v>16.72</v>
      </c>
      <c r="CO8" s="135">
        <v>817.83</v>
      </c>
      <c r="CP8" s="135">
        <v>123.525</v>
      </c>
      <c r="CQ8" s="135">
        <v>6.5478</v>
      </c>
      <c r="CR8" s="135">
        <v>2.9022</v>
      </c>
      <c r="CS8" s="135">
        <v>3.7372</v>
      </c>
      <c r="CT8" s="135">
        <v>0.0</v>
      </c>
      <c r="CV8" s="135">
        <v>2.5933</v>
      </c>
      <c r="CW8" s="135">
        <v>58.8456</v>
      </c>
      <c r="CX8" s="135">
        <v>0.879</v>
      </c>
      <c r="CY8" s="135">
        <v>7.4268</v>
      </c>
      <c r="CZ8" s="135">
        <v>36.7529</v>
      </c>
      <c r="DA8" s="135">
        <v>1.1728</v>
      </c>
      <c r="DB8" s="135">
        <v>35.5765</v>
      </c>
      <c r="DC8" s="135">
        <v>31.8296</v>
      </c>
      <c r="DD8" s="135">
        <v>0.5743</v>
      </c>
      <c r="DE8" s="135">
        <v>31.2554</v>
      </c>
      <c r="DF8" s="135">
        <v>2.2651</v>
      </c>
      <c r="DG8" s="135">
        <v>0.202</v>
      </c>
      <c r="DH8" s="135">
        <v>2.0647</v>
      </c>
      <c r="DI8" s="135">
        <v>1.8315</v>
      </c>
      <c r="DJ8" s="135">
        <v>0.202</v>
      </c>
      <c r="DK8" s="135">
        <v>1.6283</v>
      </c>
      <c r="DL8" s="135">
        <v>0.8259</v>
      </c>
      <c r="DM8" s="135">
        <v>0.202</v>
      </c>
      <c r="DN8" s="135">
        <v>0.6282</v>
      </c>
      <c r="DO8" s="135">
        <v>36892.0</v>
      </c>
      <c r="DP8" s="214">
        <v>46255.0</v>
      </c>
      <c r="DQ8" s="214">
        <v>46260.0</v>
      </c>
      <c r="DR8" s="135">
        <v>6.0</v>
      </c>
      <c r="DS8" s="135">
        <v>206.0</v>
      </c>
      <c r="DT8" s="135">
        <v>0.1465</v>
      </c>
      <c r="DU8" s="135">
        <v>188.0</v>
      </c>
      <c r="DV8" s="135">
        <v>201.0</v>
      </c>
      <c r="DW8" s="135">
        <v>5158.0</v>
      </c>
      <c r="DX8" s="135">
        <v>77.14</v>
      </c>
      <c r="DY8" s="135">
        <v>187.45</v>
      </c>
    </row>
    <row r="9">
      <c r="A9" s="210" t="s">
        <v>5</v>
      </c>
      <c r="B9" s="210" t="s">
        <v>142</v>
      </c>
      <c r="C9" s="210" t="b">
        <v>0</v>
      </c>
      <c r="D9" s="210">
        <v>32023.0</v>
      </c>
      <c r="E9" s="210">
        <v>28.61</v>
      </c>
      <c r="F9" s="210">
        <v>1360.84</v>
      </c>
      <c r="G9" s="210">
        <v>0.0261</v>
      </c>
      <c r="H9" s="210">
        <v>1.44</v>
      </c>
      <c r="I9" s="210">
        <v>2.9455</v>
      </c>
      <c r="J9" s="210">
        <v>22.3362</v>
      </c>
      <c r="K9" s="210">
        <v>11.407</v>
      </c>
      <c r="L9" s="210">
        <v>5.2101</v>
      </c>
      <c r="M9" s="210">
        <v>0.4567</v>
      </c>
      <c r="N9" s="210">
        <v>0.6483</v>
      </c>
      <c r="O9" s="210">
        <v>0.3836</v>
      </c>
      <c r="P9" s="210">
        <v>2.1894</v>
      </c>
      <c r="Q9" s="210">
        <v>44.9696</v>
      </c>
      <c r="R9" s="210">
        <v>41.3353</v>
      </c>
      <c r="S9" s="210">
        <v>3.6352</v>
      </c>
      <c r="T9" s="210">
        <v>2.1126</v>
      </c>
      <c r="U9" s="210">
        <v>42.857</v>
      </c>
      <c r="V9" s="210">
        <v>43.7692</v>
      </c>
      <c r="W9" s="210">
        <v>3.837</v>
      </c>
      <c r="X9" s="210">
        <v>4.7</v>
      </c>
      <c r="Y9" s="210">
        <v>173.0</v>
      </c>
      <c r="Z9" s="210">
        <v>330.0</v>
      </c>
      <c r="AA9" s="210">
        <v>1407.0</v>
      </c>
      <c r="AB9" s="210">
        <v>49.9622</v>
      </c>
      <c r="AC9" s="210">
        <v>0.5913</v>
      </c>
      <c r="AD9" s="210">
        <v>4.0755</v>
      </c>
      <c r="AE9" s="210">
        <v>1.0</v>
      </c>
      <c r="AF9" s="210">
        <v>3.0</v>
      </c>
      <c r="AG9" s="210">
        <v>5.0</v>
      </c>
      <c r="AH9" s="210">
        <v>9.0</v>
      </c>
      <c r="AI9" s="210">
        <v>74.5102</v>
      </c>
      <c r="AJ9" s="210">
        <v>34.2019</v>
      </c>
      <c r="AK9" s="210">
        <v>7.1799</v>
      </c>
      <c r="AL9" s="210">
        <v>0.4848</v>
      </c>
      <c r="AM9" s="210">
        <v>36.0083</v>
      </c>
      <c r="AN9" s="135">
        <v>36.0083</v>
      </c>
      <c r="AO9" s="135">
        <v>17.5723</v>
      </c>
      <c r="AP9" s="135">
        <v>5.5049</v>
      </c>
      <c r="AQ9" s="135">
        <v>3.4209</v>
      </c>
      <c r="AR9" s="135">
        <v>0.0424</v>
      </c>
      <c r="AS9" s="135">
        <v>3.3786</v>
      </c>
      <c r="AT9" s="135">
        <v>2.7589</v>
      </c>
      <c r="AU9" s="135">
        <v>0.2419</v>
      </c>
      <c r="AV9" s="135">
        <v>32023.0</v>
      </c>
      <c r="AW9" s="135">
        <v>0.0</v>
      </c>
      <c r="AX9" s="135">
        <v>18.3463</v>
      </c>
      <c r="AY9" s="135">
        <v>21.9252</v>
      </c>
      <c r="AZ9" s="135">
        <v>2.098</v>
      </c>
      <c r="BA9" s="135">
        <v>2.1104</v>
      </c>
      <c r="BB9" s="135">
        <v>0.4947</v>
      </c>
      <c r="BC9" s="135">
        <v>17.0</v>
      </c>
      <c r="BD9" s="135">
        <v>20206.0</v>
      </c>
      <c r="BE9" s="135">
        <v>2.3867</v>
      </c>
      <c r="BF9" s="135">
        <v>0.0256</v>
      </c>
      <c r="BG9" s="135">
        <v>2.3612</v>
      </c>
      <c r="BH9" s="135">
        <v>1.6481</v>
      </c>
      <c r="BI9" s="135">
        <v>0.1449</v>
      </c>
      <c r="BJ9" s="135">
        <v>1.0342</v>
      </c>
      <c r="BK9" s="135">
        <v>0.0168</v>
      </c>
      <c r="BL9" s="135">
        <v>1.0174</v>
      </c>
      <c r="BM9" s="135">
        <v>1.1108</v>
      </c>
      <c r="BN9" s="135">
        <v>0.0976</v>
      </c>
      <c r="BO9" s="135">
        <v>1.0815</v>
      </c>
      <c r="BP9" s="135">
        <v>0.0109</v>
      </c>
      <c r="BQ9" s="135">
        <v>1.0705</v>
      </c>
      <c r="BR9" s="135">
        <v>0.7107</v>
      </c>
      <c r="BS9" s="135">
        <v>0.9914</v>
      </c>
      <c r="BT9" s="135">
        <v>0.006</v>
      </c>
      <c r="BU9" s="135">
        <v>0.9854</v>
      </c>
      <c r="BV9" s="135">
        <v>0.6456</v>
      </c>
      <c r="BW9" s="135">
        <v>0.3138</v>
      </c>
      <c r="BX9" s="135">
        <v>0.0086</v>
      </c>
      <c r="BY9" s="135">
        <v>0.3052</v>
      </c>
      <c r="BZ9" s="135">
        <v>0.2918</v>
      </c>
      <c r="CA9" s="135">
        <v>0.1671</v>
      </c>
      <c r="CB9" s="135">
        <v>0.0035</v>
      </c>
      <c r="CC9" s="135">
        <v>0.1635</v>
      </c>
      <c r="CD9" s="135">
        <v>0.1906</v>
      </c>
      <c r="CE9" s="135">
        <v>0.4763</v>
      </c>
      <c r="CF9" s="135">
        <v>0.007</v>
      </c>
      <c r="CG9" s="135">
        <v>0.4694</v>
      </c>
      <c r="CH9" s="135">
        <v>0.5202</v>
      </c>
      <c r="CI9" s="135">
        <v>0.3908</v>
      </c>
      <c r="CJ9" s="135">
        <v>0.0063</v>
      </c>
      <c r="CK9" s="135">
        <v>0.3845</v>
      </c>
      <c r="CL9" s="135">
        <v>0.4</v>
      </c>
      <c r="CM9" s="135">
        <v>114.0175</v>
      </c>
      <c r="CN9" s="135">
        <v>75.49</v>
      </c>
      <c r="CO9" s="135">
        <v>151.04</v>
      </c>
      <c r="CP9" s="135">
        <v>100.1826</v>
      </c>
      <c r="CQ9" s="135">
        <v>6.9832</v>
      </c>
      <c r="CR9" s="135">
        <v>4.8008</v>
      </c>
      <c r="CS9" s="135">
        <v>2.0508</v>
      </c>
      <c r="CT9" s="135">
        <v>0.0</v>
      </c>
      <c r="CV9" s="135">
        <v>0.5772</v>
      </c>
      <c r="CW9" s="135">
        <v>45.5491</v>
      </c>
      <c r="CX9" s="135">
        <v>0.7322</v>
      </c>
      <c r="CY9" s="135">
        <v>7.7169</v>
      </c>
      <c r="CZ9" s="135">
        <v>80.5274</v>
      </c>
      <c r="DA9" s="135">
        <v>0.6259</v>
      </c>
      <c r="DB9" s="135">
        <v>79.9001</v>
      </c>
      <c r="DC9" s="135">
        <v>74.0182</v>
      </c>
      <c r="DD9" s="135">
        <v>0.1905</v>
      </c>
      <c r="DE9" s="135">
        <v>73.8312</v>
      </c>
      <c r="DF9" s="135">
        <v>3.3221</v>
      </c>
      <c r="DG9" s="135">
        <v>0.1468</v>
      </c>
      <c r="DH9" s="135">
        <v>3.1753</v>
      </c>
      <c r="DI9" s="135">
        <v>2.6578</v>
      </c>
      <c r="DJ9" s="135">
        <v>0.1468</v>
      </c>
      <c r="DK9" s="135">
        <v>2.511</v>
      </c>
      <c r="DL9" s="135">
        <v>0.5279</v>
      </c>
      <c r="DM9" s="135">
        <v>0.1468</v>
      </c>
      <c r="DN9" s="135">
        <v>0.3826</v>
      </c>
      <c r="DO9" s="135">
        <v>52224.0</v>
      </c>
      <c r="DP9" s="214">
        <v>46255.0</v>
      </c>
      <c r="DQ9" s="214">
        <v>46260.0</v>
      </c>
      <c r="DR9" s="135">
        <v>6.0</v>
      </c>
      <c r="DS9" s="135">
        <v>462.0</v>
      </c>
      <c r="DT9" s="135">
        <v>0.0425</v>
      </c>
      <c r="DU9" s="135">
        <v>148.0</v>
      </c>
      <c r="DV9" s="135">
        <v>201.0</v>
      </c>
      <c r="DW9" s="135">
        <v>6031.0</v>
      </c>
      <c r="DX9" s="135">
        <v>73.34</v>
      </c>
      <c r="DY9" s="135">
        <v>185.94</v>
      </c>
    </row>
    <row r="10">
      <c r="A10" s="210" t="s">
        <v>5</v>
      </c>
      <c r="B10" s="210" t="s">
        <v>143</v>
      </c>
      <c r="C10" s="210" t="b">
        <v>0</v>
      </c>
      <c r="D10" s="210">
        <v>22634.0</v>
      </c>
      <c r="E10" s="210">
        <v>22.83</v>
      </c>
      <c r="F10" s="210">
        <v>4051.34</v>
      </c>
      <c r="G10" s="210">
        <v>0.0972</v>
      </c>
      <c r="H10" s="210">
        <v>4.02</v>
      </c>
      <c r="I10" s="210">
        <v>4.4471</v>
      </c>
      <c r="J10" s="210">
        <v>46.3889</v>
      </c>
      <c r="K10" s="210">
        <v>24.8974</v>
      </c>
      <c r="L10" s="210">
        <v>13.8143</v>
      </c>
      <c r="M10" s="210">
        <v>0.5548</v>
      </c>
      <c r="N10" s="210">
        <v>0.5674</v>
      </c>
      <c r="O10" s="210">
        <v>0.3334</v>
      </c>
      <c r="P10" s="210">
        <v>1.8023</v>
      </c>
      <c r="Q10" s="215">
        <v>94.9316</v>
      </c>
      <c r="R10" s="210">
        <v>84.7758</v>
      </c>
      <c r="S10" s="210">
        <v>10.1587</v>
      </c>
      <c r="T10" s="210">
        <v>7.3548</v>
      </c>
      <c r="U10" s="210">
        <v>87.576</v>
      </c>
      <c r="V10" s="210">
        <v>96.6609</v>
      </c>
      <c r="W10" s="210">
        <v>3.8824</v>
      </c>
      <c r="X10" s="210">
        <v>7.75</v>
      </c>
      <c r="Y10" s="210">
        <v>128.0</v>
      </c>
      <c r="Z10" s="210">
        <v>334.0</v>
      </c>
      <c r="AA10" s="210">
        <v>1177.0</v>
      </c>
      <c r="AB10" s="210">
        <v>51.6681</v>
      </c>
      <c r="AC10" s="210">
        <v>0.6502</v>
      </c>
      <c r="AD10" s="210">
        <v>9.4651</v>
      </c>
      <c r="AE10" s="210">
        <v>4.0</v>
      </c>
      <c r="AF10" s="210">
        <v>8.0</v>
      </c>
      <c r="AG10" s="210">
        <v>13.0</v>
      </c>
      <c r="AH10" s="210">
        <v>19.0</v>
      </c>
      <c r="AI10" s="210">
        <v>64.5733</v>
      </c>
      <c r="AJ10" s="210">
        <v>26.322</v>
      </c>
      <c r="AK10" s="210">
        <v>3.6414</v>
      </c>
      <c r="AL10" s="210">
        <v>0.3273</v>
      </c>
      <c r="AM10" s="210">
        <v>44.0787</v>
      </c>
      <c r="AN10" s="135">
        <v>44.0787</v>
      </c>
      <c r="AO10" s="135">
        <v>25.4806</v>
      </c>
      <c r="AP10" s="135">
        <v>11.7202</v>
      </c>
      <c r="AQ10" s="135">
        <v>6.5314</v>
      </c>
      <c r="AR10" s="135">
        <v>0.1212</v>
      </c>
      <c r="AS10" s="135">
        <v>6.4102</v>
      </c>
      <c r="AT10" s="135">
        <v>5.6779</v>
      </c>
      <c r="AU10" s="135">
        <v>0.2281</v>
      </c>
      <c r="AV10" s="135">
        <v>22634.0</v>
      </c>
      <c r="AW10" s="135">
        <v>0.0</v>
      </c>
      <c r="AX10" s="135">
        <v>35.6558</v>
      </c>
      <c r="AY10" s="135">
        <v>47.7595</v>
      </c>
      <c r="AZ10" s="135">
        <v>2.9918</v>
      </c>
      <c r="BA10" s="135">
        <v>7.3526</v>
      </c>
      <c r="BB10" s="135">
        <v>1.1691</v>
      </c>
      <c r="BC10" s="135">
        <v>35.0</v>
      </c>
      <c r="BD10" s="135">
        <v>19108.0</v>
      </c>
      <c r="BE10" s="135">
        <v>4.2963</v>
      </c>
      <c r="BF10" s="135">
        <v>0.0702</v>
      </c>
      <c r="BG10" s="135">
        <v>4.2261</v>
      </c>
      <c r="BH10" s="135">
        <v>3.3052</v>
      </c>
      <c r="BI10" s="135">
        <v>0.1329</v>
      </c>
      <c r="BJ10" s="135">
        <v>2.2351</v>
      </c>
      <c r="BK10" s="135">
        <v>0.051</v>
      </c>
      <c r="BL10" s="135">
        <v>2.1841</v>
      </c>
      <c r="BM10" s="135">
        <v>2.3726</v>
      </c>
      <c r="BN10" s="135">
        <v>0.0954</v>
      </c>
      <c r="BO10" s="135">
        <v>1.8009</v>
      </c>
      <c r="BP10" s="135">
        <v>0.0287</v>
      </c>
      <c r="BQ10" s="135">
        <v>1.7723</v>
      </c>
      <c r="BR10" s="135">
        <v>1.3608</v>
      </c>
      <c r="BS10" s="135">
        <v>1.7646</v>
      </c>
      <c r="BT10" s="135">
        <v>0.0181</v>
      </c>
      <c r="BU10" s="135">
        <v>1.7465</v>
      </c>
      <c r="BV10" s="135">
        <v>1.2796</v>
      </c>
      <c r="BW10" s="135">
        <v>0.7307</v>
      </c>
      <c r="BX10" s="135">
        <v>0.0234</v>
      </c>
      <c r="BY10" s="135">
        <v>0.7072</v>
      </c>
      <c r="BZ10" s="135">
        <v>0.6649</v>
      </c>
      <c r="CA10" s="135">
        <v>0.4202</v>
      </c>
      <c r="CB10" s="135">
        <v>0.0126</v>
      </c>
      <c r="CC10" s="135">
        <v>0.4075</v>
      </c>
      <c r="CD10" s="135">
        <v>0.4726</v>
      </c>
      <c r="CE10" s="135">
        <v>0.9048</v>
      </c>
      <c r="CF10" s="135">
        <v>0.0216</v>
      </c>
      <c r="CG10" s="135">
        <v>0.8832</v>
      </c>
      <c r="CH10" s="135">
        <v>0.9934</v>
      </c>
      <c r="CI10" s="135">
        <v>0.9102</v>
      </c>
      <c r="CJ10" s="135">
        <v>0.0168</v>
      </c>
      <c r="CK10" s="135">
        <v>0.8934</v>
      </c>
      <c r="CL10" s="135">
        <v>0.9065</v>
      </c>
      <c r="CM10" s="135">
        <v>239.8867</v>
      </c>
      <c r="CN10" s="135">
        <v>89.57</v>
      </c>
      <c r="CO10" s="135">
        <v>267.82</v>
      </c>
      <c r="CP10" s="135">
        <v>205.3184</v>
      </c>
      <c r="CQ10" s="135">
        <v>19.5957</v>
      </c>
      <c r="CR10" s="135">
        <v>6.3406</v>
      </c>
      <c r="CS10" s="135">
        <v>8.6327</v>
      </c>
      <c r="CT10" s="135">
        <v>0.0</v>
      </c>
      <c r="CV10" s="135">
        <v>2.0047</v>
      </c>
      <c r="CW10" s="135">
        <v>96.9363</v>
      </c>
      <c r="CX10" s="135">
        <v>2.5202</v>
      </c>
      <c r="CY10" s="135">
        <v>22.1173</v>
      </c>
      <c r="CZ10" s="135">
        <v>139.079</v>
      </c>
      <c r="DA10" s="135">
        <v>1.987</v>
      </c>
      <c r="DB10" s="135">
        <v>137.0948</v>
      </c>
      <c r="DC10" s="135">
        <v>128.1598</v>
      </c>
      <c r="DD10" s="135">
        <v>0.5897</v>
      </c>
      <c r="DE10" s="135">
        <v>127.5722</v>
      </c>
      <c r="DF10" s="135">
        <v>5.646</v>
      </c>
      <c r="DG10" s="135">
        <v>0.4639</v>
      </c>
      <c r="DH10" s="135">
        <v>5.1821</v>
      </c>
      <c r="DI10" s="135">
        <v>4.1768</v>
      </c>
      <c r="DJ10" s="135">
        <v>0.4639</v>
      </c>
      <c r="DK10" s="135">
        <v>3.7088</v>
      </c>
      <c r="DL10" s="135">
        <v>1.0978</v>
      </c>
      <c r="DM10" s="135">
        <v>0.4639</v>
      </c>
      <c r="DN10" s="135">
        <v>0.631</v>
      </c>
      <c r="DO10" s="135">
        <v>41673.0</v>
      </c>
      <c r="DP10" s="214">
        <v>46255.0</v>
      </c>
      <c r="DQ10" s="214">
        <v>46260.0</v>
      </c>
      <c r="DR10" s="135">
        <v>6.0</v>
      </c>
      <c r="DS10" s="135">
        <v>911.0</v>
      </c>
      <c r="DT10" s="135">
        <v>0.179</v>
      </c>
      <c r="DU10" s="135">
        <v>80.0</v>
      </c>
      <c r="DV10" s="135">
        <v>211.0</v>
      </c>
      <c r="DW10" s="135">
        <v>9907.0</v>
      </c>
      <c r="DX10" s="135">
        <v>174.78</v>
      </c>
      <c r="DY10" s="135">
        <v>441.67</v>
      </c>
    </row>
    <row r="11">
      <c r="A11" s="210" t="s">
        <v>5</v>
      </c>
      <c r="B11" s="210" t="s">
        <v>144</v>
      </c>
      <c r="C11" s="210" t="b">
        <v>0</v>
      </c>
      <c r="D11" s="210">
        <v>15829.0</v>
      </c>
      <c r="E11" s="210">
        <v>17.51</v>
      </c>
      <c r="F11" s="210">
        <v>6219.38</v>
      </c>
      <c r="G11" s="210">
        <v>0.1946</v>
      </c>
      <c r="H11" s="210">
        <v>5.65</v>
      </c>
      <c r="I11" s="210">
        <v>6.9568</v>
      </c>
      <c r="J11" s="210">
        <v>71.8226</v>
      </c>
      <c r="K11" s="210">
        <v>40.5856</v>
      </c>
      <c r="L11" s="210">
        <v>26.451</v>
      </c>
      <c r="M11" s="210">
        <v>0.6517</v>
      </c>
      <c r="N11" s="210">
        <v>0.4812</v>
      </c>
      <c r="O11" s="210">
        <v>0.2915</v>
      </c>
      <c r="P11" s="210">
        <v>1.5344</v>
      </c>
      <c r="Q11" s="210">
        <v>172.8713</v>
      </c>
      <c r="R11" s="210">
        <v>153.375</v>
      </c>
      <c r="S11" s="210">
        <v>19.4942</v>
      </c>
      <c r="T11" s="210">
        <v>13.6664</v>
      </c>
      <c r="U11" s="210">
        <v>159.2084</v>
      </c>
      <c r="V11" s="210">
        <v>178.1448</v>
      </c>
      <c r="W11" s="210">
        <v>4.3894</v>
      </c>
      <c r="X11" s="210">
        <v>7.91</v>
      </c>
      <c r="Y11" s="210">
        <v>127.0</v>
      </c>
      <c r="Z11" s="210">
        <v>365.0</v>
      </c>
      <c r="AA11" s="210">
        <v>1227.0</v>
      </c>
      <c r="AB11" s="210">
        <v>53.5249</v>
      </c>
      <c r="AC11" s="210">
        <v>0.7176</v>
      </c>
      <c r="AD11" s="210">
        <v>16.6629</v>
      </c>
      <c r="AE11" s="210">
        <v>7.0</v>
      </c>
      <c r="AF11" s="210">
        <v>13.0</v>
      </c>
      <c r="AG11" s="210">
        <v>23.0</v>
      </c>
      <c r="AH11" s="210">
        <v>34.0</v>
      </c>
      <c r="AI11" s="210">
        <v>58.9767</v>
      </c>
      <c r="AJ11" s="210">
        <v>20.5835</v>
      </c>
      <c r="AK11" s="210">
        <v>4.9876</v>
      </c>
      <c r="AL11" s="210">
        <v>0.2554</v>
      </c>
      <c r="AM11" s="210">
        <v>45.2027</v>
      </c>
      <c r="AN11" s="135">
        <v>45.2027</v>
      </c>
      <c r="AO11" s="135">
        <v>24.547</v>
      </c>
      <c r="AP11" s="135">
        <v>12.1224</v>
      </c>
      <c r="AQ11" s="135">
        <v>9.6967</v>
      </c>
      <c r="AR11" s="135">
        <v>0.2338</v>
      </c>
      <c r="AS11" s="135">
        <v>9.4628</v>
      </c>
      <c r="AT11" s="135">
        <v>8.4409</v>
      </c>
      <c r="AU11" s="135">
        <v>0.208</v>
      </c>
      <c r="AV11" s="135">
        <v>15829.0</v>
      </c>
      <c r="AW11" s="135">
        <v>0.0</v>
      </c>
      <c r="AX11" s="135">
        <v>59.991</v>
      </c>
      <c r="AY11" s="135">
        <v>93.7638</v>
      </c>
      <c r="AZ11" s="135">
        <v>3.2803</v>
      </c>
      <c r="BA11" s="135">
        <v>13.6664</v>
      </c>
      <c r="BB11" s="135">
        <v>2.1748</v>
      </c>
      <c r="BC11" s="135">
        <v>62.0</v>
      </c>
      <c r="BD11" s="135">
        <v>16168.0</v>
      </c>
      <c r="BE11" s="135">
        <v>6.163</v>
      </c>
      <c r="BF11" s="135">
        <v>0.1345</v>
      </c>
      <c r="BG11" s="135">
        <v>6.0285</v>
      </c>
      <c r="BH11" s="135">
        <v>4.7257</v>
      </c>
      <c r="BI11" s="135">
        <v>0.1161</v>
      </c>
      <c r="BJ11" s="135">
        <v>3.5337</v>
      </c>
      <c r="BK11" s="135">
        <v>0.0994</v>
      </c>
      <c r="BL11" s="135">
        <v>3.4343</v>
      </c>
      <c r="BM11" s="135">
        <v>3.7153</v>
      </c>
      <c r="BN11" s="135">
        <v>0.0916</v>
      </c>
      <c r="BO11" s="135">
        <v>2.3297</v>
      </c>
      <c r="BP11" s="135">
        <v>0.0418</v>
      </c>
      <c r="BQ11" s="135">
        <v>2.2879</v>
      </c>
      <c r="BR11" s="135">
        <v>1.8013</v>
      </c>
      <c r="BS11" s="135">
        <v>2.421</v>
      </c>
      <c r="BT11" s="135">
        <v>0.043</v>
      </c>
      <c r="BU11" s="135">
        <v>2.3779</v>
      </c>
      <c r="BV11" s="135">
        <v>1.8058</v>
      </c>
      <c r="BW11" s="135">
        <v>1.4122</v>
      </c>
      <c r="BX11" s="135">
        <v>0.0495</v>
      </c>
      <c r="BY11" s="135">
        <v>1.3627</v>
      </c>
      <c r="BZ11" s="135">
        <v>1.1186</v>
      </c>
      <c r="CA11" s="135">
        <v>0.7466</v>
      </c>
      <c r="CB11" s="135">
        <v>0.0259</v>
      </c>
      <c r="CC11" s="135">
        <v>0.7207</v>
      </c>
      <c r="CD11" s="135">
        <v>0.7938</v>
      </c>
      <c r="CE11" s="135">
        <v>1.2369</v>
      </c>
      <c r="CF11" s="135">
        <v>0.04</v>
      </c>
      <c r="CG11" s="135">
        <v>1.1969</v>
      </c>
      <c r="CH11" s="135">
        <v>1.3836</v>
      </c>
      <c r="CI11" s="135">
        <v>1.5501</v>
      </c>
      <c r="CJ11" s="135">
        <v>0.0335</v>
      </c>
      <c r="CK11" s="135">
        <v>1.5167</v>
      </c>
      <c r="CL11" s="135">
        <v>1.5379</v>
      </c>
      <c r="CM11" s="135">
        <v>443.006</v>
      </c>
      <c r="CN11" s="135">
        <v>95.54</v>
      </c>
      <c r="CO11" s="135">
        <v>463.66</v>
      </c>
      <c r="CP11" s="135">
        <v>384.9241</v>
      </c>
      <c r="CQ11" s="135">
        <v>33.7737</v>
      </c>
      <c r="CR11" s="135">
        <v>7.8</v>
      </c>
      <c r="CS11" s="135">
        <v>16.5067</v>
      </c>
      <c r="CT11" s="135">
        <v>0.0</v>
      </c>
      <c r="CV11" s="135">
        <v>5.863</v>
      </c>
      <c r="CW11" s="135">
        <v>178.7349</v>
      </c>
      <c r="CX11" s="135">
        <v>4.8767</v>
      </c>
      <c r="CY11" s="135">
        <v>38.6504</v>
      </c>
      <c r="CZ11" s="135">
        <v>207.8821</v>
      </c>
      <c r="DA11" s="135">
        <v>2.968</v>
      </c>
      <c r="DB11" s="135">
        <v>204.9126</v>
      </c>
      <c r="DC11" s="135">
        <v>190.9965</v>
      </c>
      <c r="DD11" s="135">
        <v>0.9556</v>
      </c>
      <c r="DE11" s="135">
        <v>190.0404</v>
      </c>
      <c r="DF11" s="135">
        <v>9.0452</v>
      </c>
      <c r="DG11" s="135">
        <v>0.6717</v>
      </c>
      <c r="DH11" s="135">
        <v>8.372</v>
      </c>
      <c r="DI11" s="135">
        <v>5.7174</v>
      </c>
      <c r="DJ11" s="135">
        <v>0.6717</v>
      </c>
      <c r="DK11" s="135">
        <v>5.0442</v>
      </c>
      <c r="DL11" s="135">
        <v>2.1286</v>
      </c>
      <c r="DM11" s="135">
        <v>0.6717</v>
      </c>
      <c r="DN11" s="135">
        <v>1.4561</v>
      </c>
      <c r="DO11" s="135">
        <v>31954.0</v>
      </c>
      <c r="DP11" s="214">
        <v>46255.0</v>
      </c>
      <c r="DQ11" s="214">
        <v>46260.0</v>
      </c>
      <c r="DR11" s="135">
        <v>6.0</v>
      </c>
      <c r="DS11" s="135">
        <v>894.0</v>
      </c>
      <c r="DT11" s="135">
        <v>0.3929</v>
      </c>
      <c r="DU11" s="135">
        <v>65.0</v>
      </c>
      <c r="DV11" s="135">
        <v>250.0</v>
      </c>
      <c r="DW11" s="135">
        <v>13392.0</v>
      </c>
      <c r="DX11" s="135">
        <v>348.98</v>
      </c>
      <c r="DY11" s="135">
        <v>894.3</v>
      </c>
    </row>
    <row r="12">
      <c r="A12" s="210" t="s">
        <v>5</v>
      </c>
      <c r="B12" s="210" t="s">
        <v>145</v>
      </c>
      <c r="C12" s="210" t="b">
        <v>0</v>
      </c>
      <c r="D12" s="210">
        <v>7379.0</v>
      </c>
      <c r="E12" s="210">
        <v>9.51</v>
      </c>
      <c r="F12" s="210">
        <v>8769.3</v>
      </c>
      <c r="G12" s="210">
        <v>0.505</v>
      </c>
      <c r="H12" s="210">
        <v>8.74</v>
      </c>
      <c r="I12" s="210">
        <v>13.5958</v>
      </c>
      <c r="J12" s="210">
        <v>122.7715</v>
      </c>
      <c r="K12" s="210">
        <v>74.4601</v>
      </c>
      <c r="L12" s="210">
        <v>54.2297</v>
      </c>
      <c r="M12" s="210">
        <v>0.7283</v>
      </c>
      <c r="N12" s="210">
        <v>0.403</v>
      </c>
      <c r="O12" s="210">
        <v>0.2509</v>
      </c>
      <c r="P12" s="210">
        <v>1.373</v>
      </c>
      <c r="Q12" s="210">
        <v>339.1089</v>
      </c>
      <c r="R12" s="210">
        <v>299.018</v>
      </c>
      <c r="S12" s="210">
        <v>40.0909</v>
      </c>
      <c r="T12" s="210">
        <v>38.8945</v>
      </c>
      <c r="U12" s="210">
        <v>300.2158</v>
      </c>
      <c r="V12" s="210">
        <v>356.5725</v>
      </c>
      <c r="W12" s="210">
        <v>4.7888</v>
      </c>
      <c r="X12" s="210">
        <v>11.47</v>
      </c>
      <c r="Y12" s="210">
        <v>119.0</v>
      </c>
      <c r="Z12" s="210">
        <v>420.0</v>
      </c>
      <c r="AA12" s="210">
        <v>1288.0</v>
      </c>
      <c r="AB12" s="210">
        <v>55.5358</v>
      </c>
      <c r="AC12" s="210">
        <v>0.771</v>
      </c>
      <c r="AD12" s="210">
        <v>30.6073</v>
      </c>
      <c r="AE12" s="210">
        <v>12.0</v>
      </c>
      <c r="AF12" s="210">
        <v>23.0</v>
      </c>
      <c r="AG12" s="210">
        <v>42.0</v>
      </c>
      <c r="AH12" s="210">
        <v>63.0</v>
      </c>
      <c r="AI12" s="210">
        <v>42.661</v>
      </c>
      <c r="AJ12" s="210">
        <v>11.7785</v>
      </c>
      <c r="AK12" s="210">
        <v>2.4061</v>
      </c>
      <c r="AL12" s="210">
        <v>0.1675</v>
      </c>
      <c r="AM12" s="210">
        <v>42.9644</v>
      </c>
      <c r="AN12" s="135">
        <v>42.9644</v>
      </c>
      <c r="AO12" s="135">
        <v>24.3942</v>
      </c>
      <c r="AP12" s="135">
        <v>14.4612</v>
      </c>
      <c r="AQ12" s="135">
        <v>14.8922</v>
      </c>
      <c r="AR12" s="135">
        <v>0.616</v>
      </c>
      <c r="AS12" s="135">
        <v>14.2762</v>
      </c>
      <c r="AT12" s="135">
        <v>13.5482</v>
      </c>
      <c r="AU12" s="135">
        <v>0.182</v>
      </c>
      <c r="AV12" s="135">
        <v>7379.0</v>
      </c>
      <c r="AW12" s="135">
        <v>0.0</v>
      </c>
      <c r="AX12" s="135">
        <v>111.837</v>
      </c>
      <c r="AY12" s="135">
        <v>178.7344</v>
      </c>
      <c r="AZ12" s="135">
        <v>4.1842</v>
      </c>
      <c r="BA12" s="135">
        <v>38.8925</v>
      </c>
      <c r="BB12" s="135">
        <v>5.4603</v>
      </c>
      <c r="BC12" s="135">
        <v>121.0</v>
      </c>
      <c r="BD12" s="135">
        <v>15853.0</v>
      </c>
      <c r="BE12" s="135">
        <v>8.9495</v>
      </c>
      <c r="BF12" s="135">
        <v>0.3519</v>
      </c>
      <c r="BG12" s="135">
        <v>8.5976</v>
      </c>
      <c r="BH12" s="135">
        <v>7.1985</v>
      </c>
      <c r="BI12" s="135">
        <v>0.0965</v>
      </c>
      <c r="BJ12" s="135">
        <v>5.9427</v>
      </c>
      <c r="BK12" s="135">
        <v>0.2641</v>
      </c>
      <c r="BL12" s="135">
        <v>5.6786</v>
      </c>
      <c r="BM12" s="135">
        <v>6.3498</v>
      </c>
      <c r="BN12" s="135">
        <v>0.0852</v>
      </c>
      <c r="BO12" s="135">
        <v>3.1296</v>
      </c>
      <c r="BP12" s="135">
        <v>0.1057</v>
      </c>
      <c r="BQ12" s="135">
        <v>3.0239</v>
      </c>
      <c r="BR12" s="135">
        <v>2.5943</v>
      </c>
      <c r="BS12" s="135">
        <v>3.3314</v>
      </c>
      <c r="BT12" s="135">
        <v>0.1117</v>
      </c>
      <c r="BU12" s="135">
        <v>3.2197</v>
      </c>
      <c r="BV12" s="135">
        <v>2.6674</v>
      </c>
      <c r="BW12" s="135">
        <v>2.4885</v>
      </c>
      <c r="BX12" s="135">
        <v>0.1346</v>
      </c>
      <c r="BY12" s="135">
        <v>2.354</v>
      </c>
      <c r="BZ12" s="135">
        <v>1.9368</v>
      </c>
      <c r="CA12" s="135">
        <v>1.359</v>
      </c>
      <c r="CB12" s="135">
        <v>0.0742</v>
      </c>
      <c r="CC12" s="135">
        <v>1.2848</v>
      </c>
      <c r="CD12" s="135">
        <v>1.505</v>
      </c>
      <c r="CE12" s="135">
        <v>1.8688</v>
      </c>
      <c r="CF12" s="135">
        <v>0.1041</v>
      </c>
      <c r="CG12" s="135">
        <v>1.7646</v>
      </c>
      <c r="CH12" s="135">
        <v>2.023</v>
      </c>
      <c r="CI12" s="135">
        <v>2.7149</v>
      </c>
      <c r="CJ12" s="135">
        <v>0.0858</v>
      </c>
      <c r="CK12" s="135">
        <v>2.6291</v>
      </c>
      <c r="CL12" s="135">
        <v>2.8218</v>
      </c>
      <c r="CM12" s="135">
        <v>873.3193</v>
      </c>
      <c r="CN12" s="135">
        <v>98.98</v>
      </c>
      <c r="CO12" s="135">
        <v>882.34</v>
      </c>
      <c r="CP12" s="135">
        <v>769.6135</v>
      </c>
      <c r="CQ12" s="135">
        <v>67.0868</v>
      </c>
      <c r="CR12" s="135">
        <v>10.5316</v>
      </c>
      <c r="CS12" s="135">
        <v>26.0838</v>
      </c>
      <c r="CT12" s="135">
        <v>0.0</v>
      </c>
      <c r="CV12" s="135">
        <v>21.4233</v>
      </c>
      <c r="CW12" s="135">
        <v>360.5322</v>
      </c>
      <c r="CX12" s="135">
        <v>10.1471</v>
      </c>
      <c r="CY12" s="135">
        <v>77.2338</v>
      </c>
      <c r="CZ12" s="135">
        <v>342.9255</v>
      </c>
      <c r="DA12" s="135">
        <v>5.1893</v>
      </c>
      <c r="DB12" s="135">
        <v>337.7347</v>
      </c>
      <c r="DC12" s="135">
        <v>316.5363</v>
      </c>
      <c r="DD12" s="135">
        <v>2.0442</v>
      </c>
      <c r="DE12" s="135">
        <v>314.4915</v>
      </c>
      <c r="DF12" s="135">
        <v>13.6831</v>
      </c>
      <c r="DG12" s="135">
        <v>1.0489</v>
      </c>
      <c r="DH12" s="135">
        <v>12.6342</v>
      </c>
      <c r="DI12" s="135">
        <v>8.8977</v>
      </c>
      <c r="DJ12" s="135">
        <v>1.0489</v>
      </c>
      <c r="DK12" s="135">
        <v>7.8524</v>
      </c>
      <c r="DL12" s="135">
        <v>3.8075</v>
      </c>
      <c r="DM12" s="135">
        <v>1.0489</v>
      </c>
      <c r="DN12" s="135">
        <v>2.76</v>
      </c>
      <c r="DO12" s="135">
        <v>17364.0</v>
      </c>
      <c r="DP12" s="214">
        <v>46255.0</v>
      </c>
      <c r="DQ12" s="214">
        <v>46260.0</v>
      </c>
      <c r="DR12" s="135">
        <v>6.0</v>
      </c>
      <c r="DS12" s="135">
        <v>645.0</v>
      </c>
      <c r="DT12" s="135">
        <v>1.1884</v>
      </c>
      <c r="DU12" s="135">
        <v>46.0</v>
      </c>
      <c r="DV12" s="135">
        <v>324.0</v>
      </c>
      <c r="DW12" s="135">
        <v>11677.0</v>
      </c>
      <c r="DX12" s="135">
        <v>797.98</v>
      </c>
      <c r="DY12" s="135">
        <v>2055.06</v>
      </c>
    </row>
    <row r="13">
      <c r="A13" s="210" t="s">
        <v>5</v>
      </c>
      <c r="B13" s="210" t="s">
        <v>146</v>
      </c>
      <c r="C13" s="210" t="b">
        <v>0</v>
      </c>
      <c r="D13" s="210">
        <v>1072.0</v>
      </c>
      <c r="E13" s="210">
        <v>1.32</v>
      </c>
      <c r="F13" s="210">
        <v>1715.56</v>
      </c>
      <c r="G13" s="210">
        <v>0.7133</v>
      </c>
      <c r="H13" s="210">
        <v>11.19</v>
      </c>
      <c r="I13" s="210">
        <v>14.2963</v>
      </c>
      <c r="J13" s="210">
        <v>243.3283</v>
      </c>
      <c r="K13" s="210">
        <v>161.47</v>
      </c>
      <c r="L13" s="210">
        <v>123.875</v>
      </c>
      <c r="M13" s="210">
        <v>0.7672</v>
      </c>
      <c r="N13" s="210">
        <v>0.3375</v>
      </c>
      <c r="O13" s="210">
        <v>0.2057</v>
      </c>
      <c r="P13" s="210">
        <v>1.3035</v>
      </c>
      <c r="Q13" s="210">
        <v>602.1949</v>
      </c>
      <c r="R13" s="210">
        <v>508.2673</v>
      </c>
      <c r="S13" s="210">
        <v>93.9276</v>
      </c>
      <c r="T13" s="210">
        <v>63.9041</v>
      </c>
      <c r="U13" s="210">
        <v>538.2902</v>
      </c>
      <c r="V13" s="210">
        <v>669.0419</v>
      </c>
      <c r="W13" s="210">
        <v>4.1434</v>
      </c>
      <c r="X13" s="210">
        <v>10.61</v>
      </c>
      <c r="Y13" s="210">
        <v>111.0</v>
      </c>
      <c r="Z13" s="210">
        <v>438.0</v>
      </c>
      <c r="AA13" s="210">
        <v>1216.0</v>
      </c>
      <c r="AB13" s="210">
        <v>58.2064</v>
      </c>
      <c r="AC13" s="210">
        <v>0.7975</v>
      </c>
      <c r="AD13" s="210">
        <v>56.8711</v>
      </c>
      <c r="AE13" s="210">
        <v>23.0</v>
      </c>
      <c r="AF13" s="210">
        <v>42.0</v>
      </c>
      <c r="AG13" s="210">
        <v>74.0</v>
      </c>
      <c r="AH13" s="210">
        <v>119.0</v>
      </c>
      <c r="AI13" s="210">
        <v>23.2003</v>
      </c>
      <c r="AJ13" s="210">
        <v>3.9524</v>
      </c>
      <c r="AK13" s="210">
        <v>0.4158</v>
      </c>
      <c r="AL13" s="210">
        <v>0.1018</v>
      </c>
      <c r="AM13" s="210">
        <v>47.0674</v>
      </c>
      <c r="AN13" s="135">
        <v>47.0674</v>
      </c>
      <c r="AO13" s="135">
        <v>35.302</v>
      </c>
      <c r="AP13" s="135">
        <v>29.7309</v>
      </c>
      <c r="AQ13" s="135">
        <v>26.0615</v>
      </c>
      <c r="AR13" s="135">
        <v>1.4819</v>
      </c>
      <c r="AS13" s="135">
        <v>24.5796</v>
      </c>
      <c r="AT13" s="135">
        <v>25.6441</v>
      </c>
      <c r="AU13" s="135">
        <v>0.1588</v>
      </c>
      <c r="AV13" s="135">
        <v>1072.0</v>
      </c>
      <c r="AW13" s="135">
        <v>0.0</v>
      </c>
      <c r="AX13" s="135">
        <v>242.7219</v>
      </c>
      <c r="AY13" s="135">
        <v>277.3412</v>
      </c>
      <c r="AZ13" s="135">
        <v>6.9909</v>
      </c>
      <c r="BA13" s="135">
        <v>63.7621</v>
      </c>
      <c r="BB13" s="135">
        <v>11.3782</v>
      </c>
      <c r="BC13" s="135">
        <v>231.0</v>
      </c>
      <c r="BD13" s="135">
        <v>10548.0</v>
      </c>
      <c r="BE13" s="135">
        <v>15.289</v>
      </c>
      <c r="BF13" s="135">
        <v>0.9954</v>
      </c>
      <c r="BG13" s="135">
        <v>14.2935</v>
      </c>
      <c r="BH13" s="135">
        <v>13.153</v>
      </c>
      <c r="BI13" s="135">
        <v>0.0814</v>
      </c>
      <c r="BJ13" s="135">
        <v>10.7725</v>
      </c>
      <c r="BK13" s="135">
        <v>0.4865</v>
      </c>
      <c r="BL13" s="135">
        <v>10.286</v>
      </c>
      <c r="BM13" s="135">
        <v>12.491</v>
      </c>
      <c r="BN13" s="135">
        <v>0.0774</v>
      </c>
      <c r="BO13" s="135">
        <v>5.0794</v>
      </c>
      <c r="BP13" s="135">
        <v>0.2965</v>
      </c>
      <c r="BQ13" s="135">
        <v>4.783</v>
      </c>
      <c r="BR13" s="135">
        <v>4.4457</v>
      </c>
      <c r="BS13" s="135">
        <v>5.5139</v>
      </c>
      <c r="BT13" s="135">
        <v>0.3189</v>
      </c>
      <c r="BU13" s="135">
        <v>5.195</v>
      </c>
      <c r="BV13" s="135">
        <v>4.7385</v>
      </c>
      <c r="BW13" s="135">
        <v>4.6956</v>
      </c>
      <c r="BX13" s="135">
        <v>0.38</v>
      </c>
      <c r="BY13" s="135">
        <v>4.3156</v>
      </c>
      <c r="BZ13" s="135">
        <v>3.9688</v>
      </c>
      <c r="CA13" s="135">
        <v>2.6366</v>
      </c>
      <c r="CB13" s="135">
        <v>0.1252</v>
      </c>
      <c r="CC13" s="135">
        <v>2.5114</v>
      </c>
      <c r="CD13" s="135">
        <v>3.9019</v>
      </c>
      <c r="CE13" s="135">
        <v>3.1792</v>
      </c>
      <c r="CF13" s="135">
        <v>0.1963</v>
      </c>
      <c r="CG13" s="135">
        <v>2.983</v>
      </c>
      <c r="CH13" s="135">
        <v>3.4628</v>
      </c>
      <c r="CI13" s="135">
        <v>4.9568</v>
      </c>
      <c r="CJ13" s="135">
        <v>0.1651</v>
      </c>
      <c r="CK13" s="135">
        <v>4.7917</v>
      </c>
      <c r="CL13" s="135">
        <v>5.1264</v>
      </c>
      <c r="CM13" s="135">
        <v>1840.9327</v>
      </c>
      <c r="CN13" s="135">
        <v>99.79</v>
      </c>
      <c r="CO13" s="135">
        <v>1844.78</v>
      </c>
      <c r="CP13" s="135">
        <v>1629.0601</v>
      </c>
      <c r="CQ13" s="135">
        <v>159.8913</v>
      </c>
      <c r="CR13" s="135">
        <v>15.2184</v>
      </c>
      <c r="CS13" s="135">
        <v>36.7651</v>
      </c>
      <c r="CT13" s="135">
        <v>0.0</v>
      </c>
      <c r="CV13" s="135">
        <v>71.6079</v>
      </c>
      <c r="CW13" s="135">
        <v>673.8007</v>
      </c>
      <c r="CX13" s="135">
        <v>23.3754</v>
      </c>
      <c r="CY13" s="135">
        <v>183.2667</v>
      </c>
      <c r="CZ13" s="135">
        <v>640.134</v>
      </c>
      <c r="DA13" s="135">
        <v>7.9213</v>
      </c>
      <c r="DB13" s="135">
        <v>632.2112</v>
      </c>
      <c r="DC13" s="135">
        <v>603.1888</v>
      </c>
      <c r="DD13" s="135">
        <v>3.4543</v>
      </c>
      <c r="DE13" s="135">
        <v>599.7324</v>
      </c>
      <c r="DF13" s="135">
        <v>17.5057</v>
      </c>
      <c r="DG13" s="135">
        <v>1.489</v>
      </c>
      <c r="DH13" s="135">
        <v>16.0166</v>
      </c>
      <c r="DI13" s="135">
        <v>13.2023</v>
      </c>
      <c r="DJ13" s="135">
        <v>1.489</v>
      </c>
      <c r="DK13" s="135">
        <v>11.7148</v>
      </c>
      <c r="DL13" s="135">
        <v>6.2378</v>
      </c>
      <c r="DM13" s="135">
        <v>1.489</v>
      </c>
      <c r="DN13" s="135">
        <v>4.7488</v>
      </c>
      <c r="DO13" s="135">
        <v>2405.0</v>
      </c>
      <c r="DP13" s="214">
        <v>46255.0</v>
      </c>
      <c r="DQ13" s="214">
        <v>46260.0</v>
      </c>
      <c r="DR13" s="135">
        <v>6.0</v>
      </c>
      <c r="DS13" s="135">
        <v>120.0</v>
      </c>
      <c r="DT13" s="135">
        <v>1.6003</v>
      </c>
      <c r="DU13" s="135">
        <v>30.0</v>
      </c>
      <c r="DV13" s="135">
        <v>423.0</v>
      </c>
      <c r="DW13" s="135">
        <v>1984.0</v>
      </c>
      <c r="DX13" s="135">
        <v>1351.01</v>
      </c>
      <c r="DY13" s="135">
        <v>4130.08</v>
      </c>
    </row>
    <row r="14">
      <c r="A14" s="210" t="s">
        <v>4</v>
      </c>
      <c r="B14" s="210" t="s">
        <v>418</v>
      </c>
      <c r="C14" s="210" t="b">
        <v>1</v>
      </c>
      <c r="D14" s="210">
        <v>80181.0</v>
      </c>
      <c r="E14" s="210">
        <v>100.0</v>
      </c>
      <c r="F14" s="210">
        <v>27540.18</v>
      </c>
      <c r="G14" s="210">
        <v>0.1498</v>
      </c>
      <c r="H14" s="210">
        <v>3.5</v>
      </c>
      <c r="I14" s="210">
        <v>9.8008</v>
      </c>
      <c r="J14" s="210">
        <v>47.631</v>
      </c>
      <c r="K14" s="210">
        <v>27.0932</v>
      </c>
      <c r="L14" s="210">
        <v>17.5094</v>
      </c>
      <c r="M14" s="210">
        <v>0.6463</v>
      </c>
      <c r="N14" s="210">
        <v>0.4791</v>
      </c>
      <c r="O14" s="210">
        <v>0.2895</v>
      </c>
      <c r="P14" s="210">
        <v>1.5474</v>
      </c>
      <c r="Q14" s="210">
        <v>114.0782</v>
      </c>
      <c r="R14" s="210">
        <v>99.6256</v>
      </c>
      <c r="S14" s="210">
        <v>14.4551</v>
      </c>
      <c r="T14" s="210">
        <v>11.5382</v>
      </c>
      <c r="U14" s="210">
        <v>102.5409</v>
      </c>
      <c r="V14" s="210">
        <v>114.9355</v>
      </c>
      <c r="W14" s="210">
        <v>4.2422</v>
      </c>
      <c r="X14" s="210">
        <v>10.11</v>
      </c>
      <c r="Y14" s="210">
        <v>148.0</v>
      </c>
      <c r="Z14" s="210">
        <v>402.0</v>
      </c>
      <c r="AA14" s="210">
        <v>1779.0</v>
      </c>
      <c r="AB14" s="210">
        <v>51.7467</v>
      </c>
      <c r="AC14" s="210">
        <v>0.6335</v>
      </c>
      <c r="AD14" s="210">
        <v>12.6174</v>
      </c>
      <c r="AE14" s="210">
        <v>3.0</v>
      </c>
      <c r="AF14" s="210">
        <v>8.0</v>
      </c>
      <c r="AG14" s="210">
        <v>15.0</v>
      </c>
      <c r="AH14" s="210">
        <v>29.0</v>
      </c>
      <c r="AI14" s="210">
        <v>50.6731</v>
      </c>
      <c r="AJ14" s="210">
        <v>20.4532</v>
      </c>
      <c r="AK14" s="210">
        <v>3.8817</v>
      </c>
      <c r="AL14" s="210">
        <v>0.3789</v>
      </c>
      <c r="AM14" s="211"/>
      <c r="AQ14" s="135">
        <v>6.669</v>
      </c>
      <c r="AR14" s="135">
        <v>0.1812</v>
      </c>
      <c r="AS14" s="135">
        <v>6.4878</v>
      </c>
      <c r="AT14" s="135">
        <v>6.047</v>
      </c>
      <c r="AU14" s="135">
        <v>0.2232</v>
      </c>
      <c r="AV14" s="135">
        <v>80181.0</v>
      </c>
      <c r="AW14" s="135">
        <v>0.0</v>
      </c>
      <c r="AX14" s="135">
        <v>44.8207</v>
      </c>
      <c r="AY14" s="135">
        <v>53.2204</v>
      </c>
      <c r="AZ14" s="135">
        <v>2.9281</v>
      </c>
      <c r="BA14" s="135">
        <v>11.5376</v>
      </c>
      <c r="BB14" s="135">
        <v>1.5718</v>
      </c>
      <c r="BC14" s="135">
        <v>83.0</v>
      </c>
      <c r="BD14" s="135">
        <v>23035.0</v>
      </c>
      <c r="BE14" s="135">
        <v>3.9833</v>
      </c>
      <c r="BF14" s="135">
        <v>0.097</v>
      </c>
      <c r="BG14" s="135">
        <v>3.8863</v>
      </c>
      <c r="BH14" s="135">
        <v>3.2818</v>
      </c>
      <c r="BI14" s="135">
        <v>0.1195</v>
      </c>
      <c r="BJ14" s="135">
        <v>2.6857</v>
      </c>
      <c r="BK14" s="135">
        <v>0.0842</v>
      </c>
      <c r="BL14" s="135">
        <v>2.6015</v>
      </c>
      <c r="BM14" s="135">
        <v>2.7652</v>
      </c>
      <c r="BN14" s="135">
        <v>0.0958</v>
      </c>
      <c r="BO14" s="135">
        <v>1.4827</v>
      </c>
      <c r="BP14" s="135">
        <v>0.0308</v>
      </c>
      <c r="BQ14" s="135">
        <v>1.4519</v>
      </c>
      <c r="BR14" s="135">
        <v>1.228</v>
      </c>
      <c r="BS14" s="135">
        <v>1.5258</v>
      </c>
      <c r="BT14" s="135">
        <v>0.029</v>
      </c>
      <c r="BU14" s="135">
        <v>1.4968</v>
      </c>
      <c r="BV14" s="135">
        <v>1.2225</v>
      </c>
      <c r="BW14" s="135">
        <v>0.9748</v>
      </c>
      <c r="BX14" s="135">
        <v>0.0372</v>
      </c>
      <c r="BY14" s="135">
        <v>0.9375</v>
      </c>
      <c r="BZ14" s="135">
        <v>0.8313</v>
      </c>
      <c r="CA14" s="135">
        <v>0.6222</v>
      </c>
      <c r="CB14" s="135">
        <v>0.0229</v>
      </c>
      <c r="CC14" s="135">
        <v>0.5993</v>
      </c>
      <c r="CD14" s="135">
        <v>0.6939</v>
      </c>
      <c r="CE14" s="135">
        <v>1.0223</v>
      </c>
      <c r="CF14" s="135">
        <v>0.033</v>
      </c>
      <c r="CG14" s="135">
        <v>0.9892</v>
      </c>
      <c r="CH14" s="135">
        <v>0.9899</v>
      </c>
      <c r="CI14" s="135">
        <v>1.0413</v>
      </c>
      <c r="CJ14" s="135">
        <v>0.0283</v>
      </c>
      <c r="CK14" s="135">
        <v>1.013</v>
      </c>
      <c r="CL14" s="135">
        <v>1.0814</v>
      </c>
      <c r="CM14" s="135">
        <v>327.2759</v>
      </c>
      <c r="CN14" s="135">
        <v>72.96</v>
      </c>
      <c r="CO14" s="135">
        <v>448.59</v>
      </c>
      <c r="CP14" s="135">
        <v>313.1042</v>
      </c>
      <c r="CQ14" s="135">
        <v>3.0E-4</v>
      </c>
      <c r="CR14" s="135">
        <v>6.2778</v>
      </c>
      <c r="CS14" s="135">
        <v>7.8938</v>
      </c>
      <c r="CT14" s="135">
        <v>0.0</v>
      </c>
      <c r="CV14" s="135">
        <v>0.0</v>
      </c>
      <c r="CW14" s="135">
        <v>114.0782</v>
      </c>
      <c r="CX14" s="135">
        <v>0.0</v>
      </c>
      <c r="CY14" s="135">
        <v>3.0E-4</v>
      </c>
      <c r="CZ14" s="135">
        <v>131.5716</v>
      </c>
      <c r="DA14" s="135">
        <v>2.2073</v>
      </c>
      <c r="DB14" s="135">
        <v>129.3642</v>
      </c>
      <c r="DC14" s="135">
        <v>121.7081</v>
      </c>
      <c r="DD14" s="135">
        <v>0.8048</v>
      </c>
      <c r="DE14" s="135">
        <v>120.9027</v>
      </c>
      <c r="DF14" s="135">
        <v>4.8856</v>
      </c>
      <c r="DG14" s="135">
        <v>0.4676</v>
      </c>
      <c r="DH14" s="135">
        <v>4.4187</v>
      </c>
      <c r="DI14" s="135">
        <v>3.7153</v>
      </c>
      <c r="DJ14" s="135">
        <v>0.4676</v>
      </c>
      <c r="DK14" s="135">
        <v>3.2481</v>
      </c>
      <c r="DL14" s="135">
        <v>1.2626</v>
      </c>
      <c r="DM14" s="135">
        <v>0.4676</v>
      </c>
      <c r="DN14" s="135">
        <v>0.7955</v>
      </c>
      <c r="DO14" s="135">
        <v>183835.0</v>
      </c>
      <c r="DP14" s="214">
        <v>46255.0</v>
      </c>
      <c r="DQ14" s="214">
        <v>46260.0</v>
      </c>
      <c r="DR14" s="135">
        <v>6.0</v>
      </c>
      <c r="DS14" s="135">
        <v>2810.0</v>
      </c>
      <c r="DT14" s="135">
        <v>0.3435</v>
      </c>
      <c r="DU14" s="135">
        <v>109.0</v>
      </c>
      <c r="DV14" s="135">
        <v>222.0</v>
      </c>
      <c r="DW14" s="135">
        <v>0.0</v>
      </c>
      <c r="DX14" s="135">
        <v>261.55</v>
      </c>
      <c r="DY14" s="135">
        <v>750.36</v>
      </c>
    </row>
    <row r="15">
      <c r="A15" s="210" t="s">
        <v>5</v>
      </c>
      <c r="B15" s="210" t="s">
        <v>418</v>
      </c>
      <c r="C15" s="210" t="b">
        <v>1</v>
      </c>
      <c r="D15" s="210">
        <v>80056.0</v>
      </c>
      <c r="E15" s="210">
        <v>100.0</v>
      </c>
      <c r="F15" s="210">
        <v>26058.39</v>
      </c>
      <c r="G15" s="210">
        <v>0.1428</v>
      </c>
      <c r="H15" s="210">
        <v>3.51</v>
      </c>
      <c r="I15" s="210">
        <v>9.2801</v>
      </c>
      <c r="J15" s="210">
        <v>48.213</v>
      </c>
      <c r="K15" s="210">
        <v>27.2685</v>
      </c>
      <c r="L15" s="210">
        <v>17.3963</v>
      </c>
      <c r="M15" s="210">
        <v>0.638</v>
      </c>
      <c r="N15" s="210">
        <v>0.486</v>
      </c>
      <c r="O15" s="210">
        <v>0.2892</v>
      </c>
      <c r="P15" s="210">
        <v>1.5675</v>
      </c>
      <c r="Q15" s="210">
        <v>116.3787</v>
      </c>
      <c r="R15" s="210">
        <v>104.5396</v>
      </c>
      <c r="S15" s="210">
        <v>11.8396</v>
      </c>
      <c r="T15" s="210">
        <v>10.8428</v>
      </c>
      <c r="U15" s="210">
        <v>105.536</v>
      </c>
      <c r="V15" s="210">
        <v>117.1137</v>
      </c>
      <c r="W15" s="210">
        <v>4.2948</v>
      </c>
      <c r="X15" s="210">
        <v>9.32</v>
      </c>
      <c r="Y15" s="210">
        <v>152.0</v>
      </c>
      <c r="Z15" s="210">
        <v>371.0</v>
      </c>
      <c r="AA15" s="210">
        <v>1578.0</v>
      </c>
      <c r="AB15" s="210">
        <v>51.5752</v>
      </c>
      <c r="AC15" s="210">
        <v>0.6285</v>
      </c>
      <c r="AD15" s="210">
        <v>12.4157</v>
      </c>
      <c r="AE15" s="210">
        <v>3.0</v>
      </c>
      <c r="AF15" s="210">
        <v>7.0</v>
      </c>
      <c r="AG15" s="210">
        <v>15.0</v>
      </c>
      <c r="AH15" s="210">
        <v>29.0</v>
      </c>
      <c r="AI15" s="210">
        <v>50.7544</v>
      </c>
      <c r="AJ15" s="210">
        <v>20.573</v>
      </c>
      <c r="AK15" s="210">
        <v>3.9935</v>
      </c>
      <c r="AL15" s="210">
        <v>0.38</v>
      </c>
      <c r="AM15" s="210">
        <v>34.4087</v>
      </c>
      <c r="AN15" s="135">
        <v>34.4087</v>
      </c>
      <c r="AO15" s="135">
        <v>18.8241</v>
      </c>
      <c r="AP15" s="135">
        <v>8.6464</v>
      </c>
      <c r="AQ15" s="135">
        <v>6.3097</v>
      </c>
      <c r="AR15" s="135">
        <v>0.1781</v>
      </c>
      <c r="AS15" s="135">
        <v>6.1316</v>
      </c>
      <c r="AT15" s="135">
        <v>5.4704</v>
      </c>
      <c r="AU15" s="135">
        <v>0.2006</v>
      </c>
      <c r="AV15" s="135">
        <v>80056.0</v>
      </c>
      <c r="AW15" s="135">
        <v>0.0</v>
      </c>
      <c r="AX15" s="135">
        <v>39.6027</v>
      </c>
      <c r="AY15" s="135">
        <v>61.5694</v>
      </c>
      <c r="AZ15" s="135">
        <v>2.8709</v>
      </c>
      <c r="BA15" s="135">
        <v>10.8396</v>
      </c>
      <c r="BB15" s="135">
        <v>1.4971</v>
      </c>
      <c r="BC15" s="135">
        <v>80.0</v>
      </c>
      <c r="BD15" s="135">
        <v>21816.0</v>
      </c>
      <c r="BE15" s="135">
        <v>3.9818</v>
      </c>
      <c r="BF15" s="135">
        <v>0.1015</v>
      </c>
      <c r="BG15" s="135">
        <v>3.8803</v>
      </c>
      <c r="BH15" s="135">
        <v>3.0542</v>
      </c>
      <c r="BI15" s="135">
        <v>0.118</v>
      </c>
      <c r="BJ15" s="135">
        <v>2.3279</v>
      </c>
      <c r="BK15" s="135">
        <v>0.0766</v>
      </c>
      <c r="BL15" s="135">
        <v>2.2513</v>
      </c>
      <c r="BM15" s="135">
        <v>2.4162</v>
      </c>
      <c r="BN15" s="135">
        <v>0.0889</v>
      </c>
      <c r="BO15" s="135">
        <v>1.5628</v>
      </c>
      <c r="BP15" s="135">
        <v>0.0337</v>
      </c>
      <c r="BQ15" s="135">
        <v>1.5291</v>
      </c>
      <c r="BR15" s="135">
        <v>1.1902</v>
      </c>
      <c r="BS15" s="135">
        <v>1.5702</v>
      </c>
      <c r="BT15" s="135">
        <v>0.0309</v>
      </c>
      <c r="BU15" s="135">
        <v>1.5393</v>
      </c>
      <c r="BV15" s="135">
        <v>1.1609</v>
      </c>
      <c r="BW15" s="135">
        <v>0.8488</v>
      </c>
      <c r="BX15" s="135">
        <v>0.0369</v>
      </c>
      <c r="BY15" s="135">
        <v>0.8119</v>
      </c>
      <c r="BZ15" s="135">
        <v>0.7031</v>
      </c>
      <c r="CA15" s="135">
        <v>0.4786</v>
      </c>
      <c r="CB15" s="135">
        <v>0.02</v>
      </c>
      <c r="CC15" s="135">
        <v>0.4586</v>
      </c>
      <c r="CD15" s="135">
        <v>0.5274</v>
      </c>
      <c r="CE15" s="135">
        <v>0.8639</v>
      </c>
      <c r="CF15" s="135">
        <v>0.031</v>
      </c>
      <c r="CG15" s="135">
        <v>0.8329</v>
      </c>
      <c r="CH15" s="135">
        <v>0.909</v>
      </c>
      <c r="CI15" s="135">
        <v>0.9854</v>
      </c>
      <c r="CJ15" s="135">
        <v>0.0255</v>
      </c>
      <c r="CK15" s="135">
        <v>0.9598</v>
      </c>
      <c r="CL15" s="135">
        <v>0.9798</v>
      </c>
      <c r="CM15" s="135">
        <v>299.9389</v>
      </c>
      <c r="CN15" s="135">
        <v>72.89</v>
      </c>
      <c r="CO15" s="135">
        <v>411.49</v>
      </c>
      <c r="CP15" s="135">
        <v>262.5941</v>
      </c>
      <c r="CQ15" s="135">
        <v>22.1986</v>
      </c>
      <c r="CR15" s="135">
        <v>5.9762</v>
      </c>
      <c r="CS15" s="135">
        <v>9.1694</v>
      </c>
      <c r="CT15" s="135">
        <v>0.0</v>
      </c>
      <c r="CV15" s="135">
        <v>5.1554</v>
      </c>
      <c r="CW15" s="135">
        <v>121.5338</v>
      </c>
      <c r="CX15" s="135">
        <v>3.0898</v>
      </c>
      <c r="CY15" s="135">
        <v>25.2891</v>
      </c>
      <c r="CZ15" s="135">
        <v>139.6836</v>
      </c>
      <c r="DA15" s="135">
        <v>1.9876</v>
      </c>
      <c r="DB15" s="135">
        <v>137.6951</v>
      </c>
      <c r="DC15" s="135">
        <v>128.3789</v>
      </c>
      <c r="DD15" s="135">
        <v>0.7126</v>
      </c>
      <c r="DE15" s="135">
        <v>127.6677</v>
      </c>
      <c r="DF15" s="135">
        <v>5.8137</v>
      </c>
      <c r="DG15" s="135">
        <v>0.4258</v>
      </c>
      <c r="DH15" s="135">
        <v>5.388</v>
      </c>
      <c r="DI15" s="135">
        <v>4.1059</v>
      </c>
      <c r="DJ15" s="135">
        <v>0.4258</v>
      </c>
      <c r="DK15" s="135">
        <v>3.679</v>
      </c>
      <c r="DL15" s="135">
        <v>1.3858</v>
      </c>
      <c r="DM15" s="135">
        <v>0.4258</v>
      </c>
      <c r="DN15" s="135">
        <v>0.9606</v>
      </c>
      <c r="DO15" s="135">
        <v>182512.0</v>
      </c>
      <c r="DP15" s="214">
        <v>46255.0</v>
      </c>
      <c r="DQ15" s="214">
        <v>46260.0</v>
      </c>
      <c r="DR15" s="135">
        <v>6.0</v>
      </c>
      <c r="DS15" s="135">
        <v>2808.0</v>
      </c>
      <c r="DT15" s="135">
        <v>0.3255</v>
      </c>
      <c r="DU15" s="135">
        <v>111.0</v>
      </c>
      <c r="DV15" s="135">
        <v>215.0</v>
      </c>
      <c r="DW15" s="135">
        <v>48149.0</v>
      </c>
      <c r="DX15" s="135">
        <v>265.32</v>
      </c>
      <c r="DY15" s="135">
        <v>683.8</v>
      </c>
    </row>
    <row r="16">
      <c r="A16" s="209"/>
      <c r="B16" s="210"/>
      <c r="C16" s="210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/>
      <c r="AE16" s="210"/>
      <c r="AF16" s="210"/>
      <c r="AG16" s="210"/>
      <c r="AH16" s="210"/>
      <c r="AI16" s="210"/>
      <c r="AJ16" s="210"/>
      <c r="AK16" s="210"/>
      <c r="AL16" s="210"/>
      <c r="AM16" s="211"/>
    </row>
    <row r="17">
      <c r="A17" s="209"/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0"/>
      <c r="AC17" s="210"/>
      <c r="AD17" s="210"/>
      <c r="AE17" s="210"/>
      <c r="AF17" s="210"/>
      <c r="AG17" s="210"/>
      <c r="AH17" s="210"/>
      <c r="AI17" s="210"/>
      <c r="AJ17" s="210"/>
      <c r="AK17" s="210"/>
      <c r="AL17" s="210"/>
      <c r="AM17" s="211"/>
    </row>
    <row r="18">
      <c r="A18" s="209"/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Z18" s="210"/>
      <c r="AA18" s="210"/>
      <c r="AB18" s="210"/>
      <c r="AC18" s="210"/>
      <c r="AD18" s="210"/>
      <c r="AE18" s="210"/>
      <c r="AF18" s="210"/>
      <c r="AG18" s="210"/>
      <c r="AH18" s="210"/>
      <c r="AI18" s="210"/>
      <c r="AJ18" s="210"/>
      <c r="AK18" s="210"/>
      <c r="AL18" s="210"/>
      <c r="AM18" s="211"/>
    </row>
    <row r="19">
      <c r="A19" s="209"/>
      <c r="B19" s="210"/>
      <c r="C19" s="210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0"/>
      <c r="Z19" s="210"/>
      <c r="AA19" s="210"/>
      <c r="AB19" s="210"/>
      <c r="AC19" s="210"/>
      <c r="AD19" s="210"/>
      <c r="AE19" s="210"/>
      <c r="AF19" s="210"/>
      <c r="AG19" s="210"/>
      <c r="AH19" s="210"/>
      <c r="AI19" s="210"/>
      <c r="AJ19" s="210"/>
      <c r="AK19" s="210"/>
      <c r="AL19" s="210"/>
      <c r="AM19" s="211"/>
    </row>
    <row r="20">
      <c r="A20" s="209"/>
      <c r="B20" s="210"/>
      <c r="C20" s="210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  <c r="AD20" s="211"/>
      <c r="AE20" s="211"/>
      <c r="AF20" s="211"/>
      <c r="AG20" s="211"/>
      <c r="AH20" s="211"/>
      <c r="AI20" s="210"/>
      <c r="AJ20" s="210"/>
      <c r="AK20" s="210"/>
      <c r="AL20" s="210"/>
      <c r="AM20" s="210"/>
    </row>
    <row r="21">
      <c r="A21" s="209"/>
      <c r="B21" s="210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0"/>
      <c r="AE21" s="210"/>
      <c r="AF21" s="210"/>
      <c r="AG21" s="210"/>
      <c r="AH21" s="210"/>
      <c r="AI21" s="210"/>
      <c r="AJ21" s="210"/>
      <c r="AK21" s="210"/>
      <c r="AL21" s="210"/>
      <c r="AM21" s="210"/>
    </row>
    <row r="22">
      <c r="A22" s="209"/>
      <c r="B22" s="210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  <c r="AA22" s="210"/>
      <c r="AB22" s="210"/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  <c r="AM22" s="210"/>
    </row>
    <row r="23">
      <c r="A23" s="20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  <c r="AC23" s="210"/>
      <c r="AD23" s="210"/>
      <c r="AE23" s="210"/>
      <c r="AF23" s="210"/>
      <c r="AG23" s="210"/>
      <c r="AH23" s="210"/>
      <c r="AI23" s="210"/>
      <c r="AJ23" s="210"/>
      <c r="AK23" s="210"/>
      <c r="AL23" s="210"/>
      <c r="AM23" s="210"/>
    </row>
    <row r="24">
      <c r="A24" s="209"/>
      <c r="B24" s="210"/>
      <c r="C24" s="210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0"/>
      <c r="AG24" s="210"/>
      <c r="AH24" s="210"/>
      <c r="AI24" s="210"/>
      <c r="AJ24" s="210"/>
      <c r="AK24" s="210"/>
      <c r="AL24" s="210"/>
      <c r="AM24" s="210"/>
    </row>
    <row r="25">
      <c r="A25" s="209"/>
      <c r="B25" s="210"/>
      <c r="C25" s="210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10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0"/>
    </row>
    <row r="26">
      <c r="A26" s="209"/>
      <c r="B26" s="210"/>
      <c r="C26" s="210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  <c r="AD26" s="211"/>
      <c r="AE26" s="211"/>
      <c r="AF26" s="211"/>
      <c r="AG26" s="211"/>
      <c r="AH26" s="211"/>
      <c r="AI26" s="210"/>
      <c r="AJ26" s="210"/>
      <c r="AK26" s="210"/>
      <c r="AL26" s="210"/>
      <c r="AM26" s="211"/>
    </row>
    <row r="27">
      <c r="A27" s="209"/>
      <c r="B27" s="210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0"/>
      <c r="U27" s="210"/>
      <c r="V27" s="210"/>
      <c r="W27" s="210"/>
      <c r="X27" s="210"/>
      <c r="Y27" s="210"/>
      <c r="Z27" s="210"/>
      <c r="AA27" s="210"/>
      <c r="AB27" s="210"/>
      <c r="AC27" s="210"/>
      <c r="AD27" s="210"/>
      <c r="AE27" s="210"/>
      <c r="AF27" s="210"/>
      <c r="AG27" s="210"/>
      <c r="AH27" s="210"/>
      <c r="AI27" s="210"/>
      <c r="AJ27" s="210"/>
      <c r="AK27" s="210"/>
      <c r="AL27" s="210"/>
      <c r="AM27" s="211"/>
    </row>
    <row r="28">
      <c r="A28" s="209"/>
      <c r="B28" s="210"/>
      <c r="C28" s="210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  <c r="AA28" s="210"/>
      <c r="AB28" s="210"/>
      <c r="AC28" s="210"/>
      <c r="AD28" s="210"/>
      <c r="AE28" s="210"/>
      <c r="AF28" s="210"/>
      <c r="AG28" s="210"/>
      <c r="AH28" s="210"/>
      <c r="AI28" s="210"/>
      <c r="AJ28" s="210"/>
      <c r="AK28" s="210"/>
      <c r="AL28" s="210"/>
      <c r="AM28" s="211"/>
    </row>
    <row r="29">
      <c r="A29" s="209"/>
      <c r="B29" s="210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  <c r="AA29" s="210"/>
      <c r="AB29" s="210"/>
      <c r="AC29" s="210"/>
      <c r="AD29" s="210"/>
      <c r="AE29" s="210"/>
      <c r="AF29" s="210"/>
      <c r="AG29" s="210"/>
      <c r="AH29" s="210"/>
      <c r="AI29" s="210"/>
      <c r="AJ29" s="210"/>
      <c r="AK29" s="210"/>
      <c r="AL29" s="210"/>
      <c r="AM29" s="211"/>
    </row>
    <row r="30">
      <c r="A30" s="209"/>
      <c r="B30" s="210"/>
      <c r="C30" s="210"/>
      <c r="D30" s="210"/>
      <c r="E30" s="210"/>
      <c r="F30" s="210"/>
      <c r="G30" s="210"/>
      <c r="H30" s="210"/>
      <c r="I30" s="210"/>
      <c r="J30" s="210"/>
      <c r="K30" s="210"/>
      <c r="L30" s="210"/>
      <c r="M30" s="210"/>
      <c r="N30" s="210"/>
      <c r="O30" s="210"/>
      <c r="P30" s="210"/>
      <c r="Q30" s="210"/>
      <c r="R30" s="210"/>
      <c r="S30" s="210"/>
      <c r="T30" s="210"/>
      <c r="U30" s="210"/>
      <c r="V30" s="210"/>
      <c r="W30" s="210"/>
      <c r="X30" s="210"/>
      <c r="Y30" s="210"/>
      <c r="Z30" s="210"/>
      <c r="AA30" s="210"/>
      <c r="AB30" s="210"/>
      <c r="AC30" s="210"/>
      <c r="AD30" s="210"/>
      <c r="AE30" s="210"/>
      <c r="AF30" s="210"/>
      <c r="AG30" s="210"/>
      <c r="AH30" s="210"/>
      <c r="AI30" s="210"/>
      <c r="AJ30" s="210"/>
      <c r="AK30" s="210"/>
      <c r="AL30" s="210"/>
      <c r="AM30" s="211"/>
    </row>
    <row r="31">
      <c r="A31" s="209"/>
      <c r="B31" s="210"/>
      <c r="C31" s="210"/>
      <c r="D31" s="210"/>
      <c r="E31" s="210"/>
      <c r="F31" s="210"/>
      <c r="G31" s="210"/>
      <c r="H31" s="210"/>
      <c r="I31" s="210"/>
      <c r="J31" s="210"/>
      <c r="K31" s="210"/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210"/>
      <c r="AD31" s="210"/>
      <c r="AE31" s="210"/>
      <c r="AF31" s="210"/>
      <c r="AG31" s="210"/>
      <c r="AH31" s="210"/>
      <c r="AI31" s="210"/>
      <c r="AJ31" s="210"/>
      <c r="AK31" s="210"/>
      <c r="AL31" s="210"/>
      <c r="AM31" s="211"/>
    </row>
    <row r="32">
      <c r="A32" s="209"/>
      <c r="B32" s="210"/>
      <c r="C32" s="210"/>
      <c r="D32" s="210"/>
      <c r="E32" s="210"/>
      <c r="F32" s="210"/>
      <c r="G32" s="210"/>
      <c r="H32" s="210"/>
      <c r="I32" s="210"/>
      <c r="J32" s="210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  <c r="AA32" s="210"/>
      <c r="AB32" s="210"/>
      <c r="AC32" s="210"/>
      <c r="AD32" s="211"/>
      <c r="AE32" s="211"/>
      <c r="AF32" s="211"/>
      <c r="AG32" s="211"/>
      <c r="AH32" s="211"/>
      <c r="AI32" s="210"/>
      <c r="AJ32" s="210"/>
      <c r="AK32" s="210"/>
      <c r="AL32" s="210"/>
      <c r="AM32" s="210"/>
    </row>
    <row r="33">
      <c r="A33" s="209"/>
      <c r="B33" s="210"/>
      <c r="C33" s="210"/>
      <c r="D33" s="210"/>
      <c r="E33" s="210"/>
      <c r="F33" s="210"/>
      <c r="G33" s="210"/>
      <c r="H33" s="210"/>
      <c r="I33" s="210"/>
      <c r="J33" s="210"/>
      <c r="K33" s="210"/>
      <c r="L33" s="210"/>
      <c r="M33" s="210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  <c r="AA33" s="210"/>
      <c r="AB33" s="210"/>
      <c r="AC33" s="210"/>
      <c r="AD33" s="210"/>
      <c r="AE33" s="210"/>
      <c r="AF33" s="210"/>
      <c r="AG33" s="210"/>
      <c r="AH33" s="210"/>
      <c r="AI33" s="210"/>
      <c r="AJ33" s="210"/>
      <c r="AK33" s="210"/>
      <c r="AL33" s="210"/>
      <c r="AM33" s="210"/>
    </row>
    <row r="34">
      <c r="A34" s="209"/>
      <c r="B34" s="210"/>
      <c r="C34" s="210"/>
      <c r="D34" s="210"/>
      <c r="E34" s="210"/>
      <c r="F34" s="210"/>
      <c r="G34" s="210"/>
      <c r="H34" s="210"/>
      <c r="I34" s="210"/>
      <c r="J34" s="210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0"/>
      <c r="AM34" s="210"/>
    </row>
    <row r="35">
      <c r="A35" s="209"/>
      <c r="B35" s="210"/>
      <c r="C35" s="210"/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  <c r="AA35" s="210"/>
      <c r="AB35" s="210"/>
      <c r="AC35" s="210"/>
      <c r="AD35" s="210"/>
      <c r="AE35" s="210"/>
      <c r="AF35" s="210"/>
      <c r="AG35" s="210"/>
      <c r="AH35" s="210"/>
      <c r="AI35" s="210"/>
      <c r="AJ35" s="210"/>
      <c r="AK35" s="210"/>
      <c r="AL35" s="210"/>
      <c r="AM35" s="210"/>
    </row>
    <row r="36">
      <c r="A36" s="209"/>
      <c r="B36" s="210"/>
      <c r="C36" s="210"/>
      <c r="D36" s="210"/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0"/>
      <c r="Z36" s="210"/>
      <c r="AA36" s="210"/>
      <c r="AB36" s="210"/>
      <c r="AC36" s="210"/>
      <c r="AD36" s="210"/>
      <c r="AE36" s="210"/>
      <c r="AF36" s="210"/>
      <c r="AG36" s="210"/>
      <c r="AH36" s="210"/>
      <c r="AI36" s="210"/>
      <c r="AJ36" s="210"/>
      <c r="AK36" s="210"/>
      <c r="AL36" s="210"/>
      <c r="AM36" s="210"/>
    </row>
    <row r="37">
      <c r="A37" s="209"/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  <c r="AA37" s="210"/>
      <c r="AB37" s="210"/>
      <c r="AC37" s="210"/>
      <c r="AD37" s="210"/>
      <c r="AE37" s="210"/>
      <c r="AF37" s="210"/>
      <c r="AG37" s="210"/>
      <c r="AH37" s="210"/>
      <c r="AI37" s="210"/>
      <c r="AJ37" s="210"/>
      <c r="AK37" s="210"/>
      <c r="AL37" s="210"/>
      <c r="AM37" s="210"/>
    </row>
    <row r="38">
      <c r="A38" s="209"/>
      <c r="B38" s="210"/>
      <c r="C38" s="210"/>
      <c r="D38" s="210"/>
      <c r="E38" s="210"/>
      <c r="F38" s="210"/>
      <c r="G38" s="210"/>
      <c r="H38" s="210"/>
      <c r="I38" s="210"/>
      <c r="J38" s="210"/>
      <c r="K38" s="210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  <c r="Z38" s="210"/>
      <c r="AA38" s="210"/>
      <c r="AB38" s="210"/>
      <c r="AC38" s="210"/>
      <c r="AD38" s="211"/>
      <c r="AE38" s="211"/>
      <c r="AF38" s="211"/>
      <c r="AG38" s="211"/>
      <c r="AH38" s="211"/>
      <c r="AI38" s="210"/>
      <c r="AJ38" s="210"/>
      <c r="AK38" s="210"/>
      <c r="AL38" s="210"/>
      <c r="AM38" s="211"/>
    </row>
    <row r="39">
      <c r="A39" s="209"/>
      <c r="B39" s="210"/>
      <c r="C39" s="210"/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  <c r="AA39" s="210"/>
      <c r="AB39" s="210"/>
      <c r="AC39" s="210"/>
      <c r="AD39" s="210"/>
      <c r="AE39" s="210"/>
      <c r="AF39" s="210"/>
      <c r="AG39" s="210"/>
      <c r="AH39" s="210"/>
      <c r="AI39" s="210"/>
      <c r="AJ39" s="210"/>
      <c r="AK39" s="210"/>
      <c r="AL39" s="210"/>
      <c r="AM39" s="211"/>
    </row>
    <row r="40">
      <c r="A40" s="209"/>
      <c r="B40" s="210"/>
      <c r="C40" s="210"/>
      <c r="D40" s="210"/>
      <c r="E40" s="210"/>
      <c r="F40" s="210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210"/>
      <c r="AA40" s="210"/>
      <c r="AB40" s="210"/>
      <c r="AC40" s="210"/>
      <c r="AD40" s="210"/>
      <c r="AE40" s="210"/>
      <c r="AF40" s="210"/>
      <c r="AG40" s="210"/>
      <c r="AH40" s="210"/>
      <c r="AI40" s="210"/>
      <c r="AJ40" s="210"/>
      <c r="AK40" s="210"/>
      <c r="AL40" s="210"/>
      <c r="AM40" s="211"/>
    </row>
    <row r="41">
      <c r="A41" s="209"/>
      <c r="B41" s="210"/>
      <c r="C41" s="210"/>
      <c r="D41" s="210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  <c r="AA41" s="210"/>
      <c r="AB41" s="210"/>
      <c r="AC41" s="210"/>
      <c r="AD41" s="210"/>
      <c r="AE41" s="210"/>
      <c r="AF41" s="210"/>
      <c r="AG41" s="210"/>
      <c r="AH41" s="210"/>
      <c r="AI41" s="210"/>
      <c r="AJ41" s="210"/>
      <c r="AK41" s="210"/>
      <c r="AL41" s="210"/>
      <c r="AM41" s="211"/>
    </row>
    <row r="42">
      <c r="A42" s="209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  <c r="AA42" s="210"/>
      <c r="AB42" s="210"/>
      <c r="AC42" s="210"/>
      <c r="AD42" s="210"/>
      <c r="AE42" s="210"/>
      <c r="AF42" s="210"/>
      <c r="AG42" s="210"/>
      <c r="AH42" s="210"/>
      <c r="AI42" s="210"/>
      <c r="AJ42" s="210"/>
      <c r="AK42" s="210"/>
      <c r="AL42" s="210"/>
      <c r="AM42" s="211"/>
    </row>
    <row r="43">
      <c r="A43" s="209"/>
      <c r="B43" s="210"/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  <c r="AA43" s="210"/>
      <c r="AB43" s="210"/>
      <c r="AC43" s="210"/>
      <c r="AD43" s="210"/>
      <c r="AE43" s="210"/>
      <c r="AF43" s="210"/>
      <c r="AG43" s="210"/>
      <c r="AH43" s="210"/>
      <c r="AI43" s="210"/>
      <c r="AJ43" s="210"/>
      <c r="AK43" s="210"/>
      <c r="AL43" s="210"/>
      <c r="AM43" s="211"/>
    </row>
    <row r="44">
      <c r="A44" s="209"/>
      <c r="B44" s="210"/>
      <c r="C44" s="210"/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  <c r="AA44" s="210"/>
      <c r="AB44" s="210"/>
      <c r="AC44" s="210"/>
      <c r="AD44" s="211"/>
      <c r="AE44" s="211"/>
      <c r="AF44" s="211"/>
      <c r="AG44" s="211"/>
      <c r="AH44" s="211"/>
      <c r="AI44" s="210"/>
      <c r="AJ44" s="210"/>
      <c r="AK44" s="210"/>
      <c r="AL44" s="210"/>
      <c r="AM44" s="210"/>
    </row>
    <row r="45">
      <c r="A45" s="209"/>
      <c r="B45" s="210"/>
      <c r="C45" s="210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  <c r="AA45" s="210"/>
      <c r="AB45" s="210"/>
      <c r="AC45" s="210"/>
      <c r="AD45" s="210"/>
      <c r="AE45" s="210"/>
      <c r="AF45" s="210"/>
      <c r="AG45" s="210"/>
      <c r="AH45" s="210"/>
      <c r="AI45" s="210"/>
      <c r="AJ45" s="210"/>
      <c r="AK45" s="210"/>
      <c r="AL45" s="210"/>
      <c r="AM45" s="210"/>
    </row>
    <row r="46">
      <c r="A46" s="209"/>
      <c r="B46" s="210"/>
      <c r="C46" s="210"/>
      <c r="D46" s="210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  <c r="AA46" s="210"/>
      <c r="AB46" s="210"/>
      <c r="AC46" s="210"/>
      <c r="AD46" s="210"/>
      <c r="AE46" s="210"/>
      <c r="AF46" s="210"/>
      <c r="AG46" s="210"/>
      <c r="AH46" s="210"/>
      <c r="AI46" s="210"/>
      <c r="AJ46" s="210"/>
      <c r="AK46" s="210"/>
      <c r="AL46" s="210"/>
      <c r="AM46" s="210"/>
    </row>
    <row r="47">
      <c r="A47" s="209"/>
      <c r="B47" s="210"/>
      <c r="C47" s="210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  <c r="AA47" s="210"/>
      <c r="AB47" s="210"/>
      <c r="AC47" s="210"/>
      <c r="AD47" s="210"/>
      <c r="AE47" s="210"/>
      <c r="AF47" s="210"/>
      <c r="AG47" s="210"/>
      <c r="AH47" s="210"/>
      <c r="AI47" s="210"/>
      <c r="AJ47" s="210"/>
      <c r="AK47" s="210"/>
      <c r="AL47" s="210"/>
      <c r="AM47" s="210"/>
    </row>
    <row r="48">
      <c r="A48" s="209"/>
      <c r="B48" s="210"/>
      <c r="C48" s="210"/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  <c r="AA48" s="210"/>
      <c r="AB48" s="210"/>
      <c r="AC48" s="210"/>
      <c r="AD48" s="210"/>
      <c r="AE48" s="210"/>
      <c r="AF48" s="210"/>
      <c r="AG48" s="210"/>
      <c r="AH48" s="210"/>
      <c r="AI48" s="210"/>
      <c r="AJ48" s="210"/>
      <c r="AK48" s="210"/>
      <c r="AL48" s="210"/>
      <c r="AM48" s="210"/>
    </row>
    <row r="49">
      <c r="A49" s="209"/>
      <c r="B49" s="210"/>
      <c r="C49" s="210"/>
      <c r="D49" s="210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  <c r="AA49" s="210"/>
      <c r="AB49" s="210"/>
      <c r="AC49" s="210"/>
      <c r="AD49" s="210"/>
      <c r="AE49" s="210"/>
      <c r="AF49" s="210"/>
      <c r="AG49" s="210"/>
      <c r="AH49" s="210"/>
      <c r="AI49" s="210"/>
      <c r="AJ49" s="210"/>
      <c r="AK49" s="210"/>
      <c r="AL49" s="210"/>
      <c r="AM49" s="210"/>
    </row>
    <row r="50">
      <c r="A50" s="209"/>
      <c r="B50" s="210"/>
      <c r="C50" s="210"/>
      <c r="D50" s="210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  <c r="AA50" s="210"/>
      <c r="AB50" s="210"/>
      <c r="AC50" s="210"/>
      <c r="AD50" s="211"/>
      <c r="AE50" s="211"/>
      <c r="AF50" s="211"/>
      <c r="AG50" s="211"/>
      <c r="AH50" s="211"/>
      <c r="AI50" s="210"/>
      <c r="AJ50" s="210"/>
      <c r="AK50" s="210"/>
      <c r="AL50" s="210"/>
    </row>
    <row r="51">
      <c r="A51" s="209"/>
      <c r="B51" s="210"/>
      <c r="C51" s="210"/>
      <c r="D51" s="210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  <c r="AA51" s="210"/>
      <c r="AB51" s="210"/>
      <c r="AC51" s="210"/>
      <c r="AD51" s="210"/>
      <c r="AE51" s="210"/>
      <c r="AF51" s="210"/>
      <c r="AG51" s="210"/>
      <c r="AH51" s="210"/>
      <c r="AI51" s="210"/>
      <c r="AJ51" s="210"/>
      <c r="AK51" s="210"/>
      <c r="AL51" s="210"/>
    </row>
    <row r="52">
      <c r="A52" s="209"/>
      <c r="B52" s="210"/>
      <c r="C52" s="210"/>
      <c r="D52" s="210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  <c r="AA52" s="210"/>
      <c r="AB52" s="210"/>
      <c r="AC52" s="210"/>
      <c r="AD52" s="210"/>
      <c r="AE52" s="210"/>
      <c r="AF52" s="210"/>
      <c r="AG52" s="210"/>
      <c r="AH52" s="210"/>
      <c r="AI52" s="210"/>
      <c r="AJ52" s="210"/>
      <c r="AK52" s="210"/>
      <c r="AL52" s="210"/>
    </row>
    <row r="53">
      <c r="A53" s="209"/>
      <c r="B53" s="210"/>
      <c r="C53" s="210"/>
      <c r="D53" s="210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  <c r="AA53" s="210"/>
      <c r="AB53" s="210"/>
      <c r="AC53" s="210"/>
      <c r="AD53" s="210"/>
      <c r="AE53" s="210"/>
      <c r="AF53" s="210"/>
      <c r="AG53" s="210"/>
      <c r="AH53" s="210"/>
      <c r="AI53" s="210"/>
      <c r="AJ53" s="210"/>
      <c r="AK53" s="210"/>
      <c r="AL53" s="210"/>
    </row>
    <row r="54">
      <c r="A54" s="209"/>
      <c r="B54" s="210"/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  <c r="AA54" s="210"/>
      <c r="AB54" s="210"/>
      <c r="AC54" s="210"/>
      <c r="AD54" s="210"/>
      <c r="AE54" s="210"/>
      <c r="AF54" s="210"/>
      <c r="AG54" s="210"/>
      <c r="AH54" s="210"/>
      <c r="AI54" s="210"/>
      <c r="AJ54" s="210"/>
      <c r="AK54" s="210"/>
      <c r="AL54" s="210"/>
    </row>
    <row r="55">
      <c r="A55" s="209"/>
      <c r="B55" s="21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0"/>
      <c r="AB55" s="210"/>
      <c r="AC55" s="210"/>
      <c r="AD55" s="210"/>
      <c r="AE55" s="210"/>
      <c r="AF55" s="210"/>
      <c r="AG55" s="210"/>
      <c r="AH55" s="210"/>
      <c r="AI55" s="210"/>
      <c r="AJ55" s="210"/>
      <c r="AK55" s="210"/>
      <c r="AL55" s="210"/>
    </row>
    <row r="56">
      <c r="A56" s="209"/>
      <c r="B56" s="210"/>
      <c r="C56" s="210"/>
      <c r="D56" s="210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  <c r="AA56" s="210"/>
      <c r="AB56" s="210"/>
      <c r="AC56" s="210"/>
      <c r="AD56" s="211"/>
      <c r="AE56" s="211"/>
      <c r="AF56" s="211"/>
      <c r="AG56" s="211"/>
      <c r="AH56" s="211"/>
      <c r="AI56" s="210"/>
      <c r="AJ56" s="210"/>
      <c r="AK56" s="210"/>
      <c r="AL56" s="210"/>
    </row>
    <row r="57">
      <c r="A57" s="209"/>
      <c r="B57" s="210"/>
      <c r="C57" s="210"/>
      <c r="D57" s="210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  <c r="AA57" s="210"/>
      <c r="AB57" s="210"/>
      <c r="AC57" s="210"/>
      <c r="AD57" s="210"/>
      <c r="AE57" s="210"/>
      <c r="AF57" s="210"/>
      <c r="AG57" s="210"/>
      <c r="AH57" s="210"/>
      <c r="AI57" s="210"/>
      <c r="AJ57" s="210"/>
      <c r="AK57" s="210"/>
      <c r="AL57" s="210"/>
    </row>
    <row r="58">
      <c r="A58" s="209"/>
      <c r="B58" s="210"/>
      <c r="C58" s="210"/>
      <c r="D58" s="210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  <c r="AA58" s="210"/>
      <c r="AB58" s="210"/>
      <c r="AC58" s="210"/>
      <c r="AD58" s="210"/>
      <c r="AE58" s="210"/>
      <c r="AF58" s="210"/>
      <c r="AG58" s="210"/>
      <c r="AH58" s="210"/>
      <c r="AI58" s="210"/>
      <c r="AJ58" s="210"/>
      <c r="AK58" s="210"/>
      <c r="AL58" s="210"/>
    </row>
    <row r="59">
      <c r="A59" s="209"/>
      <c r="B59" s="210"/>
      <c r="C59" s="210"/>
      <c r="D59" s="210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  <c r="AA59" s="210"/>
      <c r="AB59" s="210"/>
      <c r="AC59" s="210"/>
      <c r="AD59" s="210"/>
      <c r="AE59" s="210"/>
      <c r="AF59" s="210"/>
      <c r="AG59" s="210"/>
      <c r="AH59" s="210"/>
      <c r="AI59" s="210"/>
      <c r="AJ59" s="210"/>
      <c r="AK59" s="210"/>
      <c r="AL59" s="210"/>
    </row>
    <row r="60">
      <c r="A60" s="209"/>
      <c r="B60" s="210"/>
      <c r="C60" s="210"/>
      <c r="D60" s="210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  <c r="AA60" s="210"/>
      <c r="AB60" s="210"/>
      <c r="AC60" s="210"/>
      <c r="AD60" s="210"/>
      <c r="AE60" s="210"/>
      <c r="AF60" s="210"/>
      <c r="AG60" s="210"/>
      <c r="AH60" s="210"/>
      <c r="AI60" s="210"/>
      <c r="AJ60" s="210"/>
      <c r="AK60" s="210"/>
      <c r="AL60" s="210"/>
    </row>
    <row r="61">
      <c r="A61" s="209"/>
      <c r="B61" s="210"/>
      <c r="C61" s="210"/>
      <c r="D61" s="210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  <c r="AA61" s="210"/>
      <c r="AB61" s="210"/>
      <c r="AC61" s="210"/>
      <c r="AD61" s="210"/>
      <c r="AE61" s="210"/>
      <c r="AF61" s="210"/>
      <c r="AG61" s="210"/>
      <c r="AH61" s="210"/>
      <c r="AI61" s="210"/>
      <c r="AJ61" s="210"/>
      <c r="AK61" s="210"/>
      <c r="AL61" s="210"/>
    </row>
    <row r="62">
      <c r="A62" s="214"/>
    </row>
    <row r="63">
      <c r="A63" s="214"/>
    </row>
    <row r="64">
      <c r="A64" s="214"/>
    </row>
    <row r="65">
      <c r="A65" s="214"/>
    </row>
    <row r="66">
      <c r="A66" s="214"/>
    </row>
    <row r="67">
      <c r="A67" s="214"/>
    </row>
    <row r="68">
      <c r="A68" s="214"/>
    </row>
    <row r="69">
      <c r="A69" s="214"/>
    </row>
    <row r="70">
      <c r="A70" s="214"/>
    </row>
    <row r="71">
      <c r="A71" s="214"/>
    </row>
    <row r="72">
      <c r="A72" s="214"/>
    </row>
    <row r="73">
      <c r="A73" s="214"/>
    </row>
    <row r="74">
      <c r="A74" s="214"/>
    </row>
    <row r="75">
      <c r="A75" s="214"/>
    </row>
    <row r="76">
      <c r="A76" s="214"/>
    </row>
    <row r="77">
      <c r="A77" s="214"/>
    </row>
    <row r="78">
      <c r="A78" s="214"/>
    </row>
    <row r="79">
      <c r="A79" s="214"/>
    </row>
    <row r="80">
      <c r="A80" s="214"/>
    </row>
    <row r="81">
      <c r="A81" s="214"/>
    </row>
    <row r="82">
      <c r="A82" s="214"/>
    </row>
    <row r="83">
      <c r="A83" s="214"/>
    </row>
    <row r="84">
      <c r="A84" s="214"/>
    </row>
    <row r="85">
      <c r="A85" s="214"/>
    </row>
    <row r="86">
      <c r="A86" s="214"/>
    </row>
    <row r="87">
      <c r="A87" s="214"/>
    </row>
    <row r="88">
      <c r="A88" s="214"/>
    </row>
    <row r="89">
      <c r="A89" s="214"/>
    </row>
    <row r="90">
      <c r="A90" s="214"/>
    </row>
    <row r="91">
      <c r="A91" s="214"/>
    </row>
    <row r="92">
      <c r="A92" s="214"/>
    </row>
    <row r="93">
      <c r="A93" s="214"/>
    </row>
    <row r="94">
      <c r="A94" s="214"/>
    </row>
    <row r="95">
      <c r="A95" s="214"/>
    </row>
    <row r="96">
      <c r="A96" s="214"/>
    </row>
    <row r="97">
      <c r="A97" s="214"/>
    </row>
    <row r="98">
      <c r="A98" s="214"/>
    </row>
    <row r="99">
      <c r="A99" s="214"/>
    </row>
    <row r="100">
      <c r="A100" s="214"/>
    </row>
    <row r="101">
      <c r="A101" s="214"/>
    </row>
    <row r="102">
      <c r="A102" s="214"/>
    </row>
    <row r="103">
      <c r="A103" s="214"/>
    </row>
    <row r="104">
      <c r="A104" s="214"/>
    </row>
    <row r="105">
      <c r="A105" s="214"/>
    </row>
    <row r="106">
      <c r="A106" s="214"/>
    </row>
    <row r="107">
      <c r="A107" s="214"/>
    </row>
    <row r="108">
      <c r="A108" s="214"/>
    </row>
    <row r="109">
      <c r="A109" s="214"/>
    </row>
    <row r="110">
      <c r="A110" s="214"/>
    </row>
    <row r="111">
      <c r="A111" s="214"/>
    </row>
    <row r="112">
      <c r="A112" s="214"/>
    </row>
    <row r="113">
      <c r="A113" s="214"/>
    </row>
    <row r="114">
      <c r="A114" s="214"/>
    </row>
    <row r="115">
      <c r="A115" s="214"/>
    </row>
    <row r="116">
      <c r="A116" s="214"/>
    </row>
    <row r="117">
      <c r="A117" s="214"/>
    </row>
    <row r="118">
      <c r="A118" s="214"/>
    </row>
    <row r="119">
      <c r="A119" s="214"/>
    </row>
    <row r="120">
      <c r="A120" s="214"/>
    </row>
    <row r="121">
      <c r="A121" s="214"/>
    </row>
    <row r="122">
      <c r="A122" s="214"/>
    </row>
    <row r="123">
      <c r="A123" s="214"/>
    </row>
    <row r="124">
      <c r="A124" s="214"/>
    </row>
    <row r="125">
      <c r="A125" s="214"/>
    </row>
    <row r="126">
      <c r="A126" s="214"/>
    </row>
    <row r="127">
      <c r="A127" s="214"/>
    </row>
    <row r="128">
      <c r="A128" s="214"/>
    </row>
    <row r="129">
      <c r="A129" s="214"/>
    </row>
    <row r="130">
      <c r="A130" s="214"/>
    </row>
    <row r="131">
      <c r="A131" s="214"/>
    </row>
    <row r="132">
      <c r="A132" s="214"/>
    </row>
    <row r="133">
      <c r="A133" s="214"/>
    </row>
    <row r="134">
      <c r="A134" s="214"/>
    </row>
    <row r="135">
      <c r="A135" s="214"/>
    </row>
    <row r="136">
      <c r="A136" s="214"/>
    </row>
    <row r="137">
      <c r="A137" s="214"/>
    </row>
    <row r="138">
      <c r="A138" s="214"/>
    </row>
    <row r="139">
      <c r="A139" s="214"/>
    </row>
    <row r="140">
      <c r="A140" s="214"/>
    </row>
    <row r="141">
      <c r="A141" s="214"/>
    </row>
    <row r="142">
      <c r="A142" s="214"/>
    </row>
    <row r="143">
      <c r="A143" s="214"/>
    </row>
    <row r="144">
      <c r="A144" s="214"/>
    </row>
    <row r="145">
      <c r="A145" s="214"/>
    </row>
    <row r="146">
      <c r="A146" s="214"/>
    </row>
    <row r="147">
      <c r="A147" s="214"/>
    </row>
    <row r="148">
      <c r="A148" s="214"/>
    </row>
    <row r="149">
      <c r="A149" s="214"/>
    </row>
    <row r="150">
      <c r="A150" s="214"/>
    </row>
    <row r="151">
      <c r="A151" s="214"/>
    </row>
    <row r="152">
      <c r="A152" s="214"/>
    </row>
    <row r="153">
      <c r="A153" s="214"/>
    </row>
    <row r="154">
      <c r="A154" s="214"/>
    </row>
    <row r="155">
      <c r="A155" s="214"/>
    </row>
    <row r="156">
      <c r="A156" s="214"/>
    </row>
    <row r="157">
      <c r="A157" s="214"/>
    </row>
    <row r="158">
      <c r="A158" s="214"/>
    </row>
    <row r="159">
      <c r="A159" s="214"/>
    </row>
    <row r="160">
      <c r="A160" s="214"/>
    </row>
    <row r="161">
      <c r="A161" s="214"/>
    </row>
    <row r="162">
      <c r="A162" s="214"/>
    </row>
    <row r="163">
      <c r="A163" s="214"/>
    </row>
    <row r="164">
      <c r="A164" s="214"/>
    </row>
    <row r="165">
      <c r="A165" s="214"/>
    </row>
    <row r="166">
      <c r="A166" s="214"/>
    </row>
    <row r="167">
      <c r="A167" s="214"/>
    </row>
    <row r="168">
      <c r="A168" s="214"/>
    </row>
    <row r="169">
      <c r="A169" s="214"/>
    </row>
    <row r="170">
      <c r="A170" s="214"/>
    </row>
    <row r="171">
      <c r="A171" s="214"/>
    </row>
    <row r="172">
      <c r="A172" s="214"/>
    </row>
    <row r="173">
      <c r="A173" s="214"/>
    </row>
    <row r="174">
      <c r="A174" s="214"/>
    </row>
    <row r="175">
      <c r="A175" s="214"/>
    </row>
    <row r="176">
      <c r="A176" s="214"/>
    </row>
    <row r="177">
      <c r="A177" s="214"/>
    </row>
    <row r="178">
      <c r="A178" s="214"/>
    </row>
    <row r="179">
      <c r="A179" s="214"/>
    </row>
    <row r="180">
      <c r="A180" s="214"/>
    </row>
    <row r="181">
      <c r="A181" s="214"/>
    </row>
    <row r="182">
      <c r="A182" s="214"/>
    </row>
    <row r="183">
      <c r="A183" s="214"/>
    </row>
    <row r="184">
      <c r="A184" s="214"/>
    </row>
    <row r="185">
      <c r="A185" s="214"/>
    </row>
    <row r="186">
      <c r="A186" s="214"/>
    </row>
    <row r="187">
      <c r="A187" s="214"/>
    </row>
    <row r="188">
      <c r="A188" s="214"/>
    </row>
    <row r="189">
      <c r="A189" s="214"/>
    </row>
    <row r="190">
      <c r="A190" s="214"/>
    </row>
    <row r="191">
      <c r="A191" s="214"/>
    </row>
    <row r="192">
      <c r="A192" s="214"/>
    </row>
    <row r="193">
      <c r="A193" s="214"/>
    </row>
    <row r="194">
      <c r="A194" s="214"/>
    </row>
    <row r="195">
      <c r="A195" s="214"/>
    </row>
    <row r="196">
      <c r="A196" s="214"/>
    </row>
    <row r="197">
      <c r="A197" s="214"/>
    </row>
    <row r="198">
      <c r="A198" s="214"/>
    </row>
    <row r="199">
      <c r="A199" s="214"/>
    </row>
    <row r="200">
      <c r="A200" s="214"/>
    </row>
    <row r="201">
      <c r="A201" s="214"/>
    </row>
    <row r="202">
      <c r="A202" s="214"/>
    </row>
    <row r="203">
      <c r="A203" s="214"/>
    </row>
    <row r="204">
      <c r="A204" s="214"/>
    </row>
    <row r="205">
      <c r="A205" s="21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4.43" defaultRowHeight="15.0"/>
  <sheetData>
    <row r="1">
      <c r="A1" s="207" t="s">
        <v>280</v>
      </c>
      <c r="B1" s="207" t="s">
        <v>281</v>
      </c>
      <c r="C1" s="207" t="s">
        <v>282</v>
      </c>
      <c r="D1" s="207" t="s">
        <v>283</v>
      </c>
      <c r="E1" s="207" t="s">
        <v>284</v>
      </c>
      <c r="F1" s="207" t="s">
        <v>285</v>
      </c>
      <c r="G1" s="207" t="s">
        <v>286</v>
      </c>
      <c r="H1" s="207" t="s">
        <v>287</v>
      </c>
      <c r="I1" s="207" t="s">
        <v>288</v>
      </c>
      <c r="J1" s="207" t="s">
        <v>289</v>
      </c>
      <c r="K1" s="207" t="s">
        <v>290</v>
      </c>
      <c r="L1" s="207" t="s">
        <v>291</v>
      </c>
      <c r="M1" s="207" t="s">
        <v>292</v>
      </c>
      <c r="N1" s="207" t="s">
        <v>293</v>
      </c>
      <c r="O1" s="207" t="s">
        <v>294</v>
      </c>
      <c r="P1" s="207" t="s">
        <v>295</v>
      </c>
      <c r="Q1" s="207" t="s">
        <v>296</v>
      </c>
      <c r="R1" s="207" t="s">
        <v>297</v>
      </c>
      <c r="S1" s="207" t="s">
        <v>298</v>
      </c>
      <c r="T1" s="207" t="s">
        <v>299</v>
      </c>
      <c r="U1" s="207" t="s">
        <v>300</v>
      </c>
      <c r="V1" s="207" t="s">
        <v>301</v>
      </c>
      <c r="W1" s="207" t="s">
        <v>302</v>
      </c>
      <c r="X1" s="207" t="s">
        <v>303</v>
      </c>
      <c r="Y1" s="207" t="s">
        <v>304</v>
      </c>
      <c r="Z1" s="207" t="s">
        <v>305</v>
      </c>
      <c r="AA1" s="207" t="s">
        <v>306</v>
      </c>
      <c r="AB1" s="207" t="s">
        <v>307</v>
      </c>
      <c r="AC1" s="207" t="s">
        <v>308</v>
      </c>
      <c r="AD1" s="207" t="s">
        <v>309</v>
      </c>
      <c r="AE1" s="207" t="s">
        <v>310</v>
      </c>
      <c r="AF1" s="207" t="s">
        <v>311</v>
      </c>
      <c r="AG1" s="207" t="s">
        <v>312</v>
      </c>
      <c r="AH1" s="207" t="s">
        <v>313</v>
      </c>
      <c r="AI1" s="207" t="s">
        <v>314</v>
      </c>
      <c r="AJ1" s="207" t="s">
        <v>315</v>
      </c>
      <c r="AK1" s="207" t="s">
        <v>316</v>
      </c>
      <c r="AL1" s="207" t="s">
        <v>317</v>
      </c>
      <c r="AM1" s="207" t="s">
        <v>318</v>
      </c>
      <c r="AN1" s="207" t="s">
        <v>319</v>
      </c>
      <c r="AO1" s="207" t="s">
        <v>320</v>
      </c>
      <c r="AP1" s="207" t="s">
        <v>321</v>
      </c>
      <c r="AQ1" s="207" t="s">
        <v>322</v>
      </c>
      <c r="AR1" s="207" t="s">
        <v>323</v>
      </c>
      <c r="AS1" s="207" t="s">
        <v>324</v>
      </c>
      <c r="AT1" s="207" t="s">
        <v>325</v>
      </c>
      <c r="AU1" s="207" t="s">
        <v>326</v>
      </c>
      <c r="AV1" s="208" t="s">
        <v>327</v>
      </c>
      <c r="AW1" s="208" t="s">
        <v>328</v>
      </c>
      <c r="AX1" s="208" t="s">
        <v>329</v>
      </c>
      <c r="AY1" s="208" t="s">
        <v>330</v>
      </c>
      <c r="AZ1" s="208" t="s">
        <v>331</v>
      </c>
      <c r="BA1" s="208" t="s">
        <v>332</v>
      </c>
      <c r="BB1" s="208" t="s">
        <v>333</v>
      </c>
      <c r="BC1" s="208" t="s">
        <v>334</v>
      </c>
      <c r="BD1" s="208" t="s">
        <v>335</v>
      </c>
      <c r="BE1" s="208" t="s">
        <v>336</v>
      </c>
      <c r="BF1" s="208" t="s">
        <v>337</v>
      </c>
      <c r="BG1" s="208" t="s">
        <v>338</v>
      </c>
      <c r="BH1" s="208" t="s">
        <v>339</v>
      </c>
      <c r="BI1" s="208" t="s">
        <v>340</v>
      </c>
      <c r="BJ1" s="208" t="s">
        <v>341</v>
      </c>
      <c r="BK1" s="208" t="s">
        <v>342</v>
      </c>
      <c r="BL1" s="208" t="s">
        <v>343</v>
      </c>
      <c r="BM1" s="208" t="s">
        <v>344</v>
      </c>
      <c r="BN1" s="208" t="s">
        <v>345</v>
      </c>
      <c r="BO1" s="208" t="s">
        <v>346</v>
      </c>
      <c r="BP1" s="208" t="s">
        <v>347</v>
      </c>
      <c r="BQ1" s="208" t="s">
        <v>348</v>
      </c>
      <c r="BR1" s="208" t="s">
        <v>349</v>
      </c>
      <c r="BS1" s="208" t="s">
        <v>350</v>
      </c>
      <c r="BT1" s="208" t="s">
        <v>351</v>
      </c>
      <c r="BU1" s="208" t="s">
        <v>352</v>
      </c>
      <c r="BV1" s="208" t="s">
        <v>353</v>
      </c>
      <c r="BW1" s="208" t="s">
        <v>354</v>
      </c>
      <c r="BX1" s="208" t="s">
        <v>355</v>
      </c>
      <c r="BY1" s="208" t="s">
        <v>356</v>
      </c>
      <c r="BZ1" s="208" t="s">
        <v>357</v>
      </c>
      <c r="CA1" s="208" t="s">
        <v>358</v>
      </c>
      <c r="CB1" s="208" t="s">
        <v>359</v>
      </c>
      <c r="CC1" s="208" t="s">
        <v>360</v>
      </c>
      <c r="CD1" s="208" t="s">
        <v>361</v>
      </c>
      <c r="CE1" s="208" t="s">
        <v>362</v>
      </c>
      <c r="CF1" s="208" t="s">
        <v>363</v>
      </c>
      <c r="CG1" s="208" t="s">
        <v>364</v>
      </c>
      <c r="CH1" s="208" t="s">
        <v>365</v>
      </c>
      <c r="CI1" s="208" t="s">
        <v>366</v>
      </c>
      <c r="CJ1" s="208" t="s">
        <v>367</v>
      </c>
      <c r="CK1" s="208" t="s">
        <v>368</v>
      </c>
      <c r="CL1" s="208" t="s">
        <v>369</v>
      </c>
      <c r="CM1" s="208" t="s">
        <v>370</v>
      </c>
      <c r="CN1" s="208" t="s">
        <v>371</v>
      </c>
      <c r="CO1" s="208" t="s">
        <v>372</v>
      </c>
      <c r="CP1" s="208" t="s">
        <v>373</v>
      </c>
      <c r="CQ1" s="208" t="s">
        <v>374</v>
      </c>
      <c r="CR1" s="208" t="s">
        <v>375</v>
      </c>
      <c r="CS1" s="208" t="s">
        <v>376</v>
      </c>
      <c r="CT1" s="208" t="s">
        <v>377</v>
      </c>
      <c r="CU1" s="208" t="s">
        <v>378</v>
      </c>
      <c r="CV1" s="208" t="s">
        <v>379</v>
      </c>
      <c r="CW1" s="208" t="s">
        <v>380</v>
      </c>
      <c r="CX1" s="208" t="s">
        <v>381</v>
      </c>
      <c r="CY1" s="208" t="s">
        <v>382</v>
      </c>
      <c r="CZ1" s="208" t="s">
        <v>383</v>
      </c>
      <c r="DA1" s="208" t="s">
        <v>384</v>
      </c>
      <c r="DB1" s="208" t="s">
        <v>385</v>
      </c>
      <c r="DC1" s="208" t="s">
        <v>386</v>
      </c>
      <c r="DD1" s="208" t="s">
        <v>387</v>
      </c>
      <c r="DE1" s="208" t="s">
        <v>388</v>
      </c>
      <c r="DF1" s="208" t="s">
        <v>389</v>
      </c>
      <c r="DG1" s="208" t="s">
        <v>390</v>
      </c>
      <c r="DH1" s="208" t="s">
        <v>391</v>
      </c>
      <c r="DI1" s="208" t="s">
        <v>392</v>
      </c>
      <c r="DJ1" s="208" t="s">
        <v>393</v>
      </c>
      <c r="DK1" s="208" t="s">
        <v>394</v>
      </c>
      <c r="DL1" s="208" t="s">
        <v>395</v>
      </c>
      <c r="DM1" s="208" t="s">
        <v>396</v>
      </c>
      <c r="DN1" s="208" t="s">
        <v>397</v>
      </c>
    </row>
    <row r="2">
      <c r="A2" s="209">
        <v>46255.0</v>
      </c>
      <c r="B2" s="210" t="s">
        <v>4</v>
      </c>
      <c r="C2" s="210" t="s">
        <v>398</v>
      </c>
      <c r="D2" s="210">
        <v>688.0</v>
      </c>
      <c r="E2" s="210">
        <v>25.56</v>
      </c>
      <c r="F2" s="210">
        <v>0.0</v>
      </c>
      <c r="G2" s="210">
        <v>0.0</v>
      </c>
      <c r="H2" s="210">
        <v>0.0</v>
      </c>
      <c r="I2" s="210"/>
      <c r="J2" s="210">
        <v>1.37</v>
      </c>
      <c r="K2" s="210">
        <v>0.01</v>
      </c>
      <c r="L2" s="210">
        <v>0.0</v>
      </c>
      <c r="M2" s="210">
        <v>0.0</v>
      </c>
      <c r="N2" s="210">
        <v>1.0</v>
      </c>
      <c r="O2" s="210">
        <v>1.0</v>
      </c>
      <c r="P2" s="210"/>
      <c r="Q2" s="210">
        <v>0.0</v>
      </c>
      <c r="R2" s="210">
        <v>0.0</v>
      </c>
      <c r="S2" s="210">
        <v>0.0</v>
      </c>
      <c r="T2" s="210">
        <v>0.0</v>
      </c>
      <c r="U2" s="210">
        <v>0.0</v>
      </c>
      <c r="V2" s="210">
        <v>0.0</v>
      </c>
      <c r="W2" s="210">
        <v>0.0</v>
      </c>
      <c r="X2" s="210"/>
      <c r="Y2" s="210">
        <v>200.0</v>
      </c>
      <c r="Z2" s="210">
        <v>200.0</v>
      </c>
      <c r="AA2" s="210">
        <v>200.0</v>
      </c>
      <c r="AB2" s="210"/>
      <c r="AC2" s="210"/>
      <c r="AD2" s="211"/>
      <c r="AE2" s="211"/>
      <c r="AF2" s="211"/>
      <c r="AG2" s="211"/>
      <c r="AH2" s="211"/>
      <c r="AI2" s="210">
        <v>0.0</v>
      </c>
      <c r="AJ2" s="210">
        <v>0.0</v>
      </c>
      <c r="AK2" s="210">
        <v>0.0</v>
      </c>
      <c r="AL2" s="210">
        <v>0.9273</v>
      </c>
      <c r="AM2" s="211"/>
      <c r="AQ2" s="135">
        <v>0.0</v>
      </c>
      <c r="AR2" s="135">
        <v>0.0</v>
      </c>
      <c r="AS2" s="135">
        <v>0.0</v>
      </c>
      <c r="AT2" s="135">
        <v>0.0</v>
      </c>
      <c r="AU2" s="135">
        <v>0.0</v>
      </c>
      <c r="AV2" s="135">
        <v>688.0</v>
      </c>
      <c r="AW2" s="135">
        <v>0.0</v>
      </c>
      <c r="AX2" s="135">
        <v>0.0</v>
      </c>
      <c r="AY2" s="135">
        <v>0.0</v>
      </c>
      <c r="AZ2" s="135">
        <v>0.0</v>
      </c>
      <c r="BA2" s="135">
        <v>0.0</v>
      </c>
      <c r="BB2" s="135">
        <v>0.0</v>
      </c>
      <c r="BD2" s="135">
        <v>200.0</v>
      </c>
      <c r="BE2" s="135">
        <v>0.0</v>
      </c>
      <c r="BF2" s="135">
        <v>0.0</v>
      </c>
      <c r="BG2" s="135">
        <v>0.0</v>
      </c>
      <c r="BH2" s="135">
        <v>0.0</v>
      </c>
      <c r="BI2" s="135">
        <v>0.0</v>
      </c>
      <c r="BJ2" s="135">
        <v>0.0</v>
      </c>
      <c r="BK2" s="135">
        <v>0.0</v>
      </c>
      <c r="BL2" s="135">
        <v>0.0</v>
      </c>
      <c r="BM2" s="135">
        <v>0.0</v>
      </c>
      <c r="BN2" s="135">
        <v>0.0</v>
      </c>
      <c r="BO2" s="135">
        <v>0.0</v>
      </c>
      <c r="BP2" s="135">
        <v>0.0</v>
      </c>
      <c r="BQ2" s="135">
        <v>0.0</v>
      </c>
      <c r="BR2" s="135">
        <v>0.0</v>
      </c>
      <c r="BS2" s="135">
        <v>0.0</v>
      </c>
      <c r="BT2" s="135">
        <v>0.0</v>
      </c>
      <c r="BU2" s="135">
        <v>0.0</v>
      </c>
      <c r="BV2" s="135">
        <v>0.0</v>
      </c>
      <c r="BW2" s="135">
        <v>0.0</v>
      </c>
      <c r="BX2" s="135">
        <v>0.0</v>
      </c>
      <c r="BY2" s="135">
        <v>0.0</v>
      </c>
      <c r="BZ2" s="135">
        <v>0.0</v>
      </c>
      <c r="CA2" s="135">
        <v>0.0</v>
      </c>
      <c r="CB2" s="135">
        <v>0.0</v>
      </c>
      <c r="CC2" s="135">
        <v>0.0</v>
      </c>
      <c r="CD2" s="135">
        <v>0.0</v>
      </c>
      <c r="CE2" s="135">
        <v>0.0</v>
      </c>
      <c r="CF2" s="135">
        <v>0.0</v>
      </c>
      <c r="CG2" s="135">
        <v>0.0</v>
      </c>
      <c r="CH2" s="135">
        <v>0.0</v>
      </c>
      <c r="CI2" s="135">
        <v>0.0</v>
      </c>
      <c r="CJ2" s="135">
        <v>0.0</v>
      </c>
      <c r="CK2" s="135">
        <v>0.0</v>
      </c>
      <c r="CL2" s="135">
        <v>0.0</v>
      </c>
      <c r="CM2" s="135">
        <v>0.0</v>
      </c>
      <c r="CN2" s="135">
        <v>0.0</v>
      </c>
      <c r="CP2" s="135">
        <v>0.0</v>
      </c>
      <c r="CQ2" s="135">
        <v>0.0</v>
      </c>
      <c r="CR2" s="135">
        <v>0.0</v>
      </c>
      <c r="CS2" s="135">
        <v>0.0</v>
      </c>
      <c r="CT2" s="135">
        <v>0.0</v>
      </c>
      <c r="CU2" s="135">
        <v>0.0</v>
      </c>
      <c r="CV2" s="135">
        <v>0.0</v>
      </c>
      <c r="CW2" s="135">
        <v>0.0</v>
      </c>
      <c r="CX2" s="135">
        <v>0.0</v>
      </c>
      <c r="CY2" s="135">
        <v>0.0</v>
      </c>
      <c r="CZ2" s="135">
        <v>0.0</v>
      </c>
      <c r="DA2" s="135">
        <v>0.0</v>
      </c>
      <c r="DB2" s="135">
        <v>0.0</v>
      </c>
      <c r="DC2" s="135">
        <v>0.0</v>
      </c>
      <c r="DD2" s="135">
        <v>0.0</v>
      </c>
      <c r="DE2" s="135">
        <v>0.0</v>
      </c>
      <c r="DF2" s="135">
        <v>0.0</v>
      </c>
      <c r="DG2" s="135">
        <v>0.0</v>
      </c>
      <c r="DH2" s="135">
        <v>0.0</v>
      </c>
      <c r="DI2" s="135">
        <v>0.0</v>
      </c>
      <c r="DJ2" s="135">
        <v>0.0</v>
      </c>
      <c r="DK2" s="135">
        <v>0.0</v>
      </c>
      <c r="DL2" s="135">
        <v>0.0</v>
      </c>
      <c r="DM2" s="135">
        <v>0.0</v>
      </c>
      <c r="DN2" s="135">
        <v>0.0</v>
      </c>
    </row>
    <row r="3">
      <c r="A3" s="209">
        <v>46255.0</v>
      </c>
      <c r="B3" s="210" t="s">
        <v>4</v>
      </c>
      <c r="C3" s="210" t="s">
        <v>142</v>
      </c>
      <c r="D3" s="210">
        <v>1093.0</v>
      </c>
      <c r="E3" s="210">
        <v>40.6</v>
      </c>
      <c r="F3" s="210">
        <v>0.0</v>
      </c>
      <c r="G3" s="210">
        <v>0.0</v>
      </c>
      <c r="H3" s="210">
        <v>0.0</v>
      </c>
      <c r="I3" s="210"/>
      <c r="J3" s="210">
        <v>4.53</v>
      </c>
      <c r="K3" s="210">
        <v>4.02</v>
      </c>
      <c r="L3" s="210">
        <v>3.79</v>
      </c>
      <c r="M3" s="210">
        <v>0.944</v>
      </c>
      <c r="N3" s="210">
        <v>0.0594</v>
      </c>
      <c r="O3" s="210">
        <v>0.0308</v>
      </c>
      <c r="P3" s="210">
        <v>1.0593</v>
      </c>
      <c r="Q3" s="210">
        <v>3.53</v>
      </c>
      <c r="R3" s="210">
        <v>3.48</v>
      </c>
      <c r="S3" s="210">
        <v>0.05</v>
      </c>
      <c r="T3" s="210">
        <v>0.0</v>
      </c>
      <c r="U3" s="210">
        <v>3.53</v>
      </c>
      <c r="V3" s="210">
        <v>2.88</v>
      </c>
      <c r="W3" s="210">
        <v>0.717</v>
      </c>
      <c r="X3" s="210">
        <v>0.0</v>
      </c>
      <c r="Y3" s="210">
        <v>200.0</v>
      </c>
      <c r="Z3" s="210">
        <v>200.0</v>
      </c>
      <c r="AA3" s="210">
        <v>218.0</v>
      </c>
      <c r="AB3" s="210"/>
      <c r="AC3" s="210"/>
      <c r="AD3" s="210">
        <v>3.68</v>
      </c>
      <c r="AE3" s="210">
        <v>2.0</v>
      </c>
      <c r="AF3" s="210">
        <v>3.0</v>
      </c>
      <c r="AG3" s="210">
        <v>5.0</v>
      </c>
      <c r="AH3" s="210">
        <v>8.0</v>
      </c>
      <c r="AI3" s="210">
        <v>78.13</v>
      </c>
      <c r="AJ3" s="210">
        <v>36.78</v>
      </c>
      <c r="AK3" s="210">
        <v>0.0</v>
      </c>
      <c r="AL3" s="210">
        <v>0.8847</v>
      </c>
      <c r="AM3" s="211"/>
      <c r="AQ3" s="135">
        <v>0.1784</v>
      </c>
      <c r="AR3" s="135">
        <v>0.0027</v>
      </c>
      <c r="AS3" s="135">
        <v>0.1757</v>
      </c>
      <c r="AT3" s="135">
        <v>0.3321</v>
      </c>
      <c r="AU3" s="135">
        <v>0.0826</v>
      </c>
      <c r="AV3" s="135">
        <v>1093.0</v>
      </c>
      <c r="AW3" s="135">
        <v>0.0</v>
      </c>
      <c r="AX3" s="135">
        <v>3.53</v>
      </c>
      <c r="AY3" s="135">
        <v>0.0</v>
      </c>
      <c r="AZ3" s="135">
        <v>0.0</v>
      </c>
      <c r="BA3" s="135">
        <v>0.0</v>
      </c>
      <c r="BB3" s="135">
        <v>0.0</v>
      </c>
      <c r="BC3" s="135">
        <v>9.0</v>
      </c>
      <c r="BD3" s="135">
        <v>240.0</v>
      </c>
      <c r="BE3" s="135">
        <v>0.1757</v>
      </c>
      <c r="BF3" s="135">
        <v>0.0027</v>
      </c>
      <c r="BG3" s="135">
        <v>0.1729</v>
      </c>
      <c r="BH3" s="135">
        <v>0.3257</v>
      </c>
      <c r="BI3" s="135">
        <v>0.081</v>
      </c>
      <c r="BJ3" s="135">
        <v>0.0027</v>
      </c>
      <c r="BK3" s="135">
        <v>0.0</v>
      </c>
      <c r="BL3" s="135">
        <v>0.0027</v>
      </c>
      <c r="BM3" s="135">
        <v>0.0064</v>
      </c>
      <c r="BN3" s="135">
        <v>0.0016</v>
      </c>
      <c r="BO3" s="135">
        <v>0.0037</v>
      </c>
      <c r="BP3" s="135">
        <v>0.0</v>
      </c>
      <c r="BQ3" s="135">
        <v>0.0037</v>
      </c>
      <c r="BR3" s="135">
        <v>0.1848</v>
      </c>
      <c r="BS3" s="135">
        <v>0.1665</v>
      </c>
      <c r="BT3" s="135">
        <v>0.0027</v>
      </c>
      <c r="BU3" s="135">
        <v>0.1638</v>
      </c>
      <c r="BV3" s="135">
        <v>0.0695</v>
      </c>
      <c r="BW3" s="135">
        <v>0.0055</v>
      </c>
      <c r="BX3" s="135">
        <v>0.0</v>
      </c>
      <c r="BY3" s="135">
        <v>0.0055</v>
      </c>
      <c r="BZ3" s="135">
        <v>0.0714</v>
      </c>
      <c r="CA3" s="135">
        <v>9.0E-4</v>
      </c>
      <c r="CB3" s="135">
        <v>0.0</v>
      </c>
      <c r="CC3" s="135">
        <v>9.0E-4</v>
      </c>
      <c r="CD3" s="135">
        <v>0.0018</v>
      </c>
      <c r="CE3" s="135">
        <v>0.0</v>
      </c>
      <c r="CF3" s="135">
        <v>0.0</v>
      </c>
      <c r="CG3" s="135">
        <v>0.0</v>
      </c>
      <c r="CH3" s="135">
        <v>0.0018</v>
      </c>
      <c r="CI3" s="135">
        <v>0.0018</v>
      </c>
      <c r="CJ3" s="135">
        <v>0.0</v>
      </c>
      <c r="CK3" s="135">
        <v>0.0018</v>
      </c>
      <c r="CL3" s="135">
        <v>0.0027</v>
      </c>
      <c r="CM3" s="135">
        <v>0.06</v>
      </c>
      <c r="CN3" s="135">
        <v>0.09</v>
      </c>
      <c r="CO3" s="135">
        <v>65.0</v>
      </c>
      <c r="CP3" s="135">
        <v>0.02</v>
      </c>
      <c r="CQ3" s="135">
        <v>0.0</v>
      </c>
      <c r="CR3" s="135">
        <v>0.04</v>
      </c>
      <c r="CS3" s="135">
        <v>0.0</v>
      </c>
      <c r="CT3" s="135">
        <v>0.0</v>
      </c>
      <c r="CU3" s="135">
        <v>0.0</v>
      </c>
      <c r="CV3" s="135">
        <v>0.0</v>
      </c>
      <c r="CW3" s="135">
        <v>3.53</v>
      </c>
      <c r="CX3" s="135">
        <v>0.0</v>
      </c>
      <c r="CY3" s="135">
        <v>0.0</v>
      </c>
      <c r="CZ3" s="135">
        <v>0.15</v>
      </c>
      <c r="DA3" s="135">
        <v>0.0</v>
      </c>
      <c r="DB3" s="135">
        <v>0.15</v>
      </c>
      <c r="DC3" s="135">
        <v>0.15</v>
      </c>
      <c r="DD3" s="135">
        <v>0.0</v>
      </c>
      <c r="DE3" s="135">
        <v>0.15</v>
      </c>
      <c r="DF3" s="135">
        <v>0.0</v>
      </c>
      <c r="DG3" s="135">
        <v>0.0</v>
      </c>
      <c r="DH3" s="135">
        <v>0.0</v>
      </c>
      <c r="DI3" s="135">
        <v>0.0</v>
      </c>
      <c r="DJ3" s="135">
        <v>0.0</v>
      </c>
      <c r="DK3" s="135">
        <v>0.0</v>
      </c>
      <c r="DL3" s="135">
        <v>0.0</v>
      </c>
      <c r="DM3" s="135">
        <v>0.0</v>
      </c>
      <c r="DN3" s="135">
        <v>0.0</v>
      </c>
    </row>
    <row r="4">
      <c r="A4" s="209">
        <v>46255.0</v>
      </c>
      <c r="B4" s="210" t="s">
        <v>4</v>
      </c>
      <c r="C4" s="210" t="s">
        <v>143</v>
      </c>
      <c r="D4" s="210">
        <v>427.0</v>
      </c>
      <c r="E4" s="210">
        <v>15.86</v>
      </c>
      <c r="F4" s="210">
        <v>0.0</v>
      </c>
      <c r="G4" s="210">
        <v>0.0</v>
      </c>
      <c r="H4" s="210">
        <v>0.0</v>
      </c>
      <c r="I4" s="210"/>
      <c r="J4" s="210">
        <v>15.15</v>
      </c>
      <c r="K4" s="210">
        <v>14.05</v>
      </c>
      <c r="L4" s="210">
        <v>13.26</v>
      </c>
      <c r="M4" s="210">
        <v>0.9435</v>
      </c>
      <c r="N4" s="210">
        <v>0.0618</v>
      </c>
      <c r="O4" s="210">
        <v>0.0478</v>
      </c>
      <c r="P4" s="210">
        <v>1.0599</v>
      </c>
      <c r="Q4" s="210">
        <v>48.84</v>
      </c>
      <c r="R4" s="210">
        <v>34.54</v>
      </c>
      <c r="S4" s="210">
        <v>14.3</v>
      </c>
      <c r="T4" s="210">
        <v>0.0</v>
      </c>
      <c r="U4" s="210">
        <v>48.84</v>
      </c>
      <c r="V4" s="210">
        <v>26.93</v>
      </c>
      <c r="W4" s="210">
        <v>1.9167</v>
      </c>
      <c r="X4" s="210">
        <v>0.0</v>
      </c>
      <c r="Y4" s="210">
        <v>239.0</v>
      </c>
      <c r="Z4" s="210">
        <v>255.0</v>
      </c>
      <c r="AA4" s="210">
        <v>278.0</v>
      </c>
      <c r="AB4" s="210"/>
      <c r="AC4" s="210"/>
      <c r="AD4" s="210">
        <v>11.99</v>
      </c>
      <c r="AE4" s="210">
        <v>10.0</v>
      </c>
      <c r="AF4" s="210">
        <v>11.0</v>
      </c>
      <c r="AG4" s="210">
        <v>14.0</v>
      </c>
      <c r="AH4" s="210">
        <v>17.0</v>
      </c>
      <c r="AI4" s="210">
        <v>96.72</v>
      </c>
      <c r="AJ4" s="210">
        <v>40.52</v>
      </c>
      <c r="AK4" s="210">
        <v>0.0</v>
      </c>
      <c r="AL4" s="210">
        <v>0.6909</v>
      </c>
      <c r="AM4" s="211"/>
      <c r="AQ4" s="135">
        <v>3.452</v>
      </c>
      <c r="AR4" s="135">
        <v>0.2178</v>
      </c>
      <c r="AS4" s="135">
        <v>3.2342</v>
      </c>
      <c r="AT4" s="135">
        <v>3.5152</v>
      </c>
      <c r="AU4" s="135">
        <v>0.2502</v>
      </c>
      <c r="AV4" s="135">
        <v>427.0</v>
      </c>
      <c r="AW4" s="135">
        <v>0.0</v>
      </c>
      <c r="AX4" s="135">
        <v>48.82</v>
      </c>
      <c r="AY4" s="135">
        <v>0.0</v>
      </c>
      <c r="AZ4" s="135">
        <v>0.02</v>
      </c>
      <c r="BA4" s="135">
        <v>0.0</v>
      </c>
      <c r="BB4" s="135">
        <v>0.0</v>
      </c>
      <c r="BC4" s="135">
        <v>19.0</v>
      </c>
      <c r="BD4" s="135">
        <v>280.0</v>
      </c>
      <c r="BE4" s="135">
        <v>3.4473</v>
      </c>
      <c r="BF4" s="135">
        <v>0.2178</v>
      </c>
      <c r="BG4" s="135">
        <v>3.2295</v>
      </c>
      <c r="BH4" s="135">
        <v>3.5035</v>
      </c>
      <c r="BI4" s="135">
        <v>0.2493</v>
      </c>
      <c r="BJ4" s="135">
        <v>0.0047</v>
      </c>
      <c r="BK4" s="135">
        <v>0.0</v>
      </c>
      <c r="BL4" s="135">
        <v>0.0047</v>
      </c>
      <c r="BM4" s="135">
        <v>0.0117</v>
      </c>
      <c r="BN4" s="135">
        <v>8.0E-4</v>
      </c>
      <c r="BO4" s="135">
        <v>0.9789</v>
      </c>
      <c r="BP4" s="135">
        <v>0.0632</v>
      </c>
      <c r="BQ4" s="135">
        <v>0.9157</v>
      </c>
      <c r="BR4" s="135">
        <v>1.5035</v>
      </c>
      <c r="BS4" s="135">
        <v>2.007</v>
      </c>
      <c r="BT4" s="135">
        <v>0.0141</v>
      </c>
      <c r="BU4" s="135">
        <v>1.993</v>
      </c>
      <c r="BV4" s="135">
        <v>1.0562</v>
      </c>
      <c r="BW4" s="135">
        <v>0.4614</v>
      </c>
      <c r="BX4" s="135">
        <v>0.1405</v>
      </c>
      <c r="BY4" s="135">
        <v>0.3208</v>
      </c>
      <c r="BZ4" s="135">
        <v>0.9438</v>
      </c>
      <c r="CA4" s="135">
        <v>0.0</v>
      </c>
      <c r="CB4" s="135">
        <v>0.0</v>
      </c>
      <c r="CC4" s="135">
        <v>0.0</v>
      </c>
      <c r="CD4" s="135">
        <v>0.0023</v>
      </c>
      <c r="CE4" s="135">
        <v>0.0</v>
      </c>
      <c r="CF4" s="135">
        <v>0.0</v>
      </c>
      <c r="CG4" s="135">
        <v>0.0</v>
      </c>
      <c r="CH4" s="135">
        <v>0.0023</v>
      </c>
      <c r="CI4" s="135">
        <v>0.0047</v>
      </c>
      <c r="CJ4" s="135">
        <v>0.0</v>
      </c>
      <c r="CK4" s="135">
        <v>0.0047</v>
      </c>
      <c r="CL4" s="135">
        <v>0.007</v>
      </c>
      <c r="CM4" s="135">
        <v>0.2</v>
      </c>
      <c r="CN4" s="135">
        <v>0.23</v>
      </c>
      <c r="CO4" s="135">
        <v>85.0</v>
      </c>
      <c r="CP4" s="135">
        <v>0.11</v>
      </c>
      <c r="CQ4" s="135">
        <v>0.0</v>
      </c>
      <c r="CR4" s="135">
        <v>0.09</v>
      </c>
      <c r="CS4" s="135">
        <v>0.0</v>
      </c>
      <c r="CT4" s="135">
        <v>0.0</v>
      </c>
      <c r="CU4" s="135">
        <v>0.0</v>
      </c>
      <c r="CV4" s="135">
        <v>0.0</v>
      </c>
      <c r="CW4" s="135">
        <v>48.84</v>
      </c>
      <c r="CX4" s="135">
        <v>0.0</v>
      </c>
      <c r="CY4" s="135">
        <v>0.0</v>
      </c>
      <c r="CZ4" s="135">
        <v>1.02</v>
      </c>
      <c r="DA4" s="135">
        <v>0.0</v>
      </c>
      <c r="DB4" s="135">
        <v>1.02</v>
      </c>
      <c r="DC4" s="135">
        <v>1.02</v>
      </c>
      <c r="DD4" s="135">
        <v>0.0</v>
      </c>
      <c r="DE4" s="135">
        <v>1.02</v>
      </c>
      <c r="DF4" s="135">
        <v>0.0</v>
      </c>
      <c r="DG4" s="135">
        <v>0.0</v>
      </c>
      <c r="DH4" s="135">
        <v>0.0</v>
      </c>
      <c r="DI4" s="135">
        <v>0.0</v>
      </c>
      <c r="DJ4" s="135">
        <v>0.0</v>
      </c>
      <c r="DK4" s="135">
        <v>0.0</v>
      </c>
      <c r="DL4" s="135">
        <v>0.0</v>
      </c>
      <c r="DM4" s="135">
        <v>0.0</v>
      </c>
      <c r="DN4" s="135">
        <v>0.0</v>
      </c>
    </row>
    <row r="5">
      <c r="A5" s="209">
        <v>46255.0</v>
      </c>
      <c r="B5" s="210" t="s">
        <v>4</v>
      </c>
      <c r="C5" s="210" t="s">
        <v>144</v>
      </c>
      <c r="D5" s="210">
        <v>277.0</v>
      </c>
      <c r="E5" s="210">
        <v>10.29</v>
      </c>
      <c r="F5" s="210">
        <v>0.0</v>
      </c>
      <c r="G5" s="210">
        <v>0.0</v>
      </c>
      <c r="H5" s="210">
        <v>0.0</v>
      </c>
      <c r="I5" s="210"/>
      <c r="J5" s="210">
        <v>32.89</v>
      </c>
      <c r="K5" s="210">
        <v>29.07</v>
      </c>
      <c r="L5" s="210">
        <v>27.3</v>
      </c>
      <c r="M5" s="210">
        <v>0.9389</v>
      </c>
      <c r="N5" s="210">
        <v>0.0746</v>
      </c>
      <c r="O5" s="210">
        <v>0.0539</v>
      </c>
      <c r="P5" s="210">
        <v>1.0651</v>
      </c>
      <c r="Q5" s="210">
        <v>114.12</v>
      </c>
      <c r="R5" s="210">
        <v>78.62</v>
      </c>
      <c r="S5" s="210">
        <v>35.51</v>
      </c>
      <c r="T5" s="210">
        <v>0.0</v>
      </c>
      <c r="U5" s="210">
        <v>114.12</v>
      </c>
      <c r="V5" s="210">
        <v>83.03</v>
      </c>
      <c r="W5" s="210">
        <v>2.8561</v>
      </c>
      <c r="X5" s="210">
        <v>0.0</v>
      </c>
      <c r="Y5" s="210">
        <v>293.0</v>
      </c>
      <c r="Z5" s="210">
        <v>325.0</v>
      </c>
      <c r="AA5" s="210">
        <v>375.0</v>
      </c>
      <c r="AB5" s="210"/>
      <c r="AC5" s="210"/>
      <c r="AD5" s="210">
        <v>23.35</v>
      </c>
      <c r="AE5" s="210">
        <v>19.0</v>
      </c>
      <c r="AF5" s="210">
        <v>23.0</v>
      </c>
      <c r="AG5" s="210">
        <v>29.0</v>
      </c>
      <c r="AH5" s="210">
        <v>33.0</v>
      </c>
      <c r="AI5" s="210">
        <v>96.75</v>
      </c>
      <c r="AJ5" s="210">
        <v>42.96</v>
      </c>
      <c r="AK5" s="210">
        <v>0.0</v>
      </c>
      <c r="AL5" s="210">
        <v>0.6029</v>
      </c>
      <c r="AM5" s="211"/>
      <c r="AQ5" s="135">
        <v>8.1011</v>
      </c>
      <c r="AR5" s="135">
        <v>0.5957</v>
      </c>
      <c r="AS5" s="135">
        <v>7.5054</v>
      </c>
      <c r="AT5" s="135">
        <v>4.4368</v>
      </c>
      <c r="AU5" s="135">
        <v>0.1526</v>
      </c>
      <c r="AV5" s="135">
        <v>277.0</v>
      </c>
      <c r="AW5" s="135">
        <v>0.0</v>
      </c>
      <c r="AX5" s="135">
        <v>112.74</v>
      </c>
      <c r="AY5" s="135">
        <v>0.7</v>
      </c>
      <c r="AZ5" s="135">
        <v>0.56</v>
      </c>
      <c r="BA5" s="135">
        <v>0.0</v>
      </c>
      <c r="BB5" s="135">
        <v>0.12</v>
      </c>
      <c r="BC5" s="135">
        <v>38.0</v>
      </c>
      <c r="BD5" s="135">
        <v>395.0</v>
      </c>
      <c r="BE5" s="135">
        <v>7.8339</v>
      </c>
      <c r="BF5" s="135">
        <v>0.574</v>
      </c>
      <c r="BG5" s="135">
        <v>7.2599</v>
      </c>
      <c r="BH5" s="135">
        <v>3.4585</v>
      </c>
      <c r="BI5" s="135">
        <v>0.119</v>
      </c>
      <c r="BJ5" s="135">
        <v>0.2671</v>
      </c>
      <c r="BK5" s="135">
        <v>0.0217</v>
      </c>
      <c r="BL5" s="135">
        <v>0.2455</v>
      </c>
      <c r="BM5" s="135">
        <v>0.9783</v>
      </c>
      <c r="BN5" s="135">
        <v>0.0337</v>
      </c>
      <c r="BO5" s="135">
        <v>2.1697</v>
      </c>
      <c r="BP5" s="135">
        <v>0.1841</v>
      </c>
      <c r="BQ5" s="135">
        <v>1.9856</v>
      </c>
      <c r="BR5" s="135">
        <v>1.4982</v>
      </c>
      <c r="BS5" s="135">
        <v>3.9639</v>
      </c>
      <c r="BT5" s="135">
        <v>0.1733</v>
      </c>
      <c r="BU5" s="135">
        <v>3.7906</v>
      </c>
      <c r="BV5" s="135">
        <v>1.083</v>
      </c>
      <c r="BW5" s="135">
        <v>1.7004</v>
      </c>
      <c r="BX5" s="135">
        <v>0.2166</v>
      </c>
      <c r="BY5" s="135">
        <v>1.4838</v>
      </c>
      <c r="BZ5" s="135">
        <v>0.8773</v>
      </c>
      <c r="CA5" s="135">
        <v>0.0036</v>
      </c>
      <c r="CB5" s="135">
        <v>0.0</v>
      </c>
      <c r="CC5" s="135">
        <v>0.0036</v>
      </c>
      <c r="CD5" s="135">
        <v>0.2996</v>
      </c>
      <c r="CE5" s="135">
        <v>0.2455</v>
      </c>
      <c r="CF5" s="135">
        <v>0.0108</v>
      </c>
      <c r="CG5" s="135">
        <v>0.2347</v>
      </c>
      <c r="CH5" s="135">
        <v>0.296</v>
      </c>
      <c r="CI5" s="135">
        <v>0.0181</v>
      </c>
      <c r="CJ5" s="135">
        <v>0.0108</v>
      </c>
      <c r="CK5" s="135">
        <v>0.0072</v>
      </c>
      <c r="CL5" s="135">
        <v>0.3827</v>
      </c>
      <c r="CM5" s="135">
        <v>37.74</v>
      </c>
      <c r="CN5" s="135">
        <v>52.35</v>
      </c>
      <c r="CO5" s="135">
        <v>72.1</v>
      </c>
      <c r="CP5" s="135">
        <v>34.71</v>
      </c>
      <c r="CQ5" s="135">
        <v>0.0</v>
      </c>
      <c r="CR5" s="135">
        <v>3.03</v>
      </c>
      <c r="CS5" s="135">
        <v>0.0</v>
      </c>
      <c r="CT5" s="135">
        <v>0.0</v>
      </c>
      <c r="CU5" s="135">
        <v>0.0</v>
      </c>
      <c r="CV5" s="135">
        <v>0.0</v>
      </c>
      <c r="CW5" s="135">
        <v>114.12</v>
      </c>
      <c r="CX5" s="135">
        <v>0.0</v>
      </c>
      <c r="CY5" s="135">
        <v>0.0</v>
      </c>
      <c r="CZ5" s="135">
        <v>63.41</v>
      </c>
      <c r="DA5" s="135">
        <v>0.0</v>
      </c>
      <c r="DB5" s="135">
        <v>63.41</v>
      </c>
      <c r="DC5" s="135">
        <v>61.84</v>
      </c>
      <c r="DD5" s="135">
        <v>0.0</v>
      </c>
      <c r="DE5" s="135">
        <v>61.84</v>
      </c>
      <c r="DF5" s="135">
        <v>0.76</v>
      </c>
      <c r="DG5" s="135">
        <v>0.0</v>
      </c>
      <c r="DH5" s="135">
        <v>0.76</v>
      </c>
      <c r="DI5" s="135">
        <v>0.81</v>
      </c>
      <c r="DJ5" s="135">
        <v>0.0</v>
      </c>
      <c r="DK5" s="135">
        <v>0.81</v>
      </c>
      <c r="DL5" s="135">
        <v>0.0</v>
      </c>
      <c r="DM5" s="135">
        <v>0.0</v>
      </c>
      <c r="DN5" s="135">
        <v>0.0</v>
      </c>
    </row>
    <row r="6">
      <c r="A6" s="209">
        <v>46255.0</v>
      </c>
      <c r="B6" s="210" t="s">
        <v>4</v>
      </c>
      <c r="C6" s="210" t="s">
        <v>145</v>
      </c>
      <c r="D6" s="210">
        <v>164.0</v>
      </c>
      <c r="E6" s="210">
        <v>6.09</v>
      </c>
      <c r="F6" s="210">
        <v>7.81</v>
      </c>
      <c r="G6" s="210">
        <v>0.0476</v>
      </c>
      <c r="H6" s="210">
        <v>1.22</v>
      </c>
      <c r="I6" s="210">
        <v>3.905</v>
      </c>
      <c r="J6" s="210">
        <v>82.02</v>
      </c>
      <c r="K6" s="210">
        <v>64.34</v>
      </c>
      <c r="L6" s="210">
        <v>57.82</v>
      </c>
      <c r="M6" s="210">
        <v>0.8988</v>
      </c>
      <c r="N6" s="210">
        <v>0.1388</v>
      </c>
      <c r="O6" s="210">
        <v>0.0968</v>
      </c>
      <c r="P6" s="210">
        <v>1.1126</v>
      </c>
      <c r="Q6" s="210">
        <v>318.7</v>
      </c>
      <c r="R6" s="210">
        <v>221.75</v>
      </c>
      <c r="S6" s="210">
        <v>96.95</v>
      </c>
      <c r="T6" s="210">
        <v>3.66</v>
      </c>
      <c r="U6" s="210">
        <v>315.04</v>
      </c>
      <c r="V6" s="210">
        <v>297.56</v>
      </c>
      <c r="W6" s="210">
        <v>4.6252</v>
      </c>
      <c r="X6" s="210">
        <v>1.15</v>
      </c>
      <c r="Y6" s="210">
        <v>379.0</v>
      </c>
      <c r="Z6" s="210">
        <v>440.0</v>
      </c>
      <c r="AA6" s="210">
        <v>513.0</v>
      </c>
      <c r="AB6" s="210"/>
      <c r="AC6" s="210"/>
      <c r="AD6" s="210">
        <v>41.51</v>
      </c>
      <c r="AE6" s="210">
        <v>29.0</v>
      </c>
      <c r="AF6" s="210">
        <v>42.0</v>
      </c>
      <c r="AG6" s="210">
        <v>52.0</v>
      </c>
      <c r="AH6" s="210">
        <v>62.0</v>
      </c>
      <c r="AI6" s="210">
        <v>79.27</v>
      </c>
      <c r="AJ6" s="210">
        <v>11.59</v>
      </c>
      <c r="AK6" s="210">
        <v>0.0</v>
      </c>
      <c r="AL6" s="210">
        <v>0.372</v>
      </c>
      <c r="AM6" s="211"/>
      <c r="AQ6" s="135">
        <v>21.2683</v>
      </c>
      <c r="AR6" s="135">
        <v>0.5122</v>
      </c>
      <c r="AS6" s="135">
        <v>20.7561</v>
      </c>
      <c r="AT6" s="135">
        <v>12.7378</v>
      </c>
      <c r="AU6" s="135">
        <v>0.198</v>
      </c>
      <c r="AV6" s="135">
        <v>164.0</v>
      </c>
      <c r="AW6" s="135">
        <v>0.0</v>
      </c>
      <c r="AX6" s="135">
        <v>283.63</v>
      </c>
      <c r="AY6" s="135">
        <v>24.33</v>
      </c>
      <c r="AZ6" s="135">
        <v>0.82</v>
      </c>
      <c r="BA6" s="135">
        <v>3.66</v>
      </c>
      <c r="BB6" s="135">
        <v>6.26</v>
      </c>
      <c r="BC6" s="135">
        <v>82.0</v>
      </c>
      <c r="BD6" s="135">
        <v>705.0</v>
      </c>
      <c r="BE6" s="135">
        <v>16.2805</v>
      </c>
      <c r="BF6" s="135">
        <v>0.4573</v>
      </c>
      <c r="BG6" s="135">
        <v>15.8232</v>
      </c>
      <c r="BH6" s="135">
        <v>5.5183</v>
      </c>
      <c r="BI6" s="135">
        <v>0.0858</v>
      </c>
      <c r="BJ6" s="135">
        <v>4.9878</v>
      </c>
      <c r="BK6" s="135">
        <v>0.0549</v>
      </c>
      <c r="BL6" s="135">
        <v>4.9329</v>
      </c>
      <c r="BM6" s="135">
        <v>7.2195</v>
      </c>
      <c r="BN6" s="135">
        <v>0.1122</v>
      </c>
      <c r="BO6" s="135">
        <v>6.5488</v>
      </c>
      <c r="BP6" s="135">
        <v>0.0976</v>
      </c>
      <c r="BQ6" s="135">
        <v>6.4512</v>
      </c>
      <c r="BR6" s="135">
        <v>2.3476</v>
      </c>
      <c r="BS6" s="135">
        <v>6.5976</v>
      </c>
      <c r="BT6" s="135">
        <v>0.1524</v>
      </c>
      <c r="BU6" s="135">
        <v>6.4451</v>
      </c>
      <c r="BV6" s="135">
        <v>1.8598</v>
      </c>
      <c r="BW6" s="135">
        <v>3.1341</v>
      </c>
      <c r="BX6" s="135">
        <v>0.2073</v>
      </c>
      <c r="BY6" s="135">
        <v>2.9268</v>
      </c>
      <c r="BZ6" s="135">
        <v>1.311</v>
      </c>
      <c r="CA6" s="135">
        <v>0.2073</v>
      </c>
      <c r="CB6" s="135">
        <v>0.0061</v>
      </c>
      <c r="CC6" s="135">
        <v>0.2012</v>
      </c>
      <c r="CD6" s="135">
        <v>2.1037</v>
      </c>
      <c r="CE6" s="135">
        <v>2.3171</v>
      </c>
      <c r="CF6" s="135">
        <v>0.0244</v>
      </c>
      <c r="CG6" s="135">
        <v>2.2927</v>
      </c>
      <c r="CH6" s="135">
        <v>2.189</v>
      </c>
      <c r="CI6" s="135">
        <v>2.4634</v>
      </c>
      <c r="CJ6" s="135">
        <v>0.0244</v>
      </c>
      <c r="CK6" s="135">
        <v>2.439</v>
      </c>
      <c r="CL6" s="135">
        <v>2.9268</v>
      </c>
      <c r="CM6" s="135">
        <v>390.55</v>
      </c>
      <c r="CN6" s="135">
        <v>96.34</v>
      </c>
      <c r="CO6" s="135">
        <v>405.38</v>
      </c>
      <c r="CP6" s="135">
        <v>357.87</v>
      </c>
      <c r="CQ6" s="135">
        <v>0.0</v>
      </c>
      <c r="CR6" s="135">
        <v>30.24</v>
      </c>
      <c r="CS6" s="135">
        <v>2.44</v>
      </c>
      <c r="CT6" s="135">
        <v>0.0</v>
      </c>
      <c r="CU6" s="135">
        <v>0.0</v>
      </c>
      <c r="CV6" s="135">
        <v>0.0</v>
      </c>
      <c r="CW6" s="135">
        <v>318.7</v>
      </c>
      <c r="CX6" s="135">
        <v>0.0</v>
      </c>
      <c r="CY6" s="135">
        <v>0.0</v>
      </c>
      <c r="CZ6" s="135">
        <v>270.67</v>
      </c>
      <c r="DA6" s="135">
        <v>0.0</v>
      </c>
      <c r="DB6" s="135">
        <v>270.67</v>
      </c>
      <c r="DC6" s="135">
        <v>256.55</v>
      </c>
      <c r="DD6" s="135">
        <v>0.0</v>
      </c>
      <c r="DE6" s="135">
        <v>256.55</v>
      </c>
      <c r="DF6" s="135">
        <v>6.4</v>
      </c>
      <c r="DG6" s="135">
        <v>0.0</v>
      </c>
      <c r="DH6" s="135">
        <v>6.4</v>
      </c>
      <c r="DI6" s="135">
        <v>7.71</v>
      </c>
      <c r="DJ6" s="135">
        <v>0.0</v>
      </c>
      <c r="DK6" s="135">
        <v>7.71</v>
      </c>
      <c r="DL6" s="135">
        <v>0.0</v>
      </c>
      <c r="DM6" s="135">
        <v>0.0</v>
      </c>
      <c r="DN6" s="135">
        <v>0.0</v>
      </c>
    </row>
    <row r="7">
      <c r="A7" s="209">
        <v>46255.0</v>
      </c>
      <c r="B7" s="210" t="s">
        <v>4</v>
      </c>
      <c r="C7" s="210" t="s">
        <v>146</v>
      </c>
      <c r="D7" s="210">
        <v>43.0</v>
      </c>
      <c r="E7" s="210">
        <v>1.6</v>
      </c>
      <c r="F7" s="210">
        <v>53.25</v>
      </c>
      <c r="G7" s="210">
        <v>1.2384</v>
      </c>
      <c r="H7" s="210">
        <v>6.98</v>
      </c>
      <c r="I7" s="210">
        <v>17.75</v>
      </c>
      <c r="J7" s="210">
        <v>219.42</v>
      </c>
      <c r="K7" s="210">
        <v>162.0</v>
      </c>
      <c r="L7" s="210">
        <v>143.05</v>
      </c>
      <c r="M7" s="210">
        <v>0.883</v>
      </c>
      <c r="N7" s="210">
        <v>0.1588</v>
      </c>
      <c r="O7" s="210">
        <v>0.1146</v>
      </c>
      <c r="P7" s="210">
        <v>1.1325</v>
      </c>
      <c r="Q7" s="210">
        <v>822.47</v>
      </c>
      <c r="R7" s="210">
        <v>567.0</v>
      </c>
      <c r="S7" s="210">
        <v>255.47</v>
      </c>
      <c r="T7" s="210">
        <v>62.79</v>
      </c>
      <c r="U7" s="210">
        <v>759.67</v>
      </c>
      <c r="V7" s="210">
        <v>668.6</v>
      </c>
      <c r="W7" s="210">
        <v>4.1272</v>
      </c>
      <c r="X7" s="210">
        <v>7.63</v>
      </c>
      <c r="Y7" s="210">
        <v>538.0</v>
      </c>
      <c r="Z7" s="210">
        <v>717.0</v>
      </c>
      <c r="AA7" s="210">
        <v>1085.0</v>
      </c>
      <c r="AB7" s="210"/>
      <c r="AC7" s="210"/>
      <c r="AD7" s="210">
        <v>75.47</v>
      </c>
      <c r="AE7" s="210">
        <v>45.0</v>
      </c>
      <c r="AF7" s="210">
        <v>64.0</v>
      </c>
      <c r="AG7" s="210">
        <v>101.0</v>
      </c>
      <c r="AH7" s="210">
        <v>121.0</v>
      </c>
      <c r="AI7" s="210">
        <v>34.88</v>
      </c>
      <c r="AJ7" s="210">
        <v>4.65</v>
      </c>
      <c r="AK7" s="210">
        <v>2.33</v>
      </c>
      <c r="AL7" s="210">
        <v>0.186</v>
      </c>
      <c r="AM7" s="211"/>
      <c r="AQ7" s="135">
        <v>50.9767</v>
      </c>
      <c r="AR7" s="135">
        <v>1.3953</v>
      </c>
      <c r="AS7" s="135">
        <v>49.5814</v>
      </c>
      <c r="AT7" s="135">
        <v>26.186</v>
      </c>
      <c r="AU7" s="135">
        <v>0.1616</v>
      </c>
      <c r="AV7" s="135">
        <v>43.0</v>
      </c>
      <c r="AW7" s="135">
        <v>0.0</v>
      </c>
      <c r="AX7" s="135">
        <v>628.02</v>
      </c>
      <c r="AY7" s="135">
        <v>85.12</v>
      </c>
      <c r="AZ7" s="135">
        <v>6.63</v>
      </c>
      <c r="BA7" s="135">
        <v>62.79</v>
      </c>
      <c r="BB7" s="135">
        <v>39.91</v>
      </c>
      <c r="BC7" s="135">
        <v>289.0</v>
      </c>
      <c r="BD7" s="135">
        <v>1375.0</v>
      </c>
      <c r="BE7" s="135">
        <v>31.907</v>
      </c>
      <c r="BF7" s="135">
        <v>0.6977</v>
      </c>
      <c r="BG7" s="135">
        <v>31.2093</v>
      </c>
      <c r="BH7" s="135">
        <v>12.0</v>
      </c>
      <c r="BI7" s="135">
        <v>0.0741</v>
      </c>
      <c r="BJ7" s="135">
        <v>19.0698</v>
      </c>
      <c r="BK7" s="135">
        <v>0.6977</v>
      </c>
      <c r="BL7" s="135">
        <v>18.3721</v>
      </c>
      <c r="BM7" s="135">
        <v>14.186</v>
      </c>
      <c r="BN7" s="135">
        <v>0.0876</v>
      </c>
      <c r="BO7" s="135">
        <v>11.9535</v>
      </c>
      <c r="BP7" s="135">
        <v>0.2326</v>
      </c>
      <c r="BQ7" s="135">
        <v>11.7209</v>
      </c>
      <c r="BR7" s="135">
        <v>4.3721</v>
      </c>
      <c r="BS7" s="135">
        <v>13.4419</v>
      </c>
      <c r="BT7" s="135">
        <v>0.2326</v>
      </c>
      <c r="BU7" s="135">
        <v>13.2093</v>
      </c>
      <c r="BV7" s="135">
        <v>4.7442</v>
      </c>
      <c r="BW7" s="135">
        <v>6.5116</v>
      </c>
      <c r="BX7" s="135">
        <v>0.2326</v>
      </c>
      <c r="BY7" s="135">
        <v>6.2791</v>
      </c>
      <c r="BZ7" s="135">
        <v>2.8837</v>
      </c>
      <c r="CA7" s="135">
        <v>3.0233</v>
      </c>
      <c r="CB7" s="135">
        <v>0.2326</v>
      </c>
      <c r="CC7" s="135">
        <v>2.7907</v>
      </c>
      <c r="CD7" s="135">
        <v>3.5349</v>
      </c>
      <c r="CE7" s="135">
        <v>7.9535</v>
      </c>
      <c r="CF7" s="135">
        <v>0.2326</v>
      </c>
      <c r="CG7" s="135">
        <v>7.7209</v>
      </c>
      <c r="CH7" s="135">
        <v>5.093</v>
      </c>
      <c r="CI7" s="135">
        <v>8.093</v>
      </c>
      <c r="CJ7" s="135">
        <v>0.2326</v>
      </c>
      <c r="CK7" s="135">
        <v>7.8605</v>
      </c>
      <c r="CL7" s="135">
        <v>5.5581</v>
      </c>
      <c r="CM7" s="135">
        <v>1364.53</v>
      </c>
      <c r="CN7" s="135">
        <v>100.0</v>
      </c>
      <c r="CO7" s="135">
        <v>1364.53</v>
      </c>
      <c r="CP7" s="135">
        <v>1323.6</v>
      </c>
      <c r="CQ7" s="135">
        <v>0.0</v>
      </c>
      <c r="CR7" s="135">
        <v>36.28</v>
      </c>
      <c r="CS7" s="135">
        <v>4.65</v>
      </c>
      <c r="CT7" s="135">
        <v>0.0</v>
      </c>
      <c r="CU7" s="135">
        <v>0.0</v>
      </c>
      <c r="CV7" s="135">
        <v>0.0</v>
      </c>
      <c r="CW7" s="135">
        <v>822.47</v>
      </c>
      <c r="CX7" s="135">
        <v>0.0</v>
      </c>
      <c r="CY7" s="135">
        <v>0.0</v>
      </c>
      <c r="CZ7" s="135">
        <v>637.79</v>
      </c>
      <c r="DA7" s="135">
        <v>5.58</v>
      </c>
      <c r="DB7" s="135">
        <v>632.21</v>
      </c>
      <c r="DC7" s="135">
        <v>612.56</v>
      </c>
      <c r="DD7" s="135">
        <v>5.58</v>
      </c>
      <c r="DE7" s="135">
        <v>606.98</v>
      </c>
      <c r="DF7" s="135">
        <v>15.23</v>
      </c>
      <c r="DG7" s="135">
        <v>0.0</v>
      </c>
      <c r="DH7" s="135">
        <v>15.23</v>
      </c>
      <c r="DI7" s="135">
        <v>10.0</v>
      </c>
      <c r="DJ7" s="135">
        <v>0.0</v>
      </c>
      <c r="DK7" s="135">
        <v>10.0</v>
      </c>
      <c r="DL7" s="135">
        <v>0.0</v>
      </c>
      <c r="DM7" s="135">
        <v>0.0</v>
      </c>
      <c r="DN7" s="135">
        <v>0.0</v>
      </c>
    </row>
    <row r="8">
      <c r="A8" s="209">
        <v>46255.0</v>
      </c>
      <c r="B8" s="210" t="s">
        <v>5</v>
      </c>
      <c r="C8" s="210" t="s">
        <v>398</v>
      </c>
      <c r="D8" s="210">
        <v>698.0</v>
      </c>
      <c r="E8" s="210">
        <v>25.53</v>
      </c>
      <c r="F8" s="210">
        <v>0.0</v>
      </c>
      <c r="G8" s="210">
        <v>0.0</v>
      </c>
      <c r="H8" s="210">
        <v>0.0</v>
      </c>
      <c r="I8" s="210"/>
      <c r="J8" s="210">
        <v>1.46</v>
      </c>
      <c r="K8" s="210">
        <v>0.03</v>
      </c>
      <c r="L8" s="210">
        <v>0.0</v>
      </c>
      <c r="M8" s="210">
        <v>0.0</v>
      </c>
      <c r="N8" s="210">
        <v>1.0</v>
      </c>
      <c r="O8" s="210">
        <v>1.0</v>
      </c>
      <c r="P8" s="210"/>
      <c r="Q8" s="210">
        <v>0.12</v>
      </c>
      <c r="R8" s="210">
        <v>0.12</v>
      </c>
      <c r="S8" s="210">
        <v>0.0</v>
      </c>
      <c r="T8" s="210">
        <v>0.0</v>
      </c>
      <c r="U8" s="210">
        <v>0.12</v>
      </c>
      <c r="V8" s="210">
        <v>0.0</v>
      </c>
      <c r="W8" s="210">
        <v>0.0</v>
      </c>
      <c r="X8" s="210">
        <v>0.0</v>
      </c>
      <c r="Y8" s="210">
        <v>200.0</v>
      </c>
      <c r="Z8" s="210">
        <v>200.0</v>
      </c>
      <c r="AA8" s="210">
        <v>200.0</v>
      </c>
      <c r="AB8" s="210"/>
      <c r="AC8" s="210"/>
      <c r="AD8" s="211"/>
      <c r="AE8" s="211"/>
      <c r="AF8" s="211"/>
      <c r="AG8" s="211"/>
      <c r="AH8" s="211"/>
      <c r="AI8" s="210">
        <v>0.0</v>
      </c>
      <c r="AJ8" s="210">
        <v>0.0</v>
      </c>
      <c r="AK8" s="210">
        <v>0.0</v>
      </c>
      <c r="AL8" s="210">
        <v>0.9226</v>
      </c>
      <c r="AM8" s="210">
        <v>0.0</v>
      </c>
      <c r="AN8" s="135">
        <v>0.0</v>
      </c>
      <c r="AO8" s="135">
        <v>0.0</v>
      </c>
      <c r="AP8" s="135">
        <v>0.0</v>
      </c>
      <c r="AQ8" s="135">
        <v>0.0086</v>
      </c>
      <c r="AR8" s="135">
        <v>0.0</v>
      </c>
      <c r="AS8" s="135">
        <v>0.0086</v>
      </c>
      <c r="AT8" s="135">
        <v>0.0</v>
      </c>
      <c r="AU8" s="135">
        <v>0.0</v>
      </c>
      <c r="AV8" s="135">
        <v>698.0</v>
      </c>
      <c r="AW8" s="135">
        <v>0.0</v>
      </c>
      <c r="AX8" s="135">
        <v>0.12</v>
      </c>
      <c r="AY8" s="135">
        <v>0.0</v>
      </c>
      <c r="AZ8" s="135">
        <v>0.0</v>
      </c>
      <c r="BA8" s="135">
        <v>0.0</v>
      </c>
      <c r="BB8" s="135">
        <v>0.0</v>
      </c>
      <c r="BD8" s="135">
        <v>200.0</v>
      </c>
      <c r="BE8" s="135">
        <v>0.0086</v>
      </c>
      <c r="BF8" s="135">
        <v>0.0</v>
      </c>
      <c r="BG8" s="135">
        <v>0.0086</v>
      </c>
      <c r="BH8" s="135">
        <v>0.0</v>
      </c>
      <c r="BI8" s="135">
        <v>0.0</v>
      </c>
      <c r="BJ8" s="135">
        <v>0.0</v>
      </c>
      <c r="BK8" s="135">
        <v>0.0</v>
      </c>
      <c r="BL8" s="135">
        <v>0.0</v>
      </c>
      <c r="BM8" s="135">
        <v>0.0</v>
      </c>
      <c r="BN8" s="135">
        <v>0.0</v>
      </c>
      <c r="BO8" s="135">
        <v>0.0</v>
      </c>
      <c r="BP8" s="135">
        <v>0.0</v>
      </c>
      <c r="BQ8" s="135">
        <v>0.0</v>
      </c>
      <c r="BR8" s="135">
        <v>0.0</v>
      </c>
      <c r="BS8" s="135">
        <v>0.0057</v>
      </c>
      <c r="BT8" s="135">
        <v>0.0</v>
      </c>
      <c r="BU8" s="135">
        <v>0.0057</v>
      </c>
      <c r="BV8" s="135">
        <v>0.0</v>
      </c>
      <c r="BW8" s="135">
        <v>0.0029</v>
      </c>
      <c r="BX8" s="135">
        <v>0.0</v>
      </c>
      <c r="BY8" s="135">
        <v>0.0029</v>
      </c>
      <c r="BZ8" s="135">
        <v>0.0</v>
      </c>
      <c r="CA8" s="135">
        <v>0.0</v>
      </c>
      <c r="CB8" s="135">
        <v>0.0</v>
      </c>
      <c r="CC8" s="135">
        <v>0.0</v>
      </c>
      <c r="CD8" s="135">
        <v>0.0</v>
      </c>
      <c r="CE8" s="135">
        <v>0.0</v>
      </c>
      <c r="CF8" s="135">
        <v>0.0</v>
      </c>
      <c r="CG8" s="135">
        <v>0.0</v>
      </c>
      <c r="CH8" s="135">
        <v>0.0</v>
      </c>
      <c r="CI8" s="135">
        <v>0.0</v>
      </c>
      <c r="CJ8" s="135">
        <v>0.0</v>
      </c>
      <c r="CK8" s="135">
        <v>0.0</v>
      </c>
      <c r="CL8" s="135">
        <v>0.0</v>
      </c>
      <c r="CM8" s="135">
        <v>0.0</v>
      </c>
      <c r="CN8" s="135">
        <v>0.0</v>
      </c>
      <c r="CP8" s="135">
        <v>0.0</v>
      </c>
      <c r="CQ8" s="135">
        <v>0.0</v>
      </c>
      <c r="CR8" s="135">
        <v>0.0</v>
      </c>
      <c r="CS8" s="135">
        <v>0.0</v>
      </c>
      <c r="CT8" s="135">
        <v>0.0</v>
      </c>
      <c r="CU8" s="135">
        <v>1.0</v>
      </c>
      <c r="CV8" s="135">
        <v>0.0</v>
      </c>
      <c r="CW8" s="135">
        <v>0.12</v>
      </c>
      <c r="CX8" s="135">
        <v>0.0</v>
      </c>
      <c r="CY8" s="135">
        <v>0.0</v>
      </c>
      <c r="CZ8" s="135">
        <v>0.0</v>
      </c>
      <c r="DA8" s="135">
        <v>0.0</v>
      </c>
      <c r="DB8" s="135">
        <v>0.0</v>
      </c>
      <c r="DC8" s="135">
        <v>0.0</v>
      </c>
      <c r="DD8" s="135">
        <v>0.0</v>
      </c>
      <c r="DE8" s="135">
        <v>0.0</v>
      </c>
      <c r="DF8" s="135">
        <v>0.0</v>
      </c>
      <c r="DG8" s="135">
        <v>0.0</v>
      </c>
      <c r="DH8" s="135">
        <v>0.0</v>
      </c>
      <c r="DI8" s="135">
        <v>0.0</v>
      </c>
      <c r="DJ8" s="135">
        <v>0.0</v>
      </c>
      <c r="DK8" s="135">
        <v>0.0</v>
      </c>
      <c r="DL8" s="135">
        <v>0.0</v>
      </c>
      <c r="DM8" s="135">
        <v>0.0</v>
      </c>
      <c r="DN8" s="135">
        <v>0.0</v>
      </c>
    </row>
    <row r="9">
      <c r="A9" s="209">
        <v>46255.0</v>
      </c>
      <c r="B9" s="210" t="s">
        <v>5</v>
      </c>
      <c r="C9" s="210" t="s">
        <v>142</v>
      </c>
      <c r="D9" s="210">
        <v>1080.0</v>
      </c>
      <c r="E9" s="210">
        <v>39.5</v>
      </c>
      <c r="F9" s="210">
        <v>0.0</v>
      </c>
      <c r="G9" s="210">
        <v>0.0</v>
      </c>
      <c r="H9" s="210">
        <v>0.0</v>
      </c>
      <c r="I9" s="210"/>
      <c r="J9" s="210">
        <v>4.5</v>
      </c>
      <c r="K9" s="210">
        <v>3.94</v>
      </c>
      <c r="L9" s="210">
        <v>3.74</v>
      </c>
      <c r="M9" s="210">
        <v>0.9493</v>
      </c>
      <c r="N9" s="210">
        <v>0.0519</v>
      </c>
      <c r="O9" s="210">
        <v>0.03</v>
      </c>
      <c r="P9" s="210">
        <v>1.0534</v>
      </c>
      <c r="Q9" s="210">
        <v>2.46</v>
      </c>
      <c r="R9" s="210">
        <v>2.44</v>
      </c>
      <c r="S9" s="210">
        <v>0.02</v>
      </c>
      <c r="T9" s="210">
        <v>0.0</v>
      </c>
      <c r="U9" s="210">
        <v>2.46</v>
      </c>
      <c r="V9" s="210">
        <v>2.41</v>
      </c>
      <c r="W9" s="210">
        <v>0.6105</v>
      </c>
      <c r="X9" s="210">
        <v>0.0</v>
      </c>
      <c r="Y9" s="210">
        <v>200.0</v>
      </c>
      <c r="Z9" s="210">
        <v>200.0</v>
      </c>
      <c r="AA9" s="210">
        <v>210.0</v>
      </c>
      <c r="AB9" s="210"/>
      <c r="AC9" s="210"/>
      <c r="AD9" s="210">
        <v>3.66</v>
      </c>
      <c r="AE9" s="210">
        <v>2.0</v>
      </c>
      <c r="AF9" s="210">
        <v>3.0</v>
      </c>
      <c r="AG9" s="210">
        <v>5.0</v>
      </c>
      <c r="AH9" s="210">
        <v>7.0</v>
      </c>
      <c r="AI9" s="210">
        <v>77.13</v>
      </c>
      <c r="AJ9" s="210">
        <v>37.22</v>
      </c>
      <c r="AK9" s="210">
        <v>0.0</v>
      </c>
      <c r="AL9" s="210">
        <v>0.8509</v>
      </c>
      <c r="AM9" s="210">
        <v>0.0</v>
      </c>
      <c r="AN9" s="135">
        <v>0.0</v>
      </c>
      <c r="AO9" s="135">
        <v>0.0</v>
      </c>
      <c r="AP9" s="135">
        <v>0.0</v>
      </c>
      <c r="AQ9" s="135">
        <v>0.1759</v>
      </c>
      <c r="AR9" s="135">
        <v>0.0083</v>
      </c>
      <c r="AS9" s="135">
        <v>0.1676</v>
      </c>
      <c r="AT9" s="135">
        <v>0.3407</v>
      </c>
      <c r="AU9" s="135">
        <v>0.0864</v>
      </c>
      <c r="AV9" s="135">
        <v>1080.0</v>
      </c>
      <c r="AW9" s="135">
        <v>0.0</v>
      </c>
      <c r="AX9" s="135">
        <v>2.46</v>
      </c>
      <c r="AY9" s="135">
        <v>0.0</v>
      </c>
      <c r="AZ9" s="135">
        <v>0.0</v>
      </c>
      <c r="BA9" s="135">
        <v>0.0</v>
      </c>
      <c r="BB9" s="135">
        <v>0.0</v>
      </c>
      <c r="BC9" s="135">
        <v>9.0</v>
      </c>
      <c r="BD9" s="135">
        <v>230.0</v>
      </c>
      <c r="BE9" s="135">
        <v>0.175</v>
      </c>
      <c r="BF9" s="135">
        <v>0.0083</v>
      </c>
      <c r="BG9" s="135">
        <v>0.1667</v>
      </c>
      <c r="BH9" s="135">
        <v>0.3361</v>
      </c>
      <c r="BI9" s="135">
        <v>0.0852</v>
      </c>
      <c r="BJ9" s="135">
        <v>9.0E-4</v>
      </c>
      <c r="BK9" s="135">
        <v>0.0</v>
      </c>
      <c r="BL9" s="135">
        <v>9.0E-4</v>
      </c>
      <c r="BM9" s="135">
        <v>0.0046</v>
      </c>
      <c r="BN9" s="135">
        <v>0.0012</v>
      </c>
      <c r="BO9" s="135">
        <v>0.0028</v>
      </c>
      <c r="BP9" s="135">
        <v>0.0028</v>
      </c>
      <c r="BQ9" s="135">
        <v>0.0</v>
      </c>
      <c r="BR9" s="135">
        <v>0.1815</v>
      </c>
      <c r="BS9" s="135">
        <v>0.1694</v>
      </c>
      <c r="BT9" s="135">
        <v>0.0028</v>
      </c>
      <c r="BU9" s="135">
        <v>0.1667</v>
      </c>
      <c r="BV9" s="135">
        <v>0.0778</v>
      </c>
      <c r="BW9" s="135">
        <v>0.0028</v>
      </c>
      <c r="BX9" s="135">
        <v>0.0028</v>
      </c>
      <c r="BY9" s="135">
        <v>0.0</v>
      </c>
      <c r="BZ9" s="135">
        <v>0.0769</v>
      </c>
      <c r="CA9" s="135">
        <v>0.0</v>
      </c>
      <c r="CB9" s="135">
        <v>0.0</v>
      </c>
      <c r="CC9" s="135">
        <v>0.0</v>
      </c>
      <c r="CD9" s="135">
        <v>0.0019</v>
      </c>
      <c r="CE9" s="135">
        <v>0.0</v>
      </c>
      <c r="CF9" s="135">
        <v>0.0</v>
      </c>
      <c r="CG9" s="135">
        <v>0.0</v>
      </c>
      <c r="CH9" s="135">
        <v>9.0E-4</v>
      </c>
      <c r="CI9" s="135">
        <v>9.0E-4</v>
      </c>
      <c r="CJ9" s="135">
        <v>0.0</v>
      </c>
      <c r="CK9" s="135">
        <v>9.0E-4</v>
      </c>
      <c r="CL9" s="135">
        <v>0.0019</v>
      </c>
      <c r="CM9" s="135">
        <v>0.0</v>
      </c>
      <c r="CN9" s="135">
        <v>0.0</v>
      </c>
      <c r="CP9" s="135">
        <v>0.0</v>
      </c>
      <c r="CQ9" s="135">
        <v>0.0</v>
      </c>
      <c r="CR9" s="135">
        <v>0.0</v>
      </c>
      <c r="CS9" s="135">
        <v>0.0</v>
      </c>
      <c r="CT9" s="135">
        <v>0.0</v>
      </c>
      <c r="CU9" s="135">
        <v>7.0</v>
      </c>
      <c r="CV9" s="135">
        <v>0.0</v>
      </c>
      <c r="CW9" s="135">
        <v>2.46</v>
      </c>
      <c r="CX9" s="135">
        <v>0.0</v>
      </c>
      <c r="CY9" s="135">
        <v>0.0</v>
      </c>
      <c r="CZ9" s="135">
        <v>0.06</v>
      </c>
      <c r="DA9" s="135">
        <v>0.0</v>
      </c>
      <c r="DB9" s="135">
        <v>0.06</v>
      </c>
      <c r="DC9" s="135">
        <v>0.06</v>
      </c>
      <c r="DD9" s="135">
        <v>0.0</v>
      </c>
      <c r="DE9" s="135">
        <v>0.06</v>
      </c>
      <c r="DF9" s="135">
        <v>0.0</v>
      </c>
      <c r="DG9" s="135">
        <v>0.0</v>
      </c>
      <c r="DH9" s="135">
        <v>0.0</v>
      </c>
      <c r="DI9" s="135">
        <v>0.0</v>
      </c>
      <c r="DJ9" s="135">
        <v>0.0</v>
      </c>
      <c r="DK9" s="135">
        <v>0.0</v>
      </c>
      <c r="DL9" s="135">
        <v>0.0</v>
      </c>
      <c r="DM9" s="135">
        <v>0.0</v>
      </c>
      <c r="DN9" s="135">
        <v>0.0</v>
      </c>
    </row>
    <row r="10">
      <c r="A10" s="209">
        <v>46255.0</v>
      </c>
      <c r="B10" s="210" t="s">
        <v>5</v>
      </c>
      <c r="C10" s="210" t="s">
        <v>143</v>
      </c>
      <c r="D10" s="210">
        <v>450.0</v>
      </c>
      <c r="E10" s="210">
        <v>16.46</v>
      </c>
      <c r="F10" s="210">
        <v>0.0</v>
      </c>
      <c r="G10" s="210">
        <v>0.0</v>
      </c>
      <c r="H10" s="210">
        <v>0.0</v>
      </c>
      <c r="I10" s="210"/>
      <c r="J10" s="210">
        <v>15.51</v>
      </c>
      <c r="K10" s="210">
        <v>14.16</v>
      </c>
      <c r="L10" s="210">
        <v>13.44</v>
      </c>
      <c r="M10" s="210">
        <v>0.949</v>
      </c>
      <c r="N10" s="210">
        <v>0.0573</v>
      </c>
      <c r="O10" s="210">
        <v>0.043</v>
      </c>
      <c r="P10" s="210">
        <v>1.0537</v>
      </c>
      <c r="Q10" s="210">
        <v>34.78</v>
      </c>
      <c r="R10" s="210">
        <v>25.06</v>
      </c>
      <c r="S10" s="210">
        <v>9.72</v>
      </c>
      <c r="T10" s="210">
        <v>0.0</v>
      </c>
      <c r="U10" s="210">
        <v>34.78</v>
      </c>
      <c r="V10" s="210">
        <v>29.89</v>
      </c>
      <c r="W10" s="210">
        <v>2.1101</v>
      </c>
      <c r="X10" s="210">
        <v>0.0</v>
      </c>
      <c r="Y10" s="210">
        <v>228.0</v>
      </c>
      <c r="Z10" s="210">
        <v>240.0</v>
      </c>
      <c r="AA10" s="210">
        <v>263.0</v>
      </c>
      <c r="AB10" s="210"/>
      <c r="AC10" s="210"/>
      <c r="AD10" s="210">
        <v>12.28</v>
      </c>
      <c r="AE10" s="210">
        <v>10.0</v>
      </c>
      <c r="AF10" s="210">
        <v>12.0</v>
      </c>
      <c r="AG10" s="210">
        <v>15.0</v>
      </c>
      <c r="AH10" s="210">
        <v>17.0</v>
      </c>
      <c r="AI10" s="210">
        <v>96.89</v>
      </c>
      <c r="AJ10" s="210">
        <v>45.33</v>
      </c>
      <c r="AK10" s="210">
        <v>0.0</v>
      </c>
      <c r="AL10" s="210">
        <v>0.7089</v>
      </c>
      <c r="AM10" s="210">
        <v>0.0</v>
      </c>
      <c r="AN10" s="135">
        <v>0.0</v>
      </c>
      <c r="AO10" s="135">
        <v>0.0</v>
      </c>
      <c r="AP10" s="135">
        <v>0.0</v>
      </c>
      <c r="AQ10" s="135">
        <v>1.7822</v>
      </c>
      <c r="AR10" s="135">
        <v>0.34</v>
      </c>
      <c r="AS10" s="135">
        <v>1.4422</v>
      </c>
      <c r="AT10" s="135">
        <v>3.2844</v>
      </c>
      <c r="AU10" s="135">
        <v>0.2319</v>
      </c>
      <c r="AV10" s="135">
        <v>450.0</v>
      </c>
      <c r="AW10" s="135">
        <v>0.0</v>
      </c>
      <c r="AX10" s="135">
        <v>34.78</v>
      </c>
      <c r="AY10" s="135">
        <v>0.0</v>
      </c>
      <c r="AZ10" s="135">
        <v>0.0</v>
      </c>
      <c r="BA10" s="135">
        <v>0.0</v>
      </c>
      <c r="BB10" s="135">
        <v>0.0</v>
      </c>
      <c r="BC10" s="135">
        <v>19.0</v>
      </c>
      <c r="BD10" s="135">
        <v>265.0</v>
      </c>
      <c r="BE10" s="135">
        <v>1.7733</v>
      </c>
      <c r="BF10" s="135">
        <v>0.34</v>
      </c>
      <c r="BG10" s="135">
        <v>1.4333</v>
      </c>
      <c r="BH10" s="135">
        <v>3.2822</v>
      </c>
      <c r="BI10" s="135">
        <v>0.2317</v>
      </c>
      <c r="BJ10" s="135">
        <v>0.0089</v>
      </c>
      <c r="BK10" s="135">
        <v>0.0</v>
      </c>
      <c r="BL10" s="135">
        <v>0.0089</v>
      </c>
      <c r="BM10" s="135">
        <v>0.0022</v>
      </c>
      <c r="BN10" s="135">
        <v>2.0E-4</v>
      </c>
      <c r="BO10" s="135">
        <v>0.26</v>
      </c>
      <c r="BP10" s="135">
        <v>0.2533</v>
      </c>
      <c r="BQ10" s="135">
        <v>0.0067</v>
      </c>
      <c r="BR10" s="135">
        <v>1.4422</v>
      </c>
      <c r="BS10" s="135">
        <v>1.1311</v>
      </c>
      <c r="BT10" s="135">
        <v>0.02</v>
      </c>
      <c r="BU10" s="135">
        <v>1.1111</v>
      </c>
      <c r="BV10" s="135">
        <v>0.96</v>
      </c>
      <c r="BW10" s="135">
        <v>0.3822</v>
      </c>
      <c r="BX10" s="135">
        <v>0.0667</v>
      </c>
      <c r="BY10" s="135">
        <v>0.3156</v>
      </c>
      <c r="BZ10" s="135">
        <v>0.88</v>
      </c>
      <c r="CA10" s="135">
        <v>0.0</v>
      </c>
      <c r="CB10" s="135">
        <v>0.0</v>
      </c>
      <c r="CC10" s="135">
        <v>0.0</v>
      </c>
      <c r="CD10" s="135">
        <v>0.0</v>
      </c>
      <c r="CE10" s="135">
        <v>0.0</v>
      </c>
      <c r="CF10" s="135">
        <v>0.0</v>
      </c>
      <c r="CG10" s="135">
        <v>0.0</v>
      </c>
      <c r="CH10" s="135">
        <v>0.0022</v>
      </c>
      <c r="CI10" s="135">
        <v>0.0089</v>
      </c>
      <c r="CJ10" s="135">
        <v>0.0</v>
      </c>
      <c r="CK10" s="135">
        <v>0.0089</v>
      </c>
      <c r="CL10" s="135">
        <v>0.0</v>
      </c>
      <c r="CM10" s="135">
        <v>0.0</v>
      </c>
      <c r="CN10" s="135">
        <v>0.0</v>
      </c>
      <c r="CP10" s="135">
        <v>0.0</v>
      </c>
      <c r="CQ10" s="135">
        <v>0.0</v>
      </c>
      <c r="CR10" s="135">
        <v>0.0</v>
      </c>
      <c r="CS10" s="135">
        <v>0.0</v>
      </c>
      <c r="CT10" s="135">
        <v>0.0</v>
      </c>
      <c r="CU10" s="135">
        <v>11.0</v>
      </c>
      <c r="CV10" s="135">
        <v>0.0</v>
      </c>
      <c r="CW10" s="135">
        <v>34.78</v>
      </c>
      <c r="CX10" s="135">
        <v>0.0</v>
      </c>
      <c r="CY10" s="135">
        <v>0.0</v>
      </c>
      <c r="CZ10" s="135">
        <v>14.7</v>
      </c>
      <c r="DA10" s="135">
        <v>0.0</v>
      </c>
      <c r="DB10" s="135">
        <v>14.7</v>
      </c>
      <c r="DC10" s="135">
        <v>14.7</v>
      </c>
      <c r="DD10" s="135">
        <v>0.0</v>
      </c>
      <c r="DE10" s="135">
        <v>14.7</v>
      </c>
      <c r="DF10" s="135">
        <v>0.0</v>
      </c>
      <c r="DG10" s="135">
        <v>0.0</v>
      </c>
      <c r="DH10" s="135">
        <v>0.0</v>
      </c>
      <c r="DI10" s="135">
        <v>0.0</v>
      </c>
      <c r="DJ10" s="135">
        <v>0.0</v>
      </c>
      <c r="DK10" s="135">
        <v>0.0</v>
      </c>
      <c r="DL10" s="135">
        <v>0.0</v>
      </c>
      <c r="DM10" s="135">
        <v>0.0</v>
      </c>
      <c r="DN10" s="135">
        <v>0.0</v>
      </c>
    </row>
    <row r="11">
      <c r="A11" s="209">
        <v>46255.0</v>
      </c>
      <c r="B11" s="210" t="s">
        <v>5</v>
      </c>
      <c r="C11" s="210" t="s">
        <v>144</v>
      </c>
      <c r="D11" s="210">
        <v>254.0</v>
      </c>
      <c r="E11" s="210">
        <v>9.29</v>
      </c>
      <c r="F11" s="210">
        <v>0.0</v>
      </c>
      <c r="G11" s="210">
        <v>0.0</v>
      </c>
      <c r="H11" s="210">
        <v>0.0</v>
      </c>
      <c r="I11" s="210"/>
      <c r="J11" s="210">
        <v>31.17</v>
      </c>
      <c r="K11" s="210">
        <v>29.41</v>
      </c>
      <c r="L11" s="210">
        <v>27.61</v>
      </c>
      <c r="M11" s="210">
        <v>0.9387</v>
      </c>
      <c r="N11" s="210">
        <v>0.0747</v>
      </c>
      <c r="O11" s="210">
        <v>0.0511</v>
      </c>
      <c r="P11" s="210">
        <v>1.0653</v>
      </c>
      <c r="Q11" s="210">
        <v>85.93</v>
      </c>
      <c r="R11" s="210">
        <v>70.1</v>
      </c>
      <c r="S11" s="210">
        <v>15.83</v>
      </c>
      <c r="T11" s="210">
        <v>0.0</v>
      </c>
      <c r="U11" s="210">
        <v>85.93</v>
      </c>
      <c r="V11" s="210">
        <v>49.61</v>
      </c>
      <c r="W11" s="210">
        <v>1.6865</v>
      </c>
      <c r="X11" s="210">
        <v>0.0</v>
      </c>
      <c r="Y11" s="210">
        <v>265.0</v>
      </c>
      <c r="Z11" s="210">
        <v>295.0</v>
      </c>
      <c r="AA11" s="210">
        <v>338.0</v>
      </c>
      <c r="AB11" s="210"/>
      <c r="AC11" s="210"/>
      <c r="AD11" s="210">
        <v>23.69</v>
      </c>
      <c r="AE11" s="210">
        <v>20.0</v>
      </c>
      <c r="AF11" s="210">
        <v>24.0</v>
      </c>
      <c r="AG11" s="210">
        <v>29.0</v>
      </c>
      <c r="AH11" s="210">
        <v>33.0</v>
      </c>
      <c r="AI11" s="210">
        <v>96.06</v>
      </c>
      <c r="AJ11" s="210">
        <v>43.31</v>
      </c>
      <c r="AK11" s="210">
        <v>0.0</v>
      </c>
      <c r="AL11" s="210">
        <v>0.5512</v>
      </c>
      <c r="AM11" s="210">
        <v>0.0</v>
      </c>
      <c r="AN11" s="135">
        <v>0.0</v>
      </c>
      <c r="AO11" s="135">
        <v>0.0</v>
      </c>
      <c r="AP11" s="135">
        <v>0.0</v>
      </c>
      <c r="AQ11" s="135">
        <v>5.5669</v>
      </c>
      <c r="AR11" s="135">
        <v>0.1063</v>
      </c>
      <c r="AS11" s="135">
        <v>5.4606</v>
      </c>
      <c r="AT11" s="135">
        <v>3.3543</v>
      </c>
      <c r="AU11" s="135">
        <v>0.114</v>
      </c>
      <c r="AV11" s="135">
        <v>254.0</v>
      </c>
      <c r="AW11" s="135">
        <v>0.0</v>
      </c>
      <c r="AX11" s="135">
        <v>83.6</v>
      </c>
      <c r="AY11" s="135">
        <v>1.65</v>
      </c>
      <c r="AZ11" s="135">
        <v>0.51</v>
      </c>
      <c r="BA11" s="135">
        <v>0.0</v>
      </c>
      <c r="BB11" s="135">
        <v>0.16</v>
      </c>
      <c r="BC11" s="135">
        <v>39.0</v>
      </c>
      <c r="BD11" s="135">
        <v>391.0</v>
      </c>
      <c r="BE11" s="135">
        <v>5.2992</v>
      </c>
      <c r="BF11" s="135">
        <v>0.0945</v>
      </c>
      <c r="BG11" s="135">
        <v>5.2047</v>
      </c>
      <c r="BH11" s="135">
        <v>2.2992</v>
      </c>
      <c r="BI11" s="135">
        <v>0.0782</v>
      </c>
      <c r="BJ11" s="135">
        <v>0.2677</v>
      </c>
      <c r="BK11" s="135">
        <v>0.0118</v>
      </c>
      <c r="BL11" s="135">
        <v>0.2559</v>
      </c>
      <c r="BM11" s="135">
        <v>1.0551</v>
      </c>
      <c r="BN11" s="135">
        <v>0.0359</v>
      </c>
      <c r="BO11" s="135">
        <v>1.5354</v>
      </c>
      <c r="BP11" s="135">
        <v>0.0472</v>
      </c>
      <c r="BQ11" s="135">
        <v>1.4882</v>
      </c>
      <c r="BR11" s="135">
        <v>1.1614</v>
      </c>
      <c r="BS11" s="135">
        <v>2.252</v>
      </c>
      <c r="BT11" s="135">
        <v>0.0236</v>
      </c>
      <c r="BU11" s="135">
        <v>2.2283</v>
      </c>
      <c r="BV11" s="135">
        <v>0.5827</v>
      </c>
      <c r="BW11" s="135">
        <v>1.5118</v>
      </c>
      <c r="BX11" s="135">
        <v>0.0236</v>
      </c>
      <c r="BY11" s="135">
        <v>1.4882</v>
      </c>
      <c r="BZ11" s="135">
        <v>0.5551</v>
      </c>
      <c r="CA11" s="135">
        <v>0.0197</v>
      </c>
      <c r="CB11" s="135">
        <v>0.0</v>
      </c>
      <c r="CC11" s="135">
        <v>0.0197</v>
      </c>
      <c r="CD11" s="135">
        <v>0.3307</v>
      </c>
      <c r="CE11" s="135">
        <v>0.1969</v>
      </c>
      <c r="CF11" s="135">
        <v>0.0</v>
      </c>
      <c r="CG11" s="135">
        <v>0.1969</v>
      </c>
      <c r="CH11" s="135">
        <v>0.3386</v>
      </c>
      <c r="CI11" s="135">
        <v>0.0512</v>
      </c>
      <c r="CJ11" s="135">
        <v>0.0118</v>
      </c>
      <c r="CK11" s="135">
        <v>0.0394</v>
      </c>
      <c r="CL11" s="135">
        <v>0.3858</v>
      </c>
      <c r="CM11" s="135">
        <v>31.32</v>
      </c>
      <c r="CN11" s="135">
        <v>51.18</v>
      </c>
      <c r="CO11" s="135">
        <v>61.2</v>
      </c>
      <c r="CP11" s="135">
        <v>27.66</v>
      </c>
      <c r="CQ11" s="135">
        <v>0.0</v>
      </c>
      <c r="CR11" s="135">
        <v>2.68</v>
      </c>
      <c r="CS11" s="135">
        <v>0.98</v>
      </c>
      <c r="CT11" s="135">
        <v>0.0</v>
      </c>
      <c r="CU11" s="135">
        <v>23.0</v>
      </c>
      <c r="CV11" s="135">
        <v>0.0</v>
      </c>
      <c r="CW11" s="135">
        <v>85.93</v>
      </c>
      <c r="CX11" s="135">
        <v>0.0</v>
      </c>
      <c r="CY11" s="135">
        <v>0.0</v>
      </c>
      <c r="CZ11" s="135">
        <v>57.89</v>
      </c>
      <c r="DA11" s="135">
        <v>0.0</v>
      </c>
      <c r="DB11" s="135">
        <v>57.89</v>
      </c>
      <c r="DC11" s="135">
        <v>55.87</v>
      </c>
      <c r="DD11" s="135">
        <v>0.0</v>
      </c>
      <c r="DE11" s="135">
        <v>55.87</v>
      </c>
      <c r="DF11" s="135">
        <v>1.42</v>
      </c>
      <c r="DG11" s="135">
        <v>0.0</v>
      </c>
      <c r="DH11" s="135">
        <v>1.42</v>
      </c>
      <c r="DI11" s="135">
        <v>0.61</v>
      </c>
      <c r="DJ11" s="135">
        <v>0.0</v>
      </c>
      <c r="DK11" s="135">
        <v>0.61</v>
      </c>
      <c r="DL11" s="135">
        <v>0.0</v>
      </c>
      <c r="DM11" s="135">
        <v>0.0</v>
      </c>
      <c r="DN11" s="135">
        <v>0.0</v>
      </c>
    </row>
    <row r="12">
      <c r="A12" s="209">
        <v>46255.0</v>
      </c>
      <c r="B12" s="210" t="s">
        <v>5</v>
      </c>
      <c r="C12" s="210" t="s">
        <v>145</v>
      </c>
      <c r="D12" s="210">
        <v>204.0</v>
      </c>
      <c r="E12" s="210">
        <v>7.46</v>
      </c>
      <c r="F12" s="210">
        <v>0.0</v>
      </c>
      <c r="G12" s="210">
        <v>0.0</v>
      </c>
      <c r="H12" s="210">
        <v>0.0</v>
      </c>
      <c r="I12" s="210"/>
      <c r="J12" s="210">
        <v>75.05</v>
      </c>
      <c r="K12" s="210">
        <v>61.36</v>
      </c>
      <c r="L12" s="210">
        <v>56.53</v>
      </c>
      <c r="M12" s="210">
        <v>0.9213</v>
      </c>
      <c r="N12" s="210">
        <v>0.1088</v>
      </c>
      <c r="O12" s="210">
        <v>0.0789</v>
      </c>
      <c r="P12" s="210">
        <v>1.0854</v>
      </c>
      <c r="Q12" s="210">
        <v>241.75</v>
      </c>
      <c r="R12" s="210">
        <v>211.17</v>
      </c>
      <c r="S12" s="210">
        <v>30.59</v>
      </c>
      <c r="T12" s="210">
        <v>0.0</v>
      </c>
      <c r="U12" s="210">
        <v>241.75</v>
      </c>
      <c r="V12" s="210">
        <v>195.59</v>
      </c>
      <c r="W12" s="210">
        <v>3.1874</v>
      </c>
      <c r="X12" s="210">
        <v>0.0</v>
      </c>
      <c r="Y12" s="210">
        <v>353.0</v>
      </c>
      <c r="Z12" s="210">
        <v>413.0</v>
      </c>
      <c r="AA12" s="210">
        <v>487.0</v>
      </c>
      <c r="AB12" s="210"/>
      <c r="AC12" s="210"/>
      <c r="AD12" s="210">
        <v>40.01</v>
      </c>
      <c r="AE12" s="210">
        <v>29.0</v>
      </c>
      <c r="AF12" s="210">
        <v>41.0</v>
      </c>
      <c r="AG12" s="210">
        <v>46.0</v>
      </c>
      <c r="AH12" s="210">
        <v>59.0</v>
      </c>
      <c r="AI12" s="210">
        <v>79.9</v>
      </c>
      <c r="AJ12" s="210">
        <v>7.84</v>
      </c>
      <c r="AK12" s="210">
        <v>0.0</v>
      </c>
      <c r="AL12" s="210">
        <v>0.3775</v>
      </c>
      <c r="AM12" s="210">
        <v>7.35</v>
      </c>
      <c r="AN12" s="135">
        <v>7.35</v>
      </c>
      <c r="AO12" s="135">
        <v>5.88</v>
      </c>
      <c r="AP12" s="135">
        <v>2.45</v>
      </c>
      <c r="AQ12" s="135">
        <v>15.4069</v>
      </c>
      <c r="AR12" s="135">
        <v>0.0441</v>
      </c>
      <c r="AS12" s="135">
        <v>15.3627</v>
      </c>
      <c r="AT12" s="135">
        <v>7.1716</v>
      </c>
      <c r="AU12" s="135">
        <v>0.1169</v>
      </c>
      <c r="AV12" s="135">
        <v>204.0</v>
      </c>
      <c r="AW12" s="135">
        <v>0.0</v>
      </c>
      <c r="AX12" s="135">
        <v>197.35</v>
      </c>
      <c r="AY12" s="135">
        <v>34.83</v>
      </c>
      <c r="AZ12" s="135">
        <v>1.42</v>
      </c>
      <c r="BA12" s="135">
        <v>0.0</v>
      </c>
      <c r="BB12" s="135">
        <v>8.15</v>
      </c>
      <c r="BC12" s="135">
        <v>82.0</v>
      </c>
      <c r="BD12" s="135">
        <v>596.0</v>
      </c>
      <c r="BE12" s="135">
        <v>11.6078</v>
      </c>
      <c r="BF12" s="135">
        <v>0.0294</v>
      </c>
      <c r="BG12" s="135">
        <v>11.5784</v>
      </c>
      <c r="BH12" s="135">
        <v>3.5343</v>
      </c>
      <c r="BI12" s="135">
        <v>0.0576</v>
      </c>
      <c r="BJ12" s="135">
        <v>3.799</v>
      </c>
      <c r="BK12" s="135">
        <v>0.0147</v>
      </c>
      <c r="BL12" s="135">
        <v>3.7843</v>
      </c>
      <c r="BM12" s="135">
        <v>3.6373</v>
      </c>
      <c r="BN12" s="135">
        <v>0.0593</v>
      </c>
      <c r="BO12" s="135">
        <v>3.2892</v>
      </c>
      <c r="BP12" s="135">
        <v>0.0147</v>
      </c>
      <c r="BQ12" s="135">
        <v>3.2745</v>
      </c>
      <c r="BR12" s="135">
        <v>1.4363</v>
      </c>
      <c r="BS12" s="135">
        <v>5.3431</v>
      </c>
      <c r="BT12" s="135">
        <v>0.0</v>
      </c>
      <c r="BU12" s="135">
        <v>5.3431</v>
      </c>
      <c r="BV12" s="135">
        <v>1.1275</v>
      </c>
      <c r="BW12" s="135">
        <v>2.9755</v>
      </c>
      <c r="BX12" s="135">
        <v>0.0147</v>
      </c>
      <c r="BY12" s="135">
        <v>2.9608</v>
      </c>
      <c r="BZ12" s="135">
        <v>0.9706</v>
      </c>
      <c r="CA12" s="135">
        <v>0.3971</v>
      </c>
      <c r="CB12" s="135">
        <v>0.0</v>
      </c>
      <c r="CC12" s="135">
        <v>0.3971</v>
      </c>
      <c r="CD12" s="135">
        <v>1.1569</v>
      </c>
      <c r="CE12" s="135">
        <v>1.5343</v>
      </c>
      <c r="CF12" s="135">
        <v>0.0</v>
      </c>
      <c r="CG12" s="135">
        <v>1.5343</v>
      </c>
      <c r="CH12" s="135">
        <v>1.0392</v>
      </c>
      <c r="CI12" s="135">
        <v>1.8676</v>
      </c>
      <c r="CJ12" s="135">
        <v>0.0147</v>
      </c>
      <c r="CK12" s="135">
        <v>1.8529</v>
      </c>
      <c r="CL12" s="135">
        <v>1.4412</v>
      </c>
      <c r="CM12" s="135">
        <v>312.76</v>
      </c>
      <c r="CN12" s="135">
        <v>96.08</v>
      </c>
      <c r="CO12" s="135">
        <v>325.53</v>
      </c>
      <c r="CP12" s="135">
        <v>258.75</v>
      </c>
      <c r="CQ12" s="135">
        <v>0.34</v>
      </c>
      <c r="CR12" s="135">
        <v>29.61</v>
      </c>
      <c r="CS12" s="135">
        <v>24.07</v>
      </c>
      <c r="CT12" s="135">
        <v>0.0</v>
      </c>
      <c r="CU12" s="135">
        <v>40.0</v>
      </c>
      <c r="CV12" s="135">
        <v>0.0</v>
      </c>
      <c r="CW12" s="135">
        <v>241.75</v>
      </c>
      <c r="CX12" s="135">
        <v>0.25</v>
      </c>
      <c r="CY12" s="135">
        <v>0.59</v>
      </c>
      <c r="CZ12" s="135">
        <v>250.96</v>
      </c>
      <c r="DA12" s="135">
        <v>0.0</v>
      </c>
      <c r="DB12" s="135">
        <v>250.96</v>
      </c>
      <c r="DC12" s="135">
        <v>227.84</v>
      </c>
      <c r="DD12" s="135">
        <v>0.0</v>
      </c>
      <c r="DE12" s="135">
        <v>227.84</v>
      </c>
      <c r="DF12" s="135">
        <v>10.74</v>
      </c>
      <c r="DG12" s="135">
        <v>0.0</v>
      </c>
      <c r="DH12" s="135">
        <v>10.74</v>
      </c>
      <c r="DI12" s="135">
        <v>11.99</v>
      </c>
      <c r="DJ12" s="135">
        <v>0.0</v>
      </c>
      <c r="DK12" s="135">
        <v>11.99</v>
      </c>
      <c r="DL12" s="135">
        <v>0.39</v>
      </c>
      <c r="DM12" s="135">
        <v>0.0</v>
      </c>
      <c r="DN12" s="135">
        <v>0.39</v>
      </c>
    </row>
    <row r="13">
      <c r="A13" s="209">
        <v>46255.0</v>
      </c>
      <c r="B13" s="210" t="s">
        <v>5</v>
      </c>
      <c r="C13" s="210" t="s">
        <v>146</v>
      </c>
      <c r="D13" s="210">
        <v>48.0</v>
      </c>
      <c r="E13" s="210">
        <v>1.76</v>
      </c>
      <c r="F13" s="210">
        <v>24.72</v>
      </c>
      <c r="G13" s="210">
        <v>0.515</v>
      </c>
      <c r="H13" s="210">
        <v>2.08</v>
      </c>
      <c r="I13" s="210">
        <v>24.72</v>
      </c>
      <c r="J13" s="210">
        <v>228.08</v>
      </c>
      <c r="K13" s="210">
        <v>171.15</v>
      </c>
      <c r="L13" s="210">
        <v>146.85</v>
      </c>
      <c r="M13" s="210">
        <v>0.8581</v>
      </c>
      <c r="N13" s="210">
        <v>0.1758</v>
      </c>
      <c r="O13" s="210">
        <v>0.1177</v>
      </c>
      <c r="P13" s="210">
        <v>1.1654</v>
      </c>
      <c r="Q13" s="210">
        <v>628.5</v>
      </c>
      <c r="R13" s="210">
        <v>524.65</v>
      </c>
      <c r="S13" s="210">
        <v>103.85</v>
      </c>
      <c r="T13" s="210">
        <v>37.5</v>
      </c>
      <c r="U13" s="210">
        <v>591.0</v>
      </c>
      <c r="V13" s="210">
        <v>583.33</v>
      </c>
      <c r="W13" s="210">
        <v>3.4084</v>
      </c>
      <c r="X13" s="210">
        <v>5.97</v>
      </c>
      <c r="Y13" s="210">
        <v>425.0</v>
      </c>
      <c r="Z13" s="210">
        <v>560.0</v>
      </c>
      <c r="AA13" s="210">
        <v>700.0</v>
      </c>
      <c r="AB13" s="210"/>
      <c r="AC13" s="210"/>
      <c r="AD13" s="210">
        <v>67.42</v>
      </c>
      <c r="AE13" s="210">
        <v>39.0</v>
      </c>
      <c r="AF13" s="210">
        <v>49.0</v>
      </c>
      <c r="AG13" s="210">
        <v>99.0</v>
      </c>
      <c r="AH13" s="210">
        <v>131.0</v>
      </c>
      <c r="AI13" s="210">
        <v>33.33</v>
      </c>
      <c r="AJ13" s="210">
        <v>2.08</v>
      </c>
      <c r="AK13" s="210">
        <v>0.0</v>
      </c>
      <c r="AL13" s="210">
        <v>0.0417</v>
      </c>
      <c r="AM13" s="210">
        <v>97.92</v>
      </c>
      <c r="AN13" s="135">
        <v>97.92</v>
      </c>
      <c r="AO13" s="135">
        <v>97.92</v>
      </c>
      <c r="AP13" s="135">
        <v>95.83</v>
      </c>
      <c r="AQ13" s="135">
        <v>33.9583</v>
      </c>
      <c r="AR13" s="135">
        <v>0.1875</v>
      </c>
      <c r="AS13" s="135">
        <v>33.7708</v>
      </c>
      <c r="AT13" s="135">
        <v>22.9167</v>
      </c>
      <c r="AU13" s="135">
        <v>0.1339</v>
      </c>
      <c r="AV13" s="135">
        <v>48.0</v>
      </c>
      <c r="AW13" s="135">
        <v>0.0</v>
      </c>
      <c r="AX13" s="135">
        <v>469.06</v>
      </c>
      <c r="AY13" s="135">
        <v>102.92</v>
      </c>
      <c r="AZ13" s="135">
        <v>4.17</v>
      </c>
      <c r="BA13" s="135">
        <v>37.5</v>
      </c>
      <c r="BB13" s="135">
        <v>14.85</v>
      </c>
      <c r="BC13" s="135">
        <v>188.0</v>
      </c>
      <c r="BD13" s="135">
        <v>860.0</v>
      </c>
      <c r="BE13" s="135">
        <v>22.1458</v>
      </c>
      <c r="BF13" s="135">
        <v>0.0</v>
      </c>
      <c r="BG13" s="135">
        <v>22.1458</v>
      </c>
      <c r="BH13" s="135">
        <v>11.3958</v>
      </c>
      <c r="BI13" s="135">
        <v>0.0666</v>
      </c>
      <c r="BJ13" s="135">
        <v>11.8125</v>
      </c>
      <c r="BK13" s="135">
        <v>0.1875</v>
      </c>
      <c r="BL13" s="135">
        <v>11.625</v>
      </c>
      <c r="BM13" s="135">
        <v>11.5208</v>
      </c>
      <c r="BN13" s="135">
        <v>0.0673</v>
      </c>
      <c r="BO13" s="135">
        <v>7.0</v>
      </c>
      <c r="BP13" s="135">
        <v>0.0</v>
      </c>
      <c r="BQ13" s="135">
        <v>7.0</v>
      </c>
      <c r="BR13" s="135">
        <v>4.0</v>
      </c>
      <c r="BS13" s="135">
        <v>9.7917</v>
      </c>
      <c r="BT13" s="135">
        <v>0.0</v>
      </c>
      <c r="BU13" s="135">
        <v>9.7917</v>
      </c>
      <c r="BV13" s="135">
        <v>4.3958</v>
      </c>
      <c r="BW13" s="135">
        <v>5.3542</v>
      </c>
      <c r="BX13" s="135">
        <v>0.0</v>
      </c>
      <c r="BY13" s="135">
        <v>5.3542</v>
      </c>
      <c r="BZ13" s="135">
        <v>3.0</v>
      </c>
      <c r="CA13" s="135">
        <v>1.4792</v>
      </c>
      <c r="CB13" s="135">
        <v>0.0</v>
      </c>
      <c r="CC13" s="135">
        <v>1.4792</v>
      </c>
      <c r="CD13" s="135">
        <v>2.875</v>
      </c>
      <c r="CE13" s="135">
        <v>4.7708</v>
      </c>
      <c r="CF13" s="135">
        <v>0.0</v>
      </c>
      <c r="CG13" s="135">
        <v>4.7708</v>
      </c>
      <c r="CH13" s="135">
        <v>4.0417</v>
      </c>
      <c r="CI13" s="135">
        <v>5.5625</v>
      </c>
      <c r="CJ13" s="135">
        <v>0.1875</v>
      </c>
      <c r="CK13" s="135">
        <v>5.375</v>
      </c>
      <c r="CL13" s="135">
        <v>4.6042</v>
      </c>
      <c r="CM13" s="135">
        <v>1157.6</v>
      </c>
      <c r="CN13" s="135">
        <v>97.92</v>
      </c>
      <c r="CO13" s="135">
        <v>1182.23</v>
      </c>
      <c r="CP13" s="135">
        <v>1088.96</v>
      </c>
      <c r="CQ13" s="135">
        <v>0.0</v>
      </c>
      <c r="CR13" s="135">
        <v>36.67</v>
      </c>
      <c r="CS13" s="135">
        <v>31.98</v>
      </c>
      <c r="CT13" s="135">
        <v>0.0</v>
      </c>
      <c r="CU13" s="135">
        <v>17.0</v>
      </c>
      <c r="CV13" s="135">
        <v>0.0</v>
      </c>
      <c r="CW13" s="135">
        <v>628.5</v>
      </c>
      <c r="CX13" s="135">
        <v>0.0</v>
      </c>
      <c r="CY13" s="135">
        <v>0.0</v>
      </c>
      <c r="CZ13" s="135">
        <v>744.38</v>
      </c>
      <c r="DA13" s="135">
        <v>0.0</v>
      </c>
      <c r="DB13" s="135">
        <v>744.38</v>
      </c>
      <c r="DC13" s="135">
        <v>694.17</v>
      </c>
      <c r="DD13" s="135">
        <v>0.0</v>
      </c>
      <c r="DE13" s="135">
        <v>694.17</v>
      </c>
      <c r="DF13" s="135">
        <v>24.79</v>
      </c>
      <c r="DG13" s="135">
        <v>0.0</v>
      </c>
      <c r="DH13" s="135">
        <v>24.79</v>
      </c>
      <c r="DI13" s="135">
        <v>18.65</v>
      </c>
      <c r="DJ13" s="135">
        <v>0.0</v>
      </c>
      <c r="DK13" s="135">
        <v>18.65</v>
      </c>
      <c r="DL13" s="135">
        <v>6.77</v>
      </c>
      <c r="DM13" s="135">
        <v>0.0</v>
      </c>
      <c r="DN13" s="135">
        <v>6.77</v>
      </c>
    </row>
    <row r="14">
      <c r="A14" s="209">
        <v>46256.0</v>
      </c>
      <c r="B14" s="210" t="s">
        <v>4</v>
      </c>
      <c r="C14" s="210" t="s">
        <v>398</v>
      </c>
      <c r="D14" s="210">
        <v>1001.0</v>
      </c>
      <c r="E14" s="210">
        <v>29.72</v>
      </c>
      <c r="F14" s="210">
        <v>0.0</v>
      </c>
      <c r="G14" s="210">
        <v>0.0</v>
      </c>
      <c r="H14" s="210">
        <v>0.0</v>
      </c>
      <c r="I14" s="210"/>
      <c r="J14" s="210">
        <v>1.78</v>
      </c>
      <c r="K14" s="210">
        <v>0.07</v>
      </c>
      <c r="L14" s="210">
        <v>0.0</v>
      </c>
      <c r="M14" s="210">
        <v>0.0</v>
      </c>
      <c r="N14" s="210">
        <v>1.0</v>
      </c>
      <c r="O14" s="210">
        <v>1.0</v>
      </c>
      <c r="P14" s="210"/>
      <c r="Q14" s="210">
        <v>0.29</v>
      </c>
      <c r="R14" s="210">
        <v>0.29</v>
      </c>
      <c r="S14" s="210">
        <v>0.0</v>
      </c>
      <c r="T14" s="210">
        <v>0.0</v>
      </c>
      <c r="U14" s="210">
        <v>0.29</v>
      </c>
      <c r="V14" s="210">
        <v>0.15</v>
      </c>
      <c r="W14" s="210">
        <v>2.0</v>
      </c>
      <c r="X14" s="210">
        <v>0.0</v>
      </c>
      <c r="Y14" s="210">
        <v>200.0</v>
      </c>
      <c r="Z14" s="210">
        <v>200.0</v>
      </c>
      <c r="AA14" s="210">
        <v>200.0</v>
      </c>
      <c r="AB14" s="210">
        <v>49.6099</v>
      </c>
      <c r="AC14" s="210">
        <v>0.7481</v>
      </c>
      <c r="AD14" s="210"/>
      <c r="AE14" s="210"/>
      <c r="AF14" s="210"/>
      <c r="AG14" s="210"/>
      <c r="AH14" s="210"/>
      <c r="AI14" s="210">
        <v>0.0</v>
      </c>
      <c r="AJ14" s="210">
        <v>0.0</v>
      </c>
      <c r="AK14" s="210">
        <v>0.0</v>
      </c>
      <c r="AL14" s="210">
        <v>0.9111</v>
      </c>
      <c r="AM14" s="211"/>
      <c r="AQ14" s="135">
        <v>0.025</v>
      </c>
      <c r="AR14" s="135">
        <v>0.0</v>
      </c>
      <c r="AS14" s="135">
        <v>0.025</v>
      </c>
      <c r="AT14" s="135">
        <v>0.014</v>
      </c>
      <c r="AU14" s="135">
        <v>0.1867</v>
      </c>
      <c r="AV14" s="135">
        <v>1001.0</v>
      </c>
      <c r="AW14" s="135">
        <v>0.0</v>
      </c>
      <c r="AX14" s="135">
        <v>0.26</v>
      </c>
      <c r="AY14" s="135">
        <v>0.03</v>
      </c>
      <c r="AZ14" s="135">
        <v>0.0</v>
      </c>
      <c r="BA14" s="135">
        <v>0.0</v>
      </c>
      <c r="BB14" s="135">
        <v>0.0</v>
      </c>
      <c r="BD14" s="135">
        <v>257.0</v>
      </c>
      <c r="BE14" s="135">
        <v>0.02</v>
      </c>
      <c r="BF14" s="135">
        <v>0.0</v>
      </c>
      <c r="BG14" s="135">
        <v>0.02</v>
      </c>
      <c r="BH14" s="135">
        <v>0.007</v>
      </c>
      <c r="BI14" s="135">
        <v>0.0933</v>
      </c>
      <c r="BJ14" s="135">
        <v>0.005</v>
      </c>
      <c r="BK14" s="135">
        <v>0.0</v>
      </c>
      <c r="BL14" s="135">
        <v>0.005</v>
      </c>
      <c r="BM14" s="135">
        <v>0.007</v>
      </c>
      <c r="BN14" s="135">
        <v>0.0933</v>
      </c>
      <c r="BO14" s="135">
        <v>0.001</v>
      </c>
      <c r="BP14" s="135">
        <v>0.0</v>
      </c>
      <c r="BQ14" s="135">
        <v>0.001</v>
      </c>
      <c r="BR14" s="135">
        <v>0.001</v>
      </c>
      <c r="BS14" s="135">
        <v>0.011</v>
      </c>
      <c r="BT14" s="135">
        <v>0.0</v>
      </c>
      <c r="BU14" s="135">
        <v>0.011</v>
      </c>
      <c r="BV14" s="135">
        <v>0.003</v>
      </c>
      <c r="BW14" s="135">
        <v>0.008</v>
      </c>
      <c r="BX14" s="135">
        <v>0.0</v>
      </c>
      <c r="BY14" s="135">
        <v>0.008</v>
      </c>
      <c r="BZ14" s="135">
        <v>0.003</v>
      </c>
      <c r="CA14" s="135">
        <v>0.0</v>
      </c>
      <c r="CB14" s="135">
        <v>0.0</v>
      </c>
      <c r="CC14" s="135">
        <v>0.0</v>
      </c>
      <c r="CD14" s="135">
        <v>0.002</v>
      </c>
      <c r="CE14" s="135">
        <v>0.002</v>
      </c>
      <c r="CF14" s="135">
        <v>0.0</v>
      </c>
      <c r="CG14" s="135">
        <v>0.002</v>
      </c>
      <c r="CH14" s="135">
        <v>0.002</v>
      </c>
      <c r="CI14" s="135">
        <v>0.003</v>
      </c>
      <c r="CJ14" s="135">
        <v>0.0</v>
      </c>
      <c r="CK14" s="135">
        <v>0.003</v>
      </c>
      <c r="CL14" s="135">
        <v>0.003</v>
      </c>
      <c r="CM14" s="135">
        <v>0.0</v>
      </c>
      <c r="CN14" s="135">
        <v>0.0</v>
      </c>
      <c r="CP14" s="135">
        <v>0.0</v>
      </c>
      <c r="CQ14" s="135">
        <v>0.0</v>
      </c>
      <c r="CR14" s="135">
        <v>0.0</v>
      </c>
      <c r="CS14" s="135">
        <v>0.0</v>
      </c>
      <c r="CT14" s="135">
        <v>0.0</v>
      </c>
      <c r="CU14" s="135">
        <v>0.0</v>
      </c>
      <c r="CV14" s="135">
        <v>0.0</v>
      </c>
      <c r="CW14" s="135">
        <v>0.29</v>
      </c>
      <c r="CX14" s="135">
        <v>0.0</v>
      </c>
      <c r="CY14" s="135">
        <v>0.0</v>
      </c>
      <c r="CZ14" s="135">
        <v>0.28</v>
      </c>
      <c r="DA14" s="135">
        <v>0.0</v>
      </c>
      <c r="DB14" s="135">
        <v>0.28</v>
      </c>
      <c r="DC14" s="135">
        <v>0.24</v>
      </c>
      <c r="DD14" s="135">
        <v>0.0</v>
      </c>
      <c r="DE14" s="135">
        <v>0.24</v>
      </c>
      <c r="DF14" s="135">
        <v>0.02</v>
      </c>
      <c r="DG14" s="135">
        <v>0.0</v>
      </c>
      <c r="DH14" s="135">
        <v>0.02</v>
      </c>
      <c r="DI14" s="135">
        <v>0.01</v>
      </c>
      <c r="DJ14" s="135">
        <v>0.0</v>
      </c>
      <c r="DK14" s="135">
        <v>0.01</v>
      </c>
      <c r="DL14" s="135">
        <v>0.0</v>
      </c>
      <c r="DM14" s="135">
        <v>0.0</v>
      </c>
      <c r="DN14" s="135">
        <v>0.0</v>
      </c>
    </row>
    <row r="15">
      <c r="A15" s="209">
        <v>46256.0</v>
      </c>
      <c r="B15" s="210" t="s">
        <v>4</v>
      </c>
      <c r="C15" s="210" t="s">
        <v>142</v>
      </c>
      <c r="D15" s="210">
        <v>1129.0</v>
      </c>
      <c r="E15" s="210">
        <v>33.52</v>
      </c>
      <c r="F15" s="210">
        <v>0.0</v>
      </c>
      <c r="G15" s="210">
        <v>0.0</v>
      </c>
      <c r="H15" s="210">
        <v>0.0</v>
      </c>
      <c r="I15" s="210"/>
      <c r="J15" s="210">
        <v>5.07</v>
      </c>
      <c r="K15" s="210">
        <v>4.16</v>
      </c>
      <c r="L15" s="210">
        <v>3.9</v>
      </c>
      <c r="M15" s="210">
        <v>0.9374</v>
      </c>
      <c r="N15" s="210">
        <v>0.0653</v>
      </c>
      <c r="O15" s="210">
        <v>0.0455</v>
      </c>
      <c r="P15" s="210">
        <v>1.0667</v>
      </c>
      <c r="Q15" s="210">
        <v>5.62</v>
      </c>
      <c r="R15" s="210">
        <v>5.08</v>
      </c>
      <c r="S15" s="210">
        <v>0.55</v>
      </c>
      <c r="T15" s="210">
        <v>0.0</v>
      </c>
      <c r="U15" s="210">
        <v>5.62</v>
      </c>
      <c r="V15" s="210">
        <v>3.94</v>
      </c>
      <c r="W15" s="210">
        <v>0.947</v>
      </c>
      <c r="X15" s="210">
        <v>0.0</v>
      </c>
      <c r="Y15" s="210">
        <v>200.0</v>
      </c>
      <c r="Z15" s="210">
        <v>200.0</v>
      </c>
      <c r="AA15" s="210">
        <v>229.0</v>
      </c>
      <c r="AB15" s="210">
        <v>50.0</v>
      </c>
      <c r="AC15" s="210">
        <v>0.7825</v>
      </c>
      <c r="AD15" s="210">
        <v>3.74</v>
      </c>
      <c r="AE15" s="210">
        <v>2.0</v>
      </c>
      <c r="AF15" s="210">
        <v>3.0</v>
      </c>
      <c r="AG15" s="210">
        <v>5.0</v>
      </c>
      <c r="AH15" s="210">
        <v>7.0</v>
      </c>
      <c r="AI15" s="210">
        <v>76.79</v>
      </c>
      <c r="AJ15" s="210">
        <v>37.82</v>
      </c>
      <c r="AK15" s="210">
        <v>0.18</v>
      </c>
      <c r="AL15" s="210">
        <v>0.8423</v>
      </c>
      <c r="AM15" s="210"/>
      <c r="AQ15" s="135">
        <v>0.3826</v>
      </c>
      <c r="AR15" s="135">
        <v>0.0239</v>
      </c>
      <c r="AS15" s="135">
        <v>0.3587</v>
      </c>
      <c r="AT15" s="135">
        <v>0.4429</v>
      </c>
      <c r="AU15" s="135">
        <v>0.1064</v>
      </c>
      <c r="AV15" s="135">
        <v>1129.0</v>
      </c>
      <c r="AW15" s="135">
        <v>0.0</v>
      </c>
      <c r="AX15" s="135">
        <v>5.62</v>
      </c>
      <c r="AY15" s="135">
        <v>0.0</v>
      </c>
      <c r="AZ15" s="135">
        <v>0.0</v>
      </c>
      <c r="BA15" s="135">
        <v>0.0</v>
      </c>
      <c r="BB15" s="135">
        <v>0.0</v>
      </c>
      <c r="BC15" s="135">
        <v>9.0</v>
      </c>
      <c r="BD15" s="135">
        <v>280.0</v>
      </c>
      <c r="BE15" s="135">
        <v>0.3782</v>
      </c>
      <c r="BF15" s="135">
        <v>0.0239</v>
      </c>
      <c r="BG15" s="135">
        <v>0.3543</v>
      </c>
      <c r="BH15" s="135">
        <v>0.4411</v>
      </c>
      <c r="BI15" s="135">
        <v>0.106</v>
      </c>
      <c r="BJ15" s="135">
        <v>0.0044</v>
      </c>
      <c r="BK15" s="135">
        <v>0.0</v>
      </c>
      <c r="BL15" s="135">
        <v>0.0044</v>
      </c>
      <c r="BM15" s="135">
        <v>0.0018</v>
      </c>
      <c r="BN15" s="135">
        <v>4.0E-4</v>
      </c>
      <c r="BO15" s="135">
        <v>0.0505</v>
      </c>
      <c r="BP15" s="135">
        <v>0.0106</v>
      </c>
      <c r="BQ15" s="135">
        <v>0.0399</v>
      </c>
      <c r="BR15" s="135">
        <v>0.2232</v>
      </c>
      <c r="BS15" s="135">
        <v>0.2728</v>
      </c>
      <c r="BT15" s="135">
        <v>0.008</v>
      </c>
      <c r="BU15" s="135">
        <v>0.2648</v>
      </c>
      <c r="BV15" s="135">
        <v>0.1187</v>
      </c>
      <c r="BW15" s="135">
        <v>0.0549</v>
      </c>
      <c r="BX15" s="135">
        <v>0.0053</v>
      </c>
      <c r="BY15" s="135">
        <v>0.0496</v>
      </c>
      <c r="BZ15" s="135">
        <v>0.0992</v>
      </c>
      <c r="CA15" s="135">
        <v>0.0</v>
      </c>
      <c r="CB15" s="135">
        <v>0.0</v>
      </c>
      <c r="CC15" s="135">
        <v>0.0</v>
      </c>
      <c r="CD15" s="135">
        <v>9.0E-4</v>
      </c>
      <c r="CE15" s="135">
        <v>0.0035</v>
      </c>
      <c r="CF15" s="135">
        <v>0.0</v>
      </c>
      <c r="CG15" s="135">
        <v>0.0035</v>
      </c>
      <c r="CH15" s="135">
        <v>0.0</v>
      </c>
      <c r="CI15" s="135">
        <v>9.0E-4</v>
      </c>
      <c r="CJ15" s="135">
        <v>0.0</v>
      </c>
      <c r="CK15" s="135">
        <v>9.0E-4</v>
      </c>
      <c r="CL15" s="135">
        <v>9.0E-4</v>
      </c>
      <c r="CM15" s="135">
        <v>0.13</v>
      </c>
      <c r="CN15" s="135">
        <v>0.18</v>
      </c>
      <c r="CO15" s="135">
        <v>72.5</v>
      </c>
      <c r="CP15" s="135">
        <v>0.09</v>
      </c>
      <c r="CQ15" s="135">
        <v>0.0</v>
      </c>
      <c r="CR15" s="135">
        <v>0.04</v>
      </c>
      <c r="CS15" s="135">
        <v>0.0</v>
      </c>
      <c r="CT15" s="135">
        <v>0.0</v>
      </c>
      <c r="CU15" s="135">
        <v>0.0</v>
      </c>
      <c r="CV15" s="135">
        <v>0.0</v>
      </c>
      <c r="CW15" s="135">
        <v>5.62</v>
      </c>
      <c r="CX15" s="135">
        <v>0.0</v>
      </c>
      <c r="CY15" s="135">
        <v>0.0</v>
      </c>
      <c r="CZ15" s="135">
        <v>1.05</v>
      </c>
      <c r="DA15" s="135">
        <v>0.0</v>
      </c>
      <c r="DB15" s="135">
        <v>1.05</v>
      </c>
      <c r="DC15" s="135">
        <v>1.05</v>
      </c>
      <c r="DD15" s="135">
        <v>0.0</v>
      </c>
      <c r="DE15" s="135">
        <v>1.05</v>
      </c>
      <c r="DF15" s="135">
        <v>0.0</v>
      </c>
      <c r="DG15" s="135">
        <v>0.0</v>
      </c>
      <c r="DH15" s="135">
        <v>0.0</v>
      </c>
      <c r="DI15" s="135">
        <v>0.0</v>
      </c>
      <c r="DJ15" s="135">
        <v>0.0</v>
      </c>
      <c r="DK15" s="135">
        <v>0.0</v>
      </c>
      <c r="DL15" s="135">
        <v>0.0</v>
      </c>
      <c r="DM15" s="135">
        <v>0.0</v>
      </c>
      <c r="DN15" s="135">
        <v>0.0</v>
      </c>
    </row>
    <row r="16">
      <c r="A16" s="209">
        <v>46256.0</v>
      </c>
      <c r="B16" s="210" t="s">
        <v>4</v>
      </c>
      <c r="C16" s="210" t="s">
        <v>143</v>
      </c>
      <c r="D16" s="210">
        <v>517.0</v>
      </c>
      <c r="E16" s="210">
        <v>15.35</v>
      </c>
      <c r="F16" s="210">
        <v>0.0</v>
      </c>
      <c r="G16" s="210">
        <v>0.0</v>
      </c>
      <c r="H16" s="210">
        <v>0.0</v>
      </c>
      <c r="I16" s="210"/>
      <c r="J16" s="210">
        <v>16.27</v>
      </c>
      <c r="K16" s="210">
        <v>13.72</v>
      </c>
      <c r="L16" s="210">
        <v>12.72</v>
      </c>
      <c r="M16" s="210">
        <v>0.9271</v>
      </c>
      <c r="N16" s="210">
        <v>0.0857</v>
      </c>
      <c r="O16" s="210">
        <v>0.0632</v>
      </c>
      <c r="P16" s="210">
        <v>1.0786</v>
      </c>
      <c r="Q16" s="210">
        <v>55.26</v>
      </c>
      <c r="R16" s="210">
        <v>40.07</v>
      </c>
      <c r="S16" s="210">
        <v>15.19</v>
      </c>
      <c r="T16" s="210">
        <v>0.0</v>
      </c>
      <c r="U16" s="210">
        <v>55.26</v>
      </c>
      <c r="V16" s="210">
        <v>64.99</v>
      </c>
      <c r="W16" s="210">
        <v>4.7384</v>
      </c>
      <c r="X16" s="210">
        <v>0.0</v>
      </c>
      <c r="Y16" s="210">
        <v>250.0</v>
      </c>
      <c r="Z16" s="210">
        <v>270.0</v>
      </c>
      <c r="AA16" s="210">
        <v>322.0</v>
      </c>
      <c r="AB16" s="210">
        <v>50.0103</v>
      </c>
      <c r="AC16" s="210">
        <v>0.9149</v>
      </c>
      <c r="AD16" s="210">
        <v>11.45</v>
      </c>
      <c r="AE16" s="210">
        <v>10.0</v>
      </c>
      <c r="AF16" s="210">
        <v>11.0</v>
      </c>
      <c r="AG16" s="210">
        <v>14.0</v>
      </c>
      <c r="AH16" s="210">
        <v>17.0</v>
      </c>
      <c r="AI16" s="210">
        <v>89.94</v>
      </c>
      <c r="AJ16" s="210">
        <v>36.75</v>
      </c>
      <c r="AK16" s="210">
        <v>0.77</v>
      </c>
      <c r="AL16" s="210">
        <v>0.675</v>
      </c>
      <c r="AM16" s="211"/>
      <c r="AQ16" s="135">
        <v>4.3501</v>
      </c>
      <c r="AR16" s="135">
        <v>0.7021</v>
      </c>
      <c r="AS16" s="135">
        <v>3.648</v>
      </c>
      <c r="AT16" s="135">
        <v>4.1335</v>
      </c>
      <c r="AU16" s="135">
        <v>0.3014</v>
      </c>
      <c r="AV16" s="135">
        <v>517.0</v>
      </c>
      <c r="AW16" s="135">
        <v>0.0</v>
      </c>
      <c r="AX16" s="135">
        <v>54.5</v>
      </c>
      <c r="AY16" s="135">
        <v>0.54</v>
      </c>
      <c r="AZ16" s="135">
        <v>0.21</v>
      </c>
      <c r="BA16" s="135">
        <v>0.0</v>
      </c>
      <c r="BB16" s="135">
        <v>0.01</v>
      </c>
      <c r="BC16" s="135">
        <v>25.0</v>
      </c>
      <c r="BD16" s="135">
        <v>375.0</v>
      </c>
      <c r="BE16" s="135">
        <v>4.2166</v>
      </c>
      <c r="BF16" s="135">
        <v>0.6789</v>
      </c>
      <c r="BG16" s="135">
        <v>3.5377</v>
      </c>
      <c r="BH16" s="135">
        <v>3.6712</v>
      </c>
      <c r="BI16" s="135">
        <v>0.2677</v>
      </c>
      <c r="BJ16" s="135">
        <v>0.1335</v>
      </c>
      <c r="BK16" s="135">
        <v>0.0232</v>
      </c>
      <c r="BL16" s="135">
        <v>0.1103</v>
      </c>
      <c r="BM16" s="135">
        <v>0.4623</v>
      </c>
      <c r="BN16" s="135">
        <v>0.0337</v>
      </c>
      <c r="BO16" s="135">
        <v>1.2476</v>
      </c>
      <c r="BP16" s="135">
        <v>0.2263</v>
      </c>
      <c r="BQ16" s="135">
        <v>1.0213</v>
      </c>
      <c r="BR16" s="135">
        <v>1.4352</v>
      </c>
      <c r="BS16" s="135">
        <v>2.0677</v>
      </c>
      <c r="BT16" s="135">
        <v>0.1219</v>
      </c>
      <c r="BU16" s="135">
        <v>1.9458</v>
      </c>
      <c r="BV16" s="135">
        <v>1.1896</v>
      </c>
      <c r="BW16" s="135">
        <v>0.9014</v>
      </c>
      <c r="BX16" s="135">
        <v>0.3308</v>
      </c>
      <c r="BY16" s="135">
        <v>0.5706</v>
      </c>
      <c r="BZ16" s="135">
        <v>1.0464</v>
      </c>
      <c r="CA16" s="135">
        <v>0.0019</v>
      </c>
      <c r="CB16" s="135">
        <v>0.0</v>
      </c>
      <c r="CC16" s="135">
        <v>0.0019</v>
      </c>
      <c r="CD16" s="135">
        <v>0.1161</v>
      </c>
      <c r="CE16" s="135">
        <v>0.1064</v>
      </c>
      <c r="CF16" s="135">
        <v>0.0174</v>
      </c>
      <c r="CG16" s="135">
        <v>0.089</v>
      </c>
      <c r="CH16" s="135">
        <v>0.1122</v>
      </c>
      <c r="CI16" s="135">
        <v>0.0251</v>
      </c>
      <c r="CJ16" s="135">
        <v>0.0058</v>
      </c>
      <c r="CK16" s="135">
        <v>0.0193</v>
      </c>
      <c r="CL16" s="135">
        <v>0.234</v>
      </c>
      <c r="CM16" s="135">
        <v>11.51</v>
      </c>
      <c r="CN16" s="135">
        <v>14.51</v>
      </c>
      <c r="CO16" s="135">
        <v>79.33</v>
      </c>
      <c r="CP16" s="135">
        <v>10.48</v>
      </c>
      <c r="CQ16" s="135">
        <v>0.0</v>
      </c>
      <c r="CR16" s="135">
        <v>0.93</v>
      </c>
      <c r="CS16" s="135">
        <v>0.1</v>
      </c>
      <c r="CT16" s="135">
        <v>0.0</v>
      </c>
      <c r="CU16" s="135">
        <v>0.0</v>
      </c>
      <c r="CV16" s="135">
        <v>0.0</v>
      </c>
      <c r="CW16" s="135">
        <v>55.26</v>
      </c>
      <c r="CX16" s="135">
        <v>0.0</v>
      </c>
      <c r="CY16" s="135">
        <v>0.0</v>
      </c>
      <c r="CZ16" s="135">
        <v>14.29</v>
      </c>
      <c r="DA16" s="135">
        <v>0.0</v>
      </c>
      <c r="DB16" s="135">
        <v>14.29</v>
      </c>
      <c r="DC16" s="135">
        <v>13.8</v>
      </c>
      <c r="DD16" s="135">
        <v>0.0</v>
      </c>
      <c r="DE16" s="135">
        <v>13.8</v>
      </c>
      <c r="DF16" s="135">
        <v>0.23</v>
      </c>
      <c r="DG16" s="135">
        <v>0.0</v>
      </c>
      <c r="DH16" s="135">
        <v>0.23</v>
      </c>
      <c r="DI16" s="135">
        <v>0.26</v>
      </c>
      <c r="DJ16" s="135">
        <v>0.0</v>
      </c>
      <c r="DK16" s="135">
        <v>0.26</v>
      </c>
      <c r="DL16" s="135">
        <v>0.0</v>
      </c>
      <c r="DM16" s="135">
        <v>0.0</v>
      </c>
      <c r="DN16" s="135">
        <v>0.0</v>
      </c>
    </row>
    <row r="17">
      <c r="A17" s="209">
        <v>46256.0</v>
      </c>
      <c r="B17" s="210" t="s">
        <v>4</v>
      </c>
      <c r="C17" s="210" t="s">
        <v>144</v>
      </c>
      <c r="D17" s="210">
        <v>381.0</v>
      </c>
      <c r="E17" s="210">
        <v>11.31</v>
      </c>
      <c r="F17" s="210">
        <v>5.21</v>
      </c>
      <c r="G17" s="210">
        <v>0.0137</v>
      </c>
      <c r="H17" s="210">
        <v>1.05</v>
      </c>
      <c r="I17" s="210">
        <v>1.3025</v>
      </c>
      <c r="J17" s="210">
        <v>34.26</v>
      </c>
      <c r="K17" s="210">
        <v>28.95</v>
      </c>
      <c r="L17" s="210">
        <v>26.28</v>
      </c>
      <c r="M17" s="210">
        <v>0.9079</v>
      </c>
      <c r="N17" s="210">
        <v>0.1166</v>
      </c>
      <c r="O17" s="210">
        <v>0.0803</v>
      </c>
      <c r="P17" s="210">
        <v>1.1015</v>
      </c>
      <c r="Q17" s="210">
        <v>132.02</v>
      </c>
      <c r="R17" s="210">
        <v>93.58</v>
      </c>
      <c r="S17" s="210">
        <v>38.44</v>
      </c>
      <c r="T17" s="210">
        <v>1.97</v>
      </c>
      <c r="U17" s="210">
        <v>130.05</v>
      </c>
      <c r="V17" s="210">
        <v>88.71</v>
      </c>
      <c r="W17" s="210">
        <v>3.0644</v>
      </c>
      <c r="X17" s="210">
        <v>1.49</v>
      </c>
      <c r="Y17" s="210">
        <v>304.0</v>
      </c>
      <c r="Z17" s="210">
        <v>357.0</v>
      </c>
      <c r="AA17" s="210">
        <v>432.0</v>
      </c>
      <c r="AB17" s="210">
        <v>49.2325</v>
      </c>
      <c r="AC17" s="210">
        <v>0.9042</v>
      </c>
      <c r="AD17" s="210">
        <v>21.25</v>
      </c>
      <c r="AE17" s="210">
        <v>14.0</v>
      </c>
      <c r="AF17" s="210">
        <v>21.0</v>
      </c>
      <c r="AG17" s="210">
        <v>28.0</v>
      </c>
      <c r="AH17" s="210">
        <v>35.0</v>
      </c>
      <c r="AI17" s="210">
        <v>83.2</v>
      </c>
      <c r="AJ17" s="210">
        <v>36.75</v>
      </c>
      <c r="AK17" s="210">
        <v>1.84</v>
      </c>
      <c r="AL17" s="210">
        <v>0.4882</v>
      </c>
      <c r="AM17" s="211"/>
      <c r="AQ17" s="135">
        <v>8.6483</v>
      </c>
      <c r="AR17" s="135">
        <v>0.2336</v>
      </c>
      <c r="AS17" s="135">
        <v>8.4147</v>
      </c>
      <c r="AT17" s="135">
        <v>4.979</v>
      </c>
      <c r="AU17" s="135">
        <v>0.172</v>
      </c>
      <c r="AV17" s="135">
        <v>381.0</v>
      </c>
      <c r="AW17" s="135">
        <v>0.0</v>
      </c>
      <c r="AX17" s="135">
        <v>117.61</v>
      </c>
      <c r="AY17" s="135">
        <v>11.06</v>
      </c>
      <c r="AZ17" s="135">
        <v>0.47</v>
      </c>
      <c r="BA17" s="135">
        <v>1.97</v>
      </c>
      <c r="BB17" s="135">
        <v>0.9</v>
      </c>
      <c r="BC17" s="135">
        <v>54.0</v>
      </c>
      <c r="BD17" s="135">
        <v>661.0</v>
      </c>
      <c r="BE17" s="135">
        <v>7.3281</v>
      </c>
      <c r="BF17" s="135">
        <v>0.2126</v>
      </c>
      <c r="BG17" s="135">
        <v>7.1155</v>
      </c>
      <c r="BH17" s="135">
        <v>3.2126</v>
      </c>
      <c r="BI17" s="135">
        <v>0.111</v>
      </c>
      <c r="BJ17" s="135">
        <v>1.3202</v>
      </c>
      <c r="BK17" s="135">
        <v>0.021</v>
      </c>
      <c r="BL17" s="135">
        <v>1.2992</v>
      </c>
      <c r="BM17" s="135">
        <v>1.7664</v>
      </c>
      <c r="BN17" s="135">
        <v>0.061</v>
      </c>
      <c r="BO17" s="135">
        <v>2.399</v>
      </c>
      <c r="BP17" s="135">
        <v>0.0787</v>
      </c>
      <c r="BQ17" s="135">
        <v>2.3202</v>
      </c>
      <c r="BR17" s="135">
        <v>1.2861</v>
      </c>
      <c r="BS17" s="135">
        <v>3.3727</v>
      </c>
      <c r="BT17" s="135">
        <v>0.0315</v>
      </c>
      <c r="BU17" s="135">
        <v>3.3412</v>
      </c>
      <c r="BV17" s="135">
        <v>1.0787</v>
      </c>
      <c r="BW17" s="135">
        <v>1.5564</v>
      </c>
      <c r="BX17" s="135">
        <v>0.1024</v>
      </c>
      <c r="BY17" s="135">
        <v>1.4541</v>
      </c>
      <c r="BZ17" s="135">
        <v>0.8478</v>
      </c>
      <c r="CA17" s="135">
        <v>0.063</v>
      </c>
      <c r="CB17" s="135">
        <v>0.0052</v>
      </c>
      <c r="CC17" s="135">
        <v>0.0577</v>
      </c>
      <c r="CD17" s="135">
        <v>0.5197</v>
      </c>
      <c r="CE17" s="135">
        <v>0.6299</v>
      </c>
      <c r="CF17" s="135">
        <v>0.0079</v>
      </c>
      <c r="CG17" s="135">
        <v>0.622</v>
      </c>
      <c r="CH17" s="135">
        <v>0.5249</v>
      </c>
      <c r="CI17" s="135">
        <v>0.6273</v>
      </c>
      <c r="CJ17" s="135">
        <v>0.0079</v>
      </c>
      <c r="CK17" s="135">
        <v>0.6194</v>
      </c>
      <c r="CL17" s="135">
        <v>0.7218</v>
      </c>
      <c r="CM17" s="135">
        <v>106.3</v>
      </c>
      <c r="CN17" s="135">
        <v>67.72</v>
      </c>
      <c r="CO17" s="135">
        <v>156.98</v>
      </c>
      <c r="CP17" s="135">
        <v>92.86</v>
      </c>
      <c r="CQ17" s="135">
        <v>0.0</v>
      </c>
      <c r="CR17" s="135">
        <v>8.08</v>
      </c>
      <c r="CS17" s="135">
        <v>5.35</v>
      </c>
      <c r="CT17" s="135">
        <v>0.0</v>
      </c>
      <c r="CU17" s="135">
        <v>0.0</v>
      </c>
      <c r="CV17" s="135">
        <v>0.0</v>
      </c>
      <c r="CW17" s="135">
        <v>132.02</v>
      </c>
      <c r="CX17" s="135">
        <v>0.0</v>
      </c>
      <c r="CY17" s="135">
        <v>0.0</v>
      </c>
      <c r="CZ17" s="135">
        <v>75.77</v>
      </c>
      <c r="DA17" s="135">
        <v>0.45</v>
      </c>
      <c r="DB17" s="135">
        <v>75.33</v>
      </c>
      <c r="DC17" s="135">
        <v>71.89</v>
      </c>
      <c r="DD17" s="135">
        <v>0.29</v>
      </c>
      <c r="DE17" s="135">
        <v>71.6</v>
      </c>
      <c r="DF17" s="135">
        <v>1.81</v>
      </c>
      <c r="DG17" s="135">
        <v>0.05</v>
      </c>
      <c r="DH17" s="135">
        <v>1.76</v>
      </c>
      <c r="DI17" s="135">
        <v>2.02</v>
      </c>
      <c r="DJ17" s="135">
        <v>0.05</v>
      </c>
      <c r="DK17" s="135">
        <v>1.97</v>
      </c>
      <c r="DL17" s="135">
        <v>0.05</v>
      </c>
      <c r="DM17" s="135">
        <v>0.05</v>
      </c>
      <c r="DN17" s="135">
        <v>0.0</v>
      </c>
    </row>
    <row r="18">
      <c r="A18" s="209">
        <v>46256.0</v>
      </c>
      <c r="B18" s="210" t="s">
        <v>4</v>
      </c>
      <c r="C18" s="210" t="s">
        <v>145</v>
      </c>
      <c r="D18" s="210">
        <v>260.0</v>
      </c>
      <c r="E18" s="210">
        <v>7.72</v>
      </c>
      <c r="F18" s="210">
        <v>27.38</v>
      </c>
      <c r="G18" s="210">
        <v>0.1053</v>
      </c>
      <c r="H18" s="210">
        <v>3.08</v>
      </c>
      <c r="I18" s="210">
        <v>3.4225</v>
      </c>
      <c r="J18" s="210">
        <v>88.81</v>
      </c>
      <c r="K18" s="210">
        <v>66.49</v>
      </c>
      <c r="L18" s="210">
        <v>57.95</v>
      </c>
      <c r="M18" s="210">
        <v>0.8715</v>
      </c>
      <c r="N18" s="210">
        <v>0.1683</v>
      </c>
      <c r="O18" s="210">
        <v>0.1158</v>
      </c>
      <c r="P18" s="210">
        <v>1.1474</v>
      </c>
      <c r="Q18" s="210">
        <v>360.58</v>
      </c>
      <c r="R18" s="210">
        <v>260.46</v>
      </c>
      <c r="S18" s="210">
        <v>100.12</v>
      </c>
      <c r="T18" s="210">
        <v>8.27</v>
      </c>
      <c r="U18" s="210">
        <v>352.31</v>
      </c>
      <c r="V18" s="210">
        <v>293.27</v>
      </c>
      <c r="W18" s="210">
        <v>4.4108</v>
      </c>
      <c r="X18" s="210">
        <v>2.29</v>
      </c>
      <c r="Y18" s="210">
        <v>415.0</v>
      </c>
      <c r="Z18" s="210">
        <v>536.0</v>
      </c>
      <c r="AA18" s="210">
        <v>654.0</v>
      </c>
      <c r="AB18" s="210">
        <v>50.7374</v>
      </c>
      <c r="AC18" s="210">
        <v>0.852</v>
      </c>
      <c r="AD18" s="210">
        <v>36.63</v>
      </c>
      <c r="AE18" s="210">
        <v>20.0</v>
      </c>
      <c r="AF18" s="210">
        <v>37.0</v>
      </c>
      <c r="AG18" s="210">
        <v>47.0</v>
      </c>
      <c r="AH18" s="210">
        <v>64.0</v>
      </c>
      <c r="AI18" s="210">
        <v>61.15</v>
      </c>
      <c r="AJ18" s="210">
        <v>11.54</v>
      </c>
      <c r="AK18" s="210">
        <v>0.38</v>
      </c>
      <c r="AL18" s="210">
        <v>0.2615</v>
      </c>
      <c r="AM18" s="211"/>
      <c r="AQ18" s="135">
        <v>21.8038</v>
      </c>
      <c r="AR18" s="135">
        <v>0.4808</v>
      </c>
      <c r="AS18" s="135">
        <v>21.3231</v>
      </c>
      <c r="AT18" s="135">
        <v>11.6154</v>
      </c>
      <c r="AU18" s="135">
        <v>0.1747</v>
      </c>
      <c r="AV18" s="135">
        <v>260.0</v>
      </c>
      <c r="AW18" s="135">
        <v>0.0</v>
      </c>
      <c r="AX18" s="135">
        <v>266.77</v>
      </c>
      <c r="AY18" s="135">
        <v>76.0</v>
      </c>
      <c r="AZ18" s="135">
        <v>1.23</v>
      </c>
      <c r="BA18" s="135">
        <v>8.27</v>
      </c>
      <c r="BB18" s="135">
        <v>8.31</v>
      </c>
      <c r="BC18" s="135">
        <v>98.0</v>
      </c>
      <c r="BD18" s="135">
        <v>997.0</v>
      </c>
      <c r="BE18" s="135">
        <v>14.6077</v>
      </c>
      <c r="BF18" s="135">
        <v>0.4038</v>
      </c>
      <c r="BG18" s="135">
        <v>14.2038</v>
      </c>
      <c r="BH18" s="135">
        <v>5.9808</v>
      </c>
      <c r="BI18" s="135">
        <v>0.09</v>
      </c>
      <c r="BJ18" s="135">
        <v>7.1962</v>
      </c>
      <c r="BK18" s="135">
        <v>0.0769</v>
      </c>
      <c r="BL18" s="135">
        <v>7.1192</v>
      </c>
      <c r="BM18" s="135">
        <v>5.6346</v>
      </c>
      <c r="BN18" s="135">
        <v>0.0847</v>
      </c>
      <c r="BO18" s="135">
        <v>5.65</v>
      </c>
      <c r="BP18" s="135">
        <v>0.0808</v>
      </c>
      <c r="BQ18" s="135">
        <v>5.5692</v>
      </c>
      <c r="BR18" s="135">
        <v>2.3308</v>
      </c>
      <c r="BS18" s="135">
        <v>6.0269</v>
      </c>
      <c r="BT18" s="135">
        <v>0.1615</v>
      </c>
      <c r="BU18" s="135">
        <v>5.8654</v>
      </c>
      <c r="BV18" s="135">
        <v>2.2115</v>
      </c>
      <c r="BW18" s="135">
        <v>2.9308</v>
      </c>
      <c r="BX18" s="135">
        <v>0.1615</v>
      </c>
      <c r="BY18" s="135">
        <v>2.7692</v>
      </c>
      <c r="BZ18" s="135">
        <v>1.4385</v>
      </c>
      <c r="CA18" s="135">
        <v>1.0</v>
      </c>
      <c r="CB18" s="135">
        <v>0.0192</v>
      </c>
      <c r="CC18" s="135">
        <v>0.9808</v>
      </c>
      <c r="CD18" s="135">
        <v>1.4231</v>
      </c>
      <c r="CE18" s="135">
        <v>3.0115</v>
      </c>
      <c r="CF18" s="135">
        <v>0.0231</v>
      </c>
      <c r="CG18" s="135">
        <v>2.9885</v>
      </c>
      <c r="CH18" s="135">
        <v>2.0231</v>
      </c>
      <c r="CI18" s="135">
        <v>3.1846</v>
      </c>
      <c r="CJ18" s="135">
        <v>0.0346</v>
      </c>
      <c r="CK18" s="135">
        <v>3.15</v>
      </c>
      <c r="CL18" s="135">
        <v>2.1885</v>
      </c>
      <c r="CM18" s="135">
        <v>499.37</v>
      </c>
      <c r="CN18" s="135">
        <v>97.31</v>
      </c>
      <c r="CO18" s="135">
        <v>513.18</v>
      </c>
      <c r="CP18" s="135">
        <v>452.27</v>
      </c>
      <c r="CQ18" s="135">
        <v>0.0</v>
      </c>
      <c r="CR18" s="135">
        <v>22.77</v>
      </c>
      <c r="CS18" s="135">
        <v>24.33</v>
      </c>
      <c r="CT18" s="135">
        <v>0.0</v>
      </c>
      <c r="CU18" s="135">
        <v>0.0</v>
      </c>
      <c r="CV18" s="135">
        <v>0.0</v>
      </c>
      <c r="CW18" s="135">
        <v>360.58</v>
      </c>
      <c r="CX18" s="135">
        <v>0.0</v>
      </c>
      <c r="CY18" s="135">
        <v>0.0</v>
      </c>
      <c r="CZ18" s="135">
        <v>263.5</v>
      </c>
      <c r="DA18" s="135">
        <v>0.35</v>
      </c>
      <c r="DB18" s="135">
        <v>263.15</v>
      </c>
      <c r="DC18" s="135">
        <v>249.65</v>
      </c>
      <c r="DD18" s="135">
        <v>0.35</v>
      </c>
      <c r="DE18" s="135">
        <v>249.31</v>
      </c>
      <c r="DF18" s="135">
        <v>7.5</v>
      </c>
      <c r="DG18" s="135">
        <v>0.0</v>
      </c>
      <c r="DH18" s="135">
        <v>7.5</v>
      </c>
      <c r="DI18" s="135">
        <v>6.35</v>
      </c>
      <c r="DJ18" s="135">
        <v>0.0</v>
      </c>
      <c r="DK18" s="135">
        <v>6.35</v>
      </c>
      <c r="DL18" s="135">
        <v>0.0</v>
      </c>
      <c r="DM18" s="135">
        <v>0.0</v>
      </c>
      <c r="DN18" s="135">
        <v>0.0</v>
      </c>
    </row>
    <row r="19">
      <c r="A19" s="209">
        <v>46256.0</v>
      </c>
      <c r="B19" s="210" t="s">
        <v>4</v>
      </c>
      <c r="C19" s="210" t="s">
        <v>146</v>
      </c>
      <c r="D19" s="210">
        <v>80.0</v>
      </c>
      <c r="E19" s="210">
        <v>2.38</v>
      </c>
      <c r="F19" s="210">
        <v>7.18</v>
      </c>
      <c r="G19" s="210">
        <v>0.0897</v>
      </c>
      <c r="H19" s="210">
        <v>3.75</v>
      </c>
      <c r="I19" s="210">
        <v>2.3933</v>
      </c>
      <c r="J19" s="210">
        <v>259.08</v>
      </c>
      <c r="K19" s="210">
        <v>185.09</v>
      </c>
      <c r="L19" s="210">
        <v>148.85</v>
      </c>
      <c r="M19" s="210">
        <v>0.8042</v>
      </c>
      <c r="N19" s="210">
        <v>0.2246</v>
      </c>
      <c r="O19" s="210">
        <v>0.1427</v>
      </c>
      <c r="P19" s="210">
        <v>1.2434</v>
      </c>
      <c r="Q19" s="210">
        <v>806.15</v>
      </c>
      <c r="R19" s="210">
        <v>576.9</v>
      </c>
      <c r="S19" s="210">
        <v>229.25</v>
      </c>
      <c r="T19" s="210">
        <v>17.5</v>
      </c>
      <c r="U19" s="210">
        <v>788.65</v>
      </c>
      <c r="V19" s="210">
        <v>976.88</v>
      </c>
      <c r="W19" s="210">
        <v>5.2779</v>
      </c>
      <c r="X19" s="210">
        <v>2.17</v>
      </c>
      <c r="Y19" s="210">
        <v>535.0</v>
      </c>
      <c r="Z19" s="210">
        <v>784.0</v>
      </c>
      <c r="AA19" s="210">
        <v>1176.0</v>
      </c>
      <c r="AB19" s="210">
        <v>54.9105</v>
      </c>
      <c r="AC19" s="210">
        <v>0.8667</v>
      </c>
      <c r="AD19" s="210">
        <v>58.11</v>
      </c>
      <c r="AE19" s="210">
        <v>30.0</v>
      </c>
      <c r="AF19" s="210">
        <v>45.0</v>
      </c>
      <c r="AG19" s="210">
        <v>71.0</v>
      </c>
      <c r="AH19" s="210">
        <v>116.0</v>
      </c>
      <c r="AI19" s="210">
        <v>20.0</v>
      </c>
      <c r="AJ19" s="210">
        <v>3.75</v>
      </c>
      <c r="AK19" s="210">
        <v>0.0</v>
      </c>
      <c r="AL19" s="210">
        <v>0.1875</v>
      </c>
      <c r="AM19" s="211"/>
      <c r="AQ19" s="135">
        <v>53.8375</v>
      </c>
      <c r="AR19" s="135">
        <v>5.6625</v>
      </c>
      <c r="AS19" s="135">
        <v>48.175</v>
      </c>
      <c r="AT19" s="135">
        <v>36.6</v>
      </c>
      <c r="AU19" s="135">
        <v>0.1977</v>
      </c>
      <c r="AV19" s="135">
        <v>80.0</v>
      </c>
      <c r="AW19" s="135">
        <v>0.0</v>
      </c>
      <c r="AX19" s="135">
        <v>567.19</v>
      </c>
      <c r="AY19" s="135">
        <v>186.06</v>
      </c>
      <c r="AZ19" s="135">
        <v>6.25</v>
      </c>
      <c r="BA19" s="135">
        <v>17.5</v>
      </c>
      <c r="BB19" s="135">
        <v>29.15</v>
      </c>
      <c r="BC19" s="135">
        <v>219.0</v>
      </c>
      <c r="BD19" s="135">
        <v>1866.0</v>
      </c>
      <c r="BE19" s="135">
        <v>34.3875</v>
      </c>
      <c r="BF19" s="135">
        <v>5.4</v>
      </c>
      <c r="BG19" s="135">
        <v>28.9875</v>
      </c>
      <c r="BH19" s="135">
        <v>20.35</v>
      </c>
      <c r="BI19" s="135">
        <v>0.1099</v>
      </c>
      <c r="BJ19" s="135">
        <v>19.45</v>
      </c>
      <c r="BK19" s="135">
        <v>0.2625</v>
      </c>
      <c r="BL19" s="135">
        <v>19.1875</v>
      </c>
      <c r="BM19" s="135">
        <v>16.25</v>
      </c>
      <c r="BN19" s="135">
        <v>0.0878</v>
      </c>
      <c r="BO19" s="135">
        <v>11.5</v>
      </c>
      <c r="BP19" s="135">
        <v>1.15</v>
      </c>
      <c r="BQ19" s="135">
        <v>10.35</v>
      </c>
      <c r="BR19" s="135">
        <v>7.2625</v>
      </c>
      <c r="BS19" s="135">
        <v>14.125</v>
      </c>
      <c r="BT19" s="135">
        <v>1.75</v>
      </c>
      <c r="BU19" s="135">
        <v>12.375</v>
      </c>
      <c r="BV19" s="135">
        <v>8.1375</v>
      </c>
      <c r="BW19" s="135">
        <v>8.7625</v>
      </c>
      <c r="BX19" s="135">
        <v>2.5</v>
      </c>
      <c r="BY19" s="135">
        <v>6.2625</v>
      </c>
      <c r="BZ19" s="135">
        <v>4.95</v>
      </c>
      <c r="CA19" s="135">
        <v>4.05</v>
      </c>
      <c r="CB19" s="135">
        <v>0.0625</v>
      </c>
      <c r="CC19" s="135">
        <v>3.9875</v>
      </c>
      <c r="CD19" s="135">
        <v>4.3</v>
      </c>
      <c r="CE19" s="135">
        <v>7.525</v>
      </c>
      <c r="CF19" s="135">
        <v>0.1</v>
      </c>
      <c r="CG19" s="135">
        <v>7.425</v>
      </c>
      <c r="CH19" s="135">
        <v>5.6875</v>
      </c>
      <c r="CI19" s="135">
        <v>7.875</v>
      </c>
      <c r="CJ19" s="135">
        <v>0.1</v>
      </c>
      <c r="CK19" s="135">
        <v>7.775</v>
      </c>
      <c r="CL19" s="135">
        <v>6.2625</v>
      </c>
      <c r="CM19" s="135">
        <v>1537.26</v>
      </c>
      <c r="CN19" s="135">
        <v>98.75</v>
      </c>
      <c r="CO19" s="135">
        <v>1556.72</v>
      </c>
      <c r="CP19" s="135">
        <v>1476.01</v>
      </c>
      <c r="CQ19" s="135">
        <v>0.0</v>
      </c>
      <c r="CR19" s="135">
        <v>21.5</v>
      </c>
      <c r="CS19" s="135">
        <v>39.75</v>
      </c>
      <c r="CT19" s="135">
        <v>0.0</v>
      </c>
      <c r="CU19" s="135">
        <v>0.0</v>
      </c>
      <c r="CV19" s="135">
        <v>0.0</v>
      </c>
      <c r="CW19" s="135">
        <v>806.15</v>
      </c>
      <c r="CX19" s="135">
        <v>0.0</v>
      </c>
      <c r="CY19" s="135">
        <v>0.0</v>
      </c>
      <c r="CZ19" s="135">
        <v>638.31</v>
      </c>
      <c r="DA19" s="135">
        <v>0.0</v>
      </c>
      <c r="DB19" s="135">
        <v>638.31</v>
      </c>
      <c r="DC19" s="135">
        <v>607.06</v>
      </c>
      <c r="DD19" s="135">
        <v>0.0</v>
      </c>
      <c r="DE19" s="135">
        <v>607.06</v>
      </c>
      <c r="DF19" s="135">
        <v>19.69</v>
      </c>
      <c r="DG19" s="135">
        <v>0.0</v>
      </c>
      <c r="DH19" s="135">
        <v>19.69</v>
      </c>
      <c r="DI19" s="135">
        <v>11.56</v>
      </c>
      <c r="DJ19" s="135">
        <v>0.0</v>
      </c>
      <c r="DK19" s="135">
        <v>11.56</v>
      </c>
      <c r="DL19" s="135">
        <v>0.0</v>
      </c>
      <c r="DM19" s="135">
        <v>0.0</v>
      </c>
      <c r="DN19" s="135">
        <v>0.0</v>
      </c>
    </row>
    <row r="20">
      <c r="A20" s="209">
        <v>46256.0</v>
      </c>
      <c r="B20" s="210" t="s">
        <v>5</v>
      </c>
      <c r="C20" s="210" t="s">
        <v>398</v>
      </c>
      <c r="D20" s="210">
        <v>973.0</v>
      </c>
      <c r="E20" s="210">
        <v>28.81</v>
      </c>
      <c r="F20" s="210">
        <v>0.0</v>
      </c>
      <c r="G20" s="210">
        <v>0.0</v>
      </c>
      <c r="H20" s="210">
        <v>0.0</v>
      </c>
      <c r="I20" s="210"/>
      <c r="J20" s="210">
        <v>1.65</v>
      </c>
      <c r="K20" s="210">
        <v>0.04</v>
      </c>
      <c r="L20" s="210">
        <v>0.0</v>
      </c>
      <c r="M20" s="210">
        <v>0.0</v>
      </c>
      <c r="N20" s="210">
        <v>1.0</v>
      </c>
      <c r="O20" s="210">
        <v>1.0</v>
      </c>
      <c r="P20" s="210"/>
      <c r="Q20" s="210">
        <v>0.49</v>
      </c>
      <c r="R20" s="210">
        <v>0.48</v>
      </c>
      <c r="S20" s="210">
        <v>0.01</v>
      </c>
      <c r="T20" s="210">
        <v>0.0</v>
      </c>
      <c r="U20" s="210">
        <v>0.49</v>
      </c>
      <c r="V20" s="210">
        <v>0.31</v>
      </c>
      <c r="W20" s="210">
        <v>8.1081</v>
      </c>
      <c r="X20" s="210">
        <v>0.0</v>
      </c>
      <c r="Y20" s="210">
        <v>200.0</v>
      </c>
      <c r="Z20" s="210">
        <v>200.0</v>
      </c>
      <c r="AA20" s="210">
        <v>200.0</v>
      </c>
      <c r="AB20" s="210">
        <v>50.0903</v>
      </c>
      <c r="AC20" s="210">
        <v>0.7174</v>
      </c>
      <c r="AD20" s="211"/>
      <c r="AE20" s="211"/>
      <c r="AF20" s="211"/>
      <c r="AG20" s="211"/>
      <c r="AH20" s="211"/>
      <c r="AI20" s="210">
        <v>0.0</v>
      </c>
      <c r="AJ20" s="210">
        <v>0.0</v>
      </c>
      <c r="AK20" s="210">
        <v>0.0</v>
      </c>
      <c r="AL20" s="210">
        <v>0.9013</v>
      </c>
      <c r="AM20" s="210">
        <v>0.0</v>
      </c>
      <c r="AN20" s="135">
        <v>0.0</v>
      </c>
      <c r="AO20" s="135">
        <v>0.0</v>
      </c>
      <c r="AP20" s="135">
        <v>0.0</v>
      </c>
      <c r="AQ20" s="135">
        <v>0.0319</v>
      </c>
      <c r="AR20" s="135">
        <v>0.0031</v>
      </c>
      <c r="AS20" s="135">
        <v>0.0288</v>
      </c>
      <c r="AT20" s="135">
        <v>0.0062</v>
      </c>
      <c r="AU20" s="135">
        <v>0.1622</v>
      </c>
      <c r="AV20" s="135">
        <v>973.0</v>
      </c>
      <c r="AW20" s="135">
        <v>0.0</v>
      </c>
      <c r="AX20" s="135">
        <v>0.44</v>
      </c>
      <c r="AY20" s="135">
        <v>0.05</v>
      </c>
      <c r="AZ20" s="135">
        <v>0.0</v>
      </c>
      <c r="BA20" s="135">
        <v>0.0</v>
      </c>
      <c r="BB20" s="135">
        <v>0.0</v>
      </c>
      <c r="BD20" s="135">
        <v>240.0</v>
      </c>
      <c r="BE20" s="135">
        <v>0.0247</v>
      </c>
      <c r="BF20" s="135">
        <v>0.0031</v>
      </c>
      <c r="BG20" s="135">
        <v>0.0216</v>
      </c>
      <c r="BH20" s="135">
        <v>0.0062</v>
      </c>
      <c r="BI20" s="135">
        <v>0.1622</v>
      </c>
      <c r="BJ20" s="135">
        <v>0.0072</v>
      </c>
      <c r="BK20" s="135">
        <v>0.0</v>
      </c>
      <c r="BL20" s="135">
        <v>0.0072</v>
      </c>
      <c r="BM20" s="135">
        <v>0.0</v>
      </c>
      <c r="BN20" s="135">
        <v>0.0</v>
      </c>
      <c r="BO20" s="135">
        <v>0.0031</v>
      </c>
      <c r="BP20" s="135">
        <v>0.0</v>
      </c>
      <c r="BQ20" s="135">
        <v>0.0031</v>
      </c>
      <c r="BR20" s="135">
        <v>0.0031</v>
      </c>
      <c r="BS20" s="135">
        <v>0.0092</v>
      </c>
      <c r="BT20" s="135">
        <v>0.0</v>
      </c>
      <c r="BU20" s="135">
        <v>0.0092</v>
      </c>
      <c r="BV20" s="135">
        <v>0.0021</v>
      </c>
      <c r="BW20" s="135">
        <v>0.0123</v>
      </c>
      <c r="BX20" s="135">
        <v>0.0031</v>
      </c>
      <c r="BY20" s="135">
        <v>0.0092</v>
      </c>
      <c r="BZ20" s="135">
        <v>0.001</v>
      </c>
      <c r="CA20" s="135">
        <v>0.001</v>
      </c>
      <c r="CB20" s="135">
        <v>0.0</v>
      </c>
      <c r="CC20" s="135">
        <v>0.001</v>
      </c>
      <c r="CD20" s="135">
        <v>0.0</v>
      </c>
      <c r="CE20" s="135">
        <v>0.0051</v>
      </c>
      <c r="CF20" s="135">
        <v>0.0</v>
      </c>
      <c r="CG20" s="135">
        <v>0.0051</v>
      </c>
      <c r="CH20" s="135">
        <v>0.0</v>
      </c>
      <c r="CI20" s="135">
        <v>0.001</v>
      </c>
      <c r="CJ20" s="135">
        <v>0.0</v>
      </c>
      <c r="CK20" s="135">
        <v>0.001</v>
      </c>
      <c r="CL20" s="135">
        <v>0.0</v>
      </c>
      <c r="CM20" s="135">
        <v>0.09</v>
      </c>
      <c r="CN20" s="135">
        <v>0.21</v>
      </c>
      <c r="CO20" s="135">
        <v>45.0</v>
      </c>
      <c r="CP20" s="135">
        <v>0.0</v>
      </c>
      <c r="CQ20" s="135">
        <v>0.0</v>
      </c>
      <c r="CR20" s="135">
        <v>0.04</v>
      </c>
      <c r="CS20" s="135">
        <v>0.05</v>
      </c>
      <c r="CT20" s="135">
        <v>0.0</v>
      </c>
      <c r="CU20" s="135">
        <v>1.0</v>
      </c>
      <c r="CV20" s="135">
        <v>0.0</v>
      </c>
      <c r="CW20" s="135">
        <v>0.49</v>
      </c>
      <c r="CX20" s="135">
        <v>0.0</v>
      </c>
      <c r="CY20" s="135">
        <v>0.0</v>
      </c>
      <c r="CZ20" s="135">
        <v>0.48</v>
      </c>
      <c r="DA20" s="135">
        <v>0.0</v>
      </c>
      <c r="DB20" s="135">
        <v>0.48</v>
      </c>
      <c r="DC20" s="135">
        <v>0.48</v>
      </c>
      <c r="DD20" s="135">
        <v>0.0</v>
      </c>
      <c r="DE20" s="135">
        <v>0.48</v>
      </c>
      <c r="DF20" s="135">
        <v>0.0</v>
      </c>
      <c r="DG20" s="135">
        <v>0.0</v>
      </c>
      <c r="DH20" s="135">
        <v>0.0</v>
      </c>
      <c r="DI20" s="135">
        <v>0.0</v>
      </c>
      <c r="DJ20" s="135">
        <v>0.0</v>
      </c>
      <c r="DK20" s="135">
        <v>0.0</v>
      </c>
      <c r="DL20" s="135">
        <v>0.0</v>
      </c>
      <c r="DM20" s="135">
        <v>0.0</v>
      </c>
      <c r="DN20" s="135">
        <v>0.0</v>
      </c>
    </row>
    <row r="21">
      <c r="A21" s="209">
        <v>46256.0</v>
      </c>
      <c r="B21" s="210" t="s">
        <v>5</v>
      </c>
      <c r="C21" s="210" t="s">
        <v>142</v>
      </c>
      <c r="D21" s="210">
        <v>1126.0</v>
      </c>
      <c r="E21" s="210">
        <v>33.34</v>
      </c>
      <c r="F21" s="210">
        <v>0.0</v>
      </c>
      <c r="G21" s="210">
        <v>0.0</v>
      </c>
      <c r="H21" s="210">
        <v>0.0</v>
      </c>
      <c r="I21" s="210"/>
      <c r="J21" s="210">
        <v>5.18</v>
      </c>
      <c r="K21" s="210">
        <v>4.25</v>
      </c>
      <c r="L21" s="210">
        <v>4.01</v>
      </c>
      <c r="M21" s="210">
        <v>0.9436</v>
      </c>
      <c r="N21" s="210">
        <v>0.0599</v>
      </c>
      <c r="O21" s="210">
        <v>0.0428</v>
      </c>
      <c r="P21" s="210">
        <v>1.0597</v>
      </c>
      <c r="Q21" s="210">
        <v>4.98</v>
      </c>
      <c r="R21" s="210">
        <v>4.49</v>
      </c>
      <c r="S21" s="210">
        <v>0.48</v>
      </c>
      <c r="T21" s="210">
        <v>0.0</v>
      </c>
      <c r="U21" s="210">
        <v>4.98</v>
      </c>
      <c r="V21" s="210">
        <v>5.42</v>
      </c>
      <c r="W21" s="210">
        <v>1.2738</v>
      </c>
      <c r="X21" s="210">
        <v>0.0</v>
      </c>
      <c r="Y21" s="210">
        <v>200.0</v>
      </c>
      <c r="Z21" s="210">
        <v>200.0</v>
      </c>
      <c r="AA21" s="210">
        <v>222.0</v>
      </c>
      <c r="AB21" s="210">
        <v>50.0</v>
      </c>
      <c r="AC21" s="210">
        <v>0.8494</v>
      </c>
      <c r="AD21" s="210">
        <v>3.88</v>
      </c>
      <c r="AE21" s="210">
        <v>2.0</v>
      </c>
      <c r="AF21" s="210">
        <v>3.0</v>
      </c>
      <c r="AG21" s="210">
        <v>5.0</v>
      </c>
      <c r="AH21" s="210">
        <v>8.0</v>
      </c>
      <c r="AI21" s="210">
        <v>79.31</v>
      </c>
      <c r="AJ21" s="210">
        <v>39.7</v>
      </c>
      <c r="AK21" s="210">
        <v>0.8</v>
      </c>
      <c r="AL21" s="210">
        <v>0.857</v>
      </c>
      <c r="AM21" s="210">
        <v>0.0</v>
      </c>
      <c r="AN21" s="135">
        <v>0.0</v>
      </c>
      <c r="AO21" s="135">
        <v>0.0</v>
      </c>
      <c r="AP21" s="135">
        <v>0.0</v>
      </c>
      <c r="AQ21" s="135">
        <v>0.3615</v>
      </c>
      <c r="AR21" s="135">
        <v>0.048</v>
      </c>
      <c r="AS21" s="135">
        <v>0.3135</v>
      </c>
      <c r="AT21" s="135">
        <v>0.5435</v>
      </c>
      <c r="AU21" s="135">
        <v>0.1278</v>
      </c>
      <c r="AV21" s="135">
        <v>1126.0</v>
      </c>
      <c r="AW21" s="135">
        <v>0.0</v>
      </c>
      <c r="AX21" s="135">
        <v>4.98</v>
      </c>
      <c r="AY21" s="135">
        <v>0.0</v>
      </c>
      <c r="AZ21" s="135">
        <v>0.0</v>
      </c>
      <c r="BA21" s="135">
        <v>0.0</v>
      </c>
      <c r="BB21" s="135">
        <v>0.0</v>
      </c>
      <c r="BC21" s="135">
        <v>9.0</v>
      </c>
      <c r="BD21" s="135">
        <v>265.0</v>
      </c>
      <c r="BE21" s="135">
        <v>0.3544</v>
      </c>
      <c r="BF21" s="135">
        <v>0.048</v>
      </c>
      <c r="BG21" s="135">
        <v>0.3064</v>
      </c>
      <c r="BH21" s="135">
        <v>0.5417</v>
      </c>
      <c r="BI21" s="135">
        <v>0.1274</v>
      </c>
      <c r="BJ21" s="135">
        <v>0.0071</v>
      </c>
      <c r="BK21" s="135">
        <v>0.0</v>
      </c>
      <c r="BL21" s="135">
        <v>0.0071</v>
      </c>
      <c r="BM21" s="135">
        <v>0.0018</v>
      </c>
      <c r="BN21" s="135">
        <v>4.0E-4</v>
      </c>
      <c r="BO21" s="135">
        <v>0.0266</v>
      </c>
      <c r="BP21" s="135">
        <v>0.024</v>
      </c>
      <c r="BQ21" s="135">
        <v>0.0027</v>
      </c>
      <c r="BR21" s="135">
        <v>0.254</v>
      </c>
      <c r="BS21" s="135">
        <v>0.2647</v>
      </c>
      <c r="BT21" s="135">
        <v>0.0107</v>
      </c>
      <c r="BU21" s="135">
        <v>0.254</v>
      </c>
      <c r="BV21" s="135">
        <v>0.1456</v>
      </c>
      <c r="BW21" s="135">
        <v>0.0631</v>
      </c>
      <c r="BX21" s="135">
        <v>0.0133</v>
      </c>
      <c r="BY21" s="135">
        <v>0.0497</v>
      </c>
      <c r="BZ21" s="135">
        <v>0.1421</v>
      </c>
      <c r="CA21" s="135">
        <v>0.0</v>
      </c>
      <c r="CB21" s="135">
        <v>0.0</v>
      </c>
      <c r="CC21" s="135">
        <v>0.0</v>
      </c>
      <c r="CD21" s="135">
        <v>0.0</v>
      </c>
      <c r="CE21" s="135">
        <v>0.0027</v>
      </c>
      <c r="CF21" s="135">
        <v>0.0</v>
      </c>
      <c r="CG21" s="135">
        <v>0.0027</v>
      </c>
      <c r="CH21" s="135">
        <v>9.0E-4</v>
      </c>
      <c r="CI21" s="135">
        <v>0.0044</v>
      </c>
      <c r="CJ21" s="135">
        <v>0.0</v>
      </c>
      <c r="CK21" s="135">
        <v>0.0044</v>
      </c>
      <c r="CL21" s="135">
        <v>9.0E-4</v>
      </c>
      <c r="CM21" s="135">
        <v>0.04</v>
      </c>
      <c r="CN21" s="135">
        <v>0.09</v>
      </c>
      <c r="CO21" s="135">
        <v>50.0</v>
      </c>
      <c r="CP21" s="135">
        <v>0.01</v>
      </c>
      <c r="CQ21" s="135">
        <v>0.0</v>
      </c>
      <c r="CR21" s="135">
        <v>0.04</v>
      </c>
      <c r="CS21" s="135">
        <v>0.0</v>
      </c>
      <c r="CT21" s="135">
        <v>0.0</v>
      </c>
      <c r="CU21" s="135">
        <v>10.0</v>
      </c>
      <c r="CV21" s="135">
        <v>0.0</v>
      </c>
      <c r="CW21" s="135">
        <v>4.98</v>
      </c>
      <c r="CX21" s="135">
        <v>0.0</v>
      </c>
      <c r="CY21" s="135">
        <v>0.0</v>
      </c>
      <c r="CZ21" s="135">
        <v>1.88</v>
      </c>
      <c r="DA21" s="135">
        <v>0.0</v>
      </c>
      <c r="DB21" s="135">
        <v>1.88</v>
      </c>
      <c r="DC21" s="135">
        <v>1.88</v>
      </c>
      <c r="DD21" s="135">
        <v>0.0</v>
      </c>
      <c r="DE21" s="135">
        <v>1.88</v>
      </c>
      <c r="DF21" s="135">
        <v>0.0</v>
      </c>
      <c r="DG21" s="135">
        <v>0.0</v>
      </c>
      <c r="DH21" s="135">
        <v>0.0</v>
      </c>
      <c r="DI21" s="135">
        <v>0.0</v>
      </c>
      <c r="DJ21" s="135">
        <v>0.0</v>
      </c>
      <c r="DK21" s="135">
        <v>0.0</v>
      </c>
      <c r="DL21" s="135">
        <v>0.0</v>
      </c>
      <c r="DM21" s="135">
        <v>0.0</v>
      </c>
      <c r="DN21" s="135">
        <v>0.0</v>
      </c>
    </row>
    <row r="22">
      <c r="A22" s="209">
        <v>46256.0</v>
      </c>
      <c r="B22" s="210" t="s">
        <v>5</v>
      </c>
      <c r="C22" s="210" t="s">
        <v>143</v>
      </c>
      <c r="D22" s="210">
        <v>542.0</v>
      </c>
      <c r="E22" s="210">
        <v>16.05</v>
      </c>
      <c r="F22" s="210">
        <v>0.0</v>
      </c>
      <c r="G22" s="210">
        <v>0.0</v>
      </c>
      <c r="H22" s="210">
        <v>0.0</v>
      </c>
      <c r="I22" s="210"/>
      <c r="J22" s="210">
        <v>16.26</v>
      </c>
      <c r="K22" s="210">
        <v>13.92</v>
      </c>
      <c r="L22" s="210">
        <v>12.84</v>
      </c>
      <c r="M22" s="210">
        <v>0.9222</v>
      </c>
      <c r="N22" s="210">
        <v>0.0892</v>
      </c>
      <c r="O22" s="210">
        <v>0.0639</v>
      </c>
      <c r="P22" s="210">
        <v>1.0843</v>
      </c>
      <c r="Q22" s="210">
        <v>37.75</v>
      </c>
      <c r="R22" s="210">
        <v>28.77</v>
      </c>
      <c r="S22" s="210">
        <v>8.98</v>
      </c>
      <c r="T22" s="210">
        <v>0.0</v>
      </c>
      <c r="U22" s="210">
        <v>37.75</v>
      </c>
      <c r="V22" s="210">
        <v>35.24</v>
      </c>
      <c r="W22" s="210">
        <v>2.5308</v>
      </c>
      <c r="X22" s="210">
        <v>0.0</v>
      </c>
      <c r="Y22" s="210">
        <v>234.0</v>
      </c>
      <c r="Z22" s="210">
        <v>251.0</v>
      </c>
      <c r="AA22" s="210">
        <v>295.0</v>
      </c>
      <c r="AB22" s="210">
        <v>49.9018</v>
      </c>
      <c r="AC22" s="210">
        <v>0.9165</v>
      </c>
      <c r="AD22" s="210">
        <v>11.43</v>
      </c>
      <c r="AE22" s="210">
        <v>9.0</v>
      </c>
      <c r="AF22" s="210">
        <v>11.0</v>
      </c>
      <c r="AG22" s="210">
        <v>14.0</v>
      </c>
      <c r="AH22" s="210">
        <v>17.0</v>
      </c>
      <c r="AI22" s="210">
        <v>89.67</v>
      </c>
      <c r="AJ22" s="210">
        <v>38.75</v>
      </c>
      <c r="AK22" s="210">
        <v>0.55</v>
      </c>
      <c r="AL22" s="210">
        <v>0.6808</v>
      </c>
      <c r="AM22" s="210">
        <v>0.37</v>
      </c>
      <c r="AN22" s="135">
        <v>0.37</v>
      </c>
      <c r="AO22" s="135">
        <v>0.37</v>
      </c>
      <c r="AP22" s="135">
        <v>0.0</v>
      </c>
      <c r="AQ22" s="135">
        <v>2.1347</v>
      </c>
      <c r="AR22" s="135">
        <v>0.2768</v>
      </c>
      <c r="AS22" s="135">
        <v>1.8579</v>
      </c>
      <c r="AT22" s="135">
        <v>3.0627</v>
      </c>
      <c r="AU22" s="135">
        <v>0.22</v>
      </c>
      <c r="AV22" s="135">
        <v>542.0</v>
      </c>
      <c r="AW22" s="135">
        <v>0.0</v>
      </c>
      <c r="AX22" s="135">
        <v>37.37</v>
      </c>
      <c r="AY22" s="135">
        <v>0.24</v>
      </c>
      <c r="AZ22" s="135">
        <v>0.1</v>
      </c>
      <c r="BA22" s="135">
        <v>0.0</v>
      </c>
      <c r="BB22" s="135">
        <v>0.04</v>
      </c>
      <c r="BC22" s="135">
        <v>24.0</v>
      </c>
      <c r="BD22" s="135">
        <v>341.0</v>
      </c>
      <c r="BE22" s="135">
        <v>2.0314</v>
      </c>
      <c r="BF22" s="135">
        <v>0.2657</v>
      </c>
      <c r="BG22" s="135">
        <v>1.7657</v>
      </c>
      <c r="BH22" s="135">
        <v>2.8395</v>
      </c>
      <c r="BI22" s="135">
        <v>0.2039</v>
      </c>
      <c r="BJ22" s="135">
        <v>0.1033</v>
      </c>
      <c r="BK22" s="135">
        <v>0.0111</v>
      </c>
      <c r="BL22" s="135">
        <v>0.0923</v>
      </c>
      <c r="BM22" s="135">
        <v>0.2232</v>
      </c>
      <c r="BN22" s="135">
        <v>0.016</v>
      </c>
      <c r="BO22" s="135">
        <v>0.4631</v>
      </c>
      <c r="BP22" s="135">
        <v>0.1605</v>
      </c>
      <c r="BQ22" s="135">
        <v>0.3026</v>
      </c>
      <c r="BR22" s="135">
        <v>1.1697</v>
      </c>
      <c r="BS22" s="135">
        <v>1.0129</v>
      </c>
      <c r="BT22" s="135">
        <v>0.0166</v>
      </c>
      <c r="BU22" s="135">
        <v>0.9963</v>
      </c>
      <c r="BV22" s="135">
        <v>0.8358</v>
      </c>
      <c r="BW22" s="135">
        <v>0.5554</v>
      </c>
      <c r="BX22" s="135">
        <v>0.0886</v>
      </c>
      <c r="BY22" s="135">
        <v>0.4668</v>
      </c>
      <c r="BZ22" s="135">
        <v>0.8339</v>
      </c>
      <c r="CA22" s="135">
        <v>0.0018</v>
      </c>
      <c r="CB22" s="135">
        <v>0.0</v>
      </c>
      <c r="CC22" s="135">
        <v>0.0018</v>
      </c>
      <c r="CD22" s="135">
        <v>0.0627</v>
      </c>
      <c r="CE22" s="135">
        <v>0.0683</v>
      </c>
      <c r="CF22" s="135">
        <v>0.0</v>
      </c>
      <c r="CG22" s="135">
        <v>0.0683</v>
      </c>
      <c r="CH22" s="135">
        <v>0.0554</v>
      </c>
      <c r="CI22" s="135">
        <v>0.0332</v>
      </c>
      <c r="CJ22" s="135">
        <v>0.0111</v>
      </c>
      <c r="CK22" s="135">
        <v>0.0221</v>
      </c>
      <c r="CL22" s="135">
        <v>0.1052</v>
      </c>
      <c r="CM22" s="135">
        <v>8.73</v>
      </c>
      <c r="CN22" s="135">
        <v>15.31</v>
      </c>
      <c r="CO22" s="135">
        <v>56.98</v>
      </c>
      <c r="CP22" s="135">
        <v>7.85</v>
      </c>
      <c r="CQ22" s="135">
        <v>0.0</v>
      </c>
      <c r="CR22" s="135">
        <v>0.52</v>
      </c>
      <c r="CS22" s="135">
        <v>0.36</v>
      </c>
      <c r="CT22" s="135">
        <v>0.0</v>
      </c>
      <c r="CU22" s="135">
        <v>16.0</v>
      </c>
      <c r="CV22" s="135">
        <v>0.0</v>
      </c>
      <c r="CW22" s="135">
        <v>37.75</v>
      </c>
      <c r="CX22" s="135">
        <v>0.0</v>
      </c>
      <c r="CY22" s="135">
        <v>0.0</v>
      </c>
      <c r="CZ22" s="135">
        <v>23.19</v>
      </c>
      <c r="DA22" s="135">
        <v>0.0</v>
      </c>
      <c r="DB22" s="135">
        <v>23.19</v>
      </c>
      <c r="DC22" s="135">
        <v>22.86</v>
      </c>
      <c r="DD22" s="135">
        <v>0.0</v>
      </c>
      <c r="DE22" s="135">
        <v>22.86</v>
      </c>
      <c r="DF22" s="135">
        <v>0.28</v>
      </c>
      <c r="DG22" s="135">
        <v>0.0</v>
      </c>
      <c r="DH22" s="135">
        <v>0.28</v>
      </c>
      <c r="DI22" s="135">
        <v>0.06</v>
      </c>
      <c r="DJ22" s="135">
        <v>0.0</v>
      </c>
      <c r="DK22" s="135">
        <v>0.06</v>
      </c>
      <c r="DL22" s="135">
        <v>0.0</v>
      </c>
      <c r="DM22" s="135">
        <v>0.0</v>
      </c>
      <c r="DN22" s="135">
        <v>0.0</v>
      </c>
    </row>
    <row r="23">
      <c r="A23" s="209">
        <v>46256.0</v>
      </c>
      <c r="B23" s="210" t="s">
        <v>5</v>
      </c>
      <c r="C23" s="210" t="s">
        <v>144</v>
      </c>
      <c r="D23" s="210">
        <v>395.0</v>
      </c>
      <c r="E23" s="210">
        <v>11.7</v>
      </c>
      <c r="F23" s="210">
        <v>3.03</v>
      </c>
      <c r="G23" s="210">
        <v>0.0077</v>
      </c>
      <c r="H23" s="210">
        <v>0.25</v>
      </c>
      <c r="I23" s="210">
        <v>3.03</v>
      </c>
      <c r="J23" s="210">
        <v>34.68</v>
      </c>
      <c r="K23" s="210">
        <v>28.34</v>
      </c>
      <c r="L23" s="210">
        <v>25.45</v>
      </c>
      <c r="M23" s="210">
        <v>0.898</v>
      </c>
      <c r="N23" s="210">
        <v>0.1276</v>
      </c>
      <c r="O23" s="210">
        <v>0.0873</v>
      </c>
      <c r="P23" s="210">
        <v>1.1136</v>
      </c>
      <c r="Q23" s="210">
        <v>94.36</v>
      </c>
      <c r="R23" s="210">
        <v>79.76</v>
      </c>
      <c r="S23" s="210">
        <v>14.59</v>
      </c>
      <c r="T23" s="210">
        <v>0.0</v>
      </c>
      <c r="U23" s="210">
        <v>94.36</v>
      </c>
      <c r="V23" s="210">
        <v>96.08</v>
      </c>
      <c r="W23" s="210">
        <v>3.3896</v>
      </c>
      <c r="X23" s="210">
        <v>0.0</v>
      </c>
      <c r="Y23" s="210">
        <v>271.0</v>
      </c>
      <c r="Z23" s="210">
        <v>330.0</v>
      </c>
      <c r="AA23" s="210">
        <v>382.0</v>
      </c>
      <c r="AB23" s="210">
        <v>50.1346</v>
      </c>
      <c r="AC23" s="210">
        <v>0.9185</v>
      </c>
      <c r="AD23" s="210">
        <v>20.59</v>
      </c>
      <c r="AE23" s="210">
        <v>12.0</v>
      </c>
      <c r="AF23" s="210">
        <v>20.0</v>
      </c>
      <c r="AG23" s="210">
        <v>28.0</v>
      </c>
      <c r="AH23" s="210">
        <v>34.0</v>
      </c>
      <c r="AI23" s="210">
        <v>81.52</v>
      </c>
      <c r="AJ23" s="210">
        <v>33.16</v>
      </c>
      <c r="AK23" s="210">
        <v>1.27</v>
      </c>
      <c r="AL23" s="210">
        <v>0.5342</v>
      </c>
      <c r="AM23" s="210">
        <v>0.0</v>
      </c>
      <c r="AN23" s="135">
        <v>0.0</v>
      </c>
      <c r="AO23" s="135">
        <v>0.0</v>
      </c>
      <c r="AP23" s="135">
        <v>0.0</v>
      </c>
      <c r="AQ23" s="135">
        <v>6.2456</v>
      </c>
      <c r="AR23" s="135">
        <v>0.281</v>
      </c>
      <c r="AS23" s="135">
        <v>5.9646</v>
      </c>
      <c r="AT23" s="135">
        <v>4.0456</v>
      </c>
      <c r="AU23" s="135">
        <v>0.1427</v>
      </c>
      <c r="AV23" s="135">
        <v>395.0</v>
      </c>
      <c r="AW23" s="135">
        <v>0.0</v>
      </c>
      <c r="AX23" s="135">
        <v>84.11</v>
      </c>
      <c r="AY23" s="135">
        <v>8.43</v>
      </c>
      <c r="AZ23" s="135">
        <v>0.47</v>
      </c>
      <c r="BA23" s="135">
        <v>0.0</v>
      </c>
      <c r="BB23" s="135">
        <v>1.34</v>
      </c>
      <c r="BC23" s="135">
        <v>45.0</v>
      </c>
      <c r="BD23" s="135">
        <v>560.0</v>
      </c>
      <c r="BE23" s="135">
        <v>5.2253</v>
      </c>
      <c r="BF23" s="135">
        <v>0.281</v>
      </c>
      <c r="BG23" s="135">
        <v>4.9443</v>
      </c>
      <c r="BH23" s="135">
        <v>2.5468</v>
      </c>
      <c r="BI23" s="135">
        <v>0.0899</v>
      </c>
      <c r="BJ23" s="135">
        <v>1.0203</v>
      </c>
      <c r="BK23" s="135">
        <v>0.0</v>
      </c>
      <c r="BL23" s="135">
        <v>1.0203</v>
      </c>
      <c r="BM23" s="135">
        <v>1.4987</v>
      </c>
      <c r="BN23" s="135">
        <v>0.0529</v>
      </c>
      <c r="BO23" s="135">
        <v>1.5772</v>
      </c>
      <c r="BP23" s="135">
        <v>0.1367</v>
      </c>
      <c r="BQ23" s="135">
        <v>1.4405</v>
      </c>
      <c r="BR23" s="135">
        <v>1.0633</v>
      </c>
      <c r="BS23" s="135">
        <v>2.2886</v>
      </c>
      <c r="BT23" s="135">
        <v>0.0835</v>
      </c>
      <c r="BU23" s="135">
        <v>2.2051</v>
      </c>
      <c r="BV23" s="135">
        <v>0.8025</v>
      </c>
      <c r="BW23" s="135">
        <v>1.3595</v>
      </c>
      <c r="BX23" s="135">
        <v>0.0608</v>
      </c>
      <c r="BY23" s="135">
        <v>1.2987</v>
      </c>
      <c r="BZ23" s="135">
        <v>0.681</v>
      </c>
      <c r="CA23" s="135">
        <v>0.0709</v>
      </c>
      <c r="CB23" s="135">
        <v>0.0</v>
      </c>
      <c r="CC23" s="135">
        <v>0.0709</v>
      </c>
      <c r="CD23" s="135">
        <v>0.4304</v>
      </c>
      <c r="CE23" s="135">
        <v>0.4886</v>
      </c>
      <c r="CF23" s="135">
        <v>0.0</v>
      </c>
      <c r="CG23" s="135">
        <v>0.4886</v>
      </c>
      <c r="CH23" s="135">
        <v>0.4253</v>
      </c>
      <c r="CI23" s="135">
        <v>0.4608</v>
      </c>
      <c r="CJ23" s="135">
        <v>0.0</v>
      </c>
      <c r="CK23" s="135">
        <v>0.4608</v>
      </c>
      <c r="CL23" s="135">
        <v>0.643</v>
      </c>
      <c r="CM23" s="135">
        <v>79.81</v>
      </c>
      <c r="CN23" s="135">
        <v>64.05</v>
      </c>
      <c r="CO23" s="135">
        <v>124.6</v>
      </c>
      <c r="CP23" s="135">
        <v>67.93</v>
      </c>
      <c r="CQ23" s="135">
        <v>0.0</v>
      </c>
      <c r="CR23" s="135">
        <v>5.47</v>
      </c>
      <c r="CS23" s="135">
        <v>6.41</v>
      </c>
      <c r="CT23" s="135">
        <v>0.0</v>
      </c>
      <c r="CU23" s="135">
        <v>47.0</v>
      </c>
      <c r="CV23" s="135">
        <v>0.0</v>
      </c>
      <c r="CW23" s="135">
        <v>94.36</v>
      </c>
      <c r="CX23" s="135">
        <v>0.0</v>
      </c>
      <c r="CY23" s="135">
        <v>0.0</v>
      </c>
      <c r="CZ23" s="135">
        <v>83.11</v>
      </c>
      <c r="DA23" s="135">
        <v>0.0</v>
      </c>
      <c r="DB23" s="135">
        <v>83.11</v>
      </c>
      <c r="DC23" s="135">
        <v>77.72</v>
      </c>
      <c r="DD23" s="135">
        <v>0.0</v>
      </c>
      <c r="DE23" s="135">
        <v>77.72</v>
      </c>
      <c r="DF23" s="135">
        <v>2.76</v>
      </c>
      <c r="DG23" s="135">
        <v>0.0</v>
      </c>
      <c r="DH23" s="135">
        <v>2.76</v>
      </c>
      <c r="DI23" s="135">
        <v>2.58</v>
      </c>
      <c r="DJ23" s="135">
        <v>0.0</v>
      </c>
      <c r="DK23" s="135">
        <v>2.58</v>
      </c>
      <c r="DL23" s="135">
        <v>0.05</v>
      </c>
      <c r="DM23" s="135">
        <v>0.0</v>
      </c>
      <c r="DN23" s="135">
        <v>0.05</v>
      </c>
    </row>
    <row r="24">
      <c r="A24" s="209">
        <v>46256.0</v>
      </c>
      <c r="B24" s="210" t="s">
        <v>5</v>
      </c>
      <c r="C24" s="210" t="s">
        <v>145</v>
      </c>
      <c r="D24" s="210">
        <v>269.0</v>
      </c>
      <c r="E24" s="210">
        <v>7.97</v>
      </c>
      <c r="F24" s="210">
        <v>6.24</v>
      </c>
      <c r="G24" s="210">
        <v>0.0232</v>
      </c>
      <c r="H24" s="210">
        <v>1.12</v>
      </c>
      <c r="I24" s="210">
        <v>2.08</v>
      </c>
      <c r="J24" s="210">
        <v>83.58</v>
      </c>
      <c r="K24" s="210">
        <v>61.87</v>
      </c>
      <c r="L24" s="210">
        <v>53.67</v>
      </c>
      <c r="M24" s="210">
        <v>0.8675</v>
      </c>
      <c r="N24" s="210">
        <v>0.1699</v>
      </c>
      <c r="O24" s="210">
        <v>0.1181</v>
      </c>
      <c r="P24" s="210">
        <v>1.1527</v>
      </c>
      <c r="Q24" s="210">
        <v>245.63</v>
      </c>
      <c r="R24" s="210">
        <v>211.91</v>
      </c>
      <c r="S24" s="210">
        <v>33.72</v>
      </c>
      <c r="T24" s="210">
        <v>3.72</v>
      </c>
      <c r="U24" s="210">
        <v>241.91</v>
      </c>
      <c r="V24" s="210">
        <v>234.01</v>
      </c>
      <c r="W24" s="210">
        <v>3.7826</v>
      </c>
      <c r="X24" s="210">
        <v>1.51</v>
      </c>
      <c r="Y24" s="210">
        <v>339.0</v>
      </c>
      <c r="Z24" s="210">
        <v>431.0</v>
      </c>
      <c r="AA24" s="210">
        <v>543.0</v>
      </c>
      <c r="AB24" s="210">
        <v>50.9405</v>
      </c>
      <c r="AC24" s="210">
        <v>0.8587</v>
      </c>
      <c r="AD24" s="210">
        <v>33.17</v>
      </c>
      <c r="AE24" s="210">
        <v>17.0</v>
      </c>
      <c r="AF24" s="210">
        <v>31.0</v>
      </c>
      <c r="AG24" s="210">
        <v>45.0</v>
      </c>
      <c r="AH24" s="210">
        <v>59.0</v>
      </c>
      <c r="AI24" s="210">
        <v>56.13</v>
      </c>
      <c r="AJ24" s="210">
        <v>10.04</v>
      </c>
      <c r="AK24" s="210">
        <v>0.0</v>
      </c>
      <c r="AL24" s="210">
        <v>0.3532</v>
      </c>
      <c r="AM24" s="210">
        <v>36.43</v>
      </c>
      <c r="AN24" s="135">
        <v>36.43</v>
      </c>
      <c r="AO24" s="135">
        <v>29.74</v>
      </c>
      <c r="AP24" s="135">
        <v>21.93</v>
      </c>
      <c r="AQ24" s="135">
        <v>14.7063</v>
      </c>
      <c r="AR24" s="135">
        <v>0.1673</v>
      </c>
      <c r="AS24" s="135">
        <v>14.539</v>
      </c>
      <c r="AT24" s="135">
        <v>8.7249</v>
      </c>
      <c r="AU24" s="135">
        <v>0.141</v>
      </c>
      <c r="AV24" s="135">
        <v>269.0</v>
      </c>
      <c r="AW24" s="135">
        <v>0.0</v>
      </c>
      <c r="AX24" s="135">
        <v>183.31</v>
      </c>
      <c r="AY24" s="135">
        <v>52.32</v>
      </c>
      <c r="AZ24" s="135">
        <v>1.65</v>
      </c>
      <c r="BA24" s="135">
        <v>3.72</v>
      </c>
      <c r="BB24" s="135">
        <v>4.62</v>
      </c>
      <c r="BC24" s="135">
        <v>87.0</v>
      </c>
      <c r="BD24" s="135">
        <v>875.0</v>
      </c>
      <c r="BE24" s="135">
        <v>10.052</v>
      </c>
      <c r="BF24" s="135">
        <v>0.0781</v>
      </c>
      <c r="BG24" s="135">
        <v>9.974</v>
      </c>
      <c r="BH24" s="135">
        <v>4.0186</v>
      </c>
      <c r="BI24" s="135">
        <v>0.065</v>
      </c>
      <c r="BJ24" s="135">
        <v>4.6543</v>
      </c>
      <c r="BK24" s="135">
        <v>0.0892</v>
      </c>
      <c r="BL24" s="135">
        <v>4.5651</v>
      </c>
      <c r="BM24" s="135">
        <v>4.7063</v>
      </c>
      <c r="BN24" s="135">
        <v>0.0761</v>
      </c>
      <c r="BO24" s="135">
        <v>3.0112</v>
      </c>
      <c r="BP24" s="135">
        <v>0.0223</v>
      </c>
      <c r="BQ24" s="135">
        <v>2.9888</v>
      </c>
      <c r="BR24" s="135">
        <v>1.4089</v>
      </c>
      <c r="BS24" s="135">
        <v>4.6208</v>
      </c>
      <c r="BT24" s="135">
        <v>0.0223</v>
      </c>
      <c r="BU24" s="135">
        <v>4.5985</v>
      </c>
      <c r="BV24" s="135">
        <v>1.4907</v>
      </c>
      <c r="BW24" s="135">
        <v>2.4201</v>
      </c>
      <c r="BX24" s="135">
        <v>0.0335</v>
      </c>
      <c r="BY24" s="135">
        <v>2.3866</v>
      </c>
      <c r="BZ24" s="135">
        <v>1.119</v>
      </c>
      <c r="CA24" s="135">
        <v>0.71</v>
      </c>
      <c r="CB24" s="135">
        <v>0.0112</v>
      </c>
      <c r="CC24" s="135">
        <v>0.6989</v>
      </c>
      <c r="CD24" s="135">
        <v>1.2156</v>
      </c>
      <c r="CE24" s="135">
        <v>1.9257</v>
      </c>
      <c r="CF24" s="135">
        <v>0.0335</v>
      </c>
      <c r="CG24" s="135">
        <v>1.8922</v>
      </c>
      <c r="CH24" s="135">
        <v>1.6059</v>
      </c>
      <c r="CI24" s="135">
        <v>2.0186</v>
      </c>
      <c r="CJ24" s="135">
        <v>0.0446</v>
      </c>
      <c r="CK24" s="135">
        <v>1.974</v>
      </c>
      <c r="CL24" s="135">
        <v>1.8848</v>
      </c>
      <c r="CM24" s="135">
        <v>388.31</v>
      </c>
      <c r="CN24" s="135">
        <v>98.14</v>
      </c>
      <c r="CO24" s="135">
        <v>395.67</v>
      </c>
      <c r="CP24" s="135">
        <v>340.13</v>
      </c>
      <c r="CQ24" s="135">
        <v>0.0</v>
      </c>
      <c r="CR24" s="135">
        <v>18.59</v>
      </c>
      <c r="CS24" s="135">
        <v>29.59</v>
      </c>
      <c r="CT24" s="135">
        <v>0.0</v>
      </c>
      <c r="CU24" s="135">
        <v>71.0</v>
      </c>
      <c r="CV24" s="135">
        <v>0.0</v>
      </c>
      <c r="CW24" s="135">
        <v>245.63</v>
      </c>
      <c r="CX24" s="135">
        <v>0.0</v>
      </c>
      <c r="CY24" s="135">
        <v>0.0</v>
      </c>
      <c r="CZ24" s="135">
        <v>279.2</v>
      </c>
      <c r="DA24" s="135">
        <v>0.0</v>
      </c>
      <c r="DB24" s="135">
        <v>279.2</v>
      </c>
      <c r="DC24" s="135">
        <v>256.12</v>
      </c>
      <c r="DD24" s="135">
        <v>0.0</v>
      </c>
      <c r="DE24" s="135">
        <v>256.12</v>
      </c>
      <c r="DF24" s="135">
        <v>11.58</v>
      </c>
      <c r="DG24" s="135">
        <v>0.0</v>
      </c>
      <c r="DH24" s="135">
        <v>11.58</v>
      </c>
      <c r="DI24" s="135">
        <v>9.94</v>
      </c>
      <c r="DJ24" s="135">
        <v>0.0</v>
      </c>
      <c r="DK24" s="135">
        <v>9.94</v>
      </c>
      <c r="DL24" s="135">
        <v>1.56</v>
      </c>
      <c r="DM24" s="135">
        <v>0.0</v>
      </c>
      <c r="DN24" s="135">
        <v>1.56</v>
      </c>
    </row>
    <row r="25">
      <c r="A25" s="209">
        <v>46256.0</v>
      </c>
      <c r="B25" s="210" t="s">
        <v>5</v>
      </c>
      <c r="C25" s="210" t="s">
        <v>146</v>
      </c>
      <c r="D25" s="210">
        <v>72.0</v>
      </c>
      <c r="E25" s="210">
        <v>2.13</v>
      </c>
      <c r="F25" s="210">
        <v>32.96</v>
      </c>
      <c r="G25" s="210">
        <v>0.4578</v>
      </c>
      <c r="H25" s="210">
        <v>1.39</v>
      </c>
      <c r="I25" s="210">
        <v>32.96</v>
      </c>
      <c r="J25" s="210">
        <v>232.12</v>
      </c>
      <c r="K25" s="210">
        <v>177.25</v>
      </c>
      <c r="L25" s="210">
        <v>142.47</v>
      </c>
      <c r="M25" s="210">
        <v>0.8038</v>
      </c>
      <c r="N25" s="210">
        <v>0.2309</v>
      </c>
      <c r="O25" s="210">
        <v>0.1409</v>
      </c>
      <c r="P25" s="210">
        <v>1.2441</v>
      </c>
      <c r="Q25" s="210">
        <v>624.97</v>
      </c>
      <c r="R25" s="210">
        <v>518.1</v>
      </c>
      <c r="S25" s="210">
        <v>106.88</v>
      </c>
      <c r="T25" s="210">
        <v>33.33</v>
      </c>
      <c r="U25" s="210">
        <v>591.64</v>
      </c>
      <c r="V25" s="210">
        <v>600.69</v>
      </c>
      <c r="W25" s="210">
        <v>3.389</v>
      </c>
      <c r="X25" s="210">
        <v>5.33</v>
      </c>
      <c r="Y25" s="210">
        <v>445.0</v>
      </c>
      <c r="Z25" s="210">
        <v>616.0</v>
      </c>
      <c r="AA25" s="210">
        <v>830.0</v>
      </c>
      <c r="AB25" s="210">
        <v>54.4006</v>
      </c>
      <c r="AC25" s="210">
        <v>0.8406</v>
      </c>
      <c r="AD25" s="210">
        <v>56.63</v>
      </c>
      <c r="AE25" s="210">
        <v>25.0</v>
      </c>
      <c r="AF25" s="210">
        <v>46.0</v>
      </c>
      <c r="AG25" s="210">
        <v>76.0</v>
      </c>
      <c r="AH25" s="210">
        <v>102.0</v>
      </c>
      <c r="AI25" s="210">
        <v>23.61</v>
      </c>
      <c r="AJ25" s="210">
        <v>1.39</v>
      </c>
      <c r="AK25" s="210">
        <v>0.0</v>
      </c>
      <c r="AL25" s="210">
        <v>0.125</v>
      </c>
      <c r="AM25" s="210">
        <v>100.0</v>
      </c>
      <c r="AN25" s="135">
        <v>100.0</v>
      </c>
      <c r="AO25" s="135">
        <v>100.0</v>
      </c>
      <c r="AP25" s="135">
        <v>98.61</v>
      </c>
      <c r="AQ25" s="135">
        <v>31.4444</v>
      </c>
      <c r="AR25" s="135">
        <v>0.375</v>
      </c>
      <c r="AS25" s="135">
        <v>31.0694</v>
      </c>
      <c r="AT25" s="135">
        <v>23.4444</v>
      </c>
      <c r="AU25" s="135">
        <v>0.1323</v>
      </c>
      <c r="AV25" s="135">
        <v>72.0</v>
      </c>
      <c r="AW25" s="135">
        <v>0.0</v>
      </c>
      <c r="AX25" s="135">
        <v>407.92</v>
      </c>
      <c r="AY25" s="135">
        <v>163.06</v>
      </c>
      <c r="AZ25" s="135">
        <v>3.68</v>
      </c>
      <c r="BA25" s="135">
        <v>33.33</v>
      </c>
      <c r="BB25" s="135">
        <v>16.99</v>
      </c>
      <c r="BC25" s="135">
        <v>229.0</v>
      </c>
      <c r="BD25" s="135">
        <v>1350.0</v>
      </c>
      <c r="BE25" s="135">
        <v>19.3472</v>
      </c>
      <c r="BF25" s="135">
        <v>0.125</v>
      </c>
      <c r="BG25" s="135">
        <v>19.2222</v>
      </c>
      <c r="BH25" s="135">
        <v>11.75</v>
      </c>
      <c r="BI25" s="135">
        <v>0.0663</v>
      </c>
      <c r="BJ25" s="135">
        <v>12.0972</v>
      </c>
      <c r="BK25" s="135">
        <v>0.25</v>
      </c>
      <c r="BL25" s="135">
        <v>11.8472</v>
      </c>
      <c r="BM25" s="135">
        <v>11.6944</v>
      </c>
      <c r="BN25" s="135">
        <v>0.066</v>
      </c>
      <c r="BO25" s="135">
        <v>6.3333</v>
      </c>
      <c r="BP25" s="135">
        <v>0.0417</v>
      </c>
      <c r="BQ25" s="135">
        <v>6.2917</v>
      </c>
      <c r="BR25" s="135">
        <v>3.7361</v>
      </c>
      <c r="BS25" s="135">
        <v>8.0694</v>
      </c>
      <c r="BT25" s="135">
        <v>0.0417</v>
      </c>
      <c r="BU25" s="135">
        <v>8.0278</v>
      </c>
      <c r="BV25" s="135">
        <v>4.7222</v>
      </c>
      <c r="BW25" s="135">
        <v>4.9444</v>
      </c>
      <c r="BX25" s="135">
        <v>0.0417</v>
      </c>
      <c r="BY25" s="135">
        <v>4.9028</v>
      </c>
      <c r="BZ25" s="135">
        <v>3.2917</v>
      </c>
      <c r="CA25" s="135">
        <v>2.1806</v>
      </c>
      <c r="CB25" s="135">
        <v>0.0833</v>
      </c>
      <c r="CC25" s="135">
        <v>2.0972</v>
      </c>
      <c r="CD25" s="135">
        <v>2.875</v>
      </c>
      <c r="CE25" s="135">
        <v>4.6528</v>
      </c>
      <c r="CF25" s="135">
        <v>0.0833</v>
      </c>
      <c r="CG25" s="135">
        <v>4.5694</v>
      </c>
      <c r="CH25" s="135">
        <v>4.125</v>
      </c>
      <c r="CI25" s="135">
        <v>5.2639</v>
      </c>
      <c r="CJ25" s="135">
        <v>0.0833</v>
      </c>
      <c r="CK25" s="135">
        <v>5.1806</v>
      </c>
      <c r="CL25" s="135">
        <v>4.6944</v>
      </c>
      <c r="CM25" s="135">
        <v>1250.35</v>
      </c>
      <c r="CN25" s="135">
        <v>100.0</v>
      </c>
      <c r="CO25" s="135">
        <v>1250.35</v>
      </c>
      <c r="CP25" s="135">
        <v>1184.24</v>
      </c>
      <c r="CQ25" s="135">
        <v>0.0</v>
      </c>
      <c r="CR25" s="135">
        <v>20.0</v>
      </c>
      <c r="CS25" s="135">
        <v>46.11</v>
      </c>
      <c r="CT25" s="135">
        <v>0.0</v>
      </c>
      <c r="CU25" s="135">
        <v>29.0</v>
      </c>
      <c r="CV25" s="135">
        <v>0.0</v>
      </c>
      <c r="CW25" s="135">
        <v>624.97</v>
      </c>
      <c r="CX25" s="135">
        <v>0.0</v>
      </c>
      <c r="CY25" s="135">
        <v>0.0</v>
      </c>
      <c r="CZ25" s="135">
        <v>761.46</v>
      </c>
      <c r="DA25" s="135">
        <v>0.0</v>
      </c>
      <c r="DB25" s="135">
        <v>761.46</v>
      </c>
      <c r="DC25" s="135">
        <v>709.24</v>
      </c>
      <c r="DD25" s="135">
        <v>0.0</v>
      </c>
      <c r="DE25" s="135">
        <v>709.24</v>
      </c>
      <c r="DF25" s="135">
        <v>23.06</v>
      </c>
      <c r="DG25" s="135">
        <v>0.0</v>
      </c>
      <c r="DH25" s="135">
        <v>23.06</v>
      </c>
      <c r="DI25" s="135">
        <v>18.75</v>
      </c>
      <c r="DJ25" s="135">
        <v>0.0</v>
      </c>
      <c r="DK25" s="135">
        <v>18.75</v>
      </c>
      <c r="DL25" s="135">
        <v>10.42</v>
      </c>
      <c r="DM25" s="135">
        <v>0.0</v>
      </c>
      <c r="DN25" s="135">
        <v>10.42</v>
      </c>
    </row>
    <row r="26">
      <c r="A26" s="209">
        <v>46257.0</v>
      </c>
      <c r="B26" s="210" t="s">
        <v>4</v>
      </c>
      <c r="C26" s="210" t="s">
        <v>398</v>
      </c>
      <c r="D26" s="210">
        <v>814.0</v>
      </c>
      <c r="E26" s="210">
        <v>20.92</v>
      </c>
      <c r="F26" s="210">
        <v>0.0</v>
      </c>
      <c r="G26" s="210">
        <v>0.0</v>
      </c>
      <c r="H26" s="210">
        <v>0.0</v>
      </c>
      <c r="I26" s="210"/>
      <c r="J26" s="210">
        <v>1.4</v>
      </c>
      <c r="K26" s="210">
        <v>0.08</v>
      </c>
      <c r="L26" s="210">
        <v>0.0</v>
      </c>
      <c r="M26" s="210">
        <v>0.0</v>
      </c>
      <c r="N26" s="210">
        <v>1.0</v>
      </c>
      <c r="O26" s="210">
        <v>1.0</v>
      </c>
      <c r="P26" s="210"/>
      <c r="Q26" s="210">
        <v>0.43</v>
      </c>
      <c r="R26" s="210">
        <v>0.41</v>
      </c>
      <c r="S26" s="210">
        <v>0.01</v>
      </c>
      <c r="T26" s="210">
        <v>0.0</v>
      </c>
      <c r="U26" s="210">
        <v>0.43</v>
      </c>
      <c r="V26" s="210">
        <v>0.12</v>
      </c>
      <c r="W26" s="210">
        <v>1.5385</v>
      </c>
      <c r="X26" s="210">
        <v>0.0</v>
      </c>
      <c r="Y26" s="210">
        <v>200.0</v>
      </c>
      <c r="Z26" s="210">
        <v>200.0</v>
      </c>
      <c r="AA26" s="210">
        <v>200.0</v>
      </c>
      <c r="AB26" s="210">
        <v>49.2701</v>
      </c>
      <c r="AC26" s="210">
        <v>0.6</v>
      </c>
      <c r="AD26" s="211"/>
      <c r="AE26" s="211"/>
      <c r="AF26" s="211"/>
      <c r="AG26" s="211"/>
      <c r="AH26" s="211"/>
      <c r="AI26" s="210">
        <v>0.0</v>
      </c>
      <c r="AJ26" s="210">
        <v>0.0</v>
      </c>
      <c r="AK26" s="210">
        <v>0.0</v>
      </c>
      <c r="AL26" s="210">
        <v>0.9238</v>
      </c>
      <c r="AM26" s="211"/>
      <c r="AQ26" s="135">
        <v>0.0516</v>
      </c>
      <c r="AR26" s="135">
        <v>0.0037</v>
      </c>
      <c r="AS26" s="135">
        <v>0.0479</v>
      </c>
      <c r="AT26" s="135">
        <v>0.0209</v>
      </c>
      <c r="AU26" s="135">
        <v>0.2615</v>
      </c>
      <c r="AV26" s="135">
        <v>814.0</v>
      </c>
      <c r="AW26" s="135">
        <v>0.0</v>
      </c>
      <c r="AX26" s="135">
        <v>0.41</v>
      </c>
      <c r="AY26" s="135">
        <v>0.01</v>
      </c>
      <c r="AZ26" s="135">
        <v>0.0</v>
      </c>
      <c r="BA26" s="135">
        <v>0.0</v>
      </c>
      <c r="BB26" s="135">
        <v>0.0</v>
      </c>
      <c r="BD26" s="135">
        <v>348.0</v>
      </c>
      <c r="BE26" s="135">
        <v>0.0418</v>
      </c>
      <c r="BF26" s="135">
        <v>0.0037</v>
      </c>
      <c r="BG26" s="135">
        <v>0.0381</v>
      </c>
      <c r="BH26" s="135">
        <v>0.0098</v>
      </c>
      <c r="BI26" s="135">
        <v>0.1231</v>
      </c>
      <c r="BJ26" s="135">
        <v>0.0098</v>
      </c>
      <c r="BK26" s="135">
        <v>0.0</v>
      </c>
      <c r="BL26" s="135">
        <v>0.0098</v>
      </c>
      <c r="BM26" s="135">
        <v>0.0111</v>
      </c>
      <c r="BN26" s="135">
        <v>0.1385</v>
      </c>
      <c r="BO26" s="135">
        <v>0.0098</v>
      </c>
      <c r="BP26" s="135">
        <v>0.0037</v>
      </c>
      <c r="BQ26" s="135">
        <v>0.0061</v>
      </c>
      <c r="BR26" s="135">
        <v>0.0037</v>
      </c>
      <c r="BS26" s="135">
        <v>0.0233</v>
      </c>
      <c r="BT26" s="135">
        <v>0.0</v>
      </c>
      <c r="BU26" s="135">
        <v>0.0233</v>
      </c>
      <c r="BV26" s="135">
        <v>0.0037</v>
      </c>
      <c r="BW26" s="135">
        <v>0.0086</v>
      </c>
      <c r="BX26" s="135">
        <v>0.0</v>
      </c>
      <c r="BY26" s="135">
        <v>0.0086</v>
      </c>
      <c r="BZ26" s="135">
        <v>0.0025</v>
      </c>
      <c r="CA26" s="135">
        <v>0.0</v>
      </c>
      <c r="CB26" s="135">
        <v>0.0</v>
      </c>
      <c r="CC26" s="135">
        <v>0.0</v>
      </c>
      <c r="CD26" s="135">
        <v>0.0025</v>
      </c>
      <c r="CE26" s="135">
        <v>0.0074</v>
      </c>
      <c r="CF26" s="135">
        <v>0.0</v>
      </c>
      <c r="CG26" s="135">
        <v>0.0074</v>
      </c>
      <c r="CH26" s="135">
        <v>0.0049</v>
      </c>
      <c r="CI26" s="135">
        <v>0.0025</v>
      </c>
      <c r="CJ26" s="135">
        <v>0.0</v>
      </c>
      <c r="CK26" s="135">
        <v>0.0025</v>
      </c>
      <c r="CL26" s="135">
        <v>0.0037</v>
      </c>
      <c r="CM26" s="135">
        <v>0.2</v>
      </c>
      <c r="CN26" s="135">
        <v>0.12</v>
      </c>
      <c r="CO26" s="135">
        <v>165.0</v>
      </c>
      <c r="CP26" s="135">
        <v>0.15</v>
      </c>
      <c r="CQ26" s="135">
        <v>0.0</v>
      </c>
      <c r="CR26" s="135">
        <v>0.05</v>
      </c>
      <c r="CS26" s="135">
        <v>0.0</v>
      </c>
      <c r="CT26" s="135">
        <v>0.0</v>
      </c>
      <c r="CU26" s="135">
        <v>0.0</v>
      </c>
      <c r="CV26" s="135">
        <v>0.0</v>
      </c>
      <c r="CW26" s="135">
        <v>0.43</v>
      </c>
      <c r="CX26" s="135">
        <v>0.0</v>
      </c>
      <c r="CY26" s="135">
        <v>0.0</v>
      </c>
      <c r="CZ26" s="135">
        <v>0.61</v>
      </c>
      <c r="DA26" s="135">
        <v>0.0</v>
      </c>
      <c r="DB26" s="135">
        <v>0.61</v>
      </c>
      <c r="DC26" s="135">
        <v>0.61</v>
      </c>
      <c r="DD26" s="135">
        <v>0.0</v>
      </c>
      <c r="DE26" s="135">
        <v>0.61</v>
      </c>
      <c r="DF26" s="135">
        <v>0.0</v>
      </c>
      <c r="DG26" s="135">
        <v>0.0</v>
      </c>
      <c r="DH26" s="135">
        <v>0.0</v>
      </c>
      <c r="DI26" s="135">
        <v>0.0</v>
      </c>
      <c r="DJ26" s="135">
        <v>0.0</v>
      </c>
      <c r="DK26" s="135">
        <v>0.0</v>
      </c>
      <c r="DL26" s="135">
        <v>0.0</v>
      </c>
      <c r="DM26" s="135">
        <v>0.0</v>
      </c>
      <c r="DN26" s="135">
        <v>0.0</v>
      </c>
    </row>
    <row r="27">
      <c r="A27" s="209">
        <v>46257.0</v>
      </c>
      <c r="B27" s="210" t="s">
        <v>4</v>
      </c>
      <c r="C27" s="210" t="s">
        <v>142</v>
      </c>
      <c r="D27" s="210">
        <v>1453.0</v>
      </c>
      <c r="E27" s="210">
        <v>37.34</v>
      </c>
      <c r="F27" s="210">
        <v>0.0</v>
      </c>
      <c r="G27" s="210">
        <v>0.0</v>
      </c>
      <c r="H27" s="210">
        <v>0.0</v>
      </c>
      <c r="I27" s="210"/>
      <c r="J27" s="210">
        <v>5.23</v>
      </c>
      <c r="K27" s="210">
        <v>4.31</v>
      </c>
      <c r="L27" s="210">
        <v>3.99</v>
      </c>
      <c r="M27" s="210">
        <v>0.9258</v>
      </c>
      <c r="N27" s="210">
        <v>0.0798</v>
      </c>
      <c r="O27" s="210">
        <v>0.0574</v>
      </c>
      <c r="P27" s="210">
        <v>1.0802</v>
      </c>
      <c r="Q27" s="210">
        <v>7.39</v>
      </c>
      <c r="R27" s="210">
        <v>6.48</v>
      </c>
      <c r="S27" s="210">
        <v>0.91</v>
      </c>
      <c r="T27" s="210">
        <v>0.0</v>
      </c>
      <c r="U27" s="210">
        <v>7.39</v>
      </c>
      <c r="V27" s="210">
        <v>6.4</v>
      </c>
      <c r="W27" s="210">
        <v>1.4847</v>
      </c>
      <c r="X27" s="210">
        <v>0.0</v>
      </c>
      <c r="Y27" s="210">
        <v>200.0</v>
      </c>
      <c r="Z27" s="210">
        <v>200.0</v>
      </c>
      <c r="AA27" s="210">
        <v>239.0</v>
      </c>
      <c r="AB27" s="210">
        <v>50.0</v>
      </c>
      <c r="AC27" s="210">
        <v>0.8085</v>
      </c>
      <c r="AD27" s="210">
        <v>3.83</v>
      </c>
      <c r="AE27" s="210">
        <v>2.0</v>
      </c>
      <c r="AF27" s="210">
        <v>3.0</v>
      </c>
      <c r="AG27" s="210">
        <v>5.0</v>
      </c>
      <c r="AH27" s="210">
        <v>8.0</v>
      </c>
      <c r="AI27" s="210">
        <v>77.77</v>
      </c>
      <c r="AJ27" s="210">
        <v>39.16</v>
      </c>
      <c r="AK27" s="210">
        <v>0.89</v>
      </c>
      <c r="AL27" s="210">
        <v>0.8692</v>
      </c>
      <c r="AM27" s="211"/>
      <c r="AQ27" s="135">
        <v>0.4893</v>
      </c>
      <c r="AR27" s="135">
        <v>0.0186</v>
      </c>
      <c r="AS27" s="135">
        <v>0.4708</v>
      </c>
      <c r="AT27" s="135">
        <v>0.5905</v>
      </c>
      <c r="AU27" s="135">
        <v>0.137</v>
      </c>
      <c r="AV27" s="135">
        <v>1453.0</v>
      </c>
      <c r="AW27" s="135">
        <v>0.0</v>
      </c>
      <c r="AX27" s="135">
        <v>7.38</v>
      </c>
      <c r="AY27" s="135">
        <v>0.0</v>
      </c>
      <c r="AZ27" s="135">
        <v>0.01</v>
      </c>
      <c r="BA27" s="135">
        <v>0.0</v>
      </c>
      <c r="BB27" s="135">
        <v>0.0</v>
      </c>
      <c r="BC27" s="135">
        <v>9.0</v>
      </c>
      <c r="BD27" s="135">
        <v>280.0</v>
      </c>
      <c r="BE27" s="135">
        <v>0.4708</v>
      </c>
      <c r="BF27" s="135">
        <v>0.0186</v>
      </c>
      <c r="BG27" s="135">
        <v>0.4522</v>
      </c>
      <c r="BH27" s="135">
        <v>0.5733</v>
      </c>
      <c r="BI27" s="135">
        <v>0.133</v>
      </c>
      <c r="BJ27" s="135">
        <v>0.0186</v>
      </c>
      <c r="BK27" s="135">
        <v>0.0</v>
      </c>
      <c r="BL27" s="135">
        <v>0.0186</v>
      </c>
      <c r="BM27" s="135">
        <v>0.0172</v>
      </c>
      <c r="BN27" s="135">
        <v>0.004</v>
      </c>
      <c r="BO27" s="135">
        <v>0.0695</v>
      </c>
      <c r="BP27" s="135">
        <v>0.0103</v>
      </c>
      <c r="BQ27" s="135">
        <v>0.0592</v>
      </c>
      <c r="BR27" s="135">
        <v>0.2636</v>
      </c>
      <c r="BS27" s="135">
        <v>0.34</v>
      </c>
      <c r="BT27" s="135">
        <v>0.0021</v>
      </c>
      <c r="BU27" s="135">
        <v>0.3379</v>
      </c>
      <c r="BV27" s="135">
        <v>0.1672</v>
      </c>
      <c r="BW27" s="135">
        <v>0.0613</v>
      </c>
      <c r="BX27" s="135">
        <v>0.0062</v>
      </c>
      <c r="BY27" s="135">
        <v>0.0551</v>
      </c>
      <c r="BZ27" s="135">
        <v>0.1425</v>
      </c>
      <c r="CA27" s="135">
        <v>0.0</v>
      </c>
      <c r="CB27" s="135">
        <v>0.0</v>
      </c>
      <c r="CC27" s="135">
        <v>0.0</v>
      </c>
      <c r="CD27" s="135">
        <v>0.0062</v>
      </c>
      <c r="CE27" s="135">
        <v>0.0172</v>
      </c>
      <c r="CF27" s="135">
        <v>0.0</v>
      </c>
      <c r="CG27" s="135">
        <v>0.0172</v>
      </c>
      <c r="CH27" s="135">
        <v>0.0062</v>
      </c>
      <c r="CI27" s="135">
        <v>0.0014</v>
      </c>
      <c r="CJ27" s="135">
        <v>0.0</v>
      </c>
      <c r="CK27" s="135">
        <v>0.0014</v>
      </c>
      <c r="CL27" s="135">
        <v>0.0048</v>
      </c>
      <c r="CM27" s="135">
        <v>0.34</v>
      </c>
      <c r="CN27" s="135">
        <v>0.41</v>
      </c>
      <c r="CO27" s="135">
        <v>82.5</v>
      </c>
      <c r="CP27" s="135">
        <v>0.31</v>
      </c>
      <c r="CQ27" s="135">
        <v>0.0</v>
      </c>
      <c r="CR27" s="135">
        <v>0.03</v>
      </c>
      <c r="CS27" s="135">
        <v>0.0</v>
      </c>
      <c r="CT27" s="135">
        <v>0.0</v>
      </c>
      <c r="CU27" s="135">
        <v>0.0</v>
      </c>
      <c r="CV27" s="135">
        <v>0.0</v>
      </c>
      <c r="CW27" s="135">
        <v>7.39</v>
      </c>
      <c r="CX27" s="135">
        <v>0.0</v>
      </c>
      <c r="CY27" s="135">
        <v>0.0</v>
      </c>
      <c r="CZ27" s="135">
        <v>1.75</v>
      </c>
      <c r="DA27" s="135">
        <v>0.0</v>
      </c>
      <c r="DB27" s="135">
        <v>1.75</v>
      </c>
      <c r="DC27" s="135">
        <v>1.75</v>
      </c>
      <c r="DD27" s="135">
        <v>0.0</v>
      </c>
      <c r="DE27" s="135">
        <v>1.75</v>
      </c>
      <c r="DF27" s="135">
        <v>0.0</v>
      </c>
      <c r="DG27" s="135">
        <v>0.0</v>
      </c>
      <c r="DH27" s="135">
        <v>0.0</v>
      </c>
      <c r="DI27" s="135">
        <v>0.0</v>
      </c>
      <c r="DJ27" s="135">
        <v>0.0</v>
      </c>
      <c r="DK27" s="135">
        <v>0.0</v>
      </c>
      <c r="DL27" s="135">
        <v>0.0</v>
      </c>
      <c r="DM27" s="135">
        <v>0.0</v>
      </c>
      <c r="DN27" s="135">
        <v>0.0</v>
      </c>
    </row>
    <row r="28">
      <c r="A28" s="209">
        <v>46257.0</v>
      </c>
      <c r="B28" s="210" t="s">
        <v>4</v>
      </c>
      <c r="C28" s="210" t="s">
        <v>143</v>
      </c>
      <c r="D28" s="210">
        <v>643.0</v>
      </c>
      <c r="E28" s="210">
        <v>16.53</v>
      </c>
      <c r="F28" s="210">
        <v>18.32</v>
      </c>
      <c r="G28" s="210">
        <v>0.0285</v>
      </c>
      <c r="H28" s="210">
        <v>0.31</v>
      </c>
      <c r="I28" s="210">
        <v>9.16</v>
      </c>
      <c r="J28" s="210">
        <v>16.83</v>
      </c>
      <c r="K28" s="210">
        <v>13.74</v>
      </c>
      <c r="L28" s="210">
        <v>12.51</v>
      </c>
      <c r="M28" s="210">
        <v>0.91</v>
      </c>
      <c r="N28" s="210">
        <v>0.1064</v>
      </c>
      <c r="O28" s="210">
        <v>0.0715</v>
      </c>
      <c r="P28" s="210">
        <v>1.0989</v>
      </c>
      <c r="Q28" s="210">
        <v>55.82</v>
      </c>
      <c r="R28" s="210">
        <v>40.31</v>
      </c>
      <c r="S28" s="210">
        <v>15.51</v>
      </c>
      <c r="T28" s="210">
        <v>2.02</v>
      </c>
      <c r="U28" s="210">
        <v>53.8</v>
      </c>
      <c r="V28" s="210">
        <v>45.41</v>
      </c>
      <c r="W28" s="210">
        <v>3.3043</v>
      </c>
      <c r="X28" s="210">
        <v>3.62</v>
      </c>
      <c r="Y28" s="210">
        <v>247.0</v>
      </c>
      <c r="Z28" s="210">
        <v>276.0</v>
      </c>
      <c r="AA28" s="210">
        <v>328.0</v>
      </c>
      <c r="AB28" s="210">
        <v>49.6571</v>
      </c>
      <c r="AC28" s="210">
        <v>0.8801</v>
      </c>
      <c r="AD28" s="210">
        <v>11.28</v>
      </c>
      <c r="AE28" s="210">
        <v>9.0</v>
      </c>
      <c r="AF28" s="210">
        <v>11.0</v>
      </c>
      <c r="AG28" s="210">
        <v>14.0</v>
      </c>
      <c r="AH28" s="210">
        <v>17.0</v>
      </c>
      <c r="AI28" s="210">
        <v>88.02</v>
      </c>
      <c r="AJ28" s="210">
        <v>38.72</v>
      </c>
      <c r="AK28" s="210">
        <v>0.47</v>
      </c>
      <c r="AL28" s="210">
        <v>0.703</v>
      </c>
      <c r="AM28" s="211"/>
      <c r="AQ28" s="135">
        <v>3.8616</v>
      </c>
      <c r="AR28" s="135">
        <v>0.2893</v>
      </c>
      <c r="AS28" s="135">
        <v>3.5723</v>
      </c>
      <c r="AT28" s="135">
        <v>3.0871</v>
      </c>
      <c r="AU28" s="135">
        <v>0.2246</v>
      </c>
      <c r="AV28" s="135">
        <v>643.0</v>
      </c>
      <c r="AW28" s="135">
        <v>0.0</v>
      </c>
      <c r="AX28" s="135">
        <v>52.57</v>
      </c>
      <c r="AY28" s="135">
        <v>0.84</v>
      </c>
      <c r="AZ28" s="135">
        <v>0.36</v>
      </c>
      <c r="BA28" s="135">
        <v>2.02</v>
      </c>
      <c r="BB28" s="135">
        <v>0.03</v>
      </c>
      <c r="BC28" s="135">
        <v>25.0</v>
      </c>
      <c r="BD28" s="135">
        <v>465.0</v>
      </c>
      <c r="BE28" s="135">
        <v>3.6081</v>
      </c>
      <c r="BF28" s="135">
        <v>0.2753</v>
      </c>
      <c r="BG28" s="135">
        <v>3.3328</v>
      </c>
      <c r="BH28" s="135">
        <v>2.6252</v>
      </c>
      <c r="BI28" s="135">
        <v>0.191</v>
      </c>
      <c r="BJ28" s="135">
        <v>0.2535</v>
      </c>
      <c r="BK28" s="135">
        <v>0.014</v>
      </c>
      <c r="BL28" s="135">
        <v>0.2395</v>
      </c>
      <c r="BM28" s="135">
        <v>0.4619</v>
      </c>
      <c r="BN28" s="135">
        <v>0.0336</v>
      </c>
      <c r="BO28" s="135">
        <v>1.1851</v>
      </c>
      <c r="BP28" s="135">
        <v>0.112</v>
      </c>
      <c r="BQ28" s="135">
        <v>1.0731</v>
      </c>
      <c r="BR28" s="135">
        <v>1.1431</v>
      </c>
      <c r="BS28" s="135">
        <v>1.7963</v>
      </c>
      <c r="BT28" s="135">
        <v>0.0327</v>
      </c>
      <c r="BU28" s="135">
        <v>1.7636</v>
      </c>
      <c r="BV28" s="135">
        <v>0.7947</v>
      </c>
      <c r="BW28" s="135">
        <v>0.6267</v>
      </c>
      <c r="BX28" s="135">
        <v>0.1306</v>
      </c>
      <c r="BY28" s="135">
        <v>0.4961</v>
      </c>
      <c r="BZ28" s="135">
        <v>0.6874</v>
      </c>
      <c r="CA28" s="135">
        <v>0.0047</v>
      </c>
      <c r="CB28" s="135">
        <v>0.0</v>
      </c>
      <c r="CC28" s="135">
        <v>0.0047</v>
      </c>
      <c r="CD28" s="135">
        <v>0.1135</v>
      </c>
      <c r="CE28" s="135">
        <v>0.1897</v>
      </c>
      <c r="CF28" s="135">
        <v>0.0093</v>
      </c>
      <c r="CG28" s="135">
        <v>0.1804</v>
      </c>
      <c r="CH28" s="135">
        <v>0.1928</v>
      </c>
      <c r="CI28" s="135">
        <v>0.0591</v>
      </c>
      <c r="CJ28" s="135">
        <v>0.0047</v>
      </c>
      <c r="CK28" s="135">
        <v>0.0544</v>
      </c>
      <c r="CL28" s="135">
        <v>0.1555</v>
      </c>
      <c r="CM28" s="135">
        <v>17.26</v>
      </c>
      <c r="CN28" s="135">
        <v>22.55</v>
      </c>
      <c r="CO28" s="135">
        <v>76.52</v>
      </c>
      <c r="CP28" s="135">
        <v>15.2</v>
      </c>
      <c r="CQ28" s="135">
        <v>0.0</v>
      </c>
      <c r="CR28" s="135">
        <v>1.43</v>
      </c>
      <c r="CS28" s="135">
        <v>0.62</v>
      </c>
      <c r="CT28" s="135">
        <v>0.0</v>
      </c>
      <c r="CU28" s="135">
        <v>0.0</v>
      </c>
      <c r="CV28" s="135">
        <v>0.0</v>
      </c>
      <c r="CW28" s="135">
        <v>55.82</v>
      </c>
      <c r="CX28" s="135">
        <v>0.0</v>
      </c>
      <c r="CY28" s="135">
        <v>0.0</v>
      </c>
      <c r="CZ28" s="135">
        <v>24.88</v>
      </c>
      <c r="DA28" s="135">
        <v>0.0</v>
      </c>
      <c r="DB28" s="135">
        <v>24.88</v>
      </c>
      <c r="DC28" s="135">
        <v>24.28</v>
      </c>
      <c r="DD28" s="135">
        <v>0.0</v>
      </c>
      <c r="DE28" s="135">
        <v>24.28</v>
      </c>
      <c r="DF28" s="135">
        <v>0.3</v>
      </c>
      <c r="DG28" s="135">
        <v>0.0</v>
      </c>
      <c r="DH28" s="135">
        <v>0.3</v>
      </c>
      <c r="DI28" s="135">
        <v>0.3</v>
      </c>
      <c r="DJ28" s="135">
        <v>0.0</v>
      </c>
      <c r="DK28" s="135">
        <v>0.3</v>
      </c>
      <c r="DL28" s="135">
        <v>0.0</v>
      </c>
      <c r="DM28" s="135">
        <v>0.0</v>
      </c>
      <c r="DN28" s="135">
        <v>0.0</v>
      </c>
    </row>
    <row r="29">
      <c r="A29" s="209">
        <v>46257.0</v>
      </c>
      <c r="B29" s="210" t="s">
        <v>4</v>
      </c>
      <c r="C29" s="210" t="s">
        <v>144</v>
      </c>
      <c r="D29" s="210">
        <v>511.0</v>
      </c>
      <c r="E29" s="210">
        <v>13.13</v>
      </c>
      <c r="F29" s="210">
        <v>2.28</v>
      </c>
      <c r="G29" s="210">
        <v>0.0045</v>
      </c>
      <c r="H29" s="210">
        <v>0.59</v>
      </c>
      <c r="I29" s="210">
        <v>0.76</v>
      </c>
      <c r="J29" s="210">
        <v>36.19</v>
      </c>
      <c r="K29" s="210">
        <v>28.61</v>
      </c>
      <c r="L29" s="210">
        <v>25.38</v>
      </c>
      <c r="M29" s="210">
        <v>0.8871</v>
      </c>
      <c r="N29" s="210">
        <v>0.1449</v>
      </c>
      <c r="O29" s="210">
        <v>0.0998</v>
      </c>
      <c r="P29" s="210">
        <v>1.1272</v>
      </c>
      <c r="Q29" s="210">
        <v>126.46</v>
      </c>
      <c r="R29" s="210">
        <v>87.95</v>
      </c>
      <c r="S29" s="210">
        <v>38.51</v>
      </c>
      <c r="T29" s="210">
        <v>1.08</v>
      </c>
      <c r="U29" s="210">
        <v>125.38</v>
      </c>
      <c r="V29" s="210">
        <v>106.46</v>
      </c>
      <c r="W29" s="210">
        <v>3.7209</v>
      </c>
      <c r="X29" s="210">
        <v>0.85</v>
      </c>
      <c r="Y29" s="210">
        <v>310.0</v>
      </c>
      <c r="Z29" s="210">
        <v>374.0</v>
      </c>
      <c r="AA29" s="210">
        <v>456.0</v>
      </c>
      <c r="AB29" s="210">
        <v>50.041</v>
      </c>
      <c r="AC29" s="210">
        <v>0.8872</v>
      </c>
      <c r="AD29" s="210">
        <v>19.5</v>
      </c>
      <c r="AE29" s="210">
        <v>11.0</v>
      </c>
      <c r="AF29" s="210">
        <v>19.0</v>
      </c>
      <c r="AG29" s="210">
        <v>27.0</v>
      </c>
      <c r="AH29" s="210">
        <v>33.0</v>
      </c>
      <c r="AI29" s="210">
        <v>78.08</v>
      </c>
      <c r="AJ29" s="210">
        <v>30.72</v>
      </c>
      <c r="AK29" s="210">
        <v>1.17</v>
      </c>
      <c r="AL29" s="210">
        <v>0.5205</v>
      </c>
      <c r="AM29" s="211"/>
      <c r="AQ29" s="135">
        <v>8.3033</v>
      </c>
      <c r="AR29" s="135">
        <v>0.1252</v>
      </c>
      <c r="AS29" s="135">
        <v>8.1781</v>
      </c>
      <c r="AT29" s="135">
        <v>5.1076</v>
      </c>
      <c r="AU29" s="135">
        <v>0.1785</v>
      </c>
      <c r="AV29" s="135">
        <v>511.0</v>
      </c>
      <c r="AW29" s="135">
        <v>0.0</v>
      </c>
      <c r="AX29" s="135">
        <v>114.52</v>
      </c>
      <c r="AY29" s="135">
        <v>8.89</v>
      </c>
      <c r="AZ29" s="135">
        <v>0.68</v>
      </c>
      <c r="BA29" s="135">
        <v>1.08</v>
      </c>
      <c r="BB29" s="135">
        <v>1.28</v>
      </c>
      <c r="BC29" s="135">
        <v>45.0</v>
      </c>
      <c r="BD29" s="135">
        <v>771.0</v>
      </c>
      <c r="BE29" s="135">
        <v>6.4716</v>
      </c>
      <c r="BF29" s="135">
        <v>0.0822</v>
      </c>
      <c r="BG29" s="135">
        <v>6.3894</v>
      </c>
      <c r="BH29" s="135">
        <v>3.09</v>
      </c>
      <c r="BI29" s="135">
        <v>0.108</v>
      </c>
      <c r="BJ29" s="135">
        <v>1.8317</v>
      </c>
      <c r="BK29" s="135">
        <v>0.0431</v>
      </c>
      <c r="BL29" s="135">
        <v>1.7886</v>
      </c>
      <c r="BM29" s="135">
        <v>2.0176</v>
      </c>
      <c r="BN29" s="135">
        <v>0.0705</v>
      </c>
      <c r="BO29" s="135">
        <v>2.1722</v>
      </c>
      <c r="BP29" s="135">
        <v>0.0352</v>
      </c>
      <c r="BQ29" s="135">
        <v>2.137</v>
      </c>
      <c r="BR29" s="135">
        <v>1.274</v>
      </c>
      <c r="BS29" s="135">
        <v>2.998</v>
      </c>
      <c r="BT29" s="135">
        <v>0.0117</v>
      </c>
      <c r="BU29" s="135">
        <v>2.9863</v>
      </c>
      <c r="BV29" s="135">
        <v>1.0587</v>
      </c>
      <c r="BW29" s="135">
        <v>1.3014</v>
      </c>
      <c r="BX29" s="135">
        <v>0.0352</v>
      </c>
      <c r="BY29" s="135">
        <v>1.2661</v>
      </c>
      <c r="BZ29" s="135">
        <v>0.7573</v>
      </c>
      <c r="CA29" s="135">
        <v>0.1409</v>
      </c>
      <c r="CB29" s="135">
        <v>0.002</v>
      </c>
      <c r="CC29" s="135">
        <v>0.1389</v>
      </c>
      <c r="CD29" s="135">
        <v>0.4892</v>
      </c>
      <c r="CE29" s="135">
        <v>0.8865</v>
      </c>
      <c r="CF29" s="135">
        <v>0.0</v>
      </c>
      <c r="CG29" s="135">
        <v>0.8865</v>
      </c>
      <c r="CH29" s="135">
        <v>0.6771</v>
      </c>
      <c r="CI29" s="135">
        <v>0.8043</v>
      </c>
      <c r="CJ29" s="135">
        <v>0.0411</v>
      </c>
      <c r="CK29" s="135">
        <v>0.7632</v>
      </c>
      <c r="CL29" s="135">
        <v>0.8513</v>
      </c>
      <c r="CM29" s="135">
        <v>127.42</v>
      </c>
      <c r="CN29" s="135">
        <v>73.97</v>
      </c>
      <c r="CO29" s="135">
        <v>172.25</v>
      </c>
      <c r="CP29" s="135">
        <v>116.91</v>
      </c>
      <c r="CQ29" s="135">
        <v>0.0</v>
      </c>
      <c r="CR29" s="135">
        <v>7.08</v>
      </c>
      <c r="CS29" s="135">
        <v>3.42</v>
      </c>
      <c r="CT29" s="135">
        <v>0.0</v>
      </c>
      <c r="CU29" s="135">
        <v>0.0</v>
      </c>
      <c r="CV29" s="135">
        <v>0.0</v>
      </c>
      <c r="CW29" s="135">
        <v>126.46</v>
      </c>
      <c r="CX29" s="135">
        <v>0.0</v>
      </c>
      <c r="CY29" s="135">
        <v>0.0</v>
      </c>
      <c r="CZ29" s="135">
        <v>102.93</v>
      </c>
      <c r="DA29" s="135">
        <v>0.24</v>
      </c>
      <c r="DB29" s="135">
        <v>102.68</v>
      </c>
      <c r="DC29" s="135">
        <v>98.79</v>
      </c>
      <c r="DD29" s="135">
        <v>0.13</v>
      </c>
      <c r="DE29" s="135">
        <v>98.66</v>
      </c>
      <c r="DF29" s="135">
        <v>2.21</v>
      </c>
      <c r="DG29" s="135">
        <v>0.04</v>
      </c>
      <c r="DH29" s="135">
        <v>2.17</v>
      </c>
      <c r="DI29" s="135">
        <v>1.89</v>
      </c>
      <c r="DJ29" s="135">
        <v>0.04</v>
      </c>
      <c r="DK29" s="135">
        <v>1.85</v>
      </c>
      <c r="DL29" s="135">
        <v>0.04</v>
      </c>
      <c r="DM29" s="135">
        <v>0.04</v>
      </c>
      <c r="DN29" s="135">
        <v>0.0</v>
      </c>
    </row>
    <row r="30">
      <c r="A30" s="209">
        <v>46257.0</v>
      </c>
      <c r="B30" s="210" t="s">
        <v>4</v>
      </c>
      <c r="C30" s="210" t="s">
        <v>145</v>
      </c>
      <c r="D30" s="210">
        <v>370.0</v>
      </c>
      <c r="E30" s="210">
        <v>9.51</v>
      </c>
      <c r="F30" s="210">
        <v>46.55</v>
      </c>
      <c r="G30" s="210">
        <v>0.1258</v>
      </c>
      <c r="H30" s="210">
        <v>2.43</v>
      </c>
      <c r="I30" s="210">
        <v>5.1722</v>
      </c>
      <c r="J30" s="210">
        <v>93.27</v>
      </c>
      <c r="K30" s="210">
        <v>66.94</v>
      </c>
      <c r="L30" s="210">
        <v>55.88</v>
      </c>
      <c r="M30" s="210">
        <v>0.8347</v>
      </c>
      <c r="N30" s="210">
        <v>0.2053</v>
      </c>
      <c r="O30" s="210">
        <v>0.1366</v>
      </c>
      <c r="P30" s="210">
        <v>1.198</v>
      </c>
      <c r="Q30" s="210">
        <v>301.15</v>
      </c>
      <c r="R30" s="210">
        <v>217.04</v>
      </c>
      <c r="S30" s="210">
        <v>84.11</v>
      </c>
      <c r="T30" s="210">
        <v>10.54</v>
      </c>
      <c r="U30" s="210">
        <v>290.61</v>
      </c>
      <c r="V30" s="210">
        <v>280.0</v>
      </c>
      <c r="W30" s="210">
        <v>4.1828</v>
      </c>
      <c r="X30" s="210">
        <v>3.5</v>
      </c>
      <c r="Y30" s="210">
        <v>384.0</v>
      </c>
      <c r="Z30" s="210">
        <v>482.0</v>
      </c>
      <c r="AA30" s="210">
        <v>680.0</v>
      </c>
      <c r="AB30" s="210">
        <v>51.4653</v>
      </c>
      <c r="AC30" s="210">
        <v>0.8608</v>
      </c>
      <c r="AD30" s="210">
        <v>32.44</v>
      </c>
      <c r="AE30" s="210">
        <v>16.0</v>
      </c>
      <c r="AF30" s="210">
        <v>28.0</v>
      </c>
      <c r="AG30" s="210">
        <v>45.0</v>
      </c>
      <c r="AH30" s="210">
        <v>59.0</v>
      </c>
      <c r="AI30" s="210">
        <v>50.81</v>
      </c>
      <c r="AJ30" s="210">
        <v>8.92</v>
      </c>
      <c r="AK30" s="210">
        <v>0.54</v>
      </c>
      <c r="AL30" s="210">
        <v>0.2973</v>
      </c>
      <c r="AM30" s="211"/>
      <c r="AQ30" s="135">
        <v>20.127</v>
      </c>
      <c r="AR30" s="135">
        <v>0.1405</v>
      </c>
      <c r="AS30" s="135">
        <v>19.9865</v>
      </c>
      <c r="AT30" s="135">
        <v>13.2108</v>
      </c>
      <c r="AU30" s="135">
        <v>0.1974</v>
      </c>
      <c r="AV30" s="135">
        <v>370.0</v>
      </c>
      <c r="AW30" s="135">
        <v>0.0</v>
      </c>
      <c r="AX30" s="135">
        <v>238.43</v>
      </c>
      <c r="AY30" s="135">
        <v>42.11</v>
      </c>
      <c r="AZ30" s="135">
        <v>1.76</v>
      </c>
      <c r="BA30" s="135">
        <v>10.54</v>
      </c>
      <c r="BB30" s="135">
        <v>8.31</v>
      </c>
      <c r="BC30" s="135">
        <v>86.0</v>
      </c>
      <c r="BD30" s="135">
        <v>1295.0</v>
      </c>
      <c r="BE30" s="135">
        <v>13.5108</v>
      </c>
      <c r="BF30" s="135">
        <v>0.0568</v>
      </c>
      <c r="BG30" s="135">
        <v>13.4541</v>
      </c>
      <c r="BH30" s="135">
        <v>6.9027</v>
      </c>
      <c r="BI30" s="135">
        <v>0.1031</v>
      </c>
      <c r="BJ30" s="135">
        <v>6.6162</v>
      </c>
      <c r="BK30" s="135">
        <v>0.0838</v>
      </c>
      <c r="BL30" s="135">
        <v>6.5324</v>
      </c>
      <c r="BM30" s="135">
        <v>6.3081</v>
      </c>
      <c r="BN30" s="135">
        <v>0.0942</v>
      </c>
      <c r="BO30" s="135">
        <v>5.2324</v>
      </c>
      <c r="BP30" s="135">
        <v>0.0135</v>
      </c>
      <c r="BQ30" s="135">
        <v>5.2189</v>
      </c>
      <c r="BR30" s="135">
        <v>2.6351</v>
      </c>
      <c r="BS30" s="135">
        <v>5.5162</v>
      </c>
      <c r="BT30" s="135">
        <v>0.0216</v>
      </c>
      <c r="BU30" s="135">
        <v>5.4946</v>
      </c>
      <c r="BV30" s="135">
        <v>2.6</v>
      </c>
      <c r="BW30" s="135">
        <v>2.7622</v>
      </c>
      <c r="BX30" s="135">
        <v>0.0216</v>
      </c>
      <c r="BY30" s="135">
        <v>2.7405</v>
      </c>
      <c r="BZ30" s="135">
        <v>1.6676</v>
      </c>
      <c r="CA30" s="135">
        <v>0.9081</v>
      </c>
      <c r="CB30" s="135">
        <v>0.0243</v>
      </c>
      <c r="CC30" s="135">
        <v>0.8838</v>
      </c>
      <c r="CD30" s="135">
        <v>1.5811</v>
      </c>
      <c r="CE30" s="135">
        <v>2.8027</v>
      </c>
      <c r="CF30" s="135">
        <v>0.0216</v>
      </c>
      <c r="CG30" s="135">
        <v>2.7811</v>
      </c>
      <c r="CH30" s="135">
        <v>2.2757</v>
      </c>
      <c r="CI30" s="135">
        <v>2.9054</v>
      </c>
      <c r="CJ30" s="135">
        <v>0.0378</v>
      </c>
      <c r="CK30" s="135">
        <v>2.8676</v>
      </c>
      <c r="CL30" s="135">
        <v>2.4514</v>
      </c>
      <c r="CM30" s="135">
        <v>497.57</v>
      </c>
      <c r="CN30" s="135">
        <v>97.57</v>
      </c>
      <c r="CO30" s="135">
        <v>509.97</v>
      </c>
      <c r="CP30" s="135">
        <v>473.0</v>
      </c>
      <c r="CQ30" s="135">
        <v>0.0</v>
      </c>
      <c r="CR30" s="135">
        <v>19.08</v>
      </c>
      <c r="CS30" s="135">
        <v>5.49</v>
      </c>
      <c r="CT30" s="135">
        <v>0.0</v>
      </c>
      <c r="CU30" s="135">
        <v>0.0</v>
      </c>
      <c r="CV30" s="135">
        <v>0.0</v>
      </c>
      <c r="CW30" s="135">
        <v>301.15</v>
      </c>
      <c r="CX30" s="135">
        <v>0.0</v>
      </c>
      <c r="CY30" s="135">
        <v>0.0</v>
      </c>
      <c r="CZ30" s="135">
        <v>296.57</v>
      </c>
      <c r="DA30" s="135">
        <v>0.66</v>
      </c>
      <c r="DB30" s="135">
        <v>295.91</v>
      </c>
      <c r="DC30" s="135">
        <v>281.58</v>
      </c>
      <c r="DD30" s="135">
        <v>0.5</v>
      </c>
      <c r="DE30" s="135">
        <v>281.08</v>
      </c>
      <c r="DF30" s="135">
        <v>7.72</v>
      </c>
      <c r="DG30" s="135">
        <v>0.05</v>
      </c>
      <c r="DH30" s="135">
        <v>7.66</v>
      </c>
      <c r="DI30" s="135">
        <v>7.19</v>
      </c>
      <c r="DJ30" s="135">
        <v>0.05</v>
      </c>
      <c r="DK30" s="135">
        <v>7.14</v>
      </c>
      <c r="DL30" s="135">
        <v>0.08</v>
      </c>
      <c r="DM30" s="135">
        <v>0.05</v>
      </c>
      <c r="DN30" s="135">
        <v>0.03</v>
      </c>
    </row>
    <row r="31">
      <c r="A31" s="209">
        <v>46257.0</v>
      </c>
      <c r="B31" s="210" t="s">
        <v>4</v>
      </c>
      <c r="C31" s="210" t="s">
        <v>146</v>
      </c>
      <c r="D31" s="210">
        <v>100.0</v>
      </c>
      <c r="E31" s="210">
        <v>2.57</v>
      </c>
      <c r="F31" s="210">
        <v>32.31</v>
      </c>
      <c r="G31" s="210">
        <v>0.3231</v>
      </c>
      <c r="H31" s="210">
        <v>6.0</v>
      </c>
      <c r="I31" s="210">
        <v>5.385</v>
      </c>
      <c r="J31" s="210">
        <v>263.44</v>
      </c>
      <c r="K31" s="210">
        <v>177.45</v>
      </c>
      <c r="L31" s="210">
        <v>135.55</v>
      </c>
      <c r="M31" s="210">
        <v>0.7639</v>
      </c>
      <c r="N31" s="210">
        <v>0.2706</v>
      </c>
      <c r="O31" s="210">
        <v>0.1549</v>
      </c>
      <c r="P31" s="210">
        <v>1.3091</v>
      </c>
      <c r="Q31" s="210">
        <v>639.97</v>
      </c>
      <c r="R31" s="210">
        <v>443.47</v>
      </c>
      <c r="S31" s="210">
        <v>196.5</v>
      </c>
      <c r="T31" s="210">
        <v>36.0</v>
      </c>
      <c r="U31" s="210">
        <v>603.97</v>
      </c>
      <c r="V31" s="210">
        <v>589.5</v>
      </c>
      <c r="W31" s="210">
        <v>3.3221</v>
      </c>
      <c r="X31" s="210">
        <v>5.63</v>
      </c>
      <c r="Y31" s="210">
        <v>500.0</v>
      </c>
      <c r="Z31" s="210">
        <v>753.0</v>
      </c>
      <c r="AA31" s="210">
        <v>1035.0</v>
      </c>
      <c r="AB31" s="210">
        <v>52.4897</v>
      </c>
      <c r="AC31" s="210">
        <v>0.7565</v>
      </c>
      <c r="AD31" s="210">
        <v>56.85</v>
      </c>
      <c r="AE31" s="210">
        <v>21.0</v>
      </c>
      <c r="AF31" s="210">
        <v>43.0</v>
      </c>
      <c r="AG31" s="210">
        <v>79.0</v>
      </c>
      <c r="AH31" s="210">
        <v>133.0</v>
      </c>
      <c r="AI31" s="210">
        <v>24.0</v>
      </c>
      <c r="AJ31" s="210">
        <v>2.0</v>
      </c>
      <c r="AK31" s="210">
        <v>0.0</v>
      </c>
      <c r="AL31" s="210">
        <v>0.23</v>
      </c>
      <c r="AM31" s="211"/>
      <c r="AQ31" s="135">
        <v>44.1</v>
      </c>
      <c r="AR31" s="135">
        <v>0.66</v>
      </c>
      <c r="AS31" s="135">
        <v>43.44</v>
      </c>
      <c r="AT31" s="135">
        <v>30.35</v>
      </c>
      <c r="AU31" s="135">
        <v>0.171</v>
      </c>
      <c r="AV31" s="135">
        <v>100.0</v>
      </c>
      <c r="AW31" s="135">
        <v>0.0</v>
      </c>
      <c r="AX31" s="135">
        <v>500.1</v>
      </c>
      <c r="AY31" s="135">
        <v>87.65</v>
      </c>
      <c r="AZ31" s="135">
        <v>4.8</v>
      </c>
      <c r="BA31" s="135">
        <v>36.0</v>
      </c>
      <c r="BB31" s="135">
        <v>11.42</v>
      </c>
      <c r="BC31" s="135">
        <v>216.0</v>
      </c>
      <c r="BD31" s="135">
        <v>2227.0</v>
      </c>
      <c r="BE31" s="135">
        <v>27.07</v>
      </c>
      <c r="BF31" s="135">
        <v>0.3</v>
      </c>
      <c r="BG31" s="135">
        <v>26.77</v>
      </c>
      <c r="BH31" s="135">
        <v>14.79</v>
      </c>
      <c r="BI31" s="135">
        <v>0.0833</v>
      </c>
      <c r="BJ31" s="135">
        <v>17.03</v>
      </c>
      <c r="BK31" s="135">
        <v>0.36</v>
      </c>
      <c r="BL31" s="135">
        <v>16.67</v>
      </c>
      <c r="BM31" s="135">
        <v>15.56</v>
      </c>
      <c r="BN31" s="135">
        <v>0.0877</v>
      </c>
      <c r="BO31" s="135">
        <v>9.77</v>
      </c>
      <c r="BP31" s="135">
        <v>0.09</v>
      </c>
      <c r="BQ31" s="135">
        <v>9.68</v>
      </c>
      <c r="BR31" s="135">
        <v>5.37</v>
      </c>
      <c r="BS31" s="135">
        <v>11.14</v>
      </c>
      <c r="BT31" s="135">
        <v>0.09</v>
      </c>
      <c r="BU31" s="135">
        <v>11.05</v>
      </c>
      <c r="BV31" s="135">
        <v>5.86</v>
      </c>
      <c r="BW31" s="135">
        <v>6.16</v>
      </c>
      <c r="BX31" s="135">
        <v>0.12</v>
      </c>
      <c r="BY31" s="135">
        <v>6.04</v>
      </c>
      <c r="BZ31" s="135">
        <v>3.56</v>
      </c>
      <c r="CA31" s="135">
        <v>3.3</v>
      </c>
      <c r="CB31" s="135">
        <v>0.09</v>
      </c>
      <c r="CC31" s="135">
        <v>3.21</v>
      </c>
      <c r="CD31" s="135">
        <v>3.82</v>
      </c>
      <c r="CE31" s="135">
        <v>6.86</v>
      </c>
      <c r="CF31" s="135">
        <v>0.12</v>
      </c>
      <c r="CG31" s="135">
        <v>6.74</v>
      </c>
      <c r="CH31" s="135">
        <v>5.86</v>
      </c>
      <c r="CI31" s="135">
        <v>6.87</v>
      </c>
      <c r="CJ31" s="135">
        <v>0.15</v>
      </c>
      <c r="CK31" s="135">
        <v>6.72</v>
      </c>
      <c r="CL31" s="135">
        <v>5.88</v>
      </c>
      <c r="CM31" s="135">
        <v>1396.25</v>
      </c>
      <c r="CN31" s="135">
        <v>100.0</v>
      </c>
      <c r="CO31" s="135">
        <v>1396.25</v>
      </c>
      <c r="CP31" s="135">
        <v>1368.75</v>
      </c>
      <c r="CQ31" s="135">
        <v>0.0</v>
      </c>
      <c r="CR31" s="135">
        <v>17.6</v>
      </c>
      <c r="CS31" s="135">
        <v>9.9</v>
      </c>
      <c r="CT31" s="135">
        <v>0.0</v>
      </c>
      <c r="CU31" s="135">
        <v>0.0</v>
      </c>
      <c r="CV31" s="135">
        <v>0.0</v>
      </c>
      <c r="CW31" s="135">
        <v>639.97</v>
      </c>
      <c r="CX31" s="135">
        <v>0.0</v>
      </c>
      <c r="CY31" s="135">
        <v>0.0</v>
      </c>
      <c r="CZ31" s="135">
        <v>618.8</v>
      </c>
      <c r="DA31" s="135">
        <v>0.0</v>
      </c>
      <c r="DB31" s="135">
        <v>618.8</v>
      </c>
      <c r="DC31" s="135">
        <v>595.9</v>
      </c>
      <c r="DD31" s="135">
        <v>0.0</v>
      </c>
      <c r="DE31" s="135">
        <v>595.9</v>
      </c>
      <c r="DF31" s="135">
        <v>14.2</v>
      </c>
      <c r="DG31" s="135">
        <v>0.0</v>
      </c>
      <c r="DH31" s="135">
        <v>14.2</v>
      </c>
      <c r="DI31" s="135">
        <v>8.7</v>
      </c>
      <c r="DJ31" s="135">
        <v>0.0</v>
      </c>
      <c r="DK31" s="135">
        <v>8.7</v>
      </c>
      <c r="DL31" s="135">
        <v>0.0</v>
      </c>
      <c r="DM31" s="135">
        <v>0.0</v>
      </c>
      <c r="DN31" s="135">
        <v>0.0</v>
      </c>
    </row>
    <row r="32">
      <c r="A32" s="209">
        <v>46257.0</v>
      </c>
      <c r="B32" s="210" t="s">
        <v>5</v>
      </c>
      <c r="C32" s="210" t="s">
        <v>398</v>
      </c>
      <c r="D32" s="210">
        <v>838.0</v>
      </c>
      <c r="E32" s="210">
        <v>21.63</v>
      </c>
      <c r="F32" s="210">
        <v>0.0</v>
      </c>
      <c r="G32" s="210">
        <v>0.0</v>
      </c>
      <c r="H32" s="210">
        <v>0.0</v>
      </c>
      <c r="I32" s="210"/>
      <c r="J32" s="210">
        <v>1.53</v>
      </c>
      <c r="K32" s="210">
        <v>0.07</v>
      </c>
      <c r="L32" s="210">
        <v>0.0</v>
      </c>
      <c r="M32" s="210">
        <v>0.0</v>
      </c>
      <c r="N32" s="210">
        <v>1.0</v>
      </c>
      <c r="O32" s="210">
        <v>1.0</v>
      </c>
      <c r="P32" s="210"/>
      <c r="Q32" s="210">
        <v>0.47</v>
      </c>
      <c r="R32" s="210">
        <v>0.47</v>
      </c>
      <c r="S32" s="210">
        <v>0.0</v>
      </c>
      <c r="T32" s="210">
        <v>0.0</v>
      </c>
      <c r="U32" s="210">
        <v>0.47</v>
      </c>
      <c r="V32" s="210">
        <v>0.42</v>
      </c>
      <c r="W32" s="210">
        <v>6.0345</v>
      </c>
      <c r="X32" s="210">
        <v>0.0</v>
      </c>
      <c r="Y32" s="210">
        <v>200.0</v>
      </c>
      <c r="Z32" s="210">
        <v>200.0</v>
      </c>
      <c r="AA32" s="210">
        <v>200.0</v>
      </c>
      <c r="AB32" s="210">
        <v>50.0086</v>
      </c>
      <c r="AC32" s="210">
        <v>0.6609</v>
      </c>
      <c r="AD32" s="211"/>
      <c r="AE32" s="211"/>
      <c r="AF32" s="211"/>
      <c r="AG32" s="211"/>
      <c r="AH32" s="211"/>
      <c r="AI32" s="210">
        <v>0.0</v>
      </c>
      <c r="AJ32" s="210">
        <v>0.0</v>
      </c>
      <c r="AK32" s="210">
        <v>0.0</v>
      </c>
      <c r="AL32" s="210">
        <v>0.9212</v>
      </c>
      <c r="AM32" s="210">
        <v>0.0</v>
      </c>
      <c r="AN32" s="135">
        <v>0.0</v>
      </c>
      <c r="AO32" s="135">
        <v>0.0</v>
      </c>
      <c r="AP32" s="135">
        <v>0.0</v>
      </c>
      <c r="AQ32" s="135">
        <v>0.0597</v>
      </c>
      <c r="AR32" s="135">
        <v>0.0072</v>
      </c>
      <c r="AS32" s="135">
        <v>0.0525</v>
      </c>
      <c r="AT32" s="135">
        <v>0.0239</v>
      </c>
      <c r="AU32" s="135">
        <v>0.3448</v>
      </c>
      <c r="AV32" s="135">
        <v>838.0</v>
      </c>
      <c r="AW32" s="135">
        <v>0.0</v>
      </c>
      <c r="AX32" s="135">
        <v>0.35</v>
      </c>
      <c r="AY32" s="135">
        <v>0.12</v>
      </c>
      <c r="AZ32" s="135">
        <v>0.0</v>
      </c>
      <c r="BA32" s="135">
        <v>0.0</v>
      </c>
      <c r="BB32" s="135">
        <v>0.0</v>
      </c>
      <c r="BD32" s="135">
        <v>290.0</v>
      </c>
      <c r="BE32" s="135">
        <v>0.0489</v>
      </c>
      <c r="BF32" s="135">
        <v>0.0072</v>
      </c>
      <c r="BG32" s="135">
        <v>0.0418</v>
      </c>
      <c r="BH32" s="135">
        <v>0.0227</v>
      </c>
      <c r="BI32" s="135">
        <v>0.3276</v>
      </c>
      <c r="BJ32" s="135">
        <v>0.0107</v>
      </c>
      <c r="BK32" s="135">
        <v>0.0</v>
      </c>
      <c r="BL32" s="135">
        <v>0.0107</v>
      </c>
      <c r="BM32" s="135">
        <v>0.0012</v>
      </c>
      <c r="BN32" s="135">
        <v>0.0172</v>
      </c>
      <c r="BO32" s="135">
        <v>0.0084</v>
      </c>
      <c r="BP32" s="135">
        <v>0.0036</v>
      </c>
      <c r="BQ32" s="135">
        <v>0.0048</v>
      </c>
      <c r="BR32" s="135">
        <v>0.0084</v>
      </c>
      <c r="BS32" s="135">
        <v>0.0286</v>
      </c>
      <c r="BT32" s="135">
        <v>0.0036</v>
      </c>
      <c r="BU32" s="135">
        <v>0.0251</v>
      </c>
      <c r="BV32" s="135">
        <v>0.0084</v>
      </c>
      <c r="BW32" s="135">
        <v>0.0119</v>
      </c>
      <c r="BX32" s="135">
        <v>0.0</v>
      </c>
      <c r="BY32" s="135">
        <v>0.0119</v>
      </c>
      <c r="BZ32" s="135">
        <v>0.006</v>
      </c>
      <c r="CA32" s="135">
        <v>0.0</v>
      </c>
      <c r="CB32" s="135">
        <v>0.0</v>
      </c>
      <c r="CC32" s="135">
        <v>0.0</v>
      </c>
      <c r="CD32" s="135">
        <v>0.0</v>
      </c>
      <c r="CE32" s="135">
        <v>0.0095</v>
      </c>
      <c r="CF32" s="135">
        <v>0.0</v>
      </c>
      <c r="CG32" s="135">
        <v>0.0095</v>
      </c>
      <c r="CH32" s="135">
        <v>0.0012</v>
      </c>
      <c r="CI32" s="135">
        <v>0.0012</v>
      </c>
      <c r="CJ32" s="135">
        <v>0.0</v>
      </c>
      <c r="CK32" s="135">
        <v>0.0012</v>
      </c>
      <c r="CL32" s="135">
        <v>0.0</v>
      </c>
      <c r="CM32" s="135">
        <v>0.12</v>
      </c>
      <c r="CN32" s="135">
        <v>0.24</v>
      </c>
      <c r="CO32" s="135">
        <v>50.0</v>
      </c>
      <c r="CP32" s="135">
        <v>0.0</v>
      </c>
      <c r="CQ32" s="135">
        <v>0.0</v>
      </c>
      <c r="CR32" s="135">
        <v>0.0</v>
      </c>
      <c r="CS32" s="135">
        <v>0.12</v>
      </c>
      <c r="CT32" s="135">
        <v>0.0</v>
      </c>
      <c r="CU32" s="135">
        <v>0.0</v>
      </c>
      <c r="CV32" s="135">
        <v>0.0</v>
      </c>
      <c r="CW32" s="135">
        <v>0.47</v>
      </c>
      <c r="CX32" s="135">
        <v>0.0</v>
      </c>
      <c r="CY32" s="135">
        <v>0.0</v>
      </c>
      <c r="CZ32" s="135">
        <v>0.7</v>
      </c>
      <c r="DA32" s="135">
        <v>0.0</v>
      </c>
      <c r="DB32" s="135">
        <v>0.7</v>
      </c>
      <c r="DC32" s="135">
        <v>0.57</v>
      </c>
      <c r="DD32" s="135">
        <v>0.0</v>
      </c>
      <c r="DE32" s="135">
        <v>0.57</v>
      </c>
      <c r="DF32" s="135">
        <v>0.06</v>
      </c>
      <c r="DG32" s="135">
        <v>0.0</v>
      </c>
      <c r="DH32" s="135">
        <v>0.06</v>
      </c>
      <c r="DI32" s="135">
        <v>0.06</v>
      </c>
      <c r="DJ32" s="135">
        <v>0.0</v>
      </c>
      <c r="DK32" s="135">
        <v>0.06</v>
      </c>
      <c r="DL32" s="135">
        <v>0.01</v>
      </c>
      <c r="DM32" s="135">
        <v>0.0</v>
      </c>
      <c r="DN32" s="135">
        <v>0.01</v>
      </c>
    </row>
    <row r="33">
      <c r="A33" s="209">
        <v>46257.0</v>
      </c>
      <c r="B33" s="210" t="s">
        <v>5</v>
      </c>
      <c r="C33" s="210" t="s">
        <v>142</v>
      </c>
      <c r="D33" s="210">
        <v>1433.0</v>
      </c>
      <c r="E33" s="210">
        <v>36.99</v>
      </c>
      <c r="F33" s="210">
        <v>0.0</v>
      </c>
      <c r="G33" s="210">
        <v>0.0</v>
      </c>
      <c r="H33" s="210">
        <v>0.0</v>
      </c>
      <c r="I33" s="210"/>
      <c r="J33" s="210">
        <v>5.06</v>
      </c>
      <c r="K33" s="210">
        <v>4.27</v>
      </c>
      <c r="L33" s="210">
        <v>4.03</v>
      </c>
      <c r="M33" s="210">
        <v>0.9436</v>
      </c>
      <c r="N33" s="210">
        <v>0.061</v>
      </c>
      <c r="O33" s="210">
        <v>0.0472</v>
      </c>
      <c r="P33" s="210">
        <v>1.0598</v>
      </c>
      <c r="Q33" s="210">
        <v>5.53</v>
      </c>
      <c r="R33" s="210">
        <v>4.99</v>
      </c>
      <c r="S33" s="210">
        <v>0.54</v>
      </c>
      <c r="T33" s="210">
        <v>0.0</v>
      </c>
      <c r="U33" s="210">
        <v>5.53</v>
      </c>
      <c r="V33" s="210">
        <v>5.55</v>
      </c>
      <c r="W33" s="210">
        <v>1.2997</v>
      </c>
      <c r="X33" s="210">
        <v>0.0</v>
      </c>
      <c r="Y33" s="210">
        <v>200.0</v>
      </c>
      <c r="Z33" s="210">
        <v>200.0</v>
      </c>
      <c r="AA33" s="210">
        <v>228.0</v>
      </c>
      <c r="AB33" s="210">
        <v>49.9668</v>
      </c>
      <c r="AC33" s="210">
        <v>0.8176</v>
      </c>
      <c r="AD33" s="210">
        <v>3.87</v>
      </c>
      <c r="AE33" s="210">
        <v>2.0</v>
      </c>
      <c r="AF33" s="210">
        <v>3.0</v>
      </c>
      <c r="AG33" s="210">
        <v>5.0</v>
      </c>
      <c r="AH33" s="210">
        <v>8.0</v>
      </c>
      <c r="AI33" s="210">
        <v>79.55</v>
      </c>
      <c r="AJ33" s="210">
        <v>38.66</v>
      </c>
      <c r="AK33" s="210">
        <v>1.12</v>
      </c>
      <c r="AL33" s="210">
        <v>0.8842</v>
      </c>
      <c r="AM33" s="210">
        <v>0.0</v>
      </c>
      <c r="AN33" s="135">
        <v>0.0</v>
      </c>
      <c r="AO33" s="135">
        <v>0.0</v>
      </c>
      <c r="AP33" s="135">
        <v>0.0</v>
      </c>
      <c r="AQ33" s="135">
        <v>0.3901</v>
      </c>
      <c r="AR33" s="135">
        <v>0.0314</v>
      </c>
      <c r="AS33" s="135">
        <v>0.3587</v>
      </c>
      <c r="AT33" s="135">
        <v>0.5443</v>
      </c>
      <c r="AU33" s="135">
        <v>0.1275</v>
      </c>
      <c r="AV33" s="135">
        <v>1433.0</v>
      </c>
      <c r="AW33" s="135">
        <v>0.0</v>
      </c>
      <c r="AX33" s="135">
        <v>5.53</v>
      </c>
      <c r="AY33" s="135">
        <v>0.0</v>
      </c>
      <c r="AZ33" s="135">
        <v>0.0</v>
      </c>
      <c r="BA33" s="135">
        <v>0.0</v>
      </c>
      <c r="BB33" s="135">
        <v>0.0</v>
      </c>
      <c r="BC33" s="135">
        <v>10.0</v>
      </c>
      <c r="BD33" s="135">
        <v>265.0</v>
      </c>
      <c r="BE33" s="135">
        <v>0.3699</v>
      </c>
      <c r="BF33" s="135">
        <v>0.0314</v>
      </c>
      <c r="BG33" s="135">
        <v>0.3385</v>
      </c>
      <c r="BH33" s="135">
        <v>0.5394</v>
      </c>
      <c r="BI33" s="135">
        <v>0.1264</v>
      </c>
      <c r="BJ33" s="135">
        <v>0.0202</v>
      </c>
      <c r="BK33" s="135">
        <v>0.0</v>
      </c>
      <c r="BL33" s="135">
        <v>0.0202</v>
      </c>
      <c r="BM33" s="135">
        <v>0.0049</v>
      </c>
      <c r="BN33" s="135">
        <v>0.0011</v>
      </c>
      <c r="BO33" s="135">
        <v>0.037</v>
      </c>
      <c r="BP33" s="135">
        <v>0.023</v>
      </c>
      <c r="BQ33" s="135">
        <v>0.014</v>
      </c>
      <c r="BR33" s="135">
        <v>0.2484</v>
      </c>
      <c r="BS33" s="135">
        <v>0.2645</v>
      </c>
      <c r="BT33" s="135">
        <v>0.0</v>
      </c>
      <c r="BU33" s="135">
        <v>0.2645</v>
      </c>
      <c r="BV33" s="135">
        <v>0.1486</v>
      </c>
      <c r="BW33" s="135">
        <v>0.0684</v>
      </c>
      <c r="BX33" s="135">
        <v>0.0084</v>
      </c>
      <c r="BY33" s="135">
        <v>0.06</v>
      </c>
      <c r="BZ33" s="135">
        <v>0.1424</v>
      </c>
      <c r="CA33" s="135">
        <v>0.0</v>
      </c>
      <c r="CB33" s="135">
        <v>0.0</v>
      </c>
      <c r="CC33" s="135">
        <v>0.0</v>
      </c>
      <c r="CD33" s="135">
        <v>7.0E-4</v>
      </c>
      <c r="CE33" s="135">
        <v>0.0195</v>
      </c>
      <c r="CF33" s="135">
        <v>0.0</v>
      </c>
      <c r="CG33" s="135">
        <v>0.0195</v>
      </c>
      <c r="CH33" s="135">
        <v>0.0021</v>
      </c>
      <c r="CI33" s="135">
        <v>7.0E-4</v>
      </c>
      <c r="CJ33" s="135">
        <v>0.0</v>
      </c>
      <c r="CK33" s="135">
        <v>7.0E-4</v>
      </c>
      <c r="CL33" s="135">
        <v>0.0021</v>
      </c>
      <c r="CM33" s="135">
        <v>0.04</v>
      </c>
      <c r="CN33" s="135">
        <v>0.35</v>
      </c>
      <c r="CO33" s="135">
        <v>12.8</v>
      </c>
      <c r="CP33" s="135">
        <v>0.04</v>
      </c>
      <c r="CQ33" s="135">
        <v>0.0</v>
      </c>
      <c r="CR33" s="135">
        <v>0.0</v>
      </c>
      <c r="CS33" s="135">
        <v>0.0</v>
      </c>
      <c r="CT33" s="135">
        <v>0.0</v>
      </c>
      <c r="CU33" s="135">
        <v>13.0</v>
      </c>
      <c r="CV33" s="135">
        <v>0.0</v>
      </c>
      <c r="CW33" s="135">
        <v>5.53</v>
      </c>
      <c r="CX33" s="135">
        <v>0.0</v>
      </c>
      <c r="CY33" s="135">
        <v>0.0</v>
      </c>
      <c r="CZ33" s="135">
        <v>2.2</v>
      </c>
      <c r="DA33" s="135">
        <v>0.0</v>
      </c>
      <c r="DB33" s="135">
        <v>2.2</v>
      </c>
      <c r="DC33" s="135">
        <v>2.2</v>
      </c>
      <c r="DD33" s="135">
        <v>0.0</v>
      </c>
      <c r="DE33" s="135">
        <v>2.2</v>
      </c>
      <c r="DF33" s="135">
        <v>0.0</v>
      </c>
      <c r="DG33" s="135">
        <v>0.0</v>
      </c>
      <c r="DH33" s="135">
        <v>0.0</v>
      </c>
      <c r="DI33" s="135">
        <v>0.0</v>
      </c>
      <c r="DJ33" s="135">
        <v>0.0</v>
      </c>
      <c r="DK33" s="135">
        <v>0.0</v>
      </c>
      <c r="DL33" s="135">
        <v>0.0</v>
      </c>
      <c r="DM33" s="135">
        <v>0.0</v>
      </c>
      <c r="DN33" s="135">
        <v>0.0</v>
      </c>
    </row>
    <row r="34">
      <c r="A34" s="209">
        <v>46257.0</v>
      </c>
      <c r="B34" s="210" t="s">
        <v>5</v>
      </c>
      <c r="C34" s="210" t="s">
        <v>143</v>
      </c>
      <c r="D34" s="210">
        <v>654.0</v>
      </c>
      <c r="E34" s="210">
        <v>16.88</v>
      </c>
      <c r="F34" s="210">
        <v>0.0</v>
      </c>
      <c r="G34" s="210">
        <v>0.0</v>
      </c>
      <c r="H34" s="210">
        <v>0.0</v>
      </c>
      <c r="I34" s="210"/>
      <c r="J34" s="210">
        <v>15.74</v>
      </c>
      <c r="K34" s="210">
        <v>13.58</v>
      </c>
      <c r="L34" s="210">
        <v>12.59</v>
      </c>
      <c r="M34" s="210">
        <v>0.9267</v>
      </c>
      <c r="N34" s="210">
        <v>0.0868</v>
      </c>
      <c r="O34" s="210">
        <v>0.0639</v>
      </c>
      <c r="P34" s="210">
        <v>1.0791</v>
      </c>
      <c r="Q34" s="210">
        <v>40.15</v>
      </c>
      <c r="R34" s="210">
        <v>31.77</v>
      </c>
      <c r="S34" s="210">
        <v>8.39</v>
      </c>
      <c r="T34" s="210">
        <v>0.0</v>
      </c>
      <c r="U34" s="210">
        <v>40.15</v>
      </c>
      <c r="V34" s="210">
        <v>42.89</v>
      </c>
      <c r="W34" s="210">
        <v>3.1581</v>
      </c>
      <c r="X34" s="210">
        <v>0.0</v>
      </c>
      <c r="Y34" s="210">
        <v>237.0</v>
      </c>
      <c r="Z34" s="210">
        <v>254.0</v>
      </c>
      <c r="AA34" s="210">
        <v>299.0</v>
      </c>
      <c r="AB34" s="210">
        <v>49.6641</v>
      </c>
      <c r="AC34" s="210">
        <v>0.8683</v>
      </c>
      <c r="AD34" s="210">
        <v>11.54</v>
      </c>
      <c r="AE34" s="210">
        <v>9.0</v>
      </c>
      <c r="AF34" s="210">
        <v>11.0</v>
      </c>
      <c r="AG34" s="210">
        <v>15.0</v>
      </c>
      <c r="AH34" s="210">
        <v>17.0</v>
      </c>
      <c r="AI34" s="210">
        <v>89.76</v>
      </c>
      <c r="AJ34" s="210">
        <v>40.06</v>
      </c>
      <c r="AK34" s="210">
        <v>0.46</v>
      </c>
      <c r="AL34" s="210">
        <v>0.6988</v>
      </c>
      <c r="AM34" s="210">
        <v>0.0</v>
      </c>
      <c r="AN34" s="135">
        <v>0.0</v>
      </c>
      <c r="AO34" s="135">
        <v>0.0</v>
      </c>
      <c r="AP34" s="135">
        <v>0.0</v>
      </c>
      <c r="AQ34" s="135">
        <v>2.474</v>
      </c>
      <c r="AR34" s="135">
        <v>0.3624</v>
      </c>
      <c r="AS34" s="135">
        <v>2.1116</v>
      </c>
      <c r="AT34" s="135">
        <v>3.4572</v>
      </c>
      <c r="AU34" s="135">
        <v>0.2546</v>
      </c>
      <c r="AV34" s="135">
        <v>654.0</v>
      </c>
      <c r="AW34" s="135">
        <v>0.0</v>
      </c>
      <c r="AX34" s="135">
        <v>38.47</v>
      </c>
      <c r="AY34" s="135">
        <v>1.23</v>
      </c>
      <c r="AZ34" s="135">
        <v>0.11</v>
      </c>
      <c r="BA34" s="135">
        <v>0.0</v>
      </c>
      <c r="BB34" s="135">
        <v>0.34</v>
      </c>
      <c r="BC34" s="135">
        <v>23.0</v>
      </c>
      <c r="BD34" s="135">
        <v>405.0</v>
      </c>
      <c r="BE34" s="135">
        <v>2.2492</v>
      </c>
      <c r="BF34" s="135">
        <v>0.3532</v>
      </c>
      <c r="BG34" s="135">
        <v>1.896</v>
      </c>
      <c r="BH34" s="135">
        <v>3.1223</v>
      </c>
      <c r="BI34" s="135">
        <v>0.2299</v>
      </c>
      <c r="BJ34" s="135">
        <v>0.2248</v>
      </c>
      <c r="BK34" s="135">
        <v>0.0092</v>
      </c>
      <c r="BL34" s="135">
        <v>0.2156</v>
      </c>
      <c r="BM34" s="135">
        <v>0.3349</v>
      </c>
      <c r="BN34" s="135">
        <v>0.0247</v>
      </c>
      <c r="BO34" s="135">
        <v>0.4817</v>
      </c>
      <c r="BP34" s="135">
        <v>0.1697</v>
      </c>
      <c r="BQ34" s="135">
        <v>0.3119</v>
      </c>
      <c r="BR34" s="135">
        <v>1.2232</v>
      </c>
      <c r="BS34" s="135">
        <v>1.1468</v>
      </c>
      <c r="BT34" s="135">
        <v>0.0642</v>
      </c>
      <c r="BU34" s="135">
        <v>1.0826</v>
      </c>
      <c r="BV34" s="135">
        <v>0.9633</v>
      </c>
      <c r="BW34" s="135">
        <v>0.6208</v>
      </c>
      <c r="BX34" s="135">
        <v>0.1193</v>
      </c>
      <c r="BY34" s="135">
        <v>0.5015</v>
      </c>
      <c r="BZ34" s="135">
        <v>0.9358</v>
      </c>
      <c r="CA34" s="135">
        <v>0.0107</v>
      </c>
      <c r="CB34" s="135">
        <v>0.0</v>
      </c>
      <c r="CC34" s="135">
        <v>0.0107</v>
      </c>
      <c r="CD34" s="135">
        <v>0.0933</v>
      </c>
      <c r="CE34" s="135">
        <v>0.1697</v>
      </c>
      <c r="CF34" s="135">
        <v>0.0092</v>
      </c>
      <c r="CG34" s="135">
        <v>0.1606</v>
      </c>
      <c r="CH34" s="135">
        <v>0.133</v>
      </c>
      <c r="CI34" s="135">
        <v>0.0443</v>
      </c>
      <c r="CJ34" s="135">
        <v>0.0</v>
      </c>
      <c r="CK34" s="135">
        <v>0.0443</v>
      </c>
      <c r="CL34" s="135">
        <v>0.1086</v>
      </c>
      <c r="CM34" s="135">
        <v>13.92</v>
      </c>
      <c r="CN34" s="135">
        <v>19.42</v>
      </c>
      <c r="CO34" s="135">
        <v>71.69</v>
      </c>
      <c r="CP34" s="135">
        <v>11.16</v>
      </c>
      <c r="CQ34" s="135">
        <v>0.0</v>
      </c>
      <c r="CR34" s="135">
        <v>1.47</v>
      </c>
      <c r="CS34" s="135">
        <v>1.29</v>
      </c>
      <c r="CT34" s="135">
        <v>0.0</v>
      </c>
      <c r="CU34" s="135">
        <v>24.0</v>
      </c>
      <c r="CV34" s="135">
        <v>0.0</v>
      </c>
      <c r="CW34" s="135">
        <v>40.15</v>
      </c>
      <c r="CX34" s="135">
        <v>0.0</v>
      </c>
      <c r="CY34" s="135">
        <v>0.0</v>
      </c>
      <c r="CZ34" s="135">
        <v>28.77</v>
      </c>
      <c r="DA34" s="135">
        <v>0.0</v>
      </c>
      <c r="DB34" s="135">
        <v>28.77</v>
      </c>
      <c r="DC34" s="135">
        <v>27.55</v>
      </c>
      <c r="DD34" s="135">
        <v>0.0</v>
      </c>
      <c r="DE34" s="135">
        <v>27.55</v>
      </c>
      <c r="DF34" s="135">
        <v>0.61</v>
      </c>
      <c r="DG34" s="135">
        <v>0.0</v>
      </c>
      <c r="DH34" s="135">
        <v>0.61</v>
      </c>
      <c r="DI34" s="135">
        <v>0.6</v>
      </c>
      <c r="DJ34" s="135">
        <v>0.0</v>
      </c>
      <c r="DK34" s="135">
        <v>0.6</v>
      </c>
      <c r="DL34" s="135">
        <v>0.0</v>
      </c>
      <c r="DM34" s="135">
        <v>0.0</v>
      </c>
      <c r="DN34" s="135">
        <v>0.0</v>
      </c>
    </row>
    <row r="35">
      <c r="A35" s="209">
        <v>46257.0</v>
      </c>
      <c r="B35" s="210" t="s">
        <v>5</v>
      </c>
      <c r="C35" s="210" t="s">
        <v>144</v>
      </c>
      <c r="D35" s="210">
        <v>504.0</v>
      </c>
      <c r="E35" s="210">
        <v>13.01</v>
      </c>
      <c r="F35" s="210">
        <v>2.99</v>
      </c>
      <c r="G35" s="210">
        <v>0.0059</v>
      </c>
      <c r="H35" s="210">
        <v>0.2</v>
      </c>
      <c r="I35" s="210">
        <v>2.99</v>
      </c>
      <c r="J35" s="210">
        <v>36.4</v>
      </c>
      <c r="K35" s="210">
        <v>29.28</v>
      </c>
      <c r="L35" s="210">
        <v>25.36</v>
      </c>
      <c r="M35" s="210">
        <v>0.8659</v>
      </c>
      <c r="N35" s="210">
        <v>0.1616</v>
      </c>
      <c r="O35" s="210">
        <v>0.1046</v>
      </c>
      <c r="P35" s="210">
        <v>1.1549</v>
      </c>
      <c r="Q35" s="210">
        <v>101.38</v>
      </c>
      <c r="R35" s="210">
        <v>85.89</v>
      </c>
      <c r="S35" s="210">
        <v>15.49</v>
      </c>
      <c r="T35" s="210">
        <v>0.0</v>
      </c>
      <c r="U35" s="210">
        <v>101.38</v>
      </c>
      <c r="V35" s="210">
        <v>92.46</v>
      </c>
      <c r="W35" s="210">
        <v>3.1576</v>
      </c>
      <c r="X35" s="210">
        <v>0.0</v>
      </c>
      <c r="Y35" s="210">
        <v>271.0</v>
      </c>
      <c r="Z35" s="210">
        <v>340.0</v>
      </c>
      <c r="AA35" s="210">
        <v>408.0</v>
      </c>
      <c r="AB35" s="210">
        <v>50.4225</v>
      </c>
      <c r="AC35" s="210">
        <v>0.9037</v>
      </c>
      <c r="AD35" s="210">
        <v>19.36</v>
      </c>
      <c r="AE35" s="210">
        <v>11.0</v>
      </c>
      <c r="AF35" s="210">
        <v>19.0</v>
      </c>
      <c r="AG35" s="210">
        <v>27.0</v>
      </c>
      <c r="AH35" s="210">
        <v>32.0</v>
      </c>
      <c r="AI35" s="210">
        <v>76.79</v>
      </c>
      <c r="AJ35" s="210">
        <v>29.17</v>
      </c>
      <c r="AK35" s="210">
        <v>1.59</v>
      </c>
      <c r="AL35" s="210">
        <v>0.5119</v>
      </c>
      <c r="AM35" s="210">
        <v>2.18</v>
      </c>
      <c r="AN35" s="135">
        <v>2.18</v>
      </c>
      <c r="AO35" s="135">
        <v>0.99</v>
      </c>
      <c r="AP35" s="135">
        <v>0.6</v>
      </c>
      <c r="AQ35" s="135">
        <v>6.4921</v>
      </c>
      <c r="AR35" s="135">
        <v>0.1845</v>
      </c>
      <c r="AS35" s="135">
        <v>6.3075</v>
      </c>
      <c r="AT35" s="135">
        <v>4.5992</v>
      </c>
      <c r="AU35" s="135">
        <v>0.1571</v>
      </c>
      <c r="AV35" s="135">
        <v>504.0</v>
      </c>
      <c r="AW35" s="135">
        <v>0.0</v>
      </c>
      <c r="AX35" s="135">
        <v>87.66</v>
      </c>
      <c r="AY35" s="135">
        <v>11.86</v>
      </c>
      <c r="AZ35" s="135">
        <v>0.53</v>
      </c>
      <c r="BA35" s="135">
        <v>0.0</v>
      </c>
      <c r="BB35" s="135">
        <v>1.34</v>
      </c>
      <c r="BC35" s="135">
        <v>45.0</v>
      </c>
      <c r="BD35" s="135">
        <v>635.0</v>
      </c>
      <c r="BE35" s="135">
        <v>5.0139</v>
      </c>
      <c r="BF35" s="135">
        <v>0.1429</v>
      </c>
      <c r="BG35" s="135">
        <v>4.871</v>
      </c>
      <c r="BH35" s="135">
        <v>2.6825</v>
      </c>
      <c r="BI35" s="135">
        <v>0.0916</v>
      </c>
      <c r="BJ35" s="135">
        <v>1.4782</v>
      </c>
      <c r="BK35" s="135">
        <v>0.0417</v>
      </c>
      <c r="BL35" s="135">
        <v>1.4365</v>
      </c>
      <c r="BM35" s="135">
        <v>1.9167</v>
      </c>
      <c r="BN35" s="135">
        <v>0.0655</v>
      </c>
      <c r="BO35" s="135">
        <v>1.5179</v>
      </c>
      <c r="BP35" s="135">
        <v>0.0774</v>
      </c>
      <c r="BQ35" s="135">
        <v>1.4405</v>
      </c>
      <c r="BR35" s="135">
        <v>1.0952</v>
      </c>
      <c r="BS35" s="135">
        <v>2.1667</v>
      </c>
      <c r="BT35" s="135">
        <v>0.0298</v>
      </c>
      <c r="BU35" s="135">
        <v>2.1369</v>
      </c>
      <c r="BV35" s="135">
        <v>0.8353</v>
      </c>
      <c r="BW35" s="135">
        <v>1.3294</v>
      </c>
      <c r="BX35" s="135">
        <v>0.0357</v>
      </c>
      <c r="BY35" s="135">
        <v>1.2937</v>
      </c>
      <c r="BZ35" s="135">
        <v>0.752</v>
      </c>
      <c r="CA35" s="135">
        <v>0.1627</v>
      </c>
      <c r="CB35" s="135">
        <v>0.0</v>
      </c>
      <c r="CC35" s="135">
        <v>0.1627</v>
      </c>
      <c r="CD35" s="135">
        <v>0.498</v>
      </c>
      <c r="CE35" s="135">
        <v>0.6885</v>
      </c>
      <c r="CF35" s="135">
        <v>0.0119</v>
      </c>
      <c r="CG35" s="135">
        <v>0.6766</v>
      </c>
      <c r="CH35" s="135">
        <v>0.6091</v>
      </c>
      <c r="CI35" s="135">
        <v>0.627</v>
      </c>
      <c r="CJ35" s="135">
        <v>0.0298</v>
      </c>
      <c r="CK35" s="135">
        <v>0.5972</v>
      </c>
      <c r="CL35" s="135">
        <v>0.8095</v>
      </c>
      <c r="CM35" s="135">
        <v>108.91</v>
      </c>
      <c r="CN35" s="135">
        <v>73.61</v>
      </c>
      <c r="CO35" s="135">
        <v>147.96</v>
      </c>
      <c r="CP35" s="135">
        <v>91.69</v>
      </c>
      <c r="CQ35" s="135">
        <v>0.0</v>
      </c>
      <c r="CR35" s="135">
        <v>6.75</v>
      </c>
      <c r="CS35" s="135">
        <v>10.48</v>
      </c>
      <c r="CT35" s="135">
        <v>0.0</v>
      </c>
      <c r="CU35" s="135">
        <v>73.0</v>
      </c>
      <c r="CV35" s="135">
        <v>0.0</v>
      </c>
      <c r="CW35" s="135">
        <v>101.38</v>
      </c>
      <c r="CX35" s="135">
        <v>0.0</v>
      </c>
      <c r="CY35" s="135">
        <v>0.0</v>
      </c>
      <c r="CZ35" s="135">
        <v>101.47</v>
      </c>
      <c r="DA35" s="135">
        <v>0.0</v>
      </c>
      <c r="DB35" s="135">
        <v>101.47</v>
      </c>
      <c r="DC35" s="135">
        <v>94.72</v>
      </c>
      <c r="DD35" s="135">
        <v>0.0</v>
      </c>
      <c r="DE35" s="135">
        <v>94.72</v>
      </c>
      <c r="DF35" s="135">
        <v>3.41</v>
      </c>
      <c r="DG35" s="135">
        <v>0.0</v>
      </c>
      <c r="DH35" s="135">
        <v>3.41</v>
      </c>
      <c r="DI35" s="135">
        <v>3.08</v>
      </c>
      <c r="DJ35" s="135">
        <v>0.0</v>
      </c>
      <c r="DK35" s="135">
        <v>3.08</v>
      </c>
      <c r="DL35" s="135">
        <v>0.26</v>
      </c>
      <c r="DM35" s="135">
        <v>0.0</v>
      </c>
      <c r="DN35" s="135">
        <v>0.26</v>
      </c>
    </row>
    <row r="36">
      <c r="A36" s="209">
        <v>46257.0</v>
      </c>
      <c r="B36" s="210" t="s">
        <v>5</v>
      </c>
      <c r="C36" s="210" t="s">
        <v>145</v>
      </c>
      <c r="D36" s="210">
        <v>354.0</v>
      </c>
      <c r="E36" s="210">
        <v>9.14</v>
      </c>
      <c r="F36" s="210">
        <v>6.64</v>
      </c>
      <c r="G36" s="210">
        <v>0.0188</v>
      </c>
      <c r="H36" s="210">
        <v>0.85</v>
      </c>
      <c r="I36" s="210">
        <v>2.2133</v>
      </c>
      <c r="J36" s="210">
        <v>87.96</v>
      </c>
      <c r="K36" s="210">
        <v>62.94</v>
      </c>
      <c r="L36" s="210">
        <v>52.47</v>
      </c>
      <c r="M36" s="210">
        <v>0.8337</v>
      </c>
      <c r="N36" s="210">
        <v>0.203</v>
      </c>
      <c r="O36" s="210">
        <v>0.1344</v>
      </c>
      <c r="P36" s="210">
        <v>1.1995</v>
      </c>
      <c r="Q36" s="210">
        <v>249.21</v>
      </c>
      <c r="R36" s="210">
        <v>210.45</v>
      </c>
      <c r="S36" s="210">
        <v>38.76</v>
      </c>
      <c r="T36" s="210">
        <v>1.98</v>
      </c>
      <c r="U36" s="210">
        <v>247.23</v>
      </c>
      <c r="V36" s="210">
        <v>227.54</v>
      </c>
      <c r="W36" s="210">
        <v>3.6154</v>
      </c>
      <c r="X36" s="210">
        <v>0.79</v>
      </c>
      <c r="Y36" s="210">
        <v>341.0</v>
      </c>
      <c r="Z36" s="210">
        <v>431.0</v>
      </c>
      <c r="AA36" s="210">
        <v>584.0</v>
      </c>
      <c r="AB36" s="210">
        <v>52.104</v>
      </c>
      <c r="AC36" s="210">
        <v>0.8419</v>
      </c>
      <c r="AD36" s="210">
        <v>30.84</v>
      </c>
      <c r="AE36" s="210">
        <v>15.0</v>
      </c>
      <c r="AF36" s="210">
        <v>29.0</v>
      </c>
      <c r="AG36" s="210">
        <v>44.0</v>
      </c>
      <c r="AH36" s="210">
        <v>54.0</v>
      </c>
      <c r="AI36" s="210">
        <v>52.26</v>
      </c>
      <c r="AJ36" s="210">
        <v>6.5</v>
      </c>
      <c r="AK36" s="210">
        <v>0.28</v>
      </c>
      <c r="AL36" s="210">
        <v>0.3333</v>
      </c>
      <c r="AM36" s="210">
        <v>29.94</v>
      </c>
      <c r="AN36" s="135">
        <v>29.94</v>
      </c>
      <c r="AO36" s="135">
        <v>25.42</v>
      </c>
      <c r="AP36" s="135">
        <v>16.38</v>
      </c>
      <c r="AQ36" s="135">
        <v>14.2881</v>
      </c>
      <c r="AR36" s="135">
        <v>0.0593</v>
      </c>
      <c r="AS36" s="135">
        <v>14.2288</v>
      </c>
      <c r="AT36" s="135">
        <v>9.7458</v>
      </c>
      <c r="AU36" s="135">
        <v>0.1548</v>
      </c>
      <c r="AV36" s="135">
        <v>354.0</v>
      </c>
      <c r="AW36" s="135">
        <v>0.0</v>
      </c>
      <c r="AX36" s="135">
        <v>182.97</v>
      </c>
      <c r="AY36" s="135">
        <v>53.77</v>
      </c>
      <c r="AZ36" s="135">
        <v>1.84</v>
      </c>
      <c r="BA36" s="135">
        <v>1.98</v>
      </c>
      <c r="BB36" s="135">
        <v>8.66</v>
      </c>
      <c r="BC36" s="135">
        <v>85.0</v>
      </c>
      <c r="BD36" s="135">
        <v>940.0</v>
      </c>
      <c r="BE36" s="135">
        <v>9.5706</v>
      </c>
      <c r="BF36" s="135">
        <v>0.0424</v>
      </c>
      <c r="BG36" s="135">
        <v>9.5282</v>
      </c>
      <c r="BH36" s="135">
        <v>4.887</v>
      </c>
      <c r="BI36" s="135">
        <v>0.0776</v>
      </c>
      <c r="BJ36" s="135">
        <v>4.7175</v>
      </c>
      <c r="BK36" s="135">
        <v>0.0169</v>
      </c>
      <c r="BL36" s="135">
        <v>4.7006</v>
      </c>
      <c r="BM36" s="135">
        <v>4.8588</v>
      </c>
      <c r="BN36" s="135">
        <v>0.0772</v>
      </c>
      <c r="BO36" s="135">
        <v>3.065</v>
      </c>
      <c r="BP36" s="135">
        <v>0.0339</v>
      </c>
      <c r="BQ36" s="135">
        <v>3.0311</v>
      </c>
      <c r="BR36" s="135">
        <v>1.678</v>
      </c>
      <c r="BS36" s="135">
        <v>4.1977</v>
      </c>
      <c r="BT36" s="135">
        <v>0.0085</v>
      </c>
      <c r="BU36" s="135">
        <v>4.1893</v>
      </c>
      <c r="BV36" s="135">
        <v>1.8418</v>
      </c>
      <c r="BW36" s="135">
        <v>2.3079</v>
      </c>
      <c r="BX36" s="135">
        <v>0.0</v>
      </c>
      <c r="BY36" s="135">
        <v>2.3079</v>
      </c>
      <c r="BZ36" s="135">
        <v>1.3672</v>
      </c>
      <c r="CA36" s="135">
        <v>0.6384</v>
      </c>
      <c r="CB36" s="135">
        <v>0.0</v>
      </c>
      <c r="CC36" s="135">
        <v>0.6384</v>
      </c>
      <c r="CD36" s="135">
        <v>1.1723</v>
      </c>
      <c r="CE36" s="135">
        <v>1.8644</v>
      </c>
      <c r="CF36" s="135">
        <v>0.0085</v>
      </c>
      <c r="CG36" s="135">
        <v>1.8559</v>
      </c>
      <c r="CH36" s="135">
        <v>1.5085</v>
      </c>
      <c r="CI36" s="135">
        <v>2.2147</v>
      </c>
      <c r="CJ36" s="135">
        <v>0.0085</v>
      </c>
      <c r="CK36" s="135">
        <v>2.2062</v>
      </c>
      <c r="CL36" s="135">
        <v>2.178</v>
      </c>
      <c r="CM36" s="135">
        <v>391.4</v>
      </c>
      <c r="CN36" s="135">
        <v>96.61</v>
      </c>
      <c r="CO36" s="135">
        <v>405.14</v>
      </c>
      <c r="CP36" s="135">
        <v>346.43</v>
      </c>
      <c r="CQ36" s="135">
        <v>0.0</v>
      </c>
      <c r="CR36" s="135">
        <v>16.27</v>
      </c>
      <c r="CS36" s="135">
        <v>28.7</v>
      </c>
      <c r="CT36" s="135">
        <v>0.0</v>
      </c>
      <c r="CU36" s="135">
        <v>129.0</v>
      </c>
      <c r="CV36" s="135">
        <v>0.0</v>
      </c>
      <c r="CW36" s="135">
        <v>249.21</v>
      </c>
      <c r="CX36" s="135">
        <v>0.0</v>
      </c>
      <c r="CY36" s="135">
        <v>0.0</v>
      </c>
      <c r="CZ36" s="135">
        <v>293.71</v>
      </c>
      <c r="DA36" s="135">
        <v>0.23</v>
      </c>
      <c r="DB36" s="135">
        <v>293.49</v>
      </c>
      <c r="DC36" s="135">
        <v>271.36</v>
      </c>
      <c r="DD36" s="135">
        <v>0.06</v>
      </c>
      <c r="DE36" s="135">
        <v>271.3</v>
      </c>
      <c r="DF36" s="135">
        <v>10.99</v>
      </c>
      <c r="DG36" s="135">
        <v>0.06</v>
      </c>
      <c r="DH36" s="135">
        <v>10.93</v>
      </c>
      <c r="DI36" s="135">
        <v>9.42</v>
      </c>
      <c r="DJ36" s="135">
        <v>0.06</v>
      </c>
      <c r="DK36" s="135">
        <v>9.36</v>
      </c>
      <c r="DL36" s="135">
        <v>1.95</v>
      </c>
      <c r="DM36" s="135">
        <v>0.06</v>
      </c>
      <c r="DN36" s="135">
        <v>1.89</v>
      </c>
    </row>
    <row r="37">
      <c r="A37" s="209">
        <v>46257.0</v>
      </c>
      <c r="B37" s="210" t="s">
        <v>5</v>
      </c>
      <c r="C37" s="210" t="s">
        <v>146</v>
      </c>
      <c r="D37" s="210">
        <v>91.0</v>
      </c>
      <c r="E37" s="210">
        <v>2.35</v>
      </c>
      <c r="F37" s="210">
        <v>8.67</v>
      </c>
      <c r="G37" s="210">
        <v>0.0953</v>
      </c>
      <c r="H37" s="210">
        <v>6.59</v>
      </c>
      <c r="I37" s="210">
        <v>1.445</v>
      </c>
      <c r="J37" s="210">
        <v>232.87</v>
      </c>
      <c r="K37" s="210">
        <v>172.09</v>
      </c>
      <c r="L37" s="210">
        <v>137.51</v>
      </c>
      <c r="M37" s="210">
        <v>0.799</v>
      </c>
      <c r="N37" s="210">
        <v>0.2383</v>
      </c>
      <c r="O37" s="210">
        <v>0.1444</v>
      </c>
      <c r="P37" s="210">
        <v>1.2515</v>
      </c>
      <c r="Q37" s="210">
        <v>620.32</v>
      </c>
      <c r="R37" s="210">
        <v>517.24</v>
      </c>
      <c r="S37" s="210">
        <v>103.08</v>
      </c>
      <c r="T37" s="210">
        <v>26.37</v>
      </c>
      <c r="U37" s="210">
        <v>593.95</v>
      </c>
      <c r="V37" s="210">
        <v>832.42</v>
      </c>
      <c r="W37" s="210">
        <v>4.8372</v>
      </c>
      <c r="X37" s="210">
        <v>4.25</v>
      </c>
      <c r="Y37" s="210">
        <v>435.0</v>
      </c>
      <c r="Z37" s="210">
        <v>685.0</v>
      </c>
      <c r="AA37" s="210">
        <v>1075.0</v>
      </c>
      <c r="AB37" s="210">
        <v>55.9404</v>
      </c>
      <c r="AC37" s="210">
        <v>0.7234</v>
      </c>
      <c r="AD37" s="210">
        <v>64.73</v>
      </c>
      <c r="AE37" s="210">
        <v>23.0</v>
      </c>
      <c r="AF37" s="210">
        <v>47.0</v>
      </c>
      <c r="AG37" s="210">
        <v>90.0</v>
      </c>
      <c r="AH37" s="210">
        <v>132.0</v>
      </c>
      <c r="AI37" s="210">
        <v>29.67</v>
      </c>
      <c r="AJ37" s="210">
        <v>5.49</v>
      </c>
      <c r="AK37" s="210">
        <v>2.2</v>
      </c>
      <c r="AL37" s="210">
        <v>0.1868</v>
      </c>
      <c r="AM37" s="210">
        <v>84.62</v>
      </c>
      <c r="AN37" s="135">
        <v>84.62</v>
      </c>
      <c r="AO37" s="135">
        <v>83.52</v>
      </c>
      <c r="AP37" s="135">
        <v>81.32</v>
      </c>
      <c r="AQ37" s="135">
        <v>34.8022</v>
      </c>
      <c r="AR37" s="135">
        <v>5.0</v>
      </c>
      <c r="AS37" s="135">
        <v>29.8022</v>
      </c>
      <c r="AT37" s="135">
        <v>27.2308</v>
      </c>
      <c r="AU37" s="135">
        <v>0.1582</v>
      </c>
      <c r="AV37" s="135">
        <v>91.0</v>
      </c>
      <c r="AW37" s="135">
        <v>0.0</v>
      </c>
      <c r="AX37" s="135">
        <v>394.51</v>
      </c>
      <c r="AY37" s="135">
        <v>174.84</v>
      </c>
      <c r="AZ37" s="135">
        <v>6.76</v>
      </c>
      <c r="BA37" s="135">
        <v>26.37</v>
      </c>
      <c r="BB37" s="135">
        <v>17.85</v>
      </c>
      <c r="BC37" s="135">
        <v>304.0</v>
      </c>
      <c r="BD37" s="135">
        <v>1500.0</v>
      </c>
      <c r="BE37" s="135">
        <v>22.9121</v>
      </c>
      <c r="BF37" s="135">
        <v>4.8462</v>
      </c>
      <c r="BG37" s="135">
        <v>18.0659</v>
      </c>
      <c r="BH37" s="135">
        <v>14.5714</v>
      </c>
      <c r="BI37" s="135">
        <v>0.0847</v>
      </c>
      <c r="BJ37" s="135">
        <v>11.8901</v>
      </c>
      <c r="BK37" s="135">
        <v>0.1538</v>
      </c>
      <c r="BL37" s="135">
        <v>11.7363</v>
      </c>
      <c r="BM37" s="135">
        <v>12.6593</v>
      </c>
      <c r="BN37" s="135">
        <v>0.0736</v>
      </c>
      <c r="BO37" s="135">
        <v>7.4615</v>
      </c>
      <c r="BP37" s="135">
        <v>1.3516</v>
      </c>
      <c r="BQ37" s="135">
        <v>6.1099</v>
      </c>
      <c r="BR37" s="135">
        <v>4.7802</v>
      </c>
      <c r="BS37" s="135">
        <v>9.0879</v>
      </c>
      <c r="BT37" s="135">
        <v>1.6154</v>
      </c>
      <c r="BU37" s="135">
        <v>7.4725</v>
      </c>
      <c r="BV37" s="135">
        <v>5.7253</v>
      </c>
      <c r="BW37" s="135">
        <v>6.3626</v>
      </c>
      <c r="BX37" s="135">
        <v>1.8791</v>
      </c>
      <c r="BY37" s="135">
        <v>4.4835</v>
      </c>
      <c r="BZ37" s="135">
        <v>4.0659</v>
      </c>
      <c r="CA37" s="135">
        <v>2.0659</v>
      </c>
      <c r="CB37" s="135">
        <v>0.0549</v>
      </c>
      <c r="CC37" s="135">
        <v>2.011</v>
      </c>
      <c r="CD37" s="135">
        <v>2.8352</v>
      </c>
      <c r="CE37" s="135">
        <v>4.4505</v>
      </c>
      <c r="CF37" s="135">
        <v>0.033</v>
      </c>
      <c r="CG37" s="135">
        <v>4.4176</v>
      </c>
      <c r="CH37" s="135">
        <v>4.5385</v>
      </c>
      <c r="CI37" s="135">
        <v>5.3736</v>
      </c>
      <c r="CJ37" s="135">
        <v>0.0659</v>
      </c>
      <c r="CK37" s="135">
        <v>5.3077</v>
      </c>
      <c r="CL37" s="135">
        <v>5.2857</v>
      </c>
      <c r="CM37" s="135">
        <v>1227.92</v>
      </c>
      <c r="CN37" s="135">
        <v>100.0</v>
      </c>
      <c r="CO37" s="135">
        <v>1227.92</v>
      </c>
      <c r="CP37" s="135">
        <v>1161.16</v>
      </c>
      <c r="CQ37" s="135">
        <v>0.0</v>
      </c>
      <c r="CR37" s="135">
        <v>21.98</v>
      </c>
      <c r="CS37" s="135">
        <v>44.78</v>
      </c>
      <c r="CT37" s="135">
        <v>0.0</v>
      </c>
      <c r="CU37" s="135">
        <v>42.0</v>
      </c>
      <c r="CV37" s="135">
        <v>0.0</v>
      </c>
      <c r="CW37" s="135">
        <v>620.32</v>
      </c>
      <c r="CX37" s="135">
        <v>0.0</v>
      </c>
      <c r="CY37" s="135">
        <v>0.0</v>
      </c>
      <c r="CZ37" s="135">
        <v>723.08</v>
      </c>
      <c r="DA37" s="135">
        <v>3.63</v>
      </c>
      <c r="DB37" s="135">
        <v>719.45</v>
      </c>
      <c r="DC37" s="135">
        <v>673.57</v>
      </c>
      <c r="DD37" s="135">
        <v>1.65</v>
      </c>
      <c r="DE37" s="135">
        <v>671.92</v>
      </c>
      <c r="DF37" s="135">
        <v>22.47</v>
      </c>
      <c r="DG37" s="135">
        <v>0.66</v>
      </c>
      <c r="DH37" s="135">
        <v>21.81</v>
      </c>
      <c r="DI37" s="135">
        <v>17.64</v>
      </c>
      <c r="DJ37" s="135">
        <v>0.66</v>
      </c>
      <c r="DK37" s="135">
        <v>16.98</v>
      </c>
      <c r="DL37" s="135">
        <v>9.4</v>
      </c>
      <c r="DM37" s="135">
        <v>0.66</v>
      </c>
      <c r="DN37" s="135">
        <v>8.74</v>
      </c>
    </row>
    <row r="38">
      <c r="A38" s="209">
        <v>46258.0</v>
      </c>
      <c r="B38" s="210" t="s">
        <v>4</v>
      </c>
      <c r="C38" s="210" t="s">
        <v>398</v>
      </c>
      <c r="D38" s="210">
        <v>879.0</v>
      </c>
      <c r="E38" s="210">
        <v>22.04</v>
      </c>
      <c r="F38" s="210">
        <v>0.0</v>
      </c>
      <c r="G38" s="210">
        <v>0.0</v>
      </c>
      <c r="H38" s="210">
        <v>0.0</v>
      </c>
      <c r="I38" s="210"/>
      <c r="J38" s="210">
        <v>1.66</v>
      </c>
      <c r="K38" s="210">
        <v>0.12</v>
      </c>
      <c r="L38" s="210">
        <v>0.0</v>
      </c>
      <c r="M38" s="210">
        <v>0.0</v>
      </c>
      <c r="N38" s="210">
        <v>1.0</v>
      </c>
      <c r="O38" s="210">
        <v>1.0</v>
      </c>
      <c r="P38" s="210"/>
      <c r="Q38" s="210">
        <v>1.91</v>
      </c>
      <c r="R38" s="210">
        <v>1.89</v>
      </c>
      <c r="S38" s="210">
        <v>0.02</v>
      </c>
      <c r="T38" s="210">
        <v>0.0</v>
      </c>
      <c r="U38" s="210">
        <v>1.91</v>
      </c>
      <c r="V38" s="210">
        <v>0.57</v>
      </c>
      <c r="W38" s="210">
        <v>4.6729</v>
      </c>
      <c r="X38" s="210">
        <v>0.0</v>
      </c>
      <c r="Y38" s="210">
        <v>200.0</v>
      </c>
      <c r="Z38" s="210">
        <v>200.0</v>
      </c>
      <c r="AA38" s="210">
        <v>200.0</v>
      </c>
      <c r="AB38" s="210">
        <v>49.6237</v>
      </c>
      <c r="AC38" s="210">
        <v>0.7145</v>
      </c>
      <c r="AD38" s="211"/>
      <c r="AE38" s="211"/>
      <c r="AF38" s="211"/>
      <c r="AG38" s="211"/>
      <c r="AH38" s="211"/>
      <c r="AI38" s="210">
        <v>0.0</v>
      </c>
      <c r="AJ38" s="210">
        <v>0.0</v>
      </c>
      <c r="AK38" s="210">
        <v>0.0</v>
      </c>
      <c r="AL38" s="210">
        <v>0.8817</v>
      </c>
      <c r="AM38" s="211"/>
      <c r="AQ38" s="135">
        <v>0.1013</v>
      </c>
      <c r="AR38" s="135">
        <v>0.0034</v>
      </c>
      <c r="AS38" s="135">
        <v>0.0978</v>
      </c>
      <c r="AT38" s="135">
        <v>0.0262</v>
      </c>
      <c r="AU38" s="135">
        <v>0.215</v>
      </c>
      <c r="AV38" s="135">
        <v>879.0</v>
      </c>
      <c r="AW38" s="135">
        <v>0.0</v>
      </c>
      <c r="AX38" s="135">
        <v>0.98</v>
      </c>
      <c r="AY38" s="135">
        <v>0.89</v>
      </c>
      <c r="AZ38" s="135">
        <v>0.03</v>
      </c>
      <c r="BA38" s="135">
        <v>0.0</v>
      </c>
      <c r="BB38" s="135">
        <v>0.0</v>
      </c>
      <c r="BD38" s="135">
        <v>407.0</v>
      </c>
      <c r="BE38" s="135">
        <v>0.0603</v>
      </c>
      <c r="BF38" s="135">
        <v>0.0034</v>
      </c>
      <c r="BG38" s="135">
        <v>0.0569</v>
      </c>
      <c r="BH38" s="135">
        <v>0.0171</v>
      </c>
      <c r="BI38" s="135">
        <v>0.1402</v>
      </c>
      <c r="BJ38" s="135">
        <v>0.041</v>
      </c>
      <c r="BK38" s="135">
        <v>0.0</v>
      </c>
      <c r="BL38" s="135">
        <v>0.041</v>
      </c>
      <c r="BM38" s="135">
        <v>0.0091</v>
      </c>
      <c r="BN38" s="135">
        <v>0.0748</v>
      </c>
      <c r="BO38" s="135">
        <v>0.0091</v>
      </c>
      <c r="BP38" s="135">
        <v>0.0</v>
      </c>
      <c r="BQ38" s="135">
        <v>0.0091</v>
      </c>
      <c r="BR38" s="135">
        <v>0.0034</v>
      </c>
      <c r="BS38" s="135">
        <v>0.025</v>
      </c>
      <c r="BT38" s="135">
        <v>0.0</v>
      </c>
      <c r="BU38" s="135">
        <v>0.025</v>
      </c>
      <c r="BV38" s="135">
        <v>0.0057</v>
      </c>
      <c r="BW38" s="135">
        <v>0.0262</v>
      </c>
      <c r="BX38" s="135">
        <v>0.0034</v>
      </c>
      <c r="BY38" s="135">
        <v>0.0228</v>
      </c>
      <c r="BZ38" s="135">
        <v>0.008</v>
      </c>
      <c r="CA38" s="135">
        <v>0.0091</v>
      </c>
      <c r="CB38" s="135">
        <v>0.0</v>
      </c>
      <c r="CC38" s="135">
        <v>0.0091</v>
      </c>
      <c r="CD38" s="135">
        <v>0.0034</v>
      </c>
      <c r="CE38" s="135">
        <v>0.0193</v>
      </c>
      <c r="CF38" s="135">
        <v>0.0</v>
      </c>
      <c r="CG38" s="135">
        <v>0.0193</v>
      </c>
      <c r="CH38" s="135">
        <v>0.0034</v>
      </c>
      <c r="CI38" s="135">
        <v>0.0125</v>
      </c>
      <c r="CJ38" s="135">
        <v>0.0</v>
      </c>
      <c r="CK38" s="135">
        <v>0.0125</v>
      </c>
      <c r="CL38" s="135">
        <v>0.0023</v>
      </c>
      <c r="CM38" s="135">
        <v>0.1</v>
      </c>
      <c r="CN38" s="135">
        <v>0.23</v>
      </c>
      <c r="CO38" s="135">
        <v>45.0</v>
      </c>
      <c r="CP38" s="135">
        <v>0.0</v>
      </c>
      <c r="CQ38" s="135">
        <v>0.0</v>
      </c>
      <c r="CR38" s="135">
        <v>0.05</v>
      </c>
      <c r="CS38" s="135">
        <v>0.06</v>
      </c>
      <c r="CT38" s="135">
        <v>0.0</v>
      </c>
      <c r="CU38" s="135">
        <v>0.0</v>
      </c>
      <c r="CV38" s="135">
        <v>0.0</v>
      </c>
      <c r="CW38" s="135">
        <v>1.91</v>
      </c>
      <c r="CX38" s="135">
        <v>0.0</v>
      </c>
      <c r="CY38" s="135">
        <v>0.0</v>
      </c>
      <c r="CZ38" s="135">
        <v>1.19</v>
      </c>
      <c r="DA38" s="135">
        <v>0.0</v>
      </c>
      <c r="DB38" s="135">
        <v>1.19</v>
      </c>
      <c r="DC38" s="135">
        <v>1.18</v>
      </c>
      <c r="DD38" s="135">
        <v>0.0</v>
      </c>
      <c r="DE38" s="135">
        <v>1.18</v>
      </c>
      <c r="DF38" s="135">
        <v>0.01</v>
      </c>
      <c r="DG38" s="135">
        <v>0.0</v>
      </c>
      <c r="DH38" s="135">
        <v>0.01</v>
      </c>
      <c r="DI38" s="135">
        <v>0.0</v>
      </c>
      <c r="DJ38" s="135">
        <v>0.0</v>
      </c>
      <c r="DK38" s="135">
        <v>0.0</v>
      </c>
      <c r="DL38" s="135">
        <v>0.0</v>
      </c>
      <c r="DM38" s="135">
        <v>0.0</v>
      </c>
      <c r="DN38" s="135">
        <v>0.0</v>
      </c>
    </row>
    <row r="39">
      <c r="A39" s="209">
        <v>46258.0</v>
      </c>
      <c r="B39" s="210" t="s">
        <v>4</v>
      </c>
      <c r="C39" s="210" t="s">
        <v>142</v>
      </c>
      <c r="D39" s="210">
        <v>1373.0</v>
      </c>
      <c r="E39" s="210">
        <v>34.43</v>
      </c>
      <c r="F39" s="210">
        <v>0.0</v>
      </c>
      <c r="G39" s="210">
        <v>0.0</v>
      </c>
      <c r="H39" s="210">
        <v>0.0</v>
      </c>
      <c r="I39" s="210"/>
      <c r="J39" s="210">
        <v>5.24</v>
      </c>
      <c r="K39" s="210">
        <v>4.29</v>
      </c>
      <c r="L39" s="210">
        <v>3.95</v>
      </c>
      <c r="M39" s="210">
        <v>0.9205</v>
      </c>
      <c r="N39" s="210">
        <v>0.0844</v>
      </c>
      <c r="O39" s="210">
        <v>0.0539</v>
      </c>
      <c r="P39" s="210">
        <v>1.0863</v>
      </c>
      <c r="Q39" s="210">
        <v>8.1</v>
      </c>
      <c r="R39" s="210">
        <v>7.09</v>
      </c>
      <c r="S39" s="210">
        <v>1.01</v>
      </c>
      <c r="T39" s="210">
        <v>0.0</v>
      </c>
      <c r="U39" s="210">
        <v>8.1</v>
      </c>
      <c r="V39" s="210">
        <v>6.19</v>
      </c>
      <c r="W39" s="210">
        <v>1.4434</v>
      </c>
      <c r="X39" s="210">
        <v>0.0</v>
      </c>
      <c r="Y39" s="210">
        <v>200.0</v>
      </c>
      <c r="Z39" s="210">
        <v>204.0</v>
      </c>
      <c r="AA39" s="210">
        <v>241.0</v>
      </c>
      <c r="AB39" s="210">
        <v>50.0026</v>
      </c>
      <c r="AC39" s="210">
        <v>0.8458</v>
      </c>
      <c r="AD39" s="210">
        <v>3.77</v>
      </c>
      <c r="AE39" s="210">
        <v>2.0</v>
      </c>
      <c r="AF39" s="210">
        <v>3.0</v>
      </c>
      <c r="AG39" s="210">
        <v>5.0</v>
      </c>
      <c r="AH39" s="210">
        <v>8.0</v>
      </c>
      <c r="AI39" s="210">
        <v>77.13</v>
      </c>
      <c r="AJ39" s="210">
        <v>37.65</v>
      </c>
      <c r="AK39" s="210">
        <v>1.09</v>
      </c>
      <c r="AL39" s="210">
        <v>0.8339</v>
      </c>
      <c r="AM39" s="211"/>
      <c r="AQ39" s="135">
        <v>0.5127</v>
      </c>
      <c r="AR39" s="135">
        <v>0.0262</v>
      </c>
      <c r="AS39" s="135">
        <v>0.4865</v>
      </c>
      <c r="AT39" s="135">
        <v>0.5302</v>
      </c>
      <c r="AU39" s="135">
        <v>0.1236</v>
      </c>
      <c r="AV39" s="135">
        <v>1373.0</v>
      </c>
      <c r="AW39" s="135">
        <v>0.0</v>
      </c>
      <c r="AX39" s="135">
        <v>7.8</v>
      </c>
      <c r="AY39" s="135">
        <v>0.29</v>
      </c>
      <c r="AZ39" s="135">
        <v>0.0</v>
      </c>
      <c r="BA39" s="135">
        <v>0.0</v>
      </c>
      <c r="BB39" s="135">
        <v>0.01</v>
      </c>
      <c r="BC39" s="135">
        <v>10.0</v>
      </c>
      <c r="BD39" s="135">
        <v>300.0</v>
      </c>
      <c r="BE39" s="135">
        <v>0.4814</v>
      </c>
      <c r="BF39" s="135">
        <v>0.0262</v>
      </c>
      <c r="BG39" s="135">
        <v>0.4552</v>
      </c>
      <c r="BH39" s="135">
        <v>0.4909</v>
      </c>
      <c r="BI39" s="135">
        <v>0.1145</v>
      </c>
      <c r="BJ39" s="135">
        <v>0.0313</v>
      </c>
      <c r="BK39" s="135">
        <v>0.0</v>
      </c>
      <c r="BL39" s="135">
        <v>0.0313</v>
      </c>
      <c r="BM39" s="135">
        <v>0.0393</v>
      </c>
      <c r="BN39" s="135">
        <v>0.0092</v>
      </c>
      <c r="BO39" s="135">
        <v>0.0881</v>
      </c>
      <c r="BP39" s="135">
        <v>0.0153</v>
      </c>
      <c r="BQ39" s="135">
        <v>0.0728</v>
      </c>
      <c r="BR39" s="135">
        <v>0.2425</v>
      </c>
      <c r="BS39" s="135">
        <v>0.327</v>
      </c>
      <c r="BT39" s="135">
        <v>0.0022</v>
      </c>
      <c r="BU39" s="135">
        <v>0.3248</v>
      </c>
      <c r="BV39" s="135">
        <v>0.1311</v>
      </c>
      <c r="BW39" s="135">
        <v>0.0663</v>
      </c>
      <c r="BX39" s="135">
        <v>0.0087</v>
      </c>
      <c r="BY39" s="135">
        <v>0.0575</v>
      </c>
      <c r="BZ39" s="135">
        <v>0.1173</v>
      </c>
      <c r="CA39" s="135">
        <v>0.0029</v>
      </c>
      <c r="CB39" s="135">
        <v>0.0</v>
      </c>
      <c r="CC39" s="135">
        <v>0.0029</v>
      </c>
      <c r="CD39" s="135">
        <v>0.0131</v>
      </c>
      <c r="CE39" s="135">
        <v>0.0211</v>
      </c>
      <c r="CF39" s="135">
        <v>0.0</v>
      </c>
      <c r="CG39" s="135">
        <v>0.0211</v>
      </c>
      <c r="CH39" s="135">
        <v>0.0138</v>
      </c>
      <c r="CI39" s="135">
        <v>0.0073</v>
      </c>
      <c r="CJ39" s="135">
        <v>0.0</v>
      </c>
      <c r="CK39" s="135">
        <v>0.0073</v>
      </c>
      <c r="CL39" s="135">
        <v>0.0124</v>
      </c>
      <c r="CM39" s="135">
        <v>0.5</v>
      </c>
      <c r="CN39" s="135">
        <v>1.53</v>
      </c>
      <c r="CO39" s="135">
        <v>32.62</v>
      </c>
      <c r="CP39" s="135">
        <v>0.47</v>
      </c>
      <c r="CQ39" s="135">
        <v>0.0</v>
      </c>
      <c r="CR39" s="135">
        <v>0.03</v>
      </c>
      <c r="CS39" s="135">
        <v>0.0</v>
      </c>
      <c r="CT39" s="135">
        <v>0.0</v>
      </c>
      <c r="CU39" s="135">
        <v>0.0</v>
      </c>
      <c r="CV39" s="135">
        <v>0.0</v>
      </c>
      <c r="CW39" s="135">
        <v>8.1</v>
      </c>
      <c r="CX39" s="135">
        <v>0.0</v>
      </c>
      <c r="CY39" s="135">
        <v>0.0</v>
      </c>
      <c r="CZ39" s="135">
        <v>2.43</v>
      </c>
      <c r="DA39" s="135">
        <v>0.0</v>
      </c>
      <c r="DB39" s="135">
        <v>2.43</v>
      </c>
      <c r="DC39" s="135">
        <v>2.4</v>
      </c>
      <c r="DD39" s="135">
        <v>0.0</v>
      </c>
      <c r="DE39" s="135">
        <v>2.4</v>
      </c>
      <c r="DF39" s="135">
        <v>0.0</v>
      </c>
      <c r="DG39" s="135">
        <v>0.0</v>
      </c>
      <c r="DH39" s="135">
        <v>0.0</v>
      </c>
      <c r="DI39" s="135">
        <v>0.02</v>
      </c>
      <c r="DJ39" s="135">
        <v>0.0</v>
      </c>
      <c r="DK39" s="135">
        <v>0.02</v>
      </c>
      <c r="DL39" s="135">
        <v>0.0</v>
      </c>
      <c r="DM39" s="135">
        <v>0.0</v>
      </c>
      <c r="DN39" s="135">
        <v>0.0</v>
      </c>
    </row>
    <row r="40">
      <c r="A40" s="209">
        <v>46258.0</v>
      </c>
      <c r="B40" s="210" t="s">
        <v>4</v>
      </c>
      <c r="C40" s="210" t="s">
        <v>143</v>
      </c>
      <c r="D40" s="210">
        <v>657.0</v>
      </c>
      <c r="E40" s="210">
        <v>16.47</v>
      </c>
      <c r="F40" s="210">
        <v>0.0</v>
      </c>
      <c r="G40" s="210">
        <v>0.0</v>
      </c>
      <c r="H40" s="210">
        <v>0.0</v>
      </c>
      <c r="I40" s="210"/>
      <c r="J40" s="210">
        <v>16.57</v>
      </c>
      <c r="K40" s="210">
        <v>13.48</v>
      </c>
      <c r="L40" s="210">
        <v>12.29</v>
      </c>
      <c r="M40" s="210">
        <v>0.9119</v>
      </c>
      <c r="N40" s="210">
        <v>0.1059</v>
      </c>
      <c r="O40" s="210">
        <v>0.0743</v>
      </c>
      <c r="P40" s="210">
        <v>1.0966</v>
      </c>
      <c r="Q40" s="210">
        <v>58.24</v>
      </c>
      <c r="R40" s="210">
        <v>42.92</v>
      </c>
      <c r="S40" s="210">
        <v>15.31</v>
      </c>
      <c r="T40" s="210">
        <v>0.0</v>
      </c>
      <c r="U40" s="210">
        <v>58.24</v>
      </c>
      <c r="V40" s="210">
        <v>57.38</v>
      </c>
      <c r="W40" s="210">
        <v>4.258</v>
      </c>
      <c r="X40" s="210">
        <v>0.0</v>
      </c>
      <c r="Y40" s="210">
        <v>246.0</v>
      </c>
      <c r="Z40" s="210">
        <v>277.0</v>
      </c>
      <c r="AA40" s="210">
        <v>354.0</v>
      </c>
      <c r="AB40" s="210">
        <v>49.6557</v>
      </c>
      <c r="AC40" s="210">
        <v>0.8934</v>
      </c>
      <c r="AD40" s="210">
        <v>10.93</v>
      </c>
      <c r="AE40" s="210">
        <v>8.0</v>
      </c>
      <c r="AF40" s="210">
        <v>11.0</v>
      </c>
      <c r="AG40" s="210">
        <v>14.0</v>
      </c>
      <c r="AH40" s="210">
        <v>17.0</v>
      </c>
      <c r="AI40" s="210">
        <v>85.08</v>
      </c>
      <c r="AJ40" s="210">
        <v>36.83</v>
      </c>
      <c r="AK40" s="210">
        <v>0.91</v>
      </c>
      <c r="AL40" s="210">
        <v>0.6804</v>
      </c>
      <c r="AM40" s="211"/>
      <c r="AQ40" s="135">
        <v>4.2542</v>
      </c>
      <c r="AR40" s="135">
        <v>0.4429</v>
      </c>
      <c r="AS40" s="135">
        <v>3.8113</v>
      </c>
      <c r="AT40" s="135">
        <v>3.3516</v>
      </c>
      <c r="AU40" s="135">
        <v>0.2487</v>
      </c>
      <c r="AV40" s="135">
        <v>657.0</v>
      </c>
      <c r="AW40" s="135">
        <v>0.0</v>
      </c>
      <c r="AX40" s="135">
        <v>53.75</v>
      </c>
      <c r="AY40" s="135">
        <v>3.89</v>
      </c>
      <c r="AZ40" s="135">
        <v>0.26</v>
      </c>
      <c r="BA40" s="135">
        <v>0.0</v>
      </c>
      <c r="BB40" s="135">
        <v>0.34</v>
      </c>
      <c r="BC40" s="135">
        <v>25.0</v>
      </c>
      <c r="BD40" s="135">
        <v>546.0</v>
      </c>
      <c r="BE40" s="135">
        <v>3.8037</v>
      </c>
      <c r="BF40" s="135">
        <v>0.4384</v>
      </c>
      <c r="BG40" s="135">
        <v>3.3653</v>
      </c>
      <c r="BH40" s="135">
        <v>2.8919</v>
      </c>
      <c r="BI40" s="135">
        <v>0.2146</v>
      </c>
      <c r="BJ40" s="135">
        <v>0.4505</v>
      </c>
      <c r="BK40" s="135">
        <v>0.0046</v>
      </c>
      <c r="BL40" s="135">
        <v>0.446</v>
      </c>
      <c r="BM40" s="135">
        <v>0.4597</v>
      </c>
      <c r="BN40" s="135">
        <v>0.0341</v>
      </c>
      <c r="BO40" s="135">
        <v>1.2177</v>
      </c>
      <c r="BP40" s="135">
        <v>0.137</v>
      </c>
      <c r="BQ40" s="135">
        <v>1.0807</v>
      </c>
      <c r="BR40" s="135">
        <v>1.1857</v>
      </c>
      <c r="BS40" s="135">
        <v>1.8721</v>
      </c>
      <c r="BT40" s="135">
        <v>0.0868</v>
      </c>
      <c r="BU40" s="135">
        <v>1.7854</v>
      </c>
      <c r="BV40" s="135">
        <v>0.9026</v>
      </c>
      <c r="BW40" s="135">
        <v>0.7139</v>
      </c>
      <c r="BX40" s="135">
        <v>0.2146</v>
      </c>
      <c r="BY40" s="135">
        <v>0.4992</v>
      </c>
      <c r="BZ40" s="135">
        <v>0.8037</v>
      </c>
      <c r="CA40" s="135">
        <v>0.0472</v>
      </c>
      <c r="CB40" s="135">
        <v>0.0</v>
      </c>
      <c r="CC40" s="135">
        <v>0.0472</v>
      </c>
      <c r="CD40" s="135">
        <v>0.0989</v>
      </c>
      <c r="CE40" s="135">
        <v>0.2572</v>
      </c>
      <c r="CF40" s="135">
        <v>0.0046</v>
      </c>
      <c r="CG40" s="135">
        <v>0.2527</v>
      </c>
      <c r="CH40" s="135">
        <v>0.1492</v>
      </c>
      <c r="CI40" s="135">
        <v>0.1461</v>
      </c>
      <c r="CJ40" s="135">
        <v>0.0</v>
      </c>
      <c r="CK40" s="135">
        <v>0.1461</v>
      </c>
      <c r="CL40" s="135">
        <v>0.2116</v>
      </c>
      <c r="CM40" s="135">
        <v>20.38</v>
      </c>
      <c r="CN40" s="135">
        <v>23.29</v>
      </c>
      <c r="CO40" s="135">
        <v>87.52</v>
      </c>
      <c r="CP40" s="135">
        <v>18.71</v>
      </c>
      <c r="CQ40" s="135">
        <v>0.0</v>
      </c>
      <c r="CR40" s="135">
        <v>1.52</v>
      </c>
      <c r="CS40" s="135">
        <v>0.14</v>
      </c>
      <c r="CT40" s="135">
        <v>0.0</v>
      </c>
      <c r="CU40" s="135">
        <v>0.0</v>
      </c>
      <c r="CV40" s="135">
        <v>0.0</v>
      </c>
      <c r="CW40" s="135">
        <v>58.24</v>
      </c>
      <c r="CX40" s="135">
        <v>0.0</v>
      </c>
      <c r="CY40" s="135">
        <v>0.0</v>
      </c>
      <c r="CZ40" s="135">
        <v>29.27</v>
      </c>
      <c r="DA40" s="135">
        <v>0.0</v>
      </c>
      <c r="DB40" s="135">
        <v>29.27</v>
      </c>
      <c r="DC40" s="135">
        <v>28.55</v>
      </c>
      <c r="DD40" s="135">
        <v>0.0</v>
      </c>
      <c r="DE40" s="135">
        <v>28.55</v>
      </c>
      <c r="DF40" s="135">
        <v>0.33</v>
      </c>
      <c r="DG40" s="135">
        <v>0.0</v>
      </c>
      <c r="DH40" s="135">
        <v>0.33</v>
      </c>
      <c r="DI40" s="135">
        <v>0.39</v>
      </c>
      <c r="DJ40" s="135">
        <v>0.0</v>
      </c>
      <c r="DK40" s="135">
        <v>0.39</v>
      </c>
      <c r="DL40" s="135">
        <v>0.0</v>
      </c>
      <c r="DM40" s="135">
        <v>0.0</v>
      </c>
      <c r="DN40" s="135">
        <v>0.0</v>
      </c>
    </row>
    <row r="41">
      <c r="A41" s="209">
        <v>46258.0</v>
      </c>
      <c r="B41" s="210" t="s">
        <v>4</v>
      </c>
      <c r="C41" s="210" t="s">
        <v>144</v>
      </c>
      <c r="D41" s="210">
        <v>550.0</v>
      </c>
      <c r="E41" s="210">
        <v>13.79</v>
      </c>
      <c r="F41" s="210">
        <v>0.84</v>
      </c>
      <c r="G41" s="210">
        <v>0.0015</v>
      </c>
      <c r="H41" s="210">
        <v>0.18</v>
      </c>
      <c r="I41" s="210">
        <v>0.84</v>
      </c>
      <c r="J41" s="210">
        <v>37.41</v>
      </c>
      <c r="K41" s="210">
        <v>27.66</v>
      </c>
      <c r="L41" s="210">
        <v>23.96</v>
      </c>
      <c r="M41" s="210">
        <v>0.8663</v>
      </c>
      <c r="N41" s="210">
        <v>0.1713</v>
      </c>
      <c r="O41" s="210">
        <v>0.1162</v>
      </c>
      <c r="P41" s="210">
        <v>1.1543</v>
      </c>
      <c r="Q41" s="210">
        <v>141.34</v>
      </c>
      <c r="R41" s="210">
        <v>103.05</v>
      </c>
      <c r="S41" s="210">
        <v>38.29</v>
      </c>
      <c r="T41" s="210">
        <v>0.36</v>
      </c>
      <c r="U41" s="210">
        <v>140.97</v>
      </c>
      <c r="V41" s="210">
        <v>154.27</v>
      </c>
      <c r="W41" s="210">
        <v>5.5782</v>
      </c>
      <c r="X41" s="210">
        <v>0.26</v>
      </c>
      <c r="Y41" s="210">
        <v>305.0</v>
      </c>
      <c r="Z41" s="210">
        <v>386.0</v>
      </c>
      <c r="AA41" s="210">
        <v>513.0</v>
      </c>
      <c r="AB41" s="210">
        <v>49.8397</v>
      </c>
      <c r="AC41" s="210">
        <v>0.9003</v>
      </c>
      <c r="AD41" s="210">
        <v>18.33</v>
      </c>
      <c r="AE41" s="210">
        <v>10.0</v>
      </c>
      <c r="AF41" s="210">
        <v>19.0</v>
      </c>
      <c r="AG41" s="210">
        <v>25.0</v>
      </c>
      <c r="AH41" s="210">
        <v>32.0</v>
      </c>
      <c r="AI41" s="210">
        <v>74.0</v>
      </c>
      <c r="AJ41" s="210">
        <v>24.0</v>
      </c>
      <c r="AK41" s="210">
        <v>1.45</v>
      </c>
      <c r="AL41" s="210">
        <v>0.4618</v>
      </c>
      <c r="AM41" s="211"/>
      <c r="AQ41" s="135">
        <v>9.7364</v>
      </c>
      <c r="AR41" s="135">
        <v>0.8782</v>
      </c>
      <c r="AS41" s="135">
        <v>8.8582</v>
      </c>
      <c r="AT41" s="135">
        <v>5.6382</v>
      </c>
      <c r="AU41" s="135">
        <v>0.2039</v>
      </c>
      <c r="AV41" s="135">
        <v>550.0</v>
      </c>
      <c r="AW41" s="135">
        <v>0.0</v>
      </c>
      <c r="AX41" s="135">
        <v>114.28</v>
      </c>
      <c r="AY41" s="135">
        <v>23.21</v>
      </c>
      <c r="AZ41" s="135">
        <v>0.99</v>
      </c>
      <c r="BA41" s="135">
        <v>0.36</v>
      </c>
      <c r="BB41" s="135">
        <v>2.49</v>
      </c>
      <c r="BC41" s="135">
        <v>47.0</v>
      </c>
      <c r="BD41" s="135">
        <v>846.0</v>
      </c>
      <c r="BE41" s="135">
        <v>7.0745</v>
      </c>
      <c r="BF41" s="135">
        <v>0.8564</v>
      </c>
      <c r="BG41" s="135">
        <v>6.2182</v>
      </c>
      <c r="BH41" s="135">
        <v>3.2073</v>
      </c>
      <c r="BI41" s="135">
        <v>0.116</v>
      </c>
      <c r="BJ41" s="135">
        <v>2.6618</v>
      </c>
      <c r="BK41" s="135">
        <v>0.0218</v>
      </c>
      <c r="BL41" s="135">
        <v>2.64</v>
      </c>
      <c r="BM41" s="135">
        <v>2.4309</v>
      </c>
      <c r="BN41" s="135">
        <v>0.0879</v>
      </c>
      <c r="BO41" s="135">
        <v>2.3636</v>
      </c>
      <c r="BP41" s="135">
        <v>0.2473</v>
      </c>
      <c r="BQ41" s="135">
        <v>2.1164</v>
      </c>
      <c r="BR41" s="135">
        <v>1.2018</v>
      </c>
      <c r="BS41" s="135">
        <v>3.1527</v>
      </c>
      <c r="BT41" s="135">
        <v>0.28</v>
      </c>
      <c r="BU41" s="135">
        <v>2.8727</v>
      </c>
      <c r="BV41" s="135">
        <v>1.18</v>
      </c>
      <c r="BW41" s="135">
        <v>1.5582</v>
      </c>
      <c r="BX41" s="135">
        <v>0.3291</v>
      </c>
      <c r="BY41" s="135">
        <v>1.2291</v>
      </c>
      <c r="BZ41" s="135">
        <v>0.8255</v>
      </c>
      <c r="CA41" s="135">
        <v>0.3091</v>
      </c>
      <c r="CB41" s="135">
        <v>0.0018</v>
      </c>
      <c r="CC41" s="135">
        <v>0.3073</v>
      </c>
      <c r="CD41" s="135">
        <v>0.5473</v>
      </c>
      <c r="CE41" s="135">
        <v>1.1582</v>
      </c>
      <c r="CF41" s="135">
        <v>0.0073</v>
      </c>
      <c r="CG41" s="135">
        <v>1.1509</v>
      </c>
      <c r="CH41" s="135">
        <v>0.7873</v>
      </c>
      <c r="CI41" s="135">
        <v>1.1945</v>
      </c>
      <c r="CJ41" s="135">
        <v>0.0127</v>
      </c>
      <c r="CK41" s="135">
        <v>1.1818</v>
      </c>
      <c r="CL41" s="135">
        <v>1.0964</v>
      </c>
      <c r="CM41" s="135">
        <v>142.05</v>
      </c>
      <c r="CN41" s="135">
        <v>76.73</v>
      </c>
      <c r="CO41" s="135">
        <v>185.13</v>
      </c>
      <c r="CP41" s="135">
        <v>135.3</v>
      </c>
      <c r="CQ41" s="135">
        <v>0.0</v>
      </c>
      <c r="CR41" s="135">
        <v>6.04</v>
      </c>
      <c r="CS41" s="135">
        <v>0.71</v>
      </c>
      <c r="CT41" s="135">
        <v>0.0</v>
      </c>
      <c r="CU41" s="135">
        <v>0.0</v>
      </c>
      <c r="CV41" s="135">
        <v>0.0</v>
      </c>
      <c r="CW41" s="135">
        <v>141.34</v>
      </c>
      <c r="CX41" s="135">
        <v>0.0</v>
      </c>
      <c r="CY41" s="135">
        <v>0.0</v>
      </c>
      <c r="CZ41" s="135">
        <v>117.86</v>
      </c>
      <c r="DA41" s="135">
        <v>0.0</v>
      </c>
      <c r="DB41" s="135">
        <v>117.86</v>
      </c>
      <c r="DC41" s="135">
        <v>113.95</v>
      </c>
      <c r="DD41" s="135">
        <v>0.0</v>
      </c>
      <c r="DE41" s="135">
        <v>113.95</v>
      </c>
      <c r="DF41" s="135">
        <v>2.09</v>
      </c>
      <c r="DG41" s="135">
        <v>0.0</v>
      </c>
      <c r="DH41" s="135">
        <v>2.09</v>
      </c>
      <c r="DI41" s="135">
        <v>1.83</v>
      </c>
      <c r="DJ41" s="135">
        <v>0.0</v>
      </c>
      <c r="DK41" s="135">
        <v>1.83</v>
      </c>
      <c r="DL41" s="135">
        <v>0.0</v>
      </c>
      <c r="DM41" s="135">
        <v>0.0</v>
      </c>
      <c r="DN41" s="135">
        <v>0.0</v>
      </c>
    </row>
    <row r="42">
      <c r="A42" s="209">
        <v>46258.0</v>
      </c>
      <c r="B42" s="210" t="s">
        <v>4</v>
      </c>
      <c r="C42" s="210" t="s">
        <v>145</v>
      </c>
      <c r="D42" s="210">
        <v>425.0</v>
      </c>
      <c r="E42" s="210">
        <v>10.66</v>
      </c>
      <c r="F42" s="210">
        <v>22.69</v>
      </c>
      <c r="G42" s="210">
        <v>0.0534</v>
      </c>
      <c r="H42" s="210">
        <v>1.41</v>
      </c>
      <c r="I42" s="210">
        <v>3.7817</v>
      </c>
      <c r="J42" s="210">
        <v>87.33</v>
      </c>
      <c r="K42" s="210">
        <v>59.27</v>
      </c>
      <c r="L42" s="210">
        <v>48.48</v>
      </c>
      <c r="M42" s="210">
        <v>0.8179</v>
      </c>
      <c r="N42" s="210">
        <v>0.2242</v>
      </c>
      <c r="O42" s="210">
        <v>0.1446</v>
      </c>
      <c r="P42" s="210">
        <v>1.2226</v>
      </c>
      <c r="Q42" s="210">
        <v>294.69</v>
      </c>
      <c r="R42" s="210">
        <v>224.04</v>
      </c>
      <c r="S42" s="210">
        <v>70.65</v>
      </c>
      <c r="T42" s="210">
        <v>3.29</v>
      </c>
      <c r="U42" s="210">
        <v>291.4</v>
      </c>
      <c r="V42" s="210">
        <v>264.35</v>
      </c>
      <c r="W42" s="210">
        <v>4.4601</v>
      </c>
      <c r="X42" s="210">
        <v>1.12</v>
      </c>
      <c r="Y42" s="210">
        <v>373.0</v>
      </c>
      <c r="Z42" s="210">
        <v>483.0</v>
      </c>
      <c r="AA42" s="210">
        <v>767.0</v>
      </c>
      <c r="AB42" s="210">
        <v>51.8825</v>
      </c>
      <c r="AC42" s="210">
        <v>0.8403</v>
      </c>
      <c r="AD42" s="210">
        <v>28.92</v>
      </c>
      <c r="AE42" s="210">
        <v>14.0</v>
      </c>
      <c r="AF42" s="210">
        <v>24.0</v>
      </c>
      <c r="AG42" s="210">
        <v>40.0</v>
      </c>
      <c r="AH42" s="210">
        <v>53.0</v>
      </c>
      <c r="AI42" s="210">
        <v>42.12</v>
      </c>
      <c r="AJ42" s="210">
        <v>7.06</v>
      </c>
      <c r="AK42" s="210">
        <v>1.18</v>
      </c>
      <c r="AL42" s="210">
        <v>0.2918</v>
      </c>
      <c r="AM42" s="211"/>
      <c r="AQ42" s="135">
        <v>18.0706</v>
      </c>
      <c r="AR42" s="135">
        <v>0.3576</v>
      </c>
      <c r="AS42" s="135">
        <v>17.7129</v>
      </c>
      <c r="AT42" s="135">
        <v>11.92</v>
      </c>
      <c r="AU42" s="135">
        <v>0.2011</v>
      </c>
      <c r="AV42" s="135">
        <v>425.0</v>
      </c>
      <c r="AW42" s="135">
        <v>0.0</v>
      </c>
      <c r="AX42" s="135">
        <v>201.54</v>
      </c>
      <c r="AY42" s="135">
        <v>82.96</v>
      </c>
      <c r="AZ42" s="135">
        <v>1.75</v>
      </c>
      <c r="BA42" s="135">
        <v>3.29</v>
      </c>
      <c r="BB42" s="135">
        <v>5.14</v>
      </c>
      <c r="BC42" s="135">
        <v>105.0</v>
      </c>
      <c r="BD42" s="135">
        <v>1339.0</v>
      </c>
      <c r="BE42" s="135">
        <v>11.7059</v>
      </c>
      <c r="BF42" s="135">
        <v>0.2894</v>
      </c>
      <c r="BG42" s="135">
        <v>11.4165</v>
      </c>
      <c r="BH42" s="135">
        <v>5.7647</v>
      </c>
      <c r="BI42" s="135">
        <v>0.0973</v>
      </c>
      <c r="BJ42" s="135">
        <v>6.3647</v>
      </c>
      <c r="BK42" s="135">
        <v>0.0682</v>
      </c>
      <c r="BL42" s="135">
        <v>6.2965</v>
      </c>
      <c r="BM42" s="135">
        <v>6.1553</v>
      </c>
      <c r="BN42" s="135">
        <v>0.1039</v>
      </c>
      <c r="BO42" s="135">
        <v>4.2353</v>
      </c>
      <c r="BP42" s="135">
        <v>0.0565</v>
      </c>
      <c r="BQ42" s="135">
        <v>4.1788</v>
      </c>
      <c r="BR42" s="135">
        <v>2.0918</v>
      </c>
      <c r="BS42" s="135">
        <v>5.0071</v>
      </c>
      <c r="BT42" s="135">
        <v>0.0706</v>
      </c>
      <c r="BU42" s="135">
        <v>4.9365</v>
      </c>
      <c r="BV42" s="135">
        <v>2.2565</v>
      </c>
      <c r="BW42" s="135">
        <v>2.4635</v>
      </c>
      <c r="BX42" s="135">
        <v>0.1624</v>
      </c>
      <c r="BY42" s="135">
        <v>2.3012</v>
      </c>
      <c r="BZ42" s="135">
        <v>1.4165</v>
      </c>
      <c r="CA42" s="135">
        <v>1.1388</v>
      </c>
      <c r="CB42" s="135">
        <v>0.0118</v>
      </c>
      <c r="CC42" s="135">
        <v>1.1271</v>
      </c>
      <c r="CD42" s="135">
        <v>1.3553</v>
      </c>
      <c r="CE42" s="135">
        <v>2.4588</v>
      </c>
      <c r="CF42" s="135">
        <v>0.0212</v>
      </c>
      <c r="CG42" s="135">
        <v>2.4376</v>
      </c>
      <c r="CH42" s="135">
        <v>2.1271</v>
      </c>
      <c r="CI42" s="135">
        <v>2.7671</v>
      </c>
      <c r="CJ42" s="135">
        <v>0.0353</v>
      </c>
      <c r="CK42" s="135">
        <v>2.7318</v>
      </c>
      <c r="CL42" s="135">
        <v>2.6729</v>
      </c>
      <c r="CM42" s="135">
        <v>441.96</v>
      </c>
      <c r="CN42" s="135">
        <v>97.88</v>
      </c>
      <c r="CO42" s="135">
        <v>451.53</v>
      </c>
      <c r="CP42" s="135">
        <v>426.95</v>
      </c>
      <c r="CQ42" s="135">
        <v>0.0</v>
      </c>
      <c r="CR42" s="135">
        <v>13.69</v>
      </c>
      <c r="CS42" s="135">
        <v>1.32</v>
      </c>
      <c r="CT42" s="135">
        <v>0.0</v>
      </c>
      <c r="CU42" s="135">
        <v>0.0</v>
      </c>
      <c r="CV42" s="135">
        <v>0.0</v>
      </c>
      <c r="CW42" s="135">
        <v>294.69</v>
      </c>
      <c r="CX42" s="135">
        <v>0.0</v>
      </c>
      <c r="CY42" s="135">
        <v>0.0</v>
      </c>
      <c r="CZ42" s="135">
        <v>263.07</v>
      </c>
      <c r="DA42" s="135">
        <v>0.21</v>
      </c>
      <c r="DB42" s="135">
        <v>262.86</v>
      </c>
      <c r="DC42" s="135">
        <v>251.18</v>
      </c>
      <c r="DD42" s="135">
        <v>0.21</v>
      </c>
      <c r="DE42" s="135">
        <v>250.96</v>
      </c>
      <c r="DF42" s="135">
        <v>7.06</v>
      </c>
      <c r="DG42" s="135">
        <v>0.0</v>
      </c>
      <c r="DH42" s="135">
        <v>7.06</v>
      </c>
      <c r="DI42" s="135">
        <v>4.84</v>
      </c>
      <c r="DJ42" s="135">
        <v>0.0</v>
      </c>
      <c r="DK42" s="135">
        <v>4.84</v>
      </c>
      <c r="DL42" s="135">
        <v>0.0</v>
      </c>
      <c r="DM42" s="135">
        <v>0.0</v>
      </c>
      <c r="DN42" s="135">
        <v>0.0</v>
      </c>
    </row>
    <row r="43">
      <c r="A43" s="209">
        <v>46258.0</v>
      </c>
      <c r="B43" s="210" t="s">
        <v>4</v>
      </c>
      <c r="C43" s="210" t="s">
        <v>146</v>
      </c>
      <c r="D43" s="210">
        <v>104.0</v>
      </c>
      <c r="E43" s="210">
        <v>2.61</v>
      </c>
      <c r="F43" s="210">
        <v>21.51</v>
      </c>
      <c r="G43" s="210">
        <v>0.2068</v>
      </c>
      <c r="H43" s="210">
        <v>7.69</v>
      </c>
      <c r="I43" s="210">
        <v>2.6887</v>
      </c>
      <c r="J43" s="210">
        <v>230.41</v>
      </c>
      <c r="K43" s="210">
        <v>160.09</v>
      </c>
      <c r="L43" s="210">
        <v>124.71</v>
      </c>
      <c r="M43" s="210">
        <v>0.779</v>
      </c>
      <c r="N43" s="210">
        <v>0.2568</v>
      </c>
      <c r="O43" s="210">
        <v>0.1493</v>
      </c>
      <c r="P43" s="210">
        <v>1.2837</v>
      </c>
      <c r="Q43" s="210">
        <v>664.38</v>
      </c>
      <c r="R43" s="210">
        <v>497.03</v>
      </c>
      <c r="S43" s="210">
        <v>167.36</v>
      </c>
      <c r="T43" s="210">
        <v>36.06</v>
      </c>
      <c r="U43" s="210">
        <v>628.33</v>
      </c>
      <c r="V43" s="210">
        <v>558.17</v>
      </c>
      <c r="W43" s="210">
        <v>3.4867</v>
      </c>
      <c r="X43" s="210">
        <v>5.43</v>
      </c>
      <c r="Y43" s="210">
        <v>529.0</v>
      </c>
      <c r="Z43" s="210">
        <v>917.0</v>
      </c>
      <c r="AA43" s="210">
        <v>1240.0</v>
      </c>
      <c r="AB43" s="210">
        <v>54.8955</v>
      </c>
      <c r="AC43" s="210">
        <v>0.7309</v>
      </c>
      <c r="AD43" s="210">
        <v>51.46</v>
      </c>
      <c r="AE43" s="210">
        <v>21.0</v>
      </c>
      <c r="AF43" s="210">
        <v>42.0</v>
      </c>
      <c r="AG43" s="210">
        <v>66.0</v>
      </c>
      <c r="AH43" s="210">
        <v>109.0</v>
      </c>
      <c r="AI43" s="210">
        <v>18.27</v>
      </c>
      <c r="AJ43" s="210">
        <v>1.92</v>
      </c>
      <c r="AK43" s="210">
        <v>0.0</v>
      </c>
      <c r="AL43" s="210">
        <v>0.1346</v>
      </c>
      <c r="AM43" s="211"/>
      <c r="AQ43" s="135">
        <v>38.7115</v>
      </c>
      <c r="AR43" s="135">
        <v>0.2788</v>
      </c>
      <c r="AS43" s="135">
        <v>38.4327</v>
      </c>
      <c r="AT43" s="135">
        <v>28.25</v>
      </c>
      <c r="AU43" s="135">
        <v>0.1765</v>
      </c>
      <c r="AV43" s="135">
        <v>104.0</v>
      </c>
      <c r="AW43" s="135">
        <v>0.0</v>
      </c>
      <c r="AX43" s="135">
        <v>432.12</v>
      </c>
      <c r="AY43" s="135">
        <v>172.16</v>
      </c>
      <c r="AZ43" s="135">
        <v>6.35</v>
      </c>
      <c r="BA43" s="135">
        <v>36.06</v>
      </c>
      <c r="BB43" s="135">
        <v>17.7</v>
      </c>
      <c r="BC43" s="135">
        <v>197.0</v>
      </c>
      <c r="BD43" s="135">
        <v>1920.0</v>
      </c>
      <c r="BE43" s="135">
        <v>23.5</v>
      </c>
      <c r="BF43" s="135">
        <v>0.1154</v>
      </c>
      <c r="BG43" s="135">
        <v>23.3846</v>
      </c>
      <c r="BH43" s="135">
        <v>15.6731</v>
      </c>
      <c r="BI43" s="135">
        <v>0.0979</v>
      </c>
      <c r="BJ43" s="135">
        <v>15.2115</v>
      </c>
      <c r="BK43" s="135">
        <v>0.1635</v>
      </c>
      <c r="BL43" s="135">
        <v>15.0481</v>
      </c>
      <c r="BM43" s="135">
        <v>12.5769</v>
      </c>
      <c r="BN43" s="135">
        <v>0.0786</v>
      </c>
      <c r="BO43" s="135">
        <v>8.4712</v>
      </c>
      <c r="BP43" s="135">
        <v>0.0192</v>
      </c>
      <c r="BQ43" s="135">
        <v>8.4519</v>
      </c>
      <c r="BR43" s="135">
        <v>5.625</v>
      </c>
      <c r="BS43" s="135">
        <v>9.9038</v>
      </c>
      <c r="BT43" s="135">
        <v>0.0192</v>
      </c>
      <c r="BU43" s="135">
        <v>9.8846</v>
      </c>
      <c r="BV43" s="135">
        <v>6.3077</v>
      </c>
      <c r="BW43" s="135">
        <v>5.125</v>
      </c>
      <c r="BX43" s="135">
        <v>0.0769</v>
      </c>
      <c r="BY43" s="135">
        <v>5.0481</v>
      </c>
      <c r="BZ43" s="135">
        <v>3.7404</v>
      </c>
      <c r="CA43" s="135">
        <v>3.4327</v>
      </c>
      <c r="CB43" s="135">
        <v>0.0385</v>
      </c>
      <c r="CC43" s="135">
        <v>3.3942</v>
      </c>
      <c r="CD43" s="135">
        <v>3.1635</v>
      </c>
      <c r="CE43" s="135">
        <v>5.6058</v>
      </c>
      <c r="CF43" s="135">
        <v>0.0769</v>
      </c>
      <c r="CG43" s="135">
        <v>5.5288</v>
      </c>
      <c r="CH43" s="135">
        <v>4.3269</v>
      </c>
      <c r="CI43" s="135">
        <v>6.1731</v>
      </c>
      <c r="CJ43" s="135">
        <v>0.0481</v>
      </c>
      <c r="CK43" s="135">
        <v>6.125</v>
      </c>
      <c r="CL43" s="135">
        <v>5.0865</v>
      </c>
      <c r="CM43" s="135">
        <v>1303.17</v>
      </c>
      <c r="CN43" s="135">
        <v>100.0</v>
      </c>
      <c r="CO43" s="135">
        <v>1303.17</v>
      </c>
      <c r="CP43" s="135">
        <v>1280.63</v>
      </c>
      <c r="CQ43" s="135">
        <v>0.0</v>
      </c>
      <c r="CR43" s="135">
        <v>19.04</v>
      </c>
      <c r="CS43" s="135">
        <v>3.51</v>
      </c>
      <c r="CT43" s="135">
        <v>0.0</v>
      </c>
      <c r="CU43" s="135">
        <v>0.0</v>
      </c>
      <c r="CV43" s="135">
        <v>0.0</v>
      </c>
      <c r="CW43" s="135">
        <v>664.38</v>
      </c>
      <c r="CX43" s="135">
        <v>0.0</v>
      </c>
      <c r="CY43" s="135">
        <v>0.0</v>
      </c>
      <c r="CZ43" s="135">
        <v>595.0</v>
      </c>
      <c r="DA43" s="135">
        <v>2.4</v>
      </c>
      <c r="DB43" s="135">
        <v>592.6</v>
      </c>
      <c r="DC43" s="135">
        <v>569.52</v>
      </c>
      <c r="DD43" s="135">
        <v>1.25</v>
      </c>
      <c r="DE43" s="135">
        <v>568.27</v>
      </c>
      <c r="DF43" s="135">
        <v>15.48</v>
      </c>
      <c r="DG43" s="135">
        <v>0.38</v>
      </c>
      <c r="DH43" s="135">
        <v>15.1</v>
      </c>
      <c r="DI43" s="135">
        <v>8.17</v>
      </c>
      <c r="DJ43" s="135">
        <v>0.38</v>
      </c>
      <c r="DK43" s="135">
        <v>7.79</v>
      </c>
      <c r="DL43" s="135">
        <v>1.83</v>
      </c>
      <c r="DM43" s="135">
        <v>0.38</v>
      </c>
      <c r="DN43" s="135">
        <v>1.44</v>
      </c>
    </row>
    <row r="44">
      <c r="A44" s="209">
        <v>46258.0</v>
      </c>
      <c r="B44" s="210" t="s">
        <v>5</v>
      </c>
      <c r="C44" s="210" t="s">
        <v>398</v>
      </c>
      <c r="D44" s="210">
        <v>839.0</v>
      </c>
      <c r="E44" s="210">
        <v>21.26</v>
      </c>
      <c r="F44" s="210">
        <v>0.0</v>
      </c>
      <c r="G44" s="210">
        <v>0.0</v>
      </c>
      <c r="H44" s="210">
        <v>0.0</v>
      </c>
      <c r="I44" s="210"/>
      <c r="J44" s="210">
        <v>1.49</v>
      </c>
      <c r="K44" s="210">
        <v>0.07</v>
      </c>
      <c r="L44" s="210">
        <v>0.0</v>
      </c>
      <c r="M44" s="210">
        <v>0.0</v>
      </c>
      <c r="N44" s="210">
        <v>1.0</v>
      </c>
      <c r="O44" s="210">
        <v>1.0</v>
      </c>
      <c r="P44" s="210"/>
      <c r="Q44" s="210">
        <v>1.88</v>
      </c>
      <c r="R44" s="210">
        <v>1.82</v>
      </c>
      <c r="S44" s="210">
        <v>0.06</v>
      </c>
      <c r="T44" s="210">
        <v>0.0</v>
      </c>
      <c r="U44" s="210">
        <v>1.88</v>
      </c>
      <c r="V44" s="210">
        <v>0.72</v>
      </c>
      <c r="W44" s="210">
        <v>10.5263</v>
      </c>
      <c r="X44" s="210">
        <v>0.0</v>
      </c>
      <c r="Y44" s="210">
        <v>200.0</v>
      </c>
      <c r="Z44" s="210">
        <v>200.0</v>
      </c>
      <c r="AA44" s="210">
        <v>200.0</v>
      </c>
      <c r="AB44" s="210">
        <v>50.0255</v>
      </c>
      <c r="AC44" s="210">
        <v>0.6217</v>
      </c>
      <c r="AD44" s="211"/>
      <c r="AE44" s="211"/>
      <c r="AF44" s="211"/>
      <c r="AG44" s="211"/>
      <c r="AH44" s="211"/>
      <c r="AI44" s="210">
        <v>0.0</v>
      </c>
      <c r="AJ44" s="210">
        <v>0.0</v>
      </c>
      <c r="AK44" s="210">
        <v>0.0</v>
      </c>
      <c r="AL44" s="210">
        <v>0.9011</v>
      </c>
      <c r="AM44" s="210">
        <v>0.0</v>
      </c>
      <c r="AN44" s="135">
        <v>0.0</v>
      </c>
      <c r="AO44" s="135">
        <v>0.0</v>
      </c>
      <c r="AP44" s="135">
        <v>0.0</v>
      </c>
      <c r="AQ44" s="135">
        <v>0.0942</v>
      </c>
      <c r="AR44" s="135">
        <v>0.0</v>
      </c>
      <c r="AS44" s="135">
        <v>0.0942</v>
      </c>
      <c r="AT44" s="135">
        <v>0.0226</v>
      </c>
      <c r="AU44" s="135">
        <v>0.3333</v>
      </c>
      <c r="AV44" s="135">
        <v>839.0</v>
      </c>
      <c r="AW44" s="135">
        <v>0.0</v>
      </c>
      <c r="AX44" s="135">
        <v>0.46</v>
      </c>
      <c r="AY44" s="135">
        <v>1.42</v>
      </c>
      <c r="AZ44" s="135">
        <v>0.0</v>
      </c>
      <c r="BA44" s="135">
        <v>0.0</v>
      </c>
      <c r="BB44" s="135">
        <v>0.0</v>
      </c>
      <c r="BD44" s="135">
        <v>340.0</v>
      </c>
      <c r="BE44" s="135">
        <v>0.0513</v>
      </c>
      <c r="BF44" s="135">
        <v>0.0</v>
      </c>
      <c r="BG44" s="135">
        <v>0.0513</v>
      </c>
      <c r="BH44" s="135">
        <v>0.0143</v>
      </c>
      <c r="BI44" s="135">
        <v>0.2105</v>
      </c>
      <c r="BJ44" s="135">
        <v>0.0429</v>
      </c>
      <c r="BK44" s="135">
        <v>0.0</v>
      </c>
      <c r="BL44" s="135">
        <v>0.0429</v>
      </c>
      <c r="BM44" s="135">
        <v>0.0083</v>
      </c>
      <c r="BN44" s="135">
        <v>0.1228</v>
      </c>
      <c r="BO44" s="135">
        <v>0.006</v>
      </c>
      <c r="BP44" s="135">
        <v>0.0</v>
      </c>
      <c r="BQ44" s="135">
        <v>0.006</v>
      </c>
      <c r="BR44" s="135">
        <v>0.006</v>
      </c>
      <c r="BS44" s="135">
        <v>0.0322</v>
      </c>
      <c r="BT44" s="135">
        <v>0.0</v>
      </c>
      <c r="BU44" s="135">
        <v>0.0322</v>
      </c>
      <c r="BV44" s="135">
        <v>0.0048</v>
      </c>
      <c r="BW44" s="135">
        <v>0.0131</v>
      </c>
      <c r="BX44" s="135">
        <v>0.0</v>
      </c>
      <c r="BY44" s="135">
        <v>0.0131</v>
      </c>
      <c r="BZ44" s="135">
        <v>0.0036</v>
      </c>
      <c r="CA44" s="135">
        <v>0.0131</v>
      </c>
      <c r="CB44" s="135">
        <v>0.0</v>
      </c>
      <c r="CC44" s="135">
        <v>0.0131</v>
      </c>
      <c r="CD44" s="135">
        <v>0.0012</v>
      </c>
      <c r="CE44" s="135">
        <v>0.0155</v>
      </c>
      <c r="CF44" s="135">
        <v>0.0</v>
      </c>
      <c r="CG44" s="135">
        <v>0.0155</v>
      </c>
      <c r="CH44" s="135">
        <v>0.0036</v>
      </c>
      <c r="CI44" s="135">
        <v>0.0143</v>
      </c>
      <c r="CJ44" s="135">
        <v>0.0</v>
      </c>
      <c r="CK44" s="135">
        <v>0.0143</v>
      </c>
      <c r="CL44" s="135">
        <v>0.0036</v>
      </c>
      <c r="CM44" s="135">
        <v>0.39</v>
      </c>
      <c r="CN44" s="135">
        <v>0.6</v>
      </c>
      <c r="CO44" s="135">
        <v>66.0</v>
      </c>
      <c r="CP44" s="135">
        <v>0.0</v>
      </c>
      <c r="CQ44" s="135">
        <v>0.0</v>
      </c>
      <c r="CR44" s="135">
        <v>0.05</v>
      </c>
      <c r="CS44" s="135">
        <v>0.35</v>
      </c>
      <c r="CT44" s="135">
        <v>0.0</v>
      </c>
      <c r="CU44" s="135">
        <v>2.0</v>
      </c>
      <c r="CV44" s="135">
        <v>0.0</v>
      </c>
      <c r="CW44" s="135">
        <v>1.88</v>
      </c>
      <c r="CX44" s="135">
        <v>0.0</v>
      </c>
      <c r="CY44" s="135">
        <v>0.0</v>
      </c>
      <c r="CZ44" s="135">
        <v>1.6</v>
      </c>
      <c r="DA44" s="135">
        <v>0.0</v>
      </c>
      <c r="DB44" s="135">
        <v>1.6</v>
      </c>
      <c r="DC44" s="135">
        <v>1.38</v>
      </c>
      <c r="DD44" s="135">
        <v>0.0</v>
      </c>
      <c r="DE44" s="135">
        <v>1.38</v>
      </c>
      <c r="DF44" s="135">
        <v>0.15</v>
      </c>
      <c r="DG44" s="135">
        <v>0.0</v>
      </c>
      <c r="DH44" s="135">
        <v>0.15</v>
      </c>
      <c r="DI44" s="135">
        <v>0.06</v>
      </c>
      <c r="DJ44" s="135">
        <v>0.0</v>
      </c>
      <c r="DK44" s="135">
        <v>0.06</v>
      </c>
      <c r="DL44" s="135">
        <v>0.0</v>
      </c>
      <c r="DM44" s="135">
        <v>0.0</v>
      </c>
      <c r="DN44" s="135">
        <v>0.0</v>
      </c>
    </row>
    <row r="45">
      <c r="A45" s="209">
        <v>46258.0</v>
      </c>
      <c r="B45" s="210" t="s">
        <v>5</v>
      </c>
      <c r="C45" s="210" t="s">
        <v>142</v>
      </c>
      <c r="D45" s="210">
        <v>1392.0</v>
      </c>
      <c r="E45" s="210">
        <v>35.28</v>
      </c>
      <c r="F45" s="210">
        <v>0.0</v>
      </c>
      <c r="G45" s="210">
        <v>0.0</v>
      </c>
      <c r="H45" s="210">
        <v>0.0</v>
      </c>
      <c r="I45" s="210"/>
      <c r="J45" s="210">
        <v>5.02</v>
      </c>
      <c r="K45" s="210">
        <v>4.18</v>
      </c>
      <c r="L45" s="210">
        <v>3.88</v>
      </c>
      <c r="M45" s="210">
        <v>0.9284</v>
      </c>
      <c r="N45" s="210">
        <v>0.0736</v>
      </c>
      <c r="O45" s="210">
        <v>0.0517</v>
      </c>
      <c r="P45" s="210">
        <v>1.0771</v>
      </c>
      <c r="Q45" s="210">
        <v>6.33</v>
      </c>
      <c r="R45" s="210">
        <v>5.65</v>
      </c>
      <c r="S45" s="210">
        <v>0.68</v>
      </c>
      <c r="T45" s="210">
        <v>0.0</v>
      </c>
      <c r="U45" s="210">
        <v>6.33</v>
      </c>
      <c r="V45" s="210">
        <v>5.14</v>
      </c>
      <c r="W45" s="210">
        <v>1.2302</v>
      </c>
      <c r="X45" s="210">
        <v>0.0</v>
      </c>
      <c r="Y45" s="210">
        <v>200.0</v>
      </c>
      <c r="Z45" s="210">
        <v>202.0</v>
      </c>
      <c r="AA45" s="210">
        <v>230.0</v>
      </c>
      <c r="AB45" s="210">
        <v>49.9329</v>
      </c>
      <c r="AC45" s="210">
        <v>0.8378</v>
      </c>
      <c r="AD45" s="210">
        <v>3.7</v>
      </c>
      <c r="AE45" s="210">
        <v>2.0</v>
      </c>
      <c r="AF45" s="210">
        <v>3.0</v>
      </c>
      <c r="AG45" s="210">
        <v>5.0</v>
      </c>
      <c r="AH45" s="210">
        <v>7.0</v>
      </c>
      <c r="AI45" s="210">
        <v>76.22</v>
      </c>
      <c r="AJ45" s="210">
        <v>36.21</v>
      </c>
      <c r="AK45" s="210">
        <v>1.22</v>
      </c>
      <c r="AL45" s="210">
        <v>0.8211</v>
      </c>
      <c r="AM45" s="210">
        <v>0.0</v>
      </c>
      <c r="AN45" s="135">
        <v>0.0</v>
      </c>
      <c r="AO45" s="135">
        <v>0.0</v>
      </c>
      <c r="AP45" s="135">
        <v>0.0</v>
      </c>
      <c r="AQ45" s="135">
        <v>0.4519</v>
      </c>
      <c r="AR45" s="135">
        <v>0.0216</v>
      </c>
      <c r="AS45" s="135">
        <v>0.4303</v>
      </c>
      <c r="AT45" s="135">
        <v>0.4978</v>
      </c>
      <c r="AU45" s="135">
        <v>0.1192</v>
      </c>
      <c r="AV45" s="135">
        <v>1392.0</v>
      </c>
      <c r="AW45" s="135">
        <v>0.0</v>
      </c>
      <c r="AX45" s="135">
        <v>6.22</v>
      </c>
      <c r="AY45" s="135">
        <v>0.09</v>
      </c>
      <c r="AZ45" s="135">
        <v>0.02</v>
      </c>
      <c r="BA45" s="135">
        <v>0.0</v>
      </c>
      <c r="BB45" s="135">
        <v>0.0</v>
      </c>
      <c r="BC45" s="135">
        <v>10.0</v>
      </c>
      <c r="BD45" s="135">
        <v>283.0</v>
      </c>
      <c r="BE45" s="135">
        <v>0.4289</v>
      </c>
      <c r="BF45" s="135">
        <v>0.0216</v>
      </c>
      <c r="BG45" s="135">
        <v>0.4073</v>
      </c>
      <c r="BH45" s="135">
        <v>0.4741</v>
      </c>
      <c r="BI45" s="135">
        <v>0.1136</v>
      </c>
      <c r="BJ45" s="135">
        <v>0.023</v>
      </c>
      <c r="BK45" s="135">
        <v>0.0</v>
      </c>
      <c r="BL45" s="135">
        <v>0.023</v>
      </c>
      <c r="BM45" s="135">
        <v>0.0237</v>
      </c>
      <c r="BN45" s="135">
        <v>0.0057</v>
      </c>
      <c r="BO45" s="135">
        <v>0.033</v>
      </c>
      <c r="BP45" s="135">
        <v>0.0129</v>
      </c>
      <c r="BQ45" s="135">
        <v>0.0201</v>
      </c>
      <c r="BR45" s="135">
        <v>0.2234</v>
      </c>
      <c r="BS45" s="135">
        <v>0.3154</v>
      </c>
      <c r="BT45" s="135">
        <v>0.0</v>
      </c>
      <c r="BU45" s="135">
        <v>0.3154</v>
      </c>
      <c r="BV45" s="135">
        <v>0.1257</v>
      </c>
      <c r="BW45" s="135">
        <v>0.0805</v>
      </c>
      <c r="BX45" s="135">
        <v>0.0086</v>
      </c>
      <c r="BY45" s="135">
        <v>0.0718</v>
      </c>
      <c r="BZ45" s="135">
        <v>0.125</v>
      </c>
      <c r="CA45" s="135">
        <v>7.0E-4</v>
      </c>
      <c r="CB45" s="135">
        <v>0.0</v>
      </c>
      <c r="CC45" s="135">
        <v>7.0E-4</v>
      </c>
      <c r="CD45" s="135">
        <v>0.0057</v>
      </c>
      <c r="CE45" s="135">
        <v>0.0208</v>
      </c>
      <c r="CF45" s="135">
        <v>0.0</v>
      </c>
      <c r="CG45" s="135">
        <v>0.0208</v>
      </c>
      <c r="CH45" s="135">
        <v>0.0086</v>
      </c>
      <c r="CI45" s="135">
        <v>0.0014</v>
      </c>
      <c r="CJ45" s="135">
        <v>0.0</v>
      </c>
      <c r="CK45" s="135">
        <v>0.0014</v>
      </c>
      <c r="CL45" s="135">
        <v>0.0093</v>
      </c>
      <c r="CM45" s="135">
        <v>0.28</v>
      </c>
      <c r="CN45" s="135">
        <v>0.86</v>
      </c>
      <c r="CO45" s="135">
        <v>32.0</v>
      </c>
      <c r="CP45" s="135">
        <v>0.19</v>
      </c>
      <c r="CQ45" s="135">
        <v>0.0</v>
      </c>
      <c r="CR45" s="135">
        <v>0.09</v>
      </c>
      <c r="CS45" s="135">
        <v>0.0</v>
      </c>
      <c r="CT45" s="135">
        <v>0.0</v>
      </c>
      <c r="CU45" s="135">
        <v>10.0</v>
      </c>
      <c r="CV45" s="135">
        <v>0.0</v>
      </c>
      <c r="CW45" s="135">
        <v>6.33</v>
      </c>
      <c r="CX45" s="135">
        <v>0.0</v>
      </c>
      <c r="CY45" s="135">
        <v>0.0</v>
      </c>
      <c r="CZ45" s="135">
        <v>2.85</v>
      </c>
      <c r="DA45" s="135">
        <v>0.0</v>
      </c>
      <c r="DB45" s="135">
        <v>2.85</v>
      </c>
      <c r="DC45" s="135">
        <v>2.84</v>
      </c>
      <c r="DD45" s="135">
        <v>0.0</v>
      </c>
      <c r="DE45" s="135">
        <v>2.84</v>
      </c>
      <c r="DF45" s="135">
        <v>0.01</v>
      </c>
      <c r="DG45" s="135">
        <v>0.0</v>
      </c>
      <c r="DH45" s="135">
        <v>0.01</v>
      </c>
      <c r="DI45" s="135">
        <v>0.0</v>
      </c>
      <c r="DJ45" s="135">
        <v>0.0</v>
      </c>
      <c r="DK45" s="135">
        <v>0.0</v>
      </c>
      <c r="DL45" s="135">
        <v>0.0</v>
      </c>
      <c r="DM45" s="135">
        <v>0.0</v>
      </c>
      <c r="DN45" s="135">
        <v>0.0</v>
      </c>
    </row>
    <row r="46">
      <c r="A46" s="209">
        <v>46258.0</v>
      </c>
      <c r="B46" s="210" t="s">
        <v>5</v>
      </c>
      <c r="C46" s="210" t="s">
        <v>143</v>
      </c>
      <c r="D46" s="210">
        <v>680.0</v>
      </c>
      <c r="E46" s="210">
        <v>17.23</v>
      </c>
      <c r="F46" s="210">
        <v>1.55</v>
      </c>
      <c r="G46" s="210">
        <v>0.0023</v>
      </c>
      <c r="H46" s="210">
        <v>0.29</v>
      </c>
      <c r="I46" s="210">
        <v>0.775</v>
      </c>
      <c r="J46" s="210">
        <v>16.8</v>
      </c>
      <c r="K46" s="210">
        <v>13.7</v>
      </c>
      <c r="L46" s="210">
        <v>12.32</v>
      </c>
      <c r="M46" s="210">
        <v>0.8996</v>
      </c>
      <c r="N46" s="210">
        <v>0.1172</v>
      </c>
      <c r="O46" s="210">
        <v>0.0817</v>
      </c>
      <c r="P46" s="210">
        <v>1.1116</v>
      </c>
      <c r="Q46" s="210">
        <v>46.51</v>
      </c>
      <c r="R46" s="210">
        <v>38.23</v>
      </c>
      <c r="S46" s="210">
        <v>8.28</v>
      </c>
      <c r="T46" s="210">
        <v>0.74</v>
      </c>
      <c r="U46" s="210">
        <v>45.78</v>
      </c>
      <c r="V46" s="210">
        <v>46.47</v>
      </c>
      <c r="W46" s="210">
        <v>3.3927</v>
      </c>
      <c r="X46" s="210">
        <v>1.58</v>
      </c>
      <c r="Y46" s="210">
        <v>236.0</v>
      </c>
      <c r="Z46" s="210">
        <v>265.0</v>
      </c>
      <c r="AA46" s="210">
        <v>340.0</v>
      </c>
      <c r="AB46" s="210">
        <v>49.8758</v>
      </c>
      <c r="AC46" s="210">
        <v>0.9193</v>
      </c>
      <c r="AD46" s="210">
        <v>10.72</v>
      </c>
      <c r="AE46" s="210">
        <v>7.0</v>
      </c>
      <c r="AF46" s="210">
        <v>11.0</v>
      </c>
      <c r="AG46" s="210">
        <v>14.0</v>
      </c>
      <c r="AH46" s="210">
        <v>17.0</v>
      </c>
      <c r="AI46" s="210">
        <v>82.21</v>
      </c>
      <c r="AJ46" s="210">
        <v>36.18</v>
      </c>
      <c r="AK46" s="210">
        <v>0.88</v>
      </c>
      <c r="AL46" s="210">
        <v>0.6324</v>
      </c>
      <c r="AM46" s="210">
        <v>0.0</v>
      </c>
      <c r="AN46" s="135">
        <v>0.0</v>
      </c>
      <c r="AO46" s="135">
        <v>0.0</v>
      </c>
      <c r="AP46" s="135">
        <v>0.0</v>
      </c>
      <c r="AQ46" s="135">
        <v>2.9544</v>
      </c>
      <c r="AR46" s="135">
        <v>0.3441</v>
      </c>
      <c r="AS46" s="135">
        <v>2.6103</v>
      </c>
      <c r="AT46" s="135">
        <v>3.2515</v>
      </c>
      <c r="AU46" s="135">
        <v>0.2374</v>
      </c>
      <c r="AV46" s="135">
        <v>680.0</v>
      </c>
      <c r="AW46" s="135">
        <v>0.0</v>
      </c>
      <c r="AX46" s="135">
        <v>38.93</v>
      </c>
      <c r="AY46" s="135">
        <v>6.43</v>
      </c>
      <c r="AZ46" s="135">
        <v>0.23</v>
      </c>
      <c r="BA46" s="135">
        <v>0.74</v>
      </c>
      <c r="BB46" s="135">
        <v>0.18</v>
      </c>
      <c r="BC46" s="135">
        <v>25.0</v>
      </c>
      <c r="BD46" s="135">
        <v>465.0</v>
      </c>
      <c r="BE46" s="135">
        <v>2.5265</v>
      </c>
      <c r="BF46" s="135">
        <v>0.3265</v>
      </c>
      <c r="BG46" s="135">
        <v>2.2</v>
      </c>
      <c r="BH46" s="135">
        <v>2.7309</v>
      </c>
      <c r="BI46" s="135">
        <v>0.1994</v>
      </c>
      <c r="BJ46" s="135">
        <v>0.4279</v>
      </c>
      <c r="BK46" s="135">
        <v>0.0176</v>
      </c>
      <c r="BL46" s="135">
        <v>0.4103</v>
      </c>
      <c r="BM46" s="135">
        <v>0.5206</v>
      </c>
      <c r="BN46" s="135">
        <v>0.038</v>
      </c>
      <c r="BO46" s="135">
        <v>0.7044</v>
      </c>
      <c r="BP46" s="135">
        <v>0.1647</v>
      </c>
      <c r="BQ46" s="135">
        <v>0.5397</v>
      </c>
      <c r="BR46" s="135">
        <v>1.1426</v>
      </c>
      <c r="BS46" s="135">
        <v>1.2368</v>
      </c>
      <c r="BT46" s="135">
        <v>0.0632</v>
      </c>
      <c r="BU46" s="135">
        <v>1.1735</v>
      </c>
      <c r="BV46" s="135">
        <v>0.8382</v>
      </c>
      <c r="BW46" s="135">
        <v>0.5853</v>
      </c>
      <c r="BX46" s="135">
        <v>0.0985</v>
      </c>
      <c r="BY46" s="135">
        <v>0.4868</v>
      </c>
      <c r="BZ46" s="135">
        <v>0.75</v>
      </c>
      <c r="CA46" s="135">
        <v>0.0691</v>
      </c>
      <c r="CB46" s="135">
        <v>0.0015</v>
      </c>
      <c r="CC46" s="135">
        <v>0.0676</v>
      </c>
      <c r="CD46" s="135">
        <v>0.1515</v>
      </c>
      <c r="CE46" s="135">
        <v>0.2309</v>
      </c>
      <c r="CF46" s="135">
        <v>0.0059</v>
      </c>
      <c r="CG46" s="135">
        <v>0.225</v>
      </c>
      <c r="CH46" s="135">
        <v>0.1721</v>
      </c>
      <c r="CI46" s="135">
        <v>0.1279</v>
      </c>
      <c r="CJ46" s="135">
        <v>0.0103</v>
      </c>
      <c r="CK46" s="135">
        <v>0.1176</v>
      </c>
      <c r="CL46" s="135">
        <v>0.1971</v>
      </c>
      <c r="CM46" s="135">
        <v>22.9</v>
      </c>
      <c r="CN46" s="135">
        <v>28.82</v>
      </c>
      <c r="CO46" s="135">
        <v>79.44</v>
      </c>
      <c r="CP46" s="135">
        <v>18.63</v>
      </c>
      <c r="CQ46" s="135">
        <v>0.94</v>
      </c>
      <c r="CR46" s="135">
        <v>1.71</v>
      </c>
      <c r="CS46" s="135">
        <v>1.62</v>
      </c>
      <c r="CT46" s="135">
        <v>0.0</v>
      </c>
      <c r="CU46" s="135">
        <v>44.0</v>
      </c>
      <c r="CV46" s="135">
        <v>0.19</v>
      </c>
      <c r="CW46" s="135">
        <v>46.7</v>
      </c>
      <c r="CX46" s="135">
        <v>0.09</v>
      </c>
      <c r="CY46" s="135">
        <v>1.03</v>
      </c>
      <c r="CZ46" s="135">
        <v>41.88</v>
      </c>
      <c r="DA46" s="135">
        <v>0.0</v>
      </c>
      <c r="DB46" s="135">
        <v>41.88</v>
      </c>
      <c r="DC46" s="135">
        <v>39.34</v>
      </c>
      <c r="DD46" s="135">
        <v>0.0</v>
      </c>
      <c r="DE46" s="135">
        <v>39.34</v>
      </c>
      <c r="DF46" s="135">
        <v>1.34</v>
      </c>
      <c r="DG46" s="135">
        <v>0.0</v>
      </c>
      <c r="DH46" s="135">
        <v>1.34</v>
      </c>
      <c r="DI46" s="135">
        <v>1.19</v>
      </c>
      <c r="DJ46" s="135">
        <v>0.0</v>
      </c>
      <c r="DK46" s="135">
        <v>1.19</v>
      </c>
      <c r="DL46" s="135">
        <v>0.01</v>
      </c>
      <c r="DM46" s="135">
        <v>0.0</v>
      </c>
      <c r="DN46" s="135">
        <v>0.01</v>
      </c>
    </row>
    <row r="47">
      <c r="A47" s="209">
        <v>46258.0</v>
      </c>
      <c r="B47" s="210" t="s">
        <v>5</v>
      </c>
      <c r="C47" s="210" t="s">
        <v>144</v>
      </c>
      <c r="D47" s="210">
        <v>541.0</v>
      </c>
      <c r="E47" s="210">
        <v>13.71</v>
      </c>
      <c r="F47" s="210">
        <v>0.0</v>
      </c>
      <c r="G47" s="210">
        <v>0.0</v>
      </c>
      <c r="H47" s="210">
        <v>0.0</v>
      </c>
      <c r="I47" s="210"/>
      <c r="J47" s="210">
        <v>36.15</v>
      </c>
      <c r="K47" s="210">
        <v>27.43</v>
      </c>
      <c r="L47" s="210">
        <v>23.75</v>
      </c>
      <c r="M47" s="210">
        <v>0.8659</v>
      </c>
      <c r="N47" s="210">
        <v>0.1624</v>
      </c>
      <c r="O47" s="210">
        <v>0.1078</v>
      </c>
      <c r="P47" s="210">
        <v>1.1549</v>
      </c>
      <c r="Q47" s="210">
        <v>115.39</v>
      </c>
      <c r="R47" s="210">
        <v>100.97</v>
      </c>
      <c r="S47" s="210">
        <v>14.42</v>
      </c>
      <c r="T47" s="210">
        <v>0.0</v>
      </c>
      <c r="U47" s="210">
        <v>115.39</v>
      </c>
      <c r="V47" s="210">
        <v>89.65</v>
      </c>
      <c r="W47" s="210">
        <v>3.268</v>
      </c>
      <c r="X47" s="210">
        <v>0.0</v>
      </c>
      <c r="Y47" s="210">
        <v>270.0</v>
      </c>
      <c r="Z47" s="210">
        <v>345.0</v>
      </c>
      <c r="AA47" s="210">
        <v>476.0</v>
      </c>
      <c r="AB47" s="210">
        <v>50.66</v>
      </c>
      <c r="AC47" s="210">
        <v>0.8759</v>
      </c>
      <c r="AD47" s="210">
        <v>18.04</v>
      </c>
      <c r="AE47" s="210">
        <v>10.0</v>
      </c>
      <c r="AF47" s="210">
        <v>18.0</v>
      </c>
      <c r="AG47" s="210">
        <v>26.0</v>
      </c>
      <c r="AH47" s="210">
        <v>31.0</v>
      </c>
      <c r="AI47" s="210">
        <v>70.24</v>
      </c>
      <c r="AJ47" s="210">
        <v>25.32</v>
      </c>
      <c r="AK47" s="210">
        <v>0.74</v>
      </c>
      <c r="AL47" s="210">
        <v>0.4621</v>
      </c>
      <c r="AM47" s="210">
        <v>2.59</v>
      </c>
      <c r="AN47" s="135">
        <v>2.59</v>
      </c>
      <c r="AO47" s="135">
        <v>0.55</v>
      </c>
      <c r="AP47" s="135">
        <v>0.37</v>
      </c>
      <c r="AQ47" s="135">
        <v>8.0665</v>
      </c>
      <c r="AR47" s="135">
        <v>0.122</v>
      </c>
      <c r="AS47" s="135">
        <v>7.9445</v>
      </c>
      <c r="AT47" s="135">
        <v>4.8115</v>
      </c>
      <c r="AU47" s="135">
        <v>0.1754</v>
      </c>
      <c r="AV47" s="135">
        <v>541.0</v>
      </c>
      <c r="AW47" s="135">
        <v>0.0</v>
      </c>
      <c r="AX47" s="135">
        <v>81.89</v>
      </c>
      <c r="AY47" s="135">
        <v>30.18</v>
      </c>
      <c r="AZ47" s="135">
        <v>0.62</v>
      </c>
      <c r="BA47" s="135">
        <v>0.0</v>
      </c>
      <c r="BB47" s="135">
        <v>2.7</v>
      </c>
      <c r="BC47" s="135">
        <v>40.0</v>
      </c>
      <c r="BD47" s="135">
        <v>800.0</v>
      </c>
      <c r="BE47" s="135">
        <v>6.1996</v>
      </c>
      <c r="BF47" s="135">
        <v>0.1109</v>
      </c>
      <c r="BG47" s="135">
        <v>6.0887</v>
      </c>
      <c r="BH47" s="135">
        <v>2.9797</v>
      </c>
      <c r="BI47" s="135">
        <v>0.1086</v>
      </c>
      <c r="BJ47" s="135">
        <v>1.8669</v>
      </c>
      <c r="BK47" s="135">
        <v>0.0111</v>
      </c>
      <c r="BL47" s="135">
        <v>1.8558</v>
      </c>
      <c r="BM47" s="135">
        <v>1.8318</v>
      </c>
      <c r="BN47" s="135">
        <v>0.0668</v>
      </c>
      <c r="BO47" s="135">
        <v>2.3826</v>
      </c>
      <c r="BP47" s="135">
        <v>0.0555</v>
      </c>
      <c r="BQ47" s="135">
        <v>2.3272</v>
      </c>
      <c r="BR47" s="135">
        <v>1.1978</v>
      </c>
      <c r="BS47" s="135">
        <v>2.6192</v>
      </c>
      <c r="BT47" s="135">
        <v>0.0277</v>
      </c>
      <c r="BU47" s="135">
        <v>2.5915</v>
      </c>
      <c r="BV47" s="135">
        <v>1.0333</v>
      </c>
      <c r="BW47" s="135">
        <v>1.1978</v>
      </c>
      <c r="BX47" s="135">
        <v>0.0277</v>
      </c>
      <c r="BY47" s="135">
        <v>1.1701</v>
      </c>
      <c r="BZ47" s="135">
        <v>0.7486</v>
      </c>
      <c r="CA47" s="135">
        <v>0.2921</v>
      </c>
      <c r="CB47" s="135">
        <v>0.0</v>
      </c>
      <c r="CC47" s="135">
        <v>0.2921</v>
      </c>
      <c r="CD47" s="135">
        <v>0.4584</v>
      </c>
      <c r="CE47" s="135">
        <v>0.719</v>
      </c>
      <c r="CF47" s="135">
        <v>0.0</v>
      </c>
      <c r="CG47" s="135">
        <v>0.719</v>
      </c>
      <c r="CH47" s="135">
        <v>0.5804</v>
      </c>
      <c r="CI47" s="135">
        <v>0.8558</v>
      </c>
      <c r="CJ47" s="135">
        <v>0.0111</v>
      </c>
      <c r="CK47" s="135">
        <v>0.8447</v>
      </c>
      <c r="CL47" s="135">
        <v>0.793</v>
      </c>
      <c r="CM47" s="135">
        <v>125.91</v>
      </c>
      <c r="CN47" s="135">
        <v>76.16</v>
      </c>
      <c r="CO47" s="135">
        <v>165.34</v>
      </c>
      <c r="CP47" s="135">
        <v>96.16</v>
      </c>
      <c r="CQ47" s="135">
        <v>16.08</v>
      </c>
      <c r="CR47" s="135">
        <v>5.03</v>
      </c>
      <c r="CS47" s="135">
        <v>8.64</v>
      </c>
      <c r="CT47" s="135">
        <v>0.0</v>
      </c>
      <c r="CU47" s="135">
        <v>97.0</v>
      </c>
      <c r="CV47" s="135">
        <v>1.88</v>
      </c>
      <c r="CW47" s="135">
        <v>117.27</v>
      </c>
      <c r="CX47" s="135">
        <v>2.55</v>
      </c>
      <c r="CY47" s="135">
        <v>18.63</v>
      </c>
      <c r="CZ47" s="135">
        <v>143.23</v>
      </c>
      <c r="DA47" s="135">
        <v>0.0</v>
      </c>
      <c r="DB47" s="135">
        <v>143.23</v>
      </c>
      <c r="DC47" s="135">
        <v>133.66</v>
      </c>
      <c r="DD47" s="135">
        <v>0.0</v>
      </c>
      <c r="DE47" s="135">
        <v>133.66</v>
      </c>
      <c r="DF47" s="135">
        <v>4.68</v>
      </c>
      <c r="DG47" s="135">
        <v>0.0</v>
      </c>
      <c r="DH47" s="135">
        <v>4.68</v>
      </c>
      <c r="DI47" s="135">
        <v>4.06</v>
      </c>
      <c r="DJ47" s="135">
        <v>0.0</v>
      </c>
      <c r="DK47" s="135">
        <v>4.06</v>
      </c>
      <c r="DL47" s="135">
        <v>0.83</v>
      </c>
      <c r="DM47" s="135">
        <v>0.0</v>
      </c>
      <c r="DN47" s="135">
        <v>0.83</v>
      </c>
    </row>
    <row r="48">
      <c r="A48" s="209">
        <v>46258.0</v>
      </c>
      <c r="B48" s="210" t="s">
        <v>5</v>
      </c>
      <c r="C48" s="210" t="s">
        <v>145</v>
      </c>
      <c r="D48" s="210">
        <v>399.0</v>
      </c>
      <c r="E48" s="210">
        <v>10.11</v>
      </c>
      <c r="F48" s="210">
        <v>45.38</v>
      </c>
      <c r="G48" s="210">
        <v>0.1137</v>
      </c>
      <c r="H48" s="210">
        <v>2.26</v>
      </c>
      <c r="I48" s="210">
        <v>5.0422</v>
      </c>
      <c r="J48" s="210">
        <v>92.34</v>
      </c>
      <c r="K48" s="210">
        <v>64.08</v>
      </c>
      <c r="L48" s="210">
        <v>52.2</v>
      </c>
      <c r="M48" s="210">
        <v>0.8145</v>
      </c>
      <c r="N48" s="210">
        <v>0.2249</v>
      </c>
      <c r="O48" s="210">
        <v>0.1479</v>
      </c>
      <c r="P48" s="210">
        <v>1.2277</v>
      </c>
      <c r="Q48" s="210">
        <v>284.73</v>
      </c>
      <c r="R48" s="210">
        <v>250.23</v>
      </c>
      <c r="S48" s="210">
        <v>34.5</v>
      </c>
      <c r="T48" s="210">
        <v>13.03</v>
      </c>
      <c r="U48" s="210">
        <v>271.7</v>
      </c>
      <c r="V48" s="210">
        <v>343.11</v>
      </c>
      <c r="W48" s="210">
        <v>5.3543</v>
      </c>
      <c r="X48" s="210">
        <v>4.58</v>
      </c>
      <c r="Y48" s="210">
        <v>336.0</v>
      </c>
      <c r="Z48" s="210">
        <v>449.0</v>
      </c>
      <c r="AA48" s="210">
        <v>677.0</v>
      </c>
      <c r="AB48" s="210">
        <v>53.1009</v>
      </c>
      <c r="AC48" s="210">
        <v>0.8351</v>
      </c>
      <c r="AD48" s="210">
        <v>28.89</v>
      </c>
      <c r="AE48" s="210">
        <v>14.0</v>
      </c>
      <c r="AF48" s="210">
        <v>24.0</v>
      </c>
      <c r="AG48" s="210">
        <v>42.0</v>
      </c>
      <c r="AH48" s="210">
        <v>55.0</v>
      </c>
      <c r="AI48" s="210">
        <v>44.36</v>
      </c>
      <c r="AJ48" s="210">
        <v>7.02</v>
      </c>
      <c r="AK48" s="210">
        <v>0.25</v>
      </c>
      <c r="AL48" s="210">
        <v>0.2682</v>
      </c>
      <c r="AM48" s="210">
        <v>30.83</v>
      </c>
      <c r="AN48" s="135">
        <v>30.83</v>
      </c>
      <c r="AO48" s="135">
        <v>24.31</v>
      </c>
      <c r="AP48" s="135">
        <v>16.54</v>
      </c>
      <c r="AQ48" s="135">
        <v>20.609</v>
      </c>
      <c r="AR48" s="135">
        <v>1.8145</v>
      </c>
      <c r="AS48" s="135">
        <v>18.7945</v>
      </c>
      <c r="AT48" s="135">
        <v>12.4185</v>
      </c>
      <c r="AU48" s="135">
        <v>0.1938</v>
      </c>
      <c r="AV48" s="135">
        <v>399.0</v>
      </c>
      <c r="AW48" s="135">
        <v>0.0</v>
      </c>
      <c r="AX48" s="135">
        <v>168.1</v>
      </c>
      <c r="AY48" s="135">
        <v>97.43</v>
      </c>
      <c r="AZ48" s="135">
        <v>1.48</v>
      </c>
      <c r="BA48" s="135">
        <v>13.03</v>
      </c>
      <c r="BB48" s="135">
        <v>4.69</v>
      </c>
      <c r="BC48" s="135">
        <v>80.0</v>
      </c>
      <c r="BD48" s="135">
        <v>1185.0</v>
      </c>
      <c r="BE48" s="135">
        <v>14.8922</v>
      </c>
      <c r="BF48" s="135">
        <v>1.7744</v>
      </c>
      <c r="BG48" s="135">
        <v>13.1178</v>
      </c>
      <c r="BH48" s="135">
        <v>6.9875</v>
      </c>
      <c r="BI48" s="135">
        <v>0.109</v>
      </c>
      <c r="BJ48" s="135">
        <v>5.7168</v>
      </c>
      <c r="BK48" s="135">
        <v>0.0401</v>
      </c>
      <c r="BL48" s="135">
        <v>5.6767</v>
      </c>
      <c r="BM48" s="135">
        <v>5.4311</v>
      </c>
      <c r="BN48" s="135">
        <v>0.0848</v>
      </c>
      <c r="BO48" s="135">
        <v>5.4386</v>
      </c>
      <c r="BP48" s="135">
        <v>0.5138</v>
      </c>
      <c r="BQ48" s="135">
        <v>4.9248</v>
      </c>
      <c r="BR48" s="135">
        <v>2.5263</v>
      </c>
      <c r="BS48" s="135">
        <v>6.0802</v>
      </c>
      <c r="BT48" s="135">
        <v>0.5138</v>
      </c>
      <c r="BU48" s="135">
        <v>5.5664</v>
      </c>
      <c r="BV48" s="135">
        <v>2.609</v>
      </c>
      <c r="BW48" s="135">
        <v>3.3734</v>
      </c>
      <c r="BX48" s="135">
        <v>0.7469</v>
      </c>
      <c r="BY48" s="135">
        <v>2.6266</v>
      </c>
      <c r="BZ48" s="135">
        <v>1.8521</v>
      </c>
      <c r="CA48" s="135">
        <v>1.1729</v>
      </c>
      <c r="CB48" s="135">
        <v>0.0125</v>
      </c>
      <c r="CC48" s="135">
        <v>1.1604</v>
      </c>
      <c r="CD48" s="135">
        <v>1.3434</v>
      </c>
      <c r="CE48" s="135">
        <v>1.8797</v>
      </c>
      <c r="CF48" s="135">
        <v>0.01</v>
      </c>
      <c r="CG48" s="135">
        <v>1.8697</v>
      </c>
      <c r="CH48" s="135">
        <v>1.6516</v>
      </c>
      <c r="CI48" s="135">
        <v>2.6642</v>
      </c>
      <c r="CJ48" s="135">
        <v>0.0175</v>
      </c>
      <c r="CK48" s="135">
        <v>2.6466</v>
      </c>
      <c r="CL48" s="135">
        <v>2.4361</v>
      </c>
      <c r="CM48" s="135">
        <v>459.56</v>
      </c>
      <c r="CN48" s="135">
        <v>97.99</v>
      </c>
      <c r="CO48" s="135">
        <v>468.96</v>
      </c>
      <c r="CP48" s="135">
        <v>354.13</v>
      </c>
      <c r="CQ48" s="135">
        <v>68.33</v>
      </c>
      <c r="CR48" s="135">
        <v>13.28</v>
      </c>
      <c r="CS48" s="135">
        <v>23.81</v>
      </c>
      <c r="CT48" s="135">
        <v>0.0</v>
      </c>
      <c r="CU48" s="135">
        <v>198.0</v>
      </c>
      <c r="CV48" s="135">
        <v>12.88</v>
      </c>
      <c r="CW48" s="135">
        <v>297.61</v>
      </c>
      <c r="CX48" s="135">
        <v>9.91</v>
      </c>
      <c r="CY48" s="135">
        <v>78.25</v>
      </c>
      <c r="CZ48" s="135">
        <v>354.51</v>
      </c>
      <c r="DA48" s="135">
        <v>0.11</v>
      </c>
      <c r="DB48" s="135">
        <v>354.4</v>
      </c>
      <c r="DC48" s="135">
        <v>334.97</v>
      </c>
      <c r="DD48" s="135">
        <v>0.11</v>
      </c>
      <c r="DE48" s="135">
        <v>334.86</v>
      </c>
      <c r="DF48" s="135">
        <v>10.59</v>
      </c>
      <c r="DG48" s="135">
        <v>0.0</v>
      </c>
      <c r="DH48" s="135">
        <v>10.59</v>
      </c>
      <c r="DI48" s="135">
        <v>7.06</v>
      </c>
      <c r="DJ48" s="135">
        <v>0.0</v>
      </c>
      <c r="DK48" s="135">
        <v>7.06</v>
      </c>
      <c r="DL48" s="135">
        <v>1.89</v>
      </c>
      <c r="DM48" s="135">
        <v>0.0</v>
      </c>
      <c r="DN48" s="135">
        <v>1.89</v>
      </c>
    </row>
    <row r="49">
      <c r="A49" s="209">
        <v>46258.0</v>
      </c>
      <c r="B49" s="210" t="s">
        <v>5</v>
      </c>
      <c r="C49" s="210" t="s">
        <v>146</v>
      </c>
      <c r="D49" s="210">
        <v>95.0</v>
      </c>
      <c r="E49" s="210">
        <v>2.41</v>
      </c>
      <c r="F49" s="210">
        <v>13.18</v>
      </c>
      <c r="G49" s="210">
        <v>0.1387</v>
      </c>
      <c r="H49" s="210">
        <v>4.21</v>
      </c>
      <c r="I49" s="210">
        <v>3.295</v>
      </c>
      <c r="J49" s="210">
        <v>207.13</v>
      </c>
      <c r="K49" s="210">
        <v>150.47</v>
      </c>
      <c r="L49" s="210">
        <v>118.33</v>
      </c>
      <c r="M49" s="210">
        <v>0.7864</v>
      </c>
      <c r="N49" s="210">
        <v>0.2547</v>
      </c>
      <c r="O49" s="210">
        <v>0.1551</v>
      </c>
      <c r="P49" s="210">
        <v>1.2717</v>
      </c>
      <c r="Q49" s="210">
        <v>609.35</v>
      </c>
      <c r="R49" s="210">
        <v>519.35</v>
      </c>
      <c r="S49" s="210">
        <v>90.0</v>
      </c>
      <c r="T49" s="210">
        <v>29.47</v>
      </c>
      <c r="U49" s="210">
        <v>579.87</v>
      </c>
      <c r="V49" s="210">
        <v>576.84</v>
      </c>
      <c r="W49" s="210">
        <v>3.8335</v>
      </c>
      <c r="X49" s="210">
        <v>4.84</v>
      </c>
      <c r="Y49" s="210">
        <v>446.0</v>
      </c>
      <c r="Z49" s="210">
        <v>655.0</v>
      </c>
      <c r="AA49" s="210">
        <v>1085.0</v>
      </c>
      <c r="AB49" s="210">
        <v>56.7496</v>
      </c>
      <c r="AC49" s="210">
        <v>0.7904</v>
      </c>
      <c r="AD49" s="210">
        <v>51.74</v>
      </c>
      <c r="AE49" s="210">
        <v>19.0</v>
      </c>
      <c r="AF49" s="210">
        <v>38.0</v>
      </c>
      <c r="AG49" s="210">
        <v>69.0</v>
      </c>
      <c r="AH49" s="210">
        <v>119.0</v>
      </c>
      <c r="AI49" s="210">
        <v>21.05</v>
      </c>
      <c r="AJ49" s="210">
        <v>1.05</v>
      </c>
      <c r="AK49" s="210">
        <v>0.0</v>
      </c>
      <c r="AL49" s="210">
        <v>0.1895</v>
      </c>
      <c r="AM49" s="210">
        <v>76.84</v>
      </c>
      <c r="AN49" s="135">
        <v>76.84</v>
      </c>
      <c r="AO49" s="135">
        <v>74.74</v>
      </c>
      <c r="AP49" s="135">
        <v>72.63</v>
      </c>
      <c r="AQ49" s="135">
        <v>36.7789</v>
      </c>
      <c r="AR49" s="135">
        <v>0.3579</v>
      </c>
      <c r="AS49" s="135">
        <v>36.4211</v>
      </c>
      <c r="AT49" s="135">
        <v>27.3263</v>
      </c>
      <c r="AU49" s="135">
        <v>0.1816</v>
      </c>
      <c r="AV49" s="135">
        <v>95.0</v>
      </c>
      <c r="AW49" s="135">
        <v>0.0</v>
      </c>
      <c r="AX49" s="135">
        <v>337.58</v>
      </c>
      <c r="AY49" s="135">
        <v>226.61</v>
      </c>
      <c r="AZ49" s="135">
        <v>5.84</v>
      </c>
      <c r="BA49" s="135">
        <v>29.47</v>
      </c>
      <c r="BB49" s="135">
        <v>9.84</v>
      </c>
      <c r="BC49" s="135">
        <v>189.0</v>
      </c>
      <c r="BD49" s="135">
        <v>1910.0</v>
      </c>
      <c r="BE49" s="135">
        <v>23.0737</v>
      </c>
      <c r="BF49" s="135">
        <v>0.1263</v>
      </c>
      <c r="BG49" s="135">
        <v>22.9474</v>
      </c>
      <c r="BH49" s="135">
        <v>13.7474</v>
      </c>
      <c r="BI49" s="135">
        <v>0.0914</v>
      </c>
      <c r="BJ49" s="135">
        <v>13.7053</v>
      </c>
      <c r="BK49" s="135">
        <v>0.2316</v>
      </c>
      <c r="BL49" s="135">
        <v>13.4737</v>
      </c>
      <c r="BM49" s="135">
        <v>13.5789</v>
      </c>
      <c r="BN49" s="135">
        <v>0.0902</v>
      </c>
      <c r="BO49" s="135">
        <v>7.9263</v>
      </c>
      <c r="BP49" s="135">
        <v>0.0421</v>
      </c>
      <c r="BQ49" s="135">
        <v>7.8842</v>
      </c>
      <c r="BR49" s="135">
        <v>4.7579</v>
      </c>
      <c r="BS49" s="135">
        <v>9.1158</v>
      </c>
      <c r="BT49" s="135">
        <v>0.0421</v>
      </c>
      <c r="BU49" s="135">
        <v>9.0737</v>
      </c>
      <c r="BV49" s="135">
        <v>5.4526</v>
      </c>
      <c r="BW49" s="135">
        <v>6.0316</v>
      </c>
      <c r="BX49" s="135">
        <v>0.0421</v>
      </c>
      <c r="BY49" s="135">
        <v>5.9895</v>
      </c>
      <c r="BZ49" s="135">
        <v>3.5368</v>
      </c>
      <c r="CA49" s="135">
        <v>3.2421</v>
      </c>
      <c r="CB49" s="135">
        <v>0.0842</v>
      </c>
      <c r="CC49" s="135">
        <v>3.1579</v>
      </c>
      <c r="CD49" s="135">
        <v>3.6316</v>
      </c>
      <c r="CE49" s="135">
        <v>4.0737</v>
      </c>
      <c r="CF49" s="135">
        <v>0.0421</v>
      </c>
      <c r="CG49" s="135">
        <v>4.0316</v>
      </c>
      <c r="CH49" s="135">
        <v>4.2</v>
      </c>
      <c r="CI49" s="135">
        <v>6.3895</v>
      </c>
      <c r="CJ49" s="135">
        <v>0.1053</v>
      </c>
      <c r="CK49" s="135">
        <v>6.2842</v>
      </c>
      <c r="CL49" s="135">
        <v>5.7474</v>
      </c>
      <c r="CM49" s="135">
        <v>1207.17</v>
      </c>
      <c r="CN49" s="135">
        <v>100.0</v>
      </c>
      <c r="CO49" s="135">
        <v>1207.17</v>
      </c>
      <c r="CP49" s="135">
        <v>949.4</v>
      </c>
      <c r="CQ49" s="135">
        <v>181.25</v>
      </c>
      <c r="CR49" s="135">
        <v>16.84</v>
      </c>
      <c r="CS49" s="135">
        <v>59.68</v>
      </c>
      <c r="CT49" s="135">
        <v>0.0</v>
      </c>
      <c r="CU49" s="135">
        <v>75.0</v>
      </c>
      <c r="CV49" s="135">
        <v>46.6</v>
      </c>
      <c r="CW49" s="135">
        <v>655.95</v>
      </c>
      <c r="CX49" s="135">
        <v>24.18</v>
      </c>
      <c r="CY49" s="135">
        <v>205.42</v>
      </c>
      <c r="CZ49" s="135">
        <v>734.05</v>
      </c>
      <c r="DA49" s="135">
        <v>0.47</v>
      </c>
      <c r="DB49" s="135">
        <v>733.58</v>
      </c>
      <c r="DC49" s="135">
        <v>695.84</v>
      </c>
      <c r="DD49" s="135">
        <v>0.47</v>
      </c>
      <c r="DE49" s="135">
        <v>695.37</v>
      </c>
      <c r="DF49" s="135">
        <v>26.53</v>
      </c>
      <c r="DG49" s="135">
        <v>0.0</v>
      </c>
      <c r="DH49" s="135">
        <v>26.53</v>
      </c>
      <c r="DI49" s="135">
        <v>10.11</v>
      </c>
      <c r="DJ49" s="135">
        <v>0.0</v>
      </c>
      <c r="DK49" s="135">
        <v>10.11</v>
      </c>
      <c r="DL49" s="135">
        <v>1.58</v>
      </c>
      <c r="DM49" s="135">
        <v>0.0</v>
      </c>
      <c r="DN49" s="135">
        <v>1.58</v>
      </c>
    </row>
    <row r="50">
      <c r="A50" s="209">
        <v>46259.0</v>
      </c>
      <c r="B50" s="210" t="s">
        <v>4</v>
      </c>
      <c r="C50" s="210" t="s">
        <v>398</v>
      </c>
      <c r="D50" s="210">
        <v>796.0</v>
      </c>
      <c r="E50" s="210">
        <v>17.3</v>
      </c>
      <c r="F50" s="210">
        <v>1.05</v>
      </c>
      <c r="G50" s="210">
        <v>0.0013</v>
      </c>
      <c r="H50" s="210">
        <v>0.13</v>
      </c>
      <c r="I50" s="210">
        <v>1.05</v>
      </c>
      <c r="J50" s="210">
        <v>1.97</v>
      </c>
      <c r="K50" s="210">
        <v>0.27</v>
      </c>
      <c r="L50" s="210">
        <v>0.0</v>
      </c>
      <c r="M50" s="210">
        <v>0.0</v>
      </c>
      <c r="N50" s="210">
        <v>1.0</v>
      </c>
      <c r="O50" s="210">
        <v>1.0</v>
      </c>
      <c r="P50" s="210"/>
      <c r="Q50" s="210">
        <v>2.22</v>
      </c>
      <c r="R50" s="210">
        <v>2.19</v>
      </c>
      <c r="S50" s="210">
        <v>0.04</v>
      </c>
      <c r="T50" s="210">
        <v>0.0</v>
      </c>
      <c r="U50" s="210">
        <v>2.22</v>
      </c>
      <c r="V50" s="210">
        <v>0.88</v>
      </c>
      <c r="W50" s="210">
        <v>3.271</v>
      </c>
      <c r="X50" s="210">
        <v>0.0</v>
      </c>
      <c r="Y50" s="210">
        <v>200.0</v>
      </c>
      <c r="Z50" s="210">
        <v>200.0</v>
      </c>
      <c r="AA50" s="210">
        <v>202.0</v>
      </c>
      <c r="AB50" s="210">
        <v>49.6214</v>
      </c>
      <c r="AC50" s="210">
        <v>0.6685</v>
      </c>
      <c r="AD50" s="211"/>
      <c r="AE50" s="211"/>
      <c r="AF50" s="211"/>
      <c r="AG50" s="211"/>
      <c r="AH50" s="211"/>
      <c r="AI50" s="210">
        <v>0.0</v>
      </c>
      <c r="AJ50" s="210">
        <v>0.0</v>
      </c>
      <c r="AK50" s="210">
        <v>0.0</v>
      </c>
      <c r="AL50" s="210">
        <v>0.8832</v>
      </c>
      <c r="AQ50" s="135">
        <v>0.1533</v>
      </c>
      <c r="AR50" s="135">
        <v>0.0</v>
      </c>
      <c r="AS50" s="135">
        <v>0.1533</v>
      </c>
      <c r="AT50" s="135">
        <v>0.0389</v>
      </c>
      <c r="AU50" s="135">
        <v>0.1449</v>
      </c>
      <c r="AV50" s="135">
        <v>796.0</v>
      </c>
      <c r="AW50" s="135">
        <v>0.0</v>
      </c>
      <c r="AX50" s="135">
        <v>1.24</v>
      </c>
      <c r="AY50" s="135">
        <v>0.96</v>
      </c>
      <c r="AZ50" s="135">
        <v>0.03</v>
      </c>
      <c r="BA50" s="135">
        <v>0.0</v>
      </c>
      <c r="BB50" s="135">
        <v>0.0</v>
      </c>
      <c r="BD50" s="135">
        <v>476.0</v>
      </c>
      <c r="BE50" s="135">
        <v>0.0641</v>
      </c>
      <c r="BF50" s="135">
        <v>0.0</v>
      </c>
      <c r="BG50" s="135">
        <v>0.0641</v>
      </c>
      <c r="BH50" s="135">
        <v>0.0101</v>
      </c>
      <c r="BI50" s="135">
        <v>0.0374</v>
      </c>
      <c r="BJ50" s="135">
        <v>0.0892</v>
      </c>
      <c r="BK50" s="135">
        <v>0.0</v>
      </c>
      <c r="BL50" s="135">
        <v>0.0892</v>
      </c>
      <c r="BM50" s="135">
        <v>0.0289</v>
      </c>
      <c r="BN50" s="135">
        <v>0.1075</v>
      </c>
      <c r="BO50" s="135">
        <v>0.0151</v>
      </c>
      <c r="BP50" s="135">
        <v>0.0</v>
      </c>
      <c r="BQ50" s="135">
        <v>0.0151</v>
      </c>
      <c r="BR50" s="135">
        <v>0.0063</v>
      </c>
      <c r="BS50" s="135">
        <v>0.0264</v>
      </c>
      <c r="BT50" s="135">
        <v>0.0</v>
      </c>
      <c r="BU50" s="135">
        <v>0.0264</v>
      </c>
      <c r="BV50" s="135">
        <v>0.0025</v>
      </c>
      <c r="BW50" s="135">
        <v>0.0226</v>
      </c>
      <c r="BX50" s="135">
        <v>0.0</v>
      </c>
      <c r="BY50" s="135">
        <v>0.0226</v>
      </c>
      <c r="BZ50" s="135">
        <v>0.0013</v>
      </c>
      <c r="CA50" s="135">
        <v>0.0075</v>
      </c>
      <c r="CB50" s="135">
        <v>0.0</v>
      </c>
      <c r="CC50" s="135">
        <v>0.0075</v>
      </c>
      <c r="CD50" s="135">
        <v>0.0063</v>
      </c>
      <c r="CE50" s="135">
        <v>0.049</v>
      </c>
      <c r="CF50" s="135">
        <v>0.0</v>
      </c>
      <c r="CG50" s="135">
        <v>0.049</v>
      </c>
      <c r="CH50" s="135">
        <v>0.0176</v>
      </c>
      <c r="CI50" s="135">
        <v>0.0327</v>
      </c>
      <c r="CJ50" s="135">
        <v>0.0</v>
      </c>
      <c r="CK50" s="135">
        <v>0.0327</v>
      </c>
      <c r="CL50" s="135">
        <v>0.005</v>
      </c>
      <c r="CM50" s="135">
        <v>0.86</v>
      </c>
      <c r="CN50" s="135">
        <v>0.25</v>
      </c>
      <c r="CO50" s="135">
        <v>342.5</v>
      </c>
      <c r="CP50" s="135">
        <v>0.75</v>
      </c>
      <c r="CQ50" s="135">
        <v>0.0</v>
      </c>
      <c r="CR50" s="135">
        <v>0.05</v>
      </c>
      <c r="CS50" s="135">
        <v>0.06</v>
      </c>
      <c r="CT50" s="135">
        <v>0.0</v>
      </c>
      <c r="CU50" s="135">
        <v>0.0</v>
      </c>
      <c r="CV50" s="135">
        <v>0.0</v>
      </c>
      <c r="CW50" s="135">
        <v>2.22</v>
      </c>
      <c r="CX50" s="135">
        <v>0.0</v>
      </c>
      <c r="CY50" s="135">
        <v>0.0</v>
      </c>
      <c r="CZ50" s="135">
        <v>1.49</v>
      </c>
      <c r="DA50" s="135">
        <v>0.0</v>
      </c>
      <c r="DB50" s="135">
        <v>1.49</v>
      </c>
      <c r="DC50" s="135">
        <v>1.46</v>
      </c>
      <c r="DD50" s="135">
        <v>0.0</v>
      </c>
      <c r="DE50" s="135">
        <v>1.46</v>
      </c>
      <c r="DF50" s="135">
        <v>0.01</v>
      </c>
      <c r="DG50" s="135">
        <v>0.0</v>
      </c>
      <c r="DH50" s="135">
        <v>0.01</v>
      </c>
      <c r="DI50" s="135">
        <v>0.01</v>
      </c>
      <c r="DJ50" s="135">
        <v>0.0</v>
      </c>
      <c r="DK50" s="135">
        <v>0.01</v>
      </c>
      <c r="DL50" s="135">
        <v>0.0</v>
      </c>
      <c r="DM50" s="135">
        <v>0.0</v>
      </c>
      <c r="DN50" s="135">
        <v>0.0</v>
      </c>
    </row>
    <row r="51">
      <c r="A51" s="209">
        <v>46259.0</v>
      </c>
      <c r="B51" s="210" t="s">
        <v>4</v>
      </c>
      <c r="C51" s="210" t="s">
        <v>142</v>
      </c>
      <c r="D51" s="210">
        <v>1328.0</v>
      </c>
      <c r="E51" s="210">
        <v>28.86</v>
      </c>
      <c r="F51" s="210">
        <v>0.0</v>
      </c>
      <c r="G51" s="210">
        <v>0.0</v>
      </c>
      <c r="H51" s="210">
        <v>0.0</v>
      </c>
      <c r="I51" s="210"/>
      <c r="J51" s="210">
        <v>5.17</v>
      </c>
      <c r="K51" s="210">
        <v>4.37</v>
      </c>
      <c r="L51" s="210">
        <v>4.04</v>
      </c>
      <c r="M51" s="210">
        <v>0.9257</v>
      </c>
      <c r="N51" s="210">
        <v>0.0807</v>
      </c>
      <c r="O51" s="210">
        <v>0.0565</v>
      </c>
      <c r="P51" s="210">
        <v>1.0803</v>
      </c>
      <c r="Q51" s="210">
        <v>9.52</v>
      </c>
      <c r="R51" s="210">
        <v>8.09</v>
      </c>
      <c r="S51" s="210">
        <v>1.43</v>
      </c>
      <c r="T51" s="210">
        <v>0.0</v>
      </c>
      <c r="U51" s="210">
        <v>9.52</v>
      </c>
      <c r="V51" s="210">
        <v>7.42</v>
      </c>
      <c r="W51" s="210">
        <v>1.6992</v>
      </c>
      <c r="X51" s="210">
        <v>0.0</v>
      </c>
      <c r="Y51" s="210">
        <v>200.0</v>
      </c>
      <c r="Z51" s="210">
        <v>212.0</v>
      </c>
      <c r="AA51" s="210">
        <v>254.0</v>
      </c>
      <c r="AB51" s="210">
        <v>49.9636</v>
      </c>
      <c r="AC51" s="210">
        <v>0.8392</v>
      </c>
      <c r="AD51" s="210">
        <v>3.91</v>
      </c>
      <c r="AE51" s="210">
        <v>2.0</v>
      </c>
      <c r="AF51" s="210">
        <v>3.0</v>
      </c>
      <c r="AG51" s="210">
        <v>6.0</v>
      </c>
      <c r="AH51" s="210">
        <v>8.0</v>
      </c>
      <c r="AI51" s="210">
        <v>78.84</v>
      </c>
      <c r="AJ51" s="210">
        <v>38.1</v>
      </c>
      <c r="AK51" s="210">
        <v>1.66</v>
      </c>
      <c r="AL51" s="210">
        <v>0.8381</v>
      </c>
      <c r="AQ51" s="135">
        <v>0.6807</v>
      </c>
      <c r="AR51" s="135">
        <v>0.0565</v>
      </c>
      <c r="AS51" s="135">
        <v>0.6242</v>
      </c>
      <c r="AT51" s="135">
        <v>0.6664</v>
      </c>
      <c r="AU51" s="135">
        <v>0.1527</v>
      </c>
      <c r="AV51" s="135">
        <v>1328.0</v>
      </c>
      <c r="AW51" s="135">
        <v>0.0</v>
      </c>
      <c r="AX51" s="135">
        <v>9.45</v>
      </c>
      <c r="AY51" s="135">
        <v>0.0</v>
      </c>
      <c r="AZ51" s="135">
        <v>0.06</v>
      </c>
      <c r="BA51" s="135">
        <v>0.0</v>
      </c>
      <c r="BB51" s="135">
        <v>0.01</v>
      </c>
      <c r="BC51" s="135">
        <v>12.0</v>
      </c>
      <c r="BD51" s="135">
        <v>325.0</v>
      </c>
      <c r="BE51" s="135">
        <v>0.6325</v>
      </c>
      <c r="BF51" s="135">
        <v>0.0542</v>
      </c>
      <c r="BG51" s="135">
        <v>0.5783</v>
      </c>
      <c r="BH51" s="135">
        <v>0.5889</v>
      </c>
      <c r="BI51" s="135">
        <v>0.1349</v>
      </c>
      <c r="BJ51" s="135">
        <v>0.0482</v>
      </c>
      <c r="BK51" s="135">
        <v>0.0023</v>
      </c>
      <c r="BL51" s="135">
        <v>0.0459</v>
      </c>
      <c r="BM51" s="135">
        <v>0.0776</v>
      </c>
      <c r="BN51" s="135">
        <v>0.0178</v>
      </c>
      <c r="BO51" s="135">
        <v>0.1242</v>
      </c>
      <c r="BP51" s="135">
        <v>0.0271</v>
      </c>
      <c r="BQ51" s="135">
        <v>0.0971</v>
      </c>
      <c r="BR51" s="135">
        <v>0.2613</v>
      </c>
      <c r="BS51" s="135">
        <v>0.384</v>
      </c>
      <c r="BT51" s="135">
        <v>0.0158</v>
      </c>
      <c r="BU51" s="135">
        <v>0.3682</v>
      </c>
      <c r="BV51" s="135">
        <v>0.1724</v>
      </c>
      <c r="BW51" s="135">
        <v>0.1242</v>
      </c>
      <c r="BX51" s="135">
        <v>0.0113</v>
      </c>
      <c r="BY51" s="135">
        <v>0.113</v>
      </c>
      <c r="BZ51" s="135">
        <v>0.1551</v>
      </c>
      <c r="CA51" s="135">
        <v>8.0E-4</v>
      </c>
      <c r="CB51" s="135">
        <v>0.0</v>
      </c>
      <c r="CC51" s="135">
        <v>8.0E-4</v>
      </c>
      <c r="CD51" s="135">
        <v>0.0233</v>
      </c>
      <c r="CE51" s="135">
        <v>0.0429</v>
      </c>
      <c r="CF51" s="135">
        <v>0.0023</v>
      </c>
      <c r="CG51" s="135">
        <v>0.0407</v>
      </c>
      <c r="CH51" s="135">
        <v>0.0294</v>
      </c>
      <c r="CI51" s="135">
        <v>0.0045</v>
      </c>
      <c r="CJ51" s="135">
        <v>0.0</v>
      </c>
      <c r="CK51" s="135">
        <v>0.0045</v>
      </c>
      <c r="CL51" s="135">
        <v>0.0248</v>
      </c>
      <c r="CM51" s="135">
        <v>0.76</v>
      </c>
      <c r="CN51" s="135">
        <v>2.11</v>
      </c>
      <c r="CO51" s="135">
        <v>35.89</v>
      </c>
      <c r="CP51" s="135">
        <v>0.7</v>
      </c>
      <c r="CQ51" s="135">
        <v>0.0</v>
      </c>
      <c r="CR51" s="135">
        <v>0.06</v>
      </c>
      <c r="CS51" s="135">
        <v>0.0</v>
      </c>
      <c r="CT51" s="135">
        <v>0.0</v>
      </c>
      <c r="CU51" s="135">
        <v>0.0</v>
      </c>
      <c r="CV51" s="135">
        <v>0.0</v>
      </c>
      <c r="CW51" s="135">
        <v>9.52</v>
      </c>
      <c r="CX51" s="135">
        <v>0.0</v>
      </c>
      <c r="CY51" s="135">
        <v>0.0</v>
      </c>
      <c r="CZ51" s="135">
        <v>3.19</v>
      </c>
      <c r="DA51" s="135">
        <v>0.0</v>
      </c>
      <c r="DB51" s="135">
        <v>3.19</v>
      </c>
      <c r="DC51" s="135">
        <v>3.18</v>
      </c>
      <c r="DD51" s="135">
        <v>0.0</v>
      </c>
      <c r="DE51" s="135">
        <v>3.18</v>
      </c>
      <c r="DF51" s="135">
        <v>0.01</v>
      </c>
      <c r="DG51" s="135">
        <v>0.0</v>
      </c>
      <c r="DH51" s="135">
        <v>0.01</v>
      </c>
      <c r="DI51" s="135">
        <v>0.0</v>
      </c>
      <c r="DJ51" s="135">
        <v>0.0</v>
      </c>
      <c r="DK51" s="135">
        <v>0.0</v>
      </c>
      <c r="DL51" s="135">
        <v>0.0</v>
      </c>
      <c r="DM51" s="135">
        <v>0.0</v>
      </c>
      <c r="DN51" s="135">
        <v>0.0</v>
      </c>
    </row>
    <row r="52">
      <c r="A52" s="209">
        <v>46259.0</v>
      </c>
      <c r="B52" s="210" t="s">
        <v>4</v>
      </c>
      <c r="C52" s="210" t="s">
        <v>143</v>
      </c>
      <c r="D52" s="210">
        <v>792.0</v>
      </c>
      <c r="E52" s="210">
        <v>17.21</v>
      </c>
      <c r="F52" s="210">
        <v>0.0</v>
      </c>
      <c r="G52" s="210">
        <v>0.0</v>
      </c>
      <c r="H52" s="210">
        <v>0.0</v>
      </c>
      <c r="I52" s="210"/>
      <c r="J52" s="210">
        <v>16.87</v>
      </c>
      <c r="K52" s="210">
        <v>13.48</v>
      </c>
      <c r="L52" s="210">
        <v>12.29</v>
      </c>
      <c r="M52" s="210">
        <v>0.9117</v>
      </c>
      <c r="N52" s="210">
        <v>0.1079</v>
      </c>
      <c r="O52" s="210">
        <v>0.0752</v>
      </c>
      <c r="P52" s="210">
        <v>1.0969</v>
      </c>
      <c r="Q52" s="210">
        <v>61.87</v>
      </c>
      <c r="R52" s="210">
        <v>45.84</v>
      </c>
      <c r="S52" s="210">
        <v>16.03</v>
      </c>
      <c r="T52" s="210">
        <v>0.0</v>
      </c>
      <c r="U52" s="210">
        <v>61.87</v>
      </c>
      <c r="V52" s="210">
        <v>40.59</v>
      </c>
      <c r="W52" s="210">
        <v>3.0111</v>
      </c>
      <c r="X52" s="210">
        <v>0.0</v>
      </c>
      <c r="Y52" s="210">
        <v>255.0</v>
      </c>
      <c r="Z52" s="210">
        <v>297.0</v>
      </c>
      <c r="AA52" s="210">
        <v>379.0</v>
      </c>
      <c r="AB52" s="210">
        <v>49.6246</v>
      </c>
      <c r="AC52" s="210">
        <v>0.8913</v>
      </c>
      <c r="AD52" s="210">
        <v>10.93</v>
      </c>
      <c r="AE52" s="210">
        <v>7.0</v>
      </c>
      <c r="AF52" s="210">
        <v>11.0</v>
      </c>
      <c r="AG52" s="210">
        <v>14.0</v>
      </c>
      <c r="AH52" s="210">
        <v>18.0</v>
      </c>
      <c r="AI52" s="210">
        <v>82.2</v>
      </c>
      <c r="AJ52" s="210">
        <v>35.73</v>
      </c>
      <c r="AK52" s="210">
        <v>1.52</v>
      </c>
      <c r="AL52" s="210">
        <v>0.6313</v>
      </c>
      <c r="AQ52" s="135">
        <v>4.2134</v>
      </c>
      <c r="AR52" s="135">
        <v>0.2045</v>
      </c>
      <c r="AS52" s="135">
        <v>4.0088</v>
      </c>
      <c r="AT52" s="135">
        <v>2.8182</v>
      </c>
      <c r="AU52" s="135">
        <v>0.209</v>
      </c>
      <c r="AV52" s="135">
        <v>792.0</v>
      </c>
      <c r="AW52" s="135">
        <v>0.0</v>
      </c>
      <c r="AX52" s="135">
        <v>56.93</v>
      </c>
      <c r="AY52" s="135">
        <v>4.2</v>
      </c>
      <c r="AZ52" s="135">
        <v>0.4</v>
      </c>
      <c r="BA52" s="135">
        <v>0.0</v>
      </c>
      <c r="BB52" s="135">
        <v>0.33</v>
      </c>
      <c r="BC52" s="135">
        <v>26.0</v>
      </c>
      <c r="BD52" s="135">
        <v>590.0</v>
      </c>
      <c r="BE52" s="135">
        <v>3.6351</v>
      </c>
      <c r="BF52" s="135">
        <v>0.1856</v>
      </c>
      <c r="BG52" s="135">
        <v>3.4495</v>
      </c>
      <c r="BH52" s="135">
        <v>2.2967</v>
      </c>
      <c r="BI52" s="135">
        <v>0.1704</v>
      </c>
      <c r="BJ52" s="135">
        <v>0.5783</v>
      </c>
      <c r="BK52" s="135">
        <v>0.0189</v>
      </c>
      <c r="BL52" s="135">
        <v>0.5593</v>
      </c>
      <c r="BM52" s="135">
        <v>0.5215</v>
      </c>
      <c r="BN52" s="135">
        <v>0.0387</v>
      </c>
      <c r="BO52" s="135">
        <v>1.1528</v>
      </c>
      <c r="BP52" s="135">
        <v>0.0758</v>
      </c>
      <c r="BQ52" s="135">
        <v>1.077</v>
      </c>
      <c r="BR52" s="135">
        <v>0.9495</v>
      </c>
      <c r="BS52" s="135">
        <v>1.8081</v>
      </c>
      <c r="BT52" s="135">
        <v>0.0227</v>
      </c>
      <c r="BU52" s="135">
        <v>1.7854</v>
      </c>
      <c r="BV52" s="135">
        <v>0.7361</v>
      </c>
      <c r="BW52" s="135">
        <v>0.6742</v>
      </c>
      <c r="BX52" s="135">
        <v>0.0871</v>
      </c>
      <c r="BY52" s="135">
        <v>0.5871</v>
      </c>
      <c r="BZ52" s="135">
        <v>0.6111</v>
      </c>
      <c r="CA52" s="135">
        <v>0.0341</v>
      </c>
      <c r="CB52" s="135">
        <v>0.0</v>
      </c>
      <c r="CC52" s="135">
        <v>0.0341</v>
      </c>
      <c r="CD52" s="135">
        <v>0.154</v>
      </c>
      <c r="CE52" s="135">
        <v>0.3258</v>
      </c>
      <c r="CF52" s="135">
        <v>0.0</v>
      </c>
      <c r="CG52" s="135">
        <v>0.3258</v>
      </c>
      <c r="CH52" s="135">
        <v>0.1402</v>
      </c>
      <c r="CI52" s="135">
        <v>0.2184</v>
      </c>
      <c r="CJ52" s="135">
        <v>0.0189</v>
      </c>
      <c r="CK52" s="135">
        <v>0.1995</v>
      </c>
      <c r="CL52" s="135">
        <v>0.2273</v>
      </c>
      <c r="CM52" s="135">
        <v>30.54</v>
      </c>
      <c r="CN52" s="135">
        <v>34.34</v>
      </c>
      <c r="CO52" s="135">
        <v>88.93</v>
      </c>
      <c r="CP52" s="135">
        <v>27.51</v>
      </c>
      <c r="CQ52" s="135">
        <v>0.0</v>
      </c>
      <c r="CR52" s="135">
        <v>2.37</v>
      </c>
      <c r="CS52" s="135">
        <v>0.66</v>
      </c>
      <c r="CT52" s="135">
        <v>0.0</v>
      </c>
      <c r="CU52" s="135">
        <v>0.0</v>
      </c>
      <c r="CV52" s="135">
        <v>0.0</v>
      </c>
      <c r="CW52" s="135">
        <v>61.87</v>
      </c>
      <c r="CX52" s="135">
        <v>0.0</v>
      </c>
      <c r="CY52" s="135">
        <v>0.0</v>
      </c>
      <c r="CZ52" s="135">
        <v>27.73</v>
      </c>
      <c r="DA52" s="135">
        <v>0.0</v>
      </c>
      <c r="DB52" s="135">
        <v>27.73</v>
      </c>
      <c r="DC52" s="135">
        <v>26.31</v>
      </c>
      <c r="DD52" s="135">
        <v>0.0</v>
      </c>
      <c r="DE52" s="135">
        <v>26.31</v>
      </c>
      <c r="DF52" s="135">
        <v>0.62</v>
      </c>
      <c r="DG52" s="135">
        <v>0.0</v>
      </c>
      <c r="DH52" s="135">
        <v>0.62</v>
      </c>
      <c r="DI52" s="135">
        <v>0.8</v>
      </c>
      <c r="DJ52" s="135">
        <v>0.0</v>
      </c>
      <c r="DK52" s="135">
        <v>0.8</v>
      </c>
      <c r="DL52" s="135">
        <v>0.0</v>
      </c>
      <c r="DM52" s="135">
        <v>0.0</v>
      </c>
      <c r="DN52" s="135">
        <v>0.0</v>
      </c>
    </row>
    <row r="53">
      <c r="A53" s="209">
        <v>46259.0</v>
      </c>
      <c r="B53" s="210" t="s">
        <v>4</v>
      </c>
      <c r="C53" s="210" t="s">
        <v>144</v>
      </c>
      <c r="D53" s="210">
        <v>794.0</v>
      </c>
      <c r="E53" s="210">
        <v>17.26</v>
      </c>
      <c r="F53" s="210">
        <v>23.35</v>
      </c>
      <c r="G53" s="210">
        <v>0.0294</v>
      </c>
      <c r="H53" s="210">
        <v>0.63</v>
      </c>
      <c r="I53" s="210">
        <v>4.67</v>
      </c>
      <c r="J53" s="210">
        <v>36.77</v>
      </c>
      <c r="K53" s="210">
        <v>27.26</v>
      </c>
      <c r="L53" s="210">
        <v>23.45</v>
      </c>
      <c r="M53" s="210">
        <v>0.8603</v>
      </c>
      <c r="N53" s="210">
        <v>0.1781</v>
      </c>
      <c r="O53" s="210">
        <v>0.1167</v>
      </c>
      <c r="P53" s="210">
        <v>1.1624</v>
      </c>
      <c r="Q53" s="210">
        <v>136.51</v>
      </c>
      <c r="R53" s="210">
        <v>100.69</v>
      </c>
      <c r="S53" s="210">
        <v>35.82</v>
      </c>
      <c r="T53" s="210">
        <v>2.27</v>
      </c>
      <c r="U53" s="210">
        <v>134.24</v>
      </c>
      <c r="V53" s="210">
        <v>109.89</v>
      </c>
      <c r="W53" s="210">
        <v>4.031</v>
      </c>
      <c r="X53" s="210">
        <v>1.66</v>
      </c>
      <c r="Y53" s="210">
        <v>308.0</v>
      </c>
      <c r="Z53" s="210">
        <v>402.0</v>
      </c>
      <c r="AA53" s="210">
        <v>538.0</v>
      </c>
      <c r="AB53" s="210">
        <v>50.8285</v>
      </c>
      <c r="AC53" s="210">
        <v>0.8745</v>
      </c>
      <c r="AD53" s="210">
        <v>17.63</v>
      </c>
      <c r="AE53" s="210">
        <v>9.0</v>
      </c>
      <c r="AF53" s="210">
        <v>17.0</v>
      </c>
      <c r="AG53" s="210">
        <v>26.0</v>
      </c>
      <c r="AH53" s="210">
        <v>33.0</v>
      </c>
      <c r="AI53" s="210">
        <v>69.27</v>
      </c>
      <c r="AJ53" s="210">
        <v>25.57</v>
      </c>
      <c r="AK53" s="210">
        <v>1.13</v>
      </c>
      <c r="AL53" s="210">
        <v>0.4484</v>
      </c>
      <c r="AQ53" s="135">
        <v>8.3312</v>
      </c>
      <c r="AR53" s="135">
        <v>0.1977</v>
      </c>
      <c r="AS53" s="135">
        <v>8.1335</v>
      </c>
      <c r="AT53" s="135">
        <v>4.966</v>
      </c>
      <c r="AU53" s="135">
        <v>0.1822</v>
      </c>
      <c r="AV53" s="135">
        <v>794.0</v>
      </c>
      <c r="AW53" s="135">
        <v>0.0</v>
      </c>
      <c r="AX53" s="135">
        <v>107.41</v>
      </c>
      <c r="AY53" s="135">
        <v>23.78</v>
      </c>
      <c r="AZ53" s="135">
        <v>0.93</v>
      </c>
      <c r="BA53" s="135">
        <v>2.27</v>
      </c>
      <c r="BB53" s="135">
        <v>2.12</v>
      </c>
      <c r="BC53" s="135">
        <v>44.0</v>
      </c>
      <c r="BD53" s="135">
        <v>905.0</v>
      </c>
      <c r="BE53" s="135">
        <v>5.7859</v>
      </c>
      <c r="BF53" s="135">
        <v>0.1889</v>
      </c>
      <c r="BG53" s="135">
        <v>5.597</v>
      </c>
      <c r="BH53" s="135">
        <v>2.7821</v>
      </c>
      <c r="BI53" s="135">
        <v>0.1021</v>
      </c>
      <c r="BJ53" s="135">
        <v>2.5453</v>
      </c>
      <c r="BK53" s="135">
        <v>0.0088</v>
      </c>
      <c r="BL53" s="135">
        <v>2.5365</v>
      </c>
      <c r="BM53" s="135">
        <v>2.1839</v>
      </c>
      <c r="BN53" s="135">
        <v>0.0801</v>
      </c>
      <c r="BO53" s="135">
        <v>1.8778</v>
      </c>
      <c r="BP53" s="135">
        <v>0.0252</v>
      </c>
      <c r="BQ53" s="135">
        <v>1.8526</v>
      </c>
      <c r="BR53" s="135">
        <v>1.073</v>
      </c>
      <c r="BS53" s="135">
        <v>2.7015</v>
      </c>
      <c r="BT53" s="135">
        <v>0.029</v>
      </c>
      <c r="BU53" s="135">
        <v>2.6725</v>
      </c>
      <c r="BV53" s="135">
        <v>0.9887</v>
      </c>
      <c r="BW53" s="135">
        <v>1.2065</v>
      </c>
      <c r="BX53" s="135">
        <v>0.1348</v>
      </c>
      <c r="BY53" s="135">
        <v>1.0718</v>
      </c>
      <c r="BZ53" s="135">
        <v>0.7204</v>
      </c>
      <c r="CA53" s="135">
        <v>0.2846</v>
      </c>
      <c r="CB53" s="135">
        <v>0.0038</v>
      </c>
      <c r="CC53" s="135">
        <v>0.2809</v>
      </c>
      <c r="CD53" s="135">
        <v>0.4685</v>
      </c>
      <c r="CE53" s="135">
        <v>1.1511</v>
      </c>
      <c r="CF53" s="135">
        <v>0.0025</v>
      </c>
      <c r="CG53" s="135">
        <v>1.1486</v>
      </c>
      <c r="CH53" s="135">
        <v>0.7657</v>
      </c>
      <c r="CI53" s="135">
        <v>1.1096</v>
      </c>
      <c r="CJ53" s="135">
        <v>0.0025</v>
      </c>
      <c r="CK53" s="135">
        <v>1.1071</v>
      </c>
      <c r="CL53" s="135">
        <v>0.9496</v>
      </c>
      <c r="CM53" s="135">
        <v>155.79</v>
      </c>
      <c r="CN53" s="135">
        <v>80.73</v>
      </c>
      <c r="CO53" s="135">
        <v>192.97</v>
      </c>
      <c r="CP53" s="135">
        <v>141.62</v>
      </c>
      <c r="CQ53" s="135">
        <v>0.0</v>
      </c>
      <c r="CR53" s="135">
        <v>6.07</v>
      </c>
      <c r="CS53" s="135">
        <v>8.09</v>
      </c>
      <c r="CT53" s="135">
        <v>0.0</v>
      </c>
      <c r="CU53" s="135">
        <v>0.0</v>
      </c>
      <c r="CV53" s="135">
        <v>0.0</v>
      </c>
      <c r="CW53" s="135">
        <v>136.51</v>
      </c>
      <c r="CX53" s="135">
        <v>0.0</v>
      </c>
      <c r="CY53" s="135">
        <v>0.0</v>
      </c>
      <c r="CZ53" s="135">
        <v>84.48</v>
      </c>
      <c r="DA53" s="135">
        <v>0.06</v>
      </c>
      <c r="DB53" s="135">
        <v>84.42</v>
      </c>
      <c r="DC53" s="135">
        <v>80.47</v>
      </c>
      <c r="DD53" s="135">
        <v>0.06</v>
      </c>
      <c r="DE53" s="135">
        <v>80.41</v>
      </c>
      <c r="DF53" s="135">
        <v>2.29</v>
      </c>
      <c r="DG53" s="135">
        <v>0.0</v>
      </c>
      <c r="DH53" s="135">
        <v>2.29</v>
      </c>
      <c r="DI53" s="135">
        <v>1.71</v>
      </c>
      <c r="DJ53" s="135">
        <v>0.0</v>
      </c>
      <c r="DK53" s="135">
        <v>1.71</v>
      </c>
      <c r="DL53" s="135">
        <v>0.01</v>
      </c>
      <c r="DM53" s="135">
        <v>0.0</v>
      </c>
      <c r="DN53" s="135">
        <v>0.01</v>
      </c>
    </row>
    <row r="54">
      <c r="A54" s="209">
        <v>46259.0</v>
      </c>
      <c r="B54" s="210" t="s">
        <v>4</v>
      </c>
      <c r="C54" s="210" t="s">
        <v>145</v>
      </c>
      <c r="D54" s="210">
        <v>693.0</v>
      </c>
      <c r="E54" s="210">
        <v>15.06</v>
      </c>
      <c r="F54" s="210">
        <v>103.85</v>
      </c>
      <c r="G54" s="210">
        <v>0.1499</v>
      </c>
      <c r="H54" s="210">
        <v>3.46</v>
      </c>
      <c r="I54" s="210">
        <v>4.3271</v>
      </c>
      <c r="J54" s="210">
        <v>90.66</v>
      </c>
      <c r="K54" s="210">
        <v>63.74</v>
      </c>
      <c r="L54" s="210">
        <v>50.64</v>
      </c>
      <c r="M54" s="210">
        <v>0.7946</v>
      </c>
      <c r="N54" s="210">
        <v>0.25</v>
      </c>
      <c r="O54" s="210">
        <v>0.1429</v>
      </c>
      <c r="P54" s="210">
        <v>1.2586</v>
      </c>
      <c r="Q54" s="210">
        <v>320.67</v>
      </c>
      <c r="R54" s="210">
        <v>251.77</v>
      </c>
      <c r="S54" s="210">
        <v>68.9</v>
      </c>
      <c r="T54" s="210">
        <v>12.34</v>
      </c>
      <c r="U54" s="210">
        <v>308.33</v>
      </c>
      <c r="V54" s="210">
        <v>287.16</v>
      </c>
      <c r="W54" s="210">
        <v>4.5054</v>
      </c>
      <c r="X54" s="210">
        <v>3.85</v>
      </c>
      <c r="Y54" s="210">
        <v>388.0</v>
      </c>
      <c r="Z54" s="210">
        <v>546.0</v>
      </c>
      <c r="AA54" s="210">
        <v>799.0</v>
      </c>
      <c r="AB54" s="210">
        <v>52.7901</v>
      </c>
      <c r="AC54" s="210">
        <v>0.8095</v>
      </c>
      <c r="AD54" s="210">
        <v>29.86</v>
      </c>
      <c r="AE54" s="210">
        <v>13.0</v>
      </c>
      <c r="AF54" s="210">
        <v>26.0</v>
      </c>
      <c r="AG54" s="210">
        <v>43.0</v>
      </c>
      <c r="AH54" s="210">
        <v>58.0</v>
      </c>
      <c r="AI54" s="210">
        <v>47.33</v>
      </c>
      <c r="AJ54" s="210">
        <v>9.38</v>
      </c>
      <c r="AK54" s="210">
        <v>0.72</v>
      </c>
      <c r="AL54" s="210">
        <v>0.2828</v>
      </c>
      <c r="AQ54" s="135">
        <v>17.7446</v>
      </c>
      <c r="AR54" s="135">
        <v>0.417</v>
      </c>
      <c r="AS54" s="135">
        <v>17.3276</v>
      </c>
      <c r="AT54" s="135">
        <v>12.3478</v>
      </c>
      <c r="AU54" s="135">
        <v>0.1937</v>
      </c>
      <c r="AV54" s="135">
        <v>693.0</v>
      </c>
      <c r="AW54" s="135">
        <v>0.0</v>
      </c>
      <c r="AX54" s="135">
        <v>199.52</v>
      </c>
      <c r="AY54" s="135">
        <v>102.05</v>
      </c>
      <c r="AZ54" s="135">
        <v>2.11</v>
      </c>
      <c r="BA54" s="135">
        <v>12.34</v>
      </c>
      <c r="BB54" s="135">
        <v>4.65</v>
      </c>
      <c r="BC54" s="135">
        <v>92.0</v>
      </c>
      <c r="BD54" s="135">
        <v>1680.0</v>
      </c>
      <c r="BE54" s="135">
        <v>11.3261</v>
      </c>
      <c r="BF54" s="135">
        <v>0.2987</v>
      </c>
      <c r="BG54" s="135">
        <v>11.0274</v>
      </c>
      <c r="BH54" s="135">
        <v>6.3247</v>
      </c>
      <c r="BI54" s="135">
        <v>0.0992</v>
      </c>
      <c r="BJ54" s="135">
        <v>6.4185</v>
      </c>
      <c r="BK54" s="135">
        <v>0.1183</v>
      </c>
      <c r="BL54" s="135">
        <v>6.3001</v>
      </c>
      <c r="BM54" s="135">
        <v>6.0231</v>
      </c>
      <c r="BN54" s="135">
        <v>0.0945</v>
      </c>
      <c r="BO54" s="135">
        <v>4.1948</v>
      </c>
      <c r="BP54" s="135">
        <v>0.0794</v>
      </c>
      <c r="BQ54" s="135">
        <v>4.1154</v>
      </c>
      <c r="BR54" s="135">
        <v>2.2886</v>
      </c>
      <c r="BS54" s="135">
        <v>4.6955</v>
      </c>
      <c r="BT54" s="135">
        <v>0.075</v>
      </c>
      <c r="BU54" s="135">
        <v>4.6205</v>
      </c>
      <c r="BV54" s="135">
        <v>2.4358</v>
      </c>
      <c r="BW54" s="135">
        <v>2.4358</v>
      </c>
      <c r="BX54" s="135">
        <v>0.1443</v>
      </c>
      <c r="BY54" s="135">
        <v>2.2915</v>
      </c>
      <c r="BZ54" s="135">
        <v>1.6003</v>
      </c>
      <c r="CA54" s="135">
        <v>1.1717</v>
      </c>
      <c r="CB54" s="135">
        <v>0.0245</v>
      </c>
      <c r="CC54" s="135">
        <v>1.1472</v>
      </c>
      <c r="CD54" s="135">
        <v>1.4791</v>
      </c>
      <c r="CE54" s="135">
        <v>2.3593</v>
      </c>
      <c r="CF54" s="135">
        <v>0.0447</v>
      </c>
      <c r="CG54" s="135">
        <v>2.3146</v>
      </c>
      <c r="CH54" s="135">
        <v>2.0433</v>
      </c>
      <c r="CI54" s="135">
        <v>2.8874</v>
      </c>
      <c r="CJ54" s="135">
        <v>0.0491</v>
      </c>
      <c r="CK54" s="135">
        <v>2.8384</v>
      </c>
      <c r="CL54" s="135">
        <v>2.5007</v>
      </c>
      <c r="CM54" s="135">
        <v>489.01</v>
      </c>
      <c r="CN54" s="135">
        <v>98.27</v>
      </c>
      <c r="CO54" s="135">
        <v>497.63</v>
      </c>
      <c r="CP54" s="135">
        <v>451.57</v>
      </c>
      <c r="CQ54" s="135">
        <v>0.0</v>
      </c>
      <c r="CR54" s="135">
        <v>14.43</v>
      </c>
      <c r="CS54" s="135">
        <v>23.01</v>
      </c>
      <c r="CT54" s="135">
        <v>0.0</v>
      </c>
      <c r="CU54" s="135">
        <v>0.0</v>
      </c>
      <c r="CV54" s="135">
        <v>0.0</v>
      </c>
      <c r="CW54" s="135">
        <v>320.67</v>
      </c>
      <c r="CX54" s="135">
        <v>0.0</v>
      </c>
      <c r="CY54" s="135">
        <v>0.0</v>
      </c>
      <c r="CZ54" s="135">
        <v>230.92</v>
      </c>
      <c r="DA54" s="135">
        <v>0.8</v>
      </c>
      <c r="DB54" s="135">
        <v>230.12</v>
      </c>
      <c r="DC54" s="135">
        <v>216.78</v>
      </c>
      <c r="DD54" s="135">
        <v>0.54</v>
      </c>
      <c r="DE54" s="135">
        <v>216.24</v>
      </c>
      <c r="DF54" s="135">
        <v>7.96</v>
      </c>
      <c r="DG54" s="135">
        <v>0.09</v>
      </c>
      <c r="DH54" s="135">
        <v>7.87</v>
      </c>
      <c r="DI54" s="135">
        <v>5.41</v>
      </c>
      <c r="DJ54" s="135">
        <v>0.09</v>
      </c>
      <c r="DK54" s="135">
        <v>5.32</v>
      </c>
      <c r="DL54" s="135">
        <v>0.76</v>
      </c>
      <c r="DM54" s="135">
        <v>0.09</v>
      </c>
      <c r="DN54" s="135">
        <v>0.68</v>
      </c>
    </row>
    <row r="55">
      <c r="A55" s="209">
        <v>46259.0</v>
      </c>
      <c r="B55" s="210" t="s">
        <v>4</v>
      </c>
      <c r="C55" s="210" t="s">
        <v>146</v>
      </c>
      <c r="D55" s="210">
        <v>198.0</v>
      </c>
      <c r="E55" s="210">
        <v>4.3</v>
      </c>
      <c r="F55" s="210">
        <v>77.91</v>
      </c>
      <c r="G55" s="210">
        <v>0.3935</v>
      </c>
      <c r="H55" s="210">
        <v>8.59</v>
      </c>
      <c r="I55" s="210">
        <v>4.5829</v>
      </c>
      <c r="J55" s="210">
        <v>242.21</v>
      </c>
      <c r="K55" s="210">
        <v>172.91</v>
      </c>
      <c r="L55" s="210">
        <v>134.9</v>
      </c>
      <c r="M55" s="210">
        <v>0.7802</v>
      </c>
      <c r="N55" s="210">
        <v>0.2596</v>
      </c>
      <c r="O55" s="210">
        <v>0.1398</v>
      </c>
      <c r="P55" s="210">
        <v>1.2818</v>
      </c>
      <c r="Q55" s="210">
        <v>737.71</v>
      </c>
      <c r="R55" s="210">
        <v>558.7</v>
      </c>
      <c r="S55" s="210">
        <v>179.02</v>
      </c>
      <c r="T55" s="210">
        <v>43.94</v>
      </c>
      <c r="U55" s="210">
        <v>693.77</v>
      </c>
      <c r="V55" s="210">
        <v>668.69</v>
      </c>
      <c r="W55" s="210">
        <v>3.8673</v>
      </c>
      <c r="X55" s="210">
        <v>5.96</v>
      </c>
      <c r="Y55" s="210">
        <v>565.0</v>
      </c>
      <c r="Z55" s="210">
        <v>916.0</v>
      </c>
      <c r="AA55" s="210">
        <v>1264.0</v>
      </c>
      <c r="AB55" s="210">
        <v>54.459</v>
      </c>
      <c r="AC55" s="210">
        <v>0.7736</v>
      </c>
      <c r="AD55" s="210">
        <v>61.49</v>
      </c>
      <c r="AE55" s="210">
        <v>27.0</v>
      </c>
      <c r="AF55" s="210">
        <v>44.0</v>
      </c>
      <c r="AG55" s="210">
        <v>77.0</v>
      </c>
      <c r="AH55" s="210">
        <v>138.0</v>
      </c>
      <c r="AI55" s="210">
        <v>24.24</v>
      </c>
      <c r="AJ55" s="210">
        <v>5.05</v>
      </c>
      <c r="AK55" s="210">
        <v>0.51</v>
      </c>
      <c r="AL55" s="210">
        <v>0.1515</v>
      </c>
      <c r="AQ55" s="135">
        <v>41.5909</v>
      </c>
      <c r="AR55" s="135">
        <v>0.5253</v>
      </c>
      <c r="AS55" s="135">
        <v>41.0657</v>
      </c>
      <c r="AT55" s="135">
        <v>29.8131</v>
      </c>
      <c r="AU55" s="135">
        <v>0.1724</v>
      </c>
      <c r="AV55" s="135">
        <v>198.0</v>
      </c>
      <c r="AW55" s="135">
        <v>0.0</v>
      </c>
      <c r="AX55" s="135">
        <v>461.87</v>
      </c>
      <c r="AY55" s="135">
        <v>210.68</v>
      </c>
      <c r="AZ55" s="135">
        <v>6.24</v>
      </c>
      <c r="BA55" s="135">
        <v>43.94</v>
      </c>
      <c r="BB55" s="135">
        <v>14.98</v>
      </c>
      <c r="BC55" s="135">
        <v>244.0</v>
      </c>
      <c r="BD55" s="135">
        <v>2021.0</v>
      </c>
      <c r="BE55" s="135">
        <v>25.0657</v>
      </c>
      <c r="BF55" s="135">
        <v>0.1515</v>
      </c>
      <c r="BG55" s="135">
        <v>24.9141</v>
      </c>
      <c r="BH55" s="135">
        <v>14.9495</v>
      </c>
      <c r="BI55" s="135">
        <v>0.0865</v>
      </c>
      <c r="BJ55" s="135">
        <v>16.5253</v>
      </c>
      <c r="BK55" s="135">
        <v>0.3737</v>
      </c>
      <c r="BL55" s="135">
        <v>16.1515</v>
      </c>
      <c r="BM55" s="135">
        <v>14.8636</v>
      </c>
      <c r="BN55" s="135">
        <v>0.086</v>
      </c>
      <c r="BO55" s="135">
        <v>9.0859</v>
      </c>
      <c r="BP55" s="135">
        <v>0.0505</v>
      </c>
      <c r="BQ55" s="135">
        <v>9.0354</v>
      </c>
      <c r="BR55" s="135">
        <v>5.3485</v>
      </c>
      <c r="BS55" s="135">
        <v>10.404</v>
      </c>
      <c r="BT55" s="135">
        <v>0.0505</v>
      </c>
      <c r="BU55" s="135">
        <v>10.3535</v>
      </c>
      <c r="BV55" s="135">
        <v>5.9091</v>
      </c>
      <c r="BW55" s="135">
        <v>5.5758</v>
      </c>
      <c r="BX55" s="135">
        <v>0.0505</v>
      </c>
      <c r="BY55" s="135">
        <v>5.5253</v>
      </c>
      <c r="BZ55" s="135">
        <v>3.6919</v>
      </c>
      <c r="CA55" s="135">
        <v>3.6566</v>
      </c>
      <c r="CB55" s="135">
        <v>0.0758</v>
      </c>
      <c r="CC55" s="135">
        <v>3.5808</v>
      </c>
      <c r="CD55" s="135">
        <v>3.8182</v>
      </c>
      <c r="CE55" s="135">
        <v>5.8687</v>
      </c>
      <c r="CF55" s="135">
        <v>0.1414</v>
      </c>
      <c r="CG55" s="135">
        <v>5.7273</v>
      </c>
      <c r="CH55" s="135">
        <v>5.1566</v>
      </c>
      <c r="CI55" s="135">
        <v>7.0</v>
      </c>
      <c r="CJ55" s="135">
        <v>0.1566</v>
      </c>
      <c r="CK55" s="135">
        <v>6.8434</v>
      </c>
      <c r="CL55" s="135">
        <v>5.8889</v>
      </c>
      <c r="CM55" s="135">
        <v>1460.61</v>
      </c>
      <c r="CN55" s="135">
        <v>100.0</v>
      </c>
      <c r="CO55" s="135">
        <v>1460.61</v>
      </c>
      <c r="CP55" s="135">
        <v>1406.74</v>
      </c>
      <c r="CQ55" s="135">
        <v>0.0</v>
      </c>
      <c r="CR55" s="135">
        <v>19.09</v>
      </c>
      <c r="CS55" s="135">
        <v>34.77</v>
      </c>
      <c r="CT55" s="135">
        <v>0.0</v>
      </c>
      <c r="CU55" s="135">
        <v>0.0</v>
      </c>
      <c r="CV55" s="135">
        <v>0.0</v>
      </c>
      <c r="CW55" s="135">
        <v>737.71</v>
      </c>
      <c r="CX55" s="135">
        <v>0.0</v>
      </c>
      <c r="CY55" s="135">
        <v>0.0</v>
      </c>
      <c r="CZ55" s="135">
        <v>618.76</v>
      </c>
      <c r="DA55" s="135">
        <v>2.75</v>
      </c>
      <c r="DB55" s="135">
        <v>616.01</v>
      </c>
      <c r="DC55" s="135">
        <v>584.82</v>
      </c>
      <c r="DD55" s="135">
        <v>1.54</v>
      </c>
      <c r="DE55" s="135">
        <v>583.28</v>
      </c>
      <c r="DF55" s="135">
        <v>17.2</v>
      </c>
      <c r="DG55" s="135">
        <v>0.4</v>
      </c>
      <c r="DH55" s="135">
        <v>16.79</v>
      </c>
      <c r="DI55" s="135">
        <v>12.37</v>
      </c>
      <c r="DJ55" s="135">
        <v>0.4</v>
      </c>
      <c r="DK55" s="135">
        <v>11.97</v>
      </c>
      <c r="DL55" s="135">
        <v>4.37</v>
      </c>
      <c r="DM55" s="135">
        <v>0.4</v>
      </c>
      <c r="DN55" s="135">
        <v>3.96</v>
      </c>
    </row>
    <row r="56">
      <c r="A56" s="209">
        <v>46259.0</v>
      </c>
      <c r="B56" s="210" t="s">
        <v>5</v>
      </c>
      <c r="C56" s="210" t="s">
        <v>398</v>
      </c>
      <c r="D56" s="210">
        <v>875.0</v>
      </c>
      <c r="E56" s="210">
        <v>18.21</v>
      </c>
      <c r="F56" s="210">
        <v>0.0</v>
      </c>
      <c r="G56" s="210">
        <v>0.0</v>
      </c>
      <c r="H56" s="210">
        <v>0.0</v>
      </c>
      <c r="I56" s="210"/>
      <c r="J56" s="210">
        <v>1.67</v>
      </c>
      <c r="K56" s="210">
        <v>0.24</v>
      </c>
      <c r="L56" s="210">
        <v>0.0</v>
      </c>
      <c r="M56" s="210">
        <v>0.0</v>
      </c>
      <c r="N56" s="210">
        <v>1.0</v>
      </c>
      <c r="O56" s="210">
        <v>1.0</v>
      </c>
      <c r="P56" s="210"/>
      <c r="Q56" s="210">
        <v>1.4</v>
      </c>
      <c r="R56" s="210">
        <v>1.39</v>
      </c>
      <c r="S56" s="210">
        <v>0.01</v>
      </c>
      <c r="T56" s="210">
        <v>0.0</v>
      </c>
      <c r="U56" s="210">
        <v>1.4</v>
      </c>
      <c r="V56" s="210">
        <v>1.03</v>
      </c>
      <c r="W56" s="210">
        <v>4.3478</v>
      </c>
      <c r="X56" s="210">
        <v>0.0</v>
      </c>
      <c r="Y56" s="210">
        <v>200.0</v>
      </c>
      <c r="Z56" s="210">
        <v>200.0</v>
      </c>
      <c r="AA56" s="210">
        <v>200.0</v>
      </c>
      <c r="AB56" s="210">
        <v>49.5292</v>
      </c>
      <c r="AC56" s="210">
        <v>0.7079</v>
      </c>
      <c r="AD56" s="211"/>
      <c r="AE56" s="211"/>
      <c r="AF56" s="211"/>
      <c r="AG56" s="211"/>
      <c r="AH56" s="211"/>
      <c r="AI56" s="210">
        <v>0.0</v>
      </c>
      <c r="AJ56" s="210">
        <v>0.0</v>
      </c>
      <c r="AK56" s="210">
        <v>0.0</v>
      </c>
      <c r="AL56" s="210">
        <v>0.8789</v>
      </c>
      <c r="AM56" s="135">
        <v>0.0</v>
      </c>
      <c r="AN56" s="135">
        <v>0.0</v>
      </c>
      <c r="AO56" s="135">
        <v>0.0</v>
      </c>
      <c r="AP56" s="135">
        <v>0.0</v>
      </c>
      <c r="AQ56" s="135">
        <v>0.1383</v>
      </c>
      <c r="AR56" s="135">
        <v>0.0137</v>
      </c>
      <c r="AS56" s="135">
        <v>0.1246</v>
      </c>
      <c r="AT56" s="135">
        <v>0.0606</v>
      </c>
      <c r="AU56" s="135">
        <v>0.256</v>
      </c>
      <c r="AV56" s="135">
        <v>875.0</v>
      </c>
      <c r="AW56" s="135">
        <v>0.0</v>
      </c>
      <c r="AX56" s="135">
        <v>1.17</v>
      </c>
      <c r="AY56" s="135">
        <v>0.22</v>
      </c>
      <c r="AZ56" s="135">
        <v>0.01</v>
      </c>
      <c r="BA56" s="135">
        <v>0.0</v>
      </c>
      <c r="BB56" s="135">
        <v>0.0</v>
      </c>
      <c r="BD56" s="135">
        <v>438.0</v>
      </c>
      <c r="BE56" s="135">
        <v>0.0903</v>
      </c>
      <c r="BF56" s="135">
        <v>0.0137</v>
      </c>
      <c r="BG56" s="135">
        <v>0.0766</v>
      </c>
      <c r="BH56" s="135">
        <v>0.0309</v>
      </c>
      <c r="BI56" s="135">
        <v>0.1304</v>
      </c>
      <c r="BJ56" s="135">
        <v>0.048</v>
      </c>
      <c r="BK56" s="135">
        <v>0.0</v>
      </c>
      <c r="BL56" s="135">
        <v>0.048</v>
      </c>
      <c r="BM56" s="135">
        <v>0.0297</v>
      </c>
      <c r="BN56" s="135">
        <v>0.1256</v>
      </c>
      <c r="BO56" s="135">
        <v>0.0114</v>
      </c>
      <c r="BP56" s="135">
        <v>0.0034</v>
      </c>
      <c r="BQ56" s="135">
        <v>0.008</v>
      </c>
      <c r="BR56" s="135">
        <v>0.0126</v>
      </c>
      <c r="BS56" s="135">
        <v>0.0503</v>
      </c>
      <c r="BT56" s="135">
        <v>0.0069</v>
      </c>
      <c r="BU56" s="135">
        <v>0.0434</v>
      </c>
      <c r="BV56" s="135">
        <v>0.0137</v>
      </c>
      <c r="BW56" s="135">
        <v>0.0286</v>
      </c>
      <c r="BX56" s="135">
        <v>0.0034</v>
      </c>
      <c r="BY56" s="135">
        <v>0.0251</v>
      </c>
      <c r="BZ56" s="135">
        <v>0.0046</v>
      </c>
      <c r="CA56" s="135">
        <v>0.0034</v>
      </c>
      <c r="CB56" s="135">
        <v>0.0</v>
      </c>
      <c r="CC56" s="135">
        <v>0.0034</v>
      </c>
      <c r="CD56" s="135">
        <v>0.0069</v>
      </c>
      <c r="CE56" s="135">
        <v>0.0331</v>
      </c>
      <c r="CF56" s="135">
        <v>0.0</v>
      </c>
      <c r="CG56" s="135">
        <v>0.0331</v>
      </c>
      <c r="CH56" s="135">
        <v>0.0149</v>
      </c>
      <c r="CI56" s="135">
        <v>0.0114</v>
      </c>
      <c r="CJ56" s="135">
        <v>0.0</v>
      </c>
      <c r="CK56" s="135">
        <v>0.0114</v>
      </c>
      <c r="CL56" s="135">
        <v>0.008</v>
      </c>
      <c r="CM56" s="135">
        <v>0.19</v>
      </c>
      <c r="CN56" s="135">
        <v>0.46</v>
      </c>
      <c r="CO56" s="135">
        <v>42.5</v>
      </c>
      <c r="CP56" s="135">
        <v>0.0</v>
      </c>
      <c r="CQ56" s="135">
        <v>0.0</v>
      </c>
      <c r="CR56" s="135">
        <v>0.05</v>
      </c>
      <c r="CS56" s="135">
        <v>0.15</v>
      </c>
      <c r="CT56" s="135">
        <v>0.0</v>
      </c>
      <c r="CU56" s="135">
        <v>8.0</v>
      </c>
      <c r="CV56" s="135">
        <v>0.01</v>
      </c>
      <c r="CW56" s="135">
        <v>1.41</v>
      </c>
      <c r="CX56" s="135">
        <v>0.0</v>
      </c>
      <c r="CY56" s="135">
        <v>0.0</v>
      </c>
      <c r="CZ56" s="135">
        <v>2.52</v>
      </c>
      <c r="DA56" s="135">
        <v>0.0</v>
      </c>
      <c r="DB56" s="135">
        <v>2.52</v>
      </c>
      <c r="DC56" s="135">
        <v>2.4</v>
      </c>
      <c r="DD56" s="135">
        <v>0.0</v>
      </c>
      <c r="DE56" s="135">
        <v>2.4</v>
      </c>
      <c r="DF56" s="135">
        <v>0.11</v>
      </c>
      <c r="DG56" s="135">
        <v>0.0</v>
      </c>
      <c r="DH56" s="135">
        <v>0.11</v>
      </c>
      <c r="DI56" s="135">
        <v>0.01</v>
      </c>
      <c r="DJ56" s="135">
        <v>0.0</v>
      </c>
      <c r="DK56" s="135">
        <v>0.01</v>
      </c>
      <c r="DL56" s="135">
        <v>0.0</v>
      </c>
      <c r="DM56" s="135">
        <v>0.0</v>
      </c>
      <c r="DN56" s="135">
        <v>0.0</v>
      </c>
    </row>
    <row r="57">
      <c r="A57" s="209">
        <v>46259.0</v>
      </c>
      <c r="B57" s="210" t="s">
        <v>5</v>
      </c>
      <c r="C57" s="210" t="s">
        <v>142</v>
      </c>
      <c r="D57" s="210">
        <v>1453.0</v>
      </c>
      <c r="E57" s="210">
        <v>30.24</v>
      </c>
      <c r="F57" s="210">
        <v>0.0</v>
      </c>
      <c r="G57" s="210">
        <v>0.0</v>
      </c>
      <c r="H57" s="210">
        <v>0.0</v>
      </c>
      <c r="I57" s="210"/>
      <c r="J57" s="210">
        <v>5.15</v>
      </c>
      <c r="K57" s="210">
        <v>4.26</v>
      </c>
      <c r="L57" s="210">
        <v>3.97</v>
      </c>
      <c r="M57" s="210">
        <v>0.931</v>
      </c>
      <c r="N57" s="210">
        <v>0.0772</v>
      </c>
      <c r="O57" s="210">
        <v>0.055</v>
      </c>
      <c r="P57" s="210">
        <v>1.0741</v>
      </c>
      <c r="Q57" s="210">
        <v>7.48</v>
      </c>
      <c r="R57" s="210">
        <v>6.7</v>
      </c>
      <c r="S57" s="210">
        <v>0.78</v>
      </c>
      <c r="T57" s="210">
        <v>0.0</v>
      </c>
      <c r="U57" s="210">
        <v>7.48</v>
      </c>
      <c r="V57" s="210">
        <v>7.5</v>
      </c>
      <c r="W57" s="210">
        <v>1.7606</v>
      </c>
      <c r="X57" s="210">
        <v>0.0</v>
      </c>
      <c r="Y57" s="210">
        <v>200.0</v>
      </c>
      <c r="Z57" s="210">
        <v>212.0</v>
      </c>
      <c r="AA57" s="210">
        <v>240.0</v>
      </c>
      <c r="AB57" s="210">
        <v>49.9501</v>
      </c>
      <c r="AC57" s="210">
        <v>0.8336</v>
      </c>
      <c r="AD57" s="210">
        <v>3.79</v>
      </c>
      <c r="AE57" s="210">
        <v>2.0</v>
      </c>
      <c r="AF57" s="210">
        <v>3.0</v>
      </c>
      <c r="AG57" s="210">
        <v>5.0</v>
      </c>
      <c r="AH57" s="210">
        <v>8.0</v>
      </c>
      <c r="AI57" s="210">
        <v>77.49</v>
      </c>
      <c r="AJ57" s="210">
        <v>37.03</v>
      </c>
      <c r="AK57" s="210">
        <v>1.51</v>
      </c>
      <c r="AL57" s="210">
        <v>0.8424</v>
      </c>
      <c r="AM57" s="135">
        <v>0.0</v>
      </c>
      <c r="AN57" s="135">
        <v>0.0</v>
      </c>
      <c r="AO57" s="135">
        <v>0.0</v>
      </c>
      <c r="AP57" s="135">
        <v>0.0</v>
      </c>
      <c r="AQ57" s="135">
        <v>0.5423</v>
      </c>
      <c r="AR57" s="135">
        <v>0.0434</v>
      </c>
      <c r="AS57" s="135">
        <v>0.499</v>
      </c>
      <c r="AT57" s="135">
        <v>0.4962</v>
      </c>
      <c r="AU57" s="135">
        <v>0.1165</v>
      </c>
      <c r="AV57" s="135">
        <v>1453.0</v>
      </c>
      <c r="AW57" s="135">
        <v>0.0</v>
      </c>
      <c r="AX57" s="135">
        <v>7.33</v>
      </c>
      <c r="AY57" s="135">
        <v>0.1</v>
      </c>
      <c r="AZ57" s="135">
        <v>0.04</v>
      </c>
      <c r="BA57" s="135">
        <v>0.0</v>
      </c>
      <c r="BB57" s="135">
        <v>0.0</v>
      </c>
      <c r="BC57" s="135">
        <v>11.0</v>
      </c>
      <c r="BD57" s="135">
        <v>295.0</v>
      </c>
      <c r="BE57" s="135">
        <v>0.5038</v>
      </c>
      <c r="BF57" s="135">
        <v>0.0434</v>
      </c>
      <c r="BG57" s="135">
        <v>0.4604</v>
      </c>
      <c r="BH57" s="135">
        <v>0.4756</v>
      </c>
      <c r="BI57" s="135">
        <v>0.1116</v>
      </c>
      <c r="BJ57" s="135">
        <v>0.0385</v>
      </c>
      <c r="BK57" s="135">
        <v>0.0</v>
      </c>
      <c r="BL57" s="135">
        <v>0.0385</v>
      </c>
      <c r="BM57" s="135">
        <v>0.0206</v>
      </c>
      <c r="BN57" s="135">
        <v>0.0048</v>
      </c>
      <c r="BO57" s="135">
        <v>0.0613</v>
      </c>
      <c r="BP57" s="135">
        <v>0.0206</v>
      </c>
      <c r="BQ57" s="135">
        <v>0.0406</v>
      </c>
      <c r="BR57" s="135">
        <v>0.2292</v>
      </c>
      <c r="BS57" s="135">
        <v>0.3235</v>
      </c>
      <c r="BT57" s="135">
        <v>0.0103</v>
      </c>
      <c r="BU57" s="135">
        <v>0.3131</v>
      </c>
      <c r="BV57" s="135">
        <v>0.1259</v>
      </c>
      <c r="BW57" s="135">
        <v>0.1191</v>
      </c>
      <c r="BX57" s="135">
        <v>0.0124</v>
      </c>
      <c r="BY57" s="135">
        <v>0.1067</v>
      </c>
      <c r="BZ57" s="135">
        <v>0.1204</v>
      </c>
      <c r="CA57" s="135">
        <v>7.0E-4</v>
      </c>
      <c r="CB57" s="135">
        <v>0.0</v>
      </c>
      <c r="CC57" s="135">
        <v>7.0E-4</v>
      </c>
      <c r="CD57" s="135">
        <v>0.0048</v>
      </c>
      <c r="CE57" s="135">
        <v>0.033</v>
      </c>
      <c r="CF57" s="135">
        <v>0.0</v>
      </c>
      <c r="CG57" s="135">
        <v>0.033</v>
      </c>
      <c r="CH57" s="135">
        <v>0.0089</v>
      </c>
      <c r="CI57" s="135">
        <v>0.0048</v>
      </c>
      <c r="CJ57" s="135">
        <v>0.0</v>
      </c>
      <c r="CK57" s="135">
        <v>0.0048</v>
      </c>
      <c r="CL57" s="135">
        <v>0.0069</v>
      </c>
      <c r="CM57" s="135">
        <v>0.93</v>
      </c>
      <c r="CN57" s="135">
        <v>1.79</v>
      </c>
      <c r="CO57" s="135">
        <v>51.85</v>
      </c>
      <c r="CP57" s="135">
        <v>0.85</v>
      </c>
      <c r="CQ57" s="135">
        <v>0.02</v>
      </c>
      <c r="CR57" s="135">
        <v>0.06</v>
      </c>
      <c r="CS57" s="135">
        <v>0.0</v>
      </c>
      <c r="CT57" s="135">
        <v>0.0</v>
      </c>
      <c r="CU57" s="135">
        <v>5.0</v>
      </c>
      <c r="CV57" s="135">
        <v>0.0</v>
      </c>
      <c r="CW57" s="135">
        <v>7.48</v>
      </c>
      <c r="CX57" s="135">
        <v>0.0</v>
      </c>
      <c r="CY57" s="135">
        <v>0.02</v>
      </c>
      <c r="CZ57" s="135">
        <v>4.26</v>
      </c>
      <c r="DA57" s="135">
        <v>0.0</v>
      </c>
      <c r="DB57" s="135">
        <v>4.26</v>
      </c>
      <c r="DC57" s="135">
        <v>4.26</v>
      </c>
      <c r="DD57" s="135">
        <v>0.0</v>
      </c>
      <c r="DE57" s="135">
        <v>4.26</v>
      </c>
      <c r="DF57" s="135">
        <v>0.0</v>
      </c>
      <c r="DG57" s="135">
        <v>0.0</v>
      </c>
      <c r="DH57" s="135">
        <v>0.0</v>
      </c>
      <c r="DI57" s="135">
        <v>0.0</v>
      </c>
      <c r="DJ57" s="135">
        <v>0.0</v>
      </c>
      <c r="DK57" s="135">
        <v>0.0</v>
      </c>
      <c r="DL57" s="135">
        <v>0.0</v>
      </c>
      <c r="DM57" s="135">
        <v>0.0</v>
      </c>
      <c r="DN57" s="135">
        <v>0.0</v>
      </c>
    </row>
    <row r="58">
      <c r="A58" s="209">
        <v>46259.0</v>
      </c>
      <c r="B58" s="210" t="s">
        <v>5</v>
      </c>
      <c r="C58" s="210" t="s">
        <v>143</v>
      </c>
      <c r="D58" s="210">
        <v>838.0</v>
      </c>
      <c r="E58" s="210">
        <v>17.44</v>
      </c>
      <c r="F58" s="210">
        <v>1.16</v>
      </c>
      <c r="G58" s="210">
        <v>0.0014</v>
      </c>
      <c r="H58" s="210">
        <v>0.12</v>
      </c>
      <c r="I58" s="210">
        <v>1.16</v>
      </c>
      <c r="J58" s="210">
        <v>16.26</v>
      </c>
      <c r="K58" s="210">
        <v>13.59</v>
      </c>
      <c r="L58" s="210">
        <v>11.94</v>
      </c>
      <c r="M58" s="210">
        <v>0.8788</v>
      </c>
      <c r="N58" s="210">
        <v>0.1393</v>
      </c>
      <c r="O58" s="210">
        <v>0.0833</v>
      </c>
      <c r="P58" s="210">
        <v>1.1379</v>
      </c>
      <c r="Q58" s="210">
        <v>44.95</v>
      </c>
      <c r="R58" s="210">
        <v>36.86</v>
      </c>
      <c r="S58" s="210">
        <v>8.08</v>
      </c>
      <c r="T58" s="210">
        <v>0.24</v>
      </c>
      <c r="U58" s="210">
        <v>44.71</v>
      </c>
      <c r="V58" s="210">
        <v>35.56</v>
      </c>
      <c r="W58" s="210">
        <v>2.6166</v>
      </c>
      <c r="X58" s="210">
        <v>0.53</v>
      </c>
      <c r="Y58" s="210">
        <v>240.0</v>
      </c>
      <c r="Z58" s="210">
        <v>280.0</v>
      </c>
      <c r="AA58" s="210">
        <v>344.0</v>
      </c>
      <c r="AB58" s="210">
        <v>49.8799</v>
      </c>
      <c r="AC58" s="210">
        <v>0.8968</v>
      </c>
      <c r="AD58" s="210">
        <v>10.52</v>
      </c>
      <c r="AE58" s="210">
        <v>7.0</v>
      </c>
      <c r="AF58" s="210">
        <v>11.0</v>
      </c>
      <c r="AG58" s="210">
        <v>14.0</v>
      </c>
      <c r="AH58" s="210">
        <v>17.0</v>
      </c>
      <c r="AI58" s="210">
        <v>80.07</v>
      </c>
      <c r="AJ58" s="210">
        <v>32.7</v>
      </c>
      <c r="AK58" s="210">
        <v>0.84</v>
      </c>
      <c r="AL58" s="210">
        <v>0.6504</v>
      </c>
      <c r="AM58" s="135">
        <v>0.24</v>
      </c>
      <c r="AN58" s="135">
        <v>0.24</v>
      </c>
      <c r="AO58" s="135">
        <v>0.12</v>
      </c>
      <c r="AP58" s="135">
        <v>0.0</v>
      </c>
      <c r="AQ58" s="135">
        <v>2.9224</v>
      </c>
      <c r="AR58" s="135">
        <v>0.1897</v>
      </c>
      <c r="AS58" s="135">
        <v>2.7327</v>
      </c>
      <c r="AT58" s="135">
        <v>2.457</v>
      </c>
      <c r="AU58" s="135">
        <v>0.1808</v>
      </c>
      <c r="AV58" s="135">
        <v>838.0</v>
      </c>
      <c r="AW58" s="135">
        <v>0.0</v>
      </c>
      <c r="AX58" s="135">
        <v>40.92</v>
      </c>
      <c r="AY58" s="135">
        <v>3.27</v>
      </c>
      <c r="AZ58" s="135">
        <v>0.23</v>
      </c>
      <c r="BA58" s="135">
        <v>0.24</v>
      </c>
      <c r="BB58" s="135">
        <v>0.28</v>
      </c>
      <c r="BC58" s="135">
        <v>25.0</v>
      </c>
      <c r="BD58" s="135">
        <v>510.0</v>
      </c>
      <c r="BE58" s="135">
        <v>2.4475</v>
      </c>
      <c r="BF58" s="135">
        <v>0.1683</v>
      </c>
      <c r="BG58" s="135">
        <v>2.2792</v>
      </c>
      <c r="BH58" s="135">
        <v>1.9189</v>
      </c>
      <c r="BI58" s="135">
        <v>0.1412</v>
      </c>
      <c r="BJ58" s="135">
        <v>0.4749</v>
      </c>
      <c r="BK58" s="135">
        <v>0.0215</v>
      </c>
      <c r="BL58" s="135">
        <v>0.4535</v>
      </c>
      <c r="BM58" s="135">
        <v>0.5382</v>
      </c>
      <c r="BN58" s="135">
        <v>0.0396</v>
      </c>
      <c r="BO58" s="135">
        <v>0.7661</v>
      </c>
      <c r="BP58" s="135">
        <v>0.0907</v>
      </c>
      <c r="BQ58" s="135">
        <v>0.6754</v>
      </c>
      <c r="BR58" s="135">
        <v>0.8532</v>
      </c>
      <c r="BS58" s="135">
        <v>1.0895</v>
      </c>
      <c r="BT58" s="135">
        <v>0.0263</v>
      </c>
      <c r="BU58" s="135">
        <v>1.0632</v>
      </c>
      <c r="BV58" s="135">
        <v>0.5692</v>
      </c>
      <c r="BW58" s="135">
        <v>0.5919</v>
      </c>
      <c r="BX58" s="135">
        <v>0.0513</v>
      </c>
      <c r="BY58" s="135">
        <v>0.5406</v>
      </c>
      <c r="BZ58" s="135">
        <v>0.4964</v>
      </c>
      <c r="CA58" s="135">
        <v>0.0382</v>
      </c>
      <c r="CB58" s="135">
        <v>0.0012</v>
      </c>
      <c r="CC58" s="135">
        <v>0.037</v>
      </c>
      <c r="CD58" s="135">
        <v>0.1611</v>
      </c>
      <c r="CE58" s="135">
        <v>0.2709</v>
      </c>
      <c r="CF58" s="135">
        <v>0.0012</v>
      </c>
      <c r="CG58" s="135">
        <v>0.2697</v>
      </c>
      <c r="CH58" s="135">
        <v>0.1587</v>
      </c>
      <c r="CI58" s="135">
        <v>0.1659</v>
      </c>
      <c r="CJ58" s="135">
        <v>0.0191</v>
      </c>
      <c r="CK58" s="135">
        <v>0.1468</v>
      </c>
      <c r="CL58" s="135">
        <v>0.2184</v>
      </c>
      <c r="CM58" s="135">
        <v>27.01</v>
      </c>
      <c r="CN58" s="135">
        <v>33.77</v>
      </c>
      <c r="CO58" s="135">
        <v>79.98</v>
      </c>
      <c r="CP58" s="135">
        <v>22.4</v>
      </c>
      <c r="CQ58" s="135">
        <v>2.05</v>
      </c>
      <c r="CR58" s="135">
        <v>2.34</v>
      </c>
      <c r="CS58" s="135">
        <v>0.23</v>
      </c>
      <c r="CT58" s="135">
        <v>0.0</v>
      </c>
      <c r="CU58" s="135">
        <v>45.0</v>
      </c>
      <c r="CV58" s="135">
        <v>0.3</v>
      </c>
      <c r="CW58" s="135">
        <v>45.25</v>
      </c>
      <c r="CX58" s="135">
        <v>0.38</v>
      </c>
      <c r="CY58" s="135">
        <v>2.42</v>
      </c>
      <c r="CZ58" s="135">
        <v>45.94</v>
      </c>
      <c r="DA58" s="135">
        <v>0.0</v>
      </c>
      <c r="DB58" s="135">
        <v>45.94</v>
      </c>
      <c r="DC58" s="135">
        <v>44.51</v>
      </c>
      <c r="DD58" s="135">
        <v>0.0</v>
      </c>
      <c r="DE58" s="135">
        <v>44.51</v>
      </c>
      <c r="DF58" s="135">
        <v>0.7</v>
      </c>
      <c r="DG58" s="135">
        <v>0.0</v>
      </c>
      <c r="DH58" s="135">
        <v>0.7</v>
      </c>
      <c r="DI58" s="135">
        <v>0.73</v>
      </c>
      <c r="DJ58" s="135">
        <v>0.0</v>
      </c>
      <c r="DK58" s="135">
        <v>0.73</v>
      </c>
      <c r="DL58" s="135">
        <v>0.0</v>
      </c>
      <c r="DM58" s="135">
        <v>0.0</v>
      </c>
      <c r="DN58" s="135">
        <v>0.0</v>
      </c>
    </row>
    <row r="59">
      <c r="A59" s="209">
        <v>46259.0</v>
      </c>
      <c r="B59" s="210" t="s">
        <v>5</v>
      </c>
      <c r="C59" s="210" t="s">
        <v>144</v>
      </c>
      <c r="D59" s="210">
        <v>803.0</v>
      </c>
      <c r="E59" s="210">
        <v>16.71</v>
      </c>
      <c r="F59" s="210">
        <v>5.82</v>
      </c>
      <c r="G59" s="210">
        <v>0.0072</v>
      </c>
      <c r="H59" s="210">
        <v>0.37</v>
      </c>
      <c r="I59" s="210">
        <v>1.94</v>
      </c>
      <c r="J59" s="210">
        <v>37.61</v>
      </c>
      <c r="K59" s="210">
        <v>27.39</v>
      </c>
      <c r="L59" s="210">
        <v>23.54</v>
      </c>
      <c r="M59" s="210">
        <v>0.8593</v>
      </c>
      <c r="N59" s="210">
        <v>0.1755</v>
      </c>
      <c r="O59" s="210">
        <v>0.1127</v>
      </c>
      <c r="P59" s="210">
        <v>1.1637</v>
      </c>
      <c r="Q59" s="210">
        <v>104.76</v>
      </c>
      <c r="R59" s="210">
        <v>88.65</v>
      </c>
      <c r="S59" s="210">
        <v>16.11</v>
      </c>
      <c r="T59" s="210">
        <v>0.87</v>
      </c>
      <c r="U59" s="210">
        <v>103.89</v>
      </c>
      <c r="V59" s="210">
        <v>110.4</v>
      </c>
      <c r="W59" s="210">
        <v>4.0303</v>
      </c>
      <c r="X59" s="210">
        <v>0.83</v>
      </c>
      <c r="Y59" s="210">
        <v>277.0</v>
      </c>
      <c r="Z59" s="210">
        <v>361.0</v>
      </c>
      <c r="AA59" s="210">
        <v>499.0</v>
      </c>
      <c r="AB59" s="210">
        <v>50.5896</v>
      </c>
      <c r="AC59" s="210">
        <v>0.8706</v>
      </c>
      <c r="AD59" s="210">
        <v>17.88</v>
      </c>
      <c r="AE59" s="210">
        <v>8.0</v>
      </c>
      <c r="AF59" s="210">
        <v>16.0</v>
      </c>
      <c r="AG59" s="210">
        <v>26.0</v>
      </c>
      <c r="AH59" s="210">
        <v>34.0</v>
      </c>
      <c r="AI59" s="210">
        <v>66.0</v>
      </c>
      <c r="AJ59" s="210">
        <v>25.78</v>
      </c>
      <c r="AK59" s="210">
        <v>2.86</v>
      </c>
      <c r="AL59" s="210">
        <v>0.4433</v>
      </c>
      <c r="AM59" s="135">
        <v>3.99</v>
      </c>
      <c r="AN59" s="135">
        <v>3.99</v>
      </c>
      <c r="AO59" s="135">
        <v>1.25</v>
      </c>
      <c r="AP59" s="135">
        <v>0.62</v>
      </c>
      <c r="AQ59" s="135">
        <v>7.8506</v>
      </c>
      <c r="AR59" s="135">
        <v>0.3512</v>
      </c>
      <c r="AS59" s="135">
        <v>7.4994</v>
      </c>
      <c r="AT59" s="135">
        <v>4.944</v>
      </c>
      <c r="AU59" s="135">
        <v>0.1805</v>
      </c>
      <c r="AV59" s="135">
        <v>803.0</v>
      </c>
      <c r="AW59" s="135">
        <v>0.0</v>
      </c>
      <c r="AX59" s="135">
        <v>81.75</v>
      </c>
      <c r="AY59" s="135">
        <v>19.04</v>
      </c>
      <c r="AZ59" s="135">
        <v>1.11</v>
      </c>
      <c r="BA59" s="135">
        <v>0.87</v>
      </c>
      <c r="BB59" s="135">
        <v>1.99</v>
      </c>
      <c r="BC59" s="135">
        <v>52.0</v>
      </c>
      <c r="BD59" s="135">
        <v>870.0</v>
      </c>
      <c r="BE59" s="135">
        <v>5.8879</v>
      </c>
      <c r="BF59" s="135">
        <v>0.3362</v>
      </c>
      <c r="BG59" s="135">
        <v>5.5517</v>
      </c>
      <c r="BH59" s="135">
        <v>2.8443</v>
      </c>
      <c r="BI59" s="135">
        <v>0.1038</v>
      </c>
      <c r="BJ59" s="135">
        <v>1.9626</v>
      </c>
      <c r="BK59" s="135">
        <v>0.0149</v>
      </c>
      <c r="BL59" s="135">
        <v>1.9477</v>
      </c>
      <c r="BM59" s="135">
        <v>2.0996</v>
      </c>
      <c r="BN59" s="135">
        <v>0.0767</v>
      </c>
      <c r="BO59" s="135">
        <v>2.1283</v>
      </c>
      <c r="BP59" s="135">
        <v>0.0909</v>
      </c>
      <c r="BQ59" s="135">
        <v>2.0374</v>
      </c>
      <c r="BR59" s="135">
        <v>1.1108</v>
      </c>
      <c r="BS59" s="135">
        <v>2.4521</v>
      </c>
      <c r="BT59" s="135">
        <v>0.1171</v>
      </c>
      <c r="BU59" s="135">
        <v>2.335</v>
      </c>
      <c r="BV59" s="135">
        <v>0.9963</v>
      </c>
      <c r="BW59" s="135">
        <v>1.3076</v>
      </c>
      <c r="BX59" s="135">
        <v>0.1283</v>
      </c>
      <c r="BY59" s="135">
        <v>1.1793</v>
      </c>
      <c r="BZ59" s="135">
        <v>0.7372</v>
      </c>
      <c r="CA59" s="135">
        <v>0.2702</v>
      </c>
      <c r="CB59" s="135">
        <v>0.0012</v>
      </c>
      <c r="CC59" s="135">
        <v>0.269</v>
      </c>
      <c r="CD59" s="135">
        <v>0.5318</v>
      </c>
      <c r="CE59" s="135">
        <v>0.7497</v>
      </c>
      <c r="CF59" s="135">
        <v>0.005</v>
      </c>
      <c r="CG59" s="135">
        <v>0.7447</v>
      </c>
      <c r="CH59" s="135">
        <v>0.6401</v>
      </c>
      <c r="CI59" s="135">
        <v>0.9427</v>
      </c>
      <c r="CJ59" s="135">
        <v>0.0087</v>
      </c>
      <c r="CK59" s="135">
        <v>0.934</v>
      </c>
      <c r="CL59" s="135">
        <v>0.9278</v>
      </c>
      <c r="CM59" s="135">
        <v>140.6</v>
      </c>
      <c r="CN59" s="135">
        <v>78.21</v>
      </c>
      <c r="CO59" s="135">
        <v>179.77</v>
      </c>
      <c r="CP59" s="135">
        <v>112.33</v>
      </c>
      <c r="CQ59" s="135">
        <v>20.0</v>
      </c>
      <c r="CR59" s="135">
        <v>5.98</v>
      </c>
      <c r="CS59" s="135">
        <v>2.29</v>
      </c>
      <c r="CT59" s="135">
        <v>0.0</v>
      </c>
      <c r="CU59" s="135">
        <v>157.0</v>
      </c>
      <c r="CV59" s="135">
        <v>2.02</v>
      </c>
      <c r="CW59" s="135">
        <v>106.78</v>
      </c>
      <c r="CX59" s="135">
        <v>3.79</v>
      </c>
      <c r="CY59" s="135">
        <v>23.79</v>
      </c>
      <c r="CZ59" s="135">
        <v>137.11</v>
      </c>
      <c r="DA59" s="135">
        <v>0.1</v>
      </c>
      <c r="DB59" s="135">
        <v>137.01</v>
      </c>
      <c r="DC59" s="135">
        <v>131.55</v>
      </c>
      <c r="DD59" s="135">
        <v>0.02</v>
      </c>
      <c r="DE59" s="135">
        <v>131.53</v>
      </c>
      <c r="DF59" s="135">
        <v>3.11</v>
      </c>
      <c r="DG59" s="135">
        <v>0.02</v>
      </c>
      <c r="DH59" s="135">
        <v>3.09</v>
      </c>
      <c r="DI59" s="135">
        <v>2.3</v>
      </c>
      <c r="DJ59" s="135">
        <v>0.02</v>
      </c>
      <c r="DK59" s="135">
        <v>2.27</v>
      </c>
      <c r="DL59" s="135">
        <v>0.15</v>
      </c>
      <c r="DM59" s="135">
        <v>0.02</v>
      </c>
      <c r="DN59" s="135">
        <v>0.12</v>
      </c>
    </row>
    <row r="60">
      <c r="A60" s="209">
        <v>46259.0</v>
      </c>
      <c r="B60" s="210" t="s">
        <v>5</v>
      </c>
      <c r="C60" s="210" t="s">
        <v>145</v>
      </c>
      <c r="D60" s="210">
        <v>658.0</v>
      </c>
      <c r="E60" s="210">
        <v>13.69</v>
      </c>
      <c r="F60" s="210">
        <v>155.44</v>
      </c>
      <c r="G60" s="210">
        <v>0.2362</v>
      </c>
      <c r="H60" s="210">
        <v>3.65</v>
      </c>
      <c r="I60" s="210">
        <v>6.4767</v>
      </c>
      <c r="J60" s="210">
        <v>98.89</v>
      </c>
      <c r="K60" s="210">
        <v>67.1</v>
      </c>
      <c r="L60" s="210">
        <v>52.1</v>
      </c>
      <c r="M60" s="210">
        <v>0.7765</v>
      </c>
      <c r="N60" s="210">
        <v>0.2639</v>
      </c>
      <c r="O60" s="210">
        <v>0.1471</v>
      </c>
      <c r="P60" s="210">
        <v>1.2879</v>
      </c>
      <c r="Q60" s="210">
        <v>263.45</v>
      </c>
      <c r="R60" s="210">
        <v>224.84</v>
      </c>
      <c r="S60" s="210">
        <v>38.61</v>
      </c>
      <c r="T60" s="210">
        <v>16.34</v>
      </c>
      <c r="U60" s="210">
        <v>247.11</v>
      </c>
      <c r="V60" s="210">
        <v>311.63</v>
      </c>
      <c r="W60" s="210">
        <v>4.6444</v>
      </c>
      <c r="X60" s="210">
        <v>6.2</v>
      </c>
      <c r="Y60" s="210">
        <v>348.0</v>
      </c>
      <c r="Z60" s="210">
        <v>487.0</v>
      </c>
      <c r="AA60" s="210">
        <v>740.0</v>
      </c>
      <c r="AB60" s="210">
        <v>52.9265</v>
      </c>
      <c r="AC60" s="210">
        <v>0.8072</v>
      </c>
      <c r="AD60" s="210">
        <v>30.48</v>
      </c>
      <c r="AE60" s="210">
        <v>13.0</v>
      </c>
      <c r="AF60" s="210">
        <v>26.0</v>
      </c>
      <c r="AG60" s="210">
        <v>44.0</v>
      </c>
      <c r="AH60" s="210">
        <v>61.0</v>
      </c>
      <c r="AI60" s="210">
        <v>48.18</v>
      </c>
      <c r="AJ60" s="210">
        <v>10.49</v>
      </c>
      <c r="AK60" s="210">
        <v>0.91</v>
      </c>
      <c r="AL60" s="210">
        <v>0.2219</v>
      </c>
      <c r="AM60" s="135">
        <v>23.25</v>
      </c>
      <c r="AN60" s="135">
        <v>23.25</v>
      </c>
      <c r="AO60" s="135">
        <v>17.02</v>
      </c>
      <c r="AP60" s="135">
        <v>12.31</v>
      </c>
      <c r="AQ60" s="135">
        <v>18.1505</v>
      </c>
      <c r="AR60" s="135">
        <v>1.3146</v>
      </c>
      <c r="AS60" s="135">
        <v>16.8359</v>
      </c>
      <c r="AT60" s="135">
        <v>12.7492</v>
      </c>
      <c r="AU60" s="135">
        <v>0.19</v>
      </c>
      <c r="AV60" s="135">
        <v>658.0</v>
      </c>
      <c r="AW60" s="135">
        <v>0.0</v>
      </c>
      <c r="AX60" s="135">
        <v>167.33</v>
      </c>
      <c r="AY60" s="135">
        <v>72.05</v>
      </c>
      <c r="AZ60" s="135">
        <v>2.21</v>
      </c>
      <c r="BA60" s="135">
        <v>16.34</v>
      </c>
      <c r="BB60" s="135">
        <v>5.52</v>
      </c>
      <c r="BC60" s="135">
        <v>92.0</v>
      </c>
      <c r="BD60" s="135">
        <v>1360.0</v>
      </c>
      <c r="BE60" s="135">
        <v>12.5562</v>
      </c>
      <c r="BF60" s="135">
        <v>1.2082</v>
      </c>
      <c r="BG60" s="135">
        <v>11.348</v>
      </c>
      <c r="BH60" s="135">
        <v>6.9195</v>
      </c>
      <c r="BI60" s="135">
        <v>0.1031</v>
      </c>
      <c r="BJ60" s="135">
        <v>5.5942</v>
      </c>
      <c r="BK60" s="135">
        <v>0.1064</v>
      </c>
      <c r="BL60" s="135">
        <v>5.4878</v>
      </c>
      <c r="BM60" s="135">
        <v>5.8298</v>
      </c>
      <c r="BN60" s="135">
        <v>0.0869</v>
      </c>
      <c r="BO60" s="135">
        <v>4.3647</v>
      </c>
      <c r="BP60" s="135">
        <v>0.3921</v>
      </c>
      <c r="BQ60" s="135">
        <v>3.9726</v>
      </c>
      <c r="BR60" s="135">
        <v>2.4605</v>
      </c>
      <c r="BS60" s="135">
        <v>5.1854</v>
      </c>
      <c r="BT60" s="135">
        <v>0.4012</v>
      </c>
      <c r="BU60" s="135">
        <v>4.7842</v>
      </c>
      <c r="BV60" s="135">
        <v>2.7249</v>
      </c>
      <c r="BW60" s="135">
        <v>3.0061</v>
      </c>
      <c r="BX60" s="135">
        <v>0.4149</v>
      </c>
      <c r="BY60" s="135">
        <v>2.5912</v>
      </c>
      <c r="BZ60" s="135">
        <v>1.734</v>
      </c>
      <c r="CA60" s="135">
        <v>1.0334</v>
      </c>
      <c r="CB60" s="135">
        <v>0.035</v>
      </c>
      <c r="CC60" s="135">
        <v>0.9985</v>
      </c>
      <c r="CD60" s="135">
        <v>1.5669</v>
      </c>
      <c r="CE60" s="135">
        <v>1.7888</v>
      </c>
      <c r="CF60" s="135">
        <v>0.038</v>
      </c>
      <c r="CG60" s="135">
        <v>1.7508</v>
      </c>
      <c r="CH60" s="135">
        <v>1.7872</v>
      </c>
      <c r="CI60" s="135">
        <v>2.772</v>
      </c>
      <c r="CJ60" s="135">
        <v>0.0334</v>
      </c>
      <c r="CK60" s="135">
        <v>2.7386</v>
      </c>
      <c r="CL60" s="135">
        <v>2.4757</v>
      </c>
      <c r="CM60" s="135">
        <v>461.19</v>
      </c>
      <c r="CN60" s="135">
        <v>98.02</v>
      </c>
      <c r="CO60" s="135">
        <v>470.49</v>
      </c>
      <c r="CP60" s="135">
        <v>377.47</v>
      </c>
      <c r="CQ60" s="135">
        <v>65.64</v>
      </c>
      <c r="CR60" s="135">
        <v>12.89</v>
      </c>
      <c r="CS60" s="135">
        <v>5.19</v>
      </c>
      <c r="CT60" s="135">
        <v>0.0</v>
      </c>
      <c r="CU60" s="135">
        <v>333.0</v>
      </c>
      <c r="CV60" s="135">
        <v>11.54</v>
      </c>
      <c r="CW60" s="135">
        <v>274.99</v>
      </c>
      <c r="CX60" s="135">
        <v>10.21</v>
      </c>
      <c r="CY60" s="135">
        <v>75.85</v>
      </c>
      <c r="CZ60" s="135">
        <v>325.32</v>
      </c>
      <c r="DA60" s="135">
        <v>1.05</v>
      </c>
      <c r="DB60" s="135">
        <v>324.27</v>
      </c>
      <c r="DC60" s="135">
        <v>309.41</v>
      </c>
      <c r="DD60" s="135">
        <v>0.5</v>
      </c>
      <c r="DE60" s="135">
        <v>308.91</v>
      </c>
      <c r="DF60" s="135">
        <v>10.0</v>
      </c>
      <c r="DG60" s="135">
        <v>0.18</v>
      </c>
      <c r="DH60" s="135">
        <v>9.82</v>
      </c>
      <c r="DI60" s="135">
        <v>5.36</v>
      </c>
      <c r="DJ60" s="135">
        <v>0.18</v>
      </c>
      <c r="DK60" s="135">
        <v>5.17</v>
      </c>
      <c r="DL60" s="135">
        <v>0.55</v>
      </c>
      <c r="DM60" s="135">
        <v>0.18</v>
      </c>
      <c r="DN60" s="135">
        <v>0.36</v>
      </c>
    </row>
    <row r="61">
      <c r="A61" s="209">
        <v>46259.0</v>
      </c>
      <c r="B61" s="210" t="s">
        <v>5</v>
      </c>
      <c r="C61" s="210" t="s">
        <v>146</v>
      </c>
      <c r="D61" s="210">
        <v>178.0</v>
      </c>
      <c r="E61" s="210">
        <v>3.7</v>
      </c>
      <c r="F61" s="210">
        <v>161.7</v>
      </c>
      <c r="G61" s="210">
        <v>0.9084</v>
      </c>
      <c r="H61" s="210">
        <v>10.11</v>
      </c>
      <c r="I61" s="210">
        <v>8.9833</v>
      </c>
      <c r="J61" s="210">
        <v>226.7</v>
      </c>
      <c r="K61" s="210">
        <v>160.7</v>
      </c>
      <c r="L61" s="210">
        <v>121.49</v>
      </c>
      <c r="M61" s="210">
        <v>0.756</v>
      </c>
      <c r="N61" s="210">
        <v>0.2854</v>
      </c>
      <c r="O61" s="210">
        <v>0.1469</v>
      </c>
      <c r="P61" s="210">
        <v>1.3227</v>
      </c>
      <c r="Q61" s="210">
        <v>584.51</v>
      </c>
      <c r="R61" s="210">
        <v>484.09</v>
      </c>
      <c r="S61" s="210">
        <v>100.42</v>
      </c>
      <c r="T61" s="210">
        <v>69.94</v>
      </c>
      <c r="U61" s="210">
        <v>514.57</v>
      </c>
      <c r="V61" s="210">
        <v>634.27</v>
      </c>
      <c r="W61" s="210">
        <v>3.9469</v>
      </c>
      <c r="X61" s="210">
        <v>11.97</v>
      </c>
      <c r="Y61" s="210">
        <v>497.0</v>
      </c>
      <c r="Z61" s="210">
        <v>751.0</v>
      </c>
      <c r="AA61" s="210">
        <v>1185.0</v>
      </c>
      <c r="AB61" s="210">
        <v>56.2402</v>
      </c>
      <c r="AC61" s="210">
        <v>0.8209</v>
      </c>
      <c r="AD61" s="210">
        <v>55.53</v>
      </c>
      <c r="AE61" s="210">
        <v>25.0</v>
      </c>
      <c r="AF61" s="210">
        <v>40.0</v>
      </c>
      <c r="AG61" s="210">
        <v>69.0</v>
      </c>
      <c r="AH61" s="210">
        <v>111.0</v>
      </c>
      <c r="AI61" s="210">
        <v>21.35</v>
      </c>
      <c r="AJ61" s="210">
        <v>3.37</v>
      </c>
      <c r="AK61" s="210">
        <v>0.0</v>
      </c>
      <c r="AL61" s="210">
        <v>0.1517</v>
      </c>
      <c r="AM61" s="135">
        <v>53.37</v>
      </c>
      <c r="AN61" s="135">
        <v>53.37</v>
      </c>
      <c r="AO61" s="135">
        <v>51.12</v>
      </c>
      <c r="AP61" s="135">
        <v>50.0</v>
      </c>
      <c r="AQ61" s="135">
        <v>34.4326</v>
      </c>
      <c r="AR61" s="135">
        <v>0.8764</v>
      </c>
      <c r="AS61" s="135">
        <v>33.5562</v>
      </c>
      <c r="AT61" s="135">
        <v>29.1798</v>
      </c>
      <c r="AU61" s="135">
        <v>0.1816</v>
      </c>
      <c r="AV61" s="135">
        <v>178.0</v>
      </c>
      <c r="AW61" s="135">
        <v>0.0</v>
      </c>
      <c r="AX61" s="135">
        <v>345.31</v>
      </c>
      <c r="AY61" s="135">
        <v>157.13</v>
      </c>
      <c r="AZ61" s="135">
        <v>5.39</v>
      </c>
      <c r="BA61" s="135">
        <v>69.94</v>
      </c>
      <c r="BB61" s="135">
        <v>6.74</v>
      </c>
      <c r="BC61" s="135">
        <v>268.0</v>
      </c>
      <c r="BD61" s="135">
        <v>2147.0</v>
      </c>
      <c r="BE61" s="135">
        <v>21.5</v>
      </c>
      <c r="BF61" s="135">
        <v>0.4045</v>
      </c>
      <c r="BG61" s="135">
        <v>21.0955</v>
      </c>
      <c r="BH61" s="135">
        <v>15.7978</v>
      </c>
      <c r="BI61" s="135">
        <v>0.0983</v>
      </c>
      <c r="BJ61" s="135">
        <v>12.9326</v>
      </c>
      <c r="BK61" s="135">
        <v>0.4719</v>
      </c>
      <c r="BL61" s="135">
        <v>12.4607</v>
      </c>
      <c r="BM61" s="135">
        <v>13.382</v>
      </c>
      <c r="BN61" s="135">
        <v>0.0833</v>
      </c>
      <c r="BO61" s="135">
        <v>7.4831</v>
      </c>
      <c r="BP61" s="135">
        <v>0.1348</v>
      </c>
      <c r="BQ61" s="135">
        <v>7.3483</v>
      </c>
      <c r="BR61" s="135">
        <v>5.4045</v>
      </c>
      <c r="BS61" s="135">
        <v>8.2865</v>
      </c>
      <c r="BT61" s="135">
        <v>0.1348</v>
      </c>
      <c r="BU61" s="135">
        <v>8.1517</v>
      </c>
      <c r="BV61" s="135">
        <v>5.9607</v>
      </c>
      <c r="BW61" s="135">
        <v>5.7303</v>
      </c>
      <c r="BX61" s="135">
        <v>0.1348</v>
      </c>
      <c r="BY61" s="135">
        <v>5.5955</v>
      </c>
      <c r="BZ61" s="135">
        <v>4.4326</v>
      </c>
      <c r="CA61" s="135">
        <v>2.6461</v>
      </c>
      <c r="CB61" s="135">
        <v>0.1517</v>
      </c>
      <c r="CC61" s="135">
        <v>2.4944</v>
      </c>
      <c r="CD61" s="135">
        <v>3.3933</v>
      </c>
      <c r="CE61" s="135">
        <v>4.1461</v>
      </c>
      <c r="CF61" s="135">
        <v>0.1685</v>
      </c>
      <c r="CG61" s="135">
        <v>3.9775</v>
      </c>
      <c r="CH61" s="135">
        <v>4.2865</v>
      </c>
      <c r="CI61" s="135">
        <v>6.1404</v>
      </c>
      <c r="CJ61" s="135">
        <v>0.1517</v>
      </c>
      <c r="CK61" s="135">
        <v>5.9888</v>
      </c>
      <c r="CL61" s="135">
        <v>5.7022</v>
      </c>
      <c r="CM61" s="135">
        <v>1243.33</v>
      </c>
      <c r="CN61" s="135">
        <v>99.44</v>
      </c>
      <c r="CO61" s="135">
        <v>1250.35</v>
      </c>
      <c r="CP61" s="135">
        <v>1041.99</v>
      </c>
      <c r="CQ61" s="135">
        <v>166.02</v>
      </c>
      <c r="CR61" s="135">
        <v>20.9</v>
      </c>
      <c r="CS61" s="135">
        <v>14.41</v>
      </c>
      <c r="CT61" s="135">
        <v>0.0</v>
      </c>
      <c r="CU61" s="135">
        <v>145.0</v>
      </c>
      <c r="CV61" s="135">
        <v>59.61</v>
      </c>
      <c r="CW61" s="135">
        <v>644.12</v>
      </c>
      <c r="CX61" s="135">
        <v>17.15</v>
      </c>
      <c r="CY61" s="135">
        <v>183.17</v>
      </c>
      <c r="CZ61" s="135">
        <v>711.4</v>
      </c>
      <c r="DA61" s="135">
        <v>5.25</v>
      </c>
      <c r="DB61" s="135">
        <v>706.15</v>
      </c>
      <c r="DC61" s="135">
        <v>676.43</v>
      </c>
      <c r="DD61" s="135">
        <v>3.9</v>
      </c>
      <c r="DE61" s="135">
        <v>672.53</v>
      </c>
      <c r="DF61" s="135">
        <v>21.52</v>
      </c>
      <c r="DG61" s="135">
        <v>0.45</v>
      </c>
      <c r="DH61" s="135">
        <v>21.07</v>
      </c>
      <c r="DI61" s="135">
        <v>10.93</v>
      </c>
      <c r="DJ61" s="135">
        <v>0.45</v>
      </c>
      <c r="DK61" s="135">
        <v>10.48</v>
      </c>
      <c r="DL61" s="135">
        <v>2.53</v>
      </c>
      <c r="DM61" s="135">
        <v>0.45</v>
      </c>
      <c r="DN61" s="135">
        <v>2.08</v>
      </c>
    </row>
    <row r="62">
      <c r="A62" s="214">
        <v>46260.0</v>
      </c>
      <c r="B62" s="135" t="s">
        <v>4</v>
      </c>
      <c r="C62" s="135" t="s">
        <v>398</v>
      </c>
      <c r="D62" s="135">
        <v>747.0</v>
      </c>
      <c r="E62" s="135">
        <v>17.07</v>
      </c>
      <c r="F62" s="135">
        <v>0.0</v>
      </c>
      <c r="G62" s="135">
        <v>0.0</v>
      </c>
      <c r="H62" s="135">
        <v>0.0</v>
      </c>
      <c r="J62" s="135">
        <v>2.04</v>
      </c>
      <c r="K62" s="135">
        <v>0.28</v>
      </c>
      <c r="L62" s="135">
        <v>0.0</v>
      </c>
      <c r="M62" s="135">
        <v>0.0</v>
      </c>
      <c r="N62" s="135">
        <v>1.0</v>
      </c>
      <c r="O62" s="135">
        <v>1.0</v>
      </c>
      <c r="Q62" s="135">
        <v>2.81</v>
      </c>
      <c r="R62" s="135">
        <v>2.79</v>
      </c>
      <c r="S62" s="135">
        <v>0.02</v>
      </c>
      <c r="T62" s="135">
        <v>0.0</v>
      </c>
      <c r="U62" s="135">
        <v>2.81</v>
      </c>
      <c r="V62" s="135">
        <v>1.47</v>
      </c>
      <c r="W62" s="135">
        <v>5.314</v>
      </c>
      <c r="X62" s="135">
        <v>0.0</v>
      </c>
      <c r="Y62" s="135">
        <v>200.0</v>
      </c>
      <c r="Z62" s="135">
        <v>200.0</v>
      </c>
      <c r="AA62" s="135">
        <v>223.0</v>
      </c>
      <c r="AB62" s="135">
        <v>49.2242</v>
      </c>
      <c r="AC62" s="135">
        <v>0.7066</v>
      </c>
      <c r="AI62" s="135">
        <v>0.0</v>
      </c>
      <c r="AJ62" s="135">
        <v>0.0</v>
      </c>
      <c r="AK62" s="135">
        <v>0.0</v>
      </c>
      <c r="AQ62" s="135">
        <v>0.1258</v>
      </c>
      <c r="AR62" s="135">
        <v>0.008</v>
      </c>
      <c r="AS62" s="135">
        <v>0.1178</v>
      </c>
      <c r="AT62" s="135">
        <v>0.0977</v>
      </c>
      <c r="AU62" s="135">
        <v>0.3527</v>
      </c>
      <c r="AV62" s="135">
        <v>747.0</v>
      </c>
      <c r="AW62" s="135">
        <v>0.0</v>
      </c>
      <c r="AX62" s="135">
        <v>1.9</v>
      </c>
      <c r="AY62" s="135">
        <v>0.88</v>
      </c>
      <c r="AZ62" s="135">
        <v>0.03</v>
      </c>
      <c r="BA62" s="135">
        <v>0.0</v>
      </c>
      <c r="BB62" s="135">
        <v>0.0</v>
      </c>
      <c r="BD62" s="135">
        <v>440.0</v>
      </c>
      <c r="BE62" s="135">
        <v>0.0562</v>
      </c>
      <c r="BF62" s="135">
        <v>0.008</v>
      </c>
      <c r="BG62" s="135">
        <v>0.0482</v>
      </c>
      <c r="BH62" s="135">
        <v>0.0495</v>
      </c>
      <c r="BI62" s="135">
        <v>0.1787</v>
      </c>
      <c r="BJ62" s="135">
        <v>0.0696</v>
      </c>
      <c r="BK62" s="135">
        <v>0.0</v>
      </c>
      <c r="BL62" s="135">
        <v>0.0696</v>
      </c>
      <c r="BM62" s="135">
        <v>0.0482</v>
      </c>
      <c r="BN62" s="135">
        <v>0.1739</v>
      </c>
      <c r="BO62" s="135">
        <v>0.0214</v>
      </c>
      <c r="BP62" s="135">
        <v>0.008</v>
      </c>
      <c r="BQ62" s="135">
        <v>0.0134</v>
      </c>
      <c r="BR62" s="135">
        <v>0.0174</v>
      </c>
      <c r="BS62" s="135">
        <v>0.0201</v>
      </c>
      <c r="BT62" s="135">
        <v>0.0</v>
      </c>
      <c r="BU62" s="135">
        <v>0.0201</v>
      </c>
      <c r="BV62" s="135">
        <v>0.0161</v>
      </c>
      <c r="BW62" s="135">
        <v>0.0147</v>
      </c>
      <c r="BX62" s="135">
        <v>0.0</v>
      </c>
      <c r="BY62" s="135">
        <v>0.0147</v>
      </c>
      <c r="BZ62" s="135">
        <v>0.0161</v>
      </c>
      <c r="CA62" s="135">
        <v>0.0067</v>
      </c>
      <c r="CB62" s="135">
        <v>0.0</v>
      </c>
      <c r="CC62" s="135">
        <v>0.0067</v>
      </c>
      <c r="CD62" s="135">
        <v>0.0094</v>
      </c>
      <c r="CE62" s="135">
        <v>0.0348</v>
      </c>
      <c r="CF62" s="135">
        <v>0.0</v>
      </c>
      <c r="CG62" s="135">
        <v>0.0348</v>
      </c>
      <c r="CH62" s="135">
        <v>0.0281</v>
      </c>
      <c r="CI62" s="135">
        <v>0.0281</v>
      </c>
      <c r="CJ62" s="135">
        <v>0.0</v>
      </c>
      <c r="CK62" s="135">
        <v>0.0281</v>
      </c>
      <c r="CL62" s="135">
        <v>0.0107</v>
      </c>
      <c r="CM62" s="135">
        <v>0.33</v>
      </c>
      <c r="CN62" s="135">
        <v>0.67</v>
      </c>
      <c r="CO62" s="135">
        <v>49.0</v>
      </c>
      <c r="CP62" s="135">
        <v>0.0</v>
      </c>
      <c r="CQ62" s="135">
        <v>0.0</v>
      </c>
      <c r="CR62" s="135">
        <v>0.0</v>
      </c>
      <c r="CS62" s="135">
        <v>0.33</v>
      </c>
      <c r="CT62" s="135">
        <v>0.0</v>
      </c>
      <c r="CU62" s="135">
        <v>0.0</v>
      </c>
      <c r="CV62" s="135">
        <v>0.0</v>
      </c>
      <c r="CW62" s="135">
        <v>2.81</v>
      </c>
      <c r="CX62" s="135">
        <v>0.0</v>
      </c>
      <c r="CY62" s="135">
        <v>0.0</v>
      </c>
      <c r="CZ62" s="135">
        <v>3.11</v>
      </c>
      <c r="DA62" s="135">
        <v>0.0</v>
      </c>
      <c r="DB62" s="135">
        <v>3.11</v>
      </c>
      <c r="DC62" s="135">
        <v>3.03</v>
      </c>
      <c r="DD62" s="135">
        <v>0.0</v>
      </c>
      <c r="DE62" s="135">
        <v>3.03</v>
      </c>
      <c r="DF62" s="135">
        <v>0.08</v>
      </c>
      <c r="DG62" s="135">
        <v>0.0</v>
      </c>
      <c r="DH62" s="135">
        <v>0.08</v>
      </c>
      <c r="DI62" s="135">
        <v>0.0</v>
      </c>
      <c r="DJ62" s="135">
        <v>0.0</v>
      </c>
      <c r="DK62" s="135">
        <v>0.0</v>
      </c>
      <c r="DL62" s="135">
        <v>0.0</v>
      </c>
      <c r="DM62" s="135">
        <v>0.0</v>
      </c>
      <c r="DN62" s="135">
        <v>0.0</v>
      </c>
    </row>
    <row r="63">
      <c r="A63" s="214">
        <v>46260.0</v>
      </c>
      <c r="B63" s="135" t="s">
        <v>4</v>
      </c>
      <c r="C63" s="135" t="s">
        <v>142</v>
      </c>
      <c r="D63" s="135">
        <v>1128.0</v>
      </c>
      <c r="E63" s="135">
        <v>25.78</v>
      </c>
      <c r="F63" s="135">
        <v>0.0</v>
      </c>
      <c r="G63" s="135">
        <v>0.0</v>
      </c>
      <c r="H63" s="135">
        <v>0.0</v>
      </c>
      <c r="J63" s="135">
        <v>5.37</v>
      </c>
      <c r="K63" s="135">
        <v>4.46</v>
      </c>
      <c r="L63" s="135">
        <v>4.07</v>
      </c>
      <c r="M63" s="135">
        <v>0.9131</v>
      </c>
      <c r="N63" s="135">
        <v>0.0929</v>
      </c>
      <c r="O63" s="135">
        <v>0.061</v>
      </c>
      <c r="P63" s="135">
        <v>1.0952</v>
      </c>
      <c r="Q63" s="135">
        <v>12.08</v>
      </c>
      <c r="R63" s="135">
        <v>10.33</v>
      </c>
      <c r="S63" s="135">
        <v>1.75</v>
      </c>
      <c r="T63" s="135">
        <v>0.89</v>
      </c>
      <c r="U63" s="135">
        <v>11.2</v>
      </c>
      <c r="V63" s="135">
        <v>9.09</v>
      </c>
      <c r="W63" s="135">
        <v>2.0386</v>
      </c>
      <c r="X63" s="135">
        <v>7.34</v>
      </c>
      <c r="Y63" s="135">
        <v>200.0</v>
      </c>
      <c r="Z63" s="135">
        <v>221.0</v>
      </c>
      <c r="AA63" s="135">
        <v>263.0</v>
      </c>
      <c r="AB63" s="135">
        <v>49.934</v>
      </c>
      <c r="AC63" s="135">
        <v>0.8583</v>
      </c>
      <c r="AD63" s="135">
        <v>3.9</v>
      </c>
      <c r="AE63" s="135">
        <v>2.0</v>
      </c>
      <c r="AF63" s="135">
        <v>3.0</v>
      </c>
      <c r="AG63" s="135">
        <v>5.0</v>
      </c>
      <c r="AH63" s="135">
        <v>8.0</v>
      </c>
      <c r="AI63" s="135">
        <v>77.04</v>
      </c>
      <c r="AJ63" s="135">
        <v>37.5</v>
      </c>
      <c r="AK63" s="135">
        <v>2.3</v>
      </c>
      <c r="AQ63" s="135">
        <v>0.7704</v>
      </c>
      <c r="AR63" s="135">
        <v>0.0984</v>
      </c>
      <c r="AS63" s="135">
        <v>0.672</v>
      </c>
      <c r="AT63" s="135">
        <v>0.6587</v>
      </c>
      <c r="AU63" s="135">
        <v>0.1478</v>
      </c>
      <c r="AV63" s="135">
        <v>1128.0</v>
      </c>
      <c r="AW63" s="135">
        <v>0.0</v>
      </c>
      <c r="AX63" s="135">
        <v>10.98</v>
      </c>
      <c r="AY63" s="135">
        <v>0.12</v>
      </c>
      <c r="AZ63" s="135">
        <v>0.1</v>
      </c>
      <c r="BA63" s="135">
        <v>0.89</v>
      </c>
      <c r="BB63" s="135">
        <v>0.01</v>
      </c>
      <c r="BC63" s="135">
        <v>12.0</v>
      </c>
      <c r="BD63" s="135">
        <v>374.0</v>
      </c>
      <c r="BE63" s="135">
        <v>0.695</v>
      </c>
      <c r="BF63" s="135">
        <v>0.0851</v>
      </c>
      <c r="BG63" s="135">
        <v>0.6099</v>
      </c>
      <c r="BH63" s="135">
        <v>0.6046</v>
      </c>
      <c r="BI63" s="135">
        <v>0.1356</v>
      </c>
      <c r="BJ63" s="135">
        <v>0.0754</v>
      </c>
      <c r="BK63" s="135">
        <v>0.0133</v>
      </c>
      <c r="BL63" s="135">
        <v>0.0621</v>
      </c>
      <c r="BM63" s="135">
        <v>0.0541</v>
      </c>
      <c r="BN63" s="135">
        <v>0.0121</v>
      </c>
      <c r="BO63" s="135">
        <v>0.1401</v>
      </c>
      <c r="BP63" s="135">
        <v>0.0275</v>
      </c>
      <c r="BQ63" s="135">
        <v>0.1126</v>
      </c>
      <c r="BR63" s="135">
        <v>0.281</v>
      </c>
      <c r="BS63" s="135">
        <v>0.4016</v>
      </c>
      <c r="BT63" s="135">
        <v>0.0142</v>
      </c>
      <c r="BU63" s="135">
        <v>0.3874</v>
      </c>
      <c r="BV63" s="135">
        <v>0.1746</v>
      </c>
      <c r="BW63" s="135">
        <v>0.1534</v>
      </c>
      <c r="BX63" s="135">
        <v>0.0434</v>
      </c>
      <c r="BY63" s="135">
        <v>0.1099</v>
      </c>
      <c r="BZ63" s="135">
        <v>0.1489</v>
      </c>
      <c r="CA63" s="135">
        <v>0.0062</v>
      </c>
      <c r="CB63" s="135">
        <v>0.0035</v>
      </c>
      <c r="CC63" s="135">
        <v>0.0027</v>
      </c>
      <c r="CD63" s="135">
        <v>0.0124</v>
      </c>
      <c r="CE63" s="135">
        <v>0.0532</v>
      </c>
      <c r="CF63" s="135">
        <v>0.0062</v>
      </c>
      <c r="CG63" s="135">
        <v>0.047</v>
      </c>
      <c r="CH63" s="135">
        <v>0.0213</v>
      </c>
      <c r="CI63" s="135">
        <v>0.016</v>
      </c>
      <c r="CJ63" s="135">
        <v>0.0035</v>
      </c>
      <c r="CK63" s="135">
        <v>0.0124</v>
      </c>
      <c r="CL63" s="135">
        <v>0.0204</v>
      </c>
      <c r="CM63" s="135">
        <v>1.59</v>
      </c>
      <c r="CN63" s="135">
        <v>4.43</v>
      </c>
      <c r="CO63" s="135">
        <v>35.8</v>
      </c>
      <c r="CP63" s="135">
        <v>1.52</v>
      </c>
      <c r="CQ63" s="135">
        <v>0.0</v>
      </c>
      <c r="CR63" s="135">
        <v>0.07</v>
      </c>
      <c r="CS63" s="135">
        <v>0.0</v>
      </c>
      <c r="CT63" s="135">
        <v>0.0</v>
      </c>
      <c r="CU63" s="135">
        <v>0.0</v>
      </c>
      <c r="CV63" s="135">
        <v>0.0</v>
      </c>
      <c r="CW63" s="135">
        <v>12.08</v>
      </c>
      <c r="CX63" s="135">
        <v>0.0</v>
      </c>
      <c r="CY63" s="135">
        <v>0.0</v>
      </c>
      <c r="CZ63" s="135">
        <v>7.07</v>
      </c>
      <c r="DA63" s="135">
        <v>0.11</v>
      </c>
      <c r="DB63" s="135">
        <v>6.97</v>
      </c>
      <c r="DC63" s="135">
        <v>6.95</v>
      </c>
      <c r="DD63" s="135">
        <v>0.11</v>
      </c>
      <c r="DE63" s="135">
        <v>6.85</v>
      </c>
      <c r="DF63" s="135">
        <v>0.08</v>
      </c>
      <c r="DG63" s="135">
        <v>0.0</v>
      </c>
      <c r="DH63" s="135">
        <v>0.08</v>
      </c>
      <c r="DI63" s="135">
        <v>0.04</v>
      </c>
      <c r="DJ63" s="135">
        <v>0.0</v>
      </c>
      <c r="DK63" s="135">
        <v>0.04</v>
      </c>
      <c r="DL63" s="135">
        <v>0.0</v>
      </c>
      <c r="DM63" s="135">
        <v>0.0</v>
      </c>
      <c r="DN63" s="135">
        <v>0.0</v>
      </c>
    </row>
    <row r="64">
      <c r="A64" s="214">
        <v>46260.0</v>
      </c>
      <c r="B64" s="135" t="s">
        <v>4</v>
      </c>
      <c r="C64" s="135" t="s">
        <v>143</v>
      </c>
      <c r="D64" s="135">
        <v>778.0</v>
      </c>
      <c r="E64" s="135">
        <v>17.78</v>
      </c>
      <c r="F64" s="135">
        <v>0.0</v>
      </c>
      <c r="G64" s="135">
        <v>0.0</v>
      </c>
      <c r="H64" s="135">
        <v>0.0</v>
      </c>
      <c r="J64" s="135">
        <v>16.22</v>
      </c>
      <c r="K64" s="135">
        <v>12.93</v>
      </c>
      <c r="L64" s="135">
        <v>11.34</v>
      </c>
      <c r="M64" s="135">
        <v>0.8772</v>
      </c>
      <c r="N64" s="135">
        <v>0.151</v>
      </c>
      <c r="O64" s="135">
        <v>0.099</v>
      </c>
      <c r="P64" s="135">
        <v>1.14</v>
      </c>
      <c r="Q64" s="135">
        <v>58.53</v>
      </c>
      <c r="R64" s="135">
        <v>42.97</v>
      </c>
      <c r="S64" s="135">
        <v>15.55</v>
      </c>
      <c r="T64" s="135">
        <v>0.0</v>
      </c>
      <c r="U64" s="135">
        <v>58.53</v>
      </c>
      <c r="V64" s="135">
        <v>46.27</v>
      </c>
      <c r="W64" s="135">
        <v>3.58</v>
      </c>
      <c r="X64" s="135">
        <v>0.0</v>
      </c>
      <c r="Y64" s="135">
        <v>254.0</v>
      </c>
      <c r="Z64" s="135">
        <v>327.0</v>
      </c>
      <c r="AA64" s="135">
        <v>406.0</v>
      </c>
      <c r="AB64" s="135">
        <v>50.184</v>
      </c>
      <c r="AC64" s="135">
        <v>0.8961</v>
      </c>
      <c r="AD64" s="135">
        <v>9.97</v>
      </c>
      <c r="AE64" s="135">
        <v>6.0</v>
      </c>
      <c r="AF64" s="135">
        <v>10.0</v>
      </c>
      <c r="AG64" s="135">
        <v>13.0</v>
      </c>
      <c r="AH64" s="135">
        <v>17.0</v>
      </c>
      <c r="AI64" s="135">
        <v>76.48</v>
      </c>
      <c r="AJ64" s="135">
        <v>30.98</v>
      </c>
      <c r="AK64" s="135">
        <v>0.77</v>
      </c>
      <c r="AQ64" s="135">
        <v>3.6774</v>
      </c>
      <c r="AR64" s="135">
        <v>0.108</v>
      </c>
      <c r="AS64" s="135">
        <v>3.5694</v>
      </c>
      <c r="AT64" s="135">
        <v>2.6157</v>
      </c>
      <c r="AU64" s="135">
        <v>0.2024</v>
      </c>
      <c r="AV64" s="135">
        <v>778.0</v>
      </c>
      <c r="AW64" s="135">
        <v>0.0</v>
      </c>
      <c r="AX64" s="135">
        <v>53.91</v>
      </c>
      <c r="AY64" s="135">
        <v>3.42</v>
      </c>
      <c r="AZ64" s="135">
        <v>0.51</v>
      </c>
      <c r="BA64" s="135">
        <v>0.0</v>
      </c>
      <c r="BB64" s="135">
        <v>0.69</v>
      </c>
      <c r="BC64" s="135">
        <v>25.0</v>
      </c>
      <c r="BD64" s="135">
        <v>665.0</v>
      </c>
      <c r="BE64" s="135">
        <v>2.973</v>
      </c>
      <c r="BF64" s="135">
        <v>0.0887</v>
      </c>
      <c r="BG64" s="135">
        <v>2.8843</v>
      </c>
      <c r="BH64" s="135">
        <v>1.8676</v>
      </c>
      <c r="BI64" s="135">
        <v>0.1445</v>
      </c>
      <c r="BJ64" s="135">
        <v>0.7044</v>
      </c>
      <c r="BK64" s="135">
        <v>0.0193</v>
      </c>
      <c r="BL64" s="135">
        <v>0.6851</v>
      </c>
      <c r="BM64" s="135">
        <v>0.7481</v>
      </c>
      <c r="BN64" s="135">
        <v>0.0579</v>
      </c>
      <c r="BO64" s="135">
        <v>1.0154</v>
      </c>
      <c r="BP64" s="135">
        <v>0.0347</v>
      </c>
      <c r="BQ64" s="135">
        <v>0.9807</v>
      </c>
      <c r="BR64" s="135">
        <v>0.7853</v>
      </c>
      <c r="BS64" s="135">
        <v>1.4293</v>
      </c>
      <c r="BT64" s="135">
        <v>0.0077</v>
      </c>
      <c r="BU64" s="135">
        <v>1.4216</v>
      </c>
      <c r="BV64" s="135">
        <v>0.5835</v>
      </c>
      <c r="BW64" s="135">
        <v>0.5283</v>
      </c>
      <c r="BX64" s="135">
        <v>0.0463</v>
      </c>
      <c r="BY64" s="135">
        <v>0.482</v>
      </c>
      <c r="BZ64" s="135">
        <v>0.4987</v>
      </c>
      <c r="CA64" s="135">
        <v>0.0321</v>
      </c>
      <c r="CB64" s="135">
        <v>0.0</v>
      </c>
      <c r="CC64" s="135">
        <v>0.0321</v>
      </c>
      <c r="CD64" s="135">
        <v>0.1838</v>
      </c>
      <c r="CE64" s="135">
        <v>0.3792</v>
      </c>
      <c r="CF64" s="135">
        <v>0.0039</v>
      </c>
      <c r="CG64" s="135">
        <v>0.3753</v>
      </c>
      <c r="CH64" s="135">
        <v>0.2674</v>
      </c>
      <c r="CI64" s="135">
        <v>0.2931</v>
      </c>
      <c r="CJ64" s="135">
        <v>0.0154</v>
      </c>
      <c r="CK64" s="135">
        <v>0.2776</v>
      </c>
      <c r="CL64" s="135">
        <v>0.2969</v>
      </c>
      <c r="CM64" s="135">
        <v>42.82</v>
      </c>
      <c r="CN64" s="135">
        <v>42.8</v>
      </c>
      <c r="CO64" s="135">
        <v>100.05</v>
      </c>
      <c r="CP64" s="135">
        <v>38.88</v>
      </c>
      <c r="CQ64" s="135">
        <v>0.0</v>
      </c>
      <c r="CR64" s="135">
        <v>2.16</v>
      </c>
      <c r="CS64" s="135">
        <v>1.79</v>
      </c>
      <c r="CT64" s="135">
        <v>0.0</v>
      </c>
      <c r="CU64" s="135">
        <v>0.0</v>
      </c>
      <c r="CV64" s="135">
        <v>0.0</v>
      </c>
      <c r="CW64" s="135">
        <v>58.53</v>
      </c>
      <c r="CX64" s="135">
        <v>0.0</v>
      </c>
      <c r="CY64" s="135">
        <v>0.0</v>
      </c>
      <c r="CZ64" s="135">
        <v>49.27</v>
      </c>
      <c r="DA64" s="135">
        <v>0.0</v>
      </c>
      <c r="DB64" s="135">
        <v>49.27</v>
      </c>
      <c r="DC64" s="135">
        <v>47.73</v>
      </c>
      <c r="DD64" s="135">
        <v>0.0</v>
      </c>
      <c r="DE64" s="135">
        <v>47.73</v>
      </c>
      <c r="DF64" s="135">
        <v>0.76</v>
      </c>
      <c r="DG64" s="135">
        <v>0.0</v>
      </c>
      <c r="DH64" s="135">
        <v>0.76</v>
      </c>
      <c r="DI64" s="135">
        <v>0.77</v>
      </c>
      <c r="DJ64" s="135">
        <v>0.0</v>
      </c>
      <c r="DK64" s="135">
        <v>0.77</v>
      </c>
      <c r="DL64" s="135">
        <v>0.0</v>
      </c>
      <c r="DM64" s="135">
        <v>0.0</v>
      </c>
      <c r="DN64" s="135">
        <v>0.0</v>
      </c>
    </row>
    <row r="65">
      <c r="A65" s="214">
        <v>46260.0</v>
      </c>
      <c r="B65" s="135" t="s">
        <v>4</v>
      </c>
      <c r="C65" s="135" t="s">
        <v>144</v>
      </c>
      <c r="D65" s="135">
        <v>791.0</v>
      </c>
      <c r="E65" s="135">
        <v>18.08</v>
      </c>
      <c r="F65" s="135">
        <v>7.68</v>
      </c>
      <c r="G65" s="135">
        <v>0.0097</v>
      </c>
      <c r="H65" s="135">
        <v>0.51</v>
      </c>
      <c r="I65" s="135">
        <v>1.92</v>
      </c>
      <c r="J65" s="135">
        <v>39.06</v>
      </c>
      <c r="K65" s="135">
        <v>26.62</v>
      </c>
      <c r="L65" s="135">
        <v>22.6</v>
      </c>
      <c r="M65" s="135">
        <v>0.849</v>
      </c>
      <c r="N65" s="135">
        <v>0.1958</v>
      </c>
      <c r="O65" s="135">
        <v>0.1271</v>
      </c>
      <c r="P65" s="135">
        <v>1.1778</v>
      </c>
      <c r="Q65" s="135">
        <v>132.12</v>
      </c>
      <c r="R65" s="135">
        <v>96.88</v>
      </c>
      <c r="S65" s="135">
        <v>35.25</v>
      </c>
      <c r="T65" s="135">
        <v>1.01</v>
      </c>
      <c r="U65" s="135">
        <v>131.11</v>
      </c>
      <c r="V65" s="135">
        <v>119.09</v>
      </c>
      <c r="W65" s="135">
        <v>4.4734</v>
      </c>
      <c r="X65" s="135">
        <v>0.77</v>
      </c>
      <c r="Y65" s="135">
        <v>316.0</v>
      </c>
      <c r="Z65" s="135">
        <v>413.0</v>
      </c>
      <c r="AA65" s="135">
        <v>585.0</v>
      </c>
      <c r="AB65" s="135">
        <v>50.993</v>
      </c>
      <c r="AC65" s="135">
        <v>0.8804</v>
      </c>
      <c r="AD65" s="135">
        <v>17.19</v>
      </c>
      <c r="AE65" s="135">
        <v>8.0</v>
      </c>
      <c r="AF65" s="135">
        <v>15.0</v>
      </c>
      <c r="AG65" s="135">
        <v>25.0</v>
      </c>
      <c r="AH65" s="135">
        <v>33.0</v>
      </c>
      <c r="AI65" s="135">
        <v>65.49</v>
      </c>
      <c r="AJ65" s="135">
        <v>24.53</v>
      </c>
      <c r="AK65" s="135">
        <v>1.9</v>
      </c>
      <c r="AQ65" s="135">
        <v>7.9987</v>
      </c>
      <c r="AR65" s="135">
        <v>0.2137</v>
      </c>
      <c r="AS65" s="135">
        <v>7.7851</v>
      </c>
      <c r="AT65" s="135">
        <v>5.3679</v>
      </c>
      <c r="AU65" s="135">
        <v>0.2016</v>
      </c>
      <c r="AV65" s="135">
        <v>791.0</v>
      </c>
      <c r="AW65" s="135">
        <v>0.0</v>
      </c>
      <c r="AX65" s="135">
        <v>108.3</v>
      </c>
      <c r="AY65" s="135">
        <v>18.54</v>
      </c>
      <c r="AZ65" s="135">
        <v>1.23</v>
      </c>
      <c r="BA65" s="135">
        <v>1.01</v>
      </c>
      <c r="BB65" s="135">
        <v>3.05</v>
      </c>
      <c r="BC65" s="135">
        <v>48.0</v>
      </c>
      <c r="BD65" s="135">
        <v>1016.0</v>
      </c>
      <c r="BE65" s="135">
        <v>5.5879</v>
      </c>
      <c r="BF65" s="135">
        <v>0.1934</v>
      </c>
      <c r="BG65" s="135">
        <v>5.3944</v>
      </c>
      <c r="BH65" s="135">
        <v>2.8091</v>
      </c>
      <c r="BI65" s="135">
        <v>0.1055</v>
      </c>
      <c r="BJ65" s="135">
        <v>2.4109</v>
      </c>
      <c r="BK65" s="135">
        <v>0.0202</v>
      </c>
      <c r="BL65" s="135">
        <v>2.3906</v>
      </c>
      <c r="BM65" s="135">
        <v>2.5588</v>
      </c>
      <c r="BN65" s="135">
        <v>0.0961</v>
      </c>
      <c r="BO65" s="135">
        <v>1.8786</v>
      </c>
      <c r="BP65" s="135">
        <v>0.0657</v>
      </c>
      <c r="BQ65" s="135">
        <v>1.8129</v>
      </c>
      <c r="BR65" s="135">
        <v>1.0531</v>
      </c>
      <c r="BS65" s="135">
        <v>2.5095</v>
      </c>
      <c r="BT65" s="135">
        <v>0.0392</v>
      </c>
      <c r="BU65" s="135">
        <v>2.4703</v>
      </c>
      <c r="BV65" s="135">
        <v>1.0746</v>
      </c>
      <c r="BW65" s="135">
        <v>1.1997</v>
      </c>
      <c r="BX65" s="135">
        <v>0.0885</v>
      </c>
      <c r="BY65" s="135">
        <v>1.1113</v>
      </c>
      <c r="BZ65" s="135">
        <v>0.6814</v>
      </c>
      <c r="CA65" s="135">
        <v>0.2946</v>
      </c>
      <c r="CB65" s="135">
        <v>0.0025</v>
      </c>
      <c r="CC65" s="135">
        <v>0.292</v>
      </c>
      <c r="CD65" s="135">
        <v>0.6561</v>
      </c>
      <c r="CE65" s="135">
        <v>1.0771</v>
      </c>
      <c r="CF65" s="135">
        <v>0.0013</v>
      </c>
      <c r="CG65" s="135">
        <v>1.0759</v>
      </c>
      <c r="CH65" s="135">
        <v>0.8609</v>
      </c>
      <c r="CI65" s="135">
        <v>1.0392</v>
      </c>
      <c r="CJ65" s="135">
        <v>0.0164</v>
      </c>
      <c r="CK65" s="135">
        <v>1.0228</v>
      </c>
      <c r="CL65" s="135">
        <v>1.0417</v>
      </c>
      <c r="CM65" s="135">
        <v>168.78</v>
      </c>
      <c r="CN65" s="135">
        <v>85.34</v>
      </c>
      <c r="CO65" s="135">
        <v>197.79</v>
      </c>
      <c r="CP65" s="135">
        <v>156.53</v>
      </c>
      <c r="CQ65" s="135">
        <v>0.0</v>
      </c>
      <c r="CR65" s="135">
        <v>5.34</v>
      </c>
      <c r="CS65" s="135">
        <v>6.92</v>
      </c>
      <c r="CT65" s="135">
        <v>0.0</v>
      </c>
      <c r="CU65" s="135">
        <v>0.0</v>
      </c>
      <c r="CV65" s="135">
        <v>0.0</v>
      </c>
      <c r="CW65" s="135">
        <v>132.12</v>
      </c>
      <c r="CX65" s="135">
        <v>0.0</v>
      </c>
      <c r="CY65" s="135">
        <v>0.0</v>
      </c>
      <c r="CZ65" s="135">
        <v>134.89</v>
      </c>
      <c r="DA65" s="135">
        <v>0.06</v>
      </c>
      <c r="DB65" s="135">
        <v>134.83</v>
      </c>
      <c r="DC65" s="135">
        <v>129.77</v>
      </c>
      <c r="DD65" s="135">
        <v>0.06</v>
      </c>
      <c r="DE65" s="135">
        <v>129.72</v>
      </c>
      <c r="DF65" s="135">
        <v>3.25</v>
      </c>
      <c r="DG65" s="135">
        <v>0.0</v>
      </c>
      <c r="DH65" s="135">
        <v>3.25</v>
      </c>
      <c r="DI65" s="135">
        <v>1.84</v>
      </c>
      <c r="DJ65" s="135">
        <v>0.0</v>
      </c>
      <c r="DK65" s="135">
        <v>1.84</v>
      </c>
      <c r="DL65" s="135">
        <v>0.03</v>
      </c>
      <c r="DM65" s="135">
        <v>0.0</v>
      </c>
      <c r="DN65" s="135">
        <v>0.03</v>
      </c>
    </row>
    <row r="66">
      <c r="A66" s="214">
        <v>46260.0</v>
      </c>
      <c r="B66" s="135" t="s">
        <v>4</v>
      </c>
      <c r="C66" s="135" t="s">
        <v>145</v>
      </c>
      <c r="D66" s="135">
        <v>725.0</v>
      </c>
      <c r="E66" s="135">
        <v>16.57</v>
      </c>
      <c r="F66" s="135">
        <v>217.3</v>
      </c>
      <c r="G66" s="135">
        <v>0.2997</v>
      </c>
      <c r="H66" s="135">
        <v>4.0</v>
      </c>
      <c r="I66" s="135">
        <v>7.4931</v>
      </c>
      <c r="J66" s="135">
        <v>92.53</v>
      </c>
      <c r="K66" s="135">
        <v>62.68</v>
      </c>
      <c r="L66" s="135">
        <v>47.94</v>
      </c>
      <c r="M66" s="135">
        <v>0.7648</v>
      </c>
      <c r="N66" s="135">
        <v>0.2838</v>
      </c>
      <c r="O66" s="135">
        <v>0.1558</v>
      </c>
      <c r="P66" s="135">
        <v>1.3075</v>
      </c>
      <c r="Q66" s="135">
        <v>263.83</v>
      </c>
      <c r="R66" s="135">
        <v>198.75</v>
      </c>
      <c r="S66" s="135">
        <v>65.08</v>
      </c>
      <c r="T66" s="135">
        <v>21.31</v>
      </c>
      <c r="U66" s="135">
        <v>242.52</v>
      </c>
      <c r="V66" s="135">
        <v>262.14</v>
      </c>
      <c r="W66" s="135">
        <v>4.1819</v>
      </c>
      <c r="X66" s="135">
        <v>8.08</v>
      </c>
      <c r="Y66" s="135">
        <v>365.0</v>
      </c>
      <c r="Z66" s="135">
        <v>530.0</v>
      </c>
      <c r="AA66" s="135">
        <v>874.0</v>
      </c>
      <c r="AB66" s="135">
        <v>52.6881</v>
      </c>
      <c r="AC66" s="135">
        <v>0.7871</v>
      </c>
      <c r="AD66" s="135">
        <v>29.1</v>
      </c>
      <c r="AE66" s="135">
        <v>11.0</v>
      </c>
      <c r="AF66" s="135">
        <v>23.0</v>
      </c>
      <c r="AG66" s="135">
        <v>42.0</v>
      </c>
      <c r="AH66" s="135">
        <v>61.0</v>
      </c>
      <c r="AI66" s="135">
        <v>42.21</v>
      </c>
      <c r="AJ66" s="135">
        <v>10.34</v>
      </c>
      <c r="AK66" s="135">
        <v>1.93</v>
      </c>
      <c r="AQ66" s="135">
        <v>15.5338</v>
      </c>
      <c r="AR66" s="135">
        <v>0.2745</v>
      </c>
      <c r="AS66" s="135">
        <v>15.2593</v>
      </c>
      <c r="AT66" s="135">
        <v>13.0097</v>
      </c>
      <c r="AU66" s="135">
        <v>0.2075</v>
      </c>
      <c r="AV66" s="135">
        <v>725.0</v>
      </c>
      <c r="AW66" s="135">
        <v>0.0</v>
      </c>
      <c r="AX66" s="135">
        <v>187.81</v>
      </c>
      <c r="AY66" s="135">
        <v>47.89</v>
      </c>
      <c r="AZ66" s="135">
        <v>2.72</v>
      </c>
      <c r="BA66" s="135">
        <v>21.31</v>
      </c>
      <c r="BB66" s="135">
        <v>4.1</v>
      </c>
      <c r="BC66" s="135">
        <v>118.0</v>
      </c>
      <c r="BD66" s="135">
        <v>1797.0</v>
      </c>
      <c r="BE66" s="135">
        <v>9.9903</v>
      </c>
      <c r="BF66" s="135">
        <v>0.1241</v>
      </c>
      <c r="BG66" s="135">
        <v>9.8662</v>
      </c>
      <c r="BH66" s="135">
        <v>5.9683</v>
      </c>
      <c r="BI66" s="135">
        <v>0.0952</v>
      </c>
      <c r="BJ66" s="135">
        <v>5.5434</v>
      </c>
      <c r="BK66" s="135">
        <v>0.1503</v>
      </c>
      <c r="BL66" s="135">
        <v>5.3931</v>
      </c>
      <c r="BM66" s="135">
        <v>7.0414</v>
      </c>
      <c r="BN66" s="135">
        <v>0.1123</v>
      </c>
      <c r="BO66" s="135">
        <v>3.7034</v>
      </c>
      <c r="BP66" s="135">
        <v>0.0414</v>
      </c>
      <c r="BQ66" s="135">
        <v>3.6621</v>
      </c>
      <c r="BR66" s="135">
        <v>2.1476</v>
      </c>
      <c r="BS66" s="135">
        <v>4.1172</v>
      </c>
      <c r="BT66" s="135">
        <v>0.0372</v>
      </c>
      <c r="BU66" s="135">
        <v>4.08</v>
      </c>
      <c r="BV66" s="135">
        <v>2.3766</v>
      </c>
      <c r="BW66" s="135">
        <v>2.1697</v>
      </c>
      <c r="BX66" s="135">
        <v>0.0455</v>
      </c>
      <c r="BY66" s="135">
        <v>2.1241</v>
      </c>
      <c r="BZ66" s="135">
        <v>1.4441</v>
      </c>
      <c r="CA66" s="135">
        <v>0.9503</v>
      </c>
      <c r="CB66" s="135">
        <v>0.04</v>
      </c>
      <c r="CC66" s="135">
        <v>0.9103</v>
      </c>
      <c r="CD66" s="135">
        <v>2.1172</v>
      </c>
      <c r="CE66" s="135">
        <v>2.1655</v>
      </c>
      <c r="CF66" s="135">
        <v>0.051</v>
      </c>
      <c r="CG66" s="135">
        <v>2.1145</v>
      </c>
      <c r="CH66" s="135">
        <v>2.0897</v>
      </c>
      <c r="CI66" s="135">
        <v>2.4276</v>
      </c>
      <c r="CJ66" s="135">
        <v>0.0593</v>
      </c>
      <c r="CK66" s="135">
        <v>2.3683</v>
      </c>
      <c r="CL66" s="135">
        <v>2.8345</v>
      </c>
      <c r="CM66" s="135">
        <v>470.03</v>
      </c>
      <c r="CN66" s="135">
        <v>97.52</v>
      </c>
      <c r="CO66" s="135">
        <v>481.99</v>
      </c>
      <c r="CP66" s="135">
        <v>450.38</v>
      </c>
      <c r="CQ66" s="135">
        <v>0.0</v>
      </c>
      <c r="CR66" s="135">
        <v>10.7</v>
      </c>
      <c r="CS66" s="135">
        <v>8.94</v>
      </c>
      <c r="CT66" s="135">
        <v>0.0</v>
      </c>
      <c r="CU66" s="135">
        <v>0.0</v>
      </c>
      <c r="CV66" s="135">
        <v>0.0</v>
      </c>
      <c r="CW66" s="135">
        <v>263.83</v>
      </c>
      <c r="CX66" s="135">
        <v>0.0</v>
      </c>
      <c r="CY66" s="135">
        <v>0.0</v>
      </c>
      <c r="CZ66" s="135">
        <v>272.02</v>
      </c>
      <c r="DA66" s="135">
        <v>1.04</v>
      </c>
      <c r="DB66" s="135">
        <v>270.98</v>
      </c>
      <c r="DC66" s="135">
        <v>258.14</v>
      </c>
      <c r="DD66" s="135">
        <v>0.71</v>
      </c>
      <c r="DE66" s="135">
        <v>257.43</v>
      </c>
      <c r="DF66" s="135">
        <v>8.37</v>
      </c>
      <c r="DG66" s="135">
        <v>0.11</v>
      </c>
      <c r="DH66" s="135">
        <v>8.26</v>
      </c>
      <c r="DI66" s="135">
        <v>4.59</v>
      </c>
      <c r="DJ66" s="135">
        <v>0.11</v>
      </c>
      <c r="DK66" s="135">
        <v>4.48</v>
      </c>
      <c r="DL66" s="135">
        <v>0.92</v>
      </c>
      <c r="DM66" s="135">
        <v>0.11</v>
      </c>
      <c r="DN66" s="135">
        <v>0.81</v>
      </c>
    </row>
    <row r="67">
      <c r="A67" s="214">
        <v>46260.0</v>
      </c>
      <c r="B67" s="135" t="s">
        <v>4</v>
      </c>
      <c r="C67" s="135" t="s">
        <v>146</v>
      </c>
      <c r="D67" s="135">
        <v>207.0</v>
      </c>
      <c r="E67" s="135">
        <v>4.73</v>
      </c>
      <c r="F67" s="135">
        <v>191.86</v>
      </c>
      <c r="G67" s="135">
        <v>0.9269</v>
      </c>
      <c r="H67" s="135">
        <v>8.21</v>
      </c>
      <c r="I67" s="135">
        <v>11.2859</v>
      </c>
      <c r="J67" s="135">
        <v>232.02</v>
      </c>
      <c r="K67" s="135">
        <v>168.19</v>
      </c>
      <c r="L67" s="135">
        <v>130.61</v>
      </c>
      <c r="M67" s="135">
        <v>0.7766</v>
      </c>
      <c r="N67" s="135">
        <v>0.2659</v>
      </c>
      <c r="O67" s="135">
        <v>0.1425</v>
      </c>
      <c r="P67" s="135">
        <v>1.2877</v>
      </c>
      <c r="Q67" s="135">
        <v>613.43</v>
      </c>
      <c r="R67" s="135">
        <v>449.1</v>
      </c>
      <c r="S67" s="135">
        <v>164.32</v>
      </c>
      <c r="T67" s="135">
        <v>59.66</v>
      </c>
      <c r="U67" s="135">
        <v>553.76</v>
      </c>
      <c r="V67" s="135">
        <v>626.57</v>
      </c>
      <c r="W67" s="135">
        <v>3.7254</v>
      </c>
      <c r="X67" s="135">
        <v>9.73</v>
      </c>
      <c r="Y67" s="135">
        <v>471.0</v>
      </c>
      <c r="Z67" s="135">
        <v>816.0</v>
      </c>
      <c r="AA67" s="135">
        <v>1148.0</v>
      </c>
      <c r="AB67" s="135">
        <v>56.535</v>
      </c>
      <c r="AC67" s="135">
        <v>0.8288</v>
      </c>
      <c r="AD67" s="135">
        <v>60.99</v>
      </c>
      <c r="AE67" s="135">
        <v>22.0</v>
      </c>
      <c r="AF67" s="135">
        <v>44.0</v>
      </c>
      <c r="AG67" s="135">
        <v>80.0</v>
      </c>
      <c r="AH67" s="135">
        <v>139.0</v>
      </c>
      <c r="AI67" s="135">
        <v>25.12</v>
      </c>
      <c r="AJ67" s="135">
        <v>6.76</v>
      </c>
      <c r="AK67" s="135">
        <v>0.0</v>
      </c>
      <c r="AQ67" s="135">
        <v>39.3816</v>
      </c>
      <c r="AR67" s="135">
        <v>0.9614</v>
      </c>
      <c r="AS67" s="135">
        <v>38.4203</v>
      </c>
      <c r="AT67" s="135">
        <v>33.4396</v>
      </c>
      <c r="AU67" s="135">
        <v>0.1988</v>
      </c>
      <c r="AV67" s="135">
        <v>207.0</v>
      </c>
      <c r="AW67" s="135">
        <v>0.0</v>
      </c>
      <c r="AX67" s="135">
        <v>427.32</v>
      </c>
      <c r="AY67" s="135">
        <v>108.96</v>
      </c>
      <c r="AZ67" s="135">
        <v>6.4</v>
      </c>
      <c r="BA67" s="135">
        <v>59.66</v>
      </c>
      <c r="BB67" s="135">
        <v>11.08</v>
      </c>
      <c r="BC67" s="135">
        <v>248.0</v>
      </c>
      <c r="BD67" s="135">
        <v>1890.0</v>
      </c>
      <c r="BE67" s="135">
        <v>24.1643</v>
      </c>
      <c r="BF67" s="135">
        <v>0.4058</v>
      </c>
      <c r="BG67" s="135">
        <v>23.7585</v>
      </c>
      <c r="BH67" s="135">
        <v>17.3092</v>
      </c>
      <c r="BI67" s="135">
        <v>0.1029</v>
      </c>
      <c r="BJ67" s="135">
        <v>15.2174</v>
      </c>
      <c r="BK67" s="135">
        <v>0.5556</v>
      </c>
      <c r="BL67" s="135">
        <v>14.6618</v>
      </c>
      <c r="BM67" s="135">
        <v>16.1304</v>
      </c>
      <c r="BN67" s="135">
        <v>0.0959</v>
      </c>
      <c r="BO67" s="135">
        <v>8.6715</v>
      </c>
      <c r="BP67" s="135">
        <v>0.1304</v>
      </c>
      <c r="BQ67" s="135">
        <v>8.5411</v>
      </c>
      <c r="BR67" s="135">
        <v>6.1546</v>
      </c>
      <c r="BS67" s="135">
        <v>9.7874</v>
      </c>
      <c r="BT67" s="135">
        <v>0.1304</v>
      </c>
      <c r="BU67" s="135">
        <v>9.657</v>
      </c>
      <c r="BV67" s="135">
        <v>6.8213</v>
      </c>
      <c r="BW67" s="135">
        <v>5.7053</v>
      </c>
      <c r="BX67" s="135">
        <v>0.1449</v>
      </c>
      <c r="BY67" s="135">
        <v>5.5604</v>
      </c>
      <c r="BZ67" s="135">
        <v>4.3333</v>
      </c>
      <c r="CA67" s="135">
        <v>3.2415</v>
      </c>
      <c r="CB67" s="135">
        <v>0.1691</v>
      </c>
      <c r="CC67" s="135">
        <v>3.0725</v>
      </c>
      <c r="CD67" s="135">
        <v>3.9469</v>
      </c>
      <c r="CE67" s="135">
        <v>5.628</v>
      </c>
      <c r="CF67" s="135">
        <v>0.1932</v>
      </c>
      <c r="CG67" s="135">
        <v>5.4348</v>
      </c>
      <c r="CH67" s="135">
        <v>5.7585</v>
      </c>
      <c r="CI67" s="135">
        <v>6.3478</v>
      </c>
      <c r="CJ67" s="135">
        <v>0.1932</v>
      </c>
      <c r="CK67" s="135">
        <v>6.1546</v>
      </c>
      <c r="CL67" s="135">
        <v>6.4251</v>
      </c>
      <c r="CM67" s="135">
        <v>1428.41</v>
      </c>
      <c r="CN67" s="135">
        <v>100.0</v>
      </c>
      <c r="CO67" s="135">
        <v>1428.41</v>
      </c>
      <c r="CP67" s="135">
        <v>1393.0</v>
      </c>
      <c r="CQ67" s="135">
        <v>0.0</v>
      </c>
      <c r="CR67" s="135">
        <v>24.44</v>
      </c>
      <c r="CS67" s="135">
        <v>10.97</v>
      </c>
      <c r="CT67" s="135">
        <v>0.0</v>
      </c>
      <c r="CU67" s="135">
        <v>0.0</v>
      </c>
      <c r="CV67" s="135">
        <v>0.0</v>
      </c>
      <c r="CW67" s="135">
        <v>613.43</v>
      </c>
      <c r="CX67" s="135">
        <v>0.0</v>
      </c>
      <c r="CY67" s="135">
        <v>0.0</v>
      </c>
      <c r="CZ67" s="135">
        <v>669.76</v>
      </c>
      <c r="DA67" s="135">
        <v>4.01</v>
      </c>
      <c r="DB67" s="135">
        <v>665.75</v>
      </c>
      <c r="DC67" s="135">
        <v>638.43</v>
      </c>
      <c r="DD67" s="135">
        <v>3.43</v>
      </c>
      <c r="DE67" s="135">
        <v>635.0</v>
      </c>
      <c r="DF67" s="135">
        <v>16.43</v>
      </c>
      <c r="DG67" s="135">
        <v>0.19</v>
      </c>
      <c r="DH67" s="135">
        <v>16.23</v>
      </c>
      <c r="DI67" s="135">
        <v>10.48</v>
      </c>
      <c r="DJ67" s="135">
        <v>0.19</v>
      </c>
      <c r="DK67" s="135">
        <v>10.29</v>
      </c>
      <c r="DL67" s="135">
        <v>4.42</v>
      </c>
      <c r="DM67" s="135">
        <v>0.19</v>
      </c>
      <c r="DN67" s="135">
        <v>4.23</v>
      </c>
    </row>
    <row r="68">
      <c r="A68" s="214">
        <v>46260.0</v>
      </c>
      <c r="B68" s="135" t="s">
        <v>5</v>
      </c>
      <c r="C68" s="135" t="s">
        <v>398</v>
      </c>
      <c r="D68" s="135">
        <v>752.0</v>
      </c>
      <c r="E68" s="135">
        <v>16.61</v>
      </c>
      <c r="F68" s="135">
        <v>9.62</v>
      </c>
      <c r="G68" s="135">
        <v>0.0128</v>
      </c>
      <c r="H68" s="135">
        <v>0.13</v>
      </c>
      <c r="I68" s="135">
        <v>9.62</v>
      </c>
      <c r="J68" s="135">
        <v>1.73</v>
      </c>
      <c r="K68" s="135">
        <v>0.3</v>
      </c>
      <c r="L68" s="135">
        <v>0.0</v>
      </c>
      <c r="M68" s="135">
        <v>0.0</v>
      </c>
      <c r="N68" s="135">
        <v>1.0</v>
      </c>
      <c r="O68" s="135">
        <v>1.0</v>
      </c>
      <c r="Q68" s="135">
        <v>2.28</v>
      </c>
      <c r="R68" s="135">
        <v>2.24</v>
      </c>
      <c r="S68" s="135">
        <v>0.05</v>
      </c>
      <c r="T68" s="135">
        <v>0.66</v>
      </c>
      <c r="U68" s="135">
        <v>1.62</v>
      </c>
      <c r="V68" s="135">
        <v>0.47</v>
      </c>
      <c r="W68" s="135">
        <v>1.5625</v>
      </c>
      <c r="X68" s="135">
        <v>29.12</v>
      </c>
      <c r="Y68" s="135">
        <v>200.0</v>
      </c>
      <c r="Z68" s="135">
        <v>200.0</v>
      </c>
      <c r="AA68" s="135">
        <v>204.0</v>
      </c>
      <c r="AB68" s="135">
        <v>49.6596</v>
      </c>
      <c r="AC68" s="135">
        <v>0.7188</v>
      </c>
      <c r="AI68" s="135">
        <v>0.0</v>
      </c>
      <c r="AJ68" s="135">
        <v>0.0</v>
      </c>
      <c r="AK68" s="135">
        <v>0.0</v>
      </c>
      <c r="AM68" s="135">
        <v>0.0</v>
      </c>
      <c r="AN68" s="135">
        <v>0.0</v>
      </c>
      <c r="AO68" s="135">
        <v>0.0</v>
      </c>
      <c r="AP68" s="135">
        <v>0.0</v>
      </c>
      <c r="AQ68" s="135">
        <v>0.1569</v>
      </c>
      <c r="AR68" s="135">
        <v>0.016</v>
      </c>
      <c r="AS68" s="135">
        <v>0.141</v>
      </c>
      <c r="AT68" s="135">
        <v>0.0785</v>
      </c>
      <c r="AU68" s="135">
        <v>0.2634</v>
      </c>
      <c r="AV68" s="135">
        <v>752.0</v>
      </c>
      <c r="AW68" s="135">
        <v>0.0</v>
      </c>
      <c r="AX68" s="135">
        <v>1.37</v>
      </c>
      <c r="AY68" s="135">
        <v>0.24</v>
      </c>
      <c r="AZ68" s="135">
        <v>0.0</v>
      </c>
      <c r="BA68" s="135">
        <v>0.66</v>
      </c>
      <c r="BB68" s="135">
        <v>0.01</v>
      </c>
      <c r="BD68" s="135">
        <v>415.0</v>
      </c>
      <c r="BE68" s="135">
        <v>0.0771</v>
      </c>
      <c r="BF68" s="135">
        <v>0.008</v>
      </c>
      <c r="BG68" s="135">
        <v>0.0691</v>
      </c>
      <c r="BH68" s="135">
        <v>0.0306</v>
      </c>
      <c r="BI68" s="135">
        <v>0.1027</v>
      </c>
      <c r="BJ68" s="135">
        <v>0.0798</v>
      </c>
      <c r="BK68" s="135">
        <v>0.008</v>
      </c>
      <c r="BL68" s="135">
        <v>0.0718</v>
      </c>
      <c r="BM68" s="135">
        <v>0.0479</v>
      </c>
      <c r="BN68" s="135">
        <v>0.1607</v>
      </c>
      <c r="BO68" s="135">
        <v>0.0239</v>
      </c>
      <c r="BP68" s="135">
        <v>0.0027</v>
      </c>
      <c r="BQ68" s="135">
        <v>0.0213</v>
      </c>
      <c r="BR68" s="135">
        <v>0.0133</v>
      </c>
      <c r="BS68" s="135">
        <v>0.0346</v>
      </c>
      <c r="BT68" s="135">
        <v>0.0027</v>
      </c>
      <c r="BU68" s="135">
        <v>0.0319</v>
      </c>
      <c r="BV68" s="135">
        <v>0.0093</v>
      </c>
      <c r="BW68" s="135">
        <v>0.0186</v>
      </c>
      <c r="BX68" s="135">
        <v>0.0027</v>
      </c>
      <c r="BY68" s="135">
        <v>0.016</v>
      </c>
      <c r="BZ68" s="135">
        <v>0.008</v>
      </c>
      <c r="CA68" s="135">
        <v>0.0053</v>
      </c>
      <c r="CB68" s="135">
        <v>0.0027</v>
      </c>
      <c r="CC68" s="135">
        <v>0.0027</v>
      </c>
      <c r="CD68" s="135">
        <v>0.0053</v>
      </c>
      <c r="CE68" s="135">
        <v>0.0452</v>
      </c>
      <c r="CF68" s="135">
        <v>0.0027</v>
      </c>
      <c r="CG68" s="135">
        <v>0.0426</v>
      </c>
      <c r="CH68" s="135">
        <v>0.0199</v>
      </c>
      <c r="CI68" s="135">
        <v>0.0293</v>
      </c>
      <c r="CJ68" s="135">
        <v>0.0027</v>
      </c>
      <c r="CK68" s="135">
        <v>0.0266</v>
      </c>
      <c r="CL68" s="135">
        <v>0.0226</v>
      </c>
      <c r="CM68" s="135">
        <v>0.07</v>
      </c>
      <c r="CN68" s="135">
        <v>0.27</v>
      </c>
      <c r="CO68" s="135">
        <v>25.0</v>
      </c>
      <c r="CP68" s="135">
        <v>0.0</v>
      </c>
      <c r="CQ68" s="135">
        <v>0.01</v>
      </c>
      <c r="CR68" s="135">
        <v>0.05</v>
      </c>
      <c r="CS68" s="135">
        <v>0.0</v>
      </c>
      <c r="CT68" s="135">
        <v>0.0</v>
      </c>
      <c r="CU68" s="135">
        <v>9.0</v>
      </c>
      <c r="CV68" s="135">
        <v>0.0</v>
      </c>
      <c r="CW68" s="135">
        <v>2.28</v>
      </c>
      <c r="CX68" s="135">
        <v>0.0</v>
      </c>
      <c r="CY68" s="135">
        <v>0.01</v>
      </c>
      <c r="CZ68" s="135">
        <v>3.17</v>
      </c>
      <c r="DA68" s="135">
        <v>0.0</v>
      </c>
      <c r="DB68" s="135">
        <v>3.17</v>
      </c>
      <c r="DC68" s="135">
        <v>3.13</v>
      </c>
      <c r="DD68" s="135">
        <v>0.0</v>
      </c>
      <c r="DE68" s="135">
        <v>3.13</v>
      </c>
      <c r="DF68" s="135">
        <v>0.01</v>
      </c>
      <c r="DG68" s="135">
        <v>0.0</v>
      </c>
      <c r="DH68" s="135">
        <v>0.01</v>
      </c>
      <c r="DI68" s="135">
        <v>0.03</v>
      </c>
      <c r="DJ68" s="135">
        <v>0.0</v>
      </c>
      <c r="DK68" s="135">
        <v>0.03</v>
      </c>
      <c r="DL68" s="135">
        <v>0.0</v>
      </c>
      <c r="DM68" s="135">
        <v>0.0</v>
      </c>
      <c r="DN68" s="135">
        <v>0.0</v>
      </c>
    </row>
    <row r="69">
      <c r="A69" s="214">
        <v>46260.0</v>
      </c>
      <c r="B69" s="135" t="s">
        <v>5</v>
      </c>
      <c r="C69" s="135" t="s">
        <v>142</v>
      </c>
      <c r="D69" s="135">
        <v>1164.0</v>
      </c>
      <c r="E69" s="135">
        <v>25.71</v>
      </c>
      <c r="F69" s="135">
        <v>0.0</v>
      </c>
      <c r="G69" s="135">
        <v>0.0</v>
      </c>
      <c r="H69" s="135">
        <v>0.0</v>
      </c>
      <c r="J69" s="135">
        <v>5.41</v>
      </c>
      <c r="K69" s="135">
        <v>4.53</v>
      </c>
      <c r="L69" s="135">
        <v>4.05</v>
      </c>
      <c r="M69" s="135">
        <v>0.8948</v>
      </c>
      <c r="N69" s="135">
        <v>0.1122</v>
      </c>
      <c r="O69" s="135">
        <v>0.0627</v>
      </c>
      <c r="P69" s="135">
        <v>1.1176</v>
      </c>
      <c r="Q69" s="135">
        <v>8.08</v>
      </c>
      <c r="R69" s="135">
        <v>7.19</v>
      </c>
      <c r="S69" s="135">
        <v>0.89</v>
      </c>
      <c r="T69" s="135">
        <v>0.0</v>
      </c>
      <c r="U69" s="135">
        <v>8.08</v>
      </c>
      <c r="V69" s="135">
        <v>7.39</v>
      </c>
      <c r="W69" s="135">
        <v>1.6303</v>
      </c>
      <c r="X69" s="135">
        <v>0.0</v>
      </c>
      <c r="Y69" s="135">
        <v>200.0</v>
      </c>
      <c r="Z69" s="135">
        <v>211.0</v>
      </c>
      <c r="AA69" s="135">
        <v>240.0</v>
      </c>
      <c r="AB69" s="135">
        <v>49.8526</v>
      </c>
      <c r="AC69" s="135">
        <v>0.8428</v>
      </c>
      <c r="AD69" s="135">
        <v>3.88</v>
      </c>
      <c r="AE69" s="135">
        <v>2.0</v>
      </c>
      <c r="AF69" s="135">
        <v>3.0</v>
      </c>
      <c r="AG69" s="135">
        <v>5.0</v>
      </c>
      <c r="AH69" s="135">
        <v>8.0</v>
      </c>
      <c r="AI69" s="135">
        <v>80.33</v>
      </c>
      <c r="AJ69" s="135">
        <v>37.11</v>
      </c>
      <c r="AK69" s="135">
        <v>2.06</v>
      </c>
      <c r="AM69" s="135">
        <v>0.17</v>
      </c>
      <c r="AN69" s="135">
        <v>0.17</v>
      </c>
      <c r="AO69" s="135">
        <v>0.0</v>
      </c>
      <c r="AP69" s="135">
        <v>0.0</v>
      </c>
      <c r="AQ69" s="135">
        <v>0.5241</v>
      </c>
      <c r="AR69" s="135">
        <v>0.0206</v>
      </c>
      <c r="AS69" s="135">
        <v>0.5034</v>
      </c>
      <c r="AT69" s="135">
        <v>0.5756</v>
      </c>
      <c r="AU69" s="135">
        <v>0.127</v>
      </c>
      <c r="AV69" s="135">
        <v>1164.0</v>
      </c>
      <c r="AW69" s="135">
        <v>0.0</v>
      </c>
      <c r="AX69" s="135">
        <v>7.93</v>
      </c>
      <c r="AY69" s="135">
        <v>0.12</v>
      </c>
      <c r="AZ69" s="135">
        <v>0.03</v>
      </c>
      <c r="BA69" s="135">
        <v>0.0</v>
      </c>
      <c r="BB69" s="135">
        <v>0.0</v>
      </c>
      <c r="BC69" s="135">
        <v>11.0</v>
      </c>
      <c r="BD69" s="135">
        <v>322.0</v>
      </c>
      <c r="BE69" s="135">
        <v>0.4605</v>
      </c>
      <c r="BF69" s="135">
        <v>0.0206</v>
      </c>
      <c r="BG69" s="135">
        <v>0.4399</v>
      </c>
      <c r="BH69" s="135">
        <v>0.506</v>
      </c>
      <c r="BI69" s="135">
        <v>0.1117</v>
      </c>
      <c r="BJ69" s="135">
        <v>0.0636</v>
      </c>
      <c r="BK69" s="135">
        <v>0.0</v>
      </c>
      <c r="BL69" s="135">
        <v>0.0636</v>
      </c>
      <c r="BM69" s="135">
        <v>0.0696</v>
      </c>
      <c r="BN69" s="135">
        <v>0.0154</v>
      </c>
      <c r="BO69" s="135">
        <v>0.067</v>
      </c>
      <c r="BP69" s="135">
        <v>0.018</v>
      </c>
      <c r="BQ69" s="135">
        <v>0.049</v>
      </c>
      <c r="BR69" s="135">
        <v>0.2397</v>
      </c>
      <c r="BS69" s="135">
        <v>0.2878</v>
      </c>
      <c r="BT69" s="135">
        <v>0.0</v>
      </c>
      <c r="BU69" s="135">
        <v>0.2878</v>
      </c>
      <c r="BV69" s="135">
        <v>0.1366</v>
      </c>
      <c r="BW69" s="135">
        <v>0.1057</v>
      </c>
      <c r="BX69" s="135">
        <v>0.0026</v>
      </c>
      <c r="BY69" s="135">
        <v>0.1031</v>
      </c>
      <c r="BZ69" s="135">
        <v>0.1297</v>
      </c>
      <c r="CA69" s="135">
        <v>0.0026</v>
      </c>
      <c r="CB69" s="135">
        <v>0.0</v>
      </c>
      <c r="CC69" s="135">
        <v>0.0026</v>
      </c>
      <c r="CD69" s="135">
        <v>0.018</v>
      </c>
      <c r="CE69" s="135">
        <v>0.049</v>
      </c>
      <c r="CF69" s="135">
        <v>0.0</v>
      </c>
      <c r="CG69" s="135">
        <v>0.049</v>
      </c>
      <c r="CH69" s="135">
        <v>0.0284</v>
      </c>
      <c r="CI69" s="135">
        <v>0.012</v>
      </c>
      <c r="CJ69" s="135">
        <v>0.0</v>
      </c>
      <c r="CK69" s="135">
        <v>0.012</v>
      </c>
      <c r="CL69" s="135">
        <v>0.0232</v>
      </c>
      <c r="CM69" s="135">
        <v>2.46</v>
      </c>
      <c r="CN69" s="135">
        <v>3.26</v>
      </c>
      <c r="CO69" s="135">
        <v>75.34</v>
      </c>
      <c r="CP69" s="135">
        <v>2.21</v>
      </c>
      <c r="CQ69" s="135">
        <v>0.11</v>
      </c>
      <c r="CR69" s="135">
        <v>0.14</v>
      </c>
      <c r="CS69" s="135">
        <v>0.0</v>
      </c>
      <c r="CT69" s="135">
        <v>0.0</v>
      </c>
      <c r="CU69" s="135">
        <v>4.0</v>
      </c>
      <c r="CV69" s="135">
        <v>0.02</v>
      </c>
      <c r="CW69" s="135">
        <v>8.1</v>
      </c>
      <c r="CX69" s="135">
        <v>0.01</v>
      </c>
      <c r="CY69" s="135">
        <v>0.12</v>
      </c>
      <c r="CZ69" s="135">
        <v>6.16</v>
      </c>
      <c r="DA69" s="135">
        <v>0.0</v>
      </c>
      <c r="DB69" s="135">
        <v>6.16</v>
      </c>
      <c r="DC69" s="135">
        <v>6.08</v>
      </c>
      <c r="DD69" s="135">
        <v>0.0</v>
      </c>
      <c r="DE69" s="135">
        <v>6.08</v>
      </c>
      <c r="DF69" s="135">
        <v>0.03</v>
      </c>
      <c r="DG69" s="135">
        <v>0.0</v>
      </c>
      <c r="DH69" s="135">
        <v>0.03</v>
      </c>
      <c r="DI69" s="135">
        <v>0.05</v>
      </c>
      <c r="DJ69" s="135">
        <v>0.0</v>
      </c>
      <c r="DK69" s="135">
        <v>0.05</v>
      </c>
      <c r="DL69" s="135">
        <v>0.0</v>
      </c>
      <c r="DM69" s="135">
        <v>0.0</v>
      </c>
      <c r="DN69" s="135">
        <v>0.0</v>
      </c>
    </row>
    <row r="70">
      <c r="A70" s="214">
        <v>46260.0</v>
      </c>
      <c r="B70" s="135" t="s">
        <v>5</v>
      </c>
      <c r="C70" s="135" t="s">
        <v>143</v>
      </c>
      <c r="D70" s="135">
        <v>824.0</v>
      </c>
      <c r="E70" s="135">
        <v>18.2</v>
      </c>
      <c r="F70" s="135">
        <v>3.07</v>
      </c>
      <c r="G70" s="135">
        <v>0.0037</v>
      </c>
      <c r="H70" s="135">
        <v>0.12</v>
      </c>
      <c r="I70" s="135">
        <v>3.07</v>
      </c>
      <c r="J70" s="135">
        <v>17.22</v>
      </c>
      <c r="K70" s="135">
        <v>13.48</v>
      </c>
      <c r="L70" s="135">
        <v>11.61</v>
      </c>
      <c r="M70" s="135">
        <v>0.8612</v>
      </c>
      <c r="N70" s="135">
        <v>0.1609</v>
      </c>
      <c r="O70" s="135">
        <v>0.0982</v>
      </c>
      <c r="P70" s="135">
        <v>1.1611</v>
      </c>
      <c r="Q70" s="135">
        <v>47.86</v>
      </c>
      <c r="R70" s="135">
        <v>40.62</v>
      </c>
      <c r="S70" s="135">
        <v>7.25</v>
      </c>
      <c r="T70" s="135">
        <v>0.0</v>
      </c>
      <c r="U70" s="135">
        <v>47.86</v>
      </c>
      <c r="V70" s="135">
        <v>50.0</v>
      </c>
      <c r="W70" s="135">
        <v>3.7104</v>
      </c>
      <c r="X70" s="135">
        <v>0.0</v>
      </c>
      <c r="Y70" s="135">
        <v>240.0</v>
      </c>
      <c r="Z70" s="135">
        <v>303.0</v>
      </c>
      <c r="AA70" s="135">
        <v>375.0</v>
      </c>
      <c r="AB70" s="135">
        <v>49.8271</v>
      </c>
      <c r="AC70" s="135">
        <v>0.8875</v>
      </c>
      <c r="AD70" s="135">
        <v>10.06</v>
      </c>
      <c r="AE70" s="135">
        <v>5.0</v>
      </c>
      <c r="AF70" s="135">
        <v>10.0</v>
      </c>
      <c r="AG70" s="135">
        <v>14.0</v>
      </c>
      <c r="AH70" s="135">
        <v>17.0</v>
      </c>
      <c r="AI70" s="135">
        <v>72.94</v>
      </c>
      <c r="AJ70" s="135">
        <v>32.52</v>
      </c>
      <c r="AK70" s="135">
        <v>1.58</v>
      </c>
      <c r="AM70" s="135">
        <v>0.49</v>
      </c>
      <c r="AN70" s="135">
        <v>0.49</v>
      </c>
      <c r="AO70" s="135">
        <v>0.24</v>
      </c>
      <c r="AP70" s="135">
        <v>0.0</v>
      </c>
      <c r="AQ70" s="135">
        <v>3.4782</v>
      </c>
      <c r="AR70" s="135">
        <v>0.3641</v>
      </c>
      <c r="AS70" s="135">
        <v>3.1141</v>
      </c>
      <c r="AT70" s="135">
        <v>2.6553</v>
      </c>
      <c r="AU70" s="135">
        <v>0.197</v>
      </c>
      <c r="AV70" s="135">
        <v>824.0</v>
      </c>
      <c r="AW70" s="135">
        <v>0.0</v>
      </c>
      <c r="AX70" s="135">
        <v>41.49</v>
      </c>
      <c r="AY70" s="135">
        <v>5.42</v>
      </c>
      <c r="AZ70" s="135">
        <v>0.45</v>
      </c>
      <c r="BA70" s="135">
        <v>0.0</v>
      </c>
      <c r="BB70" s="135">
        <v>0.5</v>
      </c>
      <c r="BC70" s="135">
        <v>28.0</v>
      </c>
      <c r="BD70" s="135">
        <v>628.0</v>
      </c>
      <c r="BE70" s="135">
        <v>2.7063</v>
      </c>
      <c r="BF70" s="135">
        <v>0.3459</v>
      </c>
      <c r="BG70" s="135">
        <v>2.3604</v>
      </c>
      <c r="BH70" s="135">
        <v>1.8641</v>
      </c>
      <c r="BI70" s="135">
        <v>0.1383</v>
      </c>
      <c r="BJ70" s="135">
        <v>0.7718</v>
      </c>
      <c r="BK70" s="135">
        <v>0.0182</v>
      </c>
      <c r="BL70" s="135">
        <v>0.7536</v>
      </c>
      <c r="BM70" s="135">
        <v>0.7913</v>
      </c>
      <c r="BN70" s="135">
        <v>0.0587</v>
      </c>
      <c r="BO70" s="135">
        <v>0.9017</v>
      </c>
      <c r="BP70" s="135">
        <v>0.1383</v>
      </c>
      <c r="BQ70" s="135">
        <v>0.7633</v>
      </c>
      <c r="BR70" s="135">
        <v>0.7961</v>
      </c>
      <c r="BS70" s="135">
        <v>1.1432</v>
      </c>
      <c r="BT70" s="135">
        <v>0.091</v>
      </c>
      <c r="BU70" s="135">
        <v>1.0522</v>
      </c>
      <c r="BV70" s="135">
        <v>0.568</v>
      </c>
      <c r="BW70" s="135">
        <v>0.6614</v>
      </c>
      <c r="BX70" s="135">
        <v>0.1165</v>
      </c>
      <c r="BY70" s="135">
        <v>0.5449</v>
      </c>
      <c r="BZ70" s="135">
        <v>0.5</v>
      </c>
      <c r="CA70" s="135">
        <v>0.0595</v>
      </c>
      <c r="CB70" s="135">
        <v>0.0</v>
      </c>
      <c r="CC70" s="135">
        <v>0.0595</v>
      </c>
      <c r="CD70" s="135">
        <v>0.2039</v>
      </c>
      <c r="CE70" s="135">
        <v>0.4757</v>
      </c>
      <c r="CF70" s="135">
        <v>0.0036</v>
      </c>
      <c r="CG70" s="135">
        <v>0.4721</v>
      </c>
      <c r="CH70" s="135">
        <v>0.267</v>
      </c>
      <c r="CI70" s="135">
        <v>0.2367</v>
      </c>
      <c r="CJ70" s="135">
        <v>0.0146</v>
      </c>
      <c r="CK70" s="135">
        <v>0.2221</v>
      </c>
      <c r="CL70" s="135">
        <v>0.3204</v>
      </c>
      <c r="CM70" s="135">
        <v>37.05</v>
      </c>
      <c r="CN70" s="135">
        <v>46.24</v>
      </c>
      <c r="CO70" s="135">
        <v>80.13</v>
      </c>
      <c r="CP70" s="135">
        <v>29.7</v>
      </c>
      <c r="CQ70" s="135">
        <v>4.49</v>
      </c>
      <c r="CR70" s="135">
        <v>2.62</v>
      </c>
      <c r="CS70" s="135">
        <v>0.24</v>
      </c>
      <c r="CT70" s="135">
        <v>0.0</v>
      </c>
      <c r="CU70" s="135">
        <v>42.0</v>
      </c>
      <c r="CV70" s="135">
        <v>0.59</v>
      </c>
      <c r="CW70" s="135">
        <v>48.46</v>
      </c>
      <c r="CX70" s="135">
        <v>0.99</v>
      </c>
      <c r="CY70" s="135">
        <v>5.49</v>
      </c>
      <c r="CZ70" s="135">
        <v>60.04</v>
      </c>
      <c r="DA70" s="135">
        <v>0.0</v>
      </c>
      <c r="DB70" s="135">
        <v>60.04</v>
      </c>
      <c r="DC70" s="135">
        <v>58.22</v>
      </c>
      <c r="DD70" s="135">
        <v>0.0</v>
      </c>
      <c r="DE70" s="135">
        <v>58.22</v>
      </c>
      <c r="DF70" s="135">
        <v>0.98</v>
      </c>
      <c r="DG70" s="135">
        <v>0.0</v>
      </c>
      <c r="DH70" s="135">
        <v>0.98</v>
      </c>
      <c r="DI70" s="135">
        <v>0.84</v>
      </c>
      <c r="DJ70" s="135">
        <v>0.0</v>
      </c>
      <c r="DK70" s="135">
        <v>0.84</v>
      </c>
      <c r="DL70" s="135">
        <v>0.0</v>
      </c>
      <c r="DM70" s="135">
        <v>0.0</v>
      </c>
      <c r="DN70" s="135">
        <v>0.0</v>
      </c>
    </row>
    <row r="71">
      <c r="A71" s="214">
        <v>46260.0</v>
      </c>
      <c r="B71" s="135" t="s">
        <v>5</v>
      </c>
      <c r="C71" s="135" t="s">
        <v>144</v>
      </c>
      <c r="D71" s="135">
        <v>834.0</v>
      </c>
      <c r="E71" s="135">
        <v>18.42</v>
      </c>
      <c r="F71" s="135">
        <v>4.73</v>
      </c>
      <c r="G71" s="135">
        <v>0.0057</v>
      </c>
      <c r="H71" s="135">
        <v>0.36</v>
      </c>
      <c r="I71" s="135">
        <v>1.5767</v>
      </c>
      <c r="J71" s="135">
        <v>37.29</v>
      </c>
      <c r="K71" s="135">
        <v>26.45</v>
      </c>
      <c r="L71" s="135">
        <v>22.09</v>
      </c>
      <c r="M71" s="135">
        <v>0.835</v>
      </c>
      <c r="N71" s="135">
        <v>0.2056</v>
      </c>
      <c r="O71" s="135">
        <v>0.13</v>
      </c>
      <c r="P71" s="135">
        <v>1.1976</v>
      </c>
      <c r="Q71" s="135">
        <v>107.66</v>
      </c>
      <c r="R71" s="135">
        <v>94.62</v>
      </c>
      <c r="S71" s="135">
        <v>13.04</v>
      </c>
      <c r="T71" s="135">
        <v>0.6</v>
      </c>
      <c r="U71" s="135">
        <v>107.06</v>
      </c>
      <c r="V71" s="135">
        <v>97.18</v>
      </c>
      <c r="W71" s="135">
        <v>3.6737</v>
      </c>
      <c r="X71" s="135">
        <v>0.56</v>
      </c>
      <c r="Y71" s="135">
        <v>275.0</v>
      </c>
      <c r="Z71" s="135">
        <v>361.0</v>
      </c>
      <c r="AA71" s="135">
        <v>513.0</v>
      </c>
      <c r="AB71" s="135">
        <v>50.7904</v>
      </c>
      <c r="AC71" s="135">
        <v>0.8684</v>
      </c>
      <c r="AD71" s="135">
        <v>16.4</v>
      </c>
      <c r="AE71" s="135">
        <v>7.0</v>
      </c>
      <c r="AF71" s="135">
        <v>15.0</v>
      </c>
      <c r="AG71" s="135">
        <v>24.0</v>
      </c>
      <c r="AH71" s="135">
        <v>31.0</v>
      </c>
      <c r="AI71" s="135">
        <v>63.31</v>
      </c>
      <c r="AJ71" s="135">
        <v>22.18</v>
      </c>
      <c r="AK71" s="135">
        <v>1.44</v>
      </c>
      <c r="AM71" s="135">
        <v>8.27</v>
      </c>
      <c r="AN71" s="135">
        <v>8.27</v>
      </c>
      <c r="AO71" s="135">
        <v>2.52</v>
      </c>
      <c r="AP71" s="135">
        <v>1.08</v>
      </c>
      <c r="AQ71" s="135">
        <v>7.56</v>
      </c>
      <c r="AR71" s="135">
        <v>0.0791</v>
      </c>
      <c r="AS71" s="135">
        <v>7.4808</v>
      </c>
      <c r="AT71" s="135">
        <v>4.7038</v>
      </c>
      <c r="AU71" s="135">
        <v>0.1778</v>
      </c>
      <c r="AV71" s="135">
        <v>834.0</v>
      </c>
      <c r="AW71" s="135">
        <v>0.0</v>
      </c>
      <c r="AX71" s="135">
        <v>75.86</v>
      </c>
      <c r="AY71" s="135">
        <v>28.31</v>
      </c>
      <c r="AZ71" s="135">
        <v>1.06</v>
      </c>
      <c r="BA71" s="135">
        <v>0.6</v>
      </c>
      <c r="BB71" s="135">
        <v>1.83</v>
      </c>
      <c r="BC71" s="135">
        <v>45.0</v>
      </c>
      <c r="BD71" s="135">
        <v>995.0</v>
      </c>
      <c r="BE71" s="135">
        <v>4.9868</v>
      </c>
      <c r="BF71" s="135">
        <v>0.0576</v>
      </c>
      <c r="BG71" s="135">
        <v>4.9293</v>
      </c>
      <c r="BH71" s="135">
        <v>2.4868</v>
      </c>
      <c r="BI71" s="135">
        <v>0.094</v>
      </c>
      <c r="BJ71" s="135">
        <v>2.5731</v>
      </c>
      <c r="BK71" s="135">
        <v>0.0216</v>
      </c>
      <c r="BL71" s="135">
        <v>2.5516</v>
      </c>
      <c r="BM71" s="135">
        <v>2.217</v>
      </c>
      <c r="BN71" s="135">
        <v>0.0838</v>
      </c>
      <c r="BO71" s="135">
        <v>1.7122</v>
      </c>
      <c r="BP71" s="135">
        <v>0.036</v>
      </c>
      <c r="BQ71" s="135">
        <v>1.6763</v>
      </c>
      <c r="BR71" s="135">
        <v>0.9532</v>
      </c>
      <c r="BS71" s="135">
        <v>2.0707</v>
      </c>
      <c r="BT71" s="135">
        <v>0.0072</v>
      </c>
      <c r="BU71" s="135">
        <v>2.0635</v>
      </c>
      <c r="BV71" s="135">
        <v>0.8909</v>
      </c>
      <c r="BW71" s="135">
        <v>1.2038</v>
      </c>
      <c r="BX71" s="135">
        <v>0.0144</v>
      </c>
      <c r="BY71" s="135">
        <v>1.1894</v>
      </c>
      <c r="BZ71" s="135">
        <v>0.6427</v>
      </c>
      <c r="CA71" s="135">
        <v>0.4257</v>
      </c>
      <c r="CB71" s="135">
        <v>0.0036</v>
      </c>
      <c r="CC71" s="135">
        <v>0.4221</v>
      </c>
      <c r="CD71" s="135">
        <v>0.5276</v>
      </c>
      <c r="CE71" s="135">
        <v>0.9592</v>
      </c>
      <c r="CF71" s="135">
        <v>0.0036</v>
      </c>
      <c r="CG71" s="135">
        <v>0.9556</v>
      </c>
      <c r="CH71" s="135">
        <v>0.6906</v>
      </c>
      <c r="CI71" s="135">
        <v>1.1882</v>
      </c>
      <c r="CJ71" s="135">
        <v>0.0144</v>
      </c>
      <c r="CK71" s="135">
        <v>1.1739</v>
      </c>
      <c r="CL71" s="135">
        <v>0.9988</v>
      </c>
      <c r="CM71" s="135">
        <v>141.03</v>
      </c>
      <c r="CN71" s="135">
        <v>82.61</v>
      </c>
      <c r="CO71" s="135">
        <v>170.71</v>
      </c>
      <c r="CP71" s="135">
        <v>113.48</v>
      </c>
      <c r="CQ71" s="135">
        <v>21.47</v>
      </c>
      <c r="CR71" s="135">
        <v>5.32</v>
      </c>
      <c r="CS71" s="135">
        <v>0.76</v>
      </c>
      <c r="CT71" s="135">
        <v>0.0</v>
      </c>
      <c r="CU71" s="135">
        <v>150.0</v>
      </c>
      <c r="CV71" s="135">
        <v>2.41</v>
      </c>
      <c r="CW71" s="135">
        <v>110.07</v>
      </c>
      <c r="CX71" s="135">
        <v>3.89</v>
      </c>
      <c r="CY71" s="135">
        <v>25.36</v>
      </c>
      <c r="CZ71" s="135">
        <v>138.51</v>
      </c>
      <c r="DA71" s="135">
        <v>0.0</v>
      </c>
      <c r="DB71" s="135">
        <v>138.51</v>
      </c>
      <c r="DC71" s="135">
        <v>133.11</v>
      </c>
      <c r="DD71" s="135">
        <v>0.0</v>
      </c>
      <c r="DE71" s="135">
        <v>133.11</v>
      </c>
      <c r="DF71" s="135">
        <v>3.53</v>
      </c>
      <c r="DG71" s="135">
        <v>0.0</v>
      </c>
      <c r="DH71" s="135">
        <v>3.53</v>
      </c>
      <c r="DI71" s="135">
        <v>1.82</v>
      </c>
      <c r="DJ71" s="135">
        <v>0.0</v>
      </c>
      <c r="DK71" s="135">
        <v>1.82</v>
      </c>
      <c r="DL71" s="135">
        <v>0.05</v>
      </c>
      <c r="DM71" s="135">
        <v>0.0</v>
      </c>
      <c r="DN71" s="135">
        <v>0.05</v>
      </c>
    </row>
    <row r="72">
      <c r="A72" s="214">
        <v>46260.0</v>
      </c>
      <c r="B72" s="135" t="s">
        <v>5</v>
      </c>
      <c r="C72" s="135" t="s">
        <v>145</v>
      </c>
      <c r="D72" s="135">
        <v>784.0</v>
      </c>
      <c r="E72" s="135">
        <v>17.32</v>
      </c>
      <c r="F72" s="135">
        <v>291.29</v>
      </c>
      <c r="G72" s="135">
        <v>0.3715</v>
      </c>
      <c r="H72" s="135">
        <v>4.34</v>
      </c>
      <c r="I72" s="135">
        <v>8.5674</v>
      </c>
      <c r="J72" s="135">
        <v>96.56</v>
      </c>
      <c r="K72" s="135">
        <v>64.99</v>
      </c>
      <c r="L72" s="135">
        <v>49.13</v>
      </c>
      <c r="M72" s="135">
        <v>0.756</v>
      </c>
      <c r="N72" s="135">
        <v>0.2953</v>
      </c>
      <c r="O72" s="135">
        <v>0.1624</v>
      </c>
      <c r="P72" s="135">
        <v>1.3228</v>
      </c>
      <c r="Q72" s="135">
        <v>287.53</v>
      </c>
      <c r="R72" s="135">
        <v>257.06</v>
      </c>
      <c r="S72" s="135">
        <v>30.47</v>
      </c>
      <c r="T72" s="135">
        <v>18.56</v>
      </c>
      <c r="U72" s="135">
        <v>268.97</v>
      </c>
      <c r="V72" s="135">
        <v>271.24</v>
      </c>
      <c r="W72" s="135">
        <v>4.1738</v>
      </c>
      <c r="X72" s="135">
        <v>6.45</v>
      </c>
      <c r="Y72" s="135">
        <v>346.0</v>
      </c>
      <c r="Z72" s="135">
        <v>504.0</v>
      </c>
      <c r="AA72" s="135">
        <v>844.0</v>
      </c>
      <c r="AB72" s="135">
        <v>52.8968</v>
      </c>
      <c r="AC72" s="135">
        <v>0.7922</v>
      </c>
      <c r="AD72" s="135">
        <v>27.82</v>
      </c>
      <c r="AE72" s="135">
        <v>10.0</v>
      </c>
      <c r="AF72" s="135">
        <v>21.0</v>
      </c>
      <c r="AG72" s="135">
        <v>41.0</v>
      </c>
      <c r="AH72" s="135">
        <v>56.0</v>
      </c>
      <c r="AI72" s="135">
        <v>39.92</v>
      </c>
      <c r="AJ72" s="135">
        <v>8.16</v>
      </c>
      <c r="AK72" s="135">
        <v>1.28</v>
      </c>
      <c r="AM72" s="135">
        <v>29.46</v>
      </c>
      <c r="AN72" s="135">
        <v>29.46</v>
      </c>
      <c r="AO72" s="135">
        <v>22.83</v>
      </c>
      <c r="AP72" s="135">
        <v>17.22</v>
      </c>
      <c r="AQ72" s="135">
        <v>15.9235</v>
      </c>
      <c r="AR72" s="135">
        <v>0.2168</v>
      </c>
      <c r="AS72" s="135">
        <v>15.7066</v>
      </c>
      <c r="AT72" s="135">
        <v>11.7844</v>
      </c>
      <c r="AU72" s="135">
        <v>0.1813</v>
      </c>
      <c r="AV72" s="135">
        <v>784.0</v>
      </c>
      <c r="AW72" s="135">
        <v>0.0</v>
      </c>
      <c r="AX72" s="135">
        <v>148.44</v>
      </c>
      <c r="AY72" s="135">
        <v>115.41</v>
      </c>
      <c r="AZ72" s="135">
        <v>2.28</v>
      </c>
      <c r="BA72" s="135">
        <v>18.56</v>
      </c>
      <c r="BB72" s="135">
        <v>2.84</v>
      </c>
      <c r="BC72" s="135">
        <v>110.0</v>
      </c>
      <c r="BD72" s="135">
        <v>1985.0</v>
      </c>
      <c r="BE72" s="135">
        <v>9.727</v>
      </c>
      <c r="BF72" s="135">
        <v>0.0995</v>
      </c>
      <c r="BG72" s="135">
        <v>9.6276</v>
      </c>
      <c r="BH72" s="135">
        <v>6.1454</v>
      </c>
      <c r="BI72" s="135">
        <v>0.0946</v>
      </c>
      <c r="BJ72" s="135">
        <v>6.1964</v>
      </c>
      <c r="BK72" s="135">
        <v>0.1173</v>
      </c>
      <c r="BL72" s="135">
        <v>6.0791</v>
      </c>
      <c r="BM72" s="135">
        <v>5.639</v>
      </c>
      <c r="BN72" s="135">
        <v>0.0868</v>
      </c>
      <c r="BO72" s="135">
        <v>3.2092</v>
      </c>
      <c r="BP72" s="135">
        <v>0.0306</v>
      </c>
      <c r="BQ72" s="135">
        <v>3.1786</v>
      </c>
      <c r="BR72" s="135">
        <v>2.1467</v>
      </c>
      <c r="BS72" s="135">
        <v>3.7959</v>
      </c>
      <c r="BT72" s="135">
        <v>0.0344</v>
      </c>
      <c r="BU72" s="135">
        <v>3.7615</v>
      </c>
      <c r="BV72" s="135">
        <v>2.3176</v>
      </c>
      <c r="BW72" s="135">
        <v>2.7219</v>
      </c>
      <c r="BX72" s="135">
        <v>0.0344</v>
      </c>
      <c r="BY72" s="135">
        <v>2.6875</v>
      </c>
      <c r="BZ72" s="135">
        <v>1.6811</v>
      </c>
      <c r="CA72" s="135">
        <v>1.3227</v>
      </c>
      <c r="CB72" s="135">
        <v>0.037</v>
      </c>
      <c r="CC72" s="135">
        <v>1.2857</v>
      </c>
      <c r="CD72" s="135">
        <v>1.4094</v>
      </c>
      <c r="CE72" s="135">
        <v>2.1173</v>
      </c>
      <c r="CF72" s="135">
        <v>0.0383</v>
      </c>
      <c r="CG72" s="135">
        <v>2.0791</v>
      </c>
      <c r="CH72" s="135">
        <v>1.7755</v>
      </c>
      <c r="CI72" s="135">
        <v>2.7564</v>
      </c>
      <c r="CJ72" s="135">
        <v>0.0421</v>
      </c>
      <c r="CK72" s="135">
        <v>2.7143</v>
      </c>
      <c r="CL72" s="135">
        <v>2.4541</v>
      </c>
      <c r="CM72" s="135">
        <v>445.4</v>
      </c>
      <c r="CN72" s="135">
        <v>98.09</v>
      </c>
      <c r="CO72" s="135">
        <v>454.08</v>
      </c>
      <c r="CP72" s="135">
        <v>363.75</v>
      </c>
      <c r="CQ72" s="135">
        <v>69.96</v>
      </c>
      <c r="CR72" s="135">
        <v>9.9</v>
      </c>
      <c r="CS72" s="135">
        <v>1.79</v>
      </c>
      <c r="CT72" s="135">
        <v>0.0</v>
      </c>
      <c r="CU72" s="135">
        <v>401.0</v>
      </c>
      <c r="CV72" s="135">
        <v>19.82</v>
      </c>
      <c r="CW72" s="135">
        <v>307.34</v>
      </c>
      <c r="CX72" s="135">
        <v>12.44</v>
      </c>
      <c r="CY72" s="135">
        <v>82.4</v>
      </c>
      <c r="CZ72" s="135">
        <v>313.4</v>
      </c>
      <c r="DA72" s="135">
        <v>0.63</v>
      </c>
      <c r="DB72" s="135">
        <v>312.77</v>
      </c>
      <c r="DC72" s="135">
        <v>297.56</v>
      </c>
      <c r="DD72" s="135">
        <v>0.24</v>
      </c>
      <c r="DE72" s="135">
        <v>297.32</v>
      </c>
      <c r="DF72" s="135">
        <v>10.37</v>
      </c>
      <c r="DG72" s="135">
        <v>0.13</v>
      </c>
      <c r="DH72" s="135">
        <v>10.24</v>
      </c>
      <c r="DI72" s="135">
        <v>5.13</v>
      </c>
      <c r="DJ72" s="135">
        <v>0.13</v>
      </c>
      <c r="DK72" s="135">
        <v>5.0</v>
      </c>
      <c r="DL72" s="135">
        <v>0.34</v>
      </c>
      <c r="DM72" s="135">
        <v>0.13</v>
      </c>
      <c r="DN72" s="135">
        <v>0.22</v>
      </c>
    </row>
    <row r="73">
      <c r="A73" s="214">
        <v>46260.0</v>
      </c>
      <c r="B73" s="135" t="s">
        <v>5</v>
      </c>
      <c r="C73" s="135" t="s">
        <v>146</v>
      </c>
      <c r="D73" s="135">
        <v>169.0</v>
      </c>
      <c r="E73" s="135">
        <v>3.73</v>
      </c>
      <c r="F73" s="135">
        <v>215.0</v>
      </c>
      <c r="G73" s="135">
        <v>1.2722</v>
      </c>
      <c r="H73" s="135">
        <v>11.24</v>
      </c>
      <c r="I73" s="135">
        <v>11.3158</v>
      </c>
      <c r="J73" s="135">
        <v>234.86</v>
      </c>
      <c r="K73" s="135">
        <v>165.64</v>
      </c>
      <c r="L73" s="135">
        <v>126.13</v>
      </c>
      <c r="M73" s="135">
        <v>0.7615</v>
      </c>
      <c r="N73" s="135">
        <v>0.2802</v>
      </c>
      <c r="O73" s="135">
        <v>0.1425</v>
      </c>
      <c r="P73" s="135">
        <v>1.3132</v>
      </c>
      <c r="Q73" s="135">
        <v>667.54</v>
      </c>
      <c r="R73" s="135">
        <v>579.58</v>
      </c>
      <c r="S73" s="135">
        <v>87.96</v>
      </c>
      <c r="T73" s="135">
        <v>91.72</v>
      </c>
      <c r="U73" s="135">
        <v>575.82</v>
      </c>
      <c r="V73" s="135">
        <v>985.21</v>
      </c>
      <c r="W73" s="135">
        <v>5.9479</v>
      </c>
      <c r="X73" s="135">
        <v>13.74</v>
      </c>
      <c r="Y73" s="135">
        <v>491.0</v>
      </c>
      <c r="Z73" s="135">
        <v>798.0</v>
      </c>
      <c r="AA73" s="135">
        <v>1266.0</v>
      </c>
      <c r="AB73" s="135">
        <v>57.0229</v>
      </c>
      <c r="AC73" s="135">
        <v>0.7873</v>
      </c>
      <c r="AD73" s="135">
        <v>57.66</v>
      </c>
      <c r="AE73" s="135">
        <v>26.0</v>
      </c>
      <c r="AF73" s="135">
        <v>45.0</v>
      </c>
      <c r="AG73" s="135">
        <v>69.0</v>
      </c>
      <c r="AH73" s="135">
        <v>113.0</v>
      </c>
      <c r="AI73" s="135">
        <v>22.49</v>
      </c>
      <c r="AJ73" s="135">
        <v>4.14</v>
      </c>
      <c r="AK73" s="135">
        <v>1.78</v>
      </c>
      <c r="AM73" s="135">
        <v>69.23</v>
      </c>
      <c r="AN73" s="135">
        <v>69.23</v>
      </c>
      <c r="AO73" s="135">
        <v>63.91</v>
      </c>
      <c r="AP73" s="135">
        <v>60.95</v>
      </c>
      <c r="AQ73" s="135">
        <v>41.8402</v>
      </c>
      <c r="AR73" s="135">
        <v>8.4675</v>
      </c>
      <c r="AS73" s="135">
        <v>33.3728</v>
      </c>
      <c r="AT73" s="135">
        <v>35.574</v>
      </c>
      <c r="AU73" s="135">
        <v>0.2148</v>
      </c>
      <c r="AV73" s="135">
        <v>169.0</v>
      </c>
      <c r="AW73" s="135">
        <v>0.0</v>
      </c>
      <c r="AX73" s="135">
        <v>340.65</v>
      </c>
      <c r="AY73" s="135">
        <v>222.9</v>
      </c>
      <c r="AZ73" s="135">
        <v>6.78</v>
      </c>
      <c r="BA73" s="135">
        <v>91.72</v>
      </c>
      <c r="BB73" s="135">
        <v>5.5</v>
      </c>
      <c r="BC73" s="135">
        <v>292.0</v>
      </c>
      <c r="BD73" s="135">
        <v>2057.0</v>
      </c>
      <c r="BE73" s="135">
        <v>27.5325</v>
      </c>
      <c r="BF73" s="135">
        <v>7.4379</v>
      </c>
      <c r="BG73" s="135">
        <v>20.0947</v>
      </c>
      <c r="BH73" s="135">
        <v>19.6391</v>
      </c>
      <c r="BI73" s="135">
        <v>0.1186</v>
      </c>
      <c r="BJ73" s="135">
        <v>14.3077</v>
      </c>
      <c r="BK73" s="135">
        <v>1.0296</v>
      </c>
      <c r="BL73" s="135">
        <v>13.2781</v>
      </c>
      <c r="BM73" s="135">
        <v>15.9349</v>
      </c>
      <c r="BN73" s="135">
        <v>0.0962</v>
      </c>
      <c r="BO73" s="135">
        <v>8.787</v>
      </c>
      <c r="BP73" s="135">
        <v>2.2071</v>
      </c>
      <c r="BQ73" s="135">
        <v>6.5799</v>
      </c>
      <c r="BR73" s="135">
        <v>6.432</v>
      </c>
      <c r="BS73" s="135">
        <v>9.929</v>
      </c>
      <c r="BT73" s="135">
        <v>2.3491</v>
      </c>
      <c r="BU73" s="135">
        <v>7.5799</v>
      </c>
      <c r="BV73" s="135">
        <v>7.1834</v>
      </c>
      <c r="BW73" s="135">
        <v>8.8166</v>
      </c>
      <c r="BX73" s="135">
        <v>2.8817</v>
      </c>
      <c r="BY73" s="135">
        <v>5.9349</v>
      </c>
      <c r="BZ73" s="135">
        <v>6.0237</v>
      </c>
      <c r="CA73" s="135">
        <v>2.9763</v>
      </c>
      <c r="CB73" s="135">
        <v>0.2426</v>
      </c>
      <c r="CC73" s="135">
        <v>2.7337</v>
      </c>
      <c r="CD73" s="135">
        <v>4.7692</v>
      </c>
      <c r="CE73" s="135">
        <v>4.7751</v>
      </c>
      <c r="CF73" s="135">
        <v>0.3136</v>
      </c>
      <c r="CG73" s="135">
        <v>4.4615</v>
      </c>
      <c r="CH73" s="135">
        <v>4.6095</v>
      </c>
      <c r="CI73" s="135">
        <v>6.5562</v>
      </c>
      <c r="CJ73" s="135">
        <v>0.4734</v>
      </c>
      <c r="CK73" s="135">
        <v>6.0828</v>
      </c>
      <c r="CL73" s="135">
        <v>6.5562</v>
      </c>
      <c r="CM73" s="135">
        <v>1278.4</v>
      </c>
      <c r="CN73" s="135">
        <v>100.0</v>
      </c>
      <c r="CO73" s="135">
        <v>1278.4</v>
      </c>
      <c r="CP73" s="135">
        <v>1038.74</v>
      </c>
      <c r="CQ73" s="135">
        <v>214.99</v>
      </c>
      <c r="CR73" s="135">
        <v>20.36</v>
      </c>
      <c r="CS73" s="135">
        <v>4.32</v>
      </c>
      <c r="CT73" s="135">
        <v>0.0</v>
      </c>
      <c r="CU73" s="135">
        <v>143.0</v>
      </c>
      <c r="CV73" s="135">
        <v>81.77</v>
      </c>
      <c r="CW73" s="135">
        <v>749.31</v>
      </c>
      <c r="CX73" s="135">
        <v>29.9</v>
      </c>
      <c r="CY73" s="135">
        <v>244.88</v>
      </c>
      <c r="CZ73" s="135">
        <v>731.42</v>
      </c>
      <c r="DA73" s="135">
        <v>9.41</v>
      </c>
      <c r="DB73" s="135">
        <v>722.01</v>
      </c>
      <c r="DC73" s="135">
        <v>696.27</v>
      </c>
      <c r="DD73" s="135">
        <v>7.99</v>
      </c>
      <c r="DE73" s="135">
        <v>688.28</v>
      </c>
      <c r="DF73" s="135">
        <v>21.01</v>
      </c>
      <c r="DG73" s="135">
        <v>0.47</v>
      </c>
      <c r="DH73" s="135">
        <v>20.53</v>
      </c>
      <c r="DI73" s="135">
        <v>12.72</v>
      </c>
      <c r="DJ73" s="135">
        <v>0.47</v>
      </c>
      <c r="DK73" s="135">
        <v>12.25</v>
      </c>
      <c r="DL73" s="135">
        <v>1.42</v>
      </c>
      <c r="DM73" s="135">
        <v>0.47</v>
      </c>
      <c r="DN73" s="135">
        <v>0.95</v>
      </c>
    </row>
    <row r="74">
      <c r="A74" s="214"/>
    </row>
    <row r="75">
      <c r="A75" s="214"/>
    </row>
    <row r="76">
      <c r="A76" s="214"/>
    </row>
    <row r="77">
      <c r="A77" s="214"/>
    </row>
    <row r="78">
      <c r="A78" s="214"/>
    </row>
    <row r="79">
      <c r="A79" s="214"/>
    </row>
    <row r="80">
      <c r="A80" s="214"/>
    </row>
    <row r="81">
      <c r="A81" s="214"/>
    </row>
    <row r="82">
      <c r="A82" s="214"/>
    </row>
    <row r="83">
      <c r="A83" s="214"/>
    </row>
    <row r="84">
      <c r="A84" s="214"/>
    </row>
    <row r="85">
      <c r="A85" s="214"/>
    </row>
    <row r="86">
      <c r="A86" s="214"/>
    </row>
    <row r="87">
      <c r="A87" s="214"/>
    </row>
    <row r="88">
      <c r="A88" s="214"/>
    </row>
    <row r="89">
      <c r="A89" s="214"/>
    </row>
    <row r="90">
      <c r="A90" s="214"/>
    </row>
    <row r="91">
      <c r="A91" s="214"/>
    </row>
    <row r="92">
      <c r="A92" s="214"/>
    </row>
    <row r="93">
      <c r="A93" s="214"/>
    </row>
    <row r="94">
      <c r="A94" s="214"/>
    </row>
    <row r="95">
      <c r="A95" s="214"/>
    </row>
    <row r="96">
      <c r="A96" s="214"/>
    </row>
    <row r="97">
      <c r="A97" s="214"/>
    </row>
    <row r="98">
      <c r="A98" s="214"/>
    </row>
    <row r="99">
      <c r="A99" s="214"/>
    </row>
    <row r="100">
      <c r="A100" s="214"/>
    </row>
    <row r="101">
      <c r="A101" s="214"/>
    </row>
    <row r="102">
      <c r="A102" s="214"/>
    </row>
    <row r="103">
      <c r="A103" s="214"/>
    </row>
    <row r="104">
      <c r="A104" s="214"/>
    </row>
    <row r="105">
      <c r="A105" s="214"/>
    </row>
    <row r="106">
      <c r="A106" s="214"/>
    </row>
    <row r="107">
      <c r="A107" s="214"/>
    </row>
    <row r="108">
      <c r="A108" s="214"/>
    </row>
    <row r="109">
      <c r="A109" s="214"/>
    </row>
    <row r="110">
      <c r="A110" s="214"/>
    </row>
    <row r="111">
      <c r="A111" s="214"/>
    </row>
    <row r="112">
      <c r="A112" s="214"/>
    </row>
    <row r="113">
      <c r="A113" s="214"/>
    </row>
    <row r="114">
      <c r="A114" s="214"/>
    </row>
    <row r="115">
      <c r="A115" s="214"/>
    </row>
    <row r="116">
      <c r="A116" s="214"/>
    </row>
    <row r="117">
      <c r="A117" s="214"/>
    </row>
    <row r="118">
      <c r="A118" s="214"/>
    </row>
    <row r="119">
      <c r="A119" s="214"/>
    </row>
    <row r="120">
      <c r="A120" s="214"/>
    </row>
    <row r="121">
      <c r="A121" s="214"/>
    </row>
    <row r="122">
      <c r="A122" s="214"/>
    </row>
    <row r="123">
      <c r="A123" s="214"/>
    </row>
    <row r="124">
      <c r="A124" s="214"/>
    </row>
    <row r="125">
      <c r="A125" s="214"/>
    </row>
    <row r="126">
      <c r="A126" s="214"/>
    </row>
    <row r="127">
      <c r="A127" s="214"/>
    </row>
    <row r="128">
      <c r="A128" s="214"/>
    </row>
    <row r="129">
      <c r="A129" s="214"/>
    </row>
    <row r="130">
      <c r="A130" s="214"/>
    </row>
    <row r="131">
      <c r="A131" s="214"/>
    </row>
    <row r="132">
      <c r="A132" s="214"/>
    </row>
    <row r="133">
      <c r="A133" s="214"/>
    </row>
    <row r="134">
      <c r="A134" s="214"/>
    </row>
    <row r="135">
      <c r="A135" s="214"/>
    </row>
    <row r="136">
      <c r="A136" s="214"/>
    </row>
    <row r="137">
      <c r="A137" s="214"/>
    </row>
    <row r="138">
      <c r="A138" s="214"/>
    </row>
    <row r="139">
      <c r="A139" s="214"/>
    </row>
    <row r="140">
      <c r="A140" s="214"/>
    </row>
    <row r="141">
      <c r="A141" s="214"/>
    </row>
    <row r="142">
      <c r="A142" s="214"/>
    </row>
    <row r="143">
      <c r="A143" s="214"/>
    </row>
    <row r="144">
      <c r="A144" s="214"/>
    </row>
    <row r="145">
      <c r="A145" s="214"/>
    </row>
    <row r="146">
      <c r="A146" s="214"/>
    </row>
    <row r="147">
      <c r="A147" s="214"/>
    </row>
    <row r="148">
      <c r="A148" s="214"/>
    </row>
    <row r="149">
      <c r="A149" s="214"/>
    </row>
    <row r="150">
      <c r="A150" s="214"/>
    </row>
    <row r="151">
      <c r="A151" s="214"/>
    </row>
    <row r="152">
      <c r="A152" s="214"/>
    </row>
    <row r="153">
      <c r="A153" s="214"/>
    </row>
    <row r="154">
      <c r="A154" s="214"/>
    </row>
    <row r="155">
      <c r="A155" s="214"/>
    </row>
    <row r="156">
      <c r="A156" s="214"/>
    </row>
    <row r="157">
      <c r="A157" s="214"/>
    </row>
    <row r="158">
      <c r="A158" s="214"/>
    </row>
    <row r="159">
      <c r="A159" s="214"/>
    </row>
    <row r="160">
      <c r="A160" s="214"/>
    </row>
    <row r="161">
      <c r="A161" s="214"/>
    </row>
    <row r="162">
      <c r="A162" s="214"/>
    </row>
    <row r="163">
      <c r="A163" s="214"/>
    </row>
    <row r="164">
      <c r="A164" s="214"/>
    </row>
    <row r="165">
      <c r="A165" s="214"/>
    </row>
    <row r="166">
      <c r="A166" s="214"/>
    </row>
    <row r="167">
      <c r="A167" s="214"/>
    </row>
    <row r="168">
      <c r="A168" s="214"/>
    </row>
    <row r="169">
      <c r="A169" s="214"/>
    </row>
    <row r="170">
      <c r="A170" s="214"/>
    </row>
    <row r="171">
      <c r="A171" s="214"/>
    </row>
    <row r="172">
      <c r="A172" s="214"/>
    </row>
    <row r="173">
      <c r="A173" s="214"/>
    </row>
    <row r="174">
      <c r="A174" s="214"/>
    </row>
    <row r="175">
      <c r="A175" s="214"/>
    </row>
    <row r="176">
      <c r="A176" s="214"/>
    </row>
    <row r="177">
      <c r="A177" s="214"/>
    </row>
    <row r="178">
      <c r="A178" s="214"/>
    </row>
    <row r="179">
      <c r="A179" s="214"/>
    </row>
    <row r="180">
      <c r="A180" s="214"/>
    </row>
    <row r="181">
      <c r="A181" s="214"/>
    </row>
    <row r="182">
      <c r="A182" s="214"/>
    </row>
    <row r="183">
      <c r="A183" s="214"/>
    </row>
    <row r="184">
      <c r="A184" s="214"/>
    </row>
    <row r="185">
      <c r="A185" s="214"/>
    </row>
    <row r="186">
      <c r="A186" s="214"/>
    </row>
    <row r="187">
      <c r="A187" s="214"/>
    </row>
    <row r="188">
      <c r="A188" s="214"/>
    </row>
    <row r="189">
      <c r="A189" s="214"/>
    </row>
    <row r="190">
      <c r="A190" s="214"/>
    </row>
    <row r="191">
      <c r="A191" s="214"/>
    </row>
    <row r="192">
      <c r="A192" s="214"/>
    </row>
    <row r="193">
      <c r="A193" s="214"/>
    </row>
    <row r="194">
      <c r="A194" s="214"/>
    </row>
    <row r="195">
      <c r="A195" s="214"/>
    </row>
    <row r="196">
      <c r="A196" s="214"/>
    </row>
    <row r="197">
      <c r="A197" s="214"/>
    </row>
    <row r="198">
      <c r="A198" s="214"/>
    </row>
    <row r="199">
      <c r="A199" s="214"/>
    </row>
    <row r="200">
      <c r="A200" s="214"/>
    </row>
    <row r="201">
      <c r="A201" s="214"/>
    </row>
    <row r="202">
      <c r="A202" s="214"/>
    </row>
    <row r="203">
      <c r="A203" s="214"/>
    </row>
    <row r="204">
      <c r="A204" s="214"/>
    </row>
    <row r="205">
      <c r="A205" s="21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4.43" defaultRowHeight="15.0"/>
  <sheetData>
    <row r="1">
      <c r="A1" s="207" t="s">
        <v>280</v>
      </c>
      <c r="B1" s="207" t="s">
        <v>281</v>
      </c>
      <c r="C1" s="207" t="s">
        <v>282</v>
      </c>
      <c r="D1" s="207" t="s">
        <v>283</v>
      </c>
      <c r="E1" s="207" t="s">
        <v>284</v>
      </c>
      <c r="F1" s="207" t="s">
        <v>285</v>
      </c>
      <c r="G1" s="207" t="s">
        <v>286</v>
      </c>
      <c r="H1" s="207" t="s">
        <v>287</v>
      </c>
      <c r="I1" s="207" t="s">
        <v>288</v>
      </c>
      <c r="J1" s="207" t="s">
        <v>289</v>
      </c>
      <c r="K1" s="207" t="s">
        <v>290</v>
      </c>
      <c r="L1" s="207" t="s">
        <v>291</v>
      </c>
      <c r="M1" s="207" t="s">
        <v>292</v>
      </c>
      <c r="N1" s="207" t="s">
        <v>293</v>
      </c>
      <c r="O1" s="207" t="s">
        <v>294</v>
      </c>
      <c r="P1" s="207" t="s">
        <v>295</v>
      </c>
      <c r="Q1" s="207" t="s">
        <v>296</v>
      </c>
      <c r="R1" s="207" t="s">
        <v>297</v>
      </c>
      <c r="S1" s="207" t="s">
        <v>298</v>
      </c>
      <c r="T1" s="207" t="s">
        <v>299</v>
      </c>
      <c r="U1" s="207" t="s">
        <v>300</v>
      </c>
      <c r="V1" s="207" t="s">
        <v>301</v>
      </c>
      <c r="W1" s="207" t="s">
        <v>302</v>
      </c>
      <c r="X1" s="207" t="s">
        <v>303</v>
      </c>
      <c r="Y1" s="207" t="s">
        <v>304</v>
      </c>
      <c r="Z1" s="207" t="s">
        <v>305</v>
      </c>
      <c r="AA1" s="207" t="s">
        <v>306</v>
      </c>
      <c r="AB1" s="207" t="s">
        <v>307</v>
      </c>
      <c r="AC1" s="207" t="s">
        <v>308</v>
      </c>
      <c r="AD1" s="207" t="s">
        <v>309</v>
      </c>
      <c r="AE1" s="207" t="s">
        <v>310</v>
      </c>
      <c r="AF1" s="207" t="s">
        <v>311</v>
      </c>
      <c r="AG1" s="207" t="s">
        <v>312</v>
      </c>
      <c r="AH1" s="207" t="s">
        <v>313</v>
      </c>
      <c r="AI1" s="207" t="s">
        <v>314</v>
      </c>
      <c r="AJ1" s="207" t="s">
        <v>315</v>
      </c>
      <c r="AK1" s="207" t="s">
        <v>316</v>
      </c>
      <c r="AL1" s="207" t="s">
        <v>317</v>
      </c>
      <c r="AM1" s="207" t="s">
        <v>318</v>
      </c>
      <c r="AN1" s="207" t="s">
        <v>319</v>
      </c>
      <c r="AO1" s="207" t="s">
        <v>320</v>
      </c>
      <c r="AP1" s="207" t="s">
        <v>321</v>
      </c>
      <c r="AQ1" s="207" t="s">
        <v>322</v>
      </c>
      <c r="AR1" s="207" t="s">
        <v>323</v>
      </c>
      <c r="AS1" s="207" t="s">
        <v>324</v>
      </c>
      <c r="AT1" s="207" t="s">
        <v>325</v>
      </c>
      <c r="AU1" s="207" t="s">
        <v>326</v>
      </c>
      <c r="AV1" s="208" t="s">
        <v>327</v>
      </c>
      <c r="AW1" s="208" t="s">
        <v>328</v>
      </c>
      <c r="AX1" s="208" t="s">
        <v>329</v>
      </c>
      <c r="AY1" s="208" t="s">
        <v>330</v>
      </c>
      <c r="AZ1" s="208" t="s">
        <v>331</v>
      </c>
      <c r="BA1" s="208" t="s">
        <v>332</v>
      </c>
      <c r="BB1" s="208" t="s">
        <v>333</v>
      </c>
      <c r="BC1" s="208" t="s">
        <v>334</v>
      </c>
      <c r="BD1" s="208" t="s">
        <v>335</v>
      </c>
      <c r="BE1" s="208" t="s">
        <v>336</v>
      </c>
      <c r="BF1" s="208" t="s">
        <v>337</v>
      </c>
      <c r="BG1" s="208" t="s">
        <v>338</v>
      </c>
      <c r="BH1" s="208" t="s">
        <v>339</v>
      </c>
      <c r="BI1" s="208" t="s">
        <v>340</v>
      </c>
      <c r="BJ1" s="208" t="s">
        <v>341</v>
      </c>
      <c r="BK1" s="208" t="s">
        <v>342</v>
      </c>
      <c r="BL1" s="208" t="s">
        <v>343</v>
      </c>
      <c r="BM1" s="208" t="s">
        <v>344</v>
      </c>
      <c r="BN1" s="208" t="s">
        <v>345</v>
      </c>
      <c r="BO1" s="208" t="s">
        <v>346</v>
      </c>
      <c r="BP1" s="208" t="s">
        <v>347</v>
      </c>
      <c r="BQ1" s="208" t="s">
        <v>348</v>
      </c>
      <c r="BR1" s="208" t="s">
        <v>349</v>
      </c>
      <c r="BS1" s="208" t="s">
        <v>350</v>
      </c>
      <c r="BT1" s="208" t="s">
        <v>351</v>
      </c>
      <c r="BU1" s="208" t="s">
        <v>352</v>
      </c>
      <c r="BV1" s="208" t="s">
        <v>353</v>
      </c>
      <c r="BW1" s="208" t="s">
        <v>354</v>
      </c>
      <c r="BX1" s="208" t="s">
        <v>355</v>
      </c>
      <c r="BY1" s="208" t="s">
        <v>356</v>
      </c>
      <c r="BZ1" s="208" t="s">
        <v>357</v>
      </c>
      <c r="CA1" s="208" t="s">
        <v>358</v>
      </c>
      <c r="CB1" s="208" t="s">
        <v>359</v>
      </c>
      <c r="CC1" s="208" t="s">
        <v>360</v>
      </c>
      <c r="CD1" s="208" t="s">
        <v>361</v>
      </c>
      <c r="CE1" s="208" t="s">
        <v>362</v>
      </c>
      <c r="CF1" s="208" t="s">
        <v>363</v>
      </c>
      <c r="CG1" s="208" t="s">
        <v>364</v>
      </c>
      <c r="CH1" s="208" t="s">
        <v>365</v>
      </c>
      <c r="CI1" s="208" t="s">
        <v>366</v>
      </c>
      <c r="CJ1" s="208" t="s">
        <v>367</v>
      </c>
      <c r="CK1" s="208" t="s">
        <v>368</v>
      </c>
      <c r="CL1" s="208" t="s">
        <v>369</v>
      </c>
      <c r="CM1" s="208" t="s">
        <v>370</v>
      </c>
      <c r="CN1" s="208" t="s">
        <v>371</v>
      </c>
      <c r="CO1" s="208" t="s">
        <v>372</v>
      </c>
      <c r="CP1" s="208" t="s">
        <v>373</v>
      </c>
      <c r="CQ1" s="208" t="s">
        <v>374</v>
      </c>
      <c r="CR1" s="208" t="s">
        <v>375</v>
      </c>
      <c r="CS1" s="208" t="s">
        <v>376</v>
      </c>
      <c r="CT1" s="208" t="s">
        <v>377</v>
      </c>
      <c r="CU1" s="208" t="s">
        <v>378</v>
      </c>
      <c r="CV1" s="208" t="s">
        <v>379</v>
      </c>
      <c r="CW1" s="208" t="s">
        <v>380</v>
      </c>
      <c r="CX1" s="208" t="s">
        <v>381</v>
      </c>
      <c r="CY1" s="208" t="s">
        <v>382</v>
      </c>
      <c r="CZ1" s="208" t="s">
        <v>383</v>
      </c>
      <c r="DA1" s="208" t="s">
        <v>384</v>
      </c>
      <c r="DB1" s="208" t="s">
        <v>385</v>
      </c>
      <c r="DC1" s="208" t="s">
        <v>386</v>
      </c>
      <c r="DD1" s="208" t="s">
        <v>387</v>
      </c>
      <c r="DE1" s="208" t="s">
        <v>388</v>
      </c>
      <c r="DF1" s="208" t="s">
        <v>389</v>
      </c>
      <c r="DG1" s="208" t="s">
        <v>390</v>
      </c>
      <c r="DH1" s="208" t="s">
        <v>391</v>
      </c>
      <c r="DI1" s="208" t="s">
        <v>392</v>
      </c>
      <c r="DJ1" s="208" t="s">
        <v>393</v>
      </c>
      <c r="DK1" s="208" t="s">
        <v>394</v>
      </c>
      <c r="DL1" s="208" t="s">
        <v>395</v>
      </c>
      <c r="DM1" s="208" t="s">
        <v>396</v>
      </c>
      <c r="DN1" s="208" t="s">
        <v>397</v>
      </c>
    </row>
    <row r="2">
      <c r="A2" s="209">
        <v>46255.0</v>
      </c>
      <c r="B2" s="210" t="s">
        <v>4</v>
      </c>
      <c r="C2" s="210" t="s">
        <v>398</v>
      </c>
      <c r="D2" s="210">
        <v>4475.0</v>
      </c>
      <c r="E2" s="210">
        <v>18.68</v>
      </c>
      <c r="F2" s="210">
        <v>656.44</v>
      </c>
      <c r="G2" s="210">
        <v>0.1467</v>
      </c>
      <c r="H2" s="210">
        <v>1.65</v>
      </c>
      <c r="I2" s="210">
        <v>8.8708</v>
      </c>
      <c r="J2" s="210">
        <v>25.78</v>
      </c>
      <c r="K2" s="210">
        <v>14.16</v>
      </c>
      <c r="L2" s="210">
        <v>10.19</v>
      </c>
      <c r="M2" s="210">
        <v>0.7195</v>
      </c>
      <c r="N2" s="210">
        <v>0.4082</v>
      </c>
      <c r="O2" s="210">
        <v>0.2112</v>
      </c>
      <c r="P2" s="210">
        <v>1.3899</v>
      </c>
      <c r="Q2" s="210">
        <v>84.93</v>
      </c>
      <c r="R2" s="210">
        <v>84.8</v>
      </c>
      <c r="S2" s="210">
        <v>0.13</v>
      </c>
      <c r="T2" s="210">
        <v>13.83</v>
      </c>
      <c r="U2" s="210">
        <v>71.1</v>
      </c>
      <c r="V2" s="210">
        <v>61.07</v>
      </c>
      <c r="W2" s="210">
        <v>4.3122</v>
      </c>
      <c r="X2" s="210">
        <v>16.29</v>
      </c>
      <c r="Y2" s="210">
        <v>229.0</v>
      </c>
      <c r="Z2" s="210">
        <v>784.0</v>
      </c>
      <c r="AA2" s="210">
        <v>4911.0</v>
      </c>
      <c r="AB2" s="210">
        <v>50.5129</v>
      </c>
      <c r="AC2" s="210">
        <v>0.4967</v>
      </c>
      <c r="AD2" s="211"/>
      <c r="AE2" s="211"/>
      <c r="AF2" s="211"/>
      <c r="AG2" s="211"/>
      <c r="AH2" s="211"/>
      <c r="AI2" s="210">
        <v>0.0</v>
      </c>
      <c r="AJ2" s="210">
        <v>0.0</v>
      </c>
      <c r="AK2" s="210">
        <v>0.0</v>
      </c>
      <c r="AL2" s="210">
        <v>0.4628</v>
      </c>
      <c r="AM2" s="211"/>
      <c r="AQ2" s="135">
        <v>3.5196</v>
      </c>
      <c r="AR2" s="135">
        <v>0.1654</v>
      </c>
      <c r="AS2" s="135">
        <v>3.3542</v>
      </c>
      <c r="AT2" s="135">
        <v>2.097</v>
      </c>
      <c r="AU2" s="135">
        <v>0.1481</v>
      </c>
      <c r="AV2" s="135">
        <v>4475.0</v>
      </c>
      <c r="AW2" s="135">
        <v>0.0</v>
      </c>
      <c r="AX2" s="135">
        <v>12.98</v>
      </c>
      <c r="AY2" s="135">
        <v>54.53</v>
      </c>
      <c r="AZ2" s="135">
        <v>3.4</v>
      </c>
      <c r="BA2" s="135">
        <v>13.83</v>
      </c>
      <c r="BB2" s="135">
        <v>0.19</v>
      </c>
      <c r="BD2" s="135">
        <v>29630.0</v>
      </c>
      <c r="BE2" s="135">
        <v>2.0467</v>
      </c>
      <c r="BF2" s="135">
        <v>0.0724</v>
      </c>
      <c r="BG2" s="135">
        <v>1.9743</v>
      </c>
      <c r="BH2" s="135">
        <v>1.0909</v>
      </c>
      <c r="BI2" s="135">
        <v>0.077</v>
      </c>
      <c r="BJ2" s="135">
        <v>1.4728</v>
      </c>
      <c r="BK2" s="135">
        <v>0.093</v>
      </c>
      <c r="BL2" s="135">
        <v>1.3799</v>
      </c>
      <c r="BM2" s="135">
        <v>1.006</v>
      </c>
      <c r="BN2" s="135">
        <v>0.071</v>
      </c>
      <c r="BO2" s="135">
        <v>0.7209</v>
      </c>
      <c r="BP2" s="135">
        <v>0.0246</v>
      </c>
      <c r="BQ2" s="135">
        <v>0.6963</v>
      </c>
      <c r="BR2" s="135">
        <v>0.4065</v>
      </c>
      <c r="BS2" s="135">
        <v>0.8215</v>
      </c>
      <c r="BT2" s="135">
        <v>0.0226</v>
      </c>
      <c r="BU2" s="135">
        <v>0.7989</v>
      </c>
      <c r="BV2" s="135">
        <v>0.4031</v>
      </c>
      <c r="BW2" s="135">
        <v>0.5044</v>
      </c>
      <c r="BX2" s="135">
        <v>0.0253</v>
      </c>
      <c r="BY2" s="135">
        <v>0.4791</v>
      </c>
      <c r="BZ2" s="135">
        <v>0.2813</v>
      </c>
      <c r="CA2" s="135">
        <v>0.248</v>
      </c>
      <c r="CB2" s="135">
        <v>0.0261</v>
      </c>
      <c r="CC2" s="135">
        <v>0.2219</v>
      </c>
      <c r="CD2" s="135">
        <v>0.2078</v>
      </c>
      <c r="CE2" s="135">
        <v>0.7388</v>
      </c>
      <c r="CF2" s="135">
        <v>0.0358</v>
      </c>
      <c r="CG2" s="135">
        <v>0.703</v>
      </c>
      <c r="CH2" s="135">
        <v>0.4344</v>
      </c>
      <c r="CI2" s="135">
        <v>0.486</v>
      </c>
      <c r="CJ2" s="135">
        <v>0.0311</v>
      </c>
      <c r="CK2" s="135">
        <v>0.455</v>
      </c>
      <c r="CL2" s="135">
        <v>0.3638</v>
      </c>
      <c r="CM2" s="135">
        <v>560.12</v>
      </c>
      <c r="CN2" s="135">
        <v>32.63</v>
      </c>
      <c r="CO2" s="135">
        <v>1716.8</v>
      </c>
      <c r="CP2" s="135">
        <v>545.84</v>
      </c>
      <c r="CQ2" s="135">
        <v>0.0</v>
      </c>
      <c r="CR2" s="135">
        <v>11.75</v>
      </c>
      <c r="CS2" s="135">
        <v>2.53</v>
      </c>
      <c r="CT2" s="135">
        <v>0.0</v>
      </c>
      <c r="CU2" s="135">
        <v>0.0</v>
      </c>
      <c r="CV2" s="135">
        <v>0.0</v>
      </c>
      <c r="CW2" s="135">
        <v>84.93</v>
      </c>
      <c r="CX2" s="135">
        <v>0.0</v>
      </c>
      <c r="CY2" s="135">
        <v>0.0</v>
      </c>
      <c r="CZ2" s="135">
        <v>57.73</v>
      </c>
      <c r="DA2" s="135">
        <v>2.55</v>
      </c>
      <c r="DB2" s="135">
        <v>55.18</v>
      </c>
      <c r="DC2" s="135">
        <v>48.97</v>
      </c>
      <c r="DD2" s="135">
        <v>1.08</v>
      </c>
      <c r="DE2" s="135">
        <v>47.89</v>
      </c>
      <c r="DF2" s="135">
        <v>4.2</v>
      </c>
      <c r="DG2" s="135">
        <v>0.49</v>
      </c>
      <c r="DH2" s="135">
        <v>3.71</v>
      </c>
      <c r="DI2" s="135">
        <v>3.16</v>
      </c>
      <c r="DJ2" s="135">
        <v>0.49</v>
      </c>
      <c r="DK2" s="135">
        <v>2.67</v>
      </c>
      <c r="DL2" s="135">
        <v>1.4</v>
      </c>
      <c r="DM2" s="135">
        <v>0.49</v>
      </c>
      <c r="DN2" s="135">
        <v>0.91</v>
      </c>
    </row>
    <row r="3">
      <c r="A3" s="209">
        <v>46255.0</v>
      </c>
      <c r="B3" s="210" t="s">
        <v>4</v>
      </c>
      <c r="C3" s="210" t="s">
        <v>142</v>
      </c>
      <c r="D3" s="210">
        <v>6578.0</v>
      </c>
      <c r="E3" s="210">
        <v>27.45</v>
      </c>
      <c r="F3" s="210">
        <v>219.24</v>
      </c>
      <c r="G3" s="210">
        <v>0.0333</v>
      </c>
      <c r="H3" s="210">
        <v>1.19</v>
      </c>
      <c r="I3" s="210">
        <v>2.8108</v>
      </c>
      <c r="J3" s="210">
        <v>24.39</v>
      </c>
      <c r="K3" s="210">
        <v>12.52</v>
      </c>
      <c r="L3" s="210">
        <v>5.83</v>
      </c>
      <c r="M3" s="210">
        <v>0.4651</v>
      </c>
      <c r="N3" s="210">
        <v>0.6445</v>
      </c>
      <c r="O3" s="210">
        <v>0.3924</v>
      </c>
      <c r="P3" s="210">
        <v>2.1499</v>
      </c>
      <c r="Q3" s="210">
        <v>68.84</v>
      </c>
      <c r="R3" s="210">
        <v>63.42</v>
      </c>
      <c r="S3" s="210">
        <v>5.41</v>
      </c>
      <c r="T3" s="210">
        <v>2.68</v>
      </c>
      <c r="U3" s="210">
        <v>66.15</v>
      </c>
      <c r="V3" s="210">
        <v>51.79</v>
      </c>
      <c r="W3" s="210">
        <v>4.1353</v>
      </c>
      <c r="X3" s="210">
        <v>3.9</v>
      </c>
      <c r="Y3" s="210">
        <v>208.0</v>
      </c>
      <c r="Z3" s="210">
        <v>438.0</v>
      </c>
      <c r="AA3" s="210">
        <v>1521.0</v>
      </c>
      <c r="AB3" s="210">
        <v>49.798</v>
      </c>
      <c r="AC3" s="210">
        <v>0.5914</v>
      </c>
      <c r="AD3" s="210">
        <v>4.37</v>
      </c>
      <c r="AE3" s="210">
        <v>2.0</v>
      </c>
      <c r="AF3" s="210">
        <v>3.0</v>
      </c>
      <c r="AG3" s="210">
        <v>6.0</v>
      </c>
      <c r="AH3" s="210">
        <v>9.0</v>
      </c>
      <c r="AI3" s="210">
        <v>76.68</v>
      </c>
      <c r="AJ3" s="210">
        <v>36.73</v>
      </c>
      <c r="AK3" s="210">
        <v>9.43</v>
      </c>
      <c r="AL3" s="210">
        <v>0.45</v>
      </c>
      <c r="AM3" s="211"/>
      <c r="AQ3" s="135">
        <v>5.0689</v>
      </c>
      <c r="AR3" s="135">
        <v>0.0576</v>
      </c>
      <c r="AS3" s="135">
        <v>5.0112</v>
      </c>
      <c r="AT3" s="135">
        <v>3.2154</v>
      </c>
      <c r="AU3" s="135">
        <v>0.2567</v>
      </c>
      <c r="AV3" s="135">
        <v>6578.0</v>
      </c>
      <c r="AW3" s="135">
        <v>0.0</v>
      </c>
      <c r="AX3" s="135">
        <v>24.45</v>
      </c>
      <c r="AY3" s="135">
        <v>39.06</v>
      </c>
      <c r="AZ3" s="135">
        <v>2.15</v>
      </c>
      <c r="BA3" s="135">
        <v>2.68</v>
      </c>
      <c r="BB3" s="135">
        <v>0.5</v>
      </c>
      <c r="BC3" s="135">
        <v>18.0</v>
      </c>
      <c r="BD3" s="135">
        <v>20318.0</v>
      </c>
      <c r="BE3" s="135">
        <v>3.5129</v>
      </c>
      <c r="BF3" s="135">
        <v>0.0429</v>
      </c>
      <c r="BG3" s="135">
        <v>3.4701</v>
      </c>
      <c r="BH3" s="135">
        <v>1.9003</v>
      </c>
      <c r="BI3" s="135">
        <v>0.1517</v>
      </c>
      <c r="BJ3" s="135">
        <v>1.5559</v>
      </c>
      <c r="BK3" s="135">
        <v>0.0147</v>
      </c>
      <c r="BL3" s="135">
        <v>1.5412</v>
      </c>
      <c r="BM3" s="135">
        <v>1.3151</v>
      </c>
      <c r="BN3" s="135">
        <v>0.105</v>
      </c>
      <c r="BO3" s="135">
        <v>1.2697</v>
      </c>
      <c r="BP3" s="135">
        <v>0.0137</v>
      </c>
      <c r="BQ3" s="135">
        <v>1.256</v>
      </c>
      <c r="BR3" s="135">
        <v>0.7156</v>
      </c>
      <c r="BS3" s="135">
        <v>1.5643</v>
      </c>
      <c r="BT3" s="135">
        <v>0.0109</v>
      </c>
      <c r="BU3" s="135">
        <v>1.5534</v>
      </c>
      <c r="BV3" s="135">
        <v>0.7536</v>
      </c>
      <c r="BW3" s="135">
        <v>0.6789</v>
      </c>
      <c r="BX3" s="135">
        <v>0.0182</v>
      </c>
      <c r="BY3" s="135">
        <v>0.6607</v>
      </c>
      <c r="BZ3" s="135">
        <v>0.4311</v>
      </c>
      <c r="CA3" s="135">
        <v>0.2642</v>
      </c>
      <c r="CB3" s="135">
        <v>0.0027</v>
      </c>
      <c r="CC3" s="135">
        <v>0.2615</v>
      </c>
      <c r="CD3" s="135">
        <v>0.2426</v>
      </c>
      <c r="CE3" s="135">
        <v>0.7317</v>
      </c>
      <c r="CF3" s="135">
        <v>0.0062</v>
      </c>
      <c r="CG3" s="135">
        <v>0.7254</v>
      </c>
      <c r="CH3" s="135">
        <v>0.5762</v>
      </c>
      <c r="CI3" s="135">
        <v>0.56</v>
      </c>
      <c r="CJ3" s="135">
        <v>0.0058</v>
      </c>
      <c r="CK3" s="135">
        <v>0.5543</v>
      </c>
      <c r="CL3" s="135">
        <v>0.4964</v>
      </c>
      <c r="CM3" s="135">
        <v>259.91</v>
      </c>
      <c r="CN3" s="135">
        <v>82.78</v>
      </c>
      <c r="CO3" s="135">
        <v>314.0</v>
      </c>
      <c r="CP3" s="135">
        <v>243.03</v>
      </c>
      <c r="CQ3" s="135">
        <v>0.0</v>
      </c>
      <c r="CR3" s="135">
        <v>14.76</v>
      </c>
      <c r="CS3" s="135">
        <v>2.12</v>
      </c>
      <c r="CT3" s="135">
        <v>0.0</v>
      </c>
      <c r="CU3" s="135">
        <v>0.0</v>
      </c>
      <c r="CV3" s="135">
        <v>0.0</v>
      </c>
      <c r="CW3" s="135">
        <v>68.84</v>
      </c>
      <c r="CX3" s="135">
        <v>0.0</v>
      </c>
      <c r="CY3" s="135">
        <v>0.0</v>
      </c>
      <c r="CZ3" s="135">
        <v>104.76</v>
      </c>
      <c r="DA3" s="135">
        <v>0.37</v>
      </c>
      <c r="DB3" s="135">
        <v>104.38</v>
      </c>
      <c r="DC3" s="135">
        <v>92.38</v>
      </c>
      <c r="DD3" s="135">
        <v>0.1</v>
      </c>
      <c r="DE3" s="135">
        <v>92.28</v>
      </c>
      <c r="DF3" s="135">
        <v>6.53</v>
      </c>
      <c r="DG3" s="135">
        <v>0.09</v>
      </c>
      <c r="DH3" s="135">
        <v>6.44</v>
      </c>
      <c r="DI3" s="135">
        <v>5.42</v>
      </c>
      <c r="DJ3" s="135">
        <v>0.09</v>
      </c>
      <c r="DK3" s="135">
        <v>5.33</v>
      </c>
      <c r="DL3" s="135">
        <v>0.43</v>
      </c>
      <c r="DM3" s="135">
        <v>0.09</v>
      </c>
      <c r="DN3" s="135">
        <v>0.34</v>
      </c>
    </row>
    <row r="4">
      <c r="A4" s="209">
        <v>46255.0</v>
      </c>
      <c r="B4" s="210" t="s">
        <v>4</v>
      </c>
      <c r="C4" s="210" t="s">
        <v>143</v>
      </c>
      <c r="D4" s="210">
        <v>5481.0</v>
      </c>
      <c r="E4" s="210">
        <v>22.87</v>
      </c>
      <c r="F4" s="210">
        <v>458.35</v>
      </c>
      <c r="G4" s="210">
        <v>0.0836</v>
      </c>
      <c r="H4" s="210">
        <v>2.15</v>
      </c>
      <c r="I4" s="210">
        <v>3.8843</v>
      </c>
      <c r="J4" s="210">
        <v>45.88</v>
      </c>
      <c r="K4" s="210">
        <v>24.84</v>
      </c>
      <c r="L4" s="210">
        <v>14.52</v>
      </c>
      <c r="M4" s="210">
        <v>0.5844</v>
      </c>
      <c r="N4" s="210">
        <v>0.5433</v>
      </c>
      <c r="O4" s="210">
        <v>0.3293</v>
      </c>
      <c r="P4" s="210">
        <v>1.711</v>
      </c>
      <c r="Q4" s="210">
        <v>124.62</v>
      </c>
      <c r="R4" s="210">
        <v>111.6</v>
      </c>
      <c r="S4" s="210">
        <v>13.01</v>
      </c>
      <c r="T4" s="210">
        <v>7.17</v>
      </c>
      <c r="U4" s="210">
        <v>117.45</v>
      </c>
      <c r="V4" s="210">
        <v>107.95</v>
      </c>
      <c r="W4" s="210">
        <v>4.3462</v>
      </c>
      <c r="X4" s="210">
        <v>5.75</v>
      </c>
      <c r="Y4" s="210">
        <v>233.0</v>
      </c>
      <c r="Z4" s="210">
        <v>473.0</v>
      </c>
      <c r="AA4" s="210">
        <v>1440.0</v>
      </c>
      <c r="AB4" s="210">
        <v>51.8984</v>
      </c>
      <c r="AC4" s="210">
        <v>0.6792</v>
      </c>
      <c r="AD4" s="210">
        <v>9.94</v>
      </c>
      <c r="AE4" s="210">
        <v>4.0</v>
      </c>
      <c r="AF4" s="210">
        <v>8.0</v>
      </c>
      <c r="AG4" s="210">
        <v>13.0</v>
      </c>
      <c r="AH4" s="210">
        <v>20.0</v>
      </c>
      <c r="AI4" s="210">
        <v>67.4</v>
      </c>
      <c r="AJ4" s="210">
        <v>28.35</v>
      </c>
      <c r="AK4" s="210">
        <v>4.32</v>
      </c>
      <c r="AL4" s="210">
        <v>0.3288</v>
      </c>
      <c r="AM4" s="211"/>
      <c r="AQ4" s="135">
        <v>8.6294</v>
      </c>
      <c r="AR4" s="135">
        <v>0.1193</v>
      </c>
      <c r="AS4" s="135">
        <v>8.5101</v>
      </c>
      <c r="AT4" s="135">
        <v>6.1861</v>
      </c>
      <c r="AU4" s="135">
        <v>0.2491</v>
      </c>
      <c r="AV4" s="135">
        <v>5481.0</v>
      </c>
      <c r="AW4" s="135">
        <v>0.0</v>
      </c>
      <c r="AX4" s="135">
        <v>42.32</v>
      </c>
      <c r="AY4" s="135">
        <v>71.21</v>
      </c>
      <c r="AZ4" s="135">
        <v>2.76</v>
      </c>
      <c r="BA4" s="135">
        <v>7.17</v>
      </c>
      <c r="BB4" s="135">
        <v>1.15</v>
      </c>
      <c r="BC4" s="135">
        <v>36.0</v>
      </c>
      <c r="BD4" s="135">
        <v>20201.0</v>
      </c>
      <c r="BE4" s="135">
        <v>5.7791</v>
      </c>
      <c r="BF4" s="135">
        <v>0.0772</v>
      </c>
      <c r="BG4" s="135">
        <v>5.7019</v>
      </c>
      <c r="BH4" s="135">
        <v>3.5216</v>
      </c>
      <c r="BI4" s="135">
        <v>0.1418</v>
      </c>
      <c r="BJ4" s="135">
        <v>2.8504</v>
      </c>
      <c r="BK4" s="135">
        <v>0.0421</v>
      </c>
      <c r="BL4" s="135">
        <v>2.8082</v>
      </c>
      <c r="BM4" s="135">
        <v>2.6645</v>
      </c>
      <c r="BN4" s="135">
        <v>0.1073</v>
      </c>
      <c r="BO4" s="135">
        <v>2.2932</v>
      </c>
      <c r="BP4" s="135">
        <v>0.019</v>
      </c>
      <c r="BQ4" s="135">
        <v>2.2742</v>
      </c>
      <c r="BR4" s="135">
        <v>1.3811</v>
      </c>
      <c r="BS4" s="135">
        <v>2.2682</v>
      </c>
      <c r="BT4" s="135">
        <v>0.0201</v>
      </c>
      <c r="BU4" s="135">
        <v>2.2481</v>
      </c>
      <c r="BV4" s="135">
        <v>1.3268</v>
      </c>
      <c r="BW4" s="135">
        <v>1.2177</v>
      </c>
      <c r="BX4" s="135">
        <v>0.0381</v>
      </c>
      <c r="BY4" s="135">
        <v>1.1795</v>
      </c>
      <c r="BZ4" s="135">
        <v>0.8137</v>
      </c>
      <c r="CA4" s="135">
        <v>0.539</v>
      </c>
      <c r="CB4" s="135">
        <v>0.0099</v>
      </c>
      <c r="CC4" s="135">
        <v>0.5291</v>
      </c>
      <c r="CD4" s="135">
        <v>0.522</v>
      </c>
      <c r="CE4" s="135">
        <v>1.2596</v>
      </c>
      <c r="CF4" s="135">
        <v>0.0186</v>
      </c>
      <c r="CG4" s="135">
        <v>1.241</v>
      </c>
      <c r="CH4" s="135">
        <v>1.1118</v>
      </c>
      <c r="CI4" s="135">
        <v>1.0518</v>
      </c>
      <c r="CJ4" s="135">
        <v>0.0137</v>
      </c>
      <c r="CK4" s="135">
        <v>1.0381</v>
      </c>
      <c r="CL4" s="135">
        <v>1.0307</v>
      </c>
      <c r="CM4" s="135">
        <v>584.29</v>
      </c>
      <c r="CN4" s="135">
        <v>93.83</v>
      </c>
      <c r="CO4" s="135">
        <v>622.69</v>
      </c>
      <c r="CP4" s="135">
        <v>555.38</v>
      </c>
      <c r="CQ4" s="135">
        <v>0.0</v>
      </c>
      <c r="CR4" s="135">
        <v>21.08</v>
      </c>
      <c r="CS4" s="135">
        <v>7.83</v>
      </c>
      <c r="CT4" s="135">
        <v>0.0</v>
      </c>
      <c r="CU4" s="135">
        <v>0.0</v>
      </c>
      <c r="CV4" s="135">
        <v>0.0</v>
      </c>
      <c r="CW4" s="135">
        <v>124.62</v>
      </c>
      <c r="CX4" s="135">
        <v>0.0</v>
      </c>
      <c r="CY4" s="135">
        <v>0.0</v>
      </c>
      <c r="CZ4" s="135">
        <v>174.71</v>
      </c>
      <c r="DA4" s="135">
        <v>1.54</v>
      </c>
      <c r="DB4" s="135">
        <v>173.17</v>
      </c>
      <c r="DC4" s="135">
        <v>156.19</v>
      </c>
      <c r="DD4" s="135">
        <v>0.47</v>
      </c>
      <c r="DE4" s="135">
        <v>155.71</v>
      </c>
      <c r="DF4" s="135">
        <v>8.77</v>
      </c>
      <c r="DG4" s="135">
        <v>0.36</v>
      </c>
      <c r="DH4" s="135">
        <v>8.42</v>
      </c>
      <c r="DI4" s="135">
        <v>7.84</v>
      </c>
      <c r="DJ4" s="135">
        <v>0.36</v>
      </c>
      <c r="DK4" s="135">
        <v>7.49</v>
      </c>
      <c r="DL4" s="135">
        <v>1.9</v>
      </c>
      <c r="DM4" s="135">
        <v>0.36</v>
      </c>
      <c r="DN4" s="135">
        <v>1.55</v>
      </c>
    </row>
    <row r="5">
      <c r="A5" s="209">
        <v>46255.0</v>
      </c>
      <c r="B5" s="210" t="s">
        <v>4</v>
      </c>
      <c r="C5" s="210" t="s">
        <v>144</v>
      </c>
      <c r="D5" s="210">
        <v>4544.0</v>
      </c>
      <c r="E5" s="210">
        <v>18.96</v>
      </c>
      <c r="F5" s="210">
        <v>736.68</v>
      </c>
      <c r="G5" s="210">
        <v>0.1621</v>
      </c>
      <c r="H5" s="210">
        <v>3.26</v>
      </c>
      <c r="I5" s="210">
        <v>4.9776</v>
      </c>
      <c r="J5" s="210">
        <v>69.2</v>
      </c>
      <c r="K5" s="210">
        <v>39.0</v>
      </c>
      <c r="L5" s="210">
        <v>26.03</v>
      </c>
      <c r="M5" s="210">
        <v>0.6675</v>
      </c>
      <c r="N5" s="210">
        <v>0.4704</v>
      </c>
      <c r="O5" s="210">
        <v>0.2958</v>
      </c>
      <c r="P5" s="210">
        <v>1.4981</v>
      </c>
      <c r="Q5" s="210">
        <v>188.37</v>
      </c>
      <c r="R5" s="210">
        <v>165.23</v>
      </c>
      <c r="S5" s="210">
        <v>23.14</v>
      </c>
      <c r="T5" s="210">
        <v>11.85</v>
      </c>
      <c r="U5" s="210">
        <v>176.52</v>
      </c>
      <c r="V5" s="210">
        <v>187.46</v>
      </c>
      <c r="W5" s="210">
        <v>4.8063</v>
      </c>
      <c r="X5" s="210">
        <v>6.29</v>
      </c>
      <c r="Y5" s="210">
        <v>268.0</v>
      </c>
      <c r="Z5" s="210">
        <v>581.0</v>
      </c>
      <c r="AA5" s="210">
        <v>1535.0</v>
      </c>
      <c r="AB5" s="210">
        <v>53.6518</v>
      </c>
      <c r="AC5" s="210">
        <v>0.7547</v>
      </c>
      <c r="AD5" s="210">
        <v>16.52</v>
      </c>
      <c r="AE5" s="210">
        <v>7.0</v>
      </c>
      <c r="AF5" s="210">
        <v>13.0</v>
      </c>
      <c r="AG5" s="210">
        <v>22.0</v>
      </c>
      <c r="AH5" s="210">
        <v>33.0</v>
      </c>
      <c r="AI5" s="210">
        <v>59.02</v>
      </c>
      <c r="AJ5" s="210">
        <v>19.17</v>
      </c>
      <c r="AK5" s="210">
        <v>5.13</v>
      </c>
      <c r="AL5" s="210">
        <v>0.2526</v>
      </c>
      <c r="AM5" s="211"/>
      <c r="AQ5" s="135">
        <v>12.6351</v>
      </c>
      <c r="AR5" s="135">
        <v>0.292</v>
      </c>
      <c r="AS5" s="135">
        <v>12.3431</v>
      </c>
      <c r="AT5" s="135">
        <v>9.7632</v>
      </c>
      <c r="AU5" s="135">
        <v>0.2503</v>
      </c>
      <c r="AV5" s="135">
        <v>4544.0</v>
      </c>
      <c r="AW5" s="135">
        <v>0.0</v>
      </c>
      <c r="AX5" s="135">
        <v>66.34</v>
      </c>
      <c r="AY5" s="135">
        <v>105.53</v>
      </c>
      <c r="AZ5" s="135">
        <v>2.6</v>
      </c>
      <c r="BA5" s="135">
        <v>11.85</v>
      </c>
      <c r="BB5" s="135">
        <v>2.06</v>
      </c>
      <c r="BC5" s="135">
        <v>60.0</v>
      </c>
      <c r="BD5" s="135">
        <v>18293.0</v>
      </c>
      <c r="BE5" s="135">
        <v>8.3096</v>
      </c>
      <c r="BF5" s="135">
        <v>0.2047</v>
      </c>
      <c r="BG5" s="135">
        <v>8.105</v>
      </c>
      <c r="BH5" s="135">
        <v>5.4787</v>
      </c>
      <c r="BI5" s="135">
        <v>0.1405</v>
      </c>
      <c r="BJ5" s="135">
        <v>4.3255</v>
      </c>
      <c r="BK5" s="135">
        <v>0.0874</v>
      </c>
      <c r="BL5" s="135">
        <v>4.2381</v>
      </c>
      <c r="BM5" s="135">
        <v>4.2846</v>
      </c>
      <c r="BN5" s="135">
        <v>0.1099</v>
      </c>
      <c r="BO5" s="135">
        <v>3.3697</v>
      </c>
      <c r="BP5" s="135">
        <v>0.0662</v>
      </c>
      <c r="BQ5" s="135">
        <v>3.3035</v>
      </c>
      <c r="BR5" s="135">
        <v>2.1331</v>
      </c>
      <c r="BS5" s="135">
        <v>2.9776</v>
      </c>
      <c r="BT5" s="135">
        <v>0.0629</v>
      </c>
      <c r="BU5" s="135">
        <v>2.9146</v>
      </c>
      <c r="BV5" s="135">
        <v>1.9943</v>
      </c>
      <c r="BW5" s="135">
        <v>1.9624</v>
      </c>
      <c r="BX5" s="135">
        <v>0.0755</v>
      </c>
      <c r="BY5" s="135">
        <v>1.8869</v>
      </c>
      <c r="BZ5" s="135">
        <v>1.3512</v>
      </c>
      <c r="CA5" s="135">
        <v>0.9236</v>
      </c>
      <c r="CB5" s="135">
        <v>0.0255</v>
      </c>
      <c r="CC5" s="135">
        <v>0.8981</v>
      </c>
      <c r="CD5" s="135">
        <v>1.031</v>
      </c>
      <c r="CE5" s="135">
        <v>1.7225</v>
      </c>
      <c r="CF5" s="135">
        <v>0.0372</v>
      </c>
      <c r="CG5" s="135">
        <v>1.6853</v>
      </c>
      <c r="CH5" s="135">
        <v>1.6039</v>
      </c>
      <c r="CI5" s="135">
        <v>1.6794</v>
      </c>
      <c r="CJ5" s="135">
        <v>0.0246</v>
      </c>
      <c r="CK5" s="135">
        <v>1.6547</v>
      </c>
      <c r="CL5" s="135">
        <v>1.6496</v>
      </c>
      <c r="CM5" s="135">
        <v>1120.78</v>
      </c>
      <c r="CN5" s="135">
        <v>97.62</v>
      </c>
      <c r="CO5" s="135">
        <v>1148.07</v>
      </c>
      <c r="CP5" s="135">
        <v>1081.03</v>
      </c>
      <c r="CQ5" s="135">
        <v>0.0</v>
      </c>
      <c r="CR5" s="135">
        <v>27.3</v>
      </c>
      <c r="CS5" s="135">
        <v>12.46</v>
      </c>
      <c r="CT5" s="135">
        <v>0.0</v>
      </c>
      <c r="CU5" s="135">
        <v>0.0</v>
      </c>
      <c r="CV5" s="135">
        <v>0.0</v>
      </c>
      <c r="CW5" s="135">
        <v>188.37</v>
      </c>
      <c r="CX5" s="135">
        <v>0.0</v>
      </c>
      <c r="CY5" s="135">
        <v>0.0</v>
      </c>
      <c r="CZ5" s="135">
        <v>245.28</v>
      </c>
      <c r="DA5" s="135">
        <v>1.96</v>
      </c>
      <c r="DB5" s="135">
        <v>243.31</v>
      </c>
      <c r="DC5" s="135">
        <v>223.47</v>
      </c>
      <c r="DD5" s="135">
        <v>0.6</v>
      </c>
      <c r="DE5" s="135">
        <v>222.87</v>
      </c>
      <c r="DF5" s="135">
        <v>10.58</v>
      </c>
      <c r="DG5" s="135">
        <v>0.45</v>
      </c>
      <c r="DH5" s="135">
        <v>10.12</v>
      </c>
      <c r="DI5" s="135">
        <v>7.67</v>
      </c>
      <c r="DJ5" s="135">
        <v>0.45</v>
      </c>
      <c r="DK5" s="135">
        <v>7.22</v>
      </c>
      <c r="DL5" s="135">
        <v>3.56</v>
      </c>
      <c r="DM5" s="135">
        <v>0.45</v>
      </c>
      <c r="DN5" s="135">
        <v>3.11</v>
      </c>
    </row>
    <row r="6">
      <c r="A6" s="209">
        <v>46255.0</v>
      </c>
      <c r="B6" s="210" t="s">
        <v>4</v>
      </c>
      <c r="C6" s="210" t="s">
        <v>145</v>
      </c>
      <c r="D6" s="210">
        <v>2549.0</v>
      </c>
      <c r="E6" s="210">
        <v>10.64</v>
      </c>
      <c r="F6" s="210">
        <v>924.62</v>
      </c>
      <c r="G6" s="210">
        <v>0.3627</v>
      </c>
      <c r="H6" s="210">
        <v>5.37</v>
      </c>
      <c r="I6" s="210">
        <v>6.7491</v>
      </c>
      <c r="J6" s="210">
        <v>123.73</v>
      </c>
      <c r="K6" s="210">
        <v>73.87</v>
      </c>
      <c r="L6" s="210">
        <v>53.6</v>
      </c>
      <c r="M6" s="210">
        <v>0.7256</v>
      </c>
      <c r="N6" s="210">
        <v>0.4154</v>
      </c>
      <c r="O6" s="210">
        <v>0.2656</v>
      </c>
      <c r="P6" s="210">
        <v>1.3782</v>
      </c>
      <c r="Q6" s="210">
        <v>316.3</v>
      </c>
      <c r="R6" s="210">
        <v>272.33</v>
      </c>
      <c r="S6" s="210">
        <v>43.96</v>
      </c>
      <c r="T6" s="210">
        <v>31.64</v>
      </c>
      <c r="U6" s="210">
        <v>284.66</v>
      </c>
      <c r="V6" s="210">
        <v>335.37</v>
      </c>
      <c r="W6" s="210">
        <v>4.5399</v>
      </c>
      <c r="X6" s="210">
        <v>10.0</v>
      </c>
      <c r="Y6" s="210">
        <v>321.0</v>
      </c>
      <c r="Z6" s="210">
        <v>804.0</v>
      </c>
      <c r="AA6" s="210">
        <v>2010.0</v>
      </c>
      <c r="AB6" s="210">
        <v>55.6083</v>
      </c>
      <c r="AC6" s="210">
        <v>0.7993</v>
      </c>
      <c r="AD6" s="210">
        <v>29.79</v>
      </c>
      <c r="AE6" s="210">
        <v>12.0</v>
      </c>
      <c r="AF6" s="210">
        <v>22.0</v>
      </c>
      <c r="AG6" s="210">
        <v>40.0</v>
      </c>
      <c r="AH6" s="210">
        <v>62.0</v>
      </c>
      <c r="AI6" s="210">
        <v>40.56</v>
      </c>
      <c r="AJ6" s="210">
        <v>11.18</v>
      </c>
      <c r="AK6" s="210">
        <v>2.47</v>
      </c>
      <c r="AL6" s="210">
        <v>0.1785</v>
      </c>
      <c r="AM6" s="211"/>
      <c r="AQ6" s="135">
        <v>20.5163</v>
      </c>
      <c r="AR6" s="135">
        <v>0.4457</v>
      </c>
      <c r="AS6" s="135">
        <v>20.0706</v>
      </c>
      <c r="AT6" s="135">
        <v>17.7623</v>
      </c>
      <c r="AU6" s="135">
        <v>0.2404</v>
      </c>
      <c r="AV6" s="135">
        <v>2549.0</v>
      </c>
      <c r="AW6" s="135">
        <v>0.0</v>
      </c>
      <c r="AX6" s="135">
        <v>112.12</v>
      </c>
      <c r="AY6" s="135">
        <v>163.38</v>
      </c>
      <c r="AZ6" s="135">
        <v>3.98</v>
      </c>
      <c r="BA6" s="135">
        <v>31.64</v>
      </c>
      <c r="BB6" s="135">
        <v>5.18</v>
      </c>
      <c r="BC6" s="135">
        <v>126.0</v>
      </c>
      <c r="BD6" s="135">
        <v>16643.0</v>
      </c>
      <c r="BE6" s="135">
        <v>12.7603</v>
      </c>
      <c r="BF6" s="135">
        <v>0.1883</v>
      </c>
      <c r="BG6" s="135">
        <v>12.572</v>
      </c>
      <c r="BH6" s="135">
        <v>10.0494</v>
      </c>
      <c r="BI6" s="135">
        <v>0.136</v>
      </c>
      <c r="BJ6" s="135">
        <v>7.756</v>
      </c>
      <c r="BK6" s="135">
        <v>0.2574</v>
      </c>
      <c r="BL6" s="135">
        <v>7.4986</v>
      </c>
      <c r="BM6" s="135">
        <v>7.7128</v>
      </c>
      <c r="BN6" s="135">
        <v>0.1044</v>
      </c>
      <c r="BO6" s="135">
        <v>4.5594</v>
      </c>
      <c r="BP6" s="135">
        <v>0.0616</v>
      </c>
      <c r="BQ6" s="135">
        <v>4.4978</v>
      </c>
      <c r="BR6" s="135">
        <v>3.5708</v>
      </c>
      <c r="BS6" s="135">
        <v>4.5944</v>
      </c>
      <c r="BT6" s="135">
        <v>0.0628</v>
      </c>
      <c r="BU6" s="135">
        <v>4.5316</v>
      </c>
      <c r="BV6" s="135">
        <v>3.6916</v>
      </c>
      <c r="BW6" s="135">
        <v>3.6065</v>
      </c>
      <c r="BX6" s="135">
        <v>0.0639</v>
      </c>
      <c r="BY6" s="135">
        <v>3.5426</v>
      </c>
      <c r="BZ6" s="135">
        <v>2.787</v>
      </c>
      <c r="CA6" s="135">
        <v>1.8588</v>
      </c>
      <c r="CB6" s="135">
        <v>0.0734</v>
      </c>
      <c r="CC6" s="135">
        <v>1.7854</v>
      </c>
      <c r="CD6" s="135">
        <v>1.9525</v>
      </c>
      <c r="CE6" s="135">
        <v>2.8643</v>
      </c>
      <c r="CF6" s="135">
        <v>0.0996</v>
      </c>
      <c r="CG6" s="135">
        <v>2.7646</v>
      </c>
      <c r="CH6" s="135">
        <v>2.6795</v>
      </c>
      <c r="CI6" s="135">
        <v>3.033</v>
      </c>
      <c r="CJ6" s="135">
        <v>0.0843</v>
      </c>
      <c r="CK6" s="135">
        <v>2.9486</v>
      </c>
      <c r="CL6" s="135">
        <v>3.0808</v>
      </c>
      <c r="CM6" s="135">
        <v>2401.81</v>
      </c>
      <c r="CN6" s="135">
        <v>98.74</v>
      </c>
      <c r="CO6" s="135">
        <v>2432.34</v>
      </c>
      <c r="CP6" s="135">
        <v>2352.41</v>
      </c>
      <c r="CQ6" s="135">
        <v>0.0</v>
      </c>
      <c r="CR6" s="135">
        <v>33.09</v>
      </c>
      <c r="CS6" s="135">
        <v>16.31</v>
      </c>
      <c r="CT6" s="135">
        <v>0.0</v>
      </c>
      <c r="CU6" s="135">
        <v>0.0</v>
      </c>
      <c r="CV6" s="135">
        <v>0.0</v>
      </c>
      <c r="CW6" s="135">
        <v>316.3</v>
      </c>
      <c r="CX6" s="135">
        <v>0.0</v>
      </c>
      <c r="CY6" s="135">
        <v>0.0</v>
      </c>
      <c r="CZ6" s="135">
        <v>365.69</v>
      </c>
      <c r="DA6" s="135">
        <v>4.16</v>
      </c>
      <c r="DB6" s="135">
        <v>361.52</v>
      </c>
      <c r="DC6" s="135">
        <v>339.47</v>
      </c>
      <c r="DD6" s="135">
        <v>1.83</v>
      </c>
      <c r="DE6" s="135">
        <v>337.64</v>
      </c>
      <c r="DF6" s="135">
        <v>13.65</v>
      </c>
      <c r="DG6" s="135">
        <v>0.78</v>
      </c>
      <c r="DH6" s="135">
        <v>12.87</v>
      </c>
      <c r="DI6" s="135">
        <v>8.83</v>
      </c>
      <c r="DJ6" s="135">
        <v>0.78</v>
      </c>
      <c r="DK6" s="135">
        <v>8.05</v>
      </c>
      <c r="DL6" s="135">
        <v>3.74</v>
      </c>
      <c r="DM6" s="135">
        <v>0.78</v>
      </c>
      <c r="DN6" s="135">
        <v>2.96</v>
      </c>
    </row>
    <row r="7">
      <c r="A7" s="209">
        <v>46255.0</v>
      </c>
      <c r="B7" s="210" t="s">
        <v>4</v>
      </c>
      <c r="C7" s="210" t="s">
        <v>146</v>
      </c>
      <c r="D7" s="210">
        <v>334.0</v>
      </c>
      <c r="E7" s="210">
        <v>1.39</v>
      </c>
      <c r="F7" s="210">
        <v>295.25</v>
      </c>
      <c r="G7" s="210">
        <v>0.884</v>
      </c>
      <c r="H7" s="210">
        <v>9.28</v>
      </c>
      <c r="I7" s="210">
        <v>9.5242</v>
      </c>
      <c r="J7" s="210">
        <v>243.02</v>
      </c>
      <c r="K7" s="210">
        <v>156.67</v>
      </c>
      <c r="L7" s="210">
        <v>121.4</v>
      </c>
      <c r="M7" s="210">
        <v>0.7749</v>
      </c>
      <c r="N7" s="210">
        <v>0.3525</v>
      </c>
      <c r="O7" s="210">
        <v>0.2299</v>
      </c>
      <c r="P7" s="210">
        <v>1.2906</v>
      </c>
      <c r="Q7" s="210">
        <v>527.89</v>
      </c>
      <c r="R7" s="210">
        <v>430.44</v>
      </c>
      <c r="S7" s="210">
        <v>97.46</v>
      </c>
      <c r="T7" s="210">
        <v>68.26</v>
      </c>
      <c r="U7" s="210">
        <v>459.63</v>
      </c>
      <c r="V7" s="210">
        <v>597.6</v>
      </c>
      <c r="W7" s="210">
        <v>3.8144</v>
      </c>
      <c r="X7" s="210">
        <v>12.93</v>
      </c>
      <c r="Y7" s="210">
        <v>365.0</v>
      </c>
      <c r="Z7" s="210">
        <v>1017.0</v>
      </c>
      <c r="AA7" s="210">
        <v>2362.0</v>
      </c>
      <c r="AB7" s="210">
        <v>57.0946</v>
      </c>
      <c r="AC7" s="210">
        <v>0.8184</v>
      </c>
      <c r="AD7" s="210">
        <v>55.29</v>
      </c>
      <c r="AE7" s="210">
        <v>20.0</v>
      </c>
      <c r="AF7" s="210">
        <v>38.0</v>
      </c>
      <c r="AG7" s="210">
        <v>74.0</v>
      </c>
      <c r="AH7" s="210">
        <v>126.0</v>
      </c>
      <c r="AI7" s="210">
        <v>22.75</v>
      </c>
      <c r="AJ7" s="210">
        <v>3.29</v>
      </c>
      <c r="AK7" s="210">
        <v>0.9</v>
      </c>
      <c r="AL7" s="210">
        <v>0.1048</v>
      </c>
      <c r="AM7" s="211"/>
      <c r="AQ7" s="135">
        <v>35.7665</v>
      </c>
      <c r="AR7" s="135">
        <v>0.8982</v>
      </c>
      <c r="AS7" s="135">
        <v>34.8683</v>
      </c>
      <c r="AT7" s="135">
        <v>34.1737</v>
      </c>
      <c r="AU7" s="135">
        <v>0.2181</v>
      </c>
      <c r="AV7" s="135">
        <v>334.0</v>
      </c>
      <c r="AW7" s="135">
        <v>0.0</v>
      </c>
      <c r="AX7" s="135">
        <v>219.39</v>
      </c>
      <c r="AY7" s="135">
        <v>219.37</v>
      </c>
      <c r="AZ7" s="135">
        <v>7.6</v>
      </c>
      <c r="BA7" s="135">
        <v>68.26</v>
      </c>
      <c r="BB7" s="135">
        <v>13.27</v>
      </c>
      <c r="BC7" s="135">
        <v>271.0</v>
      </c>
      <c r="BD7" s="135">
        <v>19780.0</v>
      </c>
      <c r="BE7" s="135">
        <v>20.9311</v>
      </c>
      <c r="BF7" s="135">
        <v>0.2874</v>
      </c>
      <c r="BG7" s="135">
        <v>20.6437</v>
      </c>
      <c r="BH7" s="135">
        <v>19.1737</v>
      </c>
      <c r="BI7" s="135">
        <v>0.1224</v>
      </c>
      <c r="BJ7" s="135">
        <v>14.8353</v>
      </c>
      <c r="BK7" s="135">
        <v>0.6108</v>
      </c>
      <c r="BL7" s="135">
        <v>14.2246</v>
      </c>
      <c r="BM7" s="135">
        <v>15.0</v>
      </c>
      <c r="BN7" s="135">
        <v>0.0957</v>
      </c>
      <c r="BO7" s="135">
        <v>7.2246</v>
      </c>
      <c r="BP7" s="135">
        <v>0.0928</v>
      </c>
      <c r="BQ7" s="135">
        <v>7.1317</v>
      </c>
      <c r="BR7" s="135">
        <v>6.6377</v>
      </c>
      <c r="BS7" s="135">
        <v>7.1886</v>
      </c>
      <c r="BT7" s="135">
        <v>0.0928</v>
      </c>
      <c r="BU7" s="135">
        <v>7.0958</v>
      </c>
      <c r="BV7" s="135">
        <v>6.8413</v>
      </c>
      <c r="BW7" s="135">
        <v>6.518</v>
      </c>
      <c r="BX7" s="135">
        <v>0.1018</v>
      </c>
      <c r="BY7" s="135">
        <v>6.4162</v>
      </c>
      <c r="BZ7" s="135">
        <v>5.6946</v>
      </c>
      <c r="CA7" s="135">
        <v>4.1287</v>
      </c>
      <c r="CB7" s="135">
        <v>0.1467</v>
      </c>
      <c r="CC7" s="135">
        <v>3.982</v>
      </c>
      <c r="CD7" s="135">
        <v>4.4072</v>
      </c>
      <c r="CE7" s="135">
        <v>4.9251</v>
      </c>
      <c r="CF7" s="135">
        <v>0.2725</v>
      </c>
      <c r="CG7" s="135">
        <v>4.6527</v>
      </c>
      <c r="CH7" s="135">
        <v>4.976</v>
      </c>
      <c r="CI7" s="135">
        <v>5.7814</v>
      </c>
      <c r="CJ7" s="135">
        <v>0.1916</v>
      </c>
      <c r="CK7" s="135">
        <v>5.5898</v>
      </c>
      <c r="CL7" s="135">
        <v>5.6168</v>
      </c>
      <c r="CM7" s="135">
        <v>5374.65</v>
      </c>
      <c r="CN7" s="135">
        <v>100.0</v>
      </c>
      <c r="CO7" s="135">
        <v>5374.65</v>
      </c>
      <c r="CP7" s="135">
        <v>5313.12</v>
      </c>
      <c r="CQ7" s="135">
        <v>0.0</v>
      </c>
      <c r="CR7" s="135">
        <v>44.73</v>
      </c>
      <c r="CS7" s="135">
        <v>16.8</v>
      </c>
      <c r="CT7" s="135">
        <v>0.0</v>
      </c>
      <c r="CU7" s="135">
        <v>0.0</v>
      </c>
      <c r="CV7" s="135">
        <v>0.0</v>
      </c>
      <c r="CW7" s="135">
        <v>527.89</v>
      </c>
      <c r="CX7" s="135">
        <v>0.0</v>
      </c>
      <c r="CY7" s="135">
        <v>0.0</v>
      </c>
      <c r="CZ7" s="135">
        <v>611.66</v>
      </c>
      <c r="DA7" s="135">
        <v>12.98</v>
      </c>
      <c r="DB7" s="135">
        <v>598.68</v>
      </c>
      <c r="DC7" s="135">
        <v>579.16</v>
      </c>
      <c r="DD7" s="135">
        <v>4.72</v>
      </c>
      <c r="DE7" s="135">
        <v>574.45</v>
      </c>
      <c r="DF7" s="135">
        <v>15.99</v>
      </c>
      <c r="DG7" s="135">
        <v>2.75</v>
      </c>
      <c r="DH7" s="135">
        <v>13.23</v>
      </c>
      <c r="DI7" s="135">
        <v>12.19</v>
      </c>
      <c r="DJ7" s="135">
        <v>2.75</v>
      </c>
      <c r="DK7" s="135">
        <v>9.43</v>
      </c>
      <c r="DL7" s="135">
        <v>4.33</v>
      </c>
      <c r="DM7" s="135">
        <v>2.75</v>
      </c>
      <c r="DN7" s="135">
        <v>1.57</v>
      </c>
    </row>
    <row r="8">
      <c r="A8" s="209">
        <v>46255.0</v>
      </c>
      <c r="B8" s="210" t="s">
        <v>5</v>
      </c>
      <c r="C8" s="210" t="s">
        <v>398</v>
      </c>
      <c r="D8" s="210">
        <v>4583.0</v>
      </c>
      <c r="E8" s="210">
        <v>19.55</v>
      </c>
      <c r="F8" s="210">
        <v>428.59</v>
      </c>
      <c r="G8" s="210">
        <v>0.0935</v>
      </c>
      <c r="H8" s="210">
        <v>1.29</v>
      </c>
      <c r="I8" s="210">
        <v>7.2642</v>
      </c>
      <c r="J8" s="210">
        <v>27.04</v>
      </c>
      <c r="K8" s="210">
        <v>14.68</v>
      </c>
      <c r="L8" s="210">
        <v>10.98</v>
      </c>
      <c r="M8" s="210">
        <v>0.7479</v>
      </c>
      <c r="N8" s="210">
        <v>0.3828</v>
      </c>
      <c r="O8" s="210">
        <v>0.2021</v>
      </c>
      <c r="P8" s="210">
        <v>1.3371</v>
      </c>
      <c r="Q8" s="210">
        <v>100.77</v>
      </c>
      <c r="R8" s="210">
        <v>100.69</v>
      </c>
      <c r="S8" s="210">
        <v>0.08</v>
      </c>
      <c r="T8" s="210">
        <v>7.57</v>
      </c>
      <c r="U8" s="210">
        <v>93.2</v>
      </c>
      <c r="V8" s="210">
        <v>66.63</v>
      </c>
      <c r="W8" s="210">
        <v>4.538</v>
      </c>
      <c r="X8" s="210">
        <v>7.51</v>
      </c>
      <c r="Y8" s="210">
        <v>218.0</v>
      </c>
      <c r="Z8" s="210">
        <v>609.0</v>
      </c>
      <c r="AA8" s="210">
        <v>4291.0</v>
      </c>
      <c r="AB8" s="210">
        <v>50.0315</v>
      </c>
      <c r="AC8" s="210">
        <v>0.4836</v>
      </c>
      <c r="AD8" s="211"/>
      <c r="AE8" s="211"/>
      <c r="AF8" s="211"/>
      <c r="AG8" s="211"/>
      <c r="AH8" s="211"/>
      <c r="AI8" s="210">
        <v>0.0</v>
      </c>
      <c r="AJ8" s="210">
        <v>0.0</v>
      </c>
      <c r="AK8" s="210">
        <v>0.0</v>
      </c>
      <c r="AL8" s="210">
        <v>0.4698</v>
      </c>
      <c r="AM8" s="210">
        <v>13.24</v>
      </c>
      <c r="AN8" s="135">
        <v>13.24</v>
      </c>
      <c r="AO8" s="135">
        <v>8.53</v>
      </c>
      <c r="AP8" s="135">
        <v>4.76</v>
      </c>
      <c r="AQ8" s="135">
        <v>3.5643</v>
      </c>
      <c r="AR8" s="135">
        <v>0.0834</v>
      </c>
      <c r="AS8" s="135">
        <v>3.4809</v>
      </c>
      <c r="AT8" s="135">
        <v>2.2298</v>
      </c>
      <c r="AU8" s="135">
        <v>0.1519</v>
      </c>
      <c r="AV8" s="135">
        <v>4583.0</v>
      </c>
      <c r="AW8" s="135">
        <v>0.0</v>
      </c>
      <c r="AX8" s="135">
        <v>10.93</v>
      </c>
      <c r="AY8" s="135">
        <v>78.55</v>
      </c>
      <c r="AZ8" s="135">
        <v>3.5</v>
      </c>
      <c r="BA8" s="135">
        <v>7.57</v>
      </c>
      <c r="BB8" s="135">
        <v>0.22</v>
      </c>
      <c r="BD8" s="135">
        <v>28810.0</v>
      </c>
      <c r="BE8" s="135">
        <v>1.9158</v>
      </c>
      <c r="BF8" s="135">
        <v>0.038</v>
      </c>
      <c r="BG8" s="135">
        <v>1.8778</v>
      </c>
      <c r="BH8" s="135">
        <v>1.1058</v>
      </c>
      <c r="BI8" s="135">
        <v>0.0753</v>
      </c>
      <c r="BJ8" s="135">
        <v>1.6485</v>
      </c>
      <c r="BK8" s="135">
        <v>0.0454</v>
      </c>
      <c r="BL8" s="135">
        <v>1.6031</v>
      </c>
      <c r="BM8" s="135">
        <v>1.1239</v>
      </c>
      <c r="BN8" s="135">
        <v>0.0766</v>
      </c>
      <c r="BO8" s="135">
        <v>0.7174</v>
      </c>
      <c r="BP8" s="135">
        <v>0.0133</v>
      </c>
      <c r="BQ8" s="135">
        <v>0.7041</v>
      </c>
      <c r="BR8" s="135">
        <v>0.4072</v>
      </c>
      <c r="BS8" s="135">
        <v>0.7303</v>
      </c>
      <c r="BT8" s="135">
        <v>0.0133</v>
      </c>
      <c r="BU8" s="135">
        <v>0.717</v>
      </c>
      <c r="BV8" s="135">
        <v>0.4237</v>
      </c>
      <c r="BW8" s="135">
        <v>0.468</v>
      </c>
      <c r="BX8" s="135">
        <v>0.0113</v>
      </c>
      <c r="BY8" s="135">
        <v>0.4567</v>
      </c>
      <c r="BZ8" s="135">
        <v>0.2749</v>
      </c>
      <c r="CA8" s="135">
        <v>0.3314</v>
      </c>
      <c r="CB8" s="135">
        <v>0.0122</v>
      </c>
      <c r="CC8" s="135">
        <v>0.3192</v>
      </c>
      <c r="CD8" s="135">
        <v>0.2254</v>
      </c>
      <c r="CE8" s="135">
        <v>0.739</v>
      </c>
      <c r="CF8" s="135">
        <v>0.0172</v>
      </c>
      <c r="CG8" s="135">
        <v>0.7218</v>
      </c>
      <c r="CH8" s="135">
        <v>0.4563</v>
      </c>
      <c r="CI8" s="135">
        <v>0.578</v>
      </c>
      <c r="CJ8" s="135">
        <v>0.0159</v>
      </c>
      <c r="CK8" s="135">
        <v>0.5621</v>
      </c>
      <c r="CL8" s="135">
        <v>0.4423</v>
      </c>
      <c r="CM8" s="135">
        <v>533.78</v>
      </c>
      <c r="CN8" s="135">
        <v>31.99</v>
      </c>
      <c r="CO8" s="135">
        <v>1668.71</v>
      </c>
      <c r="CP8" s="135">
        <v>515.26</v>
      </c>
      <c r="CQ8" s="135">
        <v>1.39</v>
      </c>
      <c r="CR8" s="135">
        <v>10.39</v>
      </c>
      <c r="CS8" s="135">
        <v>6.74</v>
      </c>
      <c r="CT8" s="135">
        <v>0.0</v>
      </c>
      <c r="CU8" s="135">
        <v>922.0</v>
      </c>
      <c r="CV8" s="135">
        <v>0.01</v>
      </c>
      <c r="CW8" s="135">
        <v>100.78</v>
      </c>
      <c r="CX8" s="135">
        <v>0.0</v>
      </c>
      <c r="CY8" s="135">
        <v>1.39</v>
      </c>
      <c r="CZ8" s="135">
        <v>51.85</v>
      </c>
      <c r="DA8" s="135">
        <v>0.82</v>
      </c>
      <c r="DB8" s="135">
        <v>51.03</v>
      </c>
      <c r="DC8" s="135">
        <v>44.12</v>
      </c>
      <c r="DD8" s="135">
        <v>0.44</v>
      </c>
      <c r="DE8" s="135">
        <v>43.68</v>
      </c>
      <c r="DF8" s="135">
        <v>3.86</v>
      </c>
      <c r="DG8" s="135">
        <v>0.13</v>
      </c>
      <c r="DH8" s="135">
        <v>3.73</v>
      </c>
      <c r="DI8" s="135">
        <v>2.81</v>
      </c>
      <c r="DJ8" s="135">
        <v>0.13</v>
      </c>
      <c r="DK8" s="135">
        <v>2.68</v>
      </c>
      <c r="DL8" s="135">
        <v>1.07</v>
      </c>
      <c r="DM8" s="135">
        <v>0.13</v>
      </c>
      <c r="DN8" s="135">
        <v>0.94</v>
      </c>
    </row>
    <row r="9">
      <c r="A9" s="209">
        <v>46255.0</v>
      </c>
      <c r="B9" s="210" t="s">
        <v>5</v>
      </c>
      <c r="C9" s="210" t="s">
        <v>142</v>
      </c>
      <c r="D9" s="210">
        <v>6385.0</v>
      </c>
      <c r="E9" s="210">
        <v>27.24</v>
      </c>
      <c r="F9" s="210">
        <v>216.62</v>
      </c>
      <c r="G9" s="210">
        <v>0.0339</v>
      </c>
      <c r="H9" s="210">
        <v>1.16</v>
      </c>
      <c r="I9" s="210">
        <v>2.9273</v>
      </c>
      <c r="J9" s="210">
        <v>23.81</v>
      </c>
      <c r="K9" s="210">
        <v>11.61</v>
      </c>
      <c r="L9" s="210">
        <v>5.54</v>
      </c>
      <c r="M9" s="210">
        <v>0.4773</v>
      </c>
      <c r="N9" s="210">
        <v>0.6361</v>
      </c>
      <c r="O9" s="210">
        <v>0.3857</v>
      </c>
      <c r="P9" s="210">
        <v>2.0951</v>
      </c>
      <c r="Q9" s="210">
        <v>65.27</v>
      </c>
      <c r="R9" s="210">
        <v>61.04</v>
      </c>
      <c r="S9" s="210">
        <v>4.23</v>
      </c>
      <c r="T9" s="210">
        <v>3.61</v>
      </c>
      <c r="U9" s="210">
        <v>61.66</v>
      </c>
      <c r="V9" s="210">
        <v>50.3</v>
      </c>
      <c r="W9" s="210">
        <v>4.3306</v>
      </c>
      <c r="X9" s="210">
        <v>5.53</v>
      </c>
      <c r="Y9" s="210">
        <v>203.0</v>
      </c>
      <c r="Z9" s="210">
        <v>417.0</v>
      </c>
      <c r="AA9" s="210">
        <v>1446.0</v>
      </c>
      <c r="AB9" s="210">
        <v>50.124</v>
      </c>
      <c r="AC9" s="210">
        <v>0.6016</v>
      </c>
      <c r="AD9" s="210">
        <v>4.22</v>
      </c>
      <c r="AE9" s="210">
        <v>1.0</v>
      </c>
      <c r="AF9" s="210">
        <v>3.0</v>
      </c>
      <c r="AG9" s="210">
        <v>5.0</v>
      </c>
      <c r="AH9" s="210">
        <v>9.0</v>
      </c>
      <c r="AI9" s="210">
        <v>74.58</v>
      </c>
      <c r="AJ9" s="210">
        <v>34.71</v>
      </c>
      <c r="AK9" s="210">
        <v>8.82</v>
      </c>
      <c r="AL9" s="210">
        <v>0.4421</v>
      </c>
      <c r="AM9" s="210">
        <v>46.45</v>
      </c>
      <c r="AN9" s="135">
        <v>46.45</v>
      </c>
      <c r="AO9" s="135">
        <v>23.37</v>
      </c>
      <c r="AP9" s="135">
        <v>7.91</v>
      </c>
      <c r="AQ9" s="135">
        <v>4.6244</v>
      </c>
      <c r="AR9" s="135">
        <v>0.0755</v>
      </c>
      <c r="AS9" s="135">
        <v>4.5489</v>
      </c>
      <c r="AT9" s="135">
        <v>3.1685</v>
      </c>
      <c r="AU9" s="135">
        <v>0.2728</v>
      </c>
      <c r="AV9" s="135">
        <v>6385.0</v>
      </c>
      <c r="AW9" s="135">
        <v>0.0</v>
      </c>
      <c r="AX9" s="135">
        <v>20.02</v>
      </c>
      <c r="AY9" s="135">
        <v>39.08</v>
      </c>
      <c r="AZ9" s="135">
        <v>2.09</v>
      </c>
      <c r="BA9" s="135">
        <v>3.61</v>
      </c>
      <c r="BB9" s="135">
        <v>0.47</v>
      </c>
      <c r="BC9" s="135">
        <v>18.0</v>
      </c>
      <c r="BD9" s="135">
        <v>19228.0</v>
      </c>
      <c r="BE9" s="135">
        <v>3.1422</v>
      </c>
      <c r="BF9" s="135">
        <v>0.0465</v>
      </c>
      <c r="BG9" s="135">
        <v>3.0957</v>
      </c>
      <c r="BH9" s="135">
        <v>1.8659</v>
      </c>
      <c r="BI9" s="135">
        <v>0.1607</v>
      </c>
      <c r="BJ9" s="135">
        <v>1.4822</v>
      </c>
      <c r="BK9" s="135">
        <v>0.029</v>
      </c>
      <c r="BL9" s="135">
        <v>1.4532</v>
      </c>
      <c r="BM9" s="135">
        <v>1.3026</v>
      </c>
      <c r="BN9" s="135">
        <v>0.1122</v>
      </c>
      <c r="BO9" s="135">
        <v>1.2573</v>
      </c>
      <c r="BP9" s="135">
        <v>0.0183</v>
      </c>
      <c r="BQ9" s="135">
        <v>1.239</v>
      </c>
      <c r="BR9" s="135">
        <v>0.7328</v>
      </c>
      <c r="BS9" s="135">
        <v>1.2987</v>
      </c>
      <c r="BT9" s="135">
        <v>0.0122</v>
      </c>
      <c r="BU9" s="135">
        <v>1.2865</v>
      </c>
      <c r="BV9" s="135">
        <v>0.7474</v>
      </c>
      <c r="BW9" s="135">
        <v>0.5862</v>
      </c>
      <c r="BX9" s="135">
        <v>0.016</v>
      </c>
      <c r="BY9" s="135">
        <v>0.5702</v>
      </c>
      <c r="BZ9" s="135">
        <v>0.3857</v>
      </c>
      <c r="CA9" s="135">
        <v>0.1903</v>
      </c>
      <c r="CB9" s="135">
        <v>0.0085</v>
      </c>
      <c r="CC9" s="135">
        <v>0.1818</v>
      </c>
      <c r="CD9" s="135">
        <v>0.1894</v>
      </c>
      <c r="CE9" s="135">
        <v>0.7829</v>
      </c>
      <c r="CF9" s="135">
        <v>0.01</v>
      </c>
      <c r="CG9" s="135">
        <v>0.7729</v>
      </c>
      <c r="CH9" s="135">
        <v>0.6642</v>
      </c>
      <c r="CI9" s="135">
        <v>0.509</v>
      </c>
      <c r="CJ9" s="135">
        <v>0.0105</v>
      </c>
      <c r="CK9" s="135">
        <v>0.4985</v>
      </c>
      <c r="CL9" s="135">
        <v>0.449</v>
      </c>
      <c r="CM9" s="135">
        <v>249.66</v>
      </c>
      <c r="CN9" s="135">
        <v>83.82</v>
      </c>
      <c r="CO9" s="135">
        <v>297.84</v>
      </c>
      <c r="CP9" s="135">
        <v>230.97</v>
      </c>
      <c r="CQ9" s="135">
        <v>1.45</v>
      </c>
      <c r="CR9" s="135">
        <v>14.36</v>
      </c>
      <c r="CS9" s="135">
        <v>2.88</v>
      </c>
      <c r="CT9" s="135">
        <v>0.0</v>
      </c>
      <c r="CU9" s="135">
        <v>807.0</v>
      </c>
      <c r="CV9" s="135">
        <v>0.03</v>
      </c>
      <c r="CW9" s="135">
        <v>65.3</v>
      </c>
      <c r="CX9" s="135">
        <v>0.06</v>
      </c>
      <c r="CY9" s="135">
        <v>1.52</v>
      </c>
      <c r="CZ9" s="135">
        <v>98.68</v>
      </c>
      <c r="DA9" s="135">
        <v>0.75</v>
      </c>
      <c r="DB9" s="135">
        <v>97.93</v>
      </c>
      <c r="DC9" s="135">
        <v>89.87</v>
      </c>
      <c r="DD9" s="135">
        <v>0.37</v>
      </c>
      <c r="DE9" s="135">
        <v>89.5</v>
      </c>
      <c r="DF9" s="135">
        <v>4.47</v>
      </c>
      <c r="DG9" s="135">
        <v>0.13</v>
      </c>
      <c r="DH9" s="135">
        <v>4.34</v>
      </c>
      <c r="DI9" s="135">
        <v>3.81</v>
      </c>
      <c r="DJ9" s="135">
        <v>0.13</v>
      </c>
      <c r="DK9" s="135">
        <v>3.68</v>
      </c>
      <c r="DL9" s="135">
        <v>0.53</v>
      </c>
      <c r="DM9" s="135">
        <v>0.13</v>
      </c>
      <c r="DN9" s="135">
        <v>0.41</v>
      </c>
    </row>
    <row r="10">
      <c r="A10" s="209">
        <v>46255.0</v>
      </c>
      <c r="B10" s="210" t="s">
        <v>5</v>
      </c>
      <c r="C10" s="210" t="s">
        <v>143</v>
      </c>
      <c r="D10" s="210">
        <v>5351.0</v>
      </c>
      <c r="E10" s="210">
        <v>22.83</v>
      </c>
      <c r="F10" s="210">
        <v>259.57</v>
      </c>
      <c r="G10" s="210">
        <v>0.0485</v>
      </c>
      <c r="H10" s="210">
        <v>1.92</v>
      </c>
      <c r="I10" s="210">
        <v>2.5201</v>
      </c>
      <c r="J10" s="210">
        <v>45.08</v>
      </c>
      <c r="K10" s="210">
        <v>23.39</v>
      </c>
      <c r="L10" s="210">
        <v>13.68</v>
      </c>
      <c r="M10" s="210">
        <v>0.585</v>
      </c>
      <c r="N10" s="210">
        <v>0.548</v>
      </c>
      <c r="O10" s="210">
        <v>0.3375</v>
      </c>
      <c r="P10" s="210">
        <v>1.7095</v>
      </c>
      <c r="Q10" s="210">
        <v>114.21</v>
      </c>
      <c r="R10" s="210">
        <v>103.6</v>
      </c>
      <c r="S10" s="210">
        <v>10.61</v>
      </c>
      <c r="T10" s="210">
        <v>3.69</v>
      </c>
      <c r="U10" s="210">
        <v>110.52</v>
      </c>
      <c r="V10" s="210">
        <v>100.89</v>
      </c>
      <c r="W10" s="210">
        <v>4.3132</v>
      </c>
      <c r="X10" s="210">
        <v>3.23</v>
      </c>
      <c r="Y10" s="210">
        <v>223.0</v>
      </c>
      <c r="Z10" s="210">
        <v>417.0</v>
      </c>
      <c r="AA10" s="210">
        <v>1248.0</v>
      </c>
      <c r="AB10" s="210">
        <v>52.0481</v>
      </c>
      <c r="AC10" s="210">
        <v>0.6792</v>
      </c>
      <c r="AD10" s="210">
        <v>9.54</v>
      </c>
      <c r="AE10" s="210">
        <v>4.0</v>
      </c>
      <c r="AF10" s="210">
        <v>8.0</v>
      </c>
      <c r="AG10" s="210">
        <v>13.0</v>
      </c>
      <c r="AH10" s="210">
        <v>20.0</v>
      </c>
      <c r="AI10" s="210">
        <v>63.33</v>
      </c>
      <c r="AJ10" s="210">
        <v>26.11</v>
      </c>
      <c r="AK10" s="210">
        <v>4.49</v>
      </c>
      <c r="AL10" s="210">
        <v>0.3248</v>
      </c>
      <c r="AM10" s="210">
        <v>51.8</v>
      </c>
      <c r="AN10" s="135">
        <v>51.8</v>
      </c>
      <c r="AO10" s="135">
        <v>31.02</v>
      </c>
      <c r="AP10" s="135">
        <v>14.73</v>
      </c>
      <c r="AQ10" s="135">
        <v>7.7496</v>
      </c>
      <c r="AR10" s="135">
        <v>0.0654</v>
      </c>
      <c r="AS10" s="135">
        <v>7.6842</v>
      </c>
      <c r="AT10" s="135">
        <v>5.9122</v>
      </c>
      <c r="AU10" s="135">
        <v>0.2528</v>
      </c>
      <c r="AV10" s="135">
        <v>5351.0</v>
      </c>
      <c r="AW10" s="135">
        <v>0.0</v>
      </c>
      <c r="AX10" s="135">
        <v>36.67</v>
      </c>
      <c r="AY10" s="135">
        <v>69.92</v>
      </c>
      <c r="AZ10" s="135">
        <v>2.68</v>
      </c>
      <c r="BA10" s="135">
        <v>3.69</v>
      </c>
      <c r="BB10" s="135">
        <v>1.25</v>
      </c>
      <c r="BC10" s="135">
        <v>36.0</v>
      </c>
      <c r="BD10" s="135">
        <v>17579.0</v>
      </c>
      <c r="BE10" s="135">
        <v>4.8916</v>
      </c>
      <c r="BF10" s="135">
        <v>0.0398</v>
      </c>
      <c r="BG10" s="135">
        <v>4.8518</v>
      </c>
      <c r="BH10" s="135">
        <v>3.2327</v>
      </c>
      <c r="BI10" s="135">
        <v>0.1382</v>
      </c>
      <c r="BJ10" s="135">
        <v>2.858</v>
      </c>
      <c r="BK10" s="135">
        <v>0.0256</v>
      </c>
      <c r="BL10" s="135">
        <v>2.8324</v>
      </c>
      <c r="BM10" s="135">
        <v>2.6795</v>
      </c>
      <c r="BN10" s="135">
        <v>0.1146</v>
      </c>
      <c r="BO10" s="135">
        <v>1.8481</v>
      </c>
      <c r="BP10" s="135">
        <v>0.0133</v>
      </c>
      <c r="BQ10" s="135">
        <v>1.8348</v>
      </c>
      <c r="BR10" s="135">
        <v>1.1966</v>
      </c>
      <c r="BS10" s="135">
        <v>1.9871</v>
      </c>
      <c r="BT10" s="135">
        <v>0.0138</v>
      </c>
      <c r="BU10" s="135">
        <v>1.9733</v>
      </c>
      <c r="BV10" s="135">
        <v>1.316</v>
      </c>
      <c r="BW10" s="135">
        <v>1.0564</v>
      </c>
      <c r="BX10" s="135">
        <v>0.0127</v>
      </c>
      <c r="BY10" s="135">
        <v>1.0437</v>
      </c>
      <c r="BZ10" s="135">
        <v>0.7201</v>
      </c>
      <c r="CA10" s="135">
        <v>0.447</v>
      </c>
      <c r="CB10" s="135">
        <v>0.0041</v>
      </c>
      <c r="CC10" s="135">
        <v>0.4429</v>
      </c>
      <c r="CD10" s="135">
        <v>0.4608</v>
      </c>
      <c r="CE10" s="135">
        <v>1.388</v>
      </c>
      <c r="CF10" s="135">
        <v>0.0133</v>
      </c>
      <c r="CG10" s="135">
        <v>1.3747</v>
      </c>
      <c r="CH10" s="135">
        <v>1.2667</v>
      </c>
      <c r="CI10" s="135">
        <v>1.023</v>
      </c>
      <c r="CJ10" s="135">
        <v>0.0082</v>
      </c>
      <c r="CK10" s="135">
        <v>1.0148</v>
      </c>
      <c r="CL10" s="135">
        <v>0.952</v>
      </c>
      <c r="CM10" s="135">
        <v>553.8</v>
      </c>
      <c r="CN10" s="135">
        <v>94.66</v>
      </c>
      <c r="CO10" s="135">
        <v>585.07</v>
      </c>
      <c r="CP10" s="135">
        <v>518.8</v>
      </c>
      <c r="CQ10" s="135">
        <v>2.66</v>
      </c>
      <c r="CR10" s="135">
        <v>20.84</v>
      </c>
      <c r="CS10" s="135">
        <v>11.49</v>
      </c>
      <c r="CT10" s="135">
        <v>0.0</v>
      </c>
      <c r="CU10" s="135">
        <v>1281.0</v>
      </c>
      <c r="CV10" s="135">
        <v>0.03</v>
      </c>
      <c r="CW10" s="135">
        <v>114.24</v>
      </c>
      <c r="CX10" s="135">
        <v>0.17</v>
      </c>
      <c r="CY10" s="135">
        <v>2.83</v>
      </c>
      <c r="CZ10" s="135">
        <v>149.15</v>
      </c>
      <c r="DA10" s="135">
        <v>1.19</v>
      </c>
      <c r="DB10" s="135">
        <v>147.96</v>
      </c>
      <c r="DC10" s="135">
        <v>135.84</v>
      </c>
      <c r="DD10" s="135">
        <v>0.3</v>
      </c>
      <c r="DE10" s="135">
        <v>135.54</v>
      </c>
      <c r="DF10" s="135">
        <v>7.56</v>
      </c>
      <c r="DG10" s="135">
        <v>0.3</v>
      </c>
      <c r="DH10" s="135">
        <v>7.26</v>
      </c>
      <c r="DI10" s="135">
        <v>4.96</v>
      </c>
      <c r="DJ10" s="135">
        <v>0.3</v>
      </c>
      <c r="DK10" s="135">
        <v>4.66</v>
      </c>
      <c r="DL10" s="135">
        <v>0.79</v>
      </c>
      <c r="DM10" s="135">
        <v>0.3</v>
      </c>
      <c r="DN10" s="135">
        <v>0.49</v>
      </c>
    </row>
    <row r="11">
      <c r="A11" s="209">
        <v>46255.0</v>
      </c>
      <c r="B11" s="210" t="s">
        <v>5</v>
      </c>
      <c r="C11" s="210" t="s">
        <v>144</v>
      </c>
      <c r="D11" s="210">
        <v>4488.0</v>
      </c>
      <c r="E11" s="210">
        <v>19.15</v>
      </c>
      <c r="F11" s="210">
        <v>538.13</v>
      </c>
      <c r="G11" s="210">
        <v>0.1199</v>
      </c>
      <c r="H11" s="210">
        <v>2.87</v>
      </c>
      <c r="I11" s="210">
        <v>4.1716</v>
      </c>
      <c r="J11" s="210">
        <v>69.96</v>
      </c>
      <c r="K11" s="210">
        <v>38.5</v>
      </c>
      <c r="L11" s="210">
        <v>25.81</v>
      </c>
      <c r="M11" s="210">
        <v>0.6703</v>
      </c>
      <c r="N11" s="210">
        <v>0.4737</v>
      </c>
      <c r="O11" s="210">
        <v>0.3034</v>
      </c>
      <c r="P11" s="210">
        <v>1.4918</v>
      </c>
      <c r="Q11" s="210">
        <v>206.7</v>
      </c>
      <c r="R11" s="210">
        <v>186.63</v>
      </c>
      <c r="S11" s="210">
        <v>20.07</v>
      </c>
      <c r="T11" s="210">
        <v>8.88</v>
      </c>
      <c r="U11" s="210">
        <v>197.82</v>
      </c>
      <c r="V11" s="210">
        <v>188.67</v>
      </c>
      <c r="W11" s="210">
        <v>4.9003</v>
      </c>
      <c r="X11" s="210">
        <v>4.3</v>
      </c>
      <c r="Y11" s="210">
        <v>275.0</v>
      </c>
      <c r="Z11" s="210">
        <v>526.0</v>
      </c>
      <c r="AA11" s="210">
        <v>1255.0</v>
      </c>
      <c r="AB11" s="210">
        <v>53.4995</v>
      </c>
      <c r="AC11" s="210">
        <v>0.7319</v>
      </c>
      <c r="AD11" s="210">
        <v>16.61</v>
      </c>
      <c r="AE11" s="210">
        <v>7.0</v>
      </c>
      <c r="AF11" s="210">
        <v>13.0</v>
      </c>
      <c r="AG11" s="210">
        <v>23.0</v>
      </c>
      <c r="AH11" s="210">
        <v>35.0</v>
      </c>
      <c r="AI11" s="210">
        <v>57.24</v>
      </c>
      <c r="AJ11" s="210">
        <v>20.25</v>
      </c>
      <c r="AK11" s="210">
        <v>5.82</v>
      </c>
      <c r="AL11" s="210">
        <v>0.2569</v>
      </c>
      <c r="AM11" s="210">
        <v>51.18</v>
      </c>
      <c r="AN11" s="135">
        <v>51.18</v>
      </c>
      <c r="AO11" s="135">
        <v>29.37</v>
      </c>
      <c r="AP11" s="135">
        <v>14.82</v>
      </c>
      <c r="AQ11" s="135">
        <v>10.9042</v>
      </c>
      <c r="AR11" s="135">
        <v>0.1687</v>
      </c>
      <c r="AS11" s="135">
        <v>10.7355</v>
      </c>
      <c r="AT11" s="135">
        <v>8.5359</v>
      </c>
      <c r="AU11" s="135">
        <v>0.2217</v>
      </c>
      <c r="AV11" s="135">
        <v>4488.0</v>
      </c>
      <c r="AW11" s="135">
        <v>0.0</v>
      </c>
      <c r="AX11" s="135">
        <v>59.72</v>
      </c>
      <c r="AY11" s="135">
        <v>132.85</v>
      </c>
      <c r="AZ11" s="135">
        <v>3.12</v>
      </c>
      <c r="BA11" s="135">
        <v>8.88</v>
      </c>
      <c r="BB11" s="135">
        <v>2.13</v>
      </c>
      <c r="BC11" s="135">
        <v>63.0</v>
      </c>
      <c r="BD11" s="135">
        <v>14867.0</v>
      </c>
      <c r="BE11" s="135">
        <v>6.5377</v>
      </c>
      <c r="BF11" s="135">
        <v>0.0943</v>
      </c>
      <c r="BG11" s="135">
        <v>6.4434</v>
      </c>
      <c r="BH11" s="135">
        <v>4.4617</v>
      </c>
      <c r="BI11" s="135">
        <v>0.1159</v>
      </c>
      <c r="BJ11" s="135">
        <v>4.3665</v>
      </c>
      <c r="BK11" s="135">
        <v>0.0744</v>
      </c>
      <c r="BL11" s="135">
        <v>4.2921</v>
      </c>
      <c r="BM11" s="135">
        <v>4.0742</v>
      </c>
      <c r="BN11" s="135">
        <v>0.1058</v>
      </c>
      <c r="BO11" s="135">
        <v>2.387</v>
      </c>
      <c r="BP11" s="135">
        <v>0.0196</v>
      </c>
      <c r="BQ11" s="135">
        <v>2.3674</v>
      </c>
      <c r="BR11" s="135">
        <v>1.639</v>
      </c>
      <c r="BS11" s="135">
        <v>2.5969</v>
      </c>
      <c r="BT11" s="135">
        <v>0.0283</v>
      </c>
      <c r="BU11" s="135">
        <v>2.5686</v>
      </c>
      <c r="BV11" s="135">
        <v>1.7335</v>
      </c>
      <c r="BW11" s="135">
        <v>1.5537</v>
      </c>
      <c r="BX11" s="135">
        <v>0.0463</v>
      </c>
      <c r="BY11" s="135">
        <v>1.5074</v>
      </c>
      <c r="BZ11" s="135">
        <v>1.0891</v>
      </c>
      <c r="CA11" s="135">
        <v>0.6856</v>
      </c>
      <c r="CB11" s="135">
        <v>0.0176</v>
      </c>
      <c r="CC11" s="135">
        <v>0.668</v>
      </c>
      <c r="CD11" s="135">
        <v>0.6923</v>
      </c>
      <c r="CE11" s="135">
        <v>1.7812</v>
      </c>
      <c r="CF11" s="135">
        <v>0.0328</v>
      </c>
      <c r="CG11" s="135">
        <v>1.7484</v>
      </c>
      <c r="CH11" s="135">
        <v>1.7424</v>
      </c>
      <c r="CI11" s="135">
        <v>1.8997</v>
      </c>
      <c r="CJ11" s="135">
        <v>0.0241</v>
      </c>
      <c r="CK11" s="135">
        <v>1.8757</v>
      </c>
      <c r="CL11" s="135">
        <v>1.6395</v>
      </c>
      <c r="CM11" s="135">
        <v>1037.16</v>
      </c>
      <c r="CN11" s="135">
        <v>97.15</v>
      </c>
      <c r="CO11" s="135">
        <v>1067.61</v>
      </c>
      <c r="CP11" s="135">
        <v>987.62</v>
      </c>
      <c r="CQ11" s="135">
        <v>3.01</v>
      </c>
      <c r="CR11" s="135">
        <v>26.06</v>
      </c>
      <c r="CS11" s="135">
        <v>20.47</v>
      </c>
      <c r="CT11" s="135">
        <v>0.0</v>
      </c>
      <c r="CU11" s="135">
        <v>1735.0</v>
      </c>
      <c r="CV11" s="135">
        <v>0.05</v>
      </c>
      <c r="CW11" s="135">
        <v>206.75</v>
      </c>
      <c r="CX11" s="135">
        <v>0.13</v>
      </c>
      <c r="CY11" s="135">
        <v>3.14</v>
      </c>
      <c r="CZ11" s="135">
        <v>205.24</v>
      </c>
      <c r="DA11" s="135">
        <v>1.07</v>
      </c>
      <c r="DB11" s="135">
        <v>204.17</v>
      </c>
      <c r="DC11" s="135">
        <v>185.63</v>
      </c>
      <c r="DD11" s="135">
        <v>0.33</v>
      </c>
      <c r="DE11" s="135">
        <v>185.3</v>
      </c>
      <c r="DF11" s="135">
        <v>10.63</v>
      </c>
      <c r="DG11" s="135">
        <v>0.25</v>
      </c>
      <c r="DH11" s="135">
        <v>10.38</v>
      </c>
      <c r="DI11" s="135">
        <v>7.86</v>
      </c>
      <c r="DJ11" s="135">
        <v>0.25</v>
      </c>
      <c r="DK11" s="135">
        <v>7.61</v>
      </c>
      <c r="DL11" s="135">
        <v>1.12</v>
      </c>
      <c r="DM11" s="135">
        <v>0.25</v>
      </c>
      <c r="DN11" s="135">
        <v>0.87</v>
      </c>
    </row>
    <row r="12">
      <c r="A12" s="209">
        <v>46255.0</v>
      </c>
      <c r="B12" s="210" t="s">
        <v>5</v>
      </c>
      <c r="C12" s="210" t="s">
        <v>145</v>
      </c>
      <c r="D12" s="210">
        <v>2328.0</v>
      </c>
      <c r="E12" s="210">
        <v>9.93</v>
      </c>
      <c r="F12" s="210">
        <v>1048.39</v>
      </c>
      <c r="G12" s="210">
        <v>0.4503</v>
      </c>
      <c r="H12" s="210">
        <v>5.5</v>
      </c>
      <c r="I12" s="210">
        <v>8.1905</v>
      </c>
      <c r="J12" s="210">
        <v>124.25</v>
      </c>
      <c r="K12" s="210">
        <v>74.84</v>
      </c>
      <c r="L12" s="210">
        <v>54.62</v>
      </c>
      <c r="M12" s="210">
        <v>0.7298</v>
      </c>
      <c r="N12" s="210">
        <v>0.4119</v>
      </c>
      <c r="O12" s="210">
        <v>0.2638</v>
      </c>
      <c r="P12" s="210">
        <v>1.3702</v>
      </c>
      <c r="Q12" s="210">
        <v>414.17</v>
      </c>
      <c r="R12" s="210">
        <v>371.75</v>
      </c>
      <c r="S12" s="210">
        <v>42.42</v>
      </c>
      <c r="T12" s="210">
        <v>36.86</v>
      </c>
      <c r="U12" s="210">
        <v>377.32</v>
      </c>
      <c r="V12" s="210">
        <v>400.28</v>
      </c>
      <c r="W12" s="210">
        <v>5.3487</v>
      </c>
      <c r="X12" s="210">
        <v>8.9</v>
      </c>
      <c r="Y12" s="210">
        <v>361.0</v>
      </c>
      <c r="Z12" s="210">
        <v>673.0</v>
      </c>
      <c r="AA12" s="210">
        <v>1721.0</v>
      </c>
      <c r="AB12" s="210">
        <v>55.2464</v>
      </c>
      <c r="AC12" s="210">
        <v>0.7659</v>
      </c>
      <c r="AD12" s="210">
        <v>30.71</v>
      </c>
      <c r="AE12" s="210">
        <v>12.0</v>
      </c>
      <c r="AF12" s="210">
        <v>23.0</v>
      </c>
      <c r="AG12" s="210">
        <v>43.0</v>
      </c>
      <c r="AH12" s="210">
        <v>66.0</v>
      </c>
      <c r="AI12" s="210">
        <v>42.78</v>
      </c>
      <c r="AJ12" s="210">
        <v>13.27</v>
      </c>
      <c r="AK12" s="210">
        <v>2.1</v>
      </c>
      <c r="AL12" s="210">
        <v>0.1534</v>
      </c>
      <c r="AM12" s="210">
        <v>50.43</v>
      </c>
      <c r="AN12" s="135">
        <v>50.43</v>
      </c>
      <c r="AO12" s="135">
        <v>29.85</v>
      </c>
      <c r="AP12" s="135">
        <v>16.28</v>
      </c>
      <c r="AQ12" s="135">
        <v>15.6864</v>
      </c>
      <c r="AR12" s="135">
        <v>0.7169</v>
      </c>
      <c r="AS12" s="135">
        <v>14.9695</v>
      </c>
      <c r="AT12" s="135">
        <v>14.6379</v>
      </c>
      <c r="AU12" s="135">
        <v>0.1956</v>
      </c>
      <c r="AV12" s="135">
        <v>2328.0</v>
      </c>
      <c r="AW12" s="135">
        <v>0.0</v>
      </c>
      <c r="AX12" s="135">
        <v>110.73</v>
      </c>
      <c r="AY12" s="135">
        <v>256.78</v>
      </c>
      <c r="AZ12" s="135">
        <v>4.32</v>
      </c>
      <c r="BA12" s="135">
        <v>36.86</v>
      </c>
      <c r="BB12" s="135">
        <v>5.49</v>
      </c>
      <c r="BC12" s="135">
        <v>110.0</v>
      </c>
      <c r="BD12" s="135">
        <v>14235.0</v>
      </c>
      <c r="BE12" s="135">
        <v>9.3359</v>
      </c>
      <c r="BF12" s="135">
        <v>0.4265</v>
      </c>
      <c r="BG12" s="135">
        <v>8.9094</v>
      </c>
      <c r="BH12" s="135">
        <v>7.7491</v>
      </c>
      <c r="BI12" s="135">
        <v>0.1035</v>
      </c>
      <c r="BJ12" s="135">
        <v>6.3505</v>
      </c>
      <c r="BK12" s="135">
        <v>0.2904</v>
      </c>
      <c r="BL12" s="135">
        <v>6.0601</v>
      </c>
      <c r="BM12" s="135">
        <v>6.8887</v>
      </c>
      <c r="BN12" s="135">
        <v>0.0921</v>
      </c>
      <c r="BO12" s="135">
        <v>3.189</v>
      </c>
      <c r="BP12" s="135">
        <v>0.1155</v>
      </c>
      <c r="BQ12" s="135">
        <v>3.0735</v>
      </c>
      <c r="BR12" s="135">
        <v>2.6946</v>
      </c>
      <c r="BS12" s="135">
        <v>3.7053</v>
      </c>
      <c r="BT12" s="135">
        <v>0.131</v>
      </c>
      <c r="BU12" s="135">
        <v>3.5743</v>
      </c>
      <c r="BV12" s="135">
        <v>3.0593</v>
      </c>
      <c r="BW12" s="135">
        <v>2.4416</v>
      </c>
      <c r="BX12" s="135">
        <v>0.18</v>
      </c>
      <c r="BY12" s="135">
        <v>2.2616</v>
      </c>
      <c r="BZ12" s="135">
        <v>1.9953</v>
      </c>
      <c r="CA12" s="135">
        <v>1.1864</v>
      </c>
      <c r="CB12" s="135">
        <v>0.079</v>
      </c>
      <c r="CC12" s="135">
        <v>1.1074</v>
      </c>
      <c r="CD12" s="135">
        <v>1.2749</v>
      </c>
      <c r="CE12" s="135">
        <v>2.1989</v>
      </c>
      <c r="CF12" s="135">
        <v>0.1211</v>
      </c>
      <c r="CG12" s="135">
        <v>2.0777</v>
      </c>
      <c r="CH12" s="135">
        <v>2.3587</v>
      </c>
      <c r="CI12" s="135">
        <v>2.9652</v>
      </c>
      <c r="CJ12" s="135">
        <v>0.0902</v>
      </c>
      <c r="CK12" s="135">
        <v>2.875</v>
      </c>
      <c r="CL12" s="135">
        <v>3.2552</v>
      </c>
      <c r="CM12" s="135">
        <v>2222.42</v>
      </c>
      <c r="CN12" s="135">
        <v>99.18</v>
      </c>
      <c r="CO12" s="135">
        <v>2240.71</v>
      </c>
      <c r="CP12" s="135">
        <v>2151.03</v>
      </c>
      <c r="CQ12" s="135">
        <v>6.79</v>
      </c>
      <c r="CR12" s="135">
        <v>33.52</v>
      </c>
      <c r="CS12" s="135">
        <v>31.08</v>
      </c>
      <c r="CT12" s="135">
        <v>0.0</v>
      </c>
      <c r="CU12" s="135">
        <v>1405.0</v>
      </c>
      <c r="CV12" s="135">
        <v>0.14</v>
      </c>
      <c r="CW12" s="135">
        <v>414.31</v>
      </c>
      <c r="CX12" s="135">
        <v>0.1</v>
      </c>
      <c r="CY12" s="135">
        <v>6.89</v>
      </c>
      <c r="CZ12" s="135">
        <v>341.5</v>
      </c>
      <c r="DA12" s="135">
        <v>5.08</v>
      </c>
      <c r="DB12" s="135">
        <v>336.42</v>
      </c>
      <c r="DC12" s="135">
        <v>309.22</v>
      </c>
      <c r="DD12" s="135">
        <v>2.04</v>
      </c>
      <c r="DE12" s="135">
        <v>307.18</v>
      </c>
      <c r="DF12" s="135">
        <v>15.96</v>
      </c>
      <c r="DG12" s="135">
        <v>1.01</v>
      </c>
      <c r="DH12" s="135">
        <v>14.94</v>
      </c>
      <c r="DI12" s="135">
        <v>12.09</v>
      </c>
      <c r="DJ12" s="135">
        <v>1.01</v>
      </c>
      <c r="DK12" s="135">
        <v>11.07</v>
      </c>
      <c r="DL12" s="135">
        <v>4.23</v>
      </c>
      <c r="DM12" s="135">
        <v>1.01</v>
      </c>
      <c r="DN12" s="135">
        <v>3.22</v>
      </c>
    </row>
    <row r="13">
      <c r="A13" s="209">
        <v>46255.0</v>
      </c>
      <c r="B13" s="210" t="s">
        <v>5</v>
      </c>
      <c r="C13" s="210" t="s">
        <v>146</v>
      </c>
      <c r="D13" s="210">
        <v>305.0</v>
      </c>
      <c r="E13" s="210">
        <v>1.3</v>
      </c>
      <c r="F13" s="210">
        <v>201.36</v>
      </c>
      <c r="G13" s="210">
        <v>0.6602</v>
      </c>
      <c r="H13" s="210">
        <v>8.52</v>
      </c>
      <c r="I13" s="210">
        <v>7.7446</v>
      </c>
      <c r="J13" s="210">
        <v>250.5</v>
      </c>
      <c r="K13" s="210">
        <v>162.84</v>
      </c>
      <c r="L13" s="210">
        <v>122.7</v>
      </c>
      <c r="M13" s="210">
        <v>0.7535</v>
      </c>
      <c r="N13" s="210">
        <v>0.3618</v>
      </c>
      <c r="O13" s="210">
        <v>0.2234</v>
      </c>
      <c r="P13" s="210">
        <v>1.3271</v>
      </c>
      <c r="Q13" s="210">
        <v>729.99</v>
      </c>
      <c r="R13" s="210">
        <v>634.81</v>
      </c>
      <c r="S13" s="210">
        <v>95.18</v>
      </c>
      <c r="T13" s="210">
        <v>71.97</v>
      </c>
      <c r="U13" s="210">
        <v>658.02</v>
      </c>
      <c r="V13" s="210">
        <v>708.2</v>
      </c>
      <c r="W13" s="210">
        <v>4.3491</v>
      </c>
      <c r="X13" s="210">
        <v>9.86</v>
      </c>
      <c r="Y13" s="210">
        <v>473.0</v>
      </c>
      <c r="Z13" s="210">
        <v>850.0</v>
      </c>
      <c r="AA13" s="210">
        <v>1580.0</v>
      </c>
      <c r="AB13" s="210">
        <v>58.1207</v>
      </c>
      <c r="AC13" s="210">
        <v>0.7933</v>
      </c>
      <c r="AD13" s="210">
        <v>59.83</v>
      </c>
      <c r="AE13" s="210">
        <v>25.0</v>
      </c>
      <c r="AF13" s="210">
        <v>45.0</v>
      </c>
      <c r="AG13" s="210">
        <v>78.0</v>
      </c>
      <c r="AH13" s="210">
        <v>124.0</v>
      </c>
      <c r="AI13" s="210">
        <v>24.26</v>
      </c>
      <c r="AJ13" s="210">
        <v>5.25</v>
      </c>
      <c r="AK13" s="210">
        <v>0.66</v>
      </c>
      <c r="AL13" s="210">
        <v>0.1279</v>
      </c>
      <c r="AM13" s="210">
        <v>43.93</v>
      </c>
      <c r="AN13" s="135">
        <v>43.93</v>
      </c>
      <c r="AO13" s="135">
        <v>30.16</v>
      </c>
      <c r="AP13" s="135">
        <v>23.61</v>
      </c>
      <c r="AQ13" s="135">
        <v>24.3672</v>
      </c>
      <c r="AR13" s="135">
        <v>0.8984</v>
      </c>
      <c r="AS13" s="135">
        <v>23.4689</v>
      </c>
      <c r="AT13" s="135">
        <v>26.7115</v>
      </c>
      <c r="AU13" s="135">
        <v>0.164</v>
      </c>
      <c r="AV13" s="135">
        <v>305.0</v>
      </c>
      <c r="AW13" s="135">
        <v>0.0</v>
      </c>
      <c r="AX13" s="135">
        <v>221.02</v>
      </c>
      <c r="AY13" s="135">
        <v>418.95</v>
      </c>
      <c r="AZ13" s="135">
        <v>7.41</v>
      </c>
      <c r="BA13" s="135">
        <v>70.98</v>
      </c>
      <c r="BB13" s="135">
        <v>11.63</v>
      </c>
      <c r="BC13" s="135">
        <v>241.0</v>
      </c>
      <c r="BD13" s="135">
        <v>7991.0</v>
      </c>
      <c r="BE13" s="135">
        <v>12.7869</v>
      </c>
      <c r="BF13" s="135">
        <v>0.3541</v>
      </c>
      <c r="BG13" s="135">
        <v>12.4328</v>
      </c>
      <c r="BH13" s="135">
        <v>11.7607</v>
      </c>
      <c r="BI13" s="135">
        <v>0.0722</v>
      </c>
      <c r="BJ13" s="135">
        <v>11.5803</v>
      </c>
      <c r="BK13" s="135">
        <v>0.5443</v>
      </c>
      <c r="BL13" s="135">
        <v>11.0361</v>
      </c>
      <c r="BM13" s="135">
        <v>14.9508</v>
      </c>
      <c r="BN13" s="135">
        <v>0.0918</v>
      </c>
      <c r="BO13" s="135">
        <v>4.482</v>
      </c>
      <c r="BP13" s="135">
        <v>0.1049</v>
      </c>
      <c r="BQ13" s="135">
        <v>4.377</v>
      </c>
      <c r="BR13" s="135">
        <v>3.9443</v>
      </c>
      <c r="BS13" s="135">
        <v>4.7508</v>
      </c>
      <c r="BT13" s="135">
        <v>0.1246</v>
      </c>
      <c r="BU13" s="135">
        <v>4.6262</v>
      </c>
      <c r="BV13" s="135">
        <v>4.3803</v>
      </c>
      <c r="BW13" s="135">
        <v>3.5541</v>
      </c>
      <c r="BX13" s="135">
        <v>0.1246</v>
      </c>
      <c r="BY13" s="135">
        <v>3.4295</v>
      </c>
      <c r="BZ13" s="135">
        <v>3.4361</v>
      </c>
      <c r="CA13" s="135">
        <v>2.8459</v>
      </c>
      <c r="CB13" s="135">
        <v>0.1508</v>
      </c>
      <c r="CC13" s="135">
        <v>2.6951</v>
      </c>
      <c r="CD13" s="135">
        <v>5.6033</v>
      </c>
      <c r="CE13" s="135">
        <v>3.7049</v>
      </c>
      <c r="CF13" s="135">
        <v>0.2656</v>
      </c>
      <c r="CG13" s="135">
        <v>3.4393</v>
      </c>
      <c r="CH13" s="135">
        <v>4.0525</v>
      </c>
      <c r="CI13" s="135">
        <v>5.0295</v>
      </c>
      <c r="CJ13" s="135">
        <v>0.1279</v>
      </c>
      <c r="CK13" s="135">
        <v>4.9016</v>
      </c>
      <c r="CL13" s="135">
        <v>5.2951</v>
      </c>
      <c r="CM13" s="135">
        <v>4878.82</v>
      </c>
      <c r="CN13" s="135">
        <v>99.67</v>
      </c>
      <c r="CO13" s="135">
        <v>4894.87</v>
      </c>
      <c r="CP13" s="135">
        <v>4783.14</v>
      </c>
      <c r="CQ13" s="135">
        <v>10.82</v>
      </c>
      <c r="CR13" s="135">
        <v>44.98</v>
      </c>
      <c r="CS13" s="135">
        <v>39.87</v>
      </c>
      <c r="CT13" s="135">
        <v>0.0</v>
      </c>
      <c r="CU13" s="135">
        <v>226.0</v>
      </c>
      <c r="CV13" s="135">
        <v>85.84</v>
      </c>
      <c r="CW13" s="135">
        <v>815.82</v>
      </c>
      <c r="CX13" s="135">
        <v>0.98</v>
      </c>
      <c r="CY13" s="135">
        <v>11.8</v>
      </c>
      <c r="CZ13" s="135">
        <v>628.89</v>
      </c>
      <c r="DA13" s="135">
        <v>11.89</v>
      </c>
      <c r="DB13" s="135">
        <v>617.0</v>
      </c>
      <c r="DC13" s="135">
        <v>576.61</v>
      </c>
      <c r="DD13" s="135">
        <v>3.62</v>
      </c>
      <c r="DE13" s="135">
        <v>572.98</v>
      </c>
      <c r="DF13" s="135">
        <v>24.34</v>
      </c>
      <c r="DG13" s="135">
        <v>2.75</v>
      </c>
      <c r="DH13" s="135">
        <v>21.59</v>
      </c>
      <c r="DI13" s="135">
        <v>17.08</v>
      </c>
      <c r="DJ13" s="135">
        <v>2.75</v>
      </c>
      <c r="DK13" s="135">
        <v>14.33</v>
      </c>
      <c r="DL13" s="135">
        <v>10.85</v>
      </c>
      <c r="DM13" s="135">
        <v>2.75</v>
      </c>
      <c r="DN13" s="135">
        <v>8.1</v>
      </c>
    </row>
    <row r="14">
      <c r="A14" s="209">
        <v>46256.0</v>
      </c>
      <c r="B14" s="210" t="s">
        <v>4</v>
      </c>
      <c r="C14" s="210" t="s">
        <v>398</v>
      </c>
      <c r="D14" s="210">
        <v>4863.0</v>
      </c>
      <c r="E14" s="210">
        <v>20.96</v>
      </c>
      <c r="F14" s="210">
        <v>423.96</v>
      </c>
      <c r="G14" s="210">
        <v>0.0872</v>
      </c>
      <c r="H14" s="210">
        <v>1.54</v>
      </c>
      <c r="I14" s="210">
        <v>5.6528</v>
      </c>
      <c r="J14" s="210">
        <v>25.33</v>
      </c>
      <c r="K14" s="210">
        <v>13.9</v>
      </c>
      <c r="L14" s="210">
        <v>9.29</v>
      </c>
      <c r="M14" s="210">
        <v>0.6681</v>
      </c>
      <c r="N14" s="210">
        <v>0.4522</v>
      </c>
      <c r="O14" s="210">
        <v>0.2181</v>
      </c>
      <c r="P14" s="210">
        <v>1.4968</v>
      </c>
      <c r="Q14" s="210">
        <v>74.67</v>
      </c>
      <c r="R14" s="210">
        <v>74.5</v>
      </c>
      <c r="S14" s="210">
        <v>0.17</v>
      </c>
      <c r="T14" s="210">
        <v>6.91</v>
      </c>
      <c r="U14" s="210">
        <v>67.76</v>
      </c>
      <c r="V14" s="210">
        <v>54.8</v>
      </c>
      <c r="W14" s="210">
        <v>3.9425</v>
      </c>
      <c r="X14" s="210">
        <v>9.25</v>
      </c>
      <c r="Y14" s="210">
        <v>207.0</v>
      </c>
      <c r="Z14" s="210">
        <v>658.0</v>
      </c>
      <c r="AA14" s="210">
        <v>4186.0</v>
      </c>
      <c r="AB14" s="210">
        <v>50.1564</v>
      </c>
      <c r="AC14" s="210">
        <v>0.4735</v>
      </c>
      <c r="AD14" s="210"/>
      <c r="AE14" s="210"/>
      <c r="AF14" s="210"/>
      <c r="AG14" s="210"/>
      <c r="AH14" s="210"/>
      <c r="AI14" s="210">
        <v>0.0</v>
      </c>
      <c r="AJ14" s="210">
        <v>0.0</v>
      </c>
      <c r="AK14" s="210">
        <v>0.0</v>
      </c>
      <c r="AL14" s="210">
        <v>0.4415</v>
      </c>
      <c r="AM14" s="211"/>
      <c r="AQ14" s="135">
        <v>2.4063</v>
      </c>
      <c r="AR14" s="135">
        <v>0.0773</v>
      </c>
      <c r="AS14" s="135">
        <v>2.329</v>
      </c>
      <c r="AT14" s="135">
        <v>1.8398</v>
      </c>
      <c r="AU14" s="135">
        <v>0.1324</v>
      </c>
      <c r="AV14" s="135">
        <v>4863.0</v>
      </c>
      <c r="AW14" s="135">
        <v>0.0</v>
      </c>
      <c r="AX14" s="135">
        <v>14.17</v>
      </c>
      <c r="AY14" s="135">
        <v>49.78</v>
      </c>
      <c r="AZ14" s="135">
        <v>3.57</v>
      </c>
      <c r="BA14" s="135">
        <v>6.91</v>
      </c>
      <c r="BB14" s="135">
        <v>0.24</v>
      </c>
      <c r="BD14" s="135">
        <v>29430.0</v>
      </c>
      <c r="BE14" s="135">
        <v>1.1585</v>
      </c>
      <c r="BF14" s="135">
        <v>0.0296</v>
      </c>
      <c r="BG14" s="135">
        <v>1.1289</v>
      </c>
      <c r="BH14" s="135">
        <v>0.9011</v>
      </c>
      <c r="BI14" s="135">
        <v>0.0648</v>
      </c>
      <c r="BJ14" s="135">
        <v>1.2478</v>
      </c>
      <c r="BK14" s="135">
        <v>0.0477</v>
      </c>
      <c r="BL14" s="135">
        <v>1.2001</v>
      </c>
      <c r="BM14" s="135">
        <v>0.9387</v>
      </c>
      <c r="BN14" s="135">
        <v>0.0675</v>
      </c>
      <c r="BO14" s="135">
        <v>0.4174</v>
      </c>
      <c r="BP14" s="135">
        <v>0.0101</v>
      </c>
      <c r="BQ14" s="135">
        <v>0.4074</v>
      </c>
      <c r="BR14" s="135">
        <v>0.3444</v>
      </c>
      <c r="BS14" s="135">
        <v>0.4594</v>
      </c>
      <c r="BT14" s="135">
        <v>0.0095</v>
      </c>
      <c r="BU14" s="135">
        <v>0.4499</v>
      </c>
      <c r="BV14" s="135">
        <v>0.3325</v>
      </c>
      <c r="BW14" s="135">
        <v>0.2817</v>
      </c>
      <c r="BX14" s="135">
        <v>0.0101</v>
      </c>
      <c r="BY14" s="135">
        <v>0.2716</v>
      </c>
      <c r="BZ14" s="135">
        <v>0.2241</v>
      </c>
      <c r="CA14" s="135">
        <v>0.2607</v>
      </c>
      <c r="CB14" s="135">
        <v>0.0111</v>
      </c>
      <c r="CC14" s="135">
        <v>0.2496</v>
      </c>
      <c r="CD14" s="135">
        <v>0.2256</v>
      </c>
      <c r="CE14" s="135">
        <v>0.5235</v>
      </c>
      <c r="CF14" s="135">
        <v>0.0226</v>
      </c>
      <c r="CG14" s="135">
        <v>0.5009</v>
      </c>
      <c r="CH14" s="135">
        <v>0.3806</v>
      </c>
      <c r="CI14" s="135">
        <v>0.4635</v>
      </c>
      <c r="CJ14" s="135">
        <v>0.014</v>
      </c>
      <c r="CK14" s="135">
        <v>0.4495</v>
      </c>
      <c r="CL14" s="135">
        <v>0.3325</v>
      </c>
      <c r="CM14" s="135">
        <v>156.89</v>
      </c>
      <c r="CN14" s="135">
        <v>25.72</v>
      </c>
      <c r="CO14" s="135">
        <v>609.89</v>
      </c>
      <c r="CP14" s="135">
        <v>145.96</v>
      </c>
      <c r="CQ14" s="135">
        <v>0.0</v>
      </c>
      <c r="CR14" s="135">
        <v>4.24</v>
      </c>
      <c r="CS14" s="135">
        <v>6.7</v>
      </c>
      <c r="CT14" s="135">
        <v>0.0</v>
      </c>
      <c r="CU14" s="135">
        <v>0.0</v>
      </c>
      <c r="CV14" s="135">
        <v>0.0</v>
      </c>
      <c r="CW14" s="135">
        <v>74.67</v>
      </c>
      <c r="CX14" s="135">
        <v>0.0</v>
      </c>
      <c r="CY14" s="135">
        <v>0.0</v>
      </c>
      <c r="CZ14" s="135">
        <v>39.16</v>
      </c>
      <c r="DA14" s="135">
        <v>1.63</v>
      </c>
      <c r="DB14" s="135">
        <v>37.53</v>
      </c>
      <c r="DC14" s="135">
        <v>32.76</v>
      </c>
      <c r="DD14" s="135">
        <v>0.46</v>
      </c>
      <c r="DE14" s="135">
        <v>32.31</v>
      </c>
      <c r="DF14" s="135">
        <v>3.14</v>
      </c>
      <c r="DG14" s="135">
        <v>0.39</v>
      </c>
      <c r="DH14" s="135">
        <v>2.75</v>
      </c>
      <c r="DI14" s="135">
        <v>2.38</v>
      </c>
      <c r="DJ14" s="135">
        <v>0.39</v>
      </c>
      <c r="DK14" s="135">
        <v>1.99</v>
      </c>
      <c r="DL14" s="135">
        <v>0.87</v>
      </c>
      <c r="DM14" s="135">
        <v>0.39</v>
      </c>
      <c r="DN14" s="135">
        <v>0.48</v>
      </c>
    </row>
    <row r="15">
      <c r="A15" s="209">
        <v>46256.0</v>
      </c>
      <c r="B15" s="210" t="s">
        <v>4</v>
      </c>
      <c r="C15" s="210" t="s">
        <v>142</v>
      </c>
      <c r="D15" s="210">
        <v>6089.0</v>
      </c>
      <c r="E15" s="210">
        <v>26.25</v>
      </c>
      <c r="F15" s="210">
        <v>132.56</v>
      </c>
      <c r="G15" s="210">
        <v>0.0218</v>
      </c>
      <c r="H15" s="210">
        <v>0.95</v>
      </c>
      <c r="I15" s="210">
        <v>2.2855</v>
      </c>
      <c r="J15" s="210">
        <v>23.16</v>
      </c>
      <c r="K15" s="210">
        <v>11.85</v>
      </c>
      <c r="L15" s="210">
        <v>5.54</v>
      </c>
      <c r="M15" s="210">
        <v>0.467</v>
      </c>
      <c r="N15" s="210">
        <v>0.6459</v>
      </c>
      <c r="O15" s="210">
        <v>0.4036</v>
      </c>
      <c r="P15" s="210">
        <v>2.1414</v>
      </c>
      <c r="Q15" s="210">
        <v>52.64</v>
      </c>
      <c r="R15" s="210">
        <v>47.53</v>
      </c>
      <c r="S15" s="210">
        <v>5.11</v>
      </c>
      <c r="T15" s="210">
        <v>2.0</v>
      </c>
      <c r="U15" s="210">
        <v>50.64</v>
      </c>
      <c r="V15" s="210">
        <v>51.6</v>
      </c>
      <c r="W15" s="210">
        <v>4.3528</v>
      </c>
      <c r="X15" s="210">
        <v>3.81</v>
      </c>
      <c r="Y15" s="210">
        <v>202.0</v>
      </c>
      <c r="Z15" s="210">
        <v>451.0</v>
      </c>
      <c r="AA15" s="210">
        <v>1493.0</v>
      </c>
      <c r="AB15" s="210">
        <v>49.969</v>
      </c>
      <c r="AC15" s="210">
        <v>0.5994</v>
      </c>
      <c r="AD15" s="210">
        <v>4.22</v>
      </c>
      <c r="AE15" s="210">
        <v>1.0</v>
      </c>
      <c r="AF15" s="210">
        <v>3.0</v>
      </c>
      <c r="AG15" s="210">
        <v>6.0</v>
      </c>
      <c r="AH15" s="210">
        <v>9.0</v>
      </c>
      <c r="AI15" s="210">
        <v>74.51</v>
      </c>
      <c r="AJ15" s="210">
        <v>34.93</v>
      </c>
      <c r="AK15" s="210">
        <v>8.29</v>
      </c>
      <c r="AL15" s="210">
        <v>0.4502</v>
      </c>
      <c r="AM15" s="210"/>
      <c r="AQ15" s="135">
        <v>4.0294</v>
      </c>
      <c r="AR15" s="135">
        <v>0.054</v>
      </c>
      <c r="AS15" s="135">
        <v>3.9754</v>
      </c>
      <c r="AT15" s="135">
        <v>3.0839</v>
      </c>
      <c r="AU15" s="135">
        <v>0.2601</v>
      </c>
      <c r="AV15" s="135">
        <v>6089.0</v>
      </c>
      <c r="AW15" s="135">
        <v>0.0</v>
      </c>
      <c r="AX15" s="135">
        <v>25.04</v>
      </c>
      <c r="AY15" s="135">
        <v>22.93</v>
      </c>
      <c r="AZ15" s="135">
        <v>2.22</v>
      </c>
      <c r="BA15" s="135">
        <v>2.0</v>
      </c>
      <c r="BB15" s="135">
        <v>0.44</v>
      </c>
      <c r="BC15" s="135">
        <v>18.0</v>
      </c>
      <c r="BD15" s="135">
        <v>18734.0</v>
      </c>
      <c r="BE15" s="135">
        <v>2.7489</v>
      </c>
      <c r="BF15" s="135">
        <v>0.036</v>
      </c>
      <c r="BG15" s="135">
        <v>2.7129</v>
      </c>
      <c r="BH15" s="135">
        <v>1.8248</v>
      </c>
      <c r="BI15" s="135">
        <v>0.1539</v>
      </c>
      <c r="BJ15" s="135">
        <v>1.2805</v>
      </c>
      <c r="BK15" s="135">
        <v>0.0181</v>
      </c>
      <c r="BL15" s="135">
        <v>1.2624</v>
      </c>
      <c r="BM15" s="135">
        <v>1.2592</v>
      </c>
      <c r="BN15" s="135">
        <v>0.1062</v>
      </c>
      <c r="BO15" s="135">
        <v>1.1151</v>
      </c>
      <c r="BP15" s="135">
        <v>0.0128</v>
      </c>
      <c r="BQ15" s="135">
        <v>1.1023</v>
      </c>
      <c r="BR15" s="135">
        <v>0.728</v>
      </c>
      <c r="BS15" s="135">
        <v>1.1292</v>
      </c>
      <c r="BT15" s="135">
        <v>0.0079</v>
      </c>
      <c r="BU15" s="135">
        <v>1.1214</v>
      </c>
      <c r="BV15" s="135">
        <v>0.709</v>
      </c>
      <c r="BW15" s="135">
        <v>0.5045</v>
      </c>
      <c r="BX15" s="135">
        <v>0.0153</v>
      </c>
      <c r="BY15" s="135">
        <v>0.4892</v>
      </c>
      <c r="BZ15" s="135">
        <v>0.3877</v>
      </c>
      <c r="CA15" s="135">
        <v>0.2053</v>
      </c>
      <c r="CB15" s="135">
        <v>0.0025</v>
      </c>
      <c r="CC15" s="135">
        <v>0.2028</v>
      </c>
      <c r="CD15" s="135">
        <v>0.2353</v>
      </c>
      <c r="CE15" s="135">
        <v>0.6139</v>
      </c>
      <c r="CF15" s="135">
        <v>0.008</v>
      </c>
      <c r="CG15" s="135">
        <v>0.6058</v>
      </c>
      <c r="CH15" s="135">
        <v>0.5664</v>
      </c>
      <c r="CI15" s="135">
        <v>0.4613</v>
      </c>
      <c r="CJ15" s="135">
        <v>0.0076</v>
      </c>
      <c r="CK15" s="135">
        <v>0.4538</v>
      </c>
      <c r="CL15" s="135">
        <v>0.4574</v>
      </c>
      <c r="CM15" s="135">
        <v>186.64</v>
      </c>
      <c r="CN15" s="135">
        <v>84.41</v>
      </c>
      <c r="CO15" s="135">
        <v>221.1</v>
      </c>
      <c r="CP15" s="135">
        <v>175.17</v>
      </c>
      <c r="CQ15" s="135">
        <v>0.0</v>
      </c>
      <c r="CR15" s="135">
        <v>8.31</v>
      </c>
      <c r="CS15" s="135">
        <v>3.15</v>
      </c>
      <c r="CT15" s="135">
        <v>0.0</v>
      </c>
      <c r="CU15" s="135">
        <v>0.0</v>
      </c>
      <c r="CV15" s="135">
        <v>0.0</v>
      </c>
      <c r="CW15" s="135">
        <v>52.64</v>
      </c>
      <c r="CX15" s="135">
        <v>0.0</v>
      </c>
      <c r="CY15" s="135">
        <v>0.0</v>
      </c>
      <c r="CZ15" s="135">
        <v>78.12</v>
      </c>
      <c r="DA15" s="135">
        <v>0.28</v>
      </c>
      <c r="DB15" s="135">
        <v>77.84</v>
      </c>
      <c r="DC15" s="135">
        <v>69.22</v>
      </c>
      <c r="DD15" s="135">
        <v>0.07</v>
      </c>
      <c r="DE15" s="135">
        <v>69.15</v>
      </c>
      <c r="DF15" s="135">
        <v>4.54</v>
      </c>
      <c r="DG15" s="135">
        <v>0.07</v>
      </c>
      <c r="DH15" s="135">
        <v>4.47</v>
      </c>
      <c r="DI15" s="135">
        <v>3.89</v>
      </c>
      <c r="DJ15" s="135">
        <v>0.07</v>
      </c>
      <c r="DK15" s="135">
        <v>3.82</v>
      </c>
      <c r="DL15" s="135">
        <v>0.47</v>
      </c>
      <c r="DM15" s="135">
        <v>0.07</v>
      </c>
      <c r="DN15" s="135">
        <v>0.4</v>
      </c>
    </row>
    <row r="16">
      <c r="A16" s="209">
        <v>46256.0</v>
      </c>
      <c r="B16" s="210" t="s">
        <v>4</v>
      </c>
      <c r="C16" s="210" t="s">
        <v>143</v>
      </c>
      <c r="D16" s="210">
        <v>5232.0</v>
      </c>
      <c r="E16" s="210">
        <v>22.55</v>
      </c>
      <c r="F16" s="210">
        <v>469.87</v>
      </c>
      <c r="G16" s="210">
        <v>0.0898</v>
      </c>
      <c r="H16" s="210">
        <v>2.39</v>
      </c>
      <c r="I16" s="210">
        <v>3.759</v>
      </c>
      <c r="J16" s="210">
        <v>42.9</v>
      </c>
      <c r="K16" s="210">
        <v>23.26</v>
      </c>
      <c r="L16" s="210">
        <v>13.53</v>
      </c>
      <c r="M16" s="210">
        <v>0.5818</v>
      </c>
      <c r="N16" s="210">
        <v>0.5486</v>
      </c>
      <c r="O16" s="210">
        <v>0.3371</v>
      </c>
      <c r="P16" s="210">
        <v>1.7189</v>
      </c>
      <c r="Q16" s="210">
        <v>100.47</v>
      </c>
      <c r="R16" s="210">
        <v>88.08</v>
      </c>
      <c r="S16" s="210">
        <v>12.39</v>
      </c>
      <c r="T16" s="210">
        <v>6.89</v>
      </c>
      <c r="U16" s="210">
        <v>93.58</v>
      </c>
      <c r="V16" s="210">
        <v>100.4</v>
      </c>
      <c r="W16" s="210">
        <v>4.3163</v>
      </c>
      <c r="X16" s="210">
        <v>6.86</v>
      </c>
      <c r="Y16" s="210">
        <v>222.0</v>
      </c>
      <c r="Z16" s="210">
        <v>519.0</v>
      </c>
      <c r="AA16" s="210">
        <v>1568.0</v>
      </c>
      <c r="AB16" s="210">
        <v>51.9462</v>
      </c>
      <c r="AC16" s="210">
        <v>0.6864</v>
      </c>
      <c r="AD16" s="210">
        <v>9.45</v>
      </c>
      <c r="AE16" s="210">
        <v>4.0</v>
      </c>
      <c r="AF16" s="210">
        <v>8.0</v>
      </c>
      <c r="AG16" s="210">
        <v>13.0</v>
      </c>
      <c r="AH16" s="210">
        <v>19.0</v>
      </c>
      <c r="AI16" s="210">
        <v>64.68</v>
      </c>
      <c r="AJ16" s="210">
        <v>25.71</v>
      </c>
      <c r="AK16" s="210">
        <v>3.71</v>
      </c>
      <c r="AL16" s="210">
        <v>0.3358</v>
      </c>
      <c r="AM16" s="211"/>
      <c r="AQ16" s="135">
        <v>6.8966</v>
      </c>
      <c r="AR16" s="135">
        <v>0.1028</v>
      </c>
      <c r="AS16" s="135">
        <v>6.7938</v>
      </c>
      <c r="AT16" s="135">
        <v>5.8907</v>
      </c>
      <c r="AU16" s="135">
        <v>0.2532</v>
      </c>
      <c r="AV16" s="135">
        <v>5232.0</v>
      </c>
      <c r="AW16" s="135">
        <v>0.0</v>
      </c>
      <c r="AX16" s="135">
        <v>41.86</v>
      </c>
      <c r="AY16" s="135">
        <v>47.84</v>
      </c>
      <c r="AZ16" s="135">
        <v>2.66</v>
      </c>
      <c r="BA16" s="135">
        <v>6.89</v>
      </c>
      <c r="BB16" s="135">
        <v>1.22</v>
      </c>
      <c r="BC16" s="135">
        <v>34.0</v>
      </c>
      <c r="BD16" s="135">
        <v>21061.0</v>
      </c>
      <c r="BE16" s="135">
        <v>4.2817</v>
      </c>
      <c r="BF16" s="135">
        <v>0.0487</v>
      </c>
      <c r="BG16" s="135">
        <v>4.233</v>
      </c>
      <c r="BH16" s="135">
        <v>3.3089</v>
      </c>
      <c r="BI16" s="135">
        <v>0.1422</v>
      </c>
      <c r="BJ16" s="135">
        <v>2.6149</v>
      </c>
      <c r="BK16" s="135">
        <v>0.0541</v>
      </c>
      <c r="BL16" s="135">
        <v>2.5608</v>
      </c>
      <c r="BM16" s="135">
        <v>2.5818</v>
      </c>
      <c r="BN16" s="135">
        <v>0.111</v>
      </c>
      <c r="BO16" s="135">
        <v>1.7938</v>
      </c>
      <c r="BP16" s="135">
        <v>0.0151</v>
      </c>
      <c r="BQ16" s="135">
        <v>1.7787</v>
      </c>
      <c r="BR16" s="135">
        <v>1.3142</v>
      </c>
      <c r="BS16" s="135">
        <v>1.6206</v>
      </c>
      <c r="BT16" s="135">
        <v>0.0134</v>
      </c>
      <c r="BU16" s="135">
        <v>1.6072</v>
      </c>
      <c r="BV16" s="135">
        <v>1.2575</v>
      </c>
      <c r="BW16" s="135">
        <v>0.8674</v>
      </c>
      <c r="BX16" s="135">
        <v>0.0203</v>
      </c>
      <c r="BY16" s="135">
        <v>0.8471</v>
      </c>
      <c r="BZ16" s="135">
        <v>0.7372</v>
      </c>
      <c r="CA16" s="135">
        <v>0.4723</v>
      </c>
      <c r="CB16" s="135">
        <v>0.0136</v>
      </c>
      <c r="CC16" s="135">
        <v>0.4587</v>
      </c>
      <c r="CD16" s="135">
        <v>0.5277</v>
      </c>
      <c r="CE16" s="135">
        <v>1.1369</v>
      </c>
      <c r="CF16" s="135">
        <v>0.0214</v>
      </c>
      <c r="CG16" s="135">
        <v>1.1154</v>
      </c>
      <c r="CH16" s="135">
        <v>1.0661</v>
      </c>
      <c r="CI16" s="135">
        <v>1.0057</v>
      </c>
      <c r="CJ16" s="135">
        <v>0.0191</v>
      </c>
      <c r="CK16" s="135">
        <v>0.9866</v>
      </c>
      <c r="CL16" s="135">
        <v>0.988</v>
      </c>
      <c r="CM16" s="135">
        <v>290.1</v>
      </c>
      <c r="CN16" s="135">
        <v>94.78</v>
      </c>
      <c r="CO16" s="135">
        <v>306.07</v>
      </c>
      <c r="CP16" s="135">
        <v>268.97</v>
      </c>
      <c r="CQ16" s="135">
        <v>0.0</v>
      </c>
      <c r="CR16" s="135">
        <v>9.51</v>
      </c>
      <c r="CS16" s="135">
        <v>11.62</v>
      </c>
      <c r="CT16" s="135">
        <v>0.0</v>
      </c>
      <c r="CU16" s="135">
        <v>0.0</v>
      </c>
      <c r="CV16" s="135">
        <v>0.0</v>
      </c>
      <c r="CW16" s="135">
        <v>100.47</v>
      </c>
      <c r="CX16" s="135">
        <v>0.0</v>
      </c>
      <c r="CY16" s="135">
        <v>0.0</v>
      </c>
      <c r="CZ16" s="135">
        <v>121.99</v>
      </c>
      <c r="DA16" s="135">
        <v>2.19</v>
      </c>
      <c r="DB16" s="135">
        <v>119.79</v>
      </c>
      <c r="DC16" s="135">
        <v>109.8</v>
      </c>
      <c r="DD16" s="135">
        <v>0.71</v>
      </c>
      <c r="DE16" s="135">
        <v>109.08</v>
      </c>
      <c r="DF16" s="135">
        <v>5.93</v>
      </c>
      <c r="DG16" s="135">
        <v>0.49</v>
      </c>
      <c r="DH16" s="135">
        <v>5.44</v>
      </c>
      <c r="DI16" s="135">
        <v>5.09</v>
      </c>
      <c r="DJ16" s="135">
        <v>0.49</v>
      </c>
      <c r="DK16" s="135">
        <v>4.6</v>
      </c>
      <c r="DL16" s="135">
        <v>1.17</v>
      </c>
      <c r="DM16" s="135">
        <v>0.49</v>
      </c>
      <c r="DN16" s="135">
        <v>0.67</v>
      </c>
    </row>
    <row r="17">
      <c r="A17" s="209">
        <v>46256.0</v>
      </c>
      <c r="B17" s="210" t="s">
        <v>4</v>
      </c>
      <c r="C17" s="210" t="s">
        <v>144</v>
      </c>
      <c r="D17" s="210">
        <v>4273.0</v>
      </c>
      <c r="E17" s="210">
        <v>18.42</v>
      </c>
      <c r="F17" s="210">
        <v>772.31</v>
      </c>
      <c r="G17" s="210">
        <v>0.1807</v>
      </c>
      <c r="H17" s="210">
        <v>3.56</v>
      </c>
      <c r="I17" s="210">
        <v>5.081</v>
      </c>
      <c r="J17" s="210">
        <v>68.73</v>
      </c>
      <c r="K17" s="210">
        <v>38.48</v>
      </c>
      <c r="L17" s="210">
        <v>25.85</v>
      </c>
      <c r="M17" s="210">
        <v>0.6719</v>
      </c>
      <c r="N17" s="210">
        <v>0.4745</v>
      </c>
      <c r="O17" s="210">
        <v>0.3046</v>
      </c>
      <c r="P17" s="210">
        <v>1.4884</v>
      </c>
      <c r="Q17" s="210">
        <v>171.52</v>
      </c>
      <c r="R17" s="210">
        <v>149.38</v>
      </c>
      <c r="S17" s="210">
        <v>22.14</v>
      </c>
      <c r="T17" s="210">
        <v>13.83</v>
      </c>
      <c r="U17" s="210">
        <v>157.69</v>
      </c>
      <c r="V17" s="210">
        <v>181.84</v>
      </c>
      <c r="W17" s="210">
        <v>4.7253</v>
      </c>
      <c r="X17" s="210">
        <v>8.06</v>
      </c>
      <c r="Y17" s="210">
        <v>249.0</v>
      </c>
      <c r="Z17" s="210">
        <v>567.0</v>
      </c>
      <c r="AA17" s="210">
        <v>1610.0</v>
      </c>
      <c r="AB17" s="210">
        <v>53.9275</v>
      </c>
      <c r="AC17" s="210">
        <v>0.7515</v>
      </c>
      <c r="AD17" s="210">
        <v>16.46</v>
      </c>
      <c r="AE17" s="210">
        <v>7.0</v>
      </c>
      <c r="AF17" s="210">
        <v>13.0</v>
      </c>
      <c r="AG17" s="210">
        <v>22.0</v>
      </c>
      <c r="AH17" s="210">
        <v>34.0</v>
      </c>
      <c r="AI17" s="210">
        <v>57.55</v>
      </c>
      <c r="AJ17" s="210">
        <v>19.19</v>
      </c>
      <c r="AK17" s="210">
        <v>5.62</v>
      </c>
      <c r="AL17" s="210">
        <v>0.241</v>
      </c>
      <c r="AM17" s="211"/>
      <c r="AQ17" s="135">
        <v>10.6267</v>
      </c>
      <c r="AR17" s="135">
        <v>0.2378</v>
      </c>
      <c r="AS17" s="135">
        <v>10.389</v>
      </c>
      <c r="AT17" s="135">
        <v>9.8032</v>
      </c>
      <c r="AU17" s="135">
        <v>0.2547</v>
      </c>
      <c r="AV17" s="135">
        <v>4273.0</v>
      </c>
      <c r="AW17" s="135">
        <v>0.0</v>
      </c>
      <c r="AX17" s="135">
        <v>64.36</v>
      </c>
      <c r="AY17" s="135">
        <v>88.52</v>
      </c>
      <c r="AZ17" s="135">
        <v>2.81</v>
      </c>
      <c r="BA17" s="135">
        <v>13.83</v>
      </c>
      <c r="BB17" s="135">
        <v>2.0</v>
      </c>
      <c r="BC17" s="135">
        <v>64.0</v>
      </c>
      <c r="BD17" s="135">
        <v>18111.0</v>
      </c>
      <c r="BE17" s="135">
        <v>6.3613</v>
      </c>
      <c r="BF17" s="135">
        <v>0.1467</v>
      </c>
      <c r="BG17" s="135">
        <v>6.2146</v>
      </c>
      <c r="BH17" s="135">
        <v>5.3478</v>
      </c>
      <c r="BI17" s="135">
        <v>0.139</v>
      </c>
      <c r="BJ17" s="135">
        <v>4.2654</v>
      </c>
      <c r="BK17" s="135">
        <v>0.091</v>
      </c>
      <c r="BL17" s="135">
        <v>4.1744</v>
      </c>
      <c r="BM17" s="135">
        <v>4.4554</v>
      </c>
      <c r="BN17" s="135">
        <v>0.1158</v>
      </c>
      <c r="BO17" s="135">
        <v>2.4645</v>
      </c>
      <c r="BP17" s="135">
        <v>0.0435</v>
      </c>
      <c r="BQ17" s="135">
        <v>2.421</v>
      </c>
      <c r="BR17" s="135">
        <v>2.0302</v>
      </c>
      <c r="BS17" s="135">
        <v>2.3052</v>
      </c>
      <c r="BT17" s="135">
        <v>0.052</v>
      </c>
      <c r="BU17" s="135">
        <v>2.2532</v>
      </c>
      <c r="BV17" s="135">
        <v>1.9747</v>
      </c>
      <c r="BW17" s="135">
        <v>1.5916</v>
      </c>
      <c r="BX17" s="135">
        <v>0.0513</v>
      </c>
      <c r="BY17" s="135">
        <v>1.5404</v>
      </c>
      <c r="BZ17" s="135">
        <v>1.3429</v>
      </c>
      <c r="CA17" s="135">
        <v>0.9012</v>
      </c>
      <c r="CB17" s="135">
        <v>0.0246</v>
      </c>
      <c r="CC17" s="135">
        <v>0.8767</v>
      </c>
      <c r="CD17" s="135">
        <v>1.1091</v>
      </c>
      <c r="CE17" s="135">
        <v>1.5493</v>
      </c>
      <c r="CF17" s="135">
        <v>0.0367</v>
      </c>
      <c r="CG17" s="135">
        <v>1.5125</v>
      </c>
      <c r="CH17" s="135">
        <v>1.5624</v>
      </c>
      <c r="CI17" s="135">
        <v>1.8149</v>
      </c>
      <c r="CJ17" s="135">
        <v>0.0297</v>
      </c>
      <c r="CK17" s="135">
        <v>1.7852</v>
      </c>
      <c r="CL17" s="135">
        <v>1.784</v>
      </c>
      <c r="CM17" s="135">
        <v>504.8</v>
      </c>
      <c r="CN17" s="135">
        <v>97.45</v>
      </c>
      <c r="CO17" s="135">
        <v>518.01</v>
      </c>
      <c r="CP17" s="135">
        <v>475.15</v>
      </c>
      <c r="CQ17" s="135">
        <v>0.0</v>
      </c>
      <c r="CR17" s="135">
        <v>9.23</v>
      </c>
      <c r="CS17" s="135">
        <v>20.42</v>
      </c>
      <c r="CT17" s="135">
        <v>0.0</v>
      </c>
      <c r="CU17" s="135">
        <v>0.0</v>
      </c>
      <c r="CV17" s="135">
        <v>0.0</v>
      </c>
      <c r="CW17" s="135">
        <v>171.52</v>
      </c>
      <c r="CX17" s="135">
        <v>0.0</v>
      </c>
      <c r="CY17" s="135">
        <v>0.0</v>
      </c>
      <c r="CZ17" s="135">
        <v>176.28</v>
      </c>
      <c r="DA17" s="135">
        <v>2.82</v>
      </c>
      <c r="DB17" s="135">
        <v>173.47</v>
      </c>
      <c r="DC17" s="135">
        <v>162.51</v>
      </c>
      <c r="DD17" s="135">
        <v>0.91</v>
      </c>
      <c r="DE17" s="135">
        <v>161.61</v>
      </c>
      <c r="DF17" s="135">
        <v>6.94</v>
      </c>
      <c r="DG17" s="135">
        <v>0.64</v>
      </c>
      <c r="DH17" s="135">
        <v>6.31</v>
      </c>
      <c r="DI17" s="135">
        <v>5.01</v>
      </c>
      <c r="DJ17" s="135">
        <v>0.64</v>
      </c>
      <c r="DK17" s="135">
        <v>4.38</v>
      </c>
      <c r="DL17" s="135">
        <v>1.82</v>
      </c>
      <c r="DM17" s="135">
        <v>0.64</v>
      </c>
      <c r="DN17" s="135">
        <v>1.18</v>
      </c>
    </row>
    <row r="18">
      <c r="A18" s="209">
        <v>46256.0</v>
      </c>
      <c r="B18" s="210" t="s">
        <v>4</v>
      </c>
      <c r="C18" s="210" t="s">
        <v>145</v>
      </c>
      <c r="D18" s="210">
        <v>2439.0</v>
      </c>
      <c r="E18" s="210">
        <v>10.51</v>
      </c>
      <c r="F18" s="210">
        <v>997.92</v>
      </c>
      <c r="G18" s="210">
        <v>0.4092</v>
      </c>
      <c r="H18" s="210">
        <v>6.36</v>
      </c>
      <c r="I18" s="210">
        <v>6.4382</v>
      </c>
      <c r="J18" s="210">
        <v>119.34</v>
      </c>
      <c r="K18" s="210">
        <v>71.6</v>
      </c>
      <c r="L18" s="210">
        <v>52.62</v>
      </c>
      <c r="M18" s="210">
        <v>0.735</v>
      </c>
      <c r="N18" s="210">
        <v>0.409</v>
      </c>
      <c r="O18" s="210">
        <v>0.2652</v>
      </c>
      <c r="P18" s="210">
        <v>1.3606</v>
      </c>
      <c r="Q18" s="210">
        <v>330.65</v>
      </c>
      <c r="R18" s="210">
        <v>288.02</v>
      </c>
      <c r="S18" s="210">
        <v>42.63</v>
      </c>
      <c r="T18" s="210">
        <v>37.66</v>
      </c>
      <c r="U18" s="210">
        <v>292.99</v>
      </c>
      <c r="V18" s="210">
        <v>344.44</v>
      </c>
      <c r="W18" s="210">
        <v>4.8109</v>
      </c>
      <c r="X18" s="210">
        <v>11.39</v>
      </c>
      <c r="Y18" s="210">
        <v>304.0</v>
      </c>
      <c r="Z18" s="210">
        <v>780.0</v>
      </c>
      <c r="AA18" s="210">
        <v>2015.0</v>
      </c>
      <c r="AB18" s="210">
        <v>55.8811</v>
      </c>
      <c r="AC18" s="210">
        <v>0.7902</v>
      </c>
      <c r="AD18" s="210">
        <v>30.46</v>
      </c>
      <c r="AE18" s="210">
        <v>11.0</v>
      </c>
      <c r="AF18" s="210">
        <v>22.0</v>
      </c>
      <c r="AG18" s="210">
        <v>41.0</v>
      </c>
      <c r="AH18" s="210">
        <v>64.0</v>
      </c>
      <c r="AI18" s="210">
        <v>41.04</v>
      </c>
      <c r="AJ18" s="210">
        <v>12.01</v>
      </c>
      <c r="AK18" s="210">
        <v>3.12</v>
      </c>
      <c r="AL18" s="210">
        <v>0.1751</v>
      </c>
      <c r="AM18" s="211"/>
      <c r="AQ18" s="135">
        <v>17.0578</v>
      </c>
      <c r="AR18" s="135">
        <v>0.4645</v>
      </c>
      <c r="AS18" s="135">
        <v>16.5933</v>
      </c>
      <c r="AT18" s="135">
        <v>17.4719</v>
      </c>
      <c r="AU18" s="135">
        <v>0.244</v>
      </c>
      <c r="AV18" s="135">
        <v>2439.0</v>
      </c>
      <c r="AW18" s="135">
        <v>0.0</v>
      </c>
      <c r="AX18" s="135">
        <v>107.18</v>
      </c>
      <c r="AY18" s="135">
        <v>176.99</v>
      </c>
      <c r="AZ18" s="135">
        <v>4.18</v>
      </c>
      <c r="BA18" s="135">
        <v>37.66</v>
      </c>
      <c r="BB18" s="135">
        <v>4.65</v>
      </c>
      <c r="BC18" s="135">
        <v>141.0</v>
      </c>
      <c r="BD18" s="135">
        <v>16665.0</v>
      </c>
      <c r="BE18" s="135">
        <v>9.3001</v>
      </c>
      <c r="BF18" s="135">
        <v>0.203</v>
      </c>
      <c r="BG18" s="135">
        <v>9.0972</v>
      </c>
      <c r="BH18" s="135">
        <v>9.1017</v>
      </c>
      <c r="BI18" s="135">
        <v>0.1271</v>
      </c>
      <c r="BJ18" s="135">
        <v>7.7577</v>
      </c>
      <c r="BK18" s="135">
        <v>0.2616</v>
      </c>
      <c r="BL18" s="135">
        <v>7.4961</v>
      </c>
      <c r="BM18" s="135">
        <v>8.3702</v>
      </c>
      <c r="BN18" s="135">
        <v>0.1169</v>
      </c>
      <c r="BO18" s="135">
        <v>3.1804</v>
      </c>
      <c r="BP18" s="135">
        <v>0.0672</v>
      </c>
      <c r="BQ18" s="135">
        <v>3.1132</v>
      </c>
      <c r="BR18" s="135">
        <v>3.1587</v>
      </c>
      <c r="BS18" s="135">
        <v>3.3358</v>
      </c>
      <c r="BT18" s="135">
        <v>0.066</v>
      </c>
      <c r="BU18" s="135">
        <v>3.2698</v>
      </c>
      <c r="BV18" s="135">
        <v>3.3592</v>
      </c>
      <c r="BW18" s="135">
        <v>2.7839</v>
      </c>
      <c r="BX18" s="135">
        <v>0.0697</v>
      </c>
      <c r="BY18" s="135">
        <v>2.7142</v>
      </c>
      <c r="BZ18" s="135">
        <v>2.5838</v>
      </c>
      <c r="CA18" s="135">
        <v>2.1164</v>
      </c>
      <c r="CB18" s="135">
        <v>0.0845</v>
      </c>
      <c r="CC18" s="135">
        <v>2.032</v>
      </c>
      <c r="CD18" s="135">
        <v>2.6183</v>
      </c>
      <c r="CE18" s="135">
        <v>2.4666</v>
      </c>
      <c r="CF18" s="135">
        <v>0.0972</v>
      </c>
      <c r="CG18" s="135">
        <v>2.3694</v>
      </c>
      <c r="CH18" s="135">
        <v>2.6019</v>
      </c>
      <c r="CI18" s="135">
        <v>3.1747</v>
      </c>
      <c r="CJ18" s="135">
        <v>0.08</v>
      </c>
      <c r="CK18" s="135">
        <v>3.0947</v>
      </c>
      <c r="CL18" s="135">
        <v>3.1501</v>
      </c>
      <c r="CM18" s="135">
        <v>830.03</v>
      </c>
      <c r="CN18" s="135">
        <v>98.93</v>
      </c>
      <c r="CO18" s="135">
        <v>838.98</v>
      </c>
      <c r="CP18" s="135">
        <v>788.88</v>
      </c>
      <c r="CQ18" s="135">
        <v>0.0</v>
      </c>
      <c r="CR18" s="135">
        <v>8.33</v>
      </c>
      <c r="CS18" s="135">
        <v>32.82</v>
      </c>
      <c r="CT18" s="135">
        <v>0.0</v>
      </c>
      <c r="CU18" s="135">
        <v>0.0</v>
      </c>
      <c r="CV18" s="135">
        <v>0.0</v>
      </c>
      <c r="CW18" s="135">
        <v>330.65</v>
      </c>
      <c r="CX18" s="135">
        <v>0.0</v>
      </c>
      <c r="CY18" s="135">
        <v>0.0</v>
      </c>
      <c r="CZ18" s="135">
        <v>290.15</v>
      </c>
      <c r="DA18" s="135">
        <v>8.68</v>
      </c>
      <c r="DB18" s="135">
        <v>281.47</v>
      </c>
      <c r="DC18" s="135">
        <v>265.73</v>
      </c>
      <c r="DD18" s="135">
        <v>2.87</v>
      </c>
      <c r="DE18" s="135">
        <v>262.86</v>
      </c>
      <c r="DF18" s="135">
        <v>12.48</v>
      </c>
      <c r="DG18" s="135">
        <v>1.94</v>
      </c>
      <c r="DH18" s="135">
        <v>10.54</v>
      </c>
      <c r="DI18" s="135">
        <v>8.53</v>
      </c>
      <c r="DJ18" s="135">
        <v>1.94</v>
      </c>
      <c r="DK18" s="135">
        <v>6.59</v>
      </c>
      <c r="DL18" s="135">
        <v>3.41</v>
      </c>
      <c r="DM18" s="135">
        <v>1.94</v>
      </c>
      <c r="DN18" s="135">
        <v>1.47</v>
      </c>
    </row>
    <row r="19">
      <c r="A19" s="209">
        <v>46256.0</v>
      </c>
      <c r="B19" s="210" t="s">
        <v>4</v>
      </c>
      <c r="C19" s="210" t="s">
        <v>146</v>
      </c>
      <c r="D19" s="210">
        <v>303.0</v>
      </c>
      <c r="E19" s="210">
        <v>1.31</v>
      </c>
      <c r="F19" s="210">
        <v>299.12</v>
      </c>
      <c r="G19" s="210">
        <v>0.9872</v>
      </c>
      <c r="H19" s="210">
        <v>9.24</v>
      </c>
      <c r="I19" s="210">
        <v>10.6829</v>
      </c>
      <c r="J19" s="210">
        <v>241.42</v>
      </c>
      <c r="K19" s="210">
        <v>159.28</v>
      </c>
      <c r="L19" s="210">
        <v>124.74</v>
      </c>
      <c r="M19" s="210">
        <v>0.7832</v>
      </c>
      <c r="N19" s="210">
        <v>0.3519</v>
      </c>
      <c r="O19" s="210">
        <v>0.2293</v>
      </c>
      <c r="P19" s="210">
        <v>1.2768</v>
      </c>
      <c r="Q19" s="210">
        <v>545.57</v>
      </c>
      <c r="R19" s="210">
        <v>445.26</v>
      </c>
      <c r="S19" s="210">
        <v>100.31</v>
      </c>
      <c r="T19" s="210">
        <v>66.83</v>
      </c>
      <c r="U19" s="210">
        <v>478.74</v>
      </c>
      <c r="V19" s="210">
        <v>579.37</v>
      </c>
      <c r="W19" s="210">
        <v>3.6375</v>
      </c>
      <c r="X19" s="210">
        <v>12.25</v>
      </c>
      <c r="Y19" s="210">
        <v>332.0</v>
      </c>
      <c r="Z19" s="210">
        <v>885.0</v>
      </c>
      <c r="AA19" s="210">
        <v>2908.0</v>
      </c>
      <c r="AB19" s="210">
        <v>57.8922</v>
      </c>
      <c r="AC19" s="210">
        <v>0.8145</v>
      </c>
      <c r="AD19" s="210">
        <v>52.8</v>
      </c>
      <c r="AE19" s="210">
        <v>22.0</v>
      </c>
      <c r="AF19" s="210">
        <v>38.0</v>
      </c>
      <c r="AG19" s="210">
        <v>66.0</v>
      </c>
      <c r="AH19" s="210">
        <v>108.0</v>
      </c>
      <c r="AI19" s="210">
        <v>19.8</v>
      </c>
      <c r="AJ19" s="210">
        <v>4.29</v>
      </c>
      <c r="AK19" s="210">
        <v>0.0</v>
      </c>
      <c r="AL19" s="210">
        <v>0.099</v>
      </c>
      <c r="AM19" s="211"/>
      <c r="AQ19" s="135">
        <v>29.7723</v>
      </c>
      <c r="AR19" s="135">
        <v>0.7492</v>
      </c>
      <c r="AS19" s="135">
        <v>29.0231</v>
      </c>
      <c r="AT19" s="135">
        <v>30.462</v>
      </c>
      <c r="AU19" s="135">
        <v>0.1913</v>
      </c>
      <c r="AV19" s="135">
        <v>303.0</v>
      </c>
      <c r="AW19" s="135">
        <v>0.0</v>
      </c>
      <c r="AX19" s="135">
        <v>213.0</v>
      </c>
      <c r="AY19" s="135">
        <v>248.15</v>
      </c>
      <c r="AZ19" s="135">
        <v>7.85</v>
      </c>
      <c r="BA19" s="135">
        <v>66.83</v>
      </c>
      <c r="BB19" s="135">
        <v>9.73</v>
      </c>
      <c r="BC19" s="135">
        <v>242.0</v>
      </c>
      <c r="BD19" s="135">
        <v>16244.0</v>
      </c>
      <c r="BE19" s="135">
        <v>16.2772</v>
      </c>
      <c r="BF19" s="135">
        <v>0.297</v>
      </c>
      <c r="BG19" s="135">
        <v>15.9802</v>
      </c>
      <c r="BH19" s="135">
        <v>16.6304</v>
      </c>
      <c r="BI19" s="135">
        <v>0.1044</v>
      </c>
      <c r="BJ19" s="135">
        <v>13.495</v>
      </c>
      <c r="BK19" s="135">
        <v>0.4521</v>
      </c>
      <c r="BL19" s="135">
        <v>13.0429</v>
      </c>
      <c r="BM19" s="135">
        <v>13.8317</v>
      </c>
      <c r="BN19" s="135">
        <v>0.0868</v>
      </c>
      <c r="BO19" s="135">
        <v>5.5479</v>
      </c>
      <c r="BP19" s="135">
        <v>0.099</v>
      </c>
      <c r="BQ19" s="135">
        <v>5.4488</v>
      </c>
      <c r="BR19" s="135">
        <v>5.8515</v>
      </c>
      <c r="BS19" s="135">
        <v>5.6502</v>
      </c>
      <c r="BT19" s="135">
        <v>0.099</v>
      </c>
      <c r="BU19" s="135">
        <v>5.5512</v>
      </c>
      <c r="BV19" s="135">
        <v>5.8614</v>
      </c>
      <c r="BW19" s="135">
        <v>5.0792</v>
      </c>
      <c r="BX19" s="135">
        <v>0.099</v>
      </c>
      <c r="BY19" s="135">
        <v>4.9802</v>
      </c>
      <c r="BZ19" s="135">
        <v>4.9175</v>
      </c>
      <c r="CA19" s="135">
        <v>4.4356</v>
      </c>
      <c r="CB19" s="135">
        <v>0.1221</v>
      </c>
      <c r="CC19" s="135">
        <v>4.3135</v>
      </c>
      <c r="CD19" s="135">
        <v>4.264</v>
      </c>
      <c r="CE19" s="135">
        <v>3.6865</v>
      </c>
      <c r="CF19" s="135">
        <v>0.1848</v>
      </c>
      <c r="CG19" s="135">
        <v>3.5017</v>
      </c>
      <c r="CH19" s="135">
        <v>4.1617</v>
      </c>
      <c r="CI19" s="135">
        <v>5.3729</v>
      </c>
      <c r="CJ19" s="135">
        <v>0.1452</v>
      </c>
      <c r="CK19" s="135">
        <v>5.2277</v>
      </c>
      <c r="CL19" s="135">
        <v>5.4059</v>
      </c>
      <c r="CM19" s="135">
        <v>1800.5</v>
      </c>
      <c r="CN19" s="135">
        <v>99.34</v>
      </c>
      <c r="CO19" s="135">
        <v>1812.46</v>
      </c>
      <c r="CP19" s="135">
        <v>1749.19</v>
      </c>
      <c r="CQ19" s="135">
        <v>0.0</v>
      </c>
      <c r="CR19" s="135">
        <v>8.65</v>
      </c>
      <c r="CS19" s="135">
        <v>42.65</v>
      </c>
      <c r="CT19" s="135">
        <v>0.0</v>
      </c>
      <c r="CU19" s="135">
        <v>0.0</v>
      </c>
      <c r="CV19" s="135">
        <v>0.0</v>
      </c>
      <c r="CW19" s="135">
        <v>545.57</v>
      </c>
      <c r="CX19" s="135">
        <v>0.0</v>
      </c>
      <c r="CY19" s="135">
        <v>0.0</v>
      </c>
      <c r="CZ19" s="135">
        <v>512.0</v>
      </c>
      <c r="DA19" s="135">
        <v>8.37</v>
      </c>
      <c r="DB19" s="135">
        <v>503.63</v>
      </c>
      <c r="DC19" s="135">
        <v>485.28</v>
      </c>
      <c r="DD19" s="135">
        <v>3.02</v>
      </c>
      <c r="DE19" s="135">
        <v>482.26</v>
      </c>
      <c r="DF19" s="135">
        <v>11.52</v>
      </c>
      <c r="DG19" s="135">
        <v>1.78</v>
      </c>
      <c r="DH19" s="135">
        <v>9.74</v>
      </c>
      <c r="DI19" s="135">
        <v>12.24</v>
      </c>
      <c r="DJ19" s="135">
        <v>1.78</v>
      </c>
      <c r="DK19" s="135">
        <v>10.46</v>
      </c>
      <c r="DL19" s="135">
        <v>2.95</v>
      </c>
      <c r="DM19" s="135">
        <v>1.78</v>
      </c>
      <c r="DN19" s="135">
        <v>1.17</v>
      </c>
    </row>
    <row r="20">
      <c r="A20" s="209">
        <v>46256.0</v>
      </c>
      <c r="B20" s="210" t="s">
        <v>5</v>
      </c>
      <c r="C20" s="210" t="s">
        <v>398</v>
      </c>
      <c r="D20" s="210">
        <v>4835.0</v>
      </c>
      <c r="E20" s="210">
        <v>21.27</v>
      </c>
      <c r="F20" s="210">
        <v>551.59</v>
      </c>
      <c r="G20" s="210">
        <v>0.1141</v>
      </c>
      <c r="H20" s="210">
        <v>1.65</v>
      </c>
      <c r="I20" s="210">
        <v>6.8949</v>
      </c>
      <c r="J20" s="210">
        <v>25.43</v>
      </c>
      <c r="K20" s="210">
        <v>13.71</v>
      </c>
      <c r="L20" s="210">
        <v>9.49</v>
      </c>
      <c r="M20" s="210">
        <v>0.6919</v>
      </c>
      <c r="N20" s="210">
        <v>0.4312</v>
      </c>
      <c r="O20" s="210">
        <v>0.2123</v>
      </c>
      <c r="P20" s="210">
        <v>1.4452</v>
      </c>
      <c r="Q20" s="210">
        <v>74.06</v>
      </c>
      <c r="R20" s="210">
        <v>74.01</v>
      </c>
      <c r="S20" s="210">
        <v>0.05</v>
      </c>
      <c r="T20" s="210">
        <v>11.02</v>
      </c>
      <c r="U20" s="210">
        <v>63.04</v>
      </c>
      <c r="V20" s="210">
        <v>56.93</v>
      </c>
      <c r="W20" s="210">
        <v>4.1521</v>
      </c>
      <c r="X20" s="210">
        <v>14.88</v>
      </c>
      <c r="Y20" s="210">
        <v>189.0</v>
      </c>
      <c r="Z20" s="210">
        <v>557.0</v>
      </c>
      <c r="AA20" s="210">
        <v>3973.0</v>
      </c>
      <c r="AB20" s="210">
        <v>49.6742</v>
      </c>
      <c r="AC20" s="210">
        <v>0.4813</v>
      </c>
      <c r="AD20" s="211"/>
      <c r="AE20" s="211"/>
      <c r="AF20" s="211"/>
      <c r="AG20" s="211"/>
      <c r="AH20" s="211"/>
      <c r="AI20" s="210">
        <v>0.0</v>
      </c>
      <c r="AJ20" s="210">
        <v>0.0</v>
      </c>
      <c r="AK20" s="210">
        <v>0.0</v>
      </c>
      <c r="AL20" s="210">
        <v>0.4507</v>
      </c>
      <c r="AM20" s="210">
        <v>11.38</v>
      </c>
      <c r="AN20" s="135">
        <v>11.38</v>
      </c>
      <c r="AO20" s="135">
        <v>7.09</v>
      </c>
      <c r="AP20" s="135">
        <v>4.12</v>
      </c>
      <c r="AQ20" s="135">
        <v>2.23</v>
      </c>
      <c r="AR20" s="135">
        <v>0.1245</v>
      </c>
      <c r="AS20" s="135">
        <v>2.1055</v>
      </c>
      <c r="AT20" s="135">
        <v>1.7454</v>
      </c>
      <c r="AU20" s="135">
        <v>0.1273</v>
      </c>
      <c r="AV20" s="135">
        <v>4835.0</v>
      </c>
      <c r="AW20" s="135">
        <v>0.0</v>
      </c>
      <c r="AX20" s="135">
        <v>11.77</v>
      </c>
      <c r="AY20" s="135">
        <v>47.84</v>
      </c>
      <c r="AZ20" s="135">
        <v>3.22</v>
      </c>
      <c r="BA20" s="135">
        <v>11.02</v>
      </c>
      <c r="BB20" s="135">
        <v>0.21</v>
      </c>
      <c r="BD20" s="135">
        <v>26883.0</v>
      </c>
      <c r="BE20" s="135">
        <v>1.1404</v>
      </c>
      <c r="BF20" s="135">
        <v>0.0515</v>
      </c>
      <c r="BG20" s="135">
        <v>1.0889</v>
      </c>
      <c r="BH20" s="135">
        <v>0.8637</v>
      </c>
      <c r="BI20" s="135">
        <v>0.063</v>
      </c>
      <c r="BJ20" s="135">
        <v>1.0896</v>
      </c>
      <c r="BK20" s="135">
        <v>0.073</v>
      </c>
      <c r="BL20" s="135">
        <v>1.0165</v>
      </c>
      <c r="BM20" s="135">
        <v>0.8817</v>
      </c>
      <c r="BN20" s="135">
        <v>0.0643</v>
      </c>
      <c r="BO20" s="135">
        <v>0.4474</v>
      </c>
      <c r="BP20" s="135">
        <v>0.0182</v>
      </c>
      <c r="BQ20" s="135">
        <v>0.4292</v>
      </c>
      <c r="BR20" s="135">
        <v>0.3349</v>
      </c>
      <c r="BS20" s="135">
        <v>0.4271</v>
      </c>
      <c r="BT20" s="135">
        <v>0.0163</v>
      </c>
      <c r="BU20" s="135">
        <v>0.4108</v>
      </c>
      <c r="BV20" s="135">
        <v>0.3295</v>
      </c>
      <c r="BW20" s="135">
        <v>0.266</v>
      </c>
      <c r="BX20" s="135">
        <v>0.017</v>
      </c>
      <c r="BY20" s="135">
        <v>0.249</v>
      </c>
      <c r="BZ20" s="135">
        <v>0.1994</v>
      </c>
      <c r="CA20" s="135">
        <v>0.2383</v>
      </c>
      <c r="CB20" s="135">
        <v>0.0192</v>
      </c>
      <c r="CC20" s="135">
        <v>0.219</v>
      </c>
      <c r="CD20" s="135">
        <v>0.2081</v>
      </c>
      <c r="CE20" s="135">
        <v>0.4838</v>
      </c>
      <c r="CF20" s="135">
        <v>0.0312</v>
      </c>
      <c r="CG20" s="135">
        <v>0.4525</v>
      </c>
      <c r="CH20" s="135">
        <v>0.3648</v>
      </c>
      <c r="CI20" s="135">
        <v>0.3675</v>
      </c>
      <c r="CJ20" s="135">
        <v>0.0225</v>
      </c>
      <c r="CK20" s="135">
        <v>0.345</v>
      </c>
      <c r="CL20" s="135">
        <v>0.3088</v>
      </c>
      <c r="CM20" s="135">
        <v>129.15</v>
      </c>
      <c r="CN20" s="135">
        <v>24.22</v>
      </c>
      <c r="CO20" s="135">
        <v>533.24</v>
      </c>
      <c r="CP20" s="135">
        <v>117.65</v>
      </c>
      <c r="CQ20" s="135">
        <v>0.01</v>
      </c>
      <c r="CR20" s="135">
        <v>4.15</v>
      </c>
      <c r="CS20" s="135">
        <v>7.33</v>
      </c>
      <c r="CT20" s="135">
        <v>0.0</v>
      </c>
      <c r="CU20" s="135">
        <v>1030.0</v>
      </c>
      <c r="CV20" s="135">
        <v>0.0</v>
      </c>
      <c r="CW20" s="135">
        <v>74.06</v>
      </c>
      <c r="CX20" s="135">
        <v>0.0</v>
      </c>
      <c r="CY20" s="135">
        <v>0.01</v>
      </c>
      <c r="CZ20" s="135">
        <v>43.94</v>
      </c>
      <c r="DA20" s="135">
        <v>2.34</v>
      </c>
      <c r="DB20" s="135">
        <v>41.6</v>
      </c>
      <c r="DC20" s="135">
        <v>36.22</v>
      </c>
      <c r="DD20" s="135">
        <v>0.98</v>
      </c>
      <c r="DE20" s="135">
        <v>35.24</v>
      </c>
      <c r="DF20" s="135">
        <v>3.52</v>
      </c>
      <c r="DG20" s="135">
        <v>0.45</v>
      </c>
      <c r="DH20" s="135">
        <v>3.07</v>
      </c>
      <c r="DI20" s="135">
        <v>2.59</v>
      </c>
      <c r="DJ20" s="135">
        <v>0.45</v>
      </c>
      <c r="DK20" s="135">
        <v>2.14</v>
      </c>
      <c r="DL20" s="135">
        <v>1.61</v>
      </c>
      <c r="DM20" s="135">
        <v>0.45</v>
      </c>
      <c r="DN20" s="135">
        <v>1.16</v>
      </c>
    </row>
    <row r="21">
      <c r="A21" s="209">
        <v>46256.0</v>
      </c>
      <c r="B21" s="210" t="s">
        <v>5</v>
      </c>
      <c r="C21" s="210" t="s">
        <v>142</v>
      </c>
      <c r="D21" s="210">
        <v>6095.0</v>
      </c>
      <c r="E21" s="210">
        <v>26.81</v>
      </c>
      <c r="F21" s="210">
        <v>126.87</v>
      </c>
      <c r="G21" s="210">
        <v>0.0208</v>
      </c>
      <c r="H21" s="210">
        <v>0.87</v>
      </c>
      <c r="I21" s="210">
        <v>2.3938</v>
      </c>
      <c r="J21" s="210">
        <v>22.9</v>
      </c>
      <c r="K21" s="210">
        <v>11.41</v>
      </c>
      <c r="L21" s="210">
        <v>5.41</v>
      </c>
      <c r="M21" s="210">
        <v>0.4739</v>
      </c>
      <c r="N21" s="210">
        <v>0.6375</v>
      </c>
      <c r="O21" s="210">
        <v>0.3941</v>
      </c>
      <c r="P21" s="210">
        <v>2.11</v>
      </c>
      <c r="Q21" s="210">
        <v>45.5</v>
      </c>
      <c r="R21" s="210">
        <v>41.4</v>
      </c>
      <c r="S21" s="210">
        <v>4.1</v>
      </c>
      <c r="T21" s="210">
        <v>1.53</v>
      </c>
      <c r="U21" s="210">
        <v>43.97</v>
      </c>
      <c r="V21" s="210">
        <v>46.58</v>
      </c>
      <c r="W21" s="210">
        <v>4.0818</v>
      </c>
      <c r="X21" s="210">
        <v>3.35</v>
      </c>
      <c r="Y21" s="210">
        <v>195.0</v>
      </c>
      <c r="Z21" s="210">
        <v>417.0</v>
      </c>
      <c r="AA21" s="210">
        <v>1460.0</v>
      </c>
      <c r="AB21" s="210">
        <v>50.1284</v>
      </c>
      <c r="AC21" s="210">
        <v>0.606</v>
      </c>
      <c r="AD21" s="210">
        <v>4.14</v>
      </c>
      <c r="AE21" s="210">
        <v>1.0</v>
      </c>
      <c r="AF21" s="210">
        <v>3.0</v>
      </c>
      <c r="AG21" s="210">
        <v>5.0</v>
      </c>
      <c r="AH21" s="210">
        <v>9.0</v>
      </c>
      <c r="AI21" s="210">
        <v>73.63</v>
      </c>
      <c r="AJ21" s="210">
        <v>33.58</v>
      </c>
      <c r="AK21" s="210">
        <v>8.32</v>
      </c>
      <c r="AL21" s="210">
        <v>0.4487</v>
      </c>
      <c r="AM21" s="210">
        <v>45.86</v>
      </c>
      <c r="AN21" s="135">
        <v>45.86</v>
      </c>
      <c r="AO21" s="135">
        <v>22.53</v>
      </c>
      <c r="AP21" s="135">
        <v>7.76</v>
      </c>
      <c r="AQ21" s="135">
        <v>3.3647</v>
      </c>
      <c r="AR21" s="135">
        <v>0.0397</v>
      </c>
      <c r="AS21" s="135">
        <v>3.325</v>
      </c>
      <c r="AT21" s="135">
        <v>2.9214</v>
      </c>
      <c r="AU21" s="135">
        <v>0.256</v>
      </c>
      <c r="AV21" s="135">
        <v>6095.0</v>
      </c>
      <c r="AW21" s="135">
        <v>0.0</v>
      </c>
      <c r="AX21" s="135">
        <v>20.92</v>
      </c>
      <c r="AY21" s="135">
        <v>20.68</v>
      </c>
      <c r="AZ21" s="135">
        <v>1.97</v>
      </c>
      <c r="BA21" s="135">
        <v>1.53</v>
      </c>
      <c r="BB21" s="135">
        <v>0.4</v>
      </c>
      <c r="BC21" s="135">
        <v>18.0</v>
      </c>
      <c r="BD21" s="135">
        <v>19747.0</v>
      </c>
      <c r="BE21" s="135">
        <v>2.366</v>
      </c>
      <c r="BF21" s="135">
        <v>0.0241</v>
      </c>
      <c r="BG21" s="135">
        <v>2.3419</v>
      </c>
      <c r="BH21" s="135">
        <v>1.7083</v>
      </c>
      <c r="BI21" s="135">
        <v>0.1497</v>
      </c>
      <c r="BJ21" s="135">
        <v>0.9987</v>
      </c>
      <c r="BK21" s="135">
        <v>0.0156</v>
      </c>
      <c r="BL21" s="135">
        <v>0.9831</v>
      </c>
      <c r="BM21" s="135">
        <v>1.2131</v>
      </c>
      <c r="BN21" s="135">
        <v>0.1063</v>
      </c>
      <c r="BO21" s="135">
        <v>0.9549</v>
      </c>
      <c r="BP21" s="135">
        <v>0.0094</v>
      </c>
      <c r="BQ21" s="135">
        <v>0.9455</v>
      </c>
      <c r="BR21" s="135">
        <v>0.6753</v>
      </c>
      <c r="BS21" s="135">
        <v>1.0187</v>
      </c>
      <c r="BT21" s="135">
        <v>0.0044</v>
      </c>
      <c r="BU21" s="135">
        <v>1.0143</v>
      </c>
      <c r="BV21" s="135">
        <v>0.6991</v>
      </c>
      <c r="BW21" s="135">
        <v>0.3925</v>
      </c>
      <c r="BX21" s="135">
        <v>0.0103</v>
      </c>
      <c r="BY21" s="135">
        <v>0.3821</v>
      </c>
      <c r="BZ21" s="135">
        <v>0.3339</v>
      </c>
      <c r="CA21" s="135">
        <v>0.1249</v>
      </c>
      <c r="CB21" s="135">
        <v>0.0028</v>
      </c>
      <c r="CC21" s="135">
        <v>0.1221</v>
      </c>
      <c r="CD21" s="135">
        <v>0.1779</v>
      </c>
      <c r="CE21" s="135">
        <v>0.5014</v>
      </c>
      <c r="CF21" s="135">
        <v>0.0054</v>
      </c>
      <c r="CG21" s="135">
        <v>0.496</v>
      </c>
      <c r="CH21" s="135">
        <v>0.6062</v>
      </c>
      <c r="CI21" s="135">
        <v>0.3724</v>
      </c>
      <c r="CJ21" s="135">
        <v>0.0074</v>
      </c>
      <c r="CK21" s="135">
        <v>0.3651</v>
      </c>
      <c r="CL21" s="135">
        <v>0.429</v>
      </c>
      <c r="CM21" s="135">
        <v>156.15</v>
      </c>
      <c r="CN21" s="135">
        <v>84.33</v>
      </c>
      <c r="CO21" s="135">
        <v>185.17</v>
      </c>
      <c r="CP21" s="135">
        <v>143.89</v>
      </c>
      <c r="CQ21" s="135">
        <v>0.14</v>
      </c>
      <c r="CR21" s="135">
        <v>8.4</v>
      </c>
      <c r="CS21" s="135">
        <v>3.72</v>
      </c>
      <c r="CT21" s="135">
        <v>0.0</v>
      </c>
      <c r="CU21" s="135">
        <v>777.0</v>
      </c>
      <c r="CV21" s="135">
        <v>0.0</v>
      </c>
      <c r="CW21" s="135">
        <v>45.5</v>
      </c>
      <c r="CX21" s="135">
        <v>0.0</v>
      </c>
      <c r="CY21" s="135">
        <v>0.14</v>
      </c>
      <c r="CZ21" s="135">
        <v>87.86</v>
      </c>
      <c r="DA21" s="135">
        <v>0.39</v>
      </c>
      <c r="DB21" s="135">
        <v>87.46</v>
      </c>
      <c r="DC21" s="135">
        <v>78.98</v>
      </c>
      <c r="DD21" s="135">
        <v>0.11</v>
      </c>
      <c r="DE21" s="135">
        <v>78.87</v>
      </c>
      <c r="DF21" s="135">
        <v>4.58</v>
      </c>
      <c r="DG21" s="135">
        <v>0.1</v>
      </c>
      <c r="DH21" s="135">
        <v>4.49</v>
      </c>
      <c r="DI21" s="135">
        <v>3.77</v>
      </c>
      <c r="DJ21" s="135">
        <v>0.1</v>
      </c>
      <c r="DK21" s="135">
        <v>3.67</v>
      </c>
      <c r="DL21" s="135">
        <v>0.53</v>
      </c>
      <c r="DM21" s="135">
        <v>0.1</v>
      </c>
      <c r="DN21" s="135">
        <v>0.43</v>
      </c>
    </row>
    <row r="22">
      <c r="A22" s="209">
        <v>46256.0</v>
      </c>
      <c r="B22" s="210" t="s">
        <v>5</v>
      </c>
      <c r="C22" s="210" t="s">
        <v>143</v>
      </c>
      <c r="D22" s="210">
        <v>5139.0</v>
      </c>
      <c r="E22" s="210">
        <v>22.61</v>
      </c>
      <c r="F22" s="210">
        <v>425.61</v>
      </c>
      <c r="G22" s="210">
        <v>0.0828</v>
      </c>
      <c r="H22" s="210">
        <v>2.8</v>
      </c>
      <c r="I22" s="210">
        <v>2.9556</v>
      </c>
      <c r="J22" s="210">
        <v>44.02</v>
      </c>
      <c r="K22" s="210">
        <v>23.58</v>
      </c>
      <c r="L22" s="210">
        <v>13.3</v>
      </c>
      <c r="M22" s="210">
        <v>0.5641</v>
      </c>
      <c r="N22" s="210">
        <v>0.5622</v>
      </c>
      <c r="O22" s="210">
        <v>0.3412</v>
      </c>
      <c r="P22" s="210">
        <v>1.7728</v>
      </c>
      <c r="Q22" s="210">
        <v>90.74</v>
      </c>
      <c r="R22" s="210">
        <v>80.3</v>
      </c>
      <c r="S22" s="210">
        <v>10.44</v>
      </c>
      <c r="T22" s="210">
        <v>6.91</v>
      </c>
      <c r="U22" s="210">
        <v>83.83</v>
      </c>
      <c r="V22" s="210">
        <v>96.72</v>
      </c>
      <c r="W22" s="210">
        <v>4.1013</v>
      </c>
      <c r="X22" s="210">
        <v>7.61</v>
      </c>
      <c r="Y22" s="210">
        <v>201.0</v>
      </c>
      <c r="Z22" s="210">
        <v>446.0</v>
      </c>
      <c r="AA22" s="210">
        <v>1398.0</v>
      </c>
      <c r="AB22" s="210">
        <v>51.9749</v>
      </c>
      <c r="AC22" s="210">
        <v>0.6799</v>
      </c>
      <c r="AD22" s="210">
        <v>9.33</v>
      </c>
      <c r="AE22" s="210">
        <v>4.0</v>
      </c>
      <c r="AF22" s="210">
        <v>8.0</v>
      </c>
      <c r="AG22" s="210">
        <v>12.0</v>
      </c>
      <c r="AH22" s="210">
        <v>19.0</v>
      </c>
      <c r="AI22" s="210">
        <v>63.4</v>
      </c>
      <c r="AJ22" s="210">
        <v>24.6</v>
      </c>
      <c r="AK22" s="210">
        <v>4.2</v>
      </c>
      <c r="AL22" s="210">
        <v>0.3166</v>
      </c>
      <c r="AM22" s="210">
        <v>53.26</v>
      </c>
      <c r="AN22" s="135">
        <v>53.26</v>
      </c>
      <c r="AO22" s="135">
        <v>31.27</v>
      </c>
      <c r="AP22" s="135">
        <v>14.44</v>
      </c>
      <c r="AQ22" s="135">
        <v>5.4223</v>
      </c>
      <c r="AR22" s="135">
        <v>0.1029</v>
      </c>
      <c r="AS22" s="135">
        <v>5.3193</v>
      </c>
      <c r="AT22" s="135">
        <v>5.3374</v>
      </c>
      <c r="AU22" s="135">
        <v>0.2263</v>
      </c>
      <c r="AV22" s="135">
        <v>5139.0</v>
      </c>
      <c r="AW22" s="135">
        <v>0.0</v>
      </c>
      <c r="AX22" s="135">
        <v>36.86</v>
      </c>
      <c r="AY22" s="135">
        <v>42.99</v>
      </c>
      <c r="AZ22" s="135">
        <v>2.7</v>
      </c>
      <c r="BA22" s="135">
        <v>6.91</v>
      </c>
      <c r="BB22" s="135">
        <v>1.27</v>
      </c>
      <c r="BC22" s="135">
        <v>35.0</v>
      </c>
      <c r="BD22" s="135">
        <v>17554.0</v>
      </c>
      <c r="BE22" s="135">
        <v>3.54</v>
      </c>
      <c r="BF22" s="135">
        <v>0.0525</v>
      </c>
      <c r="BG22" s="135">
        <v>3.4874</v>
      </c>
      <c r="BH22" s="135">
        <v>3.0202</v>
      </c>
      <c r="BI22" s="135">
        <v>0.1281</v>
      </c>
      <c r="BJ22" s="135">
        <v>1.8823</v>
      </c>
      <c r="BK22" s="135">
        <v>0.0504</v>
      </c>
      <c r="BL22" s="135">
        <v>1.8319</v>
      </c>
      <c r="BM22" s="135">
        <v>2.3172</v>
      </c>
      <c r="BN22" s="135">
        <v>0.0983</v>
      </c>
      <c r="BO22" s="135">
        <v>1.4639</v>
      </c>
      <c r="BP22" s="135">
        <v>0.0185</v>
      </c>
      <c r="BQ22" s="135">
        <v>1.4454</v>
      </c>
      <c r="BR22" s="135">
        <v>1.2028</v>
      </c>
      <c r="BS22" s="135">
        <v>1.447</v>
      </c>
      <c r="BT22" s="135">
        <v>0.0162</v>
      </c>
      <c r="BU22" s="135">
        <v>1.4308</v>
      </c>
      <c r="BV22" s="135">
        <v>1.1987</v>
      </c>
      <c r="BW22" s="135">
        <v>0.6291</v>
      </c>
      <c r="BX22" s="135">
        <v>0.0179</v>
      </c>
      <c r="BY22" s="135">
        <v>0.6112</v>
      </c>
      <c r="BZ22" s="135">
        <v>0.6188</v>
      </c>
      <c r="CA22" s="135">
        <v>0.2598</v>
      </c>
      <c r="CB22" s="135">
        <v>0.0119</v>
      </c>
      <c r="CC22" s="135">
        <v>0.2479</v>
      </c>
      <c r="CD22" s="135">
        <v>0.3843</v>
      </c>
      <c r="CE22" s="135">
        <v>0.8692</v>
      </c>
      <c r="CF22" s="135">
        <v>0.0222</v>
      </c>
      <c r="CG22" s="135">
        <v>0.8471</v>
      </c>
      <c r="CH22" s="135">
        <v>1.0773</v>
      </c>
      <c r="CI22" s="135">
        <v>0.7533</v>
      </c>
      <c r="CJ22" s="135">
        <v>0.0163</v>
      </c>
      <c r="CK22" s="135">
        <v>0.7369</v>
      </c>
      <c r="CL22" s="135">
        <v>0.8556</v>
      </c>
      <c r="CM22" s="135">
        <v>254.89</v>
      </c>
      <c r="CN22" s="135">
        <v>95.08</v>
      </c>
      <c r="CO22" s="135">
        <v>268.09</v>
      </c>
      <c r="CP22" s="135">
        <v>229.61</v>
      </c>
      <c r="CQ22" s="135">
        <v>0.46</v>
      </c>
      <c r="CR22" s="135">
        <v>9.56</v>
      </c>
      <c r="CS22" s="135">
        <v>15.26</v>
      </c>
      <c r="CT22" s="135">
        <v>0.0</v>
      </c>
      <c r="CU22" s="135">
        <v>1244.0</v>
      </c>
      <c r="CV22" s="135">
        <v>0.01</v>
      </c>
      <c r="CW22" s="135">
        <v>90.74</v>
      </c>
      <c r="CX22" s="135">
        <v>0.04</v>
      </c>
      <c r="CY22" s="135">
        <v>0.5</v>
      </c>
      <c r="CZ22" s="135">
        <v>132.62</v>
      </c>
      <c r="DA22" s="135">
        <v>1.88</v>
      </c>
      <c r="DB22" s="135">
        <v>130.75</v>
      </c>
      <c r="DC22" s="135">
        <v>118.93</v>
      </c>
      <c r="DD22" s="135">
        <v>0.54</v>
      </c>
      <c r="DE22" s="135">
        <v>118.39</v>
      </c>
      <c r="DF22" s="135">
        <v>6.8</v>
      </c>
      <c r="DG22" s="135">
        <v>0.45</v>
      </c>
      <c r="DH22" s="135">
        <v>6.35</v>
      </c>
      <c r="DI22" s="135">
        <v>5.72</v>
      </c>
      <c r="DJ22" s="135">
        <v>0.45</v>
      </c>
      <c r="DK22" s="135">
        <v>5.27</v>
      </c>
      <c r="DL22" s="135">
        <v>1.18</v>
      </c>
      <c r="DM22" s="135">
        <v>0.45</v>
      </c>
      <c r="DN22" s="135">
        <v>0.73</v>
      </c>
    </row>
    <row r="23">
      <c r="A23" s="209">
        <v>46256.0</v>
      </c>
      <c r="B23" s="210" t="s">
        <v>5</v>
      </c>
      <c r="C23" s="210" t="s">
        <v>144</v>
      </c>
      <c r="D23" s="210">
        <v>4197.0</v>
      </c>
      <c r="E23" s="210">
        <v>18.46</v>
      </c>
      <c r="F23" s="210">
        <v>719.65</v>
      </c>
      <c r="G23" s="210">
        <v>0.1715</v>
      </c>
      <c r="H23" s="210">
        <v>3.29</v>
      </c>
      <c r="I23" s="210">
        <v>5.2149</v>
      </c>
      <c r="J23" s="210">
        <v>68.59</v>
      </c>
      <c r="K23" s="210">
        <v>38.84</v>
      </c>
      <c r="L23" s="210">
        <v>25.09</v>
      </c>
      <c r="M23" s="210">
        <v>0.646</v>
      </c>
      <c r="N23" s="210">
        <v>0.4906</v>
      </c>
      <c r="O23" s="210">
        <v>0.306</v>
      </c>
      <c r="P23" s="210">
        <v>1.5479</v>
      </c>
      <c r="Q23" s="210">
        <v>159.34</v>
      </c>
      <c r="R23" s="210">
        <v>139.88</v>
      </c>
      <c r="S23" s="210">
        <v>19.45</v>
      </c>
      <c r="T23" s="210">
        <v>12.88</v>
      </c>
      <c r="U23" s="210">
        <v>146.46</v>
      </c>
      <c r="V23" s="210">
        <v>171.56</v>
      </c>
      <c r="W23" s="210">
        <v>4.4175</v>
      </c>
      <c r="X23" s="210">
        <v>8.08</v>
      </c>
      <c r="Y23" s="210">
        <v>236.0</v>
      </c>
      <c r="Z23" s="210">
        <v>515.0</v>
      </c>
      <c r="AA23" s="210">
        <v>1317.0</v>
      </c>
      <c r="AB23" s="210">
        <v>53.5631</v>
      </c>
      <c r="AC23" s="210">
        <v>0.7335</v>
      </c>
      <c r="AD23" s="210">
        <v>15.8</v>
      </c>
      <c r="AE23" s="210">
        <v>6.0</v>
      </c>
      <c r="AF23" s="210">
        <v>12.0</v>
      </c>
      <c r="AG23" s="210">
        <v>22.0</v>
      </c>
      <c r="AH23" s="210">
        <v>33.0</v>
      </c>
      <c r="AI23" s="210">
        <v>54.52</v>
      </c>
      <c r="AJ23" s="210">
        <v>18.06</v>
      </c>
      <c r="AK23" s="210">
        <v>5.41</v>
      </c>
      <c r="AL23" s="210">
        <v>0.2549</v>
      </c>
      <c r="AM23" s="210">
        <v>50.77</v>
      </c>
      <c r="AN23" s="135">
        <v>50.77</v>
      </c>
      <c r="AO23" s="135">
        <v>27.4</v>
      </c>
      <c r="AP23" s="135">
        <v>14.13</v>
      </c>
      <c r="AQ23" s="135">
        <v>7.3662</v>
      </c>
      <c r="AR23" s="135">
        <v>0.1687</v>
      </c>
      <c r="AS23" s="135">
        <v>7.1975</v>
      </c>
      <c r="AT23" s="135">
        <v>7.7934</v>
      </c>
      <c r="AU23" s="135">
        <v>0.2007</v>
      </c>
      <c r="AV23" s="135">
        <v>4197.0</v>
      </c>
      <c r="AW23" s="135">
        <v>0.0</v>
      </c>
      <c r="AX23" s="135">
        <v>58.3</v>
      </c>
      <c r="AY23" s="135">
        <v>83.17</v>
      </c>
      <c r="AZ23" s="135">
        <v>2.82</v>
      </c>
      <c r="BA23" s="135">
        <v>12.88</v>
      </c>
      <c r="BB23" s="135">
        <v>2.17</v>
      </c>
      <c r="BC23" s="135">
        <v>64.0</v>
      </c>
      <c r="BD23" s="135">
        <v>15162.0</v>
      </c>
      <c r="BE23" s="135">
        <v>4.6038</v>
      </c>
      <c r="BF23" s="135">
        <v>0.0658</v>
      </c>
      <c r="BG23" s="135">
        <v>4.538</v>
      </c>
      <c r="BH23" s="135">
        <v>4.2564</v>
      </c>
      <c r="BI23" s="135">
        <v>0.1096</v>
      </c>
      <c r="BJ23" s="135">
        <v>2.7624</v>
      </c>
      <c r="BK23" s="135">
        <v>0.1029</v>
      </c>
      <c r="BL23" s="135">
        <v>2.6595</v>
      </c>
      <c r="BM23" s="135">
        <v>3.5371</v>
      </c>
      <c r="BN23" s="135">
        <v>0.0911</v>
      </c>
      <c r="BO23" s="135">
        <v>1.8406</v>
      </c>
      <c r="BP23" s="135">
        <v>0.0214</v>
      </c>
      <c r="BQ23" s="135">
        <v>1.8192</v>
      </c>
      <c r="BR23" s="135">
        <v>1.6438</v>
      </c>
      <c r="BS23" s="135">
        <v>1.7901</v>
      </c>
      <c r="BT23" s="135">
        <v>0.0214</v>
      </c>
      <c r="BU23" s="135">
        <v>1.7686</v>
      </c>
      <c r="BV23" s="135">
        <v>1.6476</v>
      </c>
      <c r="BW23" s="135">
        <v>0.9731</v>
      </c>
      <c r="BX23" s="135">
        <v>0.0229</v>
      </c>
      <c r="BY23" s="135">
        <v>0.9502</v>
      </c>
      <c r="BZ23" s="135">
        <v>0.965</v>
      </c>
      <c r="CA23" s="135">
        <v>0.4482</v>
      </c>
      <c r="CB23" s="135">
        <v>0.0276</v>
      </c>
      <c r="CC23" s="135">
        <v>0.4205</v>
      </c>
      <c r="CD23" s="135">
        <v>0.593</v>
      </c>
      <c r="CE23" s="135">
        <v>1.0863</v>
      </c>
      <c r="CF23" s="135">
        <v>0.0441</v>
      </c>
      <c r="CG23" s="135">
        <v>1.0422</v>
      </c>
      <c r="CH23" s="135">
        <v>1.4758</v>
      </c>
      <c r="CI23" s="135">
        <v>1.228</v>
      </c>
      <c r="CJ23" s="135">
        <v>0.0312</v>
      </c>
      <c r="CK23" s="135">
        <v>1.1968</v>
      </c>
      <c r="CL23" s="135">
        <v>1.4682</v>
      </c>
      <c r="CM23" s="135">
        <v>411.74</v>
      </c>
      <c r="CN23" s="135">
        <v>97.57</v>
      </c>
      <c r="CO23" s="135">
        <v>422.0</v>
      </c>
      <c r="CP23" s="135">
        <v>376.37</v>
      </c>
      <c r="CQ23" s="135">
        <v>0.29</v>
      </c>
      <c r="CR23" s="135">
        <v>8.91</v>
      </c>
      <c r="CS23" s="135">
        <v>26.17</v>
      </c>
      <c r="CT23" s="135">
        <v>0.0</v>
      </c>
      <c r="CU23" s="135">
        <v>1643.0</v>
      </c>
      <c r="CV23" s="135">
        <v>0.01</v>
      </c>
      <c r="CW23" s="135">
        <v>159.34</v>
      </c>
      <c r="CX23" s="135">
        <v>0.01</v>
      </c>
      <c r="CY23" s="135">
        <v>0.29</v>
      </c>
      <c r="CZ23" s="135">
        <v>183.5</v>
      </c>
      <c r="DA23" s="135">
        <v>1.78</v>
      </c>
      <c r="DB23" s="135">
        <v>181.73</v>
      </c>
      <c r="DC23" s="135">
        <v>166.43</v>
      </c>
      <c r="DD23" s="135">
        <v>0.75</v>
      </c>
      <c r="DE23" s="135">
        <v>165.69</v>
      </c>
      <c r="DF23" s="135">
        <v>7.82</v>
      </c>
      <c r="DG23" s="135">
        <v>0.34</v>
      </c>
      <c r="DH23" s="135">
        <v>7.48</v>
      </c>
      <c r="DI23" s="135">
        <v>6.81</v>
      </c>
      <c r="DJ23" s="135">
        <v>0.34</v>
      </c>
      <c r="DK23" s="135">
        <v>6.46</v>
      </c>
      <c r="DL23" s="135">
        <v>2.44</v>
      </c>
      <c r="DM23" s="135">
        <v>0.34</v>
      </c>
      <c r="DN23" s="135">
        <v>2.1</v>
      </c>
    </row>
    <row r="24">
      <c r="A24" s="209">
        <v>46256.0</v>
      </c>
      <c r="B24" s="210" t="s">
        <v>5</v>
      </c>
      <c r="C24" s="210" t="s">
        <v>145</v>
      </c>
      <c r="D24" s="210">
        <v>2198.0</v>
      </c>
      <c r="E24" s="210">
        <v>9.67</v>
      </c>
      <c r="F24" s="210">
        <v>915.52</v>
      </c>
      <c r="G24" s="210">
        <v>0.4165</v>
      </c>
      <c r="H24" s="210">
        <v>5.6</v>
      </c>
      <c r="I24" s="210">
        <v>7.4433</v>
      </c>
      <c r="J24" s="210">
        <v>122.0</v>
      </c>
      <c r="K24" s="210">
        <v>73.79</v>
      </c>
      <c r="L24" s="210">
        <v>52.58</v>
      </c>
      <c r="M24" s="210">
        <v>0.7126</v>
      </c>
      <c r="N24" s="210">
        <v>0.428</v>
      </c>
      <c r="O24" s="210">
        <v>0.2697</v>
      </c>
      <c r="P24" s="210">
        <v>1.4032</v>
      </c>
      <c r="Q24" s="210">
        <v>313.6</v>
      </c>
      <c r="R24" s="210">
        <v>273.15</v>
      </c>
      <c r="S24" s="210">
        <v>40.45</v>
      </c>
      <c r="T24" s="210">
        <v>38.01</v>
      </c>
      <c r="U24" s="210">
        <v>275.59</v>
      </c>
      <c r="V24" s="210">
        <v>342.9</v>
      </c>
      <c r="W24" s="210">
        <v>4.6472</v>
      </c>
      <c r="X24" s="210">
        <v>12.12</v>
      </c>
      <c r="Y24" s="210">
        <v>286.0</v>
      </c>
      <c r="Z24" s="210">
        <v>620.0</v>
      </c>
      <c r="AA24" s="210">
        <v>1686.0</v>
      </c>
      <c r="AB24" s="210">
        <v>55.628</v>
      </c>
      <c r="AC24" s="210">
        <v>0.7846</v>
      </c>
      <c r="AD24" s="210">
        <v>28.94</v>
      </c>
      <c r="AE24" s="210">
        <v>11.0</v>
      </c>
      <c r="AF24" s="210">
        <v>20.0</v>
      </c>
      <c r="AG24" s="210">
        <v>39.0</v>
      </c>
      <c r="AH24" s="210">
        <v>62.0</v>
      </c>
      <c r="AI24" s="210">
        <v>37.4</v>
      </c>
      <c r="AJ24" s="210">
        <v>11.46</v>
      </c>
      <c r="AK24" s="210">
        <v>2.82</v>
      </c>
      <c r="AL24" s="210">
        <v>0.1606</v>
      </c>
      <c r="AM24" s="210">
        <v>44.49</v>
      </c>
      <c r="AN24" s="135">
        <v>44.49</v>
      </c>
      <c r="AO24" s="135">
        <v>24.61</v>
      </c>
      <c r="AP24" s="135">
        <v>14.56</v>
      </c>
      <c r="AQ24" s="135">
        <v>10.737</v>
      </c>
      <c r="AR24" s="135">
        <v>0.611</v>
      </c>
      <c r="AS24" s="135">
        <v>10.126</v>
      </c>
      <c r="AT24" s="135">
        <v>12.8435</v>
      </c>
      <c r="AU24" s="135">
        <v>0.1741</v>
      </c>
      <c r="AV24" s="135">
        <v>2198.0</v>
      </c>
      <c r="AW24" s="135">
        <v>0.0</v>
      </c>
      <c r="AX24" s="135">
        <v>103.16</v>
      </c>
      <c r="AY24" s="135">
        <v>162.52</v>
      </c>
      <c r="AZ24" s="135">
        <v>4.27</v>
      </c>
      <c r="BA24" s="135">
        <v>38.01</v>
      </c>
      <c r="BB24" s="135">
        <v>5.64</v>
      </c>
      <c r="BC24" s="135">
        <v>127.0</v>
      </c>
      <c r="BD24" s="135">
        <v>14882.0</v>
      </c>
      <c r="BE24" s="135">
        <v>6.1711</v>
      </c>
      <c r="BF24" s="135">
        <v>0.3344</v>
      </c>
      <c r="BG24" s="135">
        <v>5.8367</v>
      </c>
      <c r="BH24" s="135">
        <v>6.7348</v>
      </c>
      <c r="BI24" s="135">
        <v>0.0913</v>
      </c>
      <c r="BJ24" s="135">
        <v>4.566</v>
      </c>
      <c r="BK24" s="135">
        <v>0.2766</v>
      </c>
      <c r="BL24" s="135">
        <v>4.2894</v>
      </c>
      <c r="BM24" s="135">
        <v>6.1087</v>
      </c>
      <c r="BN24" s="135">
        <v>0.0828</v>
      </c>
      <c r="BO24" s="135">
        <v>2.2175</v>
      </c>
      <c r="BP24" s="135">
        <v>0.0851</v>
      </c>
      <c r="BQ24" s="135">
        <v>2.1324</v>
      </c>
      <c r="BR24" s="135">
        <v>2.4372</v>
      </c>
      <c r="BS24" s="135">
        <v>2.2525</v>
      </c>
      <c r="BT24" s="135">
        <v>0.0933</v>
      </c>
      <c r="BU24" s="135">
        <v>2.1592</v>
      </c>
      <c r="BV24" s="135">
        <v>2.5578</v>
      </c>
      <c r="BW24" s="135">
        <v>1.7011</v>
      </c>
      <c r="BX24" s="135">
        <v>0.1561</v>
      </c>
      <c r="BY24" s="135">
        <v>1.545</v>
      </c>
      <c r="BZ24" s="135">
        <v>1.7398</v>
      </c>
      <c r="CA24" s="135">
        <v>0.914</v>
      </c>
      <c r="CB24" s="135">
        <v>0.0719</v>
      </c>
      <c r="CC24" s="135">
        <v>0.8421</v>
      </c>
      <c r="CD24" s="135">
        <v>1.1392</v>
      </c>
      <c r="CE24" s="135">
        <v>1.5992</v>
      </c>
      <c r="CF24" s="135">
        <v>0.1146</v>
      </c>
      <c r="CG24" s="135">
        <v>1.4845</v>
      </c>
      <c r="CH24" s="135">
        <v>1.9845</v>
      </c>
      <c r="CI24" s="135">
        <v>2.0528</v>
      </c>
      <c r="CJ24" s="135">
        <v>0.0901</v>
      </c>
      <c r="CK24" s="135">
        <v>1.9627</v>
      </c>
      <c r="CL24" s="135">
        <v>2.985</v>
      </c>
      <c r="CM24" s="135">
        <v>723.13</v>
      </c>
      <c r="CN24" s="135">
        <v>98.77</v>
      </c>
      <c r="CO24" s="135">
        <v>732.12</v>
      </c>
      <c r="CP24" s="135">
        <v>677.7</v>
      </c>
      <c r="CQ24" s="135">
        <v>0.2</v>
      </c>
      <c r="CR24" s="135">
        <v>9.25</v>
      </c>
      <c r="CS24" s="135">
        <v>35.97</v>
      </c>
      <c r="CT24" s="135">
        <v>0.0</v>
      </c>
      <c r="CU24" s="135">
        <v>1394.0</v>
      </c>
      <c r="CV24" s="135">
        <v>0.0</v>
      </c>
      <c r="CW24" s="135">
        <v>313.6</v>
      </c>
      <c r="CX24" s="135">
        <v>0.0</v>
      </c>
      <c r="CY24" s="135">
        <v>0.2</v>
      </c>
      <c r="CZ24" s="135">
        <v>308.16</v>
      </c>
      <c r="DA24" s="135">
        <v>3.13</v>
      </c>
      <c r="DB24" s="135">
        <v>305.04</v>
      </c>
      <c r="DC24" s="135">
        <v>281.29</v>
      </c>
      <c r="DD24" s="135">
        <v>1.57</v>
      </c>
      <c r="DE24" s="135">
        <v>279.72</v>
      </c>
      <c r="DF24" s="135">
        <v>13.38</v>
      </c>
      <c r="DG24" s="135">
        <v>0.52</v>
      </c>
      <c r="DH24" s="135">
        <v>12.87</v>
      </c>
      <c r="DI24" s="135">
        <v>8.03</v>
      </c>
      <c r="DJ24" s="135">
        <v>0.52</v>
      </c>
      <c r="DK24" s="135">
        <v>7.51</v>
      </c>
      <c r="DL24" s="135">
        <v>5.45</v>
      </c>
      <c r="DM24" s="135">
        <v>0.52</v>
      </c>
      <c r="DN24" s="135">
        <v>4.93</v>
      </c>
    </row>
    <row r="25">
      <c r="A25" s="209">
        <v>46256.0</v>
      </c>
      <c r="B25" s="210" t="s">
        <v>5</v>
      </c>
      <c r="C25" s="210" t="s">
        <v>146</v>
      </c>
      <c r="D25" s="210">
        <v>268.0</v>
      </c>
      <c r="E25" s="210">
        <v>1.18</v>
      </c>
      <c r="F25" s="210">
        <v>163.38</v>
      </c>
      <c r="G25" s="210">
        <v>0.6096</v>
      </c>
      <c r="H25" s="210">
        <v>7.84</v>
      </c>
      <c r="I25" s="210">
        <v>7.78</v>
      </c>
      <c r="J25" s="210">
        <v>238.91</v>
      </c>
      <c r="K25" s="210">
        <v>156.63</v>
      </c>
      <c r="L25" s="210">
        <v>117.04</v>
      </c>
      <c r="M25" s="210">
        <v>0.7472</v>
      </c>
      <c r="N25" s="210">
        <v>0.38</v>
      </c>
      <c r="O25" s="210">
        <v>0.2355</v>
      </c>
      <c r="P25" s="210">
        <v>1.3383</v>
      </c>
      <c r="Q25" s="210">
        <v>560.01</v>
      </c>
      <c r="R25" s="210">
        <v>469.64</v>
      </c>
      <c r="S25" s="210">
        <v>90.37</v>
      </c>
      <c r="T25" s="210">
        <v>72.95</v>
      </c>
      <c r="U25" s="210">
        <v>487.06</v>
      </c>
      <c r="V25" s="210">
        <v>591.98</v>
      </c>
      <c r="W25" s="210">
        <v>3.7795</v>
      </c>
      <c r="X25" s="210">
        <v>13.03</v>
      </c>
      <c r="Y25" s="210">
        <v>307.0</v>
      </c>
      <c r="Z25" s="210">
        <v>755.0</v>
      </c>
      <c r="AA25" s="210">
        <v>1568.0</v>
      </c>
      <c r="AB25" s="210">
        <v>58.1809</v>
      </c>
      <c r="AC25" s="210">
        <v>0.795</v>
      </c>
      <c r="AD25" s="210">
        <v>54.13</v>
      </c>
      <c r="AE25" s="210">
        <v>22.0</v>
      </c>
      <c r="AF25" s="210">
        <v>37.0</v>
      </c>
      <c r="AG25" s="210">
        <v>70.0</v>
      </c>
      <c r="AH25" s="210">
        <v>123.0</v>
      </c>
      <c r="AI25" s="210">
        <v>22.01</v>
      </c>
      <c r="AJ25" s="210">
        <v>3.73</v>
      </c>
      <c r="AK25" s="210">
        <v>0.0</v>
      </c>
      <c r="AL25" s="210">
        <v>0.0746</v>
      </c>
      <c r="AM25" s="210">
        <v>37.69</v>
      </c>
      <c r="AN25" s="135">
        <v>37.69</v>
      </c>
      <c r="AO25" s="135">
        <v>21.64</v>
      </c>
      <c r="AP25" s="135">
        <v>14.93</v>
      </c>
      <c r="AQ25" s="135">
        <v>16.7351</v>
      </c>
      <c r="AR25" s="135">
        <v>1.0672</v>
      </c>
      <c r="AS25" s="135">
        <v>15.6679</v>
      </c>
      <c r="AT25" s="135">
        <v>22.5</v>
      </c>
      <c r="AU25" s="135">
        <v>0.1437</v>
      </c>
      <c r="AV25" s="135">
        <v>268.0</v>
      </c>
      <c r="AW25" s="135">
        <v>0.0</v>
      </c>
      <c r="AX25" s="135">
        <v>197.54</v>
      </c>
      <c r="AY25" s="135">
        <v>270.52</v>
      </c>
      <c r="AZ25" s="135">
        <v>8.13</v>
      </c>
      <c r="BA25" s="135">
        <v>72.95</v>
      </c>
      <c r="BB25" s="135">
        <v>10.87</v>
      </c>
      <c r="BC25" s="135">
        <v>209.0</v>
      </c>
      <c r="BD25" s="135">
        <v>10626.0</v>
      </c>
      <c r="BE25" s="135">
        <v>8.3843</v>
      </c>
      <c r="BF25" s="135">
        <v>0.4925</v>
      </c>
      <c r="BG25" s="135">
        <v>7.8918</v>
      </c>
      <c r="BH25" s="135">
        <v>10.7388</v>
      </c>
      <c r="BI25" s="135">
        <v>0.0686</v>
      </c>
      <c r="BJ25" s="135">
        <v>8.3507</v>
      </c>
      <c r="BK25" s="135">
        <v>0.5746</v>
      </c>
      <c r="BL25" s="135">
        <v>7.7761</v>
      </c>
      <c r="BM25" s="135">
        <v>11.7612</v>
      </c>
      <c r="BN25" s="135">
        <v>0.0751</v>
      </c>
      <c r="BO25" s="135">
        <v>2.8619</v>
      </c>
      <c r="BP25" s="135">
        <v>0.1866</v>
      </c>
      <c r="BQ25" s="135">
        <v>2.6754</v>
      </c>
      <c r="BR25" s="135">
        <v>3.7761</v>
      </c>
      <c r="BS25" s="135">
        <v>2.7351</v>
      </c>
      <c r="BT25" s="135">
        <v>0.1418</v>
      </c>
      <c r="BU25" s="135">
        <v>2.5933</v>
      </c>
      <c r="BV25" s="135">
        <v>3.7388</v>
      </c>
      <c r="BW25" s="135">
        <v>2.7873</v>
      </c>
      <c r="BX25" s="135">
        <v>0.1642</v>
      </c>
      <c r="BY25" s="135">
        <v>2.6231</v>
      </c>
      <c r="BZ25" s="135">
        <v>3.2239</v>
      </c>
      <c r="CA25" s="135">
        <v>2.3209</v>
      </c>
      <c r="CB25" s="135">
        <v>0.1567</v>
      </c>
      <c r="CC25" s="135">
        <v>2.1642</v>
      </c>
      <c r="CD25" s="135">
        <v>4.5896</v>
      </c>
      <c r="CE25" s="135">
        <v>2.5</v>
      </c>
      <c r="CF25" s="135">
        <v>0.2313</v>
      </c>
      <c r="CG25" s="135">
        <v>2.2687</v>
      </c>
      <c r="CH25" s="135">
        <v>3.1157</v>
      </c>
      <c r="CI25" s="135">
        <v>3.5299</v>
      </c>
      <c r="CJ25" s="135">
        <v>0.1866</v>
      </c>
      <c r="CK25" s="135">
        <v>3.3433</v>
      </c>
      <c r="CL25" s="135">
        <v>4.056</v>
      </c>
      <c r="CM25" s="135">
        <v>1324.04</v>
      </c>
      <c r="CN25" s="135">
        <v>100.0</v>
      </c>
      <c r="CO25" s="135">
        <v>1324.04</v>
      </c>
      <c r="CP25" s="135">
        <v>1270.65</v>
      </c>
      <c r="CQ25" s="135">
        <v>0.0</v>
      </c>
      <c r="CR25" s="135">
        <v>9.1</v>
      </c>
      <c r="CS25" s="135">
        <v>44.29</v>
      </c>
      <c r="CT25" s="135">
        <v>0.0</v>
      </c>
      <c r="CU25" s="135">
        <v>226.0</v>
      </c>
      <c r="CV25" s="135">
        <v>0.0</v>
      </c>
      <c r="CW25" s="135">
        <v>560.01</v>
      </c>
      <c r="CX25" s="135">
        <v>0.0</v>
      </c>
      <c r="CY25" s="135">
        <v>0.0</v>
      </c>
      <c r="CZ25" s="135">
        <v>556.57</v>
      </c>
      <c r="DA25" s="135">
        <v>3.02</v>
      </c>
      <c r="DB25" s="135">
        <v>553.54</v>
      </c>
      <c r="DC25" s="135">
        <v>516.42</v>
      </c>
      <c r="DD25" s="135">
        <v>1.68</v>
      </c>
      <c r="DE25" s="135">
        <v>514.74</v>
      </c>
      <c r="DF25" s="135">
        <v>14.18</v>
      </c>
      <c r="DG25" s="135">
        <v>0.45</v>
      </c>
      <c r="DH25" s="135">
        <v>13.73</v>
      </c>
      <c r="DI25" s="135">
        <v>13.47</v>
      </c>
      <c r="DJ25" s="135">
        <v>0.45</v>
      </c>
      <c r="DK25" s="135">
        <v>13.02</v>
      </c>
      <c r="DL25" s="135">
        <v>12.5</v>
      </c>
      <c r="DM25" s="135">
        <v>0.45</v>
      </c>
      <c r="DN25" s="135">
        <v>12.05</v>
      </c>
    </row>
    <row r="26">
      <c r="A26" s="209">
        <v>46257.0</v>
      </c>
      <c r="B26" s="210" t="s">
        <v>4</v>
      </c>
      <c r="C26" s="210" t="s">
        <v>398</v>
      </c>
      <c r="D26" s="210">
        <v>4809.0</v>
      </c>
      <c r="E26" s="210">
        <v>21.14</v>
      </c>
      <c r="F26" s="210">
        <v>520.15</v>
      </c>
      <c r="G26" s="210">
        <v>0.1082</v>
      </c>
      <c r="H26" s="210">
        <v>1.87</v>
      </c>
      <c r="I26" s="210">
        <v>5.7794</v>
      </c>
      <c r="J26" s="210">
        <v>26.21</v>
      </c>
      <c r="K26" s="210">
        <v>14.59</v>
      </c>
      <c r="L26" s="210">
        <v>9.57</v>
      </c>
      <c r="M26" s="210">
        <v>0.6558</v>
      </c>
      <c r="N26" s="210">
        <v>0.459</v>
      </c>
      <c r="O26" s="210">
        <v>0.2141</v>
      </c>
      <c r="P26" s="210">
        <v>1.5248</v>
      </c>
      <c r="Q26" s="210">
        <v>53.58</v>
      </c>
      <c r="R26" s="210">
        <v>53.48</v>
      </c>
      <c r="S26" s="210">
        <v>0.1</v>
      </c>
      <c r="T26" s="210">
        <v>9.25</v>
      </c>
      <c r="U26" s="210">
        <v>44.33</v>
      </c>
      <c r="V26" s="210">
        <v>51.37</v>
      </c>
      <c r="W26" s="210">
        <v>3.52</v>
      </c>
      <c r="X26" s="210">
        <v>17.27</v>
      </c>
      <c r="Y26" s="210">
        <v>189.0</v>
      </c>
      <c r="Z26" s="210">
        <v>676.0</v>
      </c>
      <c r="AA26" s="210">
        <v>4341.0</v>
      </c>
      <c r="AB26" s="210">
        <v>50.0102</v>
      </c>
      <c r="AC26" s="210">
        <v>0.467</v>
      </c>
      <c r="AD26" s="211"/>
      <c r="AE26" s="211"/>
      <c r="AF26" s="211"/>
      <c r="AG26" s="211"/>
      <c r="AH26" s="211"/>
      <c r="AI26" s="210">
        <v>0.0</v>
      </c>
      <c r="AJ26" s="210">
        <v>0.0</v>
      </c>
      <c r="AK26" s="210">
        <v>0.0</v>
      </c>
      <c r="AL26" s="210">
        <v>0.4331</v>
      </c>
      <c r="AM26" s="211"/>
      <c r="AQ26" s="135">
        <v>1.9137</v>
      </c>
      <c r="AR26" s="135">
        <v>0.0925</v>
      </c>
      <c r="AS26" s="135">
        <v>1.8212</v>
      </c>
      <c r="AT26" s="135">
        <v>1.8243</v>
      </c>
      <c r="AU26" s="135">
        <v>0.125</v>
      </c>
      <c r="AV26" s="135">
        <v>4809.0</v>
      </c>
      <c r="AW26" s="135">
        <v>0.0</v>
      </c>
      <c r="AX26" s="135">
        <v>14.46</v>
      </c>
      <c r="AY26" s="135">
        <v>26.37</v>
      </c>
      <c r="AZ26" s="135">
        <v>3.28</v>
      </c>
      <c r="BA26" s="135">
        <v>9.25</v>
      </c>
      <c r="BB26" s="135">
        <v>0.21</v>
      </c>
      <c r="BD26" s="135">
        <v>30791.0</v>
      </c>
      <c r="BE26" s="135">
        <v>0.9759</v>
      </c>
      <c r="BF26" s="135">
        <v>0.0368</v>
      </c>
      <c r="BG26" s="135">
        <v>0.9391</v>
      </c>
      <c r="BH26" s="135">
        <v>0.9553</v>
      </c>
      <c r="BI26" s="135">
        <v>0.0655</v>
      </c>
      <c r="BJ26" s="135">
        <v>0.9378</v>
      </c>
      <c r="BK26" s="135">
        <v>0.0557</v>
      </c>
      <c r="BL26" s="135">
        <v>0.8821</v>
      </c>
      <c r="BM26" s="135">
        <v>0.869</v>
      </c>
      <c r="BN26" s="135">
        <v>0.0595</v>
      </c>
      <c r="BO26" s="135">
        <v>0.3577</v>
      </c>
      <c r="BP26" s="135">
        <v>0.0146</v>
      </c>
      <c r="BQ26" s="135">
        <v>0.3431</v>
      </c>
      <c r="BR26" s="135">
        <v>0.3689</v>
      </c>
      <c r="BS26" s="135">
        <v>0.3728</v>
      </c>
      <c r="BT26" s="135">
        <v>0.0114</v>
      </c>
      <c r="BU26" s="135">
        <v>0.3614</v>
      </c>
      <c r="BV26" s="135">
        <v>0.3487</v>
      </c>
      <c r="BW26" s="135">
        <v>0.2454</v>
      </c>
      <c r="BX26" s="135">
        <v>0.0108</v>
      </c>
      <c r="BY26" s="135">
        <v>0.2346</v>
      </c>
      <c r="BZ26" s="135">
        <v>0.2377</v>
      </c>
      <c r="CA26" s="135">
        <v>0.156</v>
      </c>
      <c r="CB26" s="135">
        <v>0.0143</v>
      </c>
      <c r="CC26" s="135">
        <v>0.1416</v>
      </c>
      <c r="CD26" s="135">
        <v>0.1844</v>
      </c>
      <c r="CE26" s="135">
        <v>0.4679</v>
      </c>
      <c r="CF26" s="135">
        <v>0.0216</v>
      </c>
      <c r="CG26" s="135">
        <v>0.4462</v>
      </c>
      <c r="CH26" s="135">
        <v>0.376</v>
      </c>
      <c r="CI26" s="135">
        <v>0.314</v>
      </c>
      <c r="CJ26" s="135">
        <v>0.0198</v>
      </c>
      <c r="CK26" s="135">
        <v>0.2942</v>
      </c>
      <c r="CL26" s="135">
        <v>0.3086</v>
      </c>
      <c r="CM26" s="135">
        <v>136.77</v>
      </c>
      <c r="CN26" s="135">
        <v>24.33</v>
      </c>
      <c r="CO26" s="135">
        <v>562.15</v>
      </c>
      <c r="CP26" s="135">
        <v>131.08</v>
      </c>
      <c r="CQ26" s="135">
        <v>0.0</v>
      </c>
      <c r="CR26" s="135">
        <v>2.83</v>
      </c>
      <c r="CS26" s="135">
        <v>2.86</v>
      </c>
      <c r="CT26" s="135">
        <v>0.0</v>
      </c>
      <c r="CU26" s="135">
        <v>0.0</v>
      </c>
      <c r="CV26" s="135">
        <v>0.0</v>
      </c>
      <c r="CW26" s="135">
        <v>53.58</v>
      </c>
      <c r="CX26" s="135">
        <v>0.0</v>
      </c>
      <c r="CY26" s="135">
        <v>0.0</v>
      </c>
      <c r="CZ26" s="135">
        <v>51.71</v>
      </c>
      <c r="DA26" s="135">
        <v>2.48</v>
      </c>
      <c r="DB26" s="135">
        <v>49.22</v>
      </c>
      <c r="DC26" s="135">
        <v>44.98</v>
      </c>
      <c r="DD26" s="135">
        <v>0.76</v>
      </c>
      <c r="DE26" s="135">
        <v>44.22</v>
      </c>
      <c r="DF26" s="135">
        <v>3.01</v>
      </c>
      <c r="DG26" s="135">
        <v>0.57</v>
      </c>
      <c r="DH26" s="135">
        <v>2.44</v>
      </c>
      <c r="DI26" s="135">
        <v>2.56</v>
      </c>
      <c r="DJ26" s="135">
        <v>0.57</v>
      </c>
      <c r="DK26" s="135">
        <v>1.98</v>
      </c>
      <c r="DL26" s="135">
        <v>1.16</v>
      </c>
      <c r="DM26" s="135">
        <v>0.57</v>
      </c>
      <c r="DN26" s="135">
        <v>0.59</v>
      </c>
    </row>
    <row r="27">
      <c r="A27" s="209">
        <v>46257.0</v>
      </c>
      <c r="B27" s="210" t="s">
        <v>4</v>
      </c>
      <c r="C27" s="210" t="s">
        <v>142</v>
      </c>
      <c r="D27" s="210">
        <v>6096.0</v>
      </c>
      <c r="E27" s="210">
        <v>26.79</v>
      </c>
      <c r="F27" s="210">
        <v>149.74</v>
      </c>
      <c r="G27" s="210">
        <v>0.0246</v>
      </c>
      <c r="H27" s="210">
        <v>0.87</v>
      </c>
      <c r="I27" s="210">
        <v>2.8253</v>
      </c>
      <c r="J27" s="210">
        <v>23.56</v>
      </c>
      <c r="K27" s="210">
        <v>12.27</v>
      </c>
      <c r="L27" s="210">
        <v>5.4</v>
      </c>
      <c r="M27" s="210">
        <v>0.4401</v>
      </c>
      <c r="N27" s="210">
        <v>0.6675</v>
      </c>
      <c r="O27" s="210">
        <v>0.4134</v>
      </c>
      <c r="P27" s="210">
        <v>2.2721</v>
      </c>
      <c r="Q27" s="210">
        <v>44.74</v>
      </c>
      <c r="R27" s="210">
        <v>39.77</v>
      </c>
      <c r="S27" s="210">
        <v>4.97</v>
      </c>
      <c r="T27" s="210">
        <v>1.81</v>
      </c>
      <c r="U27" s="210">
        <v>42.93</v>
      </c>
      <c r="V27" s="210">
        <v>46.49</v>
      </c>
      <c r="W27" s="210">
        <v>3.7875</v>
      </c>
      <c r="X27" s="210">
        <v>4.05</v>
      </c>
      <c r="Y27" s="210">
        <v>195.0</v>
      </c>
      <c r="Z27" s="210">
        <v>440.0</v>
      </c>
      <c r="AA27" s="210">
        <v>1608.0</v>
      </c>
      <c r="AB27" s="210">
        <v>50.0106</v>
      </c>
      <c r="AC27" s="210">
        <v>0.5934</v>
      </c>
      <c r="AD27" s="210">
        <v>4.06</v>
      </c>
      <c r="AE27" s="210">
        <v>1.0</v>
      </c>
      <c r="AF27" s="210">
        <v>3.0</v>
      </c>
      <c r="AG27" s="210">
        <v>5.0</v>
      </c>
      <c r="AH27" s="210">
        <v>9.0</v>
      </c>
      <c r="AI27" s="210">
        <v>73.85</v>
      </c>
      <c r="AJ27" s="210">
        <v>33.48</v>
      </c>
      <c r="AK27" s="210">
        <v>7.33</v>
      </c>
      <c r="AL27" s="210">
        <v>0.4567</v>
      </c>
      <c r="AM27" s="211"/>
      <c r="AQ27" s="135">
        <v>3.3168</v>
      </c>
      <c r="AR27" s="135">
        <v>0.0394</v>
      </c>
      <c r="AS27" s="135">
        <v>3.2774</v>
      </c>
      <c r="AT27" s="135">
        <v>2.8337</v>
      </c>
      <c r="AU27" s="135">
        <v>0.2309</v>
      </c>
      <c r="AV27" s="135">
        <v>6096.0</v>
      </c>
      <c r="AW27" s="135">
        <v>0.0</v>
      </c>
      <c r="AX27" s="135">
        <v>24.75</v>
      </c>
      <c r="AY27" s="135">
        <v>15.48</v>
      </c>
      <c r="AZ27" s="135">
        <v>2.23</v>
      </c>
      <c r="BA27" s="135">
        <v>1.81</v>
      </c>
      <c r="BB27" s="135">
        <v>0.47</v>
      </c>
      <c r="BC27" s="135">
        <v>17.0</v>
      </c>
      <c r="BD27" s="135">
        <v>20036.0</v>
      </c>
      <c r="BE27" s="135">
        <v>2.2531</v>
      </c>
      <c r="BF27" s="135">
        <v>0.0212</v>
      </c>
      <c r="BG27" s="135">
        <v>2.232</v>
      </c>
      <c r="BH27" s="135">
        <v>1.6827</v>
      </c>
      <c r="BI27" s="135">
        <v>0.1371</v>
      </c>
      <c r="BJ27" s="135">
        <v>1.0636</v>
      </c>
      <c r="BK27" s="135">
        <v>0.0182</v>
      </c>
      <c r="BL27" s="135">
        <v>1.0454</v>
      </c>
      <c r="BM27" s="135">
        <v>1.1509</v>
      </c>
      <c r="BN27" s="135">
        <v>0.0938</v>
      </c>
      <c r="BO27" s="135">
        <v>0.9437</v>
      </c>
      <c r="BP27" s="135">
        <v>0.0074</v>
      </c>
      <c r="BQ27" s="135">
        <v>0.9364</v>
      </c>
      <c r="BR27" s="135">
        <v>0.6681</v>
      </c>
      <c r="BS27" s="135">
        <v>0.9032</v>
      </c>
      <c r="BT27" s="135">
        <v>0.0039</v>
      </c>
      <c r="BU27" s="135">
        <v>0.8993</v>
      </c>
      <c r="BV27" s="135">
        <v>0.6604</v>
      </c>
      <c r="BW27" s="135">
        <v>0.4062</v>
      </c>
      <c r="BX27" s="135">
        <v>0.0098</v>
      </c>
      <c r="BY27" s="135">
        <v>0.3963</v>
      </c>
      <c r="BZ27" s="135">
        <v>0.3542</v>
      </c>
      <c r="CA27" s="135">
        <v>0.1919</v>
      </c>
      <c r="CB27" s="135">
        <v>0.0051</v>
      </c>
      <c r="CC27" s="135">
        <v>0.1868</v>
      </c>
      <c r="CD27" s="135">
        <v>0.2134</v>
      </c>
      <c r="CE27" s="135">
        <v>0.4806</v>
      </c>
      <c r="CF27" s="135">
        <v>0.0056</v>
      </c>
      <c r="CG27" s="135">
        <v>0.4751</v>
      </c>
      <c r="CH27" s="135">
        <v>0.5141</v>
      </c>
      <c r="CI27" s="135">
        <v>0.3911</v>
      </c>
      <c r="CJ27" s="135">
        <v>0.0075</v>
      </c>
      <c r="CK27" s="135">
        <v>0.3835</v>
      </c>
      <c r="CL27" s="135">
        <v>0.4234</v>
      </c>
      <c r="CM27" s="135">
        <v>142.46</v>
      </c>
      <c r="CN27" s="135">
        <v>85.5</v>
      </c>
      <c r="CO27" s="135">
        <v>166.62</v>
      </c>
      <c r="CP27" s="135">
        <v>135.18</v>
      </c>
      <c r="CQ27" s="135">
        <v>0.0</v>
      </c>
      <c r="CR27" s="135">
        <v>5.2</v>
      </c>
      <c r="CS27" s="135">
        <v>2.08</v>
      </c>
      <c r="CT27" s="135">
        <v>0.0</v>
      </c>
      <c r="CU27" s="135">
        <v>0.0</v>
      </c>
      <c r="CV27" s="135">
        <v>0.0</v>
      </c>
      <c r="CW27" s="135">
        <v>44.74</v>
      </c>
      <c r="CX27" s="135">
        <v>0.0</v>
      </c>
      <c r="CY27" s="135">
        <v>0.0</v>
      </c>
      <c r="CZ27" s="135">
        <v>96.1</v>
      </c>
      <c r="DA27" s="135">
        <v>0.6</v>
      </c>
      <c r="DB27" s="135">
        <v>95.5</v>
      </c>
      <c r="DC27" s="135">
        <v>88.43</v>
      </c>
      <c r="DD27" s="135">
        <v>0.16</v>
      </c>
      <c r="DE27" s="135">
        <v>88.27</v>
      </c>
      <c r="DF27" s="135">
        <v>3.94</v>
      </c>
      <c r="DG27" s="135">
        <v>0.14</v>
      </c>
      <c r="DH27" s="135">
        <v>3.8</v>
      </c>
      <c r="DI27" s="135">
        <v>3.14</v>
      </c>
      <c r="DJ27" s="135">
        <v>0.14</v>
      </c>
      <c r="DK27" s="135">
        <v>3.0</v>
      </c>
      <c r="DL27" s="135">
        <v>0.59</v>
      </c>
      <c r="DM27" s="135">
        <v>0.14</v>
      </c>
      <c r="DN27" s="135">
        <v>0.44</v>
      </c>
    </row>
    <row r="28">
      <c r="A28" s="209">
        <v>46257.0</v>
      </c>
      <c r="B28" s="210" t="s">
        <v>4</v>
      </c>
      <c r="C28" s="210" t="s">
        <v>143</v>
      </c>
      <c r="D28" s="210">
        <v>4999.0</v>
      </c>
      <c r="E28" s="210">
        <v>21.97</v>
      </c>
      <c r="F28" s="210">
        <v>410.09</v>
      </c>
      <c r="G28" s="210">
        <v>0.082</v>
      </c>
      <c r="H28" s="210">
        <v>2.26</v>
      </c>
      <c r="I28" s="210">
        <v>3.6291</v>
      </c>
      <c r="J28" s="210">
        <v>46.72</v>
      </c>
      <c r="K28" s="210">
        <v>25.31</v>
      </c>
      <c r="L28" s="210">
        <v>13.72</v>
      </c>
      <c r="M28" s="210">
        <v>0.5421</v>
      </c>
      <c r="N28" s="210">
        <v>0.5837</v>
      </c>
      <c r="O28" s="210">
        <v>0.357</v>
      </c>
      <c r="P28" s="210">
        <v>1.8446</v>
      </c>
      <c r="Q28" s="210">
        <v>85.36</v>
      </c>
      <c r="R28" s="210">
        <v>73.26</v>
      </c>
      <c r="S28" s="210">
        <v>12.11</v>
      </c>
      <c r="T28" s="210">
        <v>7.18</v>
      </c>
      <c r="U28" s="210">
        <v>78.18</v>
      </c>
      <c r="V28" s="210">
        <v>101.66</v>
      </c>
      <c r="W28" s="210">
        <v>4.0166</v>
      </c>
      <c r="X28" s="210">
        <v>8.41</v>
      </c>
      <c r="Y28" s="210">
        <v>194.0</v>
      </c>
      <c r="Z28" s="210">
        <v>482.0</v>
      </c>
      <c r="AA28" s="210">
        <v>1498.0</v>
      </c>
      <c r="AB28" s="210">
        <v>51.9838</v>
      </c>
      <c r="AC28" s="210">
        <v>0.6787</v>
      </c>
      <c r="AD28" s="210">
        <v>9.31</v>
      </c>
      <c r="AE28" s="210">
        <v>4.0</v>
      </c>
      <c r="AF28" s="210">
        <v>8.0</v>
      </c>
      <c r="AG28" s="210">
        <v>12.0</v>
      </c>
      <c r="AH28" s="210">
        <v>19.0</v>
      </c>
      <c r="AI28" s="210">
        <v>64.19</v>
      </c>
      <c r="AJ28" s="210">
        <v>24.64</v>
      </c>
      <c r="AK28" s="210">
        <v>3.68</v>
      </c>
      <c r="AL28" s="210">
        <v>0.3301</v>
      </c>
      <c r="AM28" s="211"/>
      <c r="AQ28" s="135">
        <v>6.1942</v>
      </c>
      <c r="AR28" s="135">
        <v>0.1808</v>
      </c>
      <c r="AS28" s="135">
        <v>6.0134</v>
      </c>
      <c r="AT28" s="135">
        <v>5.9218</v>
      </c>
      <c r="AU28" s="135">
        <v>0.234</v>
      </c>
      <c r="AV28" s="135">
        <v>4999.0</v>
      </c>
      <c r="AW28" s="135">
        <v>0.0</v>
      </c>
      <c r="AX28" s="135">
        <v>40.93</v>
      </c>
      <c r="AY28" s="135">
        <v>32.77</v>
      </c>
      <c r="AZ28" s="135">
        <v>2.98</v>
      </c>
      <c r="BA28" s="135">
        <v>7.18</v>
      </c>
      <c r="BB28" s="135">
        <v>1.51</v>
      </c>
      <c r="BC28" s="135">
        <v>35.0</v>
      </c>
      <c r="BD28" s="135">
        <v>19934.0</v>
      </c>
      <c r="BE28" s="135">
        <v>3.94</v>
      </c>
      <c r="BF28" s="135">
        <v>0.1128</v>
      </c>
      <c r="BG28" s="135">
        <v>3.8272</v>
      </c>
      <c r="BH28" s="135">
        <v>3.4281</v>
      </c>
      <c r="BI28" s="135">
        <v>0.1354</v>
      </c>
      <c r="BJ28" s="135">
        <v>2.2543</v>
      </c>
      <c r="BK28" s="135">
        <v>0.068</v>
      </c>
      <c r="BL28" s="135">
        <v>2.1862</v>
      </c>
      <c r="BM28" s="135">
        <v>2.4937</v>
      </c>
      <c r="BN28" s="135">
        <v>0.0985</v>
      </c>
      <c r="BO28" s="135">
        <v>1.6515</v>
      </c>
      <c r="BP28" s="135">
        <v>0.0358</v>
      </c>
      <c r="BQ28" s="135">
        <v>1.6157</v>
      </c>
      <c r="BR28" s="135">
        <v>1.3713</v>
      </c>
      <c r="BS28" s="135">
        <v>1.4383</v>
      </c>
      <c r="BT28" s="135">
        <v>0.034</v>
      </c>
      <c r="BU28" s="135">
        <v>1.4043</v>
      </c>
      <c r="BV28" s="135">
        <v>1.2959</v>
      </c>
      <c r="BW28" s="135">
        <v>0.8502</v>
      </c>
      <c r="BX28" s="135">
        <v>0.043</v>
      </c>
      <c r="BY28" s="135">
        <v>0.8072</v>
      </c>
      <c r="BZ28" s="135">
        <v>0.761</v>
      </c>
      <c r="CA28" s="135">
        <v>0.4397</v>
      </c>
      <c r="CB28" s="135">
        <v>0.0182</v>
      </c>
      <c r="CC28" s="135">
        <v>0.4215</v>
      </c>
      <c r="CD28" s="135">
        <v>0.4961</v>
      </c>
      <c r="CE28" s="135">
        <v>0.8726</v>
      </c>
      <c r="CF28" s="135">
        <v>0.0246</v>
      </c>
      <c r="CG28" s="135">
        <v>0.848</v>
      </c>
      <c r="CH28" s="135">
        <v>0.9762</v>
      </c>
      <c r="CI28" s="135">
        <v>0.942</v>
      </c>
      <c r="CJ28" s="135">
        <v>0.0252</v>
      </c>
      <c r="CK28" s="135">
        <v>0.9168</v>
      </c>
      <c r="CL28" s="135">
        <v>1.0214</v>
      </c>
      <c r="CM28" s="135">
        <v>246.45</v>
      </c>
      <c r="CN28" s="135">
        <v>95.78</v>
      </c>
      <c r="CO28" s="135">
        <v>257.31</v>
      </c>
      <c r="CP28" s="135">
        <v>232.68</v>
      </c>
      <c r="CQ28" s="135">
        <v>0.0</v>
      </c>
      <c r="CR28" s="135">
        <v>5.71</v>
      </c>
      <c r="CS28" s="135">
        <v>8.06</v>
      </c>
      <c r="CT28" s="135">
        <v>0.0</v>
      </c>
      <c r="CU28" s="135">
        <v>0.0</v>
      </c>
      <c r="CV28" s="135">
        <v>0.0</v>
      </c>
      <c r="CW28" s="135">
        <v>85.36</v>
      </c>
      <c r="CX28" s="135">
        <v>0.0</v>
      </c>
      <c r="CY28" s="135">
        <v>0.0</v>
      </c>
      <c r="CZ28" s="135">
        <v>148.1</v>
      </c>
      <c r="DA28" s="135">
        <v>1.75</v>
      </c>
      <c r="DB28" s="135">
        <v>146.35</v>
      </c>
      <c r="DC28" s="135">
        <v>138.77</v>
      </c>
      <c r="DD28" s="135">
        <v>0.73</v>
      </c>
      <c r="DE28" s="135">
        <v>138.03</v>
      </c>
      <c r="DF28" s="135">
        <v>4.48</v>
      </c>
      <c r="DG28" s="135">
        <v>0.34</v>
      </c>
      <c r="DH28" s="135">
        <v>4.14</v>
      </c>
      <c r="DI28" s="135">
        <v>3.67</v>
      </c>
      <c r="DJ28" s="135">
        <v>0.34</v>
      </c>
      <c r="DK28" s="135">
        <v>3.33</v>
      </c>
      <c r="DL28" s="135">
        <v>1.18</v>
      </c>
      <c r="DM28" s="135">
        <v>0.34</v>
      </c>
      <c r="DN28" s="135">
        <v>0.84</v>
      </c>
    </row>
    <row r="29">
      <c r="A29" s="209">
        <v>46257.0</v>
      </c>
      <c r="B29" s="210" t="s">
        <v>4</v>
      </c>
      <c r="C29" s="210" t="s">
        <v>144</v>
      </c>
      <c r="D29" s="210">
        <v>4231.0</v>
      </c>
      <c r="E29" s="210">
        <v>18.6</v>
      </c>
      <c r="F29" s="210">
        <v>718.11</v>
      </c>
      <c r="G29" s="210">
        <v>0.1697</v>
      </c>
      <c r="H29" s="210">
        <v>3.81</v>
      </c>
      <c r="I29" s="210">
        <v>4.4603</v>
      </c>
      <c r="J29" s="210">
        <v>71.52</v>
      </c>
      <c r="K29" s="210">
        <v>40.48</v>
      </c>
      <c r="L29" s="210">
        <v>26.33</v>
      </c>
      <c r="M29" s="210">
        <v>0.6504</v>
      </c>
      <c r="N29" s="210">
        <v>0.4885</v>
      </c>
      <c r="O29" s="210">
        <v>0.3047</v>
      </c>
      <c r="P29" s="210">
        <v>1.5374</v>
      </c>
      <c r="Q29" s="210">
        <v>140.58</v>
      </c>
      <c r="R29" s="210">
        <v>118.46</v>
      </c>
      <c r="S29" s="210">
        <v>22.11</v>
      </c>
      <c r="T29" s="210">
        <v>13.0</v>
      </c>
      <c r="U29" s="210">
        <v>127.58</v>
      </c>
      <c r="V29" s="210">
        <v>158.19</v>
      </c>
      <c r="W29" s="210">
        <v>3.908</v>
      </c>
      <c r="X29" s="210">
        <v>9.25</v>
      </c>
      <c r="Y29" s="210">
        <v>216.0</v>
      </c>
      <c r="Z29" s="210">
        <v>549.0</v>
      </c>
      <c r="AA29" s="210">
        <v>1489.0</v>
      </c>
      <c r="AB29" s="210">
        <v>53.8929</v>
      </c>
      <c r="AC29" s="210">
        <v>0.7459</v>
      </c>
      <c r="AD29" s="210">
        <v>16.31</v>
      </c>
      <c r="AE29" s="210">
        <v>7.0</v>
      </c>
      <c r="AF29" s="210">
        <v>12.0</v>
      </c>
      <c r="AG29" s="210">
        <v>22.0</v>
      </c>
      <c r="AH29" s="210">
        <v>34.0</v>
      </c>
      <c r="AI29" s="210">
        <v>56.37</v>
      </c>
      <c r="AJ29" s="210">
        <v>19.45</v>
      </c>
      <c r="AK29" s="210">
        <v>5.27</v>
      </c>
      <c r="AL29" s="210">
        <v>0.2562</v>
      </c>
      <c r="AM29" s="211"/>
      <c r="AQ29" s="135">
        <v>9.6417</v>
      </c>
      <c r="AR29" s="135">
        <v>0.1541</v>
      </c>
      <c r="AS29" s="135">
        <v>9.4876</v>
      </c>
      <c r="AT29" s="135">
        <v>9.9688</v>
      </c>
      <c r="AU29" s="135">
        <v>0.2463</v>
      </c>
      <c r="AV29" s="135">
        <v>4231.0</v>
      </c>
      <c r="AW29" s="135">
        <v>0.0</v>
      </c>
      <c r="AX29" s="135">
        <v>62.88</v>
      </c>
      <c r="AY29" s="135">
        <v>59.39</v>
      </c>
      <c r="AZ29" s="135">
        <v>2.89</v>
      </c>
      <c r="BA29" s="135">
        <v>13.0</v>
      </c>
      <c r="BB29" s="135">
        <v>2.42</v>
      </c>
      <c r="BC29" s="135">
        <v>66.0</v>
      </c>
      <c r="BD29" s="135">
        <v>18003.0</v>
      </c>
      <c r="BE29" s="135">
        <v>5.9534</v>
      </c>
      <c r="BF29" s="135">
        <v>0.0638</v>
      </c>
      <c r="BG29" s="135">
        <v>5.8896</v>
      </c>
      <c r="BH29" s="135">
        <v>5.5008</v>
      </c>
      <c r="BI29" s="135">
        <v>0.1359</v>
      </c>
      <c r="BJ29" s="135">
        <v>3.6883</v>
      </c>
      <c r="BK29" s="135">
        <v>0.0903</v>
      </c>
      <c r="BL29" s="135">
        <v>3.598</v>
      </c>
      <c r="BM29" s="135">
        <v>4.468</v>
      </c>
      <c r="BN29" s="135">
        <v>0.1104</v>
      </c>
      <c r="BO29" s="135">
        <v>2.2319</v>
      </c>
      <c r="BP29" s="135">
        <v>0.0217</v>
      </c>
      <c r="BQ29" s="135">
        <v>2.2101</v>
      </c>
      <c r="BR29" s="135">
        <v>2.0473</v>
      </c>
      <c r="BS29" s="135">
        <v>2.1435</v>
      </c>
      <c r="BT29" s="135">
        <v>0.0196</v>
      </c>
      <c r="BU29" s="135">
        <v>2.1238</v>
      </c>
      <c r="BV29" s="135">
        <v>2.0267</v>
      </c>
      <c r="BW29" s="135">
        <v>1.5781</v>
      </c>
      <c r="BX29" s="135">
        <v>0.0225</v>
      </c>
      <c r="BY29" s="135">
        <v>1.5557</v>
      </c>
      <c r="BZ29" s="135">
        <v>1.4268</v>
      </c>
      <c r="CA29" s="135">
        <v>0.8464</v>
      </c>
      <c r="CB29" s="135">
        <v>0.0222</v>
      </c>
      <c r="CC29" s="135">
        <v>0.8242</v>
      </c>
      <c r="CD29" s="135">
        <v>1.2042</v>
      </c>
      <c r="CE29" s="135">
        <v>1.3552</v>
      </c>
      <c r="CF29" s="135">
        <v>0.0376</v>
      </c>
      <c r="CG29" s="135">
        <v>1.3177</v>
      </c>
      <c r="CH29" s="135">
        <v>1.5753</v>
      </c>
      <c r="CI29" s="135">
        <v>1.4866</v>
      </c>
      <c r="CJ29" s="135">
        <v>0.0305</v>
      </c>
      <c r="CK29" s="135">
        <v>1.4562</v>
      </c>
      <c r="CL29" s="135">
        <v>1.6885</v>
      </c>
      <c r="CM29" s="135">
        <v>409.88</v>
      </c>
      <c r="CN29" s="135">
        <v>97.92</v>
      </c>
      <c r="CO29" s="135">
        <v>418.59</v>
      </c>
      <c r="CP29" s="135">
        <v>392.04</v>
      </c>
      <c r="CQ29" s="135">
        <v>0.0</v>
      </c>
      <c r="CR29" s="135">
        <v>5.05</v>
      </c>
      <c r="CS29" s="135">
        <v>12.78</v>
      </c>
      <c r="CT29" s="135">
        <v>0.0</v>
      </c>
      <c r="CU29" s="135">
        <v>0.0</v>
      </c>
      <c r="CV29" s="135">
        <v>0.0</v>
      </c>
      <c r="CW29" s="135">
        <v>140.58</v>
      </c>
      <c r="CX29" s="135">
        <v>0.0</v>
      </c>
      <c r="CY29" s="135">
        <v>0.0</v>
      </c>
      <c r="CZ29" s="135">
        <v>203.94</v>
      </c>
      <c r="DA29" s="135">
        <v>2.8</v>
      </c>
      <c r="DB29" s="135">
        <v>201.14</v>
      </c>
      <c r="DC29" s="135">
        <v>190.38</v>
      </c>
      <c r="DD29" s="135">
        <v>0.77</v>
      </c>
      <c r="DE29" s="135">
        <v>189.61</v>
      </c>
      <c r="DF29" s="135">
        <v>7.08</v>
      </c>
      <c r="DG29" s="135">
        <v>0.68</v>
      </c>
      <c r="DH29" s="135">
        <v>6.41</v>
      </c>
      <c r="DI29" s="135">
        <v>4.9</v>
      </c>
      <c r="DJ29" s="135">
        <v>0.68</v>
      </c>
      <c r="DK29" s="135">
        <v>4.23</v>
      </c>
      <c r="DL29" s="135">
        <v>1.57</v>
      </c>
      <c r="DM29" s="135">
        <v>0.68</v>
      </c>
      <c r="DN29" s="135">
        <v>0.89</v>
      </c>
    </row>
    <row r="30">
      <c r="A30" s="209">
        <v>46257.0</v>
      </c>
      <c r="B30" s="210" t="s">
        <v>4</v>
      </c>
      <c r="C30" s="210" t="s">
        <v>145</v>
      </c>
      <c r="D30" s="210">
        <v>2334.0</v>
      </c>
      <c r="E30" s="210">
        <v>10.26</v>
      </c>
      <c r="F30" s="210">
        <v>1081.86</v>
      </c>
      <c r="G30" s="210">
        <v>0.4635</v>
      </c>
      <c r="H30" s="210">
        <v>6.51</v>
      </c>
      <c r="I30" s="210">
        <v>7.1175</v>
      </c>
      <c r="J30" s="210">
        <v>124.37</v>
      </c>
      <c r="K30" s="210">
        <v>74.74</v>
      </c>
      <c r="L30" s="210">
        <v>53.14</v>
      </c>
      <c r="M30" s="210">
        <v>0.711</v>
      </c>
      <c r="N30" s="210">
        <v>0.4292</v>
      </c>
      <c r="O30" s="210">
        <v>0.2679</v>
      </c>
      <c r="P30" s="210">
        <v>1.4065</v>
      </c>
      <c r="Q30" s="210">
        <v>259.54</v>
      </c>
      <c r="R30" s="210">
        <v>217.12</v>
      </c>
      <c r="S30" s="210">
        <v>42.43</v>
      </c>
      <c r="T30" s="210">
        <v>45.05</v>
      </c>
      <c r="U30" s="210">
        <v>214.49</v>
      </c>
      <c r="V30" s="210">
        <v>300.21</v>
      </c>
      <c r="W30" s="210">
        <v>4.017</v>
      </c>
      <c r="X30" s="210">
        <v>17.36</v>
      </c>
      <c r="Y30" s="210">
        <v>248.0</v>
      </c>
      <c r="Z30" s="210">
        <v>684.0</v>
      </c>
      <c r="AA30" s="210">
        <v>2054.0</v>
      </c>
      <c r="AB30" s="210">
        <v>55.924</v>
      </c>
      <c r="AC30" s="210">
        <v>0.787</v>
      </c>
      <c r="AD30" s="210">
        <v>29.37</v>
      </c>
      <c r="AE30" s="210">
        <v>12.0</v>
      </c>
      <c r="AF30" s="210">
        <v>22.0</v>
      </c>
      <c r="AG30" s="210">
        <v>39.0</v>
      </c>
      <c r="AH30" s="210">
        <v>62.0</v>
      </c>
      <c r="AI30" s="210">
        <v>38.77</v>
      </c>
      <c r="AJ30" s="210">
        <v>11.27</v>
      </c>
      <c r="AK30" s="210">
        <v>2.87</v>
      </c>
      <c r="AL30" s="210">
        <v>0.1585</v>
      </c>
      <c r="AM30" s="211"/>
      <c r="AQ30" s="135">
        <v>15.5013</v>
      </c>
      <c r="AR30" s="135">
        <v>0.5227</v>
      </c>
      <c r="AS30" s="135">
        <v>14.9786</v>
      </c>
      <c r="AT30" s="135">
        <v>17.6722</v>
      </c>
      <c r="AU30" s="135">
        <v>0.2365</v>
      </c>
      <c r="AV30" s="135">
        <v>2334.0</v>
      </c>
      <c r="AW30" s="135">
        <v>0.0</v>
      </c>
      <c r="AX30" s="135">
        <v>104.9</v>
      </c>
      <c r="AY30" s="135">
        <v>100.68</v>
      </c>
      <c r="AZ30" s="135">
        <v>4.46</v>
      </c>
      <c r="BA30" s="135">
        <v>45.05</v>
      </c>
      <c r="BB30" s="135">
        <v>4.45</v>
      </c>
      <c r="BC30" s="135">
        <v>124.0</v>
      </c>
      <c r="BD30" s="135">
        <v>16193.0</v>
      </c>
      <c r="BE30" s="135">
        <v>8.8865</v>
      </c>
      <c r="BF30" s="135">
        <v>0.2275</v>
      </c>
      <c r="BG30" s="135">
        <v>8.659</v>
      </c>
      <c r="BH30" s="135">
        <v>9.0788</v>
      </c>
      <c r="BI30" s="135">
        <v>0.1215</v>
      </c>
      <c r="BJ30" s="135">
        <v>6.6148</v>
      </c>
      <c r="BK30" s="135">
        <v>0.2952</v>
      </c>
      <c r="BL30" s="135">
        <v>6.3196</v>
      </c>
      <c r="BM30" s="135">
        <v>8.5934</v>
      </c>
      <c r="BN30" s="135">
        <v>0.115</v>
      </c>
      <c r="BO30" s="135">
        <v>3.078</v>
      </c>
      <c r="BP30" s="135">
        <v>0.0763</v>
      </c>
      <c r="BQ30" s="135">
        <v>3.0017</v>
      </c>
      <c r="BR30" s="135">
        <v>3.1928</v>
      </c>
      <c r="BS30" s="135">
        <v>3.1418</v>
      </c>
      <c r="BT30" s="135">
        <v>0.075</v>
      </c>
      <c r="BU30" s="135">
        <v>3.0668</v>
      </c>
      <c r="BV30" s="135">
        <v>3.3222</v>
      </c>
      <c r="BW30" s="135">
        <v>2.6667</v>
      </c>
      <c r="BX30" s="135">
        <v>0.0763</v>
      </c>
      <c r="BY30" s="135">
        <v>2.5904</v>
      </c>
      <c r="BZ30" s="135">
        <v>2.5638</v>
      </c>
      <c r="CA30" s="135">
        <v>1.8715</v>
      </c>
      <c r="CB30" s="135">
        <v>0.0895</v>
      </c>
      <c r="CC30" s="135">
        <v>1.7819</v>
      </c>
      <c r="CD30" s="135">
        <v>2.8068</v>
      </c>
      <c r="CE30" s="135">
        <v>2.2284</v>
      </c>
      <c r="CF30" s="135">
        <v>0.1118</v>
      </c>
      <c r="CG30" s="135">
        <v>2.1165</v>
      </c>
      <c r="CH30" s="135">
        <v>2.5107</v>
      </c>
      <c r="CI30" s="135">
        <v>2.515</v>
      </c>
      <c r="CJ30" s="135">
        <v>0.0938</v>
      </c>
      <c r="CK30" s="135">
        <v>2.4212</v>
      </c>
      <c r="CL30" s="135">
        <v>3.2759</v>
      </c>
      <c r="CM30" s="135">
        <v>745.3</v>
      </c>
      <c r="CN30" s="135">
        <v>99.06</v>
      </c>
      <c r="CO30" s="135">
        <v>752.39</v>
      </c>
      <c r="CP30" s="135">
        <v>722.81</v>
      </c>
      <c r="CQ30" s="135">
        <v>0.0</v>
      </c>
      <c r="CR30" s="135">
        <v>5.75</v>
      </c>
      <c r="CS30" s="135">
        <v>16.73</v>
      </c>
      <c r="CT30" s="135">
        <v>0.0</v>
      </c>
      <c r="CU30" s="135">
        <v>0.0</v>
      </c>
      <c r="CV30" s="135">
        <v>0.0</v>
      </c>
      <c r="CW30" s="135">
        <v>259.54</v>
      </c>
      <c r="CX30" s="135">
        <v>0.0</v>
      </c>
      <c r="CY30" s="135">
        <v>0.0</v>
      </c>
      <c r="CZ30" s="135">
        <v>318.05</v>
      </c>
      <c r="DA30" s="135">
        <v>7.53</v>
      </c>
      <c r="DB30" s="135">
        <v>310.52</v>
      </c>
      <c r="DC30" s="135">
        <v>297.22</v>
      </c>
      <c r="DD30" s="135">
        <v>2.9</v>
      </c>
      <c r="DE30" s="135">
        <v>294.32</v>
      </c>
      <c r="DF30" s="135">
        <v>9.96</v>
      </c>
      <c r="DG30" s="135">
        <v>1.54</v>
      </c>
      <c r="DH30" s="135">
        <v>8.41</v>
      </c>
      <c r="DI30" s="135">
        <v>8.16</v>
      </c>
      <c r="DJ30" s="135">
        <v>1.54</v>
      </c>
      <c r="DK30" s="135">
        <v>6.62</v>
      </c>
      <c r="DL30" s="135">
        <v>2.71</v>
      </c>
      <c r="DM30" s="135">
        <v>1.54</v>
      </c>
      <c r="DN30" s="135">
        <v>1.17</v>
      </c>
    </row>
    <row r="31">
      <c r="A31" s="209">
        <v>46257.0</v>
      </c>
      <c r="B31" s="210" t="s">
        <v>4</v>
      </c>
      <c r="C31" s="210" t="s">
        <v>146</v>
      </c>
      <c r="D31" s="210">
        <v>283.0</v>
      </c>
      <c r="E31" s="210">
        <v>1.24</v>
      </c>
      <c r="F31" s="210">
        <v>494.85</v>
      </c>
      <c r="G31" s="210">
        <v>1.7486</v>
      </c>
      <c r="H31" s="210">
        <v>9.54</v>
      </c>
      <c r="I31" s="210">
        <v>18.3278</v>
      </c>
      <c r="J31" s="210">
        <v>257.17</v>
      </c>
      <c r="K31" s="210">
        <v>170.19</v>
      </c>
      <c r="L31" s="210">
        <v>129.86</v>
      </c>
      <c r="M31" s="210">
        <v>0.763</v>
      </c>
      <c r="N31" s="210">
        <v>0.3629</v>
      </c>
      <c r="O31" s="210">
        <v>0.228</v>
      </c>
      <c r="P31" s="210">
        <v>1.3106</v>
      </c>
      <c r="Q31" s="210">
        <v>484.65</v>
      </c>
      <c r="R31" s="210">
        <v>381.45</v>
      </c>
      <c r="S31" s="210">
        <v>103.2</v>
      </c>
      <c r="T31" s="210">
        <v>140.99</v>
      </c>
      <c r="U31" s="210">
        <v>343.66</v>
      </c>
      <c r="V31" s="210">
        <v>573.85</v>
      </c>
      <c r="W31" s="210">
        <v>3.3719</v>
      </c>
      <c r="X31" s="210">
        <v>29.09</v>
      </c>
      <c r="Y31" s="210">
        <v>251.0</v>
      </c>
      <c r="Z31" s="210">
        <v>885.0</v>
      </c>
      <c r="AA31" s="210">
        <v>2645.0</v>
      </c>
      <c r="AB31" s="210">
        <v>57.3781</v>
      </c>
      <c r="AC31" s="210">
        <v>0.8188</v>
      </c>
      <c r="AD31" s="210">
        <v>52.59</v>
      </c>
      <c r="AE31" s="210">
        <v>22.0</v>
      </c>
      <c r="AF31" s="210">
        <v>35.0</v>
      </c>
      <c r="AG31" s="210">
        <v>65.0</v>
      </c>
      <c r="AH31" s="210">
        <v>117.0</v>
      </c>
      <c r="AI31" s="210">
        <v>19.79</v>
      </c>
      <c r="AJ31" s="210">
        <v>3.89</v>
      </c>
      <c r="AK31" s="210">
        <v>0.71</v>
      </c>
      <c r="AL31" s="210">
        <v>0.0495</v>
      </c>
      <c r="AM31" s="211"/>
      <c r="AQ31" s="135">
        <v>29.2756</v>
      </c>
      <c r="AR31" s="135">
        <v>2.0777</v>
      </c>
      <c r="AS31" s="135">
        <v>27.1979</v>
      </c>
      <c r="AT31" s="135">
        <v>30.9081</v>
      </c>
      <c r="AU31" s="135">
        <v>0.1816</v>
      </c>
      <c r="AV31" s="135">
        <v>283.0</v>
      </c>
      <c r="AW31" s="135">
        <v>0.0</v>
      </c>
      <c r="AX31" s="135">
        <v>222.72</v>
      </c>
      <c r="AY31" s="135">
        <v>103.96</v>
      </c>
      <c r="AZ31" s="135">
        <v>8.22</v>
      </c>
      <c r="BA31" s="135">
        <v>140.99</v>
      </c>
      <c r="BB31" s="135">
        <v>8.77</v>
      </c>
      <c r="BC31" s="135">
        <v>260.0</v>
      </c>
      <c r="BD31" s="135">
        <v>18910.0</v>
      </c>
      <c r="BE31" s="135">
        <v>16.947</v>
      </c>
      <c r="BF31" s="135">
        <v>1.1025</v>
      </c>
      <c r="BG31" s="135">
        <v>15.8445</v>
      </c>
      <c r="BH31" s="135">
        <v>17.8834</v>
      </c>
      <c r="BI31" s="135">
        <v>0.1051</v>
      </c>
      <c r="BJ31" s="135">
        <v>12.3286</v>
      </c>
      <c r="BK31" s="135">
        <v>0.9753</v>
      </c>
      <c r="BL31" s="135">
        <v>11.3534</v>
      </c>
      <c r="BM31" s="135">
        <v>13.0247</v>
      </c>
      <c r="BN31" s="135">
        <v>0.0765</v>
      </c>
      <c r="BO31" s="135">
        <v>5.8339</v>
      </c>
      <c r="BP31" s="135">
        <v>0.3604</v>
      </c>
      <c r="BQ31" s="135">
        <v>5.4735</v>
      </c>
      <c r="BR31" s="135">
        <v>6.1943</v>
      </c>
      <c r="BS31" s="135">
        <v>5.8693</v>
      </c>
      <c r="BT31" s="135">
        <v>0.371</v>
      </c>
      <c r="BU31" s="135">
        <v>5.4982</v>
      </c>
      <c r="BV31" s="135">
        <v>6.2509</v>
      </c>
      <c r="BW31" s="135">
        <v>5.2438</v>
      </c>
      <c r="BX31" s="135">
        <v>0.371</v>
      </c>
      <c r="BY31" s="135">
        <v>4.8728</v>
      </c>
      <c r="BZ31" s="135">
        <v>5.4382</v>
      </c>
      <c r="CA31" s="135">
        <v>3.8693</v>
      </c>
      <c r="CB31" s="135">
        <v>0.311</v>
      </c>
      <c r="CC31" s="135">
        <v>3.5583</v>
      </c>
      <c r="CD31" s="135">
        <v>4.1661</v>
      </c>
      <c r="CE31" s="135">
        <v>3.7102</v>
      </c>
      <c r="CF31" s="135">
        <v>0.3428</v>
      </c>
      <c r="CG31" s="135">
        <v>3.3675</v>
      </c>
      <c r="CH31" s="135">
        <v>3.9965</v>
      </c>
      <c r="CI31" s="135">
        <v>4.7491</v>
      </c>
      <c r="CJ31" s="135">
        <v>0.3216</v>
      </c>
      <c r="CK31" s="135">
        <v>4.4276</v>
      </c>
      <c r="CL31" s="135">
        <v>4.8622</v>
      </c>
      <c r="CM31" s="135">
        <v>1660.76</v>
      </c>
      <c r="CN31" s="135">
        <v>100.0</v>
      </c>
      <c r="CO31" s="135">
        <v>1660.76</v>
      </c>
      <c r="CP31" s="135">
        <v>1635.72</v>
      </c>
      <c r="CQ31" s="135">
        <v>0.0</v>
      </c>
      <c r="CR31" s="135">
        <v>8.06</v>
      </c>
      <c r="CS31" s="135">
        <v>16.98</v>
      </c>
      <c r="CT31" s="135">
        <v>0.0</v>
      </c>
      <c r="CU31" s="135">
        <v>0.0</v>
      </c>
      <c r="CV31" s="135">
        <v>0.0</v>
      </c>
      <c r="CW31" s="135">
        <v>484.65</v>
      </c>
      <c r="CX31" s="135">
        <v>0.0</v>
      </c>
      <c r="CY31" s="135">
        <v>0.0</v>
      </c>
      <c r="CZ31" s="135">
        <v>560.65</v>
      </c>
      <c r="DA31" s="135">
        <v>12.97</v>
      </c>
      <c r="DB31" s="135">
        <v>547.69</v>
      </c>
      <c r="DC31" s="135">
        <v>542.99</v>
      </c>
      <c r="DD31" s="135">
        <v>10.0</v>
      </c>
      <c r="DE31" s="135">
        <v>532.99</v>
      </c>
      <c r="DF31" s="135">
        <v>7.08</v>
      </c>
      <c r="DG31" s="135">
        <v>0.99</v>
      </c>
      <c r="DH31" s="135">
        <v>6.1</v>
      </c>
      <c r="DI31" s="135">
        <v>7.93</v>
      </c>
      <c r="DJ31" s="135">
        <v>0.99</v>
      </c>
      <c r="DK31" s="135">
        <v>6.94</v>
      </c>
      <c r="DL31" s="135">
        <v>2.65</v>
      </c>
      <c r="DM31" s="135">
        <v>0.99</v>
      </c>
      <c r="DN31" s="135">
        <v>1.66</v>
      </c>
    </row>
    <row r="32">
      <c r="A32" s="209">
        <v>46257.0</v>
      </c>
      <c r="B32" s="210" t="s">
        <v>5</v>
      </c>
      <c r="C32" s="210" t="s">
        <v>398</v>
      </c>
      <c r="D32" s="210">
        <v>4895.0</v>
      </c>
      <c r="E32" s="210">
        <v>21.86</v>
      </c>
      <c r="F32" s="210">
        <v>543.28</v>
      </c>
      <c r="G32" s="210">
        <v>0.111</v>
      </c>
      <c r="H32" s="210">
        <v>1.59</v>
      </c>
      <c r="I32" s="210">
        <v>6.9651</v>
      </c>
      <c r="J32" s="210">
        <v>26.33</v>
      </c>
      <c r="K32" s="210">
        <v>14.57</v>
      </c>
      <c r="L32" s="210">
        <v>9.89</v>
      </c>
      <c r="M32" s="210">
        <v>0.679</v>
      </c>
      <c r="N32" s="210">
        <v>0.4415</v>
      </c>
      <c r="O32" s="210">
        <v>0.2132</v>
      </c>
      <c r="P32" s="210">
        <v>1.4727</v>
      </c>
      <c r="Q32" s="210">
        <v>71.74</v>
      </c>
      <c r="R32" s="210">
        <v>71.66</v>
      </c>
      <c r="S32" s="210">
        <v>0.08</v>
      </c>
      <c r="T32" s="210">
        <v>9.77</v>
      </c>
      <c r="U32" s="210">
        <v>61.97</v>
      </c>
      <c r="V32" s="210">
        <v>61.47</v>
      </c>
      <c r="W32" s="210">
        <v>4.2184</v>
      </c>
      <c r="X32" s="210">
        <v>13.62</v>
      </c>
      <c r="Y32" s="210">
        <v>182.0</v>
      </c>
      <c r="Z32" s="210">
        <v>524.0</v>
      </c>
      <c r="AA32" s="210">
        <v>3865.0</v>
      </c>
      <c r="AB32" s="210">
        <v>49.6553</v>
      </c>
      <c r="AC32" s="210">
        <v>0.4642</v>
      </c>
      <c r="AD32" s="211"/>
      <c r="AE32" s="211"/>
      <c r="AF32" s="211"/>
      <c r="AG32" s="211"/>
      <c r="AH32" s="211"/>
      <c r="AI32" s="210">
        <v>0.0</v>
      </c>
      <c r="AJ32" s="210">
        <v>0.0</v>
      </c>
      <c r="AK32" s="210">
        <v>0.0</v>
      </c>
      <c r="AL32" s="210">
        <v>0.4358</v>
      </c>
      <c r="AM32" s="210">
        <v>12.13</v>
      </c>
      <c r="AN32" s="135">
        <v>12.13</v>
      </c>
      <c r="AO32" s="135">
        <v>7.82</v>
      </c>
      <c r="AP32" s="135">
        <v>4.74</v>
      </c>
      <c r="AQ32" s="135">
        <v>1.9316</v>
      </c>
      <c r="AR32" s="135">
        <v>0.0733</v>
      </c>
      <c r="AS32" s="135">
        <v>1.8582</v>
      </c>
      <c r="AT32" s="135">
        <v>1.9522</v>
      </c>
      <c r="AU32" s="135">
        <v>0.134</v>
      </c>
      <c r="AV32" s="135">
        <v>4895.0</v>
      </c>
      <c r="AW32" s="135">
        <v>0.0</v>
      </c>
      <c r="AX32" s="135">
        <v>11.93</v>
      </c>
      <c r="AY32" s="135">
        <v>46.27</v>
      </c>
      <c r="AZ32" s="135">
        <v>3.6</v>
      </c>
      <c r="BA32" s="135">
        <v>9.77</v>
      </c>
      <c r="BB32" s="135">
        <v>0.18</v>
      </c>
      <c r="BD32" s="135">
        <v>28321.0</v>
      </c>
      <c r="BE32" s="135">
        <v>0.9252</v>
      </c>
      <c r="BF32" s="135">
        <v>0.0288</v>
      </c>
      <c r="BG32" s="135">
        <v>0.8964</v>
      </c>
      <c r="BH32" s="135">
        <v>0.9694</v>
      </c>
      <c r="BI32" s="135">
        <v>0.0665</v>
      </c>
      <c r="BJ32" s="135">
        <v>1.0063</v>
      </c>
      <c r="BK32" s="135">
        <v>0.0445</v>
      </c>
      <c r="BL32" s="135">
        <v>0.9618</v>
      </c>
      <c r="BM32" s="135">
        <v>0.9828</v>
      </c>
      <c r="BN32" s="135">
        <v>0.0674</v>
      </c>
      <c r="BO32" s="135">
        <v>0.3788</v>
      </c>
      <c r="BP32" s="135">
        <v>0.0098</v>
      </c>
      <c r="BQ32" s="135">
        <v>0.3689</v>
      </c>
      <c r="BR32" s="135">
        <v>0.3884</v>
      </c>
      <c r="BS32" s="135">
        <v>0.3236</v>
      </c>
      <c r="BT32" s="135">
        <v>0.0092</v>
      </c>
      <c r="BU32" s="135">
        <v>0.3144</v>
      </c>
      <c r="BV32" s="135">
        <v>0.3389</v>
      </c>
      <c r="BW32" s="135">
        <v>0.2229</v>
      </c>
      <c r="BX32" s="135">
        <v>0.0098</v>
      </c>
      <c r="BY32" s="135">
        <v>0.2131</v>
      </c>
      <c r="BZ32" s="135">
        <v>0.2421</v>
      </c>
      <c r="CA32" s="135">
        <v>0.2353</v>
      </c>
      <c r="CB32" s="135">
        <v>0.0106</v>
      </c>
      <c r="CC32" s="135">
        <v>0.2247</v>
      </c>
      <c r="CD32" s="135">
        <v>0.2576</v>
      </c>
      <c r="CE32" s="135">
        <v>0.4374</v>
      </c>
      <c r="CF32" s="135">
        <v>0.0176</v>
      </c>
      <c r="CG32" s="135">
        <v>0.4198</v>
      </c>
      <c r="CH32" s="135">
        <v>0.3657</v>
      </c>
      <c r="CI32" s="135">
        <v>0.3336</v>
      </c>
      <c r="CJ32" s="135">
        <v>0.0163</v>
      </c>
      <c r="CK32" s="135">
        <v>0.3173</v>
      </c>
      <c r="CL32" s="135">
        <v>0.3596</v>
      </c>
      <c r="CM32" s="135">
        <v>125.25</v>
      </c>
      <c r="CN32" s="135">
        <v>22.55</v>
      </c>
      <c r="CO32" s="135">
        <v>555.36</v>
      </c>
      <c r="CP32" s="135">
        <v>115.04</v>
      </c>
      <c r="CQ32" s="135">
        <v>0.01</v>
      </c>
      <c r="CR32" s="135">
        <v>2.37</v>
      </c>
      <c r="CS32" s="135">
        <v>7.84</v>
      </c>
      <c r="CT32" s="135">
        <v>0.0</v>
      </c>
      <c r="CU32" s="135">
        <v>1075.0</v>
      </c>
      <c r="CV32" s="135">
        <v>0.0</v>
      </c>
      <c r="CW32" s="135">
        <v>71.74</v>
      </c>
      <c r="CX32" s="135">
        <v>0.0</v>
      </c>
      <c r="CY32" s="135">
        <v>0.01</v>
      </c>
      <c r="CZ32" s="135">
        <v>42.4</v>
      </c>
      <c r="DA32" s="135">
        <v>2.31</v>
      </c>
      <c r="DB32" s="135">
        <v>40.09</v>
      </c>
      <c r="DC32" s="135">
        <v>34.83</v>
      </c>
      <c r="DD32" s="135">
        <v>0.75</v>
      </c>
      <c r="DE32" s="135">
        <v>34.08</v>
      </c>
      <c r="DF32" s="135">
        <v>3.14</v>
      </c>
      <c r="DG32" s="135">
        <v>0.52</v>
      </c>
      <c r="DH32" s="135">
        <v>2.62</v>
      </c>
      <c r="DI32" s="135">
        <v>2.63</v>
      </c>
      <c r="DJ32" s="135">
        <v>0.52</v>
      </c>
      <c r="DK32" s="135">
        <v>2.1</v>
      </c>
      <c r="DL32" s="135">
        <v>1.81</v>
      </c>
      <c r="DM32" s="135">
        <v>0.52</v>
      </c>
      <c r="DN32" s="135">
        <v>1.28</v>
      </c>
    </row>
    <row r="33">
      <c r="A33" s="209">
        <v>46257.0</v>
      </c>
      <c r="B33" s="210" t="s">
        <v>5</v>
      </c>
      <c r="C33" s="210" t="s">
        <v>142</v>
      </c>
      <c r="D33" s="210">
        <v>5953.0</v>
      </c>
      <c r="E33" s="210">
        <v>26.59</v>
      </c>
      <c r="F33" s="210">
        <v>98.54</v>
      </c>
      <c r="G33" s="210">
        <v>0.0166</v>
      </c>
      <c r="H33" s="210">
        <v>0.79</v>
      </c>
      <c r="I33" s="210">
        <v>2.0966</v>
      </c>
      <c r="J33" s="210">
        <v>22.22</v>
      </c>
      <c r="K33" s="210">
        <v>11.45</v>
      </c>
      <c r="L33" s="210">
        <v>5.2</v>
      </c>
      <c r="M33" s="210">
        <v>0.4543</v>
      </c>
      <c r="N33" s="210">
        <v>0.6551</v>
      </c>
      <c r="O33" s="210">
        <v>0.4019</v>
      </c>
      <c r="P33" s="210">
        <v>2.2012</v>
      </c>
      <c r="Q33" s="210">
        <v>41.72</v>
      </c>
      <c r="R33" s="210">
        <v>37.58</v>
      </c>
      <c r="S33" s="210">
        <v>4.14</v>
      </c>
      <c r="T33" s="210">
        <v>1.46</v>
      </c>
      <c r="U33" s="210">
        <v>40.26</v>
      </c>
      <c r="V33" s="210">
        <v>43.94</v>
      </c>
      <c r="W33" s="210">
        <v>3.8365</v>
      </c>
      <c r="X33" s="210">
        <v>3.5</v>
      </c>
      <c r="Y33" s="210">
        <v>187.0</v>
      </c>
      <c r="Z33" s="210">
        <v>413.0</v>
      </c>
      <c r="AA33" s="210">
        <v>1595.0</v>
      </c>
      <c r="AB33" s="210">
        <v>50.1111</v>
      </c>
      <c r="AC33" s="210">
        <v>0.6049</v>
      </c>
      <c r="AD33" s="210">
        <v>4.02</v>
      </c>
      <c r="AE33" s="210">
        <v>1.0</v>
      </c>
      <c r="AF33" s="210">
        <v>3.0</v>
      </c>
      <c r="AG33" s="210">
        <v>5.0</v>
      </c>
      <c r="AH33" s="210">
        <v>8.0</v>
      </c>
      <c r="AI33" s="210">
        <v>73.56</v>
      </c>
      <c r="AJ33" s="210">
        <v>33.29</v>
      </c>
      <c r="AK33" s="210">
        <v>7.04</v>
      </c>
      <c r="AL33" s="210">
        <v>0.4658</v>
      </c>
      <c r="AM33" s="210">
        <v>46.33</v>
      </c>
      <c r="AN33" s="135">
        <v>46.33</v>
      </c>
      <c r="AO33" s="135">
        <v>23.01</v>
      </c>
      <c r="AP33" s="135">
        <v>6.62</v>
      </c>
      <c r="AQ33" s="135">
        <v>2.8297</v>
      </c>
      <c r="AR33" s="135">
        <v>0.0373</v>
      </c>
      <c r="AS33" s="135">
        <v>2.7924</v>
      </c>
      <c r="AT33" s="135">
        <v>2.6744</v>
      </c>
      <c r="AU33" s="135">
        <v>0.2335</v>
      </c>
      <c r="AV33" s="135">
        <v>5953.0</v>
      </c>
      <c r="AW33" s="135">
        <v>0.0</v>
      </c>
      <c r="AX33" s="135">
        <v>21.68</v>
      </c>
      <c r="AY33" s="135">
        <v>15.79</v>
      </c>
      <c r="AZ33" s="135">
        <v>2.11</v>
      </c>
      <c r="BA33" s="135">
        <v>1.46</v>
      </c>
      <c r="BB33" s="135">
        <v>0.68</v>
      </c>
      <c r="BC33" s="135">
        <v>17.0</v>
      </c>
      <c r="BD33" s="135">
        <v>19818.0</v>
      </c>
      <c r="BE33" s="135">
        <v>1.9803</v>
      </c>
      <c r="BF33" s="135">
        <v>0.0217</v>
      </c>
      <c r="BG33" s="135">
        <v>1.9587</v>
      </c>
      <c r="BH33" s="135">
        <v>1.5523</v>
      </c>
      <c r="BI33" s="135">
        <v>0.1355</v>
      </c>
      <c r="BJ33" s="135">
        <v>0.8493</v>
      </c>
      <c r="BK33" s="135">
        <v>0.0156</v>
      </c>
      <c r="BL33" s="135">
        <v>0.8337</v>
      </c>
      <c r="BM33" s="135">
        <v>1.1221</v>
      </c>
      <c r="BN33" s="135">
        <v>0.098</v>
      </c>
      <c r="BO33" s="135">
        <v>0.8475</v>
      </c>
      <c r="BP33" s="135">
        <v>0.0108</v>
      </c>
      <c r="BQ33" s="135">
        <v>0.8367</v>
      </c>
      <c r="BR33" s="135">
        <v>0.6293</v>
      </c>
      <c r="BS33" s="135">
        <v>0.8231</v>
      </c>
      <c r="BT33" s="135">
        <v>0.0052</v>
      </c>
      <c r="BU33" s="135">
        <v>0.8179</v>
      </c>
      <c r="BV33" s="135">
        <v>0.6299</v>
      </c>
      <c r="BW33" s="135">
        <v>0.3098</v>
      </c>
      <c r="BX33" s="135">
        <v>0.0057</v>
      </c>
      <c r="BY33" s="135">
        <v>0.304</v>
      </c>
      <c r="BZ33" s="135">
        <v>0.2931</v>
      </c>
      <c r="CA33" s="135">
        <v>0.1048</v>
      </c>
      <c r="CB33" s="135">
        <v>0.002</v>
      </c>
      <c r="CC33" s="135">
        <v>0.1028</v>
      </c>
      <c r="CD33" s="135">
        <v>0.1656</v>
      </c>
      <c r="CE33" s="135">
        <v>0.4188</v>
      </c>
      <c r="CF33" s="135">
        <v>0.006</v>
      </c>
      <c r="CG33" s="135">
        <v>0.4127</v>
      </c>
      <c r="CH33" s="135">
        <v>0.557</v>
      </c>
      <c r="CI33" s="135">
        <v>0.3257</v>
      </c>
      <c r="CJ33" s="135">
        <v>0.0076</v>
      </c>
      <c r="CK33" s="135">
        <v>0.3182</v>
      </c>
      <c r="CL33" s="135">
        <v>0.3995</v>
      </c>
      <c r="CM33" s="135">
        <v>122.65</v>
      </c>
      <c r="CN33" s="135">
        <v>85.52</v>
      </c>
      <c r="CO33" s="135">
        <v>143.42</v>
      </c>
      <c r="CP33" s="135">
        <v>113.6</v>
      </c>
      <c r="CQ33" s="135">
        <v>0.13</v>
      </c>
      <c r="CR33" s="135">
        <v>5.29</v>
      </c>
      <c r="CS33" s="135">
        <v>3.63</v>
      </c>
      <c r="CT33" s="135">
        <v>0.0</v>
      </c>
      <c r="CU33" s="135">
        <v>719.0</v>
      </c>
      <c r="CV33" s="135">
        <v>0.0</v>
      </c>
      <c r="CW33" s="135">
        <v>41.72</v>
      </c>
      <c r="CX33" s="135">
        <v>0.0</v>
      </c>
      <c r="CY33" s="135">
        <v>0.13</v>
      </c>
      <c r="CZ33" s="135">
        <v>84.6</v>
      </c>
      <c r="DA33" s="135">
        <v>0.26</v>
      </c>
      <c r="DB33" s="135">
        <v>84.35</v>
      </c>
      <c r="DC33" s="135">
        <v>76.05</v>
      </c>
      <c r="DD33" s="135">
        <v>0.06</v>
      </c>
      <c r="DE33" s="135">
        <v>75.99</v>
      </c>
      <c r="DF33" s="135">
        <v>4.43</v>
      </c>
      <c r="DG33" s="135">
        <v>0.06</v>
      </c>
      <c r="DH33" s="135">
        <v>4.36</v>
      </c>
      <c r="DI33" s="135">
        <v>3.59</v>
      </c>
      <c r="DJ33" s="135">
        <v>0.06</v>
      </c>
      <c r="DK33" s="135">
        <v>3.52</v>
      </c>
      <c r="DL33" s="135">
        <v>0.54</v>
      </c>
      <c r="DM33" s="135">
        <v>0.06</v>
      </c>
      <c r="DN33" s="135">
        <v>0.47</v>
      </c>
    </row>
    <row r="34">
      <c r="A34" s="209">
        <v>46257.0</v>
      </c>
      <c r="B34" s="210" t="s">
        <v>5</v>
      </c>
      <c r="C34" s="210" t="s">
        <v>143</v>
      </c>
      <c r="D34" s="210">
        <v>5116.0</v>
      </c>
      <c r="E34" s="210">
        <v>22.85</v>
      </c>
      <c r="F34" s="210">
        <v>441.61</v>
      </c>
      <c r="G34" s="210">
        <v>0.0863</v>
      </c>
      <c r="H34" s="210">
        <v>2.8</v>
      </c>
      <c r="I34" s="210">
        <v>3.0882</v>
      </c>
      <c r="J34" s="210">
        <v>43.27</v>
      </c>
      <c r="K34" s="210">
        <v>23.36</v>
      </c>
      <c r="L34" s="210">
        <v>13.01</v>
      </c>
      <c r="M34" s="210">
        <v>0.5567</v>
      </c>
      <c r="N34" s="210">
        <v>0.569</v>
      </c>
      <c r="O34" s="210">
        <v>0.3454</v>
      </c>
      <c r="P34" s="210">
        <v>1.7964</v>
      </c>
      <c r="Q34" s="210">
        <v>83.35</v>
      </c>
      <c r="R34" s="210">
        <v>73.13</v>
      </c>
      <c r="S34" s="210">
        <v>10.21</v>
      </c>
      <c r="T34" s="210">
        <v>6.69</v>
      </c>
      <c r="U34" s="210">
        <v>76.65</v>
      </c>
      <c r="V34" s="210">
        <v>91.04</v>
      </c>
      <c r="W34" s="210">
        <v>3.8966</v>
      </c>
      <c r="X34" s="210">
        <v>8.03</v>
      </c>
      <c r="Y34" s="210">
        <v>188.0</v>
      </c>
      <c r="Z34" s="210">
        <v>407.0</v>
      </c>
      <c r="AA34" s="210">
        <v>1260.0</v>
      </c>
      <c r="AB34" s="210">
        <v>51.877</v>
      </c>
      <c r="AC34" s="210">
        <v>0.6725</v>
      </c>
      <c r="AD34" s="210">
        <v>9.11</v>
      </c>
      <c r="AE34" s="210">
        <v>4.0</v>
      </c>
      <c r="AF34" s="210">
        <v>7.0</v>
      </c>
      <c r="AG34" s="210">
        <v>12.0</v>
      </c>
      <c r="AH34" s="210">
        <v>18.0</v>
      </c>
      <c r="AI34" s="210">
        <v>61.81</v>
      </c>
      <c r="AJ34" s="210">
        <v>24.16</v>
      </c>
      <c r="AK34" s="210">
        <v>3.6</v>
      </c>
      <c r="AL34" s="210">
        <v>0.3294</v>
      </c>
      <c r="AM34" s="210">
        <v>52.35</v>
      </c>
      <c r="AN34" s="135">
        <v>52.35</v>
      </c>
      <c r="AO34" s="135">
        <v>30.49</v>
      </c>
      <c r="AP34" s="135">
        <v>14.95</v>
      </c>
      <c r="AQ34" s="135">
        <v>4.6546</v>
      </c>
      <c r="AR34" s="135">
        <v>0.0889</v>
      </c>
      <c r="AS34" s="135">
        <v>4.5657</v>
      </c>
      <c r="AT34" s="135">
        <v>4.9441</v>
      </c>
      <c r="AU34" s="135">
        <v>0.2116</v>
      </c>
      <c r="AV34" s="135">
        <v>5116.0</v>
      </c>
      <c r="AW34" s="135">
        <v>0.0</v>
      </c>
      <c r="AX34" s="135">
        <v>35.41</v>
      </c>
      <c r="AY34" s="135">
        <v>37.09</v>
      </c>
      <c r="AZ34" s="135">
        <v>2.86</v>
      </c>
      <c r="BA34" s="135">
        <v>6.69</v>
      </c>
      <c r="BB34" s="135">
        <v>1.29</v>
      </c>
      <c r="BC34" s="135">
        <v>35.0</v>
      </c>
      <c r="BD34" s="135">
        <v>18829.0</v>
      </c>
      <c r="BE34" s="135">
        <v>2.9666</v>
      </c>
      <c r="BF34" s="135">
        <v>0.044</v>
      </c>
      <c r="BG34" s="135">
        <v>2.9226</v>
      </c>
      <c r="BH34" s="135">
        <v>2.7871</v>
      </c>
      <c r="BI34" s="135">
        <v>0.1193</v>
      </c>
      <c r="BJ34" s="135">
        <v>1.688</v>
      </c>
      <c r="BK34" s="135">
        <v>0.045</v>
      </c>
      <c r="BL34" s="135">
        <v>1.6431</v>
      </c>
      <c r="BM34" s="135">
        <v>2.157</v>
      </c>
      <c r="BN34" s="135">
        <v>0.0923</v>
      </c>
      <c r="BO34" s="135">
        <v>1.2922</v>
      </c>
      <c r="BP34" s="135">
        <v>0.0133</v>
      </c>
      <c r="BQ34" s="135">
        <v>1.2789</v>
      </c>
      <c r="BR34" s="135">
        <v>1.1357</v>
      </c>
      <c r="BS34" s="135">
        <v>1.1744</v>
      </c>
      <c r="BT34" s="135">
        <v>0.0133</v>
      </c>
      <c r="BU34" s="135">
        <v>1.1611</v>
      </c>
      <c r="BV34" s="135">
        <v>1.0921</v>
      </c>
      <c r="BW34" s="135">
        <v>0.5</v>
      </c>
      <c r="BX34" s="135">
        <v>0.0174</v>
      </c>
      <c r="BY34" s="135">
        <v>0.4826</v>
      </c>
      <c r="BZ34" s="135">
        <v>0.5594</v>
      </c>
      <c r="CA34" s="135">
        <v>0.2246</v>
      </c>
      <c r="CB34" s="135">
        <v>0.0111</v>
      </c>
      <c r="CC34" s="135">
        <v>0.2134</v>
      </c>
      <c r="CD34" s="135">
        <v>0.3313</v>
      </c>
      <c r="CE34" s="135">
        <v>0.757</v>
      </c>
      <c r="CF34" s="135">
        <v>0.0184</v>
      </c>
      <c r="CG34" s="135">
        <v>0.7387</v>
      </c>
      <c r="CH34" s="135">
        <v>0.9967</v>
      </c>
      <c r="CI34" s="135">
        <v>0.7064</v>
      </c>
      <c r="CJ34" s="135">
        <v>0.0154</v>
      </c>
      <c r="CK34" s="135">
        <v>0.691</v>
      </c>
      <c r="CL34" s="135">
        <v>0.829</v>
      </c>
      <c r="CM34" s="135">
        <v>202.55</v>
      </c>
      <c r="CN34" s="135">
        <v>94.74</v>
      </c>
      <c r="CO34" s="135">
        <v>213.79</v>
      </c>
      <c r="CP34" s="135">
        <v>180.43</v>
      </c>
      <c r="CQ34" s="135">
        <v>0.27</v>
      </c>
      <c r="CR34" s="135">
        <v>5.63</v>
      </c>
      <c r="CS34" s="135">
        <v>16.22</v>
      </c>
      <c r="CT34" s="135">
        <v>0.0</v>
      </c>
      <c r="CU34" s="135">
        <v>1224.0</v>
      </c>
      <c r="CV34" s="135">
        <v>0.01</v>
      </c>
      <c r="CW34" s="135">
        <v>83.36</v>
      </c>
      <c r="CX34" s="135">
        <v>0.01</v>
      </c>
      <c r="CY34" s="135">
        <v>0.28</v>
      </c>
      <c r="CZ34" s="135">
        <v>123.92</v>
      </c>
      <c r="DA34" s="135">
        <v>1.6</v>
      </c>
      <c r="DB34" s="135">
        <v>122.32</v>
      </c>
      <c r="DC34" s="135">
        <v>111.93</v>
      </c>
      <c r="DD34" s="135">
        <v>0.44</v>
      </c>
      <c r="DE34" s="135">
        <v>111.5</v>
      </c>
      <c r="DF34" s="135">
        <v>5.72</v>
      </c>
      <c r="DG34" s="135">
        <v>0.39</v>
      </c>
      <c r="DH34" s="135">
        <v>5.34</v>
      </c>
      <c r="DI34" s="135">
        <v>5.12</v>
      </c>
      <c r="DJ34" s="135">
        <v>0.39</v>
      </c>
      <c r="DK34" s="135">
        <v>4.73</v>
      </c>
      <c r="DL34" s="135">
        <v>1.14</v>
      </c>
      <c r="DM34" s="135">
        <v>0.39</v>
      </c>
      <c r="DN34" s="135">
        <v>0.76</v>
      </c>
    </row>
    <row r="35">
      <c r="A35" s="209">
        <v>46257.0</v>
      </c>
      <c r="B35" s="210" t="s">
        <v>5</v>
      </c>
      <c r="C35" s="210" t="s">
        <v>144</v>
      </c>
      <c r="D35" s="210">
        <v>4047.0</v>
      </c>
      <c r="E35" s="210">
        <v>18.08</v>
      </c>
      <c r="F35" s="210">
        <v>576.69</v>
      </c>
      <c r="G35" s="210">
        <v>0.1425</v>
      </c>
      <c r="H35" s="210">
        <v>3.39</v>
      </c>
      <c r="I35" s="210">
        <v>4.2094</v>
      </c>
      <c r="J35" s="210">
        <v>70.41</v>
      </c>
      <c r="K35" s="210">
        <v>40.47</v>
      </c>
      <c r="L35" s="210">
        <v>25.73</v>
      </c>
      <c r="M35" s="210">
        <v>0.6359</v>
      </c>
      <c r="N35" s="210">
        <v>0.5019</v>
      </c>
      <c r="O35" s="210">
        <v>0.3093</v>
      </c>
      <c r="P35" s="210">
        <v>1.5726</v>
      </c>
      <c r="Q35" s="210">
        <v>152.48</v>
      </c>
      <c r="R35" s="210">
        <v>132.54</v>
      </c>
      <c r="S35" s="210">
        <v>19.95</v>
      </c>
      <c r="T35" s="210">
        <v>11.35</v>
      </c>
      <c r="U35" s="210">
        <v>141.13</v>
      </c>
      <c r="V35" s="210">
        <v>162.05</v>
      </c>
      <c r="W35" s="210">
        <v>4.0043</v>
      </c>
      <c r="X35" s="210">
        <v>7.45</v>
      </c>
      <c r="Y35" s="210">
        <v>218.0</v>
      </c>
      <c r="Z35" s="210">
        <v>516.0</v>
      </c>
      <c r="AA35" s="210">
        <v>1513.0</v>
      </c>
      <c r="AB35" s="210">
        <v>53.535</v>
      </c>
      <c r="AC35" s="210">
        <v>0.7267</v>
      </c>
      <c r="AD35" s="210">
        <v>16.05</v>
      </c>
      <c r="AE35" s="210">
        <v>6.0</v>
      </c>
      <c r="AF35" s="210">
        <v>12.0</v>
      </c>
      <c r="AG35" s="210">
        <v>22.0</v>
      </c>
      <c r="AH35" s="210">
        <v>33.0</v>
      </c>
      <c r="AI35" s="210">
        <v>56.46</v>
      </c>
      <c r="AJ35" s="210">
        <v>18.93</v>
      </c>
      <c r="AK35" s="210">
        <v>4.92</v>
      </c>
      <c r="AL35" s="210">
        <v>0.2508</v>
      </c>
      <c r="AM35" s="210">
        <v>52.58</v>
      </c>
      <c r="AN35" s="135">
        <v>52.58</v>
      </c>
      <c r="AO35" s="135">
        <v>29.65</v>
      </c>
      <c r="AP35" s="135">
        <v>15.02</v>
      </c>
      <c r="AQ35" s="135">
        <v>6.8305</v>
      </c>
      <c r="AR35" s="135">
        <v>0.1594</v>
      </c>
      <c r="AS35" s="135">
        <v>6.6711</v>
      </c>
      <c r="AT35" s="135">
        <v>7.5466</v>
      </c>
      <c r="AU35" s="135">
        <v>0.1865</v>
      </c>
      <c r="AV35" s="135">
        <v>4047.0</v>
      </c>
      <c r="AW35" s="135">
        <v>0.0</v>
      </c>
      <c r="AX35" s="135">
        <v>58.08</v>
      </c>
      <c r="AY35" s="135">
        <v>77.83</v>
      </c>
      <c r="AZ35" s="135">
        <v>3.06</v>
      </c>
      <c r="BA35" s="135">
        <v>11.35</v>
      </c>
      <c r="BB35" s="135">
        <v>2.16</v>
      </c>
      <c r="BC35" s="135">
        <v>62.0</v>
      </c>
      <c r="BD35" s="135">
        <v>16928.0</v>
      </c>
      <c r="BE35" s="135">
        <v>4.3104</v>
      </c>
      <c r="BF35" s="135">
        <v>0.0815</v>
      </c>
      <c r="BG35" s="135">
        <v>4.2288</v>
      </c>
      <c r="BH35" s="135">
        <v>4.2441</v>
      </c>
      <c r="BI35" s="135">
        <v>0.1049</v>
      </c>
      <c r="BJ35" s="135">
        <v>2.5201</v>
      </c>
      <c r="BK35" s="135">
        <v>0.0778</v>
      </c>
      <c r="BL35" s="135">
        <v>2.4423</v>
      </c>
      <c r="BM35" s="135">
        <v>3.3024</v>
      </c>
      <c r="BN35" s="135">
        <v>0.0816</v>
      </c>
      <c r="BO35" s="135">
        <v>1.7527</v>
      </c>
      <c r="BP35" s="135">
        <v>0.0237</v>
      </c>
      <c r="BQ35" s="135">
        <v>1.7289</v>
      </c>
      <c r="BR35" s="135">
        <v>1.6541</v>
      </c>
      <c r="BS35" s="135">
        <v>1.6575</v>
      </c>
      <c r="BT35" s="135">
        <v>0.0274</v>
      </c>
      <c r="BU35" s="135">
        <v>1.6301</v>
      </c>
      <c r="BV35" s="135">
        <v>1.635</v>
      </c>
      <c r="BW35" s="135">
        <v>0.9002</v>
      </c>
      <c r="BX35" s="135">
        <v>0.0304</v>
      </c>
      <c r="BY35" s="135">
        <v>0.8698</v>
      </c>
      <c r="BZ35" s="135">
        <v>0.955</v>
      </c>
      <c r="CA35" s="135">
        <v>0.4015</v>
      </c>
      <c r="CB35" s="135">
        <v>0.0185</v>
      </c>
      <c r="CC35" s="135">
        <v>0.383</v>
      </c>
      <c r="CD35" s="135">
        <v>0.617</v>
      </c>
      <c r="CE35" s="135">
        <v>1.0027</v>
      </c>
      <c r="CF35" s="135">
        <v>0.0334</v>
      </c>
      <c r="CG35" s="135">
        <v>0.9694</v>
      </c>
      <c r="CH35" s="135">
        <v>1.2879</v>
      </c>
      <c r="CI35" s="135">
        <v>1.1159</v>
      </c>
      <c r="CJ35" s="135">
        <v>0.0259</v>
      </c>
      <c r="CK35" s="135">
        <v>1.0899</v>
      </c>
      <c r="CL35" s="135">
        <v>1.3976</v>
      </c>
      <c r="CM35" s="135">
        <v>354.47</v>
      </c>
      <c r="CN35" s="135">
        <v>98.15</v>
      </c>
      <c r="CO35" s="135">
        <v>361.16</v>
      </c>
      <c r="CP35" s="135">
        <v>321.4</v>
      </c>
      <c r="CQ35" s="135">
        <v>0.16</v>
      </c>
      <c r="CR35" s="135">
        <v>5.29</v>
      </c>
      <c r="CS35" s="135">
        <v>27.61</v>
      </c>
      <c r="CT35" s="135">
        <v>0.0</v>
      </c>
      <c r="CU35" s="135">
        <v>1700.0</v>
      </c>
      <c r="CV35" s="135">
        <v>0.0</v>
      </c>
      <c r="CW35" s="135">
        <v>152.48</v>
      </c>
      <c r="CX35" s="135">
        <v>0.0</v>
      </c>
      <c r="CY35" s="135">
        <v>0.16</v>
      </c>
      <c r="CZ35" s="135">
        <v>182.93</v>
      </c>
      <c r="DA35" s="135">
        <v>2.41</v>
      </c>
      <c r="DB35" s="135">
        <v>180.52</v>
      </c>
      <c r="DC35" s="135">
        <v>165.71</v>
      </c>
      <c r="DD35" s="135">
        <v>0.75</v>
      </c>
      <c r="DE35" s="135">
        <v>164.96</v>
      </c>
      <c r="DF35" s="135">
        <v>7.93</v>
      </c>
      <c r="DG35" s="135">
        <v>0.55</v>
      </c>
      <c r="DH35" s="135">
        <v>7.38</v>
      </c>
      <c r="DI35" s="135">
        <v>6.33</v>
      </c>
      <c r="DJ35" s="135">
        <v>0.55</v>
      </c>
      <c r="DK35" s="135">
        <v>5.77</v>
      </c>
      <c r="DL35" s="135">
        <v>2.95</v>
      </c>
      <c r="DM35" s="135">
        <v>0.55</v>
      </c>
      <c r="DN35" s="135">
        <v>2.4</v>
      </c>
    </row>
    <row r="36">
      <c r="A36" s="209">
        <v>46257.0</v>
      </c>
      <c r="B36" s="210" t="s">
        <v>5</v>
      </c>
      <c r="C36" s="210" t="s">
        <v>145</v>
      </c>
      <c r="D36" s="210">
        <v>2129.0</v>
      </c>
      <c r="E36" s="210">
        <v>9.51</v>
      </c>
      <c r="F36" s="210">
        <v>941.65</v>
      </c>
      <c r="G36" s="210">
        <v>0.4423</v>
      </c>
      <c r="H36" s="210">
        <v>6.62</v>
      </c>
      <c r="I36" s="210">
        <v>6.6784</v>
      </c>
      <c r="J36" s="210">
        <v>120.8</v>
      </c>
      <c r="K36" s="210">
        <v>73.12</v>
      </c>
      <c r="L36" s="210">
        <v>52.21</v>
      </c>
      <c r="M36" s="210">
        <v>0.714</v>
      </c>
      <c r="N36" s="210">
        <v>0.431</v>
      </c>
      <c r="O36" s="210">
        <v>0.2697</v>
      </c>
      <c r="P36" s="210">
        <v>1.4005</v>
      </c>
      <c r="Q36" s="210">
        <v>302.09</v>
      </c>
      <c r="R36" s="210">
        <v>262.44</v>
      </c>
      <c r="S36" s="210">
        <v>39.66</v>
      </c>
      <c r="T36" s="210">
        <v>36.66</v>
      </c>
      <c r="U36" s="210">
        <v>265.43</v>
      </c>
      <c r="V36" s="210">
        <v>331.59</v>
      </c>
      <c r="W36" s="210">
        <v>4.5349</v>
      </c>
      <c r="X36" s="210">
        <v>12.14</v>
      </c>
      <c r="Y36" s="210">
        <v>251.0</v>
      </c>
      <c r="Z36" s="210">
        <v>562.0</v>
      </c>
      <c r="AA36" s="210">
        <v>1575.0</v>
      </c>
      <c r="AB36" s="210">
        <v>55.7528</v>
      </c>
      <c r="AC36" s="210">
        <v>0.7728</v>
      </c>
      <c r="AD36" s="210">
        <v>29.88</v>
      </c>
      <c r="AE36" s="210">
        <v>11.0</v>
      </c>
      <c r="AF36" s="210">
        <v>21.0</v>
      </c>
      <c r="AG36" s="210">
        <v>41.0</v>
      </c>
      <c r="AH36" s="210">
        <v>65.0</v>
      </c>
      <c r="AI36" s="210">
        <v>38.33</v>
      </c>
      <c r="AJ36" s="210">
        <v>12.35</v>
      </c>
      <c r="AK36" s="210">
        <v>3.38</v>
      </c>
      <c r="AL36" s="210">
        <v>0.1639</v>
      </c>
      <c r="AM36" s="210">
        <v>44.86</v>
      </c>
      <c r="AN36" s="135">
        <v>44.86</v>
      </c>
      <c r="AO36" s="135">
        <v>24.89</v>
      </c>
      <c r="AP36" s="135">
        <v>14.89</v>
      </c>
      <c r="AQ36" s="135">
        <v>10.3171</v>
      </c>
      <c r="AR36" s="135">
        <v>0.6087</v>
      </c>
      <c r="AS36" s="135">
        <v>9.7083</v>
      </c>
      <c r="AT36" s="135">
        <v>11.876</v>
      </c>
      <c r="AU36" s="135">
        <v>0.1624</v>
      </c>
      <c r="AV36" s="135">
        <v>2129.0</v>
      </c>
      <c r="AW36" s="135">
        <v>0.0</v>
      </c>
      <c r="AX36" s="135">
        <v>99.13</v>
      </c>
      <c r="AY36" s="135">
        <v>156.34</v>
      </c>
      <c r="AZ36" s="135">
        <v>4.29</v>
      </c>
      <c r="BA36" s="135">
        <v>36.66</v>
      </c>
      <c r="BB36" s="135">
        <v>5.67</v>
      </c>
      <c r="BC36" s="135">
        <v>126.0</v>
      </c>
      <c r="BD36" s="135">
        <v>12542.0</v>
      </c>
      <c r="BE36" s="135">
        <v>5.6999</v>
      </c>
      <c r="BF36" s="135">
        <v>0.3495</v>
      </c>
      <c r="BG36" s="135">
        <v>5.3504</v>
      </c>
      <c r="BH36" s="135">
        <v>6.0808</v>
      </c>
      <c r="BI36" s="135">
        <v>0.0832</v>
      </c>
      <c r="BJ36" s="135">
        <v>4.6172</v>
      </c>
      <c r="BK36" s="135">
        <v>0.2593</v>
      </c>
      <c r="BL36" s="135">
        <v>4.3579</v>
      </c>
      <c r="BM36" s="135">
        <v>5.7952</v>
      </c>
      <c r="BN36" s="135">
        <v>0.0793</v>
      </c>
      <c r="BO36" s="135">
        <v>1.9676</v>
      </c>
      <c r="BP36" s="135">
        <v>0.1076</v>
      </c>
      <c r="BQ36" s="135">
        <v>1.86</v>
      </c>
      <c r="BR36" s="135">
        <v>2.1893</v>
      </c>
      <c r="BS36" s="135">
        <v>2.0686</v>
      </c>
      <c r="BT36" s="135">
        <v>0.1202</v>
      </c>
      <c r="BU36" s="135">
        <v>1.9483</v>
      </c>
      <c r="BV36" s="135">
        <v>2.2597</v>
      </c>
      <c r="BW36" s="135">
        <v>1.6637</v>
      </c>
      <c r="BX36" s="135">
        <v>0.1217</v>
      </c>
      <c r="BY36" s="135">
        <v>1.542</v>
      </c>
      <c r="BZ36" s="135">
        <v>1.6318</v>
      </c>
      <c r="CA36" s="135">
        <v>0.9756</v>
      </c>
      <c r="CB36" s="135">
        <v>0.07</v>
      </c>
      <c r="CC36" s="135">
        <v>0.9056</v>
      </c>
      <c r="CD36" s="135">
        <v>1.2527</v>
      </c>
      <c r="CE36" s="135">
        <v>1.6054</v>
      </c>
      <c r="CF36" s="135">
        <v>0.1052</v>
      </c>
      <c r="CG36" s="135">
        <v>1.5002</v>
      </c>
      <c r="CH36" s="135">
        <v>1.9216</v>
      </c>
      <c r="CI36" s="135">
        <v>2.0362</v>
      </c>
      <c r="CJ36" s="135">
        <v>0.0841</v>
      </c>
      <c r="CK36" s="135">
        <v>1.9521</v>
      </c>
      <c r="CL36" s="135">
        <v>2.6209</v>
      </c>
      <c r="CM36" s="135">
        <v>642.82</v>
      </c>
      <c r="CN36" s="135">
        <v>99.2</v>
      </c>
      <c r="CO36" s="135">
        <v>647.99</v>
      </c>
      <c r="CP36" s="135">
        <v>599.25</v>
      </c>
      <c r="CQ36" s="135">
        <v>0.39</v>
      </c>
      <c r="CR36" s="135">
        <v>5.89</v>
      </c>
      <c r="CS36" s="135">
        <v>37.29</v>
      </c>
      <c r="CT36" s="135">
        <v>0.0</v>
      </c>
      <c r="CU36" s="135">
        <v>1433.0</v>
      </c>
      <c r="CV36" s="135">
        <v>0.0</v>
      </c>
      <c r="CW36" s="135">
        <v>302.09</v>
      </c>
      <c r="CX36" s="135">
        <v>0.0</v>
      </c>
      <c r="CY36" s="135">
        <v>0.39</v>
      </c>
      <c r="CZ36" s="135">
        <v>301.96</v>
      </c>
      <c r="DA36" s="135">
        <v>6.13</v>
      </c>
      <c r="DB36" s="135">
        <v>295.83</v>
      </c>
      <c r="DC36" s="135">
        <v>272.95</v>
      </c>
      <c r="DD36" s="135">
        <v>1.9</v>
      </c>
      <c r="DE36" s="135">
        <v>271.05</v>
      </c>
      <c r="DF36" s="135">
        <v>12.65</v>
      </c>
      <c r="DG36" s="135">
        <v>1.41</v>
      </c>
      <c r="DH36" s="135">
        <v>11.24</v>
      </c>
      <c r="DI36" s="135">
        <v>10.01</v>
      </c>
      <c r="DJ36" s="135">
        <v>1.41</v>
      </c>
      <c r="DK36" s="135">
        <v>8.6</v>
      </c>
      <c r="DL36" s="135">
        <v>6.35</v>
      </c>
      <c r="DM36" s="135">
        <v>1.41</v>
      </c>
      <c r="DN36" s="135">
        <v>4.94</v>
      </c>
    </row>
    <row r="37">
      <c r="A37" s="209">
        <v>46257.0</v>
      </c>
      <c r="B37" s="210" t="s">
        <v>5</v>
      </c>
      <c r="C37" s="210" t="s">
        <v>146</v>
      </c>
      <c r="D37" s="210">
        <v>249.0</v>
      </c>
      <c r="E37" s="210">
        <v>1.11</v>
      </c>
      <c r="F37" s="210">
        <v>147.09</v>
      </c>
      <c r="G37" s="210">
        <v>0.5907</v>
      </c>
      <c r="H37" s="210">
        <v>6.83</v>
      </c>
      <c r="I37" s="210">
        <v>8.6524</v>
      </c>
      <c r="J37" s="210">
        <v>230.15</v>
      </c>
      <c r="K37" s="210">
        <v>148.55</v>
      </c>
      <c r="L37" s="210">
        <v>113.13</v>
      </c>
      <c r="M37" s="210">
        <v>0.7616</v>
      </c>
      <c r="N37" s="210">
        <v>0.3718</v>
      </c>
      <c r="O37" s="210">
        <v>0.2309</v>
      </c>
      <c r="P37" s="210">
        <v>1.3131</v>
      </c>
      <c r="Q37" s="210">
        <v>465.93</v>
      </c>
      <c r="R37" s="210">
        <v>379.72</v>
      </c>
      <c r="S37" s="210">
        <v>86.2</v>
      </c>
      <c r="T37" s="210">
        <v>50.8</v>
      </c>
      <c r="U37" s="210">
        <v>415.12</v>
      </c>
      <c r="V37" s="210">
        <v>529.12</v>
      </c>
      <c r="W37" s="210">
        <v>3.5619</v>
      </c>
      <c r="X37" s="210">
        <v>10.9</v>
      </c>
      <c r="Y37" s="210">
        <v>280.0</v>
      </c>
      <c r="Z37" s="210">
        <v>737.0</v>
      </c>
      <c r="AA37" s="210">
        <v>2073.0</v>
      </c>
      <c r="AB37" s="210">
        <v>58.8092</v>
      </c>
      <c r="AC37" s="210">
        <v>0.8115</v>
      </c>
      <c r="AD37" s="210">
        <v>53.0</v>
      </c>
      <c r="AE37" s="210">
        <v>21.0</v>
      </c>
      <c r="AF37" s="210">
        <v>39.0</v>
      </c>
      <c r="AG37" s="210">
        <v>68.0</v>
      </c>
      <c r="AH37" s="210">
        <v>120.0</v>
      </c>
      <c r="AI37" s="210">
        <v>22.09</v>
      </c>
      <c r="AJ37" s="210">
        <v>4.02</v>
      </c>
      <c r="AK37" s="210">
        <v>0.0</v>
      </c>
      <c r="AL37" s="210">
        <v>0.0843</v>
      </c>
      <c r="AM37" s="210">
        <v>33.73</v>
      </c>
      <c r="AN37" s="135">
        <v>33.73</v>
      </c>
      <c r="AO37" s="135">
        <v>20.08</v>
      </c>
      <c r="AP37" s="135">
        <v>14.06</v>
      </c>
      <c r="AQ37" s="135">
        <v>14.249</v>
      </c>
      <c r="AR37" s="135">
        <v>0.7992</v>
      </c>
      <c r="AS37" s="135">
        <v>13.4498</v>
      </c>
      <c r="AT37" s="135">
        <v>22.3213</v>
      </c>
      <c r="AU37" s="135">
        <v>0.1503</v>
      </c>
      <c r="AV37" s="135">
        <v>249.0</v>
      </c>
      <c r="AW37" s="135">
        <v>0.0</v>
      </c>
      <c r="AX37" s="135">
        <v>185.14</v>
      </c>
      <c r="AY37" s="135">
        <v>214.62</v>
      </c>
      <c r="AZ37" s="135">
        <v>6.73</v>
      </c>
      <c r="BA37" s="135">
        <v>50.8</v>
      </c>
      <c r="BB37" s="135">
        <v>8.64</v>
      </c>
      <c r="BC37" s="135">
        <v>202.0</v>
      </c>
      <c r="BD37" s="135">
        <v>18805.0</v>
      </c>
      <c r="BE37" s="135">
        <v>7.3213</v>
      </c>
      <c r="BF37" s="135">
        <v>0.4217</v>
      </c>
      <c r="BG37" s="135">
        <v>6.8996</v>
      </c>
      <c r="BH37" s="135">
        <v>9.7149</v>
      </c>
      <c r="BI37" s="135">
        <v>0.0654</v>
      </c>
      <c r="BJ37" s="135">
        <v>6.9277</v>
      </c>
      <c r="BK37" s="135">
        <v>0.3775</v>
      </c>
      <c r="BL37" s="135">
        <v>6.5502</v>
      </c>
      <c r="BM37" s="135">
        <v>12.6064</v>
      </c>
      <c r="BN37" s="135">
        <v>0.0849</v>
      </c>
      <c r="BO37" s="135">
        <v>2.3695</v>
      </c>
      <c r="BP37" s="135">
        <v>0.1084</v>
      </c>
      <c r="BQ37" s="135">
        <v>2.261</v>
      </c>
      <c r="BR37" s="135">
        <v>3.1647</v>
      </c>
      <c r="BS37" s="135">
        <v>2.49</v>
      </c>
      <c r="BT37" s="135">
        <v>0.1325</v>
      </c>
      <c r="BU37" s="135">
        <v>2.3574</v>
      </c>
      <c r="BV37" s="135">
        <v>3.51</v>
      </c>
      <c r="BW37" s="135">
        <v>2.4618</v>
      </c>
      <c r="BX37" s="135">
        <v>0.1807</v>
      </c>
      <c r="BY37" s="135">
        <v>2.2811</v>
      </c>
      <c r="BZ37" s="135">
        <v>3.0402</v>
      </c>
      <c r="CA37" s="135">
        <v>1.7631</v>
      </c>
      <c r="CB37" s="135">
        <v>0.0924</v>
      </c>
      <c r="CC37" s="135">
        <v>1.6707</v>
      </c>
      <c r="CD37" s="135">
        <v>5.6506</v>
      </c>
      <c r="CE37" s="135">
        <v>1.8273</v>
      </c>
      <c r="CF37" s="135">
        <v>0.1365</v>
      </c>
      <c r="CG37" s="135">
        <v>1.6908</v>
      </c>
      <c r="CH37" s="135">
        <v>2.8795</v>
      </c>
      <c r="CI37" s="135">
        <v>3.3373</v>
      </c>
      <c r="CJ37" s="135">
        <v>0.1486</v>
      </c>
      <c r="CK37" s="135">
        <v>3.1888</v>
      </c>
      <c r="CL37" s="135">
        <v>4.0763</v>
      </c>
      <c r="CM37" s="135">
        <v>1193.15</v>
      </c>
      <c r="CN37" s="135">
        <v>99.6</v>
      </c>
      <c r="CO37" s="135">
        <v>1197.96</v>
      </c>
      <c r="CP37" s="135">
        <v>1145.02</v>
      </c>
      <c r="CQ37" s="135">
        <v>0.0</v>
      </c>
      <c r="CR37" s="135">
        <v>4.66</v>
      </c>
      <c r="CS37" s="135">
        <v>43.47</v>
      </c>
      <c r="CT37" s="135">
        <v>0.0</v>
      </c>
      <c r="CU37" s="135">
        <v>212.0</v>
      </c>
      <c r="CV37" s="135">
        <v>0.0</v>
      </c>
      <c r="CW37" s="135">
        <v>465.93</v>
      </c>
      <c r="CX37" s="135">
        <v>0.0</v>
      </c>
      <c r="CY37" s="135">
        <v>0.0</v>
      </c>
      <c r="CZ37" s="135">
        <v>488.01</v>
      </c>
      <c r="DA37" s="135">
        <v>9.84</v>
      </c>
      <c r="DB37" s="135">
        <v>478.17</v>
      </c>
      <c r="DC37" s="135">
        <v>460.46</v>
      </c>
      <c r="DD37" s="135">
        <v>3.82</v>
      </c>
      <c r="DE37" s="135">
        <v>456.65</v>
      </c>
      <c r="DF37" s="135">
        <v>9.8</v>
      </c>
      <c r="DG37" s="135">
        <v>2.01</v>
      </c>
      <c r="DH37" s="135">
        <v>7.79</v>
      </c>
      <c r="DI37" s="135">
        <v>9.88</v>
      </c>
      <c r="DJ37" s="135">
        <v>2.01</v>
      </c>
      <c r="DK37" s="135">
        <v>7.87</v>
      </c>
      <c r="DL37" s="135">
        <v>7.87</v>
      </c>
      <c r="DM37" s="135">
        <v>2.01</v>
      </c>
      <c r="DN37" s="135">
        <v>5.86</v>
      </c>
    </row>
    <row r="38">
      <c r="A38" s="209">
        <v>46258.0</v>
      </c>
      <c r="B38" s="210" t="s">
        <v>4</v>
      </c>
      <c r="C38" s="210" t="s">
        <v>398</v>
      </c>
      <c r="D38" s="210">
        <v>3703.0</v>
      </c>
      <c r="E38" s="210">
        <v>16.78</v>
      </c>
      <c r="F38" s="210">
        <v>2.64</v>
      </c>
      <c r="G38" s="210">
        <v>7.0E-4</v>
      </c>
      <c r="H38" s="210">
        <v>0.05</v>
      </c>
      <c r="I38" s="210">
        <v>1.32</v>
      </c>
      <c r="J38" s="210">
        <v>4.8</v>
      </c>
      <c r="K38" s="210">
        <v>1.99</v>
      </c>
      <c r="L38" s="210">
        <v>0.17</v>
      </c>
      <c r="M38" s="210">
        <v>0.088</v>
      </c>
      <c r="N38" s="210">
        <v>0.9286</v>
      </c>
      <c r="O38" s="210">
        <v>0.5933</v>
      </c>
      <c r="P38" s="210">
        <v>11.3673</v>
      </c>
      <c r="Q38" s="210">
        <v>28.2</v>
      </c>
      <c r="R38" s="210">
        <v>28.05</v>
      </c>
      <c r="S38" s="210">
        <v>0.14</v>
      </c>
      <c r="T38" s="210">
        <v>0.05</v>
      </c>
      <c r="U38" s="210">
        <v>28.14</v>
      </c>
      <c r="V38" s="210">
        <v>4.02</v>
      </c>
      <c r="W38" s="210">
        <v>2.0228</v>
      </c>
      <c r="X38" s="210">
        <v>0.19</v>
      </c>
      <c r="Y38" s="210">
        <v>200.0</v>
      </c>
      <c r="Z38" s="210">
        <v>681.0</v>
      </c>
      <c r="AA38" s="210">
        <v>5205.0</v>
      </c>
      <c r="AB38" s="210">
        <v>50.1304</v>
      </c>
      <c r="AC38" s="210">
        <v>0.5826</v>
      </c>
      <c r="AD38" s="211"/>
      <c r="AE38" s="211"/>
      <c r="AF38" s="211"/>
      <c r="AG38" s="211"/>
      <c r="AH38" s="211"/>
      <c r="AI38" s="210">
        <v>0.0</v>
      </c>
      <c r="AJ38" s="210">
        <v>0.0</v>
      </c>
      <c r="AK38" s="210">
        <v>0.0</v>
      </c>
      <c r="AL38" s="210">
        <v>0.5072</v>
      </c>
      <c r="AM38" s="211"/>
      <c r="AQ38" s="135">
        <v>1.4621</v>
      </c>
      <c r="AR38" s="135">
        <v>0.0122</v>
      </c>
      <c r="AS38" s="135">
        <v>1.4499</v>
      </c>
      <c r="AT38" s="135">
        <v>0.3948</v>
      </c>
      <c r="AU38" s="135">
        <v>0.1985</v>
      </c>
      <c r="AV38" s="135">
        <v>3703.0</v>
      </c>
      <c r="AW38" s="135">
        <v>0.0</v>
      </c>
      <c r="AX38" s="135">
        <v>9.69</v>
      </c>
      <c r="AY38" s="135">
        <v>17.09</v>
      </c>
      <c r="AZ38" s="135">
        <v>1.2</v>
      </c>
      <c r="BA38" s="135">
        <v>0.05</v>
      </c>
      <c r="BB38" s="135">
        <v>0.16</v>
      </c>
      <c r="BD38" s="135">
        <v>29300.0</v>
      </c>
      <c r="BE38" s="135">
        <v>0.6217</v>
      </c>
      <c r="BF38" s="135">
        <v>0.0057</v>
      </c>
      <c r="BG38" s="135">
        <v>0.616</v>
      </c>
      <c r="BH38" s="135">
        <v>0.2506</v>
      </c>
      <c r="BI38" s="135">
        <v>0.126</v>
      </c>
      <c r="BJ38" s="135">
        <v>0.8404</v>
      </c>
      <c r="BK38" s="135">
        <v>0.0065</v>
      </c>
      <c r="BL38" s="135">
        <v>0.8339</v>
      </c>
      <c r="BM38" s="135">
        <v>0.1442</v>
      </c>
      <c r="BN38" s="135">
        <v>0.0725</v>
      </c>
      <c r="BO38" s="135">
        <v>0.2147</v>
      </c>
      <c r="BP38" s="135">
        <v>0.0016</v>
      </c>
      <c r="BQ38" s="135">
        <v>0.2131</v>
      </c>
      <c r="BR38" s="135">
        <v>0.101</v>
      </c>
      <c r="BS38" s="135">
        <v>0.2393</v>
      </c>
      <c r="BT38" s="135">
        <v>0.0024</v>
      </c>
      <c r="BU38" s="135">
        <v>0.2368</v>
      </c>
      <c r="BV38" s="135">
        <v>0.0996</v>
      </c>
      <c r="BW38" s="135">
        <v>0.1677</v>
      </c>
      <c r="BX38" s="135">
        <v>0.0016</v>
      </c>
      <c r="BY38" s="135">
        <v>0.1661</v>
      </c>
      <c r="BZ38" s="135">
        <v>0.05</v>
      </c>
      <c r="CA38" s="135">
        <v>0.2028</v>
      </c>
      <c r="CB38" s="135">
        <v>0.0016</v>
      </c>
      <c r="CC38" s="135">
        <v>0.2012</v>
      </c>
      <c r="CD38" s="135">
        <v>0.0259</v>
      </c>
      <c r="CE38" s="135">
        <v>0.3365</v>
      </c>
      <c r="CF38" s="135">
        <v>0.0032</v>
      </c>
      <c r="CG38" s="135">
        <v>0.3332</v>
      </c>
      <c r="CH38" s="135">
        <v>0.0629</v>
      </c>
      <c r="CI38" s="135">
        <v>0.3011</v>
      </c>
      <c r="CJ38" s="135">
        <v>0.0016</v>
      </c>
      <c r="CK38" s="135">
        <v>0.2995</v>
      </c>
      <c r="CL38" s="135">
        <v>0.0554</v>
      </c>
      <c r="CM38" s="135">
        <v>10.23</v>
      </c>
      <c r="CN38" s="135">
        <v>6.62</v>
      </c>
      <c r="CO38" s="135">
        <v>154.56</v>
      </c>
      <c r="CP38" s="135">
        <v>7.9</v>
      </c>
      <c r="CQ38" s="135">
        <v>0.0</v>
      </c>
      <c r="CR38" s="135">
        <v>1.44</v>
      </c>
      <c r="CS38" s="135">
        <v>0.89</v>
      </c>
      <c r="CT38" s="135">
        <v>0.0</v>
      </c>
      <c r="CU38" s="135">
        <v>0.0</v>
      </c>
      <c r="CV38" s="135">
        <v>0.0</v>
      </c>
      <c r="CW38" s="135">
        <v>28.2</v>
      </c>
      <c r="CX38" s="135">
        <v>0.0</v>
      </c>
      <c r="CY38" s="135">
        <v>0.0</v>
      </c>
      <c r="CZ38" s="135">
        <v>28.35</v>
      </c>
      <c r="DA38" s="135">
        <v>0.02</v>
      </c>
      <c r="DB38" s="135">
        <v>28.33</v>
      </c>
      <c r="DC38" s="135">
        <v>26.15</v>
      </c>
      <c r="DD38" s="135">
        <v>0.01</v>
      </c>
      <c r="DE38" s="135">
        <v>26.14</v>
      </c>
      <c r="DF38" s="135">
        <v>1.1</v>
      </c>
      <c r="DG38" s="135">
        <v>0.01</v>
      </c>
      <c r="DH38" s="135">
        <v>1.09</v>
      </c>
      <c r="DI38" s="135">
        <v>0.91</v>
      </c>
      <c r="DJ38" s="135">
        <v>0.01</v>
      </c>
      <c r="DK38" s="135">
        <v>0.9</v>
      </c>
      <c r="DL38" s="135">
        <v>0.2</v>
      </c>
      <c r="DM38" s="135">
        <v>0.01</v>
      </c>
      <c r="DN38" s="135">
        <v>0.19</v>
      </c>
    </row>
    <row r="39">
      <c r="A39" s="209">
        <v>46258.0</v>
      </c>
      <c r="B39" s="210" t="s">
        <v>4</v>
      </c>
      <c r="C39" s="210" t="s">
        <v>142</v>
      </c>
      <c r="D39" s="210">
        <v>5988.0</v>
      </c>
      <c r="E39" s="210">
        <v>27.14</v>
      </c>
      <c r="F39" s="210">
        <v>97.97</v>
      </c>
      <c r="G39" s="210">
        <v>0.0164</v>
      </c>
      <c r="H39" s="210">
        <v>0.8</v>
      </c>
      <c r="I39" s="210">
        <v>2.041</v>
      </c>
      <c r="J39" s="210">
        <v>25.14</v>
      </c>
      <c r="K39" s="210">
        <v>12.82</v>
      </c>
      <c r="L39" s="210">
        <v>5.51</v>
      </c>
      <c r="M39" s="210">
        <v>0.4294</v>
      </c>
      <c r="N39" s="210">
        <v>0.6855</v>
      </c>
      <c r="O39" s="210">
        <v>0.4416</v>
      </c>
      <c r="P39" s="210">
        <v>2.3287</v>
      </c>
      <c r="Q39" s="210">
        <v>67.43</v>
      </c>
      <c r="R39" s="210">
        <v>62.63</v>
      </c>
      <c r="S39" s="210">
        <v>4.8</v>
      </c>
      <c r="T39" s="210">
        <v>1.59</v>
      </c>
      <c r="U39" s="210">
        <v>65.83</v>
      </c>
      <c r="V39" s="210">
        <v>55.13</v>
      </c>
      <c r="W39" s="210">
        <v>4.2995</v>
      </c>
      <c r="X39" s="210">
        <v>2.37</v>
      </c>
      <c r="Y39" s="210">
        <v>201.0</v>
      </c>
      <c r="Z39" s="210">
        <v>477.0</v>
      </c>
      <c r="AA39" s="210">
        <v>1661.0</v>
      </c>
      <c r="AB39" s="210">
        <v>49.904</v>
      </c>
      <c r="AC39" s="210">
        <v>0.5705</v>
      </c>
      <c r="AD39" s="210">
        <v>4.07</v>
      </c>
      <c r="AE39" s="210">
        <v>1.0</v>
      </c>
      <c r="AF39" s="210">
        <v>3.0</v>
      </c>
      <c r="AG39" s="210">
        <v>5.0</v>
      </c>
      <c r="AH39" s="210">
        <v>9.0</v>
      </c>
      <c r="AI39" s="210">
        <v>74.11</v>
      </c>
      <c r="AJ39" s="210">
        <v>33.17</v>
      </c>
      <c r="AK39" s="210">
        <v>7.67</v>
      </c>
      <c r="AL39" s="210">
        <v>0.4107</v>
      </c>
      <c r="AM39" s="211"/>
      <c r="AQ39" s="135">
        <v>4.2867</v>
      </c>
      <c r="AR39" s="135">
        <v>0.0349</v>
      </c>
      <c r="AS39" s="135">
        <v>4.2518</v>
      </c>
      <c r="AT39" s="135">
        <v>3.173</v>
      </c>
      <c r="AU39" s="135">
        <v>0.2475</v>
      </c>
      <c r="AV39" s="135">
        <v>5988.0</v>
      </c>
      <c r="AW39" s="135">
        <v>0.0</v>
      </c>
      <c r="AX39" s="135">
        <v>24.32</v>
      </c>
      <c r="AY39" s="135">
        <v>38.4</v>
      </c>
      <c r="AZ39" s="135">
        <v>2.47</v>
      </c>
      <c r="BA39" s="135">
        <v>1.59</v>
      </c>
      <c r="BB39" s="135">
        <v>0.65</v>
      </c>
      <c r="BC39" s="135">
        <v>18.0</v>
      </c>
      <c r="BD39" s="135">
        <v>20170.0</v>
      </c>
      <c r="BE39" s="135">
        <v>2.4158</v>
      </c>
      <c r="BF39" s="135">
        <v>0.018</v>
      </c>
      <c r="BG39" s="135">
        <v>2.3978</v>
      </c>
      <c r="BH39" s="135">
        <v>1.7325</v>
      </c>
      <c r="BI39" s="135">
        <v>0.1351</v>
      </c>
      <c r="BJ39" s="135">
        <v>1.8709</v>
      </c>
      <c r="BK39" s="135">
        <v>0.0169</v>
      </c>
      <c r="BL39" s="135">
        <v>1.854</v>
      </c>
      <c r="BM39" s="135">
        <v>1.4405</v>
      </c>
      <c r="BN39" s="135">
        <v>0.1124</v>
      </c>
      <c r="BO39" s="135">
        <v>1.0109</v>
      </c>
      <c r="BP39" s="135">
        <v>0.0062</v>
      </c>
      <c r="BQ39" s="135">
        <v>1.0047</v>
      </c>
      <c r="BR39" s="135">
        <v>0.7022</v>
      </c>
      <c r="BS39" s="135">
        <v>0.8818</v>
      </c>
      <c r="BT39" s="135">
        <v>0.0047</v>
      </c>
      <c r="BU39" s="135">
        <v>0.8771</v>
      </c>
      <c r="BV39" s="135">
        <v>0.6438</v>
      </c>
      <c r="BW39" s="135">
        <v>0.5232</v>
      </c>
      <c r="BX39" s="135">
        <v>0.0072</v>
      </c>
      <c r="BY39" s="135">
        <v>0.516</v>
      </c>
      <c r="BZ39" s="135">
        <v>0.3864</v>
      </c>
      <c r="CA39" s="135">
        <v>0.5177</v>
      </c>
      <c r="CB39" s="135">
        <v>0.0028</v>
      </c>
      <c r="CC39" s="135">
        <v>0.5149</v>
      </c>
      <c r="CD39" s="135">
        <v>0.3395</v>
      </c>
      <c r="CE39" s="135">
        <v>0.7131</v>
      </c>
      <c r="CF39" s="135">
        <v>0.007</v>
      </c>
      <c r="CG39" s="135">
        <v>0.7061</v>
      </c>
      <c r="CH39" s="135">
        <v>0.576</v>
      </c>
      <c r="CI39" s="135">
        <v>0.6401</v>
      </c>
      <c r="CJ39" s="135">
        <v>0.007</v>
      </c>
      <c r="CK39" s="135">
        <v>0.6331</v>
      </c>
      <c r="CL39" s="135">
        <v>0.5251</v>
      </c>
      <c r="CM39" s="135">
        <v>125.45</v>
      </c>
      <c r="CN39" s="135">
        <v>89.21</v>
      </c>
      <c r="CO39" s="135">
        <v>140.62</v>
      </c>
      <c r="CP39" s="135">
        <v>120.49</v>
      </c>
      <c r="CQ39" s="135">
        <v>0.0</v>
      </c>
      <c r="CR39" s="135">
        <v>3.85</v>
      </c>
      <c r="CS39" s="135">
        <v>1.12</v>
      </c>
      <c r="CT39" s="135">
        <v>0.0</v>
      </c>
      <c r="CU39" s="135">
        <v>0.0</v>
      </c>
      <c r="CV39" s="135">
        <v>0.0</v>
      </c>
      <c r="CW39" s="135">
        <v>67.43</v>
      </c>
      <c r="CX39" s="135">
        <v>0.0</v>
      </c>
      <c r="CY39" s="135">
        <v>0.0</v>
      </c>
      <c r="CZ39" s="135">
        <v>98.85</v>
      </c>
      <c r="DA39" s="135">
        <v>0.52</v>
      </c>
      <c r="DB39" s="135">
        <v>98.33</v>
      </c>
      <c r="DC39" s="135">
        <v>92.55</v>
      </c>
      <c r="DD39" s="135">
        <v>0.13</v>
      </c>
      <c r="DE39" s="135">
        <v>92.42</v>
      </c>
      <c r="DF39" s="135">
        <v>3.26</v>
      </c>
      <c r="DG39" s="135">
        <v>0.13</v>
      </c>
      <c r="DH39" s="135">
        <v>3.13</v>
      </c>
      <c r="DI39" s="135">
        <v>2.5</v>
      </c>
      <c r="DJ39" s="135">
        <v>0.13</v>
      </c>
      <c r="DK39" s="135">
        <v>2.37</v>
      </c>
      <c r="DL39" s="135">
        <v>0.54</v>
      </c>
      <c r="DM39" s="135">
        <v>0.13</v>
      </c>
      <c r="DN39" s="135">
        <v>0.4</v>
      </c>
    </row>
    <row r="40">
      <c r="A40" s="209">
        <v>46258.0</v>
      </c>
      <c r="B40" s="210" t="s">
        <v>4</v>
      </c>
      <c r="C40" s="210" t="s">
        <v>143</v>
      </c>
      <c r="D40" s="210">
        <v>5312.0</v>
      </c>
      <c r="E40" s="210">
        <v>24.07</v>
      </c>
      <c r="F40" s="210">
        <v>419.77</v>
      </c>
      <c r="G40" s="210">
        <v>0.079</v>
      </c>
      <c r="H40" s="210">
        <v>2.32</v>
      </c>
      <c r="I40" s="210">
        <v>3.4128</v>
      </c>
      <c r="J40" s="210">
        <v>48.88</v>
      </c>
      <c r="K40" s="210">
        <v>25.52</v>
      </c>
      <c r="L40" s="210">
        <v>14.15</v>
      </c>
      <c r="M40" s="210">
        <v>0.5542</v>
      </c>
      <c r="N40" s="210">
        <v>0.586</v>
      </c>
      <c r="O40" s="210">
        <v>0.3725</v>
      </c>
      <c r="P40" s="210">
        <v>1.8044</v>
      </c>
      <c r="Q40" s="210">
        <v>121.17</v>
      </c>
      <c r="R40" s="210">
        <v>109.52</v>
      </c>
      <c r="S40" s="210">
        <v>11.65</v>
      </c>
      <c r="T40" s="210">
        <v>6.11</v>
      </c>
      <c r="U40" s="210">
        <v>115.06</v>
      </c>
      <c r="V40" s="210">
        <v>119.56</v>
      </c>
      <c r="W40" s="210">
        <v>4.6843</v>
      </c>
      <c r="X40" s="210">
        <v>5.04</v>
      </c>
      <c r="Y40" s="210">
        <v>216.0</v>
      </c>
      <c r="Z40" s="210">
        <v>511.0</v>
      </c>
      <c r="AA40" s="210">
        <v>1710.0</v>
      </c>
      <c r="AB40" s="210">
        <v>51.7734</v>
      </c>
      <c r="AC40" s="210">
        <v>0.6251</v>
      </c>
      <c r="AD40" s="210">
        <v>9.43</v>
      </c>
      <c r="AE40" s="210">
        <v>4.0</v>
      </c>
      <c r="AF40" s="210">
        <v>8.0</v>
      </c>
      <c r="AG40" s="210">
        <v>13.0</v>
      </c>
      <c r="AH40" s="210">
        <v>19.0</v>
      </c>
      <c r="AI40" s="210">
        <v>63.42</v>
      </c>
      <c r="AJ40" s="210">
        <v>25.64</v>
      </c>
      <c r="AK40" s="210">
        <v>3.99</v>
      </c>
      <c r="AL40" s="210">
        <v>0.2782</v>
      </c>
      <c r="AM40" s="211"/>
      <c r="AQ40" s="135">
        <v>8.0292</v>
      </c>
      <c r="AR40" s="135">
        <v>0.1726</v>
      </c>
      <c r="AS40" s="135">
        <v>7.8566</v>
      </c>
      <c r="AT40" s="135">
        <v>6.3302</v>
      </c>
      <c r="AU40" s="135">
        <v>0.248</v>
      </c>
      <c r="AV40" s="135">
        <v>5312.0</v>
      </c>
      <c r="AW40" s="135">
        <v>0.0</v>
      </c>
      <c r="AX40" s="135">
        <v>40.66</v>
      </c>
      <c r="AY40" s="135">
        <v>70.03</v>
      </c>
      <c r="AZ40" s="135">
        <v>3.38</v>
      </c>
      <c r="BA40" s="135">
        <v>6.11</v>
      </c>
      <c r="BB40" s="135">
        <v>0.99</v>
      </c>
      <c r="BC40" s="135">
        <v>35.0</v>
      </c>
      <c r="BD40" s="135">
        <v>22032.0</v>
      </c>
      <c r="BE40" s="135">
        <v>4.4085</v>
      </c>
      <c r="BF40" s="135">
        <v>0.1322</v>
      </c>
      <c r="BG40" s="135">
        <v>4.2764</v>
      </c>
      <c r="BH40" s="135">
        <v>3.3502</v>
      </c>
      <c r="BI40" s="135">
        <v>0.1313</v>
      </c>
      <c r="BJ40" s="135">
        <v>3.6207</v>
      </c>
      <c r="BK40" s="135">
        <v>0.0405</v>
      </c>
      <c r="BL40" s="135">
        <v>3.5802</v>
      </c>
      <c r="BM40" s="135">
        <v>2.98</v>
      </c>
      <c r="BN40" s="135">
        <v>0.1168</v>
      </c>
      <c r="BO40" s="135">
        <v>1.7026</v>
      </c>
      <c r="BP40" s="135">
        <v>0.036</v>
      </c>
      <c r="BQ40" s="135">
        <v>1.6666</v>
      </c>
      <c r="BR40" s="135">
        <v>1.2867</v>
      </c>
      <c r="BS40" s="135">
        <v>1.6096</v>
      </c>
      <c r="BT40" s="135">
        <v>0.0393</v>
      </c>
      <c r="BU40" s="135">
        <v>1.5702</v>
      </c>
      <c r="BV40" s="135">
        <v>1.2489</v>
      </c>
      <c r="BW40" s="135">
        <v>1.0964</v>
      </c>
      <c r="BX40" s="135">
        <v>0.0569</v>
      </c>
      <c r="BY40" s="135">
        <v>1.0395</v>
      </c>
      <c r="BZ40" s="135">
        <v>0.8146</v>
      </c>
      <c r="CA40" s="135">
        <v>0.8985</v>
      </c>
      <c r="CB40" s="135">
        <v>0.0105</v>
      </c>
      <c r="CC40" s="135">
        <v>0.888</v>
      </c>
      <c r="CD40" s="135">
        <v>0.7029</v>
      </c>
      <c r="CE40" s="135">
        <v>1.3603</v>
      </c>
      <c r="CF40" s="135">
        <v>0.0164</v>
      </c>
      <c r="CG40" s="135">
        <v>1.3439</v>
      </c>
      <c r="CH40" s="135">
        <v>1.1728</v>
      </c>
      <c r="CI40" s="135">
        <v>1.3618</v>
      </c>
      <c r="CJ40" s="135">
        <v>0.0136</v>
      </c>
      <c r="CK40" s="135">
        <v>1.3483</v>
      </c>
      <c r="CL40" s="135">
        <v>1.1043</v>
      </c>
      <c r="CM40" s="135">
        <v>210.35</v>
      </c>
      <c r="CN40" s="135">
        <v>96.67</v>
      </c>
      <c r="CO40" s="135">
        <v>217.6</v>
      </c>
      <c r="CP40" s="135">
        <v>202.93</v>
      </c>
      <c r="CQ40" s="135">
        <v>0.01</v>
      </c>
      <c r="CR40" s="135">
        <v>3.95</v>
      </c>
      <c r="CS40" s="135">
        <v>3.46</v>
      </c>
      <c r="CT40" s="135">
        <v>0.0</v>
      </c>
      <c r="CU40" s="135">
        <v>0.0</v>
      </c>
      <c r="CV40" s="135">
        <v>0.0</v>
      </c>
      <c r="CW40" s="135">
        <v>121.17</v>
      </c>
      <c r="CX40" s="135">
        <v>0.0</v>
      </c>
      <c r="CY40" s="135">
        <v>0.01</v>
      </c>
      <c r="CZ40" s="135">
        <v>152.86</v>
      </c>
      <c r="DA40" s="135">
        <v>1.59</v>
      </c>
      <c r="DB40" s="135">
        <v>151.28</v>
      </c>
      <c r="DC40" s="135">
        <v>144.73</v>
      </c>
      <c r="DD40" s="135">
        <v>0.45</v>
      </c>
      <c r="DE40" s="135">
        <v>144.29</v>
      </c>
      <c r="DF40" s="135">
        <v>4.09</v>
      </c>
      <c r="DG40" s="135">
        <v>0.38</v>
      </c>
      <c r="DH40" s="135">
        <v>3.7</v>
      </c>
      <c r="DI40" s="135">
        <v>3.01</v>
      </c>
      <c r="DJ40" s="135">
        <v>0.38</v>
      </c>
      <c r="DK40" s="135">
        <v>2.63</v>
      </c>
      <c r="DL40" s="135">
        <v>1.04</v>
      </c>
      <c r="DM40" s="135">
        <v>0.38</v>
      </c>
      <c r="DN40" s="135">
        <v>0.66</v>
      </c>
    </row>
    <row r="41">
      <c r="A41" s="209">
        <v>46258.0</v>
      </c>
      <c r="B41" s="210" t="s">
        <v>4</v>
      </c>
      <c r="C41" s="210" t="s">
        <v>144</v>
      </c>
      <c r="D41" s="210">
        <v>4339.0</v>
      </c>
      <c r="E41" s="210">
        <v>19.66</v>
      </c>
      <c r="F41" s="210">
        <v>818.47</v>
      </c>
      <c r="G41" s="210">
        <v>0.1886</v>
      </c>
      <c r="H41" s="210">
        <v>3.6</v>
      </c>
      <c r="I41" s="210">
        <v>5.2466</v>
      </c>
      <c r="J41" s="210">
        <v>75.89</v>
      </c>
      <c r="K41" s="210">
        <v>41.38</v>
      </c>
      <c r="L41" s="210">
        <v>26.9</v>
      </c>
      <c r="M41" s="210">
        <v>0.65</v>
      </c>
      <c r="N41" s="210">
        <v>0.5054</v>
      </c>
      <c r="O41" s="210">
        <v>0.3278</v>
      </c>
      <c r="P41" s="210">
        <v>1.5384</v>
      </c>
      <c r="Q41" s="210">
        <v>200.21</v>
      </c>
      <c r="R41" s="210">
        <v>179.25</v>
      </c>
      <c r="S41" s="210">
        <v>20.95</v>
      </c>
      <c r="T41" s="210">
        <v>13.51</v>
      </c>
      <c r="U41" s="210">
        <v>186.7</v>
      </c>
      <c r="V41" s="210">
        <v>196.27</v>
      </c>
      <c r="W41" s="210">
        <v>4.7425</v>
      </c>
      <c r="X41" s="210">
        <v>6.75</v>
      </c>
      <c r="Y41" s="210">
        <v>251.0</v>
      </c>
      <c r="Z41" s="210">
        <v>542.0</v>
      </c>
      <c r="AA41" s="210">
        <v>1618.0</v>
      </c>
      <c r="AB41" s="210">
        <v>53.6202</v>
      </c>
      <c r="AC41" s="210">
        <v>0.6911</v>
      </c>
      <c r="AD41" s="210">
        <v>16.48</v>
      </c>
      <c r="AE41" s="210">
        <v>7.0</v>
      </c>
      <c r="AF41" s="210">
        <v>13.0</v>
      </c>
      <c r="AG41" s="210">
        <v>22.0</v>
      </c>
      <c r="AH41" s="210">
        <v>34.0</v>
      </c>
      <c r="AI41" s="210">
        <v>57.89</v>
      </c>
      <c r="AJ41" s="210">
        <v>19.17</v>
      </c>
      <c r="AK41" s="210">
        <v>5.05</v>
      </c>
      <c r="AL41" s="210">
        <v>0.2104</v>
      </c>
      <c r="AM41" s="211"/>
      <c r="AQ41" s="135">
        <v>11.6087</v>
      </c>
      <c r="AR41" s="135">
        <v>0.1756</v>
      </c>
      <c r="AS41" s="135">
        <v>11.433</v>
      </c>
      <c r="AT41" s="135">
        <v>10.2948</v>
      </c>
      <c r="AU41" s="135">
        <v>0.2488</v>
      </c>
      <c r="AV41" s="135">
        <v>4339.0</v>
      </c>
      <c r="AW41" s="135">
        <v>0.0</v>
      </c>
      <c r="AX41" s="135">
        <v>63.38</v>
      </c>
      <c r="AY41" s="135">
        <v>117.11</v>
      </c>
      <c r="AZ41" s="135">
        <v>3.63</v>
      </c>
      <c r="BA41" s="135">
        <v>13.51</v>
      </c>
      <c r="BB41" s="135">
        <v>2.58</v>
      </c>
      <c r="BC41" s="135">
        <v>60.0</v>
      </c>
      <c r="BD41" s="135">
        <v>20000.0</v>
      </c>
      <c r="BE41" s="135">
        <v>6.2989</v>
      </c>
      <c r="BF41" s="135">
        <v>0.0892</v>
      </c>
      <c r="BG41" s="135">
        <v>6.2097</v>
      </c>
      <c r="BH41" s="135">
        <v>5.3777</v>
      </c>
      <c r="BI41" s="135">
        <v>0.1299</v>
      </c>
      <c r="BJ41" s="135">
        <v>5.3097</v>
      </c>
      <c r="BK41" s="135">
        <v>0.0864</v>
      </c>
      <c r="BL41" s="135">
        <v>5.2233</v>
      </c>
      <c r="BM41" s="135">
        <v>4.917</v>
      </c>
      <c r="BN41" s="135">
        <v>0.1188</v>
      </c>
      <c r="BO41" s="135">
        <v>2.0878</v>
      </c>
      <c r="BP41" s="135">
        <v>0.0286</v>
      </c>
      <c r="BQ41" s="135">
        <v>2.0592</v>
      </c>
      <c r="BR41" s="135">
        <v>1.8516</v>
      </c>
      <c r="BS41" s="135">
        <v>2.469</v>
      </c>
      <c r="BT41" s="135">
        <v>0.0286</v>
      </c>
      <c r="BU41" s="135">
        <v>2.4404</v>
      </c>
      <c r="BV41" s="135">
        <v>2.0781</v>
      </c>
      <c r="BW41" s="135">
        <v>1.7421</v>
      </c>
      <c r="BX41" s="135">
        <v>0.032</v>
      </c>
      <c r="BY41" s="135">
        <v>1.7101</v>
      </c>
      <c r="BZ41" s="135">
        <v>1.448</v>
      </c>
      <c r="CA41" s="135">
        <v>1.4072</v>
      </c>
      <c r="CB41" s="135">
        <v>0.0217</v>
      </c>
      <c r="CC41" s="135">
        <v>1.3856</v>
      </c>
      <c r="CD41" s="135">
        <v>1.3192</v>
      </c>
      <c r="CE41" s="135">
        <v>1.846</v>
      </c>
      <c r="CF41" s="135">
        <v>0.0348</v>
      </c>
      <c r="CG41" s="135">
        <v>1.8112</v>
      </c>
      <c r="CH41" s="135">
        <v>1.7463</v>
      </c>
      <c r="CI41" s="135">
        <v>2.0565</v>
      </c>
      <c r="CJ41" s="135">
        <v>0.03</v>
      </c>
      <c r="CK41" s="135">
        <v>2.0265</v>
      </c>
      <c r="CL41" s="135">
        <v>1.8516</v>
      </c>
      <c r="CM41" s="135">
        <v>376.03</v>
      </c>
      <c r="CN41" s="135">
        <v>98.36</v>
      </c>
      <c r="CO41" s="135">
        <v>382.28</v>
      </c>
      <c r="CP41" s="135">
        <v>366.83</v>
      </c>
      <c r="CQ41" s="135">
        <v>0.0</v>
      </c>
      <c r="CR41" s="135">
        <v>3.49</v>
      </c>
      <c r="CS41" s="135">
        <v>5.71</v>
      </c>
      <c r="CT41" s="135">
        <v>0.0</v>
      </c>
      <c r="CU41" s="135">
        <v>0.0</v>
      </c>
      <c r="CV41" s="135">
        <v>0.0</v>
      </c>
      <c r="CW41" s="135">
        <v>200.21</v>
      </c>
      <c r="CX41" s="135">
        <v>0.0</v>
      </c>
      <c r="CY41" s="135">
        <v>0.0</v>
      </c>
      <c r="CZ41" s="135">
        <v>211.22</v>
      </c>
      <c r="DA41" s="135">
        <v>3.69</v>
      </c>
      <c r="DB41" s="135">
        <v>207.53</v>
      </c>
      <c r="DC41" s="135">
        <v>198.25</v>
      </c>
      <c r="DD41" s="135">
        <v>1.0</v>
      </c>
      <c r="DE41" s="135">
        <v>197.25</v>
      </c>
      <c r="DF41" s="135">
        <v>7.2</v>
      </c>
      <c r="DG41" s="135">
        <v>0.9</v>
      </c>
      <c r="DH41" s="135">
        <v>6.3</v>
      </c>
      <c r="DI41" s="135">
        <v>4.09</v>
      </c>
      <c r="DJ41" s="135">
        <v>0.9</v>
      </c>
      <c r="DK41" s="135">
        <v>3.2</v>
      </c>
      <c r="DL41" s="135">
        <v>1.68</v>
      </c>
      <c r="DM41" s="135">
        <v>0.9</v>
      </c>
      <c r="DN41" s="135">
        <v>0.78</v>
      </c>
    </row>
    <row r="42">
      <c r="A42" s="209">
        <v>46258.0</v>
      </c>
      <c r="B42" s="210" t="s">
        <v>4</v>
      </c>
      <c r="C42" s="210" t="s">
        <v>145</v>
      </c>
      <c r="D42" s="210">
        <v>2441.0</v>
      </c>
      <c r="E42" s="210">
        <v>11.06</v>
      </c>
      <c r="F42" s="210">
        <v>1219.04</v>
      </c>
      <c r="G42" s="210">
        <v>0.4994</v>
      </c>
      <c r="H42" s="210">
        <v>6.55</v>
      </c>
      <c r="I42" s="210">
        <v>7.619</v>
      </c>
      <c r="J42" s="210">
        <v>131.03</v>
      </c>
      <c r="K42" s="210">
        <v>75.61</v>
      </c>
      <c r="L42" s="210">
        <v>55.54</v>
      </c>
      <c r="M42" s="210">
        <v>0.7346</v>
      </c>
      <c r="N42" s="210">
        <v>0.4235</v>
      </c>
      <c r="O42" s="210">
        <v>0.2792</v>
      </c>
      <c r="P42" s="210">
        <v>1.3613</v>
      </c>
      <c r="Q42" s="210">
        <v>386.36</v>
      </c>
      <c r="R42" s="210">
        <v>344.95</v>
      </c>
      <c r="S42" s="210">
        <v>41.42</v>
      </c>
      <c r="T42" s="210">
        <v>49.49</v>
      </c>
      <c r="U42" s="210">
        <v>336.88</v>
      </c>
      <c r="V42" s="210">
        <v>379.89</v>
      </c>
      <c r="W42" s="210">
        <v>5.024</v>
      </c>
      <c r="X42" s="210">
        <v>12.81</v>
      </c>
      <c r="Y42" s="210">
        <v>333.0</v>
      </c>
      <c r="Z42" s="210">
        <v>806.0</v>
      </c>
      <c r="AA42" s="210">
        <v>2432.0</v>
      </c>
      <c r="AB42" s="210">
        <v>55.8338</v>
      </c>
      <c r="AC42" s="210">
        <v>0.7429</v>
      </c>
      <c r="AD42" s="210">
        <v>30.66</v>
      </c>
      <c r="AE42" s="210">
        <v>13.0</v>
      </c>
      <c r="AF42" s="210">
        <v>24.0</v>
      </c>
      <c r="AG42" s="210">
        <v>41.0</v>
      </c>
      <c r="AH42" s="210">
        <v>63.0</v>
      </c>
      <c r="AI42" s="210">
        <v>43.18</v>
      </c>
      <c r="AJ42" s="210">
        <v>11.47</v>
      </c>
      <c r="AK42" s="210">
        <v>2.21</v>
      </c>
      <c r="AL42" s="210">
        <v>0.1356</v>
      </c>
      <c r="AM42" s="211"/>
      <c r="AQ42" s="135">
        <v>18.1405</v>
      </c>
      <c r="AR42" s="135">
        <v>0.5104</v>
      </c>
      <c r="AS42" s="135">
        <v>17.6301</v>
      </c>
      <c r="AT42" s="135">
        <v>17.9271</v>
      </c>
      <c r="AU42" s="135">
        <v>0.2371</v>
      </c>
      <c r="AV42" s="135">
        <v>2441.0</v>
      </c>
      <c r="AW42" s="135">
        <v>0.0</v>
      </c>
      <c r="AX42" s="135">
        <v>108.55</v>
      </c>
      <c r="AY42" s="135">
        <v>218.03</v>
      </c>
      <c r="AZ42" s="135">
        <v>5.21</v>
      </c>
      <c r="BA42" s="135">
        <v>49.49</v>
      </c>
      <c r="BB42" s="135">
        <v>5.08</v>
      </c>
      <c r="BC42" s="135">
        <v>116.0</v>
      </c>
      <c r="BD42" s="135">
        <v>21264.0</v>
      </c>
      <c r="BE42" s="135">
        <v>9.5649</v>
      </c>
      <c r="BF42" s="135">
        <v>0.2003</v>
      </c>
      <c r="BG42" s="135">
        <v>9.3646</v>
      </c>
      <c r="BH42" s="135">
        <v>8.6325</v>
      </c>
      <c r="BI42" s="135">
        <v>0.1142</v>
      </c>
      <c r="BJ42" s="135">
        <v>8.5756</v>
      </c>
      <c r="BK42" s="135">
        <v>0.3101</v>
      </c>
      <c r="BL42" s="135">
        <v>8.2655</v>
      </c>
      <c r="BM42" s="135">
        <v>9.2946</v>
      </c>
      <c r="BN42" s="135">
        <v>0.1229</v>
      </c>
      <c r="BO42" s="135">
        <v>3.0475</v>
      </c>
      <c r="BP42" s="135">
        <v>0.0664</v>
      </c>
      <c r="BQ42" s="135">
        <v>2.9812</v>
      </c>
      <c r="BR42" s="135">
        <v>2.9402</v>
      </c>
      <c r="BS42" s="135">
        <v>3.5912</v>
      </c>
      <c r="BT42" s="135">
        <v>0.0651</v>
      </c>
      <c r="BU42" s="135">
        <v>3.526</v>
      </c>
      <c r="BV42" s="135">
        <v>3.2384</v>
      </c>
      <c r="BW42" s="135">
        <v>2.9263</v>
      </c>
      <c r="BX42" s="135">
        <v>0.0688</v>
      </c>
      <c r="BY42" s="135">
        <v>2.8574</v>
      </c>
      <c r="BZ42" s="135">
        <v>2.4539</v>
      </c>
      <c r="CA42" s="135">
        <v>2.6706</v>
      </c>
      <c r="CB42" s="135">
        <v>0.0877</v>
      </c>
      <c r="CC42" s="135">
        <v>2.583</v>
      </c>
      <c r="CD42" s="135">
        <v>2.8988</v>
      </c>
      <c r="CE42" s="135">
        <v>2.5883</v>
      </c>
      <c r="CF42" s="135">
        <v>0.1229</v>
      </c>
      <c r="CG42" s="135">
        <v>2.4654</v>
      </c>
      <c r="CH42" s="135">
        <v>2.6825</v>
      </c>
      <c r="CI42" s="135">
        <v>3.3167</v>
      </c>
      <c r="CJ42" s="135">
        <v>0.0995</v>
      </c>
      <c r="CK42" s="135">
        <v>3.2171</v>
      </c>
      <c r="CL42" s="135">
        <v>3.7132</v>
      </c>
      <c r="CM42" s="135">
        <v>764.84</v>
      </c>
      <c r="CN42" s="135">
        <v>99.26</v>
      </c>
      <c r="CO42" s="135">
        <v>770.52</v>
      </c>
      <c r="CP42" s="135">
        <v>750.93</v>
      </c>
      <c r="CQ42" s="135">
        <v>0.0</v>
      </c>
      <c r="CR42" s="135">
        <v>4.08</v>
      </c>
      <c r="CS42" s="135">
        <v>9.82</v>
      </c>
      <c r="CT42" s="135">
        <v>0.0</v>
      </c>
      <c r="CU42" s="135">
        <v>0.0</v>
      </c>
      <c r="CV42" s="135">
        <v>0.0</v>
      </c>
      <c r="CW42" s="135">
        <v>386.36</v>
      </c>
      <c r="CX42" s="135">
        <v>0.0</v>
      </c>
      <c r="CY42" s="135">
        <v>0.0</v>
      </c>
      <c r="CZ42" s="135">
        <v>332.64</v>
      </c>
      <c r="DA42" s="135">
        <v>6.35</v>
      </c>
      <c r="DB42" s="135">
        <v>326.29</v>
      </c>
      <c r="DC42" s="135">
        <v>313.39</v>
      </c>
      <c r="DD42" s="135">
        <v>2.79</v>
      </c>
      <c r="DE42" s="135">
        <v>310.61</v>
      </c>
      <c r="DF42" s="135">
        <v>10.49</v>
      </c>
      <c r="DG42" s="135">
        <v>1.19</v>
      </c>
      <c r="DH42" s="135">
        <v>9.3</v>
      </c>
      <c r="DI42" s="135">
        <v>6.35</v>
      </c>
      <c r="DJ42" s="135">
        <v>1.19</v>
      </c>
      <c r="DK42" s="135">
        <v>5.16</v>
      </c>
      <c r="DL42" s="135">
        <v>2.41</v>
      </c>
      <c r="DM42" s="135">
        <v>1.19</v>
      </c>
      <c r="DN42" s="135">
        <v>1.22</v>
      </c>
    </row>
    <row r="43">
      <c r="A43" s="209">
        <v>46258.0</v>
      </c>
      <c r="B43" s="210" t="s">
        <v>4</v>
      </c>
      <c r="C43" s="210" t="s">
        <v>146</v>
      </c>
      <c r="D43" s="210">
        <v>282.0</v>
      </c>
      <c r="E43" s="210">
        <v>1.28</v>
      </c>
      <c r="F43" s="210">
        <v>320.44</v>
      </c>
      <c r="G43" s="210">
        <v>1.1363</v>
      </c>
      <c r="H43" s="210">
        <v>7.09</v>
      </c>
      <c r="I43" s="210">
        <v>16.022</v>
      </c>
      <c r="J43" s="210">
        <v>248.32</v>
      </c>
      <c r="K43" s="210">
        <v>158.05</v>
      </c>
      <c r="L43" s="210">
        <v>125.24</v>
      </c>
      <c r="M43" s="210">
        <v>0.7924</v>
      </c>
      <c r="N43" s="210">
        <v>0.3528</v>
      </c>
      <c r="O43" s="210">
        <v>0.2347</v>
      </c>
      <c r="P43" s="210">
        <v>1.262</v>
      </c>
      <c r="Q43" s="210">
        <v>626.5</v>
      </c>
      <c r="R43" s="210">
        <v>529.51</v>
      </c>
      <c r="S43" s="210">
        <v>96.99</v>
      </c>
      <c r="T43" s="210">
        <v>82.09</v>
      </c>
      <c r="U43" s="210">
        <v>544.4</v>
      </c>
      <c r="V43" s="210">
        <v>604.61</v>
      </c>
      <c r="W43" s="210">
        <v>3.8254</v>
      </c>
      <c r="X43" s="210">
        <v>13.1</v>
      </c>
      <c r="Y43" s="210">
        <v>392.0</v>
      </c>
      <c r="Z43" s="210">
        <v>793.0</v>
      </c>
      <c r="AA43" s="210">
        <v>2197.0</v>
      </c>
      <c r="AB43" s="210">
        <v>58.0742</v>
      </c>
      <c r="AC43" s="210">
        <v>0.8098</v>
      </c>
      <c r="AD43" s="210">
        <v>56.05</v>
      </c>
      <c r="AE43" s="210">
        <v>23.0</v>
      </c>
      <c r="AF43" s="210">
        <v>44.0</v>
      </c>
      <c r="AG43" s="210">
        <v>72.0</v>
      </c>
      <c r="AH43" s="210">
        <v>110.0</v>
      </c>
      <c r="AI43" s="210">
        <v>19.5</v>
      </c>
      <c r="AJ43" s="210">
        <v>3.55</v>
      </c>
      <c r="AK43" s="210">
        <v>0.71</v>
      </c>
      <c r="AL43" s="210">
        <v>0.0496</v>
      </c>
      <c r="AM43" s="211"/>
      <c r="AQ43" s="135">
        <v>31.5284</v>
      </c>
      <c r="AR43" s="135">
        <v>0.883</v>
      </c>
      <c r="AS43" s="135">
        <v>30.6454</v>
      </c>
      <c r="AT43" s="135">
        <v>35.4184</v>
      </c>
      <c r="AU43" s="135">
        <v>0.2241</v>
      </c>
      <c r="AV43" s="135">
        <v>282.0</v>
      </c>
      <c r="AW43" s="135">
        <v>0.0</v>
      </c>
      <c r="AX43" s="135">
        <v>199.52</v>
      </c>
      <c r="AY43" s="135">
        <v>324.34</v>
      </c>
      <c r="AZ43" s="135">
        <v>7.59</v>
      </c>
      <c r="BA43" s="135">
        <v>82.09</v>
      </c>
      <c r="BB43" s="135">
        <v>12.95</v>
      </c>
      <c r="BC43" s="135">
        <v>249.0</v>
      </c>
      <c r="BD43" s="135">
        <v>19260.0</v>
      </c>
      <c r="BE43" s="135">
        <v>17.539</v>
      </c>
      <c r="BF43" s="135">
        <v>0.383</v>
      </c>
      <c r="BG43" s="135">
        <v>17.156</v>
      </c>
      <c r="BH43" s="135">
        <v>15.7872</v>
      </c>
      <c r="BI43" s="135">
        <v>0.0999</v>
      </c>
      <c r="BJ43" s="135">
        <v>13.9894</v>
      </c>
      <c r="BK43" s="135">
        <v>0.5</v>
      </c>
      <c r="BL43" s="135">
        <v>13.4894</v>
      </c>
      <c r="BM43" s="135">
        <v>19.6312</v>
      </c>
      <c r="BN43" s="135">
        <v>0.1242</v>
      </c>
      <c r="BO43" s="135">
        <v>5.7908</v>
      </c>
      <c r="BP43" s="135">
        <v>0.1241</v>
      </c>
      <c r="BQ43" s="135">
        <v>5.6667</v>
      </c>
      <c r="BR43" s="135">
        <v>5.2837</v>
      </c>
      <c r="BS43" s="135">
        <v>6.0603</v>
      </c>
      <c r="BT43" s="135">
        <v>0.1241</v>
      </c>
      <c r="BU43" s="135">
        <v>5.9362</v>
      </c>
      <c r="BV43" s="135">
        <v>5.5319</v>
      </c>
      <c r="BW43" s="135">
        <v>5.6879</v>
      </c>
      <c r="BX43" s="135">
        <v>0.1348</v>
      </c>
      <c r="BY43" s="135">
        <v>5.5532</v>
      </c>
      <c r="BZ43" s="135">
        <v>4.9716</v>
      </c>
      <c r="CA43" s="135">
        <v>5.117</v>
      </c>
      <c r="CB43" s="135">
        <v>0.1525</v>
      </c>
      <c r="CC43" s="135">
        <v>4.9645</v>
      </c>
      <c r="CD43" s="135">
        <v>5.6489</v>
      </c>
      <c r="CE43" s="135">
        <v>3.4929</v>
      </c>
      <c r="CF43" s="135">
        <v>0.195</v>
      </c>
      <c r="CG43" s="135">
        <v>3.2979</v>
      </c>
      <c r="CH43" s="135">
        <v>3.8262</v>
      </c>
      <c r="CI43" s="135">
        <v>5.3794</v>
      </c>
      <c r="CJ43" s="135">
        <v>0.1525</v>
      </c>
      <c r="CK43" s="135">
        <v>5.227</v>
      </c>
      <c r="CL43" s="135">
        <v>10.156</v>
      </c>
      <c r="CM43" s="135">
        <v>1543.68</v>
      </c>
      <c r="CN43" s="135">
        <v>99.65</v>
      </c>
      <c r="CO43" s="135">
        <v>1549.17</v>
      </c>
      <c r="CP43" s="135">
        <v>1526.8</v>
      </c>
      <c r="CQ43" s="135">
        <v>0.0</v>
      </c>
      <c r="CR43" s="135">
        <v>5.18</v>
      </c>
      <c r="CS43" s="135">
        <v>11.7</v>
      </c>
      <c r="CT43" s="135">
        <v>0.0</v>
      </c>
      <c r="CU43" s="135">
        <v>0.0</v>
      </c>
      <c r="CV43" s="135">
        <v>0.0</v>
      </c>
      <c r="CW43" s="135">
        <v>626.5</v>
      </c>
      <c r="CX43" s="135">
        <v>0.0</v>
      </c>
      <c r="CY43" s="135">
        <v>0.0</v>
      </c>
      <c r="CZ43" s="135">
        <v>611.33</v>
      </c>
      <c r="DA43" s="135">
        <v>11.4</v>
      </c>
      <c r="DB43" s="135">
        <v>599.93</v>
      </c>
      <c r="DC43" s="135">
        <v>578.78</v>
      </c>
      <c r="DD43" s="135">
        <v>5.23</v>
      </c>
      <c r="DE43" s="135">
        <v>573.55</v>
      </c>
      <c r="DF43" s="135">
        <v>15.59</v>
      </c>
      <c r="DG43" s="135">
        <v>2.06</v>
      </c>
      <c r="DH43" s="135">
        <v>13.53</v>
      </c>
      <c r="DI43" s="135">
        <v>10.78</v>
      </c>
      <c r="DJ43" s="135">
        <v>2.06</v>
      </c>
      <c r="DK43" s="135">
        <v>8.72</v>
      </c>
      <c r="DL43" s="135">
        <v>6.19</v>
      </c>
      <c r="DM43" s="135">
        <v>2.06</v>
      </c>
      <c r="DN43" s="135">
        <v>4.13</v>
      </c>
    </row>
    <row r="44">
      <c r="A44" s="209">
        <v>46258.0</v>
      </c>
      <c r="B44" s="210" t="s">
        <v>5</v>
      </c>
      <c r="C44" s="210" t="s">
        <v>398</v>
      </c>
      <c r="D44" s="210">
        <v>3601.0</v>
      </c>
      <c r="E44" s="210">
        <v>16.56</v>
      </c>
      <c r="F44" s="210">
        <v>17.68</v>
      </c>
      <c r="G44" s="210">
        <v>0.0049</v>
      </c>
      <c r="H44" s="210">
        <v>0.14</v>
      </c>
      <c r="I44" s="210">
        <v>3.536</v>
      </c>
      <c r="J44" s="210">
        <v>4.87</v>
      </c>
      <c r="K44" s="210">
        <v>2.05</v>
      </c>
      <c r="L44" s="210">
        <v>0.28</v>
      </c>
      <c r="M44" s="210">
        <v>0.1346</v>
      </c>
      <c r="N44" s="210">
        <v>0.8883</v>
      </c>
      <c r="O44" s="210">
        <v>0.4831</v>
      </c>
      <c r="P44" s="210">
        <v>7.4296</v>
      </c>
      <c r="Q44" s="210">
        <v>27.12</v>
      </c>
      <c r="R44" s="210">
        <v>27.05</v>
      </c>
      <c r="S44" s="210">
        <v>0.07</v>
      </c>
      <c r="T44" s="210">
        <v>0.68</v>
      </c>
      <c r="U44" s="210">
        <v>26.44</v>
      </c>
      <c r="V44" s="210">
        <v>5.73</v>
      </c>
      <c r="W44" s="210">
        <v>2.7962</v>
      </c>
      <c r="X44" s="210">
        <v>2.51</v>
      </c>
      <c r="Y44" s="210">
        <v>195.0</v>
      </c>
      <c r="Z44" s="210">
        <v>510.0</v>
      </c>
      <c r="AA44" s="210">
        <v>3750.0</v>
      </c>
      <c r="AB44" s="210">
        <v>49.667</v>
      </c>
      <c r="AC44" s="210">
        <v>0.5616</v>
      </c>
      <c r="AD44" s="211"/>
      <c r="AE44" s="211"/>
      <c r="AF44" s="211"/>
      <c r="AG44" s="211"/>
      <c r="AH44" s="211"/>
      <c r="AI44" s="210">
        <v>0.0</v>
      </c>
      <c r="AJ44" s="210">
        <v>0.0</v>
      </c>
      <c r="AK44" s="210">
        <v>0.0</v>
      </c>
      <c r="AL44" s="210">
        <v>0.5318</v>
      </c>
      <c r="AM44" s="210">
        <v>0.67</v>
      </c>
      <c r="AN44" s="135">
        <v>0.67</v>
      </c>
      <c r="AO44" s="135">
        <v>0.47</v>
      </c>
      <c r="AP44" s="135">
        <v>0.11</v>
      </c>
      <c r="AQ44" s="135">
        <v>1.416</v>
      </c>
      <c r="AR44" s="135">
        <v>0.0228</v>
      </c>
      <c r="AS44" s="135">
        <v>1.3932</v>
      </c>
      <c r="AT44" s="135">
        <v>0.4285</v>
      </c>
      <c r="AU44" s="135">
        <v>0.2089</v>
      </c>
      <c r="AV44" s="135">
        <v>3601.0</v>
      </c>
      <c r="AW44" s="135">
        <v>0.0</v>
      </c>
      <c r="AX44" s="135">
        <v>8.13</v>
      </c>
      <c r="AY44" s="135">
        <v>17.03</v>
      </c>
      <c r="AZ44" s="135">
        <v>1.07</v>
      </c>
      <c r="BA44" s="135">
        <v>0.68</v>
      </c>
      <c r="BB44" s="135">
        <v>0.21</v>
      </c>
      <c r="BD44" s="135">
        <v>25412.0</v>
      </c>
      <c r="BE44" s="135">
        <v>0.6918</v>
      </c>
      <c r="BF44" s="135">
        <v>0.0083</v>
      </c>
      <c r="BG44" s="135">
        <v>0.6834</v>
      </c>
      <c r="BH44" s="135">
        <v>0.2671</v>
      </c>
      <c r="BI44" s="135">
        <v>0.1303</v>
      </c>
      <c r="BJ44" s="135">
        <v>0.7242</v>
      </c>
      <c r="BK44" s="135">
        <v>0.0144</v>
      </c>
      <c r="BL44" s="135">
        <v>0.7098</v>
      </c>
      <c r="BM44" s="135">
        <v>0.1613</v>
      </c>
      <c r="BN44" s="135">
        <v>0.0787</v>
      </c>
      <c r="BO44" s="135">
        <v>0.2022</v>
      </c>
      <c r="BP44" s="135">
        <v>0.0044</v>
      </c>
      <c r="BQ44" s="135">
        <v>0.1977</v>
      </c>
      <c r="BR44" s="135">
        <v>0.1083</v>
      </c>
      <c r="BS44" s="135">
        <v>0.3338</v>
      </c>
      <c r="BT44" s="135">
        <v>0.0019</v>
      </c>
      <c r="BU44" s="135">
        <v>0.3319</v>
      </c>
      <c r="BV44" s="135">
        <v>0.1094</v>
      </c>
      <c r="BW44" s="135">
        <v>0.1558</v>
      </c>
      <c r="BX44" s="135">
        <v>0.0019</v>
      </c>
      <c r="BY44" s="135">
        <v>0.1538</v>
      </c>
      <c r="BZ44" s="135">
        <v>0.0494</v>
      </c>
      <c r="CA44" s="135">
        <v>0.1983</v>
      </c>
      <c r="CB44" s="135">
        <v>0.0014</v>
      </c>
      <c r="CC44" s="135">
        <v>0.1969</v>
      </c>
      <c r="CD44" s="135">
        <v>0.0294</v>
      </c>
      <c r="CE44" s="135">
        <v>0.2824</v>
      </c>
      <c r="CF44" s="135">
        <v>0.0086</v>
      </c>
      <c r="CG44" s="135">
        <v>0.2738</v>
      </c>
      <c r="CH44" s="135">
        <v>0.0722</v>
      </c>
      <c r="CI44" s="135">
        <v>0.2435</v>
      </c>
      <c r="CJ44" s="135">
        <v>0.0044</v>
      </c>
      <c r="CK44" s="135">
        <v>0.2391</v>
      </c>
      <c r="CL44" s="135">
        <v>0.0597</v>
      </c>
      <c r="CM44" s="135">
        <v>10.66</v>
      </c>
      <c r="CN44" s="135">
        <v>9.75</v>
      </c>
      <c r="CO44" s="135">
        <v>109.34</v>
      </c>
      <c r="CP44" s="135">
        <v>5.37</v>
      </c>
      <c r="CQ44" s="135">
        <v>0.42</v>
      </c>
      <c r="CR44" s="135">
        <v>1.41</v>
      </c>
      <c r="CS44" s="135">
        <v>3.46</v>
      </c>
      <c r="CT44" s="135">
        <v>0.0</v>
      </c>
      <c r="CU44" s="135">
        <v>225.0</v>
      </c>
      <c r="CV44" s="135">
        <v>0.07</v>
      </c>
      <c r="CW44" s="135">
        <v>27.19</v>
      </c>
      <c r="CX44" s="135">
        <v>0.02</v>
      </c>
      <c r="CY44" s="135">
        <v>0.43</v>
      </c>
      <c r="CZ44" s="135">
        <v>25.44</v>
      </c>
      <c r="DA44" s="135">
        <v>0.08</v>
      </c>
      <c r="DB44" s="135">
        <v>25.36</v>
      </c>
      <c r="DC44" s="135">
        <v>22.01</v>
      </c>
      <c r="DD44" s="135">
        <v>0.03</v>
      </c>
      <c r="DE44" s="135">
        <v>21.98</v>
      </c>
      <c r="DF44" s="135">
        <v>1.83</v>
      </c>
      <c r="DG44" s="135">
        <v>0.02</v>
      </c>
      <c r="DH44" s="135">
        <v>1.81</v>
      </c>
      <c r="DI44" s="135">
        <v>1.33</v>
      </c>
      <c r="DJ44" s="135">
        <v>0.02</v>
      </c>
      <c r="DK44" s="135">
        <v>1.31</v>
      </c>
      <c r="DL44" s="135">
        <v>0.27</v>
      </c>
      <c r="DM44" s="135">
        <v>0.02</v>
      </c>
      <c r="DN44" s="135">
        <v>0.26</v>
      </c>
    </row>
    <row r="45">
      <c r="A45" s="209">
        <v>46258.0</v>
      </c>
      <c r="B45" s="210" t="s">
        <v>5</v>
      </c>
      <c r="C45" s="210" t="s">
        <v>142</v>
      </c>
      <c r="D45" s="210">
        <v>5932.0</v>
      </c>
      <c r="E45" s="210">
        <v>27.29</v>
      </c>
      <c r="F45" s="210">
        <v>82.15</v>
      </c>
      <c r="G45" s="210">
        <v>0.0138</v>
      </c>
      <c r="H45" s="210">
        <v>0.74</v>
      </c>
      <c r="I45" s="210">
        <v>1.867</v>
      </c>
      <c r="J45" s="210">
        <v>24.62</v>
      </c>
      <c r="K45" s="210">
        <v>12.3</v>
      </c>
      <c r="L45" s="210">
        <v>5.6</v>
      </c>
      <c r="M45" s="210">
        <v>0.4551</v>
      </c>
      <c r="N45" s="210">
        <v>0.6619</v>
      </c>
      <c r="O45" s="210">
        <v>0.4169</v>
      </c>
      <c r="P45" s="210">
        <v>2.1975</v>
      </c>
      <c r="Q45" s="210">
        <v>69.42</v>
      </c>
      <c r="R45" s="210">
        <v>65.07</v>
      </c>
      <c r="S45" s="210">
        <v>4.35</v>
      </c>
      <c r="T45" s="210">
        <v>1.17</v>
      </c>
      <c r="U45" s="210">
        <v>68.25</v>
      </c>
      <c r="V45" s="210">
        <v>54.59</v>
      </c>
      <c r="W45" s="210">
        <v>4.4382</v>
      </c>
      <c r="X45" s="210">
        <v>1.69</v>
      </c>
      <c r="Y45" s="210">
        <v>200.0</v>
      </c>
      <c r="Z45" s="210">
        <v>430.0</v>
      </c>
      <c r="AA45" s="210">
        <v>1677.0</v>
      </c>
      <c r="AB45" s="210">
        <v>49.9603</v>
      </c>
      <c r="AC45" s="210">
        <v>0.5841</v>
      </c>
      <c r="AD45" s="210">
        <v>4.28</v>
      </c>
      <c r="AE45" s="210">
        <v>2.0</v>
      </c>
      <c r="AF45" s="210">
        <v>3.0</v>
      </c>
      <c r="AG45" s="210">
        <v>6.0</v>
      </c>
      <c r="AH45" s="210">
        <v>9.0</v>
      </c>
      <c r="AI45" s="210">
        <v>75.44</v>
      </c>
      <c r="AJ45" s="210">
        <v>35.47</v>
      </c>
      <c r="AK45" s="210">
        <v>9.0</v>
      </c>
      <c r="AL45" s="210">
        <v>0.4056</v>
      </c>
      <c r="AM45" s="210">
        <v>44.52</v>
      </c>
      <c r="AN45" s="135">
        <v>44.52</v>
      </c>
      <c r="AO45" s="135">
        <v>22.83</v>
      </c>
      <c r="AP45" s="135">
        <v>7.55</v>
      </c>
      <c r="AQ45" s="135">
        <v>5.1888</v>
      </c>
      <c r="AR45" s="135">
        <v>0.0322</v>
      </c>
      <c r="AS45" s="135">
        <v>5.1566</v>
      </c>
      <c r="AT45" s="135">
        <v>3.2969</v>
      </c>
      <c r="AU45" s="135">
        <v>0.268</v>
      </c>
      <c r="AV45" s="135">
        <v>5932.0</v>
      </c>
      <c r="AW45" s="135">
        <v>0.0</v>
      </c>
      <c r="AX45" s="135">
        <v>20.97</v>
      </c>
      <c r="AY45" s="135">
        <v>44.64</v>
      </c>
      <c r="AZ45" s="135">
        <v>2.13</v>
      </c>
      <c r="BA45" s="135">
        <v>1.17</v>
      </c>
      <c r="BB45" s="135">
        <v>0.5</v>
      </c>
      <c r="BC45" s="135">
        <v>18.0</v>
      </c>
      <c r="BD45" s="135">
        <v>21351.0</v>
      </c>
      <c r="BE45" s="135">
        <v>3.6372</v>
      </c>
      <c r="BF45" s="135">
        <v>0.0157</v>
      </c>
      <c r="BG45" s="135">
        <v>3.6215</v>
      </c>
      <c r="BH45" s="135">
        <v>1.9427</v>
      </c>
      <c r="BI45" s="135">
        <v>0.1579</v>
      </c>
      <c r="BJ45" s="135">
        <v>1.5516</v>
      </c>
      <c r="BK45" s="135">
        <v>0.0165</v>
      </c>
      <c r="BL45" s="135">
        <v>1.5351</v>
      </c>
      <c r="BM45" s="135">
        <v>1.3542</v>
      </c>
      <c r="BN45" s="135">
        <v>0.1101</v>
      </c>
      <c r="BO45" s="135">
        <v>1.7525</v>
      </c>
      <c r="BP45" s="135">
        <v>0.0067</v>
      </c>
      <c r="BQ45" s="135">
        <v>1.7458</v>
      </c>
      <c r="BR45" s="135">
        <v>0.8661</v>
      </c>
      <c r="BS45" s="135">
        <v>1.4686</v>
      </c>
      <c r="BT45" s="135">
        <v>0.0022</v>
      </c>
      <c r="BU45" s="135">
        <v>1.4665</v>
      </c>
      <c r="BV45" s="135">
        <v>0.7549</v>
      </c>
      <c r="BW45" s="135">
        <v>0.416</v>
      </c>
      <c r="BX45" s="135">
        <v>0.0067</v>
      </c>
      <c r="BY45" s="135">
        <v>0.4093</v>
      </c>
      <c r="BZ45" s="135">
        <v>0.3216</v>
      </c>
      <c r="CA45" s="135">
        <v>0.4233</v>
      </c>
      <c r="CB45" s="135">
        <v>0.0029</v>
      </c>
      <c r="CC45" s="135">
        <v>0.4204</v>
      </c>
      <c r="CD45" s="135">
        <v>0.2994</v>
      </c>
      <c r="CE45" s="135">
        <v>0.5715</v>
      </c>
      <c r="CF45" s="135">
        <v>0.0081</v>
      </c>
      <c r="CG45" s="135">
        <v>0.5634</v>
      </c>
      <c r="CH45" s="135">
        <v>0.5807</v>
      </c>
      <c r="CI45" s="135">
        <v>0.5568</v>
      </c>
      <c r="CJ45" s="135">
        <v>0.0056</v>
      </c>
      <c r="CK45" s="135">
        <v>0.5512</v>
      </c>
      <c r="CL45" s="135">
        <v>0.474</v>
      </c>
      <c r="CM45" s="135">
        <v>117.15</v>
      </c>
      <c r="CN45" s="135">
        <v>88.12</v>
      </c>
      <c r="CO45" s="135">
        <v>132.96</v>
      </c>
      <c r="CP45" s="135">
        <v>99.6</v>
      </c>
      <c r="CQ45" s="135">
        <v>10.63</v>
      </c>
      <c r="CR45" s="135">
        <v>3.67</v>
      </c>
      <c r="CS45" s="135">
        <v>3.25</v>
      </c>
      <c r="CT45" s="135">
        <v>0.0</v>
      </c>
      <c r="CU45" s="135">
        <v>942.0</v>
      </c>
      <c r="CV45" s="135">
        <v>1.2</v>
      </c>
      <c r="CW45" s="135">
        <v>70.62</v>
      </c>
      <c r="CX45" s="135">
        <v>1.03</v>
      </c>
      <c r="CY45" s="135">
        <v>11.66</v>
      </c>
      <c r="CZ45" s="135">
        <v>100.36</v>
      </c>
      <c r="DA45" s="135">
        <v>0.34</v>
      </c>
      <c r="DB45" s="135">
        <v>100.02</v>
      </c>
      <c r="DC45" s="135">
        <v>91.22</v>
      </c>
      <c r="DD45" s="135">
        <v>0.09</v>
      </c>
      <c r="DE45" s="135">
        <v>91.13</v>
      </c>
      <c r="DF45" s="135">
        <v>5.08</v>
      </c>
      <c r="DG45" s="135">
        <v>0.08</v>
      </c>
      <c r="DH45" s="135">
        <v>5.0</v>
      </c>
      <c r="DI45" s="135">
        <v>3.59</v>
      </c>
      <c r="DJ45" s="135">
        <v>0.08</v>
      </c>
      <c r="DK45" s="135">
        <v>3.51</v>
      </c>
      <c r="DL45" s="135">
        <v>0.47</v>
      </c>
      <c r="DM45" s="135">
        <v>0.08</v>
      </c>
      <c r="DN45" s="135">
        <v>0.39</v>
      </c>
    </row>
    <row r="46">
      <c r="A46" s="209">
        <v>46258.0</v>
      </c>
      <c r="B46" s="210" t="s">
        <v>5</v>
      </c>
      <c r="C46" s="210" t="s">
        <v>143</v>
      </c>
      <c r="D46" s="210">
        <v>5402.0</v>
      </c>
      <c r="E46" s="210">
        <v>24.85</v>
      </c>
      <c r="F46" s="210">
        <v>393.47</v>
      </c>
      <c r="G46" s="210">
        <v>0.0728</v>
      </c>
      <c r="H46" s="210">
        <v>2.52</v>
      </c>
      <c r="I46" s="210">
        <v>2.8932</v>
      </c>
      <c r="J46" s="210">
        <v>51.02</v>
      </c>
      <c r="K46" s="210">
        <v>26.81</v>
      </c>
      <c r="L46" s="210">
        <v>14.73</v>
      </c>
      <c r="M46" s="210">
        <v>0.5496</v>
      </c>
      <c r="N46" s="210">
        <v>0.5833</v>
      </c>
      <c r="O46" s="210">
        <v>0.3578</v>
      </c>
      <c r="P46" s="210">
        <v>1.8195</v>
      </c>
      <c r="Q46" s="210">
        <v>131.07</v>
      </c>
      <c r="R46" s="210">
        <v>120.05</v>
      </c>
      <c r="S46" s="210">
        <v>11.02</v>
      </c>
      <c r="T46" s="210">
        <v>6.38</v>
      </c>
      <c r="U46" s="210">
        <v>124.69</v>
      </c>
      <c r="V46" s="210">
        <v>113.99</v>
      </c>
      <c r="W46" s="210">
        <v>4.2523</v>
      </c>
      <c r="X46" s="210">
        <v>4.87</v>
      </c>
      <c r="Y46" s="210">
        <v>211.0</v>
      </c>
      <c r="Z46" s="210">
        <v>440.0</v>
      </c>
      <c r="AA46" s="210">
        <v>1351.0</v>
      </c>
      <c r="AB46" s="210">
        <v>51.597</v>
      </c>
      <c r="AC46" s="210">
        <v>0.6275</v>
      </c>
      <c r="AD46" s="210">
        <v>9.76</v>
      </c>
      <c r="AE46" s="210">
        <v>4.0</v>
      </c>
      <c r="AF46" s="210">
        <v>8.0</v>
      </c>
      <c r="AG46" s="210">
        <v>13.0</v>
      </c>
      <c r="AH46" s="210">
        <v>20.0</v>
      </c>
      <c r="AI46" s="210">
        <v>65.42</v>
      </c>
      <c r="AJ46" s="210">
        <v>27.06</v>
      </c>
      <c r="AK46" s="210">
        <v>4.37</v>
      </c>
      <c r="AL46" s="210">
        <v>0.2762</v>
      </c>
      <c r="AM46" s="210">
        <v>52.07</v>
      </c>
      <c r="AN46" s="135">
        <v>52.07</v>
      </c>
      <c r="AO46" s="135">
        <v>30.8</v>
      </c>
      <c r="AP46" s="135">
        <v>14.68</v>
      </c>
      <c r="AQ46" s="135">
        <v>9.3621</v>
      </c>
      <c r="AR46" s="135">
        <v>0.0653</v>
      </c>
      <c r="AS46" s="135">
        <v>9.2967</v>
      </c>
      <c r="AT46" s="135">
        <v>6.3214</v>
      </c>
      <c r="AU46" s="135">
        <v>0.2358</v>
      </c>
      <c r="AV46" s="135">
        <v>5402.0</v>
      </c>
      <c r="AW46" s="135">
        <v>0.0</v>
      </c>
      <c r="AX46" s="135">
        <v>38.33</v>
      </c>
      <c r="AY46" s="135">
        <v>81.88</v>
      </c>
      <c r="AZ46" s="135">
        <v>3.1</v>
      </c>
      <c r="BA46" s="135">
        <v>6.38</v>
      </c>
      <c r="BB46" s="135">
        <v>1.39</v>
      </c>
      <c r="BC46" s="135">
        <v>37.0</v>
      </c>
      <c r="BD46" s="135">
        <v>20183.0</v>
      </c>
      <c r="BE46" s="135">
        <v>6.4432</v>
      </c>
      <c r="BF46" s="135">
        <v>0.025</v>
      </c>
      <c r="BG46" s="135">
        <v>6.4182</v>
      </c>
      <c r="BH46" s="135">
        <v>3.6368</v>
      </c>
      <c r="BI46" s="135">
        <v>0.1357</v>
      </c>
      <c r="BJ46" s="135">
        <v>2.9189</v>
      </c>
      <c r="BK46" s="135">
        <v>0.0404</v>
      </c>
      <c r="BL46" s="135">
        <v>2.8786</v>
      </c>
      <c r="BM46" s="135">
        <v>2.6846</v>
      </c>
      <c r="BN46" s="135">
        <v>0.1001</v>
      </c>
      <c r="BO46" s="135">
        <v>3.0002</v>
      </c>
      <c r="BP46" s="135">
        <v>0.008</v>
      </c>
      <c r="BQ46" s="135">
        <v>2.9922</v>
      </c>
      <c r="BR46" s="135">
        <v>1.6122</v>
      </c>
      <c r="BS46" s="135">
        <v>2.6929</v>
      </c>
      <c r="BT46" s="135">
        <v>0.0074</v>
      </c>
      <c r="BU46" s="135">
        <v>2.6855</v>
      </c>
      <c r="BV46" s="135">
        <v>1.4234</v>
      </c>
      <c r="BW46" s="135">
        <v>0.7501</v>
      </c>
      <c r="BX46" s="135">
        <v>0.0096</v>
      </c>
      <c r="BY46" s="135">
        <v>0.7405</v>
      </c>
      <c r="BZ46" s="135">
        <v>0.6013</v>
      </c>
      <c r="CA46" s="135">
        <v>0.7301</v>
      </c>
      <c r="CB46" s="135">
        <v>0.0098</v>
      </c>
      <c r="CC46" s="135">
        <v>0.7203</v>
      </c>
      <c r="CD46" s="135">
        <v>0.614</v>
      </c>
      <c r="CE46" s="135">
        <v>0.993</v>
      </c>
      <c r="CF46" s="135">
        <v>0.0183</v>
      </c>
      <c r="CG46" s="135">
        <v>0.9746</v>
      </c>
      <c r="CH46" s="135">
        <v>1.0442</v>
      </c>
      <c r="CI46" s="135">
        <v>1.1959</v>
      </c>
      <c r="CJ46" s="135">
        <v>0.0122</v>
      </c>
      <c r="CK46" s="135">
        <v>1.1836</v>
      </c>
      <c r="CL46" s="135">
        <v>1.0263</v>
      </c>
      <c r="CM46" s="135">
        <v>228.06</v>
      </c>
      <c r="CN46" s="135">
        <v>97.0</v>
      </c>
      <c r="CO46" s="135">
        <v>235.11</v>
      </c>
      <c r="CP46" s="135">
        <v>173.2</v>
      </c>
      <c r="CQ46" s="135">
        <v>38.25</v>
      </c>
      <c r="CR46" s="135">
        <v>3.58</v>
      </c>
      <c r="CS46" s="135">
        <v>13.04</v>
      </c>
      <c r="CT46" s="135">
        <v>0.0</v>
      </c>
      <c r="CU46" s="135">
        <v>1655.0</v>
      </c>
      <c r="CV46" s="135">
        <v>4.53</v>
      </c>
      <c r="CW46" s="135">
        <v>135.6</v>
      </c>
      <c r="CX46" s="135">
        <v>4.15</v>
      </c>
      <c r="CY46" s="135">
        <v>42.39</v>
      </c>
      <c r="CZ46" s="135">
        <v>174.05</v>
      </c>
      <c r="DA46" s="135">
        <v>1.55</v>
      </c>
      <c r="DB46" s="135">
        <v>172.5</v>
      </c>
      <c r="DC46" s="135">
        <v>159.14</v>
      </c>
      <c r="DD46" s="135">
        <v>0.4</v>
      </c>
      <c r="DE46" s="135">
        <v>158.74</v>
      </c>
      <c r="DF46" s="135">
        <v>7.47</v>
      </c>
      <c r="DG46" s="135">
        <v>0.39</v>
      </c>
      <c r="DH46" s="135">
        <v>7.08</v>
      </c>
      <c r="DI46" s="135">
        <v>6.04</v>
      </c>
      <c r="DJ46" s="135">
        <v>0.39</v>
      </c>
      <c r="DK46" s="135">
        <v>5.66</v>
      </c>
      <c r="DL46" s="135">
        <v>1.4</v>
      </c>
      <c r="DM46" s="135">
        <v>0.39</v>
      </c>
      <c r="DN46" s="135">
        <v>1.02</v>
      </c>
    </row>
    <row r="47">
      <c r="A47" s="209">
        <v>46258.0</v>
      </c>
      <c r="B47" s="210" t="s">
        <v>5</v>
      </c>
      <c r="C47" s="210" t="s">
        <v>144</v>
      </c>
      <c r="D47" s="210">
        <v>4325.0</v>
      </c>
      <c r="E47" s="210">
        <v>19.89</v>
      </c>
      <c r="F47" s="210">
        <v>829.94</v>
      </c>
      <c r="G47" s="210">
        <v>0.1919</v>
      </c>
      <c r="H47" s="210">
        <v>3.98</v>
      </c>
      <c r="I47" s="210">
        <v>4.8252</v>
      </c>
      <c r="J47" s="210">
        <v>82.15</v>
      </c>
      <c r="K47" s="210">
        <v>45.17</v>
      </c>
      <c r="L47" s="210">
        <v>28.8</v>
      </c>
      <c r="M47" s="210">
        <v>0.6375</v>
      </c>
      <c r="N47" s="210">
        <v>0.511</v>
      </c>
      <c r="O47" s="210">
        <v>0.3212</v>
      </c>
      <c r="P47" s="210">
        <v>1.5686</v>
      </c>
      <c r="Q47" s="210">
        <v>227.37</v>
      </c>
      <c r="R47" s="210">
        <v>205.92</v>
      </c>
      <c r="S47" s="210">
        <v>21.45</v>
      </c>
      <c r="T47" s="210">
        <v>14.08</v>
      </c>
      <c r="U47" s="210">
        <v>213.29</v>
      </c>
      <c r="V47" s="210">
        <v>211.63</v>
      </c>
      <c r="W47" s="210">
        <v>4.6853</v>
      </c>
      <c r="X47" s="210">
        <v>6.19</v>
      </c>
      <c r="Y47" s="210">
        <v>256.0</v>
      </c>
      <c r="Z47" s="210">
        <v>555.0</v>
      </c>
      <c r="AA47" s="210">
        <v>1525.0</v>
      </c>
      <c r="AB47" s="210">
        <v>53.2837</v>
      </c>
      <c r="AC47" s="210">
        <v>0.6719</v>
      </c>
      <c r="AD47" s="210">
        <v>17.34</v>
      </c>
      <c r="AE47" s="210">
        <v>8.0</v>
      </c>
      <c r="AF47" s="210">
        <v>13.0</v>
      </c>
      <c r="AG47" s="210">
        <v>24.0</v>
      </c>
      <c r="AH47" s="210">
        <v>36.0</v>
      </c>
      <c r="AI47" s="210">
        <v>60.09</v>
      </c>
      <c r="AJ47" s="210">
        <v>22.1</v>
      </c>
      <c r="AK47" s="210">
        <v>6.01</v>
      </c>
      <c r="AL47" s="210">
        <v>0.206</v>
      </c>
      <c r="AM47" s="210">
        <v>52.95</v>
      </c>
      <c r="AN47" s="135">
        <v>52.95</v>
      </c>
      <c r="AO47" s="135">
        <v>28.18</v>
      </c>
      <c r="AP47" s="135">
        <v>13.8</v>
      </c>
      <c r="AQ47" s="135">
        <v>13.8291</v>
      </c>
      <c r="AR47" s="135">
        <v>0.1912</v>
      </c>
      <c r="AS47" s="135">
        <v>13.6379</v>
      </c>
      <c r="AT47" s="135">
        <v>9.7452</v>
      </c>
      <c r="AU47" s="135">
        <v>0.2158</v>
      </c>
      <c r="AV47" s="135">
        <v>4325.0</v>
      </c>
      <c r="AW47" s="135">
        <v>0.0</v>
      </c>
      <c r="AX47" s="135">
        <v>63.65</v>
      </c>
      <c r="AY47" s="135">
        <v>144.21</v>
      </c>
      <c r="AZ47" s="135">
        <v>3.75</v>
      </c>
      <c r="BA47" s="135">
        <v>14.08</v>
      </c>
      <c r="BB47" s="135">
        <v>1.68</v>
      </c>
      <c r="BC47" s="135">
        <v>63.0</v>
      </c>
      <c r="BD47" s="135">
        <v>17248.0</v>
      </c>
      <c r="BE47" s="135">
        <v>9.2536</v>
      </c>
      <c r="BF47" s="135">
        <v>0.102</v>
      </c>
      <c r="BG47" s="135">
        <v>9.1517</v>
      </c>
      <c r="BH47" s="135">
        <v>5.6271</v>
      </c>
      <c r="BI47" s="135">
        <v>0.1246</v>
      </c>
      <c r="BJ47" s="135">
        <v>4.5755</v>
      </c>
      <c r="BK47" s="135">
        <v>0.0892</v>
      </c>
      <c r="BL47" s="135">
        <v>4.4862</v>
      </c>
      <c r="BM47" s="135">
        <v>4.1182</v>
      </c>
      <c r="BN47" s="135">
        <v>0.0912</v>
      </c>
      <c r="BO47" s="135">
        <v>3.8518</v>
      </c>
      <c r="BP47" s="135">
        <v>0.0303</v>
      </c>
      <c r="BQ47" s="135">
        <v>3.8215</v>
      </c>
      <c r="BR47" s="135">
        <v>2.2657</v>
      </c>
      <c r="BS47" s="135">
        <v>3.7459</v>
      </c>
      <c r="BT47" s="135">
        <v>0.0317</v>
      </c>
      <c r="BU47" s="135">
        <v>3.7142</v>
      </c>
      <c r="BV47" s="135">
        <v>2.206</v>
      </c>
      <c r="BW47" s="135">
        <v>1.656</v>
      </c>
      <c r="BX47" s="135">
        <v>0.04</v>
      </c>
      <c r="BY47" s="135">
        <v>1.616</v>
      </c>
      <c r="BZ47" s="135">
        <v>1.1554</v>
      </c>
      <c r="CA47" s="135">
        <v>1.2828</v>
      </c>
      <c r="CB47" s="135">
        <v>0.0238</v>
      </c>
      <c r="CC47" s="135">
        <v>1.259</v>
      </c>
      <c r="CD47" s="135">
        <v>1.0345</v>
      </c>
      <c r="CE47" s="135">
        <v>1.3283</v>
      </c>
      <c r="CF47" s="135">
        <v>0.0331</v>
      </c>
      <c r="CG47" s="135">
        <v>1.2953</v>
      </c>
      <c r="CH47" s="135">
        <v>1.4701</v>
      </c>
      <c r="CI47" s="135">
        <v>1.9644</v>
      </c>
      <c r="CJ47" s="135">
        <v>0.0324</v>
      </c>
      <c r="CK47" s="135">
        <v>1.932</v>
      </c>
      <c r="CL47" s="135">
        <v>1.6136</v>
      </c>
      <c r="CM47" s="135">
        <v>411.87</v>
      </c>
      <c r="CN47" s="135">
        <v>98.08</v>
      </c>
      <c r="CO47" s="135">
        <v>419.93</v>
      </c>
      <c r="CP47" s="135">
        <v>310.34</v>
      </c>
      <c r="CQ47" s="135">
        <v>70.52</v>
      </c>
      <c r="CR47" s="135">
        <v>3.4</v>
      </c>
      <c r="CS47" s="135">
        <v>27.61</v>
      </c>
      <c r="CT47" s="135">
        <v>0.0</v>
      </c>
      <c r="CU47" s="135">
        <v>2237.0</v>
      </c>
      <c r="CV47" s="135">
        <v>12.13</v>
      </c>
      <c r="CW47" s="135">
        <v>239.5</v>
      </c>
      <c r="CX47" s="135">
        <v>9.22</v>
      </c>
      <c r="CY47" s="135">
        <v>79.74</v>
      </c>
      <c r="CZ47" s="135">
        <v>267.46</v>
      </c>
      <c r="DA47" s="135">
        <v>3.82</v>
      </c>
      <c r="DB47" s="135">
        <v>263.64</v>
      </c>
      <c r="DC47" s="135">
        <v>245.92</v>
      </c>
      <c r="DD47" s="135">
        <v>1.25</v>
      </c>
      <c r="DE47" s="135">
        <v>244.67</v>
      </c>
      <c r="DF47" s="135">
        <v>10.95</v>
      </c>
      <c r="DG47" s="135">
        <v>0.86</v>
      </c>
      <c r="DH47" s="135">
        <v>10.1</v>
      </c>
      <c r="DI47" s="135">
        <v>6.99</v>
      </c>
      <c r="DJ47" s="135">
        <v>0.86</v>
      </c>
      <c r="DK47" s="135">
        <v>6.13</v>
      </c>
      <c r="DL47" s="135">
        <v>3.59</v>
      </c>
      <c r="DM47" s="135">
        <v>0.86</v>
      </c>
      <c r="DN47" s="135">
        <v>2.74</v>
      </c>
    </row>
    <row r="48">
      <c r="A48" s="209">
        <v>46258.0</v>
      </c>
      <c r="B48" s="210" t="s">
        <v>5</v>
      </c>
      <c r="C48" s="210" t="s">
        <v>145</v>
      </c>
      <c r="D48" s="210">
        <v>2220.0</v>
      </c>
      <c r="E48" s="210">
        <v>10.21</v>
      </c>
      <c r="F48" s="210">
        <v>896.96</v>
      </c>
      <c r="G48" s="210">
        <v>0.404</v>
      </c>
      <c r="H48" s="210">
        <v>5.9</v>
      </c>
      <c r="I48" s="210">
        <v>6.847</v>
      </c>
      <c r="J48" s="210">
        <v>138.15</v>
      </c>
      <c r="K48" s="210">
        <v>81.44</v>
      </c>
      <c r="L48" s="210">
        <v>58.51</v>
      </c>
      <c r="M48" s="210">
        <v>0.7184</v>
      </c>
      <c r="N48" s="210">
        <v>0.4342</v>
      </c>
      <c r="O48" s="210">
        <v>0.2782</v>
      </c>
      <c r="P48" s="210">
        <v>1.392</v>
      </c>
      <c r="Q48" s="210">
        <v>407.37</v>
      </c>
      <c r="R48" s="210">
        <v>364.19</v>
      </c>
      <c r="S48" s="210">
        <v>43.18</v>
      </c>
      <c r="T48" s="210">
        <v>40.65</v>
      </c>
      <c r="U48" s="210">
        <v>366.72</v>
      </c>
      <c r="V48" s="210">
        <v>394.8</v>
      </c>
      <c r="W48" s="210">
        <v>4.8475</v>
      </c>
      <c r="X48" s="210">
        <v>9.98</v>
      </c>
      <c r="Y48" s="210">
        <v>320.0</v>
      </c>
      <c r="Z48" s="210">
        <v>654.0</v>
      </c>
      <c r="AA48" s="210">
        <v>1884.0</v>
      </c>
      <c r="AB48" s="210">
        <v>55.2171</v>
      </c>
      <c r="AC48" s="210">
        <v>0.7204</v>
      </c>
      <c r="AD48" s="210">
        <v>30.66</v>
      </c>
      <c r="AE48" s="210">
        <v>13.0</v>
      </c>
      <c r="AF48" s="210">
        <v>24.0</v>
      </c>
      <c r="AG48" s="210">
        <v>41.0</v>
      </c>
      <c r="AH48" s="210">
        <v>62.0</v>
      </c>
      <c r="AI48" s="210">
        <v>43.51</v>
      </c>
      <c r="AJ48" s="210">
        <v>11.26</v>
      </c>
      <c r="AK48" s="210">
        <v>2.21</v>
      </c>
      <c r="AL48" s="210">
        <v>0.127</v>
      </c>
      <c r="AM48" s="210">
        <v>49.32</v>
      </c>
      <c r="AN48" s="135">
        <v>49.32</v>
      </c>
      <c r="AO48" s="135">
        <v>25.86</v>
      </c>
      <c r="AP48" s="135">
        <v>14.19</v>
      </c>
      <c r="AQ48" s="135">
        <v>20.5703</v>
      </c>
      <c r="AR48" s="135">
        <v>0.5712</v>
      </c>
      <c r="AS48" s="135">
        <v>19.9991</v>
      </c>
      <c r="AT48" s="135">
        <v>15.6095</v>
      </c>
      <c r="AU48" s="135">
        <v>0.1917</v>
      </c>
      <c r="AV48" s="135">
        <v>2220.0</v>
      </c>
      <c r="AW48" s="135">
        <v>0.0</v>
      </c>
      <c r="AX48" s="135">
        <v>108.47</v>
      </c>
      <c r="AY48" s="135">
        <v>248.46</v>
      </c>
      <c r="AZ48" s="135">
        <v>5.01</v>
      </c>
      <c r="BA48" s="135">
        <v>40.65</v>
      </c>
      <c r="BB48" s="135">
        <v>4.78</v>
      </c>
      <c r="BC48" s="135">
        <v>119.0</v>
      </c>
      <c r="BD48" s="135">
        <v>18861.0</v>
      </c>
      <c r="BE48" s="135">
        <v>12.6414</v>
      </c>
      <c r="BF48" s="135">
        <v>0.2959</v>
      </c>
      <c r="BG48" s="135">
        <v>12.3455</v>
      </c>
      <c r="BH48" s="135">
        <v>8.4662</v>
      </c>
      <c r="BI48" s="135">
        <v>0.104</v>
      </c>
      <c r="BJ48" s="135">
        <v>7.9288</v>
      </c>
      <c r="BK48" s="135">
        <v>0.2752</v>
      </c>
      <c r="BL48" s="135">
        <v>7.6536</v>
      </c>
      <c r="BM48" s="135">
        <v>7.1432</v>
      </c>
      <c r="BN48" s="135">
        <v>0.0877</v>
      </c>
      <c r="BO48" s="135">
        <v>4.6356</v>
      </c>
      <c r="BP48" s="135">
        <v>0.0878</v>
      </c>
      <c r="BQ48" s="135">
        <v>4.5477</v>
      </c>
      <c r="BR48" s="135">
        <v>3.1054</v>
      </c>
      <c r="BS48" s="135">
        <v>4.6968</v>
      </c>
      <c r="BT48" s="135">
        <v>0.0986</v>
      </c>
      <c r="BU48" s="135">
        <v>4.5982</v>
      </c>
      <c r="BV48" s="135">
        <v>3.1505</v>
      </c>
      <c r="BW48" s="135">
        <v>3.309</v>
      </c>
      <c r="BX48" s="135">
        <v>0.1095</v>
      </c>
      <c r="BY48" s="135">
        <v>3.1995</v>
      </c>
      <c r="BZ48" s="135">
        <v>2.2104</v>
      </c>
      <c r="CA48" s="135">
        <v>2.4482</v>
      </c>
      <c r="CB48" s="135">
        <v>0.0788</v>
      </c>
      <c r="CC48" s="135">
        <v>2.3694</v>
      </c>
      <c r="CD48" s="135">
        <v>2.0207</v>
      </c>
      <c r="CE48" s="135">
        <v>2.0257</v>
      </c>
      <c r="CF48" s="135">
        <v>0.1077</v>
      </c>
      <c r="CG48" s="135">
        <v>1.918</v>
      </c>
      <c r="CH48" s="135">
        <v>2.1275</v>
      </c>
      <c r="CI48" s="135">
        <v>3.455</v>
      </c>
      <c r="CJ48" s="135">
        <v>0.0887</v>
      </c>
      <c r="CK48" s="135">
        <v>3.3662</v>
      </c>
      <c r="CL48" s="135">
        <v>2.995</v>
      </c>
      <c r="CM48" s="135">
        <v>793.9</v>
      </c>
      <c r="CN48" s="135">
        <v>99.59</v>
      </c>
      <c r="CO48" s="135">
        <v>797.14</v>
      </c>
      <c r="CP48" s="135">
        <v>603.88</v>
      </c>
      <c r="CQ48" s="135">
        <v>133.2</v>
      </c>
      <c r="CR48" s="135">
        <v>3.23</v>
      </c>
      <c r="CS48" s="135">
        <v>53.6</v>
      </c>
      <c r="CT48" s="135">
        <v>0.0</v>
      </c>
      <c r="CU48" s="135">
        <v>1763.0</v>
      </c>
      <c r="CV48" s="135">
        <v>33.7</v>
      </c>
      <c r="CW48" s="135">
        <v>441.07</v>
      </c>
      <c r="CX48" s="135">
        <v>18.48</v>
      </c>
      <c r="CY48" s="135">
        <v>151.68</v>
      </c>
      <c r="CZ48" s="135">
        <v>415.04</v>
      </c>
      <c r="DA48" s="135">
        <v>5.21</v>
      </c>
      <c r="DB48" s="135">
        <v>409.83</v>
      </c>
      <c r="DC48" s="135">
        <v>386.2</v>
      </c>
      <c r="DD48" s="135">
        <v>2.81</v>
      </c>
      <c r="DE48" s="135">
        <v>383.4</v>
      </c>
      <c r="DF48" s="135">
        <v>17.35</v>
      </c>
      <c r="DG48" s="135">
        <v>0.8</v>
      </c>
      <c r="DH48" s="135">
        <v>16.55</v>
      </c>
      <c r="DI48" s="135">
        <v>7.4</v>
      </c>
      <c r="DJ48" s="135">
        <v>0.8</v>
      </c>
      <c r="DK48" s="135">
        <v>6.59</v>
      </c>
      <c r="DL48" s="135">
        <v>4.08</v>
      </c>
      <c r="DM48" s="135">
        <v>0.8</v>
      </c>
      <c r="DN48" s="135">
        <v>3.28</v>
      </c>
    </row>
    <row r="49">
      <c r="A49" s="209">
        <v>46258.0</v>
      </c>
      <c r="B49" s="210" t="s">
        <v>5</v>
      </c>
      <c r="C49" s="210" t="s">
        <v>146</v>
      </c>
      <c r="D49" s="210">
        <v>260.0</v>
      </c>
      <c r="E49" s="210">
        <v>1.2</v>
      </c>
      <c r="F49" s="210">
        <v>82.84</v>
      </c>
      <c r="G49" s="210">
        <v>0.3186</v>
      </c>
      <c r="H49" s="210">
        <v>5.0</v>
      </c>
      <c r="I49" s="210">
        <v>6.3723</v>
      </c>
      <c r="J49" s="210">
        <v>265.89</v>
      </c>
      <c r="K49" s="210">
        <v>170.07</v>
      </c>
      <c r="L49" s="210">
        <v>128.25</v>
      </c>
      <c r="M49" s="210">
        <v>0.7541</v>
      </c>
      <c r="N49" s="210">
        <v>0.3785</v>
      </c>
      <c r="O49" s="210">
        <v>0.2388</v>
      </c>
      <c r="P49" s="210">
        <v>1.326</v>
      </c>
      <c r="Q49" s="210">
        <v>662.15</v>
      </c>
      <c r="R49" s="210">
        <v>565.13</v>
      </c>
      <c r="S49" s="210">
        <v>97.02</v>
      </c>
      <c r="T49" s="210">
        <v>35.96</v>
      </c>
      <c r="U49" s="210">
        <v>626.19</v>
      </c>
      <c r="V49" s="210">
        <v>654.62</v>
      </c>
      <c r="W49" s="210">
        <v>3.8492</v>
      </c>
      <c r="X49" s="210">
        <v>5.43</v>
      </c>
      <c r="Y49" s="210">
        <v>380.0</v>
      </c>
      <c r="Z49" s="210">
        <v>702.0</v>
      </c>
      <c r="AA49" s="210">
        <v>1991.0</v>
      </c>
      <c r="AB49" s="210">
        <v>58.3499</v>
      </c>
      <c r="AC49" s="210">
        <v>0.7706</v>
      </c>
      <c r="AD49" s="210">
        <v>55.3</v>
      </c>
      <c r="AE49" s="210">
        <v>21.0</v>
      </c>
      <c r="AF49" s="210">
        <v>42.0</v>
      </c>
      <c r="AG49" s="210">
        <v>74.0</v>
      </c>
      <c r="AH49" s="210">
        <v>111.0</v>
      </c>
      <c r="AI49" s="210">
        <v>22.31</v>
      </c>
      <c r="AJ49" s="210">
        <v>3.85</v>
      </c>
      <c r="AK49" s="210">
        <v>0.0</v>
      </c>
      <c r="AL49" s="210">
        <v>0.0731</v>
      </c>
      <c r="AM49" s="210">
        <v>36.54</v>
      </c>
      <c r="AN49" s="135">
        <v>36.54</v>
      </c>
      <c r="AO49" s="135">
        <v>20.38</v>
      </c>
      <c r="AP49" s="135">
        <v>13.46</v>
      </c>
      <c r="AQ49" s="135">
        <v>31.4885</v>
      </c>
      <c r="AR49" s="135">
        <v>0.5423</v>
      </c>
      <c r="AS49" s="135">
        <v>30.9462</v>
      </c>
      <c r="AT49" s="135">
        <v>25.8269</v>
      </c>
      <c r="AU49" s="135">
        <v>0.1519</v>
      </c>
      <c r="AV49" s="135">
        <v>260.0</v>
      </c>
      <c r="AW49" s="135">
        <v>0.0</v>
      </c>
      <c r="AX49" s="135">
        <v>202.52</v>
      </c>
      <c r="AY49" s="135">
        <v>403.44</v>
      </c>
      <c r="AZ49" s="135">
        <v>7.23</v>
      </c>
      <c r="BA49" s="135">
        <v>35.96</v>
      </c>
      <c r="BB49" s="135">
        <v>13.0</v>
      </c>
      <c r="BC49" s="135">
        <v>224.0</v>
      </c>
      <c r="BD49" s="135">
        <v>10920.0</v>
      </c>
      <c r="BE49" s="135">
        <v>18.4231</v>
      </c>
      <c r="BF49" s="135">
        <v>0.1615</v>
      </c>
      <c r="BG49" s="135">
        <v>18.2615</v>
      </c>
      <c r="BH49" s="135">
        <v>13.9615</v>
      </c>
      <c r="BI49" s="135">
        <v>0.0821</v>
      </c>
      <c r="BJ49" s="135">
        <v>13.0654</v>
      </c>
      <c r="BK49" s="135">
        <v>0.3808</v>
      </c>
      <c r="BL49" s="135">
        <v>12.6846</v>
      </c>
      <c r="BM49" s="135">
        <v>11.8654</v>
      </c>
      <c r="BN49" s="135">
        <v>0.0698</v>
      </c>
      <c r="BO49" s="135">
        <v>6.2154</v>
      </c>
      <c r="BP49" s="135">
        <v>0.05</v>
      </c>
      <c r="BQ49" s="135">
        <v>6.1654</v>
      </c>
      <c r="BR49" s="135">
        <v>4.8462</v>
      </c>
      <c r="BS49" s="135">
        <v>6.2654</v>
      </c>
      <c r="BT49" s="135">
        <v>0.05</v>
      </c>
      <c r="BU49" s="135">
        <v>6.2154</v>
      </c>
      <c r="BV49" s="135">
        <v>4.9</v>
      </c>
      <c r="BW49" s="135">
        <v>5.9423</v>
      </c>
      <c r="BX49" s="135">
        <v>0.0615</v>
      </c>
      <c r="BY49" s="135">
        <v>5.8808</v>
      </c>
      <c r="BZ49" s="135">
        <v>4.2154</v>
      </c>
      <c r="CA49" s="135">
        <v>4.0462</v>
      </c>
      <c r="CB49" s="135">
        <v>0.0692</v>
      </c>
      <c r="CC49" s="135">
        <v>3.9769</v>
      </c>
      <c r="CD49" s="135">
        <v>3.45</v>
      </c>
      <c r="CE49" s="135">
        <v>2.85</v>
      </c>
      <c r="CF49" s="135">
        <v>0.1846</v>
      </c>
      <c r="CG49" s="135">
        <v>2.6654</v>
      </c>
      <c r="CH49" s="135">
        <v>2.9308</v>
      </c>
      <c r="CI49" s="135">
        <v>6.1692</v>
      </c>
      <c r="CJ49" s="135">
        <v>0.1269</v>
      </c>
      <c r="CK49" s="135">
        <v>6.0423</v>
      </c>
      <c r="CL49" s="135">
        <v>5.4846</v>
      </c>
      <c r="CM49" s="135">
        <v>1650.3</v>
      </c>
      <c r="CN49" s="135">
        <v>100.0</v>
      </c>
      <c r="CO49" s="135">
        <v>1650.3</v>
      </c>
      <c r="CP49" s="135">
        <v>1251.61</v>
      </c>
      <c r="CQ49" s="135">
        <v>295.3</v>
      </c>
      <c r="CR49" s="135">
        <v>3.38</v>
      </c>
      <c r="CS49" s="135">
        <v>100.01</v>
      </c>
      <c r="CT49" s="135">
        <v>0.0</v>
      </c>
      <c r="CU49" s="135">
        <v>240.0</v>
      </c>
      <c r="CV49" s="135">
        <v>97.26</v>
      </c>
      <c r="CW49" s="135">
        <v>759.41</v>
      </c>
      <c r="CX49" s="135">
        <v>36.79</v>
      </c>
      <c r="CY49" s="135">
        <v>332.1</v>
      </c>
      <c r="CZ49" s="135">
        <v>685.98</v>
      </c>
      <c r="DA49" s="135">
        <v>4.62</v>
      </c>
      <c r="DB49" s="135">
        <v>681.37</v>
      </c>
      <c r="DC49" s="135">
        <v>654.92</v>
      </c>
      <c r="DD49" s="135">
        <v>3.23</v>
      </c>
      <c r="DE49" s="135">
        <v>651.69</v>
      </c>
      <c r="DF49" s="135">
        <v>20.63</v>
      </c>
      <c r="DG49" s="135">
        <v>0.46</v>
      </c>
      <c r="DH49" s="135">
        <v>20.17</v>
      </c>
      <c r="DI49" s="135">
        <v>9.21</v>
      </c>
      <c r="DJ49" s="135">
        <v>0.46</v>
      </c>
      <c r="DK49" s="135">
        <v>8.75</v>
      </c>
      <c r="DL49" s="135">
        <v>1.21</v>
      </c>
      <c r="DM49" s="135">
        <v>0.46</v>
      </c>
      <c r="DN49" s="135">
        <v>0.75</v>
      </c>
    </row>
    <row r="50">
      <c r="A50" s="209">
        <v>46259.0</v>
      </c>
      <c r="B50" s="210" t="s">
        <v>4</v>
      </c>
      <c r="C50" s="210" t="s">
        <v>398</v>
      </c>
      <c r="D50" s="210">
        <v>6535.0</v>
      </c>
      <c r="E50" s="210">
        <v>19.5</v>
      </c>
      <c r="F50" s="210">
        <v>595.95</v>
      </c>
      <c r="G50" s="210">
        <v>0.0912</v>
      </c>
      <c r="H50" s="210">
        <v>0.84</v>
      </c>
      <c r="I50" s="210">
        <v>10.8355</v>
      </c>
      <c r="J50" s="210">
        <v>14.8</v>
      </c>
      <c r="K50" s="210">
        <v>7.89</v>
      </c>
      <c r="L50" s="210">
        <v>4.81</v>
      </c>
      <c r="M50" s="210">
        <v>0.61</v>
      </c>
      <c r="N50" s="210">
        <v>0.4948</v>
      </c>
      <c r="O50" s="210">
        <v>0.2176</v>
      </c>
      <c r="P50" s="210">
        <v>1.6394</v>
      </c>
      <c r="Q50" s="210">
        <v>48.9</v>
      </c>
      <c r="R50" s="210">
        <v>48.81</v>
      </c>
      <c r="S50" s="210">
        <v>0.1</v>
      </c>
      <c r="T50" s="210">
        <v>6.18</v>
      </c>
      <c r="U50" s="210">
        <v>42.72</v>
      </c>
      <c r="V50" s="210">
        <v>32.48</v>
      </c>
      <c r="W50" s="210">
        <v>4.1176</v>
      </c>
      <c r="X50" s="210">
        <v>12.64</v>
      </c>
      <c r="Y50" s="210">
        <v>224.0</v>
      </c>
      <c r="Z50" s="210">
        <v>1011.0</v>
      </c>
      <c r="AA50" s="210">
        <v>8202.0</v>
      </c>
      <c r="AB50" s="210">
        <v>50.0011</v>
      </c>
      <c r="AC50" s="210">
        <v>0.5241</v>
      </c>
      <c r="AD50" s="211"/>
      <c r="AE50" s="211"/>
      <c r="AF50" s="211"/>
      <c r="AG50" s="211"/>
      <c r="AH50" s="211"/>
      <c r="AI50" s="210">
        <v>0.0</v>
      </c>
      <c r="AJ50" s="210">
        <v>0.0</v>
      </c>
      <c r="AK50" s="210">
        <v>0.0</v>
      </c>
      <c r="AL50" s="210">
        <v>0.4245</v>
      </c>
      <c r="AQ50" s="135">
        <v>1.3832</v>
      </c>
      <c r="AR50" s="135">
        <v>0.1025</v>
      </c>
      <c r="AS50" s="135">
        <v>1.2806</v>
      </c>
      <c r="AT50" s="135">
        <v>1.0468</v>
      </c>
      <c r="AU50" s="135">
        <v>0.1327</v>
      </c>
      <c r="AV50" s="135">
        <v>6535.0</v>
      </c>
      <c r="AW50" s="135">
        <v>0.0</v>
      </c>
      <c r="AX50" s="135">
        <v>11.09</v>
      </c>
      <c r="AY50" s="135">
        <v>28.96</v>
      </c>
      <c r="AZ50" s="135">
        <v>2.44</v>
      </c>
      <c r="BA50" s="135">
        <v>6.18</v>
      </c>
      <c r="BB50" s="135">
        <v>0.24</v>
      </c>
      <c r="BD50" s="135">
        <v>32085.0</v>
      </c>
      <c r="BE50" s="135">
        <v>0.4881</v>
      </c>
      <c r="BF50" s="135">
        <v>0.0523</v>
      </c>
      <c r="BG50" s="135">
        <v>0.4358</v>
      </c>
      <c r="BH50" s="135">
        <v>0.5304</v>
      </c>
      <c r="BI50" s="135">
        <v>0.0672</v>
      </c>
      <c r="BJ50" s="135">
        <v>0.895</v>
      </c>
      <c r="BK50" s="135">
        <v>0.0502</v>
      </c>
      <c r="BL50" s="135">
        <v>0.8448</v>
      </c>
      <c r="BM50" s="135">
        <v>0.5164</v>
      </c>
      <c r="BN50" s="135">
        <v>0.0655</v>
      </c>
      <c r="BO50" s="135">
        <v>0.1781</v>
      </c>
      <c r="BP50" s="135">
        <v>0.0171</v>
      </c>
      <c r="BQ50" s="135">
        <v>0.161</v>
      </c>
      <c r="BR50" s="135">
        <v>0.2103</v>
      </c>
      <c r="BS50" s="135">
        <v>0.1812</v>
      </c>
      <c r="BT50" s="135">
        <v>0.0176</v>
      </c>
      <c r="BU50" s="135">
        <v>0.1636</v>
      </c>
      <c r="BV50" s="135">
        <v>0.1893</v>
      </c>
      <c r="BW50" s="135">
        <v>0.1288</v>
      </c>
      <c r="BX50" s="135">
        <v>0.0176</v>
      </c>
      <c r="BY50" s="135">
        <v>0.1112</v>
      </c>
      <c r="BZ50" s="135">
        <v>0.1308</v>
      </c>
      <c r="CA50" s="135">
        <v>0.1841</v>
      </c>
      <c r="CB50" s="135">
        <v>0.013</v>
      </c>
      <c r="CC50" s="135">
        <v>0.1711</v>
      </c>
      <c r="CD50" s="135">
        <v>0.1412</v>
      </c>
      <c r="CE50" s="135">
        <v>0.385</v>
      </c>
      <c r="CF50" s="135">
        <v>0.022</v>
      </c>
      <c r="CG50" s="135">
        <v>0.363</v>
      </c>
      <c r="CH50" s="135">
        <v>0.183</v>
      </c>
      <c r="CI50" s="135">
        <v>0.3259</v>
      </c>
      <c r="CJ50" s="135">
        <v>0.0151</v>
      </c>
      <c r="CK50" s="135">
        <v>0.3108</v>
      </c>
      <c r="CL50" s="135">
        <v>0.1922</v>
      </c>
      <c r="CM50" s="135">
        <v>68.74</v>
      </c>
      <c r="CN50" s="135">
        <v>9.7</v>
      </c>
      <c r="CO50" s="135">
        <v>708.51</v>
      </c>
      <c r="CP50" s="135">
        <v>64.58</v>
      </c>
      <c r="CQ50" s="135">
        <v>0.0</v>
      </c>
      <c r="CR50" s="135">
        <v>1.2</v>
      </c>
      <c r="CS50" s="135">
        <v>2.95</v>
      </c>
      <c r="CT50" s="135">
        <v>0.0</v>
      </c>
      <c r="CU50" s="135">
        <v>0.0</v>
      </c>
      <c r="CV50" s="135">
        <v>0.0</v>
      </c>
      <c r="CW50" s="135">
        <v>48.9</v>
      </c>
      <c r="CX50" s="135">
        <v>0.0</v>
      </c>
      <c r="CY50" s="135">
        <v>0.0</v>
      </c>
      <c r="CZ50" s="135">
        <v>26.03</v>
      </c>
      <c r="DA50" s="135">
        <v>0.97</v>
      </c>
      <c r="DB50" s="135">
        <v>25.06</v>
      </c>
      <c r="DC50" s="135">
        <v>22.49</v>
      </c>
      <c r="DD50" s="135">
        <v>0.48</v>
      </c>
      <c r="DE50" s="135">
        <v>22.01</v>
      </c>
      <c r="DF50" s="135">
        <v>1.5</v>
      </c>
      <c r="DG50" s="135">
        <v>0.16</v>
      </c>
      <c r="DH50" s="135">
        <v>1.34</v>
      </c>
      <c r="DI50" s="135">
        <v>1.33</v>
      </c>
      <c r="DJ50" s="135">
        <v>0.16</v>
      </c>
      <c r="DK50" s="135">
        <v>1.17</v>
      </c>
      <c r="DL50" s="135">
        <v>0.7</v>
      </c>
      <c r="DM50" s="135">
        <v>0.16</v>
      </c>
      <c r="DN50" s="135">
        <v>0.54</v>
      </c>
    </row>
    <row r="51">
      <c r="A51" s="209">
        <v>46259.0</v>
      </c>
      <c r="B51" s="210" t="s">
        <v>4</v>
      </c>
      <c r="C51" s="210" t="s">
        <v>142</v>
      </c>
      <c r="D51" s="210">
        <v>9572.0</v>
      </c>
      <c r="E51" s="210">
        <v>28.57</v>
      </c>
      <c r="F51" s="210">
        <v>386.96</v>
      </c>
      <c r="G51" s="210">
        <v>0.0404</v>
      </c>
      <c r="H51" s="210">
        <v>1.46</v>
      </c>
      <c r="I51" s="210">
        <v>2.764</v>
      </c>
      <c r="J51" s="210">
        <v>26.33</v>
      </c>
      <c r="K51" s="210">
        <v>13.18</v>
      </c>
      <c r="L51" s="210">
        <v>5.45</v>
      </c>
      <c r="M51" s="210">
        <v>0.4139</v>
      </c>
      <c r="N51" s="210">
        <v>0.7037</v>
      </c>
      <c r="O51" s="210">
        <v>0.4603</v>
      </c>
      <c r="P51" s="210">
        <v>2.4162</v>
      </c>
      <c r="Q51" s="210">
        <v>48.51</v>
      </c>
      <c r="R51" s="210">
        <v>43.76</v>
      </c>
      <c r="S51" s="210">
        <v>4.75</v>
      </c>
      <c r="T51" s="210">
        <v>2.78</v>
      </c>
      <c r="U51" s="210">
        <v>45.73</v>
      </c>
      <c r="V51" s="210">
        <v>54.9</v>
      </c>
      <c r="W51" s="210">
        <v>4.1662</v>
      </c>
      <c r="X51" s="210">
        <v>5.73</v>
      </c>
      <c r="Y51" s="210">
        <v>186.0</v>
      </c>
      <c r="Z51" s="210">
        <v>478.0</v>
      </c>
      <c r="AA51" s="210">
        <v>2233.0</v>
      </c>
      <c r="AB51" s="210">
        <v>49.7751</v>
      </c>
      <c r="AC51" s="210">
        <v>0.5503</v>
      </c>
      <c r="AD51" s="210">
        <v>4.09</v>
      </c>
      <c r="AE51" s="210">
        <v>1.0</v>
      </c>
      <c r="AF51" s="210">
        <v>3.0</v>
      </c>
      <c r="AG51" s="210">
        <v>5.0</v>
      </c>
      <c r="AH51" s="210">
        <v>9.0</v>
      </c>
      <c r="AI51" s="210">
        <v>74.08</v>
      </c>
      <c r="AJ51" s="210">
        <v>32.78</v>
      </c>
      <c r="AK51" s="210">
        <v>8.17</v>
      </c>
      <c r="AL51" s="210">
        <v>0.3536</v>
      </c>
      <c r="AQ51" s="135">
        <v>3.418</v>
      </c>
      <c r="AR51" s="135">
        <v>0.0476</v>
      </c>
      <c r="AS51" s="135">
        <v>3.3704</v>
      </c>
      <c r="AT51" s="135">
        <v>3.2286</v>
      </c>
      <c r="AU51" s="135">
        <v>0.245</v>
      </c>
      <c r="AV51" s="135">
        <v>9572.0</v>
      </c>
      <c r="AW51" s="135">
        <v>0.0</v>
      </c>
      <c r="AX51" s="135">
        <v>22.31</v>
      </c>
      <c r="AY51" s="135">
        <v>19.79</v>
      </c>
      <c r="AZ51" s="135">
        <v>3.07</v>
      </c>
      <c r="BA51" s="135">
        <v>2.78</v>
      </c>
      <c r="BB51" s="135">
        <v>0.57</v>
      </c>
      <c r="BC51" s="135">
        <v>18.0</v>
      </c>
      <c r="BD51" s="135">
        <v>24350.0</v>
      </c>
      <c r="BE51" s="135">
        <v>1.96</v>
      </c>
      <c r="BF51" s="135">
        <v>0.0223</v>
      </c>
      <c r="BG51" s="135">
        <v>1.9377</v>
      </c>
      <c r="BH51" s="135">
        <v>1.7221</v>
      </c>
      <c r="BI51" s="135">
        <v>0.1307</v>
      </c>
      <c r="BJ51" s="135">
        <v>1.458</v>
      </c>
      <c r="BK51" s="135">
        <v>0.0254</v>
      </c>
      <c r="BL51" s="135">
        <v>1.4326</v>
      </c>
      <c r="BM51" s="135">
        <v>1.5065</v>
      </c>
      <c r="BN51" s="135">
        <v>0.1143</v>
      </c>
      <c r="BO51" s="135">
        <v>0.8378</v>
      </c>
      <c r="BP51" s="135">
        <v>0.0071</v>
      </c>
      <c r="BQ51" s="135">
        <v>0.8307</v>
      </c>
      <c r="BR51" s="135">
        <v>0.7082</v>
      </c>
      <c r="BS51" s="135">
        <v>0.7351</v>
      </c>
      <c r="BT51" s="135">
        <v>0.0055</v>
      </c>
      <c r="BU51" s="135">
        <v>0.7295</v>
      </c>
      <c r="BV51" s="135">
        <v>0.6539</v>
      </c>
      <c r="BW51" s="135">
        <v>0.3872</v>
      </c>
      <c r="BX51" s="135">
        <v>0.0096</v>
      </c>
      <c r="BY51" s="135">
        <v>0.3776</v>
      </c>
      <c r="BZ51" s="135">
        <v>0.36</v>
      </c>
      <c r="CA51" s="135">
        <v>0.2893</v>
      </c>
      <c r="CB51" s="135">
        <v>0.0059</v>
      </c>
      <c r="CC51" s="135">
        <v>0.2834</v>
      </c>
      <c r="CD51" s="135">
        <v>0.3127</v>
      </c>
      <c r="CE51" s="135">
        <v>0.6667</v>
      </c>
      <c r="CF51" s="135">
        <v>0.0093</v>
      </c>
      <c r="CG51" s="135">
        <v>0.6574</v>
      </c>
      <c r="CH51" s="135">
        <v>0.6597</v>
      </c>
      <c r="CI51" s="135">
        <v>0.502</v>
      </c>
      <c r="CJ51" s="135">
        <v>0.0102</v>
      </c>
      <c r="CK51" s="135">
        <v>0.4917</v>
      </c>
      <c r="CL51" s="135">
        <v>0.5341</v>
      </c>
      <c r="CM51" s="135">
        <v>108.88</v>
      </c>
      <c r="CN51" s="135">
        <v>91.62</v>
      </c>
      <c r="CO51" s="135">
        <v>118.84</v>
      </c>
      <c r="CP51" s="135">
        <v>102.38</v>
      </c>
      <c r="CQ51" s="135">
        <v>0.0</v>
      </c>
      <c r="CR51" s="135">
        <v>3.41</v>
      </c>
      <c r="CS51" s="135">
        <v>3.09</v>
      </c>
      <c r="CT51" s="135">
        <v>0.0</v>
      </c>
      <c r="CU51" s="135">
        <v>0.0</v>
      </c>
      <c r="CV51" s="135">
        <v>0.0</v>
      </c>
      <c r="CW51" s="135">
        <v>48.51</v>
      </c>
      <c r="CX51" s="135">
        <v>0.0</v>
      </c>
      <c r="CY51" s="135">
        <v>0.0</v>
      </c>
      <c r="CZ51" s="135">
        <v>65.37</v>
      </c>
      <c r="DA51" s="135">
        <v>0.92</v>
      </c>
      <c r="DB51" s="135">
        <v>64.46</v>
      </c>
      <c r="DC51" s="135">
        <v>59.13</v>
      </c>
      <c r="DD51" s="135">
        <v>0.26</v>
      </c>
      <c r="DE51" s="135">
        <v>58.87</v>
      </c>
      <c r="DF51" s="135">
        <v>3.09</v>
      </c>
      <c r="DG51" s="135">
        <v>0.22</v>
      </c>
      <c r="DH51" s="135">
        <v>2.87</v>
      </c>
      <c r="DI51" s="135">
        <v>2.53</v>
      </c>
      <c r="DJ51" s="135">
        <v>0.22</v>
      </c>
      <c r="DK51" s="135">
        <v>2.31</v>
      </c>
      <c r="DL51" s="135">
        <v>0.63</v>
      </c>
      <c r="DM51" s="135">
        <v>0.22</v>
      </c>
      <c r="DN51" s="135">
        <v>0.41</v>
      </c>
    </row>
    <row r="52">
      <c r="A52" s="209">
        <v>46259.0</v>
      </c>
      <c r="B52" s="210" t="s">
        <v>4</v>
      </c>
      <c r="C52" s="210" t="s">
        <v>143</v>
      </c>
      <c r="D52" s="210">
        <v>8101.0</v>
      </c>
      <c r="E52" s="210">
        <v>24.18</v>
      </c>
      <c r="F52" s="210">
        <v>1023.4</v>
      </c>
      <c r="G52" s="210">
        <v>0.1263</v>
      </c>
      <c r="H52" s="210">
        <v>3.86</v>
      </c>
      <c r="I52" s="210">
        <v>3.2696</v>
      </c>
      <c r="J52" s="210">
        <v>48.94</v>
      </c>
      <c r="K52" s="210">
        <v>25.29</v>
      </c>
      <c r="L52" s="210">
        <v>13.89</v>
      </c>
      <c r="M52" s="210">
        <v>0.549</v>
      </c>
      <c r="N52" s="210">
        <v>0.594</v>
      </c>
      <c r="O52" s="210">
        <v>0.3716</v>
      </c>
      <c r="P52" s="210">
        <v>1.8214</v>
      </c>
      <c r="Q52" s="210">
        <v>103.18</v>
      </c>
      <c r="R52" s="210">
        <v>92.27</v>
      </c>
      <c r="S52" s="210">
        <v>10.91</v>
      </c>
      <c r="T52" s="210">
        <v>9.17</v>
      </c>
      <c r="U52" s="210">
        <v>94.02</v>
      </c>
      <c r="V52" s="210">
        <v>111.21</v>
      </c>
      <c r="W52" s="210">
        <v>4.3967</v>
      </c>
      <c r="X52" s="210">
        <v>8.88</v>
      </c>
      <c r="Y52" s="210">
        <v>208.0</v>
      </c>
      <c r="Z52" s="210">
        <v>523.0</v>
      </c>
      <c r="AA52" s="210">
        <v>2266.0</v>
      </c>
      <c r="AB52" s="210">
        <v>51.9129</v>
      </c>
      <c r="AC52" s="210">
        <v>0.6089</v>
      </c>
      <c r="AD52" s="210">
        <v>9.25</v>
      </c>
      <c r="AE52" s="210">
        <v>4.0</v>
      </c>
      <c r="AF52" s="210">
        <v>7.0</v>
      </c>
      <c r="AG52" s="210">
        <v>13.0</v>
      </c>
      <c r="AH52" s="210">
        <v>19.0</v>
      </c>
      <c r="AI52" s="210">
        <v>61.23</v>
      </c>
      <c r="AJ52" s="210">
        <v>25.77</v>
      </c>
      <c r="AK52" s="210">
        <v>4.01</v>
      </c>
      <c r="AL52" s="210">
        <v>0.2447</v>
      </c>
      <c r="AQ52" s="135">
        <v>6.3135</v>
      </c>
      <c r="AR52" s="135">
        <v>0.1113</v>
      </c>
      <c r="AS52" s="135">
        <v>6.2022</v>
      </c>
      <c r="AT52" s="135">
        <v>6.1773</v>
      </c>
      <c r="AU52" s="135">
        <v>0.2442</v>
      </c>
      <c r="AV52" s="135">
        <v>8101.0</v>
      </c>
      <c r="AW52" s="135">
        <v>0.0</v>
      </c>
      <c r="AX52" s="135">
        <v>35.2</v>
      </c>
      <c r="AY52" s="135">
        <v>53.04</v>
      </c>
      <c r="AZ52" s="135">
        <v>4.21</v>
      </c>
      <c r="BA52" s="135">
        <v>9.17</v>
      </c>
      <c r="BB52" s="135">
        <v>1.57</v>
      </c>
      <c r="BC52" s="135">
        <v>35.0</v>
      </c>
      <c r="BD52" s="135">
        <v>23168.0</v>
      </c>
      <c r="BE52" s="135">
        <v>3.4204</v>
      </c>
      <c r="BF52" s="135">
        <v>0.047</v>
      </c>
      <c r="BG52" s="135">
        <v>3.3734</v>
      </c>
      <c r="BH52" s="135">
        <v>3.2719</v>
      </c>
      <c r="BI52" s="135">
        <v>0.1294</v>
      </c>
      <c r="BJ52" s="135">
        <v>2.8931</v>
      </c>
      <c r="BK52" s="135">
        <v>0.0643</v>
      </c>
      <c r="BL52" s="135">
        <v>2.8288</v>
      </c>
      <c r="BM52" s="135">
        <v>2.9053</v>
      </c>
      <c r="BN52" s="135">
        <v>0.1149</v>
      </c>
      <c r="BO52" s="135">
        <v>1.3455</v>
      </c>
      <c r="BP52" s="135">
        <v>0.0149</v>
      </c>
      <c r="BQ52" s="135">
        <v>1.3306</v>
      </c>
      <c r="BR52" s="135">
        <v>1.2655</v>
      </c>
      <c r="BS52" s="135">
        <v>1.3182</v>
      </c>
      <c r="BT52" s="135">
        <v>0.0157</v>
      </c>
      <c r="BU52" s="135">
        <v>1.3026</v>
      </c>
      <c r="BV52" s="135">
        <v>1.2545</v>
      </c>
      <c r="BW52" s="135">
        <v>0.7567</v>
      </c>
      <c r="BX52" s="135">
        <v>0.0164</v>
      </c>
      <c r="BY52" s="135">
        <v>0.7403</v>
      </c>
      <c r="BZ52" s="135">
        <v>0.7519</v>
      </c>
      <c r="CA52" s="135">
        <v>0.5929</v>
      </c>
      <c r="CB52" s="135">
        <v>0.0172</v>
      </c>
      <c r="CC52" s="135">
        <v>0.5757</v>
      </c>
      <c r="CD52" s="135">
        <v>0.6163</v>
      </c>
      <c r="CE52" s="135">
        <v>1.2048</v>
      </c>
      <c r="CF52" s="135">
        <v>0.0254</v>
      </c>
      <c r="CG52" s="135">
        <v>1.1794</v>
      </c>
      <c r="CH52" s="135">
        <v>1.1989</v>
      </c>
      <c r="CI52" s="135">
        <v>1.0954</v>
      </c>
      <c r="CJ52" s="135">
        <v>0.0217</v>
      </c>
      <c r="CK52" s="135">
        <v>1.0737</v>
      </c>
      <c r="CL52" s="135">
        <v>1.0901</v>
      </c>
      <c r="CM52" s="135">
        <v>215.07</v>
      </c>
      <c r="CN52" s="135">
        <v>97.41</v>
      </c>
      <c r="CO52" s="135">
        <v>220.8</v>
      </c>
      <c r="CP52" s="135">
        <v>197.85</v>
      </c>
      <c r="CQ52" s="135">
        <v>0.0</v>
      </c>
      <c r="CR52" s="135">
        <v>3.57</v>
      </c>
      <c r="CS52" s="135">
        <v>13.65</v>
      </c>
      <c r="CT52" s="135">
        <v>0.0</v>
      </c>
      <c r="CU52" s="135">
        <v>0.0</v>
      </c>
      <c r="CV52" s="135">
        <v>0.0</v>
      </c>
      <c r="CW52" s="135">
        <v>103.18</v>
      </c>
      <c r="CX52" s="135">
        <v>0.0</v>
      </c>
      <c r="CY52" s="135">
        <v>0.0</v>
      </c>
      <c r="CZ52" s="135">
        <v>102.62</v>
      </c>
      <c r="DA52" s="135">
        <v>2.61</v>
      </c>
      <c r="DB52" s="135">
        <v>100.01</v>
      </c>
      <c r="DC52" s="135">
        <v>94.03</v>
      </c>
      <c r="DD52" s="135">
        <v>0.76</v>
      </c>
      <c r="DE52" s="135">
        <v>93.27</v>
      </c>
      <c r="DF52" s="135">
        <v>4.04</v>
      </c>
      <c r="DG52" s="135">
        <v>0.62</v>
      </c>
      <c r="DH52" s="135">
        <v>3.42</v>
      </c>
      <c r="DI52" s="135">
        <v>3.36</v>
      </c>
      <c r="DJ52" s="135">
        <v>0.62</v>
      </c>
      <c r="DK52" s="135">
        <v>2.74</v>
      </c>
      <c r="DL52" s="135">
        <v>1.19</v>
      </c>
      <c r="DM52" s="135">
        <v>0.62</v>
      </c>
      <c r="DN52" s="135">
        <v>0.58</v>
      </c>
    </row>
    <row r="53">
      <c r="A53" s="209">
        <v>46259.0</v>
      </c>
      <c r="B53" s="210" t="s">
        <v>4</v>
      </c>
      <c r="C53" s="210" t="s">
        <v>144</v>
      </c>
      <c r="D53" s="210">
        <v>5965.0</v>
      </c>
      <c r="E53" s="210">
        <v>17.8</v>
      </c>
      <c r="F53" s="210">
        <v>2022.86</v>
      </c>
      <c r="G53" s="210">
        <v>0.3391</v>
      </c>
      <c r="H53" s="210">
        <v>5.7</v>
      </c>
      <c r="I53" s="210">
        <v>5.9496</v>
      </c>
      <c r="J53" s="210">
        <v>74.91</v>
      </c>
      <c r="K53" s="210">
        <v>41.44</v>
      </c>
      <c r="L53" s="210">
        <v>27.32</v>
      </c>
      <c r="M53" s="210">
        <v>0.6592</v>
      </c>
      <c r="N53" s="210">
        <v>0.4905</v>
      </c>
      <c r="O53" s="210">
        <v>0.3095</v>
      </c>
      <c r="P53" s="210">
        <v>1.517</v>
      </c>
      <c r="Q53" s="210">
        <v>194.41</v>
      </c>
      <c r="R53" s="210">
        <v>173.43</v>
      </c>
      <c r="S53" s="210">
        <v>20.97</v>
      </c>
      <c r="T53" s="210">
        <v>24.32</v>
      </c>
      <c r="U53" s="210">
        <v>170.09</v>
      </c>
      <c r="V53" s="210">
        <v>200.76</v>
      </c>
      <c r="W53" s="210">
        <v>4.8441</v>
      </c>
      <c r="X53" s="210">
        <v>12.51</v>
      </c>
      <c r="Y53" s="210">
        <v>251.0</v>
      </c>
      <c r="Z53" s="210">
        <v>572.0</v>
      </c>
      <c r="AA53" s="210">
        <v>2006.0</v>
      </c>
      <c r="AB53" s="210">
        <v>54.1231</v>
      </c>
      <c r="AC53" s="210">
        <v>0.6963</v>
      </c>
      <c r="AD53" s="210">
        <v>16.51</v>
      </c>
      <c r="AE53" s="210">
        <v>7.0</v>
      </c>
      <c r="AF53" s="210">
        <v>13.0</v>
      </c>
      <c r="AG53" s="210">
        <v>23.0</v>
      </c>
      <c r="AH53" s="210">
        <v>34.0</v>
      </c>
      <c r="AI53" s="210">
        <v>56.76</v>
      </c>
      <c r="AJ53" s="210">
        <v>20.8</v>
      </c>
      <c r="AK53" s="210">
        <v>5.47</v>
      </c>
      <c r="AL53" s="210">
        <v>0.198</v>
      </c>
      <c r="AQ53" s="135">
        <v>9.7098</v>
      </c>
      <c r="AR53" s="135">
        <v>0.3321</v>
      </c>
      <c r="AS53" s="135">
        <v>9.3777</v>
      </c>
      <c r="AT53" s="135">
        <v>9.8776</v>
      </c>
      <c r="AU53" s="135">
        <v>0.2383</v>
      </c>
      <c r="AV53" s="135">
        <v>5965.0</v>
      </c>
      <c r="AW53" s="135">
        <v>0.0</v>
      </c>
      <c r="AX53" s="135">
        <v>56.87</v>
      </c>
      <c r="AY53" s="135">
        <v>106.45</v>
      </c>
      <c r="AZ53" s="135">
        <v>4.19</v>
      </c>
      <c r="BA53" s="135">
        <v>24.32</v>
      </c>
      <c r="BB53" s="135">
        <v>2.58</v>
      </c>
      <c r="BC53" s="135">
        <v>62.0</v>
      </c>
      <c r="BD53" s="135">
        <v>21114.0</v>
      </c>
      <c r="BE53" s="135">
        <v>5.2801</v>
      </c>
      <c r="BF53" s="135">
        <v>0.1504</v>
      </c>
      <c r="BG53" s="135">
        <v>5.1298</v>
      </c>
      <c r="BH53" s="135">
        <v>5.223</v>
      </c>
      <c r="BI53" s="135">
        <v>0.126</v>
      </c>
      <c r="BJ53" s="135">
        <v>4.4297</v>
      </c>
      <c r="BK53" s="135">
        <v>0.1817</v>
      </c>
      <c r="BL53" s="135">
        <v>4.2479</v>
      </c>
      <c r="BM53" s="135">
        <v>4.6547</v>
      </c>
      <c r="BN53" s="135">
        <v>0.1123</v>
      </c>
      <c r="BO53" s="135">
        <v>1.8681</v>
      </c>
      <c r="BP53" s="135">
        <v>0.0476</v>
      </c>
      <c r="BQ53" s="135">
        <v>1.8205</v>
      </c>
      <c r="BR53" s="135">
        <v>1.852</v>
      </c>
      <c r="BS53" s="135">
        <v>2.065</v>
      </c>
      <c r="BT53" s="135">
        <v>0.0506</v>
      </c>
      <c r="BU53" s="135">
        <v>2.0144</v>
      </c>
      <c r="BV53" s="135">
        <v>2.0308</v>
      </c>
      <c r="BW53" s="135">
        <v>1.347</v>
      </c>
      <c r="BX53" s="135">
        <v>0.0521</v>
      </c>
      <c r="BY53" s="135">
        <v>1.2949</v>
      </c>
      <c r="BZ53" s="135">
        <v>1.3402</v>
      </c>
      <c r="CA53" s="135">
        <v>1.0706</v>
      </c>
      <c r="CB53" s="135">
        <v>0.0516</v>
      </c>
      <c r="CC53" s="135">
        <v>1.0189</v>
      </c>
      <c r="CD53" s="135">
        <v>1.1583</v>
      </c>
      <c r="CE53" s="135">
        <v>1.573</v>
      </c>
      <c r="CF53" s="135">
        <v>0.0681</v>
      </c>
      <c r="CG53" s="135">
        <v>1.5049</v>
      </c>
      <c r="CH53" s="135">
        <v>1.6562</v>
      </c>
      <c r="CI53" s="135">
        <v>1.7861</v>
      </c>
      <c r="CJ53" s="135">
        <v>0.062</v>
      </c>
      <c r="CK53" s="135">
        <v>1.7241</v>
      </c>
      <c r="CL53" s="135">
        <v>1.8402</v>
      </c>
      <c r="CM53" s="135">
        <v>395.94</v>
      </c>
      <c r="CN53" s="135">
        <v>98.69</v>
      </c>
      <c r="CO53" s="135">
        <v>401.18</v>
      </c>
      <c r="CP53" s="135">
        <v>367.86</v>
      </c>
      <c r="CQ53" s="135">
        <v>0.0</v>
      </c>
      <c r="CR53" s="135">
        <v>4.42</v>
      </c>
      <c r="CS53" s="135">
        <v>23.66</v>
      </c>
      <c r="CT53" s="135">
        <v>0.0</v>
      </c>
      <c r="CU53" s="135">
        <v>0.0</v>
      </c>
      <c r="CV53" s="135">
        <v>0.0</v>
      </c>
      <c r="CW53" s="135">
        <v>194.41</v>
      </c>
      <c r="CX53" s="135">
        <v>0.0</v>
      </c>
      <c r="CY53" s="135">
        <v>0.0</v>
      </c>
      <c r="CZ53" s="135">
        <v>165.95</v>
      </c>
      <c r="DA53" s="135">
        <v>5.24</v>
      </c>
      <c r="DB53" s="135">
        <v>160.71</v>
      </c>
      <c r="DC53" s="135">
        <v>151.53</v>
      </c>
      <c r="DD53" s="135">
        <v>2.05</v>
      </c>
      <c r="DE53" s="135">
        <v>149.48</v>
      </c>
      <c r="DF53" s="135">
        <v>7.78</v>
      </c>
      <c r="DG53" s="135">
        <v>1.07</v>
      </c>
      <c r="DH53" s="135">
        <v>6.71</v>
      </c>
      <c r="DI53" s="135">
        <v>4.61</v>
      </c>
      <c r="DJ53" s="135">
        <v>1.07</v>
      </c>
      <c r="DK53" s="135">
        <v>3.55</v>
      </c>
      <c r="DL53" s="135">
        <v>2.04</v>
      </c>
      <c r="DM53" s="135">
        <v>1.07</v>
      </c>
      <c r="DN53" s="135">
        <v>0.97</v>
      </c>
    </row>
    <row r="54">
      <c r="A54" s="209">
        <v>46259.0</v>
      </c>
      <c r="B54" s="210" t="s">
        <v>4</v>
      </c>
      <c r="C54" s="210" t="s">
        <v>145</v>
      </c>
      <c r="D54" s="210">
        <v>2959.0</v>
      </c>
      <c r="E54" s="210">
        <v>8.83</v>
      </c>
      <c r="F54" s="210">
        <v>1981.64</v>
      </c>
      <c r="G54" s="210">
        <v>0.6697</v>
      </c>
      <c r="H54" s="210">
        <v>7.77</v>
      </c>
      <c r="I54" s="210">
        <v>8.6158</v>
      </c>
      <c r="J54" s="210">
        <v>126.99</v>
      </c>
      <c r="K54" s="210">
        <v>73.93</v>
      </c>
      <c r="L54" s="210">
        <v>53.54</v>
      </c>
      <c r="M54" s="210">
        <v>0.7242</v>
      </c>
      <c r="N54" s="210">
        <v>0.4212</v>
      </c>
      <c r="O54" s="210">
        <v>0.2667</v>
      </c>
      <c r="P54" s="210">
        <v>1.3809</v>
      </c>
      <c r="Q54" s="210">
        <v>353.32</v>
      </c>
      <c r="R54" s="210">
        <v>311.06</v>
      </c>
      <c r="S54" s="210">
        <v>42.26</v>
      </c>
      <c r="T54" s="210">
        <v>46.74</v>
      </c>
      <c r="U54" s="210">
        <v>306.58</v>
      </c>
      <c r="V54" s="210">
        <v>356.17</v>
      </c>
      <c r="W54" s="210">
        <v>4.8177</v>
      </c>
      <c r="X54" s="210">
        <v>13.23</v>
      </c>
      <c r="Y54" s="210">
        <v>318.0</v>
      </c>
      <c r="Z54" s="210">
        <v>743.0</v>
      </c>
      <c r="AA54" s="210">
        <v>2393.0</v>
      </c>
      <c r="AB54" s="210">
        <v>56.2161</v>
      </c>
      <c r="AC54" s="210">
        <v>0.7725</v>
      </c>
      <c r="AD54" s="210">
        <v>31.75</v>
      </c>
      <c r="AE54" s="210">
        <v>12.0</v>
      </c>
      <c r="AF54" s="210">
        <v>24.0</v>
      </c>
      <c r="AG54" s="210">
        <v>43.0</v>
      </c>
      <c r="AH54" s="210">
        <v>68.0</v>
      </c>
      <c r="AI54" s="210">
        <v>43.63</v>
      </c>
      <c r="AJ54" s="210">
        <v>14.16</v>
      </c>
      <c r="AK54" s="210">
        <v>3.11</v>
      </c>
      <c r="AL54" s="210">
        <v>0.144</v>
      </c>
      <c r="AQ54" s="135">
        <v>15.0189</v>
      </c>
      <c r="AR54" s="135">
        <v>0.6137</v>
      </c>
      <c r="AS54" s="135">
        <v>14.4052</v>
      </c>
      <c r="AT54" s="135">
        <v>15.831</v>
      </c>
      <c r="AU54" s="135">
        <v>0.2141</v>
      </c>
      <c r="AV54" s="135">
        <v>2959.0</v>
      </c>
      <c r="AW54" s="135">
        <v>0.0</v>
      </c>
      <c r="AX54" s="135">
        <v>99.86</v>
      </c>
      <c r="AY54" s="135">
        <v>195.32</v>
      </c>
      <c r="AZ54" s="135">
        <v>5.35</v>
      </c>
      <c r="BA54" s="135">
        <v>46.7</v>
      </c>
      <c r="BB54" s="135">
        <v>6.09</v>
      </c>
      <c r="BC54" s="135">
        <v>131.0</v>
      </c>
      <c r="BD54" s="135">
        <v>21815.0</v>
      </c>
      <c r="BE54" s="135">
        <v>7.9861</v>
      </c>
      <c r="BF54" s="135">
        <v>0.2413</v>
      </c>
      <c r="BG54" s="135">
        <v>7.7448</v>
      </c>
      <c r="BH54" s="135">
        <v>8.1196</v>
      </c>
      <c r="BI54" s="135">
        <v>0.1098</v>
      </c>
      <c r="BJ54" s="135">
        <v>7.0328</v>
      </c>
      <c r="BK54" s="135">
        <v>0.3724</v>
      </c>
      <c r="BL54" s="135">
        <v>6.6604</v>
      </c>
      <c r="BM54" s="135">
        <v>7.7114</v>
      </c>
      <c r="BN54" s="135">
        <v>0.1043</v>
      </c>
      <c r="BO54" s="135">
        <v>2.8415</v>
      </c>
      <c r="BP54" s="135">
        <v>0.0771</v>
      </c>
      <c r="BQ54" s="135">
        <v>2.7644</v>
      </c>
      <c r="BR54" s="135">
        <v>2.9057</v>
      </c>
      <c r="BS54" s="135">
        <v>2.8151</v>
      </c>
      <c r="BT54" s="135">
        <v>0.0831</v>
      </c>
      <c r="BU54" s="135">
        <v>2.732</v>
      </c>
      <c r="BV54" s="135">
        <v>2.9284</v>
      </c>
      <c r="BW54" s="135">
        <v>2.3295</v>
      </c>
      <c r="BX54" s="135">
        <v>0.0811</v>
      </c>
      <c r="BY54" s="135">
        <v>2.2484</v>
      </c>
      <c r="BZ54" s="135">
        <v>2.2856</v>
      </c>
      <c r="CA54" s="135">
        <v>2.074</v>
      </c>
      <c r="CB54" s="135">
        <v>0.1014</v>
      </c>
      <c r="CC54" s="135">
        <v>1.9726</v>
      </c>
      <c r="CD54" s="135">
        <v>2.2734</v>
      </c>
      <c r="CE54" s="135">
        <v>2.0514</v>
      </c>
      <c r="CF54" s="135">
        <v>0.1538</v>
      </c>
      <c r="CG54" s="135">
        <v>1.8976</v>
      </c>
      <c r="CH54" s="135">
        <v>2.2328</v>
      </c>
      <c r="CI54" s="135">
        <v>2.9074</v>
      </c>
      <c r="CJ54" s="135">
        <v>0.1173</v>
      </c>
      <c r="CK54" s="135">
        <v>2.7901</v>
      </c>
      <c r="CL54" s="135">
        <v>3.2051</v>
      </c>
      <c r="CM54" s="135">
        <v>716.28</v>
      </c>
      <c r="CN54" s="135">
        <v>99.26</v>
      </c>
      <c r="CO54" s="135">
        <v>721.65</v>
      </c>
      <c r="CP54" s="135">
        <v>677.66</v>
      </c>
      <c r="CQ54" s="135">
        <v>0.0</v>
      </c>
      <c r="CR54" s="135">
        <v>4.64</v>
      </c>
      <c r="CS54" s="135">
        <v>33.99</v>
      </c>
      <c r="CT54" s="135">
        <v>0.0</v>
      </c>
      <c r="CU54" s="135">
        <v>0.0</v>
      </c>
      <c r="CV54" s="135">
        <v>0.0</v>
      </c>
      <c r="CW54" s="135">
        <v>353.32</v>
      </c>
      <c r="CX54" s="135">
        <v>0.0</v>
      </c>
      <c r="CY54" s="135">
        <v>0.0</v>
      </c>
      <c r="CZ54" s="135">
        <v>287.97</v>
      </c>
      <c r="DA54" s="135">
        <v>8.04</v>
      </c>
      <c r="DB54" s="135">
        <v>279.93</v>
      </c>
      <c r="DC54" s="135">
        <v>264.94</v>
      </c>
      <c r="DD54" s="135">
        <v>3.31</v>
      </c>
      <c r="DE54" s="135">
        <v>261.63</v>
      </c>
      <c r="DF54" s="135">
        <v>10.79</v>
      </c>
      <c r="DG54" s="135">
        <v>1.57</v>
      </c>
      <c r="DH54" s="135">
        <v>9.21</v>
      </c>
      <c r="DI54" s="135">
        <v>8.11</v>
      </c>
      <c r="DJ54" s="135">
        <v>1.57</v>
      </c>
      <c r="DK54" s="135">
        <v>6.54</v>
      </c>
      <c r="DL54" s="135">
        <v>4.12</v>
      </c>
      <c r="DM54" s="135">
        <v>1.57</v>
      </c>
      <c r="DN54" s="135">
        <v>2.55</v>
      </c>
    </row>
    <row r="55">
      <c r="A55" s="209">
        <v>46259.0</v>
      </c>
      <c r="B55" s="210" t="s">
        <v>4</v>
      </c>
      <c r="C55" s="210" t="s">
        <v>146</v>
      </c>
      <c r="D55" s="210">
        <v>377.0</v>
      </c>
      <c r="E55" s="210">
        <v>1.13</v>
      </c>
      <c r="F55" s="210">
        <v>633.6</v>
      </c>
      <c r="G55" s="210">
        <v>1.6806</v>
      </c>
      <c r="H55" s="210">
        <v>10.34</v>
      </c>
      <c r="I55" s="210">
        <v>16.2462</v>
      </c>
      <c r="J55" s="210">
        <v>254.77</v>
      </c>
      <c r="K55" s="210">
        <v>162.6</v>
      </c>
      <c r="L55" s="210">
        <v>127.92</v>
      </c>
      <c r="M55" s="210">
        <v>0.7867</v>
      </c>
      <c r="N55" s="210">
        <v>0.3483</v>
      </c>
      <c r="O55" s="210">
        <v>0.2245</v>
      </c>
      <c r="P55" s="210">
        <v>1.2711</v>
      </c>
      <c r="Q55" s="210">
        <v>638.24</v>
      </c>
      <c r="R55" s="210">
        <v>537.7</v>
      </c>
      <c r="S55" s="210">
        <v>100.54</v>
      </c>
      <c r="T55" s="210">
        <v>105.31</v>
      </c>
      <c r="U55" s="210">
        <v>532.94</v>
      </c>
      <c r="V55" s="210">
        <v>675.33</v>
      </c>
      <c r="W55" s="210">
        <v>4.1534</v>
      </c>
      <c r="X55" s="210">
        <v>16.5</v>
      </c>
      <c r="Y55" s="210">
        <v>403.0</v>
      </c>
      <c r="Z55" s="210">
        <v>1177.0</v>
      </c>
      <c r="AA55" s="210">
        <v>3984.0</v>
      </c>
      <c r="AB55" s="210">
        <v>58.659</v>
      </c>
      <c r="AC55" s="210">
        <v>0.8107</v>
      </c>
      <c r="AD55" s="210">
        <v>62.33</v>
      </c>
      <c r="AE55" s="210">
        <v>25.0</v>
      </c>
      <c r="AF55" s="210">
        <v>46.0</v>
      </c>
      <c r="AG55" s="210">
        <v>84.0</v>
      </c>
      <c r="AH55" s="210">
        <v>139.0</v>
      </c>
      <c r="AI55" s="210">
        <v>26.53</v>
      </c>
      <c r="AJ55" s="210">
        <v>6.37</v>
      </c>
      <c r="AK55" s="210">
        <v>0.27</v>
      </c>
      <c r="AL55" s="210">
        <v>0.061</v>
      </c>
      <c r="AQ55" s="135">
        <v>28.6897</v>
      </c>
      <c r="AR55" s="135">
        <v>1.2281</v>
      </c>
      <c r="AS55" s="135">
        <v>27.4615</v>
      </c>
      <c r="AT55" s="135">
        <v>34.4615</v>
      </c>
      <c r="AU55" s="135">
        <v>0.2119</v>
      </c>
      <c r="AV55" s="135">
        <v>377.0</v>
      </c>
      <c r="AW55" s="135">
        <v>0.0</v>
      </c>
      <c r="AX55" s="135">
        <v>202.55</v>
      </c>
      <c r="AY55" s="135">
        <v>308.25</v>
      </c>
      <c r="AZ55" s="135">
        <v>7.65</v>
      </c>
      <c r="BA55" s="135">
        <v>105.31</v>
      </c>
      <c r="BB55" s="135">
        <v>14.49</v>
      </c>
      <c r="BC55" s="135">
        <v>230.0</v>
      </c>
      <c r="BD55" s="135">
        <v>25345.0</v>
      </c>
      <c r="BE55" s="135">
        <v>15.6313</v>
      </c>
      <c r="BF55" s="135">
        <v>0.5013</v>
      </c>
      <c r="BG55" s="135">
        <v>15.13</v>
      </c>
      <c r="BH55" s="135">
        <v>16.1936</v>
      </c>
      <c r="BI55" s="135">
        <v>0.0996</v>
      </c>
      <c r="BJ55" s="135">
        <v>13.0584</v>
      </c>
      <c r="BK55" s="135">
        <v>0.7268</v>
      </c>
      <c r="BL55" s="135">
        <v>12.3316</v>
      </c>
      <c r="BM55" s="135">
        <v>18.2679</v>
      </c>
      <c r="BN55" s="135">
        <v>0.1124</v>
      </c>
      <c r="BO55" s="135">
        <v>5.3926</v>
      </c>
      <c r="BP55" s="135">
        <v>0.1671</v>
      </c>
      <c r="BQ55" s="135">
        <v>5.2255</v>
      </c>
      <c r="BR55" s="135">
        <v>5.7056</v>
      </c>
      <c r="BS55" s="135">
        <v>5.2706</v>
      </c>
      <c r="BT55" s="135">
        <v>0.1671</v>
      </c>
      <c r="BU55" s="135">
        <v>5.1034</v>
      </c>
      <c r="BV55" s="135">
        <v>5.6048</v>
      </c>
      <c r="BW55" s="135">
        <v>4.9682</v>
      </c>
      <c r="BX55" s="135">
        <v>0.1671</v>
      </c>
      <c r="BY55" s="135">
        <v>4.8011</v>
      </c>
      <c r="BZ55" s="135">
        <v>4.8833</v>
      </c>
      <c r="CA55" s="135">
        <v>4.4271</v>
      </c>
      <c r="CB55" s="135">
        <v>0.2069</v>
      </c>
      <c r="CC55" s="135">
        <v>4.2202</v>
      </c>
      <c r="CD55" s="135">
        <v>4.687</v>
      </c>
      <c r="CE55" s="135">
        <v>3.2759</v>
      </c>
      <c r="CF55" s="135">
        <v>0.2838</v>
      </c>
      <c r="CG55" s="135">
        <v>2.992</v>
      </c>
      <c r="CH55" s="135">
        <v>3.8727</v>
      </c>
      <c r="CI55" s="135">
        <v>5.3554</v>
      </c>
      <c r="CJ55" s="135">
        <v>0.2361</v>
      </c>
      <c r="CK55" s="135">
        <v>5.1194</v>
      </c>
      <c r="CL55" s="135">
        <v>9.7082</v>
      </c>
      <c r="CM55" s="135">
        <v>1623.01</v>
      </c>
      <c r="CN55" s="135">
        <v>99.47</v>
      </c>
      <c r="CO55" s="135">
        <v>1631.66</v>
      </c>
      <c r="CP55" s="135">
        <v>1567.73</v>
      </c>
      <c r="CQ55" s="135">
        <v>0.0</v>
      </c>
      <c r="CR55" s="135">
        <v>6.84</v>
      </c>
      <c r="CS55" s="135">
        <v>48.44</v>
      </c>
      <c r="CT55" s="135">
        <v>0.0</v>
      </c>
      <c r="CU55" s="135">
        <v>0.0</v>
      </c>
      <c r="CV55" s="135">
        <v>0.0</v>
      </c>
      <c r="CW55" s="135">
        <v>638.24</v>
      </c>
      <c r="CX55" s="135">
        <v>0.0</v>
      </c>
      <c r="CY55" s="135">
        <v>0.0</v>
      </c>
      <c r="CZ55" s="135">
        <v>576.26</v>
      </c>
      <c r="DA55" s="135">
        <v>13.75</v>
      </c>
      <c r="DB55" s="135">
        <v>562.5</v>
      </c>
      <c r="DC55" s="135">
        <v>545.89</v>
      </c>
      <c r="DD55" s="135">
        <v>6.75</v>
      </c>
      <c r="DE55" s="135">
        <v>539.14</v>
      </c>
      <c r="DF55" s="135">
        <v>10.97</v>
      </c>
      <c r="DG55" s="135">
        <v>2.33</v>
      </c>
      <c r="DH55" s="135">
        <v>8.63</v>
      </c>
      <c r="DI55" s="135">
        <v>10.46</v>
      </c>
      <c r="DJ55" s="135">
        <v>2.33</v>
      </c>
      <c r="DK55" s="135">
        <v>8.13</v>
      </c>
      <c r="DL55" s="135">
        <v>8.94</v>
      </c>
      <c r="DM55" s="135">
        <v>2.33</v>
      </c>
      <c r="DN55" s="135">
        <v>6.6</v>
      </c>
    </row>
    <row r="56">
      <c r="A56" s="209">
        <v>46259.0</v>
      </c>
      <c r="B56" s="210" t="s">
        <v>5</v>
      </c>
      <c r="C56" s="210" t="s">
        <v>398</v>
      </c>
      <c r="D56" s="210">
        <v>6287.0</v>
      </c>
      <c r="E56" s="210">
        <v>18.76</v>
      </c>
      <c r="F56" s="210">
        <v>808.7</v>
      </c>
      <c r="G56" s="210">
        <v>0.1286</v>
      </c>
      <c r="H56" s="210">
        <v>0.73</v>
      </c>
      <c r="I56" s="210">
        <v>17.5804</v>
      </c>
      <c r="J56" s="210">
        <v>16.62</v>
      </c>
      <c r="K56" s="210">
        <v>8.76</v>
      </c>
      <c r="L56" s="210">
        <v>5.35</v>
      </c>
      <c r="M56" s="210">
        <v>0.6102</v>
      </c>
      <c r="N56" s="210">
        <v>0.5057</v>
      </c>
      <c r="O56" s="210">
        <v>0.2317</v>
      </c>
      <c r="P56" s="210">
        <v>1.6389</v>
      </c>
      <c r="Q56" s="210">
        <v>46.18</v>
      </c>
      <c r="R56" s="210">
        <v>46.09</v>
      </c>
      <c r="S56" s="210">
        <v>0.09</v>
      </c>
      <c r="T56" s="210">
        <v>8.87</v>
      </c>
      <c r="U56" s="210">
        <v>37.31</v>
      </c>
      <c r="V56" s="210">
        <v>36.0</v>
      </c>
      <c r="W56" s="210">
        <v>4.1077</v>
      </c>
      <c r="X56" s="210">
        <v>19.2</v>
      </c>
      <c r="Y56" s="210">
        <v>197.0</v>
      </c>
      <c r="Z56" s="210">
        <v>963.0</v>
      </c>
      <c r="AA56" s="210">
        <v>7432.0</v>
      </c>
      <c r="AB56" s="210">
        <v>49.7085</v>
      </c>
      <c r="AC56" s="210">
        <v>0.5181</v>
      </c>
      <c r="AD56" s="211"/>
      <c r="AE56" s="211"/>
      <c r="AF56" s="211"/>
      <c r="AG56" s="211"/>
      <c r="AH56" s="211"/>
      <c r="AI56" s="210">
        <v>0.0</v>
      </c>
      <c r="AJ56" s="210">
        <v>0.0</v>
      </c>
      <c r="AK56" s="210">
        <v>0.0</v>
      </c>
      <c r="AL56" s="210">
        <v>0.4263</v>
      </c>
      <c r="AM56" s="135">
        <v>3.8</v>
      </c>
      <c r="AN56" s="135">
        <v>3.8</v>
      </c>
      <c r="AO56" s="135">
        <v>2.4</v>
      </c>
      <c r="AP56" s="135">
        <v>1.4</v>
      </c>
      <c r="AQ56" s="135">
        <v>1.7151</v>
      </c>
      <c r="AR56" s="135">
        <v>0.1193</v>
      </c>
      <c r="AS56" s="135">
        <v>1.5958</v>
      </c>
      <c r="AT56" s="135">
        <v>1.2108</v>
      </c>
      <c r="AU56" s="135">
        <v>0.1381</v>
      </c>
      <c r="AV56" s="135">
        <v>6287.0</v>
      </c>
      <c r="AW56" s="135">
        <v>0.0</v>
      </c>
      <c r="AX56" s="135">
        <v>9.62</v>
      </c>
      <c r="AY56" s="135">
        <v>25.05</v>
      </c>
      <c r="AZ56" s="135">
        <v>2.38</v>
      </c>
      <c r="BA56" s="135">
        <v>8.87</v>
      </c>
      <c r="BB56" s="135">
        <v>0.26</v>
      </c>
      <c r="BD56" s="135">
        <v>30669.0</v>
      </c>
      <c r="BE56" s="135">
        <v>0.8117</v>
      </c>
      <c r="BF56" s="135">
        <v>0.0477</v>
      </c>
      <c r="BG56" s="135">
        <v>0.764</v>
      </c>
      <c r="BH56" s="135">
        <v>0.6547</v>
      </c>
      <c r="BI56" s="135">
        <v>0.0747</v>
      </c>
      <c r="BJ56" s="135">
        <v>0.9035</v>
      </c>
      <c r="BK56" s="135">
        <v>0.0716</v>
      </c>
      <c r="BL56" s="135">
        <v>0.8319</v>
      </c>
      <c r="BM56" s="135">
        <v>0.5561</v>
      </c>
      <c r="BN56" s="135">
        <v>0.0634</v>
      </c>
      <c r="BO56" s="135">
        <v>0.2986</v>
      </c>
      <c r="BP56" s="135">
        <v>0.0156</v>
      </c>
      <c r="BQ56" s="135">
        <v>0.283</v>
      </c>
      <c r="BR56" s="135">
        <v>0.2574</v>
      </c>
      <c r="BS56" s="135">
        <v>0.3125</v>
      </c>
      <c r="BT56" s="135">
        <v>0.0161</v>
      </c>
      <c r="BU56" s="135">
        <v>0.2965</v>
      </c>
      <c r="BV56" s="135">
        <v>0.2384</v>
      </c>
      <c r="BW56" s="135">
        <v>0.2006</v>
      </c>
      <c r="BX56" s="135">
        <v>0.0161</v>
      </c>
      <c r="BY56" s="135">
        <v>0.1845</v>
      </c>
      <c r="BZ56" s="135">
        <v>0.1589</v>
      </c>
      <c r="CA56" s="135">
        <v>0.182</v>
      </c>
      <c r="CB56" s="135">
        <v>0.0183</v>
      </c>
      <c r="CC56" s="135">
        <v>0.1637</v>
      </c>
      <c r="CD56" s="135">
        <v>0.132</v>
      </c>
      <c r="CE56" s="135">
        <v>0.3895</v>
      </c>
      <c r="CF56" s="135">
        <v>0.0297</v>
      </c>
      <c r="CG56" s="135">
        <v>0.3598</v>
      </c>
      <c r="CH56" s="135">
        <v>0.201</v>
      </c>
      <c r="CI56" s="135">
        <v>0.332</v>
      </c>
      <c r="CJ56" s="135">
        <v>0.0235</v>
      </c>
      <c r="CK56" s="135">
        <v>0.3084</v>
      </c>
      <c r="CL56" s="135">
        <v>0.223</v>
      </c>
      <c r="CM56" s="135">
        <v>75.15</v>
      </c>
      <c r="CN56" s="135">
        <v>11.79</v>
      </c>
      <c r="CO56" s="135">
        <v>637.59</v>
      </c>
      <c r="CP56" s="135">
        <v>60.59</v>
      </c>
      <c r="CQ56" s="135">
        <v>11.3</v>
      </c>
      <c r="CR56" s="135">
        <v>1.61</v>
      </c>
      <c r="CS56" s="135">
        <v>1.65</v>
      </c>
      <c r="CT56" s="135">
        <v>0.0</v>
      </c>
      <c r="CU56" s="135">
        <v>677.0</v>
      </c>
      <c r="CV56" s="135">
        <v>4.13</v>
      </c>
      <c r="CW56" s="135">
        <v>50.31</v>
      </c>
      <c r="CX56" s="135">
        <v>1.44</v>
      </c>
      <c r="CY56" s="135">
        <v>12.75</v>
      </c>
      <c r="CZ56" s="135">
        <v>37.73</v>
      </c>
      <c r="DA56" s="135">
        <v>0.86</v>
      </c>
      <c r="DB56" s="135">
        <v>36.87</v>
      </c>
      <c r="DC56" s="135">
        <v>34.07</v>
      </c>
      <c r="DD56" s="135">
        <v>0.67</v>
      </c>
      <c r="DE56" s="135">
        <v>33.4</v>
      </c>
      <c r="DF56" s="135">
        <v>1.78</v>
      </c>
      <c r="DG56" s="135">
        <v>0.06</v>
      </c>
      <c r="DH56" s="135">
        <v>1.72</v>
      </c>
      <c r="DI56" s="135">
        <v>1.47</v>
      </c>
      <c r="DJ56" s="135">
        <v>0.06</v>
      </c>
      <c r="DK56" s="135">
        <v>1.4</v>
      </c>
      <c r="DL56" s="135">
        <v>0.42</v>
      </c>
      <c r="DM56" s="135">
        <v>0.06</v>
      </c>
      <c r="DN56" s="135">
        <v>0.35</v>
      </c>
    </row>
    <row r="57">
      <c r="A57" s="209">
        <v>46259.0</v>
      </c>
      <c r="B57" s="210" t="s">
        <v>5</v>
      </c>
      <c r="C57" s="210" t="s">
        <v>142</v>
      </c>
      <c r="D57" s="210">
        <v>9780.0</v>
      </c>
      <c r="E57" s="210">
        <v>29.18</v>
      </c>
      <c r="F57" s="210">
        <v>323.29</v>
      </c>
      <c r="G57" s="210">
        <v>0.0331</v>
      </c>
      <c r="H57" s="210">
        <v>1.46</v>
      </c>
      <c r="I57" s="210">
        <v>2.2608</v>
      </c>
      <c r="J57" s="210">
        <v>28.33</v>
      </c>
      <c r="K57" s="210">
        <v>14.16</v>
      </c>
      <c r="L57" s="210">
        <v>5.53</v>
      </c>
      <c r="M57" s="210">
        <v>0.3905</v>
      </c>
      <c r="N57" s="210">
        <v>0.7176</v>
      </c>
      <c r="O57" s="210">
        <v>0.4505</v>
      </c>
      <c r="P57" s="210">
        <v>2.5609</v>
      </c>
      <c r="Q57" s="210">
        <v>49.12</v>
      </c>
      <c r="R57" s="210">
        <v>44.71</v>
      </c>
      <c r="S57" s="210">
        <v>4.41</v>
      </c>
      <c r="T57" s="210">
        <v>2.55</v>
      </c>
      <c r="U57" s="210">
        <v>46.57</v>
      </c>
      <c r="V57" s="210">
        <v>54.23</v>
      </c>
      <c r="W57" s="210">
        <v>3.831</v>
      </c>
      <c r="X57" s="210">
        <v>5.18</v>
      </c>
      <c r="Y57" s="210">
        <v>194.0</v>
      </c>
      <c r="Z57" s="210">
        <v>513.0</v>
      </c>
      <c r="AA57" s="210">
        <v>2380.0</v>
      </c>
      <c r="AB57" s="210">
        <v>49.7421</v>
      </c>
      <c r="AC57" s="210">
        <v>0.558</v>
      </c>
      <c r="AD57" s="210">
        <v>4.16</v>
      </c>
      <c r="AE57" s="210">
        <v>1.0</v>
      </c>
      <c r="AF57" s="210">
        <v>3.0</v>
      </c>
      <c r="AG57" s="210">
        <v>6.0</v>
      </c>
      <c r="AH57" s="210">
        <v>9.0</v>
      </c>
      <c r="AI57" s="210">
        <v>73.88</v>
      </c>
      <c r="AJ57" s="210">
        <v>33.7</v>
      </c>
      <c r="AK57" s="210">
        <v>8.66</v>
      </c>
      <c r="AL57" s="210">
        <v>0.3518</v>
      </c>
      <c r="AM57" s="135">
        <v>33.74</v>
      </c>
      <c r="AN57" s="135">
        <v>33.74</v>
      </c>
      <c r="AO57" s="135">
        <v>16.49</v>
      </c>
      <c r="AP57" s="135">
        <v>5.09</v>
      </c>
      <c r="AQ57" s="135">
        <v>3.9715</v>
      </c>
      <c r="AR57" s="135">
        <v>0.0344</v>
      </c>
      <c r="AS57" s="135">
        <v>3.9371</v>
      </c>
      <c r="AT57" s="135">
        <v>3.3605</v>
      </c>
      <c r="AU57" s="135">
        <v>0.2374</v>
      </c>
      <c r="AV57" s="135">
        <v>9780.0</v>
      </c>
      <c r="AW57" s="135">
        <v>0.0</v>
      </c>
      <c r="AX57" s="135">
        <v>20.12</v>
      </c>
      <c r="AY57" s="135">
        <v>22.82</v>
      </c>
      <c r="AZ57" s="135">
        <v>2.88</v>
      </c>
      <c r="BA57" s="135">
        <v>2.55</v>
      </c>
      <c r="BB57" s="135">
        <v>0.75</v>
      </c>
      <c r="BC57" s="135">
        <v>18.0</v>
      </c>
      <c r="BD57" s="135">
        <v>23249.0</v>
      </c>
      <c r="BE57" s="135">
        <v>2.7846</v>
      </c>
      <c r="BF57" s="135">
        <v>0.0184</v>
      </c>
      <c r="BG57" s="135">
        <v>2.7662</v>
      </c>
      <c r="BH57" s="135">
        <v>1.9711</v>
      </c>
      <c r="BI57" s="135">
        <v>0.1392</v>
      </c>
      <c r="BJ57" s="135">
        <v>1.1869</v>
      </c>
      <c r="BK57" s="135">
        <v>0.016</v>
      </c>
      <c r="BL57" s="135">
        <v>1.171</v>
      </c>
      <c r="BM57" s="135">
        <v>1.3895</v>
      </c>
      <c r="BN57" s="135">
        <v>0.0982</v>
      </c>
      <c r="BO57" s="135">
        <v>1.4015</v>
      </c>
      <c r="BP57" s="135">
        <v>0.0078</v>
      </c>
      <c r="BQ57" s="135">
        <v>1.3938</v>
      </c>
      <c r="BR57" s="135">
        <v>0.8897</v>
      </c>
      <c r="BS57" s="135">
        <v>1.1086</v>
      </c>
      <c r="BT57" s="135">
        <v>0.0053</v>
      </c>
      <c r="BU57" s="135">
        <v>1.1033</v>
      </c>
      <c r="BV57" s="135">
        <v>0.7708</v>
      </c>
      <c r="BW57" s="135">
        <v>0.2744</v>
      </c>
      <c r="BX57" s="135">
        <v>0.0053</v>
      </c>
      <c r="BY57" s="135">
        <v>0.2691</v>
      </c>
      <c r="BZ57" s="135">
        <v>0.3106</v>
      </c>
      <c r="CA57" s="135">
        <v>0.196</v>
      </c>
      <c r="CB57" s="135">
        <v>0.0033</v>
      </c>
      <c r="CC57" s="135">
        <v>0.1927</v>
      </c>
      <c r="CD57" s="135">
        <v>0.2578</v>
      </c>
      <c r="CE57" s="135">
        <v>0.5046</v>
      </c>
      <c r="CF57" s="135">
        <v>0.007</v>
      </c>
      <c r="CG57" s="135">
        <v>0.4976</v>
      </c>
      <c r="CH57" s="135">
        <v>0.6137</v>
      </c>
      <c r="CI57" s="135">
        <v>0.4863</v>
      </c>
      <c r="CJ57" s="135">
        <v>0.0057</v>
      </c>
      <c r="CK57" s="135">
        <v>0.4806</v>
      </c>
      <c r="CL57" s="135">
        <v>0.518</v>
      </c>
      <c r="CM57" s="135">
        <v>101.91</v>
      </c>
      <c r="CN57" s="135">
        <v>91.48</v>
      </c>
      <c r="CO57" s="135">
        <v>111.39</v>
      </c>
      <c r="CP57" s="135">
        <v>84.76</v>
      </c>
      <c r="CQ57" s="135">
        <v>12.97</v>
      </c>
      <c r="CR57" s="135">
        <v>2.83</v>
      </c>
      <c r="CS57" s="135">
        <v>1.35</v>
      </c>
      <c r="CT57" s="135">
        <v>0.0</v>
      </c>
      <c r="CU57" s="135">
        <v>1403.0</v>
      </c>
      <c r="CV57" s="135">
        <v>1.18</v>
      </c>
      <c r="CW57" s="135">
        <v>50.3</v>
      </c>
      <c r="CX57" s="135">
        <v>1.41</v>
      </c>
      <c r="CY57" s="135">
        <v>14.38</v>
      </c>
      <c r="CZ57" s="135">
        <v>93.99</v>
      </c>
      <c r="DA57" s="135">
        <v>0.84</v>
      </c>
      <c r="DB57" s="135">
        <v>93.15</v>
      </c>
      <c r="DC57" s="135">
        <v>87.71</v>
      </c>
      <c r="DD57" s="135">
        <v>0.23</v>
      </c>
      <c r="DE57" s="135">
        <v>87.48</v>
      </c>
      <c r="DF57" s="135">
        <v>3.07</v>
      </c>
      <c r="DG57" s="135">
        <v>0.2</v>
      </c>
      <c r="DH57" s="135">
        <v>2.87</v>
      </c>
      <c r="DI57" s="135">
        <v>2.48</v>
      </c>
      <c r="DJ57" s="135">
        <v>0.2</v>
      </c>
      <c r="DK57" s="135">
        <v>2.28</v>
      </c>
      <c r="DL57" s="135">
        <v>0.73</v>
      </c>
      <c r="DM57" s="135">
        <v>0.2</v>
      </c>
      <c r="DN57" s="135">
        <v>0.53</v>
      </c>
    </row>
    <row r="58">
      <c r="A58" s="209">
        <v>46259.0</v>
      </c>
      <c r="B58" s="210" t="s">
        <v>5</v>
      </c>
      <c r="C58" s="210" t="s">
        <v>143</v>
      </c>
      <c r="D58" s="210">
        <v>8239.0</v>
      </c>
      <c r="E58" s="210">
        <v>24.58</v>
      </c>
      <c r="F58" s="210">
        <v>1184.56</v>
      </c>
      <c r="G58" s="210">
        <v>0.1438</v>
      </c>
      <c r="H58" s="210">
        <v>4.13</v>
      </c>
      <c r="I58" s="210">
        <v>3.484</v>
      </c>
      <c r="J58" s="210">
        <v>54.93</v>
      </c>
      <c r="K58" s="210">
        <v>28.76</v>
      </c>
      <c r="L58" s="210">
        <v>14.37</v>
      </c>
      <c r="M58" s="210">
        <v>0.4997</v>
      </c>
      <c r="N58" s="210">
        <v>0.6267</v>
      </c>
      <c r="O58" s="210">
        <v>0.3766</v>
      </c>
      <c r="P58" s="210">
        <v>2.0011</v>
      </c>
      <c r="Q58" s="210">
        <v>95.59</v>
      </c>
      <c r="R58" s="210">
        <v>84.99</v>
      </c>
      <c r="S58" s="210">
        <v>10.6</v>
      </c>
      <c r="T58" s="210">
        <v>10.32</v>
      </c>
      <c r="U58" s="210">
        <v>85.26</v>
      </c>
      <c r="V58" s="210">
        <v>107.64</v>
      </c>
      <c r="W58" s="210">
        <v>3.7433</v>
      </c>
      <c r="X58" s="210">
        <v>10.8</v>
      </c>
      <c r="Y58" s="210">
        <v>192.0</v>
      </c>
      <c r="Z58" s="210">
        <v>455.0</v>
      </c>
      <c r="AA58" s="210">
        <v>1722.0</v>
      </c>
      <c r="AB58" s="210">
        <v>51.4457</v>
      </c>
      <c r="AC58" s="210">
        <v>0.6011</v>
      </c>
      <c r="AD58" s="210">
        <v>9.23</v>
      </c>
      <c r="AE58" s="210">
        <v>4.0</v>
      </c>
      <c r="AF58" s="210">
        <v>7.0</v>
      </c>
      <c r="AG58" s="210">
        <v>13.0</v>
      </c>
      <c r="AH58" s="210">
        <v>19.0</v>
      </c>
      <c r="AI58" s="210">
        <v>61.86</v>
      </c>
      <c r="AJ58" s="210">
        <v>25.22</v>
      </c>
      <c r="AK58" s="210">
        <v>3.79</v>
      </c>
      <c r="AL58" s="210">
        <v>0.2363</v>
      </c>
      <c r="AM58" s="135">
        <v>39.88</v>
      </c>
      <c r="AN58" s="135">
        <v>39.88</v>
      </c>
      <c r="AO58" s="135">
        <v>22.67</v>
      </c>
      <c r="AP58" s="135">
        <v>10.27</v>
      </c>
      <c r="AQ58" s="135">
        <v>7.1822</v>
      </c>
      <c r="AR58" s="135">
        <v>0.1171</v>
      </c>
      <c r="AS58" s="135">
        <v>7.0651</v>
      </c>
      <c r="AT58" s="135">
        <v>6.4583</v>
      </c>
      <c r="AU58" s="135">
        <v>0.2246</v>
      </c>
      <c r="AV58" s="135">
        <v>8239.0</v>
      </c>
      <c r="AW58" s="135">
        <v>0.0</v>
      </c>
      <c r="AX58" s="135">
        <v>34.19</v>
      </c>
      <c r="AY58" s="135">
        <v>45.95</v>
      </c>
      <c r="AZ58" s="135">
        <v>3.97</v>
      </c>
      <c r="BA58" s="135">
        <v>10.32</v>
      </c>
      <c r="BB58" s="135">
        <v>1.15</v>
      </c>
      <c r="BC58" s="135">
        <v>35.0</v>
      </c>
      <c r="BD58" s="135">
        <v>21839.0</v>
      </c>
      <c r="BE58" s="135">
        <v>4.8046</v>
      </c>
      <c r="BF58" s="135">
        <v>0.0481</v>
      </c>
      <c r="BG58" s="135">
        <v>4.7565</v>
      </c>
      <c r="BH58" s="135">
        <v>3.7846</v>
      </c>
      <c r="BI58" s="135">
        <v>0.1316</v>
      </c>
      <c r="BJ58" s="135">
        <v>2.3776</v>
      </c>
      <c r="BK58" s="135">
        <v>0.0691</v>
      </c>
      <c r="BL58" s="135">
        <v>2.3085</v>
      </c>
      <c r="BM58" s="135">
        <v>2.6737</v>
      </c>
      <c r="BN58" s="135">
        <v>0.093</v>
      </c>
      <c r="BO58" s="135">
        <v>2.1473</v>
      </c>
      <c r="BP58" s="135">
        <v>0.017</v>
      </c>
      <c r="BQ58" s="135">
        <v>2.1304</v>
      </c>
      <c r="BR58" s="135">
        <v>1.606</v>
      </c>
      <c r="BS58" s="135">
        <v>1.9683</v>
      </c>
      <c r="BT58" s="135">
        <v>0.0144</v>
      </c>
      <c r="BU58" s="135">
        <v>1.9539</v>
      </c>
      <c r="BV58" s="135">
        <v>1.4851</v>
      </c>
      <c r="BW58" s="135">
        <v>0.6889</v>
      </c>
      <c r="BX58" s="135">
        <v>0.0166</v>
      </c>
      <c r="BY58" s="135">
        <v>0.6723</v>
      </c>
      <c r="BZ58" s="135">
        <v>0.6934</v>
      </c>
      <c r="CA58" s="135">
        <v>0.4655</v>
      </c>
      <c r="CB58" s="135">
        <v>0.0176</v>
      </c>
      <c r="CC58" s="135">
        <v>0.4479</v>
      </c>
      <c r="CD58" s="135">
        <v>0.5656</v>
      </c>
      <c r="CE58" s="135">
        <v>0.8469</v>
      </c>
      <c r="CF58" s="135">
        <v>0.0294</v>
      </c>
      <c r="CG58" s="135">
        <v>0.8176</v>
      </c>
      <c r="CH58" s="135">
        <v>1.0521</v>
      </c>
      <c r="CI58" s="135">
        <v>1.0652</v>
      </c>
      <c r="CJ58" s="135">
        <v>0.0221</v>
      </c>
      <c r="CK58" s="135">
        <v>1.0431</v>
      </c>
      <c r="CL58" s="135">
        <v>1.0561</v>
      </c>
      <c r="CM58" s="135">
        <v>214.45</v>
      </c>
      <c r="CN58" s="135">
        <v>97.28</v>
      </c>
      <c r="CO58" s="135">
        <v>220.44</v>
      </c>
      <c r="CP58" s="135">
        <v>171.36</v>
      </c>
      <c r="CQ58" s="135">
        <v>35.43</v>
      </c>
      <c r="CR58" s="135">
        <v>3.23</v>
      </c>
      <c r="CS58" s="135">
        <v>4.43</v>
      </c>
      <c r="CT58" s="135">
        <v>0.0</v>
      </c>
      <c r="CU58" s="135">
        <v>2228.0</v>
      </c>
      <c r="CV58" s="135">
        <v>3.32</v>
      </c>
      <c r="CW58" s="135">
        <v>98.9</v>
      </c>
      <c r="CX58" s="135">
        <v>4.3</v>
      </c>
      <c r="CY58" s="135">
        <v>39.73</v>
      </c>
      <c r="CZ58" s="135">
        <v>155.82</v>
      </c>
      <c r="DA58" s="135">
        <v>2.89</v>
      </c>
      <c r="DB58" s="135">
        <v>152.93</v>
      </c>
      <c r="DC58" s="135">
        <v>145.95</v>
      </c>
      <c r="DD58" s="135">
        <v>0.87</v>
      </c>
      <c r="DE58" s="135">
        <v>145.08</v>
      </c>
      <c r="DF58" s="135">
        <v>4.95</v>
      </c>
      <c r="DG58" s="135">
        <v>0.67</v>
      </c>
      <c r="DH58" s="135">
        <v>4.27</v>
      </c>
      <c r="DI58" s="135">
        <v>3.58</v>
      </c>
      <c r="DJ58" s="135">
        <v>0.67</v>
      </c>
      <c r="DK58" s="135">
        <v>2.91</v>
      </c>
      <c r="DL58" s="135">
        <v>1.34</v>
      </c>
      <c r="DM58" s="135">
        <v>0.67</v>
      </c>
      <c r="DN58" s="135">
        <v>0.67</v>
      </c>
    </row>
    <row r="59">
      <c r="A59" s="209">
        <v>46259.0</v>
      </c>
      <c r="B59" s="210" t="s">
        <v>5</v>
      </c>
      <c r="C59" s="210" t="s">
        <v>144</v>
      </c>
      <c r="D59" s="210">
        <v>5889.0</v>
      </c>
      <c r="E59" s="210">
        <v>17.57</v>
      </c>
      <c r="F59" s="210">
        <v>1742.67</v>
      </c>
      <c r="G59" s="210">
        <v>0.2959</v>
      </c>
      <c r="H59" s="210">
        <v>5.69</v>
      </c>
      <c r="I59" s="210">
        <v>5.202</v>
      </c>
      <c r="J59" s="210">
        <v>83.13</v>
      </c>
      <c r="K59" s="210">
        <v>45.5</v>
      </c>
      <c r="L59" s="210">
        <v>28.05</v>
      </c>
      <c r="M59" s="210">
        <v>0.6165</v>
      </c>
      <c r="N59" s="210">
        <v>0.5222</v>
      </c>
      <c r="O59" s="210">
        <v>0.3119</v>
      </c>
      <c r="P59" s="210">
        <v>1.6221</v>
      </c>
      <c r="Q59" s="210">
        <v>166.9</v>
      </c>
      <c r="R59" s="210">
        <v>146.16</v>
      </c>
      <c r="S59" s="210">
        <v>20.74</v>
      </c>
      <c r="T59" s="210">
        <v>19.3</v>
      </c>
      <c r="U59" s="210">
        <v>147.6</v>
      </c>
      <c r="V59" s="210">
        <v>195.62</v>
      </c>
      <c r="W59" s="210">
        <v>4.2989</v>
      </c>
      <c r="X59" s="210">
        <v>11.56</v>
      </c>
      <c r="Y59" s="210">
        <v>229.0</v>
      </c>
      <c r="Z59" s="210">
        <v>533.0</v>
      </c>
      <c r="AA59" s="210">
        <v>1732.0</v>
      </c>
      <c r="AB59" s="210">
        <v>53.837</v>
      </c>
      <c r="AC59" s="210">
        <v>0.6782</v>
      </c>
      <c r="AD59" s="210">
        <v>16.26</v>
      </c>
      <c r="AE59" s="210">
        <v>7.0</v>
      </c>
      <c r="AF59" s="210">
        <v>13.0</v>
      </c>
      <c r="AG59" s="210">
        <v>22.0</v>
      </c>
      <c r="AH59" s="210">
        <v>34.0</v>
      </c>
      <c r="AI59" s="210">
        <v>57.33</v>
      </c>
      <c r="AJ59" s="210">
        <v>19.61</v>
      </c>
      <c r="AK59" s="210">
        <v>4.84</v>
      </c>
      <c r="AL59" s="210">
        <v>0.1958</v>
      </c>
      <c r="AM59" s="135">
        <v>44.08</v>
      </c>
      <c r="AN59" s="135">
        <v>44.08</v>
      </c>
      <c r="AO59" s="135">
        <v>23.33</v>
      </c>
      <c r="AP59" s="135">
        <v>10.95</v>
      </c>
      <c r="AQ59" s="135">
        <v>10.4369</v>
      </c>
      <c r="AR59" s="135">
        <v>0.3026</v>
      </c>
      <c r="AS59" s="135">
        <v>10.1343</v>
      </c>
      <c r="AT59" s="135">
        <v>9.8811</v>
      </c>
      <c r="AU59" s="135">
        <v>0.2171</v>
      </c>
      <c r="AV59" s="135">
        <v>5889.0</v>
      </c>
      <c r="AW59" s="135">
        <v>0.0</v>
      </c>
      <c r="AX59" s="135">
        <v>55.09</v>
      </c>
      <c r="AY59" s="135">
        <v>85.36</v>
      </c>
      <c r="AZ59" s="135">
        <v>4.61</v>
      </c>
      <c r="BA59" s="135">
        <v>19.3</v>
      </c>
      <c r="BB59" s="135">
        <v>2.54</v>
      </c>
      <c r="BC59" s="135">
        <v>62.0</v>
      </c>
      <c r="BD59" s="135">
        <v>19248.0</v>
      </c>
      <c r="BE59" s="135">
        <v>6.6857</v>
      </c>
      <c r="BF59" s="135">
        <v>0.1717</v>
      </c>
      <c r="BG59" s="135">
        <v>6.514</v>
      </c>
      <c r="BH59" s="135">
        <v>5.6748</v>
      </c>
      <c r="BI59" s="135">
        <v>0.1247</v>
      </c>
      <c r="BJ59" s="135">
        <v>3.7512</v>
      </c>
      <c r="BK59" s="135">
        <v>0.1309</v>
      </c>
      <c r="BL59" s="135">
        <v>3.6203</v>
      </c>
      <c r="BM59" s="135">
        <v>4.2063</v>
      </c>
      <c r="BN59" s="135">
        <v>0.0924</v>
      </c>
      <c r="BO59" s="135">
        <v>2.4729</v>
      </c>
      <c r="BP59" s="135">
        <v>0.052</v>
      </c>
      <c r="BQ59" s="135">
        <v>2.421</v>
      </c>
      <c r="BR59" s="135">
        <v>2.1204</v>
      </c>
      <c r="BS59" s="135">
        <v>2.6363</v>
      </c>
      <c r="BT59" s="135">
        <v>0.0576</v>
      </c>
      <c r="BU59" s="135">
        <v>2.5787</v>
      </c>
      <c r="BV59" s="135">
        <v>2.1983</v>
      </c>
      <c r="BW59" s="135">
        <v>1.5765</v>
      </c>
      <c r="BX59" s="135">
        <v>0.0621</v>
      </c>
      <c r="BY59" s="135">
        <v>1.5143</v>
      </c>
      <c r="BZ59" s="135">
        <v>1.3561</v>
      </c>
      <c r="CA59" s="135">
        <v>0.9389</v>
      </c>
      <c r="CB59" s="135">
        <v>0.0353</v>
      </c>
      <c r="CC59" s="135">
        <v>0.9035</v>
      </c>
      <c r="CD59" s="135">
        <v>1.0049</v>
      </c>
      <c r="CE59" s="135">
        <v>1.1304</v>
      </c>
      <c r="CF59" s="135">
        <v>0.0537</v>
      </c>
      <c r="CG59" s="135">
        <v>1.0768</v>
      </c>
      <c r="CH59" s="135">
        <v>1.43</v>
      </c>
      <c r="CI59" s="135">
        <v>1.6819</v>
      </c>
      <c r="CJ59" s="135">
        <v>0.0419</v>
      </c>
      <c r="CK59" s="135">
        <v>1.64</v>
      </c>
      <c r="CL59" s="135">
        <v>1.7714</v>
      </c>
      <c r="CM59" s="135">
        <v>377.96</v>
      </c>
      <c r="CN59" s="135">
        <v>98.42</v>
      </c>
      <c r="CO59" s="135">
        <v>384.03</v>
      </c>
      <c r="CP59" s="135">
        <v>304.47</v>
      </c>
      <c r="CQ59" s="135">
        <v>61.27</v>
      </c>
      <c r="CR59" s="135">
        <v>3.82</v>
      </c>
      <c r="CS59" s="135">
        <v>8.4</v>
      </c>
      <c r="CT59" s="135">
        <v>0.0</v>
      </c>
      <c r="CU59" s="135">
        <v>2879.0</v>
      </c>
      <c r="CV59" s="135">
        <v>9.82</v>
      </c>
      <c r="CW59" s="135">
        <v>176.72</v>
      </c>
      <c r="CX59" s="135">
        <v>8.42</v>
      </c>
      <c r="CY59" s="135">
        <v>69.69</v>
      </c>
      <c r="CZ59" s="135">
        <v>233.57</v>
      </c>
      <c r="DA59" s="135">
        <v>5.25</v>
      </c>
      <c r="DB59" s="135">
        <v>228.32</v>
      </c>
      <c r="DC59" s="135">
        <v>216.22</v>
      </c>
      <c r="DD59" s="135">
        <v>1.59</v>
      </c>
      <c r="DE59" s="135">
        <v>214.62</v>
      </c>
      <c r="DF59" s="135">
        <v>10.21</v>
      </c>
      <c r="DG59" s="135">
        <v>1.22</v>
      </c>
      <c r="DH59" s="135">
        <v>8.99</v>
      </c>
      <c r="DI59" s="135">
        <v>4.85</v>
      </c>
      <c r="DJ59" s="135">
        <v>1.22</v>
      </c>
      <c r="DK59" s="135">
        <v>3.63</v>
      </c>
      <c r="DL59" s="135">
        <v>2.3</v>
      </c>
      <c r="DM59" s="135">
        <v>1.22</v>
      </c>
      <c r="DN59" s="135">
        <v>1.08</v>
      </c>
    </row>
    <row r="60">
      <c r="A60" s="209">
        <v>46259.0</v>
      </c>
      <c r="B60" s="210" t="s">
        <v>5</v>
      </c>
      <c r="C60" s="210" t="s">
        <v>145</v>
      </c>
      <c r="D60" s="210">
        <v>2982.0</v>
      </c>
      <c r="E60" s="210">
        <v>8.9</v>
      </c>
      <c r="F60" s="210">
        <v>2371.9</v>
      </c>
      <c r="G60" s="210">
        <v>0.7954</v>
      </c>
      <c r="H60" s="210">
        <v>8.48</v>
      </c>
      <c r="I60" s="210">
        <v>9.3751</v>
      </c>
      <c r="J60" s="210">
        <v>130.69</v>
      </c>
      <c r="K60" s="210">
        <v>76.83</v>
      </c>
      <c r="L60" s="210">
        <v>54.72</v>
      </c>
      <c r="M60" s="210">
        <v>0.7122</v>
      </c>
      <c r="N60" s="210">
        <v>0.431</v>
      </c>
      <c r="O60" s="210">
        <v>0.2668</v>
      </c>
      <c r="P60" s="210">
        <v>1.4041</v>
      </c>
      <c r="Q60" s="210">
        <v>319.27</v>
      </c>
      <c r="R60" s="210">
        <v>277.28</v>
      </c>
      <c r="S60" s="210">
        <v>41.99</v>
      </c>
      <c r="T60" s="210">
        <v>54.21</v>
      </c>
      <c r="U60" s="210">
        <v>265.06</v>
      </c>
      <c r="V60" s="210">
        <v>364.0</v>
      </c>
      <c r="W60" s="210">
        <v>4.7379</v>
      </c>
      <c r="X60" s="210">
        <v>16.98</v>
      </c>
      <c r="Y60" s="210">
        <v>309.0</v>
      </c>
      <c r="Z60" s="210">
        <v>695.0</v>
      </c>
      <c r="AA60" s="210">
        <v>2250.0</v>
      </c>
      <c r="AB60" s="210">
        <v>56.2329</v>
      </c>
      <c r="AC60" s="210">
        <v>0.777</v>
      </c>
      <c r="AD60" s="210">
        <v>31.54</v>
      </c>
      <c r="AE60" s="210">
        <v>13.0</v>
      </c>
      <c r="AF60" s="210">
        <v>23.0</v>
      </c>
      <c r="AG60" s="210">
        <v>42.0</v>
      </c>
      <c r="AH60" s="210">
        <v>66.0</v>
      </c>
      <c r="AI60" s="210">
        <v>42.62</v>
      </c>
      <c r="AJ60" s="210">
        <v>13.04</v>
      </c>
      <c r="AK60" s="210">
        <v>2.68</v>
      </c>
      <c r="AL60" s="210">
        <v>0.1398</v>
      </c>
      <c r="AM60" s="135">
        <v>41.48</v>
      </c>
      <c r="AN60" s="135">
        <v>41.48</v>
      </c>
      <c r="AO60" s="135">
        <v>22.27</v>
      </c>
      <c r="AP60" s="135">
        <v>13.15</v>
      </c>
      <c r="AQ60" s="135">
        <v>15.1908</v>
      </c>
      <c r="AR60" s="135">
        <v>0.5915</v>
      </c>
      <c r="AS60" s="135">
        <v>14.5993</v>
      </c>
      <c r="AT60" s="135">
        <v>14.6231</v>
      </c>
      <c r="AU60" s="135">
        <v>0.1903</v>
      </c>
      <c r="AV60" s="135">
        <v>2982.0</v>
      </c>
      <c r="AW60" s="135">
        <v>0.0</v>
      </c>
      <c r="AX60" s="135">
        <v>98.42</v>
      </c>
      <c r="AY60" s="135">
        <v>156.55</v>
      </c>
      <c r="AZ60" s="135">
        <v>4.83</v>
      </c>
      <c r="BA60" s="135">
        <v>54.21</v>
      </c>
      <c r="BB60" s="135">
        <v>5.26</v>
      </c>
      <c r="BC60" s="135">
        <v>128.0</v>
      </c>
      <c r="BD60" s="135">
        <v>20490.0</v>
      </c>
      <c r="BE60" s="135">
        <v>9.1197</v>
      </c>
      <c r="BF60" s="135">
        <v>0.2475</v>
      </c>
      <c r="BG60" s="135">
        <v>8.8722</v>
      </c>
      <c r="BH60" s="135">
        <v>7.9906</v>
      </c>
      <c r="BI60" s="135">
        <v>0.104</v>
      </c>
      <c r="BJ60" s="135">
        <v>6.0711</v>
      </c>
      <c r="BK60" s="135">
        <v>0.3441</v>
      </c>
      <c r="BL60" s="135">
        <v>5.727</v>
      </c>
      <c r="BM60" s="135">
        <v>6.6325</v>
      </c>
      <c r="BN60" s="135">
        <v>0.0863</v>
      </c>
      <c r="BO60" s="135">
        <v>3.2404</v>
      </c>
      <c r="BP60" s="135">
        <v>0.0812</v>
      </c>
      <c r="BQ60" s="135">
        <v>3.1593</v>
      </c>
      <c r="BR60" s="135">
        <v>2.9101</v>
      </c>
      <c r="BS60" s="135">
        <v>3.1891</v>
      </c>
      <c r="BT60" s="135">
        <v>0.0822</v>
      </c>
      <c r="BU60" s="135">
        <v>3.107</v>
      </c>
      <c r="BV60" s="135">
        <v>2.883</v>
      </c>
      <c r="BW60" s="135">
        <v>2.6901</v>
      </c>
      <c r="BX60" s="135">
        <v>0.0842</v>
      </c>
      <c r="BY60" s="135">
        <v>2.606</v>
      </c>
      <c r="BZ60" s="135">
        <v>2.1975</v>
      </c>
      <c r="CA60" s="135">
        <v>1.4527</v>
      </c>
      <c r="CB60" s="135">
        <v>0.1009</v>
      </c>
      <c r="CC60" s="135">
        <v>1.3518</v>
      </c>
      <c r="CD60" s="135">
        <v>1.7666</v>
      </c>
      <c r="CE60" s="135">
        <v>1.7428</v>
      </c>
      <c r="CF60" s="135">
        <v>0.1281</v>
      </c>
      <c r="CG60" s="135">
        <v>1.6147</v>
      </c>
      <c r="CH60" s="135">
        <v>2.0439</v>
      </c>
      <c r="CI60" s="135">
        <v>2.8756</v>
      </c>
      <c r="CJ60" s="135">
        <v>0.115</v>
      </c>
      <c r="CK60" s="135">
        <v>2.7606</v>
      </c>
      <c r="CL60" s="135">
        <v>2.8219</v>
      </c>
      <c r="CM60" s="135">
        <v>698.76</v>
      </c>
      <c r="CN60" s="135">
        <v>99.2</v>
      </c>
      <c r="CO60" s="135">
        <v>704.43</v>
      </c>
      <c r="CP60" s="135">
        <v>561.76</v>
      </c>
      <c r="CQ60" s="135">
        <v>117.79</v>
      </c>
      <c r="CR60" s="135">
        <v>5.12</v>
      </c>
      <c r="CS60" s="135">
        <v>14.09</v>
      </c>
      <c r="CT60" s="135">
        <v>0.0</v>
      </c>
      <c r="CU60" s="135">
        <v>2262.0</v>
      </c>
      <c r="CV60" s="135">
        <v>37.15</v>
      </c>
      <c r="CW60" s="135">
        <v>356.42</v>
      </c>
      <c r="CX60" s="135">
        <v>17.51</v>
      </c>
      <c r="CY60" s="135">
        <v>135.31</v>
      </c>
      <c r="CZ60" s="135">
        <v>364.73</v>
      </c>
      <c r="DA60" s="135">
        <v>7.43</v>
      </c>
      <c r="DB60" s="135">
        <v>357.3</v>
      </c>
      <c r="DC60" s="135">
        <v>338.54</v>
      </c>
      <c r="DD60" s="135">
        <v>2.76</v>
      </c>
      <c r="DE60" s="135">
        <v>335.78</v>
      </c>
      <c r="DF60" s="135">
        <v>14.69</v>
      </c>
      <c r="DG60" s="135">
        <v>1.56</v>
      </c>
      <c r="DH60" s="135">
        <v>13.13</v>
      </c>
      <c r="DI60" s="135">
        <v>8.34</v>
      </c>
      <c r="DJ60" s="135">
        <v>1.56</v>
      </c>
      <c r="DK60" s="135">
        <v>6.79</v>
      </c>
      <c r="DL60" s="135">
        <v>3.16</v>
      </c>
      <c r="DM60" s="135">
        <v>1.56</v>
      </c>
      <c r="DN60" s="135">
        <v>1.6</v>
      </c>
    </row>
    <row r="61">
      <c r="A61" s="209">
        <v>46259.0</v>
      </c>
      <c r="B61" s="210" t="s">
        <v>5</v>
      </c>
      <c r="C61" s="210" t="s">
        <v>146</v>
      </c>
      <c r="D61" s="210">
        <v>339.0</v>
      </c>
      <c r="E61" s="210">
        <v>1.01</v>
      </c>
      <c r="F61" s="210">
        <v>264.87</v>
      </c>
      <c r="G61" s="210">
        <v>0.7813</v>
      </c>
      <c r="H61" s="210">
        <v>7.96</v>
      </c>
      <c r="I61" s="210">
        <v>9.81</v>
      </c>
      <c r="J61" s="210">
        <v>250.91</v>
      </c>
      <c r="K61" s="210">
        <v>159.53</v>
      </c>
      <c r="L61" s="210">
        <v>123.68</v>
      </c>
      <c r="M61" s="210">
        <v>0.7753</v>
      </c>
      <c r="N61" s="210">
        <v>0.3558</v>
      </c>
      <c r="O61" s="210">
        <v>0.2222</v>
      </c>
      <c r="P61" s="210">
        <v>1.2899</v>
      </c>
      <c r="Q61" s="210">
        <v>495.07</v>
      </c>
      <c r="R61" s="210">
        <v>398.39</v>
      </c>
      <c r="S61" s="210">
        <v>96.68</v>
      </c>
      <c r="T61" s="210">
        <v>54.69</v>
      </c>
      <c r="U61" s="210">
        <v>440.38</v>
      </c>
      <c r="V61" s="210">
        <v>623.6</v>
      </c>
      <c r="W61" s="210">
        <v>3.909</v>
      </c>
      <c r="X61" s="210">
        <v>11.05</v>
      </c>
      <c r="Y61" s="210">
        <v>411.0</v>
      </c>
      <c r="Z61" s="210">
        <v>730.0</v>
      </c>
      <c r="AA61" s="210">
        <v>1950.0</v>
      </c>
      <c r="AB61" s="210">
        <v>59.1811</v>
      </c>
      <c r="AC61" s="210">
        <v>0.8089</v>
      </c>
      <c r="AD61" s="210">
        <v>57.32</v>
      </c>
      <c r="AE61" s="210">
        <v>24.0</v>
      </c>
      <c r="AF61" s="210">
        <v>42.0</v>
      </c>
      <c r="AG61" s="210">
        <v>76.0</v>
      </c>
      <c r="AH61" s="210">
        <v>124.0</v>
      </c>
      <c r="AI61" s="210">
        <v>22.71</v>
      </c>
      <c r="AJ61" s="210">
        <v>3.83</v>
      </c>
      <c r="AK61" s="210">
        <v>0.29</v>
      </c>
      <c r="AL61" s="210">
        <v>0.0649</v>
      </c>
      <c r="AM61" s="135">
        <v>35.4</v>
      </c>
      <c r="AN61" s="135">
        <v>35.4</v>
      </c>
      <c r="AO61" s="135">
        <v>18.29</v>
      </c>
      <c r="AP61" s="135">
        <v>11.8</v>
      </c>
      <c r="AQ61" s="135">
        <v>23.177</v>
      </c>
      <c r="AR61" s="135">
        <v>0.708</v>
      </c>
      <c r="AS61" s="135">
        <v>22.469</v>
      </c>
      <c r="AT61" s="135">
        <v>25.3658</v>
      </c>
      <c r="AU61" s="135">
        <v>0.159</v>
      </c>
      <c r="AV61" s="135">
        <v>339.0</v>
      </c>
      <c r="AW61" s="135">
        <v>0.0</v>
      </c>
      <c r="AX61" s="135">
        <v>193.53</v>
      </c>
      <c r="AY61" s="135">
        <v>225.99</v>
      </c>
      <c r="AZ61" s="135">
        <v>8.04</v>
      </c>
      <c r="BA61" s="135">
        <v>54.57</v>
      </c>
      <c r="BB61" s="135">
        <v>12.94</v>
      </c>
      <c r="BC61" s="135">
        <v>242.0</v>
      </c>
      <c r="BD61" s="135">
        <v>14180.0</v>
      </c>
      <c r="BE61" s="135">
        <v>13.8171</v>
      </c>
      <c r="BF61" s="135">
        <v>0.292</v>
      </c>
      <c r="BG61" s="135">
        <v>13.5251</v>
      </c>
      <c r="BH61" s="135">
        <v>14.2773</v>
      </c>
      <c r="BI61" s="135">
        <v>0.0895</v>
      </c>
      <c r="BJ61" s="135">
        <v>9.3599</v>
      </c>
      <c r="BK61" s="135">
        <v>0.4159</v>
      </c>
      <c r="BL61" s="135">
        <v>8.944</v>
      </c>
      <c r="BM61" s="135">
        <v>11.0885</v>
      </c>
      <c r="BN61" s="135">
        <v>0.0695</v>
      </c>
      <c r="BO61" s="135">
        <v>4.7965</v>
      </c>
      <c r="BP61" s="135">
        <v>0.0796</v>
      </c>
      <c r="BQ61" s="135">
        <v>4.7168</v>
      </c>
      <c r="BR61" s="135">
        <v>4.9676</v>
      </c>
      <c r="BS61" s="135">
        <v>4.7552</v>
      </c>
      <c r="BT61" s="135">
        <v>0.0796</v>
      </c>
      <c r="BU61" s="135">
        <v>4.6755</v>
      </c>
      <c r="BV61" s="135">
        <v>4.9528</v>
      </c>
      <c r="BW61" s="135">
        <v>4.2655</v>
      </c>
      <c r="BX61" s="135">
        <v>0.1327</v>
      </c>
      <c r="BY61" s="135">
        <v>4.1327</v>
      </c>
      <c r="BZ61" s="135">
        <v>4.3569</v>
      </c>
      <c r="CA61" s="135">
        <v>2.2684</v>
      </c>
      <c r="CB61" s="135">
        <v>0.0944</v>
      </c>
      <c r="CC61" s="135">
        <v>2.174</v>
      </c>
      <c r="CD61" s="135">
        <v>2.7139</v>
      </c>
      <c r="CE61" s="135">
        <v>2.3746</v>
      </c>
      <c r="CF61" s="135">
        <v>0.2006</v>
      </c>
      <c r="CG61" s="135">
        <v>2.174</v>
      </c>
      <c r="CH61" s="135">
        <v>2.8437</v>
      </c>
      <c r="CI61" s="135">
        <v>4.7168</v>
      </c>
      <c r="CJ61" s="135">
        <v>0.1209</v>
      </c>
      <c r="CK61" s="135">
        <v>4.5959</v>
      </c>
      <c r="CL61" s="135">
        <v>5.531</v>
      </c>
      <c r="CM61" s="135">
        <v>1564.9</v>
      </c>
      <c r="CN61" s="135">
        <v>99.71</v>
      </c>
      <c r="CO61" s="135">
        <v>1569.53</v>
      </c>
      <c r="CP61" s="135">
        <v>1254.05</v>
      </c>
      <c r="CQ61" s="135">
        <v>287.92</v>
      </c>
      <c r="CR61" s="135">
        <v>5.78</v>
      </c>
      <c r="CS61" s="135">
        <v>17.15</v>
      </c>
      <c r="CT61" s="135">
        <v>0.0</v>
      </c>
      <c r="CU61" s="135">
        <v>312.0</v>
      </c>
      <c r="CV61" s="135">
        <v>128.83</v>
      </c>
      <c r="CW61" s="135">
        <v>623.9</v>
      </c>
      <c r="CX61" s="135">
        <v>42.01</v>
      </c>
      <c r="CY61" s="135">
        <v>329.93</v>
      </c>
      <c r="CZ61" s="135">
        <v>644.01</v>
      </c>
      <c r="DA61" s="135">
        <v>19.59</v>
      </c>
      <c r="DB61" s="135">
        <v>624.42</v>
      </c>
      <c r="DC61" s="135">
        <v>602.11</v>
      </c>
      <c r="DD61" s="135">
        <v>5.43</v>
      </c>
      <c r="DE61" s="135">
        <v>596.68</v>
      </c>
      <c r="DF61" s="135">
        <v>16.95</v>
      </c>
      <c r="DG61" s="135">
        <v>4.72</v>
      </c>
      <c r="DH61" s="135">
        <v>12.23</v>
      </c>
      <c r="DI61" s="135">
        <v>17.27</v>
      </c>
      <c r="DJ61" s="135">
        <v>4.72</v>
      </c>
      <c r="DK61" s="135">
        <v>12.55</v>
      </c>
      <c r="DL61" s="135">
        <v>7.68</v>
      </c>
      <c r="DM61" s="135">
        <v>4.72</v>
      </c>
      <c r="DN61" s="135">
        <v>2.96</v>
      </c>
    </row>
    <row r="62">
      <c r="A62" s="214">
        <v>46260.0</v>
      </c>
      <c r="B62" s="135" t="s">
        <v>4</v>
      </c>
      <c r="C62" s="135" t="s">
        <v>398</v>
      </c>
      <c r="D62" s="135">
        <v>7909.0</v>
      </c>
      <c r="E62" s="135">
        <v>22.32</v>
      </c>
      <c r="F62" s="135">
        <v>1221.94</v>
      </c>
      <c r="G62" s="135">
        <v>0.1545</v>
      </c>
      <c r="H62" s="135">
        <v>1.44</v>
      </c>
      <c r="I62" s="135">
        <v>10.7188</v>
      </c>
      <c r="J62" s="135">
        <v>19.82</v>
      </c>
      <c r="K62" s="135">
        <v>10.6</v>
      </c>
      <c r="L62" s="135">
        <v>6.45</v>
      </c>
      <c r="M62" s="135">
        <v>0.6086</v>
      </c>
      <c r="N62" s="135">
        <v>0.5011</v>
      </c>
      <c r="O62" s="135">
        <v>0.2244</v>
      </c>
      <c r="P62" s="135">
        <v>1.6431</v>
      </c>
      <c r="Q62" s="135">
        <v>43.4</v>
      </c>
      <c r="R62" s="135">
        <v>43.3</v>
      </c>
      <c r="S62" s="135">
        <v>0.1</v>
      </c>
      <c r="T62" s="135">
        <v>10.22</v>
      </c>
      <c r="U62" s="135">
        <v>33.18</v>
      </c>
      <c r="V62" s="135">
        <v>37.01</v>
      </c>
      <c r="W62" s="135">
        <v>3.4902</v>
      </c>
      <c r="X62" s="135">
        <v>23.54</v>
      </c>
      <c r="Y62" s="135">
        <v>206.0</v>
      </c>
      <c r="Z62" s="135">
        <v>1128.0</v>
      </c>
      <c r="AA62" s="135">
        <v>9005.0</v>
      </c>
      <c r="AB62" s="135">
        <v>50.3256</v>
      </c>
      <c r="AC62" s="135">
        <v>0.4997</v>
      </c>
      <c r="AI62" s="135">
        <v>0.0</v>
      </c>
      <c r="AJ62" s="135">
        <v>0.0</v>
      </c>
      <c r="AK62" s="135">
        <v>0.0</v>
      </c>
      <c r="AQ62" s="135">
        <v>1.3475</v>
      </c>
      <c r="AR62" s="135">
        <v>0.1536</v>
      </c>
      <c r="AS62" s="135">
        <v>1.1938</v>
      </c>
      <c r="AT62" s="135">
        <v>1.3079</v>
      </c>
      <c r="AU62" s="135">
        <v>0.1233</v>
      </c>
      <c r="AV62" s="135">
        <v>7909.0</v>
      </c>
      <c r="AW62" s="135">
        <v>0.0</v>
      </c>
      <c r="AX62" s="135">
        <v>11.73</v>
      </c>
      <c r="AY62" s="135">
        <v>18.15</v>
      </c>
      <c r="AZ62" s="135">
        <v>3.07</v>
      </c>
      <c r="BA62" s="135">
        <v>10.22</v>
      </c>
      <c r="BB62" s="135">
        <v>0.23</v>
      </c>
      <c r="BD62" s="135">
        <v>32575.0</v>
      </c>
      <c r="BE62" s="135">
        <v>0.5533</v>
      </c>
      <c r="BF62" s="135">
        <v>0.0675</v>
      </c>
      <c r="BG62" s="135">
        <v>0.4858</v>
      </c>
      <c r="BH62" s="135">
        <v>0.6639</v>
      </c>
      <c r="BI62" s="135">
        <v>0.0626</v>
      </c>
      <c r="BJ62" s="135">
        <v>0.7942</v>
      </c>
      <c r="BK62" s="135">
        <v>0.0861</v>
      </c>
      <c r="BL62" s="135">
        <v>0.7081</v>
      </c>
      <c r="BM62" s="135">
        <v>0.6439</v>
      </c>
      <c r="BN62" s="135">
        <v>0.0607</v>
      </c>
      <c r="BO62" s="135">
        <v>0.213</v>
      </c>
      <c r="BP62" s="135">
        <v>0.0224</v>
      </c>
      <c r="BQ62" s="135">
        <v>0.1907</v>
      </c>
      <c r="BR62" s="135">
        <v>0.2636</v>
      </c>
      <c r="BS62" s="135">
        <v>0.1985</v>
      </c>
      <c r="BT62" s="135">
        <v>0.022</v>
      </c>
      <c r="BU62" s="135">
        <v>0.1765</v>
      </c>
      <c r="BV62" s="135">
        <v>0.2386</v>
      </c>
      <c r="BW62" s="135">
        <v>0.1417</v>
      </c>
      <c r="BX62" s="135">
        <v>0.0231</v>
      </c>
      <c r="BY62" s="135">
        <v>0.1186</v>
      </c>
      <c r="BZ62" s="135">
        <v>0.1617</v>
      </c>
      <c r="CA62" s="135">
        <v>0.1209</v>
      </c>
      <c r="CB62" s="135">
        <v>0.023</v>
      </c>
      <c r="CC62" s="135">
        <v>0.0979</v>
      </c>
      <c r="CD62" s="135">
        <v>0.1374</v>
      </c>
      <c r="CE62" s="135">
        <v>0.383</v>
      </c>
      <c r="CF62" s="135">
        <v>0.0348</v>
      </c>
      <c r="CG62" s="135">
        <v>0.3482</v>
      </c>
      <c r="CH62" s="135">
        <v>0.2474</v>
      </c>
      <c r="CI62" s="135">
        <v>0.2903</v>
      </c>
      <c r="CJ62" s="135">
        <v>0.0283</v>
      </c>
      <c r="CK62" s="135">
        <v>0.262</v>
      </c>
      <c r="CL62" s="135">
        <v>0.2591</v>
      </c>
      <c r="CM62" s="135">
        <v>89.19</v>
      </c>
      <c r="CN62" s="135">
        <v>14.03</v>
      </c>
      <c r="CO62" s="135">
        <v>635.53</v>
      </c>
      <c r="CP62" s="135">
        <v>85.91</v>
      </c>
      <c r="CQ62" s="135">
        <v>0.0</v>
      </c>
      <c r="CR62" s="135">
        <v>1.16</v>
      </c>
      <c r="CS62" s="135">
        <v>2.12</v>
      </c>
      <c r="CT62" s="135">
        <v>0.0</v>
      </c>
      <c r="CU62" s="135">
        <v>0.0</v>
      </c>
      <c r="CV62" s="135">
        <v>0.0</v>
      </c>
      <c r="CW62" s="135">
        <v>43.4</v>
      </c>
      <c r="CX62" s="135">
        <v>0.0</v>
      </c>
      <c r="CY62" s="135">
        <v>0.0</v>
      </c>
      <c r="CZ62" s="135">
        <v>42.34</v>
      </c>
      <c r="DA62" s="135">
        <v>1.64</v>
      </c>
      <c r="DB62" s="135">
        <v>40.7</v>
      </c>
      <c r="DC62" s="135">
        <v>38.29</v>
      </c>
      <c r="DD62" s="135">
        <v>0.87</v>
      </c>
      <c r="DE62" s="135">
        <v>37.42</v>
      </c>
      <c r="DF62" s="135">
        <v>1.79</v>
      </c>
      <c r="DG62" s="135">
        <v>0.26</v>
      </c>
      <c r="DH62" s="135">
        <v>1.54</v>
      </c>
      <c r="DI62" s="135">
        <v>1.38</v>
      </c>
      <c r="DJ62" s="135">
        <v>0.26</v>
      </c>
      <c r="DK62" s="135">
        <v>1.12</v>
      </c>
      <c r="DL62" s="135">
        <v>0.88</v>
      </c>
      <c r="DM62" s="135">
        <v>0.26</v>
      </c>
      <c r="DN62" s="135">
        <v>0.62</v>
      </c>
    </row>
    <row r="63">
      <c r="A63" s="214">
        <v>46260.0</v>
      </c>
      <c r="B63" s="135" t="s">
        <v>4</v>
      </c>
      <c r="C63" s="135" t="s">
        <v>142</v>
      </c>
      <c r="D63" s="135">
        <v>10359.0</v>
      </c>
      <c r="E63" s="135">
        <v>29.24</v>
      </c>
      <c r="F63" s="135">
        <v>497.03</v>
      </c>
      <c r="G63" s="135">
        <v>0.048</v>
      </c>
      <c r="H63" s="135">
        <v>1.59</v>
      </c>
      <c r="I63" s="135">
        <v>3.0123</v>
      </c>
      <c r="J63" s="135">
        <v>27.56</v>
      </c>
      <c r="K63" s="135">
        <v>13.87</v>
      </c>
      <c r="L63" s="135">
        <v>5.32</v>
      </c>
      <c r="M63" s="135">
        <v>0.3833</v>
      </c>
      <c r="N63" s="135">
        <v>0.7261</v>
      </c>
      <c r="O63" s="135">
        <v>0.4673</v>
      </c>
      <c r="P63" s="135">
        <v>2.6088</v>
      </c>
      <c r="Q63" s="135">
        <v>43.13</v>
      </c>
      <c r="R63" s="135">
        <v>38.62</v>
      </c>
      <c r="S63" s="135">
        <v>4.51</v>
      </c>
      <c r="T63" s="135">
        <v>3.34</v>
      </c>
      <c r="U63" s="135">
        <v>39.79</v>
      </c>
      <c r="V63" s="135">
        <v>49.04</v>
      </c>
      <c r="W63" s="135">
        <v>3.5368</v>
      </c>
      <c r="X63" s="135">
        <v>7.75</v>
      </c>
      <c r="Y63" s="135">
        <v>181.0</v>
      </c>
      <c r="Z63" s="135">
        <v>517.0</v>
      </c>
      <c r="AA63" s="135">
        <v>2414.0</v>
      </c>
      <c r="AB63" s="135">
        <v>49.858</v>
      </c>
      <c r="AC63" s="135">
        <v>0.5532</v>
      </c>
      <c r="AD63" s="135">
        <v>3.93</v>
      </c>
      <c r="AE63" s="135">
        <v>1.0</v>
      </c>
      <c r="AF63" s="135">
        <v>3.0</v>
      </c>
      <c r="AG63" s="135">
        <v>5.0</v>
      </c>
      <c r="AH63" s="135">
        <v>9.0</v>
      </c>
      <c r="AI63" s="135">
        <v>73.15</v>
      </c>
      <c r="AJ63" s="135">
        <v>31.51</v>
      </c>
      <c r="AK63" s="135">
        <v>7.09</v>
      </c>
      <c r="AQ63" s="135">
        <v>2.9321</v>
      </c>
      <c r="AR63" s="135">
        <v>0.0483</v>
      </c>
      <c r="AS63" s="135">
        <v>2.8839</v>
      </c>
      <c r="AT63" s="135">
        <v>3.0191</v>
      </c>
      <c r="AU63" s="135">
        <v>0.2177</v>
      </c>
      <c r="AV63" s="135">
        <v>10359.0</v>
      </c>
      <c r="AW63" s="135">
        <v>0.0</v>
      </c>
      <c r="AX63" s="135">
        <v>22.02</v>
      </c>
      <c r="AY63" s="135">
        <v>14.2</v>
      </c>
      <c r="AZ63" s="135">
        <v>2.96</v>
      </c>
      <c r="BA63" s="135">
        <v>3.34</v>
      </c>
      <c r="BB63" s="135">
        <v>0.61</v>
      </c>
      <c r="BC63" s="135">
        <v>17.0</v>
      </c>
      <c r="BD63" s="135">
        <v>24368.0</v>
      </c>
      <c r="BE63" s="135">
        <v>1.7339</v>
      </c>
      <c r="BF63" s="135">
        <v>0.0264</v>
      </c>
      <c r="BG63" s="135">
        <v>1.7075</v>
      </c>
      <c r="BH63" s="135">
        <v>1.6671</v>
      </c>
      <c r="BI63" s="135">
        <v>0.1202</v>
      </c>
      <c r="BJ63" s="135">
        <v>1.1983</v>
      </c>
      <c r="BK63" s="135">
        <v>0.0219</v>
      </c>
      <c r="BL63" s="135">
        <v>1.1764</v>
      </c>
      <c r="BM63" s="135">
        <v>1.3521</v>
      </c>
      <c r="BN63" s="135">
        <v>0.0975</v>
      </c>
      <c r="BO63" s="135">
        <v>0.7593</v>
      </c>
      <c r="BP63" s="135">
        <v>0.0103</v>
      </c>
      <c r="BQ63" s="135">
        <v>0.749</v>
      </c>
      <c r="BR63" s="135">
        <v>0.6899</v>
      </c>
      <c r="BS63" s="135">
        <v>0.6474</v>
      </c>
      <c r="BT63" s="135">
        <v>0.0069</v>
      </c>
      <c r="BU63" s="135">
        <v>0.6405</v>
      </c>
      <c r="BV63" s="135">
        <v>0.632</v>
      </c>
      <c r="BW63" s="135">
        <v>0.3272</v>
      </c>
      <c r="BX63" s="135">
        <v>0.0092</v>
      </c>
      <c r="BY63" s="135">
        <v>0.318</v>
      </c>
      <c r="BZ63" s="135">
        <v>0.3451</v>
      </c>
      <c r="CA63" s="135">
        <v>0.2275</v>
      </c>
      <c r="CB63" s="135">
        <v>0.006</v>
      </c>
      <c r="CC63" s="135">
        <v>0.2215</v>
      </c>
      <c r="CD63" s="135">
        <v>0.2743</v>
      </c>
      <c r="CE63" s="135">
        <v>0.5236</v>
      </c>
      <c r="CF63" s="135">
        <v>0.0093</v>
      </c>
      <c r="CG63" s="135">
        <v>0.5143</v>
      </c>
      <c r="CH63" s="135">
        <v>0.5862</v>
      </c>
      <c r="CI63" s="135">
        <v>0.4471</v>
      </c>
      <c r="CJ63" s="135">
        <v>0.0067</v>
      </c>
      <c r="CK63" s="135">
        <v>0.4405</v>
      </c>
      <c r="CL63" s="135">
        <v>0.4916</v>
      </c>
      <c r="CM63" s="135">
        <v>96.2</v>
      </c>
      <c r="CN63" s="135">
        <v>92.2</v>
      </c>
      <c r="CO63" s="135">
        <v>104.34</v>
      </c>
      <c r="CP63" s="135">
        <v>90.7</v>
      </c>
      <c r="CQ63" s="135">
        <v>0.0</v>
      </c>
      <c r="CR63" s="135">
        <v>2.85</v>
      </c>
      <c r="CS63" s="135">
        <v>2.65</v>
      </c>
      <c r="CT63" s="135">
        <v>0.0</v>
      </c>
      <c r="CU63" s="135">
        <v>0.0</v>
      </c>
      <c r="CV63" s="135">
        <v>0.0</v>
      </c>
      <c r="CW63" s="135">
        <v>43.13</v>
      </c>
      <c r="CX63" s="135">
        <v>0.0</v>
      </c>
      <c r="CY63" s="135">
        <v>0.0</v>
      </c>
      <c r="CZ63" s="135">
        <v>103.87</v>
      </c>
      <c r="DA63" s="135">
        <v>0.7</v>
      </c>
      <c r="DB63" s="135">
        <v>103.17</v>
      </c>
      <c r="DC63" s="135">
        <v>98.39</v>
      </c>
      <c r="DD63" s="135">
        <v>0.2</v>
      </c>
      <c r="DE63" s="135">
        <v>98.18</v>
      </c>
      <c r="DF63" s="135">
        <v>2.65</v>
      </c>
      <c r="DG63" s="135">
        <v>0.16</v>
      </c>
      <c r="DH63" s="135">
        <v>2.48</v>
      </c>
      <c r="DI63" s="135">
        <v>2.2</v>
      </c>
      <c r="DJ63" s="135">
        <v>0.16</v>
      </c>
      <c r="DK63" s="135">
        <v>2.03</v>
      </c>
      <c r="DL63" s="135">
        <v>0.64</v>
      </c>
      <c r="DM63" s="135">
        <v>0.16</v>
      </c>
      <c r="DN63" s="135">
        <v>0.47</v>
      </c>
    </row>
    <row r="64">
      <c r="A64" s="214">
        <v>46260.0</v>
      </c>
      <c r="B64" s="135" t="s">
        <v>4</v>
      </c>
      <c r="C64" s="135" t="s">
        <v>143</v>
      </c>
      <c r="D64" s="135">
        <v>8333.0</v>
      </c>
      <c r="E64" s="135">
        <v>23.52</v>
      </c>
      <c r="F64" s="135">
        <v>1252.77</v>
      </c>
      <c r="G64" s="135">
        <v>0.1503</v>
      </c>
      <c r="H64" s="135">
        <v>4.07</v>
      </c>
      <c r="I64" s="135">
        <v>3.6955</v>
      </c>
      <c r="J64" s="135">
        <v>52.02</v>
      </c>
      <c r="K64" s="135">
        <v>27.51</v>
      </c>
      <c r="L64" s="135">
        <v>14.06</v>
      </c>
      <c r="M64" s="135">
        <v>0.511</v>
      </c>
      <c r="N64" s="135">
        <v>0.618</v>
      </c>
      <c r="O64" s="135">
        <v>0.3691</v>
      </c>
      <c r="P64" s="135">
        <v>1.9571</v>
      </c>
      <c r="Q64" s="135">
        <v>86.7</v>
      </c>
      <c r="R64" s="135">
        <v>75.5</v>
      </c>
      <c r="S64" s="135">
        <v>11.19</v>
      </c>
      <c r="T64" s="135">
        <v>10.91</v>
      </c>
      <c r="U64" s="135">
        <v>75.79</v>
      </c>
      <c r="V64" s="135">
        <v>102.45</v>
      </c>
      <c r="W64" s="135">
        <v>3.7236</v>
      </c>
      <c r="X64" s="135">
        <v>12.58</v>
      </c>
      <c r="Y64" s="135">
        <v>186.0</v>
      </c>
      <c r="Z64" s="135">
        <v>501.0</v>
      </c>
      <c r="AA64" s="135">
        <v>2071.0</v>
      </c>
      <c r="AB64" s="135">
        <v>52.0359</v>
      </c>
      <c r="AC64" s="135">
        <v>0.6203</v>
      </c>
      <c r="AD64" s="135">
        <v>8.77</v>
      </c>
      <c r="AE64" s="135">
        <v>4.0</v>
      </c>
      <c r="AF64" s="135">
        <v>7.0</v>
      </c>
      <c r="AG64" s="135">
        <v>12.0</v>
      </c>
      <c r="AH64" s="135">
        <v>18.0</v>
      </c>
      <c r="AI64" s="135">
        <v>59.2</v>
      </c>
      <c r="AJ64" s="135">
        <v>23.3</v>
      </c>
      <c r="AK64" s="135">
        <v>3.25</v>
      </c>
      <c r="AQ64" s="135">
        <v>5.4881</v>
      </c>
      <c r="AR64" s="135">
        <v>0.142</v>
      </c>
      <c r="AS64" s="135">
        <v>5.3461</v>
      </c>
      <c r="AT64" s="135">
        <v>5.821</v>
      </c>
      <c r="AU64" s="135">
        <v>0.2116</v>
      </c>
      <c r="AV64" s="135">
        <v>8333.0</v>
      </c>
      <c r="AW64" s="135">
        <v>0.0</v>
      </c>
      <c r="AX64" s="135">
        <v>36.11</v>
      </c>
      <c r="AY64" s="135">
        <v>34.37</v>
      </c>
      <c r="AZ64" s="135">
        <v>3.88</v>
      </c>
      <c r="BA64" s="135">
        <v>10.91</v>
      </c>
      <c r="BB64" s="135">
        <v>1.43</v>
      </c>
      <c r="BC64" s="135">
        <v>33.0</v>
      </c>
      <c r="BD64" s="135">
        <v>23589.0</v>
      </c>
      <c r="BE64" s="135">
        <v>3.2741</v>
      </c>
      <c r="BF64" s="135">
        <v>0.0756</v>
      </c>
      <c r="BG64" s="135">
        <v>3.1985</v>
      </c>
      <c r="BH64" s="135">
        <v>3.2051</v>
      </c>
      <c r="BI64" s="135">
        <v>0.1165</v>
      </c>
      <c r="BJ64" s="135">
        <v>2.214</v>
      </c>
      <c r="BK64" s="135">
        <v>0.0664</v>
      </c>
      <c r="BL64" s="135">
        <v>2.1476</v>
      </c>
      <c r="BM64" s="135">
        <v>2.6159</v>
      </c>
      <c r="BN64" s="135">
        <v>0.0951</v>
      </c>
      <c r="BO64" s="135">
        <v>1.2844</v>
      </c>
      <c r="BP64" s="135">
        <v>0.0246</v>
      </c>
      <c r="BQ64" s="135">
        <v>1.2598</v>
      </c>
      <c r="BR64" s="135">
        <v>1.2326</v>
      </c>
      <c r="BS64" s="135">
        <v>1.2412</v>
      </c>
      <c r="BT64" s="135">
        <v>0.0246</v>
      </c>
      <c r="BU64" s="135">
        <v>1.2166</v>
      </c>
      <c r="BV64" s="135">
        <v>1.2376</v>
      </c>
      <c r="BW64" s="135">
        <v>0.7485</v>
      </c>
      <c r="BX64" s="135">
        <v>0.0264</v>
      </c>
      <c r="BY64" s="135">
        <v>0.7221</v>
      </c>
      <c r="BZ64" s="135">
        <v>0.7349</v>
      </c>
      <c r="CA64" s="135">
        <v>0.495</v>
      </c>
      <c r="CB64" s="135">
        <v>0.018</v>
      </c>
      <c r="CC64" s="135">
        <v>0.477</v>
      </c>
      <c r="CD64" s="135">
        <v>0.5765</v>
      </c>
      <c r="CE64" s="135">
        <v>0.9016</v>
      </c>
      <c r="CF64" s="135">
        <v>0.0262</v>
      </c>
      <c r="CG64" s="135">
        <v>0.8754</v>
      </c>
      <c r="CH64" s="135">
        <v>1.0502</v>
      </c>
      <c r="CI64" s="135">
        <v>0.8174</v>
      </c>
      <c r="CJ64" s="135">
        <v>0.0222</v>
      </c>
      <c r="CK64" s="135">
        <v>0.7952</v>
      </c>
      <c r="CL64" s="135">
        <v>0.9892</v>
      </c>
      <c r="CM64" s="135">
        <v>208.44</v>
      </c>
      <c r="CN64" s="135">
        <v>97.62</v>
      </c>
      <c r="CO64" s="135">
        <v>213.51</v>
      </c>
      <c r="CP64" s="135">
        <v>196.49</v>
      </c>
      <c r="CQ64" s="135">
        <v>0.0</v>
      </c>
      <c r="CR64" s="135">
        <v>3.18</v>
      </c>
      <c r="CS64" s="135">
        <v>8.77</v>
      </c>
      <c r="CT64" s="135">
        <v>0.0</v>
      </c>
      <c r="CU64" s="135">
        <v>0.0</v>
      </c>
      <c r="CV64" s="135">
        <v>0.0</v>
      </c>
      <c r="CW64" s="135">
        <v>86.7</v>
      </c>
      <c r="CX64" s="135">
        <v>0.0</v>
      </c>
      <c r="CY64" s="135">
        <v>0.0</v>
      </c>
      <c r="CZ64" s="135">
        <v>153.84</v>
      </c>
      <c r="DA64" s="135">
        <v>2.56</v>
      </c>
      <c r="DB64" s="135">
        <v>151.28</v>
      </c>
      <c r="DC64" s="135">
        <v>145.13</v>
      </c>
      <c r="DD64" s="135">
        <v>0.73</v>
      </c>
      <c r="DE64" s="135">
        <v>144.39</v>
      </c>
      <c r="DF64" s="135">
        <v>4.28</v>
      </c>
      <c r="DG64" s="135">
        <v>0.61</v>
      </c>
      <c r="DH64" s="135">
        <v>3.68</v>
      </c>
      <c r="DI64" s="135">
        <v>3.21</v>
      </c>
      <c r="DJ64" s="135">
        <v>0.61</v>
      </c>
      <c r="DK64" s="135">
        <v>2.6</v>
      </c>
      <c r="DL64" s="135">
        <v>1.22</v>
      </c>
      <c r="DM64" s="135">
        <v>0.61</v>
      </c>
      <c r="DN64" s="135">
        <v>0.62</v>
      </c>
    </row>
    <row r="65">
      <c r="A65" s="214">
        <v>46260.0</v>
      </c>
      <c r="B65" s="135" t="s">
        <v>4</v>
      </c>
      <c r="C65" s="135" t="s">
        <v>144</v>
      </c>
      <c r="D65" s="135">
        <v>5575.0</v>
      </c>
      <c r="E65" s="135">
        <v>15.73</v>
      </c>
      <c r="F65" s="135">
        <v>1807.45</v>
      </c>
      <c r="G65" s="135">
        <v>0.3242</v>
      </c>
      <c r="H65" s="135">
        <v>5.92</v>
      </c>
      <c r="I65" s="135">
        <v>5.4771</v>
      </c>
      <c r="J65" s="135">
        <v>73.21</v>
      </c>
      <c r="K65" s="135">
        <v>40.8</v>
      </c>
      <c r="L65" s="135">
        <v>25.1</v>
      </c>
      <c r="M65" s="135">
        <v>0.6153</v>
      </c>
      <c r="N65" s="135">
        <v>0.5222</v>
      </c>
      <c r="O65" s="135">
        <v>0.3143</v>
      </c>
      <c r="P65" s="135">
        <v>1.6252</v>
      </c>
      <c r="Q65" s="135">
        <v>140.0</v>
      </c>
      <c r="R65" s="135">
        <v>119.9</v>
      </c>
      <c r="S65" s="135">
        <v>20.11</v>
      </c>
      <c r="T65" s="135">
        <v>22.49</v>
      </c>
      <c r="U65" s="135">
        <v>117.51</v>
      </c>
      <c r="V65" s="135">
        <v>169.63</v>
      </c>
      <c r="W65" s="135">
        <v>4.158</v>
      </c>
      <c r="X65" s="135">
        <v>16.07</v>
      </c>
      <c r="Y65" s="135">
        <v>207.0</v>
      </c>
      <c r="Z65" s="135">
        <v>523.0</v>
      </c>
      <c r="AA65" s="135">
        <v>1925.0</v>
      </c>
      <c r="AB65" s="135">
        <v>54.1849</v>
      </c>
      <c r="AC65" s="135">
        <v>0.7265</v>
      </c>
      <c r="AD65" s="135">
        <v>16.08</v>
      </c>
      <c r="AE65" s="135">
        <v>6.0</v>
      </c>
      <c r="AF65" s="135">
        <v>12.0</v>
      </c>
      <c r="AG65" s="135">
        <v>22.0</v>
      </c>
      <c r="AH65" s="135">
        <v>34.0</v>
      </c>
      <c r="AI65" s="135">
        <v>55.77</v>
      </c>
      <c r="AJ65" s="135">
        <v>19.39</v>
      </c>
      <c r="AK65" s="135">
        <v>5.36</v>
      </c>
      <c r="AQ65" s="135">
        <v>8.4013</v>
      </c>
      <c r="AR65" s="135">
        <v>0.31</v>
      </c>
      <c r="AS65" s="135">
        <v>8.0913</v>
      </c>
      <c r="AT65" s="135">
        <v>9.0768</v>
      </c>
      <c r="AU65" s="135">
        <v>0.2225</v>
      </c>
      <c r="AV65" s="135">
        <v>5575.0</v>
      </c>
      <c r="AW65" s="135">
        <v>0.0</v>
      </c>
      <c r="AX65" s="135">
        <v>54.09</v>
      </c>
      <c r="AY65" s="135">
        <v>57.47</v>
      </c>
      <c r="AZ65" s="135">
        <v>3.65</v>
      </c>
      <c r="BA65" s="135">
        <v>22.49</v>
      </c>
      <c r="BB65" s="135">
        <v>2.31</v>
      </c>
      <c r="BC65" s="135">
        <v>65.0</v>
      </c>
      <c r="BD65" s="135">
        <v>20848.0</v>
      </c>
      <c r="BE65" s="135">
        <v>5.0135</v>
      </c>
      <c r="BF65" s="135">
        <v>0.1378</v>
      </c>
      <c r="BG65" s="135">
        <v>4.8757</v>
      </c>
      <c r="BH65" s="135">
        <v>5.0893</v>
      </c>
      <c r="BI65" s="135">
        <v>0.1247</v>
      </c>
      <c r="BJ65" s="135">
        <v>3.3878</v>
      </c>
      <c r="BK65" s="135">
        <v>0.1722</v>
      </c>
      <c r="BL65" s="135">
        <v>3.2156</v>
      </c>
      <c r="BM65" s="135">
        <v>3.9874</v>
      </c>
      <c r="BN65" s="135">
        <v>0.0977</v>
      </c>
      <c r="BO65" s="135">
        <v>1.8088</v>
      </c>
      <c r="BP65" s="135">
        <v>0.0398</v>
      </c>
      <c r="BQ65" s="135">
        <v>1.769</v>
      </c>
      <c r="BR65" s="135">
        <v>1.8305</v>
      </c>
      <c r="BS65" s="135">
        <v>1.8811</v>
      </c>
      <c r="BT65" s="135">
        <v>0.0425</v>
      </c>
      <c r="BU65" s="135">
        <v>1.8386</v>
      </c>
      <c r="BV65" s="135">
        <v>1.9419</v>
      </c>
      <c r="BW65" s="135">
        <v>1.3236</v>
      </c>
      <c r="BX65" s="135">
        <v>0.0554</v>
      </c>
      <c r="BY65" s="135">
        <v>1.2682</v>
      </c>
      <c r="BZ65" s="135">
        <v>1.317</v>
      </c>
      <c r="CA65" s="135">
        <v>0.8339</v>
      </c>
      <c r="CB65" s="135">
        <v>0.0488</v>
      </c>
      <c r="CC65" s="135">
        <v>0.7851</v>
      </c>
      <c r="CD65" s="135">
        <v>0.9605</v>
      </c>
      <c r="CE65" s="135">
        <v>1.2691</v>
      </c>
      <c r="CF65" s="135">
        <v>0.0639</v>
      </c>
      <c r="CG65" s="135">
        <v>1.2052</v>
      </c>
      <c r="CH65" s="135">
        <v>1.4728</v>
      </c>
      <c r="CI65" s="135">
        <v>1.2848</v>
      </c>
      <c r="CJ65" s="135">
        <v>0.0596</v>
      </c>
      <c r="CK65" s="135">
        <v>1.2253</v>
      </c>
      <c r="CL65" s="135">
        <v>1.5541</v>
      </c>
      <c r="CM65" s="135">
        <v>346.51</v>
      </c>
      <c r="CN65" s="135">
        <v>98.64</v>
      </c>
      <c r="CO65" s="135">
        <v>351.3</v>
      </c>
      <c r="CP65" s="135">
        <v>329.2</v>
      </c>
      <c r="CQ65" s="135">
        <v>0.0</v>
      </c>
      <c r="CR65" s="135">
        <v>3.69</v>
      </c>
      <c r="CS65" s="135">
        <v>13.63</v>
      </c>
      <c r="CT65" s="135">
        <v>0.0</v>
      </c>
      <c r="CU65" s="135">
        <v>0.0</v>
      </c>
      <c r="CV65" s="135">
        <v>0.0</v>
      </c>
      <c r="CW65" s="135">
        <v>140.0</v>
      </c>
      <c r="CX65" s="135">
        <v>0.0</v>
      </c>
      <c r="CY65" s="135">
        <v>0.0</v>
      </c>
      <c r="CZ65" s="135">
        <v>212.54</v>
      </c>
      <c r="DA65" s="135">
        <v>5.31</v>
      </c>
      <c r="DB65" s="135">
        <v>207.23</v>
      </c>
      <c r="DC65" s="135">
        <v>198.08</v>
      </c>
      <c r="DD65" s="135">
        <v>1.71</v>
      </c>
      <c r="DE65" s="135">
        <v>196.38</v>
      </c>
      <c r="DF65" s="135">
        <v>7.3</v>
      </c>
      <c r="DG65" s="135">
        <v>1.2</v>
      </c>
      <c r="DH65" s="135">
        <v>6.1</v>
      </c>
      <c r="DI65" s="135">
        <v>5.09</v>
      </c>
      <c r="DJ65" s="135">
        <v>1.2</v>
      </c>
      <c r="DK65" s="135">
        <v>3.89</v>
      </c>
      <c r="DL65" s="135">
        <v>2.07</v>
      </c>
      <c r="DM65" s="135">
        <v>1.2</v>
      </c>
      <c r="DN65" s="135">
        <v>0.86</v>
      </c>
    </row>
    <row r="66">
      <c r="A66" s="214">
        <v>46260.0</v>
      </c>
      <c r="B66" s="135" t="s">
        <v>4</v>
      </c>
      <c r="C66" s="135" t="s">
        <v>145</v>
      </c>
      <c r="D66" s="135">
        <v>2896.0</v>
      </c>
      <c r="E66" s="135">
        <v>8.17</v>
      </c>
      <c r="F66" s="135">
        <v>1904.27</v>
      </c>
      <c r="G66" s="135">
        <v>0.6576</v>
      </c>
      <c r="H66" s="135">
        <v>8.77</v>
      </c>
      <c r="I66" s="135">
        <v>7.4971</v>
      </c>
      <c r="J66" s="135">
        <v>127.71</v>
      </c>
      <c r="K66" s="135">
        <v>74.47</v>
      </c>
      <c r="L66" s="135">
        <v>52.25</v>
      </c>
      <c r="M66" s="135">
        <v>0.7016</v>
      </c>
      <c r="N66" s="135">
        <v>0.4373</v>
      </c>
      <c r="O66" s="135">
        <v>0.2694</v>
      </c>
      <c r="P66" s="135">
        <v>1.4253</v>
      </c>
      <c r="Q66" s="135">
        <v>243.59</v>
      </c>
      <c r="R66" s="135">
        <v>202.83</v>
      </c>
      <c r="S66" s="135">
        <v>40.75</v>
      </c>
      <c r="T66" s="135">
        <v>47.19</v>
      </c>
      <c r="U66" s="135">
        <v>196.4</v>
      </c>
      <c r="V66" s="135">
        <v>293.47</v>
      </c>
      <c r="W66" s="135">
        <v>3.941</v>
      </c>
      <c r="X66" s="135">
        <v>19.37</v>
      </c>
      <c r="Y66" s="135">
        <v>240.0</v>
      </c>
      <c r="Z66" s="135">
        <v>727.0</v>
      </c>
      <c r="AA66" s="135">
        <v>2618.0</v>
      </c>
      <c r="AB66" s="135">
        <v>56.576</v>
      </c>
      <c r="AC66" s="135">
        <v>0.7807</v>
      </c>
      <c r="AD66" s="135">
        <v>30.01</v>
      </c>
      <c r="AE66" s="135">
        <v>12.0</v>
      </c>
      <c r="AF66" s="135">
        <v>22.0</v>
      </c>
      <c r="AG66" s="135">
        <v>41.0</v>
      </c>
      <c r="AH66" s="135">
        <v>65.0</v>
      </c>
      <c r="AI66" s="135">
        <v>40.12</v>
      </c>
      <c r="AJ66" s="135">
        <v>12.26</v>
      </c>
      <c r="AK66" s="135">
        <v>2.56</v>
      </c>
      <c r="AQ66" s="135">
        <v>13.7427</v>
      </c>
      <c r="AR66" s="135">
        <v>0.5725</v>
      </c>
      <c r="AS66" s="135">
        <v>13.1702</v>
      </c>
      <c r="AT66" s="135">
        <v>15.3557</v>
      </c>
      <c r="AU66" s="135">
        <v>0.2062</v>
      </c>
      <c r="AV66" s="135">
        <v>2896.0</v>
      </c>
      <c r="AW66" s="135">
        <v>0.0</v>
      </c>
      <c r="AX66" s="135">
        <v>94.14</v>
      </c>
      <c r="AY66" s="135">
        <v>91.77</v>
      </c>
      <c r="AZ66" s="135">
        <v>5.25</v>
      </c>
      <c r="BA66" s="135">
        <v>47.19</v>
      </c>
      <c r="BB66" s="135">
        <v>5.24</v>
      </c>
      <c r="BC66" s="135">
        <v>124.0</v>
      </c>
      <c r="BD66" s="135">
        <v>22189.0</v>
      </c>
      <c r="BE66" s="135">
        <v>7.9596</v>
      </c>
      <c r="BF66" s="135">
        <v>0.2486</v>
      </c>
      <c r="BG66" s="135">
        <v>7.711</v>
      </c>
      <c r="BH66" s="135">
        <v>8.2849</v>
      </c>
      <c r="BI66" s="135">
        <v>0.1113</v>
      </c>
      <c r="BJ66" s="135">
        <v>5.7831</v>
      </c>
      <c r="BK66" s="135">
        <v>0.3239</v>
      </c>
      <c r="BL66" s="135">
        <v>5.4593</v>
      </c>
      <c r="BM66" s="135">
        <v>7.0708</v>
      </c>
      <c r="BN66" s="135">
        <v>0.095</v>
      </c>
      <c r="BO66" s="135">
        <v>2.8204</v>
      </c>
      <c r="BP66" s="135">
        <v>0.0822</v>
      </c>
      <c r="BQ66" s="135">
        <v>2.7383</v>
      </c>
      <c r="BR66" s="135">
        <v>2.9631</v>
      </c>
      <c r="BS66" s="135">
        <v>2.7282</v>
      </c>
      <c r="BT66" s="135">
        <v>0.0822</v>
      </c>
      <c r="BU66" s="135">
        <v>2.6461</v>
      </c>
      <c r="BV66" s="135">
        <v>2.9444</v>
      </c>
      <c r="BW66" s="135">
        <v>2.4109</v>
      </c>
      <c r="BX66" s="135">
        <v>0.0843</v>
      </c>
      <c r="BY66" s="135">
        <v>2.3267</v>
      </c>
      <c r="BZ66" s="135">
        <v>2.3774</v>
      </c>
      <c r="CA66" s="135">
        <v>1.6067</v>
      </c>
      <c r="CB66" s="135">
        <v>0.0929</v>
      </c>
      <c r="CC66" s="135">
        <v>1.5138</v>
      </c>
      <c r="CD66" s="135">
        <v>2.097</v>
      </c>
      <c r="CE66" s="135">
        <v>1.905</v>
      </c>
      <c r="CF66" s="135">
        <v>0.1274</v>
      </c>
      <c r="CG66" s="135">
        <v>1.7776</v>
      </c>
      <c r="CH66" s="135">
        <v>2.1727</v>
      </c>
      <c r="CI66" s="135">
        <v>2.2714</v>
      </c>
      <c r="CJ66" s="135">
        <v>0.1036</v>
      </c>
      <c r="CK66" s="135">
        <v>2.1678</v>
      </c>
      <c r="CL66" s="135">
        <v>2.8011</v>
      </c>
      <c r="CM66" s="135">
        <v>674.57</v>
      </c>
      <c r="CN66" s="135">
        <v>99.52</v>
      </c>
      <c r="CO66" s="135">
        <v>677.85</v>
      </c>
      <c r="CP66" s="135">
        <v>651.79</v>
      </c>
      <c r="CQ66" s="135">
        <v>0.0</v>
      </c>
      <c r="CR66" s="135">
        <v>3.73</v>
      </c>
      <c r="CS66" s="135">
        <v>19.05</v>
      </c>
      <c r="CT66" s="135">
        <v>0.0</v>
      </c>
      <c r="CU66" s="135">
        <v>0.0</v>
      </c>
      <c r="CV66" s="135">
        <v>0.0</v>
      </c>
      <c r="CW66" s="135">
        <v>243.59</v>
      </c>
      <c r="CX66" s="135">
        <v>0.0</v>
      </c>
      <c r="CY66" s="135">
        <v>0.0</v>
      </c>
      <c r="CZ66" s="135">
        <v>332.01</v>
      </c>
      <c r="DA66" s="135">
        <v>7.75</v>
      </c>
      <c r="DB66" s="135">
        <v>324.27</v>
      </c>
      <c r="DC66" s="135">
        <v>311.79</v>
      </c>
      <c r="DD66" s="135">
        <v>2.83</v>
      </c>
      <c r="DE66" s="135">
        <v>308.96</v>
      </c>
      <c r="DF66" s="135">
        <v>8.0</v>
      </c>
      <c r="DG66" s="135">
        <v>1.64</v>
      </c>
      <c r="DH66" s="135">
        <v>6.36</v>
      </c>
      <c r="DI66" s="135">
        <v>7.49</v>
      </c>
      <c r="DJ66" s="135">
        <v>1.64</v>
      </c>
      <c r="DK66" s="135">
        <v>5.85</v>
      </c>
      <c r="DL66" s="135">
        <v>4.73</v>
      </c>
      <c r="DM66" s="135">
        <v>1.64</v>
      </c>
      <c r="DN66" s="135">
        <v>3.09</v>
      </c>
    </row>
    <row r="67">
      <c r="A67" s="214">
        <v>46260.0</v>
      </c>
      <c r="B67" s="135" t="s">
        <v>4</v>
      </c>
      <c r="C67" s="135" t="s">
        <v>146</v>
      </c>
      <c r="D67" s="135">
        <v>361.0</v>
      </c>
      <c r="E67" s="135">
        <v>1.02</v>
      </c>
      <c r="F67" s="135">
        <v>704.53</v>
      </c>
      <c r="G67" s="135">
        <v>1.9516</v>
      </c>
      <c r="H67" s="135">
        <v>14.68</v>
      </c>
      <c r="I67" s="135">
        <v>13.293</v>
      </c>
      <c r="J67" s="135">
        <v>256.22</v>
      </c>
      <c r="K67" s="135">
        <v>166.65</v>
      </c>
      <c r="L67" s="135">
        <v>127.84</v>
      </c>
      <c r="M67" s="135">
        <v>0.7671</v>
      </c>
      <c r="N67" s="135">
        <v>0.3554</v>
      </c>
      <c r="O67" s="135">
        <v>0.2207</v>
      </c>
      <c r="P67" s="135">
        <v>1.3036</v>
      </c>
      <c r="Q67" s="135">
        <v>505.05</v>
      </c>
      <c r="R67" s="135">
        <v>406.34</v>
      </c>
      <c r="S67" s="135">
        <v>98.71</v>
      </c>
      <c r="T67" s="135">
        <v>144.46</v>
      </c>
      <c r="U67" s="135">
        <v>360.59</v>
      </c>
      <c r="V67" s="135">
        <v>558.03</v>
      </c>
      <c r="W67" s="135">
        <v>3.3486</v>
      </c>
      <c r="X67" s="135">
        <v>28.6</v>
      </c>
      <c r="Y67" s="135">
        <v>297.0</v>
      </c>
      <c r="Z67" s="135">
        <v>1089.0</v>
      </c>
      <c r="AA67" s="135">
        <v>4194.0</v>
      </c>
      <c r="AB67" s="135">
        <v>58.7812</v>
      </c>
      <c r="AC67" s="135">
        <v>0.8279</v>
      </c>
      <c r="AD67" s="135">
        <v>61.06</v>
      </c>
      <c r="AE67" s="135">
        <v>22.0</v>
      </c>
      <c r="AF67" s="135">
        <v>38.0</v>
      </c>
      <c r="AG67" s="135">
        <v>80.0</v>
      </c>
      <c r="AH67" s="135">
        <v>138.0</v>
      </c>
      <c r="AI67" s="135">
        <v>25.76</v>
      </c>
      <c r="AJ67" s="135">
        <v>7.2</v>
      </c>
      <c r="AK67" s="135">
        <v>2.22</v>
      </c>
      <c r="AQ67" s="135">
        <v>29.2853</v>
      </c>
      <c r="AR67" s="135">
        <v>1.9474</v>
      </c>
      <c r="AS67" s="135">
        <v>27.338</v>
      </c>
      <c r="AT67" s="135">
        <v>34.8006</v>
      </c>
      <c r="AU67" s="135">
        <v>0.2088</v>
      </c>
      <c r="AV67" s="135">
        <v>361.0</v>
      </c>
      <c r="AW67" s="135">
        <v>0.0</v>
      </c>
      <c r="AX67" s="135">
        <v>196.29</v>
      </c>
      <c r="AY67" s="135">
        <v>140.24</v>
      </c>
      <c r="AZ67" s="135">
        <v>7.8</v>
      </c>
      <c r="BA67" s="135">
        <v>144.46</v>
      </c>
      <c r="BB67" s="135">
        <v>16.27</v>
      </c>
      <c r="BC67" s="135">
        <v>292.0</v>
      </c>
      <c r="BD67" s="135">
        <v>25903.0</v>
      </c>
      <c r="BE67" s="135">
        <v>16.9446</v>
      </c>
      <c r="BF67" s="135">
        <v>0.8726</v>
      </c>
      <c r="BG67" s="135">
        <v>16.072</v>
      </c>
      <c r="BH67" s="135">
        <v>16.446</v>
      </c>
      <c r="BI67" s="135">
        <v>0.0987</v>
      </c>
      <c r="BJ67" s="135">
        <v>12.3407</v>
      </c>
      <c r="BK67" s="135">
        <v>1.0748</v>
      </c>
      <c r="BL67" s="135">
        <v>11.2659</v>
      </c>
      <c r="BM67" s="135">
        <v>18.3546</v>
      </c>
      <c r="BN67" s="135">
        <v>0.1101</v>
      </c>
      <c r="BO67" s="135">
        <v>5.7036</v>
      </c>
      <c r="BP67" s="135">
        <v>0.2909</v>
      </c>
      <c r="BQ67" s="135">
        <v>5.4127</v>
      </c>
      <c r="BR67" s="135">
        <v>5.7729</v>
      </c>
      <c r="BS67" s="135">
        <v>5.7064</v>
      </c>
      <c r="BT67" s="135">
        <v>0.2909</v>
      </c>
      <c r="BU67" s="135">
        <v>5.4155</v>
      </c>
      <c r="BV67" s="135">
        <v>5.6648</v>
      </c>
      <c r="BW67" s="135">
        <v>5.5346</v>
      </c>
      <c r="BX67" s="135">
        <v>0.2909</v>
      </c>
      <c r="BY67" s="135">
        <v>5.2438</v>
      </c>
      <c r="BZ67" s="135">
        <v>5.0083</v>
      </c>
      <c r="CA67" s="135">
        <v>3.7867</v>
      </c>
      <c r="CB67" s="135">
        <v>0.3213</v>
      </c>
      <c r="CC67" s="135">
        <v>3.4654</v>
      </c>
      <c r="CD67" s="135">
        <v>4.4681</v>
      </c>
      <c r="CE67" s="135">
        <v>3.7202</v>
      </c>
      <c r="CF67" s="135">
        <v>0.4017</v>
      </c>
      <c r="CG67" s="135">
        <v>3.3186</v>
      </c>
      <c r="CH67" s="135">
        <v>4.4072</v>
      </c>
      <c r="CI67" s="135">
        <v>4.8338</v>
      </c>
      <c r="CJ67" s="135">
        <v>0.3518</v>
      </c>
      <c r="CK67" s="135">
        <v>4.482</v>
      </c>
      <c r="CL67" s="135">
        <v>9.4792</v>
      </c>
      <c r="CM67" s="135">
        <v>1568.4</v>
      </c>
      <c r="CN67" s="135">
        <v>100.0</v>
      </c>
      <c r="CO67" s="135">
        <v>1568.4</v>
      </c>
      <c r="CP67" s="135">
        <v>1535.86</v>
      </c>
      <c r="CQ67" s="135">
        <v>0.0</v>
      </c>
      <c r="CR67" s="135">
        <v>8.09</v>
      </c>
      <c r="CS67" s="135">
        <v>24.46</v>
      </c>
      <c r="CT67" s="135">
        <v>0.0</v>
      </c>
      <c r="CU67" s="135">
        <v>0.0</v>
      </c>
      <c r="CV67" s="135">
        <v>0.0</v>
      </c>
      <c r="CW67" s="135">
        <v>505.05</v>
      </c>
      <c r="CX67" s="135">
        <v>0.0</v>
      </c>
      <c r="CY67" s="135">
        <v>0.0</v>
      </c>
      <c r="CZ67" s="135">
        <v>598.7</v>
      </c>
      <c r="DA67" s="135">
        <v>13.55</v>
      </c>
      <c r="DB67" s="135">
        <v>585.15</v>
      </c>
      <c r="DC67" s="135">
        <v>580.5</v>
      </c>
      <c r="DD67" s="135">
        <v>9.56</v>
      </c>
      <c r="DE67" s="135">
        <v>570.94</v>
      </c>
      <c r="DF67" s="135">
        <v>6.63</v>
      </c>
      <c r="DG67" s="135">
        <v>1.33</v>
      </c>
      <c r="DH67" s="135">
        <v>5.3</v>
      </c>
      <c r="DI67" s="135">
        <v>6.32</v>
      </c>
      <c r="DJ67" s="135">
        <v>1.33</v>
      </c>
      <c r="DK67" s="135">
        <v>4.99</v>
      </c>
      <c r="DL67" s="135">
        <v>5.25</v>
      </c>
      <c r="DM67" s="135">
        <v>1.33</v>
      </c>
      <c r="DN67" s="135">
        <v>3.92</v>
      </c>
    </row>
    <row r="68">
      <c r="A68" s="214">
        <v>46260.0</v>
      </c>
      <c r="B68" s="135" t="s">
        <v>5</v>
      </c>
      <c r="C68" s="135" t="s">
        <v>398</v>
      </c>
      <c r="D68" s="135">
        <v>7716.0</v>
      </c>
      <c r="E68" s="135">
        <v>21.78</v>
      </c>
      <c r="F68" s="135">
        <v>1582.51</v>
      </c>
      <c r="G68" s="135">
        <v>0.2051</v>
      </c>
      <c r="H68" s="135">
        <v>1.43</v>
      </c>
      <c r="I68" s="135">
        <v>14.3865</v>
      </c>
      <c r="J68" s="135">
        <v>23.6</v>
      </c>
      <c r="K68" s="135">
        <v>12.62</v>
      </c>
      <c r="L68" s="135">
        <v>8.19</v>
      </c>
      <c r="M68" s="135">
        <v>0.6492</v>
      </c>
      <c r="N68" s="135">
        <v>0.4791</v>
      </c>
      <c r="O68" s="135">
        <v>0.2346</v>
      </c>
      <c r="P68" s="135">
        <v>1.5403</v>
      </c>
      <c r="Q68" s="135">
        <v>66.2</v>
      </c>
      <c r="R68" s="135">
        <v>66.1</v>
      </c>
      <c r="S68" s="135">
        <v>0.1</v>
      </c>
      <c r="T68" s="135">
        <v>13.2</v>
      </c>
      <c r="U68" s="135">
        <v>53.0</v>
      </c>
      <c r="V68" s="135">
        <v>56.6</v>
      </c>
      <c r="W68" s="135">
        <v>4.4836</v>
      </c>
      <c r="X68" s="135">
        <v>19.94</v>
      </c>
      <c r="Y68" s="135">
        <v>209.0</v>
      </c>
      <c r="Z68" s="135">
        <v>1157.0</v>
      </c>
      <c r="AA68" s="135">
        <v>9168.0</v>
      </c>
      <c r="AB68" s="135">
        <v>49.8427</v>
      </c>
      <c r="AC68" s="135">
        <v>0.4846</v>
      </c>
      <c r="AI68" s="135">
        <v>0.0</v>
      </c>
      <c r="AJ68" s="135">
        <v>0.0</v>
      </c>
      <c r="AK68" s="135">
        <v>0.0</v>
      </c>
      <c r="AM68" s="135">
        <v>7.47</v>
      </c>
      <c r="AN68" s="135">
        <v>7.47</v>
      </c>
      <c r="AO68" s="135">
        <v>4.5</v>
      </c>
      <c r="AP68" s="135">
        <v>2.33</v>
      </c>
      <c r="AQ68" s="135">
        <v>2.1748</v>
      </c>
      <c r="AR68" s="135">
        <v>0.1678</v>
      </c>
      <c r="AS68" s="135">
        <v>2.007</v>
      </c>
      <c r="AT68" s="135">
        <v>1.7561</v>
      </c>
      <c r="AU68" s="135">
        <v>0.1391</v>
      </c>
      <c r="AV68" s="135">
        <v>7716.0</v>
      </c>
      <c r="AW68" s="135">
        <v>0.0</v>
      </c>
      <c r="AX68" s="135">
        <v>10.75</v>
      </c>
      <c r="AY68" s="135">
        <v>38.48</v>
      </c>
      <c r="AZ68" s="135">
        <v>3.56</v>
      </c>
      <c r="BA68" s="135">
        <v>13.2</v>
      </c>
      <c r="BB68" s="135">
        <v>0.22</v>
      </c>
      <c r="BD68" s="135">
        <v>31547.0</v>
      </c>
      <c r="BE68" s="135">
        <v>0.9422</v>
      </c>
      <c r="BF68" s="135">
        <v>0.0708</v>
      </c>
      <c r="BG68" s="135">
        <v>0.8714</v>
      </c>
      <c r="BH68" s="135">
        <v>0.885</v>
      </c>
      <c r="BI68" s="135">
        <v>0.0701</v>
      </c>
      <c r="BJ68" s="135">
        <v>1.2326</v>
      </c>
      <c r="BK68" s="135">
        <v>0.0971</v>
      </c>
      <c r="BL68" s="135">
        <v>1.1356</v>
      </c>
      <c r="BM68" s="135">
        <v>0.871</v>
      </c>
      <c r="BN68" s="135">
        <v>0.069</v>
      </c>
      <c r="BO68" s="135">
        <v>0.3555</v>
      </c>
      <c r="BP68" s="135">
        <v>0.0244</v>
      </c>
      <c r="BQ68" s="135">
        <v>0.3311</v>
      </c>
      <c r="BR68" s="135">
        <v>0.3458</v>
      </c>
      <c r="BS68" s="135">
        <v>0.3234</v>
      </c>
      <c r="BT68" s="135">
        <v>0.0228</v>
      </c>
      <c r="BU68" s="135">
        <v>0.3005</v>
      </c>
      <c r="BV68" s="135">
        <v>0.2998</v>
      </c>
      <c r="BW68" s="135">
        <v>0.2633</v>
      </c>
      <c r="BX68" s="135">
        <v>0.0236</v>
      </c>
      <c r="BY68" s="135">
        <v>0.2398</v>
      </c>
      <c r="BZ68" s="135">
        <v>0.2395</v>
      </c>
      <c r="CA68" s="135">
        <v>0.2094</v>
      </c>
      <c r="CB68" s="135">
        <v>0.0259</v>
      </c>
      <c r="CC68" s="135">
        <v>0.1835</v>
      </c>
      <c r="CD68" s="135">
        <v>0.1923</v>
      </c>
      <c r="CE68" s="135">
        <v>0.5254</v>
      </c>
      <c r="CF68" s="135">
        <v>0.0389</v>
      </c>
      <c r="CG68" s="135">
        <v>0.4865</v>
      </c>
      <c r="CH68" s="135">
        <v>0.3208</v>
      </c>
      <c r="CI68" s="135">
        <v>0.4978</v>
      </c>
      <c r="CJ68" s="135">
        <v>0.0323</v>
      </c>
      <c r="CK68" s="135">
        <v>0.4655</v>
      </c>
      <c r="CL68" s="135">
        <v>0.358</v>
      </c>
      <c r="CM68" s="135">
        <v>109.93</v>
      </c>
      <c r="CN68" s="135">
        <v>17.09</v>
      </c>
      <c r="CO68" s="135">
        <v>643.08</v>
      </c>
      <c r="CP68" s="135">
        <v>85.98</v>
      </c>
      <c r="CQ68" s="135">
        <v>21.06</v>
      </c>
      <c r="CR68" s="135">
        <v>1.62</v>
      </c>
      <c r="CS68" s="135">
        <v>1.27</v>
      </c>
      <c r="CT68" s="135">
        <v>0.0</v>
      </c>
      <c r="CU68" s="135">
        <v>1208.0</v>
      </c>
      <c r="CV68" s="135">
        <v>8.99</v>
      </c>
      <c r="CW68" s="135">
        <v>75.19</v>
      </c>
      <c r="CX68" s="135">
        <v>3.02</v>
      </c>
      <c r="CY68" s="135">
        <v>24.08</v>
      </c>
      <c r="CZ68" s="135">
        <v>46.97</v>
      </c>
      <c r="DA68" s="135">
        <v>1.46</v>
      </c>
      <c r="DB68" s="135">
        <v>45.51</v>
      </c>
      <c r="DC68" s="135">
        <v>42.31</v>
      </c>
      <c r="DD68" s="135">
        <v>0.84</v>
      </c>
      <c r="DE68" s="135">
        <v>41.48</v>
      </c>
      <c r="DF68" s="135">
        <v>2.0</v>
      </c>
      <c r="DG68" s="135">
        <v>0.21</v>
      </c>
      <c r="DH68" s="135">
        <v>1.79</v>
      </c>
      <c r="DI68" s="135">
        <v>1.96</v>
      </c>
      <c r="DJ68" s="135">
        <v>0.21</v>
      </c>
      <c r="DK68" s="135">
        <v>1.75</v>
      </c>
      <c r="DL68" s="135">
        <v>0.7</v>
      </c>
      <c r="DM68" s="135">
        <v>0.21</v>
      </c>
      <c r="DN68" s="135">
        <v>0.49</v>
      </c>
    </row>
    <row r="69">
      <c r="A69" s="214">
        <v>46260.0</v>
      </c>
      <c r="B69" s="135" t="s">
        <v>5</v>
      </c>
      <c r="C69" s="135" t="s">
        <v>142</v>
      </c>
      <c r="D69" s="135">
        <v>10431.0</v>
      </c>
      <c r="E69" s="135">
        <v>29.44</v>
      </c>
      <c r="F69" s="135">
        <v>513.37</v>
      </c>
      <c r="G69" s="135">
        <v>0.0492</v>
      </c>
      <c r="H69" s="135">
        <v>1.76</v>
      </c>
      <c r="I69" s="135">
        <v>2.7901</v>
      </c>
      <c r="J69" s="135">
        <v>26.92</v>
      </c>
      <c r="K69" s="135">
        <v>13.41</v>
      </c>
      <c r="L69" s="135">
        <v>5.3</v>
      </c>
      <c r="M69" s="135">
        <v>0.3949</v>
      </c>
      <c r="N69" s="135">
        <v>0.7145</v>
      </c>
      <c r="O69" s="135">
        <v>0.4516</v>
      </c>
      <c r="P69" s="135">
        <v>2.5322</v>
      </c>
      <c r="Q69" s="135">
        <v>44.93</v>
      </c>
      <c r="R69" s="135">
        <v>41.11</v>
      </c>
      <c r="S69" s="135">
        <v>3.82</v>
      </c>
      <c r="T69" s="135">
        <v>3.58</v>
      </c>
      <c r="U69" s="135">
        <v>41.35</v>
      </c>
      <c r="V69" s="135">
        <v>50.01</v>
      </c>
      <c r="W69" s="135">
        <v>3.7299</v>
      </c>
      <c r="X69" s="135">
        <v>7.96</v>
      </c>
      <c r="Y69" s="135">
        <v>186.0</v>
      </c>
      <c r="Z69" s="135">
        <v>518.0</v>
      </c>
      <c r="AA69" s="135">
        <v>2264.0</v>
      </c>
      <c r="AB69" s="135">
        <v>49.8731</v>
      </c>
      <c r="AC69" s="135">
        <v>0.5635</v>
      </c>
      <c r="AD69" s="135">
        <v>3.99</v>
      </c>
      <c r="AE69" s="135">
        <v>1.0</v>
      </c>
      <c r="AF69" s="135">
        <v>3.0</v>
      </c>
      <c r="AG69" s="135">
        <v>5.0</v>
      </c>
      <c r="AH69" s="135">
        <v>9.0</v>
      </c>
      <c r="AI69" s="135">
        <v>72.89</v>
      </c>
      <c r="AJ69" s="135">
        <v>32.01</v>
      </c>
      <c r="AK69" s="135">
        <v>7.6</v>
      </c>
      <c r="AM69" s="135">
        <v>41.64</v>
      </c>
      <c r="AN69" s="135">
        <v>41.64</v>
      </c>
      <c r="AO69" s="135">
        <v>18.93</v>
      </c>
      <c r="AP69" s="135">
        <v>5.35</v>
      </c>
      <c r="AQ69" s="135">
        <v>3.7359</v>
      </c>
      <c r="AR69" s="135">
        <v>0.0493</v>
      </c>
      <c r="AS69" s="135">
        <v>3.6866</v>
      </c>
      <c r="AT69" s="135">
        <v>3.2459</v>
      </c>
      <c r="AU69" s="135">
        <v>0.2421</v>
      </c>
      <c r="AV69" s="135">
        <v>10431.0</v>
      </c>
      <c r="AW69" s="135">
        <v>0.0</v>
      </c>
      <c r="AX69" s="135">
        <v>19.93</v>
      </c>
      <c r="AY69" s="135">
        <v>17.93</v>
      </c>
      <c r="AZ69" s="135">
        <v>2.93</v>
      </c>
      <c r="BA69" s="135">
        <v>3.57</v>
      </c>
      <c r="BB69" s="135">
        <v>0.57</v>
      </c>
      <c r="BC69" s="135">
        <v>17.0</v>
      </c>
      <c r="BD69" s="135">
        <v>23088.0</v>
      </c>
      <c r="BE69" s="135">
        <v>2.5482</v>
      </c>
      <c r="BF69" s="135">
        <v>0.0253</v>
      </c>
      <c r="BG69" s="135">
        <v>2.5229</v>
      </c>
      <c r="BH69" s="135">
        <v>1.919</v>
      </c>
      <c r="BI69" s="135">
        <v>0.1431</v>
      </c>
      <c r="BJ69" s="135">
        <v>1.1877</v>
      </c>
      <c r="BK69" s="135">
        <v>0.024</v>
      </c>
      <c r="BL69" s="135">
        <v>1.1637</v>
      </c>
      <c r="BM69" s="135">
        <v>1.3269</v>
      </c>
      <c r="BN69" s="135">
        <v>0.099</v>
      </c>
      <c r="BO69" s="135">
        <v>1.2638</v>
      </c>
      <c r="BP69" s="135">
        <v>0.008</v>
      </c>
      <c r="BQ69" s="135">
        <v>1.2559</v>
      </c>
      <c r="BR69" s="135">
        <v>0.8604</v>
      </c>
      <c r="BS69" s="135">
        <v>1.0275</v>
      </c>
      <c r="BT69" s="135">
        <v>0.008</v>
      </c>
      <c r="BU69" s="135">
        <v>1.0196</v>
      </c>
      <c r="BV69" s="135">
        <v>0.761</v>
      </c>
      <c r="BW69" s="135">
        <v>0.2568</v>
      </c>
      <c r="BX69" s="135">
        <v>0.0094</v>
      </c>
      <c r="BY69" s="135">
        <v>0.2474</v>
      </c>
      <c r="BZ69" s="135">
        <v>0.2976</v>
      </c>
      <c r="CA69" s="135">
        <v>0.1623</v>
      </c>
      <c r="CB69" s="135">
        <v>0.0051</v>
      </c>
      <c r="CC69" s="135">
        <v>0.1572</v>
      </c>
      <c r="CD69" s="135">
        <v>0.224</v>
      </c>
      <c r="CE69" s="135">
        <v>0.5597</v>
      </c>
      <c r="CF69" s="135">
        <v>0.011</v>
      </c>
      <c r="CG69" s="135">
        <v>0.5487</v>
      </c>
      <c r="CH69" s="135">
        <v>0.6142</v>
      </c>
      <c r="CI69" s="135">
        <v>0.4657</v>
      </c>
      <c r="CJ69" s="135">
        <v>0.0079</v>
      </c>
      <c r="CK69" s="135">
        <v>0.4579</v>
      </c>
      <c r="CL69" s="135">
        <v>0.4886</v>
      </c>
      <c r="CM69" s="135">
        <v>94.16</v>
      </c>
      <c r="CN69" s="135">
        <v>91.89</v>
      </c>
      <c r="CO69" s="135">
        <v>102.47</v>
      </c>
      <c r="CP69" s="135">
        <v>74.79</v>
      </c>
      <c r="CQ69" s="135">
        <v>15.69</v>
      </c>
      <c r="CR69" s="135">
        <v>2.54</v>
      </c>
      <c r="CS69" s="135">
        <v>1.15</v>
      </c>
      <c r="CT69" s="135">
        <v>0.0</v>
      </c>
      <c r="CU69" s="135">
        <v>1334.0</v>
      </c>
      <c r="CV69" s="135">
        <v>1.08</v>
      </c>
      <c r="CW69" s="135">
        <v>46.01</v>
      </c>
      <c r="CX69" s="135">
        <v>1.73</v>
      </c>
      <c r="CY69" s="135">
        <v>17.42</v>
      </c>
      <c r="CZ69" s="135">
        <v>95.78</v>
      </c>
      <c r="DA69" s="135">
        <v>1.32</v>
      </c>
      <c r="DB69" s="135">
        <v>94.45</v>
      </c>
      <c r="DC69" s="135">
        <v>89.75</v>
      </c>
      <c r="DD69" s="135">
        <v>0.36</v>
      </c>
      <c r="DE69" s="135">
        <v>89.39</v>
      </c>
      <c r="DF69" s="135">
        <v>2.92</v>
      </c>
      <c r="DG69" s="135">
        <v>0.32</v>
      </c>
      <c r="DH69" s="135">
        <v>2.6</v>
      </c>
      <c r="DI69" s="135">
        <v>2.35</v>
      </c>
      <c r="DJ69" s="135">
        <v>0.32</v>
      </c>
      <c r="DK69" s="135">
        <v>2.03</v>
      </c>
      <c r="DL69" s="135">
        <v>0.75</v>
      </c>
      <c r="DM69" s="135">
        <v>0.32</v>
      </c>
      <c r="DN69" s="135">
        <v>0.43</v>
      </c>
    </row>
    <row r="70">
      <c r="A70" s="214">
        <v>46260.0</v>
      </c>
      <c r="B70" s="135" t="s">
        <v>5</v>
      </c>
      <c r="C70" s="135" t="s">
        <v>143</v>
      </c>
      <c r="D70" s="135">
        <v>8438.0</v>
      </c>
      <c r="E70" s="135">
        <v>23.81</v>
      </c>
      <c r="F70" s="135">
        <v>1340.74</v>
      </c>
      <c r="G70" s="135">
        <v>0.1589</v>
      </c>
      <c r="H70" s="135">
        <v>3.78</v>
      </c>
      <c r="I70" s="135">
        <v>4.2029</v>
      </c>
      <c r="J70" s="135">
        <v>53.43</v>
      </c>
      <c r="K70" s="135">
        <v>27.89</v>
      </c>
      <c r="L70" s="135">
        <v>14.27</v>
      </c>
      <c r="M70" s="135">
        <v>0.5117</v>
      </c>
      <c r="N70" s="135">
        <v>0.615</v>
      </c>
      <c r="O70" s="135">
        <v>0.3632</v>
      </c>
      <c r="P70" s="135">
        <v>1.9543</v>
      </c>
      <c r="Q70" s="135">
        <v>93.1</v>
      </c>
      <c r="R70" s="135">
        <v>83.55</v>
      </c>
      <c r="S70" s="135">
        <v>9.55</v>
      </c>
      <c r="T70" s="135">
        <v>11.47</v>
      </c>
      <c r="U70" s="135">
        <v>81.63</v>
      </c>
      <c r="V70" s="135">
        <v>101.87</v>
      </c>
      <c r="W70" s="135">
        <v>3.6529</v>
      </c>
      <c r="X70" s="135">
        <v>12.32</v>
      </c>
      <c r="Y70" s="135">
        <v>182.0</v>
      </c>
      <c r="Z70" s="135">
        <v>456.0</v>
      </c>
      <c r="AA70" s="135">
        <v>1731.0</v>
      </c>
      <c r="AB70" s="135">
        <v>51.6933</v>
      </c>
      <c r="AC70" s="135">
        <v>0.6153</v>
      </c>
      <c r="AD70" s="135">
        <v>9.05</v>
      </c>
      <c r="AE70" s="135">
        <v>4.0</v>
      </c>
      <c r="AF70" s="135">
        <v>7.0</v>
      </c>
      <c r="AG70" s="135">
        <v>12.0</v>
      </c>
      <c r="AH70" s="135">
        <v>19.0</v>
      </c>
      <c r="AI70" s="135">
        <v>60.84</v>
      </c>
      <c r="AJ70" s="135">
        <v>24.52</v>
      </c>
      <c r="AK70" s="135">
        <v>3.54</v>
      </c>
      <c r="AM70" s="135">
        <v>48.31</v>
      </c>
      <c r="AN70" s="135">
        <v>48.31</v>
      </c>
      <c r="AO70" s="135">
        <v>26.71</v>
      </c>
      <c r="AP70" s="135">
        <v>11.26</v>
      </c>
      <c r="AQ70" s="135">
        <v>6.9195</v>
      </c>
      <c r="AR70" s="135">
        <v>0.1383</v>
      </c>
      <c r="AS70" s="135">
        <v>6.7812</v>
      </c>
      <c r="AT70" s="135">
        <v>6.2857</v>
      </c>
      <c r="AU70" s="135">
        <v>0.2254</v>
      </c>
      <c r="AV70" s="135">
        <v>8438.0</v>
      </c>
      <c r="AW70" s="135">
        <v>0.0</v>
      </c>
      <c r="AX70" s="135">
        <v>32.52</v>
      </c>
      <c r="AY70" s="135">
        <v>44.09</v>
      </c>
      <c r="AZ70" s="135">
        <v>3.73</v>
      </c>
      <c r="BA70" s="135">
        <v>11.46</v>
      </c>
      <c r="BB70" s="135">
        <v>1.3</v>
      </c>
      <c r="BC70" s="135">
        <v>34.0</v>
      </c>
      <c r="BD70" s="135">
        <v>20919.0</v>
      </c>
      <c r="BE70" s="135">
        <v>4.2348</v>
      </c>
      <c r="BF70" s="135">
        <v>0.0604</v>
      </c>
      <c r="BG70" s="135">
        <v>4.1743</v>
      </c>
      <c r="BH70" s="135">
        <v>3.5288</v>
      </c>
      <c r="BI70" s="135">
        <v>0.1265</v>
      </c>
      <c r="BJ70" s="135">
        <v>2.6848</v>
      </c>
      <c r="BK70" s="135">
        <v>0.0779</v>
      </c>
      <c r="BL70" s="135">
        <v>2.6069</v>
      </c>
      <c r="BM70" s="135">
        <v>2.7569</v>
      </c>
      <c r="BN70" s="135">
        <v>0.0989</v>
      </c>
      <c r="BO70" s="135">
        <v>1.7281</v>
      </c>
      <c r="BP70" s="135">
        <v>0.0194</v>
      </c>
      <c r="BQ70" s="135">
        <v>1.7087</v>
      </c>
      <c r="BR70" s="135">
        <v>1.439</v>
      </c>
      <c r="BS70" s="135">
        <v>1.6819</v>
      </c>
      <c r="BT70" s="135">
        <v>0.0201</v>
      </c>
      <c r="BU70" s="135">
        <v>1.6618</v>
      </c>
      <c r="BV70" s="135">
        <v>1.3722</v>
      </c>
      <c r="BW70" s="135">
        <v>0.8247</v>
      </c>
      <c r="BX70" s="135">
        <v>0.0209</v>
      </c>
      <c r="BY70" s="135">
        <v>0.8039</v>
      </c>
      <c r="BZ70" s="135">
        <v>0.7176</v>
      </c>
      <c r="CA70" s="135">
        <v>0.5593</v>
      </c>
      <c r="CB70" s="135">
        <v>0.022</v>
      </c>
      <c r="CC70" s="135">
        <v>0.5372</v>
      </c>
      <c r="CD70" s="135">
        <v>0.6024</v>
      </c>
      <c r="CE70" s="135">
        <v>1.0276</v>
      </c>
      <c r="CF70" s="135">
        <v>0.0316</v>
      </c>
      <c r="CG70" s="135">
        <v>0.996</v>
      </c>
      <c r="CH70" s="135">
        <v>1.0772</v>
      </c>
      <c r="CI70" s="135">
        <v>1.0979</v>
      </c>
      <c r="CJ70" s="135">
        <v>0.0242</v>
      </c>
      <c r="CK70" s="135">
        <v>1.0737</v>
      </c>
      <c r="CL70" s="135">
        <v>1.0774</v>
      </c>
      <c r="CM70" s="135">
        <v>190.33</v>
      </c>
      <c r="CN70" s="135">
        <v>97.23</v>
      </c>
      <c r="CO70" s="135">
        <v>195.76</v>
      </c>
      <c r="CP70" s="135">
        <v>149.59</v>
      </c>
      <c r="CQ70" s="135">
        <v>34.85</v>
      </c>
      <c r="CR70" s="135">
        <v>2.65</v>
      </c>
      <c r="CS70" s="135">
        <v>3.25</v>
      </c>
      <c r="CT70" s="135">
        <v>0.0</v>
      </c>
      <c r="CU70" s="135">
        <v>2093.0</v>
      </c>
      <c r="CV70" s="135">
        <v>3.62</v>
      </c>
      <c r="CW70" s="135">
        <v>96.72</v>
      </c>
      <c r="CX70" s="135">
        <v>5.32</v>
      </c>
      <c r="CY70" s="135">
        <v>40.17</v>
      </c>
      <c r="CZ70" s="135">
        <v>154.52</v>
      </c>
      <c r="DA70" s="135">
        <v>3.13</v>
      </c>
      <c r="DB70" s="135">
        <v>151.39</v>
      </c>
      <c r="DC70" s="135">
        <v>144.45</v>
      </c>
      <c r="DD70" s="135">
        <v>1.03</v>
      </c>
      <c r="DE70" s="135">
        <v>143.43</v>
      </c>
      <c r="DF70" s="135">
        <v>5.55</v>
      </c>
      <c r="DG70" s="135">
        <v>0.7</v>
      </c>
      <c r="DH70" s="135">
        <v>4.84</v>
      </c>
      <c r="DI70" s="135">
        <v>3.22</v>
      </c>
      <c r="DJ70" s="135">
        <v>0.7</v>
      </c>
      <c r="DK70" s="135">
        <v>2.52</v>
      </c>
      <c r="DL70" s="135">
        <v>1.3</v>
      </c>
      <c r="DM70" s="135">
        <v>0.7</v>
      </c>
      <c r="DN70" s="135">
        <v>0.59</v>
      </c>
    </row>
    <row r="71">
      <c r="A71" s="214">
        <v>46260.0</v>
      </c>
      <c r="B71" s="135" t="s">
        <v>5</v>
      </c>
      <c r="C71" s="135" t="s">
        <v>144</v>
      </c>
      <c r="D71" s="135">
        <v>5677.0</v>
      </c>
      <c r="E71" s="135">
        <v>16.02</v>
      </c>
      <c r="F71" s="135">
        <v>1795.73</v>
      </c>
      <c r="G71" s="135">
        <v>0.3163</v>
      </c>
      <c r="H71" s="135">
        <v>5.69</v>
      </c>
      <c r="I71" s="135">
        <v>5.5595</v>
      </c>
      <c r="J71" s="135">
        <v>77.96</v>
      </c>
      <c r="K71" s="135">
        <v>42.56</v>
      </c>
      <c r="L71" s="135">
        <v>26.45</v>
      </c>
      <c r="M71" s="135">
        <v>0.6214</v>
      </c>
      <c r="N71" s="135">
        <v>0.5176</v>
      </c>
      <c r="O71" s="135">
        <v>0.3119</v>
      </c>
      <c r="P71" s="135">
        <v>1.6093</v>
      </c>
      <c r="Q71" s="135">
        <v>175.74</v>
      </c>
      <c r="R71" s="135">
        <v>156.99</v>
      </c>
      <c r="S71" s="135">
        <v>18.75</v>
      </c>
      <c r="T71" s="135">
        <v>21.32</v>
      </c>
      <c r="U71" s="135">
        <v>154.41</v>
      </c>
      <c r="V71" s="135">
        <v>191.5</v>
      </c>
      <c r="W71" s="135">
        <v>4.4996</v>
      </c>
      <c r="X71" s="135">
        <v>12.13</v>
      </c>
      <c r="Y71" s="135">
        <v>232.0</v>
      </c>
      <c r="Z71" s="135">
        <v>543.0</v>
      </c>
      <c r="AA71" s="135">
        <v>1721.0</v>
      </c>
      <c r="AB71" s="135">
        <v>54.2633</v>
      </c>
      <c r="AC71" s="135">
        <v>0.7133</v>
      </c>
      <c r="AD71" s="135">
        <v>16.59</v>
      </c>
      <c r="AE71" s="135">
        <v>7.0</v>
      </c>
      <c r="AF71" s="135">
        <v>13.0</v>
      </c>
      <c r="AG71" s="135">
        <v>22.0</v>
      </c>
      <c r="AH71" s="135">
        <v>34.0</v>
      </c>
      <c r="AI71" s="135">
        <v>58.89</v>
      </c>
      <c r="AJ71" s="135">
        <v>19.66</v>
      </c>
      <c r="AK71" s="135">
        <v>5.46</v>
      </c>
      <c r="AM71" s="135">
        <v>50.66</v>
      </c>
      <c r="AN71" s="135">
        <v>50.66</v>
      </c>
      <c r="AO71" s="135">
        <v>27.2</v>
      </c>
      <c r="AP71" s="135">
        <v>13.16</v>
      </c>
      <c r="AQ71" s="135">
        <v>10.0317</v>
      </c>
      <c r="AR71" s="135">
        <v>0.3713</v>
      </c>
      <c r="AS71" s="135">
        <v>9.6604</v>
      </c>
      <c r="AT71" s="135">
        <v>9.2584</v>
      </c>
      <c r="AU71" s="135">
        <v>0.2175</v>
      </c>
      <c r="AV71" s="135">
        <v>5677.0</v>
      </c>
      <c r="AW71" s="135">
        <v>0.0</v>
      </c>
      <c r="AX71" s="135">
        <v>52.42</v>
      </c>
      <c r="AY71" s="135">
        <v>95.91</v>
      </c>
      <c r="AZ71" s="135">
        <v>3.62</v>
      </c>
      <c r="BA71" s="135">
        <v>21.32</v>
      </c>
      <c r="BB71" s="135">
        <v>2.46</v>
      </c>
      <c r="BC71" s="135">
        <v>63.0</v>
      </c>
      <c r="BD71" s="135">
        <v>17745.0</v>
      </c>
      <c r="BE71" s="135">
        <v>5.8573</v>
      </c>
      <c r="BF71" s="135">
        <v>0.2167</v>
      </c>
      <c r="BG71" s="135">
        <v>5.6407</v>
      </c>
      <c r="BH71" s="135">
        <v>5.1562</v>
      </c>
      <c r="BI71" s="135">
        <v>0.1212</v>
      </c>
      <c r="BJ71" s="135">
        <v>4.1744</v>
      </c>
      <c r="BK71" s="135">
        <v>0.1547</v>
      </c>
      <c r="BL71" s="135">
        <v>4.0197</v>
      </c>
      <c r="BM71" s="135">
        <v>4.1022</v>
      </c>
      <c r="BN71" s="135">
        <v>0.0964</v>
      </c>
      <c r="BO71" s="135">
        <v>2.0234</v>
      </c>
      <c r="BP71" s="135">
        <v>0.0683</v>
      </c>
      <c r="BQ71" s="135">
        <v>1.9551</v>
      </c>
      <c r="BR71" s="135">
        <v>1.8883</v>
      </c>
      <c r="BS71" s="135">
        <v>2.1275</v>
      </c>
      <c r="BT71" s="135">
        <v>0.071</v>
      </c>
      <c r="BU71" s="135">
        <v>2.0565</v>
      </c>
      <c r="BV71" s="135">
        <v>1.923</v>
      </c>
      <c r="BW71" s="135">
        <v>1.7064</v>
      </c>
      <c r="BX71" s="135">
        <v>0.0773</v>
      </c>
      <c r="BY71" s="135">
        <v>1.629</v>
      </c>
      <c r="BZ71" s="135">
        <v>1.3449</v>
      </c>
      <c r="CA71" s="135">
        <v>0.9431</v>
      </c>
      <c r="CB71" s="135">
        <v>0.043</v>
      </c>
      <c r="CC71" s="135">
        <v>0.9001</v>
      </c>
      <c r="CD71" s="135">
        <v>0.9264</v>
      </c>
      <c r="CE71" s="135">
        <v>1.4319</v>
      </c>
      <c r="CF71" s="135">
        <v>0.0595</v>
      </c>
      <c r="CG71" s="135">
        <v>1.3724</v>
      </c>
      <c r="CH71" s="135">
        <v>1.4516</v>
      </c>
      <c r="CI71" s="135">
        <v>1.7994</v>
      </c>
      <c r="CJ71" s="135">
        <v>0.0521</v>
      </c>
      <c r="CK71" s="135">
        <v>1.7472</v>
      </c>
      <c r="CL71" s="135">
        <v>1.7242</v>
      </c>
      <c r="CM71" s="135">
        <v>341.41</v>
      </c>
      <c r="CN71" s="135">
        <v>98.33</v>
      </c>
      <c r="CO71" s="135">
        <v>347.22</v>
      </c>
      <c r="CP71" s="135">
        <v>270.38</v>
      </c>
      <c r="CQ71" s="135">
        <v>62.59</v>
      </c>
      <c r="CR71" s="135">
        <v>3.18</v>
      </c>
      <c r="CS71" s="135">
        <v>5.27</v>
      </c>
      <c r="CT71" s="135">
        <v>0.0</v>
      </c>
      <c r="CU71" s="135">
        <v>2651.0</v>
      </c>
      <c r="CV71" s="135">
        <v>12.71</v>
      </c>
      <c r="CW71" s="135">
        <v>188.44</v>
      </c>
      <c r="CX71" s="135">
        <v>10.24</v>
      </c>
      <c r="CY71" s="135">
        <v>72.83</v>
      </c>
      <c r="CZ71" s="135">
        <v>224.96</v>
      </c>
      <c r="DA71" s="135">
        <v>4.48</v>
      </c>
      <c r="DB71" s="135">
        <v>220.48</v>
      </c>
      <c r="DC71" s="135">
        <v>208.26</v>
      </c>
      <c r="DD71" s="135">
        <v>1.41</v>
      </c>
      <c r="DE71" s="135">
        <v>206.85</v>
      </c>
      <c r="DF71" s="135">
        <v>10.17</v>
      </c>
      <c r="DG71" s="135">
        <v>1.02</v>
      </c>
      <c r="DH71" s="135">
        <v>9.15</v>
      </c>
      <c r="DI71" s="135">
        <v>4.61</v>
      </c>
      <c r="DJ71" s="135">
        <v>1.02</v>
      </c>
      <c r="DK71" s="135">
        <v>3.59</v>
      </c>
      <c r="DL71" s="135">
        <v>1.92</v>
      </c>
      <c r="DM71" s="135">
        <v>1.02</v>
      </c>
      <c r="DN71" s="135">
        <v>0.9</v>
      </c>
    </row>
    <row r="72">
      <c r="A72" s="214">
        <v>46260.0</v>
      </c>
      <c r="B72" s="135" t="s">
        <v>5</v>
      </c>
      <c r="C72" s="135" t="s">
        <v>145</v>
      </c>
      <c r="D72" s="135">
        <v>2839.0</v>
      </c>
      <c r="E72" s="135">
        <v>8.01</v>
      </c>
      <c r="F72" s="135">
        <v>2089.89</v>
      </c>
      <c r="G72" s="135">
        <v>0.7361</v>
      </c>
      <c r="H72" s="135">
        <v>8.56</v>
      </c>
      <c r="I72" s="135">
        <v>8.6004</v>
      </c>
      <c r="J72" s="135">
        <v>131.83</v>
      </c>
      <c r="K72" s="135">
        <v>77.07</v>
      </c>
      <c r="L72" s="135">
        <v>55.14</v>
      </c>
      <c r="M72" s="135">
        <v>0.7155</v>
      </c>
      <c r="N72" s="135">
        <v>0.4311</v>
      </c>
      <c r="O72" s="135">
        <v>0.2711</v>
      </c>
      <c r="P72" s="135">
        <v>1.3976</v>
      </c>
      <c r="Q72" s="135">
        <v>359.01</v>
      </c>
      <c r="R72" s="135">
        <v>319.96</v>
      </c>
      <c r="S72" s="135">
        <v>39.05</v>
      </c>
      <c r="T72" s="135">
        <v>50.67</v>
      </c>
      <c r="U72" s="135">
        <v>308.34</v>
      </c>
      <c r="V72" s="135">
        <v>387.51</v>
      </c>
      <c r="W72" s="135">
        <v>5.0279</v>
      </c>
      <c r="X72" s="135">
        <v>14.11</v>
      </c>
      <c r="Y72" s="135">
        <v>341.0</v>
      </c>
      <c r="Z72" s="135">
        <v>714.0</v>
      </c>
      <c r="AA72" s="135">
        <v>2160.0</v>
      </c>
      <c r="AB72" s="135">
        <v>56.5757</v>
      </c>
      <c r="AC72" s="135">
        <v>0.7735</v>
      </c>
      <c r="AD72" s="135">
        <v>31.44</v>
      </c>
      <c r="AE72" s="135">
        <v>13.0</v>
      </c>
      <c r="AF72" s="135">
        <v>24.0</v>
      </c>
      <c r="AG72" s="135">
        <v>42.0</v>
      </c>
      <c r="AH72" s="135">
        <v>65.0</v>
      </c>
      <c r="AI72" s="135">
        <v>43.4</v>
      </c>
      <c r="AJ72" s="135">
        <v>12.5</v>
      </c>
      <c r="AK72" s="135">
        <v>3.1</v>
      </c>
      <c r="AM72" s="135">
        <v>45.61</v>
      </c>
      <c r="AN72" s="135">
        <v>45.61</v>
      </c>
      <c r="AO72" s="135">
        <v>23.32</v>
      </c>
      <c r="AP72" s="135">
        <v>13.53</v>
      </c>
      <c r="AQ72" s="135">
        <v>14.348</v>
      </c>
      <c r="AR72" s="135">
        <v>0.5365</v>
      </c>
      <c r="AS72" s="135">
        <v>13.8116</v>
      </c>
      <c r="AT72" s="135">
        <v>13.9338</v>
      </c>
      <c r="AU72" s="135">
        <v>0.1808</v>
      </c>
      <c r="AV72" s="135">
        <v>2839.0</v>
      </c>
      <c r="AW72" s="135">
        <v>0.0</v>
      </c>
      <c r="AX72" s="135">
        <v>93.06</v>
      </c>
      <c r="AY72" s="135">
        <v>204.41</v>
      </c>
      <c r="AZ72" s="135">
        <v>4.71</v>
      </c>
      <c r="BA72" s="135">
        <v>50.65</v>
      </c>
      <c r="BB72" s="135">
        <v>6.18</v>
      </c>
      <c r="BC72" s="135">
        <v>124.0</v>
      </c>
      <c r="BD72" s="135">
        <v>19507.0</v>
      </c>
      <c r="BE72" s="135">
        <v>7.8964</v>
      </c>
      <c r="BF72" s="135">
        <v>0.2187</v>
      </c>
      <c r="BG72" s="135">
        <v>7.6777</v>
      </c>
      <c r="BH72" s="135">
        <v>7.3586</v>
      </c>
      <c r="BI72" s="135">
        <v>0.0955</v>
      </c>
      <c r="BJ72" s="135">
        <v>6.4516</v>
      </c>
      <c r="BK72" s="135">
        <v>0.3177</v>
      </c>
      <c r="BL72" s="135">
        <v>6.1338</v>
      </c>
      <c r="BM72" s="135">
        <v>6.5752</v>
      </c>
      <c r="BN72" s="135">
        <v>0.0853</v>
      </c>
      <c r="BO72" s="135">
        <v>2.7393</v>
      </c>
      <c r="BP72" s="135">
        <v>0.0722</v>
      </c>
      <c r="BQ72" s="135">
        <v>2.6671</v>
      </c>
      <c r="BR72" s="135">
        <v>2.6798</v>
      </c>
      <c r="BS72" s="135">
        <v>2.5699</v>
      </c>
      <c r="BT72" s="135">
        <v>0.0722</v>
      </c>
      <c r="BU72" s="135">
        <v>2.4977</v>
      </c>
      <c r="BV72" s="135">
        <v>2.5491</v>
      </c>
      <c r="BW72" s="135">
        <v>2.5872</v>
      </c>
      <c r="BX72" s="135">
        <v>0.0743</v>
      </c>
      <c r="BY72" s="135">
        <v>2.5129</v>
      </c>
      <c r="BZ72" s="135">
        <v>2.1296</v>
      </c>
      <c r="CA72" s="135">
        <v>1.5146</v>
      </c>
      <c r="CB72" s="135">
        <v>0.0919</v>
      </c>
      <c r="CC72" s="135">
        <v>1.4227</v>
      </c>
      <c r="CD72" s="135">
        <v>1.6168</v>
      </c>
      <c r="CE72" s="135">
        <v>1.9813</v>
      </c>
      <c r="CF72" s="135">
        <v>0.1261</v>
      </c>
      <c r="CG72" s="135">
        <v>1.8552</v>
      </c>
      <c r="CH72" s="135">
        <v>2.0993</v>
      </c>
      <c r="CI72" s="135">
        <v>2.9556</v>
      </c>
      <c r="CJ72" s="135">
        <v>0.0997</v>
      </c>
      <c r="CK72" s="135">
        <v>2.8559</v>
      </c>
      <c r="CL72" s="135">
        <v>2.8591</v>
      </c>
      <c r="CM72" s="135">
        <v>719.8</v>
      </c>
      <c r="CN72" s="135">
        <v>99.3</v>
      </c>
      <c r="CO72" s="135">
        <v>724.9</v>
      </c>
      <c r="CP72" s="135">
        <v>575.22</v>
      </c>
      <c r="CQ72" s="135">
        <v>132.26</v>
      </c>
      <c r="CR72" s="135">
        <v>3.95</v>
      </c>
      <c r="CS72" s="135">
        <v>8.37</v>
      </c>
      <c r="CT72" s="135">
        <v>0.0</v>
      </c>
      <c r="CU72" s="135">
        <v>2248.0</v>
      </c>
      <c r="CV72" s="135">
        <v>55.6</v>
      </c>
      <c r="CW72" s="135">
        <v>414.61</v>
      </c>
      <c r="CX72" s="135">
        <v>21.92</v>
      </c>
      <c r="CY72" s="135">
        <v>154.18</v>
      </c>
      <c r="CZ72" s="135">
        <v>351.82</v>
      </c>
      <c r="DA72" s="135">
        <v>8.21</v>
      </c>
      <c r="DB72" s="135">
        <v>343.61</v>
      </c>
      <c r="DC72" s="135">
        <v>326.94</v>
      </c>
      <c r="DD72" s="135">
        <v>2.88</v>
      </c>
      <c r="DE72" s="135">
        <v>324.05</v>
      </c>
      <c r="DF72" s="135">
        <v>11.85</v>
      </c>
      <c r="DG72" s="135">
        <v>1.78</v>
      </c>
      <c r="DH72" s="135">
        <v>10.08</v>
      </c>
      <c r="DI72" s="135">
        <v>9.62</v>
      </c>
      <c r="DJ72" s="135">
        <v>1.78</v>
      </c>
      <c r="DK72" s="135">
        <v>7.84</v>
      </c>
      <c r="DL72" s="135">
        <v>3.41</v>
      </c>
      <c r="DM72" s="135">
        <v>1.78</v>
      </c>
      <c r="DN72" s="135">
        <v>1.63</v>
      </c>
    </row>
    <row r="73">
      <c r="A73" s="214">
        <v>46260.0</v>
      </c>
      <c r="B73" s="135" t="s">
        <v>5</v>
      </c>
      <c r="C73" s="135" t="s">
        <v>146</v>
      </c>
      <c r="D73" s="135">
        <v>331.0</v>
      </c>
      <c r="E73" s="135">
        <v>0.93</v>
      </c>
      <c r="F73" s="135">
        <v>399.79</v>
      </c>
      <c r="G73" s="135">
        <v>1.2078</v>
      </c>
      <c r="H73" s="135">
        <v>10.27</v>
      </c>
      <c r="I73" s="135">
        <v>11.7585</v>
      </c>
      <c r="J73" s="135">
        <v>255.91</v>
      </c>
      <c r="K73" s="135">
        <v>162.78</v>
      </c>
      <c r="L73" s="135">
        <v>125.92</v>
      </c>
      <c r="M73" s="135">
        <v>0.7735</v>
      </c>
      <c r="N73" s="135">
        <v>0.3644</v>
      </c>
      <c r="O73" s="135">
        <v>0.2332</v>
      </c>
      <c r="P73" s="135">
        <v>1.2927</v>
      </c>
      <c r="Q73" s="135">
        <v>644.05</v>
      </c>
      <c r="R73" s="135">
        <v>553.93</v>
      </c>
      <c r="S73" s="135">
        <v>90.12</v>
      </c>
      <c r="T73" s="135">
        <v>103.63</v>
      </c>
      <c r="U73" s="135">
        <v>540.43</v>
      </c>
      <c r="V73" s="135">
        <v>724.62</v>
      </c>
      <c r="W73" s="135">
        <v>4.4516</v>
      </c>
      <c r="X73" s="135">
        <v>16.09</v>
      </c>
      <c r="Y73" s="135">
        <v>481.0</v>
      </c>
      <c r="Z73" s="135">
        <v>837.0</v>
      </c>
      <c r="AA73" s="135">
        <v>2075.0</v>
      </c>
      <c r="AB73" s="135">
        <v>58.7091</v>
      </c>
      <c r="AC73" s="135">
        <v>0.8053</v>
      </c>
      <c r="AD73" s="135">
        <v>58.23</v>
      </c>
      <c r="AE73" s="135">
        <v>24.0</v>
      </c>
      <c r="AF73" s="135">
        <v>44.0</v>
      </c>
      <c r="AG73" s="135">
        <v>77.0</v>
      </c>
      <c r="AH73" s="135">
        <v>118.0</v>
      </c>
      <c r="AI73" s="135">
        <v>24.17</v>
      </c>
      <c r="AJ73" s="135">
        <v>4.53</v>
      </c>
      <c r="AK73" s="135">
        <v>0.6</v>
      </c>
      <c r="AM73" s="135">
        <v>35.35</v>
      </c>
      <c r="AN73" s="135">
        <v>35.35</v>
      </c>
      <c r="AO73" s="135">
        <v>20.85</v>
      </c>
      <c r="AP73" s="135">
        <v>12.39</v>
      </c>
      <c r="AQ73" s="135">
        <v>22.3988</v>
      </c>
      <c r="AR73" s="135">
        <v>0.9426</v>
      </c>
      <c r="AS73" s="135">
        <v>21.4562</v>
      </c>
      <c r="AT73" s="135">
        <v>22.8308</v>
      </c>
      <c r="AU73" s="135">
        <v>0.1403</v>
      </c>
      <c r="AV73" s="135">
        <v>331.0</v>
      </c>
      <c r="AW73" s="135">
        <v>0.0</v>
      </c>
      <c r="AX73" s="135">
        <v>181.71</v>
      </c>
      <c r="AY73" s="135">
        <v>338.45</v>
      </c>
      <c r="AZ73" s="135">
        <v>7.1</v>
      </c>
      <c r="BA73" s="135">
        <v>103.63</v>
      </c>
      <c r="BB73" s="135">
        <v>13.17</v>
      </c>
      <c r="BC73" s="135">
        <v>223.0</v>
      </c>
      <c r="BD73" s="135">
        <v>15995.0</v>
      </c>
      <c r="BE73" s="135">
        <v>12.426</v>
      </c>
      <c r="BF73" s="135">
        <v>0.3535</v>
      </c>
      <c r="BG73" s="135">
        <v>12.0725</v>
      </c>
      <c r="BH73" s="135">
        <v>12.4562</v>
      </c>
      <c r="BI73" s="135">
        <v>0.0765</v>
      </c>
      <c r="BJ73" s="135">
        <v>9.9728</v>
      </c>
      <c r="BK73" s="135">
        <v>0.5891</v>
      </c>
      <c r="BL73" s="135">
        <v>9.3837</v>
      </c>
      <c r="BM73" s="135">
        <v>10.3746</v>
      </c>
      <c r="BN73" s="135">
        <v>0.0637</v>
      </c>
      <c r="BO73" s="135">
        <v>3.6526</v>
      </c>
      <c r="BP73" s="135">
        <v>0.1118</v>
      </c>
      <c r="BQ73" s="135">
        <v>3.5408</v>
      </c>
      <c r="BR73" s="135">
        <v>4.0725</v>
      </c>
      <c r="BS73" s="135">
        <v>3.9909</v>
      </c>
      <c r="BT73" s="135">
        <v>0.1299</v>
      </c>
      <c r="BU73" s="135">
        <v>3.861</v>
      </c>
      <c r="BV73" s="135">
        <v>4.1269</v>
      </c>
      <c r="BW73" s="135">
        <v>4.7825</v>
      </c>
      <c r="BX73" s="135">
        <v>0.1118</v>
      </c>
      <c r="BY73" s="135">
        <v>4.6707</v>
      </c>
      <c r="BZ73" s="135">
        <v>4.2568</v>
      </c>
      <c r="CA73" s="135">
        <v>2.6979</v>
      </c>
      <c r="CB73" s="135">
        <v>0.1601</v>
      </c>
      <c r="CC73" s="135">
        <v>2.5378</v>
      </c>
      <c r="CD73" s="135">
        <v>2.6073</v>
      </c>
      <c r="CE73" s="135">
        <v>2.852</v>
      </c>
      <c r="CF73" s="135">
        <v>0.2508</v>
      </c>
      <c r="CG73" s="135">
        <v>2.6012</v>
      </c>
      <c r="CH73" s="135">
        <v>2.9275</v>
      </c>
      <c r="CI73" s="135">
        <v>4.423</v>
      </c>
      <c r="CJ73" s="135">
        <v>0.1782</v>
      </c>
      <c r="CK73" s="135">
        <v>4.2447</v>
      </c>
      <c r="CL73" s="135">
        <v>4.8399</v>
      </c>
      <c r="CM73" s="135">
        <v>1566.5</v>
      </c>
      <c r="CN73" s="135">
        <v>100.0</v>
      </c>
      <c r="CO73" s="135">
        <v>1566.5</v>
      </c>
      <c r="CP73" s="135">
        <v>1173.5</v>
      </c>
      <c r="CQ73" s="135">
        <v>373.87</v>
      </c>
      <c r="CR73" s="135">
        <v>7.49</v>
      </c>
      <c r="CS73" s="135">
        <v>11.63</v>
      </c>
      <c r="CT73" s="135">
        <v>0.0</v>
      </c>
      <c r="CU73" s="135">
        <v>317.0</v>
      </c>
      <c r="CV73" s="135">
        <v>145.67</v>
      </c>
      <c r="CW73" s="135">
        <v>789.73</v>
      </c>
      <c r="CX73" s="135">
        <v>65.59</v>
      </c>
      <c r="CY73" s="135">
        <v>439.46</v>
      </c>
      <c r="CZ73" s="135">
        <v>616.4</v>
      </c>
      <c r="DA73" s="135">
        <v>4.31</v>
      </c>
      <c r="DB73" s="135">
        <v>612.1</v>
      </c>
      <c r="DC73" s="135">
        <v>596.66</v>
      </c>
      <c r="DD73" s="135">
        <v>2.67</v>
      </c>
      <c r="DE73" s="135">
        <v>593.99</v>
      </c>
      <c r="DF73" s="135">
        <v>7.64</v>
      </c>
      <c r="DG73" s="135">
        <v>0.54</v>
      </c>
      <c r="DH73" s="135">
        <v>7.1</v>
      </c>
      <c r="DI73" s="135">
        <v>10.02</v>
      </c>
      <c r="DJ73" s="135">
        <v>0.54</v>
      </c>
      <c r="DK73" s="135">
        <v>9.47</v>
      </c>
      <c r="DL73" s="135">
        <v>2.08</v>
      </c>
      <c r="DM73" s="135">
        <v>0.54</v>
      </c>
      <c r="DN73" s="135">
        <v>1.54</v>
      </c>
    </row>
    <row r="74">
      <c r="A74" s="214"/>
    </row>
    <row r="75">
      <c r="A75" s="214"/>
    </row>
    <row r="76">
      <c r="A76" s="214"/>
    </row>
    <row r="77">
      <c r="A77" s="214"/>
    </row>
    <row r="78">
      <c r="A78" s="214"/>
    </row>
    <row r="79">
      <c r="A79" s="214"/>
    </row>
    <row r="80">
      <c r="A80" s="214"/>
    </row>
    <row r="81">
      <c r="A81" s="214"/>
    </row>
    <row r="82">
      <c r="A82" s="214"/>
    </row>
    <row r="83">
      <c r="A83" s="214"/>
    </row>
    <row r="84">
      <c r="A84" s="214"/>
    </row>
    <row r="85">
      <c r="A85" s="214"/>
    </row>
    <row r="86">
      <c r="A86" s="214"/>
    </row>
    <row r="87">
      <c r="A87" s="214"/>
    </row>
    <row r="88">
      <c r="A88" s="214"/>
    </row>
    <row r="89">
      <c r="A89" s="214"/>
    </row>
    <row r="90">
      <c r="A90" s="214"/>
    </row>
    <row r="91">
      <c r="A91" s="214"/>
    </row>
    <row r="92">
      <c r="A92" s="214"/>
    </row>
    <row r="93">
      <c r="A93" s="214"/>
    </row>
    <row r="94">
      <c r="A94" s="214"/>
    </row>
    <row r="95">
      <c r="A95" s="214"/>
    </row>
    <row r="96">
      <c r="A96" s="214"/>
    </row>
    <row r="97">
      <c r="A97" s="214"/>
    </row>
    <row r="98">
      <c r="A98" s="214"/>
    </row>
    <row r="99">
      <c r="A99" s="214"/>
    </row>
    <row r="100">
      <c r="A100" s="214"/>
    </row>
    <row r="101">
      <c r="A101" s="214"/>
    </row>
    <row r="102">
      <c r="A102" s="214"/>
    </row>
    <row r="103">
      <c r="A103" s="214"/>
    </row>
    <row r="104">
      <c r="A104" s="214"/>
    </row>
    <row r="105">
      <c r="A105" s="214"/>
    </row>
    <row r="106">
      <c r="A106" s="214"/>
    </row>
    <row r="107">
      <c r="A107" s="214"/>
    </row>
    <row r="108">
      <c r="A108" s="214"/>
    </row>
    <row r="109">
      <c r="A109" s="214"/>
    </row>
    <row r="110">
      <c r="A110" s="214"/>
    </row>
    <row r="111">
      <c r="A111" s="214"/>
    </row>
    <row r="112">
      <c r="A112" s="214"/>
    </row>
    <row r="113">
      <c r="A113" s="214"/>
    </row>
    <row r="114">
      <c r="A114" s="214"/>
    </row>
    <row r="115">
      <c r="A115" s="214"/>
    </row>
    <row r="116">
      <c r="A116" s="214"/>
    </row>
    <row r="117">
      <c r="A117" s="214"/>
    </row>
    <row r="118">
      <c r="A118" s="214"/>
    </row>
    <row r="119">
      <c r="A119" s="214"/>
    </row>
    <row r="120">
      <c r="A120" s="214"/>
    </row>
    <row r="121">
      <c r="A121" s="214"/>
    </row>
    <row r="122">
      <c r="A122" s="214"/>
    </row>
    <row r="123">
      <c r="A123" s="214"/>
    </row>
    <row r="124">
      <c r="A124" s="214"/>
    </row>
    <row r="125">
      <c r="A125" s="214"/>
    </row>
    <row r="126">
      <c r="A126" s="214"/>
    </row>
    <row r="127">
      <c r="A127" s="214"/>
    </row>
    <row r="128">
      <c r="A128" s="214"/>
    </row>
    <row r="129">
      <c r="A129" s="214"/>
    </row>
    <row r="130">
      <c r="A130" s="214"/>
    </row>
    <row r="131">
      <c r="A131" s="214"/>
    </row>
    <row r="132">
      <c r="A132" s="214"/>
    </row>
    <row r="133">
      <c r="A133" s="214"/>
    </row>
    <row r="134">
      <c r="A134" s="214"/>
    </row>
    <row r="135">
      <c r="A135" s="214"/>
    </row>
    <row r="136">
      <c r="A136" s="214"/>
    </row>
    <row r="137">
      <c r="A137" s="214"/>
    </row>
    <row r="138">
      <c r="A138" s="214"/>
    </row>
    <row r="139">
      <c r="A139" s="214"/>
    </row>
    <row r="140">
      <c r="A140" s="214"/>
    </row>
    <row r="141">
      <c r="A141" s="214"/>
    </row>
    <row r="142">
      <c r="A142" s="214"/>
    </row>
    <row r="143">
      <c r="A143" s="214"/>
    </row>
    <row r="144">
      <c r="A144" s="214"/>
    </row>
    <row r="145">
      <c r="A145" s="214"/>
    </row>
    <row r="146">
      <c r="A146" s="214"/>
    </row>
    <row r="147">
      <c r="A147" s="214"/>
    </row>
    <row r="148">
      <c r="A148" s="214"/>
    </row>
    <row r="149">
      <c r="A149" s="214"/>
    </row>
    <row r="150">
      <c r="A150" s="214"/>
    </row>
    <row r="151">
      <c r="A151" s="214"/>
    </row>
    <row r="152">
      <c r="A152" s="214"/>
    </row>
    <row r="153">
      <c r="A153" s="214"/>
    </row>
    <row r="154">
      <c r="A154" s="214"/>
    </row>
    <row r="155">
      <c r="A155" s="214"/>
    </row>
    <row r="156">
      <c r="A156" s="214"/>
    </row>
    <row r="157">
      <c r="A157" s="214"/>
    </row>
    <row r="158">
      <c r="A158" s="214"/>
    </row>
    <row r="159">
      <c r="A159" s="214"/>
    </row>
    <row r="160">
      <c r="A160" s="214"/>
    </row>
    <row r="161">
      <c r="A161" s="214"/>
    </row>
    <row r="162">
      <c r="A162" s="214"/>
    </row>
    <row r="163">
      <c r="A163" s="214"/>
    </row>
    <row r="164">
      <c r="A164" s="214"/>
    </row>
    <row r="165">
      <c r="A165" s="214"/>
    </row>
    <row r="166">
      <c r="A166" s="214"/>
    </row>
    <row r="167">
      <c r="A167" s="214"/>
    </row>
    <row r="168">
      <c r="A168" s="214"/>
    </row>
    <row r="169">
      <c r="A169" s="214"/>
    </row>
    <row r="170">
      <c r="A170" s="214"/>
    </row>
    <row r="171">
      <c r="A171" s="214"/>
    </row>
    <row r="172">
      <c r="A172" s="214"/>
    </row>
    <row r="173">
      <c r="A173" s="214"/>
    </row>
    <row r="174">
      <c r="A174" s="214"/>
    </row>
    <row r="175">
      <c r="A175" s="214"/>
    </row>
    <row r="176">
      <c r="A176" s="214"/>
    </row>
    <row r="177">
      <c r="A177" s="214"/>
    </row>
    <row r="178">
      <c r="A178" s="214"/>
    </row>
    <row r="179">
      <c r="A179" s="214"/>
    </row>
    <row r="180">
      <c r="A180" s="214"/>
    </row>
    <row r="181">
      <c r="A181" s="214"/>
    </row>
    <row r="182">
      <c r="A182" s="214"/>
    </row>
    <row r="183">
      <c r="A183" s="214"/>
    </row>
    <row r="184">
      <c r="A184" s="214"/>
    </row>
    <row r="185">
      <c r="A185" s="214"/>
    </row>
    <row r="186">
      <c r="A186" s="214"/>
    </row>
    <row r="187">
      <c r="A187" s="214"/>
    </row>
    <row r="188">
      <c r="A188" s="214"/>
    </row>
    <row r="189">
      <c r="A189" s="214"/>
    </row>
    <row r="190">
      <c r="A190" s="214"/>
    </row>
    <row r="191">
      <c r="A191" s="214"/>
    </row>
    <row r="192">
      <c r="A192" s="214"/>
    </row>
    <row r="193">
      <c r="A193" s="214"/>
    </row>
    <row r="194">
      <c r="A194" s="214"/>
    </row>
    <row r="195">
      <c r="A195" s="214"/>
    </row>
    <row r="196">
      <c r="A196" s="214"/>
    </row>
    <row r="197">
      <c r="A197" s="214"/>
    </row>
    <row r="198">
      <c r="A198" s="214"/>
    </row>
    <row r="199">
      <c r="A199" s="214"/>
    </row>
    <row r="200">
      <c r="A200" s="214"/>
    </row>
    <row r="201">
      <c r="A201" s="214"/>
    </row>
    <row r="202">
      <c r="A202" s="214"/>
    </row>
    <row r="203">
      <c r="A203" s="214"/>
    </row>
    <row r="204">
      <c r="A204" s="214"/>
    </row>
    <row r="205">
      <c r="A205" s="214"/>
    </row>
  </sheetData>
  <drawing r:id="rId1"/>
</worksheet>
</file>